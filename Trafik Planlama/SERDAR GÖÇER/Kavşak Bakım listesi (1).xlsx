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5210" windowHeight="7875" tabRatio="706" activeTab="1"/>
  </bookViews>
  <sheets>
    <sheet name="kavşak listesi grup sayısı" sheetId="5" r:id="rId1"/>
    <sheet name="2026 KAVŞAK BAKIM LİSTESİ" sheetId="18" r:id="rId2"/>
    <sheet name="DİREK SAYISI" sheetId="15" r:id="rId3"/>
    <sheet name="VMS BAKIM LİSTESİ" sheetId="16" r:id="rId4"/>
    <sheet name="kavşak listesi " sheetId="12" r:id="rId5"/>
    <sheet name="KAVŞAK KORDİNATLARI" sheetId="14" r:id="rId6"/>
    <sheet name="BUTONLU" sheetId="17" r:id="rId7"/>
  </sheets>
  <externalReferences>
    <externalReference r:id="rId8"/>
  </externalReferences>
  <definedNames>
    <definedName name="_xlnm._FilterDatabase" localSheetId="2" hidden="1">'DİREK SAYISI'!$E$1:$E$224</definedName>
    <definedName name="_xlnm._FilterDatabase" localSheetId="4" hidden="1">'kavşak listesi '!$E$1:$E$222</definedName>
    <definedName name="_xlnm._FilterDatabase" localSheetId="0" hidden="1">'kavşak listesi grup sayısı'!$D$1:$D$179</definedName>
  </definedNames>
  <calcPr calcId="125725"/>
</workbook>
</file>

<file path=xl/calcChain.xml><?xml version="1.0" encoding="utf-8"?>
<calcChain xmlns="http://schemas.openxmlformats.org/spreadsheetml/2006/main">
  <c r="K69" i="15"/>
  <c r="K70"/>
  <c r="K152"/>
  <c r="G60" i="17"/>
  <c r="K43" i="15"/>
  <c r="K71"/>
  <c r="K160"/>
  <c r="K159"/>
  <c r="K45"/>
  <c r="H202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7"/>
  <c r="K28"/>
  <c r="K29"/>
  <c r="K30"/>
  <c r="K32"/>
  <c r="K33"/>
  <c r="K34"/>
  <c r="K35"/>
  <c r="K36"/>
  <c r="K37"/>
  <c r="K38"/>
  <c r="K39"/>
  <c r="K40"/>
  <c r="K41"/>
  <c r="K42"/>
  <c r="K44"/>
  <c r="K46"/>
  <c r="K47"/>
  <c r="K48"/>
  <c r="K49"/>
  <c r="K50"/>
  <c r="K52"/>
  <c r="K53"/>
  <c r="K54"/>
  <c r="K55"/>
  <c r="K56"/>
  <c r="K57"/>
  <c r="K58"/>
  <c r="K59"/>
  <c r="K63"/>
  <c r="K64"/>
  <c r="K65"/>
  <c r="K66"/>
  <c r="K67"/>
  <c r="K68"/>
  <c r="K72"/>
  <c r="K73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9"/>
  <c r="K130"/>
  <c r="K132"/>
  <c r="K134"/>
  <c r="K135"/>
  <c r="K136"/>
  <c r="K137"/>
  <c r="K138"/>
  <c r="K139"/>
  <c r="K140"/>
  <c r="K141"/>
  <c r="K142"/>
  <c r="K144"/>
  <c r="K145"/>
  <c r="K147"/>
  <c r="K148"/>
  <c r="K149"/>
  <c r="K150"/>
  <c r="K151"/>
  <c r="K153"/>
  <c r="K154"/>
  <c r="K155"/>
  <c r="K156"/>
  <c r="K157"/>
  <c r="K158"/>
  <c r="K161"/>
  <c r="K162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7"/>
  <c r="K188"/>
  <c r="K189"/>
  <c r="K146"/>
  <c r="K190"/>
  <c r="K191"/>
  <c r="K192"/>
  <c r="K193"/>
  <c r="K194"/>
  <c r="K195"/>
  <c r="K197"/>
  <c r="K198"/>
  <c r="K200"/>
  <c r="K5"/>
  <c r="K6"/>
  <c r="K4"/>
  <c r="G202"/>
  <c r="I202"/>
  <c r="J202"/>
  <c r="N117" i="14"/>
  <c r="M117"/>
  <c r="L117"/>
  <c r="N116"/>
  <c r="M116"/>
  <c r="L116"/>
  <c r="N115"/>
  <c r="M115"/>
  <c r="L115"/>
  <c r="N114"/>
  <c r="M114"/>
  <c r="L114"/>
  <c r="N113"/>
  <c r="M113"/>
  <c r="L113"/>
  <c r="N112"/>
  <c r="M112"/>
  <c r="L112"/>
  <c r="N111"/>
  <c r="M111"/>
  <c r="L111"/>
  <c r="N110"/>
  <c r="M110"/>
  <c r="L110"/>
  <c r="N109"/>
  <c r="M109"/>
  <c r="L109"/>
  <c r="N108"/>
  <c r="M108"/>
  <c r="L108"/>
  <c r="N107"/>
  <c r="M107"/>
  <c r="L107"/>
  <c r="N106"/>
  <c r="M106"/>
  <c r="L106"/>
  <c r="N105"/>
  <c r="M105"/>
  <c r="L105"/>
  <c r="N104"/>
  <c r="M104"/>
  <c r="L104"/>
  <c r="N103"/>
  <c r="M103"/>
  <c r="L103"/>
  <c r="N102"/>
  <c r="M102"/>
  <c r="L102"/>
  <c r="N101"/>
  <c r="M101"/>
  <c r="L101"/>
  <c r="N100"/>
  <c r="M100"/>
  <c r="L100"/>
  <c r="N99"/>
  <c r="M99"/>
  <c r="L99"/>
  <c r="N98"/>
  <c r="M98"/>
  <c r="L98"/>
  <c r="N97"/>
  <c r="M97"/>
  <c r="L97"/>
  <c r="N96"/>
  <c r="N95"/>
  <c r="M95"/>
  <c r="L95"/>
  <c r="N94"/>
  <c r="M94"/>
  <c r="L94"/>
  <c r="N93"/>
  <c r="M93"/>
  <c r="L93"/>
  <c r="N92"/>
  <c r="M92"/>
  <c r="L92"/>
  <c r="N91"/>
  <c r="M91"/>
  <c r="L91"/>
  <c r="N90"/>
  <c r="M90"/>
  <c r="L90"/>
  <c r="N89"/>
  <c r="M89"/>
  <c r="L89"/>
  <c r="N88"/>
  <c r="M88"/>
  <c r="L88"/>
  <c r="N87"/>
  <c r="M87"/>
  <c r="L87"/>
  <c r="N86"/>
  <c r="M86"/>
  <c r="L86"/>
  <c r="N85"/>
  <c r="M85"/>
  <c r="L85"/>
  <c r="N84"/>
  <c r="M84"/>
  <c r="L84"/>
  <c r="N83"/>
  <c r="M83"/>
  <c r="L83"/>
  <c r="N82"/>
  <c r="M82"/>
  <c r="L82"/>
  <c r="N81"/>
  <c r="M81"/>
  <c r="L81"/>
  <c r="N80"/>
  <c r="M80"/>
  <c r="L80"/>
  <c r="N79"/>
  <c r="M79"/>
  <c r="L79"/>
  <c r="N78"/>
  <c r="M78"/>
  <c r="L78"/>
  <c r="N77"/>
  <c r="M77"/>
  <c r="L77"/>
  <c r="N76"/>
  <c r="M76"/>
  <c r="L76"/>
  <c r="N75"/>
  <c r="M75"/>
  <c r="L75"/>
  <c r="N74"/>
  <c r="M74"/>
  <c r="L74"/>
  <c r="N73"/>
  <c r="M73"/>
  <c r="L73"/>
  <c r="N72"/>
  <c r="M72"/>
  <c r="L72"/>
  <c r="N71"/>
  <c r="M71"/>
  <c r="L71"/>
  <c r="N70"/>
  <c r="M70"/>
  <c r="L70"/>
  <c r="N69"/>
  <c r="M69"/>
  <c r="L69"/>
  <c r="N68"/>
  <c r="M68"/>
  <c r="L68"/>
  <c r="N67"/>
  <c r="M67"/>
  <c r="L67"/>
  <c r="N66"/>
  <c r="M66"/>
  <c r="L66"/>
  <c r="N65"/>
  <c r="M65"/>
  <c r="L65"/>
  <c r="N64"/>
  <c r="M64"/>
  <c r="L64"/>
  <c r="N63"/>
  <c r="M63"/>
  <c r="L63"/>
  <c r="N62"/>
  <c r="M62"/>
  <c r="L62"/>
  <c r="N61"/>
  <c r="M61"/>
  <c r="L61"/>
  <c r="N60"/>
  <c r="M60"/>
  <c r="L60"/>
  <c r="N59"/>
  <c r="M59"/>
  <c r="L59"/>
  <c r="N58"/>
  <c r="M58"/>
  <c r="L58"/>
  <c r="N57"/>
  <c r="M57"/>
  <c r="L57"/>
  <c r="N56"/>
  <c r="M56"/>
  <c r="L56"/>
  <c r="N55"/>
  <c r="M55"/>
  <c r="L55"/>
  <c r="N54"/>
  <c r="M54"/>
  <c r="L54"/>
  <c r="N53"/>
  <c r="M53"/>
  <c r="L53"/>
  <c r="N52"/>
  <c r="M52"/>
  <c r="L52"/>
  <c r="N51"/>
  <c r="M51"/>
  <c r="L51"/>
  <c r="N50"/>
  <c r="M50"/>
  <c r="L50"/>
  <c r="N49"/>
  <c r="M49"/>
  <c r="L49"/>
  <c r="N48"/>
  <c r="M48"/>
  <c r="L48"/>
  <c r="N47"/>
  <c r="M47"/>
  <c r="L47"/>
  <c r="N46"/>
  <c r="M46"/>
  <c r="L46"/>
  <c r="N45"/>
  <c r="M45"/>
  <c r="L45"/>
  <c r="N44"/>
  <c r="M44"/>
  <c r="L44"/>
  <c r="N43"/>
  <c r="M43"/>
  <c r="L43"/>
  <c r="N42"/>
  <c r="M42"/>
  <c r="L42"/>
  <c r="N41"/>
  <c r="M41"/>
  <c r="L41"/>
  <c r="N40"/>
  <c r="M40"/>
  <c r="L40"/>
  <c r="N39"/>
  <c r="M39"/>
  <c r="L39"/>
  <c r="N38"/>
  <c r="M38"/>
  <c r="L38"/>
  <c r="N37"/>
  <c r="M37"/>
  <c r="L37"/>
  <c r="N36"/>
  <c r="M36"/>
  <c r="L36"/>
  <c r="N35"/>
  <c r="M35"/>
  <c r="L35"/>
  <c r="N34"/>
  <c r="M34"/>
  <c r="L34"/>
  <c r="N33"/>
  <c r="M33"/>
  <c r="L33"/>
  <c r="N32"/>
  <c r="M32"/>
  <c r="L32"/>
  <c r="N31"/>
  <c r="M31"/>
  <c r="L31"/>
  <c r="N30"/>
  <c r="M30"/>
  <c r="L30"/>
  <c r="N29"/>
  <c r="M29"/>
  <c r="L29"/>
  <c r="N28"/>
  <c r="M28"/>
  <c r="L28"/>
  <c r="N27"/>
  <c r="M27"/>
  <c r="L27"/>
  <c r="N26"/>
  <c r="M26"/>
  <c r="L26"/>
  <c r="N25"/>
  <c r="M25"/>
  <c r="L25"/>
  <c r="N24"/>
  <c r="M24"/>
  <c r="L24"/>
  <c r="N23"/>
  <c r="M23"/>
  <c r="L23"/>
  <c r="N22"/>
  <c r="M22"/>
  <c r="L22"/>
  <c r="N21"/>
  <c r="M21"/>
  <c r="L21"/>
  <c r="N20"/>
  <c r="M20"/>
  <c r="L20"/>
  <c r="N19"/>
  <c r="M19"/>
  <c r="L19"/>
  <c r="N18"/>
  <c r="M18"/>
  <c r="L18"/>
  <c r="N17"/>
  <c r="M17"/>
  <c r="L17"/>
  <c r="N16"/>
  <c r="M16"/>
  <c r="L16"/>
  <c r="N15"/>
  <c r="M15"/>
  <c r="L15"/>
  <c r="N14"/>
  <c r="M14"/>
  <c r="L14"/>
  <c r="N13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  <c r="N4"/>
  <c r="M4"/>
  <c r="L4"/>
  <c r="N3"/>
  <c r="M3"/>
  <c r="L3"/>
  <c r="N2"/>
  <c r="M2"/>
  <c r="L2"/>
  <c r="K202" i="15" l="1"/>
</calcChain>
</file>

<file path=xl/sharedStrings.xml><?xml version="1.0" encoding="utf-8"?>
<sst xmlns="http://schemas.openxmlformats.org/spreadsheetml/2006/main" count="4952" uniqueCount="1304">
  <si>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</si>
  <si>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</si>
  <si>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</si>
  <si>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</si>
  <si>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</si>
  <si>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</si>
  <si>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</si>
  <si>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</si>
  <si>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</si>
  <si>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</si>
  <si>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</si>
  <si>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</si>
  <si>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</si>
  <si>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</si>
  <si>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</si>
  <si>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</si>
  <si>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</si>
  <si>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</si>
  <si>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</si>
  <si>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</si>
  <si>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</si>
  <si>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</si>
  <si>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</si>
  <si>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</si>
  <si>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</si>
  <si>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</si>
  <si>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</si>
  <si>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</si>
  <si>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</si>
  <si>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</si>
  <si>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</si>
  <si>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</si>
  <si>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</si>
  <si>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</si>
  <si>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</si>
  <si>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</si>
  <si>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</si>
  <si>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</si>
  <si>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</si>
  <si>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</si>
  <si>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</si>
  <si>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</si>
  <si>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</si>
  <si>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</si>
  <si>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</si>
  <si>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</si>
  <si>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</si>
  <si>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49.</t>
  </si>
  <si>
    <t>50.</t>
  </si>
  <si>
    <t>Butonlu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</si>
  <si>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</si>
  <si>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</si>
  <si>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</si>
  <si>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</si>
  <si>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</si>
  <si>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</si>
  <si>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</si>
  <si>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</si>
  <si>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</si>
  <si>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</si>
  <si>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</si>
  <si>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</si>
  <si>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</si>
  <si>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</si>
  <si>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</si>
  <si>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</si>
  <si>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</si>
  <si>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</si>
  <si>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</si>
  <si>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</si>
  <si>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</si>
  <si>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</si>
  <si>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</si>
  <si>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</si>
  <si>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</si>
  <si>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</si>
  <si>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</si>
  <si>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</si>
  <si>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</si>
  <si>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</si>
  <si>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</si>
  <si>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</si>
  <si>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Maestro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</si>
  <si>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</si>
  <si>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</si>
  <si>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</si>
  <si>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</si>
  <si>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</si>
  <si>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</si>
  <si>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</si>
  <si>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</si>
  <si>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</si>
  <si>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</si>
  <si>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</si>
  <si>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</si>
  <si>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</si>
  <si>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</si>
  <si>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</si>
  <si>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</si>
  <si>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</si>
  <si>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</si>
  <si>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</si>
  <si>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</si>
  <si>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</si>
  <si>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</si>
  <si>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</si>
  <si>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</si>
  <si>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</si>
  <si>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</si>
  <si>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</si>
  <si>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</si>
  <si>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</si>
  <si>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</si>
  <si>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</si>
  <si>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</si>
  <si>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</si>
  <si>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</si>
  <si>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</si>
  <si>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</si>
  <si>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</si>
  <si>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</si>
  <si>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</si>
  <si>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</si>
  <si>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</si>
  <si>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</si>
  <si>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</si>
  <si>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</si>
  <si>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</si>
  <si>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</si>
  <si>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</si>
  <si>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</si>
  <si>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</si>
  <si>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</si>
  <si>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</si>
  <si>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</si>
  <si>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</si>
  <si>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</si>
  <si>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</si>
  <si>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</si>
  <si>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</si>
  <si>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</si>
  <si>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</si>
  <si>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</si>
  <si>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145.</t>
  </si>
  <si>
    <t>146.</t>
  </si>
  <si>
    <t>147.</t>
  </si>
  <si>
    <t>148.</t>
  </si>
  <si>
    <t>149.</t>
  </si>
  <si>
    <t>150.</t>
  </si>
  <si>
    <t xml:space="preserve">KAVŞAK LİSTESİ CADDE CADDE </t>
  </si>
  <si>
    <t>CADDE İSMİ</t>
  </si>
  <si>
    <t xml:space="preserve">KAVŞAK İSMİ </t>
  </si>
  <si>
    <t xml:space="preserve">CİHAZ İSMİ </t>
  </si>
  <si>
    <t>İzmir Yolu</t>
  </si>
  <si>
    <t>Y.d</t>
  </si>
  <si>
    <t>Merkez</t>
  </si>
  <si>
    <t>Ankara Yolu</t>
  </si>
  <si>
    <t>Pamukkale yolu</t>
  </si>
  <si>
    <t xml:space="preserve">İsbak </t>
  </si>
  <si>
    <t xml:space="preserve">Normal </t>
  </si>
  <si>
    <t xml:space="preserve">SHD.Bedrettin caddesi </t>
  </si>
  <si>
    <t>25 Cadde</t>
  </si>
  <si>
    <t>Çal Caddesi</t>
  </si>
  <si>
    <t>Acıpayam Yolu</t>
  </si>
  <si>
    <t>Eski Acıpayam Yolu</t>
  </si>
  <si>
    <t xml:space="preserve">Kayıhan Etüt Merkezi </t>
  </si>
  <si>
    <t>Bursa Caddesi</t>
  </si>
  <si>
    <t>Hüseyin Yılmaz Caddesi</t>
  </si>
  <si>
    <t>Gülay Kaynak Okulu</t>
  </si>
  <si>
    <t>Ünüversite Caddesi</t>
  </si>
  <si>
    <t>Ünüversite Acil Önü</t>
  </si>
  <si>
    <t>Almeo Caddesi</t>
  </si>
  <si>
    <t>Ulus Caddesi</t>
  </si>
  <si>
    <t xml:space="preserve">2049/3 sk </t>
  </si>
  <si>
    <t>Yardım Severler Okulu</t>
  </si>
  <si>
    <t>İnçilipınar Caddesi</t>
  </si>
  <si>
    <t>Raşit Özkardeşler Okulu</t>
  </si>
  <si>
    <t>İstiklal Caddesi</t>
  </si>
  <si>
    <t>Hürriyet Okulu</t>
  </si>
  <si>
    <t>Kıbrıs Şehitler Caddesi</t>
  </si>
  <si>
    <t>Çamlık Caddesi</t>
  </si>
  <si>
    <t>Hürriyet Caddesi</t>
  </si>
  <si>
    <t>Atatürk cad.</t>
  </si>
  <si>
    <t>Kayalık Caddesi</t>
  </si>
  <si>
    <t>Halk Caddesi</t>
  </si>
  <si>
    <t>Gazi Bulvarı</t>
  </si>
  <si>
    <t>Saltak Caddesi</t>
  </si>
  <si>
    <t>Arif Yalınkaya Okulu</t>
  </si>
  <si>
    <t>Sarayköy Caddesi</t>
  </si>
  <si>
    <t>Ahisinan Caddesi</t>
  </si>
  <si>
    <t>ŞHT.Albay Karaoğlanoğlu Cad.</t>
  </si>
  <si>
    <t>Örnek Caddesi</t>
  </si>
  <si>
    <t>Fatih Caddesi</t>
  </si>
  <si>
    <t>Devrim Caddesi</t>
  </si>
  <si>
    <t>Lozan Caddesi</t>
  </si>
  <si>
    <t>Yeşilköy Caddesi</t>
  </si>
  <si>
    <t>Kazım Kaynak Caddesi</t>
  </si>
  <si>
    <t>SHT.Öğretmen Yusuf Batur Caddesi</t>
  </si>
  <si>
    <t>Uğurmumcu Caddesi</t>
  </si>
  <si>
    <t>Ziya Tıkıroğlu Caddesi</t>
  </si>
  <si>
    <t>Sıdıka Çalışkan Okulu</t>
  </si>
  <si>
    <t>Fatih Sultan Mehmet BLV.</t>
  </si>
  <si>
    <t>Hakkı Dereköylü Caddesi</t>
  </si>
  <si>
    <t>29 Ekim Blv.</t>
  </si>
  <si>
    <t>Albayrak BLV.</t>
  </si>
  <si>
    <t>Şehit Er Bitiktaş okulu</t>
  </si>
  <si>
    <t>Hasan Ğönüllü BLV.</t>
  </si>
  <si>
    <t>Orhan Gazi Kavşağı</t>
  </si>
  <si>
    <t>Ali Baysal okulu</t>
  </si>
  <si>
    <t>Ali Marım Caddesi</t>
  </si>
  <si>
    <t>Üçler BLV.</t>
  </si>
  <si>
    <t xml:space="preserve">1046 sk </t>
  </si>
  <si>
    <t>Ferhatlar okulu</t>
  </si>
  <si>
    <t>Itır Villaları</t>
  </si>
  <si>
    <t>Çinkaya BLV.</t>
  </si>
  <si>
    <t>Çiğdem Caddesi</t>
  </si>
  <si>
    <t>Hudai Oral Caddesi</t>
  </si>
  <si>
    <t>Y.D</t>
  </si>
  <si>
    <t>Ğümüşler Cad.</t>
  </si>
  <si>
    <t>Flaş</t>
  </si>
  <si>
    <t>201 sk</t>
  </si>
  <si>
    <t xml:space="preserve">Mehmetçik okulu </t>
  </si>
  <si>
    <t>151.</t>
  </si>
  <si>
    <t xml:space="preserve">Şirinköy yolu </t>
  </si>
  <si>
    <t xml:space="preserve">KAPİSİTE </t>
  </si>
  <si>
    <t>Hacı Eyüplü Kavşagı</t>
  </si>
  <si>
    <t>Akça Kavşagı</t>
  </si>
  <si>
    <t>Turkuaz Kavşagı</t>
  </si>
  <si>
    <t>Yeni Hal Kavşagı</t>
  </si>
  <si>
    <t>akçeşme kavşagı</t>
  </si>
  <si>
    <t>Sadık Kavşagı</t>
  </si>
  <si>
    <t>Bakırlı Kavşagı</t>
  </si>
  <si>
    <t>Sümer K. Kavşagı</t>
  </si>
  <si>
    <t>İstasyon K. Kavşagı</t>
  </si>
  <si>
    <t>Üçgen Kavşagı</t>
  </si>
  <si>
    <t>Zeybek Kavşagı</t>
  </si>
  <si>
    <t>Sevindik K.Kavşagı</t>
  </si>
  <si>
    <t>Akkale Kavşagı</t>
  </si>
  <si>
    <t>Aydogdu Kavşagı</t>
  </si>
  <si>
    <t>Bakırlı K .Altı Kavşagı</t>
  </si>
  <si>
    <t>Levazım Kavşagı</t>
  </si>
  <si>
    <t>Ambarlar Kavşagı</t>
  </si>
  <si>
    <t>Kalkanlar Kavşagı</t>
  </si>
  <si>
    <t>Araba pazarı Kavşagı</t>
  </si>
  <si>
    <t>Sümer Kavşagı</t>
  </si>
  <si>
    <t>Ulaşım AŞ.Kavşagı</t>
  </si>
  <si>
    <t>Emniyet K Kavşagı</t>
  </si>
  <si>
    <t>Fatih K.Kavşagı</t>
  </si>
  <si>
    <t>Ulus Kavşagı</t>
  </si>
  <si>
    <t>Pekdemir Kavşagı</t>
  </si>
  <si>
    <t>Kalpmerkezi Kavşagı</t>
  </si>
  <si>
    <t>Yüksektepe Kavşagı</t>
  </si>
  <si>
    <t>Bagbaşı Kavşagı</t>
  </si>
  <si>
    <t xml:space="preserve">Kent ormanı Kavşagı </t>
  </si>
  <si>
    <t xml:space="preserve">Kelleci Kardeşler Kavşagı </t>
  </si>
  <si>
    <t>Ticaret Borsası Kavşagı</t>
  </si>
  <si>
    <t>Eski Emsan Kavşagı</t>
  </si>
  <si>
    <t>Kasaplar Kavşagı</t>
  </si>
  <si>
    <t>Kınıklı Bim Kavşagı</t>
  </si>
  <si>
    <t>Anadolu Lisesi Kavşagı</t>
  </si>
  <si>
    <t>Polis Amca Kavşagı</t>
  </si>
  <si>
    <t>Ünüversite Kavşagı</t>
  </si>
  <si>
    <t>Fatih Cami Kavşagı</t>
  </si>
  <si>
    <t>Ulus Tokat kavşagı</t>
  </si>
  <si>
    <t>Ulus Bursa Kavşagı</t>
  </si>
  <si>
    <t xml:space="preserve">Havuzlu Köşk Kavşagı </t>
  </si>
  <si>
    <t>Tiyatro Kavşagı</t>
  </si>
  <si>
    <t>İstiklal İnçilipınar Kavşagı</t>
  </si>
  <si>
    <t>10 Nisan Kavşagı</t>
  </si>
  <si>
    <t xml:space="preserve">Suluköprü Kavşagı </t>
  </si>
  <si>
    <t xml:space="preserve">Lise Kavşagı </t>
  </si>
  <si>
    <t>Orduevi Kavşagı</t>
  </si>
  <si>
    <t>Çamlık Emek  Kavşagı</t>
  </si>
  <si>
    <t>Jandarma Kavşagı</t>
  </si>
  <si>
    <t>Pelitlibag Kavşagı</t>
  </si>
  <si>
    <t xml:space="preserve">Hacıkaplanlar kavşagı </t>
  </si>
  <si>
    <t>Çınar kavşagı</t>
  </si>
  <si>
    <t>Maliye Kavşagı</t>
  </si>
  <si>
    <t>Vilayet Kavşagı</t>
  </si>
  <si>
    <t>Ulucami Kavşagı</t>
  </si>
  <si>
    <t>İtfaye Kavşagı</t>
  </si>
  <si>
    <t>Kayalık Kavşagı</t>
  </si>
  <si>
    <t>Turan güneş Kavşagı</t>
  </si>
  <si>
    <t>Halley Kavşagı</t>
  </si>
  <si>
    <t>Hacılarcami Kavşagı</t>
  </si>
  <si>
    <t>Ahisinan Kavşagı</t>
  </si>
  <si>
    <t>2 Sanayi Kavşagı</t>
  </si>
  <si>
    <t>Eski Zahire Pazarı Kavşagı</t>
  </si>
  <si>
    <t>İlbade Kavşagı</t>
  </si>
  <si>
    <t>Hastane Kavşagı</t>
  </si>
  <si>
    <t>İl Saglık Müd.Kavşagı</t>
  </si>
  <si>
    <t xml:space="preserve">Dörtçeşme Kavşagı </t>
  </si>
  <si>
    <t>Doktorlar Kavşagı</t>
  </si>
  <si>
    <t>Gurbet Taksi Kavşagı</t>
  </si>
  <si>
    <t>Sırakapılar Kavşagı</t>
  </si>
  <si>
    <t>Esma Hatun Kavşagı</t>
  </si>
  <si>
    <t>Akkonak Kavşagı</t>
  </si>
  <si>
    <t>Karaman Kavşagı</t>
  </si>
  <si>
    <t>Kiremitçi Kavşagı</t>
  </si>
  <si>
    <t>Dörtyol Kavşagı</t>
  </si>
  <si>
    <t>Tanca Kavşagı</t>
  </si>
  <si>
    <t>Kanal Kavşagı</t>
  </si>
  <si>
    <t>Berkay Halı Saha Kavşagı</t>
  </si>
  <si>
    <t>Tekzen Kavşagı</t>
  </si>
  <si>
    <t>Albeni Kavşagı</t>
  </si>
  <si>
    <t>Opet Kavşagı</t>
  </si>
  <si>
    <t>Adliye Kavşagı</t>
  </si>
  <si>
    <t>Adliye lojmanları kavşagı</t>
  </si>
  <si>
    <t>Şirinköy Kavşagı</t>
  </si>
  <si>
    <t>Meclis ormanı Kavşagı</t>
  </si>
  <si>
    <t>Yusuf Batur Kavşagı</t>
  </si>
  <si>
    <t>Yenişehir Kavşagı</t>
  </si>
  <si>
    <t>Belkom Kavşagı</t>
  </si>
  <si>
    <t>Başak Kavşagı</t>
  </si>
  <si>
    <t>Hakkı Dereköylü Kavşagı</t>
  </si>
  <si>
    <t xml:space="preserve">çevik kuvet kavşagı </t>
  </si>
  <si>
    <t>Orhan Gazi Kavşagı</t>
  </si>
  <si>
    <t>SGK. Butonlu Kavşagı</t>
  </si>
  <si>
    <t>Aydem Kavşagı</t>
  </si>
  <si>
    <t>Selvergazi Kavşagı</t>
  </si>
  <si>
    <t>1200 Evler Kavşagı</t>
  </si>
  <si>
    <t>Çakmak Kavşagı</t>
  </si>
  <si>
    <t>Hilal Cami Kavşagı</t>
  </si>
  <si>
    <t>Nalan Kaynak Kavşagı</t>
  </si>
  <si>
    <t>1147 - 1108 SK.Kavşagı</t>
  </si>
  <si>
    <t>Fidanlık Kavşagı</t>
  </si>
  <si>
    <t>Toki Kavşagı</t>
  </si>
  <si>
    <t>Çinkaya cami Kavşagı</t>
  </si>
  <si>
    <t>Çinkaya Petrol Kavşagı</t>
  </si>
  <si>
    <t>Amiroglu İlkögretim</t>
  </si>
  <si>
    <t xml:space="preserve">Ertugrul gazi Kavşagı </t>
  </si>
  <si>
    <t xml:space="preserve">Reşat Vural ilkögretim </t>
  </si>
  <si>
    <t>104-5004 sk Kavşagı</t>
  </si>
  <si>
    <t>Fabrikalar Kavşagı</t>
  </si>
  <si>
    <t>Esentepe Kavşagı</t>
  </si>
  <si>
    <t>Meska kavşagı</t>
  </si>
  <si>
    <t>Kınıklı Polis Kar. Altı Kav.</t>
  </si>
  <si>
    <t>Endüstri Meslek Lis. Kav .</t>
  </si>
  <si>
    <t>Kınıklı Bld. Altı Kavşagı</t>
  </si>
  <si>
    <t>Emsan  Okulu</t>
  </si>
  <si>
    <t>Demekrosi Meydanı Kav.</t>
  </si>
  <si>
    <t>Kıb. Şhd. Zübeyde cad.</t>
  </si>
  <si>
    <t xml:space="preserve">Kıbrıs Şehitler İnenö Kav. </t>
  </si>
  <si>
    <t>Kıbrıs Şehitler Emek Kav.</t>
  </si>
  <si>
    <t>Mimarsinan Saltak Kav.</t>
  </si>
  <si>
    <t>Atatürk cad.Halk cad.Kav</t>
  </si>
  <si>
    <t>Lozan Mimarsinan Cad.Kv.</t>
  </si>
  <si>
    <t>Şirinköy Yol Ayrımı Kav.</t>
  </si>
  <si>
    <t>Çinkaya Saglık Ocagı Kav.</t>
  </si>
  <si>
    <t>Esentepe Pazaryeri Kav.</t>
  </si>
  <si>
    <t>YUESPİ</t>
  </si>
  <si>
    <t xml:space="preserve">SEKLİ </t>
  </si>
  <si>
    <t>ÇALIŞMA</t>
  </si>
  <si>
    <t>MEVCUT</t>
  </si>
  <si>
    <t xml:space="preserve">GRUP </t>
  </si>
  <si>
    <t>Devlet. Has. Butonlu Kav.</t>
  </si>
  <si>
    <t>29 Ekim Gülistan Kavşagı</t>
  </si>
  <si>
    <t>Gülistan Caddesi Kavşagı</t>
  </si>
  <si>
    <t>1200 Evler Münübüs Durağı kav.</t>
  </si>
  <si>
    <t xml:space="preserve">Ege market önü </t>
  </si>
  <si>
    <t>CİHAZ</t>
  </si>
  <si>
    <t xml:space="preserve">İSMİ </t>
  </si>
  <si>
    <t xml:space="preserve">Abalıoglu Yem fab. kav         </t>
  </si>
  <si>
    <t>Güzelköy Kavşagı</t>
  </si>
  <si>
    <t>var</t>
  </si>
  <si>
    <t>48.</t>
  </si>
  <si>
    <t>Fakulte Caddesi</t>
  </si>
  <si>
    <t xml:space="preserve">Fakulte Kavşağı </t>
  </si>
  <si>
    <t>96.</t>
  </si>
  <si>
    <t>Özay Gönlüm Kavşağı</t>
  </si>
  <si>
    <t>İbrahim çenğiz caddes</t>
  </si>
  <si>
    <t>Gerzele kavşağı</t>
  </si>
  <si>
    <t xml:space="preserve">sok market önü butonlu </t>
  </si>
  <si>
    <t>maestro</t>
  </si>
  <si>
    <t xml:space="preserve">Karahasanlı </t>
  </si>
  <si>
    <t xml:space="preserve">Hüsammettin kulaklı ilkögretim </t>
  </si>
  <si>
    <t>Emek caddesi</t>
  </si>
  <si>
    <t>Atatürk orta okulu butonlu kav</t>
  </si>
  <si>
    <t xml:space="preserve">Hastane kavşağı </t>
  </si>
  <si>
    <t xml:space="preserve">Selver gazi hastanesi acil önü </t>
  </si>
  <si>
    <t xml:space="preserve">Üçler Sağlık ocağı Kavşağı </t>
  </si>
  <si>
    <t xml:space="preserve">Azarbeycan parkı kavşağı </t>
  </si>
  <si>
    <t xml:space="preserve">Perihan kıbrıslı oğlu okulu </t>
  </si>
  <si>
    <t xml:space="preserve">112 kavşağı </t>
  </si>
  <si>
    <t xml:space="preserve">üçler orman müd kavşağı </t>
  </si>
  <si>
    <t>Honaz</t>
  </si>
  <si>
    <t xml:space="preserve">Karakurt yolu kavşağı </t>
  </si>
  <si>
    <t xml:space="preserve">Höyük caddesi kavşağı </t>
  </si>
  <si>
    <t xml:space="preserve">Teco petrol kavşağı </t>
  </si>
  <si>
    <t xml:space="preserve">sok market kavşağı </t>
  </si>
  <si>
    <t xml:space="preserve">Jandarma kavşağı </t>
  </si>
  <si>
    <t xml:space="preserve">Kaymakanlık kavşağı </t>
  </si>
  <si>
    <t xml:space="preserve">Osman nuri filiz kavşağı </t>
  </si>
  <si>
    <t xml:space="preserve">Hüsamettin kabasakal kavşağı </t>
  </si>
  <si>
    <t xml:space="preserve">Acıpayam </t>
  </si>
  <si>
    <t>Engelsiz yasam parkı Kavşağı</t>
  </si>
  <si>
    <t>Gültepe Anadolu Meslek Lisesi</t>
  </si>
  <si>
    <t>Baraj yolu Kavşağı</t>
  </si>
  <si>
    <t>Mehmet Gazi  CAD.Kavşağı</t>
  </si>
  <si>
    <t>Tekden Kavşagı</t>
  </si>
  <si>
    <t>Belkon Kavşagı</t>
  </si>
  <si>
    <t>4019-13.09.2023</t>
  </si>
  <si>
    <t>4019-14.09.2023</t>
  </si>
  <si>
    <t>4018-13.09.2023</t>
  </si>
  <si>
    <t xml:space="preserve">Kıbrıs Şehitler İnönü Kav. </t>
  </si>
  <si>
    <t>Mehmet Gazi/Yeni Cadde</t>
  </si>
  <si>
    <t>4019-15.09.2023</t>
  </si>
  <si>
    <t>4019-18.09.2023</t>
  </si>
  <si>
    <t>4018-18.09.2023</t>
  </si>
  <si>
    <t>4018-19.09.2023</t>
  </si>
  <si>
    <t>4018-22.09.2023</t>
  </si>
  <si>
    <t>4019-3.10.2023</t>
  </si>
  <si>
    <t>4019-25.09.2023</t>
  </si>
  <si>
    <t>Şehit J.Eyüp Kepenek Kavşağı</t>
  </si>
  <si>
    <t>Alparslan Türkeş Bulv</t>
  </si>
  <si>
    <t>Alparslan Türkeş Butonlu Kav.</t>
  </si>
  <si>
    <t>4019-9.11.2023</t>
  </si>
  <si>
    <t>4019-10.11.2023</t>
  </si>
  <si>
    <t>4018-13.11.2023</t>
  </si>
  <si>
    <t>Hayırseverler ortaokulu Butonlu kav</t>
  </si>
  <si>
    <t>İbrahim çenğiz caddesİ</t>
  </si>
  <si>
    <t>1200 evler Pekdemir AVM Butonlu kavşak</t>
  </si>
  <si>
    <t>Sürücüevi butonlu kavşağı</t>
  </si>
  <si>
    <t>Pelitlibağ sos.tes. Butonlu kavşağı</t>
  </si>
  <si>
    <t>Cinkaya Bulvarı</t>
  </si>
  <si>
    <t>İbrahim çengiz caddesi</t>
  </si>
  <si>
    <t>Pelitlibağ Sos. Tes. Butonlu kav.</t>
  </si>
  <si>
    <t xml:space="preserve">Server gazi hastanesi acil önü </t>
  </si>
  <si>
    <t>Gümüşler Cad.</t>
  </si>
  <si>
    <t>4019-12-2-2023</t>
  </si>
  <si>
    <t>4019-14-2-2023</t>
  </si>
  <si>
    <t>4019-15-2-2023</t>
  </si>
  <si>
    <t>4018-14.02.2024 Gece</t>
  </si>
  <si>
    <t>Çamlık İnönüKavşagı</t>
  </si>
  <si>
    <t>Akustik</t>
  </si>
  <si>
    <t>ÇINAR BELEDİYE ÖNÜ</t>
  </si>
  <si>
    <t>Paü Butonlu</t>
  </si>
  <si>
    <t>Pekdemir AVM Butonlu</t>
  </si>
  <si>
    <t>Sağlık Müdürlüğü</t>
  </si>
  <si>
    <t>Mevcut akustik</t>
  </si>
  <si>
    <t>Kınıklı</t>
  </si>
  <si>
    <t>4019-5.04.2024</t>
  </si>
  <si>
    <t>4010-17.04.2023</t>
  </si>
  <si>
    <t>4019-19.04.2024</t>
  </si>
  <si>
    <t>4019-22.04.2024</t>
  </si>
  <si>
    <t>Ultra</t>
  </si>
  <si>
    <t>master</t>
  </si>
  <si>
    <t>Kav Sayısı</t>
  </si>
  <si>
    <t>Kav No</t>
  </si>
  <si>
    <t>Kavşak İsmi</t>
  </si>
  <si>
    <t>Bağlantı</t>
  </si>
  <si>
    <t>Router</t>
  </si>
  <si>
    <t>Anten</t>
  </si>
  <si>
    <t>Ip</t>
  </si>
  <si>
    <t xml:space="preserve">TCP PORT </t>
  </si>
  <si>
    <t>Web Port</t>
  </si>
  <si>
    <t>Kamera Numarası</t>
  </si>
  <si>
    <t>Kamera Ip</t>
  </si>
  <si>
    <t>Kameranın Adı</t>
  </si>
  <si>
    <t>Kamera Durumu</t>
  </si>
  <si>
    <t>Kavşak Koordinatları</t>
  </si>
  <si>
    <t>Durum</t>
  </si>
  <si>
    <t>VTT</t>
  </si>
  <si>
    <t>Loop</t>
  </si>
  <si>
    <t>Çalışma</t>
  </si>
  <si>
    <t>Flaş Saati</t>
  </si>
  <si>
    <t>DNZ-01-Demokrasi</t>
  </si>
  <si>
    <t>Fiber</t>
  </si>
  <si>
    <t>10.10.1.253</t>
  </si>
  <si>
    <t>10.10.1.1</t>
  </si>
  <si>
    <t>37.75465883471697-29.091153144836426</t>
  </si>
  <si>
    <t>Aktif</t>
  </si>
  <si>
    <t>Var</t>
  </si>
  <si>
    <t>Adaptif</t>
  </si>
  <si>
    <t>01:00-06:30</t>
  </si>
  <si>
    <t>DNZ-02-ZübeydeHanım</t>
  </si>
  <si>
    <t>10.10.2.253</t>
  </si>
  <si>
    <t>10.10.2.1</t>
  </si>
  <si>
    <t>37.75996877973302-29.09231185913086</t>
  </si>
  <si>
    <t>DNZ-03-KıbrısŞehitlerİnönü</t>
  </si>
  <si>
    <t>10.10.3.253</t>
  </si>
  <si>
    <t>10.10.3.1</t>
  </si>
  <si>
    <t>37.76299680455727-29.08923268318176</t>
  </si>
  <si>
    <t>Adaptif-Koordine</t>
  </si>
  <si>
    <t>DNZ-04-KıbrısŞehitlerEmek</t>
  </si>
  <si>
    <t>10.10.4.1</t>
  </si>
  <si>
    <t>37.76588476315585-29.08604621887207</t>
  </si>
  <si>
    <t>DNZ-05-İncilipınar</t>
  </si>
  <si>
    <t>10.10.5.1</t>
  </si>
  <si>
    <t>37.765108714876824-29.09853458404541</t>
  </si>
  <si>
    <t>DNZ-06-10Nisan</t>
  </si>
  <si>
    <t>10.10.6.1</t>
  </si>
  <si>
    <t>37.76777608168443-29.09492433071136</t>
  </si>
  <si>
    <t>DNZ-07-Suluköprü</t>
  </si>
  <si>
    <t>10.10.7.1</t>
  </si>
  <si>
    <t>37.7710878929095-29.091646671295166</t>
  </si>
  <si>
    <t>DNZ-08-Pelitlibağ</t>
  </si>
  <si>
    <t>10.10.8.1</t>
  </si>
  <si>
    <t>37.772103457031875-29.094969928264618</t>
  </si>
  <si>
    <t>DNZ-09-AtatürkHalk</t>
  </si>
  <si>
    <t>10.10.9.1</t>
  </si>
  <si>
    <t>37.77786795022819-29.096099138259888</t>
  </si>
  <si>
    <t>DNZ-10-Hacıkaplanlar</t>
  </si>
  <si>
    <t>10.10.10.1</t>
  </si>
  <si>
    <t>37.77509282369463-29.092352092266083</t>
  </si>
  <si>
    <t>DNZ-11-Çınar</t>
  </si>
  <si>
    <t>10.10.11.1</t>
  </si>
  <si>
    <t>37.77349638972787-29.08743292093277</t>
  </si>
  <si>
    <t>DNZ-12-İtfaiye</t>
  </si>
  <si>
    <t>10.10.12.1</t>
  </si>
  <si>
    <t>37.781306503370956-29.08732295036316</t>
  </si>
  <si>
    <t>DNZ-13-TuranGüneş</t>
  </si>
  <si>
    <t>10.10.13.1</t>
  </si>
  <si>
    <t>37.78298544283961-29.0903377532959</t>
  </si>
  <si>
    <t>DNZ-14-Halley</t>
  </si>
  <si>
    <t>10.10.14.1</t>
  </si>
  <si>
    <t>37.7850883031218-29.088277816772464</t>
  </si>
  <si>
    <t>DNZ-15-Ulucami</t>
  </si>
  <si>
    <t>10.10.15.1</t>
  </si>
  <si>
    <t>37.783044798587504-29.085364937782284</t>
  </si>
  <si>
    <t>DNZ-16-Hacılarcami</t>
  </si>
  <si>
    <t>10.10.16.1</t>
  </si>
  <si>
    <t>37.78724621648867-29.085874557495117</t>
  </si>
  <si>
    <t>DNZ-17-DoktorlarCad</t>
  </si>
  <si>
    <t>10.10.17.1</t>
  </si>
  <si>
    <t>37.78196790832037-29.082924127578735</t>
  </si>
  <si>
    <t>DNZ-18-SağlıkMüdürlüğü</t>
  </si>
  <si>
    <t>10.10.18.1</t>
  </si>
  <si>
    <t>37.78322710522939-29.08179759979248</t>
  </si>
  <si>
    <t>DNZ-19-MimarSinan</t>
  </si>
  <si>
    <t>10.10.19.1</t>
  </si>
  <si>
    <t>37.77569704269747-29.082033634185795</t>
  </si>
  <si>
    <t>DNZ-20-AhiSinan</t>
  </si>
  <si>
    <t>10.10.20.1</t>
  </si>
  <si>
    <t>37.788886866803374-29.08167958259582</t>
  </si>
  <si>
    <t>DNZ-21-EskiZahirePazarı</t>
  </si>
  <si>
    <t>10.10.21.1</t>
  </si>
  <si>
    <t>37.78711479331148-29.08100366592407</t>
  </si>
  <si>
    <t>DNZ-22-EsmaHatun</t>
  </si>
  <si>
    <t>10.10.22.1</t>
  </si>
  <si>
    <t>37.781079674028625-29.075156450271606</t>
  </si>
  <si>
    <t>DNZ-23-DevletHastanesi</t>
  </si>
  <si>
    <t>10.10.23.1</t>
  </si>
  <si>
    <t>37.782298608575644-29.07629370689392</t>
  </si>
  <si>
    <t>DNZ-24-ÖzayGönlüm</t>
  </si>
  <si>
    <t>10.10.24.1</t>
  </si>
  <si>
    <t>37.77905937824269-29.072994589805603</t>
  </si>
  <si>
    <t>DNZ-25-BimKavşağı</t>
  </si>
  <si>
    <t>10.10.25.1</t>
  </si>
  <si>
    <t>37.74983205245095-29.097791612148285</t>
  </si>
  <si>
    <t>DNZ-26-AnadoluLisesi</t>
  </si>
  <si>
    <t>10.10.26.200</t>
  </si>
  <si>
    <t>10.10.26.1</t>
  </si>
  <si>
    <t>37.74698376388687-29.10167276859283</t>
  </si>
  <si>
    <t>DNZ-27-ÜniversiteKavşağı</t>
  </si>
  <si>
    <t>10.10.27.1</t>
  </si>
  <si>
    <t>37.7433728756526-29.104869961738586</t>
  </si>
  <si>
    <t>DNZ-28-EndüstriMeslek</t>
  </si>
  <si>
    <t>10.10.28.1</t>
  </si>
  <si>
    <t>37.744326252099896-29.097279310226437</t>
  </si>
  <si>
    <t>DNZ-29-KınıklıBelediye</t>
  </si>
  <si>
    <t>10.10.29.1</t>
  </si>
  <si>
    <t>37.74631144151006-29.093041419982907</t>
  </si>
  <si>
    <t>DNZ-30-UlusTokat</t>
  </si>
  <si>
    <t>10.10.30.1</t>
  </si>
  <si>
    <t>37.754561284238655-29.099398255348206</t>
  </si>
  <si>
    <t>DNZ-31-UlusBursa</t>
  </si>
  <si>
    <t>10.10.31.1</t>
  </si>
  <si>
    <t>37.75321146930913-29.095183163881302</t>
  </si>
  <si>
    <t>DNZ-32-HavuzluKöşk</t>
  </si>
  <si>
    <t>10.10.32.1</t>
  </si>
  <si>
    <t>37.752067341378904-29.091804921627045</t>
  </si>
  <si>
    <t>DNZ-33-Tiyatro</t>
  </si>
  <si>
    <t>10.10.33.1</t>
  </si>
  <si>
    <t>37.750968792260345-29.085681438446045</t>
  </si>
  <si>
    <t>DNZ-34-Dörtçeşme</t>
  </si>
  <si>
    <t>10.10.34.1</t>
  </si>
  <si>
    <t>37.78552497829893-29.083122611045837</t>
  </si>
  <si>
    <t>DNZ-35-Lise</t>
  </si>
  <si>
    <t>10.10.35.1</t>
  </si>
  <si>
    <t>37.76886165970741-29.083959460258484</t>
  </si>
  <si>
    <t>DNZ-36-Sırakapılar</t>
  </si>
  <si>
    <t>10.10.36.1</t>
  </si>
  <si>
    <t>37.778296188130845-29.077270030975345</t>
  </si>
  <si>
    <t>Yok</t>
  </si>
  <si>
    <t>DNZ-37-Lozan</t>
  </si>
  <si>
    <t>10.10.37.1</t>
  </si>
  <si>
    <t>37.775904808090836-29.078391194343567</t>
  </si>
  <si>
    <t>DNZ-38-OrduEvi</t>
  </si>
  <si>
    <t>10.10.38.1</t>
  </si>
  <si>
    <t>37.76815349147607-29.081432819366455</t>
  </si>
  <si>
    <t>DNZ-39-Kiremitçi</t>
  </si>
  <si>
    <t>10.10.39.1</t>
  </si>
  <si>
    <t>37.7679202609333-29.078906178474426</t>
  </si>
  <si>
    <t>DNZ-40-Karaman</t>
  </si>
  <si>
    <t>10.10.40.1</t>
  </si>
  <si>
    <t>37.769521055765615-29.075105488300323</t>
  </si>
  <si>
    <t>DNZ-41-Akkonak</t>
  </si>
  <si>
    <t>10.10.41.1</t>
  </si>
  <si>
    <t>37.77269921988976-29.071240425109863</t>
  </si>
  <si>
    <t>DNZ-42-BerkayHalıSaha</t>
  </si>
  <si>
    <t>10.10.42.1</t>
  </si>
  <si>
    <t>37.77421722739432-29.067420959472656</t>
  </si>
  <si>
    <t>Koordine</t>
  </si>
  <si>
    <t>DNZ-43-KanalKavşağı</t>
  </si>
  <si>
    <t>10.10.43.1</t>
  </si>
  <si>
    <t>37.76982848921702-29.063665866851807</t>
  </si>
  <si>
    <t>DNZ-44-AskeriYol</t>
  </si>
  <si>
    <t>10.10.44.200</t>
  </si>
  <si>
    <t>10.10.44.1</t>
  </si>
  <si>
    <t>37.753106494453036-29.055737257003784</t>
  </si>
  <si>
    <t>DNZ-45-Belkon</t>
  </si>
  <si>
    <t>10.10.45.1</t>
  </si>
  <si>
    <t>37.755388338564195-29.049407243728638</t>
  </si>
  <si>
    <t>DNZ-46-Yenişehir</t>
  </si>
  <si>
    <t>10.10.46.1</t>
  </si>
  <si>
    <t>37.75874311539682-29.042884111404415</t>
  </si>
  <si>
    <t>DNZ-47-MeclisOrmanı</t>
  </si>
  <si>
    <t>10.10.47.1</t>
  </si>
  <si>
    <t>37.76516384425822-29.03511106967926</t>
  </si>
  <si>
    <t>DNZ-48-Şirinköy</t>
  </si>
  <si>
    <t>10.10.48.200</t>
  </si>
  <si>
    <t>10.10.48.1</t>
  </si>
  <si>
    <t>37.769207260303986-29.03585135936737</t>
  </si>
  <si>
    <t>DNZ-49-Gülistan</t>
  </si>
  <si>
    <t>10.10.49.1</t>
  </si>
  <si>
    <t>37.771868118779594-29.03584063053131</t>
  </si>
  <si>
    <t>DNZ-50-AdliyeLojmanı</t>
  </si>
  <si>
    <t>10.10.50.1</t>
  </si>
  <si>
    <t>37.77481509330345-29.03579235076904</t>
  </si>
  <si>
    <t>DNZ-51-Adliye</t>
  </si>
  <si>
    <t>10.10.51.1</t>
  </si>
  <si>
    <t>37.77859298522172-29.035797715187073</t>
  </si>
  <si>
    <t>DNZ-52-SirinköyYolAyrımı</t>
  </si>
  <si>
    <t>10.10.52.1</t>
  </si>
  <si>
    <t>37.777087787672734-29.05429422855377</t>
  </si>
  <si>
    <t>DNZ-53-Albeni</t>
  </si>
  <si>
    <t>10.10.52.200</t>
  </si>
  <si>
    <t>10.10.53.1</t>
  </si>
  <si>
    <t>37.77884314184431-29.06157910823822</t>
  </si>
  <si>
    <t>DNZ-54-Esentepe</t>
  </si>
  <si>
    <t>10.10.54.1</t>
  </si>
  <si>
    <t>37.79271067007465-29.069483578205105</t>
  </si>
  <si>
    <t>Pasif</t>
  </si>
  <si>
    <t>DNZ-55-Fabrikalar</t>
  </si>
  <si>
    <t>10.10.55.1</t>
  </si>
  <si>
    <t>37.7959196294068-29.073670506477352</t>
  </si>
  <si>
    <t>DNZ-56-BakırlıKöprüAltı</t>
  </si>
  <si>
    <t>10.10.56.1</t>
  </si>
  <si>
    <t>37.798013643959806-29.08128261566162</t>
  </si>
  <si>
    <t>DNZ-57-Levazım</t>
  </si>
  <si>
    <t>10.10.57.1</t>
  </si>
  <si>
    <t>37.795105745384284-29.087371230125424</t>
  </si>
  <si>
    <t>Sabit</t>
  </si>
  <si>
    <t>DNZ-58-SümerÇalCaddesi</t>
  </si>
  <si>
    <t>10.10.58.1</t>
  </si>
  <si>
    <t>37.789895827461-29.09266591072082</t>
  </si>
  <si>
    <t>DNZ-59-CinkayaSağlıkOcağı</t>
  </si>
  <si>
    <t>10.10.59.1</t>
  </si>
  <si>
    <t>37.80769027214814-29.05762553215027</t>
  </si>
  <si>
    <t>DNZ-60-AydoğduCami</t>
  </si>
  <si>
    <t>10.10.60.1</t>
  </si>
  <si>
    <t>37.78894197845551-29.113946557044983</t>
  </si>
  <si>
    <t>DNZ-61-HalKavşağı</t>
  </si>
  <si>
    <t>Hat</t>
  </si>
  <si>
    <t>10.10.220.28</t>
  </si>
  <si>
    <t>10.10.220.29</t>
  </si>
  <si>
    <t>37.823404143714036-29.055651426315308</t>
  </si>
  <si>
    <t>DNZ-62-AkçeşmeKavşağı</t>
  </si>
  <si>
    <t>10.10.62.1</t>
  </si>
  <si>
    <t>37.810890104560016-29.065377116203308</t>
  </si>
  <si>
    <t>DNZ-63-SadıkoğluKavşağı</t>
  </si>
  <si>
    <t>10.10.63.1</t>
  </si>
  <si>
    <t>37.808016619022-29.069499671459198</t>
  </si>
  <si>
    <t>DNZ-64-BakırlıKavşağı</t>
  </si>
  <si>
    <t>10.10.64.1</t>
  </si>
  <si>
    <t>37.79669111535842-29.079469442367554</t>
  </si>
  <si>
    <t>DNZ-65-Sümer</t>
  </si>
  <si>
    <t>10.10.65.1</t>
  </si>
  <si>
    <t>37.78819160858508-29.088138341903687</t>
  </si>
  <si>
    <t>DNZ-66-İstasyon</t>
  </si>
  <si>
    <t>10.10.66.1</t>
  </si>
  <si>
    <t>37.786707803925296-29.0902841091156</t>
  </si>
  <si>
    <t>DNZ-67-Üçgen</t>
  </si>
  <si>
    <t>10.10.67.1</t>
  </si>
  <si>
    <t>37.78312959243036-29.09548759460449</t>
  </si>
  <si>
    <t>DNZ-68-Zeybek</t>
  </si>
  <si>
    <t>10.10.68.1</t>
  </si>
  <si>
    <t>37.790781836173345-29.100953936576843</t>
  </si>
  <si>
    <t>DNZ-69-Akkale</t>
  </si>
  <si>
    <t>10.10.69.1</t>
  </si>
  <si>
    <t>37.81296674278591-29.147286415100094</t>
  </si>
  <si>
    <t>DNZ-70-SevindikKöprülüKav</t>
  </si>
  <si>
    <t>10.10.70.1</t>
  </si>
  <si>
    <t>37.80242190162723-29.106409549713135</t>
  </si>
  <si>
    <t>DNZ-71-Güzelköy</t>
  </si>
  <si>
    <t>10.10.71.1</t>
  </si>
  <si>
    <t>37.80872758400352-29.16818082332611</t>
  </si>
  <si>
    <t>DNZ-72-Emniyet</t>
  </si>
  <si>
    <t>10.10.72.1</t>
  </si>
  <si>
    <t>37.77853362589888-29.09796595573425</t>
  </si>
  <si>
    <t>DNZ-73-Fatih</t>
  </si>
  <si>
    <t>10.10.73.1</t>
  </si>
  <si>
    <t>37.76404004490265-29.101667404174805</t>
  </si>
  <si>
    <t>DNZ-74-UlusKavşağı</t>
  </si>
  <si>
    <t>10.10.74.1</t>
  </si>
  <si>
    <t>37.75450190562369-29.105637073516846</t>
  </si>
  <si>
    <t>DNZ-75-PekdemirKavşağı</t>
  </si>
  <si>
    <t>10.10.75.1</t>
  </si>
  <si>
    <t>37.748364444632806-29.107300043106076</t>
  </si>
  <si>
    <t>DNZ-76-KalpMerkezi</t>
  </si>
  <si>
    <t>10.10.76.1</t>
  </si>
  <si>
    <t>37.742417365913106-29.110625982284542</t>
  </si>
  <si>
    <t>DNZ-77-Yüksektepe</t>
  </si>
  <si>
    <t>10.10.77.1</t>
  </si>
  <si>
    <t>37.73572314935735-29.11876916885376</t>
  </si>
  <si>
    <t>DNZ-78-Bağbaşı</t>
  </si>
  <si>
    <t>10.10.78.1</t>
  </si>
  <si>
    <t>37.7324797576913-29.12874430418014</t>
  </si>
  <si>
    <t>DNZ-79-KentOrmanı</t>
  </si>
  <si>
    <t>10.10.79.1</t>
  </si>
  <si>
    <t>37.73301856510108-29.13577973842621</t>
  </si>
  <si>
    <t>DNZ-80-Kelleci</t>
  </si>
  <si>
    <t>10.10.80.1</t>
  </si>
  <si>
    <t>37.73066178407422-29.155311584472653</t>
  </si>
  <si>
    <t>DNZ-81-Kasaplar</t>
  </si>
  <si>
    <t>10.10.81.1</t>
  </si>
  <si>
    <t>37.752665386359325-29.110910296440125</t>
  </si>
  <si>
    <t>DNZ-82-Emsan</t>
  </si>
  <si>
    <t>10.10.82.1</t>
  </si>
  <si>
    <t>37.74760942117992-29.115126729011532</t>
  </si>
  <si>
    <t>DNZ-83-TicaretBorsası</t>
  </si>
  <si>
    <t>10.10.83.1</t>
  </si>
  <si>
    <t>37.741017484754416-29.122663736343384</t>
  </si>
  <si>
    <t>DNZ-84-Hacıeyüplü</t>
  </si>
  <si>
    <t>yok</t>
  </si>
  <si>
    <t>10.10.84.1</t>
  </si>
  <si>
    <t>37.83798352242405-29.041714668273922</t>
  </si>
  <si>
    <t>DNZ-85-Salihağa</t>
  </si>
  <si>
    <t>10.10.85.1</t>
  </si>
  <si>
    <t>37.83407309125402-29.046435356140137</t>
  </si>
  <si>
    <t>DNZ-86-Anemon</t>
  </si>
  <si>
    <t>10.10.86.1</t>
  </si>
  <si>
    <t>37.829298101706186-29.051397442817688</t>
  </si>
  <si>
    <t>DNZ-87-İnönüÇamlık</t>
  </si>
  <si>
    <t>10.10.87.1</t>
  </si>
  <si>
    <t>37.75917994619179-29.08297777175903</t>
  </si>
  <si>
    <t>DNZ-88-EmekÇamlık</t>
  </si>
  <si>
    <t>10.10.88.1</t>
  </si>
  <si>
    <t>37.762674499686675-29.081947803497314</t>
  </si>
  <si>
    <t>DNZ-89-ErtuğrulGazi</t>
  </si>
  <si>
    <t>10.10.220.4</t>
  </si>
  <si>
    <t>10.10.220.5</t>
  </si>
  <si>
    <t>37.80609242313034-29.067201018333435</t>
  </si>
  <si>
    <t>DNZ-93-Aydem</t>
  </si>
  <si>
    <t>10.10.185.31</t>
  </si>
  <si>
    <t>37.778279228261084-29.0243124961853</t>
  </si>
  <si>
    <t>DNZ-94-ServergaziHastanesi</t>
  </si>
  <si>
    <t>10.10.167.34</t>
  </si>
  <si>
    <t>37.778130829234726-29.02112603187561</t>
  </si>
  <si>
    <t>DNZ-95-BahçeliEvlerOrhanGazi</t>
  </si>
  <si>
    <t>10.10.220.7</t>
  </si>
  <si>
    <t>10.10.220.8</t>
  </si>
  <si>
    <t>37.7745140408613-29.025138616561886</t>
  </si>
  <si>
    <t>DNZ-96-YunusEmreCad</t>
  </si>
  <si>
    <t>10.10.26.201</t>
  </si>
  <si>
    <t>10.10.26.2</t>
  </si>
  <si>
    <t>37.747503-29.103991</t>
  </si>
  <si>
    <t>DNZ-97-ÇevikKuvvet</t>
  </si>
  <si>
    <t>10.10.48.201</t>
  </si>
  <si>
    <t>10.10.48.2</t>
  </si>
  <si>
    <t>37.767742157114434-29.02885615825653</t>
  </si>
  <si>
    <t>DNZ-98-Gerzele</t>
  </si>
  <si>
    <t>10.10.44.201</t>
  </si>
  <si>
    <t>10.10.44.2</t>
  </si>
  <si>
    <t>10.10.44.12</t>
  </si>
  <si>
    <t>98_Gerzele</t>
  </si>
  <si>
    <t>DNZ-100-Vilayet</t>
  </si>
  <si>
    <t>10.10.185.32</t>
  </si>
  <si>
    <t>37.78061965350541-29.084431529045105</t>
  </si>
  <si>
    <t>DNZ-101-Maliye</t>
  </si>
  <si>
    <t>10.10.167.33</t>
  </si>
  <si>
    <t>37.779156896411486-29.084898233413696</t>
  </si>
  <si>
    <t>DNZ-102-Tanca</t>
  </si>
  <si>
    <t>10.10.220.50</t>
  </si>
  <si>
    <t>37.76844184822112-29.062619805336</t>
  </si>
  <si>
    <t>DNZ-104-1.SanayiKöprüsü</t>
  </si>
  <si>
    <t>10.10.20.2</t>
  </si>
  <si>
    <t>37.79021801367652-29.082334041595455</t>
  </si>
  <si>
    <t>DNZ-105-Tekden</t>
  </si>
  <si>
    <t>10.10.53.2</t>
  </si>
  <si>
    <t>37.78033134425266-29.067839384078976</t>
  </si>
  <si>
    <t>DNZ-106-29EkimHüdaiOral</t>
  </si>
  <si>
    <t>10.10.220.46</t>
  </si>
  <si>
    <t>10.10.220.47</t>
  </si>
  <si>
    <t>37.77811386932703-29.049852490425106</t>
  </si>
  <si>
    <t>DNZ-107-29EkimGülistan</t>
  </si>
  <si>
    <t>10.10.220.43</t>
  </si>
  <si>
    <t>10.10.220.44</t>
  </si>
  <si>
    <t>37.777651710344664-29.04735803604126</t>
  </si>
  <si>
    <t>DNZ-108-29EkimBahçeliEvler</t>
  </si>
  <si>
    <t>DNZ-109-Hallaçlar</t>
  </si>
  <si>
    <t>10.10.220.13</t>
  </si>
  <si>
    <t>10.10.220.14</t>
  </si>
  <si>
    <t>37.78281161501804-29.012446403503414</t>
  </si>
  <si>
    <t xml:space="preserve"> DNZ-110-ÜçlerASM</t>
  </si>
  <si>
    <t>10.10.152.21</t>
  </si>
  <si>
    <t>10.10.152.31</t>
  </si>
  <si>
    <t>37.790112031523826-29.015498757362362</t>
  </si>
  <si>
    <t>01:00-06:31</t>
  </si>
  <si>
    <t>DNZ-111-Çakmak</t>
  </si>
  <si>
    <t>10.10.119.1</t>
  </si>
  <si>
    <t>37.79411381210901-29.01742994785309</t>
  </si>
  <si>
    <t>DNZ-112-HilalCami</t>
  </si>
  <si>
    <t>10.10.220.10</t>
  </si>
  <si>
    <t>10.10.220.11</t>
  </si>
  <si>
    <t>37.798929226813755-29.020085334777832</t>
  </si>
  <si>
    <t xml:space="preserve"> DNZ-113-Üçler</t>
  </si>
  <si>
    <t>10.10.220.16</t>
  </si>
  <si>
    <t>10.10.220.17</t>
  </si>
  <si>
    <t>37.803913867707394-29.02342200279236</t>
  </si>
  <si>
    <t xml:space="preserve"> DNZ-114-Üçler1147Sk</t>
  </si>
  <si>
    <t>10.10.220.22</t>
  </si>
  <si>
    <t>10.10.220.23</t>
  </si>
  <si>
    <t>37.80551600226699-29.02833580970764</t>
  </si>
  <si>
    <t>DNZ-115-Üçler1186Sk</t>
  </si>
  <si>
    <t>10.10.220.19</t>
  </si>
  <si>
    <t>10.10.220.20</t>
  </si>
  <si>
    <t>37.81213185647904-29.036816954612732</t>
  </si>
  <si>
    <t>DNZ-116-Egs</t>
  </si>
  <si>
    <t>10.10.220.25</t>
  </si>
  <si>
    <t>10.10.220.26</t>
  </si>
  <si>
    <t>37.82168798550705-29.051284790039066</t>
  </si>
  <si>
    <t>DNZ-117-YeniŞafak1029</t>
  </si>
  <si>
    <t>10.10.220.31</t>
  </si>
  <si>
    <t>10.10.220.32</t>
  </si>
  <si>
    <t>37.800620481964714-29.031221866607662</t>
  </si>
  <si>
    <t xml:space="preserve"> DNZ-118-YeniŞafak1048Sk</t>
  </si>
  <si>
    <t>10.10.220.34</t>
  </si>
  <si>
    <t>10.10.220.35</t>
  </si>
  <si>
    <t>37.7963392848523-29.032981395721432</t>
  </si>
  <si>
    <t xml:space="preserve"> DNZ-119-Huzurbul</t>
  </si>
  <si>
    <t>10.10.220.37</t>
  </si>
  <si>
    <t>10.10.220.38</t>
  </si>
  <si>
    <t>37.792185014837955-29.03598546981811</t>
  </si>
  <si>
    <t>DNZ-120-Cinkaya</t>
  </si>
  <si>
    <t>10.10.220.40</t>
  </si>
  <si>
    <t>10.10.220.41</t>
  </si>
  <si>
    <t>37.797051421971396-29.043028950691223</t>
  </si>
  <si>
    <t>DNZ-150-ÜniversiteYaya</t>
  </si>
  <si>
    <t>10.10.27.2</t>
  </si>
  <si>
    <t>37.74301973087065-29.10777747631073</t>
  </si>
  <si>
    <t>4010-25.04.2024</t>
  </si>
  <si>
    <t>4010-24.04.2024</t>
  </si>
  <si>
    <t>4018-29.04.2024</t>
  </si>
  <si>
    <t>Toplam</t>
  </si>
  <si>
    <t>Merkez Ortaokulu</t>
  </si>
  <si>
    <t>Rayenur</t>
  </si>
  <si>
    <t>Halley Kavşagı (2. Tic. Yol Dahil)</t>
  </si>
  <si>
    <t xml:space="preserve">KAVŞAK LİSTESİ DİREK SAYILARI </t>
  </si>
  <si>
    <t>TOTEM</t>
  </si>
  <si>
    <t>D. BOYNU</t>
  </si>
  <si>
    <t>STANDART</t>
  </si>
  <si>
    <t>TOPLAM</t>
  </si>
  <si>
    <t>BAŞÜSTÜ KONSOLSUZ</t>
  </si>
  <si>
    <t>CİHAZ İSMİ</t>
  </si>
  <si>
    <t>4010-9.05.2024</t>
  </si>
  <si>
    <t>4019-13.05.2024</t>
  </si>
  <si>
    <t>4019-17.05.2024</t>
  </si>
  <si>
    <t>4019-23.05.2024</t>
  </si>
  <si>
    <t>4018-23.05.2024</t>
  </si>
  <si>
    <t>4018-6.08.2024</t>
  </si>
  <si>
    <t>4018-9.08.2024</t>
  </si>
  <si>
    <t>4019-9.08.2024</t>
  </si>
  <si>
    <t>4018-12.08.2024</t>
  </si>
  <si>
    <t>4018-14.08.2024</t>
  </si>
  <si>
    <t>4010-14.08.2024</t>
  </si>
  <si>
    <t>4019-16.08.2024</t>
  </si>
  <si>
    <t>4010-16.08.2024</t>
  </si>
  <si>
    <t>4010 21.08.2024</t>
  </si>
  <si>
    <t>4010 22.08.2024</t>
  </si>
  <si>
    <t>4019 22.08.2024</t>
  </si>
  <si>
    <t>4010-20.08.2024</t>
  </si>
  <si>
    <t>4019 23.08.2024</t>
  </si>
  <si>
    <t>4010 23.08.2024</t>
  </si>
  <si>
    <t>4010 27.08.2024</t>
  </si>
  <si>
    <t>4018 28.08.2024</t>
  </si>
  <si>
    <t>4010-3.09.2024</t>
  </si>
  <si>
    <t>4010-02.09.2024</t>
  </si>
  <si>
    <t>4018-10.09.2024</t>
  </si>
  <si>
    <t>4018-11.09.2024</t>
  </si>
  <si>
    <t>4019-19.09.2024</t>
  </si>
  <si>
    <t>4019-21.08.2024</t>
  </si>
  <si>
    <t>4010-20.09.2024</t>
  </si>
  <si>
    <t>4019-24.09.2024</t>
  </si>
  <si>
    <t>İzmir Gidiş VMS</t>
  </si>
  <si>
    <t>İzmir Geliş VMS</t>
  </si>
  <si>
    <t>Sgk Gidiş VMS</t>
  </si>
  <si>
    <t>Sgk Geliş VMS</t>
  </si>
  <si>
    <t>Askeri Yol Geliş VMS</t>
  </si>
  <si>
    <t>Askeri Yol Gidiş VMS</t>
  </si>
  <si>
    <t>Antalye Geliş VMS</t>
  </si>
  <si>
    <t>Antalye Gidiş VMS</t>
  </si>
  <si>
    <t>Ankara Geliş VMS</t>
  </si>
  <si>
    <t>Ankara Gidiş VMS</t>
  </si>
  <si>
    <t>Bakım Tarihi</t>
  </si>
  <si>
    <t>Ekip</t>
  </si>
  <si>
    <t>Volkan/Yavuz</t>
  </si>
  <si>
    <t>VMS BAKIM TARİHLERİ</t>
  </si>
  <si>
    <t>VMS NOKTASI</t>
  </si>
  <si>
    <t>Volkan/Metin</t>
  </si>
  <si>
    <t>4010-26.09.2024</t>
  </si>
  <si>
    <t>Tümay/Metin</t>
  </si>
  <si>
    <t>4018-7.10.2024</t>
  </si>
  <si>
    <t>Osman Aydınlı butonlu kav</t>
  </si>
  <si>
    <t>Denipol has. Butonlu kavşağı</t>
  </si>
  <si>
    <t>Denipol has. Butonlu kav</t>
  </si>
  <si>
    <t>Merkez/Butonlu</t>
  </si>
  <si>
    <t>4019-6.11.2024</t>
  </si>
  <si>
    <t>4019-06.11.2024</t>
  </si>
  <si>
    <t>4019-7.11.2024</t>
  </si>
  <si>
    <t>4019-8.11.2024</t>
  </si>
  <si>
    <t>İstasyon kavşağı</t>
  </si>
  <si>
    <t>4019-15.11.2024</t>
  </si>
  <si>
    <t>4018-11.12.2024</t>
  </si>
  <si>
    <t>4019-11.12.2024</t>
  </si>
  <si>
    <t>Lütfi Ege Anadolu Lisesi But. Kav.</t>
  </si>
  <si>
    <t>4018-12.12.2024</t>
  </si>
  <si>
    <t>401813.12.2024</t>
  </si>
  <si>
    <t>Lütfi ege butonlu kavşağı</t>
  </si>
  <si>
    <t>4018-17.12.2024</t>
  </si>
  <si>
    <t>4019-18.12.2024</t>
  </si>
  <si>
    <t>4018-23.12.2024</t>
  </si>
  <si>
    <t>4010-23.12.2024</t>
  </si>
  <si>
    <t>4019-24.12.2024</t>
  </si>
  <si>
    <t>4019-27.12.2024</t>
  </si>
  <si>
    <t>4018-30.12.2024</t>
  </si>
  <si>
    <t>4010-30.12.2024</t>
  </si>
  <si>
    <t>4019-30.12.2024</t>
  </si>
  <si>
    <t>4018-2.01.2025</t>
  </si>
  <si>
    <t>4018-3.01.2025</t>
  </si>
  <si>
    <t>4018-6.01.2025</t>
  </si>
  <si>
    <t>4018-7.01.2025</t>
  </si>
  <si>
    <t>4018-13.12.2024</t>
  </si>
  <si>
    <t>4018-8.01.2025</t>
  </si>
  <si>
    <t>4018-9.01.2025</t>
  </si>
  <si>
    <t>4019-10.01.2025</t>
  </si>
  <si>
    <t>4018-10.01.2025</t>
  </si>
  <si>
    <t>4019-13.01.2025</t>
  </si>
  <si>
    <t>4018-15.01.2025</t>
  </si>
  <si>
    <t>4018-16.01.2024</t>
  </si>
  <si>
    <t>4018-17.01.2025</t>
  </si>
  <si>
    <t>4010-23.01.2025</t>
  </si>
  <si>
    <t xml:space="preserve">Çevik Kuvvet Kavşağı </t>
  </si>
  <si>
    <t>Akça Kavşağı</t>
  </si>
  <si>
    <t>Turkuaz Kavşağı</t>
  </si>
  <si>
    <t>Yeni Hal Kavşağı</t>
  </si>
  <si>
    <t>Akçeşme kavşağı</t>
  </si>
  <si>
    <t>Sadık Kavşağı</t>
  </si>
  <si>
    <t>Bakırlı Kavşağı</t>
  </si>
  <si>
    <t>Sümer K. Kavşağı</t>
  </si>
  <si>
    <t>İstasyon K. Kavşağı</t>
  </si>
  <si>
    <t>Üçgen Kavşağı</t>
  </si>
  <si>
    <t>Zeybek Kavşağı</t>
  </si>
  <si>
    <t>Sevindik K.Kavşağı</t>
  </si>
  <si>
    <t>Akkale Kavşağı</t>
  </si>
  <si>
    <t>Güzelköy Kavşağı</t>
  </si>
  <si>
    <t>Levazım Kavşağı</t>
  </si>
  <si>
    <t>Ambarlar Kavşağı</t>
  </si>
  <si>
    <t>Kalkanlar Kavşağı</t>
  </si>
  <si>
    <t>Sümer Kavşağı</t>
  </si>
  <si>
    <t>Fatih K.Kavşağı</t>
  </si>
  <si>
    <t>Ulus Kavşağı</t>
  </si>
  <si>
    <t>Pekdemir Kavşağı</t>
  </si>
  <si>
    <t>Kalpmerkezi Kavşağı</t>
  </si>
  <si>
    <t>Yüksektepe Kavşağı</t>
  </si>
  <si>
    <t>Bagbaşı Kavşağı</t>
  </si>
  <si>
    <t xml:space="preserve">Kent ormanı Kavşağı </t>
  </si>
  <si>
    <t xml:space="preserve">Kelleci Kardeşler Kavşağı </t>
  </si>
  <si>
    <t>Ticaret Borsası Kavşağı</t>
  </si>
  <si>
    <t>Eski Emsan Kavşağı</t>
  </si>
  <si>
    <t>Baraj Yolu Kavşağı</t>
  </si>
  <si>
    <t>Kasaplar Kavşağı</t>
  </si>
  <si>
    <t>Kınıklı Bim Kavşağı</t>
  </si>
  <si>
    <t>Anadolu Lisesi Kavşağı</t>
  </si>
  <si>
    <t>Polis Amca Kavşağı</t>
  </si>
  <si>
    <t>Üniversite Kavşağı</t>
  </si>
  <si>
    <t>Kınıklı Bld. Altı Kavşağı</t>
  </si>
  <si>
    <t>Fatih Cami Kavşağı</t>
  </si>
  <si>
    <t xml:space="preserve">Fakülte Kavşağı </t>
  </si>
  <si>
    <t xml:space="preserve">Havuzlu Köşk Kavşağı </t>
  </si>
  <si>
    <t>Tiyatro Kavşağı</t>
  </si>
  <si>
    <t xml:space="preserve">Şok Market Önü butonlu </t>
  </si>
  <si>
    <t>İstiklal İncilipınar Kavşağı</t>
  </si>
  <si>
    <t>10 Nisan Kavşağı</t>
  </si>
  <si>
    <t xml:space="preserve">Suluköprü Kavşağı </t>
  </si>
  <si>
    <t>Hürriyet Okulu Kavşağı</t>
  </si>
  <si>
    <t>Sürücüevi Butonlu Kavşağı</t>
  </si>
  <si>
    <t>Atatürk Ortaokulu Butonlu Kav</t>
  </si>
  <si>
    <t xml:space="preserve">Lise Kavşağı </t>
  </si>
  <si>
    <t>Orduevi Kavşağı</t>
  </si>
  <si>
    <t>Çamlık Emek  Kavşağı</t>
  </si>
  <si>
    <t>Çamlık İnönü Kavşagı</t>
  </si>
  <si>
    <t>Pelitlibağ Sos.Tes. Butonlu kavşağı</t>
  </si>
  <si>
    <t>Pelitlibağ Kavşağı</t>
  </si>
  <si>
    <t>Atatürk Cad.-Halk cad.Kav</t>
  </si>
  <si>
    <t xml:space="preserve">Hacıkaplanlar Kavşağı </t>
  </si>
  <si>
    <t>Çınar Kavşağı</t>
  </si>
  <si>
    <t>Maliye Kavşağı</t>
  </si>
  <si>
    <t>Vilayet Kavşağı</t>
  </si>
  <si>
    <t>Ulu Cami Kavşağı</t>
  </si>
  <si>
    <t>İtfaye Kavşağı</t>
  </si>
  <si>
    <t>Kayalık Kavşağı</t>
  </si>
  <si>
    <t>Turan Güneş Kavşağı</t>
  </si>
  <si>
    <t>Halley Kavşağı</t>
  </si>
  <si>
    <t>Hacılar Cami Kavşağı</t>
  </si>
  <si>
    <t>Ahisinan Kavşağı</t>
  </si>
  <si>
    <t>2.Sanayi Kavşağı</t>
  </si>
  <si>
    <t>Mehmet Gazi Cad. Kavşağı</t>
  </si>
  <si>
    <t>Eski Zahire Pazarı Kavşağı</t>
  </si>
  <si>
    <t>İlbade Kavşağı</t>
  </si>
  <si>
    <t>İl Saglık Müd.Kavşağı</t>
  </si>
  <si>
    <t xml:space="preserve">Dörtçeşme Kavşağı </t>
  </si>
  <si>
    <t>Doktorlar Kavşağı</t>
  </si>
  <si>
    <t>Gurbet Taksi Kavşağı</t>
  </si>
  <si>
    <t>Lozan - Mimarsinan Cad.Kav.</t>
  </si>
  <si>
    <t>Sırakapılar Kavşağı</t>
  </si>
  <si>
    <t>Akkonak Kavşağı</t>
  </si>
  <si>
    <t>Karaman Kavşağı</t>
  </si>
  <si>
    <t>Kiremitçi Kavşağı</t>
  </si>
  <si>
    <t>Dörtyol Kavşağı</t>
  </si>
  <si>
    <t>Tanca Kavşağı</t>
  </si>
  <si>
    <t>Kanal Kavşağı</t>
  </si>
  <si>
    <t>Berkay Halı Saha Kavşağı</t>
  </si>
  <si>
    <t>Tekden Kavşağı</t>
  </si>
  <si>
    <t>Albeni Kavşağı</t>
  </si>
  <si>
    <t>Opet Kavşağı</t>
  </si>
  <si>
    <t>29 Ekim Gülistan Kavşağı</t>
  </si>
  <si>
    <t>Adliye Kavşağı</t>
  </si>
  <si>
    <t>Gülistan Caddesi Kavşağı</t>
  </si>
  <si>
    <t>Şirinköy Kavşağı</t>
  </si>
  <si>
    <t>Meclis Ormanı Kavşağı</t>
  </si>
  <si>
    <t>Yusuf Batur Kavşağı</t>
  </si>
  <si>
    <t>Yenişehir Kavşağı</t>
  </si>
  <si>
    <t>Belkon Kavşağı</t>
  </si>
  <si>
    <t>Başak Kavşağı</t>
  </si>
  <si>
    <t>Gerzele Kavşağı</t>
  </si>
  <si>
    <t>Hakkı Dereköylü Kavşağı</t>
  </si>
  <si>
    <t>SGK. Butonlu Kavşağı</t>
  </si>
  <si>
    <t>Aydem Kavşağı</t>
  </si>
  <si>
    <t>Selvergazi Kavşağı</t>
  </si>
  <si>
    <t>1200 Evler Kavşağı</t>
  </si>
  <si>
    <t>Ali Baysal Okulu</t>
  </si>
  <si>
    <t>1200 Evler Münübüs Durağı Kav.</t>
  </si>
  <si>
    <t xml:space="preserve">Servergazi hastanesi Acil Önü </t>
  </si>
  <si>
    <t xml:space="preserve">Üçler Sağlık Ocağı Kavşağı </t>
  </si>
  <si>
    <t>Hilal Cami Kavşağı</t>
  </si>
  <si>
    <t>1147 - 1108 Sk.Kavşağı</t>
  </si>
  <si>
    <t>Fidanlık Kavşağı</t>
  </si>
  <si>
    <t>Toki Kavşağı</t>
  </si>
  <si>
    <t xml:space="preserve">Perihan Kıbrıslıoğlu Okulu </t>
  </si>
  <si>
    <t xml:space="preserve">112 Kavşağı </t>
  </si>
  <si>
    <t xml:space="preserve">Üçler Orman Müd. Kavşağı </t>
  </si>
  <si>
    <t>Ferhatlar Okulu</t>
  </si>
  <si>
    <t>Cinkaya Cami Kavşağı</t>
  </si>
  <si>
    <t xml:space="preserve">Ege market Önü </t>
  </si>
  <si>
    <t>Şehit Er Bitiktaş Okulu</t>
  </si>
  <si>
    <t>Cinkaya Petrol Kavşagı</t>
  </si>
  <si>
    <t>Cinkaya Saglık Ocağı Kav.</t>
  </si>
  <si>
    <t xml:space="preserve">Reşat Vural İlkögretim </t>
  </si>
  <si>
    <t>Fabrikalar Kavşağı</t>
  </si>
  <si>
    <t>Esentepe Kavşağı</t>
  </si>
  <si>
    <t xml:space="preserve">Karakurt Yolu Kavşağı </t>
  </si>
  <si>
    <t xml:space="preserve">Höyük Caddesi Kavşağı </t>
  </si>
  <si>
    <t xml:space="preserve">Teco Petrol Kavşağı </t>
  </si>
  <si>
    <t xml:space="preserve">Şok Market Kavşağı </t>
  </si>
  <si>
    <t>Engelsiz yasam Parkı Kavşağı</t>
  </si>
  <si>
    <t xml:space="preserve">Osman Nuri Filiz Kavşağı </t>
  </si>
  <si>
    <t xml:space="preserve">Jandarma Kavşağı </t>
  </si>
  <si>
    <t>Meska Kavşağı</t>
  </si>
  <si>
    <t xml:space="preserve">Hüseyin Kabasakal Kavşağı </t>
  </si>
  <si>
    <t>Master</t>
  </si>
  <si>
    <t>Hüdai Oral Caddesi</t>
  </si>
  <si>
    <t>İbrahim Cengiz Caddesİ</t>
  </si>
  <si>
    <t xml:space="preserve">Şirinköy Yolu </t>
  </si>
  <si>
    <t>İbrahim Cengiz Caddesi</t>
  </si>
  <si>
    <t>Şht.Öğretmen Yusuf Batur Caddesi</t>
  </si>
  <si>
    <t>Uğur Mumcu Caddesi</t>
  </si>
  <si>
    <t>Flash</t>
  </si>
  <si>
    <t>Şht.Albay Karaoğlanoğlu Cad.</t>
  </si>
  <si>
    <t>201 Sokak</t>
  </si>
  <si>
    <t>Atatürk Cad.</t>
  </si>
  <si>
    <t>İncilipınar Caddesi</t>
  </si>
  <si>
    <t>Almelo Caddesi</t>
  </si>
  <si>
    <t>25. Cadde</t>
  </si>
  <si>
    <t xml:space="preserve">2049/3 Sk </t>
  </si>
  <si>
    <t>Pamukkale Yolu</t>
  </si>
  <si>
    <t xml:space="preserve">Abalıoğlu Yem Fab. Kavşağı         </t>
  </si>
  <si>
    <t>Aydoğdu Kavşağı</t>
  </si>
  <si>
    <t>Bakırlı K. Altı Kavşağı</t>
  </si>
  <si>
    <t xml:space="preserve">Şeyh. Bedrettin Caddesi </t>
  </si>
  <si>
    <t>Hacıeyüplü Kavşağı</t>
  </si>
  <si>
    <t>Ulaşım A.Ş Kavşağı</t>
  </si>
  <si>
    <t>Emniyet K. Kavşağı</t>
  </si>
  <si>
    <t xml:space="preserve">Hüsammettin Kulaklı İlköğretim </t>
  </si>
  <si>
    <t>Osman Aydınlı Okulu But. Kavşağı</t>
  </si>
  <si>
    <t>Üniversite Caddesi</t>
  </si>
  <si>
    <t>Fakülte Caddesi</t>
  </si>
  <si>
    <t xml:space="preserve">Kıbrıs Şehitleri- İnönü Kav. </t>
  </si>
  <si>
    <t>Kıbrıs Şehitleri- Emek Kav.</t>
  </si>
  <si>
    <t>Kıbrıs Şehitleri Caddesi</t>
  </si>
  <si>
    <t>Hayırseverler Ortaokulu Butonlu kav</t>
  </si>
  <si>
    <t>Hasan Gönüllü Blv.</t>
  </si>
  <si>
    <t>Albayrak Blv.</t>
  </si>
  <si>
    <t>Cinkaya Blv.</t>
  </si>
  <si>
    <t>Çinkaya Blv.</t>
  </si>
  <si>
    <t>Alparslan Türkeş Blv.</t>
  </si>
  <si>
    <t>104-5004 Sk Kavşağı</t>
  </si>
  <si>
    <t xml:space="preserve">Ertuğrulgazi Kavşağı </t>
  </si>
  <si>
    <t xml:space="preserve">Azarbeycan Parkı Kavşağı </t>
  </si>
  <si>
    <t>Adliye Lojmanları Kavşağı</t>
  </si>
  <si>
    <t>Ulus - Tokat Kavşağı</t>
  </si>
  <si>
    <t>Ulus - Bursa Kavşağı</t>
  </si>
  <si>
    <t>Kıb. Şht. - Zübeyde Cad.</t>
  </si>
  <si>
    <t>4018-29.01.2025</t>
  </si>
  <si>
    <t xml:space="preserve">HASAN VELİ ÜĞÜR ANAOKULU </t>
  </si>
  <si>
    <t>LÜTFÜ EGE ANADOLU LİSESİ</t>
  </si>
  <si>
    <t>DENİPOL HAS. BUT. KAVŞAĞI</t>
  </si>
  <si>
    <t>HASAN VELİ ÜĞÜR ANAOKULU</t>
  </si>
  <si>
    <t>BAKIM TARİHLERİ</t>
  </si>
  <si>
    <t>4018-5.02.2025</t>
  </si>
  <si>
    <t>4018-7.02.2025</t>
  </si>
  <si>
    <t>4019-10.02.2025</t>
  </si>
  <si>
    <t>4019-12.02.2025</t>
  </si>
  <si>
    <t>4018-14.02.2025</t>
  </si>
  <si>
    <t>Karateke Necati Fikriye Dalaman okulu</t>
  </si>
  <si>
    <t>Honaz (KARATEKE)</t>
  </si>
  <si>
    <t>Necati Fikriye Dalaman Okulu But. Kav.</t>
  </si>
  <si>
    <t>Honaz Karateke</t>
  </si>
  <si>
    <t>Necati Fikriye Dalaman Okulu</t>
  </si>
  <si>
    <t>4018-20.02.2025</t>
  </si>
  <si>
    <t>4019-21.02.2025</t>
  </si>
  <si>
    <t>4019-24.02.2025</t>
  </si>
  <si>
    <t>4018-24.02.2025</t>
  </si>
  <si>
    <t>4019-26.02.2025</t>
  </si>
  <si>
    <t>4010-26.02.2025</t>
  </si>
  <si>
    <t>4018-28.02.2025</t>
  </si>
  <si>
    <t>4019-3.03.2025</t>
  </si>
  <si>
    <t>4018-3.03.2025</t>
  </si>
  <si>
    <t>4010-28.02.2025</t>
  </si>
  <si>
    <t>4018-4.03.2025</t>
  </si>
  <si>
    <t>4019-5.03.2025</t>
  </si>
  <si>
    <t>4019-6.03.2025</t>
  </si>
  <si>
    <t>4019-7.03.2025</t>
  </si>
  <si>
    <t>4018-10.03.2025</t>
  </si>
  <si>
    <t>4019-10.03.2025</t>
  </si>
  <si>
    <t>4020-10.03.2025</t>
  </si>
  <si>
    <t>4018-11.03.2025</t>
  </si>
  <si>
    <t>4018-12.03.2025</t>
  </si>
  <si>
    <t>4010-12.03.2025</t>
  </si>
  <si>
    <t>4018-13.03.2025</t>
  </si>
  <si>
    <t>4010-17.03.2025</t>
  </si>
  <si>
    <t>4019-20.02.2025</t>
  </si>
  <si>
    <t>4019-18.03.2025</t>
  </si>
  <si>
    <t>4010-19.03.2025</t>
  </si>
  <si>
    <t>4019-21.03.2025</t>
  </si>
  <si>
    <t>4019-24.03.2025</t>
  </si>
  <si>
    <t>4010-24.03.2025</t>
  </si>
  <si>
    <t>4018-25.03.2025</t>
  </si>
  <si>
    <t>4019-25.03.2025</t>
  </si>
  <si>
    <t>4010-25.03.2025</t>
  </si>
  <si>
    <t>4010-27.03.2025</t>
  </si>
  <si>
    <t>4010-15.04.2025</t>
  </si>
  <si>
    <t>4018-22.04.2025</t>
  </si>
  <si>
    <t>4019-7.05.2025</t>
  </si>
  <si>
    <t>4018-7.05.2025</t>
  </si>
  <si>
    <t>4019-27.05.2025</t>
  </si>
  <si>
    <t>4018-27.05.2025</t>
  </si>
  <si>
    <t>4018-29.05.2025</t>
  </si>
  <si>
    <t>4019-03.06.2025</t>
  </si>
  <si>
    <t>4018-4.06.2025</t>
  </si>
  <si>
    <t>4019-17.06.2025</t>
  </si>
  <si>
    <t>4018-24.06.2025</t>
  </si>
  <si>
    <t>4018-25.06.2025</t>
  </si>
  <si>
    <t>4019-25.06.2025</t>
  </si>
  <si>
    <t>Engelsiz yaşam Merkezi</t>
  </si>
  <si>
    <t xml:space="preserve">Engelsiz yaşam Merkezi </t>
  </si>
  <si>
    <t>4019-9.07.2025</t>
  </si>
  <si>
    <t>Allı Camii Butonlu kavşağı</t>
  </si>
  <si>
    <t>Allı Camii Butonlu kav.</t>
  </si>
  <si>
    <t>Honaz Necip Ali Filiz cad.</t>
  </si>
  <si>
    <t>Ahısha parkı Butonlu</t>
  </si>
  <si>
    <t xml:space="preserve">Azarbeycan Parkı Butonlu Kavşağı </t>
  </si>
  <si>
    <t>Adalet Butonlu kavşağı</t>
  </si>
  <si>
    <t>İncilipınar parkı kav.</t>
  </si>
  <si>
    <t>Azerbaycan butonlu</t>
  </si>
  <si>
    <t>Honoaz</t>
  </si>
  <si>
    <t>Ahıska parkı butonlu kavşağ</t>
  </si>
  <si>
    <t>İncilipınar  Tarım kavşağı</t>
  </si>
  <si>
    <t>İncilipınar necdet adalı kesişimi kav.</t>
  </si>
  <si>
    <t>Cevat akşit yurdu Butonlu</t>
  </si>
  <si>
    <t>4018-29.09.2025</t>
  </si>
  <si>
    <t>4010-7.10.2025</t>
  </si>
  <si>
    <t>4018-23.10.2025</t>
  </si>
  <si>
    <t>4018-24.10.2025</t>
  </si>
  <si>
    <t>4018-28.10.2025</t>
  </si>
  <si>
    <t>4019-30.10.2025</t>
  </si>
  <si>
    <t>4018-3.11.2025</t>
  </si>
  <si>
    <t>4019.11.2025</t>
  </si>
  <si>
    <t>4019-3.11.2025</t>
  </si>
  <si>
    <t>Cevat Akşit yurdu Butonlu kav</t>
  </si>
  <si>
    <t>Mustafa Alper Butonlu</t>
  </si>
  <si>
    <t>Cevat Akşit yurdu Butonlu</t>
  </si>
  <si>
    <t xml:space="preserve">Mustafa Alper cad. </t>
  </si>
  <si>
    <t>Cinkaya Petrol</t>
  </si>
  <si>
    <t>4019-7.11.2025</t>
  </si>
  <si>
    <t>mAESTRO</t>
  </si>
  <si>
    <t>4018-19.11.2025</t>
  </si>
  <si>
    <t>Çal Caddesi butonlu  kavşağı</t>
  </si>
  <si>
    <t>Çıraklık Eğitim  butonlu  kavşağı</t>
  </si>
  <si>
    <t>Cevat Akşit yurdu Butonlu kavşağı</t>
  </si>
  <si>
    <t>Mustafa Alper Butonlu kavşağı</t>
  </si>
  <si>
    <t>İNCİLİPINAR Parkı kavşağı</t>
  </si>
  <si>
    <t>Allı Camii Butonlu</t>
  </si>
  <si>
    <t xml:space="preserve">Rehberlik Merkezi Butonlu </t>
  </si>
  <si>
    <t>A</t>
  </si>
  <si>
    <t>Ulus Motor Butonlu</t>
  </si>
  <si>
    <t>DENİPOL BUTONLU KAVŞAĞI</t>
  </si>
  <si>
    <t>Adalet Parkı Butonlu kavşağı</t>
  </si>
  <si>
    <t>Engelsiz Yaşam Merkezi Butonlu</t>
  </si>
  <si>
    <t>Bankamatikler Butonlu</t>
  </si>
  <si>
    <t>Tekden Butonlu</t>
  </si>
  <si>
    <t>Niz Ofis Butonlu</t>
  </si>
  <si>
    <t>Azerbaycan Parkı Butonlu</t>
  </si>
  <si>
    <t>Tarım Kavşağı</t>
  </si>
  <si>
    <t>Çal Cad. Butonlu</t>
  </si>
  <si>
    <t>Çıraklık Eğitim Merkezi</t>
  </si>
  <si>
    <t>Rehberlik Merkezi Butonlu</t>
  </si>
  <si>
    <t>Ulus Motor Butonlu kav.</t>
  </si>
  <si>
    <t>Tekden butonlu Kavşağı</t>
  </si>
  <si>
    <t>Niz Ofis Butonlu Kavşağo</t>
  </si>
  <si>
    <t>Adliye Bankamatikler Butonlu Kav.</t>
  </si>
  <si>
    <t xml:space="preserve">Kaymakamlık Kavşağı </t>
  </si>
  <si>
    <t>Çal Caddesi Butonlu Kavşağı</t>
  </si>
  <si>
    <t>Çıraklık Eğitim Butonlu kavşağı</t>
  </si>
  <si>
    <t>Ulus Mustafa Alper Butonlu kav.</t>
  </si>
  <si>
    <t>Ulus Rehberlk Merkezi  Butonlu kav.</t>
  </si>
  <si>
    <t>Doktorlar cad. Kavşagı</t>
  </si>
  <si>
    <t>Tekden Butonlu Kavşagı</t>
  </si>
  <si>
    <t>Aydem Bankamatikler But.Kavşagı</t>
  </si>
  <si>
    <t xml:space="preserve">Azarbeycan parkı But. kavşağı </t>
  </si>
  <si>
    <t>EKİP Kodu ve Tarihi</t>
  </si>
  <si>
    <t xml:space="preserve">Hüsamettin kulaklı ilkögretim </t>
  </si>
  <si>
    <t>Raşit Özkardeşler Okulu But.</t>
  </si>
  <si>
    <t>ULUS CAD.</t>
  </si>
  <si>
    <t xml:space="preserve">DELİKTAŞ 2049/3 sk </t>
  </si>
  <si>
    <t>Osman Aydınlı ilkoKlu butonlu kavşağı</t>
  </si>
  <si>
    <t>13.02.2026-4018</t>
  </si>
  <si>
    <t>4019-13.02.2026</t>
  </si>
  <si>
    <t>13.02.2026-4019</t>
  </si>
  <si>
    <t>İncilipınar İlkokulu butonlu kavşağı</t>
  </si>
  <si>
    <t>Tekden Hastanesi butonlu</t>
  </si>
  <si>
    <t xml:space="preserve">Rehberlik Merkezi </t>
  </si>
  <si>
    <t>Ulus Motor kavşağı</t>
  </si>
  <si>
    <t>ÇAL CADDESİ</t>
  </si>
  <si>
    <t xml:space="preserve">Honaz </t>
  </si>
  <si>
    <t>4018-9.03.2026</t>
  </si>
  <si>
    <t xml:space="preserve">2026 KAVŞAK BAKIM LİSTESİ  </t>
  </si>
  <si>
    <t>Ünüversite Acil Önü Butonlu</t>
  </si>
  <si>
    <t>29 Ekim 207-416 sok. Butonlu</t>
  </si>
  <si>
    <t>Adliye  Bankamatikler But.Kavşagı</t>
  </si>
  <si>
    <t>Fatih mah. Adil Demirören okulu But.</t>
  </si>
  <si>
    <t>Merkezefendi Kaymakamlık Kav.</t>
  </si>
  <si>
    <t>İncilipınar İlkokukulu  But.Kav.</t>
  </si>
  <si>
    <t>29 Ekim 407 /416 sok kes. Butonlu</t>
  </si>
  <si>
    <t>Fatih Adil Demirören But. Kav.</t>
  </si>
  <si>
    <t>Çal caddesi Butonlu kavşağı</t>
  </si>
  <si>
    <t>407/416 sokak Butonlu kavşağı</t>
  </si>
  <si>
    <t>İncilipınar ilkokulu butonlu</t>
  </si>
  <si>
    <t>Esentepe dörtyol Kavşagı</t>
  </si>
  <si>
    <t>4010-11.03.2026</t>
  </si>
  <si>
    <t>4019-17.03.2026</t>
  </si>
  <si>
    <t>4010-23.03.2026</t>
  </si>
  <si>
    <t>4019-23.03.2026</t>
  </si>
  <si>
    <t>4010-24.03.2026</t>
  </si>
  <si>
    <t>4010-2.04.2026</t>
  </si>
  <si>
    <t>4010-3.04.2026</t>
  </si>
  <si>
    <t>4010-13.04.2026</t>
  </si>
  <si>
    <t>4010/2-15.04.2026</t>
  </si>
  <si>
    <t>4019-21.04.2026</t>
  </si>
  <si>
    <t>21.04.2026-4018</t>
  </si>
  <si>
    <t>4019-30.04.2026</t>
  </si>
  <si>
    <t>4019-5.05.2026</t>
  </si>
  <si>
    <t>4010-6.05.2026</t>
  </si>
  <si>
    <t>4018-7.05.2026</t>
  </si>
  <si>
    <t>4018-8.05.2026</t>
  </si>
  <si>
    <t>4019-12.05.2026</t>
  </si>
  <si>
    <t>4010-13.05.2026</t>
  </si>
  <si>
    <t>4018-13.05.2026</t>
  </si>
  <si>
    <t>Lamba Temizliği</t>
  </si>
  <si>
    <t>4018-20.05.2026</t>
  </si>
  <si>
    <t>4010-15.06.2026</t>
  </si>
  <si>
    <t>4010-16.06.2026</t>
  </si>
  <si>
    <t>4019-18.06.2026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</si>
</sst>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2" xfId="0" applyFill="1" applyBorder="1"/>
    <xf numFmtId="0" fontId="0" fillId="0" borderId="1" xfId="0" applyFill="1" applyBorder="1"/>
    <xf numFmtId="0" fontId="0" fillId="2" borderId="1" xfId="0" applyFill="1" applyBorder="1"/>
    <xf numFmtId="0" fontId="0" fillId="0" borderId="1" xfId="0" applyFill="1" applyBorder="1" applyAlignment="1">
      <alignment horizontal="left"/>
    </xf>
    <xf numFmtId="0" fontId="0" fillId="0" borderId="6" xfId="0" applyBorder="1"/>
    <xf numFmtId="0" fontId="0" fillId="0" borderId="6" xfId="0" applyFill="1" applyBorder="1"/>
    <xf numFmtId="0" fontId="0" fillId="0" borderId="6" xfId="0" applyBorder="1" applyAlignment="1">
      <alignment horizontal="center" vertical="top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5" xfId="0" applyBorder="1" applyAlignment="1">
      <alignment horizontal="center" vertical="top"/>
    </xf>
    <xf numFmtId="0" fontId="0" fillId="0" borderId="5" xfId="0" applyFill="1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8" xfId="0" applyFill="1" applyBorder="1"/>
    <xf numFmtId="0" fontId="0" fillId="0" borderId="8" xfId="0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Fill="1"/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1" fillId="6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left" indent="2"/>
    </xf>
    <xf numFmtId="0" fontId="0" fillId="3" borderId="1" xfId="0" applyFill="1" applyBorder="1"/>
    <xf numFmtId="14" fontId="0" fillId="3" borderId="1" xfId="0" applyNumberFormat="1" applyFill="1" applyBorder="1"/>
    <xf numFmtId="0" fontId="1" fillId="0" borderId="1" xfId="0" applyFont="1" applyBorder="1"/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3" borderId="1" xfId="0" applyFont="1" applyFill="1" applyBorder="1"/>
    <xf numFmtId="0" fontId="0" fillId="0" borderId="8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/>
    <xf numFmtId="0" fontId="1" fillId="0" borderId="4" xfId="0" applyFont="1" applyFill="1" applyBorder="1"/>
    <xf numFmtId="0" fontId="0" fillId="3" borderId="3" xfId="0" applyFill="1" applyBorder="1" applyAlignment="1">
      <alignment horizontal="left" indent="2"/>
    </xf>
    <xf numFmtId="0" fontId="1" fillId="3" borderId="3" xfId="0" applyFont="1" applyFill="1" applyBorder="1" applyAlignment="1">
      <alignment horizontal="left" indent="2"/>
    </xf>
    <xf numFmtId="14" fontId="0" fillId="3" borderId="3" xfId="0" applyNumberFormat="1" applyFill="1" applyBorder="1" applyAlignment="1">
      <alignment horizontal="left" indent="2"/>
    </xf>
    <xf numFmtId="14" fontId="1" fillId="3" borderId="3" xfId="0" applyNumberFormat="1" applyFont="1" applyFill="1" applyBorder="1" applyAlignment="1">
      <alignment horizontal="left" indent="2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3" borderId="13" xfId="0" applyFont="1" applyFill="1" applyBorder="1" applyAlignment="1">
      <alignment horizontal="left" indent="2"/>
    </xf>
    <xf numFmtId="0" fontId="1" fillId="0" borderId="8" xfId="0" applyFont="1" applyBorder="1"/>
    <xf numFmtId="0" fontId="0" fillId="0" borderId="0" xfId="0" applyBorder="1" applyAlignment="1">
      <alignment horizontal="left" indent="2"/>
    </xf>
    <xf numFmtId="0" fontId="0" fillId="0" borderId="0" xfId="0" applyBorder="1" applyAlignment="1">
      <alignment horizontal="center"/>
    </xf>
    <xf numFmtId="0" fontId="0" fillId="3" borderId="0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ont="1" applyFill="1" applyBorder="1"/>
    <xf numFmtId="0" fontId="1" fillId="3" borderId="3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left" indent="2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 indent="2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/>
    <xf numFmtId="0" fontId="0" fillId="3" borderId="13" xfId="0" applyFill="1" applyBorder="1" applyAlignment="1">
      <alignment horizontal="left" indent="2"/>
    </xf>
    <xf numFmtId="0" fontId="0" fillId="3" borderId="8" xfId="0" applyFill="1" applyBorder="1" applyAlignment="1">
      <alignment horizontal="center"/>
    </xf>
    <xf numFmtId="0" fontId="0" fillId="3" borderId="14" xfId="0" applyFill="1" applyBorder="1" applyAlignment="1">
      <alignment horizontal="left" indent="2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left" indent="2"/>
    </xf>
    <xf numFmtId="0" fontId="0" fillId="3" borderId="3" xfId="0" applyFill="1" applyBorder="1" applyAlignment="1">
      <alignment horizontal="center"/>
    </xf>
    <xf numFmtId="0" fontId="0" fillId="8" borderId="1" xfId="0" applyFill="1" applyBorder="1"/>
    <xf numFmtId="0" fontId="0" fillId="8" borderId="1" xfId="0" applyFont="1" applyFill="1" applyBorder="1"/>
    <xf numFmtId="0" fontId="1" fillId="8" borderId="1" xfId="0" applyFont="1" applyFill="1" applyBorder="1"/>
    <xf numFmtId="0" fontId="0" fillId="8" borderId="3" xfId="0" applyFill="1" applyBorder="1" applyAlignment="1">
      <alignment horizontal="center"/>
    </xf>
    <xf numFmtId="14" fontId="0" fillId="8" borderId="1" xfId="0" applyNumberFormat="1" applyFill="1" applyBorder="1" applyAlignment="1">
      <alignment horizontal="left"/>
    </xf>
    <xf numFmtId="0" fontId="5" fillId="8" borderId="1" xfId="0" applyFont="1" applyFill="1" applyBorder="1"/>
    <xf numFmtId="0" fontId="5" fillId="3" borderId="1" xfId="0" applyFont="1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0" fillId="6" borderId="0" xfId="0" applyFill="1" applyBorder="1"/>
    <xf numFmtId="0" fontId="5" fillId="0" borderId="1" xfId="0" applyFont="1" applyFill="1" applyBorder="1"/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3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&#304;NYAL&#304;ZASYON\kav&#351;aklar\Kav&#351;ak%20Bilgileri%20(18.02.202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vşak"/>
      <sheetName val="Kamera"/>
      <sheetName val="VTT Bilgileri"/>
      <sheetName val="VTT Port"/>
      <sheetName val="Kavşak Cihaz Durumu"/>
      <sheetName val="KırmızıSarıFlaş"/>
      <sheetName val="YD_AKSLARI"/>
      <sheetName val="loop yapılacak noktalar"/>
    </sheetNames>
    <sheetDataSet>
      <sheetData sheetId="0" refreshError="1"/>
      <sheetData sheetId="1">
        <row r="1">
          <cell r="B1" t="str">
            <v>Kamera No</v>
          </cell>
          <cell r="C1" t="str">
            <v>Kamera Bağlantı</v>
          </cell>
          <cell r="D1" t="str">
            <v>Kamera Ip</v>
          </cell>
          <cell r="E1" t="str">
            <v>Kamera Router</v>
          </cell>
          <cell r="F1" t="str">
            <v>Alıcı</v>
          </cell>
          <cell r="G1" t="str">
            <v>Verici</v>
          </cell>
          <cell r="H1" t="str">
            <v>Kamera Adı</v>
          </cell>
          <cell r="I1" t="str">
            <v>Durum</v>
          </cell>
        </row>
        <row r="2">
          <cell r="B2">
            <v>0</v>
          </cell>
          <cell r="C2" t="str">
            <v>Yok</v>
          </cell>
          <cell r="D2" t="str">
            <v>Yok</v>
          </cell>
          <cell r="E2" t="str">
            <v>Yok</v>
          </cell>
          <cell r="F2" t="str">
            <v>Yok</v>
          </cell>
          <cell r="G2" t="str">
            <v>Yok</v>
          </cell>
          <cell r="H2" t="str">
            <v>Yok</v>
          </cell>
          <cell r="I2" t="str">
            <v>Yok</v>
          </cell>
        </row>
        <row r="3">
          <cell r="B3">
            <v>1</v>
          </cell>
          <cell r="C3" t="str">
            <v>Fiber</v>
          </cell>
          <cell r="D3" t="str">
            <v>10.10.1.11</v>
          </cell>
          <cell r="E3" t="str">
            <v>10.10.1.253</v>
          </cell>
          <cell r="F3" t="str">
            <v>-</v>
          </cell>
          <cell r="G3" t="str">
            <v>-</v>
          </cell>
          <cell r="H3" t="str">
            <v>01_DEMOKRASI_MEYDANI</v>
          </cell>
          <cell r="I3" t="str">
            <v>Aktif</v>
          </cell>
        </row>
        <row r="4">
          <cell r="B4">
            <v>2</v>
          </cell>
          <cell r="C4" t="str">
            <v>Fiber</v>
          </cell>
          <cell r="D4" t="str">
            <v>10.10.2.11</v>
          </cell>
          <cell r="E4" t="str">
            <v>10.10.2.253</v>
          </cell>
          <cell r="F4" t="str">
            <v>-</v>
          </cell>
          <cell r="G4" t="str">
            <v>-</v>
          </cell>
          <cell r="H4" t="str">
            <v>02_ZUBEYDEHANIM</v>
          </cell>
          <cell r="I4" t="str">
            <v>Aktif</v>
          </cell>
        </row>
        <row r="5">
          <cell r="B5">
            <v>3</v>
          </cell>
          <cell r="C5" t="str">
            <v>Fiber</v>
          </cell>
          <cell r="D5" t="str">
            <v>10.10.3.11</v>
          </cell>
          <cell r="E5" t="str">
            <v>10.10.3.253</v>
          </cell>
          <cell r="F5" t="str">
            <v>-</v>
          </cell>
          <cell r="G5" t="str">
            <v>-</v>
          </cell>
          <cell r="H5" t="str">
            <v>03_KIRBIS_SEHITLER_INONU</v>
          </cell>
          <cell r="I5" t="str">
            <v>Aktif</v>
          </cell>
        </row>
        <row r="6">
          <cell r="B6">
            <v>4</v>
          </cell>
          <cell r="C6" t="str">
            <v>Fiber</v>
          </cell>
          <cell r="D6" t="str">
            <v>10.10.4.11</v>
          </cell>
          <cell r="E6" t="str">
            <v>10.10.4.253</v>
          </cell>
          <cell r="F6" t="str">
            <v>-</v>
          </cell>
          <cell r="G6" t="str">
            <v>-</v>
          </cell>
          <cell r="H6" t="str">
            <v>04_KIBRIS_SEHITLER_EMEK</v>
          </cell>
          <cell r="I6" t="str">
            <v>Aktif</v>
          </cell>
        </row>
        <row r="7">
          <cell r="B7">
            <v>5</v>
          </cell>
          <cell r="C7" t="str">
            <v>Fiber</v>
          </cell>
          <cell r="D7" t="str">
            <v>10.10.5.11</v>
          </cell>
          <cell r="E7" t="str">
            <v>10.10.5.253</v>
          </cell>
          <cell r="F7" t="str">
            <v>-</v>
          </cell>
          <cell r="G7" t="str">
            <v>-</v>
          </cell>
          <cell r="H7" t="str">
            <v>05_INCILIPINAR</v>
          </cell>
          <cell r="I7" t="str">
            <v>Aktif</v>
          </cell>
        </row>
        <row r="8">
          <cell r="B8">
            <v>6</v>
          </cell>
          <cell r="C8" t="str">
            <v>Fiber</v>
          </cell>
          <cell r="D8" t="str">
            <v>10.10.6.11</v>
          </cell>
          <cell r="E8" t="str">
            <v>10.10.6.253</v>
          </cell>
          <cell r="F8" t="str">
            <v>-</v>
          </cell>
          <cell r="G8" t="str">
            <v>-</v>
          </cell>
          <cell r="H8" t="str">
            <v>06_10NISAN</v>
          </cell>
          <cell r="I8" t="str">
            <v>Aktif</v>
          </cell>
        </row>
        <row r="9">
          <cell r="B9">
            <v>7</v>
          </cell>
          <cell r="C9" t="str">
            <v>Fiber</v>
          </cell>
          <cell r="D9" t="str">
            <v>10.10.7.11</v>
          </cell>
          <cell r="E9" t="str">
            <v>10.10.7.253</v>
          </cell>
          <cell r="F9" t="str">
            <v>-</v>
          </cell>
          <cell r="G9" t="str">
            <v>-</v>
          </cell>
          <cell r="H9" t="str">
            <v>07_SULUKOPRU</v>
          </cell>
          <cell r="I9" t="str">
            <v>Aktif</v>
          </cell>
        </row>
        <row r="10">
          <cell r="B10">
            <v>8</v>
          </cell>
          <cell r="C10" t="str">
            <v>Fiber</v>
          </cell>
          <cell r="D10" t="str">
            <v>10.10.8.11</v>
          </cell>
          <cell r="E10" t="str">
            <v>10.10.8.253</v>
          </cell>
          <cell r="F10" t="str">
            <v>-</v>
          </cell>
          <cell r="G10" t="str">
            <v>-</v>
          </cell>
          <cell r="H10" t="str">
            <v>08_PELITLIBAG</v>
          </cell>
          <cell r="I10" t="str">
            <v>Aktif</v>
          </cell>
        </row>
        <row r="11">
          <cell r="B11">
            <v>9</v>
          </cell>
          <cell r="C11" t="str">
            <v>Fiber</v>
          </cell>
          <cell r="D11" t="str">
            <v>10.10.9.11</v>
          </cell>
          <cell r="E11" t="str">
            <v>10.10.9.253</v>
          </cell>
          <cell r="F11" t="str">
            <v>-</v>
          </cell>
          <cell r="G11" t="str">
            <v>-</v>
          </cell>
          <cell r="H11" t="str">
            <v>09_ATATÜRKHALK</v>
          </cell>
          <cell r="I11" t="str">
            <v>Aktif</v>
          </cell>
        </row>
        <row r="12">
          <cell r="B12">
            <v>10</v>
          </cell>
          <cell r="C12" t="str">
            <v>Fiber</v>
          </cell>
          <cell r="D12" t="str">
            <v>10.10.10.11</v>
          </cell>
          <cell r="E12" t="str">
            <v>10.10.10.253</v>
          </cell>
          <cell r="F12" t="str">
            <v>-</v>
          </cell>
          <cell r="G12" t="str">
            <v>-</v>
          </cell>
          <cell r="H12" t="str">
            <v>10_HACIKAPLANLAR</v>
          </cell>
          <cell r="I12" t="str">
            <v>Aktif</v>
          </cell>
        </row>
        <row r="13">
          <cell r="B13">
            <v>11</v>
          </cell>
          <cell r="C13" t="str">
            <v>Fiber</v>
          </cell>
          <cell r="D13" t="str">
            <v>10.10.11.11</v>
          </cell>
          <cell r="E13" t="str">
            <v>10.10.11.253</v>
          </cell>
          <cell r="F13" t="str">
            <v>-</v>
          </cell>
          <cell r="G13" t="str">
            <v>-</v>
          </cell>
          <cell r="H13" t="str">
            <v>11_CINAR</v>
          </cell>
          <cell r="I13" t="str">
            <v>Aktif</v>
          </cell>
        </row>
        <row r="14">
          <cell r="B14">
            <v>12</v>
          </cell>
          <cell r="C14" t="str">
            <v>Fiber</v>
          </cell>
          <cell r="D14" t="str">
            <v>10.10.12.11</v>
          </cell>
          <cell r="E14" t="str">
            <v>10.10.12.253</v>
          </cell>
          <cell r="F14" t="str">
            <v>-</v>
          </cell>
          <cell r="G14" t="str">
            <v>-</v>
          </cell>
          <cell r="H14" t="str">
            <v>12_ITFAIYE</v>
          </cell>
          <cell r="I14" t="str">
            <v>Aktif</v>
          </cell>
        </row>
        <row r="15">
          <cell r="B15">
            <v>13</v>
          </cell>
          <cell r="C15" t="str">
            <v>Fiber</v>
          </cell>
          <cell r="D15" t="str">
            <v>10.10.13.11</v>
          </cell>
          <cell r="E15" t="str">
            <v>10.10.13.253</v>
          </cell>
          <cell r="F15" t="str">
            <v>-</v>
          </cell>
          <cell r="G15" t="str">
            <v>-</v>
          </cell>
          <cell r="H15" t="str">
            <v>13_TURAN_GUNES</v>
          </cell>
          <cell r="I15" t="str">
            <v>Aktif</v>
          </cell>
        </row>
        <row r="16">
          <cell r="B16">
            <v>14</v>
          </cell>
          <cell r="C16" t="str">
            <v>Fiber</v>
          </cell>
          <cell r="D16" t="str">
            <v>10.10.14.11</v>
          </cell>
          <cell r="E16" t="str">
            <v>10.10.14.253</v>
          </cell>
          <cell r="F16" t="str">
            <v>-</v>
          </cell>
          <cell r="G16" t="str">
            <v>-</v>
          </cell>
          <cell r="H16" t="str">
            <v>14_HALLEY_OTELI</v>
          </cell>
          <cell r="I16" t="str">
            <v>Aktif</v>
          </cell>
        </row>
        <row r="17">
          <cell r="B17">
            <v>15</v>
          </cell>
          <cell r="C17" t="str">
            <v>Fiber</v>
          </cell>
          <cell r="D17" t="str">
            <v>10.10.15.11</v>
          </cell>
          <cell r="E17" t="str">
            <v>10.10.15.253</v>
          </cell>
          <cell r="F17" t="str">
            <v>-</v>
          </cell>
          <cell r="G17" t="str">
            <v>-</v>
          </cell>
          <cell r="H17" t="str">
            <v>15_ULU_CAMI</v>
          </cell>
          <cell r="I17" t="str">
            <v>Aktif</v>
          </cell>
        </row>
        <row r="18">
          <cell r="B18">
            <v>16</v>
          </cell>
          <cell r="C18" t="str">
            <v>Fiber</v>
          </cell>
          <cell r="D18" t="str">
            <v>10.10.16.11</v>
          </cell>
          <cell r="E18" t="str">
            <v>10.10.16.253</v>
          </cell>
          <cell r="F18" t="str">
            <v>-</v>
          </cell>
          <cell r="G18" t="str">
            <v>-</v>
          </cell>
          <cell r="H18" t="str">
            <v>16_HACILAR_CAMI</v>
          </cell>
          <cell r="I18" t="str">
            <v>Aktif</v>
          </cell>
        </row>
        <row r="19">
          <cell r="B19">
            <v>17</v>
          </cell>
          <cell r="C19" t="str">
            <v>Fiber</v>
          </cell>
          <cell r="D19" t="str">
            <v>10.10.17.11</v>
          </cell>
          <cell r="E19" t="str">
            <v>10.10.17.253</v>
          </cell>
          <cell r="F19" t="str">
            <v>-</v>
          </cell>
          <cell r="G19" t="str">
            <v>-</v>
          </cell>
          <cell r="H19" t="str">
            <v>17_DOKTORLAR_CD</v>
          </cell>
          <cell r="I19" t="str">
            <v>Aktif</v>
          </cell>
        </row>
        <row r="20">
          <cell r="B20">
            <v>18</v>
          </cell>
          <cell r="C20" t="str">
            <v>Fiber</v>
          </cell>
          <cell r="D20" t="str">
            <v>10.10.18.11</v>
          </cell>
          <cell r="E20" t="str">
            <v>10.10.18.253</v>
          </cell>
          <cell r="F20" t="str">
            <v>-</v>
          </cell>
          <cell r="G20" t="str">
            <v>-</v>
          </cell>
          <cell r="H20" t="str">
            <v>18_SAGLIK_MUD</v>
          </cell>
          <cell r="I20" t="str">
            <v>Aktif</v>
          </cell>
        </row>
        <row r="21">
          <cell r="B21">
            <v>19</v>
          </cell>
          <cell r="C21" t="str">
            <v>Fiber</v>
          </cell>
          <cell r="D21" t="str">
            <v>10.10.19.11</v>
          </cell>
          <cell r="E21" t="str">
            <v>10.10.19.253</v>
          </cell>
          <cell r="F21" t="str">
            <v>-</v>
          </cell>
          <cell r="G21" t="str">
            <v>-</v>
          </cell>
          <cell r="H21" t="str">
            <v>19_MIMAR_SINAN</v>
          </cell>
          <cell r="I21" t="str">
            <v>Aktif</v>
          </cell>
        </row>
        <row r="22">
          <cell r="B22">
            <v>20</v>
          </cell>
          <cell r="C22" t="str">
            <v>Fiber</v>
          </cell>
          <cell r="D22" t="str">
            <v>10.10.20.11</v>
          </cell>
          <cell r="E22" t="str">
            <v>10.10.20.253</v>
          </cell>
          <cell r="F22" t="str">
            <v>-</v>
          </cell>
          <cell r="G22" t="str">
            <v>-</v>
          </cell>
          <cell r="H22" t="str">
            <v>20_AHI_SINAN</v>
          </cell>
          <cell r="I22" t="str">
            <v>Aktif</v>
          </cell>
        </row>
        <row r="23">
          <cell r="B23">
            <v>21</v>
          </cell>
          <cell r="C23" t="str">
            <v>Fiber</v>
          </cell>
          <cell r="D23" t="str">
            <v>10.10.21.11</v>
          </cell>
          <cell r="E23" t="str">
            <v>10.10.21.253</v>
          </cell>
          <cell r="F23" t="str">
            <v>-</v>
          </cell>
          <cell r="G23" t="str">
            <v>-</v>
          </cell>
          <cell r="H23" t="str">
            <v>21_ESKI_ZAHIRE_PAZARI</v>
          </cell>
          <cell r="I23" t="str">
            <v>Aktif</v>
          </cell>
        </row>
        <row r="24">
          <cell r="B24">
            <v>22</v>
          </cell>
          <cell r="C24" t="str">
            <v>Fiber</v>
          </cell>
          <cell r="D24" t="str">
            <v>10.10.22.11</v>
          </cell>
          <cell r="E24" t="str">
            <v>10.10.22.253</v>
          </cell>
          <cell r="F24" t="str">
            <v>-</v>
          </cell>
          <cell r="G24" t="str">
            <v>-</v>
          </cell>
          <cell r="H24" t="str">
            <v>22_ESMA_HATUN</v>
          </cell>
          <cell r="I24" t="str">
            <v>Aktif</v>
          </cell>
        </row>
        <row r="25">
          <cell r="B25">
            <v>23</v>
          </cell>
          <cell r="C25" t="str">
            <v>Fiber</v>
          </cell>
          <cell r="D25" t="str">
            <v>10.10.23.11</v>
          </cell>
          <cell r="E25" t="str">
            <v>10.10.23.253</v>
          </cell>
          <cell r="F25" t="str">
            <v>-</v>
          </cell>
          <cell r="G25" t="str">
            <v>-</v>
          </cell>
          <cell r="H25" t="str">
            <v>23_DEVLET_HASTANESI</v>
          </cell>
          <cell r="I25" t="str">
            <v>Aktif</v>
          </cell>
        </row>
        <row r="26">
          <cell r="B26">
            <v>24</v>
          </cell>
          <cell r="C26" t="str">
            <v>Fiber</v>
          </cell>
          <cell r="D26" t="str">
            <v>10.10.24.11</v>
          </cell>
          <cell r="E26" t="str">
            <v>10.10.24.253</v>
          </cell>
          <cell r="F26" t="str">
            <v>-</v>
          </cell>
          <cell r="G26" t="str">
            <v>-</v>
          </cell>
          <cell r="H26" t="str">
            <v>24_OZAY_GONLUM</v>
          </cell>
          <cell r="I26" t="str">
            <v>Aktif</v>
          </cell>
        </row>
        <row r="27">
          <cell r="B27">
            <v>25</v>
          </cell>
          <cell r="C27" t="str">
            <v>Fiber</v>
          </cell>
          <cell r="D27" t="str">
            <v>10.10.25.11</v>
          </cell>
          <cell r="E27" t="str">
            <v>10.10.25.253</v>
          </cell>
          <cell r="F27" t="str">
            <v>-</v>
          </cell>
          <cell r="G27" t="str">
            <v>-</v>
          </cell>
          <cell r="H27" t="str">
            <v>25_BIM_KAVSAGI</v>
          </cell>
          <cell r="I27" t="str">
            <v>Aktif</v>
          </cell>
        </row>
        <row r="28">
          <cell r="B28">
            <v>26</v>
          </cell>
          <cell r="C28" t="str">
            <v>Fiber</v>
          </cell>
          <cell r="D28" t="str">
            <v>10.10.26.11</v>
          </cell>
          <cell r="E28" t="str">
            <v>10.10.26.253</v>
          </cell>
          <cell r="F28" t="str">
            <v>-</v>
          </cell>
          <cell r="G28" t="str">
            <v>-</v>
          </cell>
          <cell r="H28" t="str">
            <v>26_ANADOLU_LISESI</v>
          </cell>
          <cell r="I28" t="str">
            <v>Aktif</v>
          </cell>
        </row>
        <row r="29">
          <cell r="B29">
            <v>27</v>
          </cell>
          <cell r="C29" t="str">
            <v>Fiber</v>
          </cell>
          <cell r="D29" t="str">
            <v>10.10.27.11</v>
          </cell>
          <cell r="E29" t="str">
            <v>10.10.27.253</v>
          </cell>
          <cell r="F29" t="str">
            <v>-</v>
          </cell>
          <cell r="G29" t="str">
            <v>-</v>
          </cell>
          <cell r="H29" t="str">
            <v>27-UNIVERSITE_KAVSAGI</v>
          </cell>
          <cell r="I29" t="str">
            <v>Aktif</v>
          </cell>
        </row>
        <row r="30">
          <cell r="B30">
            <v>28</v>
          </cell>
          <cell r="C30" t="str">
            <v>Fiber</v>
          </cell>
          <cell r="D30" t="str">
            <v>10.10.28.11</v>
          </cell>
          <cell r="E30" t="str">
            <v>10.10.28.253</v>
          </cell>
          <cell r="F30" t="str">
            <v>-</v>
          </cell>
          <cell r="G30" t="str">
            <v>-</v>
          </cell>
          <cell r="H30" t="str">
            <v>28_EML</v>
          </cell>
          <cell r="I30" t="str">
            <v>Aktif</v>
          </cell>
        </row>
        <row r="31">
          <cell r="B31">
            <v>29</v>
          </cell>
          <cell r="C31" t="str">
            <v>Fiber</v>
          </cell>
          <cell r="D31" t="str">
            <v>10.10.29.11</v>
          </cell>
          <cell r="E31" t="str">
            <v>10.10.29.253</v>
          </cell>
          <cell r="F31" t="str">
            <v>-</v>
          </cell>
          <cell r="G31" t="str">
            <v>-</v>
          </cell>
          <cell r="H31" t="str">
            <v>29_KINIKLI_BELEDIYE</v>
          </cell>
          <cell r="I31" t="str">
            <v>Aktif</v>
          </cell>
        </row>
        <row r="32">
          <cell r="B32">
            <v>30</v>
          </cell>
          <cell r="C32" t="str">
            <v>Fiber</v>
          </cell>
          <cell r="D32" t="str">
            <v>10.10.30.11</v>
          </cell>
          <cell r="E32" t="str">
            <v>10.10.30.253</v>
          </cell>
          <cell r="F32" t="str">
            <v>-</v>
          </cell>
          <cell r="G32" t="str">
            <v>-</v>
          </cell>
          <cell r="H32" t="str">
            <v>30_ULUS_TOKAT</v>
          </cell>
          <cell r="I32" t="str">
            <v>Aktif</v>
          </cell>
        </row>
        <row r="33">
          <cell r="B33">
            <v>31</v>
          </cell>
          <cell r="C33" t="str">
            <v>Fiber</v>
          </cell>
          <cell r="D33" t="str">
            <v>10.10.31.11</v>
          </cell>
          <cell r="E33" t="str">
            <v>10.10.31.253</v>
          </cell>
          <cell r="F33" t="str">
            <v>-</v>
          </cell>
          <cell r="G33" t="str">
            <v>-</v>
          </cell>
          <cell r="H33" t="str">
            <v>31_ULUS_BURSA</v>
          </cell>
          <cell r="I33" t="str">
            <v>Aktif</v>
          </cell>
        </row>
        <row r="34">
          <cell r="B34">
            <v>32</v>
          </cell>
          <cell r="C34" t="str">
            <v>Fiber</v>
          </cell>
          <cell r="D34" t="str">
            <v>10.10.32.11</v>
          </cell>
          <cell r="E34" t="str">
            <v>10.10.32.253</v>
          </cell>
          <cell r="F34" t="str">
            <v>-</v>
          </cell>
          <cell r="G34" t="str">
            <v>-</v>
          </cell>
          <cell r="H34" t="str">
            <v>32_HAZUZLU_KOSK</v>
          </cell>
          <cell r="I34" t="str">
            <v>Aktif</v>
          </cell>
        </row>
        <row r="35">
          <cell r="B35">
            <v>33</v>
          </cell>
          <cell r="C35" t="str">
            <v>Fiber</v>
          </cell>
          <cell r="D35" t="str">
            <v>10.10.33.11</v>
          </cell>
          <cell r="E35" t="str">
            <v>10.10.33.253</v>
          </cell>
          <cell r="F35" t="str">
            <v>-</v>
          </cell>
          <cell r="G35" t="str">
            <v>-</v>
          </cell>
          <cell r="H35" t="str">
            <v>33_TIYATRO</v>
          </cell>
          <cell r="I35" t="str">
            <v>Aktif</v>
          </cell>
        </row>
        <row r="36">
          <cell r="B36">
            <v>34</v>
          </cell>
          <cell r="C36" t="str">
            <v>Fiber</v>
          </cell>
          <cell r="D36" t="str">
            <v>10.10.34.11</v>
          </cell>
          <cell r="E36" t="str">
            <v>10.10.34.253</v>
          </cell>
          <cell r="F36" t="str">
            <v>-</v>
          </cell>
          <cell r="G36" t="str">
            <v>-</v>
          </cell>
          <cell r="H36" t="str">
            <v>34_DORTCESME</v>
          </cell>
          <cell r="I36" t="str">
            <v>Aktif</v>
          </cell>
        </row>
        <row r="37">
          <cell r="B37">
            <v>35</v>
          </cell>
          <cell r="C37" t="str">
            <v>Fiber</v>
          </cell>
          <cell r="D37" t="str">
            <v>10.10.35.11</v>
          </cell>
          <cell r="E37" t="str">
            <v>10.10.35.253</v>
          </cell>
          <cell r="F37" t="str">
            <v>-</v>
          </cell>
          <cell r="G37" t="str">
            <v>-</v>
          </cell>
          <cell r="H37" t="str">
            <v>35_LISE</v>
          </cell>
          <cell r="I37" t="str">
            <v>Aktif</v>
          </cell>
        </row>
        <row r="38">
          <cell r="B38">
            <v>36</v>
          </cell>
          <cell r="C38" t="str">
            <v>Fiber</v>
          </cell>
          <cell r="D38" t="str">
            <v>10.10.36.11</v>
          </cell>
          <cell r="E38" t="str">
            <v>10.10.36.253</v>
          </cell>
          <cell r="F38" t="str">
            <v>-</v>
          </cell>
          <cell r="G38" t="str">
            <v>-</v>
          </cell>
          <cell r="H38" t="str">
            <v>36_SIRAKAPILAR</v>
          </cell>
          <cell r="I38" t="str">
            <v>Aktif</v>
          </cell>
        </row>
        <row r="39">
          <cell r="B39">
            <v>37</v>
          </cell>
          <cell r="C39" t="str">
            <v>Fiber</v>
          </cell>
          <cell r="D39" t="str">
            <v>10.10.37.11</v>
          </cell>
          <cell r="E39" t="str">
            <v>10.10.37.253</v>
          </cell>
          <cell r="F39" t="str">
            <v>-</v>
          </cell>
          <cell r="G39" t="str">
            <v>-</v>
          </cell>
          <cell r="H39" t="str">
            <v>37_LOZAN</v>
          </cell>
          <cell r="I39" t="str">
            <v>Aktif</v>
          </cell>
        </row>
        <row r="40">
          <cell r="B40">
            <v>38</v>
          </cell>
          <cell r="C40" t="str">
            <v>Fiber</v>
          </cell>
          <cell r="D40" t="str">
            <v>10.10.38.11</v>
          </cell>
          <cell r="E40" t="str">
            <v>10.10.38.253</v>
          </cell>
          <cell r="F40" t="str">
            <v>-</v>
          </cell>
          <cell r="G40" t="str">
            <v>-</v>
          </cell>
          <cell r="H40" t="str">
            <v>38_ORDUEVI</v>
          </cell>
          <cell r="I40" t="str">
            <v>Aktif</v>
          </cell>
        </row>
        <row r="41">
          <cell r="B41">
            <v>39</v>
          </cell>
          <cell r="C41" t="str">
            <v>Fiber</v>
          </cell>
          <cell r="D41" t="str">
            <v>10.10.39.11</v>
          </cell>
          <cell r="E41" t="str">
            <v>10.10.39.253</v>
          </cell>
          <cell r="F41" t="str">
            <v>-</v>
          </cell>
          <cell r="G41" t="str">
            <v>-</v>
          </cell>
          <cell r="H41" t="str">
            <v>39_KIREMITCI</v>
          </cell>
          <cell r="I41" t="str">
            <v>Aktif</v>
          </cell>
        </row>
        <row r="42">
          <cell r="B42">
            <v>40</v>
          </cell>
          <cell r="C42" t="str">
            <v>Fiber</v>
          </cell>
          <cell r="D42" t="str">
            <v>10.10.40.11</v>
          </cell>
          <cell r="E42" t="str">
            <v>10.10.40.253</v>
          </cell>
          <cell r="F42" t="str">
            <v>-</v>
          </cell>
          <cell r="G42" t="str">
            <v>-</v>
          </cell>
          <cell r="H42" t="str">
            <v>40_KARAMAN</v>
          </cell>
          <cell r="I42" t="str">
            <v>Aktif</v>
          </cell>
        </row>
        <row r="43">
          <cell r="B43">
            <v>41</v>
          </cell>
          <cell r="C43" t="str">
            <v>Fiber</v>
          </cell>
          <cell r="D43" t="str">
            <v>10.10.41.11</v>
          </cell>
          <cell r="E43" t="str">
            <v>10.10.41.253</v>
          </cell>
          <cell r="F43" t="str">
            <v>-</v>
          </cell>
          <cell r="G43" t="str">
            <v>-</v>
          </cell>
          <cell r="H43" t="str">
            <v>41_AKKONAK</v>
          </cell>
          <cell r="I43" t="str">
            <v>Aktif</v>
          </cell>
        </row>
        <row r="44">
          <cell r="B44">
            <v>42</v>
          </cell>
          <cell r="C44" t="str">
            <v>Fiber</v>
          </cell>
          <cell r="D44" t="str">
            <v>10.10.42.11</v>
          </cell>
          <cell r="E44" t="str">
            <v>10.10.42.253</v>
          </cell>
          <cell r="F44" t="str">
            <v>-</v>
          </cell>
          <cell r="G44" t="str">
            <v>-</v>
          </cell>
          <cell r="H44" t="str">
            <v>42_BERKAY_HALISAHA</v>
          </cell>
          <cell r="I44" t="str">
            <v>Aktif</v>
          </cell>
        </row>
        <row r="45">
          <cell r="B45">
            <v>43</v>
          </cell>
          <cell r="C45" t="str">
            <v>Fiber</v>
          </cell>
          <cell r="D45" t="str">
            <v>10.10.43.11</v>
          </cell>
          <cell r="E45" t="str">
            <v>10.10.43.253</v>
          </cell>
          <cell r="F45" t="str">
            <v>-</v>
          </cell>
          <cell r="G45" t="str">
            <v>-</v>
          </cell>
          <cell r="H45" t="str">
            <v>43_KANAL_KAV</v>
          </cell>
          <cell r="I45" t="str">
            <v>Aktif</v>
          </cell>
        </row>
        <row r="46">
          <cell r="B46">
            <v>44</v>
          </cell>
          <cell r="C46" t="str">
            <v>Fiber</v>
          </cell>
          <cell r="D46" t="str">
            <v>10.10.44.11</v>
          </cell>
          <cell r="E46" t="str">
            <v>10.10.44.253</v>
          </cell>
          <cell r="F46" t="str">
            <v>-</v>
          </cell>
          <cell r="G46" t="str">
            <v>-</v>
          </cell>
          <cell r="H46" t="str">
            <v>44_ASKERI_YOL</v>
          </cell>
          <cell r="I46" t="str">
            <v>Aktif</v>
          </cell>
        </row>
        <row r="47">
          <cell r="B47">
            <v>45</v>
          </cell>
          <cell r="C47" t="str">
            <v>Fiber</v>
          </cell>
          <cell r="D47" t="str">
            <v>10.10.45.11</v>
          </cell>
          <cell r="E47" t="str">
            <v>10.10.45.253</v>
          </cell>
          <cell r="H47" t="str">
            <v>45_BELKON</v>
          </cell>
          <cell r="I47" t="str">
            <v>Aktif</v>
          </cell>
        </row>
        <row r="48">
          <cell r="B48">
            <v>46</v>
          </cell>
          <cell r="C48" t="str">
            <v>Fiber</v>
          </cell>
          <cell r="D48" t="str">
            <v>10.10.46.11</v>
          </cell>
          <cell r="E48" t="str">
            <v>10.10.46.253</v>
          </cell>
          <cell r="H48" t="str">
            <v>46_YENISEHIR</v>
          </cell>
          <cell r="I48" t="str">
            <v>Aktif</v>
          </cell>
        </row>
        <row r="49">
          <cell r="B49">
            <v>47</v>
          </cell>
          <cell r="C49" t="str">
            <v>Fiber</v>
          </cell>
          <cell r="D49" t="str">
            <v>10.10.47.11</v>
          </cell>
          <cell r="E49" t="str">
            <v>10.10.47.253</v>
          </cell>
          <cell r="H49" t="str">
            <v>47_MECLIS_ORMANI</v>
          </cell>
          <cell r="I49" t="str">
            <v>Aktif</v>
          </cell>
        </row>
        <row r="50">
          <cell r="B50">
            <v>48</v>
          </cell>
          <cell r="C50" t="str">
            <v>Fiber</v>
          </cell>
          <cell r="D50" t="str">
            <v>10.10.48.11</v>
          </cell>
          <cell r="E50" t="str">
            <v>10.10.48.253</v>
          </cell>
          <cell r="H50" t="str">
            <v>48_SIRINKOY</v>
          </cell>
          <cell r="I50" t="str">
            <v>Aktif</v>
          </cell>
        </row>
        <row r="51">
          <cell r="B51">
            <v>49</v>
          </cell>
          <cell r="C51" t="str">
            <v>Fiber</v>
          </cell>
          <cell r="D51" t="str">
            <v>10.10.49.11</v>
          </cell>
          <cell r="E51" t="str">
            <v>10.10.49.253</v>
          </cell>
          <cell r="H51" t="str">
            <v>49_GULISTAN</v>
          </cell>
          <cell r="I51" t="str">
            <v>Aktif</v>
          </cell>
        </row>
        <row r="52">
          <cell r="B52">
            <v>50</v>
          </cell>
          <cell r="C52" t="str">
            <v>Fiber</v>
          </cell>
          <cell r="D52" t="str">
            <v>10.10.50.11</v>
          </cell>
          <cell r="E52" t="str">
            <v>10.10.50.253</v>
          </cell>
          <cell r="H52" t="str">
            <v>50_ADLIYE_LOJMANI</v>
          </cell>
          <cell r="I52" t="str">
            <v>Aktif</v>
          </cell>
        </row>
        <row r="53">
          <cell r="B53">
            <v>51</v>
          </cell>
          <cell r="C53" t="str">
            <v>Fiber</v>
          </cell>
          <cell r="D53" t="str">
            <v>10.10.51.11</v>
          </cell>
          <cell r="E53" t="str">
            <v>10.10.51.253</v>
          </cell>
          <cell r="H53" t="str">
            <v>51_ADLIYE</v>
          </cell>
          <cell r="I53" t="str">
            <v>Aktif</v>
          </cell>
        </row>
        <row r="54">
          <cell r="B54">
            <v>52</v>
          </cell>
          <cell r="C54" t="str">
            <v>Fiber</v>
          </cell>
          <cell r="D54" t="str">
            <v>10.10.52.11</v>
          </cell>
          <cell r="E54" t="str">
            <v>10.10.52.253</v>
          </cell>
          <cell r="H54" t="str">
            <v>52_SIRINKOY_YOL_AYRIMI</v>
          </cell>
          <cell r="I54" t="str">
            <v>Aktif</v>
          </cell>
        </row>
        <row r="55">
          <cell r="B55">
            <v>53</v>
          </cell>
          <cell r="C55" t="str">
            <v>Fiber</v>
          </cell>
          <cell r="D55" t="str">
            <v>10.10.53.11</v>
          </cell>
          <cell r="E55" t="str">
            <v>10.10.53.253</v>
          </cell>
          <cell r="H55" t="str">
            <v>53_ALBENI_KAV</v>
          </cell>
          <cell r="I55" t="str">
            <v>Aktif</v>
          </cell>
        </row>
        <row r="56">
          <cell r="B56">
            <v>54</v>
          </cell>
          <cell r="C56" t="str">
            <v>Fiber</v>
          </cell>
          <cell r="D56" t="str">
            <v>10.10.54.11</v>
          </cell>
          <cell r="H56" t="str">
            <v>54_ESENTEPE_KAV</v>
          </cell>
          <cell r="I56" t="str">
            <v>Aktif</v>
          </cell>
        </row>
        <row r="57">
          <cell r="B57">
            <v>55</v>
          </cell>
          <cell r="C57" t="str">
            <v>Fiber</v>
          </cell>
          <cell r="D57" t="str">
            <v>10.10.55.11</v>
          </cell>
          <cell r="H57" t="str">
            <v>55_FABRIKALAR</v>
          </cell>
          <cell r="I57" t="str">
            <v>Aktif</v>
          </cell>
        </row>
        <row r="58">
          <cell r="B58">
            <v>56</v>
          </cell>
          <cell r="C58" t="str">
            <v>Fiber</v>
          </cell>
          <cell r="D58" t="str">
            <v>10.10.56.11</v>
          </cell>
          <cell r="E58" t="str">
            <v>10.10.56.253</v>
          </cell>
          <cell r="H58" t="str">
            <v>56_BAKIRLI_KOP_ALTI_KAV</v>
          </cell>
          <cell r="I58" t="str">
            <v>Aktif</v>
          </cell>
        </row>
        <row r="59">
          <cell r="B59">
            <v>57</v>
          </cell>
          <cell r="C59" t="str">
            <v>Fiber</v>
          </cell>
          <cell r="D59" t="str">
            <v>10.10.57.11</v>
          </cell>
          <cell r="E59" t="str">
            <v>10.10.57.253</v>
          </cell>
          <cell r="H59" t="str">
            <v>57_LEVAZIM</v>
          </cell>
          <cell r="I59" t="str">
            <v>Aktif</v>
          </cell>
        </row>
        <row r="60">
          <cell r="B60">
            <v>58</v>
          </cell>
          <cell r="C60" t="str">
            <v>Fiber</v>
          </cell>
          <cell r="D60" t="str">
            <v>10.10.58.11</v>
          </cell>
          <cell r="H60" t="str">
            <v>58_SUMERKAV_CAL_CAD</v>
          </cell>
          <cell r="I60" t="str">
            <v>Aktif</v>
          </cell>
        </row>
        <row r="61">
          <cell r="B61">
            <v>59</v>
          </cell>
          <cell r="C61" t="str">
            <v>Fiber</v>
          </cell>
          <cell r="D61" t="str">
            <v>10.10.59.11</v>
          </cell>
          <cell r="E61" t="str">
            <v>10.10.59.253</v>
          </cell>
          <cell r="H61" t="str">
            <v>59_CINKAYA_SAGLIK_OCAGI</v>
          </cell>
          <cell r="I61" t="str">
            <v>Aktif</v>
          </cell>
        </row>
        <row r="62">
          <cell r="B62">
            <v>60</v>
          </cell>
          <cell r="C62" t="str">
            <v>Fiber</v>
          </cell>
          <cell r="D62" t="str">
            <v>10.10.60.11</v>
          </cell>
          <cell r="H62" t="str">
            <v>60_AYDOGDU_CAMI</v>
          </cell>
          <cell r="I62" t="str">
            <v>Aktif</v>
          </cell>
        </row>
        <row r="63">
          <cell r="B63">
            <v>62</v>
          </cell>
          <cell r="C63" t="str">
            <v>Fiber</v>
          </cell>
          <cell r="D63" t="str">
            <v>10.10.62.11</v>
          </cell>
          <cell r="E63" t="str">
            <v>10.10.62.253</v>
          </cell>
          <cell r="H63" t="str">
            <v>62_AKCESME_KAV</v>
          </cell>
          <cell r="I63" t="str">
            <v>Aktif</v>
          </cell>
        </row>
        <row r="64">
          <cell r="B64">
            <v>63</v>
          </cell>
          <cell r="C64" t="str">
            <v>Fiber</v>
          </cell>
          <cell r="D64" t="str">
            <v>10.10.63.11</v>
          </cell>
          <cell r="E64" t="str">
            <v>10.10.63.253</v>
          </cell>
          <cell r="H64" t="str">
            <v>63_SADIKOGLU_KAV</v>
          </cell>
          <cell r="I64" t="str">
            <v>Aktif</v>
          </cell>
        </row>
        <row r="65">
          <cell r="B65">
            <v>64</v>
          </cell>
          <cell r="C65" t="str">
            <v>Fiber</v>
          </cell>
          <cell r="D65" t="str">
            <v>10.10.64.11</v>
          </cell>
          <cell r="E65" t="str">
            <v>10.10.64.253</v>
          </cell>
          <cell r="H65" t="str">
            <v>64_BAKIRLI_KAV</v>
          </cell>
          <cell r="I65" t="str">
            <v>Aktif</v>
          </cell>
        </row>
        <row r="66">
          <cell r="B66">
            <v>65</v>
          </cell>
          <cell r="C66" t="str">
            <v>Fiber</v>
          </cell>
          <cell r="D66" t="str">
            <v>10.10.65.11</v>
          </cell>
          <cell r="E66" t="str">
            <v>10.10.65.253</v>
          </cell>
          <cell r="H66" t="str">
            <v>65_SUMER_KAV</v>
          </cell>
          <cell r="I66" t="str">
            <v>Aktif</v>
          </cell>
        </row>
        <row r="67">
          <cell r="B67">
            <v>66</v>
          </cell>
          <cell r="C67" t="str">
            <v>Fiber</v>
          </cell>
          <cell r="D67" t="str">
            <v>10.10.66.11</v>
          </cell>
          <cell r="E67" t="str">
            <v>10.10.66.253</v>
          </cell>
          <cell r="H67" t="str">
            <v>66_ISTASYON</v>
          </cell>
          <cell r="I67" t="str">
            <v>Aktif</v>
          </cell>
        </row>
        <row r="68">
          <cell r="B68">
            <v>67</v>
          </cell>
          <cell r="C68" t="str">
            <v>Fiber</v>
          </cell>
          <cell r="D68" t="str">
            <v>10.10.67.11</v>
          </cell>
          <cell r="E68" t="str">
            <v>10.10.67.253</v>
          </cell>
          <cell r="H68" t="str">
            <v>67_UCGEN</v>
          </cell>
          <cell r="I68" t="str">
            <v>Aktif</v>
          </cell>
        </row>
        <row r="69">
          <cell r="B69">
            <v>68</v>
          </cell>
          <cell r="C69" t="str">
            <v>Fiber</v>
          </cell>
          <cell r="D69" t="str">
            <v>10.10.68.11</v>
          </cell>
          <cell r="E69" t="str">
            <v>10.10.68.253</v>
          </cell>
          <cell r="H69" t="str">
            <v>68_ZEYBEK</v>
          </cell>
          <cell r="I69" t="str">
            <v>Aktif</v>
          </cell>
        </row>
        <row r="70">
          <cell r="B70">
            <v>69</v>
          </cell>
          <cell r="C70" t="str">
            <v>Fiber</v>
          </cell>
          <cell r="D70" t="str">
            <v>10.10.69.11</v>
          </cell>
          <cell r="E70" t="str">
            <v>10.10.69.253</v>
          </cell>
          <cell r="H70" t="str">
            <v>69_AKKALE</v>
          </cell>
          <cell r="I70" t="str">
            <v>Aktif</v>
          </cell>
        </row>
        <row r="71">
          <cell r="B71">
            <v>70</v>
          </cell>
          <cell r="C71" t="str">
            <v>Fiber</v>
          </cell>
          <cell r="D71" t="str">
            <v>10.10.70.11</v>
          </cell>
          <cell r="E71" t="str">
            <v>10.10.70.253</v>
          </cell>
          <cell r="H71" t="str">
            <v>70_SEVINDIK_KOPRULU_KAV</v>
          </cell>
          <cell r="I71" t="str">
            <v>Aktif</v>
          </cell>
        </row>
        <row r="72">
          <cell r="B72">
            <v>71</v>
          </cell>
          <cell r="C72" t="str">
            <v>Fiber</v>
          </cell>
          <cell r="D72" t="str">
            <v>10.10.71.11</v>
          </cell>
          <cell r="E72" t="str">
            <v>10.10.71.253</v>
          </cell>
          <cell r="H72" t="str">
            <v>71_GUZELKOY</v>
          </cell>
          <cell r="I72" t="str">
            <v>Aktif</v>
          </cell>
        </row>
        <row r="73">
          <cell r="B73">
            <v>72</v>
          </cell>
          <cell r="C73" t="str">
            <v>Fiber</v>
          </cell>
          <cell r="D73" t="str">
            <v>10.10.72.11</v>
          </cell>
          <cell r="E73" t="str">
            <v>10.10.72.253</v>
          </cell>
          <cell r="H73" t="str">
            <v>72_EMNIYET_KAV</v>
          </cell>
          <cell r="I73" t="str">
            <v>Aktif</v>
          </cell>
        </row>
        <row r="74">
          <cell r="B74">
            <v>73</v>
          </cell>
          <cell r="C74" t="str">
            <v>Fiber</v>
          </cell>
          <cell r="D74" t="str">
            <v>10.10.73.11</v>
          </cell>
          <cell r="E74" t="str">
            <v>10.10.73.253</v>
          </cell>
          <cell r="H74" t="str">
            <v>73_FATIH_KAV</v>
          </cell>
          <cell r="I74" t="str">
            <v>Aktif</v>
          </cell>
        </row>
        <row r="75">
          <cell r="B75">
            <v>74</v>
          </cell>
          <cell r="C75" t="str">
            <v>Fiber</v>
          </cell>
          <cell r="D75" t="str">
            <v>10.10.74.11</v>
          </cell>
          <cell r="E75" t="str">
            <v>10.10.74.253</v>
          </cell>
          <cell r="H75" t="str">
            <v>74_ULUS_KAV</v>
          </cell>
          <cell r="I75" t="str">
            <v>Aktif</v>
          </cell>
        </row>
        <row r="76">
          <cell r="B76">
            <v>75</v>
          </cell>
          <cell r="C76" t="str">
            <v>Fiber</v>
          </cell>
          <cell r="D76" t="str">
            <v>10.10.75.11</v>
          </cell>
          <cell r="E76" t="str">
            <v>10.10.75.253</v>
          </cell>
          <cell r="H76" t="str">
            <v>75_PEKDEMIR_KAV</v>
          </cell>
          <cell r="I76" t="str">
            <v>Aktif</v>
          </cell>
        </row>
        <row r="77">
          <cell r="B77">
            <v>76</v>
          </cell>
          <cell r="C77" t="str">
            <v>Fiber</v>
          </cell>
          <cell r="D77" t="str">
            <v>10.10.76.11</v>
          </cell>
          <cell r="E77" t="str">
            <v>10.10.76.253</v>
          </cell>
          <cell r="H77" t="str">
            <v>76_KALP_MERKEZI</v>
          </cell>
          <cell r="I77" t="str">
            <v>Aktif</v>
          </cell>
        </row>
        <row r="78">
          <cell r="B78">
            <v>77</v>
          </cell>
          <cell r="C78" t="str">
            <v>Fiber</v>
          </cell>
          <cell r="D78" t="str">
            <v>10.10.77.11</v>
          </cell>
          <cell r="E78" t="str">
            <v>10.10.77.253</v>
          </cell>
          <cell r="H78" t="str">
            <v>77_YUKSEKTEPE</v>
          </cell>
          <cell r="I78" t="str">
            <v>Aktif</v>
          </cell>
        </row>
        <row r="79">
          <cell r="B79">
            <v>78</v>
          </cell>
          <cell r="C79" t="str">
            <v>Fiber</v>
          </cell>
          <cell r="D79" t="str">
            <v>10.10.78.11</v>
          </cell>
          <cell r="E79" t="str">
            <v>10.10.78.253</v>
          </cell>
          <cell r="H79" t="str">
            <v>78_BAGBASI</v>
          </cell>
          <cell r="I79" t="str">
            <v>Aktif</v>
          </cell>
        </row>
        <row r="80">
          <cell r="B80">
            <v>79</v>
          </cell>
          <cell r="C80" t="str">
            <v>Fiber</v>
          </cell>
          <cell r="D80" t="str">
            <v>10.10.79.11</v>
          </cell>
          <cell r="E80" t="str">
            <v>10.10.79.253</v>
          </cell>
          <cell r="H80" t="str">
            <v>79_KENT_ORMANI</v>
          </cell>
          <cell r="I80" t="str">
            <v>Aktif</v>
          </cell>
        </row>
        <row r="81">
          <cell r="B81">
            <v>80</v>
          </cell>
          <cell r="C81" t="str">
            <v>Fiber</v>
          </cell>
          <cell r="D81" t="str">
            <v>10.10.80.11</v>
          </cell>
          <cell r="E81" t="str">
            <v>10.10.80.253</v>
          </cell>
          <cell r="H81" t="str">
            <v>80_KELLECI_KAV</v>
          </cell>
          <cell r="I81" t="str">
            <v>Aktif</v>
          </cell>
        </row>
        <row r="82">
          <cell r="B82">
            <v>81</v>
          </cell>
          <cell r="C82" t="str">
            <v>Fiber</v>
          </cell>
          <cell r="D82" t="str">
            <v>10.10.81.11</v>
          </cell>
          <cell r="E82" t="str">
            <v>10.10.81.253</v>
          </cell>
          <cell r="H82" t="str">
            <v>81_KASAPLAR</v>
          </cell>
          <cell r="I82" t="str">
            <v>Aktif</v>
          </cell>
        </row>
        <row r="83">
          <cell r="B83">
            <v>82</v>
          </cell>
          <cell r="C83" t="str">
            <v>Fiber</v>
          </cell>
          <cell r="D83" t="str">
            <v>10.10.82.11</v>
          </cell>
          <cell r="E83" t="str">
            <v>10.10.82.253</v>
          </cell>
          <cell r="H83" t="str">
            <v>82_EMSAN_KAVSAGI</v>
          </cell>
          <cell r="I83" t="str">
            <v>Aktif</v>
          </cell>
        </row>
        <row r="84">
          <cell r="B84">
            <v>83</v>
          </cell>
          <cell r="C84" t="str">
            <v>Fiber</v>
          </cell>
          <cell r="D84" t="str">
            <v>10.10.83.11</v>
          </cell>
          <cell r="E84" t="str">
            <v>10.10.83.253</v>
          </cell>
          <cell r="H84" t="str">
            <v>83_TICARET_BORSASI</v>
          </cell>
          <cell r="I84" t="str">
            <v>Aktif</v>
          </cell>
        </row>
        <row r="85">
          <cell r="B85">
            <v>87</v>
          </cell>
          <cell r="C85" t="str">
            <v>Fiber</v>
          </cell>
          <cell r="D85" t="str">
            <v>10.10.87.11</v>
          </cell>
          <cell r="E85" t="str">
            <v>10.10.87.253</v>
          </cell>
          <cell r="H85" t="str">
            <v>87_INONU_CAMLIK</v>
          </cell>
          <cell r="I85" t="str">
            <v>Aktif</v>
          </cell>
        </row>
        <row r="86">
          <cell r="B86">
            <v>88</v>
          </cell>
          <cell r="C86" t="str">
            <v>Fiber</v>
          </cell>
          <cell r="D86" t="str">
            <v>10.10.88.11</v>
          </cell>
          <cell r="E86" t="str">
            <v>10.10.88.253</v>
          </cell>
          <cell r="H86" t="str">
            <v>88_EMEK_CAMLIK</v>
          </cell>
          <cell r="I86" t="str">
            <v>Aktif</v>
          </cell>
        </row>
        <row r="87">
          <cell r="B87">
            <v>89</v>
          </cell>
          <cell r="C87" t="str">
            <v>Fiber</v>
          </cell>
          <cell r="D87" t="str">
            <v>10.10.63.12</v>
          </cell>
          <cell r="E87" t="str">
            <v>10.10.63.253</v>
          </cell>
          <cell r="H87" t="str">
            <v>89_ERTUGRULGAZI</v>
          </cell>
          <cell r="I87" t="str">
            <v>Aktif</v>
          </cell>
        </row>
        <row r="88">
          <cell r="B88">
            <v>97</v>
          </cell>
          <cell r="C88" t="str">
            <v>Fiber</v>
          </cell>
          <cell r="D88" t="str">
            <v>10.10.48.12</v>
          </cell>
          <cell r="E88" t="str">
            <v>10.10.48.253</v>
          </cell>
          <cell r="H88" t="str">
            <v>97_CEVIKKUVVET</v>
          </cell>
          <cell r="I88" t="str">
            <v>Aktif</v>
          </cell>
        </row>
        <row r="89">
          <cell r="B89">
            <v>98</v>
          </cell>
          <cell r="C89" t="str">
            <v>Anten</v>
          </cell>
          <cell r="D89" t="str">
            <v>10.10.44.12</v>
          </cell>
          <cell r="E89" t="str">
            <v>10.10.44.253</v>
          </cell>
          <cell r="H89" t="str">
            <v>98_GERZELE</v>
          </cell>
          <cell r="I89" t="str">
            <v>Aktif</v>
          </cell>
        </row>
        <row r="90">
          <cell r="B90">
            <v>104</v>
          </cell>
          <cell r="C90" t="str">
            <v>Anten</v>
          </cell>
          <cell r="D90" t="str">
            <v>10.10.20.12</v>
          </cell>
          <cell r="H90" t="str">
            <v>104_1.SANAYİ_KÖPRÜSÜ</v>
          </cell>
          <cell r="I90" t="str">
            <v>Aktif</v>
          </cell>
        </row>
        <row r="91">
          <cell r="B91">
            <v>105</v>
          </cell>
          <cell r="C91" t="str">
            <v>Anten</v>
          </cell>
          <cell r="D91" t="str">
            <v>10.10.53.12</v>
          </cell>
          <cell r="H91" t="str">
            <v>105_TEKDEN_KAV</v>
          </cell>
          <cell r="I91" t="str">
            <v>Aktif</v>
          </cell>
        </row>
        <row r="92">
          <cell r="B92" t="str">
            <v>000</v>
          </cell>
          <cell r="C92" t="str">
            <v>Fiber</v>
          </cell>
          <cell r="D92" t="str">
            <v>10.10.66.12</v>
          </cell>
          <cell r="H92" t="str">
            <v>000_ISTASYON_HAREKETLI</v>
          </cell>
          <cell r="I92" t="str">
            <v>Aktif</v>
          </cell>
        </row>
        <row r="93">
          <cell r="B93" t="str">
            <v>001</v>
          </cell>
          <cell r="C93" t="str">
            <v>Anten</v>
          </cell>
          <cell r="D93" t="str">
            <v>10.10.68.12</v>
          </cell>
          <cell r="H93" t="str">
            <v>001_UCGEN_KOPRUSU</v>
          </cell>
          <cell r="I93" t="str">
            <v>Aktif</v>
          </cell>
        </row>
        <row r="94">
          <cell r="B94" t="str">
            <v>002</v>
          </cell>
          <cell r="C94" t="str">
            <v>Fiber</v>
          </cell>
          <cell r="D94" t="str">
            <v>10.10.72.12</v>
          </cell>
          <cell r="H94" t="str">
            <v>002_EMNIYET_HAREKETLI</v>
          </cell>
          <cell r="I94" t="str">
            <v>Aktif</v>
          </cell>
        </row>
        <row r="95">
          <cell r="B95" t="str">
            <v>003</v>
          </cell>
          <cell r="C95" t="str">
            <v>Fiber</v>
          </cell>
          <cell r="D95" t="str">
            <v>10.10.16.12</v>
          </cell>
          <cell r="H95" t="str">
            <v>003_HACILAR_CAMİ_HAREKETLI</v>
          </cell>
          <cell r="I95" t="str">
            <v>Aktif</v>
          </cell>
        </row>
        <row r="96">
          <cell r="B96" t="str">
            <v>004</v>
          </cell>
          <cell r="C96" t="str">
            <v>Anten</v>
          </cell>
          <cell r="D96" t="str">
            <v>10.10.65.15</v>
          </cell>
          <cell r="H96" t="str">
            <v>004_SUMER_KOPRU_ALTI</v>
          </cell>
          <cell r="I96" t="str">
            <v>Aktif</v>
          </cell>
        </row>
        <row r="97">
          <cell r="B97" t="str">
            <v>005</v>
          </cell>
          <cell r="C97" t="str">
            <v>Fiber</v>
          </cell>
          <cell r="D97" t="str">
            <v>10.10.74.12</v>
          </cell>
          <cell r="H97" t="str">
            <v>005_ULUS_HAREKETLI</v>
          </cell>
          <cell r="I97" t="str">
            <v>Aktif</v>
          </cell>
        </row>
        <row r="98">
          <cell r="B98">
            <v>108</v>
          </cell>
          <cell r="C98" t="str">
            <v>Anten</v>
          </cell>
          <cell r="D98" t="str">
            <v>10.10.51.12</v>
          </cell>
          <cell r="H98" t="str">
            <v>108_29EKİMBAHÇELİEVLER</v>
          </cell>
          <cell r="I98" t="str">
            <v>Aktif</v>
          </cell>
        </row>
        <row r="99">
          <cell r="E99" t="str">
            <v>10.10.19.253</v>
          </cell>
          <cell r="F99" t="str">
            <v>10.10.19.201</v>
          </cell>
          <cell r="G99" t="str">
            <v>10.10.19.200</v>
          </cell>
          <cell r="H99" t="str">
            <v>006_EskiCezaevi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/>
  </sheetPr>
  <dimension ref="A1:I179"/>
  <sheetViews>
    <sheetView workbookViewId="0">
      <selection activeCell="C30" sqref="C30"/>
    </sheetView>
  </sheetViews>
  <sheetFormatPr defaultRowHeight="15"/>
  <cols>
    <col min="1" max="1" width="4.42578125" customWidth="1"/>
    <col min="2" max="2" width="22.140625" customWidth="1"/>
    <col min="3" max="3" width="29.140625" bestFit="1" customWidth="1"/>
    <col min="4" max="4" width="9.7109375" customWidth="1"/>
    <col min="5" max="5" width="7.7109375" customWidth="1"/>
    <col min="6" max="6" width="9.140625" hidden="1" customWidth="1"/>
    <col min="7" max="7" width="8" customWidth="1"/>
    <col min="8" max="8" width="8.42578125" customWidth="1"/>
    <col min="9" max="9" width="8.5703125" customWidth="1"/>
  </cols>
  <sheetData>
    <row r="1" spans="1:9">
      <c r="A1" s="128" t="s">
        <v>149</v>
      </c>
      <c r="B1" s="129"/>
      <c r="C1" s="129"/>
      <c r="D1" s="129"/>
      <c r="E1" s="129"/>
      <c r="F1" s="129"/>
      <c r="G1" s="129"/>
      <c r="H1" s="129"/>
      <c r="I1" s="130"/>
    </row>
    <row r="2" spans="1:9">
      <c r="A2" s="13"/>
      <c r="B2" s="136" t="s">
        <v>150</v>
      </c>
      <c r="C2" s="136" t="s">
        <v>151</v>
      </c>
      <c r="D2" s="19" t="s">
        <v>360</v>
      </c>
      <c r="E2" s="14" t="s">
        <v>352</v>
      </c>
      <c r="F2" s="2"/>
      <c r="G2" s="15" t="s">
        <v>353</v>
      </c>
      <c r="H2" s="135" t="s">
        <v>224</v>
      </c>
      <c r="I2" s="135" t="s">
        <v>350</v>
      </c>
    </row>
    <row r="3" spans="1:9" ht="16.5" customHeight="1">
      <c r="A3" s="8"/>
      <c r="B3" s="132"/>
      <c r="C3" s="132"/>
      <c r="D3" s="12" t="s">
        <v>361</v>
      </c>
      <c r="E3" s="10" t="s">
        <v>351</v>
      </c>
      <c r="F3" s="2"/>
      <c r="G3" s="11" t="s">
        <v>354</v>
      </c>
      <c r="H3" s="134"/>
      <c r="I3" s="134"/>
    </row>
    <row r="4" spans="1:9">
      <c r="A4" s="8" t="s">
        <v>0</v>
      </c>
      <c r="B4" s="9" t="s">
        <v>153</v>
      </c>
      <c r="C4" s="9" t="s">
        <v>225</v>
      </c>
      <c r="D4" s="9" t="s">
        <v>82</v>
      </c>
      <c r="E4" s="9" t="s">
        <v>154</v>
      </c>
      <c r="F4" s="3"/>
      <c r="G4" s="9">
        <v>10</v>
      </c>
      <c r="H4" s="9">
        <v>16</v>
      </c>
      <c r="I4" s="9"/>
    </row>
    <row r="5" spans="1:9">
      <c r="A5" s="1" t="s">
        <v>1</v>
      </c>
      <c r="B5" s="5"/>
      <c r="C5" s="5" t="s">
        <v>226</v>
      </c>
      <c r="D5" s="5" t="s">
        <v>82</v>
      </c>
      <c r="E5" s="5" t="s">
        <v>154</v>
      </c>
      <c r="F5" s="3"/>
      <c r="G5" s="5">
        <v>10</v>
      </c>
      <c r="H5" s="5">
        <v>12</v>
      </c>
      <c r="I5" s="5"/>
    </row>
    <row r="6" spans="1:9">
      <c r="A6" s="1" t="s">
        <v>2</v>
      </c>
      <c r="B6" s="5"/>
      <c r="C6" s="5" t="s">
        <v>227</v>
      </c>
      <c r="D6" s="5" t="s">
        <v>82</v>
      </c>
      <c r="E6" s="5" t="s">
        <v>154</v>
      </c>
      <c r="F6" s="3"/>
      <c r="G6" s="5">
        <v>10</v>
      </c>
      <c r="H6" s="5">
        <v>12</v>
      </c>
      <c r="I6" s="5" t="s">
        <v>364</v>
      </c>
    </row>
    <row r="7" spans="1:9">
      <c r="A7" s="1" t="s">
        <v>3</v>
      </c>
      <c r="B7" s="5"/>
      <c r="C7" s="5" t="s">
        <v>228</v>
      </c>
      <c r="D7" s="5" t="s">
        <v>82</v>
      </c>
      <c r="E7" s="5" t="s">
        <v>155</v>
      </c>
      <c r="F7" s="4"/>
      <c r="G7" s="1">
        <v>12</v>
      </c>
      <c r="H7" s="1">
        <v>12</v>
      </c>
      <c r="I7" s="1"/>
    </row>
    <row r="8" spans="1:9">
      <c r="A8" s="1" t="s">
        <v>4</v>
      </c>
      <c r="B8" s="5"/>
      <c r="C8" s="5" t="s">
        <v>229</v>
      </c>
      <c r="D8" s="5" t="s">
        <v>82</v>
      </c>
      <c r="E8" s="5" t="s">
        <v>155</v>
      </c>
      <c r="F8" s="4"/>
      <c r="G8" s="1">
        <v>10</v>
      </c>
      <c r="H8" s="1">
        <v>16</v>
      </c>
      <c r="I8" s="1"/>
    </row>
    <row r="9" spans="1:9">
      <c r="A9" s="1" t="s">
        <v>5</v>
      </c>
      <c r="B9" s="5"/>
      <c r="C9" s="5" t="s">
        <v>230</v>
      </c>
      <c r="D9" s="5" t="s">
        <v>82</v>
      </c>
      <c r="E9" s="5" t="s">
        <v>155</v>
      </c>
      <c r="F9" s="4"/>
      <c r="G9" s="1">
        <v>7</v>
      </c>
      <c r="H9" s="1">
        <v>16</v>
      </c>
      <c r="I9" s="1" t="s">
        <v>364</v>
      </c>
    </row>
    <row r="10" spans="1:9">
      <c r="A10" s="1" t="s">
        <v>6</v>
      </c>
      <c r="B10" s="5"/>
      <c r="C10" s="5" t="s">
        <v>231</v>
      </c>
      <c r="D10" s="5" t="s">
        <v>82</v>
      </c>
      <c r="E10" s="5" t="s">
        <v>155</v>
      </c>
      <c r="F10" s="4"/>
      <c r="G10" s="1">
        <v>12</v>
      </c>
      <c r="H10" s="1">
        <v>16</v>
      </c>
      <c r="I10" s="1"/>
    </row>
    <row r="11" spans="1:9">
      <c r="A11" s="1" t="s">
        <v>7</v>
      </c>
      <c r="B11" s="5"/>
      <c r="C11" s="5" t="s">
        <v>232</v>
      </c>
      <c r="D11" s="5" t="s">
        <v>82</v>
      </c>
      <c r="E11" s="5" t="s">
        <v>155</v>
      </c>
      <c r="F11" s="4"/>
      <c r="G11" s="1">
        <v>15</v>
      </c>
      <c r="H11" s="1">
        <v>16</v>
      </c>
      <c r="I11" s="1" t="s">
        <v>364</v>
      </c>
    </row>
    <row r="12" spans="1:9">
      <c r="A12" s="1" t="s">
        <v>8</v>
      </c>
      <c r="B12" s="5"/>
      <c r="C12" s="5" t="s">
        <v>233</v>
      </c>
      <c r="D12" s="5" t="s">
        <v>82</v>
      </c>
      <c r="E12" s="5" t="s">
        <v>155</v>
      </c>
      <c r="F12" s="3"/>
      <c r="G12" s="1">
        <v>19</v>
      </c>
      <c r="H12" s="1">
        <v>24</v>
      </c>
      <c r="I12" s="1"/>
    </row>
    <row r="13" spans="1:9">
      <c r="A13" s="1" t="s">
        <v>9</v>
      </c>
      <c r="B13" s="5"/>
      <c r="C13" s="5" t="s">
        <v>234</v>
      </c>
      <c r="D13" s="5" t="s">
        <v>82</v>
      </c>
      <c r="E13" s="5" t="s">
        <v>155</v>
      </c>
      <c r="F13" s="4"/>
      <c r="G13" s="1">
        <v>4</v>
      </c>
      <c r="H13" s="1">
        <v>12</v>
      </c>
      <c r="I13" s="1"/>
    </row>
    <row r="14" spans="1:9">
      <c r="A14" s="1" t="s">
        <v>10</v>
      </c>
      <c r="B14" s="5" t="s">
        <v>156</v>
      </c>
      <c r="C14" s="5" t="s">
        <v>235</v>
      </c>
      <c r="D14" s="5" t="s">
        <v>82</v>
      </c>
      <c r="E14" s="5" t="s">
        <v>155</v>
      </c>
      <c r="G14" s="1">
        <v>16</v>
      </c>
      <c r="H14" s="1">
        <v>16</v>
      </c>
      <c r="I14" s="1" t="s">
        <v>364</v>
      </c>
    </row>
    <row r="15" spans="1:9">
      <c r="A15" s="1" t="s">
        <v>11</v>
      </c>
      <c r="B15" s="5" t="s">
        <v>173</v>
      </c>
      <c r="C15" s="5" t="s">
        <v>174</v>
      </c>
      <c r="D15" s="5" t="s">
        <v>82</v>
      </c>
      <c r="E15" s="5" t="s">
        <v>49</v>
      </c>
      <c r="G15" s="1">
        <v>4</v>
      </c>
      <c r="H15" s="1">
        <v>4</v>
      </c>
      <c r="I15" s="1"/>
    </row>
    <row r="16" spans="1:9">
      <c r="A16" s="1" t="s">
        <v>12</v>
      </c>
      <c r="B16" s="5" t="s">
        <v>156</v>
      </c>
      <c r="C16" s="5" t="s">
        <v>236</v>
      </c>
      <c r="D16" s="5" t="s">
        <v>82</v>
      </c>
      <c r="E16" s="5" t="s">
        <v>155</v>
      </c>
      <c r="G16" s="1">
        <v>10</v>
      </c>
      <c r="H16" s="1">
        <v>16</v>
      </c>
      <c r="I16" s="1"/>
    </row>
    <row r="17" spans="1:9">
      <c r="A17" s="1" t="s">
        <v>13</v>
      </c>
      <c r="B17" s="5" t="s">
        <v>157</v>
      </c>
      <c r="C17" s="5" t="s">
        <v>362</v>
      </c>
      <c r="D17" s="5" t="s">
        <v>158</v>
      </c>
      <c r="E17" s="5" t="s">
        <v>159</v>
      </c>
      <c r="G17" s="1">
        <v>6</v>
      </c>
      <c r="H17" s="1">
        <v>24</v>
      </c>
      <c r="I17" s="1"/>
    </row>
    <row r="18" spans="1:9">
      <c r="A18" s="1" t="s">
        <v>14</v>
      </c>
      <c r="B18" s="5" t="s">
        <v>156</v>
      </c>
      <c r="C18" s="5" t="s">
        <v>237</v>
      </c>
      <c r="D18" s="5" t="s">
        <v>82</v>
      </c>
      <c r="E18" s="5" t="s">
        <v>155</v>
      </c>
      <c r="G18" s="1">
        <v>10</v>
      </c>
      <c r="H18" s="1">
        <v>16</v>
      </c>
      <c r="I18" s="1"/>
    </row>
    <row r="19" spans="1:9">
      <c r="A19" s="1" t="s">
        <v>15</v>
      </c>
      <c r="B19" s="5" t="s">
        <v>156</v>
      </c>
      <c r="C19" s="5" t="s">
        <v>363</v>
      </c>
      <c r="D19" s="5" t="s">
        <v>82</v>
      </c>
      <c r="E19" s="5" t="s">
        <v>155</v>
      </c>
      <c r="G19" s="1">
        <v>8</v>
      </c>
      <c r="H19" s="1">
        <v>16</v>
      </c>
      <c r="I19" s="1"/>
    </row>
    <row r="20" spans="1:9">
      <c r="A20" s="1" t="s">
        <v>16</v>
      </c>
      <c r="B20" s="5" t="s">
        <v>160</v>
      </c>
      <c r="C20" s="5" t="s">
        <v>238</v>
      </c>
      <c r="D20" s="5" t="s">
        <v>82</v>
      </c>
      <c r="E20" s="5" t="s">
        <v>155</v>
      </c>
      <c r="G20" s="1">
        <v>8</v>
      </c>
      <c r="H20" s="1">
        <v>16</v>
      </c>
      <c r="I20" s="1"/>
    </row>
    <row r="21" spans="1:9">
      <c r="A21" s="1" t="s">
        <v>17</v>
      </c>
      <c r="B21" s="5" t="s">
        <v>161</v>
      </c>
      <c r="C21" s="5" t="s">
        <v>239</v>
      </c>
      <c r="D21" s="5" t="s">
        <v>82</v>
      </c>
      <c r="E21" s="5" t="s">
        <v>155</v>
      </c>
      <c r="F21" s="3"/>
      <c r="G21" s="1">
        <v>8</v>
      </c>
      <c r="H21" s="1">
        <v>16</v>
      </c>
      <c r="I21" s="1"/>
    </row>
    <row r="22" spans="1:9">
      <c r="A22" s="1" t="s">
        <v>18</v>
      </c>
      <c r="B22" s="5"/>
      <c r="C22" s="5" t="s">
        <v>240</v>
      </c>
      <c r="D22" s="5" t="s">
        <v>82</v>
      </c>
      <c r="E22" s="5" t="s">
        <v>155</v>
      </c>
      <c r="F22" s="3"/>
      <c r="G22" s="1">
        <v>13</v>
      </c>
      <c r="H22" s="1">
        <v>16</v>
      </c>
      <c r="I22" s="1"/>
    </row>
    <row r="23" spans="1:9">
      <c r="A23" s="1" t="s">
        <v>19</v>
      </c>
      <c r="B23" s="5"/>
      <c r="C23" s="5" t="s">
        <v>241</v>
      </c>
      <c r="D23" s="5" t="s">
        <v>158</v>
      </c>
      <c r="E23" s="5" t="s">
        <v>154</v>
      </c>
      <c r="F23" s="3"/>
      <c r="G23" s="5">
        <v>8</v>
      </c>
      <c r="H23" s="5">
        <v>24</v>
      </c>
      <c r="I23" s="5"/>
    </row>
    <row r="24" spans="1:9">
      <c r="A24" s="1" t="s">
        <v>20</v>
      </c>
      <c r="B24" s="5"/>
      <c r="C24" s="5" t="s">
        <v>242</v>
      </c>
      <c r="D24" s="5" t="s">
        <v>158</v>
      </c>
      <c r="E24" s="5" t="s">
        <v>154</v>
      </c>
      <c r="F24" s="3"/>
      <c r="G24" s="5">
        <v>8</v>
      </c>
      <c r="H24" s="5">
        <v>24</v>
      </c>
      <c r="I24" s="5"/>
    </row>
    <row r="25" spans="1:9">
      <c r="A25" s="1" t="s">
        <v>21</v>
      </c>
      <c r="B25" s="5"/>
      <c r="C25" s="5" t="s">
        <v>243</v>
      </c>
      <c r="D25" s="5" t="s">
        <v>158</v>
      </c>
      <c r="E25" s="5" t="s">
        <v>154</v>
      </c>
      <c r="F25" s="3"/>
      <c r="G25" s="5">
        <v>12</v>
      </c>
      <c r="H25" s="5">
        <v>24</v>
      </c>
      <c r="I25" s="5"/>
    </row>
    <row r="26" spans="1:9">
      <c r="A26" s="1" t="s">
        <v>22</v>
      </c>
      <c r="B26" s="5" t="s">
        <v>162</v>
      </c>
      <c r="C26" s="5" t="s">
        <v>244</v>
      </c>
      <c r="D26" s="5" t="s">
        <v>82</v>
      </c>
      <c r="E26" s="5" t="s">
        <v>155</v>
      </c>
      <c r="F26" s="2"/>
      <c r="G26" s="1">
        <v>8</v>
      </c>
      <c r="H26" s="1">
        <v>16</v>
      </c>
      <c r="I26" s="1"/>
    </row>
    <row r="27" spans="1:9">
      <c r="A27" s="1" t="s">
        <v>23</v>
      </c>
      <c r="B27" s="5"/>
      <c r="C27" s="5" t="s">
        <v>245</v>
      </c>
      <c r="D27" s="5" t="s">
        <v>82</v>
      </c>
      <c r="E27" s="5" t="s">
        <v>155</v>
      </c>
      <c r="F27" s="3"/>
      <c r="G27" s="1">
        <v>6</v>
      </c>
      <c r="H27" s="1">
        <v>24</v>
      </c>
      <c r="I27" s="1"/>
    </row>
    <row r="28" spans="1:9">
      <c r="A28" s="1"/>
      <c r="B28" s="5"/>
      <c r="C28" s="5" t="s">
        <v>1218</v>
      </c>
      <c r="D28" s="5" t="s">
        <v>82</v>
      </c>
      <c r="E28" s="5" t="s">
        <v>49</v>
      </c>
      <c r="F28" s="3"/>
      <c r="G28" s="1">
        <v>2</v>
      </c>
      <c r="H28" s="1">
        <v>16</v>
      </c>
      <c r="I28" s="1"/>
    </row>
    <row r="29" spans="1:9">
      <c r="A29" s="1"/>
      <c r="B29" s="5"/>
      <c r="C29" s="5" t="s">
        <v>1219</v>
      </c>
      <c r="D29" s="5" t="s">
        <v>82</v>
      </c>
      <c r="E29" s="5" t="s">
        <v>49</v>
      </c>
      <c r="F29" s="3"/>
      <c r="G29" s="1">
        <v>2</v>
      </c>
      <c r="H29" s="1">
        <v>16</v>
      </c>
      <c r="I29" s="1"/>
    </row>
    <row r="30" spans="1:9">
      <c r="A30" s="1" t="s">
        <v>24</v>
      </c>
      <c r="B30" s="5" t="s">
        <v>163</v>
      </c>
      <c r="C30" s="5" t="s">
        <v>246</v>
      </c>
      <c r="D30" s="5" t="s">
        <v>82</v>
      </c>
      <c r="E30" s="5" t="s">
        <v>155</v>
      </c>
      <c r="F30" s="3"/>
      <c r="G30" s="1">
        <v>14</v>
      </c>
      <c r="H30" s="1">
        <v>16</v>
      </c>
      <c r="I30" s="1"/>
    </row>
    <row r="31" spans="1:9">
      <c r="A31" s="1" t="s">
        <v>25</v>
      </c>
      <c r="B31" s="5"/>
      <c r="C31" s="5" t="s">
        <v>247</v>
      </c>
      <c r="D31" s="5" t="s">
        <v>82</v>
      </c>
      <c r="E31" s="5" t="s">
        <v>155</v>
      </c>
      <c r="F31" s="3"/>
      <c r="G31" s="1">
        <v>12</v>
      </c>
      <c r="H31" s="1">
        <v>12</v>
      </c>
      <c r="I31" s="1"/>
    </row>
    <row r="32" spans="1:9">
      <c r="A32" s="1" t="s">
        <v>26</v>
      </c>
      <c r="B32" s="5"/>
      <c r="C32" s="5" t="s">
        <v>248</v>
      </c>
      <c r="D32" s="5" t="s">
        <v>82</v>
      </c>
      <c r="E32" s="5" t="s">
        <v>155</v>
      </c>
      <c r="F32" s="3"/>
      <c r="G32" s="1">
        <v>7</v>
      </c>
      <c r="H32" s="1">
        <v>16</v>
      </c>
      <c r="I32" s="1" t="s">
        <v>364</v>
      </c>
    </row>
    <row r="33" spans="1:9">
      <c r="A33" s="1" t="s">
        <v>27</v>
      </c>
      <c r="B33" s="5"/>
      <c r="C33" s="5" t="s">
        <v>249</v>
      </c>
      <c r="D33" s="5" t="s">
        <v>82</v>
      </c>
      <c r="E33" s="5" t="s">
        <v>155</v>
      </c>
      <c r="F33" s="4"/>
      <c r="G33" s="1">
        <v>12</v>
      </c>
      <c r="H33" s="1">
        <v>12</v>
      </c>
      <c r="I33" s="1"/>
    </row>
    <row r="34" spans="1:9">
      <c r="A34" s="1" t="s">
        <v>28</v>
      </c>
      <c r="B34" s="5"/>
      <c r="C34" s="5" t="s">
        <v>250</v>
      </c>
      <c r="D34" s="5" t="s">
        <v>82</v>
      </c>
      <c r="E34" s="5" t="s">
        <v>155</v>
      </c>
      <c r="F34" s="2"/>
      <c r="G34" s="1">
        <v>12</v>
      </c>
      <c r="H34" s="1">
        <v>16</v>
      </c>
      <c r="I34" s="1" t="s">
        <v>364</v>
      </c>
    </row>
    <row r="35" spans="1:9">
      <c r="A35" s="1" t="s">
        <v>29</v>
      </c>
      <c r="B35" s="5"/>
      <c r="C35" s="5" t="s">
        <v>251</v>
      </c>
      <c r="D35" s="5" t="s">
        <v>82</v>
      </c>
      <c r="E35" s="5" t="s">
        <v>155</v>
      </c>
      <c r="F35" s="2"/>
      <c r="G35" s="1">
        <v>10</v>
      </c>
      <c r="H35" s="1">
        <v>12</v>
      </c>
      <c r="I35" s="1"/>
    </row>
    <row r="36" spans="1:9">
      <c r="A36" s="1" t="s">
        <v>30</v>
      </c>
      <c r="B36" s="5"/>
      <c r="C36" s="5" t="s">
        <v>252</v>
      </c>
      <c r="D36" s="5" t="s">
        <v>82</v>
      </c>
      <c r="E36" s="5" t="s">
        <v>155</v>
      </c>
      <c r="F36" s="2"/>
      <c r="G36" s="1">
        <v>10</v>
      </c>
      <c r="H36" s="1">
        <v>16</v>
      </c>
      <c r="I36" s="1" t="s">
        <v>364</v>
      </c>
    </row>
    <row r="37" spans="1:9">
      <c r="A37" s="1" t="s">
        <v>31</v>
      </c>
      <c r="B37" s="5"/>
      <c r="C37" s="5" t="s">
        <v>253</v>
      </c>
      <c r="D37" s="5" t="s">
        <v>82</v>
      </c>
      <c r="E37" s="5" t="s">
        <v>155</v>
      </c>
      <c r="F37" s="2"/>
      <c r="G37" s="1">
        <v>11</v>
      </c>
      <c r="H37" s="1">
        <v>12</v>
      </c>
      <c r="I37" s="1"/>
    </row>
    <row r="38" spans="1:9">
      <c r="A38" s="1" t="s">
        <v>32</v>
      </c>
      <c r="B38" s="5"/>
      <c r="C38" s="5" t="s">
        <v>254</v>
      </c>
      <c r="D38" s="5" t="s">
        <v>82</v>
      </c>
      <c r="E38" s="5" t="s">
        <v>155</v>
      </c>
      <c r="F38" s="2"/>
      <c r="G38" s="1">
        <v>11</v>
      </c>
      <c r="H38" s="1">
        <v>16</v>
      </c>
      <c r="I38" s="1"/>
    </row>
    <row r="39" spans="1:9">
      <c r="A39" s="1" t="s">
        <v>33</v>
      </c>
      <c r="B39" s="5" t="s">
        <v>164</v>
      </c>
      <c r="C39" s="5" t="s">
        <v>255</v>
      </c>
      <c r="D39" s="5" t="s">
        <v>82</v>
      </c>
      <c r="E39" s="5" t="s">
        <v>155</v>
      </c>
      <c r="F39" s="3"/>
      <c r="G39" s="1">
        <v>8</v>
      </c>
      <c r="H39" s="1">
        <v>16</v>
      </c>
      <c r="I39" s="1"/>
    </row>
    <row r="40" spans="1:9">
      <c r="A40" s="1" t="s">
        <v>34</v>
      </c>
      <c r="B40" s="5"/>
      <c r="C40" s="5" t="s">
        <v>256</v>
      </c>
      <c r="D40" s="5" t="s">
        <v>82</v>
      </c>
      <c r="E40" s="5" t="s">
        <v>155</v>
      </c>
      <c r="F40" s="3"/>
      <c r="G40" s="1">
        <v>8</v>
      </c>
      <c r="H40" s="1">
        <v>16</v>
      </c>
      <c r="I40" s="1"/>
    </row>
    <row r="41" spans="1:9">
      <c r="A41" s="1" t="s">
        <v>35</v>
      </c>
      <c r="B41" s="5"/>
      <c r="C41" s="5" t="s">
        <v>165</v>
      </c>
      <c r="D41" s="5" t="s">
        <v>82</v>
      </c>
      <c r="E41" s="5" t="s">
        <v>49</v>
      </c>
      <c r="F41" s="3"/>
      <c r="G41" s="1">
        <v>4</v>
      </c>
      <c r="H41" s="1">
        <v>4</v>
      </c>
      <c r="I41" s="1"/>
    </row>
    <row r="42" spans="1:9">
      <c r="A42" s="1" t="s">
        <v>36</v>
      </c>
      <c r="B42" s="5"/>
      <c r="C42" s="5" t="s">
        <v>257</v>
      </c>
      <c r="D42" s="5" t="s">
        <v>82</v>
      </c>
      <c r="E42" s="5" t="s">
        <v>155</v>
      </c>
      <c r="F42" s="3"/>
      <c r="G42" s="1">
        <v>8</v>
      </c>
      <c r="H42" s="1">
        <v>16</v>
      </c>
      <c r="I42" s="1"/>
    </row>
    <row r="43" spans="1:9">
      <c r="A43" s="1"/>
      <c r="B43" s="5"/>
      <c r="C43" s="5" t="s">
        <v>1220</v>
      </c>
      <c r="D43" s="5" t="s">
        <v>82</v>
      </c>
      <c r="E43" s="5" t="s">
        <v>49</v>
      </c>
      <c r="F43" s="3"/>
      <c r="G43" s="1">
        <v>2</v>
      </c>
      <c r="H43" s="1">
        <v>16</v>
      </c>
      <c r="I43" s="1"/>
    </row>
    <row r="44" spans="1:9">
      <c r="A44" s="1" t="s">
        <v>37</v>
      </c>
      <c r="B44" s="5" t="s">
        <v>166</v>
      </c>
      <c r="C44" s="5" t="s">
        <v>258</v>
      </c>
      <c r="D44" s="5" t="s">
        <v>82</v>
      </c>
      <c r="E44" s="5" t="s">
        <v>155</v>
      </c>
      <c r="F44" s="3"/>
      <c r="G44" s="1">
        <v>8</v>
      </c>
      <c r="H44" s="1">
        <v>16</v>
      </c>
      <c r="I44" s="1"/>
    </row>
    <row r="45" spans="1:9">
      <c r="A45" s="1" t="s">
        <v>38</v>
      </c>
      <c r="B45" s="5"/>
      <c r="C45" s="5" t="s">
        <v>259</v>
      </c>
      <c r="D45" s="5" t="s">
        <v>82</v>
      </c>
      <c r="E45" s="5" t="s">
        <v>155</v>
      </c>
      <c r="F45" s="2"/>
      <c r="G45" s="1">
        <v>12</v>
      </c>
      <c r="H45" s="1">
        <v>16</v>
      </c>
      <c r="I45" s="1"/>
    </row>
    <row r="46" spans="1:9">
      <c r="A46" s="1"/>
      <c r="B46" s="5"/>
      <c r="C46" s="5" t="s">
        <v>1128</v>
      </c>
      <c r="D46" s="5" t="s">
        <v>82</v>
      </c>
      <c r="E46" s="5" t="s">
        <v>49</v>
      </c>
      <c r="F46" s="2"/>
      <c r="G46" s="1">
        <v>2</v>
      </c>
      <c r="H46" s="1">
        <v>16</v>
      </c>
      <c r="I46" s="1"/>
    </row>
    <row r="47" spans="1:9">
      <c r="A47" s="1" t="s">
        <v>39</v>
      </c>
      <c r="B47" s="5"/>
      <c r="C47" s="5" t="s">
        <v>260</v>
      </c>
      <c r="D47" s="5" t="s">
        <v>158</v>
      </c>
      <c r="E47" s="5" t="s">
        <v>49</v>
      </c>
      <c r="F47" s="2"/>
      <c r="G47" s="1">
        <v>4</v>
      </c>
      <c r="H47" s="1">
        <v>24</v>
      </c>
      <c r="I47" s="1"/>
    </row>
    <row r="48" spans="1:9">
      <c r="A48" s="1" t="s">
        <v>40</v>
      </c>
      <c r="B48" s="5" t="s">
        <v>167</v>
      </c>
      <c r="C48" s="5" t="s">
        <v>336</v>
      </c>
      <c r="D48" s="5" t="s">
        <v>82</v>
      </c>
      <c r="E48" s="5" t="s">
        <v>155</v>
      </c>
      <c r="F48" s="2"/>
      <c r="G48" s="1">
        <v>11</v>
      </c>
      <c r="H48" s="1">
        <v>16</v>
      </c>
      <c r="I48" s="1"/>
    </row>
    <row r="49" spans="1:9">
      <c r="A49" s="1" t="s">
        <v>41</v>
      </c>
      <c r="B49" s="5"/>
      <c r="C49" s="5" t="s">
        <v>168</v>
      </c>
      <c r="D49" s="5" t="s">
        <v>158</v>
      </c>
      <c r="E49" s="5" t="s">
        <v>49</v>
      </c>
      <c r="F49" s="3"/>
      <c r="G49" s="1">
        <v>4</v>
      </c>
      <c r="H49" s="1">
        <v>24</v>
      </c>
      <c r="I49" s="1"/>
    </row>
    <row r="50" spans="1:9">
      <c r="A50" s="1" t="s">
        <v>42</v>
      </c>
      <c r="B50" s="5" t="s">
        <v>169</v>
      </c>
      <c r="C50" s="5" t="s">
        <v>170</v>
      </c>
      <c r="D50" s="5" t="s">
        <v>82</v>
      </c>
      <c r="E50" s="5" t="s">
        <v>155</v>
      </c>
      <c r="F50" s="2"/>
      <c r="G50" s="1">
        <v>4</v>
      </c>
      <c r="H50" s="1">
        <v>16</v>
      </c>
      <c r="I50" s="1"/>
    </row>
    <row r="51" spans="1:9">
      <c r="A51" s="1" t="s">
        <v>43</v>
      </c>
      <c r="B51" s="5"/>
      <c r="C51" s="5" t="s">
        <v>261</v>
      </c>
      <c r="D51" s="5" t="s">
        <v>82</v>
      </c>
      <c r="E51" s="5" t="s">
        <v>155</v>
      </c>
      <c r="F51" s="2"/>
      <c r="G51" s="1">
        <v>8</v>
      </c>
      <c r="H51" s="1">
        <v>16</v>
      </c>
      <c r="I51" s="1" t="s">
        <v>364</v>
      </c>
    </row>
    <row r="52" spans="1:9">
      <c r="A52" s="1" t="s">
        <v>44</v>
      </c>
      <c r="B52" s="5"/>
      <c r="C52" s="5" t="s">
        <v>337</v>
      </c>
      <c r="D52" s="5" t="s">
        <v>82</v>
      </c>
      <c r="E52" s="5" t="s">
        <v>155</v>
      </c>
      <c r="F52" s="2"/>
      <c r="G52" s="1">
        <v>11</v>
      </c>
      <c r="H52" s="1">
        <v>16</v>
      </c>
      <c r="I52" s="1"/>
    </row>
    <row r="53" spans="1:9">
      <c r="A53" s="1" t="s">
        <v>45</v>
      </c>
      <c r="B53" s="5"/>
      <c r="C53" s="5" t="s">
        <v>338</v>
      </c>
      <c r="D53" s="5" t="s">
        <v>82</v>
      </c>
      <c r="E53" s="5" t="s">
        <v>155</v>
      </c>
      <c r="F53" s="2"/>
      <c r="G53" s="1">
        <v>8</v>
      </c>
      <c r="H53" s="1">
        <v>16</v>
      </c>
      <c r="I53" s="1"/>
    </row>
    <row r="54" spans="1:9">
      <c r="A54" s="1" t="s">
        <v>46</v>
      </c>
      <c r="B54" s="5" t="s">
        <v>171</v>
      </c>
      <c r="C54" s="5" t="s">
        <v>262</v>
      </c>
      <c r="D54" s="5" t="s">
        <v>82</v>
      </c>
      <c r="E54" s="5" t="s">
        <v>219</v>
      </c>
      <c r="F54" s="2"/>
      <c r="G54" s="1">
        <v>8</v>
      </c>
      <c r="H54" s="1">
        <v>16</v>
      </c>
      <c r="I54" s="1"/>
    </row>
    <row r="55" spans="1:9">
      <c r="A55" s="128" t="s">
        <v>149</v>
      </c>
      <c r="B55" s="129"/>
      <c r="C55" s="129"/>
      <c r="D55" s="129"/>
      <c r="E55" s="129"/>
      <c r="F55" s="129"/>
      <c r="G55" s="129"/>
      <c r="H55" s="129"/>
      <c r="I55" s="130"/>
    </row>
    <row r="56" spans="1:9">
      <c r="A56" s="13"/>
      <c r="B56" s="131" t="s">
        <v>150</v>
      </c>
      <c r="C56" s="131" t="s">
        <v>151</v>
      </c>
      <c r="D56" s="22" t="s">
        <v>152</v>
      </c>
      <c r="E56" s="14" t="s">
        <v>352</v>
      </c>
      <c r="F56" s="2"/>
      <c r="G56" s="15" t="s">
        <v>353</v>
      </c>
      <c r="H56" s="133" t="s">
        <v>224</v>
      </c>
      <c r="I56" s="133" t="s">
        <v>350</v>
      </c>
    </row>
    <row r="57" spans="1:9">
      <c r="A57" s="8"/>
      <c r="B57" s="132"/>
      <c r="C57" s="132"/>
      <c r="D57" s="23"/>
      <c r="E57" s="10" t="s">
        <v>351</v>
      </c>
      <c r="F57" s="2"/>
      <c r="G57" s="11" t="s">
        <v>354</v>
      </c>
      <c r="H57" s="134"/>
      <c r="I57" s="134"/>
    </row>
    <row r="58" spans="1:9">
      <c r="A58" s="8" t="s">
        <v>365</v>
      </c>
      <c r="B58" s="24" t="s">
        <v>366</v>
      </c>
      <c r="C58" s="24" t="s">
        <v>367</v>
      </c>
      <c r="D58" s="24" t="s">
        <v>82</v>
      </c>
      <c r="E58" s="25" t="s">
        <v>159</v>
      </c>
      <c r="F58" s="2"/>
      <c r="G58">
        <v>8</v>
      </c>
      <c r="H58" s="26">
        <v>16</v>
      </c>
      <c r="I58" s="26"/>
    </row>
    <row r="59" spans="1:9">
      <c r="A59" s="1" t="s">
        <v>47</v>
      </c>
      <c r="B59" s="5" t="s">
        <v>172</v>
      </c>
      <c r="C59" s="5" t="s">
        <v>263</v>
      </c>
      <c r="D59" s="5" t="s">
        <v>82</v>
      </c>
      <c r="E59" s="5" t="s">
        <v>155</v>
      </c>
      <c r="F59" s="3"/>
      <c r="G59" s="1">
        <v>13</v>
      </c>
      <c r="H59" s="1">
        <v>16</v>
      </c>
      <c r="I59" s="1"/>
    </row>
    <row r="60" spans="1:9">
      <c r="A60" s="1" t="s">
        <v>48</v>
      </c>
      <c r="B60" s="5"/>
      <c r="C60" s="5" t="s">
        <v>264</v>
      </c>
      <c r="D60" s="5" t="s">
        <v>82</v>
      </c>
      <c r="E60" s="5" t="s">
        <v>155</v>
      </c>
      <c r="F60" s="3"/>
      <c r="G60" s="5">
        <v>8</v>
      </c>
      <c r="H60" s="5">
        <v>16</v>
      </c>
      <c r="I60" s="1" t="s">
        <v>364</v>
      </c>
    </row>
    <row r="61" spans="1:9">
      <c r="A61" s="1"/>
      <c r="B61" s="5"/>
      <c r="C61" s="5" t="s">
        <v>1224</v>
      </c>
      <c r="D61" s="5" t="s">
        <v>82</v>
      </c>
      <c r="E61" s="5" t="s">
        <v>49</v>
      </c>
      <c r="F61" s="3"/>
      <c r="G61" s="5">
        <v>2</v>
      </c>
      <c r="H61" s="5" t="s">
        <v>1225</v>
      </c>
      <c r="I61" s="1"/>
    </row>
    <row r="62" spans="1:9">
      <c r="A62" s="1"/>
      <c r="B62" s="5"/>
      <c r="C62" s="5" t="s">
        <v>1221</v>
      </c>
      <c r="D62" s="5" t="s">
        <v>82</v>
      </c>
      <c r="E62" s="5" t="s">
        <v>49</v>
      </c>
      <c r="F62" s="3"/>
      <c r="G62" s="5">
        <v>2</v>
      </c>
      <c r="H62" s="5">
        <v>16</v>
      </c>
      <c r="I62" s="1"/>
    </row>
    <row r="63" spans="1:9">
      <c r="A63" s="1"/>
      <c r="B63" s="5"/>
      <c r="C63" s="5" t="s">
        <v>1226</v>
      </c>
      <c r="D63" s="5" t="s">
        <v>82</v>
      </c>
      <c r="E63" s="5" t="s">
        <v>49</v>
      </c>
      <c r="F63" s="3"/>
      <c r="G63" s="5">
        <v>2</v>
      </c>
      <c r="H63" s="5"/>
      <c r="I63" s="1"/>
    </row>
    <row r="64" spans="1:9">
      <c r="A64" s="1" t="s">
        <v>50</v>
      </c>
      <c r="B64" s="5"/>
      <c r="C64" s="5" t="s">
        <v>265</v>
      </c>
      <c r="D64" s="5" t="s">
        <v>82</v>
      </c>
      <c r="E64" s="5" t="s">
        <v>155</v>
      </c>
      <c r="F64" s="3"/>
      <c r="G64" s="1">
        <v>8</v>
      </c>
      <c r="H64" s="1">
        <v>16</v>
      </c>
      <c r="I64" s="1" t="s">
        <v>364</v>
      </c>
    </row>
    <row r="65" spans="1:9">
      <c r="A65" s="1" t="s">
        <v>51</v>
      </c>
      <c r="B65" s="5"/>
      <c r="C65" s="5" t="s">
        <v>266</v>
      </c>
      <c r="D65" s="5" t="s">
        <v>82</v>
      </c>
      <c r="E65" s="5" t="s">
        <v>155</v>
      </c>
      <c r="F65" s="3"/>
      <c r="G65" s="1">
        <v>12</v>
      </c>
      <c r="H65" s="1">
        <v>16</v>
      </c>
      <c r="I65" s="1" t="s">
        <v>364</v>
      </c>
    </row>
    <row r="66" spans="1:9">
      <c r="A66" s="1" t="s">
        <v>52</v>
      </c>
      <c r="B66" s="5" t="s">
        <v>175</v>
      </c>
      <c r="C66" s="5" t="s">
        <v>339</v>
      </c>
      <c r="D66" s="5" t="s">
        <v>158</v>
      </c>
      <c r="E66" s="5" t="s">
        <v>49</v>
      </c>
      <c r="G66" s="1">
        <v>4</v>
      </c>
      <c r="H66" s="1">
        <v>24</v>
      </c>
      <c r="I66" s="1"/>
    </row>
    <row r="67" spans="1:9">
      <c r="A67" s="1"/>
      <c r="B67" s="5"/>
      <c r="C67" s="5" t="s">
        <v>1222</v>
      </c>
      <c r="D67" s="5" t="s">
        <v>82</v>
      </c>
      <c r="E67" s="5" t="s">
        <v>155</v>
      </c>
      <c r="G67" s="1">
        <v>3</v>
      </c>
      <c r="H67" s="1">
        <v>16</v>
      </c>
      <c r="I67" s="1"/>
    </row>
    <row r="68" spans="1:9">
      <c r="A68" s="1" t="s">
        <v>53</v>
      </c>
      <c r="B68" s="5"/>
      <c r="C68" s="5" t="s">
        <v>340</v>
      </c>
      <c r="D68" s="5" t="s">
        <v>82</v>
      </c>
      <c r="E68" s="5" t="s">
        <v>155</v>
      </c>
      <c r="G68" s="1">
        <v>8</v>
      </c>
      <c r="H68" s="1">
        <v>16</v>
      </c>
      <c r="I68" s="1"/>
    </row>
    <row r="69" spans="1:9">
      <c r="A69" s="1" t="s">
        <v>54</v>
      </c>
      <c r="B69" s="5"/>
      <c r="C69" s="5" t="s">
        <v>176</v>
      </c>
      <c r="D69" s="5" t="s">
        <v>158</v>
      </c>
      <c r="E69" s="5" t="s">
        <v>49</v>
      </c>
      <c r="G69" s="1">
        <v>4</v>
      </c>
      <c r="H69" s="1">
        <v>24</v>
      </c>
      <c r="I69" s="1"/>
    </row>
    <row r="70" spans="1:9">
      <c r="A70" s="1" t="s">
        <v>55</v>
      </c>
      <c r="B70" s="5" t="s">
        <v>177</v>
      </c>
      <c r="C70" s="5" t="s">
        <v>267</v>
      </c>
      <c r="D70" s="5" t="s">
        <v>82</v>
      </c>
      <c r="E70" s="5" t="s">
        <v>155</v>
      </c>
      <c r="F70" s="3"/>
      <c r="G70" s="1">
        <v>16</v>
      </c>
      <c r="H70" s="1">
        <v>16</v>
      </c>
      <c r="I70" s="1" t="s">
        <v>364</v>
      </c>
    </row>
    <row r="71" spans="1:9">
      <c r="A71" s="1" t="s">
        <v>56</v>
      </c>
      <c r="B71" s="5"/>
      <c r="C71" s="5" t="s">
        <v>268</v>
      </c>
      <c r="D71" s="5" t="s">
        <v>82</v>
      </c>
      <c r="E71" s="5" t="s">
        <v>155</v>
      </c>
      <c r="F71" s="3"/>
      <c r="G71" s="1">
        <v>8</v>
      </c>
      <c r="H71" s="1">
        <v>16</v>
      </c>
      <c r="I71" s="1" t="s">
        <v>364</v>
      </c>
    </row>
    <row r="72" spans="1:9">
      <c r="A72" s="1" t="s">
        <v>57</v>
      </c>
      <c r="B72" s="5"/>
      <c r="C72" s="5" t="s">
        <v>269</v>
      </c>
      <c r="D72" s="5" t="s">
        <v>82</v>
      </c>
      <c r="E72" s="5" t="s">
        <v>155</v>
      </c>
      <c r="F72" s="3"/>
      <c r="G72" s="1">
        <v>14</v>
      </c>
      <c r="H72" s="1">
        <v>16</v>
      </c>
      <c r="I72" s="1" t="s">
        <v>364</v>
      </c>
    </row>
    <row r="73" spans="1:9">
      <c r="A73" s="1"/>
      <c r="B73" s="5"/>
      <c r="C73" s="5" t="s">
        <v>1223</v>
      </c>
      <c r="D73" s="5" t="s">
        <v>82</v>
      </c>
      <c r="E73" s="5" t="s">
        <v>49</v>
      </c>
      <c r="F73" s="3"/>
      <c r="G73" s="1">
        <v>2</v>
      </c>
      <c r="H73" s="1">
        <v>16</v>
      </c>
      <c r="I73" s="1"/>
    </row>
    <row r="74" spans="1:9">
      <c r="A74" s="1" t="s">
        <v>58</v>
      </c>
      <c r="B74" s="5"/>
      <c r="C74" s="5" t="s">
        <v>178</v>
      </c>
      <c r="D74" s="5" t="s">
        <v>373</v>
      </c>
      <c r="E74" s="5" t="s">
        <v>49</v>
      </c>
      <c r="F74" s="2"/>
      <c r="G74" s="1">
        <v>4</v>
      </c>
      <c r="H74" s="1">
        <v>4</v>
      </c>
      <c r="I74" s="1"/>
    </row>
    <row r="75" spans="1:9">
      <c r="A75" s="1" t="s">
        <v>59</v>
      </c>
      <c r="B75" s="5" t="s">
        <v>179</v>
      </c>
      <c r="C75" s="5" t="s">
        <v>341</v>
      </c>
      <c r="D75" s="5" t="s">
        <v>82</v>
      </c>
      <c r="E75" s="5" t="s">
        <v>155</v>
      </c>
      <c r="F75" s="2"/>
      <c r="G75" s="1">
        <v>7</v>
      </c>
      <c r="H75" s="1">
        <v>16</v>
      </c>
      <c r="I75" s="1"/>
    </row>
    <row r="76" spans="1:9">
      <c r="A76" s="1" t="s">
        <v>60</v>
      </c>
      <c r="B76" s="5"/>
      <c r="C76" s="5" t="s">
        <v>342</v>
      </c>
      <c r="D76" s="5" t="s">
        <v>82</v>
      </c>
      <c r="E76" s="5" t="s">
        <v>155</v>
      </c>
      <c r="F76" s="2"/>
      <c r="G76" s="1">
        <v>8</v>
      </c>
      <c r="H76" s="1">
        <v>16</v>
      </c>
      <c r="I76" s="1" t="s">
        <v>364</v>
      </c>
    </row>
    <row r="77" spans="1:9">
      <c r="A77" s="1" t="s">
        <v>61</v>
      </c>
      <c r="B77" s="5"/>
      <c r="C77" s="5" t="s">
        <v>343</v>
      </c>
      <c r="D77" s="5" t="s">
        <v>82</v>
      </c>
      <c r="E77" s="5" t="s">
        <v>155</v>
      </c>
      <c r="F77" s="2"/>
      <c r="G77" s="1">
        <v>8</v>
      </c>
      <c r="H77" s="1">
        <v>16</v>
      </c>
      <c r="I77" s="1" t="s">
        <v>364</v>
      </c>
    </row>
    <row r="78" spans="1:9">
      <c r="A78" s="1" t="s">
        <v>62</v>
      </c>
      <c r="B78" s="5"/>
      <c r="C78" s="5" t="s">
        <v>270</v>
      </c>
      <c r="D78" s="5" t="s">
        <v>82</v>
      </c>
      <c r="E78" s="5" t="s">
        <v>155</v>
      </c>
      <c r="F78" s="2"/>
      <c r="G78" s="1">
        <v>11</v>
      </c>
      <c r="H78" s="1">
        <v>16</v>
      </c>
      <c r="I78" s="1" t="s">
        <v>364</v>
      </c>
    </row>
    <row r="79" spans="1:9">
      <c r="A79" s="1" t="s">
        <v>63</v>
      </c>
      <c r="B79" s="5" t="s">
        <v>180</v>
      </c>
      <c r="C79" s="5" t="s">
        <v>271</v>
      </c>
      <c r="D79" s="5" t="s">
        <v>82</v>
      </c>
      <c r="E79" s="5" t="s">
        <v>155</v>
      </c>
      <c r="F79" s="2"/>
      <c r="G79" s="1">
        <v>16</v>
      </c>
      <c r="H79" s="1">
        <v>16</v>
      </c>
      <c r="I79" s="1" t="s">
        <v>364</v>
      </c>
    </row>
    <row r="80" spans="1:9">
      <c r="A80" s="1" t="s">
        <v>64</v>
      </c>
      <c r="B80" s="5"/>
      <c r="C80" s="5" t="s">
        <v>272</v>
      </c>
      <c r="D80" s="5" t="s">
        <v>82</v>
      </c>
      <c r="E80" s="5" t="s">
        <v>155</v>
      </c>
      <c r="F80" s="2"/>
      <c r="G80" s="1">
        <v>9</v>
      </c>
      <c r="H80" s="1">
        <v>16</v>
      </c>
      <c r="I80" s="1" t="s">
        <v>364</v>
      </c>
    </row>
    <row r="81" spans="1:9">
      <c r="A81" s="1" t="s">
        <v>65</v>
      </c>
      <c r="B81" s="5"/>
      <c r="C81" s="5" t="s">
        <v>221</v>
      </c>
      <c r="D81" s="5" t="s">
        <v>82</v>
      </c>
      <c r="E81" s="5" t="s">
        <v>49</v>
      </c>
      <c r="F81" s="2"/>
      <c r="G81" s="1">
        <v>4</v>
      </c>
      <c r="H81" s="1">
        <v>4</v>
      </c>
      <c r="I81" s="1"/>
    </row>
    <row r="82" spans="1:9">
      <c r="A82" s="1" t="s">
        <v>66</v>
      </c>
      <c r="B82" s="5"/>
      <c r="C82" s="5" t="s">
        <v>1002</v>
      </c>
      <c r="D82" s="5" t="s">
        <v>82</v>
      </c>
      <c r="E82" s="5" t="s">
        <v>155</v>
      </c>
      <c r="F82" s="2"/>
      <c r="G82" s="1">
        <v>7</v>
      </c>
      <c r="H82" s="1">
        <v>16</v>
      </c>
      <c r="I82" s="1"/>
    </row>
    <row r="83" spans="1:9">
      <c r="A83" s="1" t="s">
        <v>67</v>
      </c>
      <c r="B83" s="5"/>
      <c r="C83" s="5" t="s">
        <v>273</v>
      </c>
      <c r="D83" s="5" t="s">
        <v>158</v>
      </c>
      <c r="E83" s="5" t="s">
        <v>49</v>
      </c>
      <c r="F83" s="2"/>
      <c r="G83" s="1">
        <v>6</v>
      </c>
      <c r="H83" s="1">
        <v>24</v>
      </c>
      <c r="I83" s="1"/>
    </row>
    <row r="84" spans="1:9">
      <c r="A84" s="1" t="s">
        <v>68</v>
      </c>
      <c r="B84" s="5" t="s">
        <v>181</v>
      </c>
      <c r="C84" s="5" t="s">
        <v>274</v>
      </c>
      <c r="D84" s="5" t="s">
        <v>82</v>
      </c>
      <c r="E84" s="5" t="s">
        <v>155</v>
      </c>
      <c r="F84" s="2"/>
      <c r="G84" s="1">
        <v>9</v>
      </c>
      <c r="H84" s="1">
        <v>16</v>
      </c>
      <c r="I84" s="1"/>
    </row>
    <row r="85" spans="1:9">
      <c r="A85" s="1" t="s">
        <v>69</v>
      </c>
      <c r="B85" s="5" t="s">
        <v>182</v>
      </c>
      <c r="C85" s="5" t="s">
        <v>345</v>
      </c>
      <c r="D85" s="5" t="s">
        <v>82</v>
      </c>
      <c r="E85" s="5" t="s">
        <v>155</v>
      </c>
      <c r="F85" s="2"/>
      <c r="G85" s="1">
        <v>9</v>
      </c>
      <c r="H85" s="1">
        <v>16</v>
      </c>
      <c r="I85" s="1"/>
    </row>
    <row r="86" spans="1:9">
      <c r="A86" s="1" t="s">
        <v>70</v>
      </c>
      <c r="B86" s="5"/>
      <c r="C86" s="5" t="s">
        <v>275</v>
      </c>
      <c r="D86" s="5" t="s">
        <v>82</v>
      </c>
      <c r="E86" s="5" t="s">
        <v>155</v>
      </c>
      <c r="F86" s="3"/>
      <c r="G86" s="1">
        <v>7</v>
      </c>
      <c r="H86" s="1">
        <v>16</v>
      </c>
      <c r="I86" s="1"/>
    </row>
    <row r="87" spans="1:9">
      <c r="A87" s="1" t="s">
        <v>71</v>
      </c>
      <c r="B87" s="5" t="s">
        <v>185</v>
      </c>
      <c r="C87" s="5" t="s">
        <v>276</v>
      </c>
      <c r="D87" s="5" t="s">
        <v>82</v>
      </c>
      <c r="E87" s="5" t="s">
        <v>155</v>
      </c>
      <c r="G87" s="1">
        <v>7</v>
      </c>
      <c r="H87" s="1">
        <v>16</v>
      </c>
      <c r="I87" s="1" t="s">
        <v>364</v>
      </c>
    </row>
    <row r="88" spans="1:9">
      <c r="A88" s="1" t="s">
        <v>72</v>
      </c>
      <c r="B88" s="5"/>
      <c r="C88" s="5" t="s">
        <v>277</v>
      </c>
      <c r="D88" s="5" t="s">
        <v>82</v>
      </c>
      <c r="E88" s="5" t="s">
        <v>155</v>
      </c>
      <c r="G88" s="1">
        <v>8</v>
      </c>
      <c r="H88" s="1">
        <v>16</v>
      </c>
      <c r="I88" s="1"/>
    </row>
    <row r="89" spans="1:9">
      <c r="A89" s="1" t="s">
        <v>73</v>
      </c>
      <c r="B89" s="5"/>
      <c r="C89" s="5" t="s">
        <v>278</v>
      </c>
      <c r="D89" s="5" t="s">
        <v>82</v>
      </c>
      <c r="E89" s="5" t="s">
        <v>155</v>
      </c>
      <c r="G89" s="1">
        <v>8</v>
      </c>
      <c r="H89" s="1">
        <v>16</v>
      </c>
      <c r="I89" s="1"/>
    </row>
    <row r="90" spans="1:9">
      <c r="A90" s="1" t="s">
        <v>74</v>
      </c>
      <c r="B90" s="5"/>
      <c r="C90" s="5" t="s">
        <v>279</v>
      </c>
      <c r="D90" s="5" t="s">
        <v>82</v>
      </c>
      <c r="E90" s="5" t="s">
        <v>155</v>
      </c>
      <c r="G90" s="1">
        <v>10</v>
      </c>
      <c r="H90" s="1">
        <v>16</v>
      </c>
      <c r="I90" s="1" t="s">
        <v>364</v>
      </c>
    </row>
    <row r="91" spans="1:9">
      <c r="A91" s="1" t="s">
        <v>75</v>
      </c>
      <c r="B91" s="5" t="s">
        <v>183</v>
      </c>
      <c r="C91" s="5" t="s">
        <v>280</v>
      </c>
      <c r="D91" s="5" t="s">
        <v>82</v>
      </c>
      <c r="E91" s="5" t="s">
        <v>155</v>
      </c>
      <c r="G91" s="1">
        <v>8</v>
      </c>
      <c r="H91" s="1">
        <v>16</v>
      </c>
      <c r="I91" s="1"/>
    </row>
    <row r="92" spans="1:9">
      <c r="A92" s="1" t="s">
        <v>76</v>
      </c>
      <c r="C92" s="5" t="s">
        <v>281</v>
      </c>
      <c r="D92" s="5" t="s">
        <v>82</v>
      </c>
      <c r="E92" s="5" t="s">
        <v>159</v>
      </c>
      <c r="G92" s="1">
        <v>8</v>
      </c>
      <c r="H92" s="1">
        <v>24</v>
      </c>
      <c r="I92" s="1"/>
    </row>
    <row r="93" spans="1:9">
      <c r="A93" s="1" t="s">
        <v>77</v>
      </c>
      <c r="B93" s="5" t="s">
        <v>184</v>
      </c>
      <c r="C93" s="5" t="s">
        <v>282</v>
      </c>
      <c r="D93" s="5" t="s">
        <v>82</v>
      </c>
      <c r="E93" s="5" t="s">
        <v>155</v>
      </c>
      <c r="G93" s="1">
        <v>8</v>
      </c>
      <c r="H93" s="1">
        <v>16</v>
      </c>
      <c r="I93" s="1" t="s">
        <v>364</v>
      </c>
    </row>
    <row r="94" spans="1:9">
      <c r="A94" s="1" t="s">
        <v>78</v>
      </c>
      <c r="B94" s="5"/>
      <c r="C94" s="5" t="s">
        <v>283</v>
      </c>
      <c r="D94" s="5" t="s">
        <v>82</v>
      </c>
      <c r="E94" s="5" t="s">
        <v>155</v>
      </c>
      <c r="G94" s="1">
        <v>20</v>
      </c>
      <c r="H94" s="1">
        <v>24</v>
      </c>
      <c r="I94" s="1"/>
    </row>
    <row r="95" spans="1:9">
      <c r="A95" s="1" t="s">
        <v>79</v>
      </c>
      <c r="B95" s="5" t="s">
        <v>189</v>
      </c>
      <c r="C95" s="5" t="s">
        <v>284</v>
      </c>
      <c r="D95" s="5" t="s">
        <v>82</v>
      </c>
      <c r="E95" s="5" t="s">
        <v>155</v>
      </c>
      <c r="G95" s="1">
        <v>9</v>
      </c>
      <c r="H95" s="1">
        <v>16</v>
      </c>
      <c r="I95" s="1"/>
    </row>
    <row r="96" spans="1:9">
      <c r="A96" s="1" t="s">
        <v>80</v>
      </c>
      <c r="B96" s="5"/>
      <c r="C96" s="5" t="s">
        <v>285</v>
      </c>
      <c r="D96" s="5" t="s">
        <v>82</v>
      </c>
      <c r="E96" s="5" t="s">
        <v>155</v>
      </c>
      <c r="G96" s="1">
        <v>7</v>
      </c>
      <c r="H96" s="1">
        <v>16</v>
      </c>
      <c r="I96" s="1" t="s">
        <v>364</v>
      </c>
    </row>
    <row r="97" spans="1:9">
      <c r="A97" s="1" t="s">
        <v>81</v>
      </c>
      <c r="B97" s="5" t="s">
        <v>191</v>
      </c>
      <c r="C97" s="5" t="s">
        <v>286</v>
      </c>
      <c r="D97" s="5" t="s">
        <v>82</v>
      </c>
      <c r="E97" s="5" t="s">
        <v>155</v>
      </c>
      <c r="G97" s="1">
        <v>8</v>
      </c>
      <c r="H97" s="1">
        <v>12</v>
      </c>
      <c r="I97" s="1"/>
    </row>
    <row r="98" spans="1:9">
      <c r="A98" s="1" t="s">
        <v>83</v>
      </c>
      <c r="B98" s="5"/>
      <c r="C98" s="5" t="s">
        <v>287</v>
      </c>
      <c r="D98" s="5" t="s">
        <v>82</v>
      </c>
      <c r="E98" s="5" t="s">
        <v>155</v>
      </c>
      <c r="G98" s="1">
        <v>16</v>
      </c>
      <c r="H98" s="1">
        <v>16</v>
      </c>
      <c r="I98" s="1"/>
    </row>
    <row r="99" spans="1:9">
      <c r="A99" s="1" t="s">
        <v>84</v>
      </c>
      <c r="B99" s="5" t="s">
        <v>220</v>
      </c>
      <c r="C99" s="5" t="s">
        <v>288</v>
      </c>
      <c r="D99" s="5" t="s">
        <v>82</v>
      </c>
      <c r="E99" s="5" t="s">
        <v>159</v>
      </c>
      <c r="G99" s="1">
        <v>8</v>
      </c>
      <c r="H99" s="1">
        <v>16</v>
      </c>
      <c r="I99" s="1"/>
    </row>
    <row r="100" spans="1:9">
      <c r="A100" s="1" t="s">
        <v>85</v>
      </c>
      <c r="B100" s="5" t="s">
        <v>192</v>
      </c>
      <c r="C100" s="5" t="s">
        <v>289</v>
      </c>
      <c r="D100" s="5" t="s">
        <v>82</v>
      </c>
      <c r="E100" s="5" t="s">
        <v>155</v>
      </c>
      <c r="G100" s="1">
        <v>10</v>
      </c>
      <c r="H100" s="1">
        <v>16</v>
      </c>
      <c r="I100" s="1" t="s">
        <v>364</v>
      </c>
    </row>
    <row r="101" spans="1:9">
      <c r="A101" s="1" t="s">
        <v>86</v>
      </c>
      <c r="B101" s="5" t="s">
        <v>190</v>
      </c>
      <c r="C101" s="5" t="s">
        <v>355</v>
      </c>
      <c r="D101" s="5" t="s">
        <v>82</v>
      </c>
      <c r="E101" s="5" t="s">
        <v>49</v>
      </c>
      <c r="G101" s="1">
        <v>4</v>
      </c>
      <c r="H101" s="1">
        <v>4</v>
      </c>
      <c r="I101" s="1"/>
    </row>
    <row r="102" spans="1:9">
      <c r="A102" s="1" t="s">
        <v>87</v>
      </c>
      <c r="B102" s="5"/>
      <c r="C102" s="5" t="s">
        <v>290</v>
      </c>
      <c r="D102" s="5" t="s">
        <v>82</v>
      </c>
      <c r="E102" s="5" t="s">
        <v>155</v>
      </c>
      <c r="G102" s="1">
        <v>6</v>
      </c>
      <c r="H102" s="1">
        <v>16</v>
      </c>
      <c r="I102" s="1" t="s">
        <v>364</v>
      </c>
    </row>
    <row r="103" spans="1:9">
      <c r="A103" s="1" t="s">
        <v>88</v>
      </c>
      <c r="B103" s="5" t="s">
        <v>188</v>
      </c>
      <c r="C103" s="5" t="s">
        <v>291</v>
      </c>
      <c r="D103" s="5" t="s">
        <v>82</v>
      </c>
      <c r="E103" s="5" t="s">
        <v>155</v>
      </c>
      <c r="G103" s="1">
        <v>6</v>
      </c>
      <c r="H103" s="1">
        <v>16</v>
      </c>
      <c r="I103" s="1" t="s">
        <v>364</v>
      </c>
    </row>
    <row r="104" spans="1:9">
      <c r="A104" s="1" t="s">
        <v>89</v>
      </c>
      <c r="B104" s="5" t="s">
        <v>186</v>
      </c>
      <c r="C104" s="5" t="s">
        <v>292</v>
      </c>
      <c r="D104" s="5" t="s">
        <v>82</v>
      </c>
      <c r="E104" s="5" t="s">
        <v>155</v>
      </c>
      <c r="G104" s="1">
        <v>7</v>
      </c>
      <c r="H104" s="1">
        <v>16</v>
      </c>
      <c r="I104" s="1"/>
    </row>
    <row r="105" spans="1:9">
      <c r="A105" s="1" t="s">
        <v>90</v>
      </c>
      <c r="B105" s="5"/>
      <c r="C105" s="5" t="s">
        <v>293</v>
      </c>
      <c r="D105" s="5" t="s">
        <v>82</v>
      </c>
      <c r="E105" s="5" t="s">
        <v>219</v>
      </c>
      <c r="G105" s="1">
        <v>7</v>
      </c>
      <c r="H105" s="1">
        <v>12</v>
      </c>
      <c r="I105" s="1"/>
    </row>
    <row r="106" spans="1:9">
      <c r="A106" s="1" t="s">
        <v>91</v>
      </c>
      <c r="B106" s="5"/>
      <c r="C106" s="5" t="s">
        <v>187</v>
      </c>
      <c r="D106" s="5" t="s">
        <v>82</v>
      </c>
      <c r="E106" s="5" t="s">
        <v>49</v>
      </c>
      <c r="G106" s="1">
        <v>4</v>
      </c>
      <c r="H106" s="1">
        <v>4</v>
      </c>
      <c r="I106" s="1"/>
    </row>
    <row r="107" spans="1:9">
      <c r="A107" s="1" t="s">
        <v>92</v>
      </c>
      <c r="C107" s="5" t="s">
        <v>344</v>
      </c>
      <c r="D107" s="5" t="s">
        <v>82</v>
      </c>
      <c r="E107" s="5" t="s">
        <v>155</v>
      </c>
      <c r="G107" s="1">
        <v>8</v>
      </c>
      <c r="H107" s="1">
        <v>16</v>
      </c>
      <c r="I107" s="1" t="s">
        <v>364</v>
      </c>
    </row>
    <row r="108" spans="1:9">
      <c r="A108" s="1" t="s">
        <v>93</v>
      </c>
      <c r="B108" s="5" t="s">
        <v>194</v>
      </c>
      <c r="C108" s="7" t="s">
        <v>346</v>
      </c>
      <c r="D108" s="5" t="s">
        <v>82</v>
      </c>
      <c r="E108" s="5" t="s">
        <v>155</v>
      </c>
      <c r="G108" s="1">
        <v>11</v>
      </c>
      <c r="H108" s="1">
        <v>16</v>
      </c>
      <c r="I108" s="1" t="s">
        <v>364</v>
      </c>
    </row>
    <row r="109" spans="1:9">
      <c r="A109" s="1" t="s">
        <v>94</v>
      </c>
      <c r="B109" s="5" t="s">
        <v>193</v>
      </c>
      <c r="C109" s="5" t="s">
        <v>294</v>
      </c>
      <c r="D109" s="5" t="s">
        <v>82</v>
      </c>
      <c r="E109" s="5" t="s">
        <v>155</v>
      </c>
      <c r="G109" s="1">
        <v>12</v>
      </c>
      <c r="H109" s="1">
        <v>16</v>
      </c>
      <c r="I109" s="1"/>
    </row>
    <row r="110" spans="1:9">
      <c r="A110" s="128" t="s">
        <v>149</v>
      </c>
      <c r="B110" s="129"/>
      <c r="C110" s="129"/>
      <c r="D110" s="129"/>
      <c r="E110" s="129"/>
      <c r="F110" s="129"/>
      <c r="G110" s="129"/>
      <c r="H110" s="129"/>
      <c r="I110" s="130"/>
    </row>
    <row r="111" spans="1:9">
      <c r="A111" s="13"/>
      <c r="B111" s="131" t="s">
        <v>150</v>
      </c>
      <c r="C111" s="131" t="s">
        <v>151</v>
      </c>
      <c r="D111" s="19" t="s">
        <v>360</v>
      </c>
      <c r="E111" s="21" t="s">
        <v>352</v>
      </c>
      <c r="F111" s="2"/>
      <c r="G111" s="20" t="s">
        <v>353</v>
      </c>
      <c r="H111" s="133" t="s">
        <v>224</v>
      </c>
      <c r="I111" s="133" t="s">
        <v>350</v>
      </c>
    </row>
    <row r="112" spans="1:9">
      <c r="A112" s="13"/>
      <c r="B112" s="132"/>
      <c r="C112" s="132"/>
      <c r="D112" s="21" t="s">
        <v>361</v>
      </c>
      <c r="E112" s="27" t="s">
        <v>351</v>
      </c>
      <c r="F112" s="2"/>
      <c r="G112" s="28" t="s">
        <v>354</v>
      </c>
      <c r="H112" s="134"/>
      <c r="I112" s="134"/>
    </row>
    <row r="113" spans="1:9">
      <c r="A113" s="1" t="s">
        <v>95</v>
      </c>
      <c r="B113" s="5" t="s">
        <v>192</v>
      </c>
      <c r="C113" s="5" t="s">
        <v>295</v>
      </c>
      <c r="D113" s="5" t="s">
        <v>82</v>
      </c>
      <c r="E113" s="5" t="s">
        <v>155</v>
      </c>
      <c r="G113" s="1">
        <v>12</v>
      </c>
      <c r="H113" s="1">
        <v>16</v>
      </c>
      <c r="I113" s="1" t="s">
        <v>364</v>
      </c>
    </row>
    <row r="114" spans="1:9">
      <c r="A114" s="1" t="s">
        <v>368</v>
      </c>
      <c r="B114" s="24"/>
      <c r="C114" s="24" t="s">
        <v>369</v>
      </c>
      <c r="D114" s="5" t="s">
        <v>82</v>
      </c>
      <c r="E114" s="5" t="s">
        <v>155</v>
      </c>
      <c r="F114" s="1"/>
      <c r="G114" s="1">
        <v>8</v>
      </c>
      <c r="H114" s="26">
        <v>16</v>
      </c>
      <c r="I114" s="26" t="s">
        <v>364</v>
      </c>
    </row>
    <row r="115" spans="1:9">
      <c r="A115" s="8" t="s">
        <v>96</v>
      </c>
      <c r="B115" s="9"/>
      <c r="C115" s="9" t="s">
        <v>296</v>
      </c>
      <c r="D115" s="9" t="s">
        <v>82</v>
      </c>
      <c r="E115" s="9" t="s">
        <v>155</v>
      </c>
      <c r="G115" s="8">
        <v>8</v>
      </c>
      <c r="H115" s="8">
        <v>16</v>
      </c>
      <c r="I115" s="8"/>
    </row>
    <row r="116" spans="1:9">
      <c r="A116" s="1" t="s">
        <v>97</v>
      </c>
      <c r="B116" s="5"/>
      <c r="C116" s="5" t="s">
        <v>297</v>
      </c>
      <c r="D116" s="5" t="s">
        <v>82</v>
      </c>
      <c r="E116" s="5" t="s">
        <v>155</v>
      </c>
      <c r="F116" s="2"/>
      <c r="G116" s="1">
        <v>9</v>
      </c>
      <c r="H116" s="1">
        <v>16</v>
      </c>
      <c r="I116" s="1" t="s">
        <v>364</v>
      </c>
    </row>
    <row r="117" spans="1:9">
      <c r="A117" s="1" t="s">
        <v>98</v>
      </c>
      <c r="B117" s="5"/>
      <c r="C117" s="5" t="s">
        <v>298</v>
      </c>
      <c r="D117" s="5" t="s">
        <v>82</v>
      </c>
      <c r="E117" s="5" t="s">
        <v>155</v>
      </c>
      <c r="F117" s="2"/>
      <c r="G117" s="1">
        <v>8</v>
      </c>
      <c r="H117" s="1">
        <v>16</v>
      </c>
      <c r="I117" s="1"/>
    </row>
    <row r="118" spans="1:9">
      <c r="A118" s="1" t="s">
        <v>99</v>
      </c>
      <c r="B118" s="5" t="s">
        <v>195</v>
      </c>
      <c r="C118" s="5" t="s">
        <v>299</v>
      </c>
      <c r="D118" s="5" t="s">
        <v>82</v>
      </c>
      <c r="E118" s="5" t="s">
        <v>155</v>
      </c>
      <c r="G118" s="1">
        <v>8</v>
      </c>
      <c r="H118" s="1">
        <v>24</v>
      </c>
      <c r="I118" s="1"/>
    </row>
    <row r="119" spans="1:9">
      <c r="A119" s="1" t="s">
        <v>100</v>
      </c>
      <c r="B119" s="5"/>
      <c r="C119" s="5" t="s">
        <v>300</v>
      </c>
      <c r="D119" s="5" t="s">
        <v>82</v>
      </c>
      <c r="E119" s="5" t="s">
        <v>155</v>
      </c>
      <c r="G119" s="5">
        <v>6</v>
      </c>
      <c r="H119" s="5">
        <v>16</v>
      </c>
      <c r="I119" s="1"/>
    </row>
    <row r="120" spans="1:9">
      <c r="A120" s="1" t="s">
        <v>101</v>
      </c>
      <c r="B120" s="5"/>
      <c r="C120" s="5" t="s">
        <v>301</v>
      </c>
      <c r="D120" s="5" t="s">
        <v>82</v>
      </c>
      <c r="E120" s="5" t="s">
        <v>155</v>
      </c>
      <c r="G120" s="1">
        <v>8</v>
      </c>
      <c r="H120" s="1">
        <v>16</v>
      </c>
      <c r="I120" s="1"/>
    </row>
    <row r="121" spans="1:9">
      <c r="A121" s="1" t="s">
        <v>102</v>
      </c>
      <c r="B121" s="5" t="s">
        <v>196</v>
      </c>
      <c r="C121" s="5" t="s">
        <v>302</v>
      </c>
      <c r="D121" s="5" t="s">
        <v>82</v>
      </c>
      <c r="E121" s="5" t="s">
        <v>155</v>
      </c>
      <c r="G121" s="1">
        <v>9</v>
      </c>
      <c r="H121" s="1">
        <v>16</v>
      </c>
      <c r="I121" s="1"/>
    </row>
    <row r="122" spans="1:9">
      <c r="A122" s="1" t="s">
        <v>103</v>
      </c>
      <c r="B122" s="5" t="s">
        <v>203</v>
      </c>
      <c r="C122" s="5" t="s">
        <v>303</v>
      </c>
      <c r="D122" s="5" t="s">
        <v>82</v>
      </c>
      <c r="E122" s="5" t="s">
        <v>155</v>
      </c>
      <c r="G122" s="1">
        <v>12</v>
      </c>
      <c r="H122" s="1">
        <v>16</v>
      </c>
      <c r="I122" s="1"/>
    </row>
    <row r="123" spans="1:9">
      <c r="A123" s="1" t="s">
        <v>104</v>
      </c>
      <c r="B123" s="5"/>
      <c r="C123" s="5" t="s">
        <v>304</v>
      </c>
      <c r="D123" s="5" t="s">
        <v>82</v>
      </c>
      <c r="E123" s="5" t="s">
        <v>155</v>
      </c>
      <c r="G123" s="1">
        <v>9</v>
      </c>
      <c r="H123" s="1">
        <v>16</v>
      </c>
      <c r="I123" s="1"/>
    </row>
    <row r="124" spans="1:9">
      <c r="A124" s="1" t="s">
        <v>105</v>
      </c>
      <c r="B124" s="5"/>
      <c r="C124" s="5" t="s">
        <v>347</v>
      </c>
      <c r="D124" s="5" t="s">
        <v>82</v>
      </c>
      <c r="E124" s="5" t="s">
        <v>155</v>
      </c>
      <c r="G124" s="1">
        <v>12</v>
      </c>
      <c r="H124" s="1">
        <v>16</v>
      </c>
      <c r="I124" s="1"/>
    </row>
    <row r="125" spans="1:9">
      <c r="A125" s="1"/>
      <c r="B125" s="5"/>
      <c r="C125" s="5" t="s">
        <v>1227</v>
      </c>
      <c r="D125" s="5" t="s">
        <v>82</v>
      </c>
      <c r="E125" s="5" t="s">
        <v>49</v>
      </c>
      <c r="G125" s="1">
        <v>2</v>
      </c>
      <c r="H125" s="1">
        <v>16</v>
      </c>
      <c r="I125" s="1"/>
    </row>
    <row r="126" spans="1:9">
      <c r="A126" s="1" t="s">
        <v>106</v>
      </c>
      <c r="B126" s="5"/>
      <c r="C126" s="5" t="s">
        <v>305</v>
      </c>
      <c r="D126" s="5" t="s">
        <v>82</v>
      </c>
      <c r="E126" s="5" t="s">
        <v>155</v>
      </c>
      <c r="G126" s="1">
        <v>11</v>
      </c>
      <c r="H126" s="1">
        <v>16</v>
      </c>
      <c r="I126" s="1"/>
    </row>
    <row r="127" spans="1:9">
      <c r="A127" s="1" t="s">
        <v>107</v>
      </c>
      <c r="B127" s="5"/>
      <c r="C127" s="5" t="s">
        <v>356</v>
      </c>
      <c r="D127" s="5" t="s">
        <v>82</v>
      </c>
      <c r="E127" s="5" t="s">
        <v>155</v>
      </c>
      <c r="G127" s="1">
        <v>10</v>
      </c>
      <c r="H127" s="1">
        <v>16</v>
      </c>
      <c r="I127" s="1"/>
    </row>
    <row r="128" spans="1:9">
      <c r="A128" s="1"/>
      <c r="B128" s="5"/>
      <c r="C128" s="5" t="s">
        <v>1228</v>
      </c>
      <c r="D128" s="5" t="s">
        <v>82</v>
      </c>
      <c r="E128" s="5" t="s">
        <v>49</v>
      </c>
      <c r="G128" s="1">
        <v>2</v>
      </c>
      <c r="H128" s="1">
        <v>16</v>
      </c>
      <c r="I128" s="1"/>
    </row>
    <row r="129" spans="1:9">
      <c r="A129" s="1"/>
      <c r="B129" s="5"/>
      <c r="C129" s="5" t="s">
        <v>1231</v>
      </c>
      <c r="D129" s="5" t="s">
        <v>82</v>
      </c>
      <c r="E129" s="5" t="s">
        <v>49</v>
      </c>
      <c r="G129" s="1"/>
      <c r="H129" s="1"/>
      <c r="I129" s="1"/>
    </row>
    <row r="130" spans="1:9">
      <c r="A130" s="1"/>
      <c r="B130" s="5"/>
      <c r="C130" s="5" t="s">
        <v>1232</v>
      </c>
      <c r="D130" s="5" t="s">
        <v>82</v>
      </c>
      <c r="E130" s="5" t="s">
        <v>49</v>
      </c>
      <c r="G130" s="1"/>
      <c r="H130" s="1"/>
      <c r="I130" s="1"/>
    </row>
    <row r="131" spans="1:9">
      <c r="A131" s="1" t="s">
        <v>108</v>
      </c>
      <c r="B131" s="5" t="s">
        <v>175</v>
      </c>
      <c r="C131" s="5" t="s">
        <v>372</v>
      </c>
      <c r="D131" s="5" t="s">
        <v>373</v>
      </c>
      <c r="E131" s="5" t="s">
        <v>49</v>
      </c>
      <c r="G131" s="1">
        <v>4</v>
      </c>
      <c r="H131" s="1">
        <v>16</v>
      </c>
      <c r="I131" s="1"/>
    </row>
    <row r="132" spans="1:9">
      <c r="A132" s="1" t="s">
        <v>109</v>
      </c>
      <c r="B132" s="5"/>
      <c r="C132" s="5" t="s">
        <v>306</v>
      </c>
      <c r="D132" s="5" t="s">
        <v>82</v>
      </c>
      <c r="E132" s="5" t="s">
        <v>155</v>
      </c>
      <c r="G132" s="1">
        <v>12</v>
      </c>
      <c r="H132" s="1">
        <v>16</v>
      </c>
      <c r="I132" s="1" t="s">
        <v>364</v>
      </c>
    </row>
    <row r="133" spans="1:9">
      <c r="A133" s="1" t="s">
        <v>110</v>
      </c>
      <c r="B133" s="5" t="s">
        <v>198</v>
      </c>
      <c r="C133" s="5" t="s">
        <v>307</v>
      </c>
      <c r="D133" s="5" t="s">
        <v>82</v>
      </c>
      <c r="E133" s="5" t="s">
        <v>155</v>
      </c>
      <c r="G133" s="1">
        <v>9</v>
      </c>
      <c r="H133" s="1">
        <v>16</v>
      </c>
      <c r="I133" s="1" t="s">
        <v>364</v>
      </c>
    </row>
    <row r="134" spans="1:9">
      <c r="A134" s="1" t="s">
        <v>111</v>
      </c>
      <c r="B134" s="5"/>
      <c r="C134" s="5" t="s">
        <v>357</v>
      </c>
      <c r="D134" s="5" t="s">
        <v>82</v>
      </c>
      <c r="E134" s="5" t="s">
        <v>155</v>
      </c>
      <c r="G134" s="1">
        <v>8</v>
      </c>
      <c r="H134" s="1">
        <v>16</v>
      </c>
      <c r="I134" s="1" t="s">
        <v>364</v>
      </c>
    </row>
    <row r="135" spans="1:9">
      <c r="A135" s="1" t="s">
        <v>112</v>
      </c>
      <c r="B135" s="5"/>
      <c r="C135" s="5" t="s">
        <v>308</v>
      </c>
      <c r="D135" s="5" t="s">
        <v>82</v>
      </c>
      <c r="E135" s="5" t="s">
        <v>155</v>
      </c>
      <c r="G135" s="1">
        <v>9</v>
      </c>
      <c r="H135" s="1">
        <v>16</v>
      </c>
      <c r="I135" s="1" t="s">
        <v>364</v>
      </c>
    </row>
    <row r="136" spans="1:9">
      <c r="A136" s="1" t="s">
        <v>113</v>
      </c>
      <c r="B136" s="5"/>
      <c r="C136" s="5" t="s">
        <v>309</v>
      </c>
      <c r="D136" s="5" t="s">
        <v>82</v>
      </c>
      <c r="E136" s="5" t="s">
        <v>155</v>
      </c>
      <c r="G136" s="1">
        <v>9</v>
      </c>
      <c r="H136" s="1">
        <v>16</v>
      </c>
      <c r="I136" s="1"/>
    </row>
    <row r="137" spans="1:9">
      <c r="A137" s="1" t="s">
        <v>114</v>
      </c>
      <c r="B137" s="5" t="s">
        <v>199</v>
      </c>
      <c r="C137" s="5" t="s">
        <v>200</v>
      </c>
      <c r="D137" s="5" t="s">
        <v>82</v>
      </c>
      <c r="E137" s="5" t="s">
        <v>49</v>
      </c>
      <c r="G137" s="1">
        <v>4</v>
      </c>
      <c r="H137" s="1">
        <v>24</v>
      </c>
      <c r="I137" s="1"/>
    </row>
    <row r="138" spans="1:9">
      <c r="A138" s="1" t="s">
        <v>115</v>
      </c>
      <c r="B138" s="5" t="s">
        <v>197</v>
      </c>
      <c r="C138" s="5" t="s">
        <v>310</v>
      </c>
      <c r="D138" s="5" t="s">
        <v>82</v>
      </c>
      <c r="E138" s="5" t="s">
        <v>159</v>
      </c>
      <c r="G138" s="1">
        <v>8</v>
      </c>
      <c r="H138" s="1">
        <v>16</v>
      </c>
      <c r="I138" s="1"/>
    </row>
    <row r="139" spans="1:9">
      <c r="A139" s="1" t="s">
        <v>116</v>
      </c>
      <c r="B139" s="5" t="s">
        <v>201</v>
      </c>
      <c r="C139" s="5" t="s">
        <v>311</v>
      </c>
      <c r="D139" s="5" t="s">
        <v>82</v>
      </c>
      <c r="E139" s="5" t="s">
        <v>155</v>
      </c>
      <c r="G139" s="1">
        <v>8</v>
      </c>
      <c r="H139" s="1">
        <v>16</v>
      </c>
      <c r="I139" s="1" t="s">
        <v>364</v>
      </c>
    </row>
    <row r="140" spans="1:9">
      <c r="A140" s="1"/>
      <c r="B140" s="3"/>
      <c r="C140" s="5" t="s">
        <v>1229</v>
      </c>
      <c r="D140" s="5" t="s">
        <v>82</v>
      </c>
      <c r="E140" s="5" t="s">
        <v>49</v>
      </c>
      <c r="G140" s="1">
        <v>2</v>
      </c>
      <c r="H140" s="1">
        <v>16</v>
      </c>
      <c r="I140" s="1"/>
    </row>
    <row r="141" spans="1:9">
      <c r="A141" s="1" t="s">
        <v>117</v>
      </c>
      <c r="C141" s="5" t="s">
        <v>312</v>
      </c>
      <c r="D141" s="5" t="s">
        <v>82</v>
      </c>
      <c r="E141" s="5" t="s">
        <v>155</v>
      </c>
      <c r="G141" s="1">
        <v>8</v>
      </c>
      <c r="H141" s="1">
        <v>16</v>
      </c>
      <c r="I141" s="1" t="s">
        <v>364</v>
      </c>
    </row>
    <row r="142" spans="1:9">
      <c r="A142" s="1" t="s">
        <v>118</v>
      </c>
      <c r="B142" s="5"/>
      <c r="C142" s="5" t="s">
        <v>313</v>
      </c>
      <c r="D142" s="5" t="s">
        <v>82</v>
      </c>
      <c r="E142" s="5" t="s">
        <v>155</v>
      </c>
      <c r="G142" s="1">
        <v>9</v>
      </c>
      <c r="H142" s="1">
        <v>16</v>
      </c>
      <c r="I142" s="1"/>
    </row>
    <row r="143" spans="1:9">
      <c r="A143" s="1" t="s">
        <v>119</v>
      </c>
      <c r="B143" s="5" t="s">
        <v>202</v>
      </c>
      <c r="C143" s="5" t="s">
        <v>314</v>
      </c>
      <c r="D143" s="5" t="s">
        <v>82</v>
      </c>
      <c r="E143" s="5" t="s">
        <v>219</v>
      </c>
      <c r="G143" s="1">
        <v>8</v>
      </c>
      <c r="H143" s="1">
        <v>24</v>
      </c>
      <c r="I143" s="1"/>
    </row>
    <row r="144" spans="1:9">
      <c r="A144" s="1" t="s">
        <v>120</v>
      </c>
      <c r="B144" s="5" t="s">
        <v>223</v>
      </c>
      <c r="C144" s="5" t="s">
        <v>315</v>
      </c>
      <c r="D144" s="5" t="s">
        <v>82</v>
      </c>
      <c r="E144" s="5" t="s">
        <v>155</v>
      </c>
      <c r="G144" s="1">
        <v>14</v>
      </c>
      <c r="H144" s="1">
        <v>16</v>
      </c>
      <c r="I144" s="1"/>
    </row>
    <row r="145" spans="1:9">
      <c r="A145" s="1" t="s">
        <v>121</v>
      </c>
      <c r="B145" s="5" t="s">
        <v>207</v>
      </c>
      <c r="C145" s="5" t="s">
        <v>316</v>
      </c>
      <c r="D145" s="5" t="s">
        <v>82</v>
      </c>
      <c r="E145" s="5" t="s">
        <v>155</v>
      </c>
      <c r="G145" s="1">
        <v>8</v>
      </c>
      <c r="H145" s="1">
        <v>16</v>
      </c>
      <c r="I145" s="1"/>
    </row>
    <row r="146" spans="1:9">
      <c r="A146" s="1" t="s">
        <v>122</v>
      </c>
      <c r="B146" s="5" t="s">
        <v>206</v>
      </c>
      <c r="C146" s="5" t="s">
        <v>317</v>
      </c>
      <c r="D146" s="5" t="s">
        <v>82</v>
      </c>
      <c r="E146" s="5" t="s">
        <v>49</v>
      </c>
      <c r="G146" s="1">
        <v>4</v>
      </c>
      <c r="H146" s="1">
        <v>4</v>
      </c>
      <c r="I146" s="1"/>
    </row>
    <row r="147" spans="1:9">
      <c r="A147" s="1"/>
      <c r="B147" s="5"/>
      <c r="C147" s="5" t="s">
        <v>1230</v>
      </c>
      <c r="D147" s="5" t="s">
        <v>82</v>
      </c>
      <c r="E147" s="5" t="s">
        <v>49</v>
      </c>
      <c r="G147" s="1">
        <v>2</v>
      </c>
      <c r="H147" s="1">
        <v>16</v>
      </c>
      <c r="I147" s="1"/>
    </row>
    <row r="148" spans="1:9">
      <c r="A148" s="1" t="s">
        <v>123</v>
      </c>
      <c r="B148" s="5"/>
      <c r="C148" s="5" t="s">
        <v>318</v>
      </c>
      <c r="D148" s="5" t="s">
        <v>82</v>
      </c>
      <c r="E148" s="5" t="s">
        <v>155</v>
      </c>
      <c r="G148" s="1">
        <v>9</v>
      </c>
      <c r="H148" s="1">
        <v>12</v>
      </c>
      <c r="I148" s="1"/>
    </row>
    <row r="149" spans="1:9">
      <c r="A149" s="1" t="s">
        <v>124</v>
      </c>
      <c r="B149" s="5"/>
      <c r="C149" s="5" t="s">
        <v>319</v>
      </c>
      <c r="D149" s="5" t="s">
        <v>82</v>
      </c>
      <c r="E149" s="5" t="s">
        <v>155</v>
      </c>
      <c r="G149" s="1">
        <v>12</v>
      </c>
      <c r="H149" s="1">
        <v>12</v>
      </c>
      <c r="I149" s="1"/>
    </row>
    <row r="150" spans="1:9">
      <c r="A150" s="1" t="s">
        <v>125</v>
      </c>
      <c r="B150" s="5"/>
      <c r="C150" s="5" t="s">
        <v>320</v>
      </c>
      <c r="D150" s="5" t="s">
        <v>82</v>
      </c>
      <c r="E150" s="5" t="s">
        <v>155</v>
      </c>
      <c r="G150" s="1">
        <v>13</v>
      </c>
      <c r="H150" s="1">
        <v>16</v>
      </c>
      <c r="I150" s="1"/>
    </row>
    <row r="151" spans="1:9">
      <c r="A151" s="1" t="s">
        <v>126</v>
      </c>
      <c r="B151" s="5"/>
      <c r="C151" s="5" t="s">
        <v>208</v>
      </c>
      <c r="D151" s="5" t="s">
        <v>158</v>
      </c>
      <c r="E151" s="5" t="s">
        <v>49</v>
      </c>
      <c r="G151" s="1">
        <v>4</v>
      </c>
      <c r="H151" s="1">
        <v>24</v>
      </c>
      <c r="I151" s="1"/>
    </row>
    <row r="152" spans="1:9">
      <c r="A152" s="1" t="s">
        <v>127</v>
      </c>
      <c r="B152" s="5"/>
      <c r="C152" s="5" t="s">
        <v>358</v>
      </c>
      <c r="D152" s="5" t="s">
        <v>82</v>
      </c>
      <c r="E152" s="5" t="s">
        <v>159</v>
      </c>
      <c r="G152" s="1">
        <v>8</v>
      </c>
      <c r="H152" s="1">
        <v>16</v>
      </c>
      <c r="I152" s="1"/>
    </row>
    <row r="153" spans="1:9">
      <c r="A153" s="1" t="s">
        <v>128</v>
      </c>
      <c r="B153" s="5" t="s">
        <v>209</v>
      </c>
      <c r="C153" s="5" t="s">
        <v>321</v>
      </c>
      <c r="D153" s="5" t="s">
        <v>82</v>
      </c>
      <c r="E153" s="5" t="s">
        <v>155</v>
      </c>
      <c r="G153" s="1">
        <v>10</v>
      </c>
      <c r="H153" s="1">
        <v>16</v>
      </c>
      <c r="I153" s="1"/>
    </row>
    <row r="154" spans="1:9">
      <c r="A154" s="1" t="s">
        <v>129</v>
      </c>
      <c r="C154" s="5" t="s">
        <v>322</v>
      </c>
      <c r="D154" s="5" t="s">
        <v>82</v>
      </c>
      <c r="E154" s="5" t="s">
        <v>155</v>
      </c>
      <c r="G154" s="1">
        <v>10</v>
      </c>
      <c r="H154" s="1">
        <v>16</v>
      </c>
      <c r="I154" s="1"/>
    </row>
    <row r="155" spans="1:9">
      <c r="A155" s="1" t="s">
        <v>130</v>
      </c>
      <c r="B155" s="5"/>
      <c r="C155" s="5" t="s">
        <v>323</v>
      </c>
      <c r="D155" s="5" t="s">
        <v>82</v>
      </c>
      <c r="E155" s="5" t="s">
        <v>155</v>
      </c>
      <c r="G155" s="1">
        <v>24</v>
      </c>
      <c r="H155" s="1">
        <v>32</v>
      </c>
      <c r="I155" s="1"/>
    </row>
    <row r="156" spans="1:9">
      <c r="A156" s="1" t="s">
        <v>131</v>
      </c>
      <c r="B156" s="5" t="s">
        <v>210</v>
      </c>
      <c r="C156" s="5" t="s">
        <v>324</v>
      </c>
      <c r="D156" s="5" t="s">
        <v>82</v>
      </c>
      <c r="E156" s="5" t="s">
        <v>155</v>
      </c>
      <c r="G156" s="1">
        <v>13</v>
      </c>
      <c r="H156" s="1">
        <v>16</v>
      </c>
      <c r="I156" s="1"/>
    </row>
    <row r="157" spans="1:9">
      <c r="A157" s="1" t="s">
        <v>132</v>
      </c>
      <c r="B157" s="5"/>
      <c r="C157" s="5" t="s">
        <v>325</v>
      </c>
      <c r="D157" s="5" t="s">
        <v>82</v>
      </c>
      <c r="E157" s="5" t="s">
        <v>155</v>
      </c>
      <c r="G157" s="1">
        <v>14</v>
      </c>
      <c r="H157" s="1">
        <v>16</v>
      </c>
      <c r="I157" s="1"/>
    </row>
    <row r="158" spans="1:9">
      <c r="A158" s="1" t="s">
        <v>133</v>
      </c>
      <c r="B158" s="5"/>
      <c r="C158" s="5" t="s">
        <v>326</v>
      </c>
      <c r="D158" s="5" t="s">
        <v>82</v>
      </c>
      <c r="E158" s="5" t="s">
        <v>155</v>
      </c>
      <c r="G158" s="1">
        <v>14</v>
      </c>
      <c r="H158" s="1">
        <v>16</v>
      </c>
      <c r="I158" s="1"/>
    </row>
    <row r="159" spans="1:9">
      <c r="A159" s="1" t="s">
        <v>134</v>
      </c>
      <c r="B159" s="5" t="s">
        <v>211</v>
      </c>
      <c r="C159" s="5" t="s">
        <v>212</v>
      </c>
      <c r="D159" s="5" t="s">
        <v>82</v>
      </c>
      <c r="E159" s="5" t="s">
        <v>155</v>
      </c>
      <c r="G159" s="1">
        <v>8</v>
      </c>
      <c r="H159" s="1">
        <v>16</v>
      </c>
      <c r="I159" s="1"/>
    </row>
    <row r="160" spans="1:9">
      <c r="A160" s="1" t="s">
        <v>135</v>
      </c>
      <c r="B160" s="5"/>
      <c r="C160" s="5" t="s">
        <v>213</v>
      </c>
      <c r="D160" s="5" t="s">
        <v>82</v>
      </c>
      <c r="E160" s="5" t="s">
        <v>155</v>
      </c>
      <c r="G160" s="1">
        <v>10</v>
      </c>
      <c r="H160" s="1">
        <v>16</v>
      </c>
      <c r="I160" s="1"/>
    </row>
    <row r="161" spans="1:9">
      <c r="A161" s="1" t="s">
        <v>136</v>
      </c>
      <c r="B161" s="5" t="s">
        <v>214</v>
      </c>
      <c r="C161" s="5" t="s">
        <v>327</v>
      </c>
      <c r="D161" s="5" t="s">
        <v>82</v>
      </c>
      <c r="E161" s="5" t="s">
        <v>155</v>
      </c>
      <c r="G161" s="1">
        <v>8</v>
      </c>
      <c r="H161" s="1">
        <v>16</v>
      </c>
      <c r="I161" s="1"/>
    </row>
    <row r="162" spans="1:9">
      <c r="A162" s="1" t="s">
        <v>137</v>
      </c>
      <c r="B162" s="5" t="s">
        <v>204</v>
      </c>
      <c r="C162" s="5" t="s">
        <v>359</v>
      </c>
      <c r="D162" s="5" t="s">
        <v>82</v>
      </c>
      <c r="E162" s="5" t="s">
        <v>49</v>
      </c>
      <c r="G162" s="1">
        <v>4</v>
      </c>
      <c r="H162" s="1">
        <v>4</v>
      </c>
      <c r="I162" s="1"/>
    </row>
    <row r="163" spans="1:9">
      <c r="A163" s="1" t="s">
        <v>138</v>
      </c>
      <c r="B163" s="5" t="s">
        <v>204</v>
      </c>
      <c r="C163" s="5" t="s">
        <v>205</v>
      </c>
      <c r="D163" s="5" t="s">
        <v>158</v>
      </c>
      <c r="E163" s="5" t="s">
        <v>49</v>
      </c>
      <c r="G163" s="1">
        <v>4</v>
      </c>
      <c r="H163" s="1">
        <v>24</v>
      </c>
      <c r="I163" s="1"/>
    </row>
    <row r="164" spans="1:9">
      <c r="A164" s="1" t="s">
        <v>139</v>
      </c>
      <c r="B164" s="5" t="s">
        <v>214</v>
      </c>
      <c r="C164" s="5" t="s">
        <v>328</v>
      </c>
      <c r="D164" s="5" t="s">
        <v>82</v>
      </c>
      <c r="E164" s="5" t="s">
        <v>155</v>
      </c>
      <c r="G164" s="1">
        <v>9</v>
      </c>
      <c r="H164" s="1">
        <v>16</v>
      </c>
      <c r="I164" s="1"/>
    </row>
    <row r="166" spans="1:9">
      <c r="A166" s="128" t="s">
        <v>149</v>
      </c>
      <c r="B166" s="129"/>
      <c r="C166" s="129"/>
      <c r="D166" s="129"/>
      <c r="E166" s="129"/>
      <c r="F166" s="129"/>
      <c r="G166" s="129"/>
      <c r="H166" s="129"/>
      <c r="I166" s="130"/>
    </row>
    <row r="167" spans="1:9">
      <c r="A167" s="13"/>
      <c r="B167" s="136" t="s">
        <v>150</v>
      </c>
      <c r="C167" s="136" t="s">
        <v>151</v>
      </c>
      <c r="D167" s="19" t="s">
        <v>360</v>
      </c>
      <c r="E167" s="16" t="s">
        <v>352</v>
      </c>
      <c r="F167" s="2"/>
      <c r="G167" s="18" t="s">
        <v>353</v>
      </c>
      <c r="H167" s="135" t="s">
        <v>224</v>
      </c>
      <c r="I167" s="135" t="s">
        <v>350</v>
      </c>
    </row>
    <row r="168" spans="1:9">
      <c r="A168" s="8"/>
      <c r="B168" s="132"/>
      <c r="C168" s="132"/>
      <c r="D168" s="17" t="s">
        <v>361</v>
      </c>
      <c r="E168" s="10" t="s">
        <v>351</v>
      </c>
      <c r="F168" s="2"/>
      <c r="G168" s="11" t="s">
        <v>354</v>
      </c>
      <c r="H168" s="134"/>
      <c r="I168" s="134"/>
    </row>
    <row r="169" spans="1:9">
      <c r="A169" s="1" t="s">
        <v>140</v>
      </c>
      <c r="B169" s="5"/>
      <c r="C169" s="5" t="s">
        <v>329</v>
      </c>
      <c r="D169" s="5" t="s">
        <v>158</v>
      </c>
      <c r="E169" s="5" t="s">
        <v>49</v>
      </c>
      <c r="G169" s="1">
        <v>4</v>
      </c>
      <c r="H169" s="1">
        <v>24</v>
      </c>
      <c r="I169" s="1"/>
    </row>
    <row r="170" spans="1:9">
      <c r="A170" s="1" t="s">
        <v>141</v>
      </c>
      <c r="B170" s="5"/>
      <c r="C170" s="5" t="s">
        <v>348</v>
      </c>
      <c r="D170" s="5" t="s">
        <v>82</v>
      </c>
      <c r="E170" s="5" t="s">
        <v>155</v>
      </c>
      <c r="G170" s="1">
        <v>9</v>
      </c>
      <c r="H170" s="1">
        <v>16</v>
      </c>
      <c r="I170" s="1"/>
    </row>
    <row r="171" spans="1:9">
      <c r="A171" s="1" t="s">
        <v>142</v>
      </c>
      <c r="B171" s="5" t="s">
        <v>218</v>
      </c>
      <c r="C171" s="5" t="s">
        <v>330</v>
      </c>
      <c r="D171" s="5" t="s">
        <v>82</v>
      </c>
      <c r="E171" s="5" t="s">
        <v>155</v>
      </c>
      <c r="G171" s="1">
        <v>8</v>
      </c>
      <c r="H171" s="1">
        <v>16</v>
      </c>
      <c r="I171" s="1"/>
    </row>
    <row r="172" spans="1:9">
      <c r="A172" s="1" t="s">
        <v>143</v>
      </c>
      <c r="B172" s="5" t="s">
        <v>215</v>
      </c>
      <c r="C172" s="5" t="s">
        <v>331</v>
      </c>
      <c r="D172" s="5" t="s">
        <v>158</v>
      </c>
      <c r="E172" s="5" t="s">
        <v>49</v>
      </c>
      <c r="G172" s="1">
        <v>4</v>
      </c>
      <c r="H172" s="1">
        <v>24</v>
      </c>
      <c r="I172" s="1"/>
    </row>
    <row r="173" spans="1:9">
      <c r="A173" s="1" t="s">
        <v>144</v>
      </c>
      <c r="B173" s="5" t="s">
        <v>216</v>
      </c>
      <c r="C173" s="5" t="s">
        <v>332</v>
      </c>
      <c r="D173" s="5" t="s">
        <v>82</v>
      </c>
      <c r="E173" s="5" t="s">
        <v>217</v>
      </c>
      <c r="G173" s="1">
        <v>8</v>
      </c>
      <c r="H173" s="1">
        <v>16</v>
      </c>
      <c r="I173" s="1"/>
    </row>
    <row r="174" spans="1:9">
      <c r="A174" s="1" t="s">
        <v>145</v>
      </c>
      <c r="B174" s="5"/>
      <c r="C174" s="5" t="s">
        <v>333</v>
      </c>
      <c r="D174" s="5" t="s">
        <v>82</v>
      </c>
      <c r="E174" s="5" t="s">
        <v>217</v>
      </c>
      <c r="G174" s="1">
        <v>10</v>
      </c>
      <c r="H174" s="1">
        <v>16</v>
      </c>
      <c r="I174" s="1"/>
    </row>
    <row r="175" spans="1:9">
      <c r="A175" s="1" t="s">
        <v>146</v>
      </c>
      <c r="B175" s="5"/>
      <c r="C175" s="5" t="s">
        <v>334</v>
      </c>
      <c r="D175" s="5" t="s">
        <v>82</v>
      </c>
      <c r="E175" s="5" t="s">
        <v>217</v>
      </c>
      <c r="G175" s="1">
        <v>8</v>
      </c>
      <c r="H175" s="1">
        <v>16</v>
      </c>
      <c r="I175" s="1"/>
    </row>
    <row r="176" spans="1:9">
      <c r="A176" s="1" t="s">
        <v>147</v>
      </c>
      <c r="B176" s="5"/>
      <c r="C176" s="5" t="s">
        <v>349</v>
      </c>
      <c r="D176" s="5" t="s">
        <v>82</v>
      </c>
      <c r="E176" s="5" t="s">
        <v>217</v>
      </c>
      <c r="G176" s="1">
        <v>8</v>
      </c>
      <c r="H176" s="1">
        <v>16</v>
      </c>
      <c r="I176" s="1"/>
    </row>
    <row r="177" spans="1:9">
      <c r="A177" s="1" t="s">
        <v>148</v>
      </c>
      <c r="B177" s="29"/>
      <c r="C177" s="31" t="s">
        <v>335</v>
      </c>
      <c r="D177" s="31" t="s">
        <v>82</v>
      </c>
      <c r="E177" s="31" t="s">
        <v>217</v>
      </c>
      <c r="G177" s="29">
        <v>8</v>
      </c>
      <c r="H177" s="29">
        <v>16</v>
      </c>
      <c r="I177" s="29"/>
    </row>
    <row r="178" spans="1:9">
      <c r="A178" s="1" t="s">
        <v>222</v>
      </c>
      <c r="B178" s="1" t="s">
        <v>370</v>
      </c>
      <c r="C178" s="1" t="s">
        <v>371</v>
      </c>
      <c r="D178" s="1" t="s">
        <v>82</v>
      </c>
      <c r="E178" s="1" t="s">
        <v>155</v>
      </c>
      <c r="F178" s="1"/>
      <c r="G178" s="1">
        <v>19</v>
      </c>
      <c r="H178" s="1">
        <v>24</v>
      </c>
      <c r="I178" s="1"/>
    </row>
    <row r="179" spans="1:9">
      <c r="A179" s="2"/>
      <c r="F179" s="3"/>
    </row>
  </sheetData>
  <autoFilter ref="D1:D179"/>
  <mergeCells count="20">
    <mergeCell ref="A166:I166"/>
    <mergeCell ref="B167:B168"/>
    <mergeCell ref="C167:C168"/>
    <mergeCell ref="H167:H168"/>
    <mergeCell ref="I167:I168"/>
    <mergeCell ref="A55:I55"/>
    <mergeCell ref="B56:B57"/>
    <mergeCell ref="C56:C57"/>
    <mergeCell ref="H56:H57"/>
    <mergeCell ref="I56:I57"/>
    <mergeCell ref="A1:I1"/>
    <mergeCell ref="I2:I3"/>
    <mergeCell ref="H2:H3"/>
    <mergeCell ref="C2:C3"/>
    <mergeCell ref="B2:B3"/>
    <mergeCell ref="A110:I110"/>
    <mergeCell ref="B111:B112"/>
    <mergeCell ref="C111:C112"/>
    <mergeCell ref="H111:H112"/>
    <mergeCell ref="I111:I112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/>
  </sheetPr>
  <dimension ref="A1:H224"/>
  <sheetViews>
    <sheetView tabSelected="1" topLeftCell="A4" zoomScaleNormal="100" workbookViewId="0">
      <selection activeCell="E20" sqref="E20"/>
    </sheetView>
  </sheetViews>
  <sheetFormatPr defaultRowHeight="15"/>
  <cols>
    <col min="1" max="1" width="6.5703125" style="44" customWidth="1"/>
    <col min="2" max="3" width="23.7109375" customWidth="1"/>
    <col min="4" max="4" width="17.28515625" customWidth="1"/>
    <col min="5" max="5" width="16.42578125" customWidth="1"/>
    <col min="6" max="6" width="15.140625" customWidth="1"/>
    <col min="7" max="7" width="23.7109375" customWidth="1"/>
  </cols>
  <sheetData>
    <row r="1" spans="1:8" ht="18.75">
      <c r="A1" s="139" t="s">
        <v>1267</v>
      </c>
      <c r="B1" s="140"/>
      <c r="C1" s="140"/>
      <c r="D1" s="140"/>
      <c r="E1" s="140"/>
      <c r="F1" s="140"/>
    </row>
    <row r="2" spans="1:8" ht="30" customHeight="1">
      <c r="A2" s="48"/>
      <c r="B2" s="141" t="s">
        <v>150</v>
      </c>
      <c r="C2" s="141" t="s">
        <v>151</v>
      </c>
      <c r="D2" s="137" t="s">
        <v>1251</v>
      </c>
      <c r="E2" s="137" t="s">
        <v>1251</v>
      </c>
      <c r="F2" s="137" t="s">
        <v>1251</v>
      </c>
      <c r="G2" s="137" t="s">
        <v>1251</v>
      </c>
      <c r="H2" t="s">
        <v>1299</v>
      </c>
    </row>
    <row r="3" spans="1:8" ht="16.5" customHeight="1">
      <c r="A3" s="30"/>
      <c r="B3" s="138"/>
      <c r="C3" s="138"/>
      <c r="D3" s="138"/>
      <c r="E3" s="138"/>
      <c r="F3" s="138"/>
      <c r="G3" s="138"/>
    </row>
    <row r="4" spans="1:8">
      <c r="A4" s="11">
        <v>1</v>
      </c>
      <c r="B4" s="5" t="s">
        <v>153</v>
      </c>
      <c r="C4" s="5" t="s">
        <v>225</v>
      </c>
      <c r="D4" s="61" t="s">
        <v>1281</v>
      </c>
      <c r="E4" s="61" t="s">
        <v>1302</v>
      </c>
      <c r="F4" s="5"/>
      <c r="G4" s="5"/>
      <c r="H4" s="127"/>
    </row>
    <row r="5" spans="1:8">
      <c r="A5" s="11">
        <v>2</v>
      </c>
      <c r="B5" s="5"/>
      <c r="C5" s="5" t="s">
        <v>226</v>
      </c>
      <c r="D5" s="61" t="s">
        <v>1281</v>
      </c>
      <c r="E5" s="61" t="s">
        <v>1302</v>
      </c>
      <c r="F5" s="5"/>
      <c r="G5" s="5"/>
      <c r="H5" s="127"/>
    </row>
    <row r="6" spans="1:8">
      <c r="A6" s="11">
        <v>3</v>
      </c>
      <c r="B6" s="5"/>
      <c r="C6" s="5" t="s">
        <v>227</v>
      </c>
      <c r="D6" s="61" t="s">
        <v>1281</v>
      </c>
      <c r="E6" s="61" t="s">
        <v>1302</v>
      </c>
      <c r="F6" s="5"/>
      <c r="G6" s="5"/>
      <c r="H6" s="127"/>
    </row>
    <row r="7" spans="1:8">
      <c r="A7" s="11">
        <v>4</v>
      </c>
      <c r="B7" s="5"/>
      <c r="C7" s="5" t="s">
        <v>228</v>
      </c>
      <c r="D7" s="61" t="s">
        <v>1258</v>
      </c>
      <c r="E7" s="61" t="s">
        <v>1281</v>
      </c>
      <c r="F7" s="61" t="s">
        <v>1302</v>
      </c>
      <c r="G7" s="5"/>
      <c r="H7" s="127"/>
    </row>
    <row r="8" spans="1:8">
      <c r="A8" s="11">
        <v>5</v>
      </c>
      <c r="B8" s="5"/>
      <c r="C8" s="5" t="s">
        <v>229</v>
      </c>
      <c r="D8" s="61" t="s">
        <v>1282</v>
      </c>
      <c r="E8" s="61" t="s">
        <v>1302</v>
      </c>
      <c r="F8" s="5"/>
      <c r="G8" s="5"/>
      <c r="H8" s="127"/>
    </row>
    <row r="9" spans="1:8">
      <c r="A9" s="11">
        <v>6</v>
      </c>
      <c r="B9" s="5"/>
      <c r="C9" s="5" t="s">
        <v>230</v>
      </c>
      <c r="D9" s="61" t="s">
        <v>1282</v>
      </c>
      <c r="E9" s="61" t="s">
        <v>1302</v>
      </c>
      <c r="F9" s="5"/>
      <c r="G9" s="5"/>
      <c r="H9" s="127"/>
    </row>
    <row r="10" spans="1:8">
      <c r="A10" s="11">
        <v>7</v>
      </c>
      <c r="B10" s="5"/>
      <c r="C10" s="5" t="s">
        <v>231</v>
      </c>
      <c r="D10" s="61" t="s">
        <v>1282</v>
      </c>
      <c r="E10" s="61" t="s">
        <v>1302</v>
      </c>
      <c r="F10" s="5"/>
      <c r="G10" s="5"/>
      <c r="H10" s="127"/>
    </row>
    <row r="11" spans="1:8">
      <c r="A11" s="11">
        <v>8</v>
      </c>
      <c r="B11" s="5"/>
      <c r="C11" s="5" t="s">
        <v>232</v>
      </c>
      <c r="D11" s="61" t="s">
        <v>1282</v>
      </c>
      <c r="E11" s="61" t="s">
        <v>1302</v>
      </c>
      <c r="F11" s="5"/>
      <c r="G11" s="5"/>
      <c r="H11" s="127"/>
    </row>
    <row r="12" spans="1:8">
      <c r="A12" s="11">
        <v>9</v>
      </c>
      <c r="B12" s="5"/>
      <c r="C12" s="5" t="s">
        <v>233</v>
      </c>
      <c r="D12" s="61" t="s">
        <v>1282</v>
      </c>
      <c r="E12" s="61" t="s">
        <v>1302</v>
      </c>
      <c r="F12" s="5"/>
      <c r="G12" s="5"/>
      <c r="H12" s="127"/>
    </row>
    <row r="13" spans="1:8">
      <c r="A13" s="11">
        <v>10</v>
      </c>
      <c r="B13" s="5"/>
      <c r="C13" s="5" t="s">
        <v>234</v>
      </c>
      <c r="D13" s="61" t="s">
        <v>1282</v>
      </c>
      <c r="E13" s="61" t="s">
        <v>1302</v>
      </c>
      <c r="F13" s="5"/>
      <c r="G13" s="5"/>
      <c r="H13" s="127"/>
    </row>
    <row r="14" spans="1:8">
      <c r="A14" s="11">
        <v>11</v>
      </c>
      <c r="B14" s="5" t="s">
        <v>156</v>
      </c>
      <c r="C14" s="5" t="s">
        <v>235</v>
      </c>
      <c r="D14" s="61" t="s">
        <v>1282</v>
      </c>
      <c r="E14" s="5" t="s">
        <v>1303</v>
      </c>
      <c r="F14" s="5"/>
      <c r="G14" s="5"/>
      <c r="H14" s="127"/>
    </row>
    <row r="15" spans="1:8">
      <c r="A15" s="11">
        <v>12</v>
      </c>
      <c r="B15" s="35" t="s">
        <v>173</v>
      </c>
      <c r="C15" s="35" t="s">
        <v>174</v>
      </c>
      <c r="D15" s="61" t="s">
        <v>1282</v>
      </c>
      <c r="E15" s="5" t="s">
        <v>1303</v>
      </c>
      <c r="F15" s="35"/>
      <c r="G15" s="35"/>
      <c r="H15" s="127"/>
    </row>
    <row r="16" spans="1:8">
      <c r="A16" s="11">
        <v>13</v>
      </c>
      <c r="B16" s="5" t="s">
        <v>156</v>
      </c>
      <c r="C16" s="5" t="s">
        <v>236</v>
      </c>
      <c r="D16" s="61" t="s">
        <v>1257</v>
      </c>
      <c r="E16" s="5" t="s">
        <v>1303</v>
      </c>
      <c r="F16" s="61" t="s">
        <v>1286</v>
      </c>
      <c r="G16" s="5" t="s">
        <v>1303</v>
      </c>
      <c r="H16" s="127"/>
    </row>
    <row r="17" spans="1:8">
      <c r="A17" s="11">
        <v>14</v>
      </c>
      <c r="B17" s="5" t="s">
        <v>157</v>
      </c>
      <c r="C17" s="5" t="s">
        <v>362</v>
      </c>
      <c r="D17" s="61" t="s">
        <v>1257</v>
      </c>
      <c r="E17" s="61" t="s">
        <v>1283</v>
      </c>
      <c r="F17" s="61" t="s">
        <v>1286</v>
      </c>
      <c r="G17" s="5" t="s">
        <v>1303</v>
      </c>
      <c r="H17" s="127"/>
    </row>
    <row r="18" spans="1:8">
      <c r="A18" s="11">
        <v>15</v>
      </c>
      <c r="B18" s="5" t="s">
        <v>156</v>
      </c>
      <c r="C18" s="5" t="s">
        <v>237</v>
      </c>
      <c r="D18" s="61" t="s">
        <v>1257</v>
      </c>
      <c r="E18" s="61" t="s">
        <v>1283</v>
      </c>
      <c r="F18" s="61" t="s">
        <v>1286</v>
      </c>
      <c r="G18" s="5" t="s">
        <v>1303</v>
      </c>
      <c r="H18" s="127"/>
    </row>
    <row r="19" spans="1:8">
      <c r="A19" s="11">
        <v>16</v>
      </c>
      <c r="B19" s="5" t="s">
        <v>156</v>
      </c>
      <c r="C19" s="5" t="s">
        <v>363</v>
      </c>
      <c r="D19" s="61" t="s">
        <v>1257</v>
      </c>
      <c r="E19" s="61" t="s">
        <v>1283</v>
      </c>
      <c r="F19" s="61" t="s">
        <v>1286</v>
      </c>
      <c r="G19" s="5" t="s">
        <v>1303</v>
      </c>
      <c r="H19" s="127"/>
    </row>
    <row r="20" spans="1:8">
      <c r="A20" s="11">
        <v>17</v>
      </c>
      <c r="B20" s="5" t="s">
        <v>160</v>
      </c>
      <c r="C20" s="5" t="s">
        <v>238</v>
      </c>
      <c r="D20" s="61" t="s">
        <v>1257</v>
      </c>
      <c r="E20" s="5" t="s">
        <v>1303</v>
      </c>
      <c r="F20" s="5"/>
      <c r="G20" s="5"/>
    </row>
    <row r="21" spans="1:8">
      <c r="A21" s="11">
        <v>18</v>
      </c>
      <c r="B21" s="5" t="s">
        <v>161</v>
      </c>
      <c r="C21" s="5" t="s">
        <v>239</v>
      </c>
      <c r="D21" s="61" t="s">
        <v>1282</v>
      </c>
      <c r="E21" s="5"/>
      <c r="F21" s="5"/>
      <c r="G21" s="5"/>
      <c r="H21" s="127"/>
    </row>
    <row r="22" spans="1:8">
      <c r="A22" s="11">
        <v>19</v>
      </c>
      <c r="B22" s="5"/>
      <c r="C22" s="5" t="s">
        <v>240</v>
      </c>
      <c r="D22" s="61" t="s">
        <v>1257</v>
      </c>
      <c r="E22" s="5"/>
      <c r="F22" s="5"/>
      <c r="G22" s="5"/>
      <c r="H22" s="127"/>
    </row>
    <row r="23" spans="1:8">
      <c r="A23" s="11">
        <v>20</v>
      </c>
      <c r="B23" s="5"/>
      <c r="C23" s="5" t="s">
        <v>242</v>
      </c>
      <c r="D23" s="61" t="s">
        <v>1257</v>
      </c>
      <c r="E23" s="5"/>
      <c r="F23" s="5"/>
      <c r="G23" s="5"/>
      <c r="H23" s="127"/>
    </row>
    <row r="24" spans="1:8">
      <c r="A24" s="11">
        <v>21</v>
      </c>
      <c r="B24" s="5"/>
      <c r="C24" s="5" t="s">
        <v>244</v>
      </c>
      <c r="D24" s="61" t="s">
        <v>1282</v>
      </c>
      <c r="E24" s="5"/>
      <c r="F24" s="5"/>
      <c r="G24" s="5"/>
      <c r="H24" s="127"/>
    </row>
    <row r="25" spans="1:8">
      <c r="A25" s="11">
        <v>22</v>
      </c>
      <c r="B25" s="35" t="s">
        <v>162</v>
      </c>
      <c r="C25" s="35" t="s">
        <v>1243</v>
      </c>
      <c r="D25" s="61" t="s">
        <v>1282</v>
      </c>
      <c r="E25" s="5"/>
      <c r="F25" s="5"/>
      <c r="G25" s="5"/>
    </row>
    <row r="26" spans="1:8">
      <c r="A26" s="11">
        <v>23</v>
      </c>
      <c r="B26" s="35"/>
      <c r="C26" s="35" t="s">
        <v>1244</v>
      </c>
      <c r="D26" s="61" t="s">
        <v>1282</v>
      </c>
      <c r="E26" s="5"/>
      <c r="F26" s="5"/>
      <c r="G26" s="5"/>
    </row>
    <row r="27" spans="1:8">
      <c r="A27" s="11">
        <v>24</v>
      </c>
      <c r="B27" s="5"/>
      <c r="C27" s="5" t="s">
        <v>245</v>
      </c>
      <c r="D27" s="61" t="s">
        <v>1282</v>
      </c>
      <c r="E27" s="5"/>
      <c r="F27" s="5"/>
      <c r="G27" s="5"/>
    </row>
    <row r="28" spans="1:8">
      <c r="A28" s="11">
        <v>25</v>
      </c>
      <c r="B28" s="5" t="s">
        <v>163</v>
      </c>
      <c r="C28" s="5" t="s">
        <v>246</v>
      </c>
      <c r="D28" s="61" t="s">
        <v>1284</v>
      </c>
      <c r="E28" s="5"/>
      <c r="F28" s="5"/>
      <c r="G28" s="5"/>
      <c r="H28" s="127"/>
    </row>
    <row r="29" spans="1:8">
      <c r="A29" s="11">
        <v>26</v>
      </c>
      <c r="B29" s="5"/>
      <c r="C29" s="5" t="s">
        <v>247</v>
      </c>
      <c r="D29" s="61" t="s">
        <v>1284</v>
      </c>
      <c r="E29" s="5"/>
      <c r="F29" s="5"/>
      <c r="G29" s="5"/>
      <c r="H29" s="127"/>
    </row>
    <row r="30" spans="1:8">
      <c r="A30" s="11">
        <v>27</v>
      </c>
      <c r="B30" s="5"/>
      <c r="C30" s="35" t="s">
        <v>1271</v>
      </c>
      <c r="D30" s="5"/>
      <c r="E30" s="5"/>
      <c r="F30" s="5"/>
      <c r="G30" s="5"/>
      <c r="H30" s="127"/>
    </row>
    <row r="31" spans="1:8">
      <c r="A31" s="11">
        <v>28</v>
      </c>
      <c r="B31" s="5"/>
      <c r="C31" s="5" t="s">
        <v>413</v>
      </c>
      <c r="D31" s="61" t="s">
        <v>1284</v>
      </c>
      <c r="E31" s="5"/>
      <c r="F31" s="5"/>
      <c r="G31" s="5"/>
    </row>
    <row r="32" spans="1:8">
      <c r="A32" s="11">
        <v>29</v>
      </c>
      <c r="B32" s="5"/>
      <c r="C32" s="5" t="s">
        <v>248</v>
      </c>
      <c r="D32" s="61" t="s">
        <v>1284</v>
      </c>
      <c r="E32" s="5"/>
      <c r="F32" s="5"/>
      <c r="G32" s="5"/>
      <c r="H32" s="127"/>
    </row>
    <row r="33" spans="1:8">
      <c r="A33" s="11">
        <v>30</v>
      </c>
      <c r="B33" s="5"/>
      <c r="C33" s="5" t="s">
        <v>249</v>
      </c>
      <c r="D33" s="61" t="s">
        <v>1284</v>
      </c>
      <c r="E33" s="5"/>
      <c r="F33" s="5"/>
      <c r="G33" s="5"/>
      <c r="H33" s="127"/>
    </row>
    <row r="34" spans="1:8">
      <c r="A34" s="11">
        <v>31</v>
      </c>
      <c r="B34" s="5"/>
      <c r="C34" s="5" t="s">
        <v>250</v>
      </c>
      <c r="D34" s="61" t="s">
        <v>1284</v>
      </c>
      <c r="E34" s="5"/>
      <c r="F34" s="5"/>
      <c r="G34" s="5"/>
      <c r="H34" s="127"/>
    </row>
    <row r="35" spans="1:8">
      <c r="A35" s="11">
        <v>32</v>
      </c>
      <c r="B35" s="5"/>
      <c r="C35" s="5" t="s">
        <v>251</v>
      </c>
      <c r="D35" s="61" t="s">
        <v>1284</v>
      </c>
      <c r="E35" s="5"/>
      <c r="F35" s="5"/>
      <c r="G35" s="5"/>
      <c r="H35" s="127"/>
    </row>
    <row r="36" spans="1:8">
      <c r="A36" s="11">
        <v>33</v>
      </c>
      <c r="B36" s="5"/>
      <c r="C36" s="5" t="s">
        <v>252</v>
      </c>
      <c r="D36" s="61" t="s">
        <v>1284</v>
      </c>
      <c r="E36" s="5"/>
      <c r="F36" s="5"/>
      <c r="G36" s="5"/>
      <c r="H36" s="127"/>
    </row>
    <row r="37" spans="1:8">
      <c r="A37" s="11">
        <v>34</v>
      </c>
      <c r="B37" s="5"/>
      <c r="C37" s="5" t="s">
        <v>253</v>
      </c>
      <c r="D37" s="61" t="s">
        <v>1284</v>
      </c>
      <c r="E37" s="5"/>
      <c r="F37" s="5"/>
      <c r="G37" s="5"/>
      <c r="H37" s="127"/>
    </row>
    <row r="38" spans="1:8">
      <c r="A38" s="11">
        <v>35</v>
      </c>
      <c r="B38" s="5"/>
      <c r="C38" s="5" t="s">
        <v>254</v>
      </c>
      <c r="D38" s="61" t="s">
        <v>1284</v>
      </c>
      <c r="E38" s="5"/>
      <c r="F38" s="5"/>
      <c r="G38" s="5"/>
      <c r="H38" s="127"/>
    </row>
    <row r="39" spans="1:8">
      <c r="A39" s="11">
        <v>36</v>
      </c>
      <c r="B39" s="35" t="s">
        <v>164</v>
      </c>
      <c r="C39" s="35" t="s">
        <v>1252</v>
      </c>
      <c r="D39" s="64" t="s">
        <v>1285</v>
      </c>
      <c r="E39" s="35"/>
      <c r="F39" s="35"/>
      <c r="G39" s="35"/>
      <c r="H39" s="127"/>
    </row>
    <row r="40" spans="1:8">
      <c r="A40" s="11">
        <v>37</v>
      </c>
      <c r="B40" s="5"/>
      <c r="C40" s="5" t="s">
        <v>255</v>
      </c>
      <c r="D40" s="108" t="s">
        <v>1285</v>
      </c>
      <c r="E40" s="5"/>
      <c r="F40" s="5"/>
      <c r="G40" s="5"/>
      <c r="H40" s="127"/>
    </row>
    <row r="41" spans="1:8">
      <c r="A41" s="11">
        <v>38</v>
      </c>
      <c r="B41" s="5"/>
      <c r="C41" s="5" t="s">
        <v>256</v>
      </c>
      <c r="D41" s="108" t="s">
        <v>1285</v>
      </c>
      <c r="E41" s="5"/>
      <c r="F41" s="5"/>
      <c r="G41" s="5"/>
      <c r="H41" s="127"/>
    </row>
    <row r="42" spans="1:8">
      <c r="A42" s="11">
        <v>39</v>
      </c>
      <c r="B42" s="35"/>
      <c r="C42" s="35" t="s">
        <v>165</v>
      </c>
      <c r="D42" s="64" t="s">
        <v>1285</v>
      </c>
      <c r="E42" s="35"/>
      <c r="F42" s="35"/>
      <c r="G42" s="35"/>
      <c r="H42" s="127"/>
    </row>
    <row r="43" spans="1:8">
      <c r="A43" s="11">
        <v>40</v>
      </c>
      <c r="B43" s="35"/>
      <c r="C43" s="35" t="s">
        <v>1200</v>
      </c>
      <c r="D43" s="64" t="s">
        <v>1285</v>
      </c>
      <c r="E43" s="35"/>
      <c r="F43" s="35"/>
      <c r="G43" s="35"/>
      <c r="H43" s="127"/>
    </row>
    <row r="44" spans="1:8">
      <c r="A44" s="11">
        <v>41</v>
      </c>
      <c r="B44" s="5"/>
      <c r="C44" s="5" t="s">
        <v>397</v>
      </c>
      <c r="D44" s="108" t="s">
        <v>1285</v>
      </c>
      <c r="E44" s="5"/>
      <c r="F44" s="5"/>
      <c r="G44" s="5"/>
      <c r="H44" s="127"/>
    </row>
    <row r="45" spans="1:8">
      <c r="A45" s="11">
        <v>42</v>
      </c>
      <c r="B45" s="5"/>
      <c r="C45" s="35" t="s">
        <v>914</v>
      </c>
      <c r="D45" s="64" t="s">
        <v>1285</v>
      </c>
      <c r="E45" s="5"/>
      <c r="F45" s="5"/>
      <c r="G45" s="5"/>
      <c r="H45" s="127"/>
    </row>
    <row r="46" spans="1:8">
      <c r="A46" s="11">
        <v>43</v>
      </c>
      <c r="B46" s="5"/>
      <c r="C46" s="5" t="s">
        <v>257</v>
      </c>
      <c r="D46" s="108" t="s">
        <v>1285</v>
      </c>
      <c r="E46" s="5"/>
      <c r="F46" s="5"/>
      <c r="G46" s="5"/>
      <c r="H46" s="127"/>
    </row>
    <row r="47" spans="1:8">
      <c r="A47" s="11">
        <v>44</v>
      </c>
      <c r="B47" s="5" t="s">
        <v>166</v>
      </c>
      <c r="C47" s="5" t="s">
        <v>258</v>
      </c>
      <c r="D47" s="61" t="s">
        <v>1286</v>
      </c>
      <c r="E47" s="5"/>
      <c r="F47" s="5"/>
      <c r="G47" s="5"/>
      <c r="H47" s="127"/>
    </row>
    <row r="48" spans="1:8">
      <c r="A48" s="11">
        <v>45</v>
      </c>
      <c r="B48" s="5"/>
      <c r="C48" s="5" t="s">
        <v>259</v>
      </c>
      <c r="D48" s="61" t="s">
        <v>1286</v>
      </c>
      <c r="E48" s="5"/>
      <c r="F48" s="5"/>
      <c r="G48" s="5"/>
      <c r="H48" s="127"/>
    </row>
    <row r="49" spans="1:8">
      <c r="A49" s="11">
        <v>46</v>
      </c>
      <c r="B49" s="35"/>
      <c r="C49" s="35" t="s">
        <v>260</v>
      </c>
      <c r="D49" s="61" t="s">
        <v>1286</v>
      </c>
      <c r="E49" s="35"/>
      <c r="F49" s="35"/>
      <c r="G49" s="35"/>
      <c r="H49" s="127"/>
    </row>
    <row r="50" spans="1:8">
      <c r="A50" s="11">
        <v>47</v>
      </c>
      <c r="B50" s="5" t="s">
        <v>167</v>
      </c>
      <c r="C50" s="5" t="s">
        <v>336</v>
      </c>
      <c r="D50" s="61" t="s">
        <v>1286</v>
      </c>
      <c r="E50" s="5"/>
      <c r="F50" s="5"/>
      <c r="G50" s="5"/>
      <c r="H50" s="127"/>
    </row>
    <row r="51" spans="1:8">
      <c r="A51" s="11">
        <v>48</v>
      </c>
      <c r="B51" s="5"/>
      <c r="C51" s="35" t="s">
        <v>1128</v>
      </c>
      <c r="D51" s="61" t="s">
        <v>1286</v>
      </c>
      <c r="E51" s="35"/>
      <c r="F51" s="35"/>
      <c r="G51" s="35"/>
      <c r="H51" s="127"/>
    </row>
    <row r="52" spans="1:8">
      <c r="A52" s="11">
        <v>49</v>
      </c>
      <c r="B52" s="35"/>
      <c r="C52" s="35" t="s">
        <v>168</v>
      </c>
      <c r="D52" s="61" t="s">
        <v>1286</v>
      </c>
      <c r="E52" s="35"/>
      <c r="F52" s="35"/>
      <c r="G52" s="35"/>
      <c r="H52" s="127"/>
    </row>
    <row r="53" spans="1:8">
      <c r="A53" s="11">
        <v>50</v>
      </c>
      <c r="B53" s="35" t="s">
        <v>169</v>
      </c>
      <c r="C53" s="35" t="s">
        <v>1268</v>
      </c>
      <c r="D53" s="61" t="s">
        <v>1286</v>
      </c>
      <c r="E53" s="35"/>
      <c r="F53" s="35"/>
      <c r="G53" s="35"/>
      <c r="H53" s="127"/>
    </row>
    <row r="54" spans="1:8">
      <c r="A54" s="11">
        <v>51</v>
      </c>
      <c r="B54" s="5"/>
      <c r="C54" s="5" t="s">
        <v>261</v>
      </c>
      <c r="D54" s="61" t="s">
        <v>1286</v>
      </c>
      <c r="E54" s="5"/>
      <c r="F54" s="5"/>
      <c r="G54" s="5"/>
      <c r="H54" s="127"/>
    </row>
    <row r="55" spans="1:8">
      <c r="A55" s="11">
        <v>52</v>
      </c>
      <c r="B55" s="5"/>
      <c r="C55" s="5" t="s">
        <v>337</v>
      </c>
      <c r="D55" s="61" t="s">
        <v>1286</v>
      </c>
      <c r="E55" s="5"/>
      <c r="F55" s="5"/>
      <c r="G55" s="5"/>
      <c r="H55" s="127"/>
    </row>
    <row r="56" spans="1:8">
      <c r="A56" s="11">
        <v>53</v>
      </c>
      <c r="B56" s="5"/>
      <c r="C56" s="5" t="s">
        <v>338</v>
      </c>
      <c r="D56" s="61" t="s">
        <v>1286</v>
      </c>
      <c r="E56" s="5"/>
      <c r="F56" s="5"/>
      <c r="G56" s="5"/>
      <c r="H56" s="127"/>
    </row>
    <row r="57" spans="1:8">
      <c r="A57" s="11">
        <v>54</v>
      </c>
      <c r="B57" s="5" t="s">
        <v>171</v>
      </c>
      <c r="C57" s="5" t="s">
        <v>262</v>
      </c>
      <c r="D57" s="61" t="s">
        <v>1286</v>
      </c>
      <c r="E57" s="5"/>
      <c r="F57" s="5"/>
      <c r="G57" s="5"/>
      <c r="H57" s="127"/>
    </row>
    <row r="58" spans="1:8">
      <c r="A58" s="11">
        <v>55</v>
      </c>
      <c r="B58" s="5" t="s">
        <v>366</v>
      </c>
      <c r="C58" s="5" t="s">
        <v>367</v>
      </c>
      <c r="D58" s="61" t="s">
        <v>1286</v>
      </c>
      <c r="E58" s="5"/>
      <c r="F58" s="5"/>
      <c r="G58" s="5"/>
      <c r="H58" s="127"/>
    </row>
    <row r="59" spans="1:8">
      <c r="A59" s="11">
        <v>56</v>
      </c>
      <c r="B59" s="5" t="s">
        <v>172</v>
      </c>
      <c r="C59" s="5" t="s">
        <v>263</v>
      </c>
      <c r="D59" s="61" t="s">
        <v>1288</v>
      </c>
      <c r="E59" s="61"/>
      <c r="F59" s="5"/>
      <c r="G59" s="5"/>
      <c r="H59" s="127"/>
    </row>
    <row r="60" spans="1:8">
      <c r="A60" s="11">
        <v>57</v>
      </c>
      <c r="B60" s="5"/>
      <c r="C60" s="35" t="s">
        <v>1245</v>
      </c>
      <c r="D60" s="61" t="s">
        <v>1266</v>
      </c>
      <c r="E60" s="61" t="s">
        <v>1288</v>
      </c>
      <c r="F60" s="35"/>
      <c r="G60" s="35"/>
    </row>
    <row r="61" spans="1:8">
      <c r="A61" s="11">
        <v>58</v>
      </c>
      <c r="B61" s="5"/>
      <c r="C61" s="35" t="s">
        <v>1238</v>
      </c>
      <c r="D61" s="61" t="s">
        <v>1288</v>
      </c>
      <c r="E61" s="35"/>
      <c r="F61" s="35"/>
      <c r="G61" s="35"/>
    </row>
    <row r="62" spans="1:8">
      <c r="A62" s="11">
        <v>59</v>
      </c>
      <c r="B62" s="5"/>
      <c r="C62" s="35" t="s">
        <v>1246</v>
      </c>
      <c r="D62" s="61" t="s">
        <v>1288</v>
      </c>
      <c r="E62" s="35"/>
      <c r="F62" s="35"/>
      <c r="G62" s="35"/>
    </row>
    <row r="63" spans="1:8">
      <c r="A63" s="11">
        <v>60</v>
      </c>
      <c r="B63" s="5"/>
      <c r="C63" s="5" t="s">
        <v>264</v>
      </c>
      <c r="D63" s="61" t="s">
        <v>1288</v>
      </c>
      <c r="E63" s="5"/>
      <c r="F63" s="5"/>
      <c r="G63" s="5"/>
    </row>
    <row r="64" spans="1:8">
      <c r="A64" s="11">
        <v>61</v>
      </c>
      <c r="B64" s="5"/>
      <c r="C64" s="5" t="s">
        <v>265</v>
      </c>
      <c r="D64" s="61" t="s">
        <v>1288</v>
      </c>
      <c r="E64" s="5"/>
      <c r="F64" s="5"/>
      <c r="G64" s="5"/>
    </row>
    <row r="65" spans="1:7">
      <c r="A65" s="11">
        <v>62</v>
      </c>
      <c r="B65" s="5"/>
      <c r="C65" s="5" t="s">
        <v>266</v>
      </c>
      <c r="D65" s="61" t="s">
        <v>1288</v>
      </c>
      <c r="E65" s="5"/>
      <c r="F65" s="5"/>
      <c r="G65" s="5"/>
    </row>
    <row r="66" spans="1:7">
      <c r="A66" s="11">
        <v>63</v>
      </c>
      <c r="B66" s="35" t="s">
        <v>175</v>
      </c>
      <c r="C66" s="35" t="s">
        <v>339</v>
      </c>
      <c r="D66" s="108" t="s">
        <v>1289</v>
      </c>
      <c r="E66" s="35"/>
      <c r="F66" s="35"/>
      <c r="G66" s="35"/>
    </row>
    <row r="67" spans="1:7">
      <c r="A67" s="11">
        <v>64</v>
      </c>
      <c r="B67" s="5"/>
      <c r="C67" s="5" t="s">
        <v>340</v>
      </c>
      <c r="D67" s="108" t="s">
        <v>1289</v>
      </c>
      <c r="E67" s="5"/>
      <c r="F67" s="5"/>
      <c r="G67" s="5"/>
    </row>
    <row r="68" spans="1:7">
      <c r="A68" s="11">
        <v>65</v>
      </c>
      <c r="B68" s="35"/>
      <c r="C68" s="35" t="s">
        <v>372</v>
      </c>
      <c r="D68" s="108" t="s">
        <v>1289</v>
      </c>
      <c r="E68" s="35"/>
      <c r="F68" s="35"/>
      <c r="G68" s="35"/>
    </row>
    <row r="69" spans="1:7">
      <c r="A69" s="11">
        <v>66</v>
      </c>
      <c r="B69" s="35"/>
      <c r="C69" s="35" t="s">
        <v>1260</v>
      </c>
      <c r="D69" s="108" t="s">
        <v>1289</v>
      </c>
      <c r="E69" s="35"/>
      <c r="F69" s="35"/>
      <c r="G69" s="35"/>
    </row>
    <row r="70" spans="1:7">
      <c r="A70" s="11">
        <v>67</v>
      </c>
      <c r="B70" s="35"/>
      <c r="C70" s="118" t="s">
        <v>1198</v>
      </c>
      <c r="D70" s="108" t="s">
        <v>1289</v>
      </c>
      <c r="E70" s="35"/>
      <c r="F70" s="35"/>
      <c r="G70" s="35"/>
    </row>
    <row r="71" spans="1:7">
      <c r="A71" s="11">
        <v>68</v>
      </c>
      <c r="B71" s="35"/>
      <c r="C71" s="118" t="s">
        <v>1199</v>
      </c>
      <c r="D71" s="108" t="s">
        <v>1289</v>
      </c>
      <c r="E71" s="35"/>
      <c r="F71" s="35"/>
      <c r="G71" s="35"/>
    </row>
    <row r="72" spans="1:7">
      <c r="A72" s="11">
        <v>69</v>
      </c>
      <c r="B72" s="35"/>
      <c r="C72" s="35" t="s">
        <v>1253</v>
      </c>
      <c r="D72" s="108" t="s">
        <v>1289</v>
      </c>
      <c r="E72" s="35"/>
      <c r="F72" s="35"/>
      <c r="G72" s="35"/>
    </row>
    <row r="73" spans="1:7">
      <c r="A73" s="11">
        <v>70</v>
      </c>
      <c r="B73" s="35" t="s">
        <v>177</v>
      </c>
      <c r="C73" s="35" t="s">
        <v>856</v>
      </c>
      <c r="D73" s="64" t="s">
        <v>1298</v>
      </c>
      <c r="E73" s="35"/>
      <c r="F73" s="35"/>
      <c r="G73" s="35"/>
    </row>
    <row r="74" spans="1:7">
      <c r="A74" s="11">
        <v>71</v>
      </c>
      <c r="B74" s="35"/>
      <c r="C74" s="35" t="s">
        <v>1189</v>
      </c>
      <c r="D74" s="64" t="s">
        <v>1298</v>
      </c>
      <c r="E74" s="35"/>
      <c r="F74" s="35"/>
      <c r="G74" s="35"/>
    </row>
    <row r="75" spans="1:7">
      <c r="A75" s="11">
        <v>72</v>
      </c>
      <c r="B75" s="5"/>
      <c r="C75" s="5" t="s">
        <v>268</v>
      </c>
      <c r="D75" s="108" t="s">
        <v>1298</v>
      </c>
      <c r="E75" s="5"/>
      <c r="F75" s="5"/>
      <c r="G75" s="5"/>
    </row>
    <row r="76" spans="1:7">
      <c r="A76" s="11">
        <v>73</v>
      </c>
      <c r="B76" s="5"/>
      <c r="C76" s="5" t="s">
        <v>269</v>
      </c>
      <c r="D76" s="108" t="s">
        <v>1298</v>
      </c>
      <c r="E76" s="5"/>
      <c r="F76" s="5"/>
      <c r="G76" s="5"/>
    </row>
    <row r="77" spans="1:7">
      <c r="A77" s="11">
        <v>74</v>
      </c>
      <c r="B77" s="35"/>
      <c r="C77" s="35" t="s">
        <v>178</v>
      </c>
      <c r="D77" s="64" t="s">
        <v>1298</v>
      </c>
      <c r="E77" s="35"/>
      <c r="F77" s="35"/>
      <c r="G77" s="35"/>
    </row>
    <row r="78" spans="1:7">
      <c r="A78" s="11">
        <v>75</v>
      </c>
      <c r="B78" s="5" t="s">
        <v>179</v>
      </c>
      <c r="C78" s="5" t="s">
        <v>341</v>
      </c>
      <c r="D78" s="108" t="s">
        <v>1298</v>
      </c>
      <c r="E78" s="5"/>
      <c r="F78" s="5"/>
      <c r="G78" s="5"/>
    </row>
    <row r="79" spans="1:7">
      <c r="A79" s="11">
        <v>76</v>
      </c>
      <c r="B79" s="5"/>
      <c r="C79" s="5" t="s">
        <v>404</v>
      </c>
      <c r="D79" s="108" t="s">
        <v>1298</v>
      </c>
      <c r="E79" s="5"/>
      <c r="F79" s="5"/>
      <c r="G79" s="5"/>
    </row>
    <row r="80" spans="1:7">
      <c r="A80" s="11">
        <v>77</v>
      </c>
      <c r="B80" s="5"/>
      <c r="C80" s="5" t="s">
        <v>343</v>
      </c>
      <c r="D80" s="108" t="s">
        <v>1298</v>
      </c>
      <c r="E80" s="5"/>
      <c r="F80" s="5"/>
      <c r="G80" s="5"/>
    </row>
    <row r="81" spans="1:8">
      <c r="A81" s="11">
        <v>78</v>
      </c>
      <c r="B81" s="35" t="s">
        <v>376</v>
      </c>
      <c r="C81" s="35" t="s">
        <v>422</v>
      </c>
      <c r="D81" s="64" t="s">
        <v>1298</v>
      </c>
      <c r="E81" s="35"/>
      <c r="F81" s="35"/>
      <c r="G81" s="35"/>
    </row>
    <row r="82" spans="1:8">
      <c r="A82" s="11">
        <v>79</v>
      </c>
      <c r="B82" s="35" t="s">
        <v>376</v>
      </c>
      <c r="C82" s="35" t="s">
        <v>377</v>
      </c>
      <c r="D82" s="64" t="s">
        <v>1298</v>
      </c>
      <c r="E82" s="35"/>
      <c r="F82" s="35"/>
      <c r="G82" s="35"/>
    </row>
    <row r="83" spans="1:8">
      <c r="A83" s="11">
        <v>80</v>
      </c>
      <c r="B83" s="5" t="s">
        <v>180</v>
      </c>
      <c r="C83" s="5" t="s">
        <v>270</v>
      </c>
      <c r="D83" s="61" t="s">
        <v>1300</v>
      </c>
      <c r="E83" s="5"/>
      <c r="F83" s="5"/>
      <c r="G83" s="5"/>
      <c r="H83" s="127"/>
    </row>
    <row r="84" spans="1:8">
      <c r="A84" s="11">
        <v>81</v>
      </c>
      <c r="B84" s="5"/>
      <c r="C84" s="5" t="s">
        <v>271</v>
      </c>
      <c r="D84" s="61" t="s">
        <v>1300</v>
      </c>
      <c r="E84" s="5"/>
      <c r="F84" s="5"/>
      <c r="G84" s="5"/>
      <c r="H84" s="127"/>
    </row>
    <row r="85" spans="1:8">
      <c r="A85" s="11">
        <v>82</v>
      </c>
      <c r="B85" s="5"/>
      <c r="C85" s="5" t="s">
        <v>272</v>
      </c>
      <c r="D85" s="61" t="s">
        <v>1300</v>
      </c>
      <c r="E85" s="5"/>
      <c r="F85" s="5"/>
      <c r="G85" s="5"/>
    </row>
    <row r="86" spans="1:8">
      <c r="A86" s="11">
        <v>83</v>
      </c>
      <c r="B86" s="35"/>
      <c r="C86" s="35" t="s">
        <v>221</v>
      </c>
      <c r="D86" s="61" t="s">
        <v>1300</v>
      </c>
      <c r="E86" s="35"/>
      <c r="F86" s="35"/>
      <c r="G86" s="35"/>
    </row>
    <row r="87" spans="1:8">
      <c r="A87" s="11">
        <v>84</v>
      </c>
      <c r="B87" s="5"/>
      <c r="C87" s="5" t="s">
        <v>433</v>
      </c>
      <c r="D87" s="61" t="s">
        <v>1300</v>
      </c>
      <c r="E87" s="5"/>
      <c r="F87" s="5"/>
      <c r="G87" s="5"/>
    </row>
    <row r="88" spans="1:8">
      <c r="A88" s="11">
        <v>85</v>
      </c>
      <c r="B88" s="35"/>
      <c r="C88" s="35" t="s">
        <v>273</v>
      </c>
      <c r="D88" s="61" t="s">
        <v>1300</v>
      </c>
      <c r="E88" s="35"/>
      <c r="F88" s="35"/>
      <c r="G88" s="35"/>
    </row>
    <row r="89" spans="1:8">
      <c r="A89" s="11">
        <v>86</v>
      </c>
      <c r="B89" s="35" t="s">
        <v>181</v>
      </c>
      <c r="C89" s="35" t="s">
        <v>423</v>
      </c>
      <c r="D89" s="61" t="s">
        <v>1300</v>
      </c>
      <c r="E89" s="35"/>
      <c r="F89" s="35"/>
      <c r="G89" s="35"/>
    </row>
    <row r="90" spans="1:8">
      <c r="A90" s="11">
        <v>87</v>
      </c>
      <c r="B90" s="5" t="s">
        <v>181</v>
      </c>
      <c r="C90" s="5" t="s">
        <v>274</v>
      </c>
      <c r="D90" s="61" t="s">
        <v>1300</v>
      </c>
      <c r="E90" s="5"/>
      <c r="F90" s="5"/>
      <c r="G90" s="5"/>
    </row>
    <row r="91" spans="1:8">
      <c r="A91" s="11">
        <v>88</v>
      </c>
      <c r="B91" s="5" t="s">
        <v>182</v>
      </c>
      <c r="C91" s="5" t="s">
        <v>345</v>
      </c>
      <c r="D91" s="61" t="s">
        <v>1300</v>
      </c>
      <c r="E91" s="5"/>
      <c r="F91" s="5"/>
      <c r="G91" s="5"/>
    </row>
    <row r="92" spans="1:8">
      <c r="A92" s="11">
        <v>89</v>
      </c>
      <c r="B92" s="5"/>
      <c r="C92" s="5" t="s">
        <v>275</v>
      </c>
      <c r="D92" s="61" t="s">
        <v>1293</v>
      </c>
      <c r="E92" s="5"/>
      <c r="F92" s="5"/>
      <c r="G92" s="5"/>
    </row>
    <row r="93" spans="1:8">
      <c r="A93" s="11">
        <v>90</v>
      </c>
      <c r="B93" s="5" t="s">
        <v>185</v>
      </c>
      <c r="C93" s="5" t="s">
        <v>276</v>
      </c>
      <c r="D93" s="61" t="s">
        <v>1293</v>
      </c>
      <c r="E93" s="5"/>
      <c r="F93" s="5"/>
      <c r="G93" s="5"/>
    </row>
    <row r="94" spans="1:8">
      <c r="A94" s="11">
        <v>91</v>
      </c>
      <c r="B94" s="5"/>
      <c r="C94" s="5" t="s">
        <v>277</v>
      </c>
      <c r="D94" s="61" t="s">
        <v>1293</v>
      </c>
      <c r="E94" s="5"/>
      <c r="F94" s="5"/>
      <c r="G94" s="5"/>
    </row>
    <row r="95" spans="1:8">
      <c r="A95" s="11">
        <v>92</v>
      </c>
      <c r="B95" s="5"/>
      <c r="C95" s="5" t="s">
        <v>278</v>
      </c>
      <c r="D95" s="61" t="s">
        <v>1293</v>
      </c>
      <c r="E95" s="5"/>
      <c r="F95" s="5"/>
      <c r="G95" s="5"/>
    </row>
    <row r="96" spans="1:8">
      <c r="A96" s="11">
        <v>93</v>
      </c>
      <c r="B96" s="5"/>
      <c r="C96" s="5" t="s">
        <v>279</v>
      </c>
      <c r="D96" s="61" t="s">
        <v>1293</v>
      </c>
      <c r="E96" s="5"/>
      <c r="F96" s="5"/>
      <c r="G96" s="5"/>
    </row>
    <row r="97" spans="1:7">
      <c r="A97" s="11">
        <v>94</v>
      </c>
      <c r="B97" s="5" t="s">
        <v>183</v>
      </c>
      <c r="C97" s="5" t="s">
        <v>280</v>
      </c>
      <c r="D97" s="61" t="s">
        <v>1293</v>
      </c>
      <c r="E97" s="5"/>
      <c r="F97" s="5"/>
      <c r="G97" s="5"/>
    </row>
    <row r="98" spans="1:7">
      <c r="A98" s="11">
        <v>95</v>
      </c>
      <c r="B98" s="5"/>
      <c r="C98" s="5" t="s">
        <v>281</v>
      </c>
      <c r="D98" s="61" t="s">
        <v>1293</v>
      </c>
      <c r="E98" s="5"/>
      <c r="F98" s="5"/>
      <c r="G98" s="5"/>
    </row>
    <row r="99" spans="1:7">
      <c r="A99" s="11">
        <v>96</v>
      </c>
      <c r="B99" s="5" t="s">
        <v>184</v>
      </c>
      <c r="C99" s="5" t="s">
        <v>282</v>
      </c>
      <c r="D99" s="61" t="s">
        <v>1293</v>
      </c>
      <c r="E99" s="5"/>
      <c r="F99" s="5"/>
      <c r="G99" s="5"/>
    </row>
    <row r="100" spans="1:7">
      <c r="A100" s="11">
        <v>97</v>
      </c>
      <c r="B100" s="5"/>
      <c r="C100" s="5" t="s">
        <v>858</v>
      </c>
      <c r="D100" s="61" t="s">
        <v>1294</v>
      </c>
      <c r="E100" s="5"/>
      <c r="F100" s="5"/>
      <c r="G100" s="5"/>
    </row>
    <row r="101" spans="1:7">
      <c r="A101" s="11">
        <v>98</v>
      </c>
      <c r="B101" s="5" t="s">
        <v>189</v>
      </c>
      <c r="C101" s="5" t="s">
        <v>284</v>
      </c>
      <c r="D101" s="61" t="s">
        <v>1294</v>
      </c>
      <c r="E101" s="5"/>
      <c r="F101" s="5"/>
      <c r="G101" s="5"/>
    </row>
    <row r="102" spans="1:7">
      <c r="A102" s="11">
        <v>99</v>
      </c>
      <c r="B102" s="5" t="s">
        <v>191</v>
      </c>
      <c r="C102" s="5" t="s">
        <v>285</v>
      </c>
      <c r="D102" s="61" t="s">
        <v>1294</v>
      </c>
      <c r="E102" s="5"/>
      <c r="F102" s="5"/>
      <c r="G102" s="5"/>
    </row>
    <row r="103" spans="1:7">
      <c r="A103" s="11">
        <v>100</v>
      </c>
      <c r="B103" s="5"/>
      <c r="C103" s="5" t="s">
        <v>286</v>
      </c>
      <c r="D103" s="61" t="s">
        <v>1294</v>
      </c>
      <c r="E103" s="5"/>
      <c r="F103" s="5"/>
      <c r="G103" s="5"/>
    </row>
    <row r="104" spans="1:7">
      <c r="A104" s="11">
        <v>101</v>
      </c>
      <c r="B104" s="5" t="s">
        <v>405</v>
      </c>
      <c r="C104" s="5" t="s">
        <v>398</v>
      </c>
      <c r="D104" s="61" t="s">
        <v>1294</v>
      </c>
      <c r="E104" s="5"/>
      <c r="F104" s="5"/>
      <c r="G104" s="5"/>
    </row>
    <row r="105" spans="1:7">
      <c r="A105" s="11">
        <v>102</v>
      </c>
      <c r="B105" s="5"/>
      <c r="C105" s="5" t="s">
        <v>287</v>
      </c>
      <c r="D105" s="61" t="s">
        <v>1294</v>
      </c>
      <c r="E105" s="5"/>
      <c r="F105" s="5"/>
      <c r="G105" s="5"/>
    </row>
    <row r="106" spans="1:7">
      <c r="A106" s="11">
        <v>103</v>
      </c>
      <c r="B106" s="5" t="s">
        <v>220</v>
      </c>
      <c r="C106" s="5" t="s">
        <v>288</v>
      </c>
      <c r="D106" s="61" t="s">
        <v>1294</v>
      </c>
      <c r="E106" s="5"/>
      <c r="F106" s="5"/>
      <c r="G106" s="5"/>
    </row>
    <row r="107" spans="1:7">
      <c r="A107" s="11">
        <v>104</v>
      </c>
      <c r="B107" s="35" t="s">
        <v>190</v>
      </c>
      <c r="C107" s="35" t="s">
        <v>355</v>
      </c>
      <c r="D107" s="64" t="s">
        <v>1295</v>
      </c>
      <c r="E107" s="35"/>
      <c r="F107" s="35"/>
      <c r="G107" s="35"/>
    </row>
    <row r="108" spans="1:7">
      <c r="A108" s="11">
        <v>105</v>
      </c>
      <c r="B108" s="5"/>
      <c r="C108" s="5" t="s">
        <v>290</v>
      </c>
      <c r="D108" s="61" t="s">
        <v>1295</v>
      </c>
      <c r="E108" s="5"/>
      <c r="F108" s="5"/>
      <c r="G108" s="5"/>
    </row>
    <row r="109" spans="1:7">
      <c r="A109" s="11">
        <v>106</v>
      </c>
      <c r="B109" s="5" t="s">
        <v>188</v>
      </c>
      <c r="C109" s="5" t="s">
        <v>291</v>
      </c>
      <c r="D109" s="61" t="s">
        <v>1295</v>
      </c>
      <c r="E109" s="5"/>
      <c r="F109" s="5"/>
      <c r="G109" s="5"/>
    </row>
    <row r="110" spans="1:7">
      <c r="A110" s="11">
        <v>107</v>
      </c>
      <c r="B110" s="5" t="s">
        <v>186</v>
      </c>
      <c r="C110" s="5" t="s">
        <v>1247</v>
      </c>
      <c r="D110" s="61" t="s">
        <v>1295</v>
      </c>
      <c r="E110" s="5"/>
      <c r="F110" s="5"/>
      <c r="G110" s="5"/>
    </row>
    <row r="111" spans="1:7">
      <c r="A111" s="11">
        <v>108</v>
      </c>
      <c r="B111" s="5"/>
      <c r="C111" s="5" t="s">
        <v>293</v>
      </c>
      <c r="D111" s="61" t="s">
        <v>1295</v>
      </c>
      <c r="E111" s="5"/>
      <c r="F111" s="5"/>
      <c r="G111" s="5"/>
    </row>
    <row r="112" spans="1:7">
      <c r="A112" s="11">
        <v>109</v>
      </c>
      <c r="B112" s="35"/>
      <c r="C112" s="35" t="s">
        <v>187</v>
      </c>
      <c r="D112" s="64" t="s">
        <v>1295</v>
      </c>
      <c r="E112" s="35"/>
      <c r="F112" s="35"/>
      <c r="G112" s="35"/>
    </row>
    <row r="113" spans="1:8">
      <c r="A113" s="11">
        <v>110</v>
      </c>
      <c r="B113" s="5"/>
      <c r="C113" s="5" t="s">
        <v>344</v>
      </c>
      <c r="D113" s="61" t="s">
        <v>1295</v>
      </c>
      <c r="E113" s="5"/>
      <c r="F113" s="5"/>
      <c r="G113" s="5"/>
    </row>
    <row r="114" spans="1:8">
      <c r="A114" s="11">
        <v>111</v>
      </c>
      <c r="B114" s="5" t="s">
        <v>194</v>
      </c>
      <c r="C114" s="5" t="s">
        <v>346</v>
      </c>
      <c r="D114" s="61" t="s">
        <v>1295</v>
      </c>
      <c r="E114" s="5"/>
      <c r="F114" s="5"/>
      <c r="G114" s="5"/>
    </row>
    <row r="115" spans="1:8">
      <c r="A115" s="11">
        <v>112</v>
      </c>
      <c r="B115" s="5" t="s">
        <v>193</v>
      </c>
      <c r="C115" s="5" t="s">
        <v>294</v>
      </c>
      <c r="D115" s="61" t="s">
        <v>1295</v>
      </c>
      <c r="E115" s="5"/>
      <c r="F115" s="5"/>
      <c r="G115" s="5"/>
    </row>
    <row r="116" spans="1:8">
      <c r="A116" s="11">
        <v>113</v>
      </c>
      <c r="B116" s="5" t="s">
        <v>192</v>
      </c>
      <c r="C116" s="5" t="s">
        <v>378</v>
      </c>
      <c r="D116" s="61" t="s">
        <v>1295</v>
      </c>
      <c r="E116" s="5"/>
      <c r="F116" s="5"/>
      <c r="G116" s="5"/>
    </row>
    <row r="117" spans="1:8">
      <c r="A117" s="11">
        <v>114</v>
      </c>
      <c r="B117" s="5"/>
      <c r="C117" s="5" t="s">
        <v>295</v>
      </c>
      <c r="D117" s="61" t="s">
        <v>1295</v>
      </c>
      <c r="E117" s="5"/>
      <c r="F117" s="5"/>
      <c r="G117" s="5"/>
    </row>
    <row r="118" spans="1:8">
      <c r="A118" s="11">
        <v>115</v>
      </c>
      <c r="B118" s="5"/>
      <c r="C118" s="5" t="s">
        <v>369</v>
      </c>
      <c r="D118" s="61" t="s">
        <v>1296</v>
      </c>
      <c r="E118" s="5"/>
      <c r="F118" s="5"/>
      <c r="G118" s="5"/>
    </row>
    <row r="119" spans="1:8">
      <c r="A119" s="11">
        <v>116</v>
      </c>
      <c r="B119" s="5"/>
      <c r="C119" s="5" t="s">
        <v>296</v>
      </c>
      <c r="D119" s="61" t="s">
        <v>1296</v>
      </c>
      <c r="E119" s="5"/>
      <c r="F119" s="5"/>
      <c r="G119" s="5"/>
      <c r="H119" s="127"/>
    </row>
    <row r="120" spans="1:8">
      <c r="A120" s="11">
        <v>117</v>
      </c>
      <c r="B120" s="5"/>
      <c r="C120" s="5" t="s">
        <v>297</v>
      </c>
      <c r="D120" s="61" t="s">
        <v>1296</v>
      </c>
      <c r="E120" s="5"/>
      <c r="F120" s="5"/>
      <c r="G120" s="5"/>
      <c r="H120" s="127"/>
    </row>
    <row r="121" spans="1:8">
      <c r="A121" s="11">
        <v>118</v>
      </c>
      <c r="B121" s="5"/>
      <c r="C121" s="5" t="s">
        <v>298</v>
      </c>
      <c r="D121" s="61" t="s">
        <v>1296</v>
      </c>
      <c r="E121" s="5"/>
      <c r="F121" s="5"/>
      <c r="G121" s="5"/>
      <c r="H121" s="127"/>
    </row>
    <row r="122" spans="1:8">
      <c r="A122" s="11">
        <v>119</v>
      </c>
      <c r="B122" s="5" t="s">
        <v>195</v>
      </c>
      <c r="C122" s="5" t="s">
        <v>299</v>
      </c>
      <c r="D122" s="61" t="s">
        <v>1296</v>
      </c>
      <c r="E122" s="5"/>
      <c r="F122" s="5"/>
      <c r="G122" s="5"/>
      <c r="H122" s="127"/>
    </row>
    <row r="123" spans="1:8">
      <c r="A123" s="11">
        <v>120</v>
      </c>
      <c r="B123" s="5"/>
      <c r="C123" s="5" t="s">
        <v>300</v>
      </c>
      <c r="D123" s="61" t="s">
        <v>1296</v>
      </c>
      <c r="E123" s="5"/>
      <c r="F123" s="5"/>
      <c r="G123" s="5"/>
      <c r="H123" s="127"/>
    </row>
    <row r="124" spans="1:8">
      <c r="A124" s="11">
        <v>121</v>
      </c>
      <c r="B124" s="5"/>
      <c r="C124" s="5" t="s">
        <v>301</v>
      </c>
      <c r="D124" s="61" t="s">
        <v>1296</v>
      </c>
      <c r="E124" s="5"/>
      <c r="F124" s="5"/>
      <c r="G124" s="5"/>
      <c r="H124" s="127"/>
    </row>
    <row r="125" spans="1:8">
      <c r="A125" s="11">
        <v>122</v>
      </c>
      <c r="B125" s="5" t="s">
        <v>196</v>
      </c>
      <c r="C125" s="5" t="s">
        <v>302</v>
      </c>
      <c r="D125" s="61" t="s">
        <v>1296</v>
      </c>
      <c r="E125" s="5"/>
      <c r="F125" s="5"/>
      <c r="G125" s="5"/>
      <c r="H125" s="127"/>
    </row>
    <row r="126" spans="1:8">
      <c r="A126" s="11">
        <v>123</v>
      </c>
      <c r="B126" s="5" t="s">
        <v>203</v>
      </c>
      <c r="C126" s="5" t="s">
        <v>399</v>
      </c>
      <c r="D126" s="61" t="s">
        <v>1297</v>
      </c>
      <c r="E126" s="5"/>
      <c r="F126" s="5"/>
      <c r="G126" s="5"/>
      <c r="H126" s="127"/>
    </row>
    <row r="127" spans="1:8">
      <c r="A127" s="11">
        <v>124</v>
      </c>
      <c r="B127" s="5"/>
      <c r="C127" s="35" t="s">
        <v>1248</v>
      </c>
      <c r="D127" s="61" t="s">
        <v>1297</v>
      </c>
      <c r="E127" s="35"/>
      <c r="F127" s="35"/>
      <c r="G127" s="35"/>
      <c r="H127" s="127"/>
    </row>
    <row r="128" spans="1:8">
      <c r="A128" s="11">
        <v>125</v>
      </c>
      <c r="B128" s="5"/>
      <c r="C128" s="35" t="s">
        <v>1269</v>
      </c>
      <c r="D128" s="61" t="s">
        <v>1297</v>
      </c>
      <c r="E128" s="35"/>
      <c r="F128" s="35"/>
      <c r="G128" s="35"/>
      <c r="H128" s="127"/>
    </row>
    <row r="129" spans="1:8">
      <c r="A129" s="11">
        <v>126</v>
      </c>
      <c r="B129" s="5"/>
      <c r="C129" s="5" t="s">
        <v>304</v>
      </c>
      <c r="D129" s="61" t="s">
        <v>1297</v>
      </c>
      <c r="E129" s="5"/>
      <c r="F129" s="5"/>
      <c r="G129" s="5"/>
      <c r="H129" s="127"/>
    </row>
    <row r="130" spans="1:8">
      <c r="A130" s="11">
        <v>127</v>
      </c>
      <c r="B130" s="5"/>
      <c r="C130" s="5" t="s">
        <v>347</v>
      </c>
      <c r="D130" s="61" t="s">
        <v>1297</v>
      </c>
      <c r="E130" s="5"/>
      <c r="F130" s="5"/>
      <c r="G130" s="5"/>
      <c r="H130" s="127"/>
    </row>
    <row r="131" spans="1:8">
      <c r="A131" s="11">
        <v>128</v>
      </c>
      <c r="B131" s="35"/>
      <c r="C131" s="35" t="s">
        <v>915</v>
      </c>
      <c r="D131" s="61" t="s">
        <v>1297</v>
      </c>
      <c r="E131" s="35"/>
      <c r="F131" s="35"/>
      <c r="G131" s="35"/>
      <c r="H131" s="127"/>
    </row>
    <row r="132" spans="1:8">
      <c r="A132" s="11">
        <v>129</v>
      </c>
      <c r="B132" s="5"/>
      <c r="C132" s="5" t="s">
        <v>305</v>
      </c>
      <c r="D132" s="61" t="s">
        <v>1297</v>
      </c>
      <c r="E132" s="5"/>
      <c r="F132" s="5"/>
      <c r="G132" s="5"/>
      <c r="H132" s="127"/>
    </row>
    <row r="133" spans="1:8">
      <c r="A133" s="11">
        <v>130</v>
      </c>
      <c r="B133" s="5"/>
      <c r="C133" s="35" t="s">
        <v>1228</v>
      </c>
      <c r="D133" s="61" t="s">
        <v>1297</v>
      </c>
      <c r="E133" s="5"/>
      <c r="F133" s="5"/>
      <c r="G133" s="5"/>
      <c r="H133" s="127"/>
    </row>
    <row r="134" spans="1:8">
      <c r="A134" s="11">
        <v>131</v>
      </c>
      <c r="B134" s="5"/>
      <c r="C134" s="5" t="s">
        <v>356</v>
      </c>
      <c r="D134" s="61" t="s">
        <v>1297</v>
      </c>
      <c r="E134" s="5"/>
      <c r="F134" s="5"/>
      <c r="G134" s="5"/>
      <c r="H134" s="127"/>
    </row>
    <row r="135" spans="1:8">
      <c r="A135" s="11">
        <v>132</v>
      </c>
      <c r="B135" s="5" t="s">
        <v>198</v>
      </c>
      <c r="C135" s="5" t="s">
        <v>306</v>
      </c>
      <c r="D135" s="69" t="s">
        <v>1287</v>
      </c>
      <c r="E135" s="5"/>
      <c r="F135" s="5"/>
      <c r="G135" s="5"/>
      <c r="H135" s="127"/>
    </row>
    <row r="136" spans="1:8">
      <c r="A136" s="11">
        <v>133</v>
      </c>
      <c r="B136" s="5"/>
      <c r="C136" s="5" t="s">
        <v>307</v>
      </c>
      <c r="D136" s="69" t="s">
        <v>1287</v>
      </c>
      <c r="E136" s="5"/>
      <c r="F136" s="5"/>
      <c r="G136" s="5"/>
      <c r="H136" s="127"/>
    </row>
    <row r="137" spans="1:8">
      <c r="A137" s="11">
        <v>134</v>
      </c>
      <c r="B137" s="5"/>
      <c r="C137" s="5" t="s">
        <v>357</v>
      </c>
      <c r="D137" s="69" t="s">
        <v>1287</v>
      </c>
      <c r="E137" s="5"/>
      <c r="F137" s="5"/>
      <c r="G137" s="5"/>
      <c r="H137" s="127"/>
    </row>
    <row r="138" spans="1:8">
      <c r="A138" s="11">
        <v>135</v>
      </c>
      <c r="B138" s="5"/>
      <c r="C138" s="5" t="s">
        <v>308</v>
      </c>
      <c r="D138" s="69" t="s">
        <v>1287</v>
      </c>
      <c r="E138" s="5"/>
      <c r="F138" s="5"/>
      <c r="G138" s="5"/>
      <c r="H138" s="127"/>
    </row>
    <row r="139" spans="1:8">
      <c r="A139" s="11">
        <v>136</v>
      </c>
      <c r="B139" s="5"/>
      <c r="C139" s="5" t="s">
        <v>309</v>
      </c>
      <c r="D139" s="69" t="s">
        <v>1287</v>
      </c>
      <c r="E139" s="5"/>
      <c r="F139" s="5"/>
      <c r="G139" s="5"/>
      <c r="H139" s="127"/>
    </row>
    <row r="140" spans="1:8">
      <c r="A140" s="11">
        <v>137</v>
      </c>
      <c r="B140" s="35" t="s">
        <v>199</v>
      </c>
      <c r="C140" s="35" t="s">
        <v>200</v>
      </c>
      <c r="D140" s="64" t="s">
        <v>1292</v>
      </c>
      <c r="E140" s="35"/>
      <c r="F140" s="35"/>
      <c r="G140" s="35"/>
      <c r="H140" s="127"/>
    </row>
    <row r="141" spans="1:8">
      <c r="A141" s="11">
        <v>138</v>
      </c>
      <c r="B141" s="5" t="s">
        <v>197</v>
      </c>
      <c r="C141" s="5" t="s">
        <v>310</v>
      </c>
      <c r="D141" s="69" t="s">
        <v>1292</v>
      </c>
      <c r="E141" s="5"/>
      <c r="F141" s="5"/>
      <c r="G141" s="5"/>
      <c r="H141" s="127"/>
    </row>
    <row r="142" spans="1:8">
      <c r="A142" s="11">
        <v>139</v>
      </c>
      <c r="B142" s="5" t="s">
        <v>201</v>
      </c>
      <c r="C142" s="5" t="s">
        <v>311</v>
      </c>
      <c r="D142" s="69" t="s">
        <v>1292</v>
      </c>
      <c r="E142" s="5"/>
      <c r="F142" s="5"/>
      <c r="G142" s="5"/>
      <c r="H142" s="127"/>
    </row>
    <row r="143" spans="1:8">
      <c r="A143" s="11">
        <v>140</v>
      </c>
      <c r="B143" s="5"/>
      <c r="C143" s="35" t="s">
        <v>1186</v>
      </c>
      <c r="D143" s="64" t="s">
        <v>1292</v>
      </c>
      <c r="E143" s="35"/>
      <c r="F143" s="35"/>
      <c r="G143" s="35"/>
      <c r="H143" s="127"/>
    </row>
    <row r="144" spans="1:8">
      <c r="A144" s="11">
        <v>141</v>
      </c>
      <c r="B144" s="5"/>
      <c r="C144" s="5" t="s">
        <v>400</v>
      </c>
      <c r="D144" s="69" t="s">
        <v>1292</v>
      </c>
      <c r="E144" s="5"/>
      <c r="F144" s="5"/>
      <c r="G144" s="5"/>
      <c r="H144" s="127"/>
    </row>
    <row r="145" spans="1:8">
      <c r="A145" s="11">
        <v>142</v>
      </c>
      <c r="B145" s="5"/>
      <c r="C145" s="5" t="s">
        <v>313</v>
      </c>
      <c r="D145" s="69" t="s">
        <v>1292</v>
      </c>
      <c r="E145" s="5"/>
      <c r="F145" s="5"/>
      <c r="G145" s="5"/>
      <c r="H145" s="127"/>
    </row>
    <row r="146" spans="1:8">
      <c r="A146" s="11">
        <v>143</v>
      </c>
      <c r="B146" s="5" t="s">
        <v>370</v>
      </c>
      <c r="C146" s="5" t="s">
        <v>371</v>
      </c>
      <c r="D146" s="69" t="s">
        <v>1292</v>
      </c>
      <c r="E146" s="5"/>
      <c r="F146" s="5"/>
      <c r="G146" s="5"/>
      <c r="H146" s="127"/>
    </row>
    <row r="147" spans="1:8">
      <c r="A147" s="11">
        <v>144</v>
      </c>
      <c r="B147" s="35" t="s">
        <v>420</v>
      </c>
      <c r="C147" s="35" t="s">
        <v>419</v>
      </c>
      <c r="D147" s="64" t="s">
        <v>1301</v>
      </c>
      <c r="E147" s="35"/>
      <c r="F147" s="35"/>
      <c r="G147" s="35"/>
      <c r="H147" s="127"/>
    </row>
    <row r="148" spans="1:8">
      <c r="A148" s="11">
        <v>145</v>
      </c>
      <c r="B148" s="5" t="s">
        <v>223</v>
      </c>
      <c r="C148" s="5" t="s">
        <v>315</v>
      </c>
      <c r="D148" s="69" t="s">
        <v>1301</v>
      </c>
      <c r="E148" s="5"/>
      <c r="F148" s="5"/>
      <c r="G148" s="5"/>
      <c r="H148" s="127"/>
    </row>
    <row r="149" spans="1:8">
      <c r="A149" s="11">
        <v>146</v>
      </c>
      <c r="B149" s="5" t="s">
        <v>207</v>
      </c>
      <c r="C149" s="5" t="s">
        <v>316</v>
      </c>
      <c r="D149" s="69" t="s">
        <v>1301</v>
      </c>
      <c r="E149" s="5"/>
      <c r="F149" s="5"/>
      <c r="G149" s="5"/>
      <c r="H149" s="127"/>
    </row>
    <row r="150" spans="1:8">
      <c r="A150" s="11">
        <v>147</v>
      </c>
      <c r="B150" s="35" t="s">
        <v>206</v>
      </c>
      <c r="C150" s="35" t="s">
        <v>317</v>
      </c>
      <c r="D150" s="64" t="s">
        <v>1287</v>
      </c>
      <c r="E150" s="35"/>
      <c r="F150" s="35"/>
      <c r="G150" s="35"/>
      <c r="H150" s="127"/>
    </row>
    <row r="151" spans="1:8">
      <c r="A151" s="11">
        <v>148</v>
      </c>
      <c r="B151" s="5"/>
      <c r="C151" s="5" t="s">
        <v>318</v>
      </c>
      <c r="D151" s="69" t="s">
        <v>1287</v>
      </c>
      <c r="E151" s="5"/>
      <c r="F151" s="5"/>
      <c r="G151" s="5"/>
      <c r="H151" s="127"/>
    </row>
    <row r="152" spans="1:8">
      <c r="A152" s="11">
        <v>149</v>
      </c>
      <c r="B152" s="5"/>
      <c r="C152" s="35" t="s">
        <v>1270</v>
      </c>
      <c r="D152" s="64" t="s">
        <v>1287</v>
      </c>
      <c r="E152" s="5"/>
      <c r="F152" s="5"/>
      <c r="G152" s="5"/>
      <c r="H152" s="127"/>
    </row>
    <row r="153" spans="1:8">
      <c r="A153" s="11">
        <v>150</v>
      </c>
      <c r="B153" s="35"/>
      <c r="C153" s="35" t="s">
        <v>427</v>
      </c>
      <c r="D153" s="64" t="s">
        <v>1287</v>
      </c>
      <c r="E153" s="35"/>
      <c r="F153" s="35"/>
      <c r="G153" s="35"/>
      <c r="H153" s="127"/>
    </row>
    <row r="154" spans="1:8">
      <c r="A154" s="11">
        <v>151</v>
      </c>
      <c r="B154" s="5"/>
      <c r="C154" s="5" t="s">
        <v>319</v>
      </c>
      <c r="D154" s="69" t="s">
        <v>1287</v>
      </c>
      <c r="E154" s="5"/>
      <c r="F154" s="5"/>
      <c r="G154" s="5"/>
      <c r="H154" s="127"/>
    </row>
    <row r="155" spans="1:8">
      <c r="A155" s="11">
        <v>152</v>
      </c>
      <c r="B155" s="5"/>
      <c r="C155" s="5" t="s">
        <v>320</v>
      </c>
      <c r="D155" s="61" t="s">
        <v>1259</v>
      </c>
      <c r="E155" s="5"/>
      <c r="F155" s="5"/>
      <c r="G155" s="5"/>
      <c r="H155" s="127"/>
    </row>
    <row r="156" spans="1:8">
      <c r="A156" s="11">
        <v>153</v>
      </c>
      <c r="B156" s="35"/>
      <c r="C156" s="35" t="s">
        <v>208</v>
      </c>
      <c r="D156" s="61" t="s">
        <v>1259</v>
      </c>
      <c r="E156" s="35"/>
      <c r="F156" s="35"/>
      <c r="G156" s="35"/>
      <c r="H156" s="127"/>
    </row>
    <row r="157" spans="1:8">
      <c r="A157" s="11">
        <v>154</v>
      </c>
      <c r="B157" s="5"/>
      <c r="C157" s="5" t="s">
        <v>358</v>
      </c>
      <c r="D157" s="61" t="s">
        <v>1259</v>
      </c>
      <c r="E157" s="5"/>
      <c r="F157" s="5"/>
      <c r="G157" s="5"/>
      <c r="H157" s="127"/>
    </row>
    <row r="158" spans="1:8">
      <c r="A158" s="11">
        <v>155</v>
      </c>
      <c r="B158" s="35" t="s">
        <v>206</v>
      </c>
      <c r="C158" s="35" t="s">
        <v>421</v>
      </c>
      <c r="D158" s="5"/>
      <c r="E158" s="35"/>
      <c r="F158" s="35"/>
      <c r="G158" s="35"/>
      <c r="H158" s="127"/>
    </row>
    <row r="159" spans="1:8">
      <c r="A159" s="11">
        <v>156</v>
      </c>
      <c r="B159" s="5" t="s">
        <v>209</v>
      </c>
      <c r="C159" s="35" t="s">
        <v>929</v>
      </c>
      <c r="D159" s="61" t="s">
        <v>1259</v>
      </c>
      <c r="E159" s="35"/>
      <c r="F159" s="35"/>
      <c r="G159" s="35"/>
      <c r="H159" s="127"/>
    </row>
    <row r="160" spans="1:8">
      <c r="A160" s="11">
        <v>157</v>
      </c>
      <c r="B160" s="5"/>
      <c r="C160" s="35" t="s">
        <v>1195</v>
      </c>
      <c r="D160" s="61" t="s">
        <v>1259</v>
      </c>
      <c r="E160" s="35"/>
      <c r="F160" s="35"/>
      <c r="G160" s="35"/>
      <c r="H160" s="127"/>
    </row>
    <row r="161" spans="1:8">
      <c r="A161" s="11">
        <v>158</v>
      </c>
      <c r="B161" s="5" t="s">
        <v>209</v>
      </c>
      <c r="C161" s="5" t="s">
        <v>380</v>
      </c>
      <c r="D161" s="61" t="s">
        <v>1259</v>
      </c>
      <c r="E161" s="5"/>
      <c r="F161" s="5"/>
      <c r="G161" s="5"/>
      <c r="H161" s="127"/>
    </row>
    <row r="162" spans="1:8">
      <c r="A162" s="11">
        <v>159</v>
      </c>
      <c r="B162" s="5"/>
      <c r="C162" s="5" t="s">
        <v>381</v>
      </c>
      <c r="D162" s="61" t="s">
        <v>1259</v>
      </c>
      <c r="E162" s="5"/>
      <c r="F162" s="5"/>
      <c r="G162" s="5"/>
      <c r="H162" s="127"/>
    </row>
    <row r="163" spans="1:8">
      <c r="A163" s="11">
        <v>160</v>
      </c>
      <c r="B163" s="5"/>
      <c r="C163" s="5" t="s">
        <v>1250</v>
      </c>
      <c r="D163" s="61" t="s">
        <v>1259</v>
      </c>
      <c r="E163" s="5"/>
      <c r="F163" s="5"/>
      <c r="G163" s="5"/>
      <c r="H163" s="127"/>
    </row>
    <row r="164" spans="1:8">
      <c r="A164" s="11">
        <v>161</v>
      </c>
      <c r="B164" s="5"/>
      <c r="C164" s="5" t="s">
        <v>322</v>
      </c>
      <c r="D164" s="61" t="s">
        <v>1259</v>
      </c>
      <c r="E164" s="5"/>
      <c r="F164" s="5"/>
      <c r="G164" s="5"/>
      <c r="H164" s="127"/>
    </row>
    <row r="165" spans="1:8">
      <c r="A165" s="11">
        <v>162</v>
      </c>
      <c r="B165" s="5"/>
      <c r="C165" s="5" t="s">
        <v>323</v>
      </c>
      <c r="D165" s="61" t="s">
        <v>1259</v>
      </c>
      <c r="E165" s="5"/>
      <c r="F165" s="5"/>
      <c r="G165" s="5"/>
      <c r="H165" s="127"/>
    </row>
    <row r="166" spans="1:8">
      <c r="A166" s="11">
        <v>163</v>
      </c>
      <c r="B166" s="5"/>
      <c r="C166" s="5" t="s">
        <v>324</v>
      </c>
      <c r="D166" s="61" t="s">
        <v>1259</v>
      </c>
      <c r="E166" s="5"/>
      <c r="F166" s="5"/>
      <c r="G166" s="5"/>
      <c r="H166" s="127"/>
    </row>
    <row r="167" spans="1:8">
      <c r="A167" s="11">
        <v>164</v>
      </c>
      <c r="B167" s="5"/>
      <c r="C167" s="5" t="s">
        <v>325</v>
      </c>
      <c r="D167" s="61" t="s">
        <v>1259</v>
      </c>
      <c r="E167" s="5"/>
      <c r="F167" s="5"/>
      <c r="G167" s="5"/>
      <c r="H167" s="127"/>
    </row>
    <row r="168" spans="1:8">
      <c r="A168" s="11">
        <v>165</v>
      </c>
      <c r="B168" s="5"/>
      <c r="C168" s="5" t="s">
        <v>326</v>
      </c>
      <c r="D168" s="61" t="s">
        <v>1259</v>
      </c>
      <c r="E168" s="5"/>
      <c r="F168" s="5"/>
      <c r="G168" s="5"/>
      <c r="H168" s="127"/>
    </row>
    <row r="169" spans="1:8">
      <c r="A169" s="11">
        <v>166</v>
      </c>
      <c r="B169" s="35" t="s">
        <v>374</v>
      </c>
      <c r="C169" s="35" t="s">
        <v>382</v>
      </c>
      <c r="D169" s="61" t="s">
        <v>1259</v>
      </c>
      <c r="E169" s="35"/>
      <c r="F169" s="35"/>
      <c r="G169" s="35"/>
      <c r="H169" s="127"/>
    </row>
    <row r="170" spans="1:8">
      <c r="A170" s="11">
        <v>167</v>
      </c>
      <c r="B170" s="5"/>
      <c r="C170" s="5" t="s">
        <v>383</v>
      </c>
      <c r="D170" s="61" t="s">
        <v>1259</v>
      </c>
      <c r="E170" s="5"/>
      <c r="F170" s="5"/>
      <c r="G170" s="5"/>
      <c r="H170" s="127"/>
    </row>
    <row r="171" spans="1:8">
      <c r="A171" s="11">
        <v>168</v>
      </c>
      <c r="B171" s="5"/>
      <c r="C171" s="5" t="s">
        <v>384</v>
      </c>
      <c r="D171" s="61" t="s">
        <v>1259</v>
      </c>
      <c r="E171" s="5"/>
      <c r="F171" s="5"/>
      <c r="G171" s="5"/>
      <c r="H171" s="127"/>
    </row>
    <row r="172" spans="1:8">
      <c r="A172" s="11">
        <v>169</v>
      </c>
      <c r="B172" s="5" t="s">
        <v>211</v>
      </c>
      <c r="C172" s="5" t="s">
        <v>212</v>
      </c>
      <c r="D172" s="61" t="s">
        <v>1290</v>
      </c>
      <c r="E172" s="5"/>
      <c r="F172" s="5"/>
      <c r="G172" s="5"/>
      <c r="H172" s="127"/>
    </row>
    <row r="173" spans="1:8">
      <c r="A173" s="11">
        <v>170</v>
      </c>
      <c r="B173" s="5"/>
      <c r="C173" s="5" t="s">
        <v>213</v>
      </c>
      <c r="D173" s="61" t="s">
        <v>1290</v>
      </c>
      <c r="E173" s="5"/>
      <c r="F173" s="5"/>
      <c r="G173" s="5"/>
      <c r="H173" s="127"/>
    </row>
    <row r="174" spans="1:8">
      <c r="A174" s="11">
        <v>171</v>
      </c>
      <c r="B174" s="5" t="s">
        <v>214</v>
      </c>
      <c r="C174" s="5" t="s">
        <v>327</v>
      </c>
      <c r="D174" s="61" t="s">
        <v>1290</v>
      </c>
      <c r="E174" s="5"/>
      <c r="F174" s="5"/>
      <c r="G174" s="5"/>
      <c r="H174" s="127"/>
    </row>
    <row r="175" spans="1:8">
      <c r="A175" s="11">
        <v>172</v>
      </c>
      <c r="B175" s="35" t="s">
        <v>204</v>
      </c>
      <c r="C175" s="35" t="s">
        <v>359</v>
      </c>
      <c r="D175" s="61" t="s">
        <v>1290</v>
      </c>
      <c r="E175" s="35"/>
      <c r="F175" s="35"/>
      <c r="G175" s="35"/>
      <c r="H175" s="127"/>
    </row>
    <row r="176" spans="1:8">
      <c r="A176" s="11">
        <v>173</v>
      </c>
      <c r="B176" s="35" t="s">
        <v>204</v>
      </c>
      <c r="C176" s="35" t="s">
        <v>205</v>
      </c>
      <c r="D176" s="61" t="s">
        <v>1290</v>
      </c>
      <c r="E176" s="35"/>
      <c r="F176" s="35"/>
      <c r="G176" s="35"/>
      <c r="H176" s="127"/>
    </row>
    <row r="177" spans="1:8">
      <c r="A177" s="11">
        <v>174</v>
      </c>
      <c r="B177" s="5" t="s">
        <v>214</v>
      </c>
      <c r="C177" s="5" t="s">
        <v>328</v>
      </c>
      <c r="D177" s="61" t="s">
        <v>1291</v>
      </c>
      <c r="E177" s="5"/>
      <c r="F177" s="5"/>
      <c r="G177" s="5"/>
      <c r="H177" s="127"/>
    </row>
    <row r="178" spans="1:8">
      <c r="A178" s="11">
        <v>175</v>
      </c>
      <c r="B178" s="35" t="s">
        <v>414</v>
      </c>
      <c r="C178" s="35" t="s">
        <v>415</v>
      </c>
      <c r="D178" s="61" t="s">
        <v>1290</v>
      </c>
      <c r="E178" s="35"/>
      <c r="F178" s="35"/>
      <c r="G178" s="35"/>
      <c r="H178" s="127"/>
    </row>
    <row r="179" spans="1:8">
      <c r="A179" s="11">
        <v>176</v>
      </c>
      <c r="B179" s="35"/>
      <c r="C179" s="35" t="s">
        <v>329</v>
      </c>
      <c r="D179" s="61" t="s">
        <v>1291</v>
      </c>
      <c r="E179" s="35"/>
      <c r="F179" s="35"/>
      <c r="G179" s="35"/>
      <c r="H179" s="127"/>
    </row>
    <row r="180" spans="1:8">
      <c r="A180" s="11">
        <v>177</v>
      </c>
      <c r="B180" s="5"/>
      <c r="C180" s="5" t="s">
        <v>348</v>
      </c>
      <c r="D180" s="61" t="s">
        <v>1291</v>
      </c>
      <c r="E180" s="5"/>
      <c r="F180" s="5"/>
      <c r="G180" s="5"/>
      <c r="H180" s="127"/>
    </row>
    <row r="181" spans="1:8">
      <c r="A181" s="11">
        <v>178</v>
      </c>
      <c r="B181" s="35" t="s">
        <v>428</v>
      </c>
      <c r="C181" s="35" t="s">
        <v>396</v>
      </c>
      <c r="D181" s="61" t="s">
        <v>1291</v>
      </c>
      <c r="E181" s="35"/>
      <c r="F181" s="35"/>
      <c r="G181" s="35"/>
      <c r="H181" s="127"/>
    </row>
    <row r="182" spans="1:8">
      <c r="A182" s="11">
        <v>179</v>
      </c>
      <c r="B182" s="5"/>
      <c r="C182" s="5" t="s">
        <v>330</v>
      </c>
      <c r="D182" s="61" t="s">
        <v>1291</v>
      </c>
      <c r="E182" s="5"/>
      <c r="F182" s="5"/>
      <c r="G182" s="5"/>
      <c r="H182" s="127"/>
    </row>
    <row r="183" spans="1:8">
      <c r="A183" s="11">
        <v>180</v>
      </c>
      <c r="B183" s="35" t="s">
        <v>215</v>
      </c>
      <c r="C183" s="35" t="s">
        <v>331</v>
      </c>
      <c r="D183" s="61" t="s">
        <v>1291</v>
      </c>
      <c r="E183" s="35"/>
      <c r="F183" s="35"/>
      <c r="G183" s="35"/>
      <c r="H183" s="127"/>
    </row>
    <row r="184" spans="1:8">
      <c r="A184" s="11">
        <v>181</v>
      </c>
      <c r="B184" s="5" t="s">
        <v>216</v>
      </c>
      <c r="C184" s="5" t="s">
        <v>332</v>
      </c>
      <c r="D184" s="61" t="s">
        <v>1266</v>
      </c>
      <c r="E184" s="5"/>
      <c r="F184" s="5"/>
      <c r="G184" s="5"/>
      <c r="H184" s="127"/>
    </row>
    <row r="185" spans="1:8">
      <c r="A185" s="11">
        <v>182</v>
      </c>
      <c r="B185" s="5"/>
      <c r="C185" s="5" t="s">
        <v>333</v>
      </c>
      <c r="D185" s="61" t="s">
        <v>1266</v>
      </c>
      <c r="E185" s="5"/>
      <c r="F185" s="5"/>
      <c r="G185" s="5"/>
      <c r="H185" s="127"/>
    </row>
    <row r="186" spans="1:8">
      <c r="A186" s="11">
        <v>183</v>
      </c>
      <c r="B186" s="5"/>
      <c r="C186" s="5" t="s">
        <v>1272</v>
      </c>
      <c r="D186" s="5"/>
      <c r="E186" s="5"/>
      <c r="F186" s="5"/>
      <c r="G186" s="5"/>
      <c r="H186" s="127"/>
    </row>
    <row r="187" spans="1:8">
      <c r="A187" s="11">
        <v>184</v>
      </c>
      <c r="B187" s="5"/>
      <c r="C187" s="5" t="s">
        <v>1279</v>
      </c>
      <c r="D187" s="61" t="s">
        <v>1266</v>
      </c>
      <c r="E187" s="5"/>
      <c r="F187" s="5"/>
      <c r="G187" s="5"/>
      <c r="H187" s="127"/>
    </row>
    <row r="188" spans="1:8">
      <c r="A188" s="11">
        <v>185</v>
      </c>
      <c r="B188" s="5"/>
      <c r="C188" s="5" t="s">
        <v>349</v>
      </c>
      <c r="D188" s="61" t="s">
        <v>1266</v>
      </c>
      <c r="E188" s="5"/>
      <c r="F188" s="5"/>
      <c r="G188" s="5"/>
      <c r="H188" s="127"/>
    </row>
    <row r="189" spans="1:8">
      <c r="A189" s="11">
        <v>186</v>
      </c>
      <c r="B189" s="5"/>
      <c r="C189" s="5" t="s">
        <v>335</v>
      </c>
      <c r="D189" s="61" t="s">
        <v>1266</v>
      </c>
      <c r="E189" s="5"/>
      <c r="F189" s="5"/>
      <c r="G189" s="5"/>
      <c r="H189" s="127"/>
    </row>
    <row r="190" spans="1:8">
      <c r="A190" s="11">
        <v>187</v>
      </c>
      <c r="B190" s="5" t="s">
        <v>385</v>
      </c>
      <c r="C190" s="5" t="s">
        <v>386</v>
      </c>
      <c r="D190" s="61" t="s">
        <v>1280</v>
      </c>
      <c r="E190" s="5"/>
      <c r="F190" s="5"/>
      <c r="G190" s="5"/>
    </row>
    <row r="191" spans="1:8">
      <c r="A191" s="11">
        <v>188</v>
      </c>
      <c r="B191" s="5" t="s">
        <v>385</v>
      </c>
      <c r="C191" s="5" t="s">
        <v>387</v>
      </c>
      <c r="D191" s="61" t="s">
        <v>1280</v>
      </c>
      <c r="E191" s="5"/>
      <c r="F191" s="5"/>
      <c r="G191" s="5"/>
    </row>
    <row r="192" spans="1:8">
      <c r="A192" s="11">
        <v>189</v>
      </c>
      <c r="B192" s="5" t="s">
        <v>385</v>
      </c>
      <c r="C192" s="5" t="s">
        <v>388</v>
      </c>
      <c r="D192" s="61" t="s">
        <v>1280</v>
      </c>
      <c r="E192" s="5"/>
      <c r="F192" s="5"/>
      <c r="G192" s="5"/>
    </row>
    <row r="193" spans="1:7">
      <c r="A193" s="11">
        <v>190</v>
      </c>
      <c r="B193" s="5" t="s">
        <v>385</v>
      </c>
      <c r="C193" s="5" t="s">
        <v>389</v>
      </c>
      <c r="D193" s="61" t="s">
        <v>1280</v>
      </c>
      <c r="E193" s="5"/>
      <c r="F193" s="5"/>
      <c r="G193" s="5"/>
    </row>
    <row r="194" spans="1:7">
      <c r="A194" s="11">
        <v>191</v>
      </c>
      <c r="B194" s="5" t="s">
        <v>385</v>
      </c>
      <c r="C194" s="5" t="s">
        <v>390</v>
      </c>
      <c r="D194" s="61" t="s">
        <v>1280</v>
      </c>
      <c r="E194" s="5"/>
      <c r="F194" s="5"/>
      <c r="G194" s="5"/>
    </row>
    <row r="195" spans="1:7">
      <c r="A195" s="11">
        <v>192</v>
      </c>
      <c r="B195" s="5" t="s">
        <v>385</v>
      </c>
      <c r="C195" s="5" t="s">
        <v>391</v>
      </c>
      <c r="D195" s="61" t="s">
        <v>1280</v>
      </c>
      <c r="E195" s="5"/>
      <c r="F195" s="5"/>
      <c r="G195" s="5"/>
    </row>
    <row r="196" spans="1:7">
      <c r="A196" s="11">
        <v>193</v>
      </c>
      <c r="B196" s="5" t="s">
        <v>385</v>
      </c>
      <c r="C196" s="35" t="s">
        <v>1197</v>
      </c>
      <c r="D196" s="61" t="s">
        <v>1280</v>
      </c>
      <c r="E196" s="5"/>
      <c r="F196" s="5"/>
      <c r="G196" s="5"/>
    </row>
    <row r="197" spans="1:7">
      <c r="A197" s="11">
        <v>194</v>
      </c>
      <c r="B197" s="5" t="s">
        <v>385</v>
      </c>
      <c r="C197" s="5" t="s">
        <v>392</v>
      </c>
      <c r="D197" s="61" t="s">
        <v>1280</v>
      </c>
      <c r="E197" s="5"/>
      <c r="F197" s="5"/>
      <c r="G197" s="5"/>
    </row>
    <row r="198" spans="1:7">
      <c r="A198" s="11">
        <v>195</v>
      </c>
      <c r="B198" s="5" t="s">
        <v>385</v>
      </c>
      <c r="C198" s="5" t="s">
        <v>393</v>
      </c>
      <c r="D198" s="61" t="s">
        <v>1280</v>
      </c>
      <c r="E198" s="5"/>
      <c r="F198" s="5"/>
      <c r="G198" s="5"/>
    </row>
    <row r="199" spans="1:7">
      <c r="A199" s="11">
        <v>196</v>
      </c>
      <c r="B199" s="35" t="s">
        <v>1138</v>
      </c>
      <c r="C199" s="35" t="s">
        <v>1139</v>
      </c>
      <c r="D199" s="61" t="s">
        <v>1280</v>
      </c>
      <c r="E199" s="35"/>
      <c r="F199" s="35"/>
      <c r="G199" s="35"/>
    </row>
    <row r="200" spans="1:7" s="37" customFormat="1">
      <c r="A200" s="11">
        <v>197</v>
      </c>
      <c r="B200" s="35" t="s">
        <v>394</v>
      </c>
      <c r="C200" s="35" t="s">
        <v>395</v>
      </c>
      <c r="D200" s="35"/>
      <c r="E200" s="35"/>
      <c r="F200" s="35"/>
      <c r="G200" s="35"/>
    </row>
    <row r="201" spans="1:7">
      <c r="A201" s="11"/>
      <c r="B201" s="5"/>
      <c r="C201" s="5"/>
      <c r="D201" s="5"/>
      <c r="E201" s="5"/>
      <c r="F201" s="5"/>
      <c r="G201" s="5"/>
    </row>
    <row r="202" spans="1:7">
      <c r="A202" s="11"/>
      <c r="B202" s="5" t="s">
        <v>855</v>
      </c>
      <c r="C202" s="5"/>
      <c r="D202" s="5"/>
      <c r="E202" s="5"/>
      <c r="F202" s="5"/>
      <c r="G202" s="5"/>
    </row>
    <row r="203" spans="1:7">
      <c r="A203" s="41"/>
      <c r="B203" s="33"/>
      <c r="C203" s="33"/>
      <c r="D203" s="33"/>
      <c r="E203" s="33"/>
      <c r="F203" s="33"/>
      <c r="G203" s="33"/>
    </row>
    <row r="204" spans="1:7">
      <c r="A204" s="41"/>
      <c r="B204" s="33"/>
      <c r="C204" s="33"/>
      <c r="D204" s="33"/>
      <c r="E204" s="33"/>
      <c r="F204" s="33"/>
      <c r="G204" s="33"/>
    </row>
    <row r="205" spans="1:7">
      <c r="A205" s="41"/>
      <c r="B205" s="33"/>
      <c r="C205" s="33"/>
      <c r="D205" s="33"/>
      <c r="E205" s="33"/>
      <c r="F205" s="33"/>
      <c r="G205" s="33"/>
    </row>
    <row r="206" spans="1:7">
      <c r="A206" s="41"/>
      <c r="B206" s="33"/>
      <c r="C206" s="33"/>
      <c r="D206" s="33"/>
      <c r="E206" s="33"/>
      <c r="F206" s="33"/>
      <c r="G206" s="33"/>
    </row>
    <row r="207" spans="1:7">
      <c r="A207" s="41"/>
      <c r="B207" s="33"/>
      <c r="C207" s="33"/>
      <c r="D207" s="33"/>
      <c r="E207" s="33"/>
      <c r="F207" s="33"/>
      <c r="G207" s="33"/>
    </row>
    <row r="208" spans="1:7">
      <c r="A208" s="41"/>
      <c r="B208" s="33"/>
      <c r="C208" s="33"/>
      <c r="D208" s="33"/>
      <c r="E208" s="33"/>
      <c r="F208" s="33"/>
      <c r="G208" s="33"/>
    </row>
    <row r="209" spans="1:7">
      <c r="A209" s="41"/>
      <c r="B209" s="33"/>
      <c r="C209" s="33"/>
      <c r="D209" s="33"/>
      <c r="E209" s="33"/>
      <c r="F209" s="33"/>
      <c r="G209" s="33"/>
    </row>
    <row r="210" spans="1:7">
      <c r="A210" s="41"/>
      <c r="B210" s="33"/>
      <c r="C210" s="33"/>
      <c r="D210" s="33"/>
      <c r="E210" s="33"/>
      <c r="F210" s="33"/>
      <c r="G210" s="33"/>
    </row>
    <row r="211" spans="1:7">
      <c r="A211" s="41"/>
      <c r="B211" s="33"/>
      <c r="C211" s="33"/>
      <c r="D211" s="33"/>
      <c r="E211" s="33"/>
      <c r="F211" s="33"/>
      <c r="G211" s="33"/>
    </row>
    <row r="212" spans="1:7">
      <c r="A212" s="41"/>
      <c r="B212" s="33"/>
      <c r="C212" s="33"/>
      <c r="D212" s="33"/>
      <c r="E212" s="33"/>
      <c r="F212" s="33"/>
      <c r="G212" s="33"/>
    </row>
    <row r="213" spans="1:7">
      <c r="A213" s="41"/>
      <c r="B213" s="33"/>
      <c r="C213" s="33"/>
      <c r="D213" s="33"/>
      <c r="E213" s="33"/>
      <c r="F213" s="33"/>
      <c r="G213" s="33"/>
    </row>
    <row r="214" spans="1:7">
      <c r="A214" s="41"/>
      <c r="B214" s="33"/>
      <c r="C214" s="33"/>
      <c r="D214" s="33"/>
      <c r="E214" s="33"/>
      <c r="F214" s="33"/>
      <c r="G214" s="33"/>
    </row>
    <row r="215" spans="1:7">
      <c r="A215" s="41"/>
      <c r="B215" s="33"/>
      <c r="C215" s="33"/>
      <c r="D215" s="33"/>
      <c r="E215" s="33"/>
      <c r="F215" s="33"/>
      <c r="G215" s="33"/>
    </row>
    <row r="216" spans="1:7">
      <c r="A216" s="41"/>
      <c r="B216" s="33"/>
      <c r="C216" s="33"/>
      <c r="D216" s="33"/>
      <c r="E216" s="33"/>
      <c r="F216" s="33"/>
      <c r="G216" s="33"/>
    </row>
    <row r="217" spans="1:7">
      <c r="A217" s="41"/>
      <c r="B217" s="33"/>
      <c r="C217" s="33"/>
      <c r="D217" s="33"/>
      <c r="E217" s="33"/>
      <c r="F217" s="33"/>
      <c r="G217" s="33"/>
    </row>
    <row r="218" spans="1:7">
      <c r="A218" s="41"/>
      <c r="B218" s="33"/>
      <c r="C218" s="33"/>
      <c r="D218" s="33"/>
      <c r="E218" s="33"/>
      <c r="F218" s="33"/>
      <c r="G218" s="33"/>
    </row>
    <row r="219" spans="1:7">
      <c r="A219" s="41"/>
      <c r="B219" s="33"/>
      <c r="C219" s="33"/>
      <c r="D219" s="33"/>
      <c r="E219" s="33"/>
      <c r="F219" s="33"/>
      <c r="G219" s="33"/>
    </row>
    <row r="220" spans="1:7">
      <c r="A220" s="41"/>
      <c r="B220" s="33"/>
      <c r="C220" s="33"/>
      <c r="D220" s="33"/>
      <c r="E220" s="33"/>
      <c r="F220" s="33"/>
      <c r="G220" s="33"/>
    </row>
    <row r="221" spans="1:7">
      <c r="A221" s="41"/>
      <c r="B221" s="33"/>
      <c r="C221" s="33"/>
      <c r="D221" s="33"/>
      <c r="E221" s="33"/>
      <c r="F221" s="33"/>
      <c r="G221" s="33"/>
    </row>
    <row r="222" spans="1:7">
      <c r="A222" s="41"/>
      <c r="B222" s="33"/>
      <c r="C222" s="33"/>
      <c r="D222" s="33"/>
      <c r="E222" s="33"/>
      <c r="F222" s="33"/>
      <c r="G222" s="33"/>
    </row>
    <row r="223" spans="1:7">
      <c r="A223" s="41"/>
      <c r="B223" s="33"/>
      <c r="C223" s="33"/>
      <c r="D223" s="33"/>
      <c r="E223" s="33"/>
      <c r="F223" s="33"/>
      <c r="G223" s="33"/>
    </row>
    <row r="224" spans="1:7">
      <c r="A224" s="41"/>
      <c r="B224" s="33"/>
      <c r="C224" s="33"/>
      <c r="D224" s="33"/>
      <c r="E224" s="33"/>
      <c r="F224" s="33"/>
      <c r="G224" s="33"/>
    </row>
  </sheetData>
  <mergeCells count="7">
    <mergeCell ref="E2:E3"/>
    <mergeCell ref="F2:F3"/>
    <mergeCell ref="G2:G3"/>
    <mergeCell ref="A1:F1"/>
    <mergeCell ref="B2:B3"/>
    <mergeCell ref="C2:C3"/>
    <mergeCell ref="D2:D3"/>
  </mergeCells>
  <pageMargins left="0.7" right="0.7" top="0.75" bottom="0.75" header="0.3" footer="0.3"/>
  <pageSetup paperSize="9" scale="61" orientation="portrait" r:id="rId1"/>
  <rowBreaks count="3" manualBreakCount="3">
    <brk id="53" max="16383" man="1"/>
    <brk id="103" max="16383" man="1"/>
    <brk id="15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/>
  </sheetPr>
  <dimension ref="A1:K224"/>
  <sheetViews>
    <sheetView topLeftCell="A177" zoomScaleNormal="100" workbookViewId="0">
      <selection activeCell="A4" sqref="A4:A200"/>
    </sheetView>
  </sheetViews>
  <sheetFormatPr defaultRowHeight="15"/>
  <cols>
    <col min="1" max="1" width="4.42578125" style="44" customWidth="1"/>
    <col min="2" max="2" width="22.140625" customWidth="1"/>
    <col min="3" max="3" width="29.140625" bestFit="1" customWidth="1"/>
    <col min="4" max="4" width="10.85546875" customWidth="1"/>
    <col min="5" max="5" width="9.140625" customWidth="1"/>
    <col min="6" max="6" width="9.140625" hidden="1" customWidth="1"/>
    <col min="7" max="7" width="8" style="44" customWidth="1"/>
    <col min="8" max="8" width="12.28515625" style="44" customWidth="1"/>
    <col min="9" max="9" width="10.140625" style="44" customWidth="1"/>
    <col min="10" max="10" width="10.7109375" style="44" customWidth="1"/>
    <col min="11" max="11" width="9.140625" style="44" customWidth="1"/>
  </cols>
  <sheetData>
    <row r="1" spans="1:11" ht="18.75">
      <c r="A1" s="139" t="s">
        <v>859</v>
      </c>
      <c r="B1" s="140"/>
      <c r="C1" s="140"/>
      <c r="D1" s="140"/>
      <c r="E1" s="140"/>
      <c r="F1" s="140"/>
      <c r="G1" s="140"/>
      <c r="H1" s="140"/>
      <c r="I1" s="140"/>
      <c r="J1" s="142"/>
    </row>
    <row r="2" spans="1:11" ht="30" customHeight="1">
      <c r="A2" s="48"/>
      <c r="B2" s="141" t="s">
        <v>150</v>
      </c>
      <c r="C2" s="141" t="s">
        <v>151</v>
      </c>
      <c r="D2" s="137" t="s">
        <v>865</v>
      </c>
      <c r="E2" s="55" t="s">
        <v>352</v>
      </c>
      <c r="F2" s="2"/>
      <c r="G2" s="149" t="s">
        <v>860</v>
      </c>
      <c r="H2" s="147" t="s">
        <v>864</v>
      </c>
      <c r="I2" s="143" t="s">
        <v>861</v>
      </c>
      <c r="J2" s="151" t="s">
        <v>862</v>
      </c>
      <c r="K2" s="145" t="s">
        <v>863</v>
      </c>
    </row>
    <row r="3" spans="1:11" ht="16.5" customHeight="1">
      <c r="A3" s="30"/>
      <c r="B3" s="138"/>
      <c r="C3" s="138"/>
      <c r="D3" s="138"/>
      <c r="E3" s="56" t="s">
        <v>351</v>
      </c>
      <c r="F3" s="2"/>
      <c r="G3" s="150"/>
      <c r="H3" s="148"/>
      <c r="I3" s="144"/>
      <c r="J3" s="152"/>
      <c r="K3" s="146"/>
    </row>
    <row r="4" spans="1:11">
      <c r="A4" s="11">
        <v>1</v>
      </c>
      <c r="B4" s="5" t="s">
        <v>153</v>
      </c>
      <c r="C4" s="5" t="s">
        <v>225</v>
      </c>
      <c r="D4" s="5" t="s">
        <v>82</v>
      </c>
      <c r="E4" s="5" t="s">
        <v>155</v>
      </c>
      <c r="F4" s="4"/>
      <c r="G4" s="49"/>
      <c r="H4" s="52"/>
      <c r="I4" s="52">
        <v>6</v>
      </c>
      <c r="J4" s="51">
        <v>5</v>
      </c>
      <c r="K4" s="54">
        <f>G4+I4+J4+H4</f>
        <v>11</v>
      </c>
    </row>
    <row r="5" spans="1:11">
      <c r="A5" s="11">
        <v>2</v>
      </c>
      <c r="B5" s="5"/>
      <c r="C5" s="5" t="s">
        <v>226</v>
      </c>
      <c r="D5" s="5" t="s">
        <v>82</v>
      </c>
      <c r="E5" s="5" t="s">
        <v>155</v>
      </c>
      <c r="F5" s="4"/>
      <c r="G5" s="49"/>
      <c r="H5" s="52"/>
      <c r="I5" s="52">
        <v>6</v>
      </c>
      <c r="J5" s="51"/>
      <c r="K5" s="54">
        <f>G5+I5+J5+H5</f>
        <v>6</v>
      </c>
    </row>
    <row r="6" spans="1:11">
      <c r="A6" s="11">
        <v>3</v>
      </c>
      <c r="B6" s="5"/>
      <c r="C6" s="5" t="s">
        <v>227</v>
      </c>
      <c r="D6" s="5" t="s">
        <v>82</v>
      </c>
      <c r="E6" s="5" t="s">
        <v>155</v>
      </c>
      <c r="F6" s="4"/>
      <c r="G6" s="49"/>
      <c r="H6" s="52">
        <v>2</v>
      </c>
      <c r="I6" s="52">
        <v>5</v>
      </c>
      <c r="J6" s="51">
        <v>2</v>
      </c>
      <c r="K6" s="54">
        <f t="shared" ref="K6:K75" si="0">G6+I6+J6+H6</f>
        <v>9</v>
      </c>
    </row>
    <row r="7" spans="1:11">
      <c r="A7" s="11">
        <v>4</v>
      </c>
      <c r="B7" s="5"/>
      <c r="C7" s="5" t="s">
        <v>228</v>
      </c>
      <c r="D7" s="5" t="s">
        <v>82</v>
      </c>
      <c r="E7" s="5" t="s">
        <v>155</v>
      </c>
      <c r="F7" s="4"/>
      <c r="G7" s="49"/>
      <c r="H7" s="52">
        <v>4</v>
      </c>
      <c r="I7" s="52"/>
      <c r="J7" s="51">
        <v>16</v>
      </c>
      <c r="K7" s="54">
        <f t="shared" si="0"/>
        <v>20</v>
      </c>
    </row>
    <row r="8" spans="1:11">
      <c r="A8" s="11">
        <v>5</v>
      </c>
      <c r="B8" s="5"/>
      <c r="C8" s="5" t="s">
        <v>229</v>
      </c>
      <c r="D8" s="5" t="s">
        <v>82</v>
      </c>
      <c r="E8" s="5" t="s">
        <v>155</v>
      </c>
      <c r="F8" s="4"/>
      <c r="G8" s="49">
        <v>1</v>
      </c>
      <c r="H8" s="52"/>
      <c r="I8" s="52">
        <v>6</v>
      </c>
      <c r="J8" s="51">
        <v>4</v>
      </c>
      <c r="K8" s="54">
        <f t="shared" si="0"/>
        <v>11</v>
      </c>
    </row>
    <row r="9" spans="1:11">
      <c r="A9" s="11">
        <v>6</v>
      </c>
      <c r="B9" s="5"/>
      <c r="C9" s="5" t="s">
        <v>230</v>
      </c>
      <c r="D9" s="5" t="s">
        <v>82</v>
      </c>
      <c r="E9" s="5" t="s">
        <v>155</v>
      </c>
      <c r="F9" s="4"/>
      <c r="G9" s="49">
        <v>1</v>
      </c>
      <c r="H9" s="52"/>
      <c r="I9" s="52">
        <v>3</v>
      </c>
      <c r="J9" s="51">
        <v>2</v>
      </c>
      <c r="K9" s="54">
        <f t="shared" si="0"/>
        <v>6</v>
      </c>
    </row>
    <row r="10" spans="1:11">
      <c r="A10" s="11">
        <v>7</v>
      </c>
      <c r="B10" s="5"/>
      <c r="C10" s="5" t="s">
        <v>231</v>
      </c>
      <c r="D10" s="5" t="s">
        <v>82</v>
      </c>
      <c r="E10" s="5" t="s">
        <v>155</v>
      </c>
      <c r="F10" s="4"/>
      <c r="G10" s="49"/>
      <c r="H10" s="52"/>
      <c r="I10" s="52">
        <v>1</v>
      </c>
      <c r="J10" s="51">
        <v>16</v>
      </c>
      <c r="K10" s="54">
        <f t="shared" si="0"/>
        <v>17</v>
      </c>
    </row>
    <row r="11" spans="1:11">
      <c r="A11" s="11">
        <v>8</v>
      </c>
      <c r="B11" s="5"/>
      <c r="C11" s="5" t="s">
        <v>232</v>
      </c>
      <c r="D11" s="5" t="s">
        <v>82</v>
      </c>
      <c r="E11" s="5" t="s">
        <v>155</v>
      </c>
      <c r="F11" s="4"/>
      <c r="G11" s="49"/>
      <c r="H11" s="52"/>
      <c r="I11" s="52">
        <v>6</v>
      </c>
      <c r="J11" s="51">
        <v>10</v>
      </c>
      <c r="K11" s="54">
        <f t="shared" si="0"/>
        <v>16</v>
      </c>
    </row>
    <row r="12" spans="1:11">
      <c r="A12" s="11">
        <v>9</v>
      </c>
      <c r="B12" s="5"/>
      <c r="C12" s="5" t="s">
        <v>233</v>
      </c>
      <c r="D12" s="5" t="s">
        <v>82</v>
      </c>
      <c r="E12" s="5" t="s">
        <v>155</v>
      </c>
      <c r="F12" s="4"/>
      <c r="G12" s="49"/>
      <c r="H12" s="52">
        <v>1</v>
      </c>
      <c r="I12" s="52">
        <v>8</v>
      </c>
      <c r="J12" s="51">
        <v>15</v>
      </c>
      <c r="K12" s="54">
        <f t="shared" si="0"/>
        <v>24</v>
      </c>
    </row>
    <row r="13" spans="1:11">
      <c r="A13" s="11">
        <v>10</v>
      </c>
      <c r="B13" s="5"/>
      <c r="C13" s="5" t="s">
        <v>234</v>
      </c>
      <c r="D13" s="5" t="s">
        <v>82</v>
      </c>
      <c r="E13" s="5" t="s">
        <v>155</v>
      </c>
      <c r="F13" s="4"/>
      <c r="G13" s="49"/>
      <c r="H13" s="52"/>
      <c r="I13" s="52">
        <v>2</v>
      </c>
      <c r="J13" s="51">
        <v>2</v>
      </c>
      <c r="K13" s="54">
        <f t="shared" si="0"/>
        <v>4</v>
      </c>
    </row>
    <row r="14" spans="1:11">
      <c r="A14" s="11">
        <v>11</v>
      </c>
      <c r="B14" s="5" t="s">
        <v>156</v>
      </c>
      <c r="C14" s="5" t="s">
        <v>235</v>
      </c>
      <c r="D14" s="5" t="s">
        <v>82</v>
      </c>
      <c r="E14" s="5" t="s">
        <v>155</v>
      </c>
      <c r="F14" s="4"/>
      <c r="G14" s="49"/>
      <c r="H14" s="52"/>
      <c r="I14" s="52">
        <v>6</v>
      </c>
      <c r="J14" s="51">
        <v>16</v>
      </c>
      <c r="K14" s="54">
        <f t="shared" si="0"/>
        <v>22</v>
      </c>
    </row>
    <row r="15" spans="1:11">
      <c r="A15" s="11">
        <v>12</v>
      </c>
      <c r="B15" s="35" t="s">
        <v>173</v>
      </c>
      <c r="C15" s="35" t="s">
        <v>174</v>
      </c>
      <c r="D15" s="35" t="s">
        <v>82</v>
      </c>
      <c r="E15" s="35" t="s">
        <v>49</v>
      </c>
      <c r="F15" s="4"/>
      <c r="G15" s="49"/>
      <c r="H15" s="52"/>
      <c r="I15" s="52">
        <v>2</v>
      </c>
      <c r="J15" s="51"/>
      <c r="K15" s="54">
        <f t="shared" si="0"/>
        <v>2</v>
      </c>
    </row>
    <row r="16" spans="1:11">
      <c r="A16" s="11">
        <v>13</v>
      </c>
      <c r="B16" s="5" t="s">
        <v>156</v>
      </c>
      <c r="C16" s="5" t="s">
        <v>236</v>
      </c>
      <c r="D16" s="5" t="s">
        <v>82</v>
      </c>
      <c r="E16" s="5" t="s">
        <v>155</v>
      </c>
      <c r="F16" s="4"/>
      <c r="G16" s="49"/>
      <c r="H16" s="52">
        <v>2</v>
      </c>
      <c r="I16" s="52">
        <v>1</v>
      </c>
      <c r="J16" s="51">
        <v>9</v>
      </c>
      <c r="K16" s="54">
        <f t="shared" si="0"/>
        <v>12</v>
      </c>
    </row>
    <row r="17" spans="1:11">
      <c r="A17" s="11">
        <v>14</v>
      </c>
      <c r="B17" s="5" t="s">
        <v>157</v>
      </c>
      <c r="C17" s="5" t="s">
        <v>362</v>
      </c>
      <c r="D17" s="5" t="s">
        <v>82</v>
      </c>
      <c r="E17" s="5" t="s">
        <v>155</v>
      </c>
      <c r="F17" s="4"/>
      <c r="G17" s="49"/>
      <c r="H17" s="52"/>
      <c r="I17" s="52">
        <v>4</v>
      </c>
      <c r="J17" s="51">
        <v>3</v>
      </c>
      <c r="K17" s="54">
        <f t="shared" si="0"/>
        <v>7</v>
      </c>
    </row>
    <row r="18" spans="1:11">
      <c r="A18" s="11">
        <v>15</v>
      </c>
      <c r="B18" s="5" t="s">
        <v>156</v>
      </c>
      <c r="C18" s="5" t="s">
        <v>237</v>
      </c>
      <c r="D18" s="5" t="s">
        <v>82</v>
      </c>
      <c r="E18" s="5" t="s">
        <v>155</v>
      </c>
      <c r="F18" s="4"/>
      <c r="G18" s="49"/>
      <c r="H18" s="52"/>
      <c r="I18" s="52">
        <v>4</v>
      </c>
      <c r="J18" s="51">
        <v>7</v>
      </c>
      <c r="K18" s="54">
        <f t="shared" si="0"/>
        <v>11</v>
      </c>
    </row>
    <row r="19" spans="1:11">
      <c r="A19" s="11">
        <v>16</v>
      </c>
      <c r="B19" s="5" t="s">
        <v>156</v>
      </c>
      <c r="C19" s="5" t="s">
        <v>363</v>
      </c>
      <c r="D19" s="5" t="s">
        <v>82</v>
      </c>
      <c r="E19" s="5" t="s">
        <v>155</v>
      </c>
      <c r="F19" s="4"/>
      <c r="G19" s="49"/>
      <c r="H19" s="52"/>
      <c r="I19" s="52">
        <v>2</v>
      </c>
      <c r="J19" s="51">
        <v>8</v>
      </c>
      <c r="K19" s="54">
        <f t="shared" si="0"/>
        <v>10</v>
      </c>
    </row>
    <row r="20" spans="1:11">
      <c r="A20" s="11">
        <v>17</v>
      </c>
      <c r="B20" s="5" t="s">
        <v>160</v>
      </c>
      <c r="C20" s="5" t="s">
        <v>238</v>
      </c>
      <c r="D20" s="5" t="s">
        <v>82</v>
      </c>
      <c r="E20" s="5" t="s">
        <v>155</v>
      </c>
      <c r="F20" s="4"/>
      <c r="G20" s="49"/>
      <c r="H20" s="52">
        <v>3</v>
      </c>
      <c r="I20" s="52">
        <v>1</v>
      </c>
      <c r="J20" s="51">
        <v>4</v>
      </c>
      <c r="K20" s="54">
        <f t="shared" si="0"/>
        <v>8</v>
      </c>
    </row>
    <row r="21" spans="1:11">
      <c r="A21" s="11">
        <v>18</v>
      </c>
      <c r="B21" s="5" t="s">
        <v>161</v>
      </c>
      <c r="C21" s="5" t="s">
        <v>239</v>
      </c>
      <c r="D21" s="5" t="s">
        <v>82</v>
      </c>
      <c r="E21" s="5" t="s">
        <v>155</v>
      </c>
      <c r="F21" s="4"/>
      <c r="G21" s="49"/>
      <c r="H21" s="52"/>
      <c r="I21" s="52">
        <v>3</v>
      </c>
      <c r="J21" s="51">
        <v>6</v>
      </c>
      <c r="K21" s="54">
        <f t="shared" si="0"/>
        <v>9</v>
      </c>
    </row>
    <row r="22" spans="1:11">
      <c r="A22" s="11">
        <v>19</v>
      </c>
      <c r="B22" s="5"/>
      <c r="C22" s="5" t="s">
        <v>240</v>
      </c>
      <c r="D22" s="5" t="s">
        <v>82</v>
      </c>
      <c r="E22" s="5" t="s">
        <v>155</v>
      </c>
      <c r="F22" s="4"/>
      <c r="G22" s="49"/>
      <c r="H22" s="52">
        <v>1</v>
      </c>
      <c r="I22" s="52">
        <v>1</v>
      </c>
      <c r="J22" s="51">
        <v>15</v>
      </c>
      <c r="K22" s="54">
        <f t="shared" si="0"/>
        <v>17</v>
      </c>
    </row>
    <row r="23" spans="1:11">
      <c r="A23" s="11">
        <v>20</v>
      </c>
      <c r="B23" s="5"/>
      <c r="C23" s="5" t="s">
        <v>242</v>
      </c>
      <c r="D23" s="5" t="s">
        <v>82</v>
      </c>
      <c r="E23" s="5" t="s">
        <v>155</v>
      </c>
      <c r="F23" s="4"/>
      <c r="G23" s="49"/>
      <c r="H23" s="52"/>
      <c r="I23" s="52">
        <v>4</v>
      </c>
      <c r="J23" s="51">
        <v>11</v>
      </c>
      <c r="K23" s="54">
        <f t="shared" si="0"/>
        <v>15</v>
      </c>
    </row>
    <row r="24" spans="1:11">
      <c r="A24" s="11">
        <v>21</v>
      </c>
      <c r="B24" s="5"/>
      <c r="C24" s="5" t="s">
        <v>244</v>
      </c>
      <c r="D24" s="5" t="s">
        <v>82</v>
      </c>
      <c r="E24" s="5" t="s">
        <v>155</v>
      </c>
      <c r="F24" s="4"/>
      <c r="G24" s="49"/>
      <c r="H24" s="52"/>
      <c r="I24" s="52">
        <v>7</v>
      </c>
      <c r="J24" s="51">
        <v>2</v>
      </c>
      <c r="K24" s="54">
        <f t="shared" si="0"/>
        <v>9</v>
      </c>
    </row>
    <row r="25" spans="1:11">
      <c r="A25" s="11">
        <v>22</v>
      </c>
      <c r="B25" s="5" t="s">
        <v>162</v>
      </c>
      <c r="C25" s="35" t="s">
        <v>1243</v>
      </c>
      <c r="D25" s="5" t="s">
        <v>82</v>
      </c>
      <c r="E25" s="5"/>
      <c r="F25" s="4"/>
      <c r="G25" s="49"/>
      <c r="H25" s="52"/>
      <c r="I25" s="52">
        <v>2</v>
      </c>
      <c r="J25" s="51"/>
      <c r="K25" s="54">
        <v>2</v>
      </c>
    </row>
    <row r="26" spans="1:11">
      <c r="A26" s="11">
        <v>23</v>
      </c>
      <c r="B26" s="5"/>
      <c r="C26" s="35" t="s">
        <v>1244</v>
      </c>
      <c r="D26" s="5" t="s">
        <v>82</v>
      </c>
      <c r="E26" s="5"/>
      <c r="F26" s="4"/>
      <c r="G26" s="49"/>
      <c r="H26" s="52"/>
      <c r="I26" s="52">
        <v>2</v>
      </c>
      <c r="J26" s="51"/>
      <c r="K26" s="54">
        <v>2</v>
      </c>
    </row>
    <row r="27" spans="1:11">
      <c r="A27" s="11">
        <v>24</v>
      </c>
      <c r="B27" s="5"/>
      <c r="C27" s="5" t="s">
        <v>245</v>
      </c>
      <c r="D27" s="5" t="s">
        <v>82</v>
      </c>
      <c r="E27" s="5" t="s">
        <v>155</v>
      </c>
      <c r="F27" s="4"/>
      <c r="G27" s="49"/>
      <c r="H27" s="52">
        <v>3</v>
      </c>
      <c r="I27" s="52">
        <v>3</v>
      </c>
      <c r="J27" s="51">
        <v>2</v>
      </c>
      <c r="K27" s="54">
        <f t="shared" si="0"/>
        <v>8</v>
      </c>
    </row>
    <row r="28" spans="1:11">
      <c r="A28" s="11">
        <v>25</v>
      </c>
      <c r="B28" s="5" t="s">
        <v>163</v>
      </c>
      <c r="C28" s="5" t="s">
        <v>246</v>
      </c>
      <c r="D28" s="5" t="s">
        <v>82</v>
      </c>
      <c r="E28" s="5" t="s">
        <v>155</v>
      </c>
      <c r="F28" s="4"/>
      <c r="G28" s="49"/>
      <c r="H28" s="52"/>
      <c r="I28" s="52">
        <v>4</v>
      </c>
      <c r="J28" s="51">
        <v>9</v>
      </c>
      <c r="K28" s="54">
        <f t="shared" si="0"/>
        <v>13</v>
      </c>
    </row>
    <row r="29" spans="1:11">
      <c r="A29" s="11">
        <v>26</v>
      </c>
      <c r="B29" s="5"/>
      <c r="C29" s="5" t="s">
        <v>247</v>
      </c>
      <c r="D29" s="5" t="s">
        <v>82</v>
      </c>
      <c r="E29" s="5" t="s">
        <v>155</v>
      </c>
      <c r="F29" s="4"/>
      <c r="G29" s="49"/>
      <c r="H29" s="52">
        <v>2</v>
      </c>
      <c r="I29" s="52">
        <v>4</v>
      </c>
      <c r="J29" s="51">
        <v>16</v>
      </c>
      <c r="K29" s="54">
        <f t="shared" si="0"/>
        <v>22</v>
      </c>
    </row>
    <row r="30" spans="1:11">
      <c r="A30" s="11">
        <v>27</v>
      </c>
      <c r="B30" s="5"/>
      <c r="C30" s="5" t="s">
        <v>413</v>
      </c>
      <c r="D30" s="5" t="s">
        <v>82</v>
      </c>
      <c r="E30" s="5" t="s">
        <v>155</v>
      </c>
      <c r="F30" s="4"/>
      <c r="G30" s="49"/>
      <c r="H30" s="52">
        <v>4</v>
      </c>
      <c r="I30" s="52">
        <v>0</v>
      </c>
      <c r="J30" s="51">
        <v>4</v>
      </c>
      <c r="K30" s="54">
        <f t="shared" si="0"/>
        <v>8</v>
      </c>
    </row>
    <row r="31" spans="1:11">
      <c r="A31" s="11">
        <v>28</v>
      </c>
      <c r="B31" s="5"/>
      <c r="C31" s="35" t="s">
        <v>1275</v>
      </c>
      <c r="D31" s="5" t="s">
        <v>82</v>
      </c>
      <c r="E31" s="5"/>
      <c r="F31" s="4"/>
      <c r="G31" s="49"/>
      <c r="H31" s="52"/>
      <c r="I31" s="52">
        <v>2</v>
      </c>
      <c r="J31" s="51"/>
      <c r="K31" s="54">
        <v>2</v>
      </c>
    </row>
    <row r="32" spans="1:11">
      <c r="A32" s="11">
        <v>29</v>
      </c>
      <c r="B32" s="5"/>
      <c r="C32" s="5" t="s">
        <v>248</v>
      </c>
      <c r="D32" s="5" t="s">
        <v>82</v>
      </c>
      <c r="E32" s="5" t="s">
        <v>155</v>
      </c>
      <c r="F32" s="4"/>
      <c r="G32" s="49"/>
      <c r="H32" s="52">
        <v>1</v>
      </c>
      <c r="I32" s="52">
        <v>5</v>
      </c>
      <c r="J32" s="51">
        <v>6</v>
      </c>
      <c r="K32" s="54">
        <f t="shared" si="0"/>
        <v>12</v>
      </c>
    </row>
    <row r="33" spans="1:11">
      <c r="A33" s="11">
        <v>30</v>
      </c>
      <c r="B33" s="5"/>
      <c r="C33" s="5" t="s">
        <v>249</v>
      </c>
      <c r="D33" s="5" t="s">
        <v>82</v>
      </c>
      <c r="E33" s="5" t="s">
        <v>155</v>
      </c>
      <c r="F33" s="4"/>
      <c r="G33" s="49"/>
      <c r="H33" s="52"/>
      <c r="I33" s="52">
        <v>6</v>
      </c>
      <c r="J33" s="51">
        <v>7</v>
      </c>
      <c r="K33" s="54">
        <f t="shared" si="0"/>
        <v>13</v>
      </c>
    </row>
    <row r="34" spans="1:11">
      <c r="A34" s="11">
        <v>31</v>
      </c>
      <c r="B34" s="5"/>
      <c r="C34" s="5" t="s">
        <v>250</v>
      </c>
      <c r="D34" s="5" t="s">
        <v>82</v>
      </c>
      <c r="E34" s="5" t="s">
        <v>155</v>
      </c>
      <c r="F34" s="4"/>
      <c r="G34" s="49"/>
      <c r="H34" s="52">
        <v>1</v>
      </c>
      <c r="I34" s="52">
        <v>5</v>
      </c>
      <c r="J34" s="51">
        <v>5</v>
      </c>
      <c r="K34" s="54">
        <f t="shared" si="0"/>
        <v>11</v>
      </c>
    </row>
    <row r="35" spans="1:11">
      <c r="A35" s="11">
        <v>32</v>
      </c>
      <c r="B35" s="5"/>
      <c r="C35" s="5" t="s">
        <v>251</v>
      </c>
      <c r="D35" s="5" t="s">
        <v>82</v>
      </c>
      <c r="E35" s="5" t="s">
        <v>155</v>
      </c>
      <c r="F35" s="4"/>
      <c r="G35" s="49"/>
      <c r="H35" s="52"/>
      <c r="I35" s="52">
        <v>4</v>
      </c>
      <c r="J35" s="51">
        <v>12</v>
      </c>
      <c r="K35" s="54">
        <f t="shared" si="0"/>
        <v>16</v>
      </c>
    </row>
    <row r="36" spans="1:11">
      <c r="A36" s="11">
        <v>33</v>
      </c>
      <c r="B36" s="5"/>
      <c r="C36" s="5" t="s">
        <v>252</v>
      </c>
      <c r="D36" s="5" t="s">
        <v>82</v>
      </c>
      <c r="E36" s="5" t="s">
        <v>155</v>
      </c>
      <c r="F36" s="4"/>
      <c r="G36" s="49"/>
      <c r="H36" s="52"/>
      <c r="I36" s="52">
        <v>4</v>
      </c>
      <c r="J36" s="51">
        <v>11</v>
      </c>
      <c r="K36" s="54">
        <f t="shared" si="0"/>
        <v>15</v>
      </c>
    </row>
    <row r="37" spans="1:11">
      <c r="A37" s="11">
        <v>34</v>
      </c>
      <c r="B37" s="5"/>
      <c r="C37" s="5" t="s">
        <v>253</v>
      </c>
      <c r="D37" s="5" t="s">
        <v>82</v>
      </c>
      <c r="E37" s="5" t="s">
        <v>155</v>
      </c>
      <c r="F37" s="4"/>
      <c r="G37" s="49"/>
      <c r="H37" s="52">
        <v>3</v>
      </c>
      <c r="I37" s="52">
        <v>1</v>
      </c>
      <c r="J37" s="51">
        <v>10</v>
      </c>
      <c r="K37" s="54">
        <f t="shared" si="0"/>
        <v>14</v>
      </c>
    </row>
    <row r="38" spans="1:11">
      <c r="A38" s="11">
        <v>35</v>
      </c>
      <c r="B38" s="5"/>
      <c r="C38" s="5" t="s">
        <v>254</v>
      </c>
      <c r="D38" s="5" t="s">
        <v>82</v>
      </c>
      <c r="E38" s="5" t="s">
        <v>155</v>
      </c>
      <c r="F38" s="4"/>
      <c r="G38" s="49"/>
      <c r="H38" s="52"/>
      <c r="I38" s="52">
        <v>4</v>
      </c>
      <c r="J38" s="51">
        <v>12</v>
      </c>
      <c r="K38" s="54">
        <f t="shared" si="0"/>
        <v>16</v>
      </c>
    </row>
    <row r="39" spans="1:11">
      <c r="A39" s="11">
        <v>36</v>
      </c>
      <c r="B39" s="35" t="s">
        <v>164</v>
      </c>
      <c r="C39" s="35" t="s">
        <v>375</v>
      </c>
      <c r="D39" s="35" t="s">
        <v>82</v>
      </c>
      <c r="E39" s="35" t="s">
        <v>49</v>
      </c>
      <c r="F39" s="4"/>
      <c r="G39" s="49"/>
      <c r="H39" s="52"/>
      <c r="I39" s="52">
        <v>2</v>
      </c>
      <c r="J39" s="51">
        <v>2</v>
      </c>
      <c r="K39" s="54">
        <f t="shared" si="0"/>
        <v>4</v>
      </c>
    </row>
    <row r="40" spans="1:11">
      <c r="A40" s="11">
        <v>37</v>
      </c>
      <c r="B40" s="5"/>
      <c r="C40" s="5" t="s">
        <v>255</v>
      </c>
      <c r="D40" s="5" t="s">
        <v>82</v>
      </c>
      <c r="E40" s="5" t="s">
        <v>155</v>
      </c>
      <c r="F40" s="4"/>
      <c r="G40" s="49"/>
      <c r="H40" s="52"/>
      <c r="I40" s="52">
        <v>4</v>
      </c>
      <c r="J40" s="51">
        <v>8</v>
      </c>
      <c r="K40" s="54">
        <f t="shared" si="0"/>
        <v>12</v>
      </c>
    </row>
    <row r="41" spans="1:11">
      <c r="A41" s="11">
        <v>38</v>
      </c>
      <c r="B41" s="5"/>
      <c r="C41" s="5" t="s">
        <v>256</v>
      </c>
      <c r="D41" s="5" t="s">
        <v>82</v>
      </c>
      <c r="E41" s="5" t="s">
        <v>155</v>
      </c>
      <c r="F41" s="4"/>
      <c r="G41" s="49"/>
      <c r="H41" s="52"/>
      <c r="I41" s="52">
        <v>3</v>
      </c>
      <c r="J41" s="51">
        <v>6</v>
      </c>
      <c r="K41" s="54">
        <f t="shared" si="0"/>
        <v>9</v>
      </c>
    </row>
    <row r="42" spans="1:11">
      <c r="A42" s="11">
        <v>39</v>
      </c>
      <c r="B42" s="35"/>
      <c r="C42" s="35" t="s">
        <v>165</v>
      </c>
      <c r="D42" s="35" t="s">
        <v>82</v>
      </c>
      <c r="E42" s="35" t="s">
        <v>49</v>
      </c>
      <c r="F42" s="4"/>
      <c r="G42" s="49"/>
      <c r="H42" s="52"/>
      <c r="I42" s="52">
        <v>2</v>
      </c>
      <c r="J42" s="51"/>
      <c r="K42" s="54">
        <f t="shared" si="0"/>
        <v>2</v>
      </c>
    </row>
    <row r="43" spans="1:11">
      <c r="A43" s="11">
        <v>40</v>
      </c>
      <c r="B43" s="35"/>
      <c r="C43" s="35" t="s">
        <v>1200</v>
      </c>
      <c r="D43" s="35" t="s">
        <v>82</v>
      </c>
      <c r="E43" s="35" t="s">
        <v>49</v>
      </c>
      <c r="F43" s="4"/>
      <c r="G43" s="49"/>
      <c r="H43" s="52"/>
      <c r="I43" s="52">
        <v>2</v>
      </c>
      <c r="J43" s="51"/>
      <c r="K43" s="54">
        <f t="shared" si="0"/>
        <v>2</v>
      </c>
    </row>
    <row r="44" spans="1:11">
      <c r="A44" s="11">
        <v>41</v>
      </c>
      <c r="B44" s="5"/>
      <c r="C44" s="5" t="s">
        <v>397</v>
      </c>
      <c r="D44" s="5" t="s">
        <v>82</v>
      </c>
      <c r="E44" s="5"/>
      <c r="F44" s="4"/>
      <c r="G44" s="49"/>
      <c r="H44" s="52"/>
      <c r="I44" s="52">
        <v>4</v>
      </c>
      <c r="J44" s="51">
        <v>5</v>
      </c>
      <c r="K44" s="54">
        <f t="shared" si="0"/>
        <v>9</v>
      </c>
    </row>
    <row r="45" spans="1:11">
      <c r="A45" s="11">
        <v>42</v>
      </c>
      <c r="B45" s="5"/>
      <c r="C45" s="5" t="s">
        <v>914</v>
      </c>
      <c r="D45" s="5" t="s">
        <v>82</v>
      </c>
      <c r="E45" s="5" t="s">
        <v>49</v>
      </c>
      <c r="F45" s="4"/>
      <c r="G45" s="49"/>
      <c r="H45" s="52"/>
      <c r="I45" s="52">
        <v>2</v>
      </c>
      <c r="J45" s="51">
        <v>2</v>
      </c>
      <c r="K45" s="54">
        <f t="shared" si="0"/>
        <v>4</v>
      </c>
    </row>
    <row r="46" spans="1:11">
      <c r="A46" s="11">
        <v>43</v>
      </c>
      <c r="B46" s="5"/>
      <c r="C46" s="5" t="s">
        <v>257</v>
      </c>
      <c r="D46" s="5" t="s">
        <v>82</v>
      </c>
      <c r="E46" s="5" t="s">
        <v>155</v>
      </c>
      <c r="F46" s="4"/>
      <c r="G46" s="49"/>
      <c r="H46" s="52">
        <v>1</v>
      </c>
      <c r="I46" s="52">
        <v>2</v>
      </c>
      <c r="J46" s="51">
        <v>8</v>
      </c>
      <c r="K46" s="54">
        <f t="shared" si="0"/>
        <v>11</v>
      </c>
    </row>
    <row r="47" spans="1:11">
      <c r="A47" s="11">
        <v>44</v>
      </c>
      <c r="B47" s="5" t="s">
        <v>166</v>
      </c>
      <c r="C47" s="5" t="s">
        <v>258</v>
      </c>
      <c r="D47" s="5" t="s">
        <v>82</v>
      </c>
      <c r="E47" s="5" t="s">
        <v>155</v>
      </c>
      <c r="F47" s="4"/>
      <c r="G47" s="49"/>
      <c r="H47" s="52">
        <v>1</v>
      </c>
      <c r="I47" s="52">
        <v>3</v>
      </c>
      <c r="J47" s="51">
        <v>5</v>
      </c>
      <c r="K47" s="54">
        <f t="shared" si="0"/>
        <v>9</v>
      </c>
    </row>
    <row r="48" spans="1:11">
      <c r="A48" s="11">
        <v>45</v>
      </c>
      <c r="B48" s="5"/>
      <c r="C48" s="5" t="s">
        <v>259</v>
      </c>
      <c r="D48" s="5" t="s">
        <v>82</v>
      </c>
      <c r="E48" s="5" t="s">
        <v>155</v>
      </c>
      <c r="F48" s="4"/>
      <c r="G48" s="49"/>
      <c r="H48" s="52">
        <v>4</v>
      </c>
      <c r="I48" s="52">
        <v>0</v>
      </c>
      <c r="J48" s="51">
        <v>15</v>
      </c>
      <c r="K48" s="54">
        <f t="shared" si="0"/>
        <v>19</v>
      </c>
    </row>
    <row r="49" spans="1:11">
      <c r="A49" s="11">
        <v>46</v>
      </c>
      <c r="B49" s="35"/>
      <c r="C49" s="35" t="s">
        <v>260</v>
      </c>
      <c r="D49" s="35" t="s">
        <v>82</v>
      </c>
      <c r="E49" s="35" t="s">
        <v>49</v>
      </c>
      <c r="F49" s="4"/>
      <c r="G49" s="49"/>
      <c r="H49" s="52"/>
      <c r="I49" s="52">
        <v>2</v>
      </c>
      <c r="J49" s="51"/>
      <c r="K49" s="54">
        <f t="shared" si="0"/>
        <v>2</v>
      </c>
    </row>
    <row r="50" spans="1:11">
      <c r="A50" s="11">
        <v>47</v>
      </c>
      <c r="B50" s="5" t="s">
        <v>167</v>
      </c>
      <c r="C50" s="5" t="s">
        <v>336</v>
      </c>
      <c r="D50" s="5" t="s">
        <v>82</v>
      </c>
      <c r="E50" s="5" t="s">
        <v>155</v>
      </c>
      <c r="F50" s="4"/>
      <c r="G50" s="49"/>
      <c r="H50" s="52">
        <v>2</v>
      </c>
      <c r="I50" s="52">
        <v>2</v>
      </c>
      <c r="J50" s="51">
        <v>11</v>
      </c>
      <c r="K50" s="54">
        <f t="shared" si="0"/>
        <v>15</v>
      </c>
    </row>
    <row r="51" spans="1:11">
      <c r="A51" s="11">
        <v>48</v>
      </c>
      <c r="B51" s="5"/>
      <c r="C51" s="35" t="s">
        <v>1128</v>
      </c>
      <c r="D51" s="35" t="s">
        <v>82</v>
      </c>
      <c r="E51" s="35" t="s">
        <v>49</v>
      </c>
      <c r="F51" s="4"/>
      <c r="G51" s="49"/>
      <c r="H51" s="52"/>
      <c r="I51" s="52">
        <v>2</v>
      </c>
      <c r="J51" s="51"/>
      <c r="K51" s="54">
        <v>2</v>
      </c>
    </row>
    <row r="52" spans="1:11">
      <c r="A52" s="11">
        <v>49</v>
      </c>
      <c r="B52" s="35"/>
      <c r="C52" s="35" t="s">
        <v>168</v>
      </c>
      <c r="D52" s="35" t="s">
        <v>158</v>
      </c>
      <c r="E52" s="35" t="s">
        <v>49</v>
      </c>
      <c r="F52" s="4"/>
      <c r="G52" s="49"/>
      <c r="H52" s="52"/>
      <c r="I52" s="52">
        <v>2</v>
      </c>
      <c r="J52" s="51"/>
      <c r="K52" s="54">
        <f t="shared" si="0"/>
        <v>2</v>
      </c>
    </row>
    <row r="53" spans="1:11">
      <c r="A53" s="11">
        <v>50</v>
      </c>
      <c r="B53" s="35" t="s">
        <v>169</v>
      </c>
      <c r="C53" s="35" t="s">
        <v>170</v>
      </c>
      <c r="D53" s="35" t="s">
        <v>82</v>
      </c>
      <c r="E53" s="35" t="s">
        <v>155</v>
      </c>
      <c r="F53" s="4"/>
      <c r="G53" s="49"/>
      <c r="H53" s="52"/>
      <c r="I53" s="52">
        <v>2</v>
      </c>
      <c r="J53" s="51">
        <v>2</v>
      </c>
      <c r="K53" s="54">
        <f t="shared" si="0"/>
        <v>4</v>
      </c>
    </row>
    <row r="54" spans="1:11">
      <c r="A54" s="11">
        <v>51</v>
      </c>
      <c r="B54" s="5"/>
      <c r="C54" s="5" t="s">
        <v>261</v>
      </c>
      <c r="D54" s="5" t="s">
        <v>82</v>
      </c>
      <c r="E54" s="5" t="s">
        <v>155</v>
      </c>
      <c r="F54" s="4"/>
      <c r="G54" s="49"/>
      <c r="H54" s="52"/>
      <c r="I54" s="52">
        <v>3</v>
      </c>
      <c r="J54" s="51">
        <v>4</v>
      </c>
      <c r="K54" s="54">
        <f t="shared" si="0"/>
        <v>7</v>
      </c>
    </row>
    <row r="55" spans="1:11">
      <c r="A55" s="11">
        <v>52</v>
      </c>
      <c r="B55" s="5"/>
      <c r="C55" s="5" t="s">
        <v>337</v>
      </c>
      <c r="D55" s="5" t="s">
        <v>82</v>
      </c>
      <c r="E55" s="5" t="s">
        <v>155</v>
      </c>
      <c r="F55" s="4"/>
      <c r="G55" s="49"/>
      <c r="H55" s="52">
        <v>3</v>
      </c>
      <c r="I55" s="52">
        <v>1</v>
      </c>
      <c r="J55" s="51">
        <v>12</v>
      </c>
      <c r="K55" s="54">
        <f t="shared" si="0"/>
        <v>16</v>
      </c>
    </row>
    <row r="56" spans="1:11">
      <c r="A56" s="11">
        <v>53</v>
      </c>
      <c r="B56" s="5"/>
      <c r="C56" s="5" t="s">
        <v>338</v>
      </c>
      <c r="D56" s="5" t="s">
        <v>82</v>
      </c>
      <c r="E56" s="5" t="s">
        <v>155</v>
      </c>
      <c r="F56" s="4"/>
      <c r="G56" s="49"/>
      <c r="H56" s="52">
        <v>3</v>
      </c>
      <c r="I56" s="52">
        <v>1</v>
      </c>
      <c r="J56" s="51">
        <v>6</v>
      </c>
      <c r="K56" s="54">
        <f t="shared" si="0"/>
        <v>10</v>
      </c>
    </row>
    <row r="57" spans="1:11">
      <c r="A57" s="11">
        <v>54</v>
      </c>
      <c r="B57" s="5" t="s">
        <v>171</v>
      </c>
      <c r="C57" s="5" t="s">
        <v>262</v>
      </c>
      <c r="D57" s="5" t="s">
        <v>82</v>
      </c>
      <c r="E57" s="5" t="s">
        <v>219</v>
      </c>
      <c r="F57" s="4"/>
      <c r="G57" s="49"/>
      <c r="H57" s="52">
        <v>1</v>
      </c>
      <c r="I57" s="52">
        <v>2</v>
      </c>
      <c r="J57" s="51">
        <v>5</v>
      </c>
      <c r="K57" s="54">
        <f t="shared" si="0"/>
        <v>8</v>
      </c>
    </row>
    <row r="58" spans="1:11">
      <c r="A58" s="11">
        <v>55</v>
      </c>
      <c r="B58" s="5" t="s">
        <v>366</v>
      </c>
      <c r="C58" s="5" t="s">
        <v>367</v>
      </c>
      <c r="D58" s="5" t="s">
        <v>82</v>
      </c>
      <c r="E58" s="5" t="s">
        <v>155</v>
      </c>
      <c r="F58" s="4"/>
      <c r="G58" s="49"/>
      <c r="H58" s="52"/>
      <c r="I58" s="52">
        <v>2</v>
      </c>
      <c r="J58" s="51">
        <v>6</v>
      </c>
      <c r="K58" s="54">
        <f t="shared" si="0"/>
        <v>8</v>
      </c>
    </row>
    <row r="59" spans="1:11">
      <c r="A59" s="11">
        <v>56</v>
      </c>
      <c r="B59" s="5" t="s">
        <v>172</v>
      </c>
      <c r="C59" s="5" t="s">
        <v>263</v>
      </c>
      <c r="D59" s="5" t="s">
        <v>82</v>
      </c>
      <c r="E59" s="5" t="s">
        <v>155</v>
      </c>
      <c r="F59" s="4"/>
      <c r="G59" s="49"/>
      <c r="H59" s="52">
        <v>4</v>
      </c>
      <c r="I59" s="52">
        <v>2</v>
      </c>
      <c r="J59" s="51">
        <v>13</v>
      </c>
      <c r="K59" s="54">
        <f t="shared" si="0"/>
        <v>19</v>
      </c>
    </row>
    <row r="60" spans="1:11">
      <c r="A60" s="11">
        <v>57</v>
      </c>
      <c r="B60" s="5"/>
      <c r="C60" s="35" t="s">
        <v>1245</v>
      </c>
      <c r="D60" s="35" t="s">
        <v>82</v>
      </c>
      <c r="E60" s="35" t="s">
        <v>49</v>
      </c>
      <c r="F60" s="4"/>
      <c r="G60" s="49"/>
      <c r="H60" s="52"/>
      <c r="I60" s="52">
        <v>4</v>
      </c>
      <c r="J60" s="51"/>
      <c r="K60" s="54">
        <v>4</v>
      </c>
    </row>
    <row r="61" spans="1:11">
      <c r="A61" s="11">
        <v>58</v>
      </c>
      <c r="B61" s="5"/>
      <c r="C61" s="35" t="s">
        <v>1238</v>
      </c>
      <c r="D61" s="35" t="s">
        <v>82</v>
      </c>
      <c r="E61" s="35" t="s">
        <v>49</v>
      </c>
      <c r="F61" s="4"/>
      <c r="G61" s="49"/>
      <c r="H61" s="52"/>
      <c r="I61" s="52">
        <v>4</v>
      </c>
      <c r="J61" s="51"/>
      <c r="K61" s="54">
        <v>4</v>
      </c>
    </row>
    <row r="62" spans="1:11">
      <c r="A62" s="11">
        <v>59</v>
      </c>
      <c r="B62" s="5"/>
      <c r="C62" s="35" t="s">
        <v>1246</v>
      </c>
      <c r="D62" s="35" t="s">
        <v>82</v>
      </c>
      <c r="E62" s="35" t="s">
        <v>49</v>
      </c>
      <c r="F62" s="4"/>
      <c r="G62" s="49"/>
      <c r="H62" s="52"/>
      <c r="I62" s="52">
        <v>4</v>
      </c>
      <c r="J62" s="51"/>
      <c r="K62" s="54">
        <v>4</v>
      </c>
    </row>
    <row r="63" spans="1:11">
      <c r="A63" s="11">
        <v>60</v>
      </c>
      <c r="B63" s="5"/>
      <c r="C63" s="5" t="s">
        <v>264</v>
      </c>
      <c r="D63" s="5" t="s">
        <v>82</v>
      </c>
      <c r="E63" s="5" t="s">
        <v>155</v>
      </c>
      <c r="F63" s="4"/>
      <c r="G63" s="49"/>
      <c r="H63" s="52">
        <v>2</v>
      </c>
      <c r="I63" s="52">
        <v>2</v>
      </c>
      <c r="J63" s="51">
        <v>6</v>
      </c>
      <c r="K63" s="54">
        <f t="shared" si="0"/>
        <v>10</v>
      </c>
    </row>
    <row r="64" spans="1:11">
      <c r="A64" s="11">
        <v>61</v>
      </c>
      <c r="B64" s="5"/>
      <c r="C64" s="5" t="s">
        <v>265</v>
      </c>
      <c r="D64" s="5" t="s">
        <v>82</v>
      </c>
      <c r="E64" s="5" t="s">
        <v>155</v>
      </c>
      <c r="F64" s="4"/>
      <c r="G64" s="49"/>
      <c r="H64" s="52">
        <v>2</v>
      </c>
      <c r="I64" s="52">
        <v>4</v>
      </c>
      <c r="J64" s="51">
        <v>3</v>
      </c>
      <c r="K64" s="54">
        <f t="shared" si="0"/>
        <v>9</v>
      </c>
    </row>
    <row r="65" spans="1:11">
      <c r="A65" s="11">
        <v>62</v>
      </c>
      <c r="B65" s="5"/>
      <c r="C65" s="5" t="s">
        <v>266</v>
      </c>
      <c r="D65" s="5" t="s">
        <v>82</v>
      </c>
      <c r="E65" s="5" t="s">
        <v>155</v>
      </c>
      <c r="F65" s="4"/>
      <c r="G65" s="49"/>
      <c r="H65" s="52">
        <v>1</v>
      </c>
      <c r="I65" s="52">
        <v>4</v>
      </c>
      <c r="J65" s="51">
        <v>10</v>
      </c>
      <c r="K65" s="54">
        <f t="shared" si="0"/>
        <v>15</v>
      </c>
    </row>
    <row r="66" spans="1:11">
      <c r="A66" s="11">
        <v>63</v>
      </c>
      <c r="B66" s="35" t="s">
        <v>175</v>
      </c>
      <c r="C66" s="35" t="s">
        <v>339</v>
      </c>
      <c r="D66" s="35" t="s">
        <v>158</v>
      </c>
      <c r="E66" s="35" t="s">
        <v>49</v>
      </c>
      <c r="F66" s="4"/>
      <c r="G66" s="49"/>
      <c r="H66" s="52"/>
      <c r="I66" s="52">
        <v>2</v>
      </c>
      <c r="J66" s="51"/>
      <c r="K66" s="54">
        <f t="shared" si="0"/>
        <v>2</v>
      </c>
    </row>
    <row r="67" spans="1:11">
      <c r="A67" s="11">
        <v>64</v>
      </c>
      <c r="B67" s="5"/>
      <c r="C67" s="5" t="s">
        <v>340</v>
      </c>
      <c r="D67" s="5" t="s">
        <v>82</v>
      </c>
      <c r="E67" s="5" t="s">
        <v>155</v>
      </c>
      <c r="F67" s="4"/>
      <c r="G67" s="49"/>
      <c r="H67" s="52">
        <v>1</v>
      </c>
      <c r="I67" s="52">
        <v>5</v>
      </c>
      <c r="J67" s="51">
        <v>6</v>
      </c>
      <c r="K67" s="54">
        <f t="shared" si="0"/>
        <v>12</v>
      </c>
    </row>
    <row r="68" spans="1:11">
      <c r="A68" s="11">
        <v>65</v>
      </c>
      <c r="B68" s="35"/>
      <c r="C68" s="35" t="s">
        <v>372</v>
      </c>
      <c r="D68" s="35" t="s">
        <v>82</v>
      </c>
      <c r="E68" s="35" t="s">
        <v>49</v>
      </c>
      <c r="F68" s="4"/>
      <c r="G68" s="49"/>
      <c r="H68" s="52"/>
      <c r="I68" s="52">
        <v>2</v>
      </c>
      <c r="J68" s="51"/>
      <c r="K68" s="54">
        <f t="shared" si="0"/>
        <v>2</v>
      </c>
    </row>
    <row r="69" spans="1:11">
      <c r="A69" s="11">
        <v>66</v>
      </c>
      <c r="B69" s="35"/>
      <c r="C69" s="35" t="s">
        <v>1273</v>
      </c>
      <c r="D69" s="35"/>
      <c r="E69" s="35"/>
      <c r="F69" s="4"/>
      <c r="G69" s="49"/>
      <c r="H69" s="52"/>
      <c r="I69" s="52">
        <v>2</v>
      </c>
      <c r="J69" s="51"/>
      <c r="K69" s="54">
        <f t="shared" si="0"/>
        <v>2</v>
      </c>
    </row>
    <row r="70" spans="1:11">
      <c r="A70" s="11">
        <v>67</v>
      </c>
      <c r="B70" s="35"/>
      <c r="C70" s="116" t="s">
        <v>1198</v>
      </c>
      <c r="D70" s="35" t="s">
        <v>82</v>
      </c>
      <c r="E70" s="35" t="s">
        <v>155</v>
      </c>
      <c r="F70" s="4"/>
      <c r="G70" s="49"/>
      <c r="H70" s="52">
        <v>3</v>
      </c>
      <c r="I70" s="52">
        <v>4</v>
      </c>
      <c r="J70" s="51">
        <v>6</v>
      </c>
      <c r="K70" s="54">
        <f t="shared" ref="K70" si="1">G70+I70+J70+H70</f>
        <v>13</v>
      </c>
    </row>
    <row r="71" spans="1:11">
      <c r="A71" s="11">
        <v>68</v>
      </c>
      <c r="B71" s="35"/>
      <c r="C71" s="116" t="s">
        <v>1199</v>
      </c>
      <c r="D71" s="35" t="s">
        <v>82</v>
      </c>
      <c r="E71" s="35" t="s">
        <v>155</v>
      </c>
      <c r="F71" s="4"/>
      <c r="G71" s="49"/>
      <c r="H71" s="52"/>
      <c r="I71" s="52">
        <v>3</v>
      </c>
      <c r="J71" s="51">
        <v>3</v>
      </c>
      <c r="K71" s="54">
        <f t="shared" si="0"/>
        <v>6</v>
      </c>
    </row>
    <row r="72" spans="1:11">
      <c r="A72" s="11">
        <v>69</v>
      </c>
      <c r="B72" s="35"/>
      <c r="C72" s="35" t="s">
        <v>176</v>
      </c>
      <c r="D72" s="35" t="s">
        <v>158</v>
      </c>
      <c r="E72" s="35" t="s">
        <v>49</v>
      </c>
      <c r="F72" s="4"/>
      <c r="G72" s="49"/>
      <c r="H72" s="52"/>
      <c r="I72" s="52">
        <v>2</v>
      </c>
      <c r="J72" s="51"/>
      <c r="K72" s="54">
        <f t="shared" si="0"/>
        <v>2</v>
      </c>
    </row>
    <row r="73" spans="1:11">
      <c r="A73" s="11">
        <v>70</v>
      </c>
      <c r="B73" s="35" t="s">
        <v>177</v>
      </c>
      <c r="C73" s="35" t="s">
        <v>856</v>
      </c>
      <c r="D73" s="35" t="s">
        <v>82</v>
      </c>
      <c r="E73" s="35" t="s">
        <v>49</v>
      </c>
      <c r="F73" s="4"/>
      <c r="G73" s="49"/>
      <c r="H73" s="52"/>
      <c r="I73" s="52">
        <v>2</v>
      </c>
      <c r="J73" s="51"/>
      <c r="K73" s="54">
        <f t="shared" si="0"/>
        <v>2</v>
      </c>
    </row>
    <row r="74" spans="1:11">
      <c r="A74" s="11">
        <v>71</v>
      </c>
      <c r="B74" s="35"/>
      <c r="C74" s="35" t="s">
        <v>1189</v>
      </c>
      <c r="D74" s="35" t="s">
        <v>82</v>
      </c>
      <c r="E74" s="35" t="s">
        <v>49</v>
      </c>
      <c r="F74" s="4"/>
      <c r="G74" s="49"/>
      <c r="H74" s="52"/>
      <c r="I74" s="52">
        <v>2</v>
      </c>
      <c r="J74" s="51"/>
      <c r="K74" s="54">
        <v>2</v>
      </c>
    </row>
    <row r="75" spans="1:11">
      <c r="A75" s="11">
        <v>72</v>
      </c>
      <c r="B75" s="5"/>
      <c r="C75" s="5" t="s">
        <v>268</v>
      </c>
      <c r="D75" s="5" t="s">
        <v>82</v>
      </c>
      <c r="E75" s="5" t="s">
        <v>155</v>
      </c>
      <c r="F75" s="4"/>
      <c r="G75" s="49"/>
      <c r="H75" s="52"/>
      <c r="I75" s="52">
        <v>4</v>
      </c>
      <c r="J75" s="51">
        <v>6</v>
      </c>
      <c r="K75" s="54">
        <f t="shared" si="0"/>
        <v>10</v>
      </c>
    </row>
    <row r="76" spans="1:11">
      <c r="A76" s="11">
        <v>73</v>
      </c>
      <c r="B76" s="5"/>
      <c r="C76" s="5" t="s">
        <v>269</v>
      </c>
      <c r="D76" s="5" t="s">
        <v>82</v>
      </c>
      <c r="E76" s="5" t="s">
        <v>155</v>
      </c>
      <c r="F76" s="4"/>
      <c r="G76" s="49"/>
      <c r="H76" s="52">
        <v>2</v>
      </c>
      <c r="I76" s="52">
        <v>4</v>
      </c>
      <c r="J76" s="51">
        <v>8</v>
      </c>
      <c r="K76" s="54">
        <f t="shared" ref="K76:K140" si="2">G76+I76+J76+H76</f>
        <v>14</v>
      </c>
    </row>
    <row r="77" spans="1:11">
      <c r="A77" s="11">
        <v>74</v>
      </c>
      <c r="B77" s="35"/>
      <c r="C77" s="35" t="s">
        <v>178</v>
      </c>
      <c r="D77" s="35" t="s">
        <v>373</v>
      </c>
      <c r="E77" s="35" t="s">
        <v>49</v>
      </c>
      <c r="F77" s="4"/>
      <c r="G77" s="49"/>
      <c r="H77" s="52"/>
      <c r="I77" s="52">
        <v>2</v>
      </c>
      <c r="J77" s="51"/>
      <c r="K77" s="54">
        <f t="shared" si="2"/>
        <v>2</v>
      </c>
    </row>
    <row r="78" spans="1:11">
      <c r="A78" s="11">
        <v>75</v>
      </c>
      <c r="B78" s="5" t="s">
        <v>179</v>
      </c>
      <c r="C78" s="5" t="s">
        <v>341</v>
      </c>
      <c r="D78" s="5" t="s">
        <v>82</v>
      </c>
      <c r="E78" s="5" t="s">
        <v>155</v>
      </c>
      <c r="F78" s="4"/>
      <c r="G78" s="49"/>
      <c r="H78" s="52"/>
      <c r="I78" s="52">
        <v>2</v>
      </c>
      <c r="J78" s="51">
        <v>11</v>
      </c>
      <c r="K78" s="54">
        <f t="shared" si="2"/>
        <v>13</v>
      </c>
    </row>
    <row r="79" spans="1:11">
      <c r="A79" s="11">
        <v>76</v>
      </c>
      <c r="B79" s="5"/>
      <c r="C79" s="5" t="s">
        <v>404</v>
      </c>
      <c r="D79" s="5" t="s">
        <v>82</v>
      </c>
      <c r="E79" s="5" t="s">
        <v>155</v>
      </c>
      <c r="F79" s="4"/>
      <c r="G79" s="49"/>
      <c r="H79" s="52">
        <v>1</v>
      </c>
      <c r="I79" s="52">
        <v>3</v>
      </c>
      <c r="J79" s="51">
        <v>4</v>
      </c>
      <c r="K79" s="54">
        <f t="shared" si="2"/>
        <v>8</v>
      </c>
    </row>
    <row r="80" spans="1:11">
      <c r="A80" s="11">
        <v>77</v>
      </c>
      <c r="B80" s="5"/>
      <c r="C80" s="5" t="s">
        <v>343</v>
      </c>
      <c r="D80" s="5" t="s">
        <v>82</v>
      </c>
      <c r="E80" s="5" t="s">
        <v>155</v>
      </c>
      <c r="F80" s="4"/>
      <c r="G80" s="49"/>
      <c r="H80" s="52"/>
      <c r="I80" s="52">
        <v>4</v>
      </c>
      <c r="J80" s="51">
        <v>4</v>
      </c>
      <c r="K80" s="54">
        <f t="shared" si="2"/>
        <v>8</v>
      </c>
    </row>
    <row r="81" spans="1:11">
      <c r="A81" s="11">
        <v>78</v>
      </c>
      <c r="B81" s="35" t="s">
        <v>376</v>
      </c>
      <c r="C81" s="35" t="s">
        <v>422</v>
      </c>
      <c r="D81" s="35" t="s">
        <v>82</v>
      </c>
      <c r="E81" s="35" t="s">
        <v>49</v>
      </c>
      <c r="F81" s="4"/>
      <c r="G81" s="49"/>
      <c r="H81" s="52"/>
      <c r="I81" s="52">
        <v>2</v>
      </c>
      <c r="J81" s="51"/>
      <c r="K81" s="54">
        <f t="shared" si="2"/>
        <v>2</v>
      </c>
    </row>
    <row r="82" spans="1:11">
      <c r="A82" s="11">
        <v>79</v>
      </c>
      <c r="B82" s="35" t="s">
        <v>376</v>
      </c>
      <c r="C82" s="35" t="s">
        <v>377</v>
      </c>
      <c r="D82" s="35" t="s">
        <v>82</v>
      </c>
      <c r="E82" s="35" t="s">
        <v>49</v>
      </c>
      <c r="F82" s="4"/>
      <c r="G82" s="49"/>
      <c r="H82" s="52"/>
      <c r="I82" s="52">
        <v>2</v>
      </c>
      <c r="J82" s="51"/>
      <c r="K82" s="54">
        <f t="shared" si="2"/>
        <v>2</v>
      </c>
    </row>
    <row r="83" spans="1:11">
      <c r="A83" s="11">
        <v>80</v>
      </c>
      <c r="B83" s="5" t="s">
        <v>180</v>
      </c>
      <c r="C83" s="5" t="s">
        <v>270</v>
      </c>
      <c r="D83" s="5" t="s">
        <v>82</v>
      </c>
      <c r="E83" s="5" t="s">
        <v>155</v>
      </c>
      <c r="F83" s="4"/>
      <c r="G83" s="49"/>
      <c r="H83" s="52">
        <v>2</v>
      </c>
      <c r="I83" s="52">
        <v>2</v>
      </c>
      <c r="J83" s="51">
        <v>5</v>
      </c>
      <c r="K83" s="54">
        <f t="shared" si="2"/>
        <v>9</v>
      </c>
    </row>
    <row r="84" spans="1:11">
      <c r="A84" s="11">
        <v>81</v>
      </c>
      <c r="B84" s="5"/>
      <c r="C84" s="5" t="s">
        <v>271</v>
      </c>
      <c r="D84" s="5" t="s">
        <v>82</v>
      </c>
      <c r="E84" s="5" t="s">
        <v>155</v>
      </c>
      <c r="F84" s="4"/>
      <c r="G84" s="49"/>
      <c r="H84" s="52"/>
      <c r="I84" s="52"/>
      <c r="J84" s="51">
        <v>19</v>
      </c>
      <c r="K84" s="54">
        <f t="shared" si="2"/>
        <v>19</v>
      </c>
    </row>
    <row r="85" spans="1:11">
      <c r="A85" s="11">
        <v>82</v>
      </c>
      <c r="B85" s="5"/>
      <c r="C85" s="5" t="s">
        <v>272</v>
      </c>
      <c r="D85" s="5" t="s">
        <v>82</v>
      </c>
      <c r="E85" s="5" t="s">
        <v>155</v>
      </c>
      <c r="F85" s="4"/>
      <c r="G85" s="49"/>
      <c r="H85" s="52"/>
      <c r="I85" s="52">
        <v>2</v>
      </c>
      <c r="J85" s="51">
        <v>6</v>
      </c>
      <c r="K85" s="54">
        <f t="shared" si="2"/>
        <v>8</v>
      </c>
    </row>
    <row r="86" spans="1:11">
      <c r="A86" s="11">
        <v>83</v>
      </c>
      <c r="B86" s="35"/>
      <c r="C86" s="35" t="s">
        <v>221</v>
      </c>
      <c r="D86" s="35" t="s">
        <v>82</v>
      </c>
      <c r="E86" s="35" t="s">
        <v>49</v>
      </c>
      <c r="F86" s="4"/>
      <c r="G86" s="49"/>
      <c r="H86" s="52"/>
      <c r="I86" s="52">
        <v>2</v>
      </c>
      <c r="J86" s="51">
        <v>2</v>
      </c>
      <c r="K86" s="54">
        <f t="shared" si="2"/>
        <v>4</v>
      </c>
    </row>
    <row r="87" spans="1:11">
      <c r="A87" s="11">
        <v>84</v>
      </c>
      <c r="B87" s="5"/>
      <c r="C87" s="5" t="s">
        <v>433</v>
      </c>
      <c r="D87" s="5" t="s">
        <v>82</v>
      </c>
      <c r="E87" s="5" t="s">
        <v>155</v>
      </c>
      <c r="F87" s="4"/>
      <c r="G87" s="49"/>
      <c r="H87" s="52"/>
      <c r="I87" s="52">
        <v>3</v>
      </c>
      <c r="J87" s="51">
        <v>5</v>
      </c>
      <c r="K87" s="54">
        <f t="shared" si="2"/>
        <v>8</v>
      </c>
    </row>
    <row r="88" spans="1:11">
      <c r="A88" s="11">
        <v>85</v>
      </c>
      <c r="B88" s="35"/>
      <c r="C88" s="35" t="s">
        <v>273</v>
      </c>
      <c r="D88" s="35" t="s">
        <v>158</v>
      </c>
      <c r="E88" s="35" t="s">
        <v>49</v>
      </c>
      <c r="F88" s="4"/>
      <c r="G88" s="49"/>
      <c r="H88" s="52">
        <v>1</v>
      </c>
      <c r="I88" s="52">
        <v>2</v>
      </c>
      <c r="J88" s="51">
        <v>3</v>
      </c>
      <c r="K88" s="54">
        <f t="shared" si="2"/>
        <v>6</v>
      </c>
    </row>
    <row r="89" spans="1:11">
      <c r="A89" s="11">
        <v>86</v>
      </c>
      <c r="B89" s="35" t="s">
        <v>181</v>
      </c>
      <c r="C89" s="35" t="s">
        <v>423</v>
      </c>
      <c r="D89" s="35" t="s">
        <v>82</v>
      </c>
      <c r="E89" s="35" t="s">
        <v>49</v>
      </c>
      <c r="F89" s="4"/>
      <c r="G89" s="49"/>
      <c r="H89" s="52"/>
      <c r="I89" s="52">
        <v>2</v>
      </c>
      <c r="J89" s="51"/>
      <c r="K89" s="54">
        <f t="shared" si="2"/>
        <v>2</v>
      </c>
    </row>
    <row r="90" spans="1:11">
      <c r="A90" s="11">
        <v>87</v>
      </c>
      <c r="B90" s="5" t="s">
        <v>181</v>
      </c>
      <c r="C90" s="5" t="s">
        <v>274</v>
      </c>
      <c r="D90" s="5" t="s">
        <v>82</v>
      </c>
      <c r="E90" s="5" t="s">
        <v>155</v>
      </c>
      <c r="F90" s="4"/>
      <c r="G90" s="49"/>
      <c r="H90" s="52"/>
      <c r="I90" s="52">
        <v>3</v>
      </c>
      <c r="J90" s="51">
        <v>5</v>
      </c>
      <c r="K90" s="54">
        <f t="shared" si="2"/>
        <v>8</v>
      </c>
    </row>
    <row r="91" spans="1:11">
      <c r="A91" s="11">
        <v>88</v>
      </c>
      <c r="B91" s="5" t="s">
        <v>182</v>
      </c>
      <c r="C91" s="5" t="s">
        <v>345</v>
      </c>
      <c r="D91" s="5" t="s">
        <v>82</v>
      </c>
      <c r="E91" s="5" t="s">
        <v>155</v>
      </c>
      <c r="F91" s="4"/>
      <c r="G91" s="49"/>
      <c r="H91" s="52"/>
      <c r="I91" s="52">
        <v>4</v>
      </c>
      <c r="J91" s="51">
        <v>4</v>
      </c>
      <c r="K91" s="54">
        <f t="shared" si="2"/>
        <v>8</v>
      </c>
    </row>
    <row r="92" spans="1:11">
      <c r="A92" s="11">
        <v>89</v>
      </c>
      <c r="B92" s="5"/>
      <c r="C92" s="5" t="s">
        <v>275</v>
      </c>
      <c r="D92" s="5" t="s">
        <v>82</v>
      </c>
      <c r="E92" s="5" t="s">
        <v>155</v>
      </c>
      <c r="F92" s="4"/>
      <c r="G92" s="49"/>
      <c r="H92" s="52">
        <v>1</v>
      </c>
      <c r="I92" s="52">
        <v>1</v>
      </c>
      <c r="J92" s="51">
        <v>9</v>
      </c>
      <c r="K92" s="54">
        <f t="shared" si="2"/>
        <v>11</v>
      </c>
    </row>
    <row r="93" spans="1:11">
      <c r="A93" s="11">
        <v>90</v>
      </c>
      <c r="B93" s="5" t="s">
        <v>185</v>
      </c>
      <c r="C93" s="5" t="s">
        <v>276</v>
      </c>
      <c r="D93" s="5" t="s">
        <v>82</v>
      </c>
      <c r="E93" s="5" t="s">
        <v>155</v>
      </c>
      <c r="F93" s="4"/>
      <c r="G93" s="49"/>
      <c r="H93" s="52">
        <v>1</v>
      </c>
      <c r="I93" s="52">
        <v>1</v>
      </c>
      <c r="J93" s="51">
        <v>12</v>
      </c>
      <c r="K93" s="54">
        <f t="shared" si="2"/>
        <v>14</v>
      </c>
    </row>
    <row r="94" spans="1:11">
      <c r="A94" s="11">
        <v>91</v>
      </c>
      <c r="B94" s="5"/>
      <c r="C94" s="5" t="s">
        <v>277</v>
      </c>
      <c r="D94" s="5" t="s">
        <v>82</v>
      </c>
      <c r="E94" s="5" t="s">
        <v>155</v>
      </c>
      <c r="F94" s="4"/>
      <c r="G94" s="49"/>
      <c r="H94" s="52"/>
      <c r="I94" s="52"/>
      <c r="J94" s="51">
        <v>8</v>
      </c>
      <c r="K94" s="54">
        <f t="shared" si="2"/>
        <v>8</v>
      </c>
    </row>
    <row r="95" spans="1:11">
      <c r="A95" s="11">
        <v>92</v>
      </c>
      <c r="B95" s="5"/>
      <c r="C95" s="5" t="s">
        <v>278</v>
      </c>
      <c r="D95" s="5" t="s">
        <v>82</v>
      </c>
      <c r="E95" s="5" t="s">
        <v>155</v>
      </c>
      <c r="F95" s="4"/>
      <c r="G95" s="49"/>
      <c r="H95" s="52"/>
      <c r="I95" s="52">
        <v>1</v>
      </c>
      <c r="J95" s="51">
        <v>7</v>
      </c>
      <c r="K95" s="54">
        <f t="shared" si="2"/>
        <v>8</v>
      </c>
    </row>
    <row r="96" spans="1:11">
      <c r="A96" s="11">
        <v>93</v>
      </c>
      <c r="B96" s="5"/>
      <c r="C96" s="5" t="s">
        <v>279</v>
      </c>
      <c r="D96" s="5" t="s">
        <v>82</v>
      </c>
      <c r="E96" s="5" t="s">
        <v>155</v>
      </c>
      <c r="F96" s="4"/>
      <c r="G96" s="49"/>
      <c r="H96" s="52"/>
      <c r="I96" s="52">
        <v>3</v>
      </c>
      <c r="J96" s="51">
        <v>6</v>
      </c>
      <c r="K96" s="54">
        <f t="shared" si="2"/>
        <v>9</v>
      </c>
    </row>
    <row r="97" spans="1:11">
      <c r="A97" s="11">
        <v>94</v>
      </c>
      <c r="B97" s="5" t="s">
        <v>183</v>
      </c>
      <c r="C97" s="5" t="s">
        <v>280</v>
      </c>
      <c r="D97" s="5" t="s">
        <v>82</v>
      </c>
      <c r="E97" s="5" t="s">
        <v>155</v>
      </c>
      <c r="F97" s="4"/>
      <c r="G97" s="49"/>
      <c r="H97" s="52"/>
      <c r="I97" s="52">
        <v>3</v>
      </c>
      <c r="J97" s="51">
        <v>5</v>
      </c>
      <c r="K97" s="54">
        <f t="shared" si="2"/>
        <v>8</v>
      </c>
    </row>
    <row r="98" spans="1:11">
      <c r="A98" s="11">
        <v>95</v>
      </c>
      <c r="B98" s="5"/>
      <c r="C98" s="5" t="s">
        <v>281</v>
      </c>
      <c r="D98" s="5" t="s">
        <v>82</v>
      </c>
      <c r="E98" s="5" t="s">
        <v>155</v>
      </c>
      <c r="F98" s="4"/>
      <c r="G98" s="49"/>
      <c r="H98" s="52"/>
      <c r="I98" s="52"/>
      <c r="J98" s="51">
        <v>10</v>
      </c>
      <c r="K98" s="54">
        <f t="shared" si="2"/>
        <v>10</v>
      </c>
    </row>
    <row r="99" spans="1:11">
      <c r="A99" s="11">
        <v>96</v>
      </c>
      <c r="B99" s="5" t="s">
        <v>184</v>
      </c>
      <c r="C99" s="5" t="s">
        <v>282</v>
      </c>
      <c r="D99" s="5" t="s">
        <v>82</v>
      </c>
      <c r="E99" s="5" t="s">
        <v>155</v>
      </c>
      <c r="F99" s="4"/>
      <c r="G99" s="49"/>
      <c r="H99" s="52"/>
      <c r="I99" s="52">
        <v>3</v>
      </c>
      <c r="J99" s="51">
        <v>5</v>
      </c>
      <c r="K99" s="54">
        <f t="shared" si="2"/>
        <v>8</v>
      </c>
    </row>
    <row r="100" spans="1:11">
      <c r="A100" s="11">
        <v>97</v>
      </c>
      <c r="B100" s="5"/>
      <c r="C100" s="5" t="s">
        <v>858</v>
      </c>
      <c r="D100" s="5" t="s">
        <v>82</v>
      </c>
      <c r="E100" s="5" t="s">
        <v>155</v>
      </c>
      <c r="F100" s="4"/>
      <c r="G100" s="49"/>
      <c r="H100" s="52"/>
      <c r="I100" s="52">
        <v>9</v>
      </c>
      <c r="J100" s="51">
        <v>11</v>
      </c>
      <c r="K100" s="54">
        <f t="shared" si="2"/>
        <v>20</v>
      </c>
    </row>
    <row r="101" spans="1:11">
      <c r="A101" s="11">
        <v>98</v>
      </c>
      <c r="B101" s="5" t="s">
        <v>189</v>
      </c>
      <c r="C101" s="5" t="s">
        <v>284</v>
      </c>
      <c r="D101" s="5" t="s">
        <v>82</v>
      </c>
      <c r="E101" s="5" t="s">
        <v>155</v>
      </c>
      <c r="F101" s="4"/>
      <c r="G101" s="49"/>
      <c r="H101" s="52">
        <v>2</v>
      </c>
      <c r="I101" s="52">
        <v>0</v>
      </c>
      <c r="J101" s="51">
        <v>7</v>
      </c>
      <c r="K101" s="54">
        <f t="shared" si="2"/>
        <v>9</v>
      </c>
    </row>
    <row r="102" spans="1:11">
      <c r="A102" s="11">
        <v>99</v>
      </c>
      <c r="B102" s="5" t="s">
        <v>191</v>
      </c>
      <c r="C102" s="5" t="s">
        <v>285</v>
      </c>
      <c r="D102" s="5" t="s">
        <v>82</v>
      </c>
      <c r="E102" s="5" t="s">
        <v>155</v>
      </c>
      <c r="F102" s="4"/>
      <c r="G102" s="49"/>
      <c r="H102" s="52">
        <v>2</v>
      </c>
      <c r="I102" s="52">
        <v>1</v>
      </c>
      <c r="J102" s="51">
        <v>6</v>
      </c>
      <c r="K102" s="54">
        <f t="shared" si="2"/>
        <v>9</v>
      </c>
    </row>
    <row r="103" spans="1:11">
      <c r="A103" s="11">
        <v>100</v>
      </c>
      <c r="B103" s="5"/>
      <c r="C103" s="5" t="s">
        <v>286</v>
      </c>
      <c r="D103" s="5" t="s">
        <v>82</v>
      </c>
      <c r="E103" s="5" t="s">
        <v>155</v>
      </c>
      <c r="F103" s="4"/>
      <c r="G103" s="49"/>
      <c r="H103" s="52">
        <v>1</v>
      </c>
      <c r="I103" s="52">
        <v>2</v>
      </c>
      <c r="J103" s="51">
        <v>4</v>
      </c>
      <c r="K103" s="54">
        <f t="shared" si="2"/>
        <v>7</v>
      </c>
    </row>
    <row r="104" spans="1:11">
      <c r="A104" s="11">
        <v>101</v>
      </c>
      <c r="B104" s="5" t="s">
        <v>405</v>
      </c>
      <c r="C104" s="5" t="s">
        <v>398</v>
      </c>
      <c r="D104" s="5" t="s">
        <v>82</v>
      </c>
      <c r="E104" s="5" t="s">
        <v>155</v>
      </c>
      <c r="F104" s="4"/>
      <c r="G104" s="49"/>
      <c r="H104" s="52">
        <v>1</v>
      </c>
      <c r="I104" s="52">
        <v>1</v>
      </c>
      <c r="J104" s="51">
        <v>11</v>
      </c>
      <c r="K104" s="54">
        <f t="shared" si="2"/>
        <v>13</v>
      </c>
    </row>
    <row r="105" spans="1:11">
      <c r="A105" s="11">
        <v>102</v>
      </c>
      <c r="B105" s="5"/>
      <c r="C105" s="5" t="s">
        <v>287</v>
      </c>
      <c r="D105" s="5" t="s">
        <v>82</v>
      </c>
      <c r="E105" s="5" t="s">
        <v>155</v>
      </c>
      <c r="F105" s="4"/>
      <c r="G105" s="49"/>
      <c r="H105" s="52">
        <v>1</v>
      </c>
      <c r="I105" s="52">
        <v>1</v>
      </c>
      <c r="J105" s="51">
        <v>8</v>
      </c>
      <c r="K105" s="54">
        <f t="shared" si="2"/>
        <v>10</v>
      </c>
    </row>
    <row r="106" spans="1:11">
      <c r="A106" s="11">
        <v>103</v>
      </c>
      <c r="B106" s="5" t="s">
        <v>220</v>
      </c>
      <c r="C106" s="5" t="s">
        <v>288</v>
      </c>
      <c r="D106" s="5" t="s">
        <v>82</v>
      </c>
      <c r="E106" s="5" t="s">
        <v>155</v>
      </c>
      <c r="F106" s="4"/>
      <c r="G106" s="49"/>
      <c r="H106" s="52"/>
      <c r="I106" s="52">
        <v>4</v>
      </c>
      <c r="J106" s="51">
        <v>4</v>
      </c>
      <c r="K106" s="54">
        <f t="shared" si="2"/>
        <v>8</v>
      </c>
    </row>
    <row r="107" spans="1:11">
      <c r="A107" s="11">
        <v>104</v>
      </c>
      <c r="B107" s="35" t="s">
        <v>190</v>
      </c>
      <c r="C107" s="35" t="s">
        <v>355</v>
      </c>
      <c r="D107" s="35" t="s">
        <v>82</v>
      </c>
      <c r="E107" s="35" t="s">
        <v>49</v>
      </c>
      <c r="F107" s="4"/>
      <c r="G107" s="49"/>
      <c r="H107" s="52"/>
      <c r="I107" s="52">
        <v>2</v>
      </c>
      <c r="J107" s="51"/>
      <c r="K107" s="54">
        <f t="shared" si="2"/>
        <v>2</v>
      </c>
    </row>
    <row r="108" spans="1:11">
      <c r="A108" s="11">
        <v>105</v>
      </c>
      <c r="B108" s="5"/>
      <c r="C108" s="5" t="s">
        <v>290</v>
      </c>
      <c r="D108" s="5" t="s">
        <v>82</v>
      </c>
      <c r="E108" s="5" t="s">
        <v>155</v>
      </c>
      <c r="F108" s="4"/>
      <c r="G108" s="49"/>
      <c r="H108" s="52">
        <v>2</v>
      </c>
      <c r="I108" s="52">
        <v>2</v>
      </c>
      <c r="J108" s="51">
        <v>3</v>
      </c>
      <c r="K108" s="54">
        <f t="shared" si="2"/>
        <v>7</v>
      </c>
    </row>
    <row r="109" spans="1:11">
      <c r="A109" s="11">
        <v>106</v>
      </c>
      <c r="B109" s="5" t="s">
        <v>188</v>
      </c>
      <c r="C109" s="5" t="s">
        <v>291</v>
      </c>
      <c r="D109" s="5" t="s">
        <v>82</v>
      </c>
      <c r="E109" s="5" t="s">
        <v>155</v>
      </c>
      <c r="F109" s="4"/>
      <c r="G109" s="49"/>
      <c r="H109" s="52"/>
      <c r="I109" s="52"/>
      <c r="J109" s="51">
        <v>6</v>
      </c>
      <c r="K109" s="54">
        <f t="shared" si="2"/>
        <v>6</v>
      </c>
    </row>
    <row r="110" spans="1:11">
      <c r="A110" s="11">
        <v>107</v>
      </c>
      <c r="B110" s="5" t="s">
        <v>186</v>
      </c>
      <c r="C110" s="5" t="s">
        <v>1247</v>
      </c>
      <c r="D110" s="5" t="s">
        <v>82</v>
      </c>
      <c r="E110" s="5" t="s">
        <v>155</v>
      </c>
      <c r="F110" s="4"/>
      <c r="G110" s="49"/>
      <c r="H110" s="52"/>
      <c r="I110" s="52"/>
      <c r="J110" s="51">
        <v>8</v>
      </c>
      <c r="K110" s="54">
        <f t="shared" si="2"/>
        <v>8</v>
      </c>
    </row>
    <row r="111" spans="1:11">
      <c r="A111" s="11">
        <v>108</v>
      </c>
      <c r="B111" s="5"/>
      <c r="C111" s="5" t="s">
        <v>293</v>
      </c>
      <c r="D111" s="5" t="s">
        <v>82</v>
      </c>
      <c r="E111" s="5" t="s">
        <v>219</v>
      </c>
      <c r="F111" s="4"/>
      <c r="G111" s="49"/>
      <c r="H111" s="52"/>
      <c r="I111" s="52">
        <v>2</v>
      </c>
      <c r="J111" s="51">
        <v>6</v>
      </c>
      <c r="K111" s="54">
        <f t="shared" si="2"/>
        <v>8</v>
      </c>
    </row>
    <row r="112" spans="1:11">
      <c r="A112" s="11">
        <v>109</v>
      </c>
      <c r="B112" s="35"/>
      <c r="C112" s="35" t="s">
        <v>187</v>
      </c>
      <c r="D112" s="35" t="s">
        <v>82</v>
      </c>
      <c r="E112" s="35" t="s">
        <v>49</v>
      </c>
      <c r="F112" s="4"/>
      <c r="G112" s="49"/>
      <c r="H112" s="52"/>
      <c r="I112" s="52">
        <v>2</v>
      </c>
      <c r="J112" s="51"/>
      <c r="K112" s="54">
        <f t="shared" si="2"/>
        <v>2</v>
      </c>
    </row>
    <row r="113" spans="1:11">
      <c r="A113" s="11">
        <v>110</v>
      </c>
      <c r="B113" s="5"/>
      <c r="C113" s="5" t="s">
        <v>344</v>
      </c>
      <c r="D113" s="5" t="s">
        <v>82</v>
      </c>
      <c r="E113" s="5" t="s">
        <v>155</v>
      </c>
      <c r="F113" s="4"/>
      <c r="G113" s="49"/>
      <c r="H113" s="52"/>
      <c r="I113" s="52">
        <v>4</v>
      </c>
      <c r="J113" s="51">
        <v>4</v>
      </c>
      <c r="K113" s="54">
        <f t="shared" si="2"/>
        <v>8</v>
      </c>
    </row>
    <row r="114" spans="1:11">
      <c r="A114" s="11">
        <v>111</v>
      </c>
      <c r="B114" s="5" t="s">
        <v>194</v>
      </c>
      <c r="C114" s="5" t="s">
        <v>346</v>
      </c>
      <c r="D114" s="5" t="s">
        <v>82</v>
      </c>
      <c r="E114" s="5" t="s">
        <v>155</v>
      </c>
      <c r="F114" s="4"/>
      <c r="G114" s="49"/>
      <c r="H114" s="52"/>
      <c r="I114" s="52">
        <v>3</v>
      </c>
      <c r="J114" s="51">
        <v>6</v>
      </c>
      <c r="K114" s="54">
        <f t="shared" si="2"/>
        <v>9</v>
      </c>
    </row>
    <row r="115" spans="1:11">
      <c r="A115" s="11">
        <v>112</v>
      </c>
      <c r="B115" s="5" t="s">
        <v>193</v>
      </c>
      <c r="C115" s="5" t="s">
        <v>294</v>
      </c>
      <c r="D115" s="5" t="s">
        <v>82</v>
      </c>
      <c r="E115" s="5" t="s">
        <v>155</v>
      </c>
      <c r="F115" s="4"/>
      <c r="G115" s="49"/>
      <c r="H115" s="52"/>
      <c r="I115" s="52">
        <v>4</v>
      </c>
      <c r="J115" s="51">
        <v>8</v>
      </c>
      <c r="K115" s="54">
        <f t="shared" si="2"/>
        <v>12</v>
      </c>
    </row>
    <row r="116" spans="1:11">
      <c r="A116" s="11">
        <v>113</v>
      </c>
      <c r="B116" s="5" t="s">
        <v>192</v>
      </c>
      <c r="C116" s="5" t="s">
        <v>378</v>
      </c>
      <c r="D116" s="5" t="s">
        <v>82</v>
      </c>
      <c r="E116" s="5" t="s">
        <v>155</v>
      </c>
      <c r="F116" s="4"/>
      <c r="G116" s="49"/>
      <c r="H116" s="52">
        <v>1</v>
      </c>
      <c r="I116" s="52">
        <v>2</v>
      </c>
      <c r="J116" s="51">
        <v>6</v>
      </c>
      <c r="K116" s="54">
        <f t="shared" si="2"/>
        <v>9</v>
      </c>
    </row>
    <row r="117" spans="1:11">
      <c r="A117" s="11">
        <v>114</v>
      </c>
      <c r="B117" s="5"/>
      <c r="C117" s="5" t="s">
        <v>295</v>
      </c>
      <c r="D117" s="5" t="s">
        <v>82</v>
      </c>
      <c r="E117" s="5" t="s">
        <v>155</v>
      </c>
      <c r="F117" s="4"/>
      <c r="G117" s="49"/>
      <c r="H117" s="52">
        <v>3</v>
      </c>
      <c r="I117" s="52">
        <v>0</v>
      </c>
      <c r="J117" s="51">
        <v>10</v>
      </c>
      <c r="K117" s="54">
        <f t="shared" si="2"/>
        <v>13</v>
      </c>
    </row>
    <row r="118" spans="1:11">
      <c r="A118" s="11">
        <v>115</v>
      </c>
      <c r="B118" s="5"/>
      <c r="C118" s="5" t="s">
        <v>369</v>
      </c>
      <c r="D118" s="5" t="s">
        <v>82</v>
      </c>
      <c r="E118" s="5" t="s">
        <v>155</v>
      </c>
      <c r="F118" s="4"/>
      <c r="G118" s="49"/>
      <c r="H118" s="52">
        <v>2</v>
      </c>
      <c r="I118" s="52">
        <v>5</v>
      </c>
      <c r="J118" s="51">
        <v>9</v>
      </c>
      <c r="K118" s="54">
        <f t="shared" si="2"/>
        <v>16</v>
      </c>
    </row>
    <row r="119" spans="1:11">
      <c r="A119" s="11">
        <v>116</v>
      </c>
      <c r="B119" s="5"/>
      <c r="C119" s="5" t="s">
        <v>296</v>
      </c>
      <c r="D119" s="5" t="s">
        <v>82</v>
      </c>
      <c r="E119" s="5" t="s">
        <v>155</v>
      </c>
      <c r="F119" s="4"/>
      <c r="G119" s="49"/>
      <c r="H119" s="52"/>
      <c r="I119" s="52">
        <v>4</v>
      </c>
      <c r="J119" s="51">
        <v>4</v>
      </c>
      <c r="K119" s="54">
        <f t="shared" si="2"/>
        <v>8</v>
      </c>
    </row>
    <row r="120" spans="1:11">
      <c r="A120" s="11">
        <v>117</v>
      </c>
      <c r="B120" s="5"/>
      <c r="C120" s="5" t="s">
        <v>297</v>
      </c>
      <c r="D120" s="5" t="s">
        <v>82</v>
      </c>
      <c r="E120" s="5" t="s">
        <v>155</v>
      </c>
      <c r="F120" s="4"/>
      <c r="G120" s="49"/>
      <c r="H120" s="52"/>
      <c r="I120" s="52">
        <v>3</v>
      </c>
      <c r="J120" s="51">
        <v>6</v>
      </c>
      <c r="K120" s="54">
        <f t="shared" si="2"/>
        <v>9</v>
      </c>
    </row>
    <row r="121" spans="1:11">
      <c r="A121" s="11">
        <v>118</v>
      </c>
      <c r="B121" s="5"/>
      <c r="C121" s="5" t="s">
        <v>298</v>
      </c>
      <c r="D121" s="5" t="s">
        <v>82</v>
      </c>
      <c r="E121" s="5" t="s">
        <v>155</v>
      </c>
      <c r="F121" s="4"/>
      <c r="G121" s="49"/>
      <c r="H121" s="52"/>
      <c r="I121" s="52">
        <v>4</v>
      </c>
      <c r="J121" s="51">
        <v>4</v>
      </c>
      <c r="K121" s="54">
        <f t="shared" si="2"/>
        <v>8</v>
      </c>
    </row>
    <row r="122" spans="1:11">
      <c r="A122" s="11">
        <v>119</v>
      </c>
      <c r="B122" s="5" t="s">
        <v>195</v>
      </c>
      <c r="C122" s="5" t="s">
        <v>299</v>
      </c>
      <c r="D122" s="5" t="s">
        <v>82</v>
      </c>
      <c r="E122" s="5" t="s">
        <v>155</v>
      </c>
      <c r="F122" s="4"/>
      <c r="G122" s="49"/>
      <c r="H122" s="52">
        <v>3</v>
      </c>
      <c r="I122" s="52">
        <v>1</v>
      </c>
      <c r="J122" s="51">
        <v>3</v>
      </c>
      <c r="K122" s="54">
        <f t="shared" si="2"/>
        <v>7</v>
      </c>
    </row>
    <row r="123" spans="1:11">
      <c r="A123" s="11">
        <v>120</v>
      </c>
      <c r="B123" s="5"/>
      <c r="C123" s="5" t="s">
        <v>300</v>
      </c>
      <c r="D123" s="5" t="s">
        <v>82</v>
      </c>
      <c r="E123" s="5" t="s">
        <v>155</v>
      </c>
      <c r="F123" s="4"/>
      <c r="G123" s="49"/>
      <c r="H123" s="52"/>
      <c r="I123" s="52">
        <v>2</v>
      </c>
      <c r="J123" s="51">
        <v>4</v>
      </c>
      <c r="K123" s="54">
        <f t="shared" si="2"/>
        <v>6</v>
      </c>
    </row>
    <row r="124" spans="1:11">
      <c r="A124" s="11">
        <v>121</v>
      </c>
      <c r="B124" s="5"/>
      <c r="C124" s="5" t="s">
        <v>301</v>
      </c>
      <c r="D124" s="5" t="s">
        <v>82</v>
      </c>
      <c r="E124" s="5" t="s">
        <v>155</v>
      </c>
      <c r="F124" s="4"/>
      <c r="G124" s="49"/>
      <c r="H124" s="52"/>
      <c r="I124" s="52">
        <v>2</v>
      </c>
      <c r="J124" s="51">
        <v>7</v>
      </c>
      <c r="K124" s="54">
        <f t="shared" si="2"/>
        <v>9</v>
      </c>
    </row>
    <row r="125" spans="1:11">
      <c r="A125" s="11">
        <v>122</v>
      </c>
      <c r="B125" s="5" t="s">
        <v>196</v>
      </c>
      <c r="C125" s="5" t="s">
        <v>302</v>
      </c>
      <c r="D125" s="5" t="s">
        <v>82</v>
      </c>
      <c r="E125" s="5" t="s">
        <v>155</v>
      </c>
      <c r="F125" s="4"/>
      <c r="G125" s="49"/>
      <c r="H125" s="52">
        <v>1</v>
      </c>
      <c r="I125" s="52">
        <v>3</v>
      </c>
      <c r="J125" s="51">
        <v>4</v>
      </c>
      <c r="K125" s="54">
        <f t="shared" si="2"/>
        <v>8</v>
      </c>
    </row>
    <row r="126" spans="1:11">
      <c r="A126" s="11">
        <v>123</v>
      </c>
      <c r="B126" s="5" t="s">
        <v>203</v>
      </c>
      <c r="C126" s="5" t="s">
        <v>399</v>
      </c>
      <c r="D126" s="5" t="s">
        <v>82</v>
      </c>
      <c r="E126" s="5" t="s">
        <v>155</v>
      </c>
      <c r="F126" s="4"/>
      <c r="G126" s="49"/>
      <c r="H126" s="52">
        <v>3</v>
      </c>
      <c r="I126" s="52">
        <v>1</v>
      </c>
      <c r="J126" s="51">
        <v>12</v>
      </c>
      <c r="K126" s="54">
        <f t="shared" si="2"/>
        <v>16</v>
      </c>
    </row>
    <row r="127" spans="1:11">
      <c r="A127" s="11">
        <v>124</v>
      </c>
      <c r="B127" s="5"/>
      <c r="C127" s="35" t="s">
        <v>1248</v>
      </c>
      <c r="D127" s="35" t="s">
        <v>82</v>
      </c>
      <c r="E127" s="35" t="s">
        <v>49</v>
      </c>
      <c r="F127" s="4"/>
      <c r="G127" s="49"/>
      <c r="H127" s="52"/>
      <c r="I127" s="52">
        <v>4</v>
      </c>
      <c r="J127" s="51">
        <v>0</v>
      </c>
      <c r="K127" s="54">
        <v>4</v>
      </c>
    </row>
    <row r="128" spans="1:11">
      <c r="A128" s="11">
        <v>125</v>
      </c>
      <c r="B128" s="5"/>
      <c r="C128" s="35" t="s">
        <v>1274</v>
      </c>
      <c r="D128" s="35" t="s">
        <v>82</v>
      </c>
      <c r="E128" s="35" t="s">
        <v>49</v>
      </c>
      <c r="F128" s="4"/>
      <c r="G128" s="49"/>
      <c r="H128" s="52"/>
      <c r="I128" s="52">
        <v>4</v>
      </c>
      <c r="J128" s="51">
        <v>0</v>
      </c>
      <c r="K128" s="54">
        <v>4</v>
      </c>
    </row>
    <row r="129" spans="1:11">
      <c r="A129" s="11">
        <v>126</v>
      </c>
      <c r="B129" s="5"/>
      <c r="C129" s="5" t="s">
        <v>304</v>
      </c>
      <c r="D129" s="5" t="s">
        <v>82</v>
      </c>
      <c r="E129" s="5" t="s">
        <v>155</v>
      </c>
      <c r="F129" s="4"/>
      <c r="G129" s="49"/>
      <c r="H129" s="52">
        <v>4</v>
      </c>
      <c r="I129" s="52">
        <v>4</v>
      </c>
      <c r="J129" s="51">
        <v>2</v>
      </c>
      <c r="K129" s="54">
        <f t="shared" si="2"/>
        <v>10</v>
      </c>
    </row>
    <row r="130" spans="1:11">
      <c r="A130" s="11">
        <v>127</v>
      </c>
      <c r="B130" s="5"/>
      <c r="C130" s="5" t="s">
        <v>347</v>
      </c>
      <c r="D130" s="5" t="s">
        <v>82</v>
      </c>
      <c r="E130" s="5" t="s">
        <v>155</v>
      </c>
      <c r="F130" s="4"/>
      <c r="G130" s="49"/>
      <c r="H130" s="52">
        <v>1</v>
      </c>
      <c r="I130" s="52">
        <v>3</v>
      </c>
      <c r="J130" s="51">
        <v>8</v>
      </c>
      <c r="K130" s="54">
        <f t="shared" si="2"/>
        <v>12</v>
      </c>
    </row>
    <row r="131" spans="1:11">
      <c r="A131" s="11">
        <v>128</v>
      </c>
      <c r="B131" s="35"/>
      <c r="C131" s="35" t="s">
        <v>915</v>
      </c>
      <c r="D131" s="35" t="s">
        <v>82</v>
      </c>
      <c r="E131" s="35" t="s">
        <v>155</v>
      </c>
      <c r="F131" s="36"/>
      <c r="G131" s="50"/>
      <c r="H131" s="53"/>
      <c r="I131" s="53">
        <v>4</v>
      </c>
      <c r="J131" s="66"/>
      <c r="K131" s="67">
        <v>4</v>
      </c>
    </row>
    <row r="132" spans="1:11">
      <c r="A132" s="11">
        <v>129</v>
      </c>
      <c r="B132" s="5"/>
      <c r="C132" s="5" t="s">
        <v>305</v>
      </c>
      <c r="D132" s="5" t="s">
        <v>82</v>
      </c>
      <c r="E132" s="5" t="s">
        <v>155</v>
      </c>
      <c r="F132" s="4"/>
      <c r="G132" s="49"/>
      <c r="H132" s="52"/>
      <c r="I132" s="52">
        <v>2</v>
      </c>
      <c r="J132" s="51">
        <v>9</v>
      </c>
      <c r="K132" s="54">
        <f t="shared" si="2"/>
        <v>11</v>
      </c>
    </row>
    <row r="133" spans="1:11">
      <c r="A133" s="11">
        <v>130</v>
      </c>
      <c r="B133" s="5"/>
      <c r="C133" s="35" t="s">
        <v>1193</v>
      </c>
      <c r="D133" s="5" t="s">
        <v>82</v>
      </c>
      <c r="E133" s="5"/>
      <c r="F133" s="4"/>
      <c r="G133" s="49"/>
      <c r="H133" s="52"/>
      <c r="I133" s="52">
        <v>4</v>
      </c>
      <c r="J133" s="51"/>
      <c r="K133" s="54">
        <v>4</v>
      </c>
    </row>
    <row r="134" spans="1:11">
      <c r="A134" s="11">
        <v>131</v>
      </c>
      <c r="B134" s="5"/>
      <c r="C134" s="5" t="s">
        <v>356</v>
      </c>
      <c r="D134" s="5" t="s">
        <v>82</v>
      </c>
      <c r="E134" s="5" t="s">
        <v>155</v>
      </c>
      <c r="F134" s="4"/>
      <c r="G134" s="49"/>
      <c r="H134" s="52"/>
      <c r="I134" s="52">
        <v>2</v>
      </c>
      <c r="J134" s="51">
        <v>11</v>
      </c>
      <c r="K134" s="54">
        <f t="shared" si="2"/>
        <v>13</v>
      </c>
    </row>
    <row r="135" spans="1:11">
      <c r="A135" s="11">
        <v>132</v>
      </c>
      <c r="B135" s="5" t="s">
        <v>198</v>
      </c>
      <c r="C135" s="5" t="s">
        <v>306</v>
      </c>
      <c r="D135" s="5" t="s">
        <v>82</v>
      </c>
      <c r="E135" s="5" t="s">
        <v>155</v>
      </c>
      <c r="F135" s="4"/>
      <c r="G135" s="49"/>
      <c r="H135" s="52">
        <v>3</v>
      </c>
      <c r="I135" s="52">
        <v>4</v>
      </c>
      <c r="J135" s="51">
        <v>12</v>
      </c>
      <c r="K135" s="54">
        <f t="shared" si="2"/>
        <v>19</v>
      </c>
    </row>
    <row r="136" spans="1:11">
      <c r="A136" s="11">
        <v>133</v>
      </c>
      <c r="B136" s="5"/>
      <c r="C136" s="5" t="s">
        <v>307</v>
      </c>
      <c r="D136" s="5" t="s">
        <v>82</v>
      </c>
      <c r="E136" s="5" t="s">
        <v>155</v>
      </c>
      <c r="F136" s="4"/>
      <c r="G136" s="49"/>
      <c r="H136" s="52">
        <v>3</v>
      </c>
      <c r="I136" s="52">
        <v>3</v>
      </c>
      <c r="J136" s="51">
        <v>14</v>
      </c>
      <c r="K136" s="54">
        <f t="shared" si="2"/>
        <v>20</v>
      </c>
    </row>
    <row r="137" spans="1:11">
      <c r="A137" s="11">
        <v>134</v>
      </c>
      <c r="B137" s="5"/>
      <c r="C137" s="5" t="s">
        <v>357</v>
      </c>
      <c r="D137" s="5" t="s">
        <v>82</v>
      </c>
      <c r="E137" s="5" t="s">
        <v>155</v>
      </c>
      <c r="F137" s="4"/>
      <c r="G137" s="49"/>
      <c r="H137" s="52"/>
      <c r="I137" s="52">
        <v>2</v>
      </c>
      <c r="J137" s="51">
        <v>9</v>
      </c>
      <c r="K137" s="54">
        <f t="shared" si="2"/>
        <v>11</v>
      </c>
    </row>
    <row r="138" spans="1:11">
      <c r="A138" s="11">
        <v>135</v>
      </c>
      <c r="B138" s="5"/>
      <c r="C138" s="5" t="s">
        <v>308</v>
      </c>
      <c r="D138" s="5" t="s">
        <v>82</v>
      </c>
      <c r="E138" s="5" t="s">
        <v>155</v>
      </c>
      <c r="F138" s="4"/>
      <c r="G138" s="49"/>
      <c r="H138" s="52"/>
      <c r="I138" s="52">
        <v>4</v>
      </c>
      <c r="J138" s="51">
        <v>9</v>
      </c>
      <c r="K138" s="54">
        <f t="shared" si="2"/>
        <v>13</v>
      </c>
    </row>
    <row r="139" spans="1:11">
      <c r="A139" s="11">
        <v>136</v>
      </c>
      <c r="B139" s="5"/>
      <c r="C139" s="5" t="s">
        <v>309</v>
      </c>
      <c r="D139" s="5" t="s">
        <v>82</v>
      </c>
      <c r="E139" s="5" t="s">
        <v>155</v>
      </c>
      <c r="F139" s="4"/>
      <c r="G139" s="49"/>
      <c r="H139" s="52"/>
      <c r="I139" s="52">
        <v>3</v>
      </c>
      <c r="J139" s="51">
        <v>6</v>
      </c>
      <c r="K139" s="54">
        <f t="shared" si="2"/>
        <v>9</v>
      </c>
    </row>
    <row r="140" spans="1:11">
      <c r="A140" s="11">
        <v>137</v>
      </c>
      <c r="B140" s="35" t="s">
        <v>199</v>
      </c>
      <c r="C140" s="35" t="s">
        <v>200</v>
      </c>
      <c r="D140" s="35" t="s">
        <v>82</v>
      </c>
      <c r="E140" s="35" t="s">
        <v>49</v>
      </c>
      <c r="F140" s="4"/>
      <c r="G140" s="49"/>
      <c r="H140" s="52"/>
      <c r="I140" s="52">
        <v>2</v>
      </c>
      <c r="J140" s="51"/>
      <c r="K140" s="54">
        <f t="shared" si="2"/>
        <v>2</v>
      </c>
    </row>
    <row r="141" spans="1:11">
      <c r="A141" s="11">
        <v>138</v>
      </c>
      <c r="B141" s="5" t="s">
        <v>197</v>
      </c>
      <c r="C141" s="5" t="s">
        <v>310</v>
      </c>
      <c r="D141" s="5" t="s">
        <v>82</v>
      </c>
      <c r="E141" s="5" t="s">
        <v>159</v>
      </c>
      <c r="F141" s="4"/>
      <c r="G141" s="49"/>
      <c r="H141" s="52"/>
      <c r="I141" s="52">
        <v>4</v>
      </c>
      <c r="J141" s="51">
        <v>7</v>
      </c>
      <c r="K141" s="54">
        <f t="shared" ref="K141:K200" si="3">G141+I141+J141+H141</f>
        <v>11</v>
      </c>
    </row>
    <row r="142" spans="1:11">
      <c r="A142" s="11">
        <v>139</v>
      </c>
      <c r="B142" s="5" t="s">
        <v>201</v>
      </c>
      <c r="C142" s="5" t="s">
        <v>311</v>
      </c>
      <c r="D142" s="5" t="s">
        <v>82</v>
      </c>
      <c r="E142" s="5" t="s">
        <v>155</v>
      </c>
      <c r="F142" s="4"/>
      <c r="G142" s="49"/>
      <c r="H142" s="52"/>
      <c r="I142" s="52">
        <v>4</v>
      </c>
      <c r="J142" s="51">
        <v>4</v>
      </c>
      <c r="K142" s="54">
        <f t="shared" si="3"/>
        <v>8</v>
      </c>
    </row>
    <row r="143" spans="1:11">
      <c r="A143" s="11">
        <v>140</v>
      </c>
      <c r="B143" s="5"/>
      <c r="C143" s="35" t="s">
        <v>1186</v>
      </c>
      <c r="D143" s="35" t="s">
        <v>82</v>
      </c>
      <c r="E143" s="35" t="s">
        <v>49</v>
      </c>
      <c r="F143" s="4"/>
      <c r="G143" s="49"/>
      <c r="H143" s="52"/>
      <c r="I143" s="52">
        <v>2</v>
      </c>
      <c r="J143" s="51"/>
      <c r="K143" s="54">
        <v>2</v>
      </c>
    </row>
    <row r="144" spans="1:11">
      <c r="A144" s="11">
        <v>141</v>
      </c>
      <c r="B144" s="5"/>
      <c r="C144" s="5" t="s">
        <v>400</v>
      </c>
      <c r="D144" s="5" t="s">
        <v>82</v>
      </c>
      <c r="E144" s="5" t="s">
        <v>155</v>
      </c>
      <c r="F144" s="4"/>
      <c r="G144" s="49"/>
      <c r="H144" s="52"/>
      <c r="I144" s="52">
        <v>2</v>
      </c>
      <c r="J144" s="51">
        <v>8</v>
      </c>
      <c r="K144" s="54">
        <f t="shared" si="3"/>
        <v>10</v>
      </c>
    </row>
    <row r="145" spans="1:11">
      <c r="A145" s="11">
        <v>142</v>
      </c>
      <c r="B145" s="5"/>
      <c r="C145" s="5" t="s">
        <v>313</v>
      </c>
      <c r="D145" s="5" t="s">
        <v>82</v>
      </c>
      <c r="E145" s="5" t="s">
        <v>155</v>
      </c>
      <c r="F145" s="4"/>
      <c r="G145" s="49"/>
      <c r="H145" s="52"/>
      <c r="I145" s="52">
        <v>4</v>
      </c>
      <c r="J145" s="51">
        <v>7</v>
      </c>
      <c r="K145" s="54">
        <f t="shared" si="3"/>
        <v>11</v>
      </c>
    </row>
    <row r="146" spans="1:11">
      <c r="A146" s="11">
        <v>143</v>
      </c>
      <c r="B146" s="5" t="s">
        <v>370</v>
      </c>
      <c r="C146" s="5" t="s">
        <v>371</v>
      </c>
      <c r="D146" s="5" t="s">
        <v>82</v>
      </c>
      <c r="E146" s="5" t="s">
        <v>155</v>
      </c>
      <c r="F146" s="4"/>
      <c r="G146" s="49"/>
      <c r="H146" s="52"/>
      <c r="I146" s="52">
        <v>7</v>
      </c>
      <c r="J146" s="51">
        <v>16</v>
      </c>
      <c r="K146" s="54">
        <f>G146+I146+J146+H146</f>
        <v>23</v>
      </c>
    </row>
    <row r="147" spans="1:11">
      <c r="A147" s="11">
        <v>144</v>
      </c>
      <c r="B147" s="35" t="s">
        <v>420</v>
      </c>
      <c r="C147" s="35" t="s">
        <v>419</v>
      </c>
      <c r="D147" s="35" t="s">
        <v>82</v>
      </c>
      <c r="E147" s="35" t="s">
        <v>49</v>
      </c>
      <c r="F147" s="4"/>
      <c r="G147" s="49"/>
      <c r="H147" s="52"/>
      <c r="I147" s="52">
        <v>2</v>
      </c>
      <c r="J147" s="51">
        <v>2</v>
      </c>
      <c r="K147" s="54">
        <f t="shared" si="3"/>
        <v>4</v>
      </c>
    </row>
    <row r="148" spans="1:11">
      <c r="A148" s="11">
        <v>145</v>
      </c>
      <c r="B148" s="5" t="s">
        <v>223</v>
      </c>
      <c r="C148" s="5" t="s">
        <v>315</v>
      </c>
      <c r="D148" s="5" t="s">
        <v>82</v>
      </c>
      <c r="E148" s="5" t="s">
        <v>155</v>
      </c>
      <c r="F148" s="4"/>
      <c r="G148" s="49"/>
      <c r="H148" s="52"/>
      <c r="I148" s="52">
        <v>6</v>
      </c>
      <c r="J148" s="51">
        <v>6</v>
      </c>
      <c r="K148" s="54">
        <f t="shared" si="3"/>
        <v>12</v>
      </c>
    </row>
    <row r="149" spans="1:11">
      <c r="A149" s="11">
        <v>146</v>
      </c>
      <c r="B149" s="5" t="s">
        <v>207</v>
      </c>
      <c r="C149" s="5" t="s">
        <v>316</v>
      </c>
      <c r="D149" s="5" t="s">
        <v>82</v>
      </c>
      <c r="E149" s="5" t="s">
        <v>155</v>
      </c>
      <c r="F149" s="4"/>
      <c r="G149" s="49"/>
      <c r="H149" s="52">
        <v>3</v>
      </c>
      <c r="I149" s="52">
        <v>1</v>
      </c>
      <c r="J149" s="51">
        <v>6</v>
      </c>
      <c r="K149" s="54">
        <f t="shared" si="3"/>
        <v>10</v>
      </c>
    </row>
    <row r="150" spans="1:11">
      <c r="A150" s="11">
        <v>147</v>
      </c>
      <c r="B150" s="35" t="s">
        <v>206</v>
      </c>
      <c r="C150" s="35" t="s">
        <v>317</v>
      </c>
      <c r="D150" s="35" t="s">
        <v>82</v>
      </c>
      <c r="E150" s="35" t="s">
        <v>49</v>
      </c>
      <c r="F150" s="4"/>
      <c r="G150" s="49"/>
      <c r="H150" s="52"/>
      <c r="I150" s="52">
        <v>2</v>
      </c>
      <c r="J150" s="51">
        <v>2</v>
      </c>
      <c r="K150" s="54">
        <f t="shared" si="3"/>
        <v>4</v>
      </c>
    </row>
    <row r="151" spans="1:11">
      <c r="A151" s="11">
        <v>148</v>
      </c>
      <c r="B151" s="5"/>
      <c r="C151" s="5" t="s">
        <v>318</v>
      </c>
      <c r="D151" s="5" t="s">
        <v>82</v>
      </c>
      <c r="E151" s="5" t="s">
        <v>155</v>
      </c>
      <c r="F151" s="4"/>
      <c r="G151" s="49"/>
      <c r="H151" s="52"/>
      <c r="I151" s="52">
        <v>6</v>
      </c>
      <c r="J151" s="51">
        <v>5</v>
      </c>
      <c r="K151" s="54">
        <f t="shared" si="3"/>
        <v>11</v>
      </c>
    </row>
    <row r="152" spans="1:11">
      <c r="A152" s="11">
        <v>149</v>
      </c>
      <c r="B152" s="5"/>
      <c r="C152" s="35" t="s">
        <v>1249</v>
      </c>
      <c r="D152" s="5"/>
      <c r="E152" s="5"/>
      <c r="F152" s="4"/>
      <c r="G152" s="49"/>
      <c r="H152" s="52"/>
      <c r="I152" s="52">
        <v>4</v>
      </c>
      <c r="J152" s="51">
        <v>0</v>
      </c>
      <c r="K152" s="54">
        <f t="shared" si="3"/>
        <v>4</v>
      </c>
    </row>
    <row r="153" spans="1:11">
      <c r="A153" s="11">
        <v>150</v>
      </c>
      <c r="B153" s="35"/>
      <c r="C153" s="35" t="s">
        <v>379</v>
      </c>
      <c r="D153" s="35" t="s">
        <v>82</v>
      </c>
      <c r="E153" s="35" t="s">
        <v>49</v>
      </c>
      <c r="F153" s="4"/>
      <c r="G153" s="49"/>
      <c r="H153" s="52"/>
      <c r="I153" s="52">
        <v>2</v>
      </c>
      <c r="J153" s="51"/>
      <c r="K153" s="54">
        <f t="shared" si="3"/>
        <v>2</v>
      </c>
    </row>
    <row r="154" spans="1:11">
      <c r="A154" s="11">
        <v>151</v>
      </c>
      <c r="B154" s="5"/>
      <c r="C154" s="5" t="s">
        <v>319</v>
      </c>
      <c r="D154" s="5" t="s">
        <v>82</v>
      </c>
      <c r="E154" s="5" t="s">
        <v>155</v>
      </c>
      <c r="F154" s="4"/>
      <c r="G154" s="49"/>
      <c r="H154" s="52"/>
      <c r="I154" s="52">
        <v>3</v>
      </c>
      <c r="J154" s="51">
        <v>12</v>
      </c>
      <c r="K154" s="54">
        <f t="shared" si="3"/>
        <v>15</v>
      </c>
    </row>
    <row r="155" spans="1:11">
      <c r="A155" s="11">
        <v>152</v>
      </c>
      <c r="B155" s="5"/>
      <c r="C155" s="5" t="s">
        <v>320</v>
      </c>
      <c r="D155" s="5" t="s">
        <v>82</v>
      </c>
      <c r="E155" s="5" t="s">
        <v>155</v>
      </c>
      <c r="F155" s="4"/>
      <c r="G155" s="49"/>
      <c r="H155" s="52"/>
      <c r="I155" s="52">
        <v>11</v>
      </c>
      <c r="J155" s="51">
        <v>12</v>
      </c>
      <c r="K155" s="54">
        <f t="shared" si="3"/>
        <v>23</v>
      </c>
    </row>
    <row r="156" spans="1:11">
      <c r="A156" s="11">
        <v>153</v>
      </c>
      <c r="B156" s="35"/>
      <c r="C156" s="35" t="s">
        <v>208</v>
      </c>
      <c r="D156" s="35" t="s">
        <v>158</v>
      </c>
      <c r="E156" s="35" t="s">
        <v>49</v>
      </c>
      <c r="F156" s="4"/>
      <c r="G156" s="49"/>
      <c r="H156" s="52"/>
      <c r="I156" s="52">
        <v>4</v>
      </c>
      <c r="J156" s="51"/>
      <c r="K156" s="54">
        <f t="shared" si="3"/>
        <v>4</v>
      </c>
    </row>
    <row r="157" spans="1:11">
      <c r="A157" s="11">
        <v>154</v>
      </c>
      <c r="B157" s="5"/>
      <c r="C157" s="5" t="s">
        <v>358</v>
      </c>
      <c r="D157" s="5" t="s">
        <v>82</v>
      </c>
      <c r="E157" s="5" t="s">
        <v>155</v>
      </c>
      <c r="F157" s="4"/>
      <c r="G157" s="49"/>
      <c r="H157" s="52">
        <v>2</v>
      </c>
      <c r="I157" s="52">
        <v>4</v>
      </c>
      <c r="J157" s="51">
        <v>5</v>
      </c>
      <c r="K157" s="54">
        <f t="shared" si="3"/>
        <v>11</v>
      </c>
    </row>
    <row r="158" spans="1:11">
      <c r="A158" s="11">
        <v>155</v>
      </c>
      <c r="B158" s="35" t="s">
        <v>206</v>
      </c>
      <c r="C158" s="35" t="s">
        <v>421</v>
      </c>
      <c r="D158" s="35" t="s">
        <v>82</v>
      </c>
      <c r="E158" s="35" t="s">
        <v>49</v>
      </c>
      <c r="F158" s="4"/>
      <c r="G158" s="49"/>
      <c r="H158" s="52"/>
      <c r="I158" s="52">
        <v>4</v>
      </c>
      <c r="J158" s="51"/>
      <c r="K158" s="54">
        <f t="shared" si="3"/>
        <v>4</v>
      </c>
    </row>
    <row r="159" spans="1:11">
      <c r="A159" s="11">
        <v>156</v>
      </c>
      <c r="B159" s="5" t="s">
        <v>209</v>
      </c>
      <c r="C159" s="35" t="s">
        <v>929</v>
      </c>
      <c r="D159" s="35" t="s">
        <v>82</v>
      </c>
      <c r="E159" s="35" t="s">
        <v>49</v>
      </c>
      <c r="F159" s="4"/>
      <c r="G159" s="49"/>
      <c r="H159" s="52"/>
      <c r="I159" s="52">
        <v>4</v>
      </c>
      <c r="J159" s="51"/>
      <c r="K159" s="54">
        <f t="shared" si="3"/>
        <v>4</v>
      </c>
    </row>
    <row r="160" spans="1:11">
      <c r="A160" s="11">
        <v>157</v>
      </c>
      <c r="B160" s="5"/>
      <c r="C160" s="35" t="s">
        <v>1195</v>
      </c>
      <c r="D160" s="35" t="s">
        <v>82</v>
      </c>
      <c r="E160" s="35" t="s">
        <v>49</v>
      </c>
      <c r="F160" s="4"/>
      <c r="G160" s="49"/>
      <c r="H160" s="52"/>
      <c r="I160" s="52">
        <v>4</v>
      </c>
      <c r="J160" s="51"/>
      <c r="K160" s="54">
        <f t="shared" si="3"/>
        <v>4</v>
      </c>
    </row>
    <row r="161" spans="1:11">
      <c r="A161" s="11">
        <v>158</v>
      </c>
      <c r="B161" s="5" t="s">
        <v>209</v>
      </c>
      <c r="C161" s="5" t="s">
        <v>380</v>
      </c>
      <c r="D161" s="5" t="s">
        <v>82</v>
      </c>
      <c r="E161" s="5" t="s">
        <v>155</v>
      </c>
      <c r="F161" s="4"/>
      <c r="G161" s="49"/>
      <c r="H161" s="52">
        <v>2</v>
      </c>
      <c r="I161" s="52">
        <v>4</v>
      </c>
      <c r="J161" s="51">
        <v>10</v>
      </c>
      <c r="K161" s="54">
        <f t="shared" si="3"/>
        <v>16</v>
      </c>
    </row>
    <row r="162" spans="1:11">
      <c r="A162" s="11">
        <v>159</v>
      </c>
      <c r="B162" s="5"/>
      <c r="C162" s="5" t="s">
        <v>381</v>
      </c>
      <c r="D162" s="5" t="s">
        <v>82</v>
      </c>
      <c r="E162" s="5" t="s">
        <v>155</v>
      </c>
      <c r="F162" s="4"/>
      <c r="G162" s="49"/>
      <c r="H162" s="52">
        <v>2</v>
      </c>
      <c r="I162" s="52">
        <v>4</v>
      </c>
      <c r="J162" s="51">
        <v>6</v>
      </c>
      <c r="K162" s="54">
        <f t="shared" si="3"/>
        <v>12</v>
      </c>
    </row>
    <row r="163" spans="1:11">
      <c r="A163" s="11">
        <v>160</v>
      </c>
      <c r="B163" s="5"/>
      <c r="C163" s="35" t="s">
        <v>1250</v>
      </c>
      <c r="D163" s="5" t="s">
        <v>82</v>
      </c>
      <c r="E163" s="5" t="s">
        <v>49</v>
      </c>
      <c r="F163" s="4"/>
      <c r="G163" s="49"/>
      <c r="H163" s="52"/>
      <c r="I163" s="52">
        <v>4</v>
      </c>
      <c r="J163" s="51"/>
      <c r="K163" s="54">
        <v>4</v>
      </c>
    </row>
    <row r="164" spans="1:11">
      <c r="A164" s="11">
        <v>161</v>
      </c>
      <c r="B164" s="5"/>
      <c r="C164" s="5" t="s">
        <v>322</v>
      </c>
      <c r="D164" s="5" t="s">
        <v>82</v>
      </c>
      <c r="E164" s="5" t="s">
        <v>155</v>
      </c>
      <c r="F164" s="4"/>
      <c r="G164" s="49"/>
      <c r="H164" s="52">
        <v>2</v>
      </c>
      <c r="I164" s="52">
        <v>4</v>
      </c>
      <c r="J164" s="51">
        <v>10</v>
      </c>
      <c r="K164" s="54">
        <f t="shared" si="3"/>
        <v>16</v>
      </c>
    </row>
    <row r="165" spans="1:11">
      <c r="A165" s="11">
        <v>162</v>
      </c>
      <c r="B165" s="5"/>
      <c r="C165" s="5" t="s">
        <v>323</v>
      </c>
      <c r="D165" s="5" t="s">
        <v>82</v>
      </c>
      <c r="E165" s="5" t="s">
        <v>155</v>
      </c>
      <c r="F165" s="4"/>
      <c r="G165" s="49"/>
      <c r="H165" s="52"/>
      <c r="I165" s="52">
        <v>8</v>
      </c>
      <c r="J165" s="51">
        <v>27</v>
      </c>
      <c r="K165" s="54">
        <f t="shared" si="3"/>
        <v>35</v>
      </c>
    </row>
    <row r="166" spans="1:11">
      <c r="A166" s="11">
        <v>163</v>
      </c>
      <c r="B166" s="5"/>
      <c r="C166" s="5" t="s">
        <v>324</v>
      </c>
      <c r="D166" s="5" t="s">
        <v>82</v>
      </c>
      <c r="E166" s="5" t="s">
        <v>155</v>
      </c>
      <c r="F166" s="4"/>
      <c r="G166" s="49"/>
      <c r="H166" s="52"/>
      <c r="I166" s="52">
        <v>4</v>
      </c>
      <c r="J166" s="51">
        <v>15</v>
      </c>
      <c r="K166" s="54">
        <f t="shared" si="3"/>
        <v>19</v>
      </c>
    </row>
    <row r="167" spans="1:11">
      <c r="A167" s="11">
        <v>164</v>
      </c>
      <c r="B167" s="5"/>
      <c r="C167" s="5" t="s">
        <v>325</v>
      </c>
      <c r="D167" s="5" t="s">
        <v>82</v>
      </c>
      <c r="E167" s="5" t="s">
        <v>155</v>
      </c>
      <c r="F167" s="4"/>
      <c r="G167" s="49"/>
      <c r="H167" s="52"/>
      <c r="I167" s="52">
        <v>4</v>
      </c>
      <c r="J167" s="51">
        <v>12</v>
      </c>
      <c r="K167" s="54">
        <f t="shared" si="3"/>
        <v>16</v>
      </c>
    </row>
    <row r="168" spans="1:11">
      <c r="A168" s="11">
        <v>165</v>
      </c>
      <c r="B168" s="5"/>
      <c r="C168" s="5" t="s">
        <v>326</v>
      </c>
      <c r="D168" s="5" t="s">
        <v>82</v>
      </c>
      <c r="E168" s="5" t="s">
        <v>155</v>
      </c>
      <c r="F168" s="4"/>
      <c r="G168" s="49"/>
      <c r="H168" s="52"/>
      <c r="I168" s="52">
        <v>4</v>
      </c>
      <c r="J168" s="51">
        <v>12</v>
      </c>
      <c r="K168" s="54">
        <f t="shared" si="3"/>
        <v>16</v>
      </c>
    </row>
    <row r="169" spans="1:11">
      <c r="A169" s="11">
        <v>166</v>
      </c>
      <c r="B169" s="35" t="s">
        <v>374</v>
      </c>
      <c r="C169" s="35" t="s">
        <v>382</v>
      </c>
      <c r="D169" s="35" t="s">
        <v>158</v>
      </c>
      <c r="E169" s="35" t="s">
        <v>49</v>
      </c>
      <c r="F169" s="4"/>
      <c r="G169" s="49"/>
      <c r="H169" s="52"/>
      <c r="I169" s="52">
        <v>2</v>
      </c>
      <c r="J169" s="51"/>
      <c r="K169" s="54">
        <f t="shared" si="3"/>
        <v>2</v>
      </c>
    </row>
    <row r="170" spans="1:11">
      <c r="A170" s="11">
        <v>167</v>
      </c>
      <c r="B170" s="5"/>
      <c r="C170" s="5" t="s">
        <v>383</v>
      </c>
      <c r="D170" s="5" t="s">
        <v>82</v>
      </c>
      <c r="E170" s="5" t="s">
        <v>155</v>
      </c>
      <c r="F170" s="4"/>
      <c r="G170" s="49"/>
      <c r="H170" s="52">
        <v>2</v>
      </c>
      <c r="I170" s="52">
        <v>4</v>
      </c>
      <c r="J170" s="51">
        <v>17</v>
      </c>
      <c r="K170" s="54">
        <f t="shared" si="3"/>
        <v>23</v>
      </c>
    </row>
    <row r="171" spans="1:11">
      <c r="A171" s="11">
        <v>168</v>
      </c>
      <c r="B171" s="5"/>
      <c r="C171" s="5" t="s">
        <v>384</v>
      </c>
      <c r="D171" s="5" t="s">
        <v>82</v>
      </c>
      <c r="E171" s="5" t="s">
        <v>155</v>
      </c>
      <c r="F171" s="4"/>
      <c r="G171" s="49"/>
      <c r="H171" s="52">
        <v>2</v>
      </c>
      <c r="I171" s="52">
        <v>2</v>
      </c>
      <c r="J171" s="51">
        <v>8</v>
      </c>
      <c r="K171" s="54">
        <f t="shared" si="3"/>
        <v>12</v>
      </c>
    </row>
    <row r="172" spans="1:11">
      <c r="A172" s="11">
        <v>169</v>
      </c>
      <c r="B172" s="5" t="s">
        <v>211</v>
      </c>
      <c r="C172" s="5" t="s">
        <v>212</v>
      </c>
      <c r="D172" s="5" t="s">
        <v>82</v>
      </c>
      <c r="E172" s="5" t="s">
        <v>155</v>
      </c>
      <c r="F172" s="4"/>
      <c r="G172" s="49"/>
      <c r="H172" s="52">
        <v>4</v>
      </c>
      <c r="I172" s="52">
        <v>0</v>
      </c>
      <c r="J172" s="51">
        <v>10</v>
      </c>
      <c r="K172" s="54">
        <f t="shared" si="3"/>
        <v>14</v>
      </c>
    </row>
    <row r="173" spans="1:11">
      <c r="A173" s="11">
        <v>170</v>
      </c>
      <c r="B173" s="5"/>
      <c r="C173" s="5" t="s">
        <v>213</v>
      </c>
      <c r="D173" s="5" t="s">
        <v>82</v>
      </c>
      <c r="E173" s="5" t="s">
        <v>155</v>
      </c>
      <c r="F173" s="4"/>
      <c r="G173" s="49"/>
      <c r="H173" s="52"/>
      <c r="I173" s="52">
        <v>3</v>
      </c>
      <c r="J173" s="51">
        <v>10</v>
      </c>
      <c r="K173" s="54">
        <f t="shared" si="3"/>
        <v>13</v>
      </c>
    </row>
    <row r="174" spans="1:11">
      <c r="A174" s="11">
        <v>171</v>
      </c>
      <c r="B174" s="5" t="s">
        <v>214</v>
      </c>
      <c r="C174" s="5" t="s">
        <v>327</v>
      </c>
      <c r="D174" s="5" t="s">
        <v>82</v>
      </c>
      <c r="E174" s="5" t="s">
        <v>155</v>
      </c>
      <c r="F174" s="4"/>
      <c r="G174" s="49"/>
      <c r="H174" s="52">
        <v>1</v>
      </c>
      <c r="I174" s="52">
        <v>3</v>
      </c>
      <c r="J174" s="51">
        <v>7</v>
      </c>
      <c r="K174" s="54">
        <f t="shared" si="3"/>
        <v>11</v>
      </c>
    </row>
    <row r="175" spans="1:11">
      <c r="A175" s="11">
        <v>172</v>
      </c>
      <c r="B175" s="35" t="s">
        <v>204</v>
      </c>
      <c r="C175" s="35" t="s">
        <v>359</v>
      </c>
      <c r="D175" s="35" t="s">
        <v>82</v>
      </c>
      <c r="E175" s="35" t="s">
        <v>49</v>
      </c>
      <c r="F175" s="4"/>
      <c r="G175" s="49"/>
      <c r="H175" s="52"/>
      <c r="I175" s="52">
        <v>2</v>
      </c>
      <c r="J175" s="51">
        <v>2</v>
      </c>
      <c r="K175" s="54">
        <f t="shared" si="3"/>
        <v>4</v>
      </c>
    </row>
    <row r="176" spans="1:11">
      <c r="A176" s="11">
        <v>173</v>
      </c>
      <c r="B176" s="35" t="s">
        <v>204</v>
      </c>
      <c r="C176" s="35" t="s">
        <v>205</v>
      </c>
      <c r="D176" s="35" t="s">
        <v>158</v>
      </c>
      <c r="E176" s="35" t="s">
        <v>49</v>
      </c>
      <c r="F176" s="4"/>
      <c r="G176" s="49"/>
      <c r="H176" s="52"/>
      <c r="I176" s="52">
        <v>4</v>
      </c>
      <c r="J176" s="51">
        <v>0</v>
      </c>
      <c r="K176" s="54">
        <f t="shared" si="3"/>
        <v>4</v>
      </c>
    </row>
    <row r="177" spans="1:11">
      <c r="A177" s="11">
        <v>174</v>
      </c>
      <c r="B177" s="5" t="s">
        <v>214</v>
      </c>
      <c r="C177" s="5" t="s">
        <v>328</v>
      </c>
      <c r="D177" s="5" t="s">
        <v>82</v>
      </c>
      <c r="E177" s="5" t="s">
        <v>155</v>
      </c>
      <c r="F177" s="4"/>
      <c r="G177" s="49"/>
      <c r="H177" s="52">
        <v>2</v>
      </c>
      <c r="I177" s="52">
        <v>4</v>
      </c>
      <c r="J177" s="51">
        <v>4</v>
      </c>
      <c r="K177" s="54">
        <f t="shared" si="3"/>
        <v>10</v>
      </c>
    </row>
    <row r="178" spans="1:11">
      <c r="A178" s="11">
        <v>175</v>
      </c>
      <c r="B178" s="35" t="s">
        <v>414</v>
      </c>
      <c r="C178" s="35" t="s">
        <v>415</v>
      </c>
      <c r="D178" s="35" t="s">
        <v>82</v>
      </c>
      <c r="E178" s="35" t="s">
        <v>49</v>
      </c>
      <c r="F178" s="4"/>
      <c r="G178" s="49"/>
      <c r="H178" s="52"/>
      <c r="I178" s="52">
        <v>2</v>
      </c>
      <c r="J178" s="51">
        <v>2</v>
      </c>
      <c r="K178" s="54">
        <f t="shared" si="3"/>
        <v>4</v>
      </c>
    </row>
    <row r="179" spans="1:11">
      <c r="A179" s="11">
        <v>176</v>
      </c>
      <c r="B179" s="35"/>
      <c r="C179" s="35" t="s">
        <v>329</v>
      </c>
      <c r="D179" s="35" t="s">
        <v>158</v>
      </c>
      <c r="E179" s="35" t="s">
        <v>49</v>
      </c>
      <c r="F179" s="4"/>
      <c r="G179" s="49"/>
      <c r="H179" s="52"/>
      <c r="I179" s="52">
        <v>2</v>
      </c>
      <c r="J179" s="51">
        <v>2</v>
      </c>
      <c r="K179" s="54">
        <f t="shared" si="3"/>
        <v>4</v>
      </c>
    </row>
    <row r="180" spans="1:11">
      <c r="A180" s="11">
        <v>177</v>
      </c>
      <c r="B180" s="5"/>
      <c r="C180" s="5" t="s">
        <v>348</v>
      </c>
      <c r="D180" s="5" t="s">
        <v>82</v>
      </c>
      <c r="E180" s="5" t="s">
        <v>155</v>
      </c>
      <c r="F180" s="4"/>
      <c r="G180" s="49"/>
      <c r="H180" s="52"/>
      <c r="I180" s="52">
        <v>2</v>
      </c>
      <c r="J180" s="51">
        <v>7</v>
      </c>
      <c r="K180" s="54">
        <f t="shared" si="3"/>
        <v>9</v>
      </c>
    </row>
    <row r="181" spans="1:11">
      <c r="A181" s="11">
        <v>178</v>
      </c>
      <c r="B181" s="35" t="s">
        <v>428</v>
      </c>
      <c r="C181" s="35" t="s">
        <v>396</v>
      </c>
      <c r="D181" s="35" t="s">
        <v>82</v>
      </c>
      <c r="E181" s="35" t="s">
        <v>49</v>
      </c>
      <c r="F181" s="4"/>
      <c r="G181" s="49"/>
      <c r="H181" s="52"/>
      <c r="I181" s="52">
        <v>2</v>
      </c>
      <c r="J181" s="51">
        <v>2</v>
      </c>
      <c r="K181" s="54">
        <f t="shared" si="3"/>
        <v>4</v>
      </c>
    </row>
    <row r="182" spans="1:11">
      <c r="A182" s="11">
        <v>179</v>
      </c>
      <c r="B182" s="5"/>
      <c r="C182" s="5" t="s">
        <v>330</v>
      </c>
      <c r="D182" s="5" t="s">
        <v>82</v>
      </c>
      <c r="E182" s="5" t="s">
        <v>155</v>
      </c>
      <c r="F182" s="4"/>
      <c r="G182" s="49"/>
      <c r="H182" s="52">
        <v>1</v>
      </c>
      <c r="I182" s="52">
        <v>3</v>
      </c>
      <c r="J182" s="51">
        <v>6</v>
      </c>
      <c r="K182" s="54">
        <f t="shared" si="3"/>
        <v>10</v>
      </c>
    </row>
    <row r="183" spans="1:11">
      <c r="A183" s="11">
        <v>180</v>
      </c>
      <c r="B183" s="35" t="s">
        <v>215</v>
      </c>
      <c r="C183" s="35" t="s">
        <v>331</v>
      </c>
      <c r="D183" s="35" t="s">
        <v>158</v>
      </c>
      <c r="E183" s="35" t="s">
        <v>49</v>
      </c>
      <c r="F183" s="4"/>
      <c r="G183" s="49"/>
      <c r="H183" s="52"/>
      <c r="I183" s="52">
        <v>2</v>
      </c>
      <c r="J183" s="51"/>
      <c r="K183" s="54">
        <f t="shared" si="3"/>
        <v>2</v>
      </c>
    </row>
    <row r="184" spans="1:11">
      <c r="A184" s="11">
        <v>181</v>
      </c>
      <c r="B184" s="5" t="s">
        <v>216</v>
      </c>
      <c r="C184" s="5" t="s">
        <v>332</v>
      </c>
      <c r="D184" s="5" t="s">
        <v>82</v>
      </c>
      <c r="E184" s="5" t="s">
        <v>155</v>
      </c>
      <c r="F184" s="4"/>
      <c r="G184" s="49"/>
      <c r="H184" s="52"/>
      <c r="I184" s="52"/>
      <c r="J184" s="51">
        <v>8</v>
      </c>
      <c r="K184" s="54">
        <f t="shared" si="3"/>
        <v>8</v>
      </c>
    </row>
    <row r="185" spans="1:11">
      <c r="A185" s="11">
        <v>182</v>
      </c>
      <c r="B185" s="5"/>
      <c r="C185" s="5" t="s">
        <v>333</v>
      </c>
      <c r="D185" s="5" t="s">
        <v>82</v>
      </c>
      <c r="E185" s="5" t="s">
        <v>155</v>
      </c>
      <c r="F185" s="4"/>
      <c r="G185" s="49"/>
      <c r="H185" s="52">
        <v>1</v>
      </c>
      <c r="I185" s="52">
        <v>2</v>
      </c>
      <c r="J185" s="51">
        <v>8</v>
      </c>
      <c r="K185" s="54">
        <f t="shared" si="3"/>
        <v>11</v>
      </c>
    </row>
    <row r="186" spans="1:11">
      <c r="A186" s="11">
        <v>183</v>
      </c>
      <c r="B186" s="5"/>
      <c r="C186" s="5" t="s">
        <v>1272</v>
      </c>
      <c r="D186" s="5"/>
      <c r="E186" s="5"/>
      <c r="F186" s="4"/>
      <c r="G186" s="49"/>
      <c r="H186" s="52"/>
      <c r="I186" s="52"/>
      <c r="J186" s="51"/>
      <c r="K186" s="54"/>
    </row>
    <row r="187" spans="1:11">
      <c r="A187" s="11">
        <v>184</v>
      </c>
      <c r="B187" s="5"/>
      <c r="C187" s="5" t="s">
        <v>334</v>
      </c>
      <c r="D187" s="5" t="s">
        <v>82</v>
      </c>
      <c r="E187" s="5" t="s">
        <v>155</v>
      </c>
      <c r="F187" s="4"/>
      <c r="G187" s="49"/>
      <c r="H187" s="52">
        <v>0</v>
      </c>
      <c r="I187" s="52">
        <v>4</v>
      </c>
      <c r="J187" s="51">
        <v>4</v>
      </c>
      <c r="K187" s="54">
        <f t="shared" si="3"/>
        <v>8</v>
      </c>
    </row>
    <row r="188" spans="1:11">
      <c r="A188" s="11">
        <v>185</v>
      </c>
      <c r="B188" s="5"/>
      <c r="C188" s="5" t="s">
        <v>349</v>
      </c>
      <c r="D188" s="5" t="s">
        <v>82</v>
      </c>
      <c r="E188" s="5" t="s">
        <v>155</v>
      </c>
      <c r="F188" s="4"/>
      <c r="G188" s="49"/>
      <c r="H188" s="52"/>
      <c r="I188" s="52">
        <v>4</v>
      </c>
      <c r="J188" s="51">
        <v>3</v>
      </c>
      <c r="K188" s="54">
        <f t="shared" si="3"/>
        <v>7</v>
      </c>
    </row>
    <row r="189" spans="1:11">
      <c r="A189" s="11">
        <v>186</v>
      </c>
      <c r="B189" s="5"/>
      <c r="C189" s="5" t="s">
        <v>335</v>
      </c>
      <c r="D189" s="5" t="s">
        <v>82</v>
      </c>
      <c r="E189" s="5" t="s">
        <v>155</v>
      </c>
      <c r="F189" s="4"/>
      <c r="G189" s="49"/>
      <c r="H189" s="52"/>
      <c r="I189" s="52">
        <v>3</v>
      </c>
      <c r="J189" s="51">
        <v>5</v>
      </c>
      <c r="K189" s="54">
        <f t="shared" si="3"/>
        <v>8</v>
      </c>
    </row>
    <row r="190" spans="1:11">
      <c r="A190" s="11">
        <v>187</v>
      </c>
      <c r="B190" s="5" t="s">
        <v>385</v>
      </c>
      <c r="C190" s="5" t="s">
        <v>386</v>
      </c>
      <c r="D190" s="5" t="s">
        <v>158</v>
      </c>
      <c r="E190" s="5"/>
      <c r="F190" s="4"/>
      <c r="G190" s="49"/>
      <c r="H190" s="52">
        <v>1</v>
      </c>
      <c r="I190" s="52">
        <v>4</v>
      </c>
      <c r="J190" s="51">
        <v>5</v>
      </c>
      <c r="K190" s="54">
        <f t="shared" si="3"/>
        <v>10</v>
      </c>
    </row>
    <row r="191" spans="1:11">
      <c r="A191" s="11">
        <v>188</v>
      </c>
      <c r="B191" s="5" t="s">
        <v>385</v>
      </c>
      <c r="C191" s="5" t="s">
        <v>387</v>
      </c>
      <c r="D191" s="5" t="s">
        <v>82</v>
      </c>
      <c r="E191" s="5"/>
      <c r="F191" s="4"/>
      <c r="G191" s="49"/>
      <c r="H191" s="52"/>
      <c r="I191" s="52">
        <v>1</v>
      </c>
      <c r="J191" s="51">
        <v>4</v>
      </c>
      <c r="K191" s="54">
        <f t="shared" si="3"/>
        <v>5</v>
      </c>
    </row>
    <row r="192" spans="1:11">
      <c r="A192" s="11">
        <v>189</v>
      </c>
      <c r="B192" s="5" t="s">
        <v>385</v>
      </c>
      <c r="C192" s="5" t="s">
        <v>388</v>
      </c>
      <c r="D192" s="5" t="s">
        <v>445</v>
      </c>
      <c r="E192" s="5"/>
      <c r="F192" s="4"/>
      <c r="G192" s="49"/>
      <c r="H192" s="52"/>
      <c r="I192" s="52">
        <v>2</v>
      </c>
      <c r="J192" s="51">
        <v>6</v>
      </c>
      <c r="K192" s="54">
        <f t="shared" si="3"/>
        <v>8</v>
      </c>
    </row>
    <row r="193" spans="1:11">
      <c r="A193" s="11">
        <v>190</v>
      </c>
      <c r="B193" s="5" t="s">
        <v>385</v>
      </c>
      <c r="C193" s="5" t="s">
        <v>389</v>
      </c>
      <c r="D193" s="5" t="s">
        <v>446</v>
      </c>
      <c r="E193" s="5"/>
      <c r="F193" s="4"/>
      <c r="G193" s="49"/>
      <c r="H193" s="52"/>
      <c r="I193" s="52">
        <v>4</v>
      </c>
      <c r="J193" s="51">
        <v>4</v>
      </c>
      <c r="K193" s="54">
        <f t="shared" si="3"/>
        <v>8</v>
      </c>
    </row>
    <row r="194" spans="1:11">
      <c r="A194" s="11">
        <v>191</v>
      </c>
      <c r="B194" s="5" t="s">
        <v>385</v>
      </c>
      <c r="C194" s="5" t="s">
        <v>390</v>
      </c>
      <c r="D194" s="5" t="s">
        <v>82</v>
      </c>
      <c r="E194" s="5" t="s">
        <v>159</v>
      </c>
      <c r="F194" s="4"/>
      <c r="G194" s="49"/>
      <c r="H194" s="52"/>
      <c r="I194" s="52">
        <v>4</v>
      </c>
      <c r="J194" s="51">
        <v>5</v>
      </c>
      <c r="K194" s="54">
        <f t="shared" si="3"/>
        <v>9</v>
      </c>
    </row>
    <row r="195" spans="1:11">
      <c r="A195" s="11">
        <v>192</v>
      </c>
      <c r="B195" s="5" t="s">
        <v>385</v>
      </c>
      <c r="C195" s="5" t="s">
        <v>391</v>
      </c>
      <c r="D195" s="5" t="s">
        <v>82</v>
      </c>
      <c r="E195" s="5" t="s">
        <v>159</v>
      </c>
      <c r="F195" s="4"/>
      <c r="G195" s="49"/>
      <c r="H195" s="52"/>
      <c r="I195" s="52">
        <v>4</v>
      </c>
      <c r="J195" s="51">
        <v>5</v>
      </c>
      <c r="K195" s="54">
        <f t="shared" si="3"/>
        <v>9</v>
      </c>
    </row>
    <row r="196" spans="1:11">
      <c r="A196" s="11">
        <v>193</v>
      </c>
      <c r="B196" s="5" t="s">
        <v>1196</v>
      </c>
      <c r="C196" s="5" t="s">
        <v>1197</v>
      </c>
      <c r="D196" s="5" t="s">
        <v>82</v>
      </c>
      <c r="E196" s="5"/>
      <c r="F196" s="4"/>
      <c r="G196" s="49"/>
      <c r="H196" s="52"/>
      <c r="I196" s="52">
        <v>2</v>
      </c>
      <c r="J196" s="51"/>
      <c r="K196" s="54">
        <v>2</v>
      </c>
    </row>
    <row r="197" spans="1:11">
      <c r="A197" s="11">
        <v>194</v>
      </c>
      <c r="B197" s="5" t="s">
        <v>385</v>
      </c>
      <c r="C197" s="5" t="s">
        <v>392</v>
      </c>
      <c r="D197" s="5" t="s">
        <v>857</v>
      </c>
      <c r="E197" s="5"/>
      <c r="F197" s="4"/>
      <c r="G197" s="49"/>
      <c r="H197" s="52"/>
      <c r="I197" s="52">
        <v>4</v>
      </c>
      <c r="J197" s="51">
        <v>8</v>
      </c>
      <c r="K197" s="54">
        <f t="shared" si="3"/>
        <v>12</v>
      </c>
    </row>
    <row r="198" spans="1:11">
      <c r="A198" s="11">
        <v>195</v>
      </c>
      <c r="B198" s="5" t="s">
        <v>385</v>
      </c>
      <c r="C198" s="5" t="s">
        <v>393</v>
      </c>
      <c r="D198" s="5" t="s">
        <v>158</v>
      </c>
      <c r="E198" s="5"/>
      <c r="F198" s="4"/>
      <c r="G198" s="49"/>
      <c r="H198" s="52"/>
      <c r="I198" s="52">
        <v>3</v>
      </c>
      <c r="J198" s="51">
        <v>7</v>
      </c>
      <c r="K198" s="54">
        <f t="shared" si="3"/>
        <v>10</v>
      </c>
    </row>
    <row r="199" spans="1:11">
      <c r="A199" s="11">
        <v>196</v>
      </c>
      <c r="B199" s="35" t="s">
        <v>1138</v>
      </c>
      <c r="C199" s="35" t="s">
        <v>1139</v>
      </c>
      <c r="D199" s="35" t="s">
        <v>82</v>
      </c>
      <c r="E199" s="35" t="s">
        <v>49</v>
      </c>
      <c r="F199" s="4"/>
      <c r="G199" s="49"/>
      <c r="H199" s="52"/>
      <c r="I199" s="52">
        <v>2</v>
      </c>
      <c r="J199" s="51"/>
      <c r="K199" s="54">
        <v>2</v>
      </c>
    </row>
    <row r="200" spans="1:11" s="37" customFormat="1">
      <c r="A200" s="11">
        <v>197</v>
      </c>
      <c r="B200" s="35" t="s">
        <v>394</v>
      </c>
      <c r="C200" s="35" t="s">
        <v>395</v>
      </c>
      <c r="D200" s="35" t="s">
        <v>82</v>
      </c>
      <c r="E200" s="35" t="s">
        <v>49</v>
      </c>
      <c r="F200" s="36"/>
      <c r="G200" s="50"/>
      <c r="H200" s="53"/>
      <c r="I200" s="53">
        <v>2</v>
      </c>
      <c r="J200" s="58">
        <v>2</v>
      </c>
      <c r="K200" s="54">
        <f t="shared" si="3"/>
        <v>4</v>
      </c>
    </row>
    <row r="201" spans="1:11">
      <c r="A201" s="11"/>
      <c r="B201" s="5"/>
      <c r="C201" s="5"/>
      <c r="D201" s="5"/>
      <c r="E201" s="5"/>
      <c r="F201" s="4"/>
      <c r="G201" s="49"/>
      <c r="H201" s="52"/>
      <c r="I201" s="52"/>
      <c r="J201" s="51"/>
      <c r="K201" s="54"/>
    </row>
    <row r="202" spans="1:11">
      <c r="A202" s="11"/>
      <c r="B202" s="5" t="s">
        <v>855</v>
      </c>
      <c r="C202" s="5"/>
      <c r="D202" s="5"/>
      <c r="E202" s="5"/>
      <c r="F202" s="4"/>
      <c r="G202" s="49">
        <f>SUM(G4:G201)</f>
        <v>2</v>
      </c>
      <c r="H202" s="52">
        <f>SUM(H4:H201)</f>
        <v>121</v>
      </c>
      <c r="I202" s="52">
        <f>SUM(I4:I201)</f>
        <v>577</v>
      </c>
      <c r="J202" s="51">
        <f>SUM(J4:J201)</f>
        <v>1111</v>
      </c>
      <c r="K202" s="54">
        <f>SUM(K4:K201)</f>
        <v>1811</v>
      </c>
    </row>
    <row r="203" spans="1:11">
      <c r="A203" s="41"/>
      <c r="B203" s="33"/>
      <c r="C203" s="33"/>
      <c r="D203" s="33"/>
      <c r="E203" s="33"/>
      <c r="F203" s="33"/>
      <c r="G203" s="41"/>
      <c r="H203" s="41"/>
      <c r="I203" s="41"/>
      <c r="J203" s="41"/>
      <c r="K203" s="41"/>
    </row>
    <row r="204" spans="1:11">
      <c r="A204" s="41"/>
      <c r="B204" s="33"/>
      <c r="C204" s="33"/>
      <c r="D204" s="33"/>
      <c r="E204" s="33"/>
      <c r="F204" s="33"/>
      <c r="G204" s="41"/>
      <c r="H204" s="41"/>
      <c r="I204" s="41"/>
      <c r="J204" s="41"/>
      <c r="K204" s="41"/>
    </row>
    <row r="205" spans="1:11">
      <c r="A205" s="41"/>
      <c r="B205" s="33"/>
      <c r="C205" s="33"/>
      <c r="D205" s="33"/>
      <c r="E205" s="33"/>
      <c r="F205" s="33"/>
      <c r="G205" s="41"/>
      <c r="H205" s="41"/>
      <c r="I205" s="41"/>
      <c r="J205" s="41"/>
      <c r="K205" s="41"/>
    </row>
    <row r="206" spans="1:11">
      <c r="A206" s="41"/>
      <c r="B206" s="33"/>
      <c r="C206" s="33"/>
      <c r="D206" s="33"/>
      <c r="E206" s="33"/>
      <c r="F206" s="33"/>
      <c r="G206" s="41"/>
      <c r="H206" s="41"/>
      <c r="I206" s="41"/>
      <c r="J206" s="41"/>
      <c r="K206" s="41"/>
    </row>
    <row r="207" spans="1:11">
      <c r="A207" s="41"/>
      <c r="B207" s="33"/>
      <c r="C207" s="33"/>
      <c r="D207" s="33"/>
      <c r="E207" s="33"/>
      <c r="F207" s="33"/>
      <c r="G207" s="41"/>
      <c r="H207" s="41"/>
      <c r="I207" s="41"/>
      <c r="J207" s="41"/>
      <c r="K207" s="41"/>
    </row>
    <row r="208" spans="1:11">
      <c r="A208" s="41"/>
      <c r="B208" s="33"/>
      <c r="C208" s="33"/>
      <c r="D208" s="33"/>
      <c r="E208" s="33"/>
      <c r="F208" s="33"/>
      <c r="G208" s="41"/>
      <c r="H208" s="41"/>
      <c r="I208" s="41"/>
      <c r="J208" s="41"/>
      <c r="K208" s="41"/>
    </row>
    <row r="209" spans="1:11">
      <c r="A209" s="41"/>
      <c r="B209" s="33"/>
      <c r="C209" s="33"/>
      <c r="D209" s="33"/>
      <c r="E209" s="33"/>
      <c r="F209" s="33"/>
      <c r="G209" s="41"/>
      <c r="H209" s="41"/>
      <c r="I209" s="41"/>
      <c r="J209" s="41"/>
      <c r="K209" s="41"/>
    </row>
    <row r="210" spans="1:11">
      <c r="A210" s="41"/>
      <c r="B210" s="33"/>
      <c r="C210" s="33"/>
      <c r="D210" s="33"/>
      <c r="E210" s="33"/>
      <c r="F210" s="33"/>
      <c r="G210" s="41"/>
      <c r="H210" s="41"/>
      <c r="I210" s="41"/>
      <c r="J210" s="41"/>
      <c r="K210" s="41"/>
    </row>
    <row r="211" spans="1:11">
      <c r="A211" s="41"/>
      <c r="B211" s="33"/>
      <c r="C211" s="33"/>
      <c r="D211" s="33"/>
      <c r="E211" s="33"/>
      <c r="F211" s="33"/>
      <c r="G211" s="41"/>
      <c r="H211" s="41"/>
      <c r="I211" s="41"/>
      <c r="J211" s="41"/>
      <c r="K211" s="41"/>
    </row>
    <row r="212" spans="1:11">
      <c r="A212" s="41"/>
      <c r="B212" s="33"/>
      <c r="C212" s="33"/>
      <c r="D212" s="33"/>
      <c r="E212" s="33"/>
      <c r="F212" s="33"/>
      <c r="G212" s="41"/>
      <c r="H212" s="41"/>
      <c r="I212" s="41"/>
      <c r="J212" s="41"/>
      <c r="K212" s="41"/>
    </row>
    <row r="213" spans="1:11">
      <c r="A213" s="41"/>
      <c r="B213" s="33"/>
      <c r="C213" s="33"/>
      <c r="D213" s="33"/>
      <c r="E213" s="33"/>
      <c r="F213" s="33"/>
      <c r="G213" s="41"/>
      <c r="H213" s="41"/>
      <c r="I213" s="41"/>
      <c r="J213" s="41"/>
      <c r="K213" s="41"/>
    </row>
    <row r="214" spans="1:11">
      <c r="A214" s="41"/>
      <c r="B214" s="33"/>
      <c r="C214" s="33"/>
      <c r="D214" s="33"/>
      <c r="E214" s="33"/>
      <c r="F214" s="33"/>
      <c r="G214" s="41"/>
      <c r="H214" s="41"/>
      <c r="I214" s="41"/>
      <c r="J214" s="41"/>
      <c r="K214" s="41"/>
    </row>
    <row r="215" spans="1:11">
      <c r="A215" s="41"/>
      <c r="B215" s="33"/>
      <c r="C215" s="33"/>
      <c r="D215" s="33"/>
      <c r="E215" s="33"/>
      <c r="F215" s="33"/>
      <c r="G215" s="41"/>
      <c r="H215" s="41"/>
      <c r="I215" s="41"/>
      <c r="J215" s="41"/>
      <c r="K215" s="41"/>
    </row>
    <row r="216" spans="1:11">
      <c r="A216" s="41"/>
      <c r="B216" s="33"/>
      <c r="C216" s="33"/>
      <c r="D216" s="33"/>
      <c r="E216" s="33"/>
      <c r="F216" s="33"/>
      <c r="G216" s="41"/>
      <c r="H216" s="41"/>
      <c r="I216" s="41"/>
      <c r="J216" s="41"/>
      <c r="K216" s="41"/>
    </row>
    <row r="217" spans="1:11">
      <c r="A217" s="41"/>
      <c r="B217" s="33"/>
      <c r="C217" s="33"/>
      <c r="D217" s="33"/>
      <c r="E217" s="33"/>
      <c r="F217" s="33"/>
      <c r="G217" s="41"/>
      <c r="H217" s="41"/>
      <c r="I217" s="41"/>
      <c r="J217" s="41"/>
      <c r="K217" s="41"/>
    </row>
    <row r="218" spans="1:11">
      <c r="A218" s="41"/>
      <c r="B218" s="33"/>
      <c r="C218" s="33"/>
      <c r="D218" s="33"/>
      <c r="E218" s="33"/>
      <c r="F218" s="33"/>
      <c r="G218" s="41"/>
      <c r="H218" s="41"/>
      <c r="I218" s="41"/>
      <c r="J218" s="41"/>
      <c r="K218" s="41"/>
    </row>
    <row r="219" spans="1:11">
      <c r="A219" s="41"/>
      <c r="B219" s="33"/>
      <c r="C219" s="33"/>
      <c r="D219" s="33"/>
      <c r="E219" s="33"/>
      <c r="F219" s="33"/>
      <c r="G219" s="41"/>
      <c r="H219" s="41"/>
      <c r="I219" s="41"/>
      <c r="J219" s="41"/>
      <c r="K219" s="41"/>
    </row>
    <row r="220" spans="1:11">
      <c r="A220" s="41"/>
      <c r="B220" s="33"/>
      <c r="C220" s="33"/>
      <c r="D220" s="33"/>
      <c r="E220" s="33"/>
      <c r="F220" s="33"/>
      <c r="G220" s="41"/>
      <c r="H220" s="41"/>
      <c r="I220" s="41"/>
      <c r="J220" s="41"/>
      <c r="K220" s="41"/>
    </row>
    <row r="221" spans="1:11">
      <c r="A221" s="41"/>
      <c r="B221" s="33"/>
      <c r="C221" s="33"/>
      <c r="D221" s="33"/>
      <c r="E221" s="33"/>
      <c r="F221" s="33"/>
      <c r="G221" s="41"/>
      <c r="H221" s="41"/>
      <c r="I221" s="41"/>
      <c r="J221" s="41"/>
      <c r="K221" s="41"/>
    </row>
    <row r="222" spans="1:11">
      <c r="A222" s="41"/>
      <c r="B222" s="33"/>
      <c r="C222" s="33"/>
      <c r="D222" s="33"/>
      <c r="E222" s="33"/>
      <c r="F222" s="33"/>
      <c r="G222" s="41"/>
      <c r="H222" s="41"/>
      <c r="I222" s="41"/>
      <c r="J222" s="41"/>
      <c r="K222" s="41"/>
    </row>
    <row r="223" spans="1:11">
      <c r="A223" s="41"/>
      <c r="B223" s="33"/>
      <c r="C223" s="33"/>
      <c r="D223" s="33"/>
      <c r="E223" s="33"/>
      <c r="F223" s="33"/>
      <c r="G223" s="41"/>
      <c r="H223" s="41"/>
      <c r="I223" s="41"/>
      <c r="J223" s="41"/>
      <c r="K223" s="41"/>
    </row>
    <row r="224" spans="1:11">
      <c r="A224" s="41"/>
      <c r="B224" s="33"/>
      <c r="C224" s="33"/>
      <c r="D224" s="33"/>
      <c r="E224" s="33"/>
      <c r="F224" s="33"/>
      <c r="G224" s="41"/>
      <c r="H224" s="41"/>
      <c r="I224" s="41"/>
      <c r="J224" s="41"/>
      <c r="K224" s="41"/>
    </row>
  </sheetData>
  <autoFilter ref="E1:E224"/>
  <mergeCells count="9">
    <mergeCell ref="A1:J1"/>
    <mergeCell ref="B2:B3"/>
    <mergeCell ref="C2:C3"/>
    <mergeCell ref="I2:I3"/>
    <mergeCell ref="K2:K3"/>
    <mergeCell ref="H2:H3"/>
    <mergeCell ref="G2:G3"/>
    <mergeCell ref="D2:D3"/>
    <mergeCell ref="J2:J3"/>
  </mergeCells>
  <pageMargins left="0.25" right="0.25" top="0.75" bottom="0.75" header="0.3" footer="0.3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6"/>
  </sheetPr>
  <dimension ref="A1:D12"/>
  <sheetViews>
    <sheetView workbookViewId="0">
      <selection activeCell="B30" sqref="B30"/>
    </sheetView>
  </sheetViews>
  <sheetFormatPr defaultRowHeight="15"/>
  <cols>
    <col min="1" max="1" width="9.140625" style="44"/>
    <col min="2" max="2" width="23.140625" customWidth="1"/>
    <col min="3" max="3" width="14.7109375" style="44" customWidth="1"/>
    <col min="4" max="4" width="14.7109375" customWidth="1"/>
  </cols>
  <sheetData>
    <row r="1" spans="1:4">
      <c r="C1" s="44" t="s">
        <v>908</v>
      </c>
    </row>
    <row r="2" spans="1:4">
      <c r="B2" t="s">
        <v>909</v>
      </c>
      <c r="C2" s="44" t="s">
        <v>905</v>
      </c>
      <c r="D2" t="s">
        <v>906</v>
      </c>
    </row>
    <row r="3" spans="1:4">
      <c r="A3" s="44">
        <v>1</v>
      </c>
      <c r="B3" t="s">
        <v>895</v>
      </c>
      <c r="C3" s="65">
        <v>45559</v>
      </c>
      <c r="D3" t="s">
        <v>907</v>
      </c>
    </row>
    <row r="4" spans="1:4">
      <c r="A4" s="44">
        <v>2</v>
      </c>
      <c r="B4" t="s">
        <v>896</v>
      </c>
      <c r="C4" s="65">
        <v>45560</v>
      </c>
      <c r="D4" t="s">
        <v>907</v>
      </c>
    </row>
    <row r="5" spans="1:4">
      <c r="A5" s="44">
        <v>3</v>
      </c>
      <c r="B5" t="s">
        <v>898</v>
      </c>
      <c r="C5" s="65">
        <v>45559</v>
      </c>
      <c r="D5" t="s">
        <v>907</v>
      </c>
    </row>
    <row r="6" spans="1:4">
      <c r="A6" s="44">
        <v>4</v>
      </c>
      <c r="B6" t="s">
        <v>897</v>
      </c>
      <c r="C6" s="65">
        <v>45559</v>
      </c>
      <c r="D6" t="s">
        <v>907</v>
      </c>
    </row>
    <row r="7" spans="1:4">
      <c r="A7" s="44">
        <v>5</v>
      </c>
      <c r="B7" t="s">
        <v>899</v>
      </c>
      <c r="C7" s="65">
        <v>45561</v>
      </c>
      <c r="D7" t="s">
        <v>910</v>
      </c>
    </row>
    <row r="8" spans="1:4">
      <c r="A8" s="44">
        <v>6</v>
      </c>
      <c r="B8" t="s">
        <v>900</v>
      </c>
      <c r="C8" s="65">
        <v>45561</v>
      </c>
      <c r="D8" t="s">
        <v>907</v>
      </c>
    </row>
    <row r="9" spans="1:4">
      <c r="A9" s="44">
        <v>7</v>
      </c>
      <c r="B9" t="s">
        <v>901</v>
      </c>
      <c r="C9" s="65">
        <v>45565</v>
      </c>
      <c r="D9" t="s">
        <v>912</v>
      </c>
    </row>
    <row r="10" spans="1:4">
      <c r="A10" s="44">
        <v>8</v>
      </c>
      <c r="B10" t="s">
        <v>902</v>
      </c>
      <c r="C10" s="65">
        <v>45565</v>
      </c>
      <c r="D10" t="s">
        <v>912</v>
      </c>
    </row>
    <row r="11" spans="1:4">
      <c r="A11" s="44">
        <v>9</v>
      </c>
      <c r="B11" t="s">
        <v>903</v>
      </c>
      <c r="C11" s="65">
        <v>45566</v>
      </c>
      <c r="D11" t="s">
        <v>912</v>
      </c>
    </row>
    <row r="12" spans="1:4">
      <c r="A12" s="44">
        <v>10</v>
      </c>
      <c r="B12" t="s">
        <v>904</v>
      </c>
      <c r="C12" s="65">
        <v>45566</v>
      </c>
      <c r="D12" t="s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6"/>
  </sheetPr>
  <dimension ref="A1:IZ43614"/>
  <sheetViews>
    <sheetView workbookViewId="0">
      <selection activeCell="A4" sqref="A4:A198"/>
    </sheetView>
  </sheetViews>
  <sheetFormatPr defaultRowHeight="15"/>
  <cols>
    <col min="1" max="1" width="4.42578125" style="44" customWidth="1"/>
    <col min="2" max="2" width="22.140625" customWidth="1"/>
    <col min="3" max="3" width="29.140625" bestFit="1" customWidth="1"/>
    <col min="4" max="4" width="9.7109375" customWidth="1"/>
    <col min="5" max="5" width="9.42578125" customWidth="1"/>
    <col min="6" max="6" width="9.140625" hidden="1" customWidth="1"/>
    <col min="7" max="7" width="8" customWidth="1"/>
    <col min="8" max="8" width="12.140625" style="44" customWidth="1"/>
    <col min="9" max="9" width="17" customWidth="1"/>
    <col min="10" max="10" width="16.85546875" customWidth="1"/>
    <col min="11" max="11" width="20" style="60" bestFit="1" customWidth="1"/>
    <col min="12" max="12" width="9.140625" hidden="1" customWidth="1"/>
    <col min="13" max="13" width="16.85546875" style="113" customWidth="1"/>
    <col min="14" max="14" width="17.140625" style="34" customWidth="1"/>
    <col min="15" max="15" width="14.85546875" customWidth="1"/>
  </cols>
  <sheetData>
    <row r="1" spans="1:155">
      <c r="A1" s="128" t="s">
        <v>149</v>
      </c>
      <c r="B1" s="129"/>
      <c r="C1" s="129"/>
      <c r="D1" s="129"/>
      <c r="E1" s="129"/>
      <c r="F1" s="129"/>
      <c r="G1" s="157"/>
      <c r="H1" s="157"/>
      <c r="I1" s="157"/>
      <c r="J1" s="2"/>
      <c r="K1" s="154"/>
      <c r="L1" s="154"/>
      <c r="M1" s="154"/>
      <c r="N1" s="154"/>
      <c r="O1" s="8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</row>
    <row r="2" spans="1:155">
      <c r="A2" s="48"/>
      <c r="B2" s="131" t="s">
        <v>150</v>
      </c>
      <c r="C2" s="131" t="s">
        <v>151</v>
      </c>
      <c r="D2" s="32" t="s">
        <v>360</v>
      </c>
      <c r="E2" s="70" t="s">
        <v>352</v>
      </c>
      <c r="F2" s="2"/>
      <c r="G2" s="78"/>
      <c r="H2" s="153"/>
      <c r="I2" s="153" t="s">
        <v>1129</v>
      </c>
      <c r="J2" s="2"/>
      <c r="K2" s="155"/>
      <c r="L2" s="155"/>
      <c r="M2" s="155"/>
      <c r="N2" s="155"/>
      <c r="O2" s="82"/>
      <c r="P2" s="8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</row>
    <row r="3" spans="1:155" ht="16.5" customHeight="1">
      <c r="A3" s="48"/>
      <c r="B3" s="132"/>
      <c r="C3" s="132"/>
      <c r="D3" s="59" t="s">
        <v>361</v>
      </c>
      <c r="E3" s="10" t="s">
        <v>351</v>
      </c>
      <c r="F3" s="2"/>
      <c r="G3" s="79"/>
      <c r="H3" s="153"/>
      <c r="I3" s="153"/>
      <c r="J3" s="2"/>
      <c r="K3" s="156"/>
      <c r="L3" s="156"/>
      <c r="M3" s="156"/>
      <c r="N3" s="156"/>
      <c r="O3" s="82"/>
      <c r="P3" s="8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</row>
    <row r="4" spans="1:155" s="1" customFormat="1">
      <c r="A4" s="71">
        <v>1</v>
      </c>
      <c r="B4" s="5" t="s">
        <v>153</v>
      </c>
      <c r="C4" s="5" t="s">
        <v>1101</v>
      </c>
      <c r="D4" s="5" t="s">
        <v>82</v>
      </c>
      <c r="E4" s="5" t="s">
        <v>155</v>
      </c>
      <c r="F4" s="72"/>
      <c r="G4" s="74" t="s">
        <v>406</v>
      </c>
      <c r="H4" s="85"/>
      <c r="I4" s="61" t="s">
        <v>881</v>
      </c>
      <c r="J4" s="61" t="s">
        <v>930</v>
      </c>
      <c r="K4" s="102" t="s">
        <v>1162</v>
      </c>
      <c r="L4" s="61"/>
      <c r="M4" s="54" t="s">
        <v>1161</v>
      </c>
      <c r="N4" s="102" t="s">
        <v>1174</v>
      </c>
      <c r="O4" s="102" t="s">
        <v>1201</v>
      </c>
    </row>
    <row r="5" spans="1:155" s="1" customFormat="1">
      <c r="A5" s="71">
        <v>2</v>
      </c>
      <c r="B5" s="5"/>
      <c r="C5" s="5" t="s">
        <v>954</v>
      </c>
      <c r="D5" s="5" t="s">
        <v>82</v>
      </c>
      <c r="E5" s="5" t="s">
        <v>155</v>
      </c>
      <c r="F5" s="72"/>
      <c r="G5" s="74" t="s">
        <v>406</v>
      </c>
      <c r="H5" s="85"/>
      <c r="I5" s="61" t="s">
        <v>881</v>
      </c>
      <c r="J5" s="61" t="s">
        <v>930</v>
      </c>
      <c r="K5" s="102" t="s">
        <v>1162</v>
      </c>
      <c r="L5" s="61"/>
      <c r="M5" s="54" t="s">
        <v>1161</v>
      </c>
      <c r="N5" s="102" t="s">
        <v>1174</v>
      </c>
      <c r="O5" s="102" t="s">
        <v>1201</v>
      </c>
    </row>
    <row r="6" spans="1:155" s="1" customFormat="1">
      <c r="A6" s="71">
        <v>3</v>
      </c>
      <c r="B6" s="5"/>
      <c r="C6" s="5" t="s">
        <v>955</v>
      </c>
      <c r="D6" s="5" t="s">
        <v>82</v>
      </c>
      <c r="E6" s="5" t="s">
        <v>155</v>
      </c>
      <c r="F6" s="72"/>
      <c r="G6" s="74" t="s">
        <v>406</v>
      </c>
      <c r="H6" s="85"/>
      <c r="I6" s="61" t="s">
        <v>881</v>
      </c>
      <c r="J6" s="61" t="s">
        <v>930</v>
      </c>
      <c r="K6" s="102" t="s">
        <v>1162</v>
      </c>
      <c r="L6" s="61"/>
      <c r="M6" s="54" t="s">
        <v>1161</v>
      </c>
      <c r="N6" s="102" t="s">
        <v>1174</v>
      </c>
      <c r="O6" s="102" t="s">
        <v>1201</v>
      </c>
    </row>
    <row r="7" spans="1:155" s="1" customFormat="1">
      <c r="A7" s="71">
        <v>4</v>
      </c>
      <c r="B7" s="5"/>
      <c r="C7" s="5" t="s">
        <v>956</v>
      </c>
      <c r="D7" s="5" t="s">
        <v>82</v>
      </c>
      <c r="E7" s="5" t="s">
        <v>155</v>
      </c>
      <c r="F7" s="72"/>
      <c r="G7" s="74" t="s">
        <v>406</v>
      </c>
      <c r="H7" s="85"/>
      <c r="I7" s="61" t="s">
        <v>881</v>
      </c>
      <c r="J7" s="61" t="s">
        <v>930</v>
      </c>
      <c r="K7" s="102" t="s">
        <v>1162</v>
      </c>
      <c r="L7" s="61"/>
      <c r="M7" s="54" t="s">
        <v>1161</v>
      </c>
      <c r="N7" s="102" t="s">
        <v>1174</v>
      </c>
      <c r="O7" s="102" t="s">
        <v>1201</v>
      </c>
    </row>
    <row r="8" spans="1:155" s="1" customFormat="1">
      <c r="A8" s="71">
        <v>5</v>
      </c>
      <c r="B8" s="5"/>
      <c r="C8" s="5" t="s">
        <v>957</v>
      </c>
      <c r="D8" s="5" t="s">
        <v>82</v>
      </c>
      <c r="E8" s="5" t="s">
        <v>155</v>
      </c>
      <c r="F8" s="72"/>
      <c r="G8" s="74" t="s">
        <v>406</v>
      </c>
      <c r="H8" s="85"/>
      <c r="I8" s="61" t="s">
        <v>881</v>
      </c>
      <c r="J8" s="61" t="s">
        <v>930</v>
      </c>
      <c r="K8" s="102" t="s">
        <v>1162</v>
      </c>
      <c r="L8" s="61"/>
      <c r="M8" s="114" t="s">
        <v>1168</v>
      </c>
      <c r="N8" s="102" t="s">
        <v>1174</v>
      </c>
      <c r="O8" s="102" t="s">
        <v>1201</v>
      </c>
    </row>
    <row r="9" spans="1:155" s="1" customFormat="1">
      <c r="A9" s="71">
        <v>6</v>
      </c>
      <c r="B9" s="5"/>
      <c r="C9" s="5" t="s">
        <v>958</v>
      </c>
      <c r="D9" s="5" t="s">
        <v>82</v>
      </c>
      <c r="E9" s="5" t="s">
        <v>155</v>
      </c>
      <c r="F9" s="72"/>
      <c r="G9" s="74" t="s">
        <v>410</v>
      </c>
      <c r="H9" s="85"/>
      <c r="I9" s="61" t="s">
        <v>881</v>
      </c>
      <c r="J9" s="61" t="s">
        <v>930</v>
      </c>
      <c r="K9" s="106">
        <v>45686</v>
      </c>
      <c r="M9" s="54" t="s">
        <v>1140</v>
      </c>
      <c r="N9" s="114" t="s">
        <v>1168</v>
      </c>
      <c r="O9" s="102" t="s">
        <v>1174</v>
      </c>
    </row>
    <row r="10" spans="1:155" s="1" customFormat="1">
      <c r="A10" s="71">
        <v>7</v>
      </c>
      <c r="B10" s="5"/>
      <c r="C10" s="5" t="s">
        <v>959</v>
      </c>
      <c r="D10" s="5" t="s">
        <v>82</v>
      </c>
      <c r="E10" s="5" t="s">
        <v>155</v>
      </c>
      <c r="F10" s="72"/>
      <c r="G10" s="74" t="s">
        <v>410</v>
      </c>
      <c r="H10" s="85"/>
      <c r="I10" s="61" t="s">
        <v>881</v>
      </c>
      <c r="J10" s="61" t="s">
        <v>930</v>
      </c>
      <c r="K10" s="102" t="s">
        <v>1141</v>
      </c>
      <c r="M10" s="114">
        <v>45740</v>
      </c>
      <c r="N10" s="102" t="s">
        <v>1174</v>
      </c>
      <c r="O10" s="102" t="s">
        <v>1202</v>
      </c>
    </row>
    <row r="11" spans="1:155" s="1" customFormat="1">
      <c r="A11" s="71">
        <v>8</v>
      </c>
      <c r="B11" s="5"/>
      <c r="C11" s="5" t="s">
        <v>960</v>
      </c>
      <c r="D11" s="5" t="s">
        <v>82</v>
      </c>
      <c r="E11" s="5" t="s">
        <v>155</v>
      </c>
      <c r="F11" s="72"/>
      <c r="G11" s="74" t="s">
        <v>410</v>
      </c>
      <c r="H11" s="85"/>
      <c r="I11" s="61" t="s">
        <v>880</v>
      </c>
      <c r="J11" s="61" t="s">
        <v>930</v>
      </c>
      <c r="K11" s="102" t="s">
        <v>1141</v>
      </c>
      <c r="M11" s="114">
        <v>45740</v>
      </c>
      <c r="N11" s="102" t="s">
        <v>1174</v>
      </c>
      <c r="O11" s="102" t="s">
        <v>1202</v>
      </c>
    </row>
    <row r="12" spans="1:155" s="1" customFormat="1">
      <c r="A12" s="71">
        <v>9</v>
      </c>
      <c r="B12" s="5"/>
      <c r="C12" s="5" t="s">
        <v>961</v>
      </c>
      <c r="D12" s="5" t="s">
        <v>82</v>
      </c>
      <c r="E12" s="5" t="s">
        <v>155</v>
      </c>
      <c r="F12" s="72"/>
      <c r="G12" s="74" t="s">
        <v>410</v>
      </c>
      <c r="H12" s="85"/>
      <c r="I12" s="61" t="s">
        <v>880</v>
      </c>
      <c r="J12" s="61" t="s">
        <v>930</v>
      </c>
      <c r="K12" s="102" t="s">
        <v>1141</v>
      </c>
      <c r="M12" s="114">
        <v>45740</v>
      </c>
      <c r="N12" s="102" t="s">
        <v>1176</v>
      </c>
      <c r="O12" s="102" t="s">
        <v>1202</v>
      </c>
    </row>
    <row r="13" spans="1:155" s="1" customFormat="1">
      <c r="A13" s="71">
        <v>10</v>
      </c>
      <c r="B13" s="5"/>
      <c r="C13" s="5" t="s">
        <v>962</v>
      </c>
      <c r="D13" s="5" t="s">
        <v>82</v>
      </c>
      <c r="E13" s="5" t="s">
        <v>155</v>
      </c>
      <c r="F13" s="72"/>
      <c r="G13" s="74" t="s">
        <v>410</v>
      </c>
      <c r="H13" s="85"/>
      <c r="I13" s="61" t="s">
        <v>879</v>
      </c>
      <c r="J13" s="61" t="s">
        <v>930</v>
      </c>
      <c r="K13" s="102" t="s">
        <v>1141</v>
      </c>
      <c r="M13" s="114">
        <v>45740</v>
      </c>
      <c r="N13" s="102" t="s">
        <v>1176</v>
      </c>
      <c r="O13" s="102" t="s">
        <v>1202</v>
      </c>
    </row>
    <row r="14" spans="1:155" s="1" customFormat="1">
      <c r="A14" s="71">
        <v>11</v>
      </c>
      <c r="B14" s="5" t="s">
        <v>156</v>
      </c>
      <c r="C14" s="5" t="s">
        <v>963</v>
      </c>
      <c r="D14" s="5" t="s">
        <v>82</v>
      </c>
      <c r="E14" s="5" t="s">
        <v>155</v>
      </c>
      <c r="F14" s="72"/>
      <c r="G14" s="74" t="s">
        <v>412</v>
      </c>
      <c r="H14" s="85"/>
      <c r="I14" s="61" t="s">
        <v>879</v>
      </c>
      <c r="J14" s="61" t="s">
        <v>931</v>
      </c>
      <c r="K14" s="102" t="s">
        <v>1141</v>
      </c>
      <c r="M14" s="114">
        <v>45740</v>
      </c>
      <c r="N14" s="102" t="s">
        <v>1176</v>
      </c>
      <c r="O14" s="102" t="s">
        <v>1202</v>
      </c>
    </row>
    <row r="15" spans="1:155" s="1" customFormat="1">
      <c r="A15" s="71">
        <v>12</v>
      </c>
      <c r="B15" s="35" t="s">
        <v>1095</v>
      </c>
      <c r="C15" s="35" t="s">
        <v>174</v>
      </c>
      <c r="D15" s="35" t="s">
        <v>82</v>
      </c>
      <c r="E15" s="35" t="s">
        <v>49</v>
      </c>
      <c r="F15" s="73"/>
      <c r="G15" s="75" t="s">
        <v>412</v>
      </c>
      <c r="H15" s="86"/>
      <c r="I15" s="64" t="s">
        <v>879</v>
      </c>
      <c r="J15" s="64" t="s">
        <v>931</v>
      </c>
      <c r="K15" s="104" t="s">
        <v>1141</v>
      </c>
      <c r="L15" s="63"/>
      <c r="M15" s="115">
        <v>45740</v>
      </c>
      <c r="N15" s="102" t="s">
        <v>1176</v>
      </c>
      <c r="O15" s="102" t="s">
        <v>1202</v>
      </c>
    </row>
    <row r="16" spans="1:155" s="1" customFormat="1">
      <c r="A16" s="71">
        <v>13</v>
      </c>
      <c r="B16" s="5" t="s">
        <v>156</v>
      </c>
      <c r="C16" s="5" t="s">
        <v>964</v>
      </c>
      <c r="D16" s="5" t="s">
        <v>82</v>
      </c>
      <c r="E16" s="5" t="s">
        <v>155</v>
      </c>
      <c r="F16" s="72"/>
      <c r="G16" s="74" t="s">
        <v>412</v>
      </c>
      <c r="H16" s="85"/>
      <c r="I16" s="61" t="s">
        <v>879</v>
      </c>
      <c r="J16" s="61" t="s">
        <v>931</v>
      </c>
      <c r="K16" s="102" t="s">
        <v>1141</v>
      </c>
      <c r="M16" s="114" t="s">
        <v>1168</v>
      </c>
      <c r="N16" s="102" t="s">
        <v>1176</v>
      </c>
      <c r="O16" s="102" t="s">
        <v>1202</v>
      </c>
    </row>
    <row r="17" spans="1:16" s="1" customFormat="1">
      <c r="A17" s="71">
        <v>14</v>
      </c>
      <c r="B17" s="5" t="s">
        <v>1096</v>
      </c>
      <c r="C17" s="5" t="s">
        <v>1097</v>
      </c>
      <c r="D17" s="5" t="s">
        <v>82</v>
      </c>
      <c r="E17" s="5" t="s">
        <v>155</v>
      </c>
      <c r="F17" s="72"/>
      <c r="G17" s="74" t="s">
        <v>412</v>
      </c>
      <c r="H17" s="85"/>
      <c r="I17" s="61" t="s">
        <v>879</v>
      </c>
      <c r="J17" s="61" t="s">
        <v>931</v>
      </c>
      <c r="K17" s="102" t="s">
        <v>1141</v>
      </c>
      <c r="M17" s="114" t="s">
        <v>1168</v>
      </c>
      <c r="N17" s="102" t="s">
        <v>1176</v>
      </c>
      <c r="O17" s="102" t="s">
        <v>1202</v>
      </c>
    </row>
    <row r="18" spans="1:16" s="1" customFormat="1">
      <c r="A18" s="71">
        <v>15</v>
      </c>
      <c r="B18" s="5" t="s">
        <v>156</v>
      </c>
      <c r="C18" s="5" t="s">
        <v>965</v>
      </c>
      <c r="D18" s="5" t="s">
        <v>82</v>
      </c>
      <c r="E18" s="5" t="s">
        <v>155</v>
      </c>
      <c r="F18" s="72"/>
      <c r="G18" s="74" t="s">
        <v>412</v>
      </c>
      <c r="H18" s="85"/>
      <c r="I18" s="61" t="s">
        <v>442</v>
      </c>
      <c r="J18" s="61" t="s">
        <v>879</v>
      </c>
      <c r="K18" s="61" t="s">
        <v>931</v>
      </c>
      <c r="M18" s="54" t="s">
        <v>1141</v>
      </c>
      <c r="N18" s="114" t="s">
        <v>1168</v>
      </c>
      <c r="O18" s="102" t="s">
        <v>1176</v>
      </c>
    </row>
    <row r="19" spans="1:16" s="1" customFormat="1">
      <c r="A19" s="71">
        <v>16</v>
      </c>
      <c r="B19" s="5" t="s">
        <v>156</v>
      </c>
      <c r="C19" s="5" t="s">
        <v>966</v>
      </c>
      <c r="D19" s="5" t="s">
        <v>82</v>
      </c>
      <c r="E19" s="5" t="s">
        <v>155</v>
      </c>
      <c r="F19" s="72"/>
      <c r="G19" s="74" t="s">
        <v>412</v>
      </c>
      <c r="H19" s="85"/>
      <c r="I19" s="61" t="s">
        <v>442</v>
      </c>
      <c r="J19" s="61" t="s">
        <v>879</v>
      </c>
      <c r="K19" s="61" t="s">
        <v>931</v>
      </c>
      <c r="M19" s="54" t="s">
        <v>1141</v>
      </c>
      <c r="N19" s="114" t="s">
        <v>1168</v>
      </c>
      <c r="O19" s="102" t="s">
        <v>1176</v>
      </c>
    </row>
    <row r="20" spans="1:16" s="1" customFormat="1">
      <c r="A20" s="71">
        <v>17</v>
      </c>
      <c r="B20" s="5" t="s">
        <v>1100</v>
      </c>
      <c r="C20" s="5" t="s">
        <v>1098</v>
      </c>
      <c r="D20" s="5" t="s">
        <v>82</v>
      </c>
      <c r="E20" s="5" t="s">
        <v>155</v>
      </c>
      <c r="F20" s="72"/>
      <c r="G20" s="74" t="s">
        <v>417</v>
      </c>
      <c r="H20" s="85"/>
      <c r="I20" s="61" t="s">
        <v>879</v>
      </c>
      <c r="J20" s="61" t="s">
        <v>931</v>
      </c>
      <c r="K20" s="102" t="s">
        <v>1141</v>
      </c>
      <c r="M20" s="54" t="s">
        <v>1159</v>
      </c>
      <c r="N20" s="114" t="s">
        <v>1168</v>
      </c>
      <c r="O20" s="102" t="s">
        <v>1176</v>
      </c>
      <c r="P20" s="87" t="s">
        <v>1202</v>
      </c>
    </row>
    <row r="21" spans="1:16" s="1" customFormat="1">
      <c r="A21" s="71">
        <v>18</v>
      </c>
      <c r="B21" s="5" t="s">
        <v>1094</v>
      </c>
      <c r="C21" s="5" t="s">
        <v>1099</v>
      </c>
      <c r="D21" s="5" t="s">
        <v>82</v>
      </c>
      <c r="E21" s="5" t="s">
        <v>155</v>
      </c>
      <c r="F21" s="72"/>
      <c r="G21" s="74" t="s">
        <v>417</v>
      </c>
      <c r="H21" s="85"/>
      <c r="I21" s="61" t="s">
        <v>880</v>
      </c>
      <c r="J21" s="61" t="s">
        <v>934</v>
      </c>
      <c r="K21" s="102" t="s">
        <v>1142</v>
      </c>
      <c r="M21" s="54" t="s">
        <v>1166</v>
      </c>
      <c r="N21" s="102" t="s">
        <v>1182</v>
      </c>
      <c r="O21" s="87"/>
    </row>
    <row r="22" spans="1:16" s="1" customFormat="1">
      <c r="A22" s="71">
        <v>19</v>
      </c>
      <c r="B22" s="5"/>
      <c r="C22" s="5" t="s">
        <v>967</v>
      </c>
      <c r="D22" s="5" t="s">
        <v>82</v>
      </c>
      <c r="E22" s="5" t="s">
        <v>155</v>
      </c>
      <c r="F22" s="72"/>
      <c r="G22" s="74" t="s">
        <v>417</v>
      </c>
      <c r="H22" s="85"/>
      <c r="I22" s="61" t="s">
        <v>429</v>
      </c>
      <c r="J22" s="61" t="s">
        <v>880</v>
      </c>
      <c r="K22" s="61" t="s">
        <v>934</v>
      </c>
      <c r="M22" s="54" t="s">
        <v>1142</v>
      </c>
      <c r="N22" s="54" t="s">
        <v>1166</v>
      </c>
      <c r="O22" s="102" t="s">
        <v>1182</v>
      </c>
    </row>
    <row r="23" spans="1:16" s="1" customFormat="1">
      <c r="A23" s="71">
        <v>20</v>
      </c>
      <c r="B23" s="5"/>
      <c r="C23" s="5" t="s">
        <v>968</v>
      </c>
      <c r="D23" s="5" t="s">
        <v>82</v>
      </c>
      <c r="E23" s="5" t="s">
        <v>155</v>
      </c>
      <c r="F23" s="72"/>
      <c r="G23" s="74" t="s">
        <v>417</v>
      </c>
      <c r="H23" s="85"/>
      <c r="I23" s="61" t="s">
        <v>429</v>
      </c>
      <c r="J23" s="61" t="s">
        <v>880</v>
      </c>
      <c r="K23" s="61" t="s">
        <v>934</v>
      </c>
      <c r="M23" s="54" t="s">
        <v>1142</v>
      </c>
      <c r="N23" s="54" t="s">
        <v>1166</v>
      </c>
      <c r="O23" s="102" t="s">
        <v>1182</v>
      </c>
    </row>
    <row r="24" spans="1:16" s="1" customFormat="1">
      <c r="A24" s="71">
        <v>21</v>
      </c>
      <c r="B24" s="5"/>
      <c r="C24" s="5" t="s">
        <v>969</v>
      </c>
      <c r="D24" s="5" t="s">
        <v>82</v>
      </c>
      <c r="E24" s="5" t="s">
        <v>155</v>
      </c>
      <c r="F24" s="72"/>
      <c r="G24" s="74" t="s">
        <v>417</v>
      </c>
      <c r="H24" s="85"/>
      <c r="I24" s="61" t="s">
        <v>429</v>
      </c>
      <c r="J24" s="61" t="s">
        <v>880</v>
      </c>
      <c r="K24" s="61" t="s">
        <v>934</v>
      </c>
      <c r="M24" s="54" t="s">
        <v>1142</v>
      </c>
      <c r="N24" s="54" t="s">
        <v>1166</v>
      </c>
      <c r="O24" s="102" t="s">
        <v>1182</v>
      </c>
    </row>
    <row r="25" spans="1:16" s="1" customFormat="1">
      <c r="A25" s="71">
        <v>22</v>
      </c>
      <c r="B25" s="5" t="s">
        <v>162</v>
      </c>
      <c r="C25" s="5" t="s">
        <v>970</v>
      </c>
      <c r="D25" s="5" t="s">
        <v>82</v>
      </c>
      <c r="E25" s="5" t="s">
        <v>155</v>
      </c>
      <c r="F25" s="72"/>
      <c r="G25" s="74" t="s">
        <v>408</v>
      </c>
      <c r="H25" s="85"/>
      <c r="I25" s="61" t="s">
        <v>877</v>
      </c>
      <c r="J25" s="61" t="s">
        <v>934</v>
      </c>
      <c r="K25" s="61" t="s">
        <v>934</v>
      </c>
      <c r="L25" s="61"/>
      <c r="M25" s="54" t="s">
        <v>1142</v>
      </c>
      <c r="N25" s="102" t="s">
        <v>1167</v>
      </c>
      <c r="O25" s="102" t="s">
        <v>1182</v>
      </c>
    </row>
    <row r="26" spans="1:16" s="1" customFormat="1">
      <c r="A26" s="71">
        <v>23</v>
      </c>
      <c r="B26" s="5"/>
      <c r="C26" s="5" t="s">
        <v>1102</v>
      </c>
      <c r="D26" s="5" t="s">
        <v>82</v>
      </c>
      <c r="E26" s="5" t="s">
        <v>155</v>
      </c>
      <c r="F26" s="72"/>
      <c r="G26" s="74" t="s">
        <v>429</v>
      </c>
      <c r="H26" s="85"/>
      <c r="I26" s="61" t="s">
        <v>877</v>
      </c>
      <c r="J26" s="61" t="s">
        <v>880</v>
      </c>
      <c r="K26" s="61" t="s">
        <v>934</v>
      </c>
      <c r="M26" s="54" t="s">
        <v>1142</v>
      </c>
      <c r="N26" s="102" t="s">
        <v>1167</v>
      </c>
      <c r="O26" s="102" t="s">
        <v>1182</v>
      </c>
    </row>
    <row r="27" spans="1:16" s="1" customFormat="1">
      <c r="A27" s="71">
        <v>24</v>
      </c>
      <c r="B27" s="5"/>
      <c r="C27" s="5" t="s">
        <v>1235</v>
      </c>
      <c r="D27" s="5" t="s">
        <v>82</v>
      </c>
      <c r="E27" s="5" t="s">
        <v>49</v>
      </c>
      <c r="F27" s="72"/>
      <c r="G27" s="74"/>
      <c r="H27" s="85"/>
      <c r="I27" s="61"/>
      <c r="J27" s="61"/>
      <c r="K27" s="61"/>
      <c r="M27" s="54"/>
      <c r="N27" s="102"/>
      <c r="O27" s="102"/>
    </row>
    <row r="28" spans="1:16" s="1" customFormat="1">
      <c r="A28" s="71">
        <v>25</v>
      </c>
      <c r="B28" s="5"/>
      <c r="C28" s="5" t="s">
        <v>1236</v>
      </c>
      <c r="D28" s="5" t="s">
        <v>82</v>
      </c>
      <c r="E28" s="5" t="s">
        <v>49</v>
      </c>
      <c r="F28" s="72"/>
      <c r="G28" s="74"/>
      <c r="H28" s="85"/>
      <c r="I28" s="61"/>
      <c r="J28" s="61"/>
      <c r="K28" s="61"/>
      <c r="M28" s="54"/>
      <c r="N28" s="102"/>
      <c r="O28" s="102"/>
    </row>
    <row r="29" spans="1:16" s="1" customFormat="1">
      <c r="A29" s="71">
        <v>26</v>
      </c>
      <c r="B29" s="5" t="s">
        <v>163</v>
      </c>
      <c r="C29" s="5" t="s">
        <v>1103</v>
      </c>
      <c r="D29" s="5" t="s">
        <v>82</v>
      </c>
      <c r="E29" s="5" t="s">
        <v>155</v>
      </c>
      <c r="F29" s="72"/>
      <c r="G29" s="74" t="s">
        <v>430</v>
      </c>
      <c r="H29" s="85"/>
      <c r="I29" s="61" t="s">
        <v>877</v>
      </c>
      <c r="J29" s="61" t="s">
        <v>934</v>
      </c>
      <c r="K29" s="102" t="s">
        <v>1143</v>
      </c>
      <c r="M29" s="114">
        <v>45758</v>
      </c>
      <c r="N29" s="102" t="s">
        <v>1203</v>
      </c>
      <c r="O29" s="87"/>
    </row>
    <row r="30" spans="1:16" s="1" customFormat="1">
      <c r="A30" s="71">
        <v>27</v>
      </c>
      <c r="B30" s="5"/>
      <c r="C30" s="5" t="s">
        <v>971</v>
      </c>
      <c r="D30" s="5" t="s">
        <v>82</v>
      </c>
      <c r="E30" s="5" t="s">
        <v>155</v>
      </c>
      <c r="F30" s="72"/>
      <c r="G30" s="74" t="s">
        <v>430</v>
      </c>
      <c r="H30" s="85"/>
      <c r="I30" s="61" t="s">
        <v>877</v>
      </c>
      <c r="J30" s="61" t="s">
        <v>934</v>
      </c>
      <c r="K30" s="102" t="s">
        <v>1143</v>
      </c>
      <c r="M30" s="114">
        <v>45758</v>
      </c>
      <c r="N30" s="102" t="s">
        <v>1203</v>
      </c>
      <c r="O30" s="87"/>
    </row>
    <row r="31" spans="1:16" s="1" customFormat="1">
      <c r="A31" s="71">
        <v>28</v>
      </c>
      <c r="B31" s="5"/>
      <c r="C31" s="5" t="s">
        <v>413</v>
      </c>
      <c r="D31" s="5" t="s">
        <v>82</v>
      </c>
      <c r="E31" s="5" t="s">
        <v>155</v>
      </c>
      <c r="F31" s="72"/>
      <c r="G31" s="74" t="s">
        <v>430</v>
      </c>
      <c r="H31" s="85"/>
      <c r="I31" s="61" t="s">
        <v>877</v>
      </c>
      <c r="J31" s="61" t="s">
        <v>935</v>
      </c>
      <c r="K31" s="102" t="s">
        <v>1143</v>
      </c>
      <c r="M31" s="54" t="s">
        <v>1159</v>
      </c>
      <c r="N31" s="54" t="s">
        <v>1173</v>
      </c>
      <c r="O31" s="102" t="s">
        <v>1203</v>
      </c>
    </row>
    <row r="32" spans="1:16" s="1" customFormat="1">
      <c r="A32" s="71">
        <v>29</v>
      </c>
      <c r="B32" s="5"/>
      <c r="C32" s="5" t="s">
        <v>972</v>
      </c>
      <c r="D32" s="5" t="s">
        <v>82</v>
      </c>
      <c r="E32" s="5" t="s">
        <v>155</v>
      </c>
      <c r="F32" s="72"/>
      <c r="G32" s="74" t="s">
        <v>430</v>
      </c>
      <c r="H32" s="85"/>
      <c r="I32" s="61" t="s">
        <v>877</v>
      </c>
      <c r="J32" s="61" t="s">
        <v>935</v>
      </c>
      <c r="K32" s="102" t="s">
        <v>1143</v>
      </c>
      <c r="M32" s="114">
        <v>45758</v>
      </c>
      <c r="N32" s="102" t="s">
        <v>1203</v>
      </c>
      <c r="O32" s="87"/>
    </row>
    <row r="33" spans="1:17" s="1" customFormat="1">
      <c r="A33" s="71">
        <v>30</v>
      </c>
      <c r="B33" s="5"/>
      <c r="C33" s="5" t="s">
        <v>973</v>
      </c>
      <c r="D33" s="5" t="s">
        <v>82</v>
      </c>
      <c r="E33" s="5" t="s">
        <v>155</v>
      </c>
      <c r="F33" s="72"/>
      <c r="G33" s="74" t="s">
        <v>430</v>
      </c>
      <c r="H33" s="85"/>
      <c r="I33" s="61" t="s">
        <v>877</v>
      </c>
      <c r="J33" s="61" t="s">
        <v>935</v>
      </c>
      <c r="K33" s="102" t="s">
        <v>1143</v>
      </c>
      <c r="M33" s="54" t="s">
        <v>1159</v>
      </c>
      <c r="N33" s="114">
        <v>45758</v>
      </c>
      <c r="O33" s="102" t="s">
        <v>1203</v>
      </c>
    </row>
    <row r="34" spans="1:17" s="1" customFormat="1">
      <c r="A34" s="71">
        <v>31</v>
      </c>
      <c r="B34" s="5"/>
      <c r="C34" s="5" t="s">
        <v>974</v>
      </c>
      <c r="D34" s="5" t="s">
        <v>82</v>
      </c>
      <c r="E34" s="5" t="s">
        <v>155</v>
      </c>
      <c r="F34" s="72"/>
      <c r="G34" s="74" t="s">
        <v>430</v>
      </c>
      <c r="H34" s="85"/>
      <c r="I34" s="61" t="s">
        <v>878</v>
      </c>
      <c r="J34" s="61" t="s">
        <v>935</v>
      </c>
      <c r="K34" s="102" t="s">
        <v>1143</v>
      </c>
      <c r="M34" s="114">
        <v>45758</v>
      </c>
      <c r="N34" s="102" t="s">
        <v>1203</v>
      </c>
      <c r="O34" s="87"/>
    </row>
    <row r="35" spans="1:17" s="1" customFormat="1">
      <c r="A35" s="71">
        <v>32</v>
      </c>
      <c r="B35" s="5"/>
      <c r="C35" s="5" t="s">
        <v>975</v>
      </c>
      <c r="D35" s="5" t="s">
        <v>82</v>
      </c>
      <c r="E35" s="5" t="s">
        <v>155</v>
      </c>
      <c r="F35" s="72"/>
      <c r="G35" s="74" t="s">
        <v>431</v>
      </c>
      <c r="H35" s="85"/>
      <c r="I35" s="61" t="s">
        <v>878</v>
      </c>
      <c r="J35" s="61" t="s">
        <v>935</v>
      </c>
      <c r="K35" s="102" t="s">
        <v>1143</v>
      </c>
      <c r="M35" s="114">
        <v>45758</v>
      </c>
      <c r="N35" s="102" t="s">
        <v>1203</v>
      </c>
      <c r="O35" s="87"/>
    </row>
    <row r="36" spans="1:17" s="1" customFormat="1">
      <c r="A36" s="71">
        <v>33</v>
      </c>
      <c r="B36" s="5"/>
      <c r="C36" s="5" t="s">
        <v>976</v>
      </c>
      <c r="D36" s="5" t="s">
        <v>82</v>
      </c>
      <c r="E36" s="5" t="s">
        <v>155</v>
      </c>
      <c r="F36" s="72"/>
      <c r="G36" s="74" t="s">
        <v>431</v>
      </c>
      <c r="H36" s="85"/>
      <c r="I36" s="61" t="s">
        <v>878</v>
      </c>
      <c r="J36" s="61" t="s">
        <v>935</v>
      </c>
      <c r="K36" s="102" t="s">
        <v>952</v>
      </c>
      <c r="M36" s="54" t="s">
        <v>1143</v>
      </c>
      <c r="N36" s="114">
        <v>45758</v>
      </c>
      <c r="O36" s="102" t="s">
        <v>1203</v>
      </c>
    </row>
    <row r="37" spans="1:17" s="1" customFormat="1">
      <c r="A37" s="71">
        <v>34</v>
      </c>
      <c r="B37" s="5"/>
      <c r="C37" s="5" t="s">
        <v>977</v>
      </c>
      <c r="D37" s="5" t="s">
        <v>82</v>
      </c>
      <c r="E37" s="5" t="s">
        <v>155</v>
      </c>
      <c r="F37" s="72"/>
      <c r="G37" s="74" t="s">
        <v>431</v>
      </c>
      <c r="H37" s="85"/>
      <c r="I37" s="61" t="s">
        <v>878</v>
      </c>
      <c r="J37" s="61" t="s">
        <v>935</v>
      </c>
      <c r="K37" s="102" t="s">
        <v>952</v>
      </c>
      <c r="M37" s="54" t="s">
        <v>1143</v>
      </c>
      <c r="N37" s="114">
        <v>45758</v>
      </c>
      <c r="O37" s="102" t="s">
        <v>1203</v>
      </c>
    </row>
    <row r="38" spans="1:17" s="1" customFormat="1">
      <c r="A38" s="71">
        <v>35</v>
      </c>
      <c r="B38" s="5"/>
      <c r="C38" s="5" t="s">
        <v>978</v>
      </c>
      <c r="D38" s="5" t="s">
        <v>82</v>
      </c>
      <c r="E38" s="5" t="s">
        <v>155</v>
      </c>
      <c r="F38" s="72"/>
      <c r="G38" s="74" t="s">
        <v>431</v>
      </c>
      <c r="H38" s="85"/>
      <c r="I38" s="61" t="s">
        <v>889</v>
      </c>
      <c r="J38" s="61" t="s">
        <v>935</v>
      </c>
      <c r="K38" s="102" t="s">
        <v>1143</v>
      </c>
      <c r="M38" s="114">
        <v>45758</v>
      </c>
      <c r="N38" s="102" t="s">
        <v>1203</v>
      </c>
      <c r="O38" s="87"/>
    </row>
    <row r="39" spans="1:17" s="1" customFormat="1">
      <c r="A39" s="71">
        <v>36</v>
      </c>
      <c r="B39" s="35" t="s">
        <v>164</v>
      </c>
      <c r="C39" s="35" t="s">
        <v>1104</v>
      </c>
      <c r="D39" s="35" t="s">
        <v>82</v>
      </c>
      <c r="E39" s="35" t="s">
        <v>49</v>
      </c>
      <c r="F39" s="73"/>
      <c r="G39" s="75" t="s">
        <v>411</v>
      </c>
      <c r="H39" s="86"/>
      <c r="I39" s="64" t="s">
        <v>884</v>
      </c>
      <c r="J39" s="64" t="s">
        <v>936</v>
      </c>
      <c r="K39" s="104" t="s">
        <v>1142</v>
      </c>
      <c r="L39" s="63"/>
      <c r="M39" s="67" t="s">
        <v>1173</v>
      </c>
      <c r="N39" s="102" t="s">
        <v>1204</v>
      </c>
      <c r="O39" s="87"/>
    </row>
    <row r="40" spans="1:17" s="1" customFormat="1">
      <c r="A40" s="71">
        <v>37</v>
      </c>
      <c r="B40" s="5"/>
      <c r="C40" s="5" t="s">
        <v>979</v>
      </c>
      <c r="D40" s="5" t="s">
        <v>82</v>
      </c>
      <c r="E40" s="5" t="s">
        <v>155</v>
      </c>
      <c r="F40" s="72"/>
      <c r="G40" s="74" t="s">
        <v>411</v>
      </c>
      <c r="H40" s="85"/>
      <c r="I40" s="61" t="s">
        <v>882</v>
      </c>
      <c r="J40" s="69" t="s">
        <v>932</v>
      </c>
      <c r="K40" s="102" t="s">
        <v>1142</v>
      </c>
      <c r="M40" s="54" t="s">
        <v>1173</v>
      </c>
      <c r="N40" s="102" t="s">
        <v>1180</v>
      </c>
      <c r="O40" s="102" t="s">
        <v>1204</v>
      </c>
    </row>
    <row r="41" spans="1:17" s="1" customFormat="1">
      <c r="A41" s="71">
        <v>38</v>
      </c>
      <c r="B41" s="5"/>
      <c r="C41" s="5" t="s">
        <v>980</v>
      </c>
      <c r="D41" s="5" t="s">
        <v>82</v>
      </c>
      <c r="E41" s="5" t="s">
        <v>155</v>
      </c>
      <c r="F41" s="72"/>
      <c r="G41" s="74" t="s">
        <v>411</v>
      </c>
      <c r="H41" s="85"/>
      <c r="I41" s="61" t="s">
        <v>442</v>
      </c>
      <c r="J41" s="69" t="s">
        <v>882</v>
      </c>
      <c r="K41" s="61" t="s">
        <v>932</v>
      </c>
      <c r="M41" s="54" t="s">
        <v>1130</v>
      </c>
      <c r="N41" s="102" t="s">
        <v>1142</v>
      </c>
      <c r="O41" s="54" t="s">
        <v>1173</v>
      </c>
      <c r="P41" s="102" t="s">
        <v>1180</v>
      </c>
      <c r="Q41" s="102" t="s">
        <v>1204</v>
      </c>
    </row>
    <row r="42" spans="1:17" s="1" customFormat="1">
      <c r="A42" s="71">
        <v>39</v>
      </c>
      <c r="B42" s="35"/>
      <c r="C42" s="35" t="s">
        <v>165</v>
      </c>
      <c r="D42" s="35" t="s">
        <v>82</v>
      </c>
      <c r="E42" s="35" t="s">
        <v>49</v>
      </c>
      <c r="F42" s="73"/>
      <c r="G42" s="75" t="s">
        <v>411</v>
      </c>
      <c r="H42" s="86"/>
      <c r="I42" s="64" t="s">
        <v>884</v>
      </c>
      <c r="J42" s="64" t="s">
        <v>936</v>
      </c>
      <c r="K42" s="104" t="s">
        <v>1142</v>
      </c>
      <c r="L42" s="63"/>
      <c r="M42" s="54" t="s">
        <v>1173</v>
      </c>
      <c r="N42" s="107" t="s">
        <v>1180</v>
      </c>
      <c r="O42" s="102" t="s">
        <v>1204</v>
      </c>
    </row>
    <row r="43" spans="1:17" s="1" customFormat="1">
      <c r="A43" s="71">
        <v>40</v>
      </c>
      <c r="B43" s="5"/>
      <c r="C43" s="5" t="s">
        <v>981</v>
      </c>
      <c r="D43" s="5" t="s">
        <v>82</v>
      </c>
      <c r="E43" s="5"/>
      <c r="F43" s="72"/>
      <c r="G43" s="74" t="s">
        <v>411</v>
      </c>
      <c r="H43" s="85"/>
      <c r="I43" s="61" t="s">
        <v>884</v>
      </c>
      <c r="J43" s="69" t="s">
        <v>936</v>
      </c>
      <c r="K43" s="102" t="s">
        <v>1144</v>
      </c>
      <c r="M43" s="54" t="s">
        <v>1159</v>
      </c>
      <c r="N43" s="54" t="s">
        <v>1173</v>
      </c>
      <c r="O43" s="102" t="s">
        <v>1204</v>
      </c>
    </row>
    <row r="44" spans="1:17" s="1" customFormat="1">
      <c r="A44" s="71">
        <v>41</v>
      </c>
      <c r="B44" s="5"/>
      <c r="C44" s="35" t="s">
        <v>1210</v>
      </c>
      <c r="D44" s="35" t="s">
        <v>82</v>
      </c>
      <c r="E44" s="35" t="s">
        <v>49</v>
      </c>
      <c r="F44" s="72"/>
      <c r="G44" s="74"/>
      <c r="H44" s="85"/>
      <c r="I44" s="61"/>
      <c r="J44" s="69"/>
      <c r="K44" s="102"/>
      <c r="M44" s="54"/>
      <c r="N44" s="54"/>
      <c r="O44" s="102"/>
    </row>
    <row r="45" spans="1:17" s="1" customFormat="1">
      <c r="A45" s="71">
        <v>42</v>
      </c>
      <c r="B45" s="35"/>
      <c r="C45" s="35" t="s">
        <v>1105</v>
      </c>
      <c r="D45" s="35" t="s">
        <v>82</v>
      </c>
      <c r="E45" s="35" t="s">
        <v>49</v>
      </c>
      <c r="F45" s="73"/>
      <c r="G45" s="75" t="s">
        <v>884</v>
      </c>
      <c r="H45" s="86"/>
      <c r="I45" s="61" t="s">
        <v>889</v>
      </c>
      <c r="J45" s="69" t="s">
        <v>936</v>
      </c>
      <c r="K45" s="102" t="s">
        <v>1144</v>
      </c>
      <c r="L45" s="63"/>
      <c r="M45" s="54" t="s">
        <v>1159</v>
      </c>
      <c r="N45" s="54" t="s">
        <v>1173</v>
      </c>
      <c r="O45" s="102" t="s">
        <v>1204</v>
      </c>
    </row>
    <row r="46" spans="1:17" s="1" customFormat="1">
      <c r="A46" s="71">
        <v>43</v>
      </c>
      <c r="B46" s="5"/>
      <c r="C46" s="5" t="s">
        <v>982</v>
      </c>
      <c r="D46" s="5" t="s">
        <v>82</v>
      </c>
      <c r="E46" s="5" t="s">
        <v>155</v>
      </c>
      <c r="F46" s="72"/>
      <c r="G46" s="74" t="s">
        <v>411</v>
      </c>
      <c r="H46" s="85"/>
      <c r="I46" s="61" t="s">
        <v>889</v>
      </c>
      <c r="J46" s="61" t="s">
        <v>932</v>
      </c>
      <c r="K46" s="102" t="s">
        <v>1130</v>
      </c>
      <c r="M46" s="54" t="s">
        <v>1173</v>
      </c>
      <c r="N46" s="102" t="s">
        <v>1204</v>
      </c>
      <c r="O46" s="87"/>
    </row>
    <row r="47" spans="1:17" s="1" customFormat="1">
      <c r="A47" s="71">
        <v>44</v>
      </c>
      <c r="B47" s="5" t="s">
        <v>166</v>
      </c>
      <c r="C47" s="5" t="s">
        <v>983</v>
      </c>
      <c r="D47" s="5" t="s">
        <v>82</v>
      </c>
      <c r="E47" s="5" t="s">
        <v>155</v>
      </c>
      <c r="F47" s="72"/>
      <c r="G47" s="74" t="s">
        <v>402</v>
      </c>
      <c r="H47" s="85"/>
      <c r="I47" s="61" t="s">
        <v>889</v>
      </c>
      <c r="J47" s="61" t="s">
        <v>938</v>
      </c>
      <c r="K47" s="102" t="s">
        <v>1131</v>
      </c>
      <c r="L47" s="61"/>
      <c r="M47" s="54" t="s">
        <v>1160</v>
      </c>
      <c r="N47" s="102" t="s">
        <v>1178</v>
      </c>
      <c r="O47" s="102" t="s">
        <v>1205</v>
      </c>
    </row>
    <row r="48" spans="1:17" s="1" customFormat="1">
      <c r="A48" s="71">
        <v>45</v>
      </c>
      <c r="B48" s="5"/>
      <c r="C48" s="5" t="s">
        <v>984</v>
      </c>
      <c r="D48" s="5" t="s">
        <v>82</v>
      </c>
      <c r="E48" s="5" t="s">
        <v>155</v>
      </c>
      <c r="F48" s="72"/>
      <c r="G48" s="74" t="s">
        <v>402</v>
      </c>
      <c r="H48" s="85"/>
      <c r="I48" s="61" t="s">
        <v>889</v>
      </c>
      <c r="J48" s="61" t="s">
        <v>893</v>
      </c>
      <c r="K48" s="102" t="s">
        <v>1131</v>
      </c>
      <c r="L48" s="61"/>
      <c r="M48" s="54" t="s">
        <v>1160</v>
      </c>
      <c r="N48" s="102" t="s">
        <v>1178</v>
      </c>
      <c r="O48" s="102" t="s">
        <v>1205</v>
      </c>
    </row>
    <row r="49" spans="1:16" s="1" customFormat="1">
      <c r="A49" s="71">
        <v>46</v>
      </c>
      <c r="B49" s="35"/>
      <c r="C49" s="35" t="s">
        <v>985</v>
      </c>
      <c r="D49" s="35" t="s">
        <v>82</v>
      </c>
      <c r="E49" s="35" t="s">
        <v>49</v>
      </c>
      <c r="F49" s="73"/>
      <c r="G49" s="75" t="s">
        <v>402</v>
      </c>
      <c r="H49" s="86"/>
      <c r="I49" s="64" t="s">
        <v>885</v>
      </c>
      <c r="J49" s="64" t="s">
        <v>938</v>
      </c>
      <c r="K49" s="104" t="s">
        <v>1131</v>
      </c>
      <c r="L49" s="64"/>
      <c r="M49" s="54" t="s">
        <v>1160</v>
      </c>
      <c r="N49" s="102" t="s">
        <v>1178</v>
      </c>
      <c r="O49" s="102" t="s">
        <v>1205</v>
      </c>
    </row>
    <row r="50" spans="1:16" s="1" customFormat="1">
      <c r="A50" s="71">
        <v>47</v>
      </c>
      <c r="B50" s="5" t="s">
        <v>167</v>
      </c>
      <c r="C50" s="5" t="s">
        <v>336</v>
      </c>
      <c r="D50" s="5" t="s">
        <v>82</v>
      </c>
      <c r="E50" s="5" t="s">
        <v>155</v>
      </c>
      <c r="F50" s="72"/>
      <c r="G50" s="74" t="s">
        <v>402</v>
      </c>
      <c r="H50" s="85"/>
      <c r="I50" s="61" t="s">
        <v>889</v>
      </c>
      <c r="J50" s="61" t="s">
        <v>893</v>
      </c>
      <c r="K50" s="102" t="s">
        <v>1131</v>
      </c>
      <c r="L50" s="61"/>
      <c r="M50" s="54" t="s">
        <v>1160</v>
      </c>
      <c r="N50" s="102" t="s">
        <v>1178</v>
      </c>
      <c r="O50" s="102" t="s">
        <v>1205</v>
      </c>
    </row>
    <row r="51" spans="1:16" s="1" customFormat="1">
      <c r="A51" s="71">
        <v>48</v>
      </c>
      <c r="B51" s="35"/>
      <c r="C51" s="35" t="s">
        <v>168</v>
      </c>
      <c r="D51" s="35" t="s">
        <v>158</v>
      </c>
      <c r="E51" s="35" t="s">
        <v>49</v>
      </c>
      <c r="F51" s="73"/>
      <c r="G51" s="80" t="s">
        <v>402</v>
      </c>
      <c r="H51" s="90"/>
      <c r="I51" s="64" t="s">
        <v>885</v>
      </c>
      <c r="J51" s="64" t="s">
        <v>938</v>
      </c>
      <c r="K51" s="104" t="s">
        <v>1131</v>
      </c>
      <c r="L51" s="64"/>
      <c r="M51" s="54" t="s">
        <v>1160</v>
      </c>
      <c r="N51" s="102" t="s">
        <v>1178</v>
      </c>
      <c r="O51" s="102" t="s">
        <v>1205</v>
      </c>
    </row>
    <row r="52" spans="1:16" s="1" customFormat="1">
      <c r="A52" s="71">
        <v>49</v>
      </c>
      <c r="B52" s="35"/>
      <c r="C52" s="35" t="s">
        <v>1125</v>
      </c>
      <c r="D52" s="35" t="s">
        <v>82</v>
      </c>
      <c r="E52" s="35" t="s">
        <v>49</v>
      </c>
      <c r="F52" s="73"/>
      <c r="G52" s="93"/>
      <c r="H52" s="94"/>
      <c r="I52" s="89"/>
      <c r="J52" s="61"/>
      <c r="K52" s="102" t="s">
        <v>1145</v>
      </c>
      <c r="L52" s="64"/>
      <c r="M52" s="54" t="s">
        <v>1160</v>
      </c>
      <c r="N52" s="102" t="s">
        <v>1178</v>
      </c>
      <c r="O52" s="102" t="s">
        <v>1205</v>
      </c>
    </row>
    <row r="53" spans="1:16" s="1" customFormat="1">
      <c r="A53" s="71">
        <v>50</v>
      </c>
      <c r="B53" s="35" t="s">
        <v>1106</v>
      </c>
      <c r="C53" s="35" t="s">
        <v>170</v>
      </c>
      <c r="D53" s="35" t="s">
        <v>82</v>
      </c>
      <c r="E53" s="35" t="s">
        <v>155</v>
      </c>
      <c r="F53" s="73"/>
      <c r="G53" s="91" t="s">
        <v>403</v>
      </c>
      <c r="H53" s="92"/>
      <c r="I53" s="64" t="s">
        <v>885</v>
      </c>
      <c r="J53" s="104" t="s">
        <v>939</v>
      </c>
      <c r="K53" s="104" t="s">
        <v>941</v>
      </c>
      <c r="L53" s="64"/>
      <c r="M53" s="54" t="s">
        <v>1160</v>
      </c>
      <c r="N53" s="102" t="s">
        <v>1178</v>
      </c>
      <c r="O53" s="102" t="s">
        <v>1205</v>
      </c>
    </row>
    <row r="54" spans="1:16" s="1" customFormat="1">
      <c r="A54" s="71">
        <v>51</v>
      </c>
      <c r="B54" s="5"/>
      <c r="C54" s="5" t="s">
        <v>986</v>
      </c>
      <c r="D54" s="5" t="s">
        <v>82</v>
      </c>
      <c r="E54" s="5" t="s">
        <v>155</v>
      </c>
      <c r="F54" s="72"/>
      <c r="G54" s="74" t="s">
        <v>432</v>
      </c>
      <c r="H54" s="85"/>
      <c r="I54" s="61" t="s">
        <v>890</v>
      </c>
      <c r="J54" s="103" t="s">
        <v>939</v>
      </c>
      <c r="K54" s="102" t="s">
        <v>952</v>
      </c>
      <c r="M54" s="54" t="s">
        <v>1131</v>
      </c>
      <c r="N54" s="102" t="s">
        <v>1160</v>
      </c>
      <c r="O54" s="102" t="s">
        <v>1178</v>
      </c>
      <c r="P54" s="102" t="s">
        <v>1205</v>
      </c>
    </row>
    <row r="55" spans="1:16" s="1" customFormat="1">
      <c r="A55" s="71">
        <v>52</v>
      </c>
      <c r="B55" s="5"/>
      <c r="C55" s="5" t="s">
        <v>337</v>
      </c>
      <c r="D55" s="5" t="s">
        <v>82</v>
      </c>
      <c r="E55" s="5" t="s">
        <v>155</v>
      </c>
      <c r="F55" s="72"/>
      <c r="G55" s="74" t="s">
        <v>402</v>
      </c>
      <c r="H55" s="85"/>
      <c r="I55" s="61" t="s">
        <v>890</v>
      </c>
      <c r="J55" s="103" t="s">
        <v>939</v>
      </c>
      <c r="K55" s="102" t="s">
        <v>1131</v>
      </c>
      <c r="L55" s="61"/>
      <c r="M55" s="54" t="s">
        <v>1160</v>
      </c>
      <c r="N55" s="102" t="s">
        <v>1170</v>
      </c>
      <c r="O55" s="102" t="s">
        <v>1205</v>
      </c>
    </row>
    <row r="56" spans="1:16" s="1" customFormat="1">
      <c r="A56" s="71">
        <v>53</v>
      </c>
      <c r="B56" s="5"/>
      <c r="C56" s="5" t="s">
        <v>987</v>
      </c>
      <c r="D56" s="5" t="s">
        <v>82</v>
      </c>
      <c r="E56" s="5" t="s">
        <v>155</v>
      </c>
      <c r="F56" s="72"/>
      <c r="G56" s="76" t="s">
        <v>441</v>
      </c>
      <c r="H56" s="85"/>
      <c r="I56" s="61" t="s">
        <v>890</v>
      </c>
      <c r="J56" s="103" t="s">
        <v>939</v>
      </c>
      <c r="K56" s="102" t="s">
        <v>1131</v>
      </c>
      <c r="M56" s="54" t="s">
        <v>1160</v>
      </c>
      <c r="N56" s="102" t="s">
        <v>1178</v>
      </c>
      <c r="O56" s="102" t="s">
        <v>1205</v>
      </c>
    </row>
    <row r="57" spans="1:16" s="1" customFormat="1">
      <c r="A57" s="71">
        <v>54</v>
      </c>
      <c r="B57" s="5" t="s">
        <v>1093</v>
      </c>
      <c r="C57" s="5" t="s">
        <v>988</v>
      </c>
      <c r="D57" s="5" t="s">
        <v>82</v>
      </c>
      <c r="E57" s="5" t="s">
        <v>1088</v>
      </c>
      <c r="F57" s="72"/>
      <c r="G57" s="76" t="s">
        <v>441</v>
      </c>
      <c r="H57" s="85"/>
      <c r="I57" s="61" t="s">
        <v>890</v>
      </c>
      <c r="J57" s="61" t="s">
        <v>937</v>
      </c>
      <c r="K57" s="102" t="s">
        <v>1131</v>
      </c>
      <c r="M57" s="54" t="s">
        <v>1160</v>
      </c>
      <c r="N57" s="102" t="s">
        <v>1178</v>
      </c>
      <c r="O57" s="102" t="s">
        <v>1205</v>
      </c>
    </row>
    <row r="58" spans="1:16" s="1" customFormat="1">
      <c r="A58" s="71">
        <v>55</v>
      </c>
      <c r="B58" s="5" t="s">
        <v>1107</v>
      </c>
      <c r="C58" s="5" t="s">
        <v>989</v>
      </c>
      <c r="D58" s="5" t="s">
        <v>82</v>
      </c>
      <c r="E58" s="5" t="s">
        <v>155</v>
      </c>
      <c r="F58" s="72"/>
      <c r="G58" s="74" t="s">
        <v>416</v>
      </c>
      <c r="H58" s="85"/>
      <c r="I58" s="61" t="s">
        <v>853</v>
      </c>
      <c r="J58" s="61" t="s">
        <v>937</v>
      </c>
      <c r="K58" s="102" t="s">
        <v>1131</v>
      </c>
      <c r="M58" s="54" t="s">
        <v>1160</v>
      </c>
      <c r="N58" s="102" t="s">
        <v>1170</v>
      </c>
      <c r="O58" s="102" t="s">
        <v>1178</v>
      </c>
      <c r="P58" s="87"/>
    </row>
    <row r="59" spans="1:16" s="1" customFormat="1">
      <c r="A59" s="71">
        <v>56</v>
      </c>
      <c r="B59" s="5" t="s">
        <v>172</v>
      </c>
      <c r="C59" s="5" t="s">
        <v>1121</v>
      </c>
      <c r="D59" s="5" t="s">
        <v>82</v>
      </c>
      <c r="E59" s="5" t="s">
        <v>155</v>
      </c>
      <c r="F59" s="72"/>
      <c r="G59" s="74" t="s">
        <v>416</v>
      </c>
      <c r="H59" s="85"/>
      <c r="I59" s="61" t="s">
        <v>890</v>
      </c>
      <c r="J59" s="103" t="s">
        <v>939</v>
      </c>
      <c r="K59" s="102" t="s">
        <v>1146</v>
      </c>
      <c r="M59" s="54" t="s">
        <v>1169</v>
      </c>
      <c r="N59" s="102" t="s">
        <v>1181</v>
      </c>
      <c r="O59" s="87"/>
    </row>
    <row r="60" spans="1:16" s="1" customFormat="1">
      <c r="A60" s="71">
        <v>57</v>
      </c>
      <c r="B60" s="5"/>
      <c r="C60" s="5" t="s">
        <v>1122</v>
      </c>
      <c r="D60" s="5" t="s">
        <v>82</v>
      </c>
      <c r="E60" s="5" t="s">
        <v>155</v>
      </c>
      <c r="F60" s="72"/>
      <c r="G60" s="74" t="s">
        <v>416</v>
      </c>
      <c r="H60" s="85"/>
      <c r="I60" s="61" t="s">
        <v>890</v>
      </c>
      <c r="J60" s="103" t="s">
        <v>939</v>
      </c>
      <c r="K60" s="102" t="s">
        <v>1146</v>
      </c>
      <c r="M60" s="54" t="s">
        <v>1169</v>
      </c>
      <c r="N60" s="102" t="s">
        <v>1181</v>
      </c>
      <c r="O60" s="87"/>
    </row>
    <row r="61" spans="1:16" s="1" customFormat="1">
      <c r="A61" s="71">
        <v>58</v>
      </c>
      <c r="B61" s="5"/>
      <c r="C61" s="5" t="s">
        <v>990</v>
      </c>
      <c r="D61" s="5" t="s">
        <v>82</v>
      </c>
      <c r="E61" s="5" t="s">
        <v>155</v>
      </c>
      <c r="F61" s="72"/>
      <c r="G61" s="74" t="s">
        <v>416</v>
      </c>
      <c r="H61" s="85"/>
      <c r="I61" s="61" t="s">
        <v>890</v>
      </c>
      <c r="J61" s="103" t="s">
        <v>939</v>
      </c>
      <c r="K61" s="102" t="s">
        <v>1146</v>
      </c>
      <c r="M61" s="54" t="s">
        <v>1169</v>
      </c>
      <c r="N61" s="102" t="s">
        <v>1181</v>
      </c>
      <c r="O61" s="87"/>
    </row>
    <row r="62" spans="1:16" s="1" customFormat="1">
      <c r="A62" s="71">
        <v>59</v>
      </c>
      <c r="B62" s="5"/>
      <c r="C62" s="35" t="s">
        <v>1211</v>
      </c>
      <c r="D62" s="35" t="s">
        <v>82</v>
      </c>
      <c r="E62" s="35" t="s">
        <v>49</v>
      </c>
      <c r="F62" s="72"/>
      <c r="G62" s="74"/>
      <c r="H62" s="85"/>
      <c r="I62" s="61"/>
      <c r="J62" s="103"/>
      <c r="K62" s="102"/>
      <c r="M62" s="54"/>
      <c r="N62" s="102"/>
      <c r="O62" s="87"/>
    </row>
    <row r="63" spans="1:16" s="1" customFormat="1">
      <c r="A63" s="71">
        <v>60</v>
      </c>
      <c r="B63" s="5"/>
      <c r="C63" s="35" t="s">
        <v>1237</v>
      </c>
      <c r="D63" s="35" t="s">
        <v>82</v>
      </c>
      <c r="E63" s="35" t="s">
        <v>49</v>
      </c>
      <c r="F63" s="72"/>
      <c r="G63" s="74"/>
      <c r="H63" s="85"/>
      <c r="I63" s="61"/>
      <c r="J63" s="103"/>
      <c r="K63" s="102"/>
      <c r="M63" s="54"/>
      <c r="N63" s="102"/>
      <c r="O63" s="87"/>
    </row>
    <row r="64" spans="1:16" s="1" customFormat="1">
      <c r="A64" s="71">
        <v>61</v>
      </c>
      <c r="B64" s="5"/>
      <c r="C64" s="35" t="s">
        <v>1238</v>
      </c>
      <c r="D64" s="35" t="s">
        <v>82</v>
      </c>
      <c r="E64" s="35" t="s">
        <v>49</v>
      </c>
      <c r="F64" s="72"/>
      <c r="G64" s="74"/>
      <c r="H64" s="85"/>
      <c r="I64" s="61"/>
      <c r="J64" s="103"/>
      <c r="K64" s="102"/>
      <c r="M64" s="54"/>
      <c r="N64" s="102"/>
      <c r="O64" s="87"/>
    </row>
    <row r="65" spans="1:15" s="1" customFormat="1">
      <c r="A65" s="71">
        <v>62</v>
      </c>
      <c r="B65" s="5"/>
      <c r="C65" s="5" t="s">
        <v>991</v>
      </c>
      <c r="D65" s="5" t="s">
        <v>82</v>
      </c>
      <c r="E65" s="5" t="s">
        <v>155</v>
      </c>
      <c r="F65" s="72"/>
      <c r="G65" s="74" t="s">
        <v>416</v>
      </c>
      <c r="H65" s="85"/>
      <c r="I65" s="61" t="s">
        <v>852</v>
      </c>
      <c r="J65" s="103" t="s">
        <v>939</v>
      </c>
      <c r="K65" s="102" t="s">
        <v>1146</v>
      </c>
      <c r="M65" s="54" t="s">
        <v>1169</v>
      </c>
      <c r="N65" s="102" t="s">
        <v>1181</v>
      </c>
      <c r="O65" s="87"/>
    </row>
    <row r="66" spans="1:15" s="1" customFormat="1">
      <c r="A66" s="71">
        <v>63</v>
      </c>
      <c r="B66" s="35" t="s">
        <v>1092</v>
      </c>
      <c r="C66" s="35" t="s">
        <v>339</v>
      </c>
      <c r="D66" s="35" t="s">
        <v>158</v>
      </c>
      <c r="E66" s="35" t="s">
        <v>49</v>
      </c>
      <c r="F66" s="73"/>
      <c r="G66" s="77" t="s">
        <v>401</v>
      </c>
      <c r="H66" s="86"/>
      <c r="I66" s="64" t="s">
        <v>885</v>
      </c>
      <c r="J66" s="104" t="s">
        <v>940</v>
      </c>
      <c r="K66" s="104" t="s">
        <v>1146</v>
      </c>
      <c r="L66" s="64"/>
      <c r="M66" s="54" t="s">
        <v>1169</v>
      </c>
      <c r="N66" s="102" t="s">
        <v>1181</v>
      </c>
      <c r="O66" s="87"/>
    </row>
    <row r="67" spans="1:15" s="1" customFormat="1">
      <c r="A67" s="71">
        <v>64</v>
      </c>
      <c r="B67" s="5"/>
      <c r="C67" s="5" t="s">
        <v>340</v>
      </c>
      <c r="D67" s="5" t="s">
        <v>82</v>
      </c>
      <c r="E67" s="5" t="s">
        <v>155</v>
      </c>
      <c r="F67" s="72"/>
      <c r="G67" s="76" t="s">
        <v>401</v>
      </c>
      <c r="H67" s="85"/>
      <c r="I67" s="61" t="s">
        <v>889</v>
      </c>
      <c r="J67" s="104" t="s">
        <v>940</v>
      </c>
      <c r="K67" s="102" t="s">
        <v>1146</v>
      </c>
      <c r="L67" s="61"/>
      <c r="M67" s="54" t="s">
        <v>1169</v>
      </c>
      <c r="N67" s="102" t="s">
        <v>1181</v>
      </c>
      <c r="O67" s="87"/>
    </row>
    <row r="68" spans="1:15" s="1" customFormat="1">
      <c r="A68" s="71">
        <v>65</v>
      </c>
      <c r="B68" s="35"/>
      <c r="C68" s="35" t="s">
        <v>992</v>
      </c>
      <c r="D68" s="35" t="s">
        <v>82</v>
      </c>
      <c r="E68" s="35" t="s">
        <v>49</v>
      </c>
      <c r="F68" s="73"/>
      <c r="G68" s="77" t="s">
        <v>401</v>
      </c>
      <c r="H68" s="86"/>
      <c r="I68" s="64" t="s">
        <v>885</v>
      </c>
      <c r="J68" s="64" t="s">
        <v>937</v>
      </c>
      <c r="K68" s="104" t="s">
        <v>1146</v>
      </c>
      <c r="L68" s="64"/>
      <c r="M68" s="54" t="s">
        <v>1169</v>
      </c>
      <c r="N68" s="102" t="s">
        <v>1181</v>
      </c>
      <c r="O68" s="87"/>
    </row>
    <row r="69" spans="1:15" s="1" customFormat="1">
      <c r="A69" s="71">
        <v>66</v>
      </c>
      <c r="B69" s="35"/>
      <c r="C69" s="35" t="s">
        <v>176</v>
      </c>
      <c r="D69" s="35" t="s">
        <v>158</v>
      </c>
      <c r="E69" s="35" t="s">
        <v>49</v>
      </c>
      <c r="F69" s="73"/>
      <c r="G69" s="77" t="s">
        <v>401</v>
      </c>
      <c r="H69" s="86"/>
      <c r="I69" s="64" t="s">
        <v>885</v>
      </c>
      <c r="J69" s="104" t="s">
        <v>940</v>
      </c>
      <c r="K69" s="104" t="s">
        <v>1146</v>
      </c>
      <c r="L69" s="64"/>
      <c r="M69" s="54" t="s">
        <v>1169</v>
      </c>
      <c r="N69" s="102" t="s">
        <v>1181</v>
      </c>
      <c r="O69" s="87"/>
    </row>
    <row r="70" spans="1:15" s="1" customFormat="1">
      <c r="A70" s="71">
        <v>67</v>
      </c>
      <c r="B70" s="35"/>
      <c r="C70" s="116" t="s">
        <v>1194</v>
      </c>
      <c r="D70" s="35" t="s">
        <v>82</v>
      </c>
      <c r="E70" s="35" t="s">
        <v>155</v>
      </c>
      <c r="F70" s="73"/>
      <c r="G70" s="77"/>
      <c r="H70" s="86"/>
      <c r="I70" s="64"/>
      <c r="J70" s="104"/>
      <c r="K70" s="104"/>
      <c r="L70" s="64"/>
      <c r="M70" s="54"/>
      <c r="N70" s="102" t="s">
        <v>1207</v>
      </c>
      <c r="O70" s="87"/>
    </row>
    <row r="71" spans="1:15" s="1" customFormat="1">
      <c r="A71" s="71">
        <v>68</v>
      </c>
      <c r="B71" s="5" t="s">
        <v>177</v>
      </c>
      <c r="C71" s="5" t="s">
        <v>993</v>
      </c>
      <c r="D71" s="5" t="s">
        <v>82</v>
      </c>
      <c r="E71" s="5" t="s">
        <v>155</v>
      </c>
      <c r="F71" s="72"/>
      <c r="G71" s="76" t="s">
        <v>401</v>
      </c>
      <c r="H71" s="85"/>
      <c r="I71" s="61" t="s">
        <v>881</v>
      </c>
      <c r="J71" s="61" t="s">
        <v>937</v>
      </c>
      <c r="K71" s="102" t="s">
        <v>1146</v>
      </c>
      <c r="L71" s="61"/>
      <c r="M71" s="54" t="s">
        <v>1169</v>
      </c>
      <c r="N71" s="102" t="s">
        <v>1181</v>
      </c>
      <c r="O71" s="87"/>
    </row>
    <row r="72" spans="1:15" s="1" customFormat="1">
      <c r="A72" s="71">
        <v>69</v>
      </c>
      <c r="B72" s="57" t="s">
        <v>177</v>
      </c>
      <c r="C72" s="57" t="s">
        <v>856</v>
      </c>
      <c r="D72" s="57" t="s">
        <v>82</v>
      </c>
      <c r="E72" s="57" t="s">
        <v>49</v>
      </c>
      <c r="F72" s="73"/>
      <c r="G72" s="75" t="s">
        <v>881</v>
      </c>
      <c r="H72" s="86"/>
      <c r="I72" s="64" t="s">
        <v>889</v>
      </c>
      <c r="J72" s="104" t="s">
        <v>940</v>
      </c>
      <c r="K72" s="104" t="s">
        <v>1148</v>
      </c>
      <c r="L72" s="64"/>
      <c r="M72" s="54" t="s">
        <v>1175</v>
      </c>
      <c r="N72" s="102" t="s">
        <v>1207</v>
      </c>
      <c r="O72" s="87"/>
    </row>
    <row r="73" spans="1:15" s="1" customFormat="1">
      <c r="A73" s="71">
        <v>70</v>
      </c>
      <c r="B73" s="5"/>
      <c r="C73" s="5" t="s">
        <v>994</v>
      </c>
      <c r="D73" s="5" t="s">
        <v>82</v>
      </c>
      <c r="E73" s="5" t="s">
        <v>155</v>
      </c>
      <c r="F73" s="72"/>
      <c r="G73" s="76" t="s">
        <v>441</v>
      </c>
      <c r="H73" s="85"/>
      <c r="I73" s="61" t="s">
        <v>881</v>
      </c>
      <c r="J73" s="107" t="s">
        <v>940</v>
      </c>
      <c r="K73" s="102" t="s">
        <v>1148</v>
      </c>
      <c r="M73" s="54" t="s">
        <v>1175</v>
      </c>
      <c r="N73" s="102" t="s">
        <v>1207</v>
      </c>
      <c r="O73" s="87"/>
    </row>
    <row r="74" spans="1:15" s="1" customFormat="1">
      <c r="A74" s="71">
        <v>71</v>
      </c>
      <c r="B74" s="5"/>
      <c r="C74" s="5" t="s">
        <v>995</v>
      </c>
      <c r="D74" s="5" t="s">
        <v>82</v>
      </c>
      <c r="E74" s="5" t="s">
        <v>155</v>
      </c>
      <c r="F74" s="72"/>
      <c r="G74" s="76" t="s">
        <v>441</v>
      </c>
      <c r="H74" s="85"/>
      <c r="I74" s="61" t="s">
        <v>881</v>
      </c>
      <c r="J74" s="107" t="s">
        <v>940</v>
      </c>
      <c r="K74" s="102" t="s">
        <v>1148</v>
      </c>
      <c r="M74" s="54" t="s">
        <v>1175</v>
      </c>
      <c r="N74" s="102" t="s">
        <v>1207</v>
      </c>
      <c r="O74" s="87"/>
    </row>
    <row r="75" spans="1:15" s="1" customFormat="1">
      <c r="A75" s="71">
        <v>72</v>
      </c>
      <c r="B75" s="5"/>
      <c r="C75" s="5" t="s">
        <v>1188</v>
      </c>
      <c r="D75" s="5"/>
      <c r="E75" s="5"/>
      <c r="F75" s="72"/>
      <c r="G75" s="76"/>
      <c r="H75" s="85"/>
      <c r="I75" s="61"/>
      <c r="J75" s="107"/>
      <c r="K75" s="102"/>
      <c r="M75" s="54"/>
      <c r="N75" s="102" t="s">
        <v>1207</v>
      </c>
      <c r="O75" s="87"/>
    </row>
    <row r="76" spans="1:15" s="1" customFormat="1">
      <c r="A76" s="71">
        <v>73</v>
      </c>
      <c r="B76" s="35"/>
      <c r="C76" s="35" t="s">
        <v>996</v>
      </c>
      <c r="D76" s="35" t="s">
        <v>373</v>
      </c>
      <c r="E76" s="35" t="s">
        <v>49</v>
      </c>
      <c r="F76" s="73"/>
      <c r="G76" s="77" t="s">
        <v>441</v>
      </c>
      <c r="H76" s="86"/>
      <c r="I76" s="64" t="s">
        <v>881</v>
      </c>
      <c r="J76" s="104" t="s">
        <v>940</v>
      </c>
      <c r="K76" s="104" t="s">
        <v>1148</v>
      </c>
      <c r="L76" s="63"/>
      <c r="M76" s="54" t="s">
        <v>1175</v>
      </c>
      <c r="N76" s="102" t="s">
        <v>1207</v>
      </c>
      <c r="O76" s="87"/>
    </row>
    <row r="77" spans="1:15" s="1" customFormat="1">
      <c r="A77" s="71">
        <v>74</v>
      </c>
      <c r="B77" s="5" t="s">
        <v>1110</v>
      </c>
      <c r="C77" s="5" t="s">
        <v>1123</v>
      </c>
      <c r="D77" s="5" t="s">
        <v>82</v>
      </c>
      <c r="E77" s="5" t="s">
        <v>155</v>
      </c>
      <c r="F77" s="72"/>
      <c r="G77" s="76" t="s">
        <v>443</v>
      </c>
      <c r="H77" s="85"/>
      <c r="I77" s="61" t="s">
        <v>889</v>
      </c>
      <c r="J77" s="102" t="s">
        <v>941</v>
      </c>
      <c r="K77" s="102" t="s">
        <v>1148</v>
      </c>
      <c r="M77" s="54" t="s">
        <v>1175</v>
      </c>
      <c r="N77" s="102" t="s">
        <v>1215</v>
      </c>
      <c r="O77" s="87"/>
    </row>
    <row r="78" spans="1:15" s="1" customFormat="1">
      <c r="A78" s="71">
        <v>75</v>
      </c>
      <c r="B78" s="5"/>
      <c r="C78" s="5" t="s">
        <v>1108</v>
      </c>
      <c r="D78" s="5" t="s">
        <v>82</v>
      </c>
      <c r="E78" s="5" t="s">
        <v>155</v>
      </c>
      <c r="F78" s="72"/>
      <c r="G78" s="76" t="s">
        <v>443</v>
      </c>
      <c r="H78" s="85"/>
      <c r="I78" s="61" t="s">
        <v>889</v>
      </c>
      <c r="J78" s="102" t="s">
        <v>941</v>
      </c>
      <c r="K78" s="102" t="s">
        <v>1148</v>
      </c>
      <c r="M78" s="54" t="s">
        <v>1175</v>
      </c>
      <c r="N78" s="102" t="s">
        <v>1215</v>
      </c>
      <c r="O78" s="87"/>
    </row>
    <row r="79" spans="1:15" s="1" customFormat="1">
      <c r="A79" s="71">
        <v>76</v>
      </c>
      <c r="B79" s="5"/>
      <c r="C79" s="5" t="s">
        <v>1109</v>
      </c>
      <c r="D79" s="5" t="s">
        <v>82</v>
      </c>
      <c r="E79" s="5" t="s">
        <v>155</v>
      </c>
      <c r="F79" s="72"/>
      <c r="G79" s="76" t="s">
        <v>443</v>
      </c>
      <c r="H79" s="85"/>
      <c r="I79" s="61" t="s">
        <v>889</v>
      </c>
      <c r="J79" s="102" t="s">
        <v>941</v>
      </c>
      <c r="K79" s="102" t="s">
        <v>1148</v>
      </c>
      <c r="M79" s="54" t="s">
        <v>1175</v>
      </c>
      <c r="N79" s="102" t="s">
        <v>1215</v>
      </c>
      <c r="O79" s="87"/>
    </row>
    <row r="80" spans="1:15" s="1" customFormat="1">
      <c r="A80" s="71">
        <v>77</v>
      </c>
      <c r="B80" s="35" t="s">
        <v>376</v>
      </c>
      <c r="C80" s="35" t="s">
        <v>997</v>
      </c>
      <c r="D80" s="35" t="s">
        <v>82</v>
      </c>
      <c r="E80" s="35" t="s">
        <v>49</v>
      </c>
      <c r="F80" s="73"/>
      <c r="G80" s="77" t="s">
        <v>443</v>
      </c>
      <c r="H80" s="86"/>
      <c r="I80" s="64" t="s">
        <v>889</v>
      </c>
      <c r="J80" s="104" t="s">
        <v>941</v>
      </c>
      <c r="K80" s="104" t="s">
        <v>1148</v>
      </c>
      <c r="L80" s="63"/>
      <c r="M80" s="54" t="s">
        <v>1175</v>
      </c>
      <c r="N80" s="102" t="s">
        <v>1215</v>
      </c>
      <c r="O80" s="87"/>
    </row>
    <row r="81" spans="1:16" s="1" customFormat="1">
      <c r="A81" s="71">
        <v>78</v>
      </c>
      <c r="B81" s="35" t="s">
        <v>376</v>
      </c>
      <c r="C81" s="35" t="s">
        <v>998</v>
      </c>
      <c r="D81" s="35" t="s">
        <v>82</v>
      </c>
      <c r="E81" s="35" t="s">
        <v>49</v>
      </c>
      <c r="F81" s="73"/>
      <c r="G81" s="77" t="s">
        <v>443</v>
      </c>
      <c r="H81" s="86"/>
      <c r="I81" s="64" t="s">
        <v>889</v>
      </c>
      <c r="J81" s="104" t="s">
        <v>941</v>
      </c>
      <c r="K81" s="104" t="s">
        <v>1148</v>
      </c>
      <c r="L81" s="63"/>
      <c r="M81" s="54" t="s">
        <v>1175</v>
      </c>
      <c r="N81" s="102" t="s">
        <v>1215</v>
      </c>
      <c r="O81" s="87"/>
    </row>
    <row r="82" spans="1:16" s="1" customFormat="1">
      <c r="A82" s="71">
        <v>79</v>
      </c>
      <c r="B82" s="5" t="s">
        <v>180</v>
      </c>
      <c r="C82" s="5" t="s">
        <v>999</v>
      </c>
      <c r="D82" s="5" t="s">
        <v>82</v>
      </c>
      <c r="E82" s="5" t="s">
        <v>155</v>
      </c>
      <c r="F82" s="72"/>
      <c r="G82" s="76" t="s">
        <v>443</v>
      </c>
      <c r="H82" s="85"/>
      <c r="I82" s="61" t="s">
        <v>891</v>
      </c>
      <c r="J82" s="102" t="s">
        <v>941</v>
      </c>
      <c r="K82" s="102" t="s">
        <v>1148</v>
      </c>
      <c r="M82" s="54" t="s">
        <v>1177</v>
      </c>
      <c r="N82" s="102" t="s">
        <v>1215</v>
      </c>
      <c r="O82" s="87"/>
    </row>
    <row r="83" spans="1:16" s="1" customFormat="1">
      <c r="A83" s="71">
        <v>80</v>
      </c>
      <c r="B83" s="5"/>
      <c r="C83" s="5" t="s">
        <v>1000</v>
      </c>
      <c r="D83" s="5" t="s">
        <v>82</v>
      </c>
      <c r="E83" s="5" t="s">
        <v>155</v>
      </c>
      <c r="F83" s="72"/>
      <c r="G83" s="76" t="s">
        <v>443</v>
      </c>
      <c r="H83" s="85"/>
      <c r="I83" s="61" t="s">
        <v>876</v>
      </c>
      <c r="J83" s="102" t="s">
        <v>941</v>
      </c>
      <c r="K83" s="102" t="s">
        <v>1151</v>
      </c>
      <c r="M83" s="54" t="s">
        <v>1177</v>
      </c>
      <c r="N83" s="102" t="s">
        <v>1215</v>
      </c>
      <c r="O83" s="87"/>
    </row>
    <row r="84" spans="1:16" s="1" customFormat="1">
      <c r="A84" s="71">
        <v>81</v>
      </c>
      <c r="B84" s="5"/>
      <c r="C84" s="5" t="s">
        <v>1001</v>
      </c>
      <c r="D84" s="5" t="s">
        <v>82</v>
      </c>
      <c r="E84" s="5" t="s">
        <v>155</v>
      </c>
      <c r="F84" s="72"/>
      <c r="G84" s="76" t="s">
        <v>444</v>
      </c>
      <c r="H84" s="85"/>
      <c r="I84" s="61" t="s">
        <v>891</v>
      </c>
      <c r="J84" s="102" t="s">
        <v>941</v>
      </c>
      <c r="K84" s="102" t="s">
        <v>1151</v>
      </c>
      <c r="M84" s="54" t="s">
        <v>1177</v>
      </c>
      <c r="N84" s="87"/>
      <c r="O84" s="87"/>
    </row>
    <row r="85" spans="1:16" s="1" customFormat="1">
      <c r="A85" s="71">
        <v>82</v>
      </c>
      <c r="B85" s="35"/>
      <c r="C85" s="35" t="s">
        <v>221</v>
      </c>
      <c r="D85" s="35" t="s">
        <v>82</v>
      </c>
      <c r="E85" s="35" t="s">
        <v>49</v>
      </c>
      <c r="F85" s="73"/>
      <c r="G85" s="77" t="s">
        <v>444</v>
      </c>
      <c r="H85" s="86"/>
      <c r="I85" s="64" t="s">
        <v>891</v>
      </c>
      <c r="J85" s="104" t="s">
        <v>941</v>
      </c>
      <c r="K85" s="104" t="s">
        <v>1151</v>
      </c>
      <c r="L85" s="63"/>
      <c r="M85" s="54" t="s">
        <v>1177</v>
      </c>
      <c r="N85" s="102" t="s">
        <v>1215</v>
      </c>
      <c r="O85" s="87"/>
    </row>
    <row r="86" spans="1:16" s="1" customFormat="1">
      <c r="A86" s="71">
        <v>83</v>
      </c>
      <c r="B86" s="5"/>
      <c r="C86" s="5" t="s">
        <v>1002</v>
      </c>
      <c r="D86" s="5" t="s">
        <v>82</v>
      </c>
      <c r="E86" s="5" t="s">
        <v>155</v>
      </c>
      <c r="F86" s="72"/>
      <c r="G86" s="76" t="s">
        <v>444</v>
      </c>
      <c r="H86" s="85"/>
      <c r="I86" s="61" t="s">
        <v>891</v>
      </c>
      <c r="J86" s="102" t="s">
        <v>941</v>
      </c>
      <c r="K86" s="102" t="s">
        <v>1151</v>
      </c>
      <c r="M86" s="54" t="s">
        <v>1177</v>
      </c>
      <c r="N86" s="102" t="s">
        <v>1215</v>
      </c>
      <c r="O86" s="87"/>
    </row>
    <row r="87" spans="1:16" s="1" customFormat="1">
      <c r="A87" s="71">
        <v>84</v>
      </c>
      <c r="B87" s="35"/>
      <c r="C87" s="35" t="s">
        <v>273</v>
      </c>
      <c r="D87" s="35" t="s">
        <v>158</v>
      </c>
      <c r="E87" s="35" t="s">
        <v>49</v>
      </c>
      <c r="F87" s="73"/>
      <c r="G87" s="77" t="s">
        <v>444</v>
      </c>
      <c r="H87" s="86"/>
      <c r="I87" s="64" t="s">
        <v>891</v>
      </c>
      <c r="J87" s="104" t="s">
        <v>941</v>
      </c>
      <c r="K87" s="104" t="s">
        <v>1151</v>
      </c>
      <c r="L87" s="63"/>
      <c r="M87" s="54" t="s">
        <v>1177</v>
      </c>
      <c r="N87" s="102" t="s">
        <v>1215</v>
      </c>
      <c r="O87" s="87"/>
    </row>
    <row r="88" spans="1:16" s="1" customFormat="1">
      <c r="A88" s="71">
        <v>85</v>
      </c>
      <c r="B88" s="35" t="s">
        <v>181</v>
      </c>
      <c r="C88" s="35" t="s">
        <v>1003</v>
      </c>
      <c r="D88" s="35" t="s">
        <v>82</v>
      </c>
      <c r="E88" s="35" t="s">
        <v>49</v>
      </c>
      <c r="F88" s="73"/>
      <c r="G88" s="77" t="s">
        <v>883</v>
      </c>
      <c r="H88" s="86"/>
      <c r="I88" s="64" t="s">
        <v>921</v>
      </c>
      <c r="J88" s="104" t="s">
        <v>1144</v>
      </c>
      <c r="K88" s="104" t="s">
        <v>1154</v>
      </c>
      <c r="L88" s="63"/>
      <c r="M88" s="54" t="s">
        <v>1177</v>
      </c>
      <c r="N88" s="57" t="s">
        <v>1217</v>
      </c>
      <c r="O88" s="87"/>
    </row>
    <row r="89" spans="1:16" s="1" customFormat="1">
      <c r="A89" s="71">
        <v>86</v>
      </c>
      <c r="B89" s="5" t="s">
        <v>181</v>
      </c>
      <c r="C89" s="5" t="s">
        <v>1004</v>
      </c>
      <c r="D89" s="5" t="s">
        <v>82</v>
      </c>
      <c r="E89" s="5" t="s">
        <v>155</v>
      </c>
      <c r="F89" s="72"/>
      <c r="G89" s="74" t="s">
        <v>407</v>
      </c>
      <c r="H89" s="85"/>
      <c r="I89" s="62" t="s">
        <v>883</v>
      </c>
      <c r="J89" s="61" t="s">
        <v>921</v>
      </c>
      <c r="K89" s="104" t="s">
        <v>1144</v>
      </c>
      <c r="L89" s="61"/>
      <c r="M89" s="54" t="s">
        <v>1154</v>
      </c>
      <c r="N89" s="54" t="s">
        <v>1177</v>
      </c>
      <c r="O89" s="117" t="s">
        <v>1217</v>
      </c>
    </row>
    <row r="90" spans="1:16" s="1" customFormat="1">
      <c r="A90" s="71">
        <v>87</v>
      </c>
      <c r="B90" s="5" t="s">
        <v>1091</v>
      </c>
      <c r="C90" s="5" t="s">
        <v>1005</v>
      </c>
      <c r="D90" s="5" t="s">
        <v>82</v>
      </c>
      <c r="E90" s="5" t="s">
        <v>155</v>
      </c>
      <c r="F90" s="72"/>
      <c r="G90" s="74" t="s">
        <v>407</v>
      </c>
      <c r="H90" s="85"/>
      <c r="I90" s="62" t="s">
        <v>883</v>
      </c>
      <c r="J90" s="61" t="s">
        <v>921</v>
      </c>
      <c r="K90" s="61" t="s">
        <v>938</v>
      </c>
      <c r="L90" s="61"/>
      <c r="M90" s="111" t="s">
        <v>1144</v>
      </c>
      <c r="N90" s="102" t="s">
        <v>1154</v>
      </c>
      <c r="O90" s="54" t="s">
        <v>1177</v>
      </c>
      <c r="P90" s="117" t="s">
        <v>1217</v>
      </c>
    </row>
    <row r="91" spans="1:16" s="1" customFormat="1">
      <c r="A91" s="71">
        <v>88</v>
      </c>
      <c r="B91" s="5"/>
      <c r="C91" s="5" t="s">
        <v>1006</v>
      </c>
      <c r="D91" s="5" t="s">
        <v>82</v>
      </c>
      <c r="E91" s="5" t="s">
        <v>155</v>
      </c>
      <c r="F91" s="72"/>
      <c r="G91" s="74" t="s">
        <v>407</v>
      </c>
      <c r="H91" s="85"/>
      <c r="I91" s="62" t="s">
        <v>883</v>
      </c>
      <c r="J91" s="61" t="s">
        <v>921</v>
      </c>
      <c r="K91" s="61" t="s">
        <v>938</v>
      </c>
      <c r="L91" s="61"/>
      <c r="M91" s="111" t="s">
        <v>1144</v>
      </c>
      <c r="N91" s="102" t="s">
        <v>1154</v>
      </c>
      <c r="O91" s="117" t="s">
        <v>1217</v>
      </c>
    </row>
    <row r="92" spans="1:16" s="1" customFormat="1">
      <c r="A92" s="71">
        <v>89</v>
      </c>
      <c r="B92" s="5" t="s">
        <v>185</v>
      </c>
      <c r="C92" s="5" t="s">
        <v>1007</v>
      </c>
      <c r="D92" s="5" t="s">
        <v>82</v>
      </c>
      <c r="E92" s="5" t="s">
        <v>155</v>
      </c>
      <c r="F92" s="72"/>
      <c r="G92" s="74" t="s">
        <v>854</v>
      </c>
      <c r="H92" s="85"/>
      <c r="I92" s="61" t="s">
        <v>894</v>
      </c>
      <c r="J92" s="107" t="s">
        <v>940</v>
      </c>
      <c r="K92" s="102" t="s">
        <v>1154</v>
      </c>
      <c r="M92" s="54" t="s">
        <v>1207</v>
      </c>
      <c r="N92" s="57"/>
      <c r="O92" s="87"/>
    </row>
    <row r="93" spans="1:16" s="1" customFormat="1">
      <c r="A93" s="71">
        <v>90</v>
      </c>
      <c r="B93" s="5"/>
      <c r="C93" s="5" t="s">
        <v>1008</v>
      </c>
      <c r="D93" s="5" t="s">
        <v>82</v>
      </c>
      <c r="E93" s="5" t="s">
        <v>155</v>
      </c>
      <c r="F93" s="72"/>
      <c r="G93" s="74" t="s">
        <v>854</v>
      </c>
      <c r="H93" s="85"/>
      <c r="I93" s="61" t="s">
        <v>894</v>
      </c>
      <c r="J93" s="102" t="s">
        <v>945</v>
      </c>
      <c r="K93" s="102" t="s">
        <v>1154</v>
      </c>
      <c r="M93" s="54" t="s">
        <v>1207</v>
      </c>
      <c r="N93" s="87"/>
      <c r="O93" s="87"/>
    </row>
    <row r="94" spans="1:16" s="1" customFormat="1">
      <c r="A94" s="71">
        <v>91</v>
      </c>
      <c r="B94" s="5"/>
      <c r="C94" s="5" t="s">
        <v>1009</v>
      </c>
      <c r="D94" s="5" t="s">
        <v>82</v>
      </c>
      <c r="E94" s="5" t="s">
        <v>155</v>
      </c>
      <c r="F94" s="72"/>
      <c r="G94" s="74" t="s">
        <v>854</v>
      </c>
      <c r="H94" s="85"/>
      <c r="I94" s="61" t="s">
        <v>894</v>
      </c>
      <c r="J94" s="102" t="s">
        <v>945</v>
      </c>
      <c r="K94" s="102" t="s">
        <v>1154</v>
      </c>
      <c r="M94" s="54" t="s">
        <v>1207</v>
      </c>
      <c r="N94" s="87"/>
      <c r="O94" s="87"/>
    </row>
    <row r="95" spans="1:16" s="1" customFormat="1">
      <c r="A95" s="71">
        <v>92</v>
      </c>
      <c r="B95" s="5"/>
      <c r="C95" s="5" t="s">
        <v>1010</v>
      </c>
      <c r="D95" s="5" t="s">
        <v>82</v>
      </c>
      <c r="E95" s="5" t="s">
        <v>155</v>
      </c>
      <c r="F95" s="72"/>
      <c r="G95" s="74" t="s">
        <v>408</v>
      </c>
      <c r="H95" s="85"/>
      <c r="I95" s="62" t="s">
        <v>883</v>
      </c>
      <c r="J95" s="102" t="s">
        <v>921</v>
      </c>
      <c r="K95" s="102" t="s">
        <v>1154</v>
      </c>
      <c r="L95" s="61"/>
      <c r="M95" s="54" t="s">
        <v>1207</v>
      </c>
      <c r="N95" s="117" t="s">
        <v>1217</v>
      </c>
      <c r="O95" s="87"/>
    </row>
    <row r="96" spans="1:16" s="1" customFormat="1">
      <c r="A96" s="71">
        <v>93</v>
      </c>
      <c r="B96" s="5" t="s">
        <v>183</v>
      </c>
      <c r="C96" s="5" t="s">
        <v>1011</v>
      </c>
      <c r="D96" s="5" t="s">
        <v>82</v>
      </c>
      <c r="E96" s="5" t="s">
        <v>155</v>
      </c>
      <c r="F96" s="72"/>
      <c r="G96" s="74" t="s">
        <v>854</v>
      </c>
      <c r="H96" s="85"/>
      <c r="I96" s="61" t="s">
        <v>894</v>
      </c>
      <c r="J96" s="102" t="s">
        <v>945</v>
      </c>
      <c r="K96" s="102" t="s">
        <v>1154</v>
      </c>
      <c r="M96" s="117" t="s">
        <v>1217</v>
      </c>
      <c r="N96" s="87"/>
      <c r="O96" s="87"/>
    </row>
    <row r="97" spans="1:15" s="1" customFormat="1">
      <c r="A97" s="71">
        <v>94</v>
      </c>
      <c r="B97" s="5"/>
      <c r="C97" s="5" t="s">
        <v>1012</v>
      </c>
      <c r="D97" s="5" t="s">
        <v>82</v>
      </c>
      <c r="E97" s="5" t="s">
        <v>155</v>
      </c>
      <c r="F97" s="72"/>
      <c r="G97" s="74" t="s">
        <v>854</v>
      </c>
      <c r="H97" s="85"/>
      <c r="I97" s="61" t="s">
        <v>894</v>
      </c>
      <c r="J97" s="102" t="s">
        <v>945</v>
      </c>
      <c r="K97" s="102" t="s">
        <v>1154</v>
      </c>
      <c r="M97" s="117" t="s">
        <v>1217</v>
      </c>
      <c r="N97" s="87"/>
      <c r="O97" s="87"/>
    </row>
    <row r="98" spans="1:15" s="1" customFormat="1">
      <c r="A98" s="71">
        <v>95</v>
      </c>
      <c r="B98" s="5" t="s">
        <v>184</v>
      </c>
      <c r="C98" s="5" t="s">
        <v>1013</v>
      </c>
      <c r="D98" s="5" t="s">
        <v>82</v>
      </c>
      <c r="E98" s="5" t="s">
        <v>155</v>
      </c>
      <c r="F98" s="72"/>
      <c r="G98" s="74" t="s">
        <v>407</v>
      </c>
      <c r="H98" s="85"/>
      <c r="I98" s="61" t="s">
        <v>913</v>
      </c>
      <c r="J98" s="102" t="s">
        <v>948</v>
      </c>
      <c r="K98" s="102" t="s">
        <v>1154</v>
      </c>
      <c r="L98" s="61"/>
      <c r="M98" s="117" t="s">
        <v>1217</v>
      </c>
      <c r="N98" s="87"/>
      <c r="O98" s="87"/>
    </row>
    <row r="99" spans="1:15" s="1" customFormat="1">
      <c r="A99" s="71">
        <v>96</v>
      </c>
      <c r="B99" s="5"/>
      <c r="C99" s="5" t="s">
        <v>1014</v>
      </c>
      <c r="D99" s="5" t="s">
        <v>82</v>
      </c>
      <c r="E99" s="5" t="s">
        <v>155</v>
      </c>
      <c r="F99" s="72"/>
      <c r="G99" s="74" t="s">
        <v>868</v>
      </c>
      <c r="H99" s="85"/>
      <c r="I99" s="61" t="s">
        <v>913</v>
      </c>
      <c r="J99" s="102" t="s">
        <v>948</v>
      </c>
      <c r="K99" s="102" t="s">
        <v>1154</v>
      </c>
      <c r="M99" s="54" t="s">
        <v>1207</v>
      </c>
      <c r="N99" s="117" t="s">
        <v>1217</v>
      </c>
      <c r="O99" s="87"/>
    </row>
    <row r="100" spans="1:15" s="1" customFormat="1">
      <c r="A100" s="71">
        <v>97</v>
      </c>
      <c r="B100" s="5" t="s">
        <v>189</v>
      </c>
      <c r="C100" s="5" t="s">
        <v>1015</v>
      </c>
      <c r="D100" s="5" t="s">
        <v>82</v>
      </c>
      <c r="E100" s="5" t="s">
        <v>155</v>
      </c>
      <c r="F100" s="72"/>
      <c r="G100" s="74" t="s">
        <v>868</v>
      </c>
      <c r="H100" s="85"/>
      <c r="I100" s="61" t="s">
        <v>913</v>
      </c>
      <c r="J100" s="102" t="s">
        <v>948</v>
      </c>
      <c r="K100" s="102" t="s">
        <v>1154</v>
      </c>
      <c r="M100" s="117" t="s">
        <v>1217</v>
      </c>
      <c r="N100" s="87"/>
      <c r="O100" s="87"/>
    </row>
    <row r="101" spans="1:15" s="1" customFormat="1">
      <c r="A101" s="71">
        <v>98</v>
      </c>
      <c r="B101" s="5" t="s">
        <v>191</v>
      </c>
      <c r="C101" s="5" t="s">
        <v>1016</v>
      </c>
      <c r="D101" s="5" t="s">
        <v>82</v>
      </c>
      <c r="E101" s="5" t="s">
        <v>155</v>
      </c>
      <c r="F101" s="72"/>
      <c r="G101" s="74" t="s">
        <v>868</v>
      </c>
      <c r="H101" s="85"/>
      <c r="I101" s="61" t="s">
        <v>913</v>
      </c>
      <c r="J101" s="102" t="s">
        <v>949</v>
      </c>
      <c r="K101" s="102" t="s">
        <v>1147</v>
      </c>
      <c r="M101" s="54" t="s">
        <v>1183</v>
      </c>
      <c r="N101" s="87"/>
      <c r="O101" s="87"/>
    </row>
    <row r="102" spans="1:15" s="1" customFormat="1">
      <c r="A102" s="71">
        <v>99</v>
      </c>
      <c r="B102" s="5"/>
      <c r="C102" s="5" t="s">
        <v>1017</v>
      </c>
      <c r="D102" s="5" t="s">
        <v>82</v>
      </c>
      <c r="E102" s="5" t="s">
        <v>155</v>
      </c>
      <c r="F102" s="72"/>
      <c r="G102" s="74" t="s">
        <v>868</v>
      </c>
      <c r="H102" s="85"/>
      <c r="I102" s="61" t="s">
        <v>913</v>
      </c>
      <c r="J102" s="102" t="s">
        <v>949</v>
      </c>
      <c r="K102" s="102" t="s">
        <v>1147</v>
      </c>
      <c r="M102" s="54" t="s">
        <v>1183</v>
      </c>
      <c r="N102" s="87"/>
      <c r="O102" s="87"/>
    </row>
    <row r="103" spans="1:15" s="1" customFormat="1">
      <c r="A103" s="71">
        <v>100</v>
      </c>
      <c r="B103" s="5" t="s">
        <v>405</v>
      </c>
      <c r="C103" s="5" t="s">
        <v>1018</v>
      </c>
      <c r="D103" s="5" t="s">
        <v>82</v>
      </c>
      <c r="E103" s="5" t="s">
        <v>155</v>
      </c>
      <c r="F103" s="72"/>
      <c r="G103" s="74" t="s">
        <v>866</v>
      </c>
      <c r="H103" s="85"/>
      <c r="I103" s="61" t="s">
        <v>913</v>
      </c>
      <c r="J103" s="102" t="s">
        <v>949</v>
      </c>
      <c r="K103" s="102" t="s">
        <v>1147</v>
      </c>
      <c r="M103" s="54" t="s">
        <v>1183</v>
      </c>
      <c r="N103" s="87"/>
      <c r="O103" s="87"/>
    </row>
    <row r="104" spans="1:15" s="1" customFormat="1">
      <c r="A104" s="71">
        <v>101</v>
      </c>
      <c r="B104" s="5"/>
      <c r="C104" s="5" t="s">
        <v>1019</v>
      </c>
      <c r="D104" s="5" t="s">
        <v>82</v>
      </c>
      <c r="E104" s="5" t="s">
        <v>155</v>
      </c>
      <c r="F104" s="72"/>
      <c r="G104" s="74" t="s">
        <v>868</v>
      </c>
      <c r="H104" s="85"/>
      <c r="I104" s="61" t="s">
        <v>913</v>
      </c>
      <c r="J104" s="102" t="s">
        <v>949</v>
      </c>
      <c r="K104" s="102" t="s">
        <v>1147</v>
      </c>
      <c r="M104" s="54" t="s">
        <v>1183</v>
      </c>
      <c r="N104" s="87"/>
      <c r="O104" s="87"/>
    </row>
    <row r="105" spans="1:15" s="1" customFormat="1">
      <c r="A105" s="71">
        <v>102</v>
      </c>
      <c r="B105" s="5" t="s">
        <v>1090</v>
      </c>
      <c r="C105" s="5" t="s">
        <v>1020</v>
      </c>
      <c r="D105" s="5" t="s">
        <v>82</v>
      </c>
      <c r="E105" s="5" t="s">
        <v>155</v>
      </c>
      <c r="F105" s="72"/>
      <c r="G105" s="74" t="s">
        <v>868</v>
      </c>
      <c r="H105" s="85"/>
      <c r="I105" s="61" t="s">
        <v>918</v>
      </c>
      <c r="J105" s="102" t="s">
        <v>949</v>
      </c>
      <c r="K105" s="102" t="s">
        <v>1147</v>
      </c>
      <c r="M105" s="54" t="s">
        <v>1183</v>
      </c>
      <c r="N105" s="57"/>
      <c r="O105" s="87"/>
    </row>
    <row r="106" spans="1:15" s="1" customFormat="1">
      <c r="A106" s="71">
        <v>103</v>
      </c>
      <c r="B106" s="35" t="s">
        <v>1089</v>
      </c>
      <c r="C106" s="35" t="s">
        <v>355</v>
      </c>
      <c r="D106" s="35" t="s">
        <v>82</v>
      </c>
      <c r="E106" s="35" t="s">
        <v>49</v>
      </c>
      <c r="F106" s="73"/>
      <c r="G106" s="75" t="s">
        <v>869</v>
      </c>
      <c r="H106" s="86"/>
      <c r="I106" s="64" t="s">
        <v>918</v>
      </c>
      <c r="J106" s="104" t="s">
        <v>950</v>
      </c>
      <c r="K106" s="104" t="s">
        <v>1147</v>
      </c>
      <c r="L106" s="63"/>
      <c r="M106" s="54" t="s">
        <v>1183</v>
      </c>
      <c r="N106" s="103" t="s">
        <v>1206</v>
      </c>
      <c r="O106" s="87"/>
    </row>
    <row r="107" spans="1:15" s="1" customFormat="1">
      <c r="A107" s="71">
        <v>104</v>
      </c>
      <c r="B107" s="5"/>
      <c r="C107" s="5" t="s">
        <v>1021</v>
      </c>
      <c r="D107" s="5" t="s">
        <v>82</v>
      </c>
      <c r="E107" s="5" t="s">
        <v>155</v>
      </c>
      <c r="F107" s="72"/>
      <c r="G107" s="74" t="s">
        <v>869</v>
      </c>
      <c r="H107" s="85"/>
      <c r="I107" s="61" t="s">
        <v>918</v>
      </c>
      <c r="J107" s="103" t="s">
        <v>950</v>
      </c>
      <c r="K107" s="102" t="s">
        <v>1147</v>
      </c>
      <c r="M107" s="54" t="s">
        <v>1183</v>
      </c>
      <c r="N107" s="103" t="s">
        <v>1206</v>
      </c>
      <c r="O107" s="87"/>
    </row>
    <row r="108" spans="1:15" s="1" customFormat="1">
      <c r="A108" s="71">
        <v>105</v>
      </c>
      <c r="B108" s="5" t="s">
        <v>188</v>
      </c>
      <c r="C108" s="5" t="s">
        <v>1022</v>
      </c>
      <c r="D108" s="5" t="s">
        <v>82</v>
      </c>
      <c r="E108" s="5" t="s">
        <v>155</v>
      </c>
      <c r="F108" s="72"/>
      <c r="G108" s="74" t="s">
        <v>869</v>
      </c>
      <c r="H108" s="85"/>
      <c r="I108" s="61" t="s">
        <v>918</v>
      </c>
      <c r="J108" s="103" t="s">
        <v>950</v>
      </c>
      <c r="K108" s="102" t="s">
        <v>1147</v>
      </c>
      <c r="M108" s="54" t="s">
        <v>1183</v>
      </c>
      <c r="N108" s="103" t="s">
        <v>1206</v>
      </c>
      <c r="O108" s="87"/>
    </row>
    <row r="109" spans="1:15" s="1" customFormat="1">
      <c r="A109" s="71">
        <v>106</v>
      </c>
      <c r="B109" s="5" t="s">
        <v>186</v>
      </c>
      <c r="C109" s="5" t="s">
        <v>1023</v>
      </c>
      <c r="D109" s="5" t="s">
        <v>82</v>
      </c>
      <c r="E109" s="5" t="s">
        <v>155</v>
      </c>
      <c r="F109" s="72"/>
      <c r="G109" s="74" t="s">
        <v>869</v>
      </c>
      <c r="H109" s="85"/>
      <c r="I109" s="61" t="s">
        <v>918</v>
      </c>
      <c r="J109" s="103" t="s">
        <v>950</v>
      </c>
      <c r="K109" s="102" t="s">
        <v>1147</v>
      </c>
      <c r="M109" s="54" t="s">
        <v>1183</v>
      </c>
      <c r="N109" s="103" t="s">
        <v>1206</v>
      </c>
      <c r="O109" s="87"/>
    </row>
    <row r="110" spans="1:15" s="1" customFormat="1">
      <c r="A110" s="71">
        <v>107</v>
      </c>
      <c r="B110" s="5"/>
      <c r="C110" s="5" t="s">
        <v>1024</v>
      </c>
      <c r="D110" s="5" t="s">
        <v>82</v>
      </c>
      <c r="E110" s="5" t="s">
        <v>1088</v>
      </c>
      <c r="F110" s="72"/>
      <c r="G110" s="74" t="s">
        <v>869</v>
      </c>
      <c r="H110" s="85"/>
      <c r="I110" s="61" t="s">
        <v>918</v>
      </c>
      <c r="J110" s="103" t="s">
        <v>950</v>
      </c>
      <c r="K110" s="102" t="s">
        <v>1150</v>
      </c>
      <c r="M110" s="54" t="s">
        <v>1183</v>
      </c>
      <c r="N110" s="103" t="s">
        <v>1206</v>
      </c>
      <c r="O110" s="87"/>
    </row>
    <row r="111" spans="1:15" s="1" customFormat="1">
      <c r="A111" s="71">
        <v>108</v>
      </c>
      <c r="B111" s="35"/>
      <c r="C111" s="35" t="s">
        <v>187</v>
      </c>
      <c r="D111" s="35" t="s">
        <v>82</v>
      </c>
      <c r="E111" s="35" t="s">
        <v>49</v>
      </c>
      <c r="F111" s="73"/>
      <c r="G111" s="75" t="s">
        <v>869</v>
      </c>
      <c r="H111" s="86"/>
      <c r="I111" s="64" t="s">
        <v>887</v>
      </c>
      <c r="J111" s="104" t="s">
        <v>950</v>
      </c>
      <c r="K111" s="104" t="s">
        <v>1150</v>
      </c>
      <c r="L111" s="63"/>
      <c r="M111" s="111" t="s">
        <v>1184</v>
      </c>
      <c r="N111" s="103" t="s">
        <v>1206</v>
      </c>
      <c r="O111" s="87"/>
    </row>
    <row r="112" spans="1:15" s="1" customFormat="1">
      <c r="A112" s="71">
        <v>109</v>
      </c>
      <c r="B112" s="5"/>
      <c r="C112" s="5" t="s">
        <v>344</v>
      </c>
      <c r="D112" s="5" t="s">
        <v>82</v>
      </c>
      <c r="E112" s="5" t="s">
        <v>155</v>
      </c>
      <c r="F112" s="72"/>
      <c r="G112" s="74" t="s">
        <v>869</v>
      </c>
      <c r="H112" s="85"/>
      <c r="I112" s="61" t="s">
        <v>918</v>
      </c>
      <c r="J112" s="103" t="s">
        <v>950</v>
      </c>
      <c r="K112" s="102" t="s">
        <v>1150</v>
      </c>
      <c r="M112" s="111" t="s">
        <v>1184</v>
      </c>
      <c r="N112" s="103" t="s">
        <v>1206</v>
      </c>
      <c r="O112" s="102" t="s">
        <v>1209</v>
      </c>
    </row>
    <row r="113" spans="1:15" s="1" customFormat="1">
      <c r="A113" s="71">
        <v>110</v>
      </c>
      <c r="B113" s="5" t="s">
        <v>194</v>
      </c>
      <c r="C113" s="5" t="s">
        <v>1025</v>
      </c>
      <c r="D113" s="5" t="s">
        <v>82</v>
      </c>
      <c r="E113" s="5" t="s">
        <v>155</v>
      </c>
      <c r="F113" s="72"/>
      <c r="G113" s="74" t="s">
        <v>869</v>
      </c>
      <c r="H113" s="85"/>
      <c r="I113" s="61" t="s">
        <v>918</v>
      </c>
      <c r="J113" s="103" t="s">
        <v>950</v>
      </c>
      <c r="K113" s="102" t="s">
        <v>1150</v>
      </c>
      <c r="M113" s="111" t="s">
        <v>1184</v>
      </c>
      <c r="N113" s="103" t="s">
        <v>1206</v>
      </c>
      <c r="O113" s="102" t="s">
        <v>1209</v>
      </c>
    </row>
    <row r="114" spans="1:15" s="1" customFormat="1">
      <c r="A114" s="71">
        <v>111</v>
      </c>
      <c r="B114" s="5" t="s">
        <v>193</v>
      </c>
      <c r="C114" s="5" t="s">
        <v>1026</v>
      </c>
      <c r="D114" s="5" t="s">
        <v>82</v>
      </c>
      <c r="E114" s="5" t="s">
        <v>155</v>
      </c>
      <c r="F114" s="72"/>
      <c r="G114" s="74" t="s">
        <v>871</v>
      </c>
      <c r="H114" s="85"/>
      <c r="I114" s="102" t="s">
        <v>942</v>
      </c>
      <c r="J114" s="102" t="s">
        <v>1150</v>
      </c>
      <c r="K114" s="102" t="s">
        <v>1150</v>
      </c>
      <c r="M114" s="111" t="s">
        <v>1184</v>
      </c>
      <c r="N114" s="103" t="s">
        <v>1206</v>
      </c>
      <c r="O114" s="102" t="s">
        <v>1209</v>
      </c>
    </row>
    <row r="115" spans="1:15" s="1" customFormat="1">
      <c r="A115" s="71">
        <v>112</v>
      </c>
      <c r="B115" s="5" t="s">
        <v>192</v>
      </c>
      <c r="C115" s="5" t="s">
        <v>378</v>
      </c>
      <c r="D115" s="5" t="s">
        <v>82</v>
      </c>
      <c r="E115" s="5" t="s">
        <v>155</v>
      </c>
      <c r="F115" s="72"/>
      <c r="G115" s="74" t="s">
        <v>866</v>
      </c>
      <c r="H115" s="85"/>
      <c r="I115" s="61" t="s">
        <v>919</v>
      </c>
      <c r="J115" s="102" t="s">
        <v>951</v>
      </c>
      <c r="K115" s="102" t="s">
        <v>1150</v>
      </c>
      <c r="M115" s="111" t="s">
        <v>1184</v>
      </c>
      <c r="N115" s="102" t="s">
        <v>1208</v>
      </c>
      <c r="O115" s="87"/>
    </row>
    <row r="116" spans="1:15" s="1" customFormat="1">
      <c r="A116" s="71">
        <v>113</v>
      </c>
      <c r="B116" s="5"/>
      <c r="C116" s="5" t="s">
        <v>295</v>
      </c>
      <c r="D116" s="5" t="s">
        <v>82</v>
      </c>
      <c r="E116" s="5" t="s">
        <v>155</v>
      </c>
      <c r="F116" s="72"/>
      <c r="G116" s="74" t="s">
        <v>871</v>
      </c>
      <c r="H116" s="85"/>
      <c r="I116" s="102" t="s">
        <v>942</v>
      </c>
      <c r="J116" s="64"/>
      <c r="K116" s="102" t="s">
        <v>1150</v>
      </c>
      <c r="M116" s="111" t="s">
        <v>1184</v>
      </c>
      <c r="N116" s="102" t="s">
        <v>1208</v>
      </c>
      <c r="O116" s="87"/>
    </row>
    <row r="117" spans="1:15" s="1" customFormat="1">
      <c r="A117" s="71">
        <v>114</v>
      </c>
      <c r="B117" s="5"/>
      <c r="C117" s="5" t="s">
        <v>369</v>
      </c>
      <c r="D117" s="5" t="s">
        <v>82</v>
      </c>
      <c r="E117" s="5" t="s">
        <v>155</v>
      </c>
      <c r="F117" s="72"/>
      <c r="G117" s="74" t="s">
        <v>871</v>
      </c>
      <c r="H117" s="85"/>
      <c r="I117" s="102" t="s">
        <v>942</v>
      </c>
      <c r="J117" s="64"/>
      <c r="K117" s="102" t="s">
        <v>1150</v>
      </c>
      <c r="M117" s="111" t="s">
        <v>1184</v>
      </c>
      <c r="N117" s="57"/>
      <c r="O117" s="87"/>
    </row>
    <row r="118" spans="1:15" s="1" customFormat="1">
      <c r="A118" s="71">
        <v>115</v>
      </c>
      <c r="B118" s="5"/>
      <c r="C118" s="5" t="s">
        <v>1027</v>
      </c>
      <c r="D118" s="5" t="s">
        <v>82</v>
      </c>
      <c r="E118" s="5" t="s">
        <v>155</v>
      </c>
      <c r="F118" s="72"/>
      <c r="G118" s="74" t="s">
        <v>418</v>
      </c>
      <c r="H118" s="85"/>
      <c r="I118" s="61" t="s">
        <v>876</v>
      </c>
      <c r="J118" s="102" t="s">
        <v>944</v>
      </c>
      <c r="K118" s="102" t="s">
        <v>1152</v>
      </c>
      <c r="M118" s="111" t="s">
        <v>1184</v>
      </c>
      <c r="N118" s="87"/>
      <c r="O118" s="87"/>
    </row>
    <row r="119" spans="1:15" s="1" customFormat="1">
      <c r="A119" s="71">
        <v>116</v>
      </c>
      <c r="B119" s="5"/>
      <c r="C119" s="5" t="s">
        <v>1028</v>
      </c>
      <c r="D119" s="5" t="s">
        <v>82</v>
      </c>
      <c r="E119" s="5" t="s">
        <v>155</v>
      </c>
      <c r="F119" s="72"/>
      <c r="G119" s="74" t="s">
        <v>418</v>
      </c>
      <c r="H119" s="85"/>
      <c r="I119" s="61" t="s">
        <v>876</v>
      </c>
      <c r="J119" s="102" t="s">
        <v>944</v>
      </c>
      <c r="K119" s="102" t="s">
        <v>1152</v>
      </c>
      <c r="M119" s="111" t="s">
        <v>1184</v>
      </c>
      <c r="N119" s="87"/>
      <c r="O119" s="87"/>
    </row>
    <row r="120" spans="1:15" s="1" customFormat="1">
      <c r="A120" s="71">
        <v>117</v>
      </c>
      <c r="B120" s="5"/>
      <c r="C120" s="5" t="s">
        <v>1029</v>
      </c>
      <c r="D120" s="5" t="s">
        <v>82</v>
      </c>
      <c r="E120" s="5" t="s">
        <v>155</v>
      </c>
      <c r="F120" s="72"/>
      <c r="G120" s="74" t="s">
        <v>876</v>
      </c>
      <c r="H120" s="85"/>
      <c r="I120" s="102" t="s">
        <v>944</v>
      </c>
      <c r="J120" s="102"/>
      <c r="K120" s="102" t="s">
        <v>1152</v>
      </c>
      <c r="M120" s="111" t="s">
        <v>1184</v>
      </c>
      <c r="N120" s="87"/>
      <c r="O120" s="87"/>
    </row>
    <row r="121" spans="1:15" s="1" customFormat="1">
      <c r="A121" s="71">
        <v>118</v>
      </c>
      <c r="B121" s="5" t="s">
        <v>195</v>
      </c>
      <c r="C121" s="5" t="s">
        <v>1030</v>
      </c>
      <c r="D121" s="5" t="s">
        <v>82</v>
      </c>
      <c r="E121" s="5" t="s">
        <v>155</v>
      </c>
      <c r="F121" s="72"/>
      <c r="G121" s="74" t="s">
        <v>418</v>
      </c>
      <c r="H121" s="85"/>
      <c r="I121" s="62" t="s">
        <v>883</v>
      </c>
      <c r="J121" s="102" t="s">
        <v>944</v>
      </c>
      <c r="K121" s="102" t="s">
        <v>1152</v>
      </c>
      <c r="M121" s="111" t="s">
        <v>1184</v>
      </c>
      <c r="N121" s="87"/>
      <c r="O121" s="87"/>
    </row>
    <row r="122" spans="1:15" s="1" customFormat="1">
      <c r="A122" s="71">
        <v>119</v>
      </c>
      <c r="B122" s="5"/>
      <c r="C122" s="5" t="s">
        <v>1031</v>
      </c>
      <c r="D122" s="5" t="s">
        <v>82</v>
      </c>
      <c r="E122" s="5" t="s">
        <v>155</v>
      </c>
      <c r="F122" s="72"/>
      <c r="G122" s="74" t="s">
        <v>418</v>
      </c>
      <c r="H122" s="85"/>
      <c r="I122" s="62" t="s">
        <v>883</v>
      </c>
      <c r="J122" s="61" t="s">
        <v>888</v>
      </c>
      <c r="K122" s="102" t="s">
        <v>944</v>
      </c>
      <c r="M122" s="54" t="s">
        <v>1152</v>
      </c>
      <c r="N122" s="87"/>
      <c r="O122" s="87"/>
    </row>
    <row r="123" spans="1:15" s="1" customFormat="1">
      <c r="A123" s="71">
        <v>120</v>
      </c>
      <c r="B123" s="5"/>
      <c r="C123" s="5" t="s">
        <v>1032</v>
      </c>
      <c r="D123" s="5" t="s">
        <v>82</v>
      </c>
      <c r="E123" s="5" t="s">
        <v>155</v>
      </c>
      <c r="F123" s="72"/>
      <c r="G123" s="76" t="s">
        <v>883</v>
      </c>
      <c r="H123" s="85"/>
      <c r="I123" s="102" t="s">
        <v>944</v>
      </c>
      <c r="J123" s="61"/>
      <c r="K123" s="102" t="s">
        <v>1152</v>
      </c>
      <c r="M123" s="109"/>
      <c r="N123" s="87"/>
      <c r="O123" s="87"/>
    </row>
    <row r="124" spans="1:15" s="1" customFormat="1">
      <c r="A124" s="71">
        <v>121</v>
      </c>
      <c r="B124" s="5" t="s">
        <v>196</v>
      </c>
      <c r="C124" s="5" t="s">
        <v>1033</v>
      </c>
      <c r="D124" s="5" t="s">
        <v>82</v>
      </c>
      <c r="E124" s="5" t="s">
        <v>155</v>
      </c>
      <c r="F124" s="72"/>
      <c r="G124" s="74" t="s">
        <v>418</v>
      </c>
      <c r="H124" s="85"/>
      <c r="I124" s="61" t="s">
        <v>866</v>
      </c>
      <c r="J124" s="61" t="s">
        <v>876</v>
      </c>
      <c r="K124" s="102" t="s">
        <v>944</v>
      </c>
      <c r="M124" s="54" t="s">
        <v>1152</v>
      </c>
      <c r="N124" s="87"/>
      <c r="O124" s="87"/>
    </row>
    <row r="125" spans="1:15" s="1" customFormat="1">
      <c r="A125" s="71">
        <v>122</v>
      </c>
      <c r="B125" s="5" t="s">
        <v>203</v>
      </c>
      <c r="C125" s="5" t="s">
        <v>1034</v>
      </c>
      <c r="D125" s="5" t="s">
        <v>82</v>
      </c>
      <c r="E125" s="5" t="s">
        <v>155</v>
      </c>
      <c r="F125" s="72"/>
      <c r="G125" s="74" t="s">
        <v>870</v>
      </c>
      <c r="H125" s="85"/>
      <c r="I125" s="61" t="s">
        <v>920</v>
      </c>
      <c r="J125" s="102" t="s">
        <v>951</v>
      </c>
      <c r="K125" s="102" t="s">
        <v>1152</v>
      </c>
      <c r="M125" s="109"/>
      <c r="N125" s="87"/>
      <c r="O125" s="87"/>
    </row>
    <row r="126" spans="1:15" s="1" customFormat="1">
      <c r="A126" s="71">
        <v>123</v>
      </c>
      <c r="B126" s="5"/>
      <c r="C126" s="35" t="s">
        <v>1239</v>
      </c>
      <c r="D126" s="5" t="s">
        <v>82</v>
      </c>
      <c r="E126" s="5"/>
      <c r="F126" s="72"/>
      <c r="G126" s="96"/>
      <c r="H126" s="97"/>
      <c r="I126" s="61"/>
      <c r="J126" s="102"/>
      <c r="K126" s="102"/>
      <c r="M126" s="109"/>
      <c r="N126" s="87"/>
      <c r="O126" s="87"/>
    </row>
    <row r="127" spans="1:15" s="1" customFormat="1">
      <c r="A127" s="71">
        <v>124</v>
      </c>
      <c r="B127" s="5"/>
      <c r="C127" s="35" t="s">
        <v>1240</v>
      </c>
      <c r="D127" s="5" t="s">
        <v>82</v>
      </c>
      <c r="E127" s="5"/>
      <c r="F127" s="72"/>
      <c r="G127" s="96"/>
      <c r="H127" s="97"/>
      <c r="I127" s="61"/>
      <c r="J127" s="102"/>
      <c r="K127" s="102"/>
      <c r="M127" s="109"/>
      <c r="N127" s="87"/>
      <c r="O127" s="87"/>
    </row>
    <row r="128" spans="1:15" s="1" customFormat="1">
      <c r="A128" s="71">
        <v>125</v>
      </c>
      <c r="B128" s="5"/>
      <c r="C128" s="5" t="s">
        <v>1035</v>
      </c>
      <c r="D128" s="5" t="s">
        <v>82</v>
      </c>
      <c r="E128" s="5" t="s">
        <v>155</v>
      </c>
      <c r="F128" s="72"/>
      <c r="G128" s="96" t="s">
        <v>870</v>
      </c>
      <c r="H128" s="97"/>
      <c r="I128" s="61" t="s">
        <v>920</v>
      </c>
      <c r="J128" s="102" t="s">
        <v>951</v>
      </c>
      <c r="K128" s="102" t="s">
        <v>1155</v>
      </c>
      <c r="M128" s="109"/>
      <c r="N128" s="87"/>
      <c r="O128" s="87"/>
    </row>
    <row r="129" spans="1:15" s="1" customFormat="1">
      <c r="A129" s="71">
        <v>126</v>
      </c>
      <c r="B129" s="5"/>
      <c r="C129" s="35" t="s">
        <v>1127</v>
      </c>
      <c r="D129" s="35" t="s">
        <v>82</v>
      </c>
      <c r="E129" s="35" t="s">
        <v>49</v>
      </c>
      <c r="F129" s="72"/>
      <c r="G129" s="100"/>
      <c r="H129" s="101"/>
      <c r="I129" s="95"/>
      <c r="J129" s="102"/>
      <c r="K129" s="104" t="s">
        <v>1155</v>
      </c>
      <c r="M129" s="109"/>
      <c r="N129" s="87"/>
      <c r="O129" s="87"/>
    </row>
    <row r="130" spans="1:15" s="1" customFormat="1">
      <c r="A130" s="71">
        <v>127</v>
      </c>
      <c r="B130" s="5"/>
      <c r="C130" s="5" t="s">
        <v>347</v>
      </c>
      <c r="D130" s="5" t="s">
        <v>82</v>
      </c>
      <c r="E130" s="5" t="s">
        <v>155</v>
      </c>
      <c r="F130" s="72"/>
      <c r="G130" s="98" t="s">
        <v>870</v>
      </c>
      <c r="H130" s="99"/>
      <c r="I130" s="61" t="s">
        <v>920</v>
      </c>
      <c r="J130" s="102" t="s">
        <v>951</v>
      </c>
      <c r="K130" s="102" t="s">
        <v>1155</v>
      </c>
      <c r="M130" s="109"/>
      <c r="N130" s="87"/>
      <c r="O130" s="87"/>
    </row>
    <row r="131" spans="1:15" s="1" customFormat="1">
      <c r="A131" s="71">
        <v>128</v>
      </c>
      <c r="B131" s="5"/>
      <c r="C131" s="35" t="s">
        <v>1193</v>
      </c>
      <c r="D131" s="5" t="s">
        <v>82</v>
      </c>
      <c r="E131" s="5"/>
      <c r="F131" s="72"/>
      <c r="G131" s="98"/>
      <c r="H131" s="99"/>
      <c r="I131" s="61"/>
      <c r="J131" s="102"/>
      <c r="K131" s="102"/>
      <c r="M131" s="109"/>
      <c r="N131" s="87"/>
      <c r="O131" s="87"/>
    </row>
    <row r="132" spans="1:15" s="1" customFormat="1">
      <c r="A132" s="71">
        <v>129</v>
      </c>
      <c r="B132" s="5"/>
      <c r="C132" s="5" t="s">
        <v>1036</v>
      </c>
      <c r="D132" s="5" t="s">
        <v>82</v>
      </c>
      <c r="E132" s="5" t="s">
        <v>155</v>
      </c>
      <c r="F132" s="72"/>
      <c r="G132" s="74" t="s">
        <v>870</v>
      </c>
      <c r="H132" s="85"/>
      <c r="I132" s="61" t="s">
        <v>920</v>
      </c>
      <c r="J132" s="102" t="s">
        <v>951</v>
      </c>
      <c r="K132" s="102" t="s">
        <v>1155</v>
      </c>
      <c r="M132" s="109"/>
      <c r="N132" s="87"/>
      <c r="O132" s="87"/>
    </row>
    <row r="133" spans="1:15" s="1" customFormat="1">
      <c r="A133" s="71">
        <v>130</v>
      </c>
      <c r="B133" s="5"/>
      <c r="C133" s="5" t="s">
        <v>1037</v>
      </c>
      <c r="D133" s="5" t="s">
        <v>82</v>
      </c>
      <c r="E133" s="5" t="s">
        <v>155</v>
      </c>
      <c r="F133" s="72"/>
      <c r="G133" s="74" t="s">
        <v>871</v>
      </c>
      <c r="H133" s="85"/>
      <c r="I133" s="61" t="s">
        <v>920</v>
      </c>
      <c r="J133" s="102" t="s">
        <v>951</v>
      </c>
      <c r="K133" s="102" t="s">
        <v>1155</v>
      </c>
      <c r="M133" s="109"/>
      <c r="N133" s="87"/>
      <c r="O133" s="87"/>
    </row>
    <row r="134" spans="1:15" s="1" customFormat="1">
      <c r="A134" s="71">
        <v>131</v>
      </c>
      <c r="B134" s="5" t="s">
        <v>1087</v>
      </c>
      <c r="C134" s="5" t="s">
        <v>1038</v>
      </c>
      <c r="D134" s="5" t="s">
        <v>82</v>
      </c>
      <c r="E134" s="5" t="s">
        <v>155</v>
      </c>
      <c r="F134" s="72"/>
      <c r="G134" s="74" t="s">
        <v>866</v>
      </c>
      <c r="H134" s="85"/>
      <c r="I134" s="61" t="s">
        <v>920</v>
      </c>
      <c r="J134" s="102" t="s">
        <v>945</v>
      </c>
      <c r="K134" s="102" t="s">
        <v>1155</v>
      </c>
      <c r="M134" s="109"/>
      <c r="N134" s="87"/>
      <c r="O134" s="87"/>
    </row>
    <row r="135" spans="1:15" s="1" customFormat="1">
      <c r="A135" s="71">
        <v>132</v>
      </c>
      <c r="B135" s="5"/>
      <c r="C135" s="5" t="s">
        <v>1120</v>
      </c>
      <c r="D135" s="5" t="s">
        <v>82</v>
      </c>
      <c r="E135" s="5" t="s">
        <v>155</v>
      </c>
      <c r="F135" s="72"/>
      <c r="G135" s="74" t="s">
        <v>871</v>
      </c>
      <c r="H135" s="85"/>
      <c r="I135" s="102" t="s">
        <v>945</v>
      </c>
      <c r="J135" s="102" t="s">
        <v>951</v>
      </c>
      <c r="K135" s="102" t="s">
        <v>1155</v>
      </c>
      <c r="M135" s="109"/>
      <c r="N135" s="87"/>
      <c r="O135" s="87"/>
    </row>
    <row r="136" spans="1:15" s="1" customFormat="1">
      <c r="A136" s="71">
        <v>133</v>
      </c>
      <c r="B136" s="5"/>
      <c r="C136" s="5" t="s">
        <v>1039</v>
      </c>
      <c r="D136" s="5" t="s">
        <v>82</v>
      </c>
      <c r="E136" s="5" t="s">
        <v>155</v>
      </c>
      <c r="F136" s="72"/>
      <c r="G136" s="74" t="s">
        <v>871</v>
      </c>
      <c r="H136" s="85"/>
      <c r="I136" s="102" t="s">
        <v>945</v>
      </c>
      <c r="J136" s="102" t="s">
        <v>951</v>
      </c>
      <c r="K136" s="102" t="s">
        <v>1155</v>
      </c>
      <c r="M136" s="109"/>
      <c r="N136" s="87"/>
      <c r="O136" s="87"/>
    </row>
    <row r="137" spans="1:15" s="1" customFormat="1">
      <c r="A137" s="71">
        <v>134</v>
      </c>
      <c r="B137" s="5"/>
      <c r="C137" s="5" t="s">
        <v>1040</v>
      </c>
      <c r="D137" s="5" t="s">
        <v>82</v>
      </c>
      <c r="E137" s="5" t="s">
        <v>155</v>
      </c>
      <c r="F137" s="72"/>
      <c r="G137" s="74" t="s">
        <v>866</v>
      </c>
      <c r="H137" s="85"/>
      <c r="I137" s="61" t="s">
        <v>920</v>
      </c>
      <c r="J137" s="102" t="s">
        <v>945</v>
      </c>
      <c r="K137" s="102" t="s">
        <v>1155</v>
      </c>
      <c r="M137" s="109"/>
      <c r="N137" s="87"/>
      <c r="O137" s="87"/>
    </row>
    <row r="138" spans="1:15" s="1" customFormat="1">
      <c r="A138" s="71">
        <v>135</v>
      </c>
      <c r="B138" s="5"/>
      <c r="C138" s="5" t="s">
        <v>1041</v>
      </c>
      <c r="D138" s="5" t="s">
        <v>82</v>
      </c>
      <c r="E138" s="5" t="s">
        <v>155</v>
      </c>
      <c r="F138" s="72"/>
      <c r="G138" s="74" t="s">
        <v>872</v>
      </c>
      <c r="H138" s="85"/>
      <c r="I138" s="102" t="s">
        <v>945</v>
      </c>
      <c r="J138" s="102"/>
      <c r="K138" s="102" t="s">
        <v>1155</v>
      </c>
      <c r="M138" s="109"/>
      <c r="N138" s="87"/>
      <c r="O138" s="87"/>
    </row>
    <row r="139" spans="1:15" s="1" customFormat="1">
      <c r="A139" s="71">
        <v>136</v>
      </c>
      <c r="B139" s="35" t="s">
        <v>199</v>
      </c>
      <c r="C139" s="35" t="s">
        <v>200</v>
      </c>
      <c r="D139" s="35" t="s">
        <v>82</v>
      </c>
      <c r="E139" s="35" t="s">
        <v>49</v>
      </c>
      <c r="F139" s="73"/>
      <c r="G139" s="75" t="s">
        <v>872</v>
      </c>
      <c r="H139" s="86"/>
      <c r="I139" s="64" t="s">
        <v>891</v>
      </c>
      <c r="J139" s="104" t="s">
        <v>945</v>
      </c>
      <c r="K139" s="102" t="s">
        <v>1157</v>
      </c>
      <c r="L139" s="63"/>
      <c r="M139" s="109"/>
      <c r="N139" s="87"/>
      <c r="O139" s="87"/>
    </row>
    <row r="140" spans="1:15" s="1" customFormat="1">
      <c r="A140" s="71">
        <v>137</v>
      </c>
      <c r="B140" s="5" t="s">
        <v>1086</v>
      </c>
      <c r="C140" s="5" t="s">
        <v>1042</v>
      </c>
      <c r="D140" s="5" t="s">
        <v>82</v>
      </c>
      <c r="E140" s="5" t="s">
        <v>159</v>
      </c>
      <c r="F140" s="72"/>
      <c r="G140" s="74" t="s">
        <v>872</v>
      </c>
      <c r="H140" s="85"/>
      <c r="I140" s="61" t="s">
        <v>923</v>
      </c>
      <c r="J140" s="102" t="s">
        <v>1124</v>
      </c>
      <c r="K140" s="102" t="s">
        <v>1157</v>
      </c>
      <c r="M140" s="109"/>
      <c r="N140" s="87"/>
      <c r="O140" s="87"/>
    </row>
    <row r="141" spans="1:15" s="1" customFormat="1">
      <c r="A141" s="71">
        <v>138</v>
      </c>
      <c r="B141" s="5" t="s">
        <v>201</v>
      </c>
      <c r="C141" s="5" t="s">
        <v>1043</v>
      </c>
      <c r="D141" s="5" t="s">
        <v>82</v>
      </c>
      <c r="E141" s="5" t="s">
        <v>155</v>
      </c>
      <c r="F141" s="72"/>
      <c r="G141" s="74" t="s">
        <v>872</v>
      </c>
      <c r="H141" s="85"/>
      <c r="I141" s="61" t="s">
        <v>923</v>
      </c>
      <c r="J141" s="102" t="s">
        <v>1124</v>
      </c>
      <c r="K141" s="102" t="s">
        <v>1157</v>
      </c>
      <c r="M141" s="109"/>
      <c r="N141" s="87"/>
      <c r="O141" s="87"/>
    </row>
    <row r="142" spans="1:15" s="1" customFormat="1">
      <c r="A142" s="71">
        <v>139</v>
      </c>
      <c r="B142" s="5"/>
      <c r="C142" s="5" t="s">
        <v>1185</v>
      </c>
      <c r="D142" s="5"/>
      <c r="E142" s="5"/>
      <c r="F142" s="72"/>
      <c r="G142" s="74"/>
      <c r="H142" s="85"/>
      <c r="I142" s="61"/>
      <c r="J142" s="102"/>
      <c r="K142" s="102"/>
      <c r="M142" s="109"/>
      <c r="N142" s="87"/>
      <c r="O142" s="87"/>
    </row>
    <row r="143" spans="1:15" s="1" customFormat="1">
      <c r="A143" s="71">
        <v>140</v>
      </c>
      <c r="B143" s="5"/>
      <c r="C143" s="5" t="s">
        <v>1044</v>
      </c>
      <c r="D143" s="5" t="s">
        <v>82</v>
      </c>
      <c r="E143" s="5" t="s">
        <v>155</v>
      </c>
      <c r="F143" s="72"/>
      <c r="G143" s="74" t="s">
        <v>872</v>
      </c>
      <c r="H143" s="85"/>
      <c r="I143" s="61" t="s">
        <v>923</v>
      </c>
      <c r="J143" s="102" t="s">
        <v>1124</v>
      </c>
      <c r="K143" s="102" t="s">
        <v>1157</v>
      </c>
      <c r="M143" s="109"/>
      <c r="N143" s="87"/>
      <c r="O143" s="87"/>
    </row>
    <row r="144" spans="1:15" s="1" customFormat="1">
      <c r="A144" s="71">
        <v>141</v>
      </c>
      <c r="B144" s="5"/>
      <c r="C144" s="5" t="s">
        <v>1045</v>
      </c>
      <c r="D144" s="5" t="s">
        <v>82</v>
      </c>
      <c r="E144" s="5" t="s">
        <v>155</v>
      </c>
      <c r="F144" s="72"/>
      <c r="G144" s="74" t="s">
        <v>872</v>
      </c>
      <c r="H144" s="85"/>
      <c r="I144" s="61" t="s">
        <v>923</v>
      </c>
      <c r="J144" s="102" t="s">
        <v>1124</v>
      </c>
      <c r="K144" s="102" t="s">
        <v>1157</v>
      </c>
      <c r="M144" s="109"/>
      <c r="N144" s="87"/>
      <c r="O144" s="87"/>
    </row>
    <row r="145" spans="1:15" s="1" customFormat="1">
      <c r="A145" s="71">
        <v>142</v>
      </c>
      <c r="B145" s="5" t="s">
        <v>1085</v>
      </c>
      <c r="C145" s="5" t="s">
        <v>1046</v>
      </c>
      <c r="D145" s="5" t="s">
        <v>82</v>
      </c>
      <c r="E145" s="5" t="s">
        <v>155</v>
      </c>
      <c r="F145" s="72"/>
      <c r="G145" s="74" t="s">
        <v>872</v>
      </c>
      <c r="H145" s="85"/>
      <c r="I145" s="61" t="s">
        <v>923</v>
      </c>
      <c r="J145" s="102" t="s">
        <v>1124</v>
      </c>
      <c r="K145" s="102" t="s">
        <v>1157</v>
      </c>
      <c r="M145" s="109"/>
      <c r="N145" s="87"/>
      <c r="O145" s="87"/>
    </row>
    <row r="146" spans="1:15" s="1" customFormat="1">
      <c r="A146" s="71">
        <v>143</v>
      </c>
      <c r="B146" s="5" t="s">
        <v>202</v>
      </c>
      <c r="C146" s="5" t="s">
        <v>1047</v>
      </c>
      <c r="D146" s="5" t="s">
        <v>82</v>
      </c>
      <c r="E146" s="5" t="s">
        <v>1088</v>
      </c>
      <c r="F146" s="72"/>
      <c r="G146" s="74" t="s">
        <v>872</v>
      </c>
      <c r="H146" s="85"/>
      <c r="I146" s="61" t="s">
        <v>923</v>
      </c>
      <c r="J146" s="102" t="s">
        <v>1124</v>
      </c>
      <c r="K146" s="102" t="s">
        <v>1157</v>
      </c>
      <c r="M146" s="109"/>
      <c r="N146" s="87"/>
      <c r="O146" s="87"/>
    </row>
    <row r="147" spans="1:15" s="1" customFormat="1">
      <c r="A147" s="71">
        <v>144</v>
      </c>
      <c r="B147" s="35" t="s">
        <v>1083</v>
      </c>
      <c r="C147" s="35" t="s">
        <v>1111</v>
      </c>
      <c r="D147" s="35" t="s">
        <v>82</v>
      </c>
      <c r="E147" s="35" t="s">
        <v>49</v>
      </c>
      <c r="F147" s="73"/>
      <c r="G147" s="75" t="s">
        <v>872</v>
      </c>
      <c r="H147" s="86"/>
      <c r="I147" s="64" t="s">
        <v>885</v>
      </c>
      <c r="J147" s="104" t="s">
        <v>1124</v>
      </c>
      <c r="K147" s="102" t="s">
        <v>1157</v>
      </c>
      <c r="L147" s="63"/>
      <c r="M147" s="110"/>
      <c r="N147" s="87"/>
      <c r="O147" s="87"/>
    </row>
    <row r="148" spans="1:15" s="1" customFormat="1">
      <c r="A148" s="71">
        <v>145</v>
      </c>
      <c r="B148" s="5" t="s">
        <v>1084</v>
      </c>
      <c r="C148" s="5" t="s">
        <v>953</v>
      </c>
      <c r="D148" s="5" t="s">
        <v>82</v>
      </c>
      <c r="E148" s="5" t="s">
        <v>155</v>
      </c>
      <c r="F148" s="72"/>
      <c r="G148" s="74" t="s">
        <v>852</v>
      </c>
      <c r="H148" s="85"/>
      <c r="I148" s="61" t="s">
        <v>923</v>
      </c>
      <c r="J148" s="102" t="s">
        <v>945</v>
      </c>
      <c r="K148" s="102" t="s">
        <v>1158</v>
      </c>
      <c r="M148" s="109"/>
      <c r="N148" s="87"/>
      <c r="O148" s="87"/>
    </row>
    <row r="149" spans="1:15" s="1" customFormat="1">
      <c r="A149" s="71">
        <v>146</v>
      </c>
      <c r="B149" s="5" t="s">
        <v>207</v>
      </c>
      <c r="C149" s="5" t="s">
        <v>207</v>
      </c>
      <c r="D149" s="5" t="s">
        <v>82</v>
      </c>
      <c r="E149" s="5" t="s">
        <v>155</v>
      </c>
      <c r="F149" s="72"/>
      <c r="G149" s="74" t="s">
        <v>873</v>
      </c>
      <c r="H149" s="85"/>
      <c r="I149" s="102" t="s">
        <v>945</v>
      </c>
      <c r="J149" s="102"/>
      <c r="K149" s="102" t="s">
        <v>1158</v>
      </c>
      <c r="M149" s="109"/>
      <c r="N149" s="87"/>
      <c r="O149" s="87"/>
    </row>
    <row r="150" spans="1:15" s="1" customFormat="1">
      <c r="A150" s="71">
        <v>147</v>
      </c>
      <c r="B150" s="35" t="s">
        <v>1112</v>
      </c>
      <c r="C150" s="35" t="s">
        <v>1048</v>
      </c>
      <c r="D150" s="35" t="s">
        <v>82</v>
      </c>
      <c r="E150" s="35" t="s">
        <v>49</v>
      </c>
      <c r="F150" s="73"/>
      <c r="G150" s="75" t="s">
        <v>408</v>
      </c>
      <c r="H150" s="86"/>
      <c r="I150" s="104" t="s">
        <v>946</v>
      </c>
      <c r="J150" s="104"/>
      <c r="K150" s="102" t="s">
        <v>1158</v>
      </c>
      <c r="L150" s="64"/>
      <c r="M150" s="110"/>
      <c r="N150" s="57"/>
      <c r="O150" s="87"/>
    </row>
    <row r="151" spans="1:15" s="1" customFormat="1">
      <c r="A151" s="71">
        <v>148</v>
      </c>
      <c r="B151" s="5"/>
      <c r="C151" s="5" t="s">
        <v>1049</v>
      </c>
      <c r="D151" s="5" t="s">
        <v>82</v>
      </c>
      <c r="E151" s="5" t="s">
        <v>155</v>
      </c>
      <c r="F151" s="72"/>
      <c r="G151" s="74" t="s">
        <v>408</v>
      </c>
      <c r="H151" s="85"/>
      <c r="I151" s="61" t="s">
        <v>866</v>
      </c>
      <c r="J151" s="104" t="s">
        <v>946</v>
      </c>
      <c r="K151" s="102" t="s">
        <v>1158</v>
      </c>
      <c r="L151" s="61"/>
      <c r="M151" s="54" t="s">
        <v>1170</v>
      </c>
      <c r="N151" s="57"/>
      <c r="O151" s="87"/>
    </row>
    <row r="152" spans="1:15" s="1" customFormat="1">
      <c r="A152" s="71">
        <v>149</v>
      </c>
      <c r="B152" s="5"/>
      <c r="C152" s="35" t="s">
        <v>1241</v>
      </c>
      <c r="D152" s="35" t="s">
        <v>82</v>
      </c>
      <c r="E152" s="35" t="s">
        <v>49</v>
      </c>
      <c r="F152" s="72"/>
      <c r="G152" s="74"/>
      <c r="H152" s="85"/>
      <c r="I152" s="61"/>
      <c r="J152" s="104"/>
      <c r="K152" s="102"/>
      <c r="L152" s="61"/>
      <c r="M152" s="54"/>
      <c r="N152" s="57"/>
      <c r="O152" s="87"/>
    </row>
    <row r="153" spans="1:15" s="1" customFormat="1">
      <c r="A153" s="71">
        <v>150</v>
      </c>
      <c r="B153" s="35"/>
      <c r="C153" s="35" t="s">
        <v>1054</v>
      </c>
      <c r="D153" s="35" t="s">
        <v>82</v>
      </c>
      <c r="E153" s="35" t="s">
        <v>49</v>
      </c>
      <c r="F153" s="73"/>
      <c r="G153" s="75" t="s">
        <v>408</v>
      </c>
      <c r="H153" s="86"/>
      <c r="I153" s="64" t="s">
        <v>928</v>
      </c>
      <c r="J153" s="104" t="s">
        <v>946</v>
      </c>
      <c r="K153" s="102" t="s">
        <v>1158</v>
      </c>
      <c r="L153" s="64"/>
      <c r="M153" s="109"/>
      <c r="N153" s="57"/>
      <c r="O153" s="87"/>
    </row>
    <row r="154" spans="1:15" s="1" customFormat="1">
      <c r="A154" s="71">
        <v>151</v>
      </c>
      <c r="B154" s="5"/>
      <c r="C154" s="5" t="s">
        <v>1050</v>
      </c>
      <c r="D154" s="5" t="s">
        <v>82</v>
      </c>
      <c r="E154" s="5" t="s">
        <v>155</v>
      </c>
      <c r="F154" s="72"/>
      <c r="G154" s="74" t="s">
        <v>873</v>
      </c>
      <c r="H154" s="85"/>
      <c r="I154" s="61" t="s">
        <v>928</v>
      </c>
      <c r="J154" s="61" t="s">
        <v>943</v>
      </c>
      <c r="K154" s="107" t="s">
        <v>946</v>
      </c>
      <c r="M154" s="54" t="s">
        <v>1158</v>
      </c>
      <c r="N154" s="87"/>
      <c r="O154" s="57"/>
    </row>
    <row r="155" spans="1:15" s="1" customFormat="1">
      <c r="A155" s="71">
        <v>152</v>
      </c>
      <c r="B155" s="5"/>
      <c r="C155" s="5" t="s">
        <v>1051</v>
      </c>
      <c r="D155" s="5" t="s">
        <v>82</v>
      </c>
      <c r="E155" s="5" t="s">
        <v>155</v>
      </c>
      <c r="F155" s="72"/>
      <c r="G155" s="74" t="s">
        <v>853</v>
      </c>
      <c r="H155" s="85"/>
      <c r="I155" s="61" t="s">
        <v>866</v>
      </c>
      <c r="J155" s="61" t="s">
        <v>892</v>
      </c>
      <c r="K155" s="61" t="s">
        <v>928</v>
      </c>
      <c r="M155" s="54" t="s">
        <v>1158</v>
      </c>
      <c r="N155" s="87"/>
      <c r="O155" s="87"/>
    </row>
    <row r="156" spans="1:15" s="1" customFormat="1">
      <c r="A156" s="71">
        <v>153</v>
      </c>
      <c r="B156" s="35"/>
      <c r="C156" s="35" t="s">
        <v>1052</v>
      </c>
      <c r="D156" s="35" t="s">
        <v>158</v>
      </c>
      <c r="E156" s="35" t="s">
        <v>49</v>
      </c>
      <c r="F156" s="73"/>
      <c r="G156" s="75" t="s">
        <v>853</v>
      </c>
      <c r="H156" s="86"/>
      <c r="I156" s="64" t="s">
        <v>886</v>
      </c>
      <c r="J156" s="64" t="s">
        <v>928</v>
      </c>
      <c r="K156" s="104" t="s">
        <v>1132</v>
      </c>
      <c r="L156" s="63"/>
      <c r="M156" s="54" t="s">
        <v>1158</v>
      </c>
      <c r="N156" s="57"/>
      <c r="O156" s="87"/>
    </row>
    <row r="157" spans="1:15" s="1" customFormat="1">
      <c r="A157" s="71">
        <v>154</v>
      </c>
      <c r="B157" s="5"/>
      <c r="C157" s="5" t="s">
        <v>1053</v>
      </c>
      <c r="D157" s="5" t="s">
        <v>82</v>
      </c>
      <c r="E157" s="5" t="s">
        <v>155</v>
      </c>
      <c r="F157" s="72"/>
      <c r="G157" s="74" t="s">
        <v>853</v>
      </c>
      <c r="H157" s="85"/>
      <c r="I157" s="68" t="s">
        <v>886</v>
      </c>
      <c r="J157" s="61" t="s">
        <v>943</v>
      </c>
      <c r="K157" s="102" t="s">
        <v>1132</v>
      </c>
      <c r="M157" s="54" t="s">
        <v>1158</v>
      </c>
      <c r="N157" s="87"/>
      <c r="O157" s="87"/>
    </row>
    <row r="158" spans="1:15" s="1" customFormat="1">
      <c r="A158" s="71">
        <v>155</v>
      </c>
      <c r="B158" s="35" t="s">
        <v>1112</v>
      </c>
      <c r="C158" s="35" t="s">
        <v>421</v>
      </c>
      <c r="D158" s="35" t="s">
        <v>82</v>
      </c>
      <c r="E158" s="35" t="s">
        <v>49</v>
      </c>
      <c r="F158" s="73"/>
      <c r="G158" s="75" t="s">
        <v>873</v>
      </c>
      <c r="H158" s="86"/>
      <c r="I158" s="64" t="s">
        <v>886</v>
      </c>
      <c r="J158" s="64" t="s">
        <v>943</v>
      </c>
      <c r="K158" s="104" t="s">
        <v>1132</v>
      </c>
      <c r="L158" s="63"/>
      <c r="M158" s="54" t="s">
        <v>1158</v>
      </c>
      <c r="N158" s="54" t="s">
        <v>1170</v>
      </c>
      <c r="O158" s="87"/>
    </row>
    <row r="159" spans="1:15" s="1" customFormat="1">
      <c r="A159" s="71">
        <v>156</v>
      </c>
      <c r="B159" s="5" t="s">
        <v>209</v>
      </c>
      <c r="C159" s="5" t="s">
        <v>1055</v>
      </c>
      <c r="D159" s="5" t="s">
        <v>82</v>
      </c>
      <c r="E159" s="5" t="s">
        <v>155</v>
      </c>
      <c r="F159" s="72"/>
      <c r="G159" s="96" t="s">
        <v>873</v>
      </c>
      <c r="H159" s="97"/>
      <c r="I159" s="61" t="s">
        <v>943</v>
      </c>
      <c r="J159" s="102" t="s">
        <v>1132</v>
      </c>
      <c r="K159" s="102" t="s">
        <v>1163</v>
      </c>
      <c r="M159" s="109"/>
      <c r="N159" s="87"/>
      <c r="O159" s="87"/>
    </row>
    <row r="160" spans="1:15" s="1" customFormat="1">
      <c r="A160" s="71">
        <v>157</v>
      </c>
      <c r="B160" s="5"/>
      <c r="C160" s="35" t="s">
        <v>1126</v>
      </c>
      <c r="D160" s="35" t="s">
        <v>82</v>
      </c>
      <c r="E160" s="35" t="s">
        <v>49</v>
      </c>
      <c r="F160" s="72"/>
      <c r="G160" s="102" t="s">
        <v>1132</v>
      </c>
      <c r="H160" s="105"/>
      <c r="I160" s="95"/>
      <c r="J160" s="61"/>
      <c r="K160" s="102" t="s">
        <v>1163</v>
      </c>
      <c r="M160" s="109"/>
      <c r="N160" s="87"/>
      <c r="O160" s="87"/>
    </row>
    <row r="161" spans="1:15" s="1" customFormat="1">
      <c r="A161" s="71">
        <v>158</v>
      </c>
      <c r="B161" s="5"/>
      <c r="C161" s="5" t="s">
        <v>1119</v>
      </c>
      <c r="D161" s="5" t="s">
        <v>82</v>
      </c>
      <c r="E161" s="5" t="s">
        <v>155</v>
      </c>
      <c r="F161" s="72"/>
      <c r="G161" s="98" t="s">
        <v>873</v>
      </c>
      <c r="H161" s="99"/>
      <c r="I161" s="61" t="s">
        <v>943</v>
      </c>
      <c r="J161" s="102" t="s">
        <v>1132</v>
      </c>
      <c r="K161" s="102" t="s">
        <v>1163</v>
      </c>
      <c r="M161" s="109"/>
      <c r="N161" s="87"/>
      <c r="O161" s="87"/>
    </row>
    <row r="162" spans="1:15" s="1" customFormat="1">
      <c r="A162" s="71">
        <v>159</v>
      </c>
      <c r="B162" s="5"/>
      <c r="C162" s="35" t="s">
        <v>1192</v>
      </c>
      <c r="D162" s="5" t="s">
        <v>82</v>
      </c>
      <c r="E162" s="5"/>
      <c r="F162" s="72"/>
      <c r="G162" s="98"/>
      <c r="H162" s="99"/>
      <c r="I162" s="61"/>
      <c r="J162" s="102"/>
      <c r="K162" s="102"/>
      <c r="M162" s="109"/>
      <c r="N162" s="87"/>
      <c r="O162" s="87"/>
    </row>
    <row r="163" spans="1:15" s="1" customFormat="1">
      <c r="A163" s="71">
        <v>160</v>
      </c>
      <c r="B163" s="5"/>
      <c r="C163" s="5" t="s">
        <v>1056</v>
      </c>
      <c r="D163" s="5" t="s">
        <v>82</v>
      </c>
      <c r="E163" s="5" t="s">
        <v>155</v>
      </c>
      <c r="F163" s="72"/>
      <c r="G163" s="74" t="s">
        <v>873</v>
      </c>
      <c r="H163" s="85"/>
      <c r="I163" s="61" t="s">
        <v>943</v>
      </c>
      <c r="J163" s="102" t="s">
        <v>1132</v>
      </c>
      <c r="K163" s="102" t="s">
        <v>1163</v>
      </c>
      <c r="M163" s="54" t="s">
        <v>1170</v>
      </c>
      <c r="N163" s="87"/>
      <c r="O163" s="87"/>
    </row>
    <row r="164" spans="1:15" s="1" customFormat="1">
      <c r="A164" s="71">
        <v>161</v>
      </c>
      <c r="B164" s="5"/>
      <c r="C164" s="5" t="s">
        <v>323</v>
      </c>
      <c r="D164" s="5" t="s">
        <v>82</v>
      </c>
      <c r="E164" s="5" t="s">
        <v>155</v>
      </c>
      <c r="F164" s="72"/>
      <c r="G164" s="74" t="s">
        <v>866</v>
      </c>
      <c r="H164" s="85"/>
      <c r="I164" s="61" t="s">
        <v>943</v>
      </c>
      <c r="J164" s="102" t="s">
        <v>1132</v>
      </c>
      <c r="K164" s="102" t="s">
        <v>1163</v>
      </c>
      <c r="M164" s="109"/>
      <c r="N164" s="87"/>
      <c r="O164" s="87"/>
    </row>
    <row r="165" spans="1:15" s="1" customFormat="1">
      <c r="A165" s="71">
        <v>162</v>
      </c>
      <c r="B165" s="5"/>
      <c r="C165" s="5" t="s">
        <v>1057</v>
      </c>
      <c r="D165" s="5" t="s">
        <v>82</v>
      </c>
      <c r="E165" s="5" t="s">
        <v>155</v>
      </c>
      <c r="F165" s="72"/>
      <c r="G165" s="74" t="s">
        <v>874</v>
      </c>
      <c r="H165" s="85"/>
      <c r="I165" s="61" t="s">
        <v>925</v>
      </c>
      <c r="J165" s="102" t="s">
        <v>1132</v>
      </c>
      <c r="K165" s="102" t="s">
        <v>1163</v>
      </c>
      <c r="M165" s="109"/>
      <c r="N165" s="87"/>
      <c r="O165" s="87"/>
    </row>
    <row r="166" spans="1:15" s="1" customFormat="1">
      <c r="A166" s="71">
        <v>163</v>
      </c>
      <c r="B166" s="5"/>
      <c r="C166" s="5" t="s">
        <v>1058</v>
      </c>
      <c r="D166" s="5" t="s">
        <v>82</v>
      </c>
      <c r="E166" s="5" t="s">
        <v>155</v>
      </c>
      <c r="F166" s="72"/>
      <c r="G166" s="74" t="s">
        <v>874</v>
      </c>
      <c r="H166" s="85"/>
      <c r="I166" s="61" t="s">
        <v>925</v>
      </c>
      <c r="J166" s="102" t="s">
        <v>1132</v>
      </c>
      <c r="K166" s="102" t="s">
        <v>1163</v>
      </c>
      <c r="M166" s="109"/>
      <c r="N166" s="87"/>
      <c r="O166" s="87"/>
    </row>
    <row r="167" spans="1:15" s="1" customFormat="1">
      <c r="A167" s="71">
        <v>164</v>
      </c>
      <c r="B167" s="5"/>
      <c r="C167" s="5" t="s">
        <v>1059</v>
      </c>
      <c r="D167" s="5" t="s">
        <v>82</v>
      </c>
      <c r="E167" s="5" t="s">
        <v>155</v>
      </c>
      <c r="F167" s="72"/>
      <c r="G167" s="74" t="s">
        <v>874</v>
      </c>
      <c r="H167" s="85"/>
      <c r="I167" s="61" t="s">
        <v>925</v>
      </c>
      <c r="J167" s="102" t="s">
        <v>1132</v>
      </c>
      <c r="K167" s="102" t="s">
        <v>1163</v>
      </c>
      <c r="M167" s="109"/>
      <c r="N167" s="87"/>
      <c r="O167" s="87"/>
    </row>
    <row r="168" spans="1:15" s="1" customFormat="1">
      <c r="A168" s="71">
        <v>165</v>
      </c>
      <c r="B168" s="35" t="s">
        <v>374</v>
      </c>
      <c r="C168" s="35" t="s">
        <v>1060</v>
      </c>
      <c r="D168" s="35" t="s">
        <v>158</v>
      </c>
      <c r="E168" s="35" t="s">
        <v>49</v>
      </c>
      <c r="F168" s="73"/>
      <c r="G168" s="75" t="s">
        <v>874</v>
      </c>
      <c r="H168" s="86"/>
      <c r="I168" s="64" t="s">
        <v>887</v>
      </c>
      <c r="J168" s="104" t="s">
        <v>1132</v>
      </c>
      <c r="K168" s="102" t="s">
        <v>1163</v>
      </c>
      <c r="L168" s="63"/>
      <c r="M168" s="110"/>
      <c r="N168" s="57"/>
      <c r="O168" s="87"/>
    </row>
    <row r="169" spans="1:15" s="1" customFormat="1">
      <c r="A169" s="71">
        <v>166</v>
      </c>
      <c r="B169" s="5"/>
      <c r="C169" s="5" t="s">
        <v>1061</v>
      </c>
      <c r="D169" s="5" t="s">
        <v>82</v>
      </c>
      <c r="E169" s="5" t="s">
        <v>155</v>
      </c>
      <c r="F169" s="72"/>
      <c r="G169" s="74" t="s">
        <v>874</v>
      </c>
      <c r="H169" s="85"/>
      <c r="I169" s="61" t="s">
        <v>925</v>
      </c>
      <c r="J169" s="102" t="s">
        <v>1132</v>
      </c>
      <c r="K169" s="102" t="s">
        <v>1163</v>
      </c>
      <c r="M169" s="109"/>
      <c r="N169" s="87"/>
      <c r="O169" s="87"/>
    </row>
    <row r="170" spans="1:15" s="1" customFormat="1">
      <c r="A170" s="71">
        <v>167</v>
      </c>
      <c r="B170" s="5"/>
      <c r="C170" s="5" t="s">
        <v>1062</v>
      </c>
      <c r="D170" s="5" t="s">
        <v>82</v>
      </c>
      <c r="E170" s="5" t="s">
        <v>155</v>
      </c>
      <c r="F170" s="72"/>
      <c r="G170" s="74" t="s">
        <v>874</v>
      </c>
      <c r="H170" s="85"/>
      <c r="I170" s="61" t="s">
        <v>925</v>
      </c>
      <c r="J170" s="102" t="s">
        <v>1132</v>
      </c>
      <c r="K170" s="102" t="s">
        <v>1163</v>
      </c>
      <c r="M170" s="109"/>
      <c r="N170" s="87"/>
      <c r="O170" s="87"/>
    </row>
    <row r="171" spans="1:15" s="1" customFormat="1">
      <c r="A171" s="71">
        <v>168</v>
      </c>
      <c r="B171" s="5" t="s">
        <v>211</v>
      </c>
      <c r="C171" s="5" t="s">
        <v>1063</v>
      </c>
      <c r="D171" s="5" t="s">
        <v>82</v>
      </c>
      <c r="E171" s="5" t="s">
        <v>155</v>
      </c>
      <c r="F171" s="72"/>
      <c r="G171" s="74" t="s">
        <v>874</v>
      </c>
      <c r="H171" s="85"/>
      <c r="I171" s="61" t="s">
        <v>925</v>
      </c>
      <c r="J171" s="102" t="s">
        <v>1134</v>
      </c>
      <c r="K171" s="102" t="s">
        <v>1165</v>
      </c>
      <c r="M171" s="109"/>
      <c r="N171" s="87"/>
      <c r="O171" s="87"/>
    </row>
    <row r="172" spans="1:15" s="1" customFormat="1">
      <c r="A172" s="71">
        <v>169</v>
      </c>
      <c r="B172" s="5"/>
      <c r="C172" s="5" t="s">
        <v>213</v>
      </c>
      <c r="D172" s="5" t="s">
        <v>82</v>
      </c>
      <c r="E172" s="5" t="s">
        <v>155</v>
      </c>
      <c r="F172" s="72"/>
      <c r="G172" s="74" t="s">
        <v>875</v>
      </c>
      <c r="H172" s="85"/>
      <c r="I172" s="61" t="s">
        <v>925</v>
      </c>
      <c r="J172" s="102" t="s">
        <v>1134</v>
      </c>
      <c r="K172" s="102" t="s">
        <v>1165</v>
      </c>
      <c r="M172" s="109"/>
      <c r="N172" s="87"/>
      <c r="O172" s="87"/>
    </row>
    <row r="173" spans="1:15" s="1" customFormat="1">
      <c r="A173" s="71">
        <v>170</v>
      </c>
      <c r="B173" s="5" t="s">
        <v>1114</v>
      </c>
      <c r="C173" s="5" t="s">
        <v>1064</v>
      </c>
      <c r="D173" s="5" t="s">
        <v>82</v>
      </c>
      <c r="E173" s="5" t="s">
        <v>155</v>
      </c>
      <c r="F173" s="72"/>
      <c r="G173" s="74" t="s">
        <v>875</v>
      </c>
      <c r="H173" s="85"/>
      <c r="I173" s="108" t="s">
        <v>924</v>
      </c>
      <c r="J173" s="102" t="s">
        <v>1134</v>
      </c>
      <c r="K173" s="102" t="s">
        <v>1165</v>
      </c>
      <c r="M173" s="110"/>
      <c r="N173" s="87"/>
      <c r="O173" s="87"/>
    </row>
    <row r="174" spans="1:15" s="1" customFormat="1">
      <c r="A174" s="71">
        <v>171</v>
      </c>
      <c r="B174" s="35" t="s">
        <v>1113</v>
      </c>
      <c r="C174" s="35" t="s">
        <v>1065</v>
      </c>
      <c r="D174" s="35" t="s">
        <v>82</v>
      </c>
      <c r="E174" s="35" t="s">
        <v>49</v>
      </c>
      <c r="F174" s="73"/>
      <c r="G174" s="75" t="s">
        <v>403</v>
      </c>
      <c r="H174" s="86"/>
      <c r="I174" s="64" t="s">
        <v>886</v>
      </c>
      <c r="J174" s="104" t="s">
        <v>946</v>
      </c>
      <c r="K174" s="102" t="s">
        <v>1165</v>
      </c>
      <c r="L174" s="64"/>
      <c r="M174" s="110"/>
      <c r="N174" s="57"/>
      <c r="O174" s="87"/>
    </row>
    <row r="175" spans="1:15" s="1" customFormat="1">
      <c r="A175" s="71">
        <v>172</v>
      </c>
      <c r="B175" s="35" t="s">
        <v>1113</v>
      </c>
      <c r="C175" s="35" t="s">
        <v>1066</v>
      </c>
      <c r="D175" s="35" t="s">
        <v>158</v>
      </c>
      <c r="E175" s="35" t="s">
        <v>49</v>
      </c>
      <c r="F175" s="73"/>
      <c r="G175" s="75" t="s">
        <v>875</v>
      </c>
      <c r="H175" s="86"/>
      <c r="I175" s="64" t="s">
        <v>886</v>
      </c>
      <c r="J175" s="104" t="s">
        <v>946</v>
      </c>
      <c r="K175" s="102" t="s">
        <v>1165</v>
      </c>
      <c r="L175" s="63"/>
      <c r="M175" s="110"/>
      <c r="N175" s="57"/>
      <c r="O175" s="87"/>
    </row>
    <row r="176" spans="1:15" s="1" customFormat="1">
      <c r="A176" s="71">
        <v>173</v>
      </c>
      <c r="B176" s="5" t="s">
        <v>1115</v>
      </c>
      <c r="C176" s="5" t="s">
        <v>1067</v>
      </c>
      <c r="D176" s="5" t="s">
        <v>82</v>
      </c>
      <c r="E176" s="5" t="s">
        <v>155</v>
      </c>
      <c r="F176" s="72"/>
      <c r="G176" s="74" t="s">
        <v>875</v>
      </c>
      <c r="H176" s="85"/>
      <c r="I176" s="64" t="s">
        <v>924</v>
      </c>
      <c r="J176" s="102" t="s">
        <v>1134</v>
      </c>
      <c r="K176" s="102" t="s">
        <v>1165</v>
      </c>
      <c r="M176" s="110"/>
      <c r="N176" s="87"/>
      <c r="O176" s="87"/>
    </row>
    <row r="177" spans="1:15" s="1" customFormat="1">
      <c r="A177" s="71">
        <v>174</v>
      </c>
      <c r="B177" s="35" t="s">
        <v>1116</v>
      </c>
      <c r="C177" s="35" t="s">
        <v>415</v>
      </c>
      <c r="D177" s="35" t="s">
        <v>82</v>
      </c>
      <c r="E177" s="35" t="s">
        <v>49</v>
      </c>
      <c r="F177" s="73"/>
      <c r="G177" s="75" t="s">
        <v>875</v>
      </c>
      <c r="H177" s="86"/>
      <c r="I177" s="64" t="s">
        <v>887</v>
      </c>
      <c r="J177" s="64" t="s">
        <v>925</v>
      </c>
      <c r="K177" s="104" t="s">
        <v>1134</v>
      </c>
      <c r="L177" s="63"/>
      <c r="M177" s="54" t="s">
        <v>1165</v>
      </c>
      <c r="N177" s="57"/>
      <c r="O177" s="87"/>
    </row>
    <row r="178" spans="1:15" s="1" customFormat="1">
      <c r="A178" s="71">
        <v>175</v>
      </c>
      <c r="B178" s="35"/>
      <c r="C178" s="35" t="s">
        <v>329</v>
      </c>
      <c r="D178" s="35" t="s">
        <v>158</v>
      </c>
      <c r="E178" s="35" t="s">
        <v>49</v>
      </c>
      <c r="F178" s="73"/>
      <c r="G178" s="75" t="s">
        <v>875</v>
      </c>
      <c r="H178" s="86"/>
      <c r="I178" s="64" t="s">
        <v>887</v>
      </c>
      <c r="J178" s="64" t="s">
        <v>924</v>
      </c>
      <c r="K178" s="104" t="s">
        <v>1134</v>
      </c>
      <c r="L178" s="63"/>
      <c r="M178" s="54" t="s">
        <v>1165</v>
      </c>
      <c r="N178" s="57"/>
      <c r="O178" s="87"/>
    </row>
    <row r="179" spans="1:15" s="1" customFormat="1">
      <c r="A179" s="71">
        <v>176</v>
      </c>
      <c r="B179" s="5"/>
      <c r="C179" s="5" t="s">
        <v>1068</v>
      </c>
      <c r="D179" s="5" t="s">
        <v>82</v>
      </c>
      <c r="E179" s="5" t="s">
        <v>155</v>
      </c>
      <c r="F179" s="72"/>
      <c r="G179" s="74" t="s">
        <v>875</v>
      </c>
      <c r="H179" s="85"/>
      <c r="I179" s="61" t="s">
        <v>911</v>
      </c>
      <c r="J179" s="69" t="s">
        <v>924</v>
      </c>
      <c r="K179" s="102" t="s">
        <v>1134</v>
      </c>
      <c r="M179" s="54" t="s">
        <v>1165</v>
      </c>
      <c r="N179" s="88"/>
      <c r="O179" s="87"/>
    </row>
    <row r="180" spans="1:15" s="1" customFormat="1">
      <c r="A180" s="71">
        <v>177</v>
      </c>
      <c r="B180" s="35" t="s">
        <v>428</v>
      </c>
      <c r="C180" s="35" t="s">
        <v>396</v>
      </c>
      <c r="D180" s="35" t="s">
        <v>82</v>
      </c>
      <c r="E180" s="35" t="s">
        <v>49</v>
      </c>
      <c r="F180" s="73"/>
      <c r="G180" s="75" t="s">
        <v>875</v>
      </c>
      <c r="H180" s="86"/>
      <c r="I180" s="64" t="s">
        <v>886</v>
      </c>
      <c r="J180" s="64" t="s">
        <v>938</v>
      </c>
      <c r="K180" s="104" t="s">
        <v>1153</v>
      </c>
      <c r="L180" s="63"/>
      <c r="M180" s="54" t="s">
        <v>1165</v>
      </c>
      <c r="N180" s="57"/>
      <c r="O180" s="87"/>
    </row>
    <row r="181" spans="1:15" s="1" customFormat="1">
      <c r="A181" s="71">
        <v>178</v>
      </c>
      <c r="B181" s="5"/>
      <c r="C181" s="5" t="s">
        <v>1118</v>
      </c>
      <c r="D181" s="5" t="s">
        <v>82</v>
      </c>
      <c r="E181" s="5" t="s">
        <v>155</v>
      </c>
      <c r="F181" s="72"/>
      <c r="G181" s="74" t="s">
        <v>875</v>
      </c>
      <c r="H181" s="85"/>
      <c r="I181" s="69" t="s">
        <v>924</v>
      </c>
      <c r="J181" s="102" t="s">
        <v>1134</v>
      </c>
      <c r="K181" s="102" t="s">
        <v>1153</v>
      </c>
      <c r="M181" s="54" t="s">
        <v>1165</v>
      </c>
      <c r="N181" s="87"/>
      <c r="O181" s="87"/>
    </row>
    <row r="182" spans="1:15" s="1" customFormat="1">
      <c r="A182" s="71">
        <v>179</v>
      </c>
      <c r="B182" s="35" t="s">
        <v>215</v>
      </c>
      <c r="C182" s="35" t="s">
        <v>1069</v>
      </c>
      <c r="D182" s="35" t="s">
        <v>158</v>
      </c>
      <c r="E182" s="35" t="s">
        <v>49</v>
      </c>
      <c r="F182" s="73"/>
      <c r="G182" s="75" t="s">
        <v>875</v>
      </c>
      <c r="H182" s="86"/>
      <c r="I182" s="64" t="s">
        <v>924</v>
      </c>
      <c r="J182" s="104" t="s">
        <v>1134</v>
      </c>
      <c r="K182" s="104" t="s">
        <v>1153</v>
      </c>
      <c r="L182" s="63"/>
      <c r="M182" s="54" t="s">
        <v>1165</v>
      </c>
      <c r="N182" s="57"/>
      <c r="O182" s="87"/>
    </row>
    <row r="183" spans="1:15" s="1" customFormat="1">
      <c r="A183" s="71">
        <v>180</v>
      </c>
      <c r="B183" s="5" t="s">
        <v>1082</v>
      </c>
      <c r="C183" s="5" t="s">
        <v>1117</v>
      </c>
      <c r="D183" s="5" t="s">
        <v>82</v>
      </c>
      <c r="E183" s="5" t="s">
        <v>155</v>
      </c>
      <c r="F183" s="72"/>
      <c r="G183" s="74" t="s">
        <v>409</v>
      </c>
      <c r="H183" s="85"/>
      <c r="I183" s="102" t="s">
        <v>947</v>
      </c>
      <c r="J183" s="102" t="s">
        <v>1153</v>
      </c>
      <c r="K183" s="102" t="s">
        <v>1171</v>
      </c>
      <c r="M183" s="109"/>
      <c r="N183" s="87"/>
      <c r="O183" s="87"/>
    </row>
    <row r="184" spans="1:15" s="1" customFormat="1">
      <c r="A184" s="71">
        <v>181</v>
      </c>
      <c r="B184" s="5"/>
      <c r="C184" s="5" t="s">
        <v>1070</v>
      </c>
      <c r="D184" s="5" t="s">
        <v>82</v>
      </c>
      <c r="E184" s="5" t="s">
        <v>155</v>
      </c>
      <c r="F184" s="72"/>
      <c r="G184" s="74" t="s">
        <v>409</v>
      </c>
      <c r="H184" s="85"/>
      <c r="I184" s="102" t="s">
        <v>947</v>
      </c>
      <c r="J184" s="102" t="s">
        <v>1153</v>
      </c>
      <c r="K184" s="102" t="s">
        <v>1171</v>
      </c>
      <c r="M184" s="109"/>
      <c r="N184" s="87"/>
      <c r="O184" s="87"/>
    </row>
    <row r="185" spans="1:15" s="1" customFormat="1">
      <c r="A185" s="71">
        <v>182</v>
      </c>
      <c r="B185" s="5"/>
      <c r="C185" s="5" t="s">
        <v>1071</v>
      </c>
      <c r="D185" s="5" t="s">
        <v>82</v>
      </c>
      <c r="E185" s="5" t="s">
        <v>155</v>
      </c>
      <c r="F185" s="72"/>
      <c r="G185" s="74" t="s">
        <v>409</v>
      </c>
      <c r="H185" s="85"/>
      <c r="I185" s="61" t="s">
        <v>933</v>
      </c>
      <c r="J185" s="102" t="s">
        <v>947</v>
      </c>
      <c r="K185" s="102" t="s">
        <v>1153</v>
      </c>
      <c r="M185" s="102" t="s">
        <v>1171</v>
      </c>
      <c r="N185" s="87"/>
      <c r="O185" s="87"/>
    </row>
    <row r="186" spans="1:15" s="1" customFormat="1">
      <c r="A186" s="71">
        <v>183</v>
      </c>
      <c r="B186" s="5"/>
      <c r="C186" s="5" t="s">
        <v>349</v>
      </c>
      <c r="D186" s="5" t="s">
        <v>82</v>
      </c>
      <c r="E186" s="5" t="s">
        <v>155</v>
      </c>
      <c r="F186" s="72"/>
      <c r="G186" s="74" t="s">
        <v>409</v>
      </c>
      <c r="H186" s="85"/>
      <c r="I186" s="102" t="s">
        <v>947</v>
      </c>
      <c r="J186" s="102" t="s">
        <v>1153</v>
      </c>
      <c r="K186" s="102" t="s">
        <v>1171</v>
      </c>
      <c r="M186" s="109"/>
      <c r="N186" s="87"/>
      <c r="O186" s="87"/>
    </row>
    <row r="187" spans="1:15" s="1" customFormat="1">
      <c r="A187" s="71">
        <v>184</v>
      </c>
      <c r="B187" s="5"/>
      <c r="C187" s="5" t="s">
        <v>1079</v>
      </c>
      <c r="D187" s="5" t="s">
        <v>82</v>
      </c>
      <c r="E187" s="5" t="s">
        <v>155</v>
      </c>
      <c r="F187" s="72"/>
      <c r="G187" s="74" t="s">
        <v>409</v>
      </c>
      <c r="H187" s="85"/>
      <c r="I187" s="102" t="s">
        <v>947</v>
      </c>
      <c r="J187" s="102" t="s">
        <v>1153</v>
      </c>
      <c r="K187" s="102" t="s">
        <v>1171</v>
      </c>
      <c r="M187" s="109"/>
      <c r="N187" s="87"/>
      <c r="O187" s="87"/>
    </row>
    <row r="188" spans="1:15" s="1" customFormat="1">
      <c r="A188" s="71">
        <v>185</v>
      </c>
      <c r="B188" s="5" t="s">
        <v>385</v>
      </c>
      <c r="C188" s="5" t="s">
        <v>1072</v>
      </c>
      <c r="D188" s="5" t="s">
        <v>158</v>
      </c>
      <c r="E188" s="5"/>
      <c r="F188" s="72"/>
      <c r="G188" s="74" t="s">
        <v>867</v>
      </c>
      <c r="H188" s="85"/>
      <c r="I188" s="61" t="s">
        <v>927</v>
      </c>
      <c r="J188" s="102" t="s">
        <v>1133</v>
      </c>
      <c r="K188" s="102" t="s">
        <v>1164</v>
      </c>
      <c r="M188" s="54" t="s">
        <v>1172</v>
      </c>
      <c r="N188" s="102" t="s">
        <v>1179</v>
      </c>
      <c r="O188" s="102" t="s">
        <v>1187</v>
      </c>
    </row>
    <row r="189" spans="1:15" s="1" customFormat="1">
      <c r="A189" s="71">
        <v>186</v>
      </c>
      <c r="B189" s="5" t="s">
        <v>385</v>
      </c>
      <c r="C189" s="5" t="s">
        <v>1073</v>
      </c>
      <c r="D189" s="5"/>
      <c r="E189" s="5"/>
      <c r="F189" s="72"/>
      <c r="G189" s="74" t="s">
        <v>867</v>
      </c>
      <c r="H189" s="85"/>
      <c r="I189" s="61" t="s">
        <v>927</v>
      </c>
      <c r="J189" s="102" t="s">
        <v>1133</v>
      </c>
      <c r="K189" s="102" t="s">
        <v>1164</v>
      </c>
      <c r="M189" s="54" t="s">
        <v>1172</v>
      </c>
      <c r="N189" s="102" t="s">
        <v>1179</v>
      </c>
      <c r="O189" s="102" t="s">
        <v>1187</v>
      </c>
    </row>
    <row r="190" spans="1:15" s="1" customFormat="1">
      <c r="A190" s="71">
        <v>187</v>
      </c>
      <c r="B190" s="5" t="s">
        <v>385</v>
      </c>
      <c r="C190" s="5" t="s">
        <v>1074</v>
      </c>
      <c r="D190" s="5" t="s">
        <v>1216</v>
      </c>
      <c r="E190" s="5"/>
      <c r="F190" s="72"/>
      <c r="G190" s="74" t="s">
        <v>867</v>
      </c>
      <c r="H190" s="85"/>
      <c r="I190" s="61" t="s">
        <v>927</v>
      </c>
      <c r="J190" s="102" t="s">
        <v>1133</v>
      </c>
      <c r="K190" s="102" t="s">
        <v>1164</v>
      </c>
      <c r="M190" s="54" t="s">
        <v>1172</v>
      </c>
      <c r="N190" s="102" t="s">
        <v>1179</v>
      </c>
      <c r="O190" s="102" t="s">
        <v>1187</v>
      </c>
    </row>
    <row r="191" spans="1:15" s="1" customFormat="1">
      <c r="A191" s="71">
        <v>188</v>
      </c>
      <c r="B191" s="5" t="s">
        <v>385</v>
      </c>
      <c r="C191" s="5" t="s">
        <v>1075</v>
      </c>
      <c r="D191" s="5" t="s">
        <v>1081</v>
      </c>
      <c r="E191" s="5"/>
      <c r="F191" s="72"/>
      <c r="G191" s="74" t="s">
        <v>867</v>
      </c>
      <c r="H191" s="85"/>
      <c r="I191" s="61" t="s">
        <v>927</v>
      </c>
      <c r="J191" s="102" t="s">
        <v>1133</v>
      </c>
      <c r="K191" s="102" t="s">
        <v>1164</v>
      </c>
      <c r="M191" s="54" t="s">
        <v>1172</v>
      </c>
      <c r="N191" s="102" t="s">
        <v>1179</v>
      </c>
      <c r="O191" s="102" t="s">
        <v>1187</v>
      </c>
    </row>
    <row r="192" spans="1:15" s="1" customFormat="1">
      <c r="A192" s="71">
        <v>189</v>
      </c>
      <c r="B192" s="5" t="s">
        <v>385</v>
      </c>
      <c r="C192" s="5" t="s">
        <v>1078</v>
      </c>
      <c r="D192" s="5" t="s">
        <v>82</v>
      </c>
      <c r="E192" s="5" t="s">
        <v>159</v>
      </c>
      <c r="F192" s="72"/>
      <c r="G192" s="74" t="s">
        <v>867</v>
      </c>
      <c r="H192" s="85"/>
      <c r="I192" s="61" t="s">
        <v>927</v>
      </c>
      <c r="J192" s="102" t="s">
        <v>1133</v>
      </c>
      <c r="K192" s="102" t="s">
        <v>1164</v>
      </c>
      <c r="M192" s="54" t="s">
        <v>1172</v>
      </c>
      <c r="N192" s="102" t="s">
        <v>1179</v>
      </c>
      <c r="O192" s="102" t="s">
        <v>1187</v>
      </c>
    </row>
    <row r="193" spans="1:260" s="1" customFormat="1">
      <c r="A193" s="71">
        <v>190</v>
      </c>
      <c r="B193" s="5" t="s">
        <v>385</v>
      </c>
      <c r="C193" s="35" t="s">
        <v>1191</v>
      </c>
      <c r="D193" s="35" t="s">
        <v>82</v>
      </c>
      <c r="E193" s="5"/>
      <c r="F193" s="72"/>
      <c r="G193" s="74"/>
      <c r="H193" s="85"/>
      <c r="I193" s="61"/>
      <c r="J193" s="102"/>
      <c r="K193" s="102"/>
      <c r="M193" s="54"/>
      <c r="N193" s="102"/>
      <c r="O193" s="102"/>
    </row>
    <row r="194" spans="1:260" s="1" customFormat="1">
      <c r="A194" s="71">
        <v>191</v>
      </c>
      <c r="B194" s="5" t="s">
        <v>385</v>
      </c>
      <c r="C194" s="5" t="s">
        <v>1242</v>
      </c>
      <c r="D194" s="5" t="s">
        <v>82</v>
      </c>
      <c r="E194" s="5" t="s">
        <v>159</v>
      </c>
      <c r="F194" s="72"/>
      <c r="G194" s="74" t="s">
        <v>867</v>
      </c>
      <c r="H194" s="85"/>
      <c r="I194" s="61" t="s">
        <v>927</v>
      </c>
      <c r="J194" s="102" t="s">
        <v>1133</v>
      </c>
      <c r="K194" s="102" t="s">
        <v>1164</v>
      </c>
      <c r="M194" s="54" t="s">
        <v>1172</v>
      </c>
      <c r="N194" s="102" t="s">
        <v>1179</v>
      </c>
      <c r="O194" s="102" t="s">
        <v>1187</v>
      </c>
    </row>
    <row r="195" spans="1:260" s="1" customFormat="1">
      <c r="A195" s="71">
        <v>192</v>
      </c>
      <c r="B195" s="5" t="s">
        <v>385</v>
      </c>
      <c r="C195" s="5" t="s">
        <v>1077</v>
      </c>
      <c r="D195" s="5" t="s">
        <v>82</v>
      </c>
      <c r="E195" s="5" t="s">
        <v>155</v>
      </c>
      <c r="F195" s="72"/>
      <c r="G195" s="74" t="s">
        <v>867</v>
      </c>
      <c r="H195" s="85"/>
      <c r="I195" s="61" t="s">
        <v>927</v>
      </c>
      <c r="J195" s="102" t="s">
        <v>1133</v>
      </c>
      <c r="K195" s="102" t="s">
        <v>1164</v>
      </c>
      <c r="M195" s="54" t="s">
        <v>1172</v>
      </c>
      <c r="N195" s="102" t="s">
        <v>1179</v>
      </c>
      <c r="O195" s="102" t="s">
        <v>1187</v>
      </c>
    </row>
    <row r="196" spans="1:260" s="1" customFormat="1">
      <c r="A196" s="71">
        <v>193</v>
      </c>
      <c r="B196" s="5" t="s">
        <v>385</v>
      </c>
      <c r="C196" s="5" t="s">
        <v>1080</v>
      </c>
      <c r="D196" s="5"/>
      <c r="E196" s="5"/>
      <c r="F196" s="72"/>
      <c r="G196" s="74" t="s">
        <v>867</v>
      </c>
      <c r="H196" s="85"/>
      <c r="I196" s="61" t="s">
        <v>927</v>
      </c>
      <c r="J196" s="102" t="s">
        <v>1133</v>
      </c>
      <c r="K196" s="102" t="s">
        <v>1164</v>
      </c>
      <c r="M196" s="54" t="s">
        <v>1172</v>
      </c>
      <c r="N196" s="102" t="s">
        <v>1179</v>
      </c>
      <c r="O196" s="102" t="s">
        <v>1187</v>
      </c>
    </row>
    <row r="197" spans="1:260" s="29" customFormat="1">
      <c r="A197" s="71">
        <v>194</v>
      </c>
      <c r="B197" s="35" t="s">
        <v>385</v>
      </c>
      <c r="C197" s="35" t="s">
        <v>1135</v>
      </c>
      <c r="D197" s="35" t="s">
        <v>82</v>
      </c>
      <c r="E197" s="35" t="s">
        <v>49</v>
      </c>
      <c r="F197" s="72"/>
      <c r="G197" s="74"/>
      <c r="H197" s="85"/>
      <c r="I197" s="61"/>
      <c r="J197" s="104" t="s">
        <v>1149</v>
      </c>
      <c r="K197" s="102" t="s">
        <v>1164</v>
      </c>
      <c r="L197" s="1"/>
      <c r="M197" s="54" t="s">
        <v>1172</v>
      </c>
      <c r="N197" s="87"/>
      <c r="O197" s="87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</row>
    <row r="198" spans="1:260" s="81" customFormat="1">
      <c r="A198" s="71">
        <v>195</v>
      </c>
      <c r="B198" s="35" t="s">
        <v>394</v>
      </c>
      <c r="C198" s="35" t="s">
        <v>1076</v>
      </c>
      <c r="D198" s="35" t="s">
        <v>82</v>
      </c>
      <c r="E198" s="35" t="s">
        <v>49</v>
      </c>
      <c r="F198" s="73"/>
      <c r="G198" s="75"/>
      <c r="H198" s="86"/>
      <c r="I198" s="64"/>
      <c r="J198" s="64" t="s">
        <v>1156</v>
      </c>
      <c r="K198" s="63"/>
      <c r="L198" s="63"/>
      <c r="M198" s="110"/>
      <c r="N198" s="57"/>
      <c r="O198" s="57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3"/>
      <c r="EE198" s="63"/>
      <c r="EF198" s="63"/>
      <c r="EG198" s="63"/>
      <c r="EH198" s="63"/>
      <c r="EI198" s="63"/>
      <c r="EJ198" s="63"/>
      <c r="EK198" s="63"/>
      <c r="EL198" s="63"/>
      <c r="EM198" s="63"/>
      <c r="EN198" s="63"/>
      <c r="EO198" s="63"/>
      <c r="EP198" s="63"/>
      <c r="EQ198" s="63"/>
      <c r="ER198" s="63"/>
      <c r="ES198" s="63"/>
      <c r="ET198" s="63"/>
      <c r="EU198" s="63"/>
      <c r="EV198" s="63"/>
      <c r="EW198" s="63"/>
      <c r="EX198" s="63"/>
      <c r="EY198" s="63"/>
      <c r="EZ198" s="63"/>
      <c r="FA198" s="63"/>
      <c r="FB198" s="63"/>
      <c r="FC198" s="63"/>
      <c r="FD198" s="63"/>
      <c r="FE198" s="63"/>
      <c r="FF198" s="63"/>
      <c r="FG198" s="63"/>
      <c r="FH198" s="63"/>
      <c r="FI198" s="63"/>
      <c r="FJ198" s="63"/>
      <c r="FK198" s="63"/>
      <c r="FL198" s="63"/>
      <c r="FM198" s="63"/>
      <c r="FN198" s="63"/>
      <c r="FO198" s="63"/>
      <c r="FP198" s="63"/>
      <c r="FQ198" s="63"/>
      <c r="FR198" s="63"/>
      <c r="FS198" s="63"/>
      <c r="FT198" s="63"/>
      <c r="FU198" s="63"/>
      <c r="FV198" s="63"/>
      <c r="FW198" s="63"/>
      <c r="FX198" s="63"/>
      <c r="FY198" s="63"/>
      <c r="FZ198" s="63"/>
      <c r="GA198" s="63"/>
      <c r="GB198" s="63"/>
      <c r="GC198" s="63"/>
      <c r="GD198" s="63"/>
      <c r="GE198" s="63"/>
      <c r="GF198" s="63"/>
      <c r="GG198" s="63"/>
      <c r="GH198" s="63"/>
      <c r="GI198" s="63"/>
      <c r="GJ198" s="63"/>
      <c r="GK198" s="63"/>
      <c r="GL198" s="63"/>
      <c r="GM198" s="63"/>
      <c r="GN198" s="63"/>
      <c r="GO198" s="63"/>
      <c r="GP198" s="63"/>
      <c r="GQ198" s="63"/>
      <c r="GR198" s="63"/>
      <c r="GS198" s="63"/>
      <c r="GT198" s="63"/>
      <c r="GU198" s="63"/>
      <c r="GV198" s="63"/>
      <c r="GW198" s="63"/>
      <c r="GX198" s="63"/>
      <c r="GY198" s="63"/>
      <c r="GZ198" s="63"/>
      <c r="HA198" s="63"/>
      <c r="HB198" s="63"/>
      <c r="HC198" s="63"/>
      <c r="HD198" s="63"/>
      <c r="HE198" s="63"/>
      <c r="HF198" s="63"/>
      <c r="HG198" s="63"/>
      <c r="HH198" s="63"/>
      <c r="HI198" s="63"/>
      <c r="HJ198" s="63"/>
      <c r="HK198" s="63"/>
      <c r="HL198" s="63"/>
      <c r="HM198" s="63"/>
      <c r="HN198" s="63"/>
      <c r="HO198" s="63"/>
      <c r="HP198" s="63"/>
      <c r="HQ198" s="63"/>
      <c r="HR198" s="63"/>
      <c r="HS198" s="63"/>
      <c r="HT198" s="63"/>
      <c r="HU198" s="63"/>
      <c r="HV198" s="63"/>
      <c r="HW198" s="63"/>
      <c r="HX198" s="63"/>
      <c r="HY198" s="63"/>
      <c r="HZ198" s="63"/>
      <c r="IA198" s="63"/>
      <c r="IB198" s="63"/>
      <c r="IC198" s="63"/>
      <c r="ID198" s="63"/>
      <c r="IE198" s="63"/>
      <c r="IF198" s="63"/>
      <c r="IG198" s="63"/>
      <c r="IH198" s="63"/>
      <c r="II198" s="63"/>
      <c r="IJ198" s="63"/>
      <c r="IK198" s="63"/>
      <c r="IL198" s="63"/>
      <c r="IM198" s="63"/>
      <c r="IN198" s="63"/>
      <c r="IO198" s="63"/>
      <c r="IP198" s="63"/>
      <c r="IQ198" s="63"/>
      <c r="IR198" s="63"/>
      <c r="IS198" s="63"/>
      <c r="IT198" s="63"/>
      <c r="IU198" s="63"/>
      <c r="IV198" s="63"/>
      <c r="IW198" s="63"/>
      <c r="IX198" s="63"/>
      <c r="IY198" s="63"/>
      <c r="IZ198" s="63"/>
    </row>
    <row r="199" spans="1:260" s="2" customFormat="1">
      <c r="A199" s="79"/>
      <c r="B199" s="3"/>
      <c r="C199" s="3"/>
      <c r="D199" s="3"/>
      <c r="E199" s="3"/>
      <c r="F199" s="3"/>
      <c r="G199" s="3"/>
      <c r="H199" s="79"/>
      <c r="I199" s="3"/>
      <c r="K199" s="82"/>
      <c r="M199" s="83"/>
    </row>
    <row r="200" spans="1:260" s="2" customFormat="1">
      <c r="A200" s="79"/>
      <c r="B200" s="3"/>
      <c r="C200" s="3"/>
      <c r="D200" s="3"/>
      <c r="E200" s="3"/>
      <c r="F200" s="3"/>
      <c r="G200" s="3"/>
      <c r="H200" s="79"/>
      <c r="I200" s="3"/>
      <c r="K200" s="82"/>
      <c r="M200" s="83"/>
    </row>
    <row r="201" spans="1:260" s="2" customFormat="1">
      <c r="A201" s="79"/>
      <c r="B201" s="3"/>
      <c r="C201" s="3"/>
      <c r="D201" s="3"/>
      <c r="E201" s="3"/>
      <c r="F201" s="3"/>
      <c r="G201" s="3"/>
      <c r="H201" s="79"/>
      <c r="I201" s="3"/>
      <c r="K201" s="82"/>
      <c r="M201" s="83"/>
    </row>
    <row r="202" spans="1:260" s="2" customFormat="1">
      <c r="A202" s="79"/>
      <c r="B202" s="3"/>
      <c r="C202" s="3"/>
      <c r="D202" s="3"/>
      <c r="E202" s="3"/>
      <c r="F202" s="3"/>
      <c r="G202" s="3"/>
      <c r="H202" s="79"/>
      <c r="I202" s="3"/>
      <c r="K202" s="82"/>
      <c r="M202" s="83"/>
    </row>
    <row r="203" spans="1:260" s="2" customFormat="1">
      <c r="A203" s="79"/>
      <c r="B203" s="3"/>
      <c r="C203" s="3"/>
      <c r="D203" s="3"/>
      <c r="E203" s="3"/>
      <c r="F203" s="3"/>
      <c r="G203" s="3"/>
      <c r="H203" s="79"/>
      <c r="I203" s="3"/>
      <c r="K203" s="82"/>
      <c r="M203" s="83"/>
    </row>
    <row r="204" spans="1:260" s="2" customFormat="1">
      <c r="A204" s="79"/>
      <c r="B204" s="3"/>
      <c r="C204" s="3"/>
      <c r="D204" s="3"/>
      <c r="E204" s="3"/>
      <c r="F204" s="3"/>
      <c r="G204" s="3"/>
      <c r="H204" s="79"/>
      <c r="I204" s="3"/>
      <c r="K204" s="82"/>
      <c r="M204" s="83"/>
    </row>
    <row r="205" spans="1:260" s="2" customFormat="1">
      <c r="A205" s="79"/>
      <c r="B205" s="3"/>
      <c r="C205" s="3"/>
      <c r="D205" s="3"/>
      <c r="E205" s="3"/>
      <c r="F205" s="3"/>
      <c r="G205" s="3"/>
      <c r="H205" s="79"/>
      <c r="I205" s="3"/>
      <c r="K205" s="82"/>
      <c r="M205" s="83"/>
    </row>
    <row r="206" spans="1:260" s="2" customFormat="1">
      <c r="A206" s="79"/>
      <c r="B206" s="3"/>
      <c r="C206" s="3"/>
      <c r="D206" s="3"/>
      <c r="E206" s="3"/>
      <c r="F206" s="3"/>
      <c r="G206" s="3"/>
      <c r="H206" s="79"/>
      <c r="I206" s="3"/>
      <c r="K206" s="82"/>
      <c r="M206" s="83"/>
    </row>
    <row r="207" spans="1:260" s="2" customFormat="1">
      <c r="A207" s="79"/>
      <c r="B207" s="3"/>
      <c r="C207" s="3"/>
      <c r="D207" s="3"/>
      <c r="E207" s="3"/>
      <c r="F207" s="3"/>
      <c r="G207" s="3"/>
      <c r="H207" s="79"/>
      <c r="I207" s="3"/>
      <c r="K207" s="82"/>
      <c r="M207" s="83"/>
    </row>
    <row r="208" spans="1:260" s="2" customFormat="1">
      <c r="A208" s="79"/>
      <c r="B208" s="3"/>
      <c r="C208" s="3"/>
      <c r="D208" s="3"/>
      <c r="E208" s="3"/>
      <c r="F208" s="3"/>
      <c r="G208" s="3"/>
      <c r="H208" s="79"/>
      <c r="I208" s="3"/>
      <c r="K208" s="82"/>
      <c r="M208" s="83"/>
    </row>
    <row r="209" spans="1:13" s="2" customFormat="1">
      <c r="A209" s="79"/>
      <c r="B209" s="3"/>
      <c r="C209" s="3"/>
      <c r="D209" s="3"/>
      <c r="E209" s="3"/>
      <c r="F209" s="3"/>
      <c r="G209" s="3"/>
      <c r="H209" s="79"/>
      <c r="I209" s="3"/>
      <c r="K209" s="82"/>
      <c r="M209" s="83"/>
    </row>
    <row r="210" spans="1:13" s="2" customFormat="1">
      <c r="A210" s="79"/>
      <c r="B210" s="3"/>
      <c r="C210" s="3"/>
      <c r="D210" s="3"/>
      <c r="E210" s="3"/>
      <c r="F210" s="3"/>
      <c r="G210" s="3"/>
      <c r="H210" s="79"/>
      <c r="I210" s="3"/>
      <c r="K210" s="82"/>
      <c r="M210" s="83"/>
    </row>
    <row r="211" spans="1:13" s="2" customFormat="1">
      <c r="A211" s="79"/>
      <c r="B211" s="3"/>
      <c r="C211" s="3"/>
      <c r="D211" s="3"/>
      <c r="E211" s="3"/>
      <c r="F211" s="3"/>
      <c r="G211" s="3"/>
      <c r="H211" s="79"/>
      <c r="I211" s="3"/>
      <c r="K211" s="82"/>
      <c r="M211" s="83"/>
    </row>
    <row r="212" spans="1:13" s="2" customFormat="1">
      <c r="A212" s="79"/>
      <c r="B212" s="3"/>
      <c r="C212" s="3"/>
      <c r="D212" s="3"/>
      <c r="E212" s="3"/>
      <c r="F212" s="3"/>
      <c r="G212" s="3"/>
      <c r="H212" s="79"/>
      <c r="I212" s="3"/>
      <c r="K212" s="82"/>
      <c r="M212" s="83"/>
    </row>
    <row r="213" spans="1:13" s="2" customFormat="1">
      <c r="A213" s="79"/>
      <c r="B213" s="3"/>
      <c r="C213" s="3"/>
      <c r="D213" s="3"/>
      <c r="E213" s="3"/>
      <c r="F213" s="3"/>
      <c r="G213" s="3"/>
      <c r="H213" s="79"/>
      <c r="I213" s="3"/>
      <c r="K213" s="82"/>
      <c r="M213" s="83"/>
    </row>
    <row r="214" spans="1:13" s="2" customFormat="1">
      <c r="A214" s="79"/>
      <c r="B214" s="3"/>
      <c r="C214" s="3"/>
      <c r="D214" s="3"/>
      <c r="E214" s="3"/>
      <c r="F214" s="3"/>
      <c r="G214" s="3"/>
      <c r="H214" s="79"/>
      <c r="I214" s="3"/>
      <c r="K214" s="82"/>
      <c r="M214" s="83"/>
    </row>
    <row r="215" spans="1:13" s="2" customFormat="1">
      <c r="A215" s="79"/>
      <c r="B215" s="3"/>
      <c r="C215" s="3"/>
      <c r="D215" s="3"/>
      <c r="E215" s="3"/>
      <c r="F215" s="3"/>
      <c r="G215" s="3"/>
      <c r="H215" s="79"/>
      <c r="I215" s="3"/>
      <c r="K215" s="82"/>
      <c r="M215" s="83"/>
    </row>
    <row r="216" spans="1:13" s="2" customFormat="1">
      <c r="A216" s="79"/>
      <c r="B216" s="3"/>
      <c r="C216" s="3"/>
      <c r="D216" s="3"/>
      <c r="E216" s="3"/>
      <c r="F216" s="3"/>
      <c r="G216" s="3"/>
      <c r="H216" s="79"/>
      <c r="I216" s="3"/>
      <c r="K216" s="82"/>
      <c r="M216" s="83"/>
    </row>
    <row r="217" spans="1:13" s="2" customFormat="1">
      <c r="A217" s="79"/>
      <c r="B217" s="3"/>
      <c r="C217" s="3"/>
      <c r="D217" s="3"/>
      <c r="E217" s="3"/>
      <c r="F217" s="3"/>
      <c r="G217" s="3"/>
      <c r="H217" s="79"/>
      <c r="I217" s="3"/>
      <c r="K217" s="82"/>
      <c r="M217" s="83"/>
    </row>
    <row r="218" spans="1:13" s="2" customFormat="1">
      <c r="A218" s="79"/>
      <c r="B218" s="3"/>
      <c r="C218" s="3"/>
      <c r="D218" s="3"/>
      <c r="E218" s="3"/>
      <c r="F218" s="3"/>
      <c r="G218" s="3"/>
      <c r="H218" s="79"/>
      <c r="I218" s="3"/>
      <c r="K218" s="82"/>
      <c r="M218" s="83"/>
    </row>
    <row r="219" spans="1:13" s="2" customFormat="1">
      <c r="A219" s="79"/>
      <c r="B219" s="3"/>
      <c r="C219" s="3"/>
      <c r="D219" s="3"/>
      <c r="E219" s="3"/>
      <c r="F219" s="3"/>
      <c r="G219" s="3"/>
      <c r="H219" s="79"/>
      <c r="I219" s="3"/>
      <c r="K219" s="82"/>
      <c r="M219" s="83"/>
    </row>
    <row r="220" spans="1:13" s="2" customFormat="1">
      <c r="A220" s="79"/>
      <c r="B220" s="3"/>
      <c r="C220" s="3"/>
      <c r="D220" s="3"/>
      <c r="E220" s="3"/>
      <c r="F220" s="3"/>
      <c r="G220" s="3"/>
      <c r="H220" s="79"/>
      <c r="I220" s="3"/>
      <c r="K220" s="82"/>
      <c r="M220" s="83"/>
    </row>
    <row r="221" spans="1:13" s="2" customFormat="1">
      <c r="A221" s="79"/>
      <c r="B221" s="3"/>
      <c r="C221" s="3"/>
      <c r="D221" s="3"/>
      <c r="E221" s="3"/>
      <c r="F221" s="3"/>
      <c r="G221" s="3"/>
      <c r="H221" s="79"/>
      <c r="I221" s="3"/>
      <c r="K221" s="82"/>
      <c r="M221" s="83"/>
    </row>
    <row r="222" spans="1:13" s="2" customFormat="1">
      <c r="A222" s="79"/>
      <c r="B222" s="3"/>
      <c r="C222" s="3"/>
      <c r="D222" s="3"/>
      <c r="E222" s="3"/>
      <c r="F222" s="3"/>
      <c r="G222" s="3"/>
      <c r="H222" s="79"/>
      <c r="I222" s="3"/>
      <c r="K222" s="82"/>
      <c r="M222" s="83"/>
    </row>
    <row r="223" spans="1:13" s="2" customFormat="1">
      <c r="A223" s="83"/>
      <c r="H223" s="83"/>
      <c r="K223" s="82"/>
      <c r="M223" s="83"/>
    </row>
    <row r="224" spans="1:13" s="2" customFormat="1">
      <c r="A224" s="83"/>
      <c r="H224" s="83"/>
      <c r="K224" s="82"/>
      <c r="M224" s="83"/>
    </row>
    <row r="225" spans="1:13" s="2" customFormat="1">
      <c r="A225" s="83"/>
      <c r="H225" s="83"/>
      <c r="K225" s="82"/>
      <c r="M225" s="83"/>
    </row>
    <row r="226" spans="1:13" s="2" customFormat="1">
      <c r="A226" s="83"/>
      <c r="H226" s="83"/>
      <c r="K226" s="82"/>
      <c r="M226" s="83"/>
    </row>
    <row r="227" spans="1:13" s="2" customFormat="1">
      <c r="A227" s="83"/>
      <c r="H227" s="83"/>
      <c r="K227" s="82"/>
      <c r="M227" s="83"/>
    </row>
    <row r="228" spans="1:13" s="2" customFormat="1">
      <c r="A228" s="83"/>
      <c r="H228" s="83"/>
      <c r="K228" s="82"/>
      <c r="M228" s="83"/>
    </row>
    <row r="229" spans="1:13" s="2" customFormat="1">
      <c r="A229" s="83"/>
      <c r="H229" s="83"/>
      <c r="K229" s="82"/>
      <c r="M229" s="83"/>
    </row>
    <row r="230" spans="1:13" s="2" customFormat="1">
      <c r="A230" s="83"/>
      <c r="H230" s="83"/>
      <c r="K230" s="82"/>
      <c r="M230" s="83"/>
    </row>
    <row r="231" spans="1:13" s="2" customFormat="1">
      <c r="A231" s="83"/>
      <c r="H231" s="83"/>
      <c r="K231" s="82"/>
      <c r="M231" s="83"/>
    </row>
    <row r="232" spans="1:13" s="2" customFormat="1">
      <c r="A232" s="83"/>
      <c r="H232" s="83"/>
      <c r="K232" s="82"/>
      <c r="M232" s="83"/>
    </row>
    <row r="233" spans="1:13" s="2" customFormat="1">
      <c r="A233" s="83"/>
      <c r="H233" s="83"/>
      <c r="K233" s="82"/>
      <c r="M233" s="83"/>
    </row>
    <row r="234" spans="1:13" s="2" customFormat="1">
      <c r="A234" s="83"/>
      <c r="H234" s="83"/>
      <c r="K234" s="82"/>
      <c r="M234" s="83"/>
    </row>
    <row r="235" spans="1:13" s="2" customFormat="1">
      <c r="A235" s="83"/>
      <c r="H235" s="83"/>
      <c r="K235" s="82"/>
      <c r="M235" s="83"/>
    </row>
    <row r="236" spans="1:13" s="2" customFormat="1">
      <c r="A236" s="83"/>
      <c r="H236" s="83"/>
      <c r="K236" s="82"/>
      <c r="M236" s="83"/>
    </row>
    <row r="237" spans="1:13" s="2" customFormat="1">
      <c r="A237" s="83"/>
      <c r="H237" s="83"/>
      <c r="K237" s="82"/>
      <c r="M237" s="83"/>
    </row>
    <row r="238" spans="1:13" s="2" customFormat="1">
      <c r="A238" s="83"/>
      <c r="H238" s="83"/>
      <c r="K238" s="82"/>
      <c r="M238" s="83"/>
    </row>
    <row r="239" spans="1:13" s="2" customFormat="1">
      <c r="A239" s="83"/>
      <c r="H239" s="83"/>
      <c r="K239" s="82"/>
      <c r="M239" s="83"/>
    </row>
    <row r="240" spans="1:13" s="2" customFormat="1">
      <c r="A240" s="83"/>
      <c r="H240" s="83"/>
      <c r="K240" s="82"/>
      <c r="M240" s="83"/>
    </row>
    <row r="241" spans="1:13" s="2" customFormat="1">
      <c r="A241" s="83"/>
      <c r="H241" s="83"/>
      <c r="K241" s="82"/>
      <c r="M241" s="83"/>
    </row>
    <row r="242" spans="1:13" s="2" customFormat="1">
      <c r="A242" s="83"/>
      <c r="H242" s="83"/>
      <c r="K242" s="82"/>
      <c r="M242" s="83"/>
    </row>
    <row r="243" spans="1:13" s="2" customFormat="1">
      <c r="A243" s="83"/>
      <c r="H243" s="83"/>
      <c r="K243" s="82"/>
      <c r="M243" s="83"/>
    </row>
    <row r="244" spans="1:13" s="2" customFormat="1">
      <c r="A244" s="83"/>
      <c r="H244" s="83"/>
      <c r="K244" s="82"/>
      <c r="M244" s="83"/>
    </row>
    <row r="245" spans="1:13" s="2" customFormat="1">
      <c r="A245" s="83"/>
      <c r="H245" s="83"/>
      <c r="K245" s="82"/>
      <c r="M245" s="83"/>
    </row>
    <row r="246" spans="1:13" s="2" customFormat="1">
      <c r="A246" s="83"/>
      <c r="H246" s="83"/>
      <c r="K246" s="82"/>
      <c r="M246" s="83"/>
    </row>
    <row r="247" spans="1:13" s="2" customFormat="1">
      <c r="A247" s="83"/>
      <c r="H247" s="83"/>
      <c r="K247" s="82"/>
      <c r="M247" s="83"/>
    </row>
    <row r="248" spans="1:13" s="2" customFormat="1">
      <c r="A248" s="83"/>
      <c r="H248" s="83"/>
      <c r="K248" s="82"/>
      <c r="M248" s="83"/>
    </row>
    <row r="249" spans="1:13" s="2" customFormat="1">
      <c r="A249" s="83"/>
      <c r="H249" s="83"/>
      <c r="K249" s="82"/>
      <c r="M249" s="83"/>
    </row>
    <row r="250" spans="1:13" s="2" customFormat="1">
      <c r="A250" s="83"/>
      <c r="H250" s="83"/>
      <c r="K250" s="82"/>
      <c r="M250" s="83"/>
    </row>
    <row r="251" spans="1:13" s="2" customFormat="1">
      <c r="A251" s="83"/>
      <c r="H251" s="83"/>
      <c r="K251" s="82"/>
      <c r="M251" s="83"/>
    </row>
    <row r="252" spans="1:13" s="2" customFormat="1">
      <c r="A252" s="83"/>
      <c r="H252" s="83"/>
      <c r="K252" s="82"/>
      <c r="M252" s="83"/>
    </row>
    <row r="253" spans="1:13" s="2" customFormat="1">
      <c r="A253" s="83"/>
      <c r="H253" s="83"/>
      <c r="K253" s="82"/>
      <c r="M253" s="83"/>
    </row>
    <row r="254" spans="1:13" s="2" customFormat="1">
      <c r="A254" s="83"/>
      <c r="H254" s="83"/>
      <c r="K254" s="82"/>
      <c r="M254" s="83"/>
    </row>
    <row r="255" spans="1:13" s="2" customFormat="1">
      <c r="A255" s="83"/>
      <c r="H255" s="83"/>
      <c r="K255" s="82"/>
      <c r="M255" s="83"/>
    </row>
    <row r="256" spans="1:13" s="2" customFormat="1">
      <c r="A256" s="83"/>
      <c r="H256" s="83"/>
      <c r="K256" s="82"/>
      <c r="M256" s="83"/>
    </row>
    <row r="257" spans="1:13" s="2" customFormat="1">
      <c r="A257" s="83"/>
      <c r="H257" s="83"/>
      <c r="K257" s="82"/>
      <c r="M257" s="83"/>
    </row>
    <row r="258" spans="1:13" s="2" customFormat="1">
      <c r="A258" s="83"/>
      <c r="H258" s="83"/>
      <c r="K258" s="82"/>
      <c r="M258" s="83"/>
    </row>
    <row r="259" spans="1:13" s="2" customFormat="1">
      <c r="A259" s="83"/>
      <c r="H259" s="83"/>
      <c r="K259" s="82"/>
      <c r="M259" s="83"/>
    </row>
    <row r="260" spans="1:13" s="2" customFormat="1">
      <c r="A260" s="83"/>
      <c r="H260" s="83"/>
      <c r="K260" s="82"/>
      <c r="M260" s="83"/>
    </row>
    <row r="261" spans="1:13" s="2" customFormat="1">
      <c r="A261" s="83"/>
      <c r="H261" s="83"/>
      <c r="K261" s="82"/>
      <c r="M261" s="83"/>
    </row>
    <row r="262" spans="1:13" s="2" customFormat="1">
      <c r="A262" s="83"/>
      <c r="H262" s="83"/>
      <c r="K262" s="82"/>
      <c r="M262" s="83"/>
    </row>
    <row r="263" spans="1:13" s="2" customFormat="1">
      <c r="A263" s="83"/>
      <c r="H263" s="83"/>
      <c r="K263" s="82"/>
      <c r="M263" s="83"/>
    </row>
    <row r="264" spans="1:13" s="2" customFormat="1">
      <c r="A264" s="83"/>
      <c r="H264" s="83"/>
      <c r="K264" s="82"/>
      <c r="M264" s="83"/>
    </row>
    <row r="265" spans="1:13" s="2" customFormat="1">
      <c r="A265" s="83"/>
      <c r="H265" s="83"/>
      <c r="K265" s="82"/>
      <c r="M265" s="83"/>
    </row>
    <row r="266" spans="1:13" s="2" customFormat="1">
      <c r="A266" s="83"/>
      <c r="H266" s="83"/>
      <c r="K266" s="82"/>
      <c r="M266" s="83"/>
    </row>
    <row r="267" spans="1:13" s="2" customFormat="1">
      <c r="A267" s="83"/>
      <c r="H267" s="83"/>
      <c r="K267" s="82"/>
      <c r="M267" s="83"/>
    </row>
    <row r="268" spans="1:13" s="2" customFormat="1">
      <c r="A268" s="83"/>
      <c r="H268" s="83"/>
      <c r="K268" s="82"/>
      <c r="M268" s="83"/>
    </row>
    <row r="269" spans="1:13" s="2" customFormat="1">
      <c r="A269" s="83"/>
      <c r="H269" s="83"/>
      <c r="K269" s="82"/>
      <c r="M269" s="83"/>
    </row>
    <row r="270" spans="1:13" s="2" customFormat="1">
      <c r="A270" s="83"/>
      <c r="H270" s="83"/>
      <c r="K270" s="82"/>
      <c r="M270" s="83"/>
    </row>
    <row r="271" spans="1:13" s="2" customFormat="1">
      <c r="A271" s="83"/>
      <c r="H271" s="83"/>
      <c r="K271" s="82"/>
      <c r="M271" s="83"/>
    </row>
    <row r="272" spans="1:13" s="2" customFormat="1">
      <c r="A272" s="83"/>
      <c r="H272" s="83"/>
      <c r="K272" s="82"/>
      <c r="M272" s="83"/>
    </row>
    <row r="273" spans="1:13" s="2" customFormat="1">
      <c r="A273" s="83"/>
      <c r="H273" s="83"/>
      <c r="K273" s="82"/>
      <c r="M273" s="83"/>
    </row>
    <row r="274" spans="1:13" s="2" customFormat="1">
      <c r="A274" s="83"/>
      <c r="H274" s="83"/>
      <c r="K274" s="82"/>
      <c r="M274" s="83"/>
    </row>
    <row r="275" spans="1:13" s="2" customFormat="1">
      <c r="A275" s="83"/>
      <c r="H275" s="83"/>
      <c r="K275" s="82"/>
      <c r="M275" s="83"/>
    </row>
    <row r="276" spans="1:13" s="2" customFormat="1">
      <c r="A276" s="83"/>
      <c r="H276" s="83"/>
      <c r="K276" s="82"/>
      <c r="M276" s="83"/>
    </row>
    <row r="277" spans="1:13" s="2" customFormat="1">
      <c r="A277" s="83"/>
      <c r="H277" s="83"/>
      <c r="K277" s="82"/>
      <c r="M277" s="83"/>
    </row>
    <row r="278" spans="1:13" s="2" customFormat="1">
      <c r="A278" s="83"/>
      <c r="H278" s="83"/>
      <c r="K278" s="82"/>
      <c r="M278" s="83"/>
    </row>
    <row r="279" spans="1:13" s="2" customFormat="1">
      <c r="A279" s="83"/>
      <c r="H279" s="83"/>
      <c r="K279" s="82"/>
      <c r="M279" s="83"/>
    </row>
    <row r="280" spans="1:13" s="2" customFormat="1">
      <c r="A280" s="83"/>
      <c r="H280" s="83"/>
      <c r="K280" s="82"/>
      <c r="M280" s="83"/>
    </row>
    <row r="281" spans="1:13" s="2" customFormat="1">
      <c r="A281" s="83"/>
      <c r="H281" s="83"/>
      <c r="K281" s="82"/>
      <c r="M281" s="83"/>
    </row>
    <row r="282" spans="1:13" s="2" customFormat="1">
      <c r="A282" s="83"/>
      <c r="H282" s="83"/>
      <c r="K282" s="82"/>
      <c r="M282" s="83"/>
    </row>
    <row r="283" spans="1:13" s="2" customFormat="1">
      <c r="A283" s="83"/>
      <c r="H283" s="83"/>
      <c r="K283" s="82"/>
      <c r="M283" s="83"/>
    </row>
    <row r="284" spans="1:13" s="2" customFormat="1">
      <c r="A284" s="83"/>
      <c r="H284" s="83"/>
      <c r="K284" s="82"/>
      <c r="M284" s="83"/>
    </row>
    <row r="285" spans="1:13" s="2" customFormat="1">
      <c r="A285" s="83"/>
      <c r="H285" s="83"/>
      <c r="K285" s="82"/>
      <c r="M285" s="83"/>
    </row>
    <row r="286" spans="1:13" s="2" customFormat="1">
      <c r="A286" s="83"/>
      <c r="H286" s="83"/>
      <c r="K286" s="82"/>
      <c r="M286" s="83"/>
    </row>
    <row r="287" spans="1:13" s="2" customFormat="1">
      <c r="A287" s="83"/>
      <c r="H287" s="83"/>
      <c r="K287" s="82"/>
      <c r="M287" s="83"/>
    </row>
    <row r="288" spans="1:13" s="2" customFormat="1">
      <c r="A288" s="83"/>
      <c r="H288" s="83"/>
      <c r="K288" s="82"/>
      <c r="M288" s="83"/>
    </row>
    <row r="289" spans="1:13" s="2" customFormat="1">
      <c r="A289" s="83"/>
      <c r="H289" s="83"/>
      <c r="K289" s="82"/>
      <c r="M289" s="83"/>
    </row>
    <row r="290" spans="1:13" s="2" customFormat="1">
      <c r="A290" s="83"/>
      <c r="H290" s="83"/>
      <c r="K290" s="82"/>
      <c r="M290" s="83"/>
    </row>
    <row r="291" spans="1:13" s="2" customFormat="1">
      <c r="A291" s="83"/>
      <c r="H291" s="83"/>
      <c r="K291" s="82"/>
      <c r="M291" s="83"/>
    </row>
    <row r="292" spans="1:13" s="2" customFormat="1">
      <c r="A292" s="83"/>
      <c r="H292" s="83"/>
      <c r="K292" s="82"/>
      <c r="M292" s="83"/>
    </row>
    <row r="293" spans="1:13" s="2" customFormat="1">
      <c r="A293" s="83"/>
      <c r="H293" s="83"/>
      <c r="K293" s="82"/>
      <c r="M293" s="83"/>
    </row>
    <row r="294" spans="1:13" s="2" customFormat="1">
      <c r="A294" s="83"/>
      <c r="H294" s="83"/>
      <c r="K294" s="82"/>
      <c r="M294" s="83"/>
    </row>
    <row r="295" spans="1:13" s="2" customFormat="1">
      <c r="A295" s="83"/>
      <c r="H295" s="83"/>
      <c r="K295" s="82"/>
      <c r="M295" s="83"/>
    </row>
    <row r="296" spans="1:13" s="2" customFormat="1">
      <c r="A296" s="83"/>
      <c r="H296" s="83"/>
      <c r="K296" s="82"/>
      <c r="M296" s="83"/>
    </row>
    <row r="297" spans="1:13" s="2" customFormat="1">
      <c r="A297" s="83"/>
      <c r="H297" s="83"/>
      <c r="K297" s="82"/>
      <c r="M297" s="83"/>
    </row>
    <row r="298" spans="1:13" s="2" customFormat="1">
      <c r="A298" s="83"/>
      <c r="H298" s="83"/>
      <c r="K298" s="82"/>
      <c r="M298" s="83"/>
    </row>
    <row r="299" spans="1:13" s="2" customFormat="1">
      <c r="A299" s="83"/>
      <c r="H299" s="83"/>
      <c r="K299" s="82"/>
      <c r="M299" s="83"/>
    </row>
    <row r="300" spans="1:13" s="2" customFormat="1">
      <c r="A300" s="83"/>
      <c r="H300" s="83"/>
      <c r="K300" s="82"/>
      <c r="M300" s="83"/>
    </row>
    <row r="301" spans="1:13" s="2" customFormat="1">
      <c r="A301" s="83"/>
      <c r="H301" s="83"/>
      <c r="K301" s="82"/>
      <c r="M301" s="83"/>
    </row>
    <row r="302" spans="1:13" s="2" customFormat="1">
      <c r="A302" s="83"/>
      <c r="H302" s="83"/>
      <c r="K302" s="82"/>
      <c r="M302" s="83"/>
    </row>
    <row r="303" spans="1:13" s="2" customFormat="1">
      <c r="A303" s="83"/>
      <c r="H303" s="83"/>
      <c r="K303" s="82"/>
      <c r="M303" s="83"/>
    </row>
    <row r="304" spans="1:13" s="2" customFormat="1">
      <c r="A304" s="83"/>
      <c r="H304" s="83"/>
      <c r="K304" s="82"/>
      <c r="M304" s="83"/>
    </row>
    <row r="305" spans="1:13" s="2" customFormat="1">
      <c r="A305" s="83"/>
      <c r="H305" s="83"/>
      <c r="K305" s="82"/>
      <c r="M305" s="83"/>
    </row>
    <row r="306" spans="1:13" s="2" customFormat="1">
      <c r="A306" s="83"/>
      <c r="H306" s="83"/>
      <c r="K306" s="82"/>
      <c r="M306" s="83"/>
    </row>
    <row r="307" spans="1:13" s="2" customFormat="1">
      <c r="A307" s="83"/>
      <c r="H307" s="83"/>
      <c r="K307" s="82"/>
      <c r="M307" s="83"/>
    </row>
    <row r="308" spans="1:13" s="2" customFormat="1">
      <c r="A308" s="83"/>
      <c r="H308" s="83"/>
      <c r="K308" s="82"/>
      <c r="M308" s="83"/>
    </row>
    <row r="309" spans="1:13" s="2" customFormat="1">
      <c r="A309" s="83"/>
      <c r="H309" s="83"/>
      <c r="K309" s="82"/>
      <c r="M309" s="83"/>
    </row>
    <row r="310" spans="1:13" s="2" customFormat="1">
      <c r="A310" s="83"/>
      <c r="H310" s="83"/>
      <c r="K310" s="82"/>
      <c r="M310" s="83"/>
    </row>
    <row r="311" spans="1:13" s="2" customFormat="1">
      <c r="A311" s="83"/>
      <c r="H311" s="83"/>
      <c r="K311" s="82"/>
      <c r="M311" s="83"/>
    </row>
    <row r="312" spans="1:13" s="2" customFormat="1">
      <c r="A312" s="83"/>
      <c r="H312" s="83"/>
      <c r="K312" s="82"/>
      <c r="M312" s="83"/>
    </row>
    <row r="313" spans="1:13" s="2" customFormat="1">
      <c r="A313" s="83"/>
      <c r="H313" s="83"/>
      <c r="K313" s="82"/>
      <c r="M313" s="83"/>
    </row>
    <row r="314" spans="1:13" s="2" customFormat="1">
      <c r="A314" s="83"/>
      <c r="H314" s="83"/>
      <c r="K314" s="82"/>
      <c r="M314" s="83"/>
    </row>
    <row r="315" spans="1:13" s="2" customFormat="1">
      <c r="A315" s="83"/>
      <c r="H315" s="83"/>
      <c r="K315" s="82"/>
      <c r="M315" s="83"/>
    </row>
    <row r="316" spans="1:13" s="2" customFormat="1">
      <c r="A316" s="83"/>
      <c r="H316" s="83"/>
      <c r="K316" s="82"/>
      <c r="M316" s="83"/>
    </row>
    <row r="317" spans="1:13" s="2" customFormat="1">
      <c r="A317" s="83"/>
      <c r="H317" s="83"/>
      <c r="K317" s="82"/>
      <c r="M317" s="83"/>
    </row>
    <row r="318" spans="1:13" s="2" customFormat="1">
      <c r="A318" s="83"/>
      <c r="H318" s="83"/>
      <c r="K318" s="82"/>
      <c r="M318" s="83"/>
    </row>
    <row r="319" spans="1:13" s="2" customFormat="1">
      <c r="A319" s="83"/>
      <c r="H319" s="83"/>
      <c r="K319" s="82"/>
      <c r="M319" s="83"/>
    </row>
    <row r="320" spans="1:13" s="2" customFormat="1">
      <c r="A320" s="83"/>
      <c r="H320" s="83"/>
      <c r="K320" s="82"/>
      <c r="M320" s="83"/>
    </row>
    <row r="321" spans="1:13" s="2" customFormat="1">
      <c r="A321" s="83"/>
      <c r="H321" s="83"/>
      <c r="K321" s="82"/>
      <c r="M321" s="83"/>
    </row>
    <row r="322" spans="1:13" s="2" customFormat="1">
      <c r="A322" s="83"/>
      <c r="H322" s="83"/>
      <c r="K322" s="82"/>
      <c r="M322" s="83"/>
    </row>
    <row r="323" spans="1:13" s="2" customFormat="1">
      <c r="A323" s="83"/>
      <c r="H323" s="83"/>
      <c r="K323" s="82"/>
      <c r="M323" s="83"/>
    </row>
    <row r="324" spans="1:13" s="2" customFormat="1">
      <c r="A324" s="83"/>
      <c r="H324" s="83"/>
      <c r="K324" s="82"/>
      <c r="M324" s="83"/>
    </row>
    <row r="325" spans="1:13" s="2" customFormat="1">
      <c r="A325" s="83"/>
      <c r="H325" s="83"/>
      <c r="K325" s="82"/>
      <c r="M325" s="83"/>
    </row>
    <row r="326" spans="1:13" s="2" customFormat="1">
      <c r="A326" s="83"/>
      <c r="H326" s="83"/>
      <c r="K326" s="82"/>
      <c r="M326" s="83"/>
    </row>
    <row r="327" spans="1:13" s="2" customFormat="1">
      <c r="A327" s="83"/>
      <c r="H327" s="83"/>
      <c r="K327" s="82"/>
      <c r="M327" s="83"/>
    </row>
    <row r="328" spans="1:13" s="2" customFormat="1">
      <c r="A328" s="83"/>
      <c r="H328" s="83"/>
      <c r="K328" s="82"/>
      <c r="M328" s="83"/>
    </row>
    <row r="329" spans="1:13" s="2" customFormat="1">
      <c r="A329" s="83"/>
      <c r="H329" s="83"/>
      <c r="K329" s="82"/>
      <c r="M329" s="83"/>
    </row>
    <row r="330" spans="1:13" s="2" customFormat="1">
      <c r="A330" s="83"/>
      <c r="H330" s="83"/>
      <c r="K330" s="82"/>
      <c r="M330" s="83"/>
    </row>
    <row r="331" spans="1:13" s="2" customFormat="1">
      <c r="A331" s="83"/>
      <c r="H331" s="83"/>
      <c r="K331" s="82"/>
      <c r="M331" s="83"/>
    </row>
    <row r="332" spans="1:13" s="2" customFormat="1">
      <c r="A332" s="83"/>
      <c r="H332" s="83"/>
      <c r="K332" s="82"/>
      <c r="M332" s="83"/>
    </row>
    <row r="333" spans="1:13" s="2" customFormat="1">
      <c r="A333" s="83"/>
      <c r="H333" s="83"/>
      <c r="K333" s="82"/>
      <c r="M333" s="83"/>
    </row>
    <row r="334" spans="1:13" s="2" customFormat="1">
      <c r="A334" s="83"/>
      <c r="H334" s="83"/>
      <c r="K334" s="82"/>
      <c r="M334" s="83"/>
    </row>
    <row r="335" spans="1:13" s="2" customFormat="1">
      <c r="A335" s="83"/>
      <c r="H335" s="83"/>
      <c r="K335" s="82"/>
      <c r="M335" s="83"/>
    </row>
    <row r="336" spans="1:13" s="2" customFormat="1">
      <c r="A336" s="83"/>
      <c r="H336" s="83"/>
      <c r="K336" s="82"/>
      <c r="M336" s="83"/>
    </row>
    <row r="337" spans="1:13" s="2" customFormat="1">
      <c r="A337" s="83"/>
      <c r="H337" s="83"/>
      <c r="K337" s="82"/>
      <c r="M337" s="83"/>
    </row>
    <row r="338" spans="1:13" s="2" customFormat="1">
      <c r="A338" s="83"/>
      <c r="H338" s="83"/>
      <c r="K338" s="82"/>
      <c r="M338" s="83"/>
    </row>
    <row r="339" spans="1:13" s="2" customFormat="1">
      <c r="A339" s="83"/>
      <c r="H339" s="83"/>
      <c r="K339" s="82"/>
      <c r="M339" s="83"/>
    </row>
    <row r="340" spans="1:13" s="2" customFormat="1">
      <c r="A340" s="83"/>
      <c r="H340" s="83"/>
      <c r="K340" s="82"/>
      <c r="M340" s="83"/>
    </row>
    <row r="341" spans="1:13" s="2" customFormat="1">
      <c r="A341" s="83"/>
      <c r="H341" s="83"/>
      <c r="K341" s="82"/>
      <c r="M341" s="83"/>
    </row>
    <row r="342" spans="1:13" s="2" customFormat="1">
      <c r="A342" s="83"/>
      <c r="H342" s="83"/>
      <c r="K342" s="82"/>
      <c r="M342" s="83"/>
    </row>
    <row r="343" spans="1:13" s="2" customFormat="1">
      <c r="A343" s="83"/>
      <c r="H343" s="83"/>
      <c r="K343" s="82"/>
      <c r="M343" s="83"/>
    </row>
    <row r="344" spans="1:13" s="2" customFormat="1">
      <c r="A344" s="83"/>
      <c r="H344" s="83"/>
      <c r="K344" s="82"/>
      <c r="M344" s="83"/>
    </row>
    <row r="345" spans="1:13" s="2" customFormat="1">
      <c r="A345" s="83"/>
      <c r="H345" s="83"/>
      <c r="K345" s="82"/>
      <c r="M345" s="83"/>
    </row>
    <row r="346" spans="1:13" s="2" customFormat="1">
      <c r="A346" s="83"/>
      <c r="H346" s="83"/>
      <c r="K346" s="82"/>
      <c r="M346" s="83"/>
    </row>
    <row r="347" spans="1:13" s="2" customFormat="1">
      <c r="A347" s="83"/>
      <c r="H347" s="83"/>
      <c r="K347" s="82"/>
      <c r="M347" s="83"/>
    </row>
    <row r="348" spans="1:13" s="2" customFormat="1">
      <c r="A348" s="83"/>
      <c r="H348" s="83"/>
      <c r="K348" s="82"/>
      <c r="M348" s="83"/>
    </row>
    <row r="349" spans="1:13" s="2" customFormat="1">
      <c r="A349" s="83"/>
      <c r="H349" s="83"/>
      <c r="K349" s="82"/>
      <c r="M349" s="83"/>
    </row>
    <row r="350" spans="1:13" s="2" customFormat="1">
      <c r="A350" s="83"/>
      <c r="H350" s="83"/>
      <c r="K350" s="82"/>
      <c r="M350" s="83"/>
    </row>
    <row r="351" spans="1:13" s="2" customFormat="1">
      <c r="A351" s="83"/>
      <c r="H351" s="83"/>
      <c r="K351" s="82"/>
      <c r="M351" s="83"/>
    </row>
    <row r="352" spans="1:13" s="2" customFormat="1">
      <c r="A352" s="83"/>
      <c r="H352" s="83"/>
      <c r="K352" s="82"/>
      <c r="M352" s="83"/>
    </row>
    <row r="353" spans="1:13" s="2" customFormat="1">
      <c r="A353" s="83"/>
      <c r="H353" s="83"/>
      <c r="K353" s="82"/>
      <c r="M353" s="83"/>
    </row>
    <row r="354" spans="1:13" s="2" customFormat="1">
      <c r="A354" s="83"/>
      <c r="H354" s="83"/>
      <c r="K354" s="82"/>
      <c r="M354" s="83"/>
    </row>
    <row r="355" spans="1:13" s="2" customFormat="1">
      <c r="A355" s="83"/>
      <c r="H355" s="83"/>
      <c r="K355" s="82"/>
      <c r="M355" s="83"/>
    </row>
    <row r="356" spans="1:13" s="2" customFormat="1">
      <c r="A356" s="83"/>
      <c r="H356" s="83"/>
      <c r="K356" s="82"/>
      <c r="M356" s="83"/>
    </row>
    <row r="357" spans="1:13" s="2" customFormat="1">
      <c r="A357" s="83"/>
      <c r="H357" s="83"/>
      <c r="K357" s="82"/>
      <c r="M357" s="83"/>
    </row>
    <row r="358" spans="1:13" s="2" customFormat="1">
      <c r="A358" s="83"/>
      <c r="H358" s="83"/>
      <c r="K358" s="82"/>
      <c r="M358" s="83"/>
    </row>
    <row r="359" spans="1:13" s="2" customFormat="1">
      <c r="A359" s="83"/>
      <c r="H359" s="83"/>
      <c r="K359" s="82"/>
      <c r="M359" s="83"/>
    </row>
    <row r="360" spans="1:13" s="2" customFormat="1">
      <c r="A360" s="83"/>
      <c r="H360" s="83"/>
      <c r="K360" s="82"/>
      <c r="M360" s="83"/>
    </row>
    <row r="361" spans="1:13" s="2" customFormat="1">
      <c r="A361" s="83"/>
      <c r="H361" s="83"/>
      <c r="K361" s="82"/>
      <c r="M361" s="83"/>
    </row>
    <row r="362" spans="1:13" s="2" customFormat="1">
      <c r="A362" s="83"/>
      <c r="H362" s="83"/>
      <c r="K362" s="82"/>
      <c r="M362" s="83"/>
    </row>
    <row r="363" spans="1:13" s="2" customFormat="1">
      <c r="A363" s="83"/>
      <c r="H363" s="83"/>
      <c r="K363" s="82"/>
      <c r="M363" s="83"/>
    </row>
    <row r="364" spans="1:13" s="2" customFormat="1">
      <c r="A364" s="83"/>
      <c r="H364" s="83"/>
      <c r="K364" s="82"/>
      <c r="M364" s="83"/>
    </row>
    <row r="365" spans="1:13" s="2" customFormat="1">
      <c r="A365" s="83"/>
      <c r="H365" s="83"/>
      <c r="K365" s="82"/>
      <c r="M365" s="83"/>
    </row>
    <row r="366" spans="1:13" s="2" customFormat="1">
      <c r="A366" s="83"/>
      <c r="H366" s="83"/>
      <c r="K366" s="82"/>
      <c r="M366" s="83"/>
    </row>
    <row r="367" spans="1:13" s="2" customFormat="1">
      <c r="A367" s="83"/>
      <c r="H367" s="83"/>
      <c r="K367" s="82"/>
      <c r="M367" s="83"/>
    </row>
    <row r="368" spans="1:13" s="2" customFormat="1">
      <c r="A368" s="83"/>
      <c r="H368" s="83"/>
      <c r="K368" s="82"/>
      <c r="M368" s="83"/>
    </row>
    <row r="369" spans="1:13" s="2" customFormat="1">
      <c r="A369" s="83"/>
      <c r="H369" s="83"/>
      <c r="K369" s="82"/>
      <c r="M369" s="83"/>
    </row>
    <row r="370" spans="1:13" s="2" customFormat="1">
      <c r="A370" s="83"/>
      <c r="H370" s="83"/>
      <c r="K370" s="82"/>
      <c r="M370" s="83"/>
    </row>
    <row r="371" spans="1:13" s="2" customFormat="1">
      <c r="A371" s="83"/>
      <c r="H371" s="83"/>
      <c r="K371" s="82"/>
      <c r="M371" s="83"/>
    </row>
    <row r="372" spans="1:13" s="2" customFormat="1">
      <c r="A372" s="83"/>
      <c r="H372" s="83"/>
      <c r="K372" s="82"/>
      <c r="M372" s="83"/>
    </row>
    <row r="373" spans="1:13" s="2" customFormat="1">
      <c r="A373" s="83"/>
      <c r="H373" s="83"/>
      <c r="K373" s="82"/>
      <c r="M373" s="83"/>
    </row>
    <row r="374" spans="1:13" s="2" customFormat="1">
      <c r="A374" s="83"/>
      <c r="H374" s="83"/>
      <c r="K374" s="82"/>
      <c r="M374" s="83"/>
    </row>
    <row r="375" spans="1:13" s="2" customFormat="1">
      <c r="A375" s="83"/>
      <c r="H375" s="83"/>
      <c r="K375" s="82"/>
      <c r="M375" s="83"/>
    </row>
    <row r="376" spans="1:13" s="2" customFormat="1">
      <c r="A376" s="83"/>
      <c r="H376" s="83"/>
      <c r="K376" s="82"/>
      <c r="M376" s="83"/>
    </row>
    <row r="377" spans="1:13" s="2" customFormat="1">
      <c r="A377" s="83"/>
      <c r="H377" s="83"/>
      <c r="K377" s="82"/>
      <c r="M377" s="83"/>
    </row>
    <row r="378" spans="1:13" s="2" customFormat="1">
      <c r="A378" s="83"/>
      <c r="H378" s="83"/>
      <c r="K378" s="82"/>
      <c r="M378" s="83"/>
    </row>
    <row r="379" spans="1:13" s="2" customFormat="1">
      <c r="A379" s="83"/>
      <c r="H379" s="83"/>
      <c r="K379" s="82"/>
      <c r="M379" s="83"/>
    </row>
    <row r="380" spans="1:13" s="2" customFormat="1">
      <c r="A380" s="83"/>
      <c r="H380" s="83"/>
      <c r="K380" s="82"/>
      <c r="M380" s="83"/>
    </row>
    <row r="381" spans="1:13" s="2" customFormat="1">
      <c r="A381" s="83"/>
      <c r="H381" s="83"/>
      <c r="K381" s="82"/>
      <c r="M381" s="83"/>
    </row>
    <row r="382" spans="1:13" s="2" customFormat="1">
      <c r="A382" s="83"/>
      <c r="H382" s="83"/>
      <c r="K382" s="82"/>
      <c r="M382" s="83"/>
    </row>
    <row r="383" spans="1:13" s="2" customFormat="1">
      <c r="A383" s="83"/>
      <c r="H383" s="83"/>
      <c r="K383" s="82"/>
      <c r="M383" s="83"/>
    </row>
    <row r="384" spans="1:13" s="2" customFormat="1">
      <c r="A384" s="83"/>
      <c r="H384" s="83"/>
      <c r="K384" s="82"/>
      <c r="M384" s="83"/>
    </row>
    <row r="385" spans="1:13" s="2" customFormat="1">
      <c r="A385" s="83"/>
      <c r="H385" s="83"/>
      <c r="K385" s="82"/>
      <c r="M385" s="83"/>
    </row>
    <row r="386" spans="1:13" s="2" customFormat="1">
      <c r="A386" s="83"/>
      <c r="H386" s="83"/>
      <c r="K386" s="82"/>
      <c r="M386" s="83"/>
    </row>
    <row r="387" spans="1:13" s="2" customFormat="1">
      <c r="A387" s="83"/>
      <c r="H387" s="83"/>
      <c r="K387" s="82"/>
      <c r="M387" s="83"/>
    </row>
    <row r="388" spans="1:13" s="2" customFormat="1">
      <c r="A388" s="83"/>
      <c r="H388" s="83"/>
      <c r="K388" s="82"/>
      <c r="M388" s="83"/>
    </row>
    <row r="389" spans="1:13" s="2" customFormat="1">
      <c r="A389" s="83"/>
      <c r="H389" s="83"/>
      <c r="K389" s="82"/>
      <c r="M389" s="83"/>
    </row>
    <row r="390" spans="1:13" s="2" customFormat="1">
      <c r="A390" s="83"/>
      <c r="H390" s="83"/>
      <c r="K390" s="82"/>
      <c r="M390" s="83"/>
    </row>
    <row r="391" spans="1:13" s="2" customFormat="1">
      <c r="A391" s="83"/>
      <c r="H391" s="83"/>
      <c r="K391" s="82"/>
      <c r="M391" s="83"/>
    </row>
    <row r="392" spans="1:13" s="2" customFormat="1">
      <c r="A392" s="83"/>
      <c r="H392" s="83"/>
      <c r="K392" s="82"/>
      <c r="M392" s="83"/>
    </row>
    <row r="393" spans="1:13" s="2" customFormat="1">
      <c r="A393" s="83"/>
      <c r="H393" s="83"/>
      <c r="K393" s="82"/>
      <c r="M393" s="83"/>
    </row>
    <row r="394" spans="1:13" s="2" customFormat="1">
      <c r="A394" s="83"/>
      <c r="H394" s="83"/>
      <c r="K394" s="82"/>
      <c r="M394" s="83"/>
    </row>
    <row r="395" spans="1:13" s="2" customFormat="1">
      <c r="A395" s="83"/>
      <c r="H395" s="83"/>
      <c r="K395" s="82"/>
      <c r="M395" s="83"/>
    </row>
    <row r="396" spans="1:13" s="2" customFormat="1">
      <c r="A396" s="83"/>
      <c r="H396" s="83"/>
      <c r="K396" s="82"/>
      <c r="M396" s="83"/>
    </row>
    <row r="397" spans="1:13" s="2" customFormat="1">
      <c r="A397" s="83"/>
      <c r="H397" s="83"/>
      <c r="K397" s="82"/>
      <c r="M397" s="83"/>
    </row>
    <row r="398" spans="1:13" s="2" customFormat="1">
      <c r="A398" s="83"/>
      <c r="H398" s="83"/>
      <c r="K398" s="82"/>
      <c r="M398" s="83"/>
    </row>
    <row r="399" spans="1:13" s="2" customFormat="1">
      <c r="A399" s="83"/>
      <c r="H399" s="83"/>
      <c r="K399" s="82"/>
      <c r="M399" s="83"/>
    </row>
    <row r="400" spans="1:13" s="2" customFormat="1">
      <c r="A400" s="83"/>
      <c r="H400" s="83"/>
      <c r="K400" s="82"/>
      <c r="M400" s="83"/>
    </row>
    <row r="401" spans="1:13" s="2" customFormat="1">
      <c r="A401" s="83"/>
      <c r="H401" s="83"/>
      <c r="K401" s="82"/>
      <c r="M401" s="83"/>
    </row>
    <row r="402" spans="1:13" s="2" customFormat="1">
      <c r="A402" s="83"/>
      <c r="H402" s="83"/>
      <c r="K402" s="82"/>
      <c r="M402" s="83"/>
    </row>
    <row r="403" spans="1:13" s="2" customFormat="1">
      <c r="A403" s="83"/>
      <c r="H403" s="83"/>
      <c r="K403" s="82"/>
      <c r="M403" s="83"/>
    </row>
    <row r="404" spans="1:13" s="2" customFormat="1">
      <c r="A404" s="83"/>
      <c r="H404" s="83"/>
      <c r="K404" s="82"/>
      <c r="M404" s="83"/>
    </row>
    <row r="405" spans="1:13" s="2" customFormat="1">
      <c r="A405" s="83"/>
      <c r="H405" s="83"/>
      <c r="K405" s="82"/>
      <c r="M405" s="83"/>
    </row>
    <row r="406" spans="1:13" s="2" customFormat="1">
      <c r="A406" s="83"/>
      <c r="H406" s="83"/>
      <c r="K406" s="82"/>
      <c r="M406" s="83"/>
    </row>
    <row r="407" spans="1:13" s="2" customFormat="1">
      <c r="A407" s="83"/>
      <c r="H407" s="83"/>
      <c r="K407" s="82"/>
      <c r="M407" s="83"/>
    </row>
    <row r="408" spans="1:13" s="2" customFormat="1">
      <c r="A408" s="83"/>
      <c r="H408" s="83"/>
      <c r="K408" s="82"/>
      <c r="M408" s="83"/>
    </row>
    <row r="409" spans="1:13" s="2" customFormat="1">
      <c r="A409" s="83"/>
      <c r="H409" s="83"/>
      <c r="K409" s="82"/>
      <c r="M409" s="83"/>
    </row>
    <row r="410" spans="1:13" s="2" customFormat="1">
      <c r="A410" s="83"/>
      <c r="H410" s="83"/>
      <c r="K410" s="82"/>
      <c r="M410" s="83"/>
    </row>
    <row r="411" spans="1:13" s="2" customFormat="1">
      <c r="A411" s="83"/>
      <c r="H411" s="83"/>
      <c r="K411" s="82"/>
      <c r="M411" s="83"/>
    </row>
    <row r="412" spans="1:13" s="2" customFormat="1">
      <c r="A412" s="83"/>
      <c r="H412" s="83"/>
      <c r="K412" s="82"/>
      <c r="M412" s="83"/>
    </row>
    <row r="413" spans="1:13" s="2" customFormat="1">
      <c r="A413" s="83"/>
      <c r="H413" s="83"/>
      <c r="K413" s="82"/>
      <c r="M413" s="83"/>
    </row>
    <row r="414" spans="1:13" s="2" customFormat="1">
      <c r="A414" s="83"/>
      <c r="H414" s="83"/>
      <c r="K414" s="82"/>
      <c r="M414" s="83"/>
    </row>
    <row r="415" spans="1:13" s="2" customFormat="1">
      <c r="A415" s="83"/>
      <c r="H415" s="83"/>
      <c r="K415" s="82"/>
      <c r="M415" s="83"/>
    </row>
    <row r="416" spans="1:13" s="2" customFormat="1">
      <c r="A416" s="83"/>
      <c r="H416" s="83"/>
      <c r="K416" s="82"/>
      <c r="M416" s="83"/>
    </row>
    <row r="417" spans="1:13" s="2" customFormat="1">
      <c r="A417" s="83"/>
      <c r="H417" s="83"/>
      <c r="K417" s="82"/>
      <c r="M417" s="83"/>
    </row>
    <row r="418" spans="1:13" s="2" customFormat="1">
      <c r="A418" s="83"/>
      <c r="H418" s="83"/>
      <c r="K418" s="82"/>
      <c r="M418" s="83"/>
    </row>
    <row r="419" spans="1:13" s="2" customFormat="1">
      <c r="A419" s="83"/>
      <c r="H419" s="83"/>
      <c r="K419" s="82"/>
      <c r="M419" s="83"/>
    </row>
    <row r="420" spans="1:13" s="2" customFormat="1">
      <c r="A420" s="83"/>
      <c r="H420" s="83"/>
      <c r="K420" s="82"/>
      <c r="M420" s="83"/>
    </row>
    <row r="421" spans="1:13" s="2" customFormat="1">
      <c r="A421" s="83"/>
      <c r="H421" s="83"/>
      <c r="K421" s="82"/>
      <c r="M421" s="83"/>
    </row>
    <row r="422" spans="1:13" s="2" customFormat="1">
      <c r="A422" s="83"/>
      <c r="H422" s="83"/>
      <c r="K422" s="82"/>
      <c r="M422" s="83"/>
    </row>
    <row r="423" spans="1:13" s="2" customFormat="1">
      <c r="A423" s="83"/>
      <c r="H423" s="83"/>
      <c r="K423" s="82"/>
      <c r="M423" s="83"/>
    </row>
    <row r="424" spans="1:13" s="2" customFormat="1">
      <c r="A424" s="83"/>
      <c r="H424" s="83"/>
      <c r="K424" s="82"/>
      <c r="M424" s="83"/>
    </row>
    <row r="425" spans="1:13" s="2" customFormat="1">
      <c r="A425" s="83"/>
      <c r="H425" s="83"/>
      <c r="K425" s="82"/>
      <c r="M425" s="83"/>
    </row>
    <row r="426" spans="1:13" s="2" customFormat="1">
      <c r="A426" s="83"/>
      <c r="H426" s="83"/>
      <c r="K426" s="82"/>
      <c r="M426" s="83"/>
    </row>
    <row r="427" spans="1:13" s="2" customFormat="1">
      <c r="A427" s="83"/>
      <c r="H427" s="83"/>
      <c r="K427" s="82"/>
      <c r="M427" s="83"/>
    </row>
    <row r="428" spans="1:13" s="2" customFormat="1">
      <c r="A428" s="83"/>
      <c r="H428" s="83"/>
      <c r="K428" s="82"/>
      <c r="M428" s="83"/>
    </row>
    <row r="429" spans="1:13" s="2" customFormat="1">
      <c r="A429" s="83"/>
      <c r="H429" s="83"/>
      <c r="K429" s="82"/>
      <c r="M429" s="83"/>
    </row>
    <row r="430" spans="1:13" s="2" customFormat="1">
      <c r="A430" s="83"/>
      <c r="H430" s="83"/>
      <c r="K430" s="82"/>
      <c r="M430" s="83"/>
    </row>
    <row r="431" spans="1:13" s="2" customFormat="1">
      <c r="A431" s="83"/>
      <c r="H431" s="83"/>
      <c r="K431" s="82"/>
      <c r="M431" s="83"/>
    </row>
    <row r="432" spans="1:13" s="2" customFormat="1">
      <c r="A432" s="83"/>
      <c r="H432" s="83"/>
      <c r="K432" s="82"/>
      <c r="M432" s="83"/>
    </row>
    <row r="433" spans="1:13" s="2" customFormat="1">
      <c r="A433" s="83"/>
      <c r="H433" s="83"/>
      <c r="K433" s="82"/>
      <c r="M433" s="83"/>
    </row>
    <row r="434" spans="1:13" s="2" customFormat="1">
      <c r="A434" s="83"/>
      <c r="H434" s="83"/>
      <c r="K434" s="82"/>
      <c r="M434" s="83"/>
    </row>
    <row r="435" spans="1:13" s="2" customFormat="1">
      <c r="A435" s="83"/>
      <c r="H435" s="83"/>
      <c r="K435" s="82"/>
      <c r="M435" s="83"/>
    </row>
    <row r="436" spans="1:13" s="2" customFormat="1">
      <c r="A436" s="83"/>
      <c r="H436" s="83"/>
      <c r="K436" s="82"/>
      <c r="M436" s="83"/>
    </row>
    <row r="437" spans="1:13" s="2" customFormat="1">
      <c r="A437" s="83"/>
      <c r="H437" s="83"/>
      <c r="K437" s="82"/>
      <c r="M437" s="83"/>
    </row>
    <row r="438" spans="1:13" s="2" customFormat="1">
      <c r="A438" s="83"/>
      <c r="H438" s="83"/>
      <c r="K438" s="82"/>
      <c r="M438" s="83"/>
    </row>
    <row r="439" spans="1:13" s="2" customFormat="1">
      <c r="A439" s="83"/>
      <c r="H439" s="83"/>
      <c r="K439" s="82"/>
      <c r="M439" s="83"/>
    </row>
    <row r="440" spans="1:13" s="2" customFormat="1">
      <c r="A440" s="83"/>
      <c r="H440" s="83"/>
      <c r="K440" s="82"/>
      <c r="M440" s="83"/>
    </row>
    <row r="441" spans="1:13" s="2" customFormat="1">
      <c r="A441" s="83"/>
      <c r="H441" s="83"/>
      <c r="K441" s="82"/>
      <c r="M441" s="83"/>
    </row>
    <row r="442" spans="1:13" s="2" customFormat="1">
      <c r="A442" s="83"/>
      <c r="H442" s="83"/>
      <c r="K442" s="82"/>
      <c r="M442" s="83"/>
    </row>
    <row r="443" spans="1:13" s="2" customFormat="1">
      <c r="A443" s="83"/>
      <c r="H443" s="83"/>
      <c r="K443" s="82"/>
      <c r="M443" s="83"/>
    </row>
    <row r="444" spans="1:13" s="2" customFormat="1">
      <c r="A444" s="83"/>
      <c r="H444" s="83"/>
      <c r="K444" s="82"/>
      <c r="M444" s="83"/>
    </row>
    <row r="445" spans="1:13" s="2" customFormat="1">
      <c r="A445" s="83"/>
      <c r="H445" s="83"/>
      <c r="K445" s="82"/>
      <c r="M445" s="83"/>
    </row>
    <row r="446" spans="1:13" s="2" customFormat="1">
      <c r="A446" s="83"/>
      <c r="H446" s="83"/>
      <c r="K446" s="82"/>
      <c r="M446" s="83"/>
    </row>
    <row r="447" spans="1:13" s="2" customFormat="1">
      <c r="A447" s="83"/>
      <c r="H447" s="83"/>
      <c r="K447" s="82"/>
      <c r="M447" s="83"/>
    </row>
    <row r="448" spans="1:13" s="2" customFormat="1">
      <c r="A448" s="83"/>
      <c r="H448" s="83"/>
      <c r="K448" s="82"/>
      <c r="M448" s="83"/>
    </row>
    <row r="449" spans="1:13" s="2" customFormat="1">
      <c r="A449" s="83"/>
      <c r="H449" s="83"/>
      <c r="K449" s="82"/>
      <c r="M449" s="83"/>
    </row>
    <row r="450" spans="1:13" s="2" customFormat="1">
      <c r="A450" s="83"/>
      <c r="H450" s="83"/>
      <c r="K450" s="82"/>
      <c r="M450" s="83"/>
    </row>
    <row r="451" spans="1:13" s="2" customFormat="1">
      <c r="A451" s="83"/>
      <c r="H451" s="83"/>
      <c r="K451" s="82"/>
      <c r="M451" s="83"/>
    </row>
    <row r="452" spans="1:13" s="2" customFormat="1">
      <c r="A452" s="83"/>
      <c r="H452" s="83"/>
      <c r="K452" s="82"/>
      <c r="M452" s="83"/>
    </row>
    <row r="453" spans="1:13" s="2" customFormat="1">
      <c r="A453" s="83"/>
      <c r="H453" s="83"/>
      <c r="K453" s="82"/>
      <c r="M453" s="83"/>
    </row>
    <row r="454" spans="1:13" s="2" customFormat="1">
      <c r="A454" s="83"/>
      <c r="H454" s="83"/>
      <c r="K454" s="82"/>
      <c r="M454" s="83"/>
    </row>
    <row r="455" spans="1:13" s="2" customFormat="1">
      <c r="A455" s="83"/>
      <c r="H455" s="83"/>
      <c r="K455" s="82"/>
      <c r="M455" s="83"/>
    </row>
    <row r="456" spans="1:13" s="2" customFormat="1">
      <c r="A456" s="83"/>
      <c r="H456" s="83"/>
      <c r="K456" s="82"/>
      <c r="M456" s="83"/>
    </row>
    <row r="457" spans="1:13" s="2" customFormat="1">
      <c r="A457" s="83"/>
      <c r="H457" s="83"/>
      <c r="K457" s="82"/>
      <c r="M457" s="83"/>
    </row>
    <row r="458" spans="1:13" s="2" customFormat="1">
      <c r="A458" s="83"/>
      <c r="H458" s="83"/>
      <c r="K458" s="82"/>
      <c r="M458" s="83"/>
    </row>
    <row r="459" spans="1:13" s="2" customFormat="1">
      <c r="A459" s="83"/>
      <c r="H459" s="83"/>
      <c r="K459" s="82"/>
      <c r="M459" s="83"/>
    </row>
    <row r="460" spans="1:13" s="2" customFormat="1">
      <c r="A460" s="83"/>
      <c r="H460" s="83"/>
      <c r="K460" s="82"/>
      <c r="M460" s="83"/>
    </row>
    <row r="461" spans="1:13" s="2" customFormat="1">
      <c r="A461" s="83"/>
      <c r="H461" s="83"/>
      <c r="K461" s="82"/>
      <c r="M461" s="83"/>
    </row>
    <row r="462" spans="1:13" s="2" customFormat="1">
      <c r="A462" s="83"/>
      <c r="H462" s="83"/>
      <c r="K462" s="82"/>
      <c r="M462" s="83"/>
    </row>
    <row r="463" spans="1:13" s="2" customFormat="1">
      <c r="A463" s="83"/>
      <c r="H463" s="83"/>
      <c r="K463" s="82"/>
      <c r="M463" s="83"/>
    </row>
    <row r="464" spans="1:13" s="2" customFormat="1">
      <c r="A464" s="83"/>
      <c r="H464" s="83"/>
      <c r="K464" s="82"/>
      <c r="M464" s="83"/>
    </row>
    <row r="465" spans="1:13" s="2" customFormat="1">
      <c r="A465" s="83"/>
      <c r="H465" s="83"/>
      <c r="K465" s="82"/>
      <c r="M465" s="83"/>
    </row>
    <row r="466" spans="1:13" s="2" customFormat="1">
      <c r="A466" s="83"/>
      <c r="H466" s="83"/>
      <c r="K466" s="82"/>
      <c r="M466" s="83"/>
    </row>
    <row r="467" spans="1:13" s="2" customFormat="1">
      <c r="A467" s="83"/>
      <c r="H467" s="83"/>
      <c r="K467" s="82"/>
      <c r="M467" s="83"/>
    </row>
    <row r="468" spans="1:13" s="2" customFormat="1">
      <c r="A468" s="83"/>
      <c r="H468" s="83"/>
      <c r="K468" s="82"/>
      <c r="M468" s="83"/>
    </row>
    <row r="469" spans="1:13" s="2" customFormat="1">
      <c r="A469" s="83"/>
      <c r="H469" s="83"/>
      <c r="K469" s="82"/>
      <c r="M469" s="83"/>
    </row>
    <row r="470" spans="1:13" s="2" customFormat="1">
      <c r="A470" s="83"/>
      <c r="H470" s="83"/>
      <c r="K470" s="82"/>
      <c r="M470" s="83"/>
    </row>
    <row r="471" spans="1:13" s="2" customFormat="1">
      <c r="A471" s="83"/>
      <c r="H471" s="83"/>
      <c r="K471" s="82"/>
      <c r="M471" s="83"/>
    </row>
    <row r="472" spans="1:13" s="2" customFormat="1">
      <c r="A472" s="83"/>
      <c r="H472" s="83"/>
      <c r="K472" s="82"/>
      <c r="M472" s="83"/>
    </row>
    <row r="473" spans="1:13" s="2" customFormat="1">
      <c r="A473" s="83"/>
      <c r="H473" s="83"/>
      <c r="K473" s="82"/>
      <c r="M473" s="83"/>
    </row>
    <row r="474" spans="1:13" s="2" customFormat="1">
      <c r="A474" s="83"/>
      <c r="H474" s="83"/>
      <c r="K474" s="82"/>
      <c r="M474" s="83"/>
    </row>
    <row r="475" spans="1:13" s="2" customFormat="1">
      <c r="A475" s="83"/>
      <c r="H475" s="83"/>
      <c r="K475" s="82"/>
      <c r="M475" s="83"/>
    </row>
    <row r="476" spans="1:13" s="2" customFormat="1">
      <c r="A476" s="83"/>
      <c r="H476" s="83"/>
      <c r="K476" s="82"/>
      <c r="M476" s="83"/>
    </row>
    <row r="477" spans="1:13" s="2" customFormat="1">
      <c r="A477" s="83"/>
      <c r="H477" s="83"/>
      <c r="K477" s="82"/>
      <c r="M477" s="83"/>
    </row>
    <row r="478" spans="1:13" s="2" customFormat="1">
      <c r="A478" s="83"/>
      <c r="H478" s="83"/>
      <c r="K478" s="82"/>
      <c r="M478" s="83"/>
    </row>
    <row r="479" spans="1:13" s="2" customFormat="1">
      <c r="A479" s="83"/>
      <c r="H479" s="83"/>
      <c r="K479" s="82"/>
      <c r="M479" s="83"/>
    </row>
    <row r="480" spans="1:13" s="2" customFormat="1">
      <c r="A480" s="83"/>
      <c r="H480" s="83"/>
      <c r="K480" s="82"/>
      <c r="M480" s="83"/>
    </row>
    <row r="481" spans="1:13" s="2" customFormat="1">
      <c r="A481" s="83"/>
      <c r="H481" s="83"/>
      <c r="K481" s="82"/>
      <c r="M481" s="83"/>
    </row>
    <row r="482" spans="1:13" s="2" customFormat="1">
      <c r="A482" s="83"/>
      <c r="H482" s="83"/>
      <c r="K482" s="82"/>
      <c r="M482" s="83"/>
    </row>
    <row r="483" spans="1:13" s="2" customFormat="1">
      <c r="A483" s="83"/>
      <c r="H483" s="83"/>
      <c r="K483" s="82"/>
      <c r="M483" s="83"/>
    </row>
    <row r="484" spans="1:13" s="2" customFormat="1">
      <c r="A484" s="83"/>
      <c r="H484" s="83"/>
      <c r="K484" s="82"/>
      <c r="M484" s="83"/>
    </row>
    <row r="485" spans="1:13" s="2" customFormat="1">
      <c r="A485" s="83"/>
      <c r="H485" s="83"/>
      <c r="K485" s="82"/>
      <c r="M485" s="83"/>
    </row>
    <row r="486" spans="1:13" s="2" customFormat="1">
      <c r="A486" s="83"/>
      <c r="H486" s="83"/>
      <c r="K486" s="82"/>
      <c r="M486" s="83"/>
    </row>
    <row r="487" spans="1:13" s="2" customFormat="1">
      <c r="A487" s="83"/>
      <c r="H487" s="83"/>
      <c r="K487" s="82"/>
      <c r="M487" s="83"/>
    </row>
    <row r="488" spans="1:13" s="2" customFormat="1">
      <c r="A488" s="83"/>
      <c r="H488" s="83"/>
      <c r="K488" s="82"/>
      <c r="M488" s="83"/>
    </row>
    <row r="489" spans="1:13" s="2" customFormat="1">
      <c r="A489" s="83"/>
      <c r="H489" s="83"/>
      <c r="K489" s="82"/>
      <c r="M489" s="83"/>
    </row>
    <row r="490" spans="1:13" s="2" customFormat="1">
      <c r="A490" s="83"/>
      <c r="H490" s="83"/>
      <c r="K490" s="82"/>
      <c r="M490" s="83"/>
    </row>
    <row r="491" spans="1:13" s="2" customFormat="1">
      <c r="A491" s="83"/>
      <c r="H491" s="83"/>
      <c r="K491" s="82"/>
      <c r="M491" s="83"/>
    </row>
    <row r="492" spans="1:13" s="2" customFormat="1">
      <c r="A492" s="83"/>
      <c r="H492" s="83"/>
      <c r="K492" s="82"/>
      <c r="M492" s="83"/>
    </row>
    <row r="493" spans="1:13" s="2" customFormat="1">
      <c r="A493" s="83"/>
      <c r="H493" s="83"/>
      <c r="K493" s="82"/>
      <c r="M493" s="83"/>
    </row>
    <row r="494" spans="1:13" s="2" customFormat="1">
      <c r="A494" s="83"/>
      <c r="H494" s="83"/>
      <c r="K494" s="82"/>
      <c r="M494" s="83"/>
    </row>
    <row r="495" spans="1:13" s="2" customFormat="1">
      <c r="A495" s="83"/>
      <c r="H495" s="83"/>
      <c r="K495" s="82"/>
      <c r="M495" s="83"/>
    </row>
    <row r="496" spans="1:13" s="2" customFormat="1">
      <c r="A496" s="83"/>
      <c r="H496" s="83"/>
      <c r="K496" s="82"/>
      <c r="M496" s="83"/>
    </row>
    <row r="497" spans="1:13" s="2" customFormat="1">
      <c r="A497" s="83"/>
      <c r="H497" s="83"/>
      <c r="K497" s="82"/>
      <c r="M497" s="83"/>
    </row>
    <row r="498" spans="1:13" s="2" customFormat="1">
      <c r="A498" s="83"/>
      <c r="H498" s="83"/>
      <c r="K498" s="82"/>
      <c r="M498" s="83"/>
    </row>
    <row r="499" spans="1:13" s="2" customFormat="1">
      <c r="A499" s="83"/>
      <c r="H499" s="83"/>
      <c r="K499" s="82"/>
      <c r="M499" s="83"/>
    </row>
    <row r="500" spans="1:13" s="2" customFormat="1">
      <c r="A500" s="83"/>
      <c r="H500" s="83"/>
      <c r="K500" s="82"/>
      <c r="M500" s="83"/>
    </row>
    <row r="501" spans="1:13" s="2" customFormat="1">
      <c r="A501" s="83"/>
      <c r="H501" s="83"/>
      <c r="K501" s="82"/>
      <c r="M501" s="83"/>
    </row>
    <row r="502" spans="1:13" s="2" customFormat="1">
      <c r="A502" s="83"/>
      <c r="H502" s="83"/>
      <c r="K502" s="82"/>
      <c r="M502" s="83"/>
    </row>
    <row r="503" spans="1:13" s="2" customFormat="1">
      <c r="A503" s="83"/>
      <c r="H503" s="83"/>
      <c r="K503" s="82"/>
      <c r="M503" s="83"/>
    </row>
    <row r="504" spans="1:13" s="2" customFormat="1">
      <c r="A504" s="83"/>
      <c r="H504" s="83"/>
      <c r="K504" s="82"/>
      <c r="M504" s="83"/>
    </row>
    <row r="505" spans="1:13" s="2" customFormat="1">
      <c r="A505" s="83"/>
      <c r="H505" s="83"/>
      <c r="K505" s="82"/>
      <c r="M505" s="83"/>
    </row>
    <row r="506" spans="1:13" s="2" customFormat="1">
      <c r="A506" s="83"/>
      <c r="H506" s="83"/>
      <c r="K506" s="82"/>
      <c r="M506" s="83"/>
    </row>
    <row r="507" spans="1:13" s="2" customFormat="1">
      <c r="A507" s="83"/>
      <c r="H507" s="83"/>
      <c r="K507" s="82"/>
      <c r="M507" s="83"/>
    </row>
    <row r="508" spans="1:13" s="2" customFormat="1">
      <c r="A508" s="83"/>
      <c r="H508" s="83"/>
      <c r="K508" s="82"/>
      <c r="M508" s="83"/>
    </row>
    <row r="509" spans="1:13" s="2" customFormat="1">
      <c r="A509" s="83"/>
      <c r="H509" s="83"/>
      <c r="K509" s="82"/>
      <c r="M509" s="83"/>
    </row>
    <row r="510" spans="1:13" s="2" customFormat="1">
      <c r="A510" s="83"/>
      <c r="H510" s="83"/>
      <c r="K510" s="82"/>
      <c r="M510" s="83"/>
    </row>
    <row r="511" spans="1:13" s="2" customFormat="1">
      <c r="A511" s="83"/>
      <c r="H511" s="83"/>
      <c r="K511" s="82"/>
      <c r="M511" s="83"/>
    </row>
    <row r="512" spans="1:13" s="2" customFormat="1">
      <c r="A512" s="83"/>
      <c r="H512" s="83"/>
      <c r="K512" s="82"/>
      <c r="M512" s="83"/>
    </row>
    <row r="513" spans="1:13" s="2" customFormat="1">
      <c r="A513" s="83"/>
      <c r="H513" s="83"/>
      <c r="K513" s="82"/>
      <c r="M513" s="83"/>
    </row>
    <row r="514" spans="1:13" s="2" customFormat="1">
      <c r="A514" s="83"/>
      <c r="H514" s="83"/>
      <c r="K514" s="82"/>
      <c r="M514" s="83"/>
    </row>
    <row r="515" spans="1:13" s="2" customFormat="1">
      <c r="A515" s="83"/>
      <c r="H515" s="83"/>
      <c r="K515" s="82"/>
      <c r="M515" s="83"/>
    </row>
    <row r="516" spans="1:13" s="2" customFormat="1">
      <c r="A516" s="83"/>
      <c r="H516" s="83"/>
      <c r="K516" s="82"/>
      <c r="M516" s="83"/>
    </row>
    <row r="517" spans="1:13" s="2" customFormat="1">
      <c r="A517" s="83"/>
      <c r="H517" s="83"/>
      <c r="K517" s="82"/>
      <c r="M517" s="83"/>
    </row>
    <row r="518" spans="1:13" s="2" customFormat="1">
      <c r="A518" s="83"/>
      <c r="H518" s="83"/>
      <c r="K518" s="82"/>
      <c r="M518" s="83"/>
    </row>
    <row r="519" spans="1:13" s="2" customFormat="1">
      <c r="A519" s="83"/>
      <c r="H519" s="83"/>
      <c r="K519" s="82"/>
      <c r="M519" s="83"/>
    </row>
    <row r="520" spans="1:13" s="2" customFormat="1">
      <c r="A520" s="83"/>
      <c r="H520" s="83"/>
      <c r="K520" s="82"/>
      <c r="M520" s="83"/>
    </row>
    <row r="521" spans="1:13" s="2" customFormat="1">
      <c r="A521" s="83"/>
      <c r="H521" s="83"/>
      <c r="K521" s="82"/>
      <c r="M521" s="83"/>
    </row>
    <row r="522" spans="1:13" s="2" customFormat="1">
      <c r="A522" s="83"/>
      <c r="H522" s="83"/>
      <c r="K522" s="82"/>
      <c r="M522" s="83"/>
    </row>
    <row r="523" spans="1:13" s="2" customFormat="1">
      <c r="A523" s="83"/>
      <c r="H523" s="83"/>
      <c r="K523" s="82"/>
      <c r="M523" s="83"/>
    </row>
    <row r="524" spans="1:13" s="2" customFormat="1">
      <c r="A524" s="83"/>
      <c r="H524" s="83"/>
      <c r="K524" s="82"/>
      <c r="M524" s="83"/>
    </row>
    <row r="525" spans="1:13" s="2" customFormat="1">
      <c r="A525" s="83"/>
      <c r="H525" s="83"/>
      <c r="K525" s="82"/>
      <c r="M525" s="83"/>
    </row>
    <row r="526" spans="1:13" s="2" customFormat="1">
      <c r="A526" s="83"/>
      <c r="H526" s="83"/>
      <c r="K526" s="82"/>
      <c r="M526" s="83"/>
    </row>
    <row r="527" spans="1:13" s="2" customFormat="1">
      <c r="A527" s="83"/>
      <c r="H527" s="83"/>
      <c r="K527" s="82"/>
      <c r="M527" s="83"/>
    </row>
    <row r="528" spans="1:13" s="2" customFormat="1">
      <c r="A528" s="83"/>
      <c r="H528" s="83"/>
      <c r="K528" s="82"/>
      <c r="M528" s="83"/>
    </row>
    <row r="529" spans="1:13" s="2" customFormat="1">
      <c r="A529" s="83"/>
      <c r="H529" s="83"/>
      <c r="K529" s="82"/>
      <c r="M529" s="83"/>
    </row>
    <row r="530" spans="1:13" s="2" customFormat="1">
      <c r="A530" s="83"/>
      <c r="H530" s="83"/>
      <c r="K530" s="82"/>
      <c r="M530" s="83"/>
    </row>
    <row r="531" spans="1:13" s="2" customFormat="1">
      <c r="A531" s="83"/>
      <c r="H531" s="83"/>
      <c r="K531" s="82"/>
      <c r="M531" s="83"/>
    </row>
    <row r="532" spans="1:13" s="2" customFormat="1">
      <c r="A532" s="83"/>
      <c r="H532" s="83"/>
      <c r="K532" s="82"/>
      <c r="M532" s="83"/>
    </row>
    <row r="533" spans="1:13" s="2" customFormat="1">
      <c r="A533" s="83"/>
      <c r="H533" s="83"/>
      <c r="K533" s="82"/>
      <c r="M533" s="83"/>
    </row>
    <row r="534" spans="1:13" s="2" customFormat="1">
      <c r="A534" s="83"/>
      <c r="H534" s="83"/>
      <c r="K534" s="82"/>
      <c r="M534" s="83"/>
    </row>
    <row r="535" spans="1:13" s="2" customFormat="1">
      <c r="A535" s="83"/>
      <c r="H535" s="83"/>
      <c r="K535" s="82"/>
      <c r="M535" s="83"/>
    </row>
    <row r="536" spans="1:13" s="2" customFormat="1">
      <c r="A536" s="83"/>
      <c r="H536" s="83"/>
      <c r="K536" s="82"/>
      <c r="M536" s="83"/>
    </row>
    <row r="537" spans="1:13" s="2" customFormat="1">
      <c r="A537" s="83"/>
      <c r="H537" s="83"/>
      <c r="K537" s="82"/>
      <c r="M537" s="83"/>
    </row>
    <row r="538" spans="1:13" s="2" customFormat="1">
      <c r="A538" s="83"/>
      <c r="H538" s="83"/>
      <c r="K538" s="82"/>
      <c r="M538" s="83"/>
    </row>
    <row r="539" spans="1:13" s="2" customFormat="1">
      <c r="A539" s="83"/>
      <c r="H539" s="83"/>
      <c r="K539" s="82"/>
      <c r="M539" s="83"/>
    </row>
    <row r="540" spans="1:13" s="2" customFormat="1">
      <c r="A540" s="83"/>
      <c r="H540" s="83"/>
      <c r="K540" s="82"/>
      <c r="M540" s="83"/>
    </row>
    <row r="541" spans="1:13" s="2" customFormat="1">
      <c r="A541" s="83"/>
      <c r="H541" s="83"/>
      <c r="K541" s="82"/>
      <c r="M541" s="83"/>
    </row>
    <row r="542" spans="1:13" s="2" customFormat="1">
      <c r="A542" s="83"/>
      <c r="H542" s="83"/>
      <c r="K542" s="82"/>
      <c r="M542" s="83"/>
    </row>
    <row r="543" spans="1:13" s="2" customFormat="1">
      <c r="A543" s="83"/>
      <c r="H543" s="83"/>
      <c r="K543" s="82"/>
      <c r="M543" s="83"/>
    </row>
    <row r="544" spans="1:13" s="2" customFormat="1">
      <c r="A544" s="83"/>
      <c r="H544" s="83"/>
      <c r="K544" s="82"/>
      <c r="M544" s="83"/>
    </row>
    <row r="545" spans="1:13" s="2" customFormat="1">
      <c r="A545" s="83"/>
      <c r="H545" s="83"/>
      <c r="K545" s="82"/>
      <c r="M545" s="83"/>
    </row>
    <row r="546" spans="1:13" s="2" customFormat="1">
      <c r="A546" s="83"/>
      <c r="H546" s="83"/>
      <c r="K546" s="82"/>
      <c r="M546" s="83"/>
    </row>
    <row r="547" spans="1:13" s="2" customFormat="1">
      <c r="A547" s="83"/>
      <c r="H547" s="83"/>
      <c r="K547" s="82"/>
      <c r="M547" s="83"/>
    </row>
    <row r="548" spans="1:13" s="2" customFormat="1">
      <c r="A548" s="83"/>
      <c r="H548" s="83"/>
      <c r="K548" s="82"/>
      <c r="M548" s="83"/>
    </row>
    <row r="549" spans="1:13" s="2" customFormat="1">
      <c r="A549" s="83"/>
      <c r="H549" s="83"/>
      <c r="K549" s="82"/>
      <c r="M549" s="83"/>
    </row>
    <row r="550" spans="1:13" s="2" customFormat="1">
      <c r="A550" s="83"/>
      <c r="H550" s="83"/>
      <c r="K550" s="82"/>
      <c r="M550" s="83"/>
    </row>
    <row r="551" spans="1:13" s="2" customFormat="1">
      <c r="A551" s="83"/>
      <c r="H551" s="83"/>
      <c r="K551" s="82"/>
      <c r="M551" s="83"/>
    </row>
    <row r="552" spans="1:13" s="2" customFormat="1">
      <c r="A552" s="83"/>
      <c r="H552" s="83"/>
      <c r="K552" s="82"/>
      <c r="M552" s="83"/>
    </row>
    <row r="553" spans="1:13" s="2" customFormat="1">
      <c r="A553" s="83"/>
      <c r="H553" s="83"/>
      <c r="K553" s="82"/>
      <c r="M553" s="83"/>
    </row>
    <row r="554" spans="1:13" s="2" customFormat="1">
      <c r="A554" s="83"/>
      <c r="H554" s="83"/>
      <c r="K554" s="82"/>
      <c r="M554" s="83"/>
    </row>
    <row r="555" spans="1:13" s="2" customFormat="1">
      <c r="A555" s="83"/>
      <c r="H555" s="83"/>
      <c r="K555" s="82"/>
      <c r="M555" s="83"/>
    </row>
    <row r="556" spans="1:13" s="2" customFormat="1">
      <c r="A556" s="83"/>
      <c r="H556" s="83"/>
      <c r="K556" s="82"/>
      <c r="M556" s="83"/>
    </row>
    <row r="557" spans="1:13" s="2" customFormat="1">
      <c r="A557" s="83"/>
      <c r="H557" s="83"/>
      <c r="K557" s="82"/>
      <c r="M557" s="83"/>
    </row>
    <row r="558" spans="1:13" s="2" customFormat="1">
      <c r="A558" s="83"/>
      <c r="H558" s="83"/>
      <c r="K558" s="82"/>
      <c r="M558" s="83"/>
    </row>
    <row r="559" spans="1:13" s="2" customFormat="1">
      <c r="A559" s="83"/>
      <c r="H559" s="83"/>
      <c r="K559" s="82"/>
      <c r="M559" s="83"/>
    </row>
    <row r="560" spans="1:13" s="2" customFormat="1">
      <c r="A560" s="83"/>
      <c r="H560" s="83"/>
      <c r="K560" s="82"/>
      <c r="M560" s="83"/>
    </row>
    <row r="561" spans="1:13" s="2" customFormat="1">
      <c r="A561" s="83"/>
      <c r="H561" s="83"/>
      <c r="K561" s="82"/>
      <c r="M561" s="83"/>
    </row>
    <row r="562" spans="1:13" s="2" customFormat="1">
      <c r="A562" s="83"/>
      <c r="H562" s="83"/>
      <c r="K562" s="82"/>
      <c r="M562" s="83"/>
    </row>
    <row r="563" spans="1:13" s="2" customFormat="1">
      <c r="A563" s="83"/>
      <c r="H563" s="83"/>
      <c r="K563" s="82"/>
      <c r="M563" s="83"/>
    </row>
    <row r="564" spans="1:13" s="2" customFormat="1">
      <c r="A564" s="83"/>
      <c r="H564" s="83"/>
      <c r="K564" s="82"/>
      <c r="M564" s="83"/>
    </row>
    <row r="565" spans="1:13" s="2" customFormat="1">
      <c r="A565" s="83"/>
      <c r="H565" s="83"/>
      <c r="K565" s="82"/>
      <c r="M565" s="83"/>
    </row>
    <row r="566" spans="1:13" s="2" customFormat="1">
      <c r="A566" s="83"/>
      <c r="H566" s="83"/>
      <c r="K566" s="82"/>
      <c r="M566" s="83"/>
    </row>
    <row r="567" spans="1:13" s="2" customFormat="1">
      <c r="A567" s="83"/>
      <c r="H567" s="83"/>
      <c r="K567" s="82"/>
      <c r="M567" s="83"/>
    </row>
    <row r="568" spans="1:13" s="2" customFormat="1">
      <c r="A568" s="83"/>
      <c r="H568" s="83"/>
      <c r="K568" s="82"/>
      <c r="M568" s="83"/>
    </row>
    <row r="569" spans="1:13" s="2" customFormat="1">
      <c r="A569" s="83"/>
      <c r="H569" s="83"/>
      <c r="K569" s="82"/>
      <c r="M569" s="83"/>
    </row>
    <row r="570" spans="1:13" s="2" customFormat="1">
      <c r="A570" s="83"/>
      <c r="H570" s="83"/>
      <c r="K570" s="82"/>
      <c r="M570" s="83"/>
    </row>
    <row r="571" spans="1:13" s="2" customFormat="1">
      <c r="A571" s="83"/>
      <c r="H571" s="83"/>
      <c r="K571" s="82"/>
      <c r="M571" s="83"/>
    </row>
    <row r="572" spans="1:13" s="2" customFormat="1">
      <c r="A572" s="83"/>
      <c r="H572" s="83"/>
      <c r="K572" s="82"/>
      <c r="M572" s="83"/>
    </row>
    <row r="573" spans="1:13" s="2" customFormat="1">
      <c r="A573" s="83"/>
      <c r="H573" s="83"/>
      <c r="K573" s="82"/>
      <c r="M573" s="83"/>
    </row>
    <row r="574" spans="1:13" s="2" customFormat="1">
      <c r="A574" s="83"/>
      <c r="H574" s="83"/>
      <c r="K574" s="82"/>
      <c r="M574" s="83"/>
    </row>
    <row r="575" spans="1:13" s="2" customFormat="1">
      <c r="A575" s="83"/>
      <c r="H575" s="83"/>
      <c r="K575" s="82"/>
      <c r="M575" s="83"/>
    </row>
    <row r="576" spans="1:13" s="2" customFormat="1">
      <c r="A576" s="83"/>
      <c r="H576" s="83"/>
      <c r="K576" s="82"/>
      <c r="M576" s="83"/>
    </row>
    <row r="577" spans="1:13" s="2" customFormat="1">
      <c r="A577" s="83"/>
      <c r="H577" s="83"/>
      <c r="K577" s="82"/>
      <c r="M577" s="83"/>
    </row>
    <row r="578" spans="1:13" s="2" customFormat="1">
      <c r="A578" s="83"/>
      <c r="H578" s="83"/>
      <c r="K578" s="82"/>
      <c r="M578" s="83"/>
    </row>
    <row r="579" spans="1:13" s="2" customFormat="1">
      <c r="A579" s="83"/>
      <c r="H579" s="83"/>
      <c r="K579" s="82"/>
      <c r="M579" s="83"/>
    </row>
    <row r="580" spans="1:13" s="2" customFormat="1">
      <c r="A580" s="83"/>
      <c r="H580" s="83"/>
      <c r="K580" s="82"/>
      <c r="M580" s="83"/>
    </row>
    <row r="581" spans="1:13" s="2" customFormat="1">
      <c r="A581" s="83"/>
      <c r="H581" s="83"/>
      <c r="K581" s="82"/>
      <c r="M581" s="83"/>
    </row>
    <row r="582" spans="1:13" s="2" customFormat="1">
      <c r="A582" s="83"/>
      <c r="H582" s="83"/>
      <c r="K582" s="82"/>
      <c r="M582" s="83"/>
    </row>
    <row r="583" spans="1:13" s="2" customFormat="1">
      <c r="A583" s="83"/>
      <c r="H583" s="83"/>
      <c r="K583" s="82"/>
      <c r="M583" s="83"/>
    </row>
    <row r="584" spans="1:13" s="2" customFormat="1">
      <c r="A584" s="83"/>
      <c r="H584" s="83"/>
      <c r="K584" s="82"/>
      <c r="M584" s="83"/>
    </row>
    <row r="585" spans="1:13" s="2" customFormat="1">
      <c r="A585" s="83"/>
      <c r="H585" s="83"/>
      <c r="K585" s="82"/>
      <c r="M585" s="83"/>
    </row>
    <row r="586" spans="1:13" s="2" customFormat="1">
      <c r="A586" s="83"/>
      <c r="H586" s="83"/>
      <c r="K586" s="82"/>
      <c r="M586" s="83"/>
    </row>
    <row r="587" spans="1:13" s="2" customFormat="1">
      <c r="A587" s="83"/>
      <c r="H587" s="83"/>
      <c r="K587" s="82"/>
      <c r="M587" s="83"/>
    </row>
    <row r="588" spans="1:13" s="2" customFormat="1">
      <c r="A588" s="83"/>
      <c r="H588" s="83"/>
      <c r="K588" s="82"/>
      <c r="M588" s="83"/>
    </row>
    <row r="589" spans="1:13" s="2" customFormat="1">
      <c r="A589" s="83"/>
      <c r="H589" s="83"/>
      <c r="K589" s="82"/>
      <c r="M589" s="83"/>
    </row>
    <row r="590" spans="1:13" s="2" customFormat="1">
      <c r="A590" s="83"/>
      <c r="H590" s="83"/>
      <c r="K590" s="82"/>
      <c r="M590" s="83"/>
    </row>
    <row r="591" spans="1:13" s="2" customFormat="1">
      <c r="A591" s="83"/>
      <c r="H591" s="83"/>
      <c r="K591" s="82"/>
      <c r="M591" s="83"/>
    </row>
    <row r="592" spans="1:13" s="2" customFormat="1">
      <c r="A592" s="83"/>
      <c r="H592" s="83"/>
      <c r="K592" s="82"/>
      <c r="M592" s="83"/>
    </row>
    <row r="593" spans="1:14" s="2" customFormat="1">
      <c r="A593" s="83"/>
      <c r="H593" s="83"/>
      <c r="K593" s="82"/>
      <c r="M593" s="83"/>
    </row>
    <row r="594" spans="1:14" s="2" customFormat="1">
      <c r="A594" s="83"/>
      <c r="H594" s="83"/>
      <c r="K594" s="82"/>
      <c r="M594" s="83"/>
    </row>
    <row r="595" spans="1:14" s="2" customFormat="1">
      <c r="A595" s="83"/>
      <c r="H595" s="83"/>
      <c r="K595" s="82"/>
      <c r="M595" s="83"/>
    </row>
    <row r="596" spans="1:14" s="2" customFormat="1">
      <c r="A596" s="83"/>
      <c r="H596" s="83"/>
      <c r="K596" s="82"/>
      <c r="M596" s="83"/>
    </row>
    <row r="597" spans="1:14" s="2" customFormat="1">
      <c r="A597" s="83"/>
      <c r="H597" s="83"/>
      <c r="K597" s="82"/>
      <c r="M597" s="83"/>
    </row>
    <row r="598" spans="1:14" s="2" customFormat="1">
      <c r="A598" s="83"/>
      <c r="H598" s="83"/>
      <c r="K598" s="82"/>
      <c r="M598" s="83"/>
    </row>
    <row r="599" spans="1:14" s="2" customFormat="1">
      <c r="A599" s="83"/>
      <c r="H599" s="83"/>
      <c r="K599" s="82"/>
      <c r="M599" s="83"/>
    </row>
    <row r="600" spans="1:14" s="2" customFormat="1">
      <c r="A600" s="83"/>
      <c r="H600" s="83"/>
      <c r="K600" s="82"/>
      <c r="M600" s="83"/>
    </row>
    <row r="601" spans="1:14" s="2" customFormat="1">
      <c r="A601" s="83"/>
      <c r="H601" s="83"/>
      <c r="K601" s="82"/>
      <c r="M601" s="83"/>
    </row>
    <row r="602" spans="1:14" s="2" customFormat="1">
      <c r="A602" s="83"/>
      <c r="H602" s="83"/>
      <c r="K602" s="82"/>
      <c r="M602" s="83"/>
    </row>
    <row r="603" spans="1:14" s="2" customFormat="1">
      <c r="A603" s="83"/>
      <c r="H603" s="83"/>
      <c r="K603" s="82"/>
      <c r="M603" s="83"/>
    </row>
    <row r="604" spans="1:14" s="2" customFormat="1">
      <c r="A604" s="83"/>
      <c r="H604" s="83"/>
      <c r="K604" s="82"/>
      <c r="M604" s="83"/>
    </row>
    <row r="605" spans="1:14" s="2" customFormat="1">
      <c r="A605" s="83"/>
      <c r="H605" s="83"/>
      <c r="K605" s="82"/>
      <c r="M605" s="112"/>
      <c r="N605" s="84"/>
    </row>
    <row r="606" spans="1:14" s="2" customFormat="1">
      <c r="A606" s="83"/>
      <c r="H606" s="83"/>
      <c r="K606" s="82"/>
      <c r="M606" s="112"/>
      <c r="N606" s="84"/>
    </row>
    <row r="607" spans="1:14" s="2" customFormat="1">
      <c r="A607" s="83"/>
      <c r="H607" s="83"/>
      <c r="K607" s="82"/>
      <c r="M607" s="112"/>
      <c r="N607" s="84"/>
    </row>
    <row r="608" spans="1:14" s="2" customFormat="1">
      <c r="A608" s="83"/>
      <c r="H608" s="83"/>
      <c r="K608" s="82"/>
      <c r="M608" s="112"/>
      <c r="N608" s="84"/>
    </row>
    <row r="609" spans="1:14" s="2" customFormat="1">
      <c r="A609" s="83"/>
      <c r="H609" s="83"/>
      <c r="K609" s="82"/>
      <c r="M609" s="112"/>
      <c r="N609" s="84"/>
    </row>
    <row r="610" spans="1:14" s="2" customFormat="1">
      <c r="A610" s="83"/>
      <c r="H610" s="83"/>
      <c r="K610" s="82"/>
      <c r="M610" s="112"/>
      <c r="N610" s="84"/>
    </row>
    <row r="611" spans="1:14" s="2" customFormat="1">
      <c r="A611" s="83"/>
      <c r="H611" s="83"/>
      <c r="K611" s="82"/>
      <c r="M611" s="112"/>
      <c r="N611" s="84"/>
    </row>
    <row r="612" spans="1:14" s="2" customFormat="1">
      <c r="A612" s="83"/>
      <c r="H612" s="83"/>
      <c r="K612" s="82"/>
      <c r="M612" s="112"/>
      <c r="N612" s="84"/>
    </row>
    <row r="613" spans="1:14" s="2" customFormat="1">
      <c r="A613" s="83"/>
      <c r="H613" s="83"/>
      <c r="K613" s="82"/>
      <c r="M613" s="112"/>
      <c r="N613" s="84"/>
    </row>
    <row r="614" spans="1:14" s="2" customFormat="1">
      <c r="A614" s="83"/>
      <c r="H614" s="83"/>
      <c r="K614" s="82"/>
      <c r="M614" s="112"/>
      <c r="N614" s="84"/>
    </row>
    <row r="615" spans="1:14" s="2" customFormat="1">
      <c r="A615" s="83"/>
      <c r="H615" s="83"/>
      <c r="K615" s="82"/>
      <c r="M615" s="112"/>
      <c r="N615" s="84"/>
    </row>
    <row r="616" spans="1:14" s="2" customFormat="1">
      <c r="A616" s="83"/>
      <c r="H616" s="83"/>
      <c r="K616" s="82"/>
      <c r="M616" s="112"/>
      <c r="N616" s="84"/>
    </row>
    <row r="617" spans="1:14" s="2" customFormat="1">
      <c r="A617" s="83"/>
      <c r="H617" s="83"/>
      <c r="K617" s="82"/>
      <c r="M617" s="112"/>
      <c r="N617" s="84"/>
    </row>
    <row r="618" spans="1:14" s="2" customFormat="1">
      <c r="A618" s="83"/>
      <c r="H618" s="83"/>
      <c r="K618" s="82"/>
      <c r="M618" s="112"/>
      <c r="N618" s="84"/>
    </row>
    <row r="619" spans="1:14" s="2" customFormat="1">
      <c r="A619" s="83"/>
      <c r="H619" s="83"/>
      <c r="K619" s="82"/>
      <c r="M619" s="112"/>
      <c r="N619" s="84"/>
    </row>
    <row r="620" spans="1:14" s="2" customFormat="1">
      <c r="A620" s="83"/>
      <c r="H620" s="83"/>
      <c r="K620" s="82"/>
      <c r="M620" s="112"/>
      <c r="N620" s="84"/>
    </row>
    <row r="621" spans="1:14" s="2" customFormat="1">
      <c r="A621" s="83"/>
      <c r="H621" s="83"/>
      <c r="K621" s="82"/>
      <c r="M621" s="112"/>
      <c r="N621" s="84"/>
    </row>
    <row r="622" spans="1:14" s="2" customFormat="1">
      <c r="A622" s="83"/>
      <c r="H622" s="83"/>
      <c r="K622" s="82"/>
      <c r="M622" s="112"/>
      <c r="N622" s="84"/>
    </row>
    <row r="623" spans="1:14" s="2" customFormat="1">
      <c r="A623" s="83"/>
      <c r="H623" s="83"/>
      <c r="K623" s="82"/>
      <c r="M623" s="112"/>
      <c r="N623" s="84"/>
    </row>
    <row r="624" spans="1:14" s="2" customFormat="1">
      <c r="A624" s="83"/>
      <c r="H624" s="83"/>
      <c r="K624" s="82"/>
      <c r="M624" s="112"/>
      <c r="N624" s="84"/>
    </row>
    <row r="625" spans="1:14" s="2" customFormat="1">
      <c r="A625" s="83"/>
      <c r="H625" s="83"/>
      <c r="K625" s="82"/>
      <c r="M625" s="112"/>
      <c r="N625" s="84"/>
    </row>
    <row r="626" spans="1:14" s="2" customFormat="1">
      <c r="A626" s="83"/>
      <c r="H626" s="83"/>
      <c r="K626" s="82"/>
      <c r="M626" s="112"/>
      <c r="N626" s="84"/>
    </row>
    <row r="627" spans="1:14" s="2" customFormat="1">
      <c r="A627" s="83"/>
      <c r="H627" s="83"/>
      <c r="K627" s="82"/>
      <c r="M627" s="112"/>
      <c r="N627" s="84"/>
    </row>
    <row r="628" spans="1:14" s="2" customFormat="1">
      <c r="A628" s="83"/>
      <c r="H628" s="83"/>
      <c r="K628" s="82"/>
      <c r="M628" s="112"/>
      <c r="N628" s="84"/>
    </row>
    <row r="629" spans="1:14" s="2" customFormat="1">
      <c r="A629" s="83"/>
      <c r="H629" s="83"/>
      <c r="K629" s="82"/>
      <c r="M629" s="112"/>
      <c r="N629" s="84"/>
    </row>
    <row r="630" spans="1:14" s="2" customFormat="1">
      <c r="A630" s="83"/>
      <c r="H630" s="83"/>
      <c r="K630" s="82"/>
      <c r="M630" s="112"/>
      <c r="N630" s="84"/>
    </row>
    <row r="631" spans="1:14" s="2" customFormat="1">
      <c r="A631" s="83"/>
      <c r="H631" s="83"/>
      <c r="K631" s="82"/>
      <c r="M631" s="112"/>
      <c r="N631" s="84"/>
    </row>
    <row r="632" spans="1:14" s="2" customFormat="1">
      <c r="A632" s="83"/>
      <c r="H632" s="83"/>
      <c r="K632" s="82"/>
      <c r="M632" s="112"/>
      <c r="N632" s="84"/>
    </row>
    <row r="633" spans="1:14" s="2" customFormat="1">
      <c r="A633" s="83"/>
      <c r="H633" s="83"/>
      <c r="K633" s="82"/>
      <c r="M633" s="112"/>
      <c r="N633" s="84"/>
    </row>
    <row r="634" spans="1:14" s="2" customFormat="1">
      <c r="A634" s="83"/>
      <c r="H634" s="83"/>
      <c r="K634" s="82"/>
      <c r="M634" s="112"/>
      <c r="N634" s="84"/>
    </row>
    <row r="635" spans="1:14" s="2" customFormat="1">
      <c r="A635" s="83"/>
      <c r="H635" s="83"/>
      <c r="K635" s="82"/>
      <c r="M635" s="112"/>
      <c r="N635" s="84"/>
    </row>
    <row r="636" spans="1:14" s="2" customFormat="1">
      <c r="A636" s="83"/>
      <c r="H636" s="83"/>
      <c r="K636" s="82"/>
      <c r="M636" s="112"/>
      <c r="N636" s="84"/>
    </row>
    <row r="637" spans="1:14" s="2" customFormat="1">
      <c r="A637" s="83"/>
      <c r="H637" s="83"/>
      <c r="K637" s="82"/>
      <c r="M637" s="112"/>
      <c r="N637" s="84"/>
    </row>
    <row r="638" spans="1:14" s="2" customFormat="1">
      <c r="A638" s="83"/>
      <c r="H638" s="83"/>
      <c r="K638" s="82"/>
      <c r="M638" s="112"/>
      <c r="N638" s="84"/>
    </row>
    <row r="639" spans="1:14" s="2" customFormat="1">
      <c r="A639" s="83"/>
      <c r="H639" s="83"/>
      <c r="K639" s="82"/>
      <c r="M639" s="112"/>
      <c r="N639" s="84"/>
    </row>
    <row r="640" spans="1:14" s="2" customFormat="1">
      <c r="A640" s="83"/>
      <c r="H640" s="83"/>
      <c r="K640" s="82"/>
      <c r="M640" s="112"/>
      <c r="N640" s="84"/>
    </row>
    <row r="641" spans="1:14" s="2" customFormat="1">
      <c r="A641" s="83"/>
      <c r="H641" s="83"/>
      <c r="K641" s="82"/>
      <c r="M641" s="112"/>
      <c r="N641" s="84"/>
    </row>
    <row r="642" spans="1:14" s="2" customFormat="1">
      <c r="A642" s="83"/>
      <c r="H642" s="83"/>
      <c r="K642" s="82"/>
      <c r="M642" s="112"/>
      <c r="N642" s="84"/>
    </row>
    <row r="643" spans="1:14" s="2" customFormat="1">
      <c r="A643" s="83"/>
      <c r="H643" s="83"/>
      <c r="K643" s="82"/>
      <c r="M643" s="112"/>
      <c r="N643" s="84"/>
    </row>
    <row r="644" spans="1:14" s="2" customFormat="1">
      <c r="A644" s="83"/>
      <c r="H644" s="83"/>
      <c r="K644" s="82"/>
      <c r="M644" s="112"/>
      <c r="N644" s="84"/>
    </row>
    <row r="645" spans="1:14" s="2" customFormat="1">
      <c r="A645" s="83"/>
      <c r="H645" s="83"/>
      <c r="K645" s="82"/>
      <c r="M645" s="112"/>
      <c r="N645" s="84"/>
    </row>
    <row r="646" spans="1:14" s="2" customFormat="1">
      <c r="A646" s="83"/>
      <c r="H646" s="83"/>
      <c r="K646" s="82"/>
      <c r="M646" s="112"/>
      <c r="N646" s="84"/>
    </row>
    <row r="647" spans="1:14" s="2" customFormat="1">
      <c r="A647" s="83"/>
      <c r="H647" s="83"/>
      <c r="K647" s="82"/>
      <c r="M647" s="112"/>
      <c r="N647" s="84"/>
    </row>
    <row r="648" spans="1:14" s="2" customFormat="1">
      <c r="A648" s="83"/>
      <c r="H648" s="83"/>
      <c r="K648" s="82"/>
      <c r="M648" s="112"/>
      <c r="N648" s="84"/>
    </row>
    <row r="649" spans="1:14" s="2" customFormat="1">
      <c r="A649" s="83"/>
      <c r="H649" s="83"/>
      <c r="K649" s="82"/>
      <c r="M649" s="112"/>
      <c r="N649" s="84"/>
    </row>
    <row r="650" spans="1:14" s="2" customFormat="1">
      <c r="A650" s="83"/>
      <c r="H650" s="83"/>
      <c r="K650" s="82"/>
      <c r="M650" s="112"/>
      <c r="N650" s="84"/>
    </row>
    <row r="651" spans="1:14" s="2" customFormat="1">
      <c r="A651" s="83"/>
      <c r="H651" s="83"/>
      <c r="K651" s="82"/>
      <c r="M651" s="112"/>
      <c r="N651" s="84"/>
    </row>
    <row r="652" spans="1:14" s="2" customFormat="1">
      <c r="A652" s="83"/>
      <c r="H652" s="83"/>
      <c r="K652" s="82"/>
      <c r="M652" s="112"/>
      <c r="N652" s="84"/>
    </row>
    <row r="653" spans="1:14" s="2" customFormat="1">
      <c r="A653" s="83"/>
      <c r="H653" s="83"/>
      <c r="K653" s="82"/>
      <c r="M653" s="112"/>
      <c r="N653" s="84"/>
    </row>
    <row r="654" spans="1:14" s="2" customFormat="1">
      <c r="A654" s="83"/>
      <c r="H654" s="83"/>
      <c r="K654" s="82"/>
      <c r="M654" s="112"/>
      <c r="N654" s="84"/>
    </row>
    <row r="655" spans="1:14" s="2" customFormat="1">
      <c r="A655" s="83"/>
      <c r="H655" s="83"/>
      <c r="K655" s="82"/>
      <c r="M655" s="112"/>
      <c r="N655" s="84"/>
    </row>
    <row r="656" spans="1:14" s="2" customFormat="1">
      <c r="A656" s="83"/>
      <c r="H656" s="83"/>
      <c r="K656" s="82"/>
      <c r="M656" s="112"/>
      <c r="N656" s="84"/>
    </row>
    <row r="657" spans="1:14" s="2" customFormat="1">
      <c r="A657" s="83"/>
      <c r="H657" s="83"/>
      <c r="K657" s="82"/>
      <c r="M657" s="112"/>
      <c r="N657" s="84"/>
    </row>
    <row r="658" spans="1:14" s="2" customFormat="1">
      <c r="A658" s="83"/>
      <c r="H658" s="83"/>
      <c r="K658" s="82"/>
      <c r="M658" s="112"/>
      <c r="N658" s="84"/>
    </row>
    <row r="659" spans="1:14" s="2" customFormat="1">
      <c r="A659" s="83"/>
      <c r="H659" s="83"/>
      <c r="K659" s="82"/>
      <c r="M659" s="112"/>
      <c r="N659" s="84"/>
    </row>
    <row r="660" spans="1:14" s="2" customFormat="1">
      <c r="A660" s="83"/>
      <c r="H660" s="83"/>
      <c r="K660" s="82"/>
      <c r="M660" s="112"/>
      <c r="N660" s="84"/>
    </row>
    <row r="661" spans="1:14" s="2" customFormat="1">
      <c r="A661" s="83"/>
      <c r="H661" s="83"/>
      <c r="K661" s="82"/>
      <c r="M661" s="112"/>
      <c r="N661" s="84"/>
    </row>
    <row r="662" spans="1:14" s="2" customFormat="1">
      <c r="A662" s="83"/>
      <c r="H662" s="83"/>
      <c r="K662" s="82"/>
      <c r="M662" s="112"/>
      <c r="N662" s="84"/>
    </row>
    <row r="663" spans="1:14" s="2" customFormat="1">
      <c r="A663" s="83"/>
      <c r="H663" s="83"/>
      <c r="K663" s="82"/>
      <c r="M663" s="112"/>
      <c r="N663" s="84"/>
    </row>
    <row r="664" spans="1:14" s="2" customFormat="1">
      <c r="A664" s="83"/>
      <c r="H664" s="83"/>
      <c r="K664" s="82"/>
      <c r="M664" s="112"/>
      <c r="N664" s="84"/>
    </row>
    <row r="665" spans="1:14" s="2" customFormat="1">
      <c r="A665" s="83"/>
      <c r="H665" s="83"/>
      <c r="K665" s="82"/>
      <c r="M665" s="112"/>
      <c r="N665" s="84"/>
    </row>
    <row r="666" spans="1:14" s="2" customFormat="1">
      <c r="A666" s="83"/>
      <c r="H666" s="83"/>
      <c r="K666" s="82"/>
      <c r="M666" s="112"/>
      <c r="N666" s="84"/>
    </row>
    <row r="667" spans="1:14" s="2" customFormat="1">
      <c r="A667" s="83"/>
      <c r="H667" s="83"/>
      <c r="K667" s="82"/>
      <c r="M667" s="112"/>
      <c r="N667" s="84"/>
    </row>
    <row r="668" spans="1:14" s="2" customFormat="1">
      <c r="A668" s="83"/>
      <c r="H668" s="83"/>
      <c r="K668" s="82"/>
      <c r="M668" s="112"/>
      <c r="N668" s="84"/>
    </row>
    <row r="669" spans="1:14" s="2" customFormat="1">
      <c r="A669" s="83"/>
      <c r="H669" s="83"/>
      <c r="K669" s="82"/>
      <c r="M669" s="112"/>
      <c r="N669" s="84"/>
    </row>
    <row r="670" spans="1:14" s="2" customFormat="1">
      <c r="A670" s="83"/>
      <c r="H670" s="83"/>
      <c r="K670" s="82"/>
      <c r="M670" s="112"/>
      <c r="N670" s="84"/>
    </row>
    <row r="671" spans="1:14" s="2" customFormat="1">
      <c r="A671" s="83"/>
      <c r="H671" s="83"/>
      <c r="K671" s="82"/>
      <c r="M671" s="112"/>
      <c r="N671" s="84"/>
    </row>
    <row r="672" spans="1:14" s="2" customFormat="1">
      <c r="A672" s="83"/>
      <c r="H672" s="83"/>
      <c r="K672" s="82"/>
      <c r="M672" s="112"/>
      <c r="N672" s="84"/>
    </row>
    <row r="673" spans="1:14" s="2" customFormat="1">
      <c r="A673" s="83"/>
      <c r="H673" s="83"/>
      <c r="K673" s="82"/>
      <c r="M673" s="112"/>
      <c r="N673" s="84"/>
    </row>
    <row r="674" spans="1:14" s="2" customFormat="1">
      <c r="A674" s="83"/>
      <c r="H674" s="83"/>
      <c r="K674" s="82"/>
      <c r="M674" s="112"/>
      <c r="N674" s="84"/>
    </row>
    <row r="675" spans="1:14" s="2" customFormat="1">
      <c r="A675" s="83"/>
      <c r="H675" s="83"/>
      <c r="K675" s="82"/>
      <c r="M675" s="112"/>
      <c r="N675" s="84"/>
    </row>
    <row r="676" spans="1:14" s="2" customFormat="1">
      <c r="A676" s="83"/>
      <c r="H676" s="83"/>
      <c r="K676" s="82"/>
      <c r="M676" s="112"/>
      <c r="N676" s="84"/>
    </row>
    <row r="677" spans="1:14" s="2" customFormat="1">
      <c r="A677" s="83"/>
      <c r="H677" s="83"/>
      <c r="K677" s="82"/>
      <c r="M677" s="112"/>
      <c r="N677" s="84"/>
    </row>
    <row r="678" spans="1:14" s="2" customFormat="1">
      <c r="A678" s="83"/>
      <c r="H678" s="83"/>
      <c r="K678" s="82"/>
      <c r="M678" s="112"/>
      <c r="N678" s="84"/>
    </row>
    <row r="679" spans="1:14" s="2" customFormat="1">
      <c r="A679" s="83"/>
      <c r="H679" s="83"/>
      <c r="K679" s="82"/>
      <c r="M679" s="112"/>
      <c r="N679" s="84"/>
    </row>
    <row r="680" spans="1:14" s="2" customFormat="1">
      <c r="A680" s="83"/>
      <c r="H680" s="83"/>
      <c r="K680" s="82"/>
      <c r="M680" s="112"/>
      <c r="N680" s="84"/>
    </row>
    <row r="681" spans="1:14" s="2" customFormat="1">
      <c r="A681" s="83"/>
      <c r="H681" s="83"/>
      <c r="K681" s="82"/>
      <c r="M681" s="112"/>
      <c r="N681" s="84"/>
    </row>
    <row r="682" spans="1:14" s="2" customFormat="1">
      <c r="A682" s="83"/>
      <c r="H682" s="83"/>
      <c r="K682" s="82"/>
      <c r="M682" s="112"/>
      <c r="N682" s="84"/>
    </row>
    <row r="683" spans="1:14" s="2" customFormat="1">
      <c r="A683" s="83"/>
      <c r="H683" s="83"/>
      <c r="K683" s="82"/>
      <c r="M683" s="112"/>
      <c r="N683" s="84"/>
    </row>
    <row r="684" spans="1:14" s="2" customFormat="1">
      <c r="A684" s="83"/>
      <c r="H684" s="83"/>
      <c r="K684" s="82"/>
      <c r="M684" s="112"/>
      <c r="N684" s="84"/>
    </row>
    <row r="685" spans="1:14" s="2" customFormat="1">
      <c r="A685" s="83"/>
      <c r="H685" s="83"/>
      <c r="K685" s="82"/>
      <c r="M685" s="112"/>
      <c r="N685" s="84"/>
    </row>
    <row r="686" spans="1:14" s="2" customFormat="1">
      <c r="A686" s="83"/>
      <c r="H686" s="83"/>
      <c r="K686" s="82"/>
      <c r="M686" s="112"/>
      <c r="N686" s="84"/>
    </row>
    <row r="687" spans="1:14" s="2" customFormat="1">
      <c r="A687" s="83"/>
      <c r="H687" s="83"/>
      <c r="K687" s="82"/>
      <c r="M687" s="112"/>
      <c r="N687" s="84"/>
    </row>
    <row r="688" spans="1:14" s="2" customFormat="1">
      <c r="A688" s="83"/>
      <c r="H688" s="83"/>
      <c r="K688" s="82"/>
      <c r="M688" s="112"/>
      <c r="N688" s="84"/>
    </row>
    <row r="689" spans="1:14" s="2" customFormat="1">
      <c r="A689" s="83"/>
      <c r="H689" s="83"/>
      <c r="K689" s="82"/>
      <c r="M689" s="112"/>
      <c r="N689" s="84"/>
    </row>
    <row r="690" spans="1:14" s="2" customFormat="1">
      <c r="A690" s="83"/>
      <c r="H690" s="83"/>
      <c r="K690" s="82"/>
      <c r="M690" s="112"/>
      <c r="N690" s="84"/>
    </row>
    <row r="691" spans="1:14" s="2" customFormat="1">
      <c r="A691" s="83"/>
      <c r="H691" s="83"/>
      <c r="K691" s="82"/>
      <c r="M691" s="112"/>
      <c r="N691" s="84"/>
    </row>
    <row r="692" spans="1:14" s="2" customFormat="1">
      <c r="A692" s="83"/>
      <c r="H692" s="83"/>
      <c r="K692" s="82"/>
      <c r="M692" s="112"/>
      <c r="N692" s="84"/>
    </row>
    <row r="693" spans="1:14" s="2" customFormat="1">
      <c r="A693" s="83"/>
      <c r="H693" s="83"/>
      <c r="K693" s="82"/>
      <c r="M693" s="112"/>
      <c r="N693" s="84"/>
    </row>
    <row r="694" spans="1:14" s="2" customFormat="1">
      <c r="A694" s="83"/>
      <c r="H694" s="83"/>
      <c r="K694" s="82"/>
      <c r="M694" s="112"/>
      <c r="N694" s="84"/>
    </row>
    <row r="695" spans="1:14" s="2" customFormat="1">
      <c r="A695" s="83"/>
      <c r="H695" s="83"/>
      <c r="K695" s="82"/>
      <c r="M695" s="112"/>
      <c r="N695" s="84"/>
    </row>
    <row r="696" spans="1:14" s="2" customFormat="1">
      <c r="A696" s="83"/>
      <c r="H696" s="83"/>
      <c r="K696" s="82"/>
      <c r="M696" s="112"/>
      <c r="N696" s="84"/>
    </row>
    <row r="697" spans="1:14" s="2" customFormat="1">
      <c r="A697" s="83"/>
      <c r="H697" s="83"/>
      <c r="K697" s="82"/>
      <c r="M697" s="112"/>
      <c r="N697" s="84"/>
    </row>
    <row r="698" spans="1:14" s="2" customFormat="1">
      <c r="A698" s="83"/>
      <c r="H698" s="83"/>
      <c r="K698" s="82"/>
      <c r="M698" s="112"/>
      <c r="N698" s="84"/>
    </row>
    <row r="699" spans="1:14" s="2" customFormat="1">
      <c r="A699" s="83"/>
      <c r="H699" s="83"/>
      <c r="K699" s="82"/>
      <c r="M699" s="112"/>
      <c r="N699" s="84"/>
    </row>
    <row r="700" spans="1:14" s="2" customFormat="1">
      <c r="A700" s="83"/>
      <c r="H700" s="83"/>
      <c r="K700" s="82"/>
      <c r="M700" s="112"/>
      <c r="N700" s="84"/>
    </row>
    <row r="701" spans="1:14" s="2" customFormat="1">
      <c r="A701" s="83"/>
      <c r="H701" s="83"/>
      <c r="K701" s="82"/>
      <c r="M701" s="112"/>
      <c r="N701" s="84"/>
    </row>
    <row r="702" spans="1:14" s="2" customFormat="1">
      <c r="A702" s="83"/>
      <c r="H702" s="83"/>
      <c r="K702" s="82"/>
      <c r="M702" s="112"/>
      <c r="N702" s="84"/>
    </row>
    <row r="703" spans="1:14" s="2" customFormat="1">
      <c r="A703" s="83"/>
      <c r="H703" s="83"/>
      <c r="K703" s="82"/>
      <c r="M703" s="112"/>
      <c r="N703" s="84"/>
    </row>
    <row r="704" spans="1:14" s="2" customFormat="1">
      <c r="A704" s="83"/>
      <c r="H704" s="83"/>
      <c r="K704" s="82"/>
      <c r="M704" s="112"/>
      <c r="N704" s="84"/>
    </row>
    <row r="705" spans="1:14" s="2" customFormat="1">
      <c r="A705" s="83"/>
      <c r="H705" s="83"/>
      <c r="K705" s="82"/>
      <c r="M705" s="112"/>
      <c r="N705" s="84"/>
    </row>
    <row r="706" spans="1:14" s="2" customFormat="1">
      <c r="A706" s="83"/>
      <c r="H706" s="83"/>
      <c r="K706" s="82"/>
      <c r="M706" s="112"/>
      <c r="N706" s="84"/>
    </row>
    <row r="707" spans="1:14" s="2" customFormat="1">
      <c r="A707" s="83"/>
      <c r="H707" s="83"/>
      <c r="K707" s="82"/>
      <c r="M707" s="112"/>
      <c r="N707" s="84"/>
    </row>
    <row r="708" spans="1:14" s="2" customFormat="1">
      <c r="A708" s="83"/>
      <c r="H708" s="83"/>
      <c r="K708" s="82"/>
      <c r="M708" s="112"/>
      <c r="N708" s="84"/>
    </row>
    <row r="709" spans="1:14" s="2" customFormat="1">
      <c r="A709" s="83"/>
      <c r="H709" s="83"/>
      <c r="K709" s="82"/>
      <c r="M709" s="112"/>
      <c r="N709" s="84"/>
    </row>
    <row r="710" spans="1:14" s="2" customFormat="1">
      <c r="A710" s="83"/>
      <c r="H710" s="83"/>
      <c r="K710" s="82"/>
      <c r="M710" s="112"/>
      <c r="N710" s="84"/>
    </row>
    <row r="711" spans="1:14" s="2" customFormat="1">
      <c r="A711" s="83"/>
      <c r="H711" s="83"/>
      <c r="K711" s="82"/>
      <c r="M711" s="112"/>
      <c r="N711" s="84"/>
    </row>
    <row r="712" spans="1:14" s="2" customFormat="1">
      <c r="A712" s="83"/>
      <c r="H712" s="83"/>
      <c r="K712" s="82"/>
      <c r="M712" s="112"/>
      <c r="N712" s="84"/>
    </row>
    <row r="713" spans="1:14" s="2" customFormat="1">
      <c r="A713" s="83"/>
      <c r="H713" s="83"/>
      <c r="K713" s="82"/>
      <c r="M713" s="112"/>
      <c r="N713" s="84"/>
    </row>
    <row r="714" spans="1:14" s="2" customFormat="1">
      <c r="A714" s="83"/>
      <c r="H714" s="83"/>
      <c r="K714" s="82"/>
      <c r="M714" s="112"/>
      <c r="N714" s="84"/>
    </row>
    <row r="715" spans="1:14" s="2" customFormat="1">
      <c r="A715" s="83"/>
      <c r="H715" s="83"/>
      <c r="K715" s="82"/>
      <c r="M715" s="112"/>
      <c r="N715" s="84"/>
    </row>
    <row r="716" spans="1:14" s="2" customFormat="1">
      <c r="A716" s="83"/>
      <c r="H716" s="83"/>
      <c r="K716" s="82"/>
      <c r="M716" s="112"/>
      <c r="N716" s="84"/>
    </row>
    <row r="717" spans="1:14" s="2" customFormat="1">
      <c r="A717" s="83"/>
      <c r="H717" s="83"/>
      <c r="K717" s="82"/>
      <c r="M717" s="112"/>
      <c r="N717" s="84"/>
    </row>
    <row r="718" spans="1:14" s="2" customFormat="1">
      <c r="A718" s="83"/>
      <c r="H718" s="83"/>
      <c r="K718" s="82"/>
      <c r="M718" s="112"/>
      <c r="N718" s="84"/>
    </row>
    <row r="719" spans="1:14" s="2" customFormat="1">
      <c r="A719" s="83"/>
      <c r="H719" s="83"/>
      <c r="K719" s="82"/>
      <c r="M719" s="112"/>
      <c r="N719" s="84"/>
    </row>
    <row r="720" spans="1:14" s="2" customFormat="1">
      <c r="A720" s="83"/>
      <c r="H720" s="83"/>
      <c r="K720" s="82"/>
      <c r="M720" s="112"/>
      <c r="N720" s="84"/>
    </row>
    <row r="721" spans="1:14" s="2" customFormat="1">
      <c r="A721" s="83"/>
      <c r="H721" s="83"/>
      <c r="K721" s="82"/>
      <c r="M721" s="112"/>
      <c r="N721" s="84"/>
    </row>
    <row r="722" spans="1:14" s="2" customFormat="1">
      <c r="A722" s="83"/>
      <c r="H722" s="83"/>
      <c r="K722" s="82"/>
      <c r="M722" s="112"/>
      <c r="N722" s="84"/>
    </row>
    <row r="723" spans="1:14" s="2" customFormat="1">
      <c r="A723" s="83"/>
      <c r="H723" s="83"/>
      <c r="K723" s="82"/>
      <c r="M723" s="112"/>
      <c r="N723" s="84"/>
    </row>
    <row r="724" spans="1:14" s="2" customFormat="1">
      <c r="A724" s="83"/>
      <c r="H724" s="83"/>
      <c r="K724" s="82"/>
      <c r="M724" s="112"/>
      <c r="N724" s="84"/>
    </row>
    <row r="725" spans="1:14" s="2" customFormat="1">
      <c r="A725" s="83"/>
      <c r="H725" s="83"/>
      <c r="K725" s="82"/>
      <c r="M725" s="112"/>
      <c r="N725" s="84"/>
    </row>
    <row r="726" spans="1:14" s="2" customFormat="1">
      <c r="A726" s="83"/>
      <c r="H726" s="83"/>
      <c r="K726" s="82"/>
      <c r="M726" s="112"/>
      <c r="N726" s="84"/>
    </row>
    <row r="727" spans="1:14" s="2" customFormat="1">
      <c r="A727" s="83"/>
      <c r="H727" s="83"/>
      <c r="K727" s="82"/>
      <c r="M727" s="112"/>
      <c r="N727" s="84"/>
    </row>
    <row r="728" spans="1:14" s="2" customFormat="1">
      <c r="A728" s="83"/>
      <c r="H728" s="83"/>
      <c r="K728" s="82"/>
      <c r="M728" s="112"/>
      <c r="N728" s="84"/>
    </row>
    <row r="729" spans="1:14" s="2" customFormat="1">
      <c r="A729" s="83"/>
      <c r="H729" s="83"/>
      <c r="K729" s="82"/>
      <c r="M729" s="112"/>
      <c r="N729" s="84"/>
    </row>
    <row r="730" spans="1:14" s="2" customFormat="1">
      <c r="A730" s="83"/>
      <c r="H730" s="83"/>
      <c r="K730" s="82"/>
      <c r="M730" s="112"/>
      <c r="N730" s="84"/>
    </row>
    <row r="731" spans="1:14" s="2" customFormat="1">
      <c r="A731" s="83"/>
      <c r="H731" s="83"/>
      <c r="K731" s="82"/>
      <c r="M731" s="112"/>
      <c r="N731" s="84"/>
    </row>
    <row r="732" spans="1:14" s="2" customFormat="1">
      <c r="A732" s="83"/>
      <c r="H732" s="83"/>
      <c r="K732" s="82"/>
      <c r="M732" s="112"/>
      <c r="N732" s="84"/>
    </row>
    <row r="733" spans="1:14" s="2" customFormat="1">
      <c r="A733" s="83"/>
      <c r="H733" s="83"/>
      <c r="K733" s="82"/>
      <c r="M733" s="112"/>
      <c r="N733" s="84"/>
    </row>
    <row r="734" spans="1:14" s="2" customFormat="1">
      <c r="A734" s="83"/>
      <c r="H734" s="83"/>
      <c r="K734" s="82"/>
      <c r="M734" s="112"/>
      <c r="N734" s="84"/>
    </row>
    <row r="735" spans="1:14" s="2" customFormat="1">
      <c r="A735" s="83"/>
      <c r="H735" s="83"/>
      <c r="K735" s="82"/>
      <c r="M735" s="112"/>
      <c r="N735" s="84"/>
    </row>
    <row r="736" spans="1:14" s="2" customFormat="1">
      <c r="A736" s="83"/>
      <c r="H736" s="83"/>
      <c r="K736" s="82"/>
      <c r="M736" s="112"/>
      <c r="N736" s="84"/>
    </row>
    <row r="737" spans="1:14" s="2" customFormat="1">
      <c r="A737" s="83"/>
      <c r="H737" s="83"/>
      <c r="K737" s="82"/>
      <c r="M737" s="112"/>
      <c r="N737" s="84"/>
    </row>
    <row r="738" spans="1:14" s="2" customFormat="1">
      <c r="A738" s="83"/>
      <c r="H738" s="83"/>
      <c r="K738" s="82"/>
      <c r="M738" s="112"/>
      <c r="N738" s="84"/>
    </row>
    <row r="739" spans="1:14" s="2" customFormat="1">
      <c r="A739" s="83"/>
      <c r="H739" s="83"/>
      <c r="K739" s="82"/>
      <c r="M739" s="112"/>
      <c r="N739" s="84"/>
    </row>
    <row r="740" spans="1:14" s="2" customFormat="1">
      <c r="A740" s="83"/>
      <c r="H740" s="83"/>
      <c r="K740" s="82"/>
      <c r="M740" s="112"/>
      <c r="N740" s="84"/>
    </row>
    <row r="741" spans="1:14" s="2" customFormat="1">
      <c r="A741" s="83"/>
      <c r="H741" s="83"/>
      <c r="K741" s="82"/>
      <c r="M741" s="112"/>
      <c r="N741" s="84"/>
    </row>
    <row r="742" spans="1:14" s="2" customFormat="1">
      <c r="A742" s="83"/>
      <c r="H742" s="83"/>
      <c r="K742" s="82"/>
      <c r="M742" s="112"/>
      <c r="N742" s="84"/>
    </row>
    <row r="743" spans="1:14" s="2" customFormat="1">
      <c r="A743" s="83"/>
      <c r="H743" s="83"/>
      <c r="K743" s="82"/>
      <c r="M743" s="112"/>
      <c r="N743" s="84"/>
    </row>
    <row r="744" spans="1:14" s="2" customFormat="1">
      <c r="A744" s="83"/>
      <c r="H744" s="83"/>
      <c r="K744" s="82"/>
      <c r="M744" s="112"/>
      <c r="N744" s="84"/>
    </row>
    <row r="745" spans="1:14" s="2" customFormat="1">
      <c r="A745" s="83"/>
      <c r="H745" s="83"/>
      <c r="K745" s="82"/>
      <c r="M745" s="112"/>
      <c r="N745" s="84"/>
    </row>
    <row r="746" spans="1:14" s="2" customFormat="1">
      <c r="A746" s="83"/>
      <c r="H746" s="83"/>
      <c r="K746" s="82"/>
      <c r="M746" s="112"/>
      <c r="N746" s="84"/>
    </row>
    <row r="747" spans="1:14" s="2" customFormat="1">
      <c r="A747" s="83"/>
      <c r="H747" s="83"/>
      <c r="K747" s="82"/>
      <c r="M747" s="112"/>
      <c r="N747" s="84"/>
    </row>
    <row r="748" spans="1:14" s="2" customFormat="1">
      <c r="A748" s="83"/>
      <c r="H748" s="83"/>
      <c r="K748" s="82"/>
      <c r="M748" s="112"/>
      <c r="N748" s="84"/>
    </row>
    <row r="749" spans="1:14" s="2" customFormat="1">
      <c r="A749" s="83"/>
      <c r="H749" s="83"/>
      <c r="K749" s="82"/>
      <c r="M749" s="112"/>
      <c r="N749" s="84"/>
    </row>
    <row r="750" spans="1:14" s="2" customFormat="1">
      <c r="A750" s="83"/>
      <c r="H750" s="83"/>
      <c r="K750" s="82"/>
      <c r="M750" s="112"/>
      <c r="N750" s="84"/>
    </row>
    <row r="751" spans="1:14" s="2" customFormat="1">
      <c r="A751" s="83"/>
      <c r="H751" s="83"/>
      <c r="K751" s="82"/>
      <c r="M751" s="112"/>
      <c r="N751" s="84"/>
    </row>
    <row r="752" spans="1:14" s="2" customFormat="1">
      <c r="A752" s="83"/>
      <c r="H752" s="83"/>
      <c r="K752" s="82"/>
      <c r="M752" s="112"/>
      <c r="N752" s="84"/>
    </row>
    <row r="753" spans="1:14" s="2" customFormat="1">
      <c r="A753" s="83"/>
      <c r="H753" s="83"/>
      <c r="K753" s="82"/>
      <c r="M753" s="112"/>
      <c r="N753" s="84"/>
    </row>
    <row r="754" spans="1:14" s="2" customFormat="1">
      <c r="A754" s="83"/>
      <c r="H754" s="83"/>
      <c r="K754" s="82"/>
      <c r="M754" s="112"/>
      <c r="N754" s="84"/>
    </row>
    <row r="755" spans="1:14" s="2" customFormat="1">
      <c r="A755" s="83"/>
      <c r="H755" s="83"/>
      <c r="K755" s="82"/>
      <c r="M755" s="112"/>
      <c r="N755" s="84"/>
    </row>
    <row r="756" spans="1:14" s="2" customFormat="1">
      <c r="A756" s="83"/>
      <c r="H756" s="83"/>
      <c r="K756" s="82"/>
      <c r="M756" s="112"/>
      <c r="N756" s="84"/>
    </row>
    <row r="757" spans="1:14" s="2" customFormat="1">
      <c r="A757" s="83"/>
      <c r="H757" s="83"/>
      <c r="K757" s="82"/>
      <c r="M757" s="112"/>
      <c r="N757" s="84"/>
    </row>
    <row r="758" spans="1:14" s="2" customFormat="1">
      <c r="A758" s="83"/>
      <c r="H758" s="83"/>
      <c r="K758" s="82"/>
      <c r="M758" s="112"/>
      <c r="N758" s="84"/>
    </row>
    <row r="759" spans="1:14" s="2" customFormat="1">
      <c r="A759" s="83"/>
      <c r="H759" s="83"/>
      <c r="K759" s="82"/>
      <c r="M759" s="112"/>
      <c r="N759" s="84"/>
    </row>
    <row r="760" spans="1:14" s="2" customFormat="1">
      <c r="A760" s="83"/>
      <c r="H760" s="83"/>
      <c r="K760" s="82"/>
      <c r="M760" s="112"/>
      <c r="N760" s="84"/>
    </row>
    <row r="761" spans="1:14" s="2" customFormat="1">
      <c r="A761" s="83"/>
      <c r="H761" s="83"/>
      <c r="K761" s="82"/>
      <c r="M761" s="112"/>
      <c r="N761" s="84"/>
    </row>
    <row r="762" spans="1:14" s="2" customFormat="1">
      <c r="A762" s="83"/>
      <c r="H762" s="83"/>
      <c r="K762" s="82"/>
      <c r="M762" s="112"/>
      <c r="N762" s="84"/>
    </row>
    <row r="763" spans="1:14" s="2" customFormat="1">
      <c r="A763" s="83"/>
      <c r="H763" s="83"/>
      <c r="K763" s="82"/>
      <c r="M763" s="112"/>
      <c r="N763" s="84"/>
    </row>
    <row r="764" spans="1:14" s="2" customFormat="1">
      <c r="A764" s="83"/>
      <c r="H764" s="83"/>
      <c r="K764" s="82"/>
      <c r="M764" s="112"/>
      <c r="N764" s="84"/>
    </row>
    <row r="765" spans="1:14" s="2" customFormat="1">
      <c r="A765" s="83"/>
      <c r="H765" s="83"/>
      <c r="K765" s="82"/>
      <c r="M765" s="112"/>
      <c r="N765" s="84"/>
    </row>
    <row r="766" spans="1:14" s="2" customFormat="1">
      <c r="A766" s="83"/>
      <c r="H766" s="83"/>
      <c r="K766" s="82"/>
      <c r="M766" s="112"/>
      <c r="N766" s="84"/>
    </row>
    <row r="767" spans="1:14" s="2" customFormat="1">
      <c r="A767" s="83"/>
      <c r="H767" s="83"/>
      <c r="K767" s="82"/>
      <c r="M767" s="112"/>
      <c r="N767" s="84"/>
    </row>
    <row r="768" spans="1:14" s="2" customFormat="1">
      <c r="A768" s="83"/>
      <c r="H768" s="83"/>
      <c r="K768" s="82"/>
      <c r="M768" s="112"/>
      <c r="N768" s="84"/>
    </row>
    <row r="769" spans="1:14" s="2" customFormat="1">
      <c r="A769" s="83"/>
      <c r="H769" s="83"/>
      <c r="K769" s="82"/>
      <c r="M769" s="112"/>
      <c r="N769" s="84"/>
    </row>
    <row r="770" spans="1:14" s="2" customFormat="1">
      <c r="A770" s="83"/>
      <c r="H770" s="83"/>
      <c r="K770" s="82"/>
      <c r="M770" s="112"/>
      <c r="N770" s="84"/>
    </row>
    <row r="771" spans="1:14" s="2" customFormat="1">
      <c r="A771" s="83"/>
      <c r="H771" s="83"/>
      <c r="K771" s="82"/>
      <c r="M771" s="112"/>
      <c r="N771" s="84"/>
    </row>
    <row r="772" spans="1:14" s="2" customFormat="1">
      <c r="A772" s="83"/>
      <c r="H772" s="83"/>
      <c r="K772" s="82"/>
      <c r="M772" s="112"/>
      <c r="N772" s="84"/>
    </row>
    <row r="773" spans="1:14" s="2" customFormat="1">
      <c r="A773" s="83"/>
      <c r="H773" s="83"/>
      <c r="K773" s="82"/>
      <c r="M773" s="112"/>
      <c r="N773" s="84"/>
    </row>
    <row r="774" spans="1:14" s="2" customFormat="1">
      <c r="A774" s="83"/>
      <c r="H774" s="83"/>
      <c r="K774" s="82"/>
      <c r="M774" s="112"/>
      <c r="N774" s="84"/>
    </row>
    <row r="775" spans="1:14" s="2" customFormat="1">
      <c r="A775" s="83"/>
      <c r="H775" s="83"/>
      <c r="K775" s="82"/>
      <c r="M775" s="112"/>
      <c r="N775" s="84"/>
    </row>
    <row r="776" spans="1:14" s="2" customFormat="1">
      <c r="A776" s="83"/>
      <c r="H776" s="83"/>
      <c r="K776" s="82"/>
      <c r="M776" s="112"/>
      <c r="N776" s="84"/>
    </row>
    <row r="777" spans="1:14" s="2" customFormat="1">
      <c r="A777" s="83"/>
      <c r="H777" s="83"/>
      <c r="K777" s="82"/>
      <c r="M777" s="112"/>
      <c r="N777" s="84"/>
    </row>
    <row r="778" spans="1:14" s="2" customFormat="1">
      <c r="A778" s="83"/>
      <c r="H778" s="83"/>
      <c r="K778" s="82"/>
      <c r="M778" s="112"/>
      <c r="N778" s="84"/>
    </row>
    <row r="779" spans="1:14" s="2" customFormat="1">
      <c r="A779" s="83"/>
      <c r="H779" s="83"/>
      <c r="K779" s="82"/>
      <c r="M779" s="112"/>
      <c r="N779" s="84"/>
    </row>
    <row r="780" spans="1:14" s="2" customFormat="1">
      <c r="A780" s="83"/>
      <c r="H780" s="83"/>
      <c r="K780" s="82"/>
      <c r="M780" s="112"/>
      <c r="N780" s="84"/>
    </row>
    <row r="781" spans="1:14" s="2" customFormat="1">
      <c r="A781" s="83"/>
      <c r="H781" s="83"/>
      <c r="K781" s="82"/>
      <c r="M781" s="112"/>
      <c r="N781" s="84"/>
    </row>
    <row r="782" spans="1:14" s="2" customFormat="1">
      <c r="A782" s="83"/>
      <c r="H782" s="83"/>
      <c r="K782" s="82"/>
      <c r="M782" s="112"/>
      <c r="N782" s="84"/>
    </row>
    <row r="783" spans="1:14" s="2" customFormat="1">
      <c r="A783" s="83"/>
      <c r="H783" s="83"/>
      <c r="K783" s="82"/>
      <c r="M783" s="112"/>
      <c r="N783" s="84"/>
    </row>
    <row r="784" spans="1:14" s="2" customFormat="1">
      <c r="A784" s="83"/>
      <c r="H784" s="83"/>
      <c r="K784" s="82"/>
      <c r="M784" s="112"/>
      <c r="N784" s="84"/>
    </row>
    <row r="785" spans="1:14" s="2" customFormat="1">
      <c r="A785" s="83"/>
      <c r="H785" s="83"/>
      <c r="K785" s="82"/>
      <c r="M785" s="112"/>
      <c r="N785" s="84"/>
    </row>
    <row r="786" spans="1:14" s="2" customFormat="1">
      <c r="A786" s="83"/>
      <c r="H786" s="83"/>
      <c r="K786" s="82"/>
      <c r="M786" s="112"/>
      <c r="N786" s="84"/>
    </row>
    <row r="787" spans="1:14" s="2" customFormat="1">
      <c r="A787" s="83"/>
      <c r="H787" s="83"/>
      <c r="K787" s="82"/>
      <c r="M787" s="112"/>
      <c r="N787" s="84"/>
    </row>
    <row r="788" spans="1:14" s="2" customFormat="1">
      <c r="A788" s="83"/>
      <c r="H788" s="83"/>
      <c r="K788" s="82"/>
      <c r="M788" s="112"/>
      <c r="N788" s="84"/>
    </row>
    <row r="789" spans="1:14" s="2" customFormat="1">
      <c r="A789" s="83"/>
      <c r="H789" s="83"/>
      <c r="K789" s="82"/>
      <c r="M789" s="112"/>
      <c r="N789" s="84"/>
    </row>
    <row r="790" spans="1:14" s="2" customFormat="1">
      <c r="A790" s="83"/>
      <c r="H790" s="83"/>
      <c r="K790" s="82"/>
      <c r="M790" s="112"/>
      <c r="N790" s="84"/>
    </row>
    <row r="791" spans="1:14" s="2" customFormat="1">
      <c r="A791" s="83"/>
      <c r="H791" s="83"/>
      <c r="K791" s="82"/>
      <c r="M791" s="112"/>
      <c r="N791" s="84"/>
    </row>
    <row r="792" spans="1:14" s="2" customFormat="1">
      <c r="A792" s="83"/>
      <c r="H792" s="83"/>
      <c r="K792" s="82"/>
      <c r="M792" s="112"/>
      <c r="N792" s="84"/>
    </row>
    <row r="793" spans="1:14" s="2" customFormat="1">
      <c r="A793" s="83"/>
      <c r="H793" s="83"/>
      <c r="K793" s="82"/>
      <c r="M793" s="112"/>
      <c r="N793" s="84"/>
    </row>
    <row r="794" spans="1:14" s="2" customFormat="1">
      <c r="A794" s="83"/>
      <c r="H794" s="83"/>
      <c r="K794" s="82"/>
      <c r="M794" s="112"/>
      <c r="N794" s="84"/>
    </row>
    <row r="795" spans="1:14" s="2" customFormat="1">
      <c r="A795" s="83"/>
      <c r="H795" s="83"/>
      <c r="K795" s="82"/>
      <c r="M795" s="112"/>
      <c r="N795" s="84"/>
    </row>
    <row r="796" spans="1:14" s="2" customFormat="1">
      <c r="A796" s="83"/>
      <c r="H796" s="83"/>
      <c r="K796" s="82"/>
      <c r="M796" s="112"/>
      <c r="N796" s="84"/>
    </row>
    <row r="797" spans="1:14" s="2" customFormat="1">
      <c r="A797" s="83"/>
      <c r="H797" s="83"/>
      <c r="K797" s="82"/>
      <c r="M797" s="112"/>
      <c r="N797" s="84"/>
    </row>
    <row r="798" spans="1:14" s="2" customFormat="1">
      <c r="A798" s="83"/>
      <c r="H798" s="83"/>
      <c r="K798" s="82"/>
      <c r="M798" s="112"/>
      <c r="N798" s="84"/>
    </row>
    <row r="799" spans="1:14" s="2" customFormat="1">
      <c r="A799" s="83"/>
      <c r="H799" s="83"/>
      <c r="K799" s="82"/>
      <c r="M799" s="112"/>
      <c r="N799" s="84"/>
    </row>
    <row r="800" spans="1:14" s="2" customFormat="1">
      <c r="A800" s="83"/>
      <c r="H800" s="83"/>
      <c r="K800" s="82"/>
      <c r="M800" s="112"/>
      <c r="N800" s="84"/>
    </row>
    <row r="801" spans="1:14" s="2" customFormat="1">
      <c r="A801" s="83"/>
      <c r="H801" s="83"/>
      <c r="K801" s="82"/>
      <c r="M801" s="112"/>
      <c r="N801" s="84"/>
    </row>
    <row r="802" spans="1:14" s="2" customFormat="1">
      <c r="A802" s="83"/>
      <c r="H802" s="83"/>
      <c r="K802" s="82"/>
      <c r="M802" s="112"/>
      <c r="N802" s="84"/>
    </row>
    <row r="803" spans="1:14" s="2" customFormat="1">
      <c r="A803" s="83"/>
      <c r="H803" s="83"/>
      <c r="K803" s="82"/>
      <c r="M803" s="112"/>
      <c r="N803" s="84"/>
    </row>
    <row r="804" spans="1:14" s="2" customFormat="1">
      <c r="A804" s="83"/>
      <c r="H804" s="83"/>
      <c r="K804" s="82"/>
      <c r="M804" s="112"/>
      <c r="N804" s="84"/>
    </row>
    <row r="805" spans="1:14" s="2" customFormat="1">
      <c r="A805" s="83"/>
      <c r="H805" s="83"/>
      <c r="K805" s="82"/>
      <c r="M805" s="112"/>
      <c r="N805" s="84"/>
    </row>
    <row r="806" spans="1:14" s="2" customFormat="1">
      <c r="A806" s="83"/>
      <c r="H806" s="83"/>
      <c r="K806" s="82"/>
      <c r="M806" s="112"/>
      <c r="N806" s="84"/>
    </row>
    <row r="807" spans="1:14" s="2" customFormat="1">
      <c r="A807" s="83"/>
      <c r="H807" s="83"/>
      <c r="K807" s="82"/>
      <c r="M807" s="112"/>
      <c r="N807" s="84"/>
    </row>
    <row r="808" spans="1:14" s="2" customFormat="1">
      <c r="A808" s="83"/>
      <c r="H808" s="83"/>
      <c r="K808" s="82"/>
      <c r="M808" s="112"/>
      <c r="N808" s="84"/>
    </row>
    <row r="809" spans="1:14" s="2" customFormat="1">
      <c r="A809" s="83"/>
      <c r="H809" s="83"/>
      <c r="K809" s="82"/>
      <c r="M809" s="112"/>
      <c r="N809" s="84"/>
    </row>
    <row r="810" spans="1:14" s="2" customFormat="1">
      <c r="A810" s="83"/>
      <c r="H810" s="83"/>
      <c r="K810" s="82"/>
      <c r="M810" s="112"/>
      <c r="N810" s="84"/>
    </row>
    <row r="811" spans="1:14" s="2" customFormat="1">
      <c r="A811" s="83"/>
      <c r="H811" s="83"/>
      <c r="K811" s="82"/>
      <c r="M811" s="112"/>
      <c r="N811" s="84"/>
    </row>
    <row r="812" spans="1:14" s="2" customFormat="1">
      <c r="A812" s="83"/>
      <c r="H812" s="83"/>
      <c r="K812" s="82"/>
      <c r="M812" s="112"/>
      <c r="N812" s="84"/>
    </row>
    <row r="813" spans="1:14" s="2" customFormat="1">
      <c r="A813" s="83"/>
      <c r="H813" s="83"/>
      <c r="K813" s="82"/>
      <c r="M813" s="112"/>
      <c r="N813" s="84"/>
    </row>
    <row r="814" spans="1:14" s="2" customFormat="1">
      <c r="A814" s="83"/>
      <c r="H814" s="83"/>
      <c r="K814" s="82"/>
      <c r="M814" s="112"/>
      <c r="N814" s="84"/>
    </row>
    <row r="815" spans="1:14" s="2" customFormat="1">
      <c r="A815" s="83"/>
      <c r="H815" s="83"/>
      <c r="K815" s="82"/>
      <c r="M815" s="112"/>
      <c r="N815" s="84"/>
    </row>
    <row r="816" spans="1:14" s="2" customFormat="1">
      <c r="A816" s="83"/>
      <c r="H816" s="83"/>
      <c r="K816" s="82"/>
      <c r="M816" s="112"/>
      <c r="N816" s="84"/>
    </row>
    <row r="817" spans="1:14" s="2" customFormat="1">
      <c r="A817" s="83"/>
      <c r="H817" s="83"/>
      <c r="K817" s="82"/>
      <c r="M817" s="112"/>
      <c r="N817" s="84"/>
    </row>
    <row r="818" spans="1:14" s="2" customFormat="1">
      <c r="A818" s="83"/>
      <c r="H818" s="83"/>
      <c r="K818" s="82"/>
      <c r="M818" s="112"/>
      <c r="N818" s="84"/>
    </row>
    <row r="819" spans="1:14" s="2" customFormat="1">
      <c r="A819" s="83"/>
      <c r="H819" s="83"/>
      <c r="K819" s="82"/>
      <c r="M819" s="112"/>
      <c r="N819" s="84"/>
    </row>
    <row r="820" spans="1:14" s="2" customFormat="1">
      <c r="A820" s="83"/>
      <c r="H820" s="83"/>
      <c r="K820" s="82"/>
      <c r="M820" s="112"/>
      <c r="N820" s="84"/>
    </row>
    <row r="821" spans="1:14" s="2" customFormat="1">
      <c r="A821" s="83"/>
      <c r="H821" s="83"/>
      <c r="K821" s="82"/>
      <c r="M821" s="112"/>
      <c r="N821" s="84"/>
    </row>
    <row r="822" spans="1:14" s="2" customFormat="1">
      <c r="A822" s="83"/>
      <c r="H822" s="83"/>
      <c r="K822" s="82"/>
      <c r="M822" s="112"/>
      <c r="N822" s="84"/>
    </row>
    <row r="823" spans="1:14" s="2" customFormat="1">
      <c r="A823" s="83"/>
      <c r="H823" s="83"/>
      <c r="K823" s="82"/>
      <c r="M823" s="112"/>
      <c r="N823" s="84"/>
    </row>
    <row r="824" spans="1:14" s="2" customFormat="1">
      <c r="A824" s="83"/>
      <c r="H824" s="83"/>
      <c r="K824" s="82"/>
      <c r="M824" s="112"/>
      <c r="N824" s="84"/>
    </row>
    <row r="825" spans="1:14" s="2" customFormat="1">
      <c r="A825" s="83"/>
      <c r="H825" s="83"/>
      <c r="K825" s="82"/>
      <c r="M825" s="112"/>
      <c r="N825" s="84"/>
    </row>
    <row r="826" spans="1:14" s="2" customFormat="1">
      <c r="A826" s="83"/>
      <c r="H826" s="83"/>
      <c r="K826" s="82"/>
      <c r="M826" s="112"/>
      <c r="N826" s="84"/>
    </row>
    <row r="827" spans="1:14" s="2" customFormat="1">
      <c r="A827" s="83"/>
      <c r="H827" s="83"/>
      <c r="K827" s="82"/>
      <c r="M827" s="112"/>
      <c r="N827" s="84"/>
    </row>
    <row r="828" spans="1:14" s="2" customFormat="1">
      <c r="A828" s="83"/>
      <c r="H828" s="83"/>
      <c r="K828" s="82"/>
      <c r="M828" s="112"/>
      <c r="N828" s="84"/>
    </row>
    <row r="829" spans="1:14" s="2" customFormat="1">
      <c r="A829" s="83"/>
      <c r="H829" s="83"/>
      <c r="K829" s="82"/>
      <c r="M829" s="112"/>
      <c r="N829" s="84"/>
    </row>
    <row r="830" spans="1:14" s="2" customFormat="1">
      <c r="A830" s="83"/>
      <c r="H830" s="83"/>
      <c r="K830" s="82"/>
      <c r="M830" s="112"/>
      <c r="N830" s="84"/>
    </row>
    <row r="831" spans="1:14" s="2" customFormat="1">
      <c r="A831" s="83"/>
      <c r="H831" s="83"/>
      <c r="K831" s="82"/>
      <c r="M831" s="112"/>
      <c r="N831" s="84"/>
    </row>
    <row r="832" spans="1:14" s="2" customFormat="1">
      <c r="A832" s="83"/>
      <c r="H832" s="83"/>
      <c r="K832" s="82"/>
      <c r="M832" s="112"/>
      <c r="N832" s="84"/>
    </row>
    <row r="833" spans="1:14" s="2" customFormat="1">
      <c r="A833" s="83"/>
      <c r="H833" s="83"/>
      <c r="K833" s="82"/>
      <c r="M833" s="112"/>
      <c r="N833" s="84"/>
    </row>
    <row r="834" spans="1:14" s="2" customFormat="1">
      <c r="A834" s="83"/>
      <c r="H834" s="83"/>
      <c r="K834" s="82"/>
      <c r="M834" s="112"/>
      <c r="N834" s="84"/>
    </row>
    <row r="835" spans="1:14" s="2" customFormat="1">
      <c r="A835" s="83"/>
      <c r="H835" s="83"/>
      <c r="K835" s="82"/>
      <c r="M835" s="112"/>
      <c r="N835" s="84"/>
    </row>
    <row r="836" spans="1:14" s="2" customFormat="1">
      <c r="A836" s="83"/>
      <c r="H836" s="83"/>
      <c r="K836" s="82"/>
      <c r="M836" s="112"/>
      <c r="N836" s="84"/>
    </row>
    <row r="837" spans="1:14" s="2" customFormat="1">
      <c r="A837" s="83"/>
      <c r="H837" s="83"/>
      <c r="K837" s="82"/>
      <c r="M837" s="112"/>
      <c r="N837" s="84"/>
    </row>
    <row r="838" spans="1:14" s="2" customFormat="1">
      <c r="A838" s="83"/>
      <c r="H838" s="83"/>
      <c r="K838" s="82"/>
      <c r="M838" s="112"/>
      <c r="N838" s="84"/>
    </row>
    <row r="839" spans="1:14" s="2" customFormat="1">
      <c r="A839" s="83"/>
      <c r="H839" s="83"/>
      <c r="K839" s="82"/>
      <c r="M839" s="112"/>
      <c r="N839" s="84"/>
    </row>
    <row r="840" spans="1:14" s="2" customFormat="1">
      <c r="A840" s="83"/>
      <c r="H840" s="83"/>
      <c r="K840" s="82"/>
      <c r="M840" s="112"/>
      <c r="N840" s="84"/>
    </row>
    <row r="841" spans="1:14" s="2" customFormat="1">
      <c r="A841" s="83"/>
      <c r="H841" s="83"/>
      <c r="K841" s="82"/>
      <c r="M841" s="112"/>
      <c r="N841" s="84"/>
    </row>
    <row r="842" spans="1:14" s="2" customFormat="1">
      <c r="A842" s="83"/>
      <c r="H842" s="83"/>
      <c r="K842" s="82"/>
      <c r="M842" s="112"/>
      <c r="N842" s="84"/>
    </row>
    <row r="843" spans="1:14" s="2" customFormat="1">
      <c r="A843" s="83"/>
      <c r="H843" s="83"/>
      <c r="K843" s="82"/>
      <c r="M843" s="112"/>
      <c r="N843" s="84"/>
    </row>
    <row r="844" spans="1:14" s="2" customFormat="1">
      <c r="A844" s="83"/>
      <c r="H844" s="83"/>
      <c r="K844" s="82"/>
      <c r="M844" s="112"/>
      <c r="N844" s="84"/>
    </row>
    <row r="845" spans="1:14" s="2" customFormat="1">
      <c r="A845" s="83"/>
      <c r="H845" s="83"/>
      <c r="K845" s="82"/>
      <c r="M845" s="112"/>
      <c r="N845" s="84"/>
    </row>
    <row r="846" spans="1:14" s="2" customFormat="1">
      <c r="A846" s="83"/>
      <c r="H846" s="83"/>
      <c r="K846" s="82"/>
      <c r="M846" s="112"/>
      <c r="N846" s="84"/>
    </row>
    <row r="847" spans="1:14" s="2" customFormat="1">
      <c r="A847" s="83"/>
      <c r="H847" s="83"/>
      <c r="K847" s="82"/>
      <c r="M847" s="112"/>
      <c r="N847" s="84"/>
    </row>
    <row r="848" spans="1:14" s="2" customFormat="1">
      <c r="A848" s="83"/>
      <c r="H848" s="83"/>
      <c r="K848" s="82"/>
      <c r="M848" s="112"/>
      <c r="N848" s="84"/>
    </row>
    <row r="849" spans="1:14" s="2" customFormat="1">
      <c r="A849" s="83"/>
      <c r="H849" s="83"/>
      <c r="K849" s="82"/>
      <c r="M849" s="112"/>
      <c r="N849" s="84"/>
    </row>
    <row r="850" spans="1:14" s="2" customFormat="1">
      <c r="A850" s="83"/>
      <c r="H850" s="83"/>
      <c r="K850" s="82"/>
      <c r="M850" s="112"/>
      <c r="N850" s="84"/>
    </row>
    <row r="851" spans="1:14" s="2" customFormat="1">
      <c r="A851" s="83"/>
      <c r="H851" s="83"/>
      <c r="K851" s="82"/>
      <c r="M851" s="112"/>
      <c r="N851" s="84"/>
    </row>
    <row r="852" spans="1:14" s="2" customFormat="1">
      <c r="A852" s="83"/>
      <c r="H852" s="83"/>
      <c r="K852" s="82"/>
      <c r="M852" s="112"/>
      <c r="N852" s="84"/>
    </row>
    <row r="853" spans="1:14" s="2" customFormat="1">
      <c r="A853" s="83"/>
      <c r="H853" s="83"/>
      <c r="K853" s="82"/>
      <c r="M853" s="112"/>
      <c r="N853" s="84"/>
    </row>
    <row r="854" spans="1:14" s="2" customFormat="1">
      <c r="A854" s="83"/>
      <c r="H854" s="83"/>
      <c r="K854" s="82"/>
      <c r="M854" s="112"/>
      <c r="N854" s="84"/>
    </row>
    <row r="855" spans="1:14" s="2" customFormat="1">
      <c r="A855" s="83"/>
      <c r="H855" s="83"/>
      <c r="K855" s="82"/>
      <c r="M855" s="112"/>
      <c r="N855" s="84"/>
    </row>
    <row r="856" spans="1:14" s="2" customFormat="1">
      <c r="A856" s="83"/>
      <c r="H856" s="83"/>
      <c r="K856" s="82"/>
      <c r="M856" s="112"/>
      <c r="N856" s="84"/>
    </row>
    <row r="857" spans="1:14" s="2" customFormat="1">
      <c r="A857" s="83"/>
      <c r="H857" s="83"/>
      <c r="K857" s="82"/>
      <c r="M857" s="112"/>
      <c r="N857" s="84"/>
    </row>
    <row r="858" spans="1:14" s="2" customFormat="1">
      <c r="A858" s="83"/>
      <c r="H858" s="83"/>
      <c r="K858" s="82"/>
      <c r="M858" s="112"/>
      <c r="N858" s="84"/>
    </row>
    <row r="859" spans="1:14" s="2" customFormat="1">
      <c r="A859" s="83"/>
      <c r="H859" s="83"/>
      <c r="K859" s="82"/>
      <c r="M859" s="112"/>
      <c r="N859" s="84"/>
    </row>
    <row r="860" spans="1:14" s="2" customFormat="1">
      <c r="A860" s="83"/>
      <c r="H860" s="83"/>
      <c r="K860" s="82"/>
      <c r="M860" s="112"/>
      <c r="N860" s="84"/>
    </row>
    <row r="861" spans="1:14" s="2" customFormat="1">
      <c r="A861" s="83"/>
      <c r="H861" s="83"/>
      <c r="K861" s="82"/>
      <c r="M861" s="112"/>
      <c r="N861" s="84"/>
    </row>
    <row r="862" spans="1:14" s="2" customFormat="1">
      <c r="A862" s="83"/>
      <c r="H862" s="83"/>
      <c r="K862" s="82"/>
      <c r="M862" s="112"/>
      <c r="N862" s="84"/>
    </row>
    <row r="863" spans="1:14" s="2" customFormat="1">
      <c r="A863" s="83"/>
      <c r="H863" s="83"/>
      <c r="K863" s="82"/>
      <c r="M863" s="112"/>
      <c r="N863" s="84"/>
    </row>
    <row r="864" spans="1:14" s="2" customFormat="1">
      <c r="A864" s="83"/>
      <c r="H864" s="83"/>
      <c r="K864" s="82"/>
      <c r="M864" s="112"/>
      <c r="N864" s="84"/>
    </row>
    <row r="865" spans="1:14" s="2" customFormat="1">
      <c r="A865" s="83"/>
      <c r="H865" s="83"/>
      <c r="K865" s="82"/>
      <c r="M865" s="112"/>
      <c r="N865" s="84"/>
    </row>
    <row r="866" spans="1:14" s="2" customFormat="1">
      <c r="A866" s="83"/>
      <c r="H866" s="83"/>
      <c r="K866" s="82"/>
      <c r="M866" s="112"/>
      <c r="N866" s="84"/>
    </row>
    <row r="867" spans="1:14" s="2" customFormat="1">
      <c r="A867" s="83"/>
      <c r="H867" s="83"/>
      <c r="K867" s="82"/>
      <c r="M867" s="112"/>
      <c r="N867" s="84"/>
    </row>
    <row r="868" spans="1:14" s="2" customFormat="1">
      <c r="A868" s="83"/>
      <c r="H868" s="83"/>
      <c r="K868" s="82"/>
      <c r="M868" s="112"/>
      <c r="N868" s="84"/>
    </row>
    <row r="869" spans="1:14" s="2" customFormat="1">
      <c r="A869" s="83"/>
      <c r="H869" s="83"/>
      <c r="K869" s="82"/>
      <c r="M869" s="112"/>
      <c r="N869" s="84"/>
    </row>
    <row r="870" spans="1:14" s="2" customFormat="1">
      <c r="A870" s="83"/>
      <c r="H870" s="83"/>
      <c r="K870" s="82"/>
      <c r="M870" s="112"/>
      <c r="N870" s="84"/>
    </row>
    <row r="871" spans="1:14" s="2" customFormat="1">
      <c r="A871" s="83"/>
      <c r="H871" s="83"/>
      <c r="K871" s="82"/>
      <c r="M871" s="112"/>
      <c r="N871" s="84"/>
    </row>
    <row r="872" spans="1:14" s="2" customFormat="1">
      <c r="A872" s="83"/>
      <c r="H872" s="83"/>
      <c r="K872" s="82"/>
      <c r="M872" s="112"/>
      <c r="N872" s="84"/>
    </row>
    <row r="873" spans="1:14" s="2" customFormat="1">
      <c r="A873" s="83"/>
      <c r="H873" s="83"/>
      <c r="K873" s="82"/>
      <c r="M873" s="112"/>
      <c r="N873" s="84"/>
    </row>
    <row r="874" spans="1:14" s="2" customFormat="1">
      <c r="A874" s="83"/>
      <c r="H874" s="83"/>
      <c r="K874" s="82"/>
      <c r="M874" s="112"/>
      <c r="N874" s="84"/>
    </row>
    <row r="875" spans="1:14" s="2" customFormat="1">
      <c r="A875" s="83"/>
      <c r="H875" s="83"/>
      <c r="K875" s="82"/>
      <c r="M875" s="112"/>
      <c r="N875" s="84"/>
    </row>
    <row r="876" spans="1:14" s="2" customFormat="1">
      <c r="A876" s="83"/>
      <c r="H876" s="83"/>
      <c r="K876" s="82"/>
      <c r="M876" s="112"/>
      <c r="N876" s="84"/>
    </row>
    <row r="877" spans="1:14" s="2" customFormat="1">
      <c r="A877" s="83"/>
      <c r="H877" s="83"/>
      <c r="K877" s="82"/>
      <c r="M877" s="112"/>
      <c r="N877" s="84"/>
    </row>
    <row r="878" spans="1:14" s="2" customFormat="1">
      <c r="A878" s="83"/>
      <c r="H878" s="83"/>
      <c r="K878" s="82"/>
      <c r="M878" s="112"/>
      <c r="N878" s="84"/>
    </row>
    <row r="879" spans="1:14" s="2" customFormat="1">
      <c r="A879" s="83"/>
      <c r="H879" s="83"/>
      <c r="K879" s="82"/>
      <c r="M879" s="112"/>
      <c r="N879" s="84"/>
    </row>
    <row r="880" spans="1:14" s="2" customFormat="1">
      <c r="A880" s="83"/>
      <c r="H880" s="83"/>
      <c r="K880" s="82"/>
      <c r="M880" s="112"/>
      <c r="N880" s="84"/>
    </row>
    <row r="881" spans="1:14" s="2" customFormat="1">
      <c r="A881" s="83"/>
      <c r="H881" s="83"/>
      <c r="K881" s="82"/>
      <c r="M881" s="112"/>
      <c r="N881" s="84"/>
    </row>
    <row r="882" spans="1:14" s="2" customFormat="1">
      <c r="A882" s="83"/>
      <c r="H882" s="83"/>
      <c r="K882" s="82"/>
      <c r="M882" s="112"/>
      <c r="N882" s="84"/>
    </row>
    <row r="883" spans="1:14" s="2" customFormat="1">
      <c r="A883" s="83"/>
      <c r="H883" s="83"/>
      <c r="K883" s="82"/>
      <c r="M883" s="112"/>
      <c r="N883" s="84"/>
    </row>
    <row r="884" spans="1:14" s="2" customFormat="1">
      <c r="A884" s="83"/>
      <c r="H884" s="83"/>
      <c r="K884" s="82"/>
      <c r="M884" s="112"/>
      <c r="N884" s="84"/>
    </row>
    <row r="885" spans="1:14" s="2" customFormat="1">
      <c r="A885" s="83"/>
      <c r="H885" s="83"/>
      <c r="K885" s="82"/>
      <c r="M885" s="112"/>
      <c r="N885" s="84"/>
    </row>
    <row r="886" spans="1:14" s="2" customFormat="1">
      <c r="A886" s="83"/>
      <c r="H886" s="83"/>
      <c r="K886" s="82"/>
      <c r="M886" s="112"/>
      <c r="N886" s="84"/>
    </row>
    <row r="887" spans="1:14" s="2" customFormat="1">
      <c r="A887" s="83"/>
      <c r="H887" s="83"/>
      <c r="K887" s="82"/>
      <c r="M887" s="112"/>
      <c r="N887" s="84"/>
    </row>
    <row r="888" spans="1:14" s="2" customFormat="1">
      <c r="A888" s="83"/>
      <c r="H888" s="83"/>
      <c r="K888" s="82"/>
      <c r="M888" s="112"/>
      <c r="N888" s="84"/>
    </row>
    <row r="889" spans="1:14" s="2" customFormat="1">
      <c r="A889" s="83"/>
      <c r="H889" s="83"/>
      <c r="K889" s="82"/>
      <c r="M889" s="112"/>
      <c r="N889" s="84"/>
    </row>
    <row r="890" spans="1:14" s="2" customFormat="1">
      <c r="A890" s="83"/>
      <c r="H890" s="83"/>
      <c r="K890" s="82"/>
      <c r="M890" s="112"/>
      <c r="N890" s="84"/>
    </row>
    <row r="891" spans="1:14" s="2" customFormat="1">
      <c r="A891" s="83"/>
      <c r="H891" s="83"/>
      <c r="K891" s="82"/>
      <c r="M891" s="112"/>
      <c r="N891" s="84"/>
    </row>
    <row r="892" spans="1:14" s="2" customFormat="1">
      <c r="A892" s="83"/>
      <c r="H892" s="83"/>
      <c r="K892" s="82"/>
      <c r="M892" s="112"/>
      <c r="N892" s="84"/>
    </row>
    <row r="893" spans="1:14" s="2" customFormat="1">
      <c r="A893" s="83"/>
      <c r="H893" s="83"/>
      <c r="K893" s="82"/>
      <c r="M893" s="112"/>
      <c r="N893" s="84"/>
    </row>
    <row r="894" spans="1:14" s="2" customFormat="1">
      <c r="A894" s="83"/>
      <c r="H894" s="83"/>
      <c r="K894" s="82"/>
      <c r="M894" s="112"/>
      <c r="N894" s="84"/>
    </row>
    <row r="895" spans="1:14" s="2" customFormat="1">
      <c r="A895" s="83"/>
      <c r="H895" s="83"/>
      <c r="K895" s="82"/>
      <c r="M895" s="112"/>
      <c r="N895" s="84"/>
    </row>
    <row r="896" spans="1:14" s="2" customFormat="1">
      <c r="A896" s="83"/>
      <c r="H896" s="83"/>
      <c r="K896" s="82"/>
      <c r="M896" s="112"/>
      <c r="N896" s="84"/>
    </row>
    <row r="897" spans="1:14" s="2" customFormat="1">
      <c r="A897" s="83"/>
      <c r="H897" s="83"/>
      <c r="K897" s="82"/>
      <c r="M897" s="112"/>
      <c r="N897" s="84"/>
    </row>
    <row r="898" spans="1:14" s="2" customFormat="1">
      <c r="A898" s="83"/>
      <c r="H898" s="83"/>
      <c r="K898" s="82"/>
      <c r="M898" s="112"/>
      <c r="N898" s="84"/>
    </row>
    <row r="899" spans="1:14" s="2" customFormat="1">
      <c r="A899" s="83"/>
      <c r="H899" s="83"/>
      <c r="K899" s="82"/>
      <c r="M899" s="112"/>
      <c r="N899" s="84"/>
    </row>
    <row r="900" spans="1:14" s="2" customFormat="1">
      <c r="A900" s="83"/>
      <c r="H900" s="83"/>
      <c r="K900" s="82"/>
      <c r="M900" s="112"/>
      <c r="N900" s="84"/>
    </row>
    <row r="901" spans="1:14" s="2" customFormat="1">
      <c r="A901" s="83"/>
      <c r="H901" s="83"/>
      <c r="K901" s="82"/>
      <c r="M901" s="112"/>
      <c r="N901" s="84"/>
    </row>
    <row r="902" spans="1:14" s="2" customFormat="1">
      <c r="A902" s="83"/>
      <c r="H902" s="83"/>
      <c r="K902" s="82"/>
      <c r="M902" s="112"/>
      <c r="N902" s="84"/>
    </row>
    <row r="903" spans="1:14" s="2" customFormat="1">
      <c r="A903" s="83"/>
      <c r="H903" s="83"/>
      <c r="K903" s="82"/>
      <c r="M903" s="112"/>
      <c r="N903" s="84"/>
    </row>
    <row r="904" spans="1:14" s="2" customFormat="1">
      <c r="A904" s="83"/>
      <c r="H904" s="83"/>
      <c r="K904" s="82"/>
      <c r="M904" s="112"/>
      <c r="N904" s="84"/>
    </row>
    <row r="905" spans="1:14" s="2" customFormat="1">
      <c r="A905" s="83"/>
      <c r="H905" s="83"/>
      <c r="K905" s="82"/>
      <c r="M905" s="112"/>
      <c r="N905" s="84"/>
    </row>
    <row r="906" spans="1:14" s="2" customFormat="1">
      <c r="A906" s="83"/>
      <c r="H906" s="83"/>
      <c r="K906" s="82"/>
      <c r="M906" s="112"/>
      <c r="N906" s="84"/>
    </row>
    <row r="907" spans="1:14" s="2" customFormat="1">
      <c r="A907" s="83"/>
      <c r="H907" s="83"/>
      <c r="K907" s="82"/>
      <c r="M907" s="112"/>
      <c r="N907" s="84"/>
    </row>
    <row r="908" spans="1:14" s="2" customFormat="1">
      <c r="A908" s="83"/>
      <c r="H908" s="83"/>
      <c r="K908" s="82"/>
      <c r="M908" s="112"/>
      <c r="N908" s="84"/>
    </row>
    <row r="909" spans="1:14" s="2" customFormat="1">
      <c r="A909" s="83"/>
      <c r="H909" s="83"/>
      <c r="K909" s="82"/>
      <c r="M909" s="112"/>
      <c r="N909" s="84"/>
    </row>
    <row r="910" spans="1:14" s="2" customFormat="1">
      <c r="A910" s="83"/>
      <c r="H910" s="83"/>
      <c r="K910" s="82"/>
      <c r="M910" s="112"/>
      <c r="N910" s="84"/>
    </row>
    <row r="911" spans="1:14" s="2" customFormat="1">
      <c r="A911" s="83"/>
      <c r="H911" s="83"/>
      <c r="K911" s="82"/>
      <c r="M911" s="112"/>
      <c r="N911" s="84"/>
    </row>
    <row r="912" spans="1:14" s="2" customFormat="1">
      <c r="A912" s="83"/>
      <c r="H912" s="83"/>
      <c r="K912" s="82"/>
      <c r="M912" s="112"/>
      <c r="N912" s="84"/>
    </row>
    <row r="913" spans="1:14" s="2" customFormat="1">
      <c r="A913" s="83"/>
      <c r="H913" s="83"/>
      <c r="K913" s="82"/>
      <c r="M913" s="112"/>
      <c r="N913" s="84"/>
    </row>
    <row r="914" spans="1:14" s="2" customFormat="1">
      <c r="A914" s="83"/>
      <c r="H914" s="83"/>
      <c r="K914" s="82"/>
      <c r="M914" s="112"/>
      <c r="N914" s="84"/>
    </row>
    <row r="915" spans="1:14" s="2" customFormat="1">
      <c r="A915" s="83"/>
      <c r="H915" s="83"/>
      <c r="K915" s="82"/>
      <c r="M915" s="112"/>
      <c r="N915" s="84"/>
    </row>
    <row r="916" spans="1:14" s="2" customFormat="1">
      <c r="A916" s="83"/>
      <c r="H916" s="83"/>
      <c r="K916" s="82"/>
      <c r="M916" s="112"/>
      <c r="N916" s="84"/>
    </row>
    <row r="917" spans="1:14" s="2" customFormat="1">
      <c r="A917" s="83"/>
      <c r="H917" s="83"/>
      <c r="K917" s="82"/>
      <c r="M917" s="112"/>
      <c r="N917" s="84"/>
    </row>
    <row r="918" spans="1:14" s="2" customFormat="1">
      <c r="A918" s="83"/>
      <c r="H918" s="83"/>
      <c r="K918" s="82"/>
      <c r="M918" s="112"/>
      <c r="N918" s="84"/>
    </row>
    <row r="919" spans="1:14" s="2" customFormat="1">
      <c r="A919" s="83"/>
      <c r="H919" s="83"/>
      <c r="K919" s="82"/>
      <c r="M919" s="112"/>
      <c r="N919" s="84"/>
    </row>
    <row r="920" spans="1:14" s="2" customFormat="1">
      <c r="A920" s="83"/>
      <c r="H920" s="83"/>
      <c r="K920" s="82"/>
      <c r="M920" s="112"/>
      <c r="N920" s="84"/>
    </row>
    <row r="921" spans="1:14" s="2" customFormat="1">
      <c r="A921" s="83"/>
      <c r="H921" s="83"/>
      <c r="K921" s="82"/>
      <c r="M921" s="112"/>
      <c r="N921" s="84"/>
    </row>
    <row r="922" spans="1:14" s="2" customFormat="1">
      <c r="A922" s="83"/>
      <c r="H922" s="83"/>
      <c r="K922" s="82"/>
      <c r="M922" s="112"/>
      <c r="N922" s="84"/>
    </row>
    <row r="923" spans="1:14" s="2" customFormat="1">
      <c r="A923" s="83"/>
      <c r="H923" s="83"/>
      <c r="K923" s="82"/>
      <c r="M923" s="112"/>
      <c r="N923" s="84"/>
    </row>
    <row r="924" spans="1:14" s="2" customFormat="1">
      <c r="A924" s="83"/>
      <c r="H924" s="83"/>
      <c r="K924" s="82"/>
      <c r="M924" s="112"/>
      <c r="N924" s="84"/>
    </row>
    <row r="925" spans="1:14" s="2" customFormat="1">
      <c r="A925" s="83"/>
      <c r="H925" s="83"/>
      <c r="K925" s="82"/>
      <c r="M925" s="112"/>
      <c r="N925" s="84"/>
    </row>
    <row r="926" spans="1:14" s="2" customFormat="1">
      <c r="A926" s="83"/>
      <c r="H926" s="83"/>
      <c r="K926" s="82"/>
      <c r="M926" s="112"/>
      <c r="N926" s="84"/>
    </row>
    <row r="927" spans="1:14" s="2" customFormat="1">
      <c r="A927" s="83"/>
      <c r="H927" s="83"/>
      <c r="K927" s="82"/>
      <c r="M927" s="112"/>
      <c r="N927" s="84"/>
    </row>
    <row r="928" spans="1:14" s="2" customFormat="1">
      <c r="A928" s="83"/>
      <c r="H928" s="83"/>
      <c r="K928" s="82"/>
      <c r="M928" s="112"/>
      <c r="N928" s="84"/>
    </row>
    <row r="929" spans="1:14" s="2" customFormat="1">
      <c r="A929" s="83"/>
      <c r="H929" s="83"/>
      <c r="K929" s="82"/>
      <c r="M929" s="112"/>
      <c r="N929" s="84"/>
    </row>
    <row r="930" spans="1:14" s="2" customFormat="1">
      <c r="A930" s="83"/>
      <c r="H930" s="83"/>
      <c r="K930" s="82"/>
      <c r="M930" s="112"/>
      <c r="N930" s="84"/>
    </row>
    <row r="931" spans="1:14" s="2" customFormat="1">
      <c r="A931" s="83"/>
      <c r="H931" s="83"/>
      <c r="K931" s="82"/>
      <c r="M931" s="112"/>
      <c r="N931" s="84"/>
    </row>
    <row r="932" spans="1:14" s="2" customFormat="1">
      <c r="A932" s="83"/>
      <c r="H932" s="83"/>
      <c r="K932" s="82"/>
      <c r="M932" s="112"/>
      <c r="N932" s="84"/>
    </row>
    <row r="933" spans="1:14" s="2" customFormat="1">
      <c r="A933" s="83"/>
      <c r="H933" s="83"/>
      <c r="K933" s="82"/>
      <c r="M933" s="112"/>
      <c r="N933" s="84"/>
    </row>
    <row r="934" spans="1:14" s="2" customFormat="1">
      <c r="A934" s="83"/>
      <c r="H934" s="83"/>
      <c r="K934" s="82"/>
      <c r="M934" s="112"/>
      <c r="N934" s="84"/>
    </row>
    <row r="935" spans="1:14" s="2" customFormat="1">
      <c r="A935" s="83"/>
      <c r="H935" s="83"/>
      <c r="K935" s="82"/>
      <c r="M935" s="112"/>
      <c r="N935" s="84"/>
    </row>
    <row r="936" spans="1:14" s="2" customFormat="1">
      <c r="A936" s="83"/>
      <c r="H936" s="83"/>
      <c r="K936" s="82"/>
      <c r="M936" s="112"/>
      <c r="N936" s="84"/>
    </row>
    <row r="937" spans="1:14" s="2" customFormat="1">
      <c r="A937" s="83"/>
      <c r="H937" s="83"/>
      <c r="K937" s="82"/>
      <c r="M937" s="112"/>
      <c r="N937" s="84"/>
    </row>
    <row r="938" spans="1:14" s="2" customFormat="1">
      <c r="A938" s="83"/>
      <c r="H938" s="83"/>
      <c r="K938" s="82"/>
      <c r="M938" s="112"/>
      <c r="N938" s="84"/>
    </row>
    <row r="939" spans="1:14" s="2" customFormat="1">
      <c r="A939" s="83"/>
      <c r="H939" s="83"/>
      <c r="K939" s="82"/>
      <c r="M939" s="112"/>
      <c r="N939" s="84"/>
    </row>
    <row r="940" spans="1:14" s="2" customFormat="1">
      <c r="A940" s="83"/>
      <c r="H940" s="83"/>
      <c r="K940" s="82"/>
      <c r="M940" s="112"/>
      <c r="N940" s="84"/>
    </row>
    <row r="941" spans="1:14" s="2" customFormat="1">
      <c r="A941" s="83"/>
      <c r="H941" s="83"/>
      <c r="K941" s="82"/>
      <c r="M941" s="112"/>
      <c r="N941" s="84"/>
    </row>
    <row r="942" spans="1:14" s="2" customFormat="1">
      <c r="A942" s="83"/>
      <c r="H942" s="83"/>
      <c r="K942" s="82"/>
      <c r="M942" s="112"/>
      <c r="N942" s="84"/>
    </row>
    <row r="943" spans="1:14" s="2" customFormat="1">
      <c r="A943" s="83"/>
      <c r="H943" s="83"/>
      <c r="K943" s="82"/>
      <c r="M943" s="112"/>
      <c r="N943" s="84"/>
    </row>
    <row r="944" spans="1:14" s="2" customFormat="1">
      <c r="A944" s="83"/>
      <c r="H944" s="83"/>
      <c r="K944" s="82"/>
      <c r="M944" s="112"/>
      <c r="N944" s="84"/>
    </row>
    <row r="945" spans="1:14" s="2" customFormat="1">
      <c r="A945" s="83"/>
      <c r="H945" s="83"/>
      <c r="K945" s="82"/>
      <c r="M945" s="112"/>
      <c r="N945" s="84"/>
    </row>
    <row r="946" spans="1:14" s="2" customFormat="1">
      <c r="A946" s="83"/>
      <c r="H946" s="83"/>
      <c r="K946" s="82"/>
      <c r="M946" s="112"/>
      <c r="N946" s="84"/>
    </row>
    <row r="947" spans="1:14" s="2" customFormat="1">
      <c r="A947" s="83"/>
      <c r="H947" s="83"/>
      <c r="K947" s="82"/>
      <c r="M947" s="112"/>
      <c r="N947" s="84"/>
    </row>
    <row r="948" spans="1:14" s="2" customFormat="1">
      <c r="A948" s="83"/>
      <c r="H948" s="83"/>
      <c r="K948" s="82"/>
      <c r="M948" s="112"/>
      <c r="N948" s="84"/>
    </row>
    <row r="949" spans="1:14" s="2" customFormat="1">
      <c r="A949" s="83"/>
      <c r="H949" s="83"/>
      <c r="K949" s="82"/>
      <c r="M949" s="112"/>
      <c r="N949" s="84"/>
    </row>
    <row r="950" spans="1:14" s="2" customFormat="1">
      <c r="A950" s="83"/>
      <c r="H950" s="83"/>
      <c r="K950" s="82"/>
      <c r="M950" s="112"/>
      <c r="N950" s="84"/>
    </row>
    <row r="951" spans="1:14" s="2" customFormat="1">
      <c r="A951" s="83"/>
      <c r="H951" s="83"/>
      <c r="K951" s="82"/>
      <c r="M951" s="112"/>
      <c r="N951" s="84"/>
    </row>
    <row r="952" spans="1:14" s="2" customFormat="1">
      <c r="A952" s="83"/>
      <c r="H952" s="83"/>
      <c r="K952" s="82"/>
      <c r="M952" s="112"/>
      <c r="N952" s="84"/>
    </row>
    <row r="953" spans="1:14" s="2" customFormat="1">
      <c r="A953" s="83"/>
      <c r="H953" s="83"/>
      <c r="K953" s="82"/>
      <c r="M953" s="112"/>
      <c r="N953" s="84"/>
    </row>
    <row r="954" spans="1:14" s="2" customFormat="1">
      <c r="A954" s="83"/>
      <c r="H954" s="83"/>
      <c r="K954" s="82"/>
      <c r="M954" s="112"/>
      <c r="N954" s="84"/>
    </row>
    <row r="955" spans="1:14" s="2" customFormat="1">
      <c r="A955" s="83"/>
      <c r="H955" s="83"/>
      <c r="K955" s="82"/>
      <c r="M955" s="112"/>
      <c r="N955" s="84"/>
    </row>
    <row r="956" spans="1:14" s="2" customFormat="1">
      <c r="A956" s="83"/>
      <c r="H956" s="83"/>
      <c r="K956" s="82"/>
      <c r="M956" s="112"/>
      <c r="N956" s="84"/>
    </row>
    <row r="957" spans="1:14" s="2" customFormat="1">
      <c r="A957" s="83"/>
      <c r="H957" s="83"/>
      <c r="K957" s="82"/>
      <c r="M957" s="112"/>
      <c r="N957" s="84"/>
    </row>
    <row r="958" spans="1:14" s="2" customFormat="1">
      <c r="A958" s="83"/>
      <c r="H958" s="83"/>
      <c r="K958" s="82"/>
      <c r="M958" s="112"/>
      <c r="N958" s="84"/>
    </row>
    <row r="959" spans="1:14" s="2" customFormat="1">
      <c r="A959" s="83"/>
      <c r="H959" s="83"/>
      <c r="K959" s="82"/>
      <c r="M959" s="112"/>
      <c r="N959" s="84"/>
    </row>
    <row r="960" spans="1:14" s="2" customFormat="1">
      <c r="A960" s="83"/>
      <c r="H960" s="83"/>
      <c r="K960" s="82"/>
      <c r="M960" s="112"/>
      <c r="N960" s="84"/>
    </row>
    <row r="961" spans="1:14" s="2" customFormat="1">
      <c r="A961" s="83"/>
      <c r="H961" s="83"/>
      <c r="K961" s="82"/>
      <c r="M961" s="112"/>
      <c r="N961" s="84"/>
    </row>
    <row r="962" spans="1:14" s="2" customFormat="1">
      <c r="A962" s="83"/>
      <c r="H962" s="83"/>
      <c r="K962" s="82"/>
      <c r="M962" s="112"/>
      <c r="N962" s="84"/>
    </row>
    <row r="963" spans="1:14" s="2" customFormat="1">
      <c r="A963" s="83"/>
      <c r="H963" s="83"/>
      <c r="K963" s="82"/>
      <c r="M963" s="112"/>
      <c r="N963" s="84"/>
    </row>
    <row r="964" spans="1:14" s="2" customFormat="1">
      <c r="A964" s="83"/>
      <c r="H964" s="83"/>
      <c r="K964" s="82"/>
      <c r="M964" s="112"/>
      <c r="N964" s="84"/>
    </row>
    <row r="965" spans="1:14" s="2" customFormat="1">
      <c r="A965" s="83"/>
      <c r="H965" s="83"/>
      <c r="K965" s="82"/>
      <c r="M965" s="112"/>
      <c r="N965" s="84"/>
    </row>
    <row r="966" spans="1:14" s="2" customFormat="1">
      <c r="A966" s="83"/>
      <c r="H966" s="83"/>
      <c r="K966" s="82"/>
      <c r="M966" s="112"/>
      <c r="N966" s="84"/>
    </row>
    <row r="967" spans="1:14" s="2" customFormat="1">
      <c r="A967" s="83"/>
      <c r="H967" s="83"/>
      <c r="K967" s="82"/>
      <c r="M967" s="112"/>
      <c r="N967" s="84"/>
    </row>
    <row r="968" spans="1:14" s="2" customFormat="1">
      <c r="A968" s="83"/>
      <c r="H968" s="83"/>
      <c r="K968" s="82"/>
      <c r="M968" s="112"/>
      <c r="N968" s="84"/>
    </row>
    <row r="969" spans="1:14" s="2" customFormat="1">
      <c r="A969" s="83"/>
      <c r="H969" s="83"/>
      <c r="K969" s="82"/>
      <c r="M969" s="112"/>
      <c r="N969" s="84"/>
    </row>
    <row r="970" spans="1:14" s="2" customFormat="1">
      <c r="A970" s="83"/>
      <c r="H970" s="83"/>
      <c r="K970" s="82"/>
      <c r="M970" s="112"/>
      <c r="N970" s="84"/>
    </row>
    <row r="971" spans="1:14" s="2" customFormat="1">
      <c r="A971" s="83"/>
      <c r="H971" s="83"/>
      <c r="K971" s="82"/>
      <c r="M971" s="112"/>
      <c r="N971" s="84"/>
    </row>
    <row r="972" spans="1:14" s="2" customFormat="1">
      <c r="A972" s="83"/>
      <c r="H972" s="83"/>
      <c r="K972" s="82"/>
      <c r="M972" s="112"/>
      <c r="N972" s="84"/>
    </row>
    <row r="973" spans="1:14" s="2" customFormat="1">
      <c r="A973" s="83"/>
      <c r="H973" s="83"/>
      <c r="K973" s="82"/>
      <c r="M973" s="112"/>
      <c r="N973" s="84"/>
    </row>
    <row r="974" spans="1:14" s="2" customFormat="1">
      <c r="A974" s="83"/>
      <c r="H974" s="83"/>
      <c r="K974" s="82"/>
      <c r="M974" s="112"/>
      <c r="N974" s="84"/>
    </row>
    <row r="975" spans="1:14" s="2" customFormat="1">
      <c r="A975" s="83"/>
      <c r="H975" s="83"/>
      <c r="K975" s="82"/>
      <c r="M975" s="112"/>
      <c r="N975" s="84"/>
    </row>
    <row r="976" spans="1:14" s="2" customFormat="1">
      <c r="A976" s="83"/>
      <c r="H976" s="83"/>
      <c r="K976" s="82"/>
      <c r="M976" s="112"/>
      <c r="N976" s="84"/>
    </row>
    <row r="977" spans="1:14" s="2" customFormat="1">
      <c r="A977" s="83"/>
      <c r="H977" s="83"/>
      <c r="K977" s="82"/>
      <c r="M977" s="112"/>
      <c r="N977" s="84"/>
    </row>
    <row r="978" spans="1:14" s="2" customFormat="1">
      <c r="A978" s="83"/>
      <c r="H978" s="83"/>
      <c r="K978" s="82"/>
      <c r="M978" s="112"/>
      <c r="N978" s="84"/>
    </row>
    <row r="979" spans="1:14" s="2" customFormat="1">
      <c r="A979" s="83"/>
      <c r="H979" s="83"/>
      <c r="K979" s="82"/>
      <c r="M979" s="112"/>
      <c r="N979" s="84"/>
    </row>
    <row r="980" spans="1:14" s="2" customFormat="1">
      <c r="A980" s="83"/>
      <c r="H980" s="83"/>
      <c r="K980" s="82"/>
      <c r="M980" s="112"/>
      <c r="N980" s="84"/>
    </row>
    <row r="981" spans="1:14" s="2" customFormat="1">
      <c r="A981" s="83"/>
      <c r="H981" s="83"/>
      <c r="K981" s="82"/>
      <c r="M981" s="112"/>
      <c r="N981" s="84"/>
    </row>
    <row r="982" spans="1:14" s="2" customFormat="1">
      <c r="A982" s="83"/>
      <c r="H982" s="83"/>
      <c r="K982" s="82"/>
      <c r="M982" s="112"/>
      <c r="N982" s="84"/>
    </row>
    <row r="983" spans="1:14" s="2" customFormat="1">
      <c r="A983" s="83"/>
      <c r="H983" s="83"/>
      <c r="K983" s="82"/>
      <c r="M983" s="112"/>
      <c r="N983" s="84"/>
    </row>
    <row r="984" spans="1:14" s="2" customFormat="1">
      <c r="A984" s="83"/>
      <c r="H984" s="83"/>
      <c r="K984" s="82"/>
      <c r="M984" s="112"/>
      <c r="N984" s="84"/>
    </row>
    <row r="985" spans="1:14" s="2" customFormat="1">
      <c r="A985" s="83"/>
      <c r="H985" s="83"/>
      <c r="K985" s="82"/>
      <c r="M985" s="112"/>
      <c r="N985" s="84"/>
    </row>
    <row r="986" spans="1:14" s="2" customFormat="1">
      <c r="A986" s="83"/>
      <c r="H986" s="83"/>
      <c r="K986" s="82"/>
      <c r="M986" s="112"/>
      <c r="N986" s="84"/>
    </row>
    <row r="987" spans="1:14" s="2" customFormat="1">
      <c r="A987" s="83"/>
      <c r="H987" s="83"/>
      <c r="K987" s="82"/>
      <c r="M987" s="112"/>
      <c r="N987" s="84"/>
    </row>
    <row r="988" spans="1:14" s="2" customFormat="1">
      <c r="A988" s="83"/>
      <c r="H988" s="83"/>
      <c r="K988" s="82"/>
      <c r="M988" s="112"/>
      <c r="N988" s="84"/>
    </row>
    <row r="989" spans="1:14" s="2" customFormat="1">
      <c r="A989" s="83"/>
      <c r="H989" s="83"/>
      <c r="K989" s="82"/>
      <c r="M989" s="112"/>
      <c r="N989" s="84"/>
    </row>
    <row r="990" spans="1:14" s="2" customFormat="1">
      <c r="A990" s="83"/>
      <c r="H990" s="83"/>
      <c r="K990" s="82"/>
      <c r="M990" s="112"/>
      <c r="N990" s="84"/>
    </row>
    <row r="991" spans="1:14" s="2" customFormat="1">
      <c r="A991" s="83"/>
      <c r="H991" s="83"/>
      <c r="K991" s="82"/>
      <c r="M991" s="112"/>
      <c r="N991" s="84"/>
    </row>
    <row r="992" spans="1:14" s="2" customFormat="1">
      <c r="A992" s="83"/>
      <c r="H992" s="83"/>
      <c r="K992" s="82"/>
      <c r="M992" s="112"/>
      <c r="N992" s="84"/>
    </row>
    <row r="993" spans="1:14" s="2" customFormat="1">
      <c r="A993" s="83"/>
      <c r="H993" s="83"/>
      <c r="K993" s="82"/>
      <c r="M993" s="112"/>
      <c r="N993" s="84"/>
    </row>
    <row r="994" spans="1:14" s="2" customFormat="1">
      <c r="A994" s="83"/>
      <c r="H994" s="83"/>
      <c r="K994" s="82"/>
      <c r="M994" s="112"/>
      <c r="N994" s="84"/>
    </row>
    <row r="995" spans="1:14" s="2" customFormat="1">
      <c r="A995" s="83"/>
      <c r="H995" s="83"/>
      <c r="K995" s="82"/>
      <c r="M995" s="112"/>
      <c r="N995" s="84"/>
    </row>
    <row r="996" spans="1:14" s="2" customFormat="1">
      <c r="A996" s="83"/>
      <c r="H996" s="83"/>
      <c r="K996" s="82"/>
      <c r="M996" s="112"/>
      <c r="N996" s="84"/>
    </row>
    <row r="997" spans="1:14" s="2" customFormat="1">
      <c r="A997" s="83"/>
      <c r="H997" s="83"/>
      <c r="K997" s="82"/>
      <c r="M997" s="112"/>
      <c r="N997" s="84"/>
    </row>
    <row r="998" spans="1:14" s="2" customFormat="1">
      <c r="A998" s="83"/>
      <c r="H998" s="83"/>
      <c r="K998" s="82"/>
      <c r="M998" s="112"/>
      <c r="N998" s="84"/>
    </row>
    <row r="999" spans="1:14" s="2" customFormat="1">
      <c r="A999" s="83"/>
      <c r="H999" s="83"/>
      <c r="K999" s="82"/>
      <c r="M999" s="112"/>
      <c r="N999" s="84"/>
    </row>
    <row r="1000" spans="1:14" s="2" customFormat="1">
      <c r="A1000" s="83"/>
      <c r="H1000" s="83"/>
      <c r="K1000" s="82"/>
      <c r="M1000" s="112"/>
      <c r="N1000" s="84"/>
    </row>
    <row r="1001" spans="1:14" s="2" customFormat="1">
      <c r="A1001" s="83"/>
      <c r="H1001" s="83"/>
      <c r="K1001" s="82"/>
      <c r="M1001" s="112"/>
      <c r="N1001" s="84"/>
    </row>
    <row r="1002" spans="1:14" s="2" customFormat="1">
      <c r="A1002" s="83"/>
      <c r="H1002" s="83"/>
      <c r="K1002" s="82"/>
      <c r="M1002" s="112"/>
      <c r="N1002" s="84"/>
    </row>
    <row r="1003" spans="1:14" s="2" customFormat="1">
      <c r="A1003" s="83"/>
      <c r="H1003" s="83"/>
      <c r="K1003" s="82"/>
      <c r="M1003" s="112"/>
      <c r="N1003" s="84"/>
    </row>
    <row r="1004" spans="1:14" s="2" customFormat="1">
      <c r="A1004" s="83"/>
      <c r="H1004" s="83"/>
      <c r="K1004" s="82"/>
      <c r="M1004" s="112"/>
      <c r="N1004" s="84"/>
    </row>
    <row r="1005" spans="1:14" s="2" customFormat="1">
      <c r="A1005" s="83"/>
      <c r="H1005" s="83"/>
      <c r="K1005" s="82"/>
      <c r="M1005" s="112"/>
      <c r="N1005" s="84"/>
    </row>
    <row r="1006" spans="1:14" s="2" customFormat="1">
      <c r="A1006" s="83"/>
      <c r="H1006" s="83"/>
      <c r="K1006" s="82"/>
      <c r="M1006" s="112"/>
      <c r="N1006" s="84"/>
    </row>
    <row r="1007" spans="1:14" s="2" customFormat="1">
      <c r="A1007" s="83"/>
      <c r="H1007" s="83"/>
      <c r="K1007" s="82"/>
      <c r="M1007" s="112"/>
      <c r="N1007" s="84"/>
    </row>
    <row r="1008" spans="1:14" s="2" customFormat="1">
      <c r="A1008" s="83"/>
      <c r="H1008" s="83"/>
      <c r="K1008" s="82"/>
      <c r="M1008" s="112"/>
      <c r="N1008" s="84"/>
    </row>
    <row r="1009" spans="1:14" s="2" customFormat="1">
      <c r="A1009" s="83"/>
      <c r="H1009" s="83"/>
      <c r="K1009" s="82"/>
      <c r="M1009" s="112"/>
      <c r="N1009" s="84"/>
    </row>
    <row r="1010" spans="1:14" s="2" customFormat="1">
      <c r="A1010" s="83"/>
      <c r="H1010" s="83"/>
      <c r="K1010" s="82"/>
      <c r="M1010" s="112"/>
      <c r="N1010" s="84"/>
    </row>
    <row r="1011" spans="1:14" s="2" customFormat="1">
      <c r="A1011" s="83"/>
      <c r="H1011" s="83"/>
      <c r="K1011" s="82"/>
      <c r="M1011" s="112"/>
      <c r="N1011" s="84"/>
    </row>
    <row r="1012" spans="1:14" s="2" customFormat="1">
      <c r="A1012" s="83"/>
      <c r="H1012" s="83"/>
      <c r="K1012" s="82"/>
      <c r="M1012" s="112"/>
      <c r="N1012" s="84"/>
    </row>
    <row r="1013" spans="1:14" s="2" customFormat="1">
      <c r="A1013" s="83"/>
      <c r="H1013" s="83"/>
      <c r="K1013" s="82"/>
      <c r="M1013" s="112"/>
      <c r="N1013" s="84"/>
    </row>
    <row r="1014" spans="1:14" s="2" customFormat="1">
      <c r="A1014" s="83"/>
      <c r="H1014" s="83"/>
      <c r="K1014" s="82"/>
      <c r="M1014" s="112"/>
      <c r="N1014" s="84"/>
    </row>
    <row r="1015" spans="1:14" s="2" customFormat="1">
      <c r="A1015" s="83"/>
      <c r="H1015" s="83"/>
      <c r="K1015" s="82"/>
      <c r="M1015" s="112"/>
      <c r="N1015" s="84"/>
    </row>
    <row r="1016" spans="1:14" s="2" customFormat="1">
      <c r="A1016" s="83"/>
      <c r="H1016" s="83"/>
      <c r="K1016" s="82"/>
      <c r="M1016" s="112"/>
      <c r="N1016" s="84"/>
    </row>
    <row r="1017" spans="1:14" s="2" customFormat="1">
      <c r="A1017" s="83"/>
      <c r="H1017" s="83"/>
      <c r="K1017" s="82"/>
      <c r="M1017" s="112"/>
      <c r="N1017" s="84"/>
    </row>
    <row r="1018" spans="1:14" s="2" customFormat="1">
      <c r="A1018" s="83"/>
      <c r="H1018" s="83"/>
      <c r="K1018" s="82"/>
      <c r="M1018" s="112"/>
      <c r="N1018" s="84"/>
    </row>
    <row r="1019" spans="1:14" s="2" customFormat="1">
      <c r="A1019" s="83"/>
      <c r="H1019" s="83"/>
      <c r="K1019" s="82"/>
      <c r="M1019" s="112"/>
      <c r="N1019" s="84"/>
    </row>
    <row r="1020" spans="1:14" s="2" customFormat="1">
      <c r="A1020" s="83"/>
      <c r="H1020" s="83"/>
      <c r="K1020" s="82"/>
      <c r="M1020" s="112"/>
      <c r="N1020" s="84"/>
    </row>
    <row r="1021" spans="1:14" s="2" customFormat="1">
      <c r="A1021" s="83"/>
      <c r="H1021" s="83"/>
      <c r="K1021" s="82"/>
      <c r="M1021" s="112"/>
      <c r="N1021" s="84"/>
    </row>
    <row r="1022" spans="1:14" s="2" customFormat="1">
      <c r="A1022" s="83"/>
      <c r="H1022" s="83"/>
      <c r="K1022" s="82"/>
      <c r="M1022" s="112"/>
      <c r="N1022" s="84"/>
    </row>
    <row r="1023" spans="1:14" s="2" customFormat="1">
      <c r="A1023" s="83"/>
      <c r="H1023" s="83"/>
      <c r="K1023" s="82"/>
      <c r="M1023" s="112"/>
      <c r="N1023" s="84"/>
    </row>
    <row r="1024" spans="1:14" s="2" customFormat="1">
      <c r="A1024" s="83"/>
      <c r="H1024" s="83"/>
      <c r="K1024" s="82"/>
      <c r="M1024" s="112"/>
      <c r="N1024" s="84"/>
    </row>
    <row r="1025" spans="1:14" s="2" customFormat="1">
      <c r="A1025" s="83"/>
      <c r="H1025" s="83"/>
      <c r="K1025" s="82"/>
      <c r="M1025" s="112"/>
      <c r="N1025" s="84"/>
    </row>
    <row r="1026" spans="1:14" s="2" customFormat="1">
      <c r="A1026" s="83"/>
      <c r="H1026" s="83"/>
      <c r="K1026" s="82"/>
      <c r="M1026" s="112"/>
      <c r="N1026" s="84"/>
    </row>
    <row r="1027" spans="1:14" s="2" customFormat="1">
      <c r="A1027" s="83"/>
      <c r="H1027" s="83"/>
      <c r="K1027" s="82"/>
      <c r="M1027" s="112"/>
      <c r="N1027" s="84"/>
    </row>
    <row r="1028" spans="1:14" s="2" customFormat="1">
      <c r="A1028" s="83"/>
      <c r="H1028" s="83"/>
      <c r="K1028" s="82"/>
      <c r="M1028" s="112"/>
      <c r="N1028" s="84"/>
    </row>
    <row r="1029" spans="1:14" s="2" customFormat="1">
      <c r="A1029" s="83"/>
      <c r="H1029" s="83"/>
      <c r="K1029" s="82"/>
      <c r="M1029" s="112"/>
      <c r="N1029" s="84"/>
    </row>
    <row r="1030" spans="1:14" s="2" customFormat="1">
      <c r="A1030" s="83"/>
      <c r="H1030" s="83"/>
      <c r="K1030" s="82"/>
      <c r="M1030" s="112"/>
      <c r="N1030" s="84"/>
    </row>
    <row r="1031" spans="1:14" s="2" customFormat="1">
      <c r="A1031" s="83"/>
      <c r="H1031" s="83"/>
      <c r="K1031" s="82"/>
      <c r="M1031" s="112"/>
      <c r="N1031" s="84"/>
    </row>
    <row r="1032" spans="1:14" s="2" customFormat="1">
      <c r="A1032" s="83"/>
      <c r="H1032" s="83"/>
      <c r="K1032" s="82"/>
      <c r="M1032" s="112"/>
      <c r="N1032" s="84"/>
    </row>
    <row r="1033" spans="1:14" s="2" customFormat="1">
      <c r="A1033" s="83"/>
      <c r="H1033" s="83"/>
      <c r="K1033" s="82"/>
      <c r="M1033" s="112"/>
      <c r="N1033" s="84"/>
    </row>
    <row r="1034" spans="1:14" s="2" customFormat="1">
      <c r="A1034" s="83"/>
      <c r="H1034" s="83"/>
      <c r="K1034" s="82"/>
      <c r="M1034" s="112"/>
      <c r="N1034" s="84"/>
    </row>
    <row r="1035" spans="1:14" s="2" customFormat="1">
      <c r="A1035" s="83"/>
      <c r="H1035" s="83"/>
      <c r="K1035" s="82"/>
      <c r="M1035" s="112"/>
      <c r="N1035" s="84"/>
    </row>
    <row r="1036" spans="1:14" s="2" customFormat="1">
      <c r="A1036" s="83"/>
      <c r="H1036" s="83"/>
      <c r="K1036" s="82"/>
      <c r="M1036" s="112"/>
      <c r="N1036" s="84"/>
    </row>
    <row r="1037" spans="1:14" s="2" customFormat="1">
      <c r="A1037" s="83"/>
      <c r="H1037" s="83"/>
      <c r="K1037" s="82"/>
      <c r="M1037" s="112"/>
      <c r="N1037" s="84"/>
    </row>
    <row r="1038" spans="1:14" s="2" customFormat="1">
      <c r="A1038" s="83"/>
      <c r="H1038" s="83"/>
      <c r="K1038" s="82"/>
      <c r="M1038" s="112"/>
      <c r="N1038" s="84"/>
    </row>
    <row r="1039" spans="1:14" s="2" customFormat="1">
      <c r="A1039" s="83"/>
      <c r="H1039" s="83"/>
      <c r="K1039" s="82"/>
      <c r="M1039" s="112"/>
      <c r="N1039" s="84"/>
    </row>
    <row r="1040" spans="1:14" s="2" customFormat="1">
      <c r="A1040" s="83"/>
      <c r="H1040" s="83"/>
      <c r="K1040" s="82"/>
      <c r="M1040" s="112"/>
      <c r="N1040" s="84"/>
    </row>
    <row r="1041" spans="1:14" s="2" customFormat="1">
      <c r="A1041" s="83"/>
      <c r="H1041" s="83"/>
      <c r="K1041" s="82"/>
      <c r="M1041" s="112"/>
      <c r="N1041" s="84"/>
    </row>
    <row r="1042" spans="1:14" s="2" customFormat="1">
      <c r="A1042" s="83"/>
      <c r="H1042" s="83"/>
      <c r="K1042" s="82"/>
      <c r="M1042" s="112"/>
      <c r="N1042" s="84"/>
    </row>
    <row r="1043" spans="1:14" s="2" customFormat="1">
      <c r="A1043" s="83"/>
      <c r="H1043" s="83"/>
      <c r="K1043" s="82"/>
      <c r="M1043" s="112"/>
      <c r="N1043" s="84"/>
    </row>
    <row r="1044" spans="1:14" s="2" customFormat="1">
      <c r="A1044" s="83"/>
      <c r="H1044" s="83"/>
      <c r="K1044" s="82"/>
      <c r="M1044" s="112"/>
      <c r="N1044" s="84"/>
    </row>
    <row r="1045" spans="1:14" s="2" customFormat="1">
      <c r="A1045" s="83"/>
      <c r="H1045" s="83"/>
      <c r="K1045" s="82"/>
      <c r="M1045" s="112"/>
      <c r="N1045" s="84"/>
    </row>
    <row r="1046" spans="1:14" s="2" customFormat="1">
      <c r="A1046" s="83"/>
      <c r="H1046" s="83"/>
      <c r="K1046" s="82"/>
      <c r="M1046" s="112"/>
      <c r="N1046" s="84"/>
    </row>
    <row r="1047" spans="1:14" s="2" customFormat="1">
      <c r="A1047" s="83"/>
      <c r="H1047" s="83"/>
      <c r="K1047" s="82"/>
      <c r="M1047" s="112"/>
      <c r="N1047" s="84"/>
    </row>
    <row r="1048" spans="1:14" s="2" customFormat="1">
      <c r="A1048" s="83"/>
      <c r="H1048" s="83"/>
      <c r="K1048" s="82"/>
      <c r="M1048" s="112"/>
      <c r="N1048" s="84"/>
    </row>
    <row r="1049" spans="1:14" s="2" customFormat="1">
      <c r="A1049" s="83"/>
      <c r="H1049" s="83"/>
      <c r="K1049" s="82"/>
      <c r="M1049" s="112"/>
      <c r="N1049" s="84"/>
    </row>
    <row r="1050" spans="1:14" s="2" customFormat="1">
      <c r="A1050" s="83"/>
      <c r="H1050" s="83"/>
      <c r="K1050" s="82"/>
      <c r="M1050" s="112"/>
      <c r="N1050" s="84"/>
    </row>
    <row r="1051" spans="1:14" s="2" customFormat="1">
      <c r="A1051" s="83"/>
      <c r="H1051" s="83"/>
      <c r="K1051" s="82"/>
      <c r="M1051" s="112"/>
      <c r="N1051" s="84"/>
    </row>
    <row r="1052" spans="1:14" s="2" customFormat="1">
      <c r="A1052" s="83"/>
      <c r="H1052" s="83"/>
      <c r="K1052" s="82"/>
      <c r="M1052" s="112"/>
      <c r="N1052" s="84"/>
    </row>
    <row r="1053" spans="1:14" s="2" customFormat="1">
      <c r="A1053" s="83"/>
      <c r="H1053" s="83"/>
      <c r="K1053" s="82"/>
      <c r="M1053" s="112"/>
      <c r="N1053" s="84"/>
    </row>
    <row r="1054" spans="1:14" s="2" customFormat="1">
      <c r="A1054" s="83"/>
      <c r="H1054" s="83"/>
      <c r="K1054" s="82"/>
      <c r="M1054" s="112"/>
      <c r="N1054" s="84"/>
    </row>
    <row r="1055" spans="1:14" s="2" customFormat="1">
      <c r="A1055" s="83"/>
      <c r="H1055" s="83"/>
      <c r="K1055" s="82"/>
      <c r="M1055" s="112"/>
      <c r="N1055" s="84"/>
    </row>
    <row r="1056" spans="1:14" s="2" customFormat="1">
      <c r="A1056" s="83"/>
      <c r="H1056" s="83"/>
      <c r="K1056" s="82"/>
      <c r="M1056" s="112"/>
      <c r="N1056" s="84"/>
    </row>
    <row r="1057" spans="1:14" s="2" customFormat="1">
      <c r="A1057" s="83"/>
      <c r="H1057" s="83"/>
      <c r="K1057" s="82"/>
      <c r="M1057" s="112"/>
      <c r="N1057" s="84"/>
    </row>
    <row r="1058" spans="1:14" s="2" customFormat="1">
      <c r="A1058" s="83"/>
      <c r="H1058" s="83"/>
      <c r="K1058" s="82"/>
      <c r="M1058" s="112"/>
      <c r="N1058" s="84"/>
    </row>
    <row r="1059" spans="1:14" s="2" customFormat="1">
      <c r="A1059" s="83"/>
      <c r="H1059" s="83"/>
      <c r="K1059" s="82"/>
      <c r="M1059" s="112"/>
      <c r="N1059" s="84"/>
    </row>
    <row r="1060" spans="1:14" s="2" customFormat="1">
      <c r="A1060" s="83"/>
      <c r="H1060" s="83"/>
      <c r="K1060" s="82"/>
      <c r="M1060" s="112"/>
      <c r="N1060" s="84"/>
    </row>
    <row r="1061" spans="1:14" s="2" customFormat="1">
      <c r="A1061" s="83"/>
      <c r="H1061" s="83"/>
      <c r="K1061" s="82"/>
      <c r="M1061" s="112"/>
      <c r="N1061" s="84"/>
    </row>
    <row r="1062" spans="1:14" s="2" customFormat="1">
      <c r="A1062" s="83"/>
      <c r="H1062" s="83"/>
      <c r="K1062" s="82"/>
      <c r="M1062" s="112"/>
      <c r="N1062" s="84"/>
    </row>
    <row r="1063" spans="1:14" s="2" customFormat="1">
      <c r="A1063" s="83"/>
      <c r="H1063" s="83"/>
      <c r="K1063" s="82"/>
      <c r="M1063" s="112"/>
      <c r="N1063" s="84"/>
    </row>
    <row r="1064" spans="1:14" s="2" customFormat="1">
      <c r="A1064" s="83"/>
      <c r="H1064" s="83"/>
      <c r="K1064" s="82"/>
      <c r="M1064" s="112"/>
      <c r="N1064" s="84"/>
    </row>
    <row r="1065" spans="1:14" s="2" customFormat="1">
      <c r="A1065" s="83"/>
      <c r="H1065" s="83"/>
      <c r="K1065" s="82"/>
      <c r="M1065" s="112"/>
      <c r="N1065" s="84"/>
    </row>
    <row r="1066" spans="1:14" s="2" customFormat="1">
      <c r="A1066" s="83"/>
      <c r="H1066" s="83"/>
      <c r="K1066" s="82"/>
      <c r="M1066" s="112"/>
      <c r="N1066" s="84"/>
    </row>
    <row r="1067" spans="1:14" s="2" customFormat="1">
      <c r="A1067" s="83"/>
      <c r="H1067" s="83"/>
      <c r="K1067" s="82"/>
      <c r="M1067" s="112"/>
      <c r="N1067" s="84"/>
    </row>
    <row r="1068" spans="1:14" s="2" customFormat="1">
      <c r="A1068" s="83"/>
      <c r="H1068" s="83"/>
      <c r="K1068" s="82"/>
      <c r="M1068" s="112"/>
      <c r="N1068" s="84"/>
    </row>
    <row r="1069" spans="1:14" s="2" customFormat="1">
      <c r="A1069" s="83"/>
      <c r="H1069" s="83"/>
      <c r="K1069" s="82"/>
      <c r="M1069" s="112"/>
      <c r="N1069" s="84"/>
    </row>
    <row r="1070" spans="1:14" s="2" customFormat="1">
      <c r="A1070" s="83"/>
      <c r="H1070" s="83"/>
      <c r="K1070" s="82"/>
      <c r="M1070" s="112"/>
      <c r="N1070" s="84"/>
    </row>
    <row r="1071" spans="1:14" s="2" customFormat="1">
      <c r="A1071" s="83"/>
      <c r="H1071" s="83"/>
      <c r="K1071" s="82"/>
      <c r="M1071" s="112"/>
      <c r="N1071" s="84"/>
    </row>
    <row r="1072" spans="1:14" s="2" customFormat="1">
      <c r="A1072" s="83"/>
      <c r="H1072" s="83"/>
      <c r="K1072" s="82"/>
      <c r="M1072" s="112"/>
      <c r="N1072" s="84"/>
    </row>
    <row r="1073" spans="1:14" s="2" customFormat="1">
      <c r="A1073" s="83"/>
      <c r="H1073" s="83"/>
      <c r="K1073" s="82"/>
      <c r="M1073" s="112"/>
      <c r="N1073" s="84"/>
    </row>
    <row r="1074" spans="1:14" s="2" customFormat="1">
      <c r="A1074" s="83"/>
      <c r="H1074" s="83"/>
      <c r="K1074" s="82"/>
      <c r="M1074" s="112"/>
      <c r="N1074" s="84"/>
    </row>
    <row r="1075" spans="1:14" s="2" customFormat="1">
      <c r="A1075" s="83"/>
      <c r="H1075" s="83"/>
      <c r="K1075" s="82"/>
      <c r="M1075" s="112"/>
      <c r="N1075" s="84"/>
    </row>
    <row r="1076" spans="1:14" s="2" customFormat="1">
      <c r="A1076" s="83"/>
      <c r="H1076" s="83"/>
      <c r="K1076" s="82"/>
      <c r="M1076" s="112"/>
      <c r="N1076" s="84"/>
    </row>
    <row r="1077" spans="1:14" s="2" customFormat="1">
      <c r="A1077" s="83"/>
      <c r="H1077" s="83"/>
      <c r="K1077" s="82"/>
      <c r="M1077" s="112"/>
      <c r="N1077" s="84"/>
    </row>
    <row r="1078" spans="1:14" s="2" customFormat="1">
      <c r="A1078" s="83"/>
      <c r="H1078" s="83"/>
      <c r="K1078" s="82"/>
      <c r="M1078" s="112"/>
      <c r="N1078" s="84"/>
    </row>
    <row r="1079" spans="1:14" s="2" customFormat="1">
      <c r="A1079" s="83"/>
      <c r="H1079" s="83"/>
      <c r="K1079" s="82"/>
      <c r="M1079" s="112"/>
      <c r="N1079" s="84"/>
    </row>
    <row r="1080" spans="1:14" s="2" customFormat="1">
      <c r="A1080" s="83"/>
      <c r="H1080" s="83"/>
      <c r="K1080" s="82"/>
      <c r="M1080" s="112"/>
      <c r="N1080" s="84"/>
    </row>
    <row r="1081" spans="1:14" s="2" customFormat="1">
      <c r="A1081" s="83"/>
      <c r="H1081" s="83"/>
      <c r="K1081" s="82"/>
      <c r="M1081" s="112"/>
      <c r="N1081" s="84"/>
    </row>
    <row r="1082" spans="1:14" s="2" customFormat="1">
      <c r="A1082" s="83"/>
      <c r="H1082" s="83"/>
      <c r="K1082" s="82"/>
      <c r="M1082" s="112"/>
      <c r="N1082" s="84"/>
    </row>
    <row r="1083" spans="1:14" s="2" customFormat="1">
      <c r="A1083" s="83"/>
      <c r="H1083" s="83"/>
      <c r="K1083" s="82"/>
      <c r="M1083" s="112"/>
      <c r="N1083" s="84"/>
    </row>
    <row r="1084" spans="1:14" s="2" customFormat="1">
      <c r="A1084" s="83"/>
      <c r="H1084" s="83"/>
      <c r="K1084" s="82"/>
      <c r="M1084" s="112"/>
      <c r="N1084" s="84"/>
    </row>
    <row r="1085" spans="1:14" s="2" customFormat="1">
      <c r="A1085" s="83"/>
      <c r="H1085" s="83"/>
      <c r="K1085" s="82"/>
      <c r="M1085" s="112"/>
      <c r="N1085" s="84"/>
    </row>
    <row r="1086" spans="1:14" s="2" customFormat="1">
      <c r="A1086" s="83"/>
      <c r="H1086" s="83"/>
      <c r="K1086" s="82"/>
      <c r="M1086" s="112"/>
      <c r="N1086" s="84"/>
    </row>
    <row r="1087" spans="1:14" s="2" customFormat="1">
      <c r="A1087" s="83"/>
      <c r="H1087" s="83"/>
      <c r="K1087" s="82"/>
      <c r="M1087" s="112"/>
      <c r="N1087" s="84"/>
    </row>
    <row r="1088" spans="1:14" s="2" customFormat="1">
      <c r="A1088" s="83"/>
      <c r="H1088" s="83"/>
      <c r="K1088" s="82"/>
      <c r="M1088" s="112"/>
      <c r="N1088" s="84"/>
    </row>
    <row r="1089" spans="1:14" s="2" customFormat="1">
      <c r="A1089" s="83"/>
      <c r="H1089" s="83"/>
      <c r="K1089" s="82"/>
      <c r="M1089" s="112"/>
      <c r="N1089" s="84"/>
    </row>
    <row r="1090" spans="1:14" s="2" customFormat="1">
      <c r="A1090" s="83"/>
      <c r="H1090" s="83"/>
      <c r="K1090" s="82"/>
      <c r="M1090" s="112"/>
      <c r="N1090" s="84"/>
    </row>
    <row r="1091" spans="1:14" s="2" customFormat="1">
      <c r="A1091" s="83"/>
      <c r="H1091" s="83"/>
      <c r="K1091" s="82"/>
      <c r="M1091" s="112"/>
      <c r="N1091" s="84"/>
    </row>
    <row r="1092" spans="1:14" s="2" customFormat="1">
      <c r="A1092" s="83"/>
      <c r="H1092" s="83"/>
      <c r="K1092" s="82"/>
      <c r="M1092" s="112"/>
      <c r="N1092" s="84"/>
    </row>
    <row r="1093" spans="1:14" s="2" customFormat="1">
      <c r="A1093" s="83"/>
      <c r="H1093" s="83"/>
      <c r="K1093" s="82"/>
      <c r="M1093" s="112"/>
      <c r="N1093" s="84"/>
    </row>
    <row r="1094" spans="1:14" s="2" customFormat="1">
      <c r="A1094" s="83"/>
      <c r="H1094" s="83"/>
      <c r="K1094" s="82"/>
      <c r="M1094" s="112"/>
      <c r="N1094" s="84"/>
    </row>
    <row r="1095" spans="1:14" s="2" customFormat="1">
      <c r="A1095" s="83"/>
      <c r="H1095" s="83"/>
      <c r="K1095" s="82"/>
      <c r="M1095" s="112"/>
      <c r="N1095" s="84"/>
    </row>
    <row r="1096" spans="1:14" s="2" customFormat="1">
      <c r="A1096" s="83"/>
      <c r="H1096" s="83"/>
      <c r="K1096" s="82"/>
      <c r="M1096" s="112"/>
      <c r="N1096" s="84"/>
    </row>
    <row r="1097" spans="1:14" s="2" customFormat="1">
      <c r="A1097" s="83"/>
      <c r="H1097" s="83"/>
      <c r="K1097" s="82"/>
      <c r="M1097" s="112"/>
      <c r="N1097" s="84"/>
    </row>
    <row r="1098" spans="1:14" s="2" customFormat="1">
      <c r="A1098" s="83"/>
      <c r="H1098" s="83"/>
      <c r="K1098" s="82"/>
      <c r="M1098" s="112"/>
      <c r="N1098" s="84"/>
    </row>
    <row r="1099" spans="1:14" s="2" customFormat="1">
      <c r="A1099" s="83"/>
      <c r="H1099" s="83"/>
      <c r="K1099" s="82"/>
      <c r="M1099" s="112"/>
      <c r="N1099" s="84"/>
    </row>
    <row r="1100" spans="1:14" s="2" customFormat="1">
      <c r="A1100" s="83"/>
      <c r="H1100" s="83"/>
      <c r="K1100" s="82"/>
      <c r="M1100" s="112"/>
      <c r="N1100" s="84"/>
    </row>
    <row r="1101" spans="1:14" s="2" customFormat="1">
      <c r="A1101" s="83"/>
      <c r="H1101" s="83"/>
      <c r="K1101" s="82"/>
      <c r="M1101" s="112"/>
      <c r="N1101" s="84"/>
    </row>
    <row r="1102" spans="1:14" s="2" customFormat="1">
      <c r="A1102" s="83"/>
      <c r="H1102" s="83"/>
      <c r="K1102" s="82"/>
      <c r="M1102" s="112"/>
      <c r="N1102" s="84"/>
    </row>
    <row r="1103" spans="1:14" s="2" customFormat="1">
      <c r="A1103" s="83"/>
      <c r="H1103" s="83"/>
      <c r="K1103" s="82"/>
      <c r="M1103" s="112"/>
      <c r="N1103" s="84"/>
    </row>
    <row r="1104" spans="1:14" s="2" customFormat="1">
      <c r="A1104" s="83"/>
      <c r="H1104" s="83"/>
      <c r="K1104" s="82"/>
      <c r="M1104" s="112"/>
      <c r="N1104" s="84"/>
    </row>
    <row r="1105" spans="1:14" s="2" customFormat="1">
      <c r="A1105" s="83"/>
      <c r="H1105" s="83"/>
      <c r="K1105" s="82"/>
      <c r="M1105" s="112"/>
      <c r="N1105" s="84"/>
    </row>
    <row r="1106" spans="1:14" s="2" customFormat="1">
      <c r="A1106" s="83"/>
      <c r="H1106" s="83"/>
      <c r="K1106" s="82"/>
      <c r="M1106" s="112"/>
      <c r="N1106" s="84"/>
    </row>
    <row r="1107" spans="1:14" s="2" customFormat="1">
      <c r="A1107" s="83"/>
      <c r="H1107" s="83"/>
      <c r="K1107" s="82"/>
      <c r="M1107" s="112"/>
      <c r="N1107" s="84"/>
    </row>
    <row r="1108" spans="1:14" s="2" customFormat="1">
      <c r="A1108" s="83"/>
      <c r="H1108" s="83"/>
      <c r="K1108" s="82"/>
      <c r="M1108" s="112"/>
      <c r="N1108" s="84"/>
    </row>
    <row r="1109" spans="1:14" s="2" customFormat="1">
      <c r="A1109" s="83"/>
      <c r="H1109" s="83"/>
      <c r="K1109" s="82"/>
      <c r="M1109" s="112"/>
      <c r="N1109" s="84"/>
    </row>
    <row r="1110" spans="1:14" s="2" customFormat="1">
      <c r="A1110" s="83"/>
      <c r="H1110" s="83"/>
      <c r="K1110" s="82"/>
      <c r="M1110" s="112"/>
      <c r="N1110" s="84"/>
    </row>
    <row r="1111" spans="1:14" s="2" customFormat="1">
      <c r="A1111" s="83"/>
      <c r="H1111" s="83"/>
      <c r="K1111" s="82"/>
      <c r="M1111" s="112"/>
      <c r="N1111" s="84"/>
    </row>
    <row r="1112" spans="1:14" s="2" customFormat="1">
      <c r="A1112" s="83"/>
      <c r="H1112" s="83"/>
      <c r="K1112" s="82"/>
      <c r="M1112" s="112"/>
      <c r="N1112" s="84"/>
    </row>
    <row r="1113" spans="1:14" s="2" customFormat="1">
      <c r="A1113" s="83"/>
      <c r="H1113" s="83"/>
      <c r="K1113" s="82"/>
      <c r="M1113" s="112"/>
      <c r="N1113" s="84"/>
    </row>
    <row r="1114" spans="1:14" s="2" customFormat="1">
      <c r="A1114" s="83"/>
      <c r="H1114" s="83"/>
      <c r="K1114" s="82"/>
      <c r="M1114" s="112"/>
      <c r="N1114" s="84"/>
    </row>
    <row r="1115" spans="1:14" s="2" customFormat="1">
      <c r="A1115" s="83"/>
      <c r="H1115" s="83"/>
      <c r="K1115" s="82"/>
      <c r="M1115" s="112"/>
      <c r="N1115" s="84"/>
    </row>
    <row r="1116" spans="1:14" s="2" customFormat="1">
      <c r="A1116" s="83"/>
      <c r="H1116" s="83"/>
      <c r="K1116" s="82"/>
      <c r="M1116" s="112"/>
      <c r="N1116" s="84"/>
    </row>
    <row r="1117" spans="1:14" s="2" customFormat="1">
      <c r="A1117" s="83"/>
      <c r="H1117" s="83"/>
      <c r="K1117" s="82"/>
      <c r="M1117" s="112"/>
      <c r="N1117" s="84"/>
    </row>
    <row r="1118" spans="1:14" s="2" customFormat="1">
      <c r="A1118" s="83"/>
      <c r="H1118" s="83"/>
      <c r="K1118" s="82"/>
      <c r="M1118" s="112"/>
      <c r="N1118" s="84"/>
    </row>
    <row r="1119" spans="1:14" s="2" customFormat="1">
      <c r="A1119" s="83"/>
      <c r="H1119" s="83"/>
      <c r="K1119" s="82"/>
      <c r="M1119" s="112"/>
      <c r="N1119" s="84"/>
    </row>
    <row r="1120" spans="1:14" s="2" customFormat="1">
      <c r="A1120" s="83"/>
      <c r="H1120" s="83"/>
      <c r="K1120" s="82"/>
      <c r="M1120" s="112"/>
      <c r="N1120" s="84"/>
    </row>
    <row r="1121" spans="1:14" s="2" customFormat="1">
      <c r="A1121" s="83"/>
      <c r="H1121" s="83"/>
      <c r="K1121" s="82"/>
      <c r="M1121" s="112"/>
      <c r="N1121" s="84"/>
    </row>
    <row r="1122" spans="1:14" s="2" customFormat="1">
      <c r="A1122" s="83"/>
      <c r="H1122" s="83"/>
      <c r="K1122" s="82"/>
      <c r="M1122" s="112"/>
      <c r="N1122" s="84"/>
    </row>
    <row r="1123" spans="1:14" s="2" customFormat="1">
      <c r="A1123" s="83"/>
      <c r="H1123" s="83"/>
      <c r="K1123" s="82"/>
      <c r="M1123" s="112"/>
      <c r="N1123" s="84"/>
    </row>
    <row r="1124" spans="1:14" s="2" customFormat="1">
      <c r="A1124" s="83"/>
      <c r="H1124" s="83"/>
      <c r="K1124" s="82"/>
      <c r="M1124" s="112"/>
      <c r="N1124" s="84"/>
    </row>
    <row r="1125" spans="1:14" s="2" customFormat="1">
      <c r="A1125" s="83"/>
      <c r="H1125" s="83"/>
      <c r="K1125" s="82"/>
      <c r="M1125" s="112"/>
      <c r="N1125" s="84"/>
    </row>
    <row r="1126" spans="1:14" s="2" customFormat="1">
      <c r="A1126" s="83"/>
      <c r="H1126" s="83"/>
      <c r="K1126" s="82"/>
      <c r="M1126" s="112"/>
      <c r="N1126" s="84"/>
    </row>
    <row r="1127" spans="1:14" s="2" customFormat="1">
      <c r="A1127" s="83"/>
      <c r="H1127" s="83"/>
      <c r="K1127" s="82"/>
      <c r="M1127" s="112"/>
      <c r="N1127" s="84"/>
    </row>
    <row r="1128" spans="1:14" s="2" customFormat="1">
      <c r="A1128" s="83"/>
      <c r="H1128" s="83"/>
      <c r="K1128" s="82"/>
      <c r="M1128" s="112"/>
      <c r="N1128" s="84"/>
    </row>
    <row r="1129" spans="1:14" s="2" customFormat="1">
      <c r="A1129" s="83"/>
      <c r="H1129" s="83"/>
      <c r="K1129" s="82"/>
      <c r="M1129" s="112"/>
      <c r="N1129" s="84"/>
    </row>
    <row r="1130" spans="1:14" s="2" customFormat="1">
      <c r="A1130" s="83"/>
      <c r="H1130" s="83"/>
      <c r="K1130" s="82"/>
      <c r="M1130" s="112"/>
      <c r="N1130" s="84"/>
    </row>
    <row r="1131" spans="1:14" s="2" customFormat="1">
      <c r="A1131" s="83"/>
      <c r="H1131" s="83"/>
      <c r="K1131" s="82"/>
      <c r="M1131" s="112"/>
      <c r="N1131" s="84"/>
    </row>
    <row r="1132" spans="1:14" s="2" customFormat="1">
      <c r="A1132" s="83"/>
      <c r="H1132" s="83"/>
      <c r="K1132" s="82"/>
      <c r="M1132" s="112"/>
      <c r="N1132" s="84"/>
    </row>
    <row r="1133" spans="1:14" s="2" customFormat="1">
      <c r="A1133" s="83"/>
      <c r="H1133" s="83"/>
      <c r="K1133" s="82"/>
      <c r="M1133" s="112"/>
      <c r="N1133" s="84"/>
    </row>
    <row r="1134" spans="1:14" s="2" customFormat="1">
      <c r="A1134" s="83"/>
      <c r="H1134" s="83"/>
      <c r="K1134" s="82"/>
      <c r="M1134" s="112"/>
      <c r="N1134" s="84"/>
    </row>
    <row r="1135" spans="1:14" s="2" customFormat="1">
      <c r="A1135" s="83"/>
      <c r="H1135" s="83"/>
      <c r="K1135" s="82"/>
      <c r="M1135" s="112"/>
      <c r="N1135" s="84"/>
    </row>
    <row r="1136" spans="1:14" s="2" customFormat="1">
      <c r="A1136" s="83"/>
      <c r="H1136" s="83"/>
      <c r="K1136" s="82"/>
      <c r="M1136" s="112"/>
      <c r="N1136" s="84"/>
    </row>
    <row r="1137" spans="1:14" s="2" customFormat="1">
      <c r="A1137" s="83"/>
      <c r="H1137" s="83"/>
      <c r="K1137" s="82"/>
      <c r="M1137" s="112"/>
      <c r="N1137" s="84"/>
    </row>
    <row r="1138" spans="1:14" s="2" customFormat="1">
      <c r="A1138" s="83"/>
      <c r="H1138" s="83"/>
      <c r="K1138" s="82"/>
      <c r="M1138" s="112"/>
      <c r="N1138" s="84"/>
    </row>
    <row r="1139" spans="1:14" s="2" customFormat="1">
      <c r="A1139" s="83"/>
      <c r="H1139" s="83"/>
      <c r="K1139" s="82"/>
      <c r="M1139" s="112"/>
      <c r="N1139" s="84"/>
    </row>
    <row r="1140" spans="1:14" s="2" customFormat="1">
      <c r="A1140" s="83"/>
      <c r="H1140" s="83"/>
      <c r="K1140" s="82"/>
      <c r="M1140" s="112"/>
      <c r="N1140" s="84"/>
    </row>
    <row r="1141" spans="1:14" s="2" customFormat="1">
      <c r="A1141" s="83"/>
      <c r="H1141" s="83"/>
      <c r="K1141" s="82"/>
      <c r="M1141" s="112"/>
      <c r="N1141" s="84"/>
    </row>
    <row r="1142" spans="1:14" s="2" customFormat="1">
      <c r="A1142" s="83"/>
      <c r="H1142" s="83"/>
      <c r="K1142" s="82"/>
      <c r="M1142" s="112"/>
      <c r="N1142" s="84"/>
    </row>
    <row r="1143" spans="1:14" s="2" customFormat="1">
      <c r="A1143" s="83"/>
      <c r="H1143" s="83"/>
      <c r="K1143" s="82"/>
      <c r="M1143" s="112"/>
      <c r="N1143" s="84"/>
    </row>
    <row r="1144" spans="1:14" s="2" customFormat="1">
      <c r="A1144" s="83"/>
      <c r="H1144" s="83"/>
      <c r="K1144" s="82"/>
      <c r="M1144" s="112"/>
      <c r="N1144" s="84"/>
    </row>
    <row r="1145" spans="1:14" s="2" customFormat="1">
      <c r="A1145" s="83"/>
      <c r="H1145" s="83"/>
      <c r="K1145" s="82"/>
      <c r="M1145" s="112"/>
      <c r="N1145" s="84"/>
    </row>
    <row r="1146" spans="1:14" s="2" customFormat="1">
      <c r="A1146" s="83"/>
      <c r="H1146" s="83"/>
      <c r="K1146" s="82"/>
      <c r="M1146" s="112"/>
      <c r="N1146" s="84"/>
    </row>
    <row r="1147" spans="1:14" s="2" customFormat="1">
      <c r="A1147" s="83"/>
      <c r="H1147" s="83"/>
      <c r="K1147" s="82"/>
      <c r="M1147" s="112"/>
      <c r="N1147" s="84"/>
    </row>
    <row r="1148" spans="1:14" s="2" customFormat="1">
      <c r="A1148" s="83"/>
      <c r="H1148" s="83"/>
      <c r="K1148" s="82"/>
      <c r="M1148" s="112"/>
      <c r="N1148" s="84"/>
    </row>
    <row r="1149" spans="1:14" s="2" customFormat="1">
      <c r="A1149" s="83"/>
      <c r="H1149" s="83"/>
      <c r="K1149" s="82"/>
      <c r="M1149" s="112"/>
      <c r="N1149" s="84"/>
    </row>
    <row r="1150" spans="1:14" s="2" customFormat="1">
      <c r="A1150" s="83"/>
      <c r="H1150" s="83"/>
      <c r="K1150" s="82"/>
      <c r="M1150" s="112"/>
      <c r="N1150" s="84"/>
    </row>
    <row r="1151" spans="1:14" s="2" customFormat="1">
      <c r="A1151" s="83"/>
      <c r="H1151" s="83"/>
      <c r="K1151" s="82"/>
      <c r="M1151" s="112"/>
      <c r="N1151" s="84"/>
    </row>
    <row r="1152" spans="1:14" s="2" customFormat="1">
      <c r="A1152" s="83"/>
      <c r="H1152" s="83"/>
      <c r="K1152" s="82"/>
      <c r="M1152" s="112"/>
      <c r="N1152" s="84"/>
    </row>
    <row r="1153" spans="1:14" s="2" customFormat="1">
      <c r="A1153" s="83"/>
      <c r="H1153" s="83"/>
      <c r="K1153" s="82"/>
      <c r="M1153" s="112"/>
      <c r="N1153" s="84"/>
    </row>
    <row r="1154" spans="1:14" s="2" customFormat="1">
      <c r="A1154" s="83"/>
      <c r="H1154" s="83"/>
      <c r="K1154" s="82"/>
      <c r="M1154" s="112"/>
      <c r="N1154" s="84"/>
    </row>
    <row r="1155" spans="1:14" s="2" customFormat="1">
      <c r="A1155" s="83"/>
      <c r="H1155" s="83"/>
      <c r="K1155" s="82"/>
      <c r="M1155" s="112"/>
      <c r="N1155" s="84"/>
    </row>
    <row r="1156" spans="1:14" s="2" customFormat="1">
      <c r="A1156" s="83"/>
      <c r="H1156" s="83"/>
      <c r="K1156" s="82"/>
      <c r="M1156" s="112"/>
      <c r="N1156" s="84"/>
    </row>
    <row r="1157" spans="1:14" s="2" customFormat="1">
      <c r="A1157" s="83"/>
      <c r="H1157" s="83"/>
      <c r="K1157" s="82"/>
      <c r="M1157" s="112"/>
      <c r="N1157" s="84"/>
    </row>
    <row r="1158" spans="1:14" s="2" customFormat="1">
      <c r="A1158" s="83"/>
      <c r="H1158" s="83"/>
      <c r="K1158" s="82"/>
      <c r="M1158" s="112"/>
      <c r="N1158" s="84"/>
    </row>
    <row r="1159" spans="1:14" s="2" customFormat="1">
      <c r="A1159" s="83"/>
      <c r="H1159" s="83"/>
      <c r="K1159" s="82"/>
      <c r="M1159" s="112"/>
      <c r="N1159" s="84"/>
    </row>
    <row r="1160" spans="1:14" s="2" customFormat="1">
      <c r="A1160" s="83"/>
      <c r="H1160" s="83"/>
      <c r="K1160" s="82"/>
      <c r="M1160" s="112"/>
      <c r="N1160" s="84"/>
    </row>
    <row r="1161" spans="1:14" s="2" customFormat="1">
      <c r="A1161" s="83"/>
      <c r="H1161" s="83"/>
      <c r="K1161" s="82"/>
      <c r="M1161" s="112"/>
      <c r="N1161" s="84"/>
    </row>
    <row r="1162" spans="1:14" s="2" customFormat="1">
      <c r="A1162" s="83"/>
      <c r="H1162" s="83"/>
      <c r="K1162" s="82"/>
      <c r="M1162" s="112"/>
      <c r="N1162" s="84"/>
    </row>
    <row r="1163" spans="1:14" s="2" customFormat="1">
      <c r="A1163" s="83"/>
      <c r="H1163" s="83"/>
      <c r="K1163" s="82"/>
      <c r="M1163" s="112"/>
      <c r="N1163" s="84"/>
    </row>
    <row r="1164" spans="1:14" s="2" customFormat="1">
      <c r="A1164" s="83"/>
      <c r="H1164" s="83"/>
      <c r="K1164" s="82"/>
      <c r="M1164" s="112"/>
      <c r="N1164" s="84"/>
    </row>
    <row r="1165" spans="1:14" s="2" customFormat="1">
      <c r="A1165" s="83"/>
      <c r="H1165" s="83"/>
      <c r="K1165" s="82"/>
      <c r="M1165" s="112"/>
      <c r="N1165" s="84"/>
    </row>
    <row r="1166" spans="1:14" s="2" customFormat="1">
      <c r="A1166" s="83"/>
      <c r="H1166" s="83"/>
      <c r="K1166" s="82"/>
      <c r="M1166" s="112"/>
      <c r="N1166" s="84"/>
    </row>
    <row r="1167" spans="1:14" s="2" customFormat="1">
      <c r="A1167" s="83"/>
      <c r="H1167" s="83"/>
      <c r="K1167" s="82"/>
      <c r="M1167" s="112"/>
      <c r="N1167" s="84"/>
    </row>
    <row r="1168" spans="1:14" s="2" customFormat="1">
      <c r="A1168" s="83"/>
      <c r="H1168" s="83"/>
      <c r="K1168" s="82"/>
      <c r="M1168" s="112"/>
      <c r="N1168" s="84"/>
    </row>
    <row r="1169" spans="1:14" s="2" customFormat="1">
      <c r="A1169" s="83"/>
      <c r="H1169" s="83"/>
      <c r="K1169" s="82"/>
      <c r="M1169" s="112"/>
      <c r="N1169" s="84"/>
    </row>
    <row r="1170" spans="1:14" s="2" customFormat="1">
      <c r="A1170" s="83"/>
      <c r="H1170" s="83"/>
      <c r="K1170" s="82"/>
      <c r="M1170" s="112"/>
      <c r="N1170" s="84"/>
    </row>
    <row r="1171" spans="1:14" s="2" customFormat="1">
      <c r="A1171" s="83"/>
      <c r="H1171" s="83"/>
      <c r="K1171" s="82"/>
      <c r="M1171" s="112"/>
      <c r="N1171" s="84"/>
    </row>
    <row r="1172" spans="1:14" s="2" customFormat="1">
      <c r="A1172" s="83"/>
      <c r="H1172" s="83"/>
      <c r="K1172" s="82"/>
      <c r="M1172" s="112"/>
      <c r="N1172" s="84"/>
    </row>
    <row r="1173" spans="1:14" s="2" customFormat="1">
      <c r="A1173" s="83"/>
      <c r="H1173" s="83"/>
      <c r="K1173" s="82"/>
      <c r="M1173" s="112"/>
      <c r="N1173" s="84"/>
    </row>
    <row r="1174" spans="1:14" s="2" customFormat="1">
      <c r="A1174" s="83"/>
      <c r="H1174" s="83"/>
      <c r="K1174" s="82"/>
      <c r="M1174" s="112"/>
      <c r="N1174" s="84"/>
    </row>
    <row r="1175" spans="1:14" s="2" customFormat="1">
      <c r="A1175" s="83"/>
      <c r="H1175" s="83"/>
      <c r="K1175" s="82"/>
      <c r="M1175" s="112"/>
      <c r="N1175" s="84"/>
    </row>
    <row r="1176" spans="1:14" s="2" customFormat="1">
      <c r="A1176" s="83"/>
      <c r="H1176" s="83"/>
      <c r="K1176" s="82"/>
      <c r="M1176" s="112"/>
      <c r="N1176" s="84"/>
    </row>
    <row r="1177" spans="1:14" s="2" customFormat="1">
      <c r="A1177" s="83"/>
      <c r="H1177" s="83"/>
      <c r="K1177" s="82"/>
      <c r="M1177" s="112"/>
      <c r="N1177" s="84"/>
    </row>
    <row r="1178" spans="1:14" s="2" customFormat="1">
      <c r="A1178" s="83"/>
      <c r="H1178" s="83"/>
      <c r="K1178" s="82"/>
      <c r="M1178" s="112"/>
      <c r="N1178" s="84"/>
    </row>
    <row r="1179" spans="1:14" s="2" customFormat="1">
      <c r="A1179" s="83"/>
      <c r="H1179" s="83"/>
      <c r="K1179" s="82"/>
      <c r="M1179" s="112"/>
      <c r="N1179" s="84"/>
    </row>
    <row r="1180" spans="1:14" s="2" customFormat="1">
      <c r="A1180" s="83"/>
      <c r="H1180" s="83"/>
      <c r="K1180" s="82"/>
      <c r="M1180" s="112"/>
      <c r="N1180" s="84"/>
    </row>
    <row r="1181" spans="1:14" s="2" customFormat="1">
      <c r="A1181" s="83"/>
      <c r="H1181" s="83"/>
      <c r="K1181" s="82"/>
      <c r="M1181" s="112"/>
      <c r="N1181" s="84"/>
    </row>
    <row r="1182" spans="1:14" s="2" customFormat="1">
      <c r="A1182" s="83"/>
      <c r="H1182" s="83"/>
      <c r="K1182" s="82"/>
      <c r="M1182" s="112"/>
      <c r="N1182" s="84"/>
    </row>
    <row r="1183" spans="1:14" s="2" customFormat="1">
      <c r="A1183" s="83"/>
      <c r="H1183" s="83"/>
      <c r="K1183" s="82"/>
      <c r="M1183" s="112"/>
      <c r="N1183" s="84"/>
    </row>
    <row r="1184" spans="1:14" s="2" customFormat="1">
      <c r="A1184" s="83"/>
      <c r="H1184" s="83"/>
      <c r="K1184" s="82"/>
      <c r="M1184" s="112"/>
      <c r="N1184" s="84"/>
    </row>
    <row r="1185" spans="1:14" s="2" customFormat="1">
      <c r="A1185" s="83"/>
      <c r="H1185" s="83"/>
      <c r="K1185" s="82"/>
      <c r="M1185" s="112"/>
      <c r="N1185" s="84"/>
    </row>
    <row r="1186" spans="1:14" s="2" customFormat="1">
      <c r="A1186" s="83"/>
      <c r="H1186" s="83"/>
      <c r="K1186" s="82"/>
      <c r="M1186" s="112"/>
      <c r="N1186" s="84"/>
    </row>
    <row r="1187" spans="1:14" s="2" customFormat="1">
      <c r="A1187" s="83"/>
      <c r="H1187" s="83"/>
      <c r="K1187" s="82"/>
      <c r="M1187" s="112"/>
      <c r="N1187" s="84"/>
    </row>
    <row r="1188" spans="1:14" s="2" customFormat="1">
      <c r="A1188" s="83"/>
      <c r="H1188" s="83"/>
      <c r="K1188" s="82"/>
      <c r="M1188" s="112"/>
      <c r="N1188" s="84"/>
    </row>
    <row r="1189" spans="1:14" s="2" customFormat="1">
      <c r="A1189" s="83"/>
      <c r="H1189" s="83"/>
      <c r="K1189" s="82"/>
      <c r="M1189" s="112"/>
      <c r="N1189" s="84"/>
    </row>
    <row r="1190" spans="1:14" s="2" customFormat="1">
      <c r="A1190" s="83"/>
      <c r="H1190" s="83"/>
      <c r="K1190" s="82"/>
      <c r="M1190" s="112"/>
      <c r="N1190" s="84"/>
    </row>
    <row r="1191" spans="1:14" s="2" customFormat="1">
      <c r="A1191" s="83"/>
      <c r="H1191" s="83"/>
      <c r="K1191" s="82"/>
      <c r="M1191" s="112"/>
      <c r="N1191" s="84"/>
    </row>
    <row r="1192" spans="1:14" s="2" customFormat="1">
      <c r="A1192" s="83"/>
      <c r="H1192" s="83"/>
      <c r="K1192" s="82"/>
      <c r="M1192" s="112"/>
      <c r="N1192" s="84"/>
    </row>
    <row r="1193" spans="1:14" s="2" customFormat="1">
      <c r="A1193" s="83"/>
      <c r="H1193" s="83"/>
      <c r="K1193" s="82"/>
      <c r="M1193" s="112"/>
      <c r="N1193" s="84"/>
    </row>
    <row r="1194" spans="1:14" s="2" customFormat="1">
      <c r="A1194" s="83"/>
      <c r="H1194" s="83"/>
      <c r="K1194" s="82"/>
      <c r="M1194" s="112"/>
      <c r="N1194" s="84"/>
    </row>
    <row r="1195" spans="1:14" s="2" customFormat="1">
      <c r="A1195" s="83"/>
      <c r="H1195" s="83"/>
      <c r="K1195" s="82"/>
      <c r="M1195" s="112"/>
      <c r="N1195" s="84"/>
    </row>
    <row r="1196" spans="1:14" s="2" customFormat="1">
      <c r="A1196" s="83"/>
      <c r="H1196" s="83"/>
      <c r="K1196" s="82"/>
      <c r="M1196" s="112"/>
      <c r="N1196" s="84"/>
    </row>
    <row r="1197" spans="1:14" s="2" customFormat="1">
      <c r="A1197" s="83"/>
      <c r="H1197" s="83"/>
      <c r="K1197" s="82"/>
      <c r="M1197" s="112"/>
      <c r="N1197" s="84"/>
    </row>
    <row r="1198" spans="1:14" s="2" customFormat="1">
      <c r="A1198" s="83"/>
      <c r="H1198" s="83"/>
      <c r="K1198" s="82"/>
      <c r="M1198" s="112"/>
      <c r="N1198" s="84"/>
    </row>
    <row r="1199" spans="1:14" s="2" customFormat="1">
      <c r="A1199" s="83"/>
      <c r="H1199" s="83"/>
      <c r="K1199" s="82"/>
      <c r="M1199" s="112"/>
      <c r="N1199" s="84"/>
    </row>
    <row r="1200" spans="1:14" s="2" customFormat="1">
      <c r="A1200" s="83"/>
      <c r="H1200" s="83"/>
      <c r="K1200" s="82"/>
      <c r="M1200" s="112"/>
      <c r="N1200" s="84"/>
    </row>
    <row r="1201" spans="1:14" s="2" customFormat="1">
      <c r="A1201" s="83"/>
      <c r="H1201" s="83"/>
      <c r="K1201" s="82"/>
      <c r="M1201" s="112"/>
      <c r="N1201" s="84"/>
    </row>
    <row r="1202" spans="1:14" s="2" customFormat="1">
      <c r="A1202" s="83"/>
      <c r="H1202" s="83"/>
      <c r="K1202" s="82"/>
      <c r="M1202" s="112"/>
      <c r="N1202" s="84"/>
    </row>
    <row r="1203" spans="1:14" s="2" customFormat="1">
      <c r="A1203" s="83"/>
      <c r="H1203" s="83"/>
      <c r="K1203" s="82"/>
      <c r="M1203" s="112"/>
      <c r="N1203" s="84"/>
    </row>
    <row r="1204" spans="1:14" s="2" customFormat="1">
      <c r="A1204" s="83"/>
      <c r="H1204" s="83"/>
      <c r="K1204" s="82"/>
      <c r="M1204" s="112"/>
      <c r="N1204" s="84"/>
    </row>
    <row r="1205" spans="1:14" s="2" customFormat="1">
      <c r="A1205" s="83"/>
      <c r="H1205" s="83"/>
      <c r="K1205" s="82"/>
      <c r="M1205" s="112"/>
      <c r="N1205" s="84"/>
    </row>
    <row r="1206" spans="1:14" s="2" customFormat="1">
      <c r="A1206" s="83"/>
      <c r="H1206" s="83"/>
      <c r="K1206" s="82"/>
      <c r="M1206" s="112"/>
      <c r="N1206" s="84"/>
    </row>
    <row r="1207" spans="1:14" s="2" customFormat="1">
      <c r="A1207" s="83"/>
      <c r="H1207" s="83"/>
      <c r="K1207" s="82"/>
      <c r="M1207" s="112"/>
      <c r="N1207" s="84"/>
    </row>
    <row r="1208" spans="1:14" s="2" customFormat="1">
      <c r="A1208" s="83"/>
      <c r="H1208" s="83"/>
      <c r="K1208" s="82"/>
      <c r="M1208" s="112"/>
      <c r="N1208" s="84"/>
    </row>
    <row r="1209" spans="1:14" s="2" customFormat="1">
      <c r="A1209" s="83"/>
      <c r="H1209" s="83"/>
      <c r="K1209" s="82"/>
      <c r="M1209" s="112"/>
      <c r="N1209" s="84"/>
    </row>
    <row r="1210" spans="1:14" s="2" customFormat="1">
      <c r="A1210" s="83"/>
      <c r="H1210" s="83"/>
      <c r="K1210" s="82"/>
      <c r="M1210" s="112"/>
      <c r="N1210" s="84"/>
    </row>
    <row r="1211" spans="1:14" s="2" customFormat="1">
      <c r="A1211" s="83"/>
      <c r="H1211" s="83"/>
      <c r="K1211" s="82"/>
      <c r="M1211" s="112"/>
      <c r="N1211" s="84"/>
    </row>
    <row r="1212" spans="1:14" s="2" customFormat="1">
      <c r="A1212" s="83"/>
      <c r="H1212" s="83"/>
      <c r="K1212" s="82"/>
      <c r="M1212" s="112"/>
      <c r="N1212" s="84"/>
    </row>
    <row r="1213" spans="1:14" s="2" customFormat="1">
      <c r="A1213" s="83"/>
      <c r="H1213" s="83"/>
      <c r="K1213" s="82"/>
      <c r="M1213" s="112"/>
      <c r="N1213" s="84"/>
    </row>
    <row r="1214" spans="1:14" s="2" customFormat="1">
      <c r="A1214" s="83"/>
      <c r="H1214" s="83"/>
      <c r="K1214" s="82"/>
      <c r="M1214" s="112"/>
      <c r="N1214" s="84"/>
    </row>
    <row r="1215" spans="1:14" s="2" customFormat="1">
      <c r="A1215" s="83"/>
      <c r="H1215" s="83"/>
      <c r="K1215" s="82"/>
      <c r="M1215" s="112"/>
      <c r="N1215" s="84"/>
    </row>
    <row r="1216" spans="1:14" s="2" customFormat="1">
      <c r="A1216" s="83"/>
      <c r="H1216" s="83"/>
      <c r="K1216" s="82"/>
      <c r="M1216" s="112"/>
      <c r="N1216" s="84"/>
    </row>
    <row r="1217" spans="1:14" s="2" customFormat="1">
      <c r="A1217" s="83"/>
      <c r="H1217" s="83"/>
      <c r="K1217" s="82"/>
      <c r="M1217" s="112"/>
      <c r="N1217" s="84"/>
    </row>
    <row r="1218" spans="1:14" s="2" customFormat="1">
      <c r="A1218" s="83"/>
      <c r="H1218" s="83"/>
      <c r="K1218" s="82"/>
      <c r="M1218" s="112"/>
      <c r="N1218" s="84"/>
    </row>
    <row r="1219" spans="1:14" s="2" customFormat="1">
      <c r="A1219" s="83"/>
      <c r="H1219" s="83"/>
      <c r="K1219" s="82"/>
      <c r="M1219" s="112"/>
      <c r="N1219" s="84"/>
    </row>
    <row r="1220" spans="1:14" s="2" customFormat="1">
      <c r="A1220" s="83"/>
      <c r="H1220" s="83"/>
      <c r="K1220" s="82"/>
      <c r="M1220" s="112"/>
      <c r="N1220" s="84"/>
    </row>
    <row r="1221" spans="1:14" s="2" customFormat="1">
      <c r="A1221" s="83"/>
      <c r="H1221" s="83"/>
      <c r="K1221" s="82"/>
      <c r="M1221" s="112"/>
      <c r="N1221" s="84"/>
    </row>
    <row r="1222" spans="1:14" s="2" customFormat="1">
      <c r="A1222" s="83"/>
      <c r="H1222" s="83"/>
      <c r="K1222" s="82"/>
      <c r="M1222" s="112"/>
      <c r="N1222" s="84"/>
    </row>
    <row r="1223" spans="1:14" s="2" customFormat="1">
      <c r="A1223" s="83"/>
      <c r="H1223" s="83"/>
      <c r="K1223" s="82"/>
      <c r="M1223" s="112"/>
      <c r="N1223" s="84"/>
    </row>
    <row r="1224" spans="1:14" s="2" customFormat="1">
      <c r="A1224" s="83"/>
      <c r="H1224" s="83"/>
      <c r="K1224" s="82"/>
      <c r="M1224" s="112"/>
      <c r="N1224" s="84"/>
    </row>
    <row r="1225" spans="1:14" s="2" customFormat="1">
      <c r="A1225" s="83"/>
      <c r="H1225" s="83"/>
      <c r="K1225" s="82"/>
      <c r="M1225" s="112"/>
      <c r="N1225" s="84"/>
    </row>
    <row r="1226" spans="1:14" s="2" customFormat="1">
      <c r="A1226" s="83"/>
      <c r="H1226" s="83"/>
      <c r="K1226" s="82"/>
      <c r="M1226" s="112"/>
      <c r="N1226" s="84"/>
    </row>
    <row r="1227" spans="1:14" s="2" customFormat="1">
      <c r="A1227" s="83"/>
      <c r="H1227" s="83"/>
      <c r="K1227" s="82"/>
      <c r="M1227" s="112"/>
      <c r="N1227" s="84"/>
    </row>
    <row r="1228" spans="1:14" s="2" customFormat="1">
      <c r="A1228" s="83"/>
      <c r="H1228" s="83"/>
      <c r="K1228" s="82"/>
      <c r="M1228" s="112"/>
      <c r="N1228" s="84"/>
    </row>
    <row r="1229" spans="1:14" s="2" customFormat="1">
      <c r="A1229" s="83"/>
      <c r="H1229" s="83"/>
      <c r="K1229" s="82"/>
      <c r="M1229" s="112"/>
      <c r="N1229" s="84"/>
    </row>
    <row r="1230" spans="1:14" s="2" customFormat="1">
      <c r="A1230" s="83"/>
      <c r="H1230" s="83"/>
      <c r="K1230" s="82"/>
      <c r="M1230" s="112"/>
      <c r="N1230" s="84"/>
    </row>
    <row r="1231" spans="1:14" s="2" customFormat="1">
      <c r="A1231" s="83"/>
      <c r="H1231" s="83"/>
      <c r="K1231" s="82"/>
      <c r="M1231" s="112"/>
      <c r="N1231" s="84"/>
    </row>
    <row r="1232" spans="1:14" s="2" customFormat="1">
      <c r="A1232" s="83"/>
      <c r="H1232" s="83"/>
      <c r="K1232" s="82"/>
      <c r="M1232" s="112"/>
      <c r="N1232" s="84"/>
    </row>
    <row r="1233" spans="1:14" s="2" customFormat="1">
      <c r="A1233" s="83"/>
      <c r="H1233" s="83"/>
      <c r="K1233" s="82"/>
      <c r="M1233" s="112"/>
      <c r="N1233" s="84"/>
    </row>
    <row r="1234" spans="1:14" s="2" customFormat="1">
      <c r="A1234" s="83"/>
      <c r="H1234" s="83"/>
      <c r="K1234" s="82"/>
      <c r="M1234" s="112"/>
      <c r="N1234" s="84"/>
    </row>
    <row r="1235" spans="1:14" s="2" customFormat="1">
      <c r="A1235" s="83"/>
      <c r="H1235" s="83"/>
      <c r="K1235" s="82"/>
      <c r="M1235" s="112"/>
      <c r="N1235" s="84"/>
    </row>
    <row r="1236" spans="1:14" s="2" customFormat="1">
      <c r="A1236" s="83"/>
      <c r="H1236" s="83"/>
      <c r="K1236" s="82"/>
      <c r="M1236" s="112"/>
      <c r="N1236" s="84"/>
    </row>
    <row r="1237" spans="1:14" s="2" customFormat="1">
      <c r="A1237" s="83"/>
      <c r="H1237" s="83"/>
      <c r="K1237" s="82"/>
      <c r="M1237" s="112"/>
      <c r="N1237" s="84"/>
    </row>
    <row r="1238" spans="1:14" s="2" customFormat="1">
      <c r="A1238" s="83"/>
      <c r="H1238" s="83"/>
      <c r="K1238" s="82"/>
      <c r="M1238" s="112"/>
      <c r="N1238" s="84"/>
    </row>
    <row r="1239" spans="1:14" s="2" customFormat="1">
      <c r="A1239" s="83"/>
      <c r="H1239" s="83"/>
      <c r="K1239" s="82"/>
      <c r="M1239" s="112"/>
      <c r="N1239" s="84"/>
    </row>
    <row r="1240" spans="1:14" s="2" customFormat="1">
      <c r="A1240" s="83"/>
      <c r="H1240" s="83"/>
      <c r="K1240" s="82"/>
      <c r="M1240" s="112"/>
      <c r="N1240" s="84"/>
    </row>
    <row r="1241" spans="1:14" s="2" customFormat="1">
      <c r="A1241" s="83"/>
      <c r="H1241" s="83"/>
      <c r="K1241" s="82"/>
      <c r="M1241" s="112"/>
      <c r="N1241" s="84"/>
    </row>
    <row r="1242" spans="1:14" s="2" customFormat="1">
      <c r="A1242" s="83"/>
      <c r="H1242" s="83"/>
      <c r="K1242" s="82"/>
      <c r="M1242" s="112"/>
      <c r="N1242" s="84"/>
    </row>
    <row r="1243" spans="1:14" s="2" customFormat="1">
      <c r="A1243" s="83"/>
      <c r="H1243" s="83"/>
      <c r="K1243" s="82"/>
      <c r="M1243" s="112"/>
      <c r="N1243" s="84"/>
    </row>
    <row r="1244" spans="1:14" s="2" customFormat="1">
      <c r="A1244" s="83"/>
      <c r="H1244" s="83"/>
      <c r="K1244" s="82"/>
      <c r="M1244" s="112"/>
      <c r="N1244" s="84"/>
    </row>
    <row r="1245" spans="1:14" s="2" customFormat="1">
      <c r="A1245" s="83"/>
      <c r="H1245" s="83"/>
      <c r="K1245" s="82"/>
      <c r="M1245" s="112"/>
      <c r="N1245" s="84"/>
    </row>
    <row r="1246" spans="1:14" s="2" customFormat="1">
      <c r="A1246" s="83"/>
      <c r="H1246" s="83"/>
      <c r="K1246" s="82"/>
      <c r="M1246" s="112"/>
      <c r="N1246" s="84"/>
    </row>
    <row r="1247" spans="1:14" s="2" customFormat="1">
      <c r="A1247" s="83"/>
      <c r="H1247" s="83"/>
      <c r="K1247" s="82"/>
      <c r="M1247" s="112"/>
      <c r="N1247" s="84"/>
    </row>
    <row r="1248" spans="1:14" s="2" customFormat="1">
      <c r="A1248" s="83"/>
      <c r="H1248" s="83"/>
      <c r="K1248" s="82"/>
      <c r="M1248" s="112"/>
      <c r="N1248" s="84"/>
    </row>
    <row r="1249" spans="1:14" s="2" customFormat="1">
      <c r="A1249" s="83"/>
      <c r="H1249" s="83"/>
      <c r="K1249" s="82"/>
      <c r="M1249" s="112"/>
      <c r="N1249" s="84"/>
    </row>
    <row r="1250" spans="1:14" s="2" customFormat="1">
      <c r="A1250" s="83"/>
      <c r="H1250" s="83"/>
      <c r="K1250" s="82"/>
      <c r="M1250" s="112"/>
      <c r="N1250" s="84"/>
    </row>
    <row r="1251" spans="1:14" s="2" customFormat="1">
      <c r="A1251" s="83"/>
      <c r="H1251" s="83"/>
      <c r="K1251" s="82"/>
      <c r="M1251" s="112"/>
      <c r="N1251" s="84"/>
    </row>
    <row r="1252" spans="1:14" s="2" customFormat="1">
      <c r="A1252" s="83"/>
      <c r="H1252" s="83"/>
      <c r="K1252" s="82"/>
      <c r="M1252" s="112"/>
      <c r="N1252" s="84"/>
    </row>
    <row r="1253" spans="1:14" s="2" customFormat="1">
      <c r="A1253" s="83"/>
      <c r="H1253" s="83"/>
      <c r="K1253" s="82"/>
      <c r="M1253" s="112"/>
      <c r="N1253" s="84"/>
    </row>
    <row r="1254" spans="1:14" s="2" customFormat="1">
      <c r="A1254" s="83"/>
      <c r="H1254" s="83"/>
      <c r="K1254" s="82"/>
      <c r="M1254" s="112"/>
      <c r="N1254" s="84"/>
    </row>
    <row r="1255" spans="1:14" s="2" customFormat="1">
      <c r="A1255" s="83"/>
      <c r="H1255" s="83"/>
      <c r="K1255" s="82"/>
      <c r="M1255" s="112"/>
      <c r="N1255" s="84"/>
    </row>
    <row r="1256" spans="1:14" s="2" customFormat="1">
      <c r="A1256" s="83"/>
      <c r="H1256" s="83"/>
      <c r="K1256" s="82"/>
      <c r="M1256" s="112"/>
      <c r="N1256" s="84"/>
    </row>
    <row r="1257" spans="1:14" s="2" customFormat="1">
      <c r="A1257" s="83"/>
      <c r="H1257" s="83"/>
      <c r="K1257" s="82"/>
      <c r="M1257" s="112"/>
      <c r="N1257" s="84"/>
    </row>
    <row r="1258" spans="1:14" s="2" customFormat="1">
      <c r="A1258" s="83"/>
      <c r="H1258" s="83"/>
      <c r="K1258" s="82"/>
      <c r="M1258" s="112"/>
      <c r="N1258" s="84"/>
    </row>
    <row r="1259" spans="1:14" s="2" customFormat="1">
      <c r="A1259" s="83"/>
      <c r="H1259" s="83"/>
      <c r="K1259" s="82"/>
      <c r="M1259" s="112"/>
      <c r="N1259" s="84"/>
    </row>
    <row r="1260" spans="1:14" s="2" customFormat="1">
      <c r="A1260" s="83"/>
      <c r="H1260" s="83"/>
      <c r="K1260" s="82"/>
      <c r="M1260" s="112"/>
      <c r="N1260" s="84"/>
    </row>
    <row r="1261" spans="1:14" s="2" customFormat="1">
      <c r="A1261" s="83"/>
      <c r="H1261" s="83"/>
      <c r="K1261" s="82"/>
      <c r="M1261" s="112"/>
      <c r="N1261" s="84"/>
    </row>
    <row r="1262" spans="1:14" s="2" customFormat="1">
      <c r="A1262" s="83"/>
      <c r="H1262" s="83"/>
      <c r="K1262" s="82"/>
      <c r="M1262" s="112"/>
      <c r="N1262" s="84"/>
    </row>
    <row r="1263" spans="1:14" s="2" customFormat="1">
      <c r="A1263" s="83"/>
      <c r="H1263" s="83"/>
      <c r="K1263" s="82"/>
      <c r="M1263" s="112"/>
      <c r="N1263" s="84"/>
    </row>
    <row r="1264" spans="1:14" s="2" customFormat="1">
      <c r="A1264" s="83"/>
      <c r="H1264" s="83"/>
      <c r="K1264" s="82"/>
      <c r="M1264" s="112"/>
      <c r="N1264" s="84"/>
    </row>
    <row r="1265" spans="1:14" s="2" customFormat="1">
      <c r="A1265" s="83"/>
      <c r="H1265" s="83"/>
      <c r="K1265" s="82"/>
      <c r="M1265" s="112"/>
      <c r="N1265" s="84"/>
    </row>
    <row r="1266" spans="1:14" s="2" customFormat="1">
      <c r="A1266" s="83"/>
      <c r="H1266" s="83"/>
      <c r="K1266" s="82"/>
      <c r="M1266" s="112"/>
      <c r="N1266" s="84"/>
    </row>
    <row r="1267" spans="1:14" s="2" customFormat="1">
      <c r="A1267" s="83"/>
      <c r="H1267" s="83"/>
      <c r="K1267" s="82"/>
      <c r="M1267" s="112"/>
      <c r="N1267" s="84"/>
    </row>
    <row r="1268" spans="1:14" s="2" customFormat="1">
      <c r="A1268" s="83"/>
      <c r="H1268" s="83"/>
      <c r="K1268" s="82"/>
      <c r="M1268" s="112"/>
      <c r="N1268" s="84"/>
    </row>
    <row r="1269" spans="1:14" s="2" customFormat="1">
      <c r="A1269" s="83"/>
      <c r="H1269" s="83"/>
      <c r="K1269" s="82"/>
      <c r="M1269" s="112"/>
      <c r="N1269" s="84"/>
    </row>
    <row r="1270" spans="1:14" s="2" customFormat="1">
      <c r="A1270" s="83"/>
      <c r="H1270" s="83"/>
      <c r="K1270" s="82"/>
      <c r="M1270" s="112"/>
      <c r="N1270" s="84"/>
    </row>
    <row r="1271" spans="1:14" s="2" customFormat="1">
      <c r="A1271" s="83"/>
      <c r="H1271" s="83"/>
      <c r="K1271" s="82"/>
      <c r="M1271" s="112"/>
      <c r="N1271" s="84"/>
    </row>
    <row r="1272" spans="1:14" s="2" customFormat="1">
      <c r="A1272" s="83"/>
      <c r="H1272" s="83"/>
      <c r="K1272" s="82"/>
      <c r="M1272" s="112"/>
      <c r="N1272" s="84"/>
    </row>
    <row r="1273" spans="1:14" s="2" customFormat="1">
      <c r="A1273" s="83"/>
      <c r="H1273" s="83"/>
      <c r="K1273" s="82"/>
      <c r="M1273" s="112"/>
      <c r="N1273" s="84"/>
    </row>
    <row r="1274" spans="1:14" s="2" customFormat="1">
      <c r="A1274" s="83"/>
      <c r="H1274" s="83"/>
      <c r="K1274" s="82"/>
      <c r="M1274" s="112"/>
      <c r="N1274" s="84"/>
    </row>
    <row r="1275" spans="1:14" s="2" customFormat="1">
      <c r="A1275" s="83"/>
      <c r="H1275" s="83"/>
      <c r="K1275" s="82"/>
      <c r="M1275" s="112"/>
      <c r="N1275" s="84"/>
    </row>
    <row r="1276" spans="1:14" s="2" customFormat="1">
      <c r="A1276" s="83"/>
      <c r="H1276" s="83"/>
      <c r="K1276" s="82"/>
      <c r="M1276" s="112"/>
      <c r="N1276" s="84"/>
    </row>
    <row r="1277" spans="1:14" s="2" customFormat="1">
      <c r="A1277" s="83"/>
      <c r="H1277" s="83"/>
      <c r="K1277" s="82"/>
      <c r="M1277" s="112"/>
      <c r="N1277" s="84"/>
    </row>
    <row r="1278" spans="1:14" s="2" customFormat="1">
      <c r="A1278" s="83"/>
      <c r="H1278" s="83"/>
      <c r="K1278" s="82"/>
      <c r="M1278" s="112"/>
      <c r="N1278" s="84"/>
    </row>
    <row r="1279" spans="1:14" s="2" customFormat="1">
      <c r="A1279" s="83"/>
      <c r="H1279" s="83"/>
      <c r="K1279" s="82"/>
      <c r="M1279" s="112"/>
      <c r="N1279" s="84"/>
    </row>
    <row r="1280" spans="1:14" s="2" customFormat="1">
      <c r="A1280" s="83"/>
      <c r="H1280" s="83"/>
      <c r="K1280" s="82"/>
      <c r="M1280" s="112"/>
      <c r="N1280" s="84"/>
    </row>
    <row r="1281" spans="1:14" s="2" customFormat="1">
      <c r="A1281" s="83"/>
      <c r="H1281" s="83"/>
      <c r="K1281" s="82"/>
      <c r="M1281" s="112"/>
      <c r="N1281" s="84"/>
    </row>
    <row r="1282" spans="1:14" s="2" customFormat="1">
      <c r="A1282" s="83"/>
      <c r="H1282" s="83"/>
      <c r="K1282" s="82"/>
      <c r="M1282" s="112"/>
      <c r="N1282" s="84"/>
    </row>
    <row r="1283" spans="1:14" s="2" customFormat="1">
      <c r="A1283" s="83"/>
      <c r="H1283" s="83"/>
      <c r="K1283" s="82"/>
      <c r="M1283" s="112"/>
      <c r="N1283" s="84"/>
    </row>
    <row r="1284" spans="1:14" s="2" customFormat="1">
      <c r="A1284" s="83"/>
      <c r="H1284" s="83"/>
      <c r="K1284" s="82"/>
      <c r="M1284" s="112"/>
      <c r="N1284" s="84"/>
    </row>
    <row r="1285" spans="1:14" s="2" customFormat="1">
      <c r="A1285" s="83"/>
      <c r="H1285" s="83"/>
      <c r="K1285" s="82"/>
      <c r="M1285" s="112"/>
      <c r="N1285" s="84"/>
    </row>
    <row r="1286" spans="1:14" s="2" customFormat="1">
      <c r="A1286" s="83"/>
      <c r="H1286" s="83"/>
      <c r="K1286" s="82"/>
      <c r="M1286" s="112"/>
      <c r="N1286" s="84"/>
    </row>
    <row r="1287" spans="1:14" s="2" customFormat="1">
      <c r="A1287" s="83"/>
      <c r="H1287" s="83"/>
      <c r="K1287" s="82"/>
      <c r="M1287" s="112"/>
      <c r="N1287" s="84"/>
    </row>
    <row r="1288" spans="1:14" s="2" customFormat="1">
      <c r="A1288" s="83"/>
      <c r="H1288" s="83"/>
      <c r="K1288" s="82"/>
      <c r="M1288" s="112"/>
      <c r="N1288" s="84"/>
    </row>
    <row r="1289" spans="1:14" s="2" customFormat="1">
      <c r="A1289" s="83"/>
      <c r="H1289" s="83"/>
      <c r="K1289" s="82"/>
      <c r="M1289" s="112"/>
      <c r="N1289" s="84"/>
    </row>
    <row r="1290" spans="1:14" s="2" customFormat="1">
      <c r="A1290" s="83"/>
      <c r="H1290" s="83"/>
      <c r="K1290" s="82"/>
      <c r="M1290" s="112"/>
      <c r="N1290" s="84"/>
    </row>
    <row r="1291" spans="1:14" s="2" customFormat="1">
      <c r="A1291" s="83"/>
      <c r="H1291" s="83"/>
      <c r="K1291" s="82"/>
      <c r="M1291" s="112"/>
      <c r="N1291" s="84"/>
    </row>
    <row r="1292" spans="1:14" s="2" customFormat="1">
      <c r="A1292" s="83"/>
      <c r="H1292" s="83"/>
      <c r="K1292" s="82"/>
      <c r="M1292" s="112"/>
      <c r="N1292" s="84"/>
    </row>
    <row r="1293" spans="1:14" s="2" customFormat="1">
      <c r="A1293" s="83"/>
      <c r="H1293" s="83"/>
      <c r="K1293" s="82"/>
      <c r="M1293" s="112"/>
      <c r="N1293" s="84"/>
    </row>
    <row r="1294" spans="1:14" s="2" customFormat="1">
      <c r="A1294" s="83"/>
      <c r="H1294" s="83"/>
      <c r="K1294" s="82"/>
      <c r="M1294" s="112"/>
      <c r="N1294" s="84"/>
    </row>
    <row r="1295" spans="1:14" s="2" customFormat="1">
      <c r="A1295" s="83"/>
      <c r="H1295" s="83"/>
      <c r="K1295" s="82"/>
      <c r="M1295" s="112"/>
      <c r="N1295" s="84"/>
    </row>
    <row r="1296" spans="1:14" s="2" customFormat="1">
      <c r="A1296" s="83"/>
      <c r="H1296" s="83"/>
      <c r="K1296" s="82"/>
      <c r="M1296" s="112"/>
      <c r="N1296" s="84"/>
    </row>
    <row r="1297" spans="1:14" s="2" customFormat="1">
      <c r="A1297" s="83"/>
      <c r="H1297" s="83"/>
      <c r="K1297" s="82"/>
      <c r="M1297" s="112"/>
      <c r="N1297" s="84"/>
    </row>
    <row r="1298" spans="1:14" s="2" customFormat="1">
      <c r="A1298" s="83"/>
      <c r="H1298" s="83"/>
      <c r="K1298" s="82"/>
      <c r="M1298" s="112"/>
      <c r="N1298" s="84"/>
    </row>
    <row r="1299" spans="1:14" s="2" customFormat="1">
      <c r="A1299" s="83"/>
      <c r="H1299" s="83"/>
      <c r="K1299" s="82"/>
      <c r="M1299" s="112"/>
      <c r="N1299" s="84"/>
    </row>
    <row r="1300" spans="1:14" s="2" customFormat="1">
      <c r="A1300" s="83"/>
      <c r="H1300" s="83"/>
      <c r="K1300" s="82"/>
      <c r="M1300" s="112"/>
      <c r="N1300" s="84"/>
    </row>
    <row r="1301" spans="1:14" s="2" customFormat="1">
      <c r="A1301" s="83"/>
      <c r="H1301" s="83"/>
      <c r="K1301" s="82"/>
      <c r="M1301" s="112"/>
      <c r="N1301" s="84"/>
    </row>
    <row r="1302" spans="1:14" s="2" customFormat="1">
      <c r="A1302" s="83"/>
      <c r="H1302" s="83"/>
      <c r="K1302" s="82"/>
      <c r="M1302" s="112"/>
      <c r="N1302" s="84"/>
    </row>
    <row r="1303" spans="1:14" s="2" customFormat="1">
      <c r="A1303" s="83"/>
      <c r="H1303" s="83"/>
      <c r="K1303" s="82"/>
      <c r="M1303" s="112"/>
      <c r="N1303" s="84"/>
    </row>
    <row r="1304" spans="1:14" s="2" customFormat="1">
      <c r="A1304" s="83"/>
      <c r="H1304" s="83"/>
      <c r="K1304" s="82"/>
      <c r="M1304" s="112"/>
      <c r="N1304" s="84"/>
    </row>
    <row r="1305" spans="1:14" s="2" customFormat="1">
      <c r="A1305" s="83"/>
      <c r="H1305" s="83"/>
      <c r="K1305" s="82"/>
      <c r="M1305" s="112"/>
      <c r="N1305" s="84"/>
    </row>
    <row r="1306" spans="1:14" s="2" customFormat="1">
      <c r="A1306" s="83"/>
      <c r="H1306" s="83"/>
      <c r="K1306" s="82"/>
      <c r="M1306" s="112"/>
      <c r="N1306" s="84"/>
    </row>
    <row r="1307" spans="1:14" s="2" customFormat="1">
      <c r="A1307" s="83"/>
      <c r="H1307" s="83"/>
      <c r="K1307" s="82"/>
      <c r="M1307" s="112"/>
      <c r="N1307" s="84"/>
    </row>
    <row r="1308" spans="1:14" s="2" customFormat="1">
      <c r="A1308" s="83"/>
      <c r="H1308" s="83"/>
      <c r="K1308" s="82"/>
      <c r="M1308" s="112"/>
      <c r="N1308" s="84"/>
    </row>
    <row r="1309" spans="1:14" s="2" customFormat="1">
      <c r="A1309" s="83"/>
      <c r="H1309" s="83"/>
      <c r="K1309" s="82"/>
      <c r="M1309" s="112"/>
      <c r="N1309" s="84"/>
    </row>
    <row r="1310" spans="1:14" s="2" customFormat="1">
      <c r="A1310" s="83"/>
      <c r="H1310" s="83"/>
      <c r="K1310" s="82"/>
      <c r="M1310" s="112"/>
      <c r="N1310" s="84"/>
    </row>
    <row r="1311" spans="1:14" s="2" customFormat="1">
      <c r="A1311" s="83"/>
      <c r="H1311" s="83"/>
      <c r="K1311" s="82"/>
      <c r="M1311" s="112"/>
      <c r="N1311" s="84"/>
    </row>
    <row r="1312" spans="1:14" s="2" customFormat="1">
      <c r="A1312" s="83"/>
      <c r="H1312" s="83"/>
      <c r="K1312" s="82"/>
      <c r="M1312" s="112"/>
      <c r="N1312" s="84"/>
    </row>
    <row r="1313" spans="1:14" s="2" customFormat="1">
      <c r="A1313" s="83"/>
      <c r="H1313" s="83"/>
      <c r="K1313" s="82"/>
      <c r="M1313" s="112"/>
      <c r="N1313" s="84"/>
    </row>
    <row r="1314" spans="1:14" s="2" customFormat="1">
      <c r="A1314" s="83"/>
      <c r="H1314" s="83"/>
      <c r="K1314" s="82"/>
      <c r="M1314" s="112"/>
      <c r="N1314" s="84"/>
    </row>
    <row r="1315" spans="1:14" s="2" customFormat="1">
      <c r="A1315" s="83"/>
      <c r="H1315" s="83"/>
      <c r="K1315" s="82"/>
      <c r="M1315" s="112"/>
      <c r="N1315" s="84"/>
    </row>
    <row r="1316" spans="1:14" s="2" customFormat="1">
      <c r="A1316" s="83"/>
      <c r="H1316" s="83"/>
      <c r="K1316" s="82"/>
      <c r="M1316" s="112"/>
      <c r="N1316" s="84"/>
    </row>
    <row r="1317" spans="1:14" s="2" customFormat="1">
      <c r="A1317" s="83"/>
      <c r="H1317" s="83"/>
      <c r="K1317" s="82"/>
      <c r="M1317" s="112"/>
      <c r="N1317" s="84"/>
    </row>
    <row r="1318" spans="1:14" s="2" customFormat="1">
      <c r="A1318" s="83"/>
      <c r="H1318" s="83"/>
      <c r="K1318" s="82"/>
      <c r="M1318" s="112"/>
      <c r="N1318" s="84"/>
    </row>
    <row r="1319" spans="1:14" s="2" customFormat="1">
      <c r="A1319" s="83"/>
      <c r="H1319" s="83"/>
      <c r="K1319" s="82"/>
      <c r="M1319" s="112"/>
      <c r="N1319" s="84"/>
    </row>
    <row r="1320" spans="1:14" s="2" customFormat="1">
      <c r="A1320" s="83"/>
      <c r="H1320" s="83"/>
      <c r="K1320" s="82"/>
      <c r="M1320" s="112"/>
      <c r="N1320" s="84"/>
    </row>
    <row r="1321" spans="1:14" s="2" customFormat="1">
      <c r="A1321" s="83"/>
      <c r="H1321" s="83"/>
      <c r="K1321" s="82"/>
      <c r="M1321" s="112"/>
      <c r="N1321" s="84"/>
    </row>
    <row r="1322" spans="1:14" s="2" customFormat="1">
      <c r="A1322" s="83"/>
      <c r="H1322" s="83"/>
      <c r="K1322" s="82"/>
      <c r="M1322" s="112"/>
      <c r="N1322" s="84"/>
    </row>
    <row r="1323" spans="1:14" s="2" customFormat="1">
      <c r="A1323" s="83"/>
      <c r="H1323" s="83"/>
      <c r="K1323" s="82"/>
      <c r="M1323" s="112"/>
      <c r="N1323" s="84"/>
    </row>
    <row r="1324" spans="1:14" s="2" customFormat="1">
      <c r="A1324" s="83"/>
      <c r="H1324" s="83"/>
      <c r="K1324" s="82"/>
      <c r="M1324" s="112"/>
      <c r="N1324" s="84"/>
    </row>
    <row r="1325" spans="1:14" s="2" customFormat="1">
      <c r="A1325" s="83"/>
      <c r="H1325" s="83"/>
      <c r="K1325" s="82"/>
      <c r="M1325" s="112"/>
      <c r="N1325" s="84"/>
    </row>
    <row r="1326" spans="1:14" s="2" customFormat="1">
      <c r="A1326" s="83"/>
      <c r="H1326" s="83"/>
      <c r="K1326" s="82"/>
      <c r="M1326" s="112"/>
      <c r="N1326" s="84"/>
    </row>
    <row r="1327" spans="1:14" s="2" customFormat="1">
      <c r="A1327" s="83"/>
      <c r="H1327" s="83"/>
      <c r="K1327" s="82"/>
      <c r="M1327" s="112"/>
      <c r="N1327" s="84"/>
    </row>
    <row r="1328" spans="1:14" s="2" customFormat="1">
      <c r="A1328" s="83"/>
      <c r="H1328" s="83"/>
      <c r="K1328" s="82"/>
      <c r="M1328" s="112"/>
      <c r="N1328" s="84"/>
    </row>
    <row r="1329" spans="1:14" s="2" customFormat="1">
      <c r="A1329" s="83"/>
      <c r="H1329" s="83"/>
      <c r="K1329" s="82"/>
      <c r="M1329" s="112"/>
      <c r="N1329" s="84"/>
    </row>
    <row r="1330" spans="1:14" s="2" customFormat="1">
      <c r="A1330" s="83"/>
      <c r="H1330" s="83"/>
      <c r="K1330" s="82"/>
      <c r="M1330" s="112"/>
      <c r="N1330" s="84"/>
    </row>
    <row r="1331" spans="1:14" s="2" customFormat="1">
      <c r="A1331" s="83"/>
      <c r="H1331" s="83"/>
      <c r="K1331" s="82"/>
      <c r="M1331" s="112"/>
      <c r="N1331" s="84"/>
    </row>
    <row r="1332" spans="1:14" s="2" customFormat="1">
      <c r="A1332" s="83"/>
      <c r="H1332" s="83"/>
      <c r="K1332" s="82"/>
      <c r="M1332" s="112"/>
      <c r="N1332" s="84"/>
    </row>
    <row r="1333" spans="1:14" s="2" customFormat="1">
      <c r="A1333" s="83"/>
      <c r="H1333" s="83"/>
      <c r="K1333" s="82"/>
      <c r="M1333" s="112"/>
      <c r="N1333" s="84"/>
    </row>
    <row r="1334" spans="1:14" s="2" customFormat="1">
      <c r="A1334" s="83"/>
      <c r="H1334" s="83"/>
      <c r="K1334" s="82"/>
      <c r="M1334" s="112"/>
      <c r="N1334" s="84"/>
    </row>
    <row r="1335" spans="1:14" s="2" customFormat="1">
      <c r="A1335" s="83"/>
      <c r="H1335" s="83"/>
      <c r="K1335" s="82"/>
      <c r="M1335" s="112"/>
      <c r="N1335" s="84"/>
    </row>
    <row r="1336" spans="1:14" s="2" customFormat="1">
      <c r="A1336" s="83"/>
      <c r="H1336" s="83"/>
      <c r="K1336" s="82"/>
      <c r="M1336" s="112"/>
      <c r="N1336" s="84"/>
    </row>
    <row r="1337" spans="1:14" s="2" customFormat="1">
      <c r="A1337" s="83"/>
      <c r="H1337" s="83"/>
      <c r="K1337" s="82"/>
      <c r="M1337" s="112"/>
      <c r="N1337" s="84"/>
    </row>
    <row r="1338" spans="1:14" s="2" customFormat="1">
      <c r="A1338" s="83"/>
      <c r="H1338" s="83"/>
      <c r="K1338" s="82"/>
      <c r="M1338" s="112"/>
      <c r="N1338" s="84"/>
    </row>
    <row r="1339" spans="1:14" s="2" customFormat="1">
      <c r="A1339" s="83"/>
      <c r="H1339" s="83"/>
      <c r="K1339" s="82"/>
      <c r="M1339" s="112"/>
      <c r="N1339" s="84"/>
    </row>
    <row r="1340" spans="1:14" s="2" customFormat="1">
      <c r="A1340" s="83"/>
      <c r="H1340" s="83"/>
      <c r="K1340" s="82"/>
      <c r="M1340" s="112"/>
      <c r="N1340" s="84"/>
    </row>
    <row r="1341" spans="1:14" s="2" customFormat="1">
      <c r="A1341" s="83"/>
      <c r="H1341" s="83"/>
      <c r="K1341" s="82"/>
      <c r="M1341" s="112"/>
      <c r="N1341" s="84"/>
    </row>
    <row r="1342" spans="1:14" s="2" customFormat="1">
      <c r="A1342" s="83"/>
      <c r="H1342" s="83"/>
      <c r="K1342" s="82"/>
      <c r="M1342" s="112"/>
      <c r="N1342" s="84"/>
    </row>
    <row r="1343" spans="1:14" s="2" customFormat="1">
      <c r="A1343" s="83"/>
      <c r="H1343" s="83"/>
      <c r="K1343" s="82"/>
      <c r="M1343" s="112"/>
      <c r="N1343" s="84"/>
    </row>
    <row r="1344" spans="1:14" s="2" customFormat="1">
      <c r="A1344" s="83"/>
      <c r="H1344" s="83"/>
      <c r="K1344" s="82"/>
      <c r="M1344" s="112"/>
      <c r="N1344" s="84"/>
    </row>
    <row r="1345" spans="1:14" s="2" customFormat="1">
      <c r="A1345" s="83"/>
      <c r="H1345" s="83"/>
      <c r="K1345" s="82"/>
      <c r="M1345" s="112"/>
      <c r="N1345" s="84"/>
    </row>
    <row r="1346" spans="1:14" s="2" customFormat="1">
      <c r="A1346" s="83"/>
      <c r="H1346" s="83"/>
      <c r="K1346" s="82"/>
      <c r="M1346" s="112"/>
      <c r="N1346" s="84"/>
    </row>
    <row r="1347" spans="1:14" s="2" customFormat="1">
      <c r="A1347" s="83"/>
      <c r="H1347" s="83"/>
      <c r="K1347" s="82"/>
      <c r="M1347" s="112"/>
      <c r="N1347" s="84"/>
    </row>
    <row r="1348" spans="1:14" s="2" customFormat="1">
      <c r="A1348" s="83"/>
      <c r="H1348" s="83"/>
      <c r="K1348" s="82"/>
      <c r="M1348" s="112"/>
      <c r="N1348" s="84"/>
    </row>
    <row r="1349" spans="1:14" s="2" customFormat="1">
      <c r="A1349" s="83"/>
      <c r="H1349" s="83"/>
      <c r="K1349" s="82"/>
      <c r="M1349" s="112"/>
      <c r="N1349" s="84"/>
    </row>
    <row r="1350" spans="1:14" s="2" customFormat="1">
      <c r="A1350" s="83"/>
      <c r="H1350" s="83"/>
      <c r="K1350" s="82"/>
      <c r="M1350" s="112"/>
      <c r="N1350" s="84"/>
    </row>
    <row r="1351" spans="1:14" s="2" customFormat="1">
      <c r="A1351" s="83"/>
      <c r="H1351" s="83"/>
      <c r="K1351" s="82"/>
      <c r="M1351" s="112"/>
      <c r="N1351" s="84"/>
    </row>
    <row r="1352" spans="1:14" s="2" customFormat="1">
      <c r="A1352" s="83"/>
      <c r="H1352" s="83"/>
      <c r="K1352" s="82"/>
      <c r="M1352" s="112"/>
      <c r="N1352" s="84"/>
    </row>
    <row r="1353" spans="1:14" s="2" customFormat="1">
      <c r="A1353" s="83"/>
      <c r="H1353" s="83"/>
      <c r="K1353" s="82"/>
      <c r="M1353" s="112"/>
      <c r="N1353" s="84"/>
    </row>
    <row r="1354" spans="1:14" s="2" customFormat="1">
      <c r="A1354" s="83"/>
      <c r="H1354" s="83"/>
      <c r="K1354" s="82"/>
      <c r="M1354" s="112"/>
      <c r="N1354" s="84"/>
    </row>
    <row r="1355" spans="1:14" s="2" customFormat="1">
      <c r="A1355" s="83"/>
      <c r="H1355" s="83"/>
      <c r="K1355" s="82"/>
      <c r="M1355" s="112"/>
      <c r="N1355" s="84"/>
    </row>
    <row r="1356" spans="1:14" s="2" customFormat="1">
      <c r="A1356" s="83"/>
      <c r="H1356" s="83"/>
      <c r="K1356" s="82"/>
      <c r="M1356" s="112"/>
      <c r="N1356" s="84"/>
    </row>
    <row r="1357" spans="1:14" s="2" customFormat="1">
      <c r="A1357" s="83"/>
      <c r="H1357" s="83"/>
      <c r="K1357" s="82"/>
      <c r="M1357" s="112"/>
      <c r="N1357" s="84"/>
    </row>
    <row r="1358" spans="1:14" s="2" customFormat="1">
      <c r="A1358" s="83"/>
      <c r="H1358" s="83"/>
      <c r="K1358" s="82"/>
      <c r="M1358" s="112"/>
      <c r="N1358" s="84"/>
    </row>
    <row r="1359" spans="1:14" s="2" customFormat="1">
      <c r="A1359" s="83"/>
      <c r="H1359" s="83"/>
      <c r="K1359" s="82"/>
      <c r="M1359" s="112"/>
      <c r="N1359" s="84"/>
    </row>
    <row r="1360" spans="1:14" s="2" customFormat="1">
      <c r="A1360" s="83"/>
      <c r="H1360" s="83"/>
      <c r="K1360" s="82"/>
      <c r="M1360" s="112"/>
      <c r="N1360" s="84"/>
    </row>
    <row r="1361" spans="1:14" s="2" customFormat="1">
      <c r="A1361" s="83"/>
      <c r="H1361" s="83"/>
      <c r="K1361" s="82"/>
      <c r="M1361" s="112"/>
      <c r="N1361" s="84"/>
    </row>
    <row r="1362" spans="1:14" s="2" customFormat="1">
      <c r="A1362" s="83"/>
      <c r="H1362" s="83"/>
      <c r="K1362" s="82"/>
      <c r="M1362" s="112"/>
      <c r="N1362" s="84"/>
    </row>
    <row r="1363" spans="1:14" s="2" customFormat="1">
      <c r="A1363" s="83"/>
      <c r="H1363" s="83"/>
      <c r="K1363" s="82"/>
      <c r="M1363" s="112"/>
      <c r="N1363" s="84"/>
    </row>
    <row r="1364" spans="1:14" s="2" customFormat="1">
      <c r="A1364" s="83"/>
      <c r="H1364" s="83"/>
      <c r="K1364" s="82"/>
      <c r="M1364" s="112"/>
      <c r="N1364" s="84"/>
    </row>
    <row r="1365" spans="1:14" s="2" customFormat="1">
      <c r="A1365" s="83"/>
      <c r="H1365" s="83"/>
      <c r="K1365" s="82"/>
      <c r="M1365" s="112"/>
      <c r="N1365" s="84"/>
    </row>
    <row r="1366" spans="1:14" s="2" customFormat="1">
      <c r="A1366" s="83"/>
      <c r="H1366" s="83"/>
      <c r="K1366" s="82"/>
      <c r="M1366" s="112"/>
      <c r="N1366" s="84"/>
    </row>
    <row r="1367" spans="1:14" s="2" customFormat="1">
      <c r="A1367" s="83"/>
      <c r="H1367" s="83"/>
      <c r="K1367" s="82"/>
      <c r="M1367" s="112"/>
      <c r="N1367" s="84"/>
    </row>
    <row r="1368" spans="1:14" s="2" customFormat="1">
      <c r="A1368" s="83"/>
      <c r="H1368" s="83"/>
      <c r="K1368" s="82"/>
      <c r="M1368" s="112"/>
      <c r="N1368" s="84"/>
    </row>
    <row r="1369" spans="1:14" s="2" customFormat="1">
      <c r="A1369" s="83"/>
      <c r="H1369" s="83"/>
      <c r="K1369" s="82"/>
      <c r="M1369" s="112"/>
      <c r="N1369" s="84"/>
    </row>
    <row r="1370" spans="1:14" s="2" customFormat="1">
      <c r="A1370" s="83"/>
      <c r="H1370" s="83"/>
      <c r="K1370" s="82"/>
      <c r="M1370" s="112"/>
      <c r="N1370" s="84"/>
    </row>
    <row r="1371" spans="1:14" s="2" customFormat="1">
      <c r="A1371" s="83"/>
      <c r="H1371" s="83"/>
      <c r="K1371" s="82"/>
      <c r="M1371" s="112"/>
      <c r="N1371" s="84"/>
    </row>
    <row r="1372" spans="1:14" s="2" customFormat="1">
      <c r="A1372" s="83"/>
      <c r="H1372" s="83"/>
      <c r="K1372" s="82"/>
      <c r="M1372" s="112"/>
      <c r="N1372" s="84"/>
    </row>
    <row r="1373" spans="1:14" s="2" customFormat="1">
      <c r="A1373" s="83"/>
      <c r="H1373" s="83"/>
      <c r="K1373" s="82"/>
      <c r="M1373" s="112"/>
      <c r="N1373" s="84"/>
    </row>
    <row r="1374" spans="1:14" s="2" customFormat="1">
      <c r="A1374" s="83"/>
      <c r="H1374" s="83"/>
      <c r="K1374" s="82"/>
      <c r="M1374" s="112"/>
      <c r="N1374" s="84"/>
    </row>
    <row r="1375" spans="1:14" s="2" customFormat="1">
      <c r="A1375" s="83"/>
      <c r="H1375" s="83"/>
      <c r="K1375" s="82"/>
      <c r="M1375" s="112"/>
      <c r="N1375" s="84"/>
    </row>
    <row r="1376" spans="1:14" s="2" customFormat="1">
      <c r="A1376" s="83"/>
      <c r="H1376" s="83"/>
      <c r="K1376" s="82"/>
      <c r="M1376" s="112"/>
      <c r="N1376" s="84"/>
    </row>
    <row r="1377" spans="1:14" s="2" customFormat="1">
      <c r="A1377" s="83"/>
      <c r="H1377" s="83"/>
      <c r="K1377" s="82"/>
      <c r="M1377" s="112"/>
      <c r="N1377" s="84"/>
    </row>
    <row r="1378" spans="1:14" s="2" customFormat="1">
      <c r="A1378" s="83"/>
      <c r="H1378" s="83"/>
      <c r="K1378" s="82"/>
      <c r="M1378" s="112"/>
      <c r="N1378" s="84"/>
    </row>
    <row r="1379" spans="1:14" s="2" customFormat="1">
      <c r="A1379" s="83"/>
      <c r="H1379" s="83"/>
      <c r="K1379" s="82"/>
      <c r="M1379" s="112"/>
      <c r="N1379" s="84"/>
    </row>
    <row r="1380" spans="1:14" s="2" customFormat="1">
      <c r="A1380" s="83"/>
      <c r="H1380" s="83"/>
      <c r="K1380" s="82"/>
      <c r="M1380" s="112"/>
      <c r="N1380" s="84"/>
    </row>
    <row r="1381" spans="1:14" s="2" customFormat="1">
      <c r="A1381" s="83"/>
      <c r="H1381" s="83"/>
      <c r="K1381" s="82"/>
      <c r="M1381" s="112"/>
      <c r="N1381" s="84"/>
    </row>
    <row r="1382" spans="1:14" s="2" customFormat="1">
      <c r="A1382" s="83"/>
      <c r="H1382" s="83"/>
      <c r="K1382" s="82"/>
      <c r="M1382" s="112"/>
      <c r="N1382" s="84"/>
    </row>
    <row r="1383" spans="1:14" s="2" customFormat="1">
      <c r="A1383" s="83"/>
      <c r="H1383" s="83"/>
      <c r="K1383" s="82"/>
      <c r="M1383" s="112"/>
      <c r="N1383" s="84"/>
    </row>
    <row r="1384" spans="1:14" s="2" customFormat="1">
      <c r="A1384" s="83"/>
      <c r="H1384" s="83"/>
      <c r="K1384" s="82"/>
      <c r="M1384" s="112"/>
      <c r="N1384" s="84"/>
    </row>
    <row r="1385" spans="1:14" s="2" customFormat="1">
      <c r="A1385" s="83"/>
      <c r="H1385" s="83"/>
      <c r="K1385" s="82"/>
      <c r="M1385" s="112"/>
      <c r="N1385" s="84"/>
    </row>
    <row r="1386" spans="1:14" s="2" customFormat="1">
      <c r="A1386" s="83"/>
      <c r="H1386" s="83"/>
      <c r="K1386" s="82"/>
      <c r="M1386" s="112"/>
      <c r="N1386" s="84"/>
    </row>
    <row r="1387" spans="1:14" s="2" customFormat="1">
      <c r="A1387" s="83"/>
      <c r="H1387" s="83"/>
      <c r="K1387" s="82"/>
      <c r="M1387" s="112"/>
      <c r="N1387" s="84"/>
    </row>
    <row r="1388" spans="1:14" s="2" customFormat="1">
      <c r="A1388" s="83"/>
      <c r="H1388" s="83"/>
      <c r="K1388" s="82"/>
      <c r="M1388" s="112"/>
      <c r="N1388" s="84"/>
    </row>
    <row r="1389" spans="1:14" s="2" customFormat="1">
      <c r="A1389" s="83"/>
      <c r="H1389" s="83"/>
      <c r="K1389" s="82"/>
      <c r="M1389" s="112"/>
      <c r="N1389" s="84"/>
    </row>
    <row r="1390" spans="1:14" s="2" customFormat="1">
      <c r="A1390" s="83"/>
      <c r="H1390" s="83"/>
      <c r="K1390" s="82"/>
      <c r="M1390" s="112"/>
      <c r="N1390" s="84"/>
    </row>
    <row r="1391" spans="1:14" s="2" customFormat="1">
      <c r="A1391" s="83"/>
      <c r="H1391" s="83"/>
      <c r="K1391" s="82"/>
      <c r="M1391" s="112"/>
      <c r="N1391" s="84"/>
    </row>
    <row r="1392" spans="1:14" s="2" customFormat="1">
      <c r="A1392" s="83"/>
      <c r="H1392" s="83"/>
      <c r="K1392" s="82"/>
      <c r="M1392" s="112"/>
      <c r="N1392" s="84"/>
    </row>
    <row r="1393" spans="1:14" s="2" customFormat="1">
      <c r="A1393" s="83"/>
      <c r="H1393" s="83"/>
      <c r="K1393" s="82"/>
      <c r="M1393" s="112"/>
      <c r="N1393" s="84"/>
    </row>
    <row r="1394" spans="1:14" s="2" customFormat="1">
      <c r="A1394" s="83"/>
      <c r="H1394" s="83"/>
      <c r="K1394" s="82"/>
      <c r="M1394" s="112"/>
      <c r="N1394" s="84"/>
    </row>
    <row r="1395" spans="1:14" s="2" customFormat="1">
      <c r="A1395" s="83"/>
      <c r="H1395" s="83"/>
      <c r="K1395" s="82"/>
      <c r="M1395" s="112"/>
      <c r="N1395" s="84"/>
    </row>
    <row r="1396" spans="1:14" s="2" customFormat="1">
      <c r="A1396" s="83"/>
      <c r="H1396" s="83"/>
      <c r="K1396" s="82"/>
      <c r="M1396" s="112"/>
      <c r="N1396" s="84"/>
    </row>
    <row r="1397" spans="1:14" s="2" customFormat="1">
      <c r="A1397" s="83"/>
      <c r="H1397" s="83"/>
      <c r="K1397" s="82"/>
      <c r="M1397" s="112"/>
      <c r="N1397" s="84"/>
    </row>
    <row r="1398" spans="1:14" s="2" customFormat="1">
      <c r="A1398" s="83"/>
      <c r="H1398" s="83"/>
      <c r="K1398" s="82"/>
      <c r="M1398" s="112"/>
      <c r="N1398" s="84"/>
    </row>
    <row r="1399" spans="1:14" s="2" customFormat="1">
      <c r="A1399" s="83"/>
      <c r="H1399" s="83"/>
      <c r="K1399" s="82"/>
      <c r="M1399" s="112"/>
      <c r="N1399" s="84"/>
    </row>
    <row r="1400" spans="1:14" s="2" customFormat="1">
      <c r="A1400" s="83"/>
      <c r="H1400" s="83"/>
      <c r="K1400" s="82"/>
      <c r="M1400" s="112"/>
      <c r="N1400" s="84"/>
    </row>
    <row r="1401" spans="1:14" s="2" customFormat="1">
      <c r="A1401" s="83"/>
      <c r="H1401" s="83"/>
      <c r="K1401" s="82"/>
      <c r="M1401" s="112"/>
      <c r="N1401" s="84"/>
    </row>
    <row r="1402" spans="1:14" s="2" customFormat="1">
      <c r="A1402" s="83"/>
      <c r="H1402" s="83"/>
      <c r="K1402" s="82"/>
      <c r="M1402" s="112"/>
      <c r="N1402" s="84"/>
    </row>
    <row r="1403" spans="1:14" s="2" customFormat="1">
      <c r="A1403" s="83"/>
      <c r="H1403" s="83"/>
      <c r="K1403" s="82"/>
      <c r="M1403" s="112"/>
      <c r="N1403" s="84"/>
    </row>
    <row r="1404" spans="1:14" s="2" customFormat="1">
      <c r="A1404" s="83"/>
      <c r="H1404" s="83"/>
      <c r="K1404" s="82"/>
      <c r="M1404" s="112"/>
      <c r="N1404" s="84"/>
    </row>
    <row r="1405" spans="1:14" s="2" customFormat="1">
      <c r="A1405" s="83"/>
      <c r="H1405" s="83"/>
      <c r="K1405" s="82"/>
      <c r="M1405" s="112"/>
      <c r="N1405" s="84"/>
    </row>
    <row r="1406" spans="1:14" s="2" customFormat="1">
      <c r="A1406" s="83"/>
      <c r="H1406" s="83"/>
      <c r="K1406" s="82"/>
      <c r="M1406" s="112"/>
      <c r="N1406" s="84"/>
    </row>
    <row r="1407" spans="1:14" s="2" customFormat="1">
      <c r="A1407" s="83"/>
      <c r="H1407" s="83"/>
      <c r="K1407" s="82"/>
      <c r="M1407" s="112"/>
      <c r="N1407" s="84"/>
    </row>
    <row r="1408" spans="1:14" s="2" customFormat="1">
      <c r="A1408" s="83"/>
      <c r="H1408" s="83"/>
      <c r="K1408" s="82"/>
      <c r="M1408" s="112"/>
      <c r="N1408" s="84"/>
    </row>
    <row r="1409" spans="1:14" s="2" customFormat="1">
      <c r="A1409" s="83"/>
      <c r="H1409" s="83"/>
      <c r="K1409" s="82"/>
      <c r="M1409" s="112"/>
      <c r="N1409" s="84"/>
    </row>
    <row r="1410" spans="1:14" s="2" customFormat="1">
      <c r="A1410" s="83"/>
      <c r="H1410" s="83"/>
      <c r="K1410" s="82"/>
      <c r="M1410" s="112"/>
      <c r="N1410" s="84"/>
    </row>
    <row r="1411" spans="1:14" s="2" customFormat="1">
      <c r="A1411" s="83"/>
      <c r="H1411" s="83"/>
      <c r="K1411" s="82"/>
      <c r="M1411" s="112"/>
      <c r="N1411" s="84"/>
    </row>
    <row r="1412" spans="1:14" s="2" customFormat="1">
      <c r="A1412" s="83"/>
      <c r="H1412" s="83"/>
      <c r="K1412" s="82"/>
      <c r="M1412" s="112"/>
      <c r="N1412" s="84"/>
    </row>
    <row r="1413" spans="1:14" s="2" customFormat="1">
      <c r="A1413" s="83"/>
      <c r="H1413" s="83"/>
      <c r="K1413" s="82"/>
      <c r="M1413" s="112"/>
      <c r="N1413" s="84"/>
    </row>
    <row r="1414" spans="1:14" s="2" customFormat="1">
      <c r="A1414" s="83"/>
      <c r="H1414" s="83"/>
      <c r="K1414" s="82"/>
      <c r="M1414" s="112"/>
      <c r="N1414" s="84"/>
    </row>
    <row r="1415" spans="1:14" s="2" customFormat="1">
      <c r="A1415" s="83"/>
      <c r="H1415" s="83"/>
      <c r="K1415" s="82"/>
      <c r="M1415" s="112"/>
      <c r="N1415" s="84"/>
    </row>
    <row r="1416" spans="1:14" s="2" customFormat="1">
      <c r="A1416" s="83"/>
      <c r="H1416" s="83"/>
      <c r="K1416" s="82"/>
      <c r="M1416" s="112"/>
      <c r="N1416" s="84"/>
    </row>
    <row r="1417" spans="1:14" s="2" customFormat="1">
      <c r="A1417" s="83"/>
      <c r="H1417" s="83"/>
      <c r="K1417" s="82"/>
      <c r="M1417" s="112"/>
      <c r="N1417" s="84"/>
    </row>
    <row r="1418" spans="1:14" s="2" customFormat="1">
      <c r="A1418" s="83"/>
      <c r="H1418" s="83"/>
      <c r="K1418" s="82"/>
      <c r="M1418" s="112"/>
      <c r="N1418" s="84"/>
    </row>
    <row r="1419" spans="1:14" s="2" customFormat="1">
      <c r="A1419" s="83"/>
      <c r="H1419" s="83"/>
      <c r="K1419" s="82"/>
      <c r="M1419" s="112"/>
      <c r="N1419" s="84"/>
    </row>
    <row r="1420" spans="1:14" s="2" customFormat="1">
      <c r="A1420" s="83"/>
      <c r="H1420" s="83"/>
      <c r="K1420" s="82"/>
      <c r="M1420" s="112"/>
      <c r="N1420" s="84"/>
    </row>
    <row r="1421" spans="1:14" s="2" customFormat="1">
      <c r="A1421" s="83"/>
      <c r="H1421" s="83"/>
      <c r="K1421" s="82"/>
      <c r="M1421" s="112"/>
      <c r="N1421" s="84"/>
    </row>
    <row r="1422" spans="1:14" s="2" customFormat="1">
      <c r="A1422" s="83"/>
      <c r="H1422" s="83"/>
      <c r="K1422" s="82"/>
      <c r="M1422" s="112"/>
      <c r="N1422" s="84"/>
    </row>
    <row r="1423" spans="1:14" s="2" customFormat="1">
      <c r="A1423" s="83"/>
      <c r="H1423" s="83"/>
      <c r="K1423" s="82"/>
      <c r="M1423" s="112"/>
      <c r="N1423" s="84"/>
    </row>
    <row r="1424" spans="1:14" s="2" customFormat="1">
      <c r="A1424" s="83"/>
      <c r="H1424" s="83"/>
      <c r="K1424" s="82"/>
      <c r="M1424" s="112"/>
      <c r="N1424" s="84"/>
    </row>
    <row r="1425" spans="1:14" s="2" customFormat="1">
      <c r="A1425" s="83"/>
      <c r="H1425" s="83"/>
      <c r="K1425" s="82"/>
      <c r="M1425" s="112"/>
      <c r="N1425" s="84"/>
    </row>
    <row r="1426" spans="1:14" s="2" customFormat="1">
      <c r="A1426" s="83"/>
      <c r="H1426" s="83"/>
      <c r="K1426" s="82"/>
      <c r="M1426" s="112"/>
      <c r="N1426" s="84"/>
    </row>
    <row r="1427" spans="1:14" s="2" customFormat="1">
      <c r="A1427" s="83"/>
      <c r="H1427" s="83"/>
      <c r="K1427" s="82"/>
      <c r="M1427" s="112"/>
      <c r="N1427" s="84"/>
    </row>
    <row r="1428" spans="1:14" s="2" customFormat="1">
      <c r="A1428" s="83"/>
      <c r="H1428" s="83"/>
      <c r="K1428" s="82"/>
      <c r="M1428" s="112"/>
      <c r="N1428" s="84"/>
    </row>
    <row r="1429" spans="1:14" s="2" customFormat="1">
      <c r="A1429" s="83"/>
      <c r="H1429" s="83"/>
      <c r="K1429" s="82"/>
      <c r="M1429" s="112"/>
      <c r="N1429" s="84"/>
    </row>
    <row r="1430" spans="1:14" s="2" customFormat="1">
      <c r="A1430" s="83"/>
      <c r="H1430" s="83"/>
      <c r="K1430" s="82"/>
      <c r="M1430" s="112"/>
      <c r="N1430" s="84"/>
    </row>
    <row r="1431" spans="1:14" s="2" customFormat="1">
      <c r="A1431" s="83"/>
      <c r="H1431" s="83"/>
      <c r="K1431" s="82"/>
      <c r="M1431" s="112"/>
      <c r="N1431" s="84"/>
    </row>
    <row r="1432" spans="1:14" s="2" customFormat="1">
      <c r="A1432" s="83"/>
      <c r="H1432" s="83"/>
      <c r="K1432" s="82"/>
      <c r="M1432" s="112"/>
      <c r="N1432" s="84"/>
    </row>
    <row r="1433" spans="1:14" s="2" customFormat="1">
      <c r="A1433" s="83"/>
      <c r="H1433" s="83"/>
      <c r="K1433" s="82"/>
      <c r="M1433" s="112"/>
      <c r="N1433" s="84"/>
    </row>
    <row r="1434" spans="1:14" s="2" customFormat="1">
      <c r="A1434" s="83"/>
      <c r="H1434" s="83"/>
      <c r="K1434" s="82"/>
      <c r="M1434" s="112"/>
      <c r="N1434" s="84"/>
    </row>
    <row r="1435" spans="1:14" s="2" customFormat="1">
      <c r="A1435" s="83"/>
      <c r="H1435" s="83"/>
      <c r="K1435" s="82"/>
      <c r="M1435" s="112"/>
      <c r="N1435" s="84"/>
    </row>
    <row r="1436" spans="1:14" s="2" customFormat="1">
      <c r="A1436" s="83"/>
      <c r="H1436" s="83"/>
      <c r="K1436" s="82"/>
      <c r="M1436" s="112"/>
      <c r="N1436" s="84"/>
    </row>
    <row r="1437" spans="1:14" s="2" customFormat="1">
      <c r="A1437" s="83"/>
      <c r="H1437" s="83"/>
      <c r="K1437" s="82"/>
      <c r="M1437" s="112"/>
      <c r="N1437" s="84"/>
    </row>
    <row r="1438" spans="1:14" s="2" customFormat="1">
      <c r="A1438" s="83"/>
      <c r="H1438" s="83"/>
      <c r="K1438" s="82"/>
      <c r="M1438" s="112"/>
      <c r="N1438" s="84"/>
    </row>
    <row r="1439" spans="1:14" s="2" customFormat="1">
      <c r="A1439" s="83"/>
      <c r="H1439" s="83"/>
      <c r="K1439" s="82"/>
      <c r="M1439" s="112"/>
      <c r="N1439" s="84"/>
    </row>
    <row r="1440" spans="1:14" s="2" customFormat="1">
      <c r="A1440" s="83"/>
      <c r="H1440" s="83"/>
      <c r="K1440" s="82"/>
      <c r="M1440" s="112"/>
      <c r="N1440" s="84"/>
    </row>
    <row r="1441" spans="1:14" s="2" customFormat="1">
      <c r="A1441" s="83"/>
      <c r="H1441" s="83"/>
      <c r="K1441" s="82"/>
      <c r="M1441" s="112"/>
      <c r="N1441" s="84"/>
    </row>
    <row r="1442" spans="1:14" s="2" customFormat="1">
      <c r="A1442" s="83"/>
      <c r="H1442" s="83"/>
      <c r="K1442" s="82"/>
      <c r="M1442" s="112"/>
      <c r="N1442" s="84"/>
    </row>
    <row r="1443" spans="1:14" s="2" customFormat="1">
      <c r="A1443" s="83"/>
      <c r="H1443" s="83"/>
      <c r="K1443" s="82"/>
      <c r="M1443" s="112"/>
      <c r="N1443" s="84"/>
    </row>
    <row r="1444" spans="1:14" s="2" customFormat="1">
      <c r="A1444" s="83"/>
      <c r="H1444" s="83"/>
      <c r="K1444" s="82"/>
      <c r="M1444" s="112"/>
      <c r="N1444" s="84"/>
    </row>
    <row r="1445" spans="1:14" s="2" customFormat="1">
      <c r="A1445" s="83"/>
      <c r="H1445" s="83"/>
      <c r="K1445" s="82"/>
      <c r="M1445" s="112"/>
      <c r="N1445" s="84"/>
    </row>
    <row r="1446" spans="1:14" s="2" customFormat="1">
      <c r="A1446" s="83"/>
      <c r="H1446" s="83"/>
      <c r="K1446" s="82"/>
      <c r="M1446" s="112"/>
      <c r="N1446" s="84"/>
    </row>
    <row r="1447" spans="1:14" s="2" customFormat="1">
      <c r="A1447" s="83"/>
      <c r="H1447" s="83"/>
      <c r="K1447" s="82"/>
      <c r="M1447" s="112"/>
      <c r="N1447" s="84"/>
    </row>
    <row r="1448" spans="1:14" s="2" customFormat="1">
      <c r="A1448" s="83"/>
      <c r="H1448" s="83"/>
      <c r="K1448" s="82"/>
      <c r="M1448" s="112"/>
      <c r="N1448" s="84"/>
    </row>
    <row r="1449" spans="1:14" s="2" customFormat="1">
      <c r="A1449" s="83"/>
      <c r="H1449" s="83"/>
      <c r="K1449" s="82"/>
      <c r="M1449" s="112"/>
      <c r="N1449" s="84"/>
    </row>
    <row r="1450" spans="1:14" s="2" customFormat="1">
      <c r="A1450" s="83"/>
      <c r="H1450" s="83"/>
      <c r="K1450" s="82"/>
      <c r="M1450" s="112"/>
      <c r="N1450" s="84"/>
    </row>
    <row r="1451" spans="1:14" s="2" customFormat="1">
      <c r="A1451" s="83"/>
      <c r="H1451" s="83"/>
      <c r="K1451" s="82"/>
      <c r="M1451" s="112"/>
      <c r="N1451" s="84"/>
    </row>
    <row r="1452" spans="1:14" s="2" customFormat="1">
      <c r="A1452" s="83"/>
      <c r="H1452" s="83"/>
      <c r="K1452" s="82"/>
      <c r="M1452" s="112"/>
      <c r="N1452" s="84"/>
    </row>
    <row r="1453" spans="1:14" s="2" customFormat="1">
      <c r="A1453" s="83"/>
      <c r="H1453" s="83"/>
      <c r="K1453" s="82"/>
      <c r="M1453" s="112"/>
      <c r="N1453" s="84"/>
    </row>
    <row r="1454" spans="1:14" s="2" customFormat="1">
      <c r="A1454" s="83"/>
      <c r="H1454" s="83"/>
      <c r="K1454" s="82"/>
      <c r="M1454" s="112"/>
      <c r="N1454" s="84"/>
    </row>
    <row r="1455" spans="1:14" s="2" customFormat="1">
      <c r="A1455" s="83"/>
      <c r="H1455" s="83"/>
      <c r="K1455" s="82"/>
      <c r="M1455" s="112"/>
      <c r="N1455" s="84"/>
    </row>
    <row r="1456" spans="1:14" s="2" customFormat="1">
      <c r="A1456" s="83"/>
      <c r="H1456" s="83"/>
      <c r="K1456" s="82"/>
      <c r="M1456" s="112"/>
      <c r="N1456" s="84"/>
    </row>
    <row r="1457" spans="1:14" s="2" customFormat="1">
      <c r="A1457" s="83"/>
      <c r="H1457" s="83"/>
      <c r="K1457" s="82"/>
      <c r="M1457" s="112"/>
      <c r="N1457" s="84"/>
    </row>
    <row r="1458" spans="1:14" s="2" customFormat="1">
      <c r="A1458" s="83"/>
      <c r="H1458" s="83"/>
      <c r="K1458" s="82"/>
      <c r="M1458" s="112"/>
      <c r="N1458" s="84"/>
    </row>
    <row r="1459" spans="1:14" s="2" customFormat="1">
      <c r="A1459" s="83"/>
      <c r="H1459" s="83"/>
      <c r="K1459" s="82"/>
      <c r="M1459" s="112"/>
      <c r="N1459" s="84"/>
    </row>
    <row r="1460" spans="1:14" s="2" customFormat="1">
      <c r="A1460" s="83"/>
      <c r="H1460" s="83"/>
      <c r="K1460" s="82"/>
      <c r="M1460" s="112"/>
      <c r="N1460" s="84"/>
    </row>
    <row r="1461" spans="1:14" s="2" customFormat="1">
      <c r="A1461" s="83"/>
      <c r="H1461" s="83"/>
      <c r="K1461" s="82"/>
      <c r="M1461" s="112"/>
      <c r="N1461" s="84"/>
    </row>
    <row r="1462" spans="1:14" s="2" customFormat="1">
      <c r="A1462" s="83"/>
      <c r="H1462" s="83"/>
      <c r="K1462" s="82"/>
      <c r="M1462" s="112"/>
      <c r="N1462" s="84"/>
    </row>
    <row r="1463" spans="1:14" s="2" customFormat="1">
      <c r="A1463" s="83"/>
      <c r="H1463" s="83"/>
      <c r="K1463" s="82"/>
      <c r="M1463" s="112"/>
      <c r="N1463" s="84"/>
    </row>
    <row r="1464" spans="1:14" s="2" customFormat="1">
      <c r="A1464" s="83"/>
      <c r="H1464" s="83"/>
      <c r="K1464" s="82"/>
      <c r="M1464" s="112"/>
      <c r="N1464" s="84"/>
    </row>
    <row r="1465" spans="1:14" s="2" customFormat="1">
      <c r="A1465" s="83"/>
      <c r="H1465" s="83"/>
      <c r="K1465" s="82"/>
      <c r="M1465" s="112"/>
      <c r="N1465" s="84"/>
    </row>
    <row r="1466" spans="1:14" s="2" customFormat="1">
      <c r="A1466" s="83"/>
      <c r="H1466" s="83"/>
      <c r="K1466" s="82"/>
      <c r="M1466" s="112"/>
      <c r="N1466" s="84"/>
    </row>
    <row r="1467" spans="1:14" s="2" customFormat="1">
      <c r="A1467" s="83"/>
      <c r="H1467" s="83"/>
      <c r="K1467" s="82"/>
      <c r="M1467" s="112"/>
      <c r="N1467" s="84"/>
    </row>
    <row r="1468" spans="1:14" s="2" customFormat="1">
      <c r="A1468" s="83"/>
      <c r="H1468" s="83"/>
      <c r="K1468" s="82"/>
      <c r="M1468" s="112"/>
      <c r="N1468" s="84"/>
    </row>
    <row r="1469" spans="1:14" s="2" customFormat="1">
      <c r="A1469" s="83"/>
      <c r="H1469" s="83"/>
      <c r="K1469" s="82"/>
      <c r="M1469" s="112"/>
      <c r="N1469" s="84"/>
    </row>
    <row r="1470" spans="1:14" s="2" customFormat="1">
      <c r="A1470" s="83"/>
      <c r="H1470" s="83"/>
      <c r="K1470" s="82"/>
      <c r="M1470" s="112"/>
      <c r="N1470" s="84"/>
    </row>
    <row r="1471" spans="1:14" s="2" customFormat="1">
      <c r="A1471" s="83"/>
      <c r="H1471" s="83"/>
      <c r="K1471" s="82"/>
      <c r="M1471" s="112"/>
      <c r="N1471" s="84"/>
    </row>
    <row r="1472" spans="1:14" s="2" customFormat="1">
      <c r="A1472" s="83"/>
      <c r="H1472" s="83"/>
      <c r="K1472" s="82"/>
      <c r="M1472" s="112"/>
      <c r="N1472" s="84"/>
    </row>
    <row r="1473" spans="1:14" s="2" customFormat="1">
      <c r="A1473" s="83"/>
      <c r="H1473" s="83"/>
      <c r="K1473" s="82"/>
      <c r="M1473" s="112"/>
      <c r="N1473" s="84"/>
    </row>
    <row r="1474" spans="1:14" s="2" customFormat="1">
      <c r="A1474" s="83"/>
      <c r="H1474" s="83"/>
      <c r="K1474" s="82"/>
      <c r="M1474" s="112"/>
      <c r="N1474" s="84"/>
    </row>
    <row r="1475" spans="1:14" s="2" customFormat="1">
      <c r="A1475" s="83"/>
      <c r="H1475" s="83"/>
      <c r="K1475" s="82"/>
      <c r="M1475" s="112"/>
      <c r="N1475" s="84"/>
    </row>
    <row r="1476" spans="1:14" s="2" customFormat="1">
      <c r="A1476" s="83"/>
      <c r="H1476" s="83"/>
      <c r="K1476" s="82"/>
      <c r="M1476" s="112"/>
      <c r="N1476" s="84"/>
    </row>
    <row r="1477" spans="1:14" s="2" customFormat="1">
      <c r="A1477" s="83"/>
      <c r="H1477" s="83"/>
      <c r="K1477" s="82"/>
      <c r="M1477" s="112"/>
      <c r="N1477" s="84"/>
    </row>
    <row r="1478" spans="1:14" s="2" customFormat="1">
      <c r="A1478" s="83"/>
      <c r="H1478" s="83"/>
      <c r="K1478" s="82"/>
      <c r="M1478" s="112"/>
      <c r="N1478" s="84"/>
    </row>
    <row r="1479" spans="1:14" s="2" customFormat="1">
      <c r="A1479" s="83"/>
      <c r="H1479" s="83"/>
      <c r="K1479" s="82"/>
      <c r="M1479" s="112"/>
      <c r="N1479" s="84"/>
    </row>
    <row r="1480" spans="1:14" s="2" customFormat="1">
      <c r="A1480" s="83"/>
      <c r="H1480" s="83"/>
      <c r="K1480" s="82"/>
      <c r="M1480" s="112"/>
      <c r="N1480" s="84"/>
    </row>
    <row r="1481" spans="1:14" s="2" customFormat="1">
      <c r="A1481" s="83"/>
      <c r="H1481" s="83"/>
      <c r="K1481" s="82"/>
      <c r="M1481" s="112"/>
      <c r="N1481" s="84"/>
    </row>
    <row r="1482" spans="1:14" s="2" customFormat="1">
      <c r="A1482" s="83"/>
      <c r="H1482" s="83"/>
      <c r="K1482" s="82"/>
      <c r="M1482" s="112"/>
      <c r="N1482" s="84"/>
    </row>
    <row r="1483" spans="1:14" s="2" customFormat="1">
      <c r="A1483" s="83"/>
      <c r="H1483" s="83"/>
      <c r="K1483" s="82"/>
      <c r="M1483" s="112"/>
      <c r="N1483" s="84"/>
    </row>
    <row r="1484" spans="1:14" s="2" customFormat="1">
      <c r="A1484" s="83"/>
      <c r="H1484" s="83"/>
      <c r="K1484" s="82"/>
      <c r="M1484" s="112"/>
      <c r="N1484" s="84"/>
    </row>
    <row r="1485" spans="1:14" s="2" customFormat="1">
      <c r="A1485" s="83"/>
      <c r="H1485" s="83"/>
      <c r="K1485" s="82"/>
      <c r="M1485" s="112"/>
      <c r="N1485" s="84"/>
    </row>
    <row r="1486" spans="1:14" s="2" customFormat="1">
      <c r="A1486" s="83"/>
      <c r="H1486" s="83"/>
      <c r="K1486" s="82"/>
      <c r="M1486" s="112"/>
      <c r="N1486" s="84"/>
    </row>
    <row r="1487" spans="1:14" s="2" customFormat="1">
      <c r="A1487" s="83"/>
      <c r="H1487" s="83"/>
      <c r="K1487" s="82"/>
      <c r="M1487" s="112"/>
      <c r="N1487" s="84"/>
    </row>
    <row r="1488" spans="1:14" s="2" customFormat="1">
      <c r="A1488" s="83"/>
      <c r="H1488" s="83"/>
      <c r="K1488" s="82"/>
      <c r="M1488" s="112"/>
      <c r="N1488" s="84"/>
    </row>
    <row r="1489" spans="1:14" s="2" customFormat="1">
      <c r="A1489" s="83"/>
      <c r="H1489" s="83"/>
      <c r="K1489" s="82"/>
      <c r="M1489" s="112"/>
      <c r="N1489" s="84"/>
    </row>
    <row r="1490" spans="1:14" s="2" customFormat="1">
      <c r="A1490" s="83"/>
      <c r="H1490" s="83"/>
      <c r="K1490" s="82"/>
      <c r="M1490" s="112"/>
      <c r="N1490" s="84"/>
    </row>
    <row r="1491" spans="1:14" s="2" customFormat="1">
      <c r="A1491" s="83"/>
      <c r="H1491" s="83"/>
      <c r="K1491" s="82"/>
      <c r="M1491" s="112"/>
      <c r="N1491" s="84"/>
    </row>
    <row r="1492" spans="1:14" s="2" customFormat="1">
      <c r="A1492" s="83"/>
      <c r="H1492" s="83"/>
      <c r="K1492" s="82"/>
      <c r="M1492" s="112"/>
      <c r="N1492" s="84"/>
    </row>
    <row r="1493" spans="1:14" s="2" customFormat="1">
      <c r="A1493" s="83"/>
      <c r="H1493" s="83"/>
      <c r="K1493" s="82"/>
      <c r="M1493" s="112"/>
      <c r="N1493" s="84"/>
    </row>
    <row r="1494" spans="1:14" s="2" customFormat="1">
      <c r="A1494" s="83"/>
      <c r="H1494" s="83"/>
      <c r="K1494" s="82"/>
      <c r="M1494" s="112"/>
      <c r="N1494" s="84"/>
    </row>
    <row r="1495" spans="1:14" s="2" customFormat="1">
      <c r="A1495" s="83"/>
      <c r="H1495" s="83"/>
      <c r="K1495" s="82"/>
      <c r="M1495" s="112"/>
      <c r="N1495" s="84"/>
    </row>
    <row r="1496" spans="1:14" s="2" customFormat="1">
      <c r="A1496" s="83"/>
      <c r="H1496" s="83"/>
      <c r="K1496" s="82"/>
      <c r="M1496" s="112"/>
      <c r="N1496" s="84"/>
    </row>
    <row r="1497" spans="1:14" s="2" customFormat="1">
      <c r="A1497" s="83"/>
      <c r="H1497" s="83"/>
      <c r="K1497" s="82"/>
      <c r="M1497" s="112"/>
      <c r="N1497" s="84"/>
    </row>
    <row r="1498" spans="1:14" s="2" customFormat="1">
      <c r="A1498" s="83"/>
      <c r="H1498" s="83"/>
      <c r="K1498" s="82"/>
      <c r="M1498" s="112"/>
      <c r="N1498" s="84"/>
    </row>
    <row r="1499" spans="1:14" s="2" customFormat="1">
      <c r="A1499" s="83"/>
      <c r="H1499" s="83"/>
      <c r="K1499" s="82"/>
      <c r="M1499" s="112"/>
      <c r="N1499" s="84"/>
    </row>
    <row r="1500" spans="1:14" s="2" customFormat="1">
      <c r="A1500" s="83"/>
      <c r="H1500" s="83"/>
      <c r="K1500" s="82"/>
      <c r="M1500" s="112"/>
      <c r="N1500" s="84"/>
    </row>
    <row r="1501" spans="1:14" s="2" customFormat="1">
      <c r="A1501" s="83"/>
      <c r="H1501" s="83"/>
      <c r="K1501" s="82"/>
      <c r="M1501" s="112"/>
      <c r="N1501" s="84"/>
    </row>
    <row r="1502" spans="1:14" s="2" customFormat="1">
      <c r="A1502" s="83"/>
      <c r="H1502" s="83"/>
      <c r="K1502" s="82"/>
      <c r="M1502" s="112"/>
      <c r="N1502" s="84"/>
    </row>
    <row r="1503" spans="1:14" s="2" customFormat="1">
      <c r="A1503" s="83"/>
      <c r="H1503" s="83"/>
      <c r="K1503" s="82"/>
      <c r="M1503" s="112"/>
      <c r="N1503" s="84"/>
    </row>
    <row r="1504" spans="1:14" s="2" customFormat="1">
      <c r="A1504" s="83"/>
      <c r="H1504" s="83"/>
      <c r="K1504" s="82"/>
      <c r="M1504" s="112"/>
      <c r="N1504" s="84"/>
    </row>
    <row r="1505" spans="1:14" s="2" customFormat="1">
      <c r="A1505" s="83"/>
      <c r="H1505" s="83"/>
      <c r="K1505" s="82"/>
      <c r="M1505" s="112"/>
      <c r="N1505" s="84"/>
    </row>
    <row r="1506" spans="1:14" s="2" customFormat="1">
      <c r="A1506" s="83"/>
      <c r="H1506" s="83"/>
      <c r="K1506" s="82"/>
      <c r="M1506" s="112"/>
      <c r="N1506" s="84"/>
    </row>
    <row r="1507" spans="1:14" s="2" customFormat="1">
      <c r="A1507" s="83"/>
      <c r="H1507" s="83"/>
      <c r="K1507" s="82"/>
      <c r="M1507" s="112"/>
      <c r="N1507" s="84"/>
    </row>
    <row r="1508" spans="1:14" s="2" customFormat="1">
      <c r="A1508" s="83"/>
      <c r="H1508" s="83"/>
      <c r="K1508" s="82"/>
      <c r="M1508" s="112"/>
      <c r="N1508" s="84"/>
    </row>
    <row r="1509" spans="1:14" s="2" customFormat="1">
      <c r="A1509" s="83"/>
      <c r="H1509" s="83"/>
      <c r="K1509" s="82"/>
      <c r="M1509" s="112"/>
      <c r="N1509" s="84"/>
    </row>
    <row r="1510" spans="1:14" s="2" customFormat="1">
      <c r="A1510" s="83"/>
      <c r="H1510" s="83"/>
      <c r="K1510" s="82"/>
      <c r="M1510" s="112"/>
      <c r="N1510" s="84"/>
    </row>
    <row r="1511" spans="1:14" s="2" customFormat="1">
      <c r="A1511" s="83"/>
      <c r="H1511" s="83"/>
      <c r="K1511" s="82"/>
      <c r="M1511" s="112"/>
      <c r="N1511" s="84"/>
    </row>
    <row r="1512" spans="1:14" s="2" customFormat="1">
      <c r="A1512" s="83"/>
      <c r="H1512" s="83"/>
      <c r="K1512" s="82"/>
      <c r="M1512" s="112"/>
      <c r="N1512" s="84"/>
    </row>
    <row r="1513" spans="1:14" s="2" customFormat="1">
      <c r="A1513" s="83"/>
      <c r="H1513" s="83"/>
      <c r="K1513" s="82"/>
      <c r="M1513" s="112"/>
      <c r="N1513" s="84"/>
    </row>
    <row r="1514" spans="1:14" s="2" customFormat="1">
      <c r="A1514" s="83"/>
      <c r="H1514" s="83"/>
      <c r="K1514" s="82"/>
      <c r="M1514" s="112"/>
      <c r="N1514" s="84"/>
    </row>
    <row r="1515" spans="1:14" s="2" customFormat="1">
      <c r="A1515" s="83"/>
      <c r="H1515" s="83"/>
      <c r="K1515" s="82"/>
      <c r="M1515" s="112"/>
      <c r="N1515" s="84"/>
    </row>
    <row r="1516" spans="1:14" s="2" customFormat="1">
      <c r="A1516" s="83"/>
      <c r="H1516" s="83"/>
      <c r="K1516" s="82"/>
      <c r="M1516" s="112"/>
      <c r="N1516" s="84"/>
    </row>
    <row r="1517" spans="1:14" s="2" customFormat="1">
      <c r="A1517" s="83"/>
      <c r="H1517" s="83"/>
      <c r="K1517" s="82"/>
      <c r="M1517" s="112"/>
      <c r="N1517" s="84"/>
    </row>
    <row r="1518" spans="1:14" s="2" customFormat="1">
      <c r="A1518" s="83"/>
      <c r="H1518" s="83"/>
      <c r="K1518" s="82"/>
      <c r="M1518" s="112"/>
      <c r="N1518" s="84"/>
    </row>
    <row r="1519" spans="1:14" s="2" customFormat="1">
      <c r="A1519" s="83"/>
      <c r="H1519" s="83"/>
      <c r="K1519" s="82"/>
      <c r="M1519" s="112"/>
      <c r="N1519" s="84"/>
    </row>
    <row r="1520" spans="1:14" s="2" customFormat="1">
      <c r="A1520" s="83"/>
      <c r="H1520" s="83"/>
      <c r="K1520" s="82"/>
      <c r="M1520" s="112"/>
      <c r="N1520" s="84"/>
    </row>
    <row r="1521" spans="1:14" s="2" customFormat="1">
      <c r="A1521" s="83"/>
      <c r="H1521" s="83"/>
      <c r="K1521" s="82"/>
      <c r="M1521" s="112"/>
      <c r="N1521" s="84"/>
    </row>
    <row r="1522" spans="1:14" s="2" customFormat="1">
      <c r="A1522" s="83"/>
      <c r="H1522" s="83"/>
      <c r="K1522" s="82"/>
      <c r="M1522" s="112"/>
      <c r="N1522" s="84"/>
    </row>
    <row r="1523" spans="1:14" s="2" customFormat="1">
      <c r="A1523" s="83"/>
      <c r="H1523" s="83"/>
      <c r="K1523" s="82"/>
      <c r="M1523" s="112"/>
      <c r="N1523" s="84"/>
    </row>
    <row r="1524" spans="1:14" s="2" customFormat="1">
      <c r="A1524" s="83"/>
      <c r="H1524" s="83"/>
      <c r="K1524" s="82"/>
      <c r="M1524" s="112"/>
      <c r="N1524" s="84"/>
    </row>
    <row r="1525" spans="1:14" s="2" customFormat="1">
      <c r="A1525" s="83"/>
      <c r="H1525" s="83"/>
      <c r="K1525" s="82"/>
      <c r="M1525" s="112"/>
      <c r="N1525" s="84"/>
    </row>
    <row r="1526" spans="1:14" s="2" customFormat="1">
      <c r="A1526" s="83"/>
      <c r="H1526" s="83"/>
      <c r="K1526" s="82"/>
      <c r="M1526" s="112"/>
      <c r="N1526" s="84"/>
    </row>
    <row r="1527" spans="1:14" s="2" customFormat="1">
      <c r="A1527" s="83"/>
      <c r="H1527" s="83"/>
      <c r="K1527" s="82"/>
      <c r="M1527" s="112"/>
      <c r="N1527" s="84"/>
    </row>
    <row r="1528" spans="1:14" s="2" customFormat="1">
      <c r="A1528" s="83"/>
      <c r="H1528" s="83"/>
      <c r="K1528" s="82"/>
      <c r="M1528" s="112"/>
      <c r="N1528" s="84"/>
    </row>
    <row r="1529" spans="1:14" s="2" customFormat="1">
      <c r="A1529" s="83"/>
      <c r="H1529" s="83"/>
      <c r="K1529" s="82"/>
      <c r="M1529" s="112"/>
      <c r="N1529" s="84"/>
    </row>
    <row r="1530" spans="1:14" s="2" customFormat="1">
      <c r="A1530" s="83"/>
      <c r="H1530" s="83"/>
      <c r="K1530" s="82"/>
      <c r="M1530" s="112"/>
      <c r="N1530" s="84"/>
    </row>
    <row r="1531" spans="1:14" s="2" customFormat="1">
      <c r="A1531" s="83"/>
      <c r="H1531" s="83"/>
      <c r="K1531" s="82"/>
      <c r="M1531" s="112"/>
      <c r="N1531" s="84"/>
    </row>
    <row r="1532" spans="1:14" s="2" customFormat="1">
      <c r="A1532" s="83"/>
      <c r="H1532" s="83"/>
      <c r="K1532" s="82"/>
      <c r="M1532" s="112"/>
      <c r="N1532" s="84"/>
    </row>
    <row r="1533" spans="1:14" s="2" customFormat="1">
      <c r="A1533" s="83"/>
      <c r="H1533" s="83"/>
      <c r="K1533" s="82"/>
      <c r="M1533" s="112"/>
      <c r="N1533" s="84"/>
    </row>
    <row r="1534" spans="1:14" s="2" customFormat="1">
      <c r="A1534" s="83"/>
      <c r="H1534" s="83"/>
      <c r="K1534" s="82"/>
      <c r="M1534" s="112"/>
      <c r="N1534" s="84"/>
    </row>
    <row r="1535" spans="1:14" s="2" customFormat="1">
      <c r="A1535" s="83"/>
      <c r="H1535" s="83"/>
      <c r="K1535" s="82"/>
      <c r="M1535" s="112"/>
      <c r="N1535" s="84"/>
    </row>
    <row r="1536" spans="1:14" s="2" customFormat="1">
      <c r="A1536" s="83"/>
      <c r="H1536" s="83"/>
      <c r="K1536" s="82"/>
      <c r="M1536" s="112"/>
      <c r="N1536" s="84"/>
    </row>
    <row r="1537" spans="1:14" s="2" customFormat="1">
      <c r="A1537" s="83"/>
      <c r="H1537" s="83"/>
      <c r="K1537" s="82"/>
      <c r="M1537" s="112"/>
      <c r="N1537" s="84"/>
    </row>
    <row r="1538" spans="1:14" s="2" customFormat="1">
      <c r="A1538" s="83"/>
      <c r="H1538" s="83"/>
      <c r="K1538" s="82"/>
      <c r="M1538" s="112"/>
      <c r="N1538" s="84"/>
    </row>
    <row r="1539" spans="1:14" s="2" customFormat="1">
      <c r="A1539" s="83"/>
      <c r="H1539" s="83"/>
      <c r="K1539" s="82"/>
      <c r="M1539" s="112"/>
      <c r="N1539" s="84"/>
    </row>
    <row r="1540" spans="1:14" s="2" customFormat="1">
      <c r="A1540" s="83"/>
      <c r="H1540" s="83"/>
      <c r="K1540" s="82"/>
      <c r="M1540" s="112"/>
      <c r="N1540" s="84"/>
    </row>
    <row r="1541" spans="1:14" s="2" customFormat="1">
      <c r="A1541" s="83"/>
      <c r="H1541" s="83"/>
      <c r="K1541" s="82"/>
      <c r="M1541" s="112"/>
      <c r="N1541" s="84"/>
    </row>
    <row r="1542" spans="1:14" s="2" customFormat="1">
      <c r="A1542" s="83"/>
      <c r="H1542" s="83"/>
      <c r="K1542" s="82"/>
      <c r="M1542" s="112"/>
      <c r="N1542" s="84"/>
    </row>
    <row r="1543" spans="1:14" s="2" customFormat="1">
      <c r="A1543" s="83"/>
      <c r="H1543" s="83"/>
      <c r="K1543" s="82"/>
      <c r="M1543" s="112"/>
      <c r="N1543" s="84"/>
    </row>
    <row r="1544" spans="1:14" s="2" customFormat="1">
      <c r="A1544" s="83"/>
      <c r="H1544" s="83"/>
      <c r="K1544" s="82"/>
      <c r="M1544" s="112"/>
      <c r="N1544" s="84"/>
    </row>
    <row r="1545" spans="1:14" s="2" customFormat="1">
      <c r="A1545" s="83"/>
      <c r="H1545" s="83"/>
      <c r="K1545" s="82"/>
      <c r="M1545" s="112"/>
      <c r="N1545" s="84"/>
    </row>
    <row r="1546" spans="1:14" s="2" customFormat="1">
      <c r="A1546" s="83"/>
      <c r="H1546" s="83"/>
      <c r="K1546" s="82"/>
      <c r="M1546" s="112"/>
      <c r="N1546" s="84"/>
    </row>
    <row r="1547" spans="1:14" s="2" customFormat="1">
      <c r="A1547" s="83"/>
      <c r="H1547" s="83"/>
      <c r="K1547" s="82"/>
      <c r="M1547" s="112"/>
      <c r="N1547" s="84"/>
    </row>
    <row r="1548" spans="1:14" s="2" customFormat="1">
      <c r="A1548" s="83"/>
      <c r="H1548" s="83"/>
      <c r="K1548" s="82"/>
      <c r="M1548" s="112"/>
      <c r="N1548" s="84"/>
    </row>
    <row r="1549" spans="1:14" s="2" customFormat="1">
      <c r="A1549" s="83"/>
      <c r="H1549" s="83"/>
      <c r="K1549" s="82"/>
      <c r="M1549" s="112"/>
      <c r="N1549" s="84"/>
    </row>
    <row r="1550" spans="1:14" s="2" customFormat="1">
      <c r="A1550" s="83"/>
      <c r="H1550" s="83"/>
      <c r="K1550" s="82"/>
      <c r="M1550" s="112"/>
      <c r="N1550" s="84"/>
    </row>
    <row r="1551" spans="1:14" s="2" customFormat="1">
      <c r="A1551" s="83"/>
      <c r="H1551" s="83"/>
      <c r="K1551" s="82"/>
      <c r="M1551" s="112"/>
      <c r="N1551" s="84"/>
    </row>
    <row r="1552" spans="1:14" s="2" customFormat="1">
      <c r="A1552" s="83"/>
      <c r="H1552" s="83"/>
      <c r="K1552" s="82"/>
      <c r="M1552" s="112"/>
      <c r="N1552" s="84"/>
    </row>
    <row r="1553" spans="1:14" s="2" customFormat="1">
      <c r="A1553" s="83"/>
      <c r="H1553" s="83"/>
      <c r="K1553" s="82"/>
      <c r="M1553" s="112"/>
      <c r="N1553" s="84"/>
    </row>
    <row r="1554" spans="1:14" s="2" customFormat="1">
      <c r="A1554" s="83"/>
      <c r="H1554" s="83"/>
      <c r="K1554" s="82"/>
      <c r="M1554" s="112"/>
      <c r="N1554" s="84"/>
    </row>
    <row r="1555" spans="1:14" s="2" customFormat="1">
      <c r="A1555" s="83"/>
      <c r="H1555" s="83"/>
      <c r="K1555" s="82"/>
      <c r="M1555" s="112"/>
      <c r="N1555" s="84"/>
    </row>
    <row r="1556" spans="1:14" s="2" customFormat="1">
      <c r="A1556" s="83"/>
      <c r="H1556" s="83"/>
      <c r="K1556" s="82"/>
      <c r="M1556" s="112"/>
      <c r="N1556" s="84"/>
    </row>
    <row r="1557" spans="1:14" s="2" customFormat="1">
      <c r="A1557" s="83"/>
      <c r="H1557" s="83"/>
      <c r="K1557" s="82"/>
      <c r="M1557" s="112"/>
      <c r="N1557" s="84"/>
    </row>
    <row r="1558" spans="1:14" s="2" customFormat="1">
      <c r="A1558" s="83"/>
      <c r="H1558" s="83"/>
      <c r="K1558" s="82"/>
      <c r="M1558" s="112"/>
      <c r="N1558" s="84"/>
    </row>
    <row r="1559" spans="1:14" s="2" customFormat="1">
      <c r="A1559" s="83"/>
      <c r="H1559" s="83"/>
      <c r="K1559" s="82"/>
      <c r="M1559" s="112"/>
      <c r="N1559" s="84"/>
    </row>
    <row r="1560" spans="1:14" s="2" customFormat="1">
      <c r="A1560" s="83"/>
      <c r="H1560" s="83"/>
      <c r="K1560" s="82"/>
      <c r="M1560" s="112"/>
      <c r="N1560" s="84"/>
    </row>
    <row r="1561" spans="1:14" s="2" customFormat="1">
      <c r="A1561" s="83"/>
      <c r="H1561" s="83"/>
      <c r="K1561" s="82"/>
      <c r="M1561" s="112"/>
      <c r="N1561" s="84"/>
    </row>
    <row r="1562" spans="1:14" s="2" customFormat="1">
      <c r="A1562" s="83"/>
      <c r="H1562" s="83"/>
      <c r="K1562" s="82"/>
      <c r="M1562" s="112"/>
      <c r="N1562" s="84"/>
    </row>
    <row r="1563" spans="1:14" s="2" customFormat="1">
      <c r="A1563" s="83"/>
      <c r="H1563" s="83"/>
      <c r="K1563" s="82"/>
      <c r="M1563" s="112"/>
      <c r="N1563" s="84"/>
    </row>
    <row r="1564" spans="1:14" s="2" customFormat="1">
      <c r="A1564" s="83"/>
      <c r="H1564" s="83"/>
      <c r="K1564" s="82"/>
      <c r="M1564" s="112"/>
      <c r="N1564" s="84"/>
    </row>
    <row r="1565" spans="1:14" s="2" customFormat="1">
      <c r="A1565" s="83"/>
      <c r="H1565" s="83"/>
      <c r="K1565" s="82"/>
      <c r="M1565" s="112"/>
      <c r="N1565" s="84"/>
    </row>
    <row r="1566" spans="1:14" s="2" customFormat="1">
      <c r="A1566" s="83"/>
      <c r="H1566" s="83"/>
      <c r="K1566" s="82"/>
      <c r="M1566" s="112"/>
      <c r="N1566" s="84"/>
    </row>
    <row r="1567" spans="1:14" s="2" customFormat="1">
      <c r="A1567" s="83"/>
      <c r="H1567" s="83"/>
      <c r="K1567" s="82"/>
      <c r="M1567" s="112"/>
      <c r="N1567" s="84"/>
    </row>
    <row r="1568" spans="1:14" s="2" customFormat="1">
      <c r="A1568" s="83"/>
      <c r="H1568" s="83"/>
      <c r="K1568" s="82"/>
      <c r="M1568" s="112"/>
      <c r="N1568" s="84"/>
    </row>
    <row r="1569" spans="1:14" s="2" customFormat="1">
      <c r="A1569" s="83"/>
      <c r="H1569" s="83"/>
      <c r="K1569" s="82"/>
      <c r="M1569" s="112"/>
      <c r="N1569" s="84"/>
    </row>
    <row r="1570" spans="1:14" s="2" customFormat="1">
      <c r="A1570" s="83"/>
      <c r="H1570" s="83"/>
      <c r="K1570" s="82"/>
      <c r="M1570" s="112"/>
      <c r="N1570" s="84"/>
    </row>
    <row r="1571" spans="1:14" s="2" customFormat="1">
      <c r="A1571" s="83"/>
      <c r="H1571" s="83"/>
      <c r="K1571" s="82"/>
      <c r="M1571" s="112"/>
      <c r="N1571" s="84"/>
    </row>
    <row r="1572" spans="1:14" s="2" customFormat="1">
      <c r="A1572" s="83"/>
      <c r="H1572" s="83"/>
      <c r="K1572" s="82"/>
      <c r="M1572" s="112"/>
      <c r="N1572" s="84"/>
    </row>
    <row r="1573" spans="1:14" s="2" customFormat="1">
      <c r="A1573" s="83"/>
      <c r="H1573" s="83"/>
      <c r="K1573" s="82"/>
      <c r="M1573" s="112"/>
      <c r="N1573" s="84"/>
    </row>
    <row r="1574" spans="1:14" s="2" customFormat="1">
      <c r="A1574" s="83"/>
      <c r="H1574" s="83"/>
      <c r="K1574" s="82"/>
      <c r="M1574" s="112"/>
      <c r="N1574" s="84"/>
    </row>
    <row r="1575" spans="1:14" s="2" customFormat="1">
      <c r="A1575" s="83"/>
      <c r="H1575" s="83"/>
      <c r="K1575" s="82"/>
      <c r="M1575" s="112"/>
      <c r="N1575" s="84"/>
    </row>
    <row r="1576" spans="1:14" s="2" customFormat="1">
      <c r="A1576" s="83"/>
      <c r="H1576" s="83"/>
      <c r="K1576" s="82"/>
      <c r="M1576" s="112"/>
      <c r="N1576" s="84"/>
    </row>
    <row r="1577" spans="1:14" s="2" customFormat="1">
      <c r="A1577" s="83"/>
      <c r="H1577" s="83"/>
      <c r="K1577" s="82"/>
      <c r="M1577" s="112"/>
      <c r="N1577" s="84"/>
    </row>
    <row r="1578" spans="1:14" s="2" customFormat="1">
      <c r="A1578" s="83"/>
      <c r="H1578" s="83"/>
      <c r="K1578" s="82"/>
      <c r="M1578" s="112"/>
      <c r="N1578" s="84"/>
    </row>
    <row r="1579" spans="1:14" s="2" customFormat="1">
      <c r="A1579" s="83"/>
      <c r="H1579" s="83"/>
      <c r="K1579" s="82"/>
      <c r="M1579" s="112"/>
      <c r="N1579" s="84"/>
    </row>
    <row r="1580" spans="1:14" s="2" customFormat="1">
      <c r="A1580" s="83"/>
      <c r="H1580" s="83"/>
      <c r="K1580" s="82"/>
      <c r="M1580" s="112"/>
      <c r="N1580" s="84"/>
    </row>
    <row r="1581" spans="1:14" s="2" customFormat="1">
      <c r="A1581" s="83"/>
      <c r="H1581" s="83"/>
      <c r="K1581" s="82"/>
      <c r="M1581" s="112"/>
      <c r="N1581" s="84"/>
    </row>
    <row r="1582" spans="1:14" s="2" customFormat="1">
      <c r="A1582" s="83"/>
      <c r="H1582" s="83"/>
      <c r="K1582" s="82"/>
      <c r="M1582" s="112"/>
      <c r="N1582" s="84"/>
    </row>
    <row r="1583" spans="1:14" s="2" customFormat="1">
      <c r="A1583" s="83"/>
      <c r="H1583" s="83"/>
      <c r="K1583" s="82"/>
      <c r="M1583" s="112"/>
      <c r="N1583" s="84"/>
    </row>
    <row r="1584" spans="1:14" s="2" customFormat="1">
      <c r="A1584" s="83"/>
      <c r="H1584" s="83"/>
      <c r="K1584" s="82"/>
      <c r="M1584" s="112"/>
      <c r="N1584" s="84"/>
    </row>
    <row r="1585" spans="1:14" s="2" customFormat="1">
      <c r="A1585" s="83"/>
      <c r="H1585" s="83"/>
      <c r="K1585" s="82"/>
      <c r="M1585" s="112"/>
      <c r="N1585" s="84"/>
    </row>
    <row r="1586" spans="1:14" s="2" customFormat="1">
      <c r="A1586" s="83"/>
      <c r="H1586" s="83"/>
      <c r="K1586" s="82"/>
      <c r="M1586" s="112"/>
      <c r="N1586" s="84"/>
    </row>
    <row r="1587" spans="1:14" s="2" customFormat="1">
      <c r="A1587" s="83"/>
      <c r="H1587" s="83"/>
      <c r="K1587" s="82"/>
      <c r="M1587" s="112"/>
      <c r="N1587" s="84"/>
    </row>
    <row r="1588" spans="1:14" s="2" customFormat="1">
      <c r="A1588" s="83"/>
      <c r="H1588" s="83"/>
      <c r="K1588" s="82"/>
      <c r="M1588" s="112"/>
      <c r="N1588" s="84"/>
    </row>
    <row r="1589" spans="1:14" s="2" customFormat="1">
      <c r="A1589" s="83"/>
      <c r="H1589" s="83"/>
      <c r="K1589" s="82"/>
      <c r="M1589" s="112"/>
      <c r="N1589" s="84"/>
    </row>
    <row r="1590" spans="1:14" s="2" customFormat="1">
      <c r="A1590" s="83"/>
      <c r="H1590" s="83"/>
      <c r="K1590" s="82"/>
      <c r="M1590" s="112"/>
      <c r="N1590" s="84"/>
    </row>
    <row r="1591" spans="1:14" s="2" customFormat="1">
      <c r="A1591" s="83"/>
      <c r="H1591" s="83"/>
      <c r="K1591" s="82"/>
      <c r="M1591" s="112"/>
      <c r="N1591" s="84"/>
    </row>
    <row r="1592" spans="1:14" s="2" customFormat="1">
      <c r="A1592" s="83"/>
      <c r="H1592" s="83"/>
      <c r="K1592" s="82"/>
      <c r="M1592" s="112"/>
      <c r="N1592" s="84"/>
    </row>
    <row r="1593" spans="1:14" s="2" customFormat="1">
      <c r="A1593" s="83"/>
      <c r="H1593" s="83"/>
      <c r="K1593" s="82"/>
      <c r="M1593" s="112"/>
      <c r="N1593" s="84"/>
    </row>
    <row r="1594" spans="1:14" s="2" customFormat="1">
      <c r="A1594" s="83"/>
      <c r="H1594" s="83"/>
      <c r="K1594" s="82"/>
      <c r="M1594" s="112"/>
      <c r="N1594" s="84"/>
    </row>
    <row r="1595" spans="1:14" s="2" customFormat="1">
      <c r="A1595" s="83"/>
      <c r="H1595" s="83"/>
      <c r="K1595" s="82"/>
      <c r="M1595" s="112"/>
      <c r="N1595" s="84"/>
    </row>
    <row r="1596" spans="1:14" s="2" customFormat="1">
      <c r="A1596" s="83"/>
      <c r="H1596" s="83"/>
      <c r="K1596" s="82"/>
      <c r="M1596" s="112"/>
      <c r="N1596" s="84"/>
    </row>
    <row r="1597" spans="1:14" s="2" customFormat="1">
      <c r="A1597" s="83"/>
      <c r="H1597" s="83"/>
      <c r="K1597" s="82"/>
      <c r="M1597" s="112"/>
      <c r="N1597" s="84"/>
    </row>
    <row r="1598" spans="1:14" s="2" customFormat="1">
      <c r="A1598" s="83"/>
      <c r="H1598" s="83"/>
      <c r="K1598" s="82"/>
      <c r="M1598" s="112"/>
      <c r="N1598" s="84"/>
    </row>
    <row r="1599" spans="1:14" s="2" customFormat="1">
      <c r="A1599" s="83"/>
      <c r="H1599" s="83"/>
      <c r="K1599" s="82"/>
      <c r="M1599" s="112"/>
      <c r="N1599" s="84"/>
    </row>
    <row r="1600" spans="1:14" s="2" customFormat="1">
      <c r="A1600" s="83"/>
      <c r="H1600" s="83"/>
      <c r="K1600" s="82"/>
      <c r="M1600" s="112"/>
      <c r="N1600" s="84"/>
    </row>
    <row r="1601" spans="1:14" s="2" customFormat="1">
      <c r="A1601" s="83"/>
      <c r="H1601" s="83"/>
      <c r="K1601" s="82"/>
      <c r="M1601" s="112"/>
      <c r="N1601" s="84"/>
    </row>
    <row r="1602" spans="1:14" s="2" customFormat="1">
      <c r="A1602" s="83"/>
      <c r="H1602" s="83"/>
      <c r="K1602" s="82"/>
      <c r="M1602" s="112"/>
      <c r="N1602" s="84"/>
    </row>
    <row r="1603" spans="1:14" s="2" customFormat="1">
      <c r="A1603" s="83"/>
      <c r="H1603" s="83"/>
      <c r="K1603" s="82"/>
      <c r="M1603" s="112"/>
      <c r="N1603" s="84"/>
    </row>
    <row r="1604" spans="1:14" s="2" customFormat="1">
      <c r="A1604" s="83"/>
      <c r="H1604" s="83"/>
      <c r="K1604" s="82"/>
      <c r="M1604" s="112"/>
      <c r="N1604" s="84"/>
    </row>
    <row r="1605" spans="1:14" s="2" customFormat="1">
      <c r="A1605" s="83"/>
      <c r="H1605" s="83"/>
      <c r="K1605" s="82"/>
      <c r="M1605" s="112"/>
      <c r="N1605" s="84"/>
    </row>
    <row r="1606" spans="1:14" s="2" customFormat="1">
      <c r="A1606" s="83"/>
      <c r="H1606" s="83"/>
      <c r="K1606" s="82"/>
      <c r="M1606" s="112"/>
      <c r="N1606" s="84"/>
    </row>
    <row r="1607" spans="1:14" s="2" customFormat="1">
      <c r="A1607" s="83"/>
      <c r="H1607" s="83"/>
      <c r="K1607" s="82"/>
      <c r="M1607" s="112"/>
      <c r="N1607" s="84"/>
    </row>
    <row r="1608" spans="1:14" s="2" customFormat="1">
      <c r="A1608" s="83"/>
      <c r="H1608" s="83"/>
      <c r="K1608" s="82"/>
      <c r="M1608" s="112"/>
      <c r="N1608" s="84"/>
    </row>
    <row r="1609" spans="1:14" s="2" customFormat="1">
      <c r="A1609" s="83"/>
      <c r="H1609" s="83"/>
      <c r="K1609" s="82"/>
      <c r="M1609" s="112"/>
      <c r="N1609" s="84"/>
    </row>
    <row r="1610" spans="1:14" s="2" customFormat="1">
      <c r="A1610" s="83"/>
      <c r="H1610" s="83"/>
      <c r="K1610" s="82"/>
      <c r="M1610" s="112"/>
      <c r="N1610" s="84"/>
    </row>
    <row r="1611" spans="1:14" s="2" customFormat="1">
      <c r="A1611" s="83"/>
      <c r="H1611" s="83"/>
      <c r="K1611" s="82"/>
      <c r="M1611" s="112"/>
      <c r="N1611" s="84"/>
    </row>
    <row r="1612" spans="1:14" s="2" customFormat="1">
      <c r="A1612" s="83"/>
      <c r="H1612" s="83"/>
      <c r="K1612" s="82"/>
      <c r="M1612" s="112"/>
      <c r="N1612" s="84"/>
    </row>
    <row r="1613" spans="1:14" s="2" customFormat="1">
      <c r="A1613" s="83"/>
      <c r="H1613" s="83"/>
      <c r="K1613" s="82"/>
      <c r="M1613" s="112"/>
      <c r="N1613" s="84"/>
    </row>
    <row r="1614" spans="1:14" s="2" customFormat="1">
      <c r="A1614" s="83"/>
      <c r="H1614" s="83"/>
      <c r="K1614" s="82"/>
      <c r="M1614" s="112"/>
      <c r="N1614" s="84"/>
    </row>
    <row r="1615" spans="1:14" s="2" customFormat="1">
      <c r="A1615" s="83"/>
      <c r="H1615" s="83"/>
      <c r="K1615" s="82"/>
      <c r="M1615" s="112"/>
      <c r="N1615" s="84"/>
    </row>
    <row r="1616" spans="1:14" s="2" customFormat="1">
      <c r="A1616" s="83"/>
      <c r="H1616" s="83"/>
      <c r="K1616" s="82"/>
      <c r="M1616" s="112"/>
      <c r="N1616" s="84"/>
    </row>
    <row r="1617" spans="1:14" s="2" customFormat="1">
      <c r="A1617" s="83"/>
      <c r="H1617" s="83"/>
      <c r="K1617" s="82"/>
      <c r="M1617" s="112"/>
      <c r="N1617" s="84"/>
    </row>
    <row r="1618" spans="1:14" s="2" customFormat="1">
      <c r="A1618" s="83"/>
      <c r="H1618" s="83"/>
      <c r="K1618" s="82"/>
      <c r="M1618" s="112"/>
      <c r="N1618" s="84"/>
    </row>
    <row r="1619" spans="1:14" s="2" customFormat="1">
      <c r="A1619" s="83"/>
      <c r="H1619" s="83"/>
      <c r="K1619" s="82"/>
      <c r="M1619" s="112"/>
      <c r="N1619" s="84"/>
    </row>
    <row r="1620" spans="1:14" s="2" customFormat="1">
      <c r="A1620" s="83"/>
      <c r="H1620" s="83"/>
      <c r="K1620" s="82"/>
      <c r="M1620" s="112"/>
      <c r="N1620" s="84"/>
    </row>
    <row r="1621" spans="1:14" s="2" customFormat="1">
      <c r="A1621" s="83"/>
      <c r="H1621" s="83"/>
      <c r="K1621" s="82"/>
      <c r="M1621" s="112"/>
      <c r="N1621" s="84"/>
    </row>
    <row r="1622" spans="1:14" s="2" customFormat="1">
      <c r="A1622" s="83"/>
      <c r="H1622" s="83"/>
      <c r="K1622" s="82"/>
      <c r="M1622" s="112"/>
      <c r="N1622" s="84"/>
    </row>
    <row r="1623" spans="1:14" s="2" customFormat="1">
      <c r="A1623" s="83"/>
      <c r="H1623" s="83"/>
      <c r="K1623" s="82"/>
      <c r="M1623" s="112"/>
      <c r="N1623" s="84"/>
    </row>
    <row r="1624" spans="1:14" s="2" customFormat="1">
      <c r="A1624" s="83"/>
      <c r="H1624" s="83"/>
      <c r="K1624" s="82"/>
      <c r="M1624" s="112"/>
      <c r="N1624" s="84"/>
    </row>
    <row r="1625" spans="1:14" s="2" customFormat="1">
      <c r="A1625" s="83"/>
      <c r="H1625" s="83"/>
      <c r="K1625" s="82"/>
      <c r="M1625" s="112"/>
      <c r="N1625" s="84"/>
    </row>
    <row r="1626" spans="1:14" s="2" customFormat="1">
      <c r="A1626" s="83"/>
      <c r="H1626" s="83"/>
      <c r="K1626" s="82"/>
      <c r="M1626" s="112"/>
      <c r="N1626" s="84"/>
    </row>
    <row r="1627" spans="1:14" s="2" customFormat="1">
      <c r="A1627" s="83"/>
      <c r="H1627" s="83"/>
      <c r="K1627" s="82"/>
      <c r="M1627" s="112"/>
      <c r="N1627" s="84"/>
    </row>
    <row r="1628" spans="1:14" s="2" customFormat="1">
      <c r="A1628" s="83"/>
      <c r="H1628" s="83"/>
      <c r="K1628" s="82"/>
      <c r="M1628" s="112"/>
      <c r="N1628" s="84"/>
    </row>
    <row r="1629" spans="1:14" s="2" customFormat="1">
      <c r="A1629" s="83"/>
      <c r="H1629" s="83"/>
      <c r="K1629" s="82"/>
      <c r="M1629" s="112"/>
      <c r="N1629" s="84"/>
    </row>
    <row r="1630" spans="1:14" s="2" customFormat="1">
      <c r="A1630" s="83"/>
      <c r="H1630" s="83"/>
      <c r="K1630" s="82"/>
      <c r="M1630" s="112"/>
      <c r="N1630" s="84"/>
    </row>
    <row r="1631" spans="1:14" s="2" customFormat="1">
      <c r="A1631" s="83"/>
      <c r="H1631" s="83"/>
      <c r="K1631" s="82"/>
      <c r="M1631" s="112"/>
      <c r="N1631" s="84"/>
    </row>
    <row r="1632" spans="1:14" s="2" customFormat="1">
      <c r="A1632" s="83"/>
      <c r="H1632" s="83"/>
      <c r="K1632" s="82"/>
      <c r="M1632" s="112"/>
      <c r="N1632" s="84"/>
    </row>
    <row r="1633" spans="1:14" s="2" customFormat="1">
      <c r="A1633" s="83"/>
      <c r="H1633" s="83"/>
      <c r="K1633" s="82"/>
      <c r="M1633" s="112"/>
      <c r="N1633" s="84"/>
    </row>
    <row r="1634" spans="1:14" s="2" customFormat="1">
      <c r="A1634" s="83"/>
      <c r="H1634" s="83"/>
      <c r="K1634" s="82"/>
      <c r="M1634" s="112"/>
      <c r="N1634" s="84"/>
    </row>
    <row r="1635" spans="1:14" s="2" customFormat="1">
      <c r="A1635" s="83"/>
      <c r="H1635" s="83"/>
      <c r="K1635" s="82"/>
      <c r="M1635" s="112"/>
      <c r="N1635" s="84"/>
    </row>
    <row r="1636" spans="1:14" s="2" customFormat="1">
      <c r="A1636" s="83"/>
      <c r="H1636" s="83"/>
      <c r="K1636" s="82"/>
      <c r="M1636" s="112"/>
      <c r="N1636" s="84"/>
    </row>
    <row r="1637" spans="1:14" s="2" customFormat="1">
      <c r="A1637" s="83"/>
      <c r="H1637" s="83"/>
      <c r="K1637" s="82"/>
      <c r="M1637" s="112"/>
      <c r="N1637" s="84"/>
    </row>
    <row r="1638" spans="1:14" s="2" customFormat="1">
      <c r="A1638" s="83"/>
      <c r="H1638" s="83"/>
      <c r="K1638" s="82"/>
      <c r="M1638" s="112"/>
      <c r="N1638" s="84"/>
    </row>
    <row r="1639" spans="1:14" s="2" customFormat="1">
      <c r="A1639" s="83"/>
      <c r="H1639" s="83"/>
      <c r="K1639" s="82"/>
      <c r="M1639" s="112"/>
      <c r="N1639" s="84"/>
    </row>
    <row r="1640" spans="1:14" s="2" customFormat="1">
      <c r="A1640" s="83"/>
      <c r="H1640" s="83"/>
      <c r="K1640" s="82"/>
      <c r="M1640" s="112"/>
      <c r="N1640" s="84"/>
    </row>
    <row r="1641" spans="1:14" s="2" customFormat="1">
      <c r="A1641" s="83"/>
      <c r="H1641" s="83"/>
      <c r="K1641" s="82"/>
      <c r="M1641" s="112"/>
      <c r="N1641" s="84"/>
    </row>
    <row r="1642" spans="1:14" s="2" customFormat="1">
      <c r="A1642" s="83"/>
      <c r="H1642" s="83"/>
      <c r="K1642" s="82"/>
      <c r="M1642" s="112"/>
      <c r="N1642" s="84"/>
    </row>
    <row r="1643" spans="1:14" s="2" customFormat="1">
      <c r="A1643" s="83"/>
      <c r="H1643" s="83"/>
      <c r="K1643" s="82"/>
      <c r="M1643" s="112"/>
      <c r="N1643" s="84"/>
    </row>
    <row r="1644" spans="1:14" s="2" customFormat="1">
      <c r="A1644" s="83"/>
      <c r="H1644" s="83"/>
      <c r="K1644" s="82"/>
      <c r="M1644" s="112"/>
      <c r="N1644" s="84"/>
    </row>
    <row r="1645" spans="1:14" s="2" customFormat="1">
      <c r="A1645" s="83"/>
      <c r="H1645" s="83"/>
      <c r="K1645" s="82"/>
      <c r="M1645" s="112"/>
      <c r="N1645" s="84"/>
    </row>
    <row r="1646" spans="1:14" s="2" customFormat="1">
      <c r="A1646" s="83"/>
      <c r="H1646" s="83"/>
      <c r="K1646" s="82"/>
      <c r="M1646" s="112"/>
      <c r="N1646" s="84"/>
    </row>
    <row r="1647" spans="1:14" s="2" customFormat="1">
      <c r="A1647" s="83"/>
      <c r="H1647" s="83"/>
      <c r="K1647" s="82"/>
      <c r="M1647" s="112"/>
      <c r="N1647" s="84"/>
    </row>
    <row r="1648" spans="1:14" s="2" customFormat="1">
      <c r="A1648" s="83"/>
      <c r="H1648" s="83"/>
      <c r="K1648" s="82"/>
      <c r="M1648" s="112"/>
      <c r="N1648" s="84"/>
    </row>
    <row r="1649" spans="1:14" s="2" customFormat="1">
      <c r="A1649" s="83"/>
      <c r="H1649" s="83"/>
      <c r="K1649" s="82"/>
      <c r="M1649" s="112"/>
      <c r="N1649" s="84"/>
    </row>
    <row r="1650" spans="1:14" s="2" customFormat="1">
      <c r="A1650" s="83"/>
      <c r="H1650" s="83"/>
      <c r="K1650" s="82"/>
      <c r="M1650" s="112"/>
      <c r="N1650" s="84"/>
    </row>
    <row r="1651" spans="1:14" s="2" customFormat="1">
      <c r="A1651" s="83"/>
      <c r="H1651" s="83"/>
      <c r="K1651" s="82"/>
      <c r="M1651" s="112"/>
      <c r="N1651" s="84"/>
    </row>
    <row r="1652" spans="1:14" s="2" customFormat="1">
      <c r="A1652" s="83"/>
      <c r="H1652" s="83"/>
      <c r="K1652" s="82"/>
      <c r="M1652" s="112"/>
      <c r="N1652" s="84"/>
    </row>
    <row r="1653" spans="1:14" s="2" customFormat="1">
      <c r="A1653" s="83"/>
      <c r="H1653" s="83"/>
      <c r="K1653" s="82"/>
      <c r="M1653" s="112"/>
      <c r="N1653" s="84"/>
    </row>
    <row r="1654" spans="1:14" s="2" customFormat="1">
      <c r="A1654" s="83"/>
      <c r="H1654" s="83"/>
      <c r="K1654" s="82"/>
      <c r="M1654" s="112"/>
      <c r="N1654" s="84"/>
    </row>
    <row r="1655" spans="1:14" s="2" customFormat="1">
      <c r="A1655" s="83"/>
      <c r="H1655" s="83"/>
      <c r="K1655" s="82"/>
      <c r="M1655" s="112"/>
      <c r="N1655" s="84"/>
    </row>
    <row r="1656" spans="1:14" s="2" customFormat="1">
      <c r="A1656" s="83"/>
      <c r="H1656" s="83"/>
      <c r="K1656" s="82"/>
      <c r="M1656" s="112"/>
      <c r="N1656" s="84"/>
    </row>
    <row r="1657" spans="1:14" s="2" customFormat="1">
      <c r="A1657" s="83"/>
      <c r="H1657" s="83"/>
      <c r="K1657" s="82"/>
      <c r="M1657" s="112"/>
      <c r="N1657" s="84"/>
    </row>
    <row r="1658" spans="1:14" s="2" customFormat="1">
      <c r="A1658" s="83"/>
      <c r="H1658" s="83"/>
      <c r="K1658" s="82"/>
      <c r="M1658" s="112"/>
      <c r="N1658" s="84"/>
    </row>
    <row r="1659" spans="1:14" s="2" customFormat="1">
      <c r="A1659" s="83"/>
      <c r="H1659" s="83"/>
      <c r="K1659" s="82"/>
      <c r="M1659" s="112"/>
      <c r="N1659" s="84"/>
    </row>
    <row r="1660" spans="1:14" s="2" customFormat="1">
      <c r="A1660" s="83"/>
      <c r="H1660" s="83"/>
      <c r="K1660" s="82"/>
      <c r="M1660" s="112"/>
      <c r="N1660" s="84"/>
    </row>
    <row r="1661" spans="1:14" s="2" customFormat="1">
      <c r="A1661" s="83"/>
      <c r="H1661" s="83"/>
      <c r="K1661" s="82"/>
      <c r="M1661" s="112"/>
      <c r="N1661" s="84"/>
    </row>
    <row r="1662" spans="1:14" s="2" customFormat="1">
      <c r="A1662" s="83"/>
      <c r="H1662" s="83"/>
      <c r="K1662" s="82"/>
      <c r="M1662" s="112"/>
      <c r="N1662" s="84"/>
    </row>
    <row r="1663" spans="1:14" s="2" customFormat="1">
      <c r="A1663" s="83"/>
      <c r="H1663" s="83"/>
      <c r="K1663" s="82"/>
      <c r="M1663" s="112"/>
      <c r="N1663" s="84"/>
    </row>
    <row r="1664" spans="1:14" s="2" customFormat="1">
      <c r="A1664" s="83"/>
      <c r="H1664" s="83"/>
      <c r="K1664" s="82"/>
      <c r="M1664" s="112"/>
      <c r="N1664" s="84"/>
    </row>
    <row r="1665" spans="1:14" s="2" customFormat="1">
      <c r="A1665" s="83"/>
      <c r="H1665" s="83"/>
      <c r="K1665" s="82"/>
      <c r="M1665" s="112"/>
      <c r="N1665" s="84"/>
    </row>
    <row r="1666" spans="1:14" s="2" customFormat="1">
      <c r="A1666" s="83"/>
      <c r="H1666" s="83"/>
      <c r="K1666" s="82"/>
      <c r="M1666" s="112"/>
      <c r="N1666" s="84"/>
    </row>
    <row r="1667" spans="1:14" s="2" customFormat="1">
      <c r="A1667" s="83"/>
      <c r="H1667" s="83"/>
      <c r="K1667" s="82"/>
      <c r="M1667" s="112"/>
      <c r="N1667" s="84"/>
    </row>
    <row r="1668" spans="1:14" s="2" customFormat="1">
      <c r="A1668" s="83"/>
      <c r="H1668" s="83"/>
      <c r="K1668" s="82"/>
      <c r="M1668" s="112"/>
      <c r="N1668" s="84"/>
    </row>
    <row r="1669" spans="1:14" s="2" customFormat="1">
      <c r="A1669" s="83"/>
      <c r="H1669" s="83"/>
      <c r="K1669" s="82"/>
      <c r="M1669" s="112"/>
      <c r="N1669" s="84"/>
    </row>
    <row r="1670" spans="1:14" s="2" customFormat="1">
      <c r="A1670" s="83"/>
      <c r="H1670" s="83"/>
      <c r="K1670" s="82"/>
      <c r="M1670" s="112"/>
      <c r="N1670" s="84"/>
    </row>
    <row r="1671" spans="1:14" s="2" customFormat="1">
      <c r="A1671" s="83"/>
      <c r="H1671" s="83"/>
      <c r="K1671" s="82"/>
      <c r="M1671" s="112"/>
      <c r="N1671" s="84"/>
    </row>
    <row r="1672" spans="1:14" s="2" customFormat="1">
      <c r="A1672" s="83"/>
      <c r="H1672" s="83"/>
      <c r="K1672" s="82"/>
      <c r="M1672" s="112"/>
      <c r="N1672" s="84"/>
    </row>
    <row r="1673" spans="1:14" s="2" customFormat="1">
      <c r="A1673" s="83"/>
      <c r="H1673" s="83"/>
      <c r="K1673" s="82"/>
      <c r="M1673" s="112"/>
      <c r="N1673" s="84"/>
    </row>
    <row r="1674" spans="1:14" s="2" customFormat="1">
      <c r="A1674" s="83"/>
      <c r="H1674" s="83"/>
      <c r="K1674" s="82"/>
      <c r="M1674" s="112"/>
      <c r="N1674" s="84"/>
    </row>
    <row r="1675" spans="1:14" s="2" customFormat="1">
      <c r="A1675" s="83"/>
      <c r="H1675" s="83"/>
      <c r="K1675" s="82"/>
      <c r="M1675" s="112"/>
      <c r="N1675" s="84"/>
    </row>
    <row r="1676" spans="1:14" s="2" customFormat="1">
      <c r="A1676" s="83"/>
      <c r="H1676" s="83"/>
      <c r="K1676" s="82"/>
      <c r="M1676" s="112"/>
      <c r="N1676" s="84"/>
    </row>
    <row r="1677" spans="1:14" s="2" customFormat="1">
      <c r="A1677" s="83"/>
      <c r="H1677" s="83"/>
      <c r="K1677" s="82"/>
      <c r="M1677" s="112"/>
      <c r="N1677" s="84"/>
    </row>
    <row r="1678" spans="1:14" s="2" customFormat="1">
      <c r="A1678" s="83"/>
      <c r="H1678" s="83"/>
      <c r="K1678" s="82"/>
      <c r="M1678" s="112"/>
      <c r="N1678" s="84"/>
    </row>
    <row r="1679" spans="1:14" s="2" customFormat="1">
      <c r="A1679" s="83"/>
      <c r="H1679" s="83"/>
      <c r="K1679" s="82"/>
      <c r="M1679" s="112"/>
      <c r="N1679" s="84"/>
    </row>
    <row r="1680" spans="1:14" s="2" customFormat="1">
      <c r="A1680" s="83"/>
      <c r="H1680" s="83"/>
      <c r="K1680" s="82"/>
      <c r="M1680" s="112"/>
      <c r="N1680" s="84"/>
    </row>
    <row r="1681" spans="1:14" s="2" customFormat="1">
      <c r="A1681" s="83"/>
      <c r="H1681" s="83"/>
      <c r="K1681" s="82"/>
      <c r="M1681" s="112"/>
      <c r="N1681" s="84"/>
    </row>
    <row r="1682" spans="1:14" s="2" customFormat="1">
      <c r="A1682" s="83"/>
      <c r="H1682" s="83"/>
      <c r="K1682" s="82"/>
      <c r="M1682" s="112"/>
      <c r="N1682" s="84"/>
    </row>
    <row r="1683" spans="1:14" s="2" customFormat="1">
      <c r="A1683" s="83"/>
      <c r="H1683" s="83"/>
      <c r="K1683" s="82"/>
      <c r="M1683" s="112"/>
      <c r="N1683" s="84"/>
    </row>
    <row r="1684" spans="1:14" s="2" customFormat="1">
      <c r="A1684" s="83"/>
      <c r="H1684" s="83"/>
      <c r="K1684" s="82"/>
      <c r="M1684" s="112"/>
      <c r="N1684" s="84"/>
    </row>
    <row r="1685" spans="1:14" s="2" customFormat="1">
      <c r="A1685" s="83"/>
      <c r="H1685" s="83"/>
      <c r="K1685" s="82"/>
      <c r="M1685" s="112"/>
      <c r="N1685" s="84"/>
    </row>
    <row r="1686" spans="1:14" s="2" customFormat="1">
      <c r="A1686" s="83"/>
      <c r="H1686" s="83"/>
      <c r="K1686" s="82"/>
      <c r="M1686" s="112"/>
      <c r="N1686" s="84"/>
    </row>
    <row r="1687" spans="1:14" s="2" customFormat="1">
      <c r="A1687" s="83"/>
      <c r="H1687" s="83"/>
      <c r="K1687" s="82"/>
      <c r="M1687" s="112"/>
      <c r="N1687" s="84"/>
    </row>
    <row r="1688" spans="1:14" s="2" customFormat="1">
      <c r="A1688" s="83"/>
      <c r="H1688" s="83"/>
      <c r="K1688" s="82"/>
      <c r="M1688" s="112"/>
      <c r="N1688" s="84"/>
    </row>
    <row r="1689" spans="1:14" s="2" customFormat="1">
      <c r="A1689" s="83"/>
      <c r="H1689" s="83"/>
      <c r="K1689" s="82"/>
      <c r="M1689" s="112"/>
      <c r="N1689" s="84"/>
    </row>
    <row r="1690" spans="1:14" s="2" customFormat="1">
      <c r="A1690" s="83"/>
      <c r="H1690" s="83"/>
      <c r="K1690" s="82"/>
      <c r="M1690" s="112"/>
      <c r="N1690" s="84"/>
    </row>
    <row r="1691" spans="1:14" s="2" customFormat="1">
      <c r="A1691" s="83"/>
      <c r="H1691" s="83"/>
      <c r="K1691" s="82"/>
      <c r="M1691" s="112"/>
      <c r="N1691" s="84"/>
    </row>
    <row r="1692" spans="1:14" s="2" customFormat="1">
      <c r="A1692" s="83"/>
      <c r="H1692" s="83"/>
      <c r="K1692" s="82"/>
      <c r="M1692" s="112"/>
      <c r="N1692" s="84"/>
    </row>
    <row r="1693" spans="1:14" s="2" customFormat="1">
      <c r="A1693" s="83"/>
      <c r="H1693" s="83"/>
      <c r="K1693" s="82"/>
      <c r="M1693" s="112"/>
      <c r="N1693" s="84"/>
    </row>
    <row r="1694" spans="1:14" s="2" customFormat="1">
      <c r="A1694" s="83"/>
      <c r="H1694" s="83"/>
      <c r="K1694" s="82"/>
      <c r="M1694" s="112"/>
      <c r="N1694" s="84"/>
    </row>
    <row r="1695" spans="1:14" s="2" customFormat="1">
      <c r="A1695" s="83"/>
      <c r="H1695" s="83"/>
      <c r="K1695" s="82"/>
      <c r="M1695" s="112"/>
      <c r="N1695" s="84"/>
    </row>
    <row r="1696" spans="1:14" s="2" customFormat="1">
      <c r="A1696" s="83"/>
      <c r="H1696" s="83"/>
      <c r="K1696" s="82"/>
      <c r="M1696" s="112"/>
      <c r="N1696" s="84"/>
    </row>
    <row r="1697" spans="1:14" s="2" customFormat="1">
      <c r="A1697" s="83"/>
      <c r="H1697" s="83"/>
      <c r="K1697" s="82"/>
      <c r="M1697" s="112"/>
      <c r="N1697" s="84"/>
    </row>
    <row r="1698" spans="1:14" s="2" customFormat="1">
      <c r="A1698" s="83"/>
      <c r="H1698" s="83"/>
      <c r="K1698" s="82"/>
      <c r="M1698" s="112"/>
      <c r="N1698" s="84"/>
    </row>
    <row r="1699" spans="1:14" s="2" customFormat="1">
      <c r="A1699" s="83"/>
      <c r="H1699" s="83"/>
      <c r="K1699" s="82"/>
      <c r="M1699" s="112"/>
      <c r="N1699" s="84"/>
    </row>
    <row r="1700" spans="1:14" s="2" customFormat="1">
      <c r="A1700" s="83"/>
      <c r="H1700" s="83"/>
      <c r="K1700" s="82"/>
      <c r="M1700" s="112"/>
      <c r="N1700" s="84"/>
    </row>
    <row r="1701" spans="1:14" s="2" customFormat="1">
      <c r="A1701" s="83"/>
      <c r="H1701" s="83"/>
      <c r="K1701" s="82"/>
      <c r="M1701" s="112"/>
      <c r="N1701" s="84"/>
    </row>
    <row r="1702" spans="1:14" s="2" customFormat="1">
      <c r="A1702" s="83"/>
      <c r="H1702" s="83"/>
      <c r="K1702" s="82"/>
      <c r="M1702" s="112"/>
      <c r="N1702" s="84"/>
    </row>
    <row r="1703" spans="1:14" s="2" customFormat="1">
      <c r="A1703" s="83"/>
      <c r="H1703" s="83"/>
      <c r="K1703" s="82"/>
      <c r="M1703" s="112"/>
      <c r="N1703" s="84"/>
    </row>
    <row r="1704" spans="1:14" s="2" customFormat="1">
      <c r="A1704" s="83"/>
      <c r="H1704" s="83"/>
      <c r="K1704" s="82"/>
      <c r="M1704" s="112"/>
      <c r="N1704" s="84"/>
    </row>
    <row r="1705" spans="1:14" s="2" customFormat="1">
      <c r="A1705" s="83"/>
      <c r="H1705" s="83"/>
      <c r="K1705" s="82"/>
      <c r="M1705" s="112"/>
      <c r="N1705" s="84"/>
    </row>
    <row r="1706" spans="1:14" s="2" customFormat="1">
      <c r="A1706" s="83"/>
      <c r="H1706" s="83"/>
      <c r="K1706" s="82"/>
      <c r="M1706" s="112"/>
      <c r="N1706" s="84"/>
    </row>
    <row r="1707" spans="1:14" s="2" customFormat="1">
      <c r="A1707" s="83"/>
      <c r="H1707" s="83"/>
      <c r="K1707" s="82"/>
      <c r="M1707" s="112"/>
      <c r="N1707" s="84"/>
    </row>
    <row r="1708" spans="1:14" s="2" customFormat="1">
      <c r="A1708" s="83"/>
      <c r="H1708" s="83"/>
      <c r="K1708" s="82"/>
      <c r="M1708" s="112"/>
      <c r="N1708" s="84"/>
    </row>
    <row r="1709" spans="1:14" s="2" customFormat="1">
      <c r="A1709" s="83"/>
      <c r="H1709" s="83"/>
      <c r="K1709" s="82"/>
      <c r="M1709" s="112"/>
      <c r="N1709" s="84"/>
    </row>
    <row r="1710" spans="1:14" s="2" customFormat="1">
      <c r="A1710" s="83"/>
      <c r="H1710" s="83"/>
      <c r="K1710" s="82"/>
      <c r="M1710" s="112"/>
      <c r="N1710" s="84"/>
    </row>
    <row r="1711" spans="1:14" s="2" customFormat="1">
      <c r="A1711" s="83"/>
      <c r="H1711" s="83"/>
      <c r="K1711" s="82"/>
      <c r="M1711" s="112"/>
      <c r="N1711" s="84"/>
    </row>
    <row r="1712" spans="1:14" s="2" customFormat="1">
      <c r="A1712" s="83"/>
      <c r="H1712" s="83"/>
      <c r="K1712" s="82"/>
      <c r="M1712" s="112"/>
      <c r="N1712" s="84"/>
    </row>
    <row r="1713" spans="1:14" s="2" customFormat="1">
      <c r="A1713" s="83"/>
      <c r="H1713" s="83"/>
      <c r="K1713" s="82"/>
      <c r="M1713" s="112"/>
      <c r="N1713" s="84"/>
    </row>
    <row r="1714" spans="1:14" s="2" customFormat="1">
      <c r="A1714" s="83"/>
      <c r="H1714" s="83"/>
      <c r="K1714" s="82"/>
      <c r="M1714" s="112"/>
      <c r="N1714" s="84"/>
    </row>
    <row r="1715" spans="1:14" s="2" customFormat="1">
      <c r="A1715" s="83"/>
      <c r="H1715" s="83"/>
      <c r="K1715" s="82"/>
      <c r="M1715" s="112"/>
      <c r="N1715" s="84"/>
    </row>
    <row r="1716" spans="1:14" s="2" customFormat="1">
      <c r="A1716" s="83"/>
      <c r="H1716" s="83"/>
      <c r="K1716" s="82"/>
      <c r="M1716" s="112"/>
      <c r="N1716" s="84"/>
    </row>
    <row r="1717" spans="1:14" s="2" customFormat="1">
      <c r="A1717" s="83"/>
      <c r="H1717" s="83"/>
      <c r="K1717" s="82"/>
      <c r="M1717" s="112"/>
      <c r="N1717" s="84"/>
    </row>
    <row r="1718" spans="1:14" s="2" customFormat="1">
      <c r="A1718" s="83"/>
      <c r="H1718" s="83"/>
      <c r="K1718" s="82"/>
      <c r="M1718" s="112"/>
      <c r="N1718" s="84"/>
    </row>
    <row r="1719" spans="1:14" s="2" customFormat="1">
      <c r="A1719" s="83"/>
      <c r="H1719" s="83"/>
      <c r="K1719" s="82"/>
      <c r="M1719" s="112"/>
      <c r="N1719" s="84"/>
    </row>
    <row r="1720" spans="1:14" s="2" customFormat="1">
      <c r="A1720" s="83"/>
      <c r="H1720" s="83"/>
      <c r="K1720" s="82"/>
      <c r="M1720" s="112"/>
      <c r="N1720" s="84"/>
    </row>
    <row r="1721" spans="1:14" s="2" customFormat="1">
      <c r="A1721" s="83"/>
      <c r="H1721" s="83"/>
      <c r="K1721" s="82"/>
      <c r="M1721" s="112"/>
      <c r="N1721" s="84"/>
    </row>
    <row r="1722" spans="1:14" s="2" customFormat="1">
      <c r="A1722" s="83"/>
      <c r="H1722" s="83"/>
      <c r="K1722" s="82"/>
      <c r="M1722" s="112"/>
      <c r="N1722" s="84"/>
    </row>
    <row r="1723" spans="1:14" s="2" customFormat="1">
      <c r="A1723" s="83"/>
      <c r="H1723" s="83"/>
      <c r="K1723" s="82"/>
      <c r="M1723" s="112"/>
      <c r="N1723" s="84"/>
    </row>
    <row r="1724" spans="1:14" s="2" customFormat="1">
      <c r="A1724" s="83"/>
      <c r="H1724" s="83"/>
      <c r="K1724" s="82"/>
      <c r="M1724" s="112"/>
      <c r="N1724" s="84"/>
    </row>
    <row r="1725" spans="1:14" s="2" customFormat="1">
      <c r="A1725" s="83"/>
      <c r="H1725" s="83"/>
      <c r="K1725" s="82"/>
      <c r="M1725" s="112"/>
      <c r="N1725" s="84"/>
    </row>
    <row r="1726" spans="1:14" s="2" customFormat="1">
      <c r="A1726" s="83"/>
      <c r="H1726" s="83"/>
      <c r="K1726" s="82"/>
      <c r="M1726" s="112"/>
      <c r="N1726" s="84"/>
    </row>
    <row r="1727" spans="1:14" s="2" customFormat="1">
      <c r="A1727" s="83"/>
      <c r="H1727" s="83"/>
      <c r="K1727" s="82"/>
      <c r="M1727" s="112"/>
      <c r="N1727" s="84"/>
    </row>
    <row r="1728" spans="1:14" s="2" customFormat="1">
      <c r="A1728" s="83"/>
      <c r="H1728" s="83"/>
      <c r="K1728" s="82"/>
      <c r="M1728" s="112"/>
      <c r="N1728" s="84"/>
    </row>
    <row r="1729" spans="1:14" s="2" customFormat="1">
      <c r="A1729" s="83"/>
      <c r="H1729" s="83"/>
      <c r="K1729" s="82"/>
      <c r="M1729" s="112"/>
      <c r="N1729" s="84"/>
    </row>
    <row r="1730" spans="1:14" s="2" customFormat="1">
      <c r="A1730" s="83"/>
      <c r="H1730" s="83"/>
      <c r="K1730" s="82"/>
      <c r="M1730" s="112"/>
      <c r="N1730" s="84"/>
    </row>
    <row r="1731" spans="1:14" s="2" customFormat="1">
      <c r="A1731" s="83"/>
      <c r="H1731" s="83"/>
      <c r="K1731" s="82"/>
      <c r="M1731" s="112"/>
      <c r="N1731" s="84"/>
    </row>
    <row r="1732" spans="1:14" s="2" customFormat="1">
      <c r="A1732" s="83"/>
      <c r="H1732" s="83"/>
      <c r="K1732" s="82"/>
      <c r="M1732" s="112"/>
      <c r="N1732" s="84"/>
    </row>
    <row r="1733" spans="1:14" s="2" customFormat="1">
      <c r="A1733" s="83"/>
      <c r="H1733" s="83"/>
      <c r="K1733" s="82"/>
      <c r="M1733" s="112"/>
      <c r="N1733" s="84"/>
    </row>
    <row r="1734" spans="1:14" s="2" customFormat="1">
      <c r="A1734" s="83"/>
      <c r="H1734" s="83"/>
      <c r="K1734" s="82"/>
      <c r="M1734" s="112"/>
      <c r="N1734" s="84"/>
    </row>
    <row r="1735" spans="1:14" s="2" customFormat="1">
      <c r="A1735" s="83"/>
      <c r="H1735" s="83"/>
      <c r="K1735" s="82"/>
      <c r="M1735" s="112"/>
      <c r="N1735" s="84"/>
    </row>
    <row r="1736" spans="1:14" s="2" customFormat="1">
      <c r="A1736" s="83"/>
      <c r="H1736" s="83"/>
      <c r="K1736" s="82"/>
      <c r="M1736" s="112"/>
      <c r="N1736" s="84"/>
    </row>
    <row r="1737" spans="1:14" s="2" customFormat="1">
      <c r="A1737" s="83"/>
      <c r="H1737" s="83"/>
      <c r="K1737" s="82"/>
      <c r="M1737" s="112"/>
      <c r="N1737" s="84"/>
    </row>
    <row r="1738" spans="1:14" s="2" customFormat="1">
      <c r="A1738" s="83"/>
      <c r="H1738" s="83"/>
      <c r="K1738" s="82"/>
      <c r="M1738" s="112"/>
      <c r="N1738" s="84"/>
    </row>
    <row r="1739" spans="1:14" s="2" customFormat="1">
      <c r="A1739" s="83"/>
      <c r="H1739" s="83"/>
      <c r="K1739" s="82"/>
      <c r="M1739" s="112"/>
      <c r="N1739" s="84"/>
    </row>
    <row r="1740" spans="1:14" s="2" customFormat="1">
      <c r="A1740" s="83"/>
      <c r="H1740" s="83"/>
      <c r="K1740" s="82"/>
      <c r="M1740" s="112"/>
      <c r="N1740" s="84"/>
    </row>
    <row r="1741" spans="1:14" s="2" customFormat="1">
      <c r="A1741" s="83"/>
      <c r="H1741" s="83"/>
      <c r="K1741" s="82"/>
      <c r="M1741" s="112"/>
      <c r="N1741" s="84"/>
    </row>
    <row r="1742" spans="1:14" s="2" customFormat="1">
      <c r="A1742" s="83"/>
      <c r="H1742" s="83"/>
      <c r="K1742" s="82"/>
      <c r="M1742" s="112"/>
      <c r="N1742" s="84"/>
    </row>
    <row r="1743" spans="1:14" s="2" customFormat="1">
      <c r="A1743" s="83"/>
      <c r="H1743" s="83"/>
      <c r="K1743" s="82"/>
      <c r="M1743" s="112"/>
      <c r="N1743" s="84"/>
    </row>
    <row r="1744" spans="1:14" s="2" customFormat="1">
      <c r="A1744" s="83"/>
      <c r="H1744" s="83"/>
      <c r="K1744" s="82"/>
      <c r="M1744" s="112"/>
      <c r="N1744" s="84"/>
    </row>
    <row r="1745" spans="1:14" s="2" customFormat="1">
      <c r="A1745" s="83"/>
      <c r="H1745" s="83"/>
      <c r="K1745" s="82"/>
      <c r="M1745" s="112"/>
      <c r="N1745" s="84"/>
    </row>
    <row r="1746" spans="1:14" s="2" customFormat="1">
      <c r="A1746" s="83"/>
      <c r="H1746" s="83"/>
      <c r="K1746" s="82"/>
      <c r="M1746" s="112"/>
      <c r="N1746" s="84"/>
    </row>
    <row r="1747" spans="1:14" s="2" customFormat="1">
      <c r="A1747" s="83"/>
      <c r="H1747" s="83"/>
      <c r="K1747" s="82"/>
      <c r="M1747" s="112"/>
      <c r="N1747" s="84"/>
    </row>
    <row r="1748" spans="1:14" s="2" customFormat="1">
      <c r="A1748" s="83"/>
      <c r="H1748" s="83"/>
      <c r="K1748" s="82"/>
      <c r="M1748" s="112"/>
      <c r="N1748" s="84"/>
    </row>
    <row r="1749" spans="1:14" s="2" customFormat="1">
      <c r="A1749" s="83"/>
      <c r="H1749" s="83"/>
      <c r="K1749" s="82"/>
      <c r="M1749" s="112"/>
      <c r="N1749" s="84"/>
    </row>
    <row r="1750" spans="1:14" s="2" customFormat="1">
      <c r="A1750" s="83"/>
      <c r="H1750" s="83"/>
      <c r="K1750" s="82"/>
      <c r="M1750" s="112"/>
      <c r="N1750" s="84"/>
    </row>
    <row r="1751" spans="1:14" s="2" customFormat="1">
      <c r="A1751" s="83"/>
      <c r="H1751" s="83"/>
      <c r="K1751" s="82"/>
      <c r="M1751" s="112"/>
      <c r="N1751" s="84"/>
    </row>
    <row r="1752" spans="1:14" s="2" customFormat="1">
      <c r="A1752" s="83"/>
      <c r="H1752" s="83"/>
      <c r="K1752" s="82"/>
      <c r="M1752" s="112"/>
      <c r="N1752" s="84"/>
    </row>
    <row r="1753" spans="1:14" s="2" customFormat="1">
      <c r="A1753" s="83"/>
      <c r="H1753" s="83"/>
      <c r="K1753" s="82"/>
      <c r="M1753" s="112"/>
      <c r="N1753" s="84"/>
    </row>
    <row r="1754" spans="1:14" s="2" customFormat="1">
      <c r="A1754" s="83"/>
      <c r="H1754" s="83"/>
      <c r="K1754" s="82"/>
      <c r="M1754" s="112"/>
      <c r="N1754" s="84"/>
    </row>
    <row r="1755" spans="1:14" s="2" customFormat="1">
      <c r="A1755" s="83"/>
      <c r="H1755" s="83"/>
      <c r="K1755" s="82"/>
      <c r="M1755" s="112"/>
      <c r="N1755" s="84"/>
    </row>
    <row r="1756" spans="1:14" s="2" customFormat="1">
      <c r="A1756" s="83"/>
      <c r="H1756" s="83"/>
      <c r="K1756" s="82"/>
      <c r="M1756" s="112"/>
      <c r="N1756" s="84"/>
    </row>
    <row r="1757" spans="1:14" s="2" customFormat="1">
      <c r="A1757" s="83"/>
      <c r="H1757" s="83"/>
      <c r="K1757" s="82"/>
      <c r="M1757" s="112"/>
      <c r="N1757" s="84"/>
    </row>
    <row r="1758" spans="1:14" s="2" customFormat="1">
      <c r="A1758" s="83"/>
      <c r="H1758" s="83"/>
      <c r="K1758" s="82"/>
      <c r="M1758" s="112"/>
      <c r="N1758" s="84"/>
    </row>
    <row r="1759" spans="1:14" s="2" customFormat="1">
      <c r="A1759" s="83"/>
      <c r="H1759" s="83"/>
      <c r="K1759" s="82"/>
      <c r="M1759" s="112"/>
      <c r="N1759" s="84"/>
    </row>
    <row r="1760" spans="1:14" s="2" customFormat="1">
      <c r="A1760" s="83"/>
      <c r="H1760" s="83"/>
      <c r="K1760" s="82"/>
      <c r="M1760" s="112"/>
      <c r="N1760" s="84"/>
    </row>
    <row r="1761" spans="1:14" s="2" customFormat="1">
      <c r="A1761" s="83"/>
      <c r="H1761" s="83"/>
      <c r="K1761" s="82"/>
      <c r="M1761" s="112"/>
      <c r="N1761" s="84"/>
    </row>
    <row r="1762" spans="1:14" s="2" customFormat="1">
      <c r="A1762" s="83"/>
      <c r="H1762" s="83"/>
      <c r="K1762" s="82"/>
      <c r="M1762" s="112"/>
      <c r="N1762" s="84"/>
    </row>
    <row r="1763" spans="1:14" s="2" customFormat="1">
      <c r="A1763" s="83"/>
      <c r="H1763" s="83"/>
      <c r="K1763" s="82"/>
      <c r="M1763" s="112"/>
      <c r="N1763" s="84"/>
    </row>
    <row r="1764" spans="1:14" s="2" customFormat="1">
      <c r="A1764" s="83"/>
      <c r="H1764" s="83"/>
      <c r="K1764" s="82"/>
      <c r="M1764" s="112"/>
      <c r="N1764" s="84"/>
    </row>
    <row r="1765" spans="1:14" s="2" customFormat="1">
      <c r="A1765" s="83"/>
      <c r="H1765" s="83"/>
      <c r="K1765" s="82"/>
      <c r="M1765" s="112"/>
      <c r="N1765" s="84"/>
    </row>
    <row r="1766" spans="1:14" s="2" customFormat="1">
      <c r="A1766" s="83"/>
      <c r="H1766" s="83"/>
      <c r="K1766" s="82"/>
      <c r="M1766" s="112"/>
      <c r="N1766" s="84"/>
    </row>
    <row r="1767" spans="1:14" s="2" customFormat="1">
      <c r="A1767" s="83"/>
      <c r="H1767" s="83"/>
      <c r="K1767" s="82"/>
      <c r="M1767" s="112"/>
      <c r="N1767" s="84"/>
    </row>
    <row r="1768" spans="1:14" s="2" customFormat="1">
      <c r="A1768" s="83"/>
      <c r="H1768" s="83"/>
      <c r="K1768" s="82"/>
      <c r="M1768" s="112"/>
      <c r="N1768" s="84"/>
    </row>
    <row r="1769" spans="1:14" s="2" customFormat="1">
      <c r="A1769" s="83"/>
      <c r="H1769" s="83"/>
      <c r="K1769" s="82"/>
      <c r="M1769" s="112"/>
      <c r="N1769" s="84"/>
    </row>
    <row r="1770" spans="1:14" s="2" customFormat="1">
      <c r="A1770" s="83"/>
      <c r="H1770" s="83"/>
      <c r="K1770" s="82"/>
      <c r="M1770" s="112"/>
      <c r="N1770" s="84"/>
    </row>
    <row r="1771" spans="1:14" s="2" customFormat="1">
      <c r="A1771" s="83"/>
      <c r="H1771" s="83"/>
      <c r="K1771" s="82"/>
      <c r="M1771" s="112"/>
      <c r="N1771" s="84"/>
    </row>
    <row r="1772" spans="1:14" s="2" customFormat="1">
      <c r="A1772" s="83"/>
      <c r="H1772" s="83"/>
      <c r="K1772" s="82"/>
      <c r="M1772" s="112"/>
      <c r="N1772" s="84"/>
    </row>
    <row r="1773" spans="1:14" s="2" customFormat="1">
      <c r="A1773" s="83"/>
      <c r="H1773" s="83"/>
      <c r="K1773" s="82"/>
      <c r="M1773" s="112"/>
      <c r="N1773" s="84"/>
    </row>
    <row r="1774" spans="1:14" s="2" customFormat="1">
      <c r="A1774" s="83"/>
      <c r="H1774" s="83"/>
      <c r="K1774" s="82"/>
      <c r="M1774" s="112"/>
      <c r="N1774" s="84"/>
    </row>
    <row r="1775" spans="1:14" s="2" customFormat="1">
      <c r="A1775" s="83"/>
      <c r="H1775" s="83"/>
      <c r="K1775" s="82"/>
      <c r="M1775" s="112"/>
      <c r="N1775" s="84"/>
    </row>
    <row r="1776" spans="1:14" s="2" customFormat="1">
      <c r="A1776" s="83"/>
      <c r="H1776" s="83"/>
      <c r="K1776" s="82"/>
      <c r="M1776" s="112"/>
      <c r="N1776" s="84"/>
    </row>
    <row r="1777" spans="1:14" s="2" customFormat="1">
      <c r="A1777" s="83"/>
      <c r="H1777" s="83"/>
      <c r="K1777" s="82"/>
      <c r="M1777" s="112"/>
      <c r="N1777" s="84"/>
    </row>
    <row r="1778" spans="1:14" s="2" customFormat="1">
      <c r="A1778" s="83"/>
      <c r="H1778" s="83"/>
      <c r="K1778" s="82"/>
      <c r="M1778" s="112"/>
      <c r="N1778" s="84"/>
    </row>
    <row r="1779" spans="1:14" s="2" customFormat="1">
      <c r="A1779" s="83"/>
      <c r="H1779" s="83"/>
      <c r="K1779" s="82"/>
      <c r="M1779" s="112"/>
      <c r="N1779" s="84"/>
    </row>
    <row r="1780" spans="1:14" s="2" customFormat="1">
      <c r="A1780" s="83"/>
      <c r="H1780" s="83"/>
      <c r="K1780" s="82"/>
      <c r="M1780" s="112"/>
      <c r="N1780" s="84"/>
    </row>
    <row r="1781" spans="1:14" s="2" customFormat="1">
      <c r="A1781" s="83"/>
      <c r="H1781" s="83"/>
      <c r="K1781" s="82"/>
      <c r="M1781" s="112"/>
      <c r="N1781" s="84"/>
    </row>
    <row r="1782" spans="1:14" s="2" customFormat="1">
      <c r="A1782" s="83"/>
      <c r="H1782" s="83"/>
      <c r="K1782" s="82"/>
      <c r="M1782" s="112"/>
      <c r="N1782" s="84"/>
    </row>
    <row r="1783" spans="1:14" s="2" customFormat="1">
      <c r="A1783" s="83"/>
      <c r="H1783" s="83"/>
      <c r="K1783" s="82"/>
      <c r="M1783" s="112"/>
      <c r="N1783" s="84"/>
    </row>
    <row r="1784" spans="1:14" s="2" customFormat="1">
      <c r="A1784" s="83"/>
      <c r="H1784" s="83"/>
      <c r="K1784" s="82"/>
      <c r="M1784" s="112"/>
      <c r="N1784" s="84"/>
    </row>
    <row r="1785" spans="1:14" s="2" customFormat="1">
      <c r="A1785" s="83"/>
      <c r="H1785" s="83"/>
      <c r="K1785" s="82"/>
      <c r="M1785" s="112"/>
      <c r="N1785" s="84"/>
    </row>
    <row r="1786" spans="1:14" s="2" customFormat="1">
      <c r="A1786" s="83"/>
      <c r="H1786" s="83"/>
      <c r="K1786" s="82"/>
      <c r="M1786" s="112"/>
      <c r="N1786" s="84"/>
    </row>
    <row r="1787" spans="1:14" s="2" customFormat="1">
      <c r="A1787" s="83"/>
      <c r="H1787" s="83"/>
      <c r="K1787" s="82"/>
      <c r="M1787" s="112"/>
      <c r="N1787" s="84"/>
    </row>
    <row r="1788" spans="1:14" s="2" customFormat="1">
      <c r="A1788" s="83"/>
      <c r="H1788" s="83"/>
      <c r="K1788" s="82"/>
      <c r="M1788" s="112"/>
      <c r="N1788" s="84"/>
    </row>
    <row r="1789" spans="1:14" s="2" customFormat="1">
      <c r="A1789" s="83"/>
      <c r="H1789" s="83"/>
      <c r="K1789" s="82"/>
      <c r="M1789" s="112"/>
      <c r="N1789" s="84"/>
    </row>
    <row r="1790" spans="1:14" s="2" customFormat="1">
      <c r="A1790" s="83"/>
      <c r="H1790" s="83"/>
      <c r="K1790" s="82"/>
      <c r="M1790" s="112"/>
      <c r="N1790" s="84"/>
    </row>
    <row r="1791" spans="1:14" s="2" customFormat="1">
      <c r="A1791" s="83"/>
      <c r="H1791" s="83"/>
      <c r="K1791" s="82"/>
      <c r="M1791" s="112"/>
      <c r="N1791" s="84"/>
    </row>
    <row r="1792" spans="1:14" s="2" customFormat="1">
      <c r="A1792" s="83"/>
      <c r="H1792" s="83"/>
      <c r="K1792" s="82"/>
      <c r="M1792" s="112"/>
      <c r="N1792" s="84"/>
    </row>
    <row r="1793" spans="1:14" s="2" customFormat="1">
      <c r="A1793" s="83"/>
      <c r="H1793" s="83"/>
      <c r="K1793" s="82"/>
      <c r="M1793" s="112"/>
      <c r="N1793" s="84"/>
    </row>
    <row r="1794" spans="1:14" s="2" customFormat="1">
      <c r="A1794" s="83"/>
      <c r="H1794" s="83"/>
      <c r="K1794" s="82"/>
      <c r="M1794" s="112"/>
      <c r="N1794" s="84"/>
    </row>
    <row r="1795" spans="1:14" s="2" customFormat="1">
      <c r="A1795" s="83"/>
      <c r="H1795" s="83"/>
      <c r="K1795" s="82"/>
      <c r="M1795" s="112"/>
      <c r="N1795" s="84"/>
    </row>
    <row r="1796" spans="1:14" s="2" customFormat="1">
      <c r="A1796" s="83"/>
      <c r="H1796" s="83"/>
      <c r="K1796" s="82"/>
      <c r="M1796" s="112"/>
      <c r="N1796" s="84"/>
    </row>
    <row r="1797" spans="1:14" s="2" customFormat="1">
      <c r="A1797" s="83"/>
      <c r="H1797" s="83"/>
      <c r="K1797" s="82"/>
      <c r="M1797" s="112"/>
      <c r="N1797" s="84"/>
    </row>
    <row r="1798" spans="1:14" s="2" customFormat="1">
      <c r="A1798" s="83"/>
      <c r="H1798" s="83"/>
      <c r="K1798" s="82"/>
      <c r="M1798" s="112"/>
      <c r="N1798" s="84"/>
    </row>
    <row r="1799" spans="1:14" s="2" customFormat="1">
      <c r="A1799" s="83"/>
      <c r="H1799" s="83"/>
      <c r="K1799" s="82"/>
      <c r="M1799" s="112"/>
      <c r="N1799" s="84"/>
    </row>
    <row r="1800" spans="1:14" s="2" customFormat="1">
      <c r="A1800" s="83"/>
      <c r="H1800" s="83"/>
      <c r="K1800" s="82"/>
      <c r="M1800" s="112"/>
      <c r="N1800" s="84"/>
    </row>
    <row r="1801" spans="1:14" s="2" customFormat="1">
      <c r="A1801" s="83"/>
      <c r="H1801" s="83"/>
      <c r="K1801" s="82"/>
      <c r="M1801" s="112"/>
      <c r="N1801" s="84"/>
    </row>
    <row r="1802" spans="1:14" s="2" customFormat="1">
      <c r="A1802" s="83"/>
      <c r="H1802" s="83"/>
      <c r="K1802" s="82"/>
      <c r="M1802" s="112"/>
      <c r="N1802" s="84"/>
    </row>
    <row r="1803" spans="1:14" s="2" customFormat="1">
      <c r="A1803" s="83"/>
      <c r="H1803" s="83"/>
      <c r="K1803" s="82"/>
      <c r="M1803" s="112"/>
      <c r="N1803" s="84"/>
    </row>
    <row r="1804" spans="1:14" s="2" customFormat="1">
      <c r="A1804" s="83"/>
      <c r="H1804" s="83"/>
      <c r="K1804" s="82"/>
      <c r="M1804" s="112"/>
      <c r="N1804" s="84"/>
    </row>
    <row r="1805" spans="1:14" s="2" customFormat="1">
      <c r="A1805" s="83"/>
      <c r="H1805" s="83"/>
      <c r="K1805" s="82"/>
      <c r="M1805" s="112"/>
      <c r="N1805" s="84"/>
    </row>
    <row r="1806" spans="1:14" s="2" customFormat="1">
      <c r="A1806" s="83"/>
      <c r="H1806" s="83"/>
      <c r="K1806" s="82"/>
      <c r="M1806" s="112"/>
      <c r="N1806" s="84"/>
    </row>
    <row r="1807" spans="1:14" s="2" customFormat="1">
      <c r="A1807" s="83"/>
      <c r="H1807" s="83"/>
      <c r="K1807" s="82"/>
      <c r="M1807" s="112"/>
      <c r="N1807" s="84"/>
    </row>
    <row r="1808" spans="1:14" s="2" customFormat="1">
      <c r="A1808" s="83"/>
      <c r="H1808" s="83"/>
      <c r="K1808" s="82"/>
      <c r="M1808" s="112"/>
      <c r="N1808" s="84"/>
    </row>
    <row r="1809" spans="1:14" s="2" customFormat="1">
      <c r="A1809" s="83"/>
      <c r="H1809" s="83"/>
      <c r="K1809" s="82"/>
      <c r="M1809" s="112"/>
      <c r="N1809" s="84"/>
    </row>
    <row r="1810" spans="1:14" s="2" customFormat="1">
      <c r="A1810" s="83"/>
      <c r="H1810" s="83"/>
      <c r="K1810" s="82"/>
      <c r="M1810" s="112"/>
      <c r="N1810" s="84"/>
    </row>
    <row r="1811" spans="1:14" s="2" customFormat="1">
      <c r="A1811" s="83"/>
      <c r="H1811" s="83"/>
      <c r="K1811" s="82"/>
      <c r="M1811" s="112"/>
      <c r="N1811" s="84"/>
    </row>
    <row r="1812" spans="1:14" s="2" customFormat="1">
      <c r="A1812" s="83"/>
      <c r="H1812" s="83"/>
      <c r="K1812" s="82"/>
      <c r="M1812" s="112"/>
      <c r="N1812" s="84"/>
    </row>
    <row r="1813" spans="1:14" s="2" customFormat="1">
      <c r="A1813" s="83"/>
      <c r="H1813" s="83"/>
      <c r="K1813" s="82"/>
      <c r="M1813" s="112"/>
      <c r="N1813" s="84"/>
    </row>
    <row r="1814" spans="1:14" s="2" customFormat="1">
      <c r="A1814" s="83"/>
      <c r="H1814" s="83"/>
      <c r="K1814" s="82"/>
      <c r="M1814" s="112"/>
      <c r="N1814" s="84"/>
    </row>
    <row r="1815" spans="1:14" s="2" customFormat="1">
      <c r="A1815" s="83"/>
      <c r="H1815" s="83"/>
      <c r="K1815" s="82"/>
      <c r="M1815" s="112"/>
      <c r="N1815" s="84"/>
    </row>
    <row r="1816" spans="1:14" s="2" customFormat="1">
      <c r="A1816" s="83"/>
      <c r="H1816" s="83"/>
      <c r="K1816" s="82"/>
      <c r="M1816" s="112"/>
      <c r="N1816" s="84"/>
    </row>
    <row r="1817" spans="1:14" s="2" customFormat="1">
      <c r="A1817" s="83"/>
      <c r="H1817" s="83"/>
      <c r="K1817" s="82"/>
      <c r="M1817" s="112"/>
      <c r="N1817" s="84"/>
    </row>
    <row r="1818" spans="1:14" s="2" customFormat="1">
      <c r="A1818" s="83"/>
      <c r="H1818" s="83"/>
      <c r="K1818" s="82"/>
      <c r="M1818" s="112"/>
      <c r="N1818" s="84"/>
    </row>
    <row r="1819" spans="1:14" s="2" customFormat="1">
      <c r="A1819" s="83"/>
      <c r="H1819" s="83"/>
      <c r="K1819" s="82"/>
      <c r="M1819" s="112"/>
      <c r="N1819" s="84"/>
    </row>
    <row r="1820" spans="1:14" s="2" customFormat="1">
      <c r="A1820" s="83"/>
      <c r="H1820" s="83"/>
      <c r="K1820" s="82"/>
      <c r="M1820" s="112"/>
      <c r="N1820" s="84"/>
    </row>
    <row r="1821" spans="1:14" s="2" customFormat="1">
      <c r="A1821" s="83"/>
      <c r="H1821" s="83"/>
      <c r="K1821" s="82"/>
      <c r="M1821" s="112"/>
      <c r="N1821" s="84"/>
    </row>
    <row r="1822" spans="1:14" s="2" customFormat="1">
      <c r="A1822" s="83"/>
      <c r="H1822" s="83"/>
      <c r="K1822" s="82"/>
      <c r="M1822" s="112"/>
      <c r="N1822" s="84"/>
    </row>
    <row r="1823" spans="1:14" s="2" customFormat="1">
      <c r="A1823" s="83"/>
      <c r="H1823" s="83"/>
      <c r="K1823" s="82"/>
      <c r="M1823" s="112"/>
      <c r="N1823" s="84"/>
    </row>
    <row r="1824" spans="1:14" s="2" customFormat="1">
      <c r="A1824" s="83"/>
      <c r="H1824" s="83"/>
      <c r="K1824" s="82"/>
      <c r="M1824" s="112"/>
      <c r="N1824" s="84"/>
    </row>
    <row r="1825" spans="1:14" s="2" customFormat="1">
      <c r="A1825" s="83"/>
      <c r="H1825" s="83"/>
      <c r="K1825" s="82"/>
      <c r="M1825" s="112"/>
      <c r="N1825" s="84"/>
    </row>
    <row r="1826" spans="1:14" s="2" customFormat="1">
      <c r="A1826" s="83"/>
      <c r="H1826" s="83"/>
      <c r="K1826" s="82"/>
      <c r="M1826" s="112"/>
      <c r="N1826" s="84"/>
    </row>
    <row r="1827" spans="1:14" s="2" customFormat="1">
      <c r="A1827" s="83"/>
      <c r="H1827" s="83"/>
      <c r="K1827" s="82"/>
      <c r="M1827" s="112"/>
      <c r="N1827" s="84"/>
    </row>
    <row r="1828" spans="1:14" s="2" customFormat="1">
      <c r="A1828" s="83"/>
      <c r="H1828" s="83"/>
      <c r="K1828" s="82"/>
      <c r="M1828" s="112"/>
      <c r="N1828" s="84"/>
    </row>
    <row r="1829" spans="1:14" s="2" customFormat="1">
      <c r="A1829" s="83"/>
      <c r="H1829" s="83"/>
      <c r="K1829" s="82"/>
      <c r="M1829" s="112"/>
      <c r="N1829" s="84"/>
    </row>
    <row r="1830" spans="1:14" s="2" customFormat="1">
      <c r="A1830" s="83"/>
      <c r="H1830" s="83"/>
      <c r="K1830" s="82"/>
      <c r="M1830" s="112"/>
      <c r="N1830" s="84"/>
    </row>
    <row r="1831" spans="1:14" s="2" customFormat="1">
      <c r="A1831" s="83"/>
      <c r="H1831" s="83"/>
      <c r="K1831" s="82"/>
      <c r="M1831" s="112"/>
      <c r="N1831" s="84"/>
    </row>
    <row r="1832" spans="1:14" s="2" customFormat="1">
      <c r="A1832" s="83"/>
      <c r="H1832" s="83"/>
      <c r="K1832" s="82"/>
      <c r="M1832" s="112"/>
      <c r="N1832" s="84"/>
    </row>
    <row r="1833" spans="1:14" s="2" customFormat="1">
      <c r="A1833" s="83"/>
      <c r="H1833" s="83"/>
      <c r="K1833" s="82"/>
      <c r="M1833" s="112"/>
      <c r="N1833" s="84"/>
    </row>
    <row r="1834" spans="1:14" s="2" customFormat="1">
      <c r="A1834" s="83"/>
      <c r="H1834" s="83"/>
      <c r="K1834" s="82"/>
      <c r="M1834" s="112"/>
      <c r="N1834" s="84"/>
    </row>
    <row r="1835" spans="1:14" s="2" customFormat="1">
      <c r="A1835" s="83"/>
      <c r="H1835" s="83"/>
      <c r="K1835" s="82"/>
      <c r="M1835" s="112"/>
      <c r="N1835" s="84"/>
    </row>
    <row r="1836" spans="1:14" s="2" customFormat="1">
      <c r="A1836" s="83"/>
      <c r="H1836" s="83"/>
      <c r="K1836" s="82"/>
      <c r="M1836" s="112"/>
      <c r="N1836" s="84"/>
    </row>
    <row r="1837" spans="1:14" s="2" customFormat="1">
      <c r="A1837" s="83"/>
      <c r="H1837" s="83"/>
      <c r="K1837" s="82"/>
      <c r="M1837" s="112"/>
      <c r="N1837" s="84"/>
    </row>
    <row r="1838" spans="1:14" s="2" customFormat="1">
      <c r="A1838" s="83"/>
      <c r="H1838" s="83"/>
      <c r="K1838" s="82"/>
      <c r="M1838" s="112"/>
      <c r="N1838" s="84"/>
    </row>
    <row r="1839" spans="1:14" s="2" customFormat="1">
      <c r="A1839" s="83"/>
      <c r="H1839" s="83"/>
      <c r="K1839" s="82"/>
      <c r="M1839" s="112"/>
      <c r="N1839" s="84"/>
    </row>
    <row r="1840" spans="1:14" s="2" customFormat="1">
      <c r="A1840" s="83"/>
      <c r="H1840" s="83"/>
      <c r="K1840" s="82"/>
      <c r="M1840" s="112"/>
      <c r="N1840" s="84"/>
    </row>
    <row r="1841" spans="1:14" s="2" customFormat="1">
      <c r="A1841" s="83"/>
      <c r="H1841" s="83"/>
      <c r="K1841" s="82"/>
      <c r="M1841" s="112"/>
      <c r="N1841" s="84"/>
    </row>
    <row r="1842" spans="1:14" s="2" customFormat="1">
      <c r="A1842" s="83"/>
      <c r="H1842" s="83"/>
      <c r="K1842" s="82"/>
      <c r="M1842" s="112"/>
      <c r="N1842" s="84"/>
    </row>
    <row r="1843" spans="1:14" s="2" customFormat="1">
      <c r="A1843" s="83"/>
      <c r="H1843" s="83"/>
      <c r="K1843" s="82"/>
      <c r="M1843" s="112"/>
      <c r="N1843" s="84"/>
    </row>
    <row r="1844" spans="1:14" s="2" customFormat="1">
      <c r="A1844" s="83"/>
      <c r="H1844" s="83"/>
      <c r="K1844" s="82"/>
      <c r="M1844" s="112"/>
      <c r="N1844" s="84"/>
    </row>
    <row r="1845" spans="1:14" s="2" customFormat="1">
      <c r="A1845" s="83"/>
      <c r="H1845" s="83"/>
      <c r="K1845" s="82"/>
      <c r="M1845" s="112"/>
      <c r="N1845" s="84"/>
    </row>
    <row r="1846" spans="1:14" s="2" customFormat="1">
      <c r="A1846" s="83"/>
      <c r="H1846" s="83"/>
      <c r="K1846" s="82"/>
      <c r="M1846" s="112"/>
      <c r="N1846" s="84"/>
    </row>
    <row r="1847" spans="1:14" s="2" customFormat="1">
      <c r="A1847" s="83"/>
      <c r="H1847" s="83"/>
      <c r="K1847" s="82"/>
      <c r="M1847" s="112"/>
      <c r="N1847" s="84"/>
    </row>
    <row r="1848" spans="1:14" s="2" customFormat="1">
      <c r="A1848" s="83"/>
      <c r="H1848" s="83"/>
      <c r="K1848" s="82"/>
      <c r="M1848" s="112"/>
      <c r="N1848" s="84"/>
    </row>
    <row r="1849" spans="1:14" s="2" customFormat="1">
      <c r="A1849" s="83"/>
      <c r="H1849" s="83"/>
      <c r="K1849" s="82"/>
      <c r="M1849" s="112"/>
      <c r="N1849" s="84"/>
    </row>
    <row r="1850" spans="1:14" s="2" customFormat="1">
      <c r="A1850" s="83"/>
      <c r="H1850" s="83"/>
      <c r="K1850" s="82"/>
      <c r="M1850" s="112"/>
      <c r="N1850" s="84"/>
    </row>
    <row r="1851" spans="1:14" s="2" customFormat="1">
      <c r="A1851" s="83"/>
      <c r="H1851" s="83"/>
      <c r="K1851" s="82"/>
      <c r="M1851" s="112"/>
      <c r="N1851" s="84"/>
    </row>
    <row r="1852" spans="1:14" s="2" customFormat="1">
      <c r="A1852" s="83"/>
      <c r="H1852" s="83"/>
      <c r="K1852" s="82"/>
      <c r="M1852" s="112"/>
      <c r="N1852" s="84"/>
    </row>
    <row r="1853" spans="1:14" s="2" customFormat="1">
      <c r="A1853" s="83"/>
      <c r="H1853" s="83"/>
      <c r="K1853" s="82"/>
      <c r="M1853" s="112"/>
      <c r="N1853" s="84"/>
    </row>
    <row r="1854" spans="1:14" s="2" customFormat="1">
      <c r="A1854" s="83"/>
      <c r="H1854" s="83"/>
      <c r="K1854" s="82"/>
      <c r="M1854" s="112"/>
      <c r="N1854" s="84"/>
    </row>
    <row r="1855" spans="1:14" s="2" customFormat="1">
      <c r="A1855" s="83"/>
      <c r="H1855" s="83"/>
      <c r="K1855" s="82"/>
      <c r="M1855" s="112"/>
      <c r="N1855" s="84"/>
    </row>
    <row r="1856" spans="1:14" s="2" customFormat="1">
      <c r="A1856" s="83"/>
      <c r="H1856" s="83"/>
      <c r="K1856" s="82"/>
      <c r="M1856" s="112"/>
      <c r="N1856" s="84"/>
    </row>
    <row r="1857" spans="1:14" s="2" customFormat="1">
      <c r="A1857" s="83"/>
      <c r="H1857" s="83"/>
      <c r="K1857" s="82"/>
      <c r="M1857" s="112"/>
      <c r="N1857" s="84"/>
    </row>
    <row r="1858" spans="1:14" s="2" customFormat="1">
      <c r="A1858" s="83"/>
      <c r="H1858" s="83"/>
      <c r="K1858" s="82"/>
      <c r="M1858" s="112"/>
      <c r="N1858" s="84"/>
    </row>
    <row r="1859" spans="1:14" s="2" customFormat="1">
      <c r="A1859" s="83"/>
      <c r="H1859" s="83"/>
      <c r="K1859" s="82"/>
      <c r="M1859" s="112"/>
      <c r="N1859" s="84"/>
    </row>
    <row r="1860" spans="1:14" s="2" customFormat="1">
      <c r="A1860" s="83"/>
      <c r="H1860" s="83"/>
      <c r="K1860" s="82"/>
      <c r="M1860" s="112"/>
      <c r="N1860" s="84"/>
    </row>
    <row r="1861" spans="1:14" s="2" customFormat="1">
      <c r="A1861" s="83"/>
      <c r="H1861" s="83"/>
      <c r="K1861" s="82"/>
      <c r="M1861" s="112"/>
      <c r="N1861" s="84"/>
    </row>
    <row r="1862" spans="1:14" s="2" customFormat="1">
      <c r="A1862" s="83"/>
      <c r="H1862" s="83"/>
      <c r="K1862" s="82"/>
      <c r="M1862" s="112"/>
      <c r="N1862" s="84"/>
    </row>
    <row r="1863" spans="1:14" s="2" customFormat="1">
      <c r="A1863" s="83"/>
      <c r="H1863" s="83"/>
      <c r="K1863" s="82"/>
      <c r="M1863" s="112"/>
      <c r="N1863" s="84"/>
    </row>
    <row r="1864" spans="1:14" s="2" customFormat="1">
      <c r="A1864" s="83"/>
      <c r="H1864" s="83"/>
      <c r="K1864" s="82"/>
      <c r="M1864" s="112"/>
      <c r="N1864" s="84"/>
    </row>
    <row r="1865" spans="1:14" s="2" customFormat="1">
      <c r="A1865" s="83"/>
      <c r="H1865" s="83"/>
      <c r="K1865" s="82"/>
      <c r="M1865" s="112"/>
      <c r="N1865" s="84"/>
    </row>
    <row r="1866" spans="1:14" s="2" customFormat="1">
      <c r="A1866" s="83"/>
      <c r="H1866" s="83"/>
      <c r="K1866" s="82"/>
      <c r="M1866" s="112"/>
      <c r="N1866" s="84"/>
    </row>
    <row r="1867" spans="1:14" s="2" customFormat="1">
      <c r="A1867" s="83"/>
      <c r="H1867" s="83"/>
      <c r="K1867" s="82"/>
      <c r="M1867" s="112"/>
      <c r="N1867" s="84"/>
    </row>
    <row r="1868" spans="1:14" s="2" customFormat="1">
      <c r="A1868" s="83"/>
      <c r="H1868" s="83"/>
      <c r="K1868" s="82"/>
      <c r="M1868" s="112"/>
      <c r="N1868" s="84"/>
    </row>
    <row r="1869" spans="1:14" s="2" customFormat="1">
      <c r="A1869" s="83"/>
      <c r="H1869" s="83"/>
      <c r="K1869" s="82"/>
      <c r="M1869" s="112"/>
      <c r="N1869" s="84"/>
    </row>
    <row r="1870" spans="1:14" s="2" customFormat="1">
      <c r="A1870" s="83"/>
      <c r="H1870" s="83"/>
      <c r="K1870" s="82"/>
      <c r="M1870" s="112"/>
      <c r="N1870" s="84"/>
    </row>
    <row r="1871" spans="1:14" s="2" customFormat="1">
      <c r="A1871" s="83"/>
      <c r="H1871" s="83"/>
      <c r="K1871" s="82"/>
      <c r="M1871" s="112"/>
      <c r="N1871" s="84"/>
    </row>
    <row r="1872" spans="1:14" s="2" customFormat="1">
      <c r="A1872" s="83"/>
      <c r="H1872" s="83"/>
      <c r="K1872" s="82"/>
      <c r="M1872" s="112"/>
      <c r="N1872" s="84"/>
    </row>
    <row r="1873" spans="1:14" s="2" customFormat="1">
      <c r="A1873" s="83"/>
      <c r="H1873" s="83"/>
      <c r="K1873" s="82"/>
      <c r="M1873" s="112"/>
      <c r="N1873" s="84"/>
    </row>
    <row r="1874" spans="1:14" s="2" customFormat="1">
      <c r="A1874" s="83"/>
      <c r="H1874" s="83"/>
      <c r="K1874" s="82"/>
      <c r="M1874" s="112"/>
      <c r="N1874" s="84"/>
    </row>
    <row r="1875" spans="1:14" s="2" customFormat="1">
      <c r="A1875" s="83"/>
      <c r="H1875" s="83"/>
      <c r="K1875" s="82"/>
      <c r="M1875" s="112"/>
      <c r="N1875" s="84"/>
    </row>
    <row r="1876" spans="1:14" s="2" customFormat="1">
      <c r="A1876" s="83"/>
      <c r="H1876" s="83"/>
      <c r="K1876" s="82"/>
      <c r="M1876" s="112"/>
      <c r="N1876" s="84"/>
    </row>
    <row r="1877" spans="1:14" s="2" customFormat="1">
      <c r="A1877" s="83"/>
      <c r="H1877" s="83"/>
      <c r="K1877" s="82"/>
      <c r="M1877" s="112"/>
      <c r="N1877" s="84"/>
    </row>
    <row r="1878" spans="1:14" s="2" customFormat="1">
      <c r="A1878" s="83"/>
      <c r="H1878" s="83"/>
      <c r="K1878" s="82"/>
      <c r="M1878" s="112"/>
      <c r="N1878" s="84"/>
    </row>
    <row r="1879" spans="1:14" s="2" customFormat="1">
      <c r="A1879" s="83"/>
      <c r="H1879" s="83"/>
      <c r="K1879" s="82"/>
      <c r="M1879" s="112"/>
      <c r="N1879" s="84"/>
    </row>
    <row r="1880" spans="1:14" s="2" customFormat="1">
      <c r="A1880" s="83"/>
      <c r="H1880" s="83"/>
      <c r="K1880" s="82"/>
      <c r="M1880" s="112"/>
      <c r="N1880" s="84"/>
    </row>
    <row r="1881" spans="1:14" s="2" customFormat="1">
      <c r="A1881" s="83"/>
      <c r="H1881" s="83"/>
      <c r="K1881" s="82"/>
      <c r="M1881" s="112"/>
      <c r="N1881" s="84"/>
    </row>
    <row r="1882" spans="1:14" s="2" customFormat="1">
      <c r="A1882" s="83"/>
      <c r="H1882" s="83"/>
      <c r="K1882" s="82"/>
      <c r="M1882" s="112"/>
      <c r="N1882" s="84"/>
    </row>
    <row r="1883" spans="1:14" s="2" customFormat="1">
      <c r="A1883" s="83"/>
      <c r="H1883" s="83"/>
      <c r="K1883" s="82"/>
      <c r="M1883" s="112"/>
      <c r="N1883" s="84"/>
    </row>
    <row r="1884" spans="1:14" s="2" customFormat="1">
      <c r="A1884" s="83"/>
      <c r="H1884" s="83"/>
      <c r="K1884" s="82"/>
      <c r="M1884" s="112"/>
      <c r="N1884" s="84"/>
    </row>
    <row r="1885" spans="1:14" s="2" customFormat="1">
      <c r="A1885" s="83"/>
      <c r="H1885" s="83"/>
      <c r="K1885" s="82"/>
      <c r="M1885" s="112"/>
      <c r="N1885" s="84"/>
    </row>
    <row r="1886" spans="1:14" s="2" customFormat="1">
      <c r="A1886" s="83"/>
      <c r="H1886" s="83"/>
      <c r="K1886" s="82"/>
      <c r="M1886" s="112"/>
      <c r="N1886" s="84"/>
    </row>
    <row r="1887" spans="1:14" s="2" customFormat="1">
      <c r="A1887" s="83"/>
      <c r="H1887" s="83"/>
      <c r="K1887" s="82"/>
      <c r="M1887" s="112"/>
      <c r="N1887" s="84"/>
    </row>
    <row r="1888" spans="1:14" s="2" customFormat="1">
      <c r="A1888" s="83"/>
      <c r="H1888" s="83"/>
      <c r="K1888" s="82"/>
      <c r="M1888" s="112"/>
      <c r="N1888" s="84"/>
    </row>
    <row r="1889" spans="1:14" s="2" customFormat="1">
      <c r="A1889" s="83"/>
      <c r="H1889" s="83"/>
      <c r="K1889" s="82"/>
      <c r="M1889" s="112"/>
      <c r="N1889" s="84"/>
    </row>
    <row r="1890" spans="1:14" s="2" customFormat="1">
      <c r="A1890" s="83"/>
      <c r="H1890" s="83"/>
      <c r="K1890" s="82"/>
      <c r="M1890" s="112"/>
      <c r="N1890" s="84"/>
    </row>
    <row r="1891" spans="1:14" s="2" customFormat="1">
      <c r="A1891" s="83"/>
      <c r="H1891" s="83"/>
      <c r="K1891" s="82"/>
      <c r="M1891" s="112"/>
      <c r="N1891" s="84"/>
    </row>
    <row r="1892" spans="1:14" s="2" customFormat="1">
      <c r="A1892" s="83"/>
      <c r="H1892" s="83"/>
      <c r="K1892" s="82"/>
      <c r="M1892" s="112"/>
      <c r="N1892" s="84"/>
    </row>
    <row r="1893" spans="1:14" s="2" customFormat="1">
      <c r="A1893" s="83"/>
      <c r="H1893" s="83"/>
      <c r="K1893" s="82"/>
      <c r="M1893" s="112"/>
      <c r="N1893" s="84"/>
    </row>
    <row r="1894" spans="1:14" s="2" customFormat="1">
      <c r="A1894" s="83"/>
      <c r="H1894" s="83"/>
      <c r="K1894" s="82"/>
      <c r="M1894" s="112"/>
      <c r="N1894" s="84"/>
    </row>
    <row r="1895" spans="1:14" s="2" customFormat="1">
      <c r="A1895" s="83"/>
      <c r="H1895" s="83"/>
      <c r="K1895" s="82"/>
      <c r="M1895" s="112"/>
      <c r="N1895" s="84"/>
    </row>
    <row r="1896" spans="1:14" s="2" customFormat="1">
      <c r="A1896" s="83"/>
      <c r="H1896" s="83"/>
      <c r="K1896" s="82"/>
      <c r="M1896" s="112"/>
      <c r="N1896" s="84"/>
    </row>
    <row r="1897" spans="1:14" s="2" customFormat="1">
      <c r="A1897" s="83"/>
      <c r="H1897" s="83"/>
      <c r="K1897" s="82"/>
      <c r="M1897" s="112"/>
      <c r="N1897" s="84"/>
    </row>
    <row r="1898" spans="1:14" s="2" customFormat="1">
      <c r="A1898" s="83"/>
      <c r="H1898" s="83"/>
      <c r="K1898" s="82"/>
      <c r="M1898" s="112"/>
      <c r="N1898" s="84"/>
    </row>
    <row r="1899" spans="1:14" s="2" customFormat="1">
      <c r="A1899" s="83"/>
      <c r="H1899" s="83"/>
      <c r="K1899" s="82"/>
      <c r="M1899" s="112"/>
      <c r="N1899" s="84"/>
    </row>
    <row r="1900" spans="1:14" s="2" customFormat="1">
      <c r="A1900" s="83"/>
      <c r="H1900" s="83"/>
      <c r="K1900" s="82"/>
      <c r="M1900" s="112"/>
      <c r="N1900" s="84"/>
    </row>
    <row r="1901" spans="1:14" s="2" customFormat="1">
      <c r="A1901" s="83"/>
      <c r="H1901" s="83"/>
      <c r="K1901" s="82"/>
      <c r="M1901" s="112"/>
      <c r="N1901" s="84"/>
    </row>
    <row r="1902" spans="1:14" s="2" customFormat="1">
      <c r="A1902" s="83"/>
      <c r="H1902" s="83"/>
      <c r="K1902" s="82"/>
      <c r="M1902" s="112"/>
      <c r="N1902" s="84"/>
    </row>
    <row r="1903" spans="1:14" s="2" customFormat="1">
      <c r="A1903" s="83"/>
      <c r="H1903" s="83"/>
      <c r="K1903" s="82"/>
      <c r="M1903" s="112"/>
      <c r="N1903" s="84"/>
    </row>
    <row r="1904" spans="1:14" s="2" customFormat="1">
      <c r="A1904" s="83"/>
      <c r="H1904" s="83"/>
      <c r="K1904" s="82"/>
      <c r="M1904" s="112"/>
      <c r="N1904" s="84"/>
    </row>
    <row r="1905" spans="1:14" s="2" customFormat="1">
      <c r="A1905" s="83"/>
      <c r="H1905" s="83"/>
      <c r="K1905" s="82"/>
      <c r="M1905" s="112"/>
      <c r="N1905" s="84"/>
    </row>
    <row r="1906" spans="1:14" s="2" customFormat="1">
      <c r="A1906" s="83"/>
      <c r="H1906" s="83"/>
      <c r="K1906" s="82"/>
      <c r="M1906" s="112"/>
      <c r="N1906" s="84"/>
    </row>
    <row r="1907" spans="1:14" s="2" customFormat="1">
      <c r="A1907" s="83"/>
      <c r="H1907" s="83"/>
      <c r="K1907" s="82"/>
      <c r="M1907" s="112"/>
      <c r="N1907" s="84"/>
    </row>
    <row r="1908" spans="1:14" s="2" customFormat="1">
      <c r="A1908" s="83"/>
      <c r="H1908" s="83"/>
      <c r="K1908" s="82"/>
      <c r="M1908" s="112"/>
      <c r="N1908" s="84"/>
    </row>
    <row r="1909" spans="1:14" s="2" customFormat="1">
      <c r="A1909" s="83"/>
      <c r="H1909" s="83"/>
      <c r="K1909" s="82"/>
      <c r="M1909" s="112"/>
      <c r="N1909" s="84"/>
    </row>
    <row r="1910" spans="1:14" s="2" customFormat="1">
      <c r="A1910" s="83"/>
      <c r="H1910" s="83"/>
      <c r="K1910" s="82"/>
      <c r="M1910" s="112"/>
      <c r="N1910" s="84"/>
    </row>
    <row r="1911" spans="1:14" s="2" customFormat="1">
      <c r="A1911" s="83"/>
      <c r="H1911" s="83"/>
      <c r="K1911" s="82"/>
      <c r="M1911" s="112"/>
      <c r="N1911" s="84"/>
    </row>
    <row r="1912" spans="1:14" s="2" customFormat="1">
      <c r="A1912" s="83"/>
      <c r="H1912" s="83"/>
      <c r="K1912" s="82"/>
      <c r="M1912" s="112"/>
      <c r="N1912" s="84"/>
    </row>
    <row r="1913" spans="1:14" s="2" customFormat="1">
      <c r="A1913" s="83"/>
      <c r="H1913" s="83"/>
      <c r="K1913" s="82"/>
      <c r="M1913" s="112"/>
      <c r="N1913" s="84"/>
    </row>
    <row r="1914" spans="1:14" s="2" customFormat="1">
      <c r="A1914" s="83"/>
      <c r="H1914" s="83"/>
      <c r="K1914" s="82"/>
      <c r="M1914" s="112"/>
      <c r="N1914" s="84"/>
    </row>
    <row r="1915" spans="1:14" s="2" customFormat="1">
      <c r="A1915" s="83"/>
      <c r="H1915" s="83"/>
      <c r="K1915" s="82"/>
      <c r="M1915" s="112"/>
      <c r="N1915" s="84"/>
    </row>
    <row r="1916" spans="1:14" s="2" customFormat="1">
      <c r="A1916" s="83"/>
      <c r="H1916" s="83"/>
      <c r="K1916" s="82"/>
      <c r="M1916" s="112"/>
      <c r="N1916" s="84"/>
    </row>
    <row r="1917" spans="1:14" s="2" customFormat="1">
      <c r="A1917" s="83"/>
      <c r="H1917" s="83"/>
      <c r="K1917" s="82"/>
      <c r="M1917" s="112"/>
      <c r="N1917" s="84"/>
    </row>
    <row r="1918" spans="1:14" s="2" customFormat="1">
      <c r="A1918" s="83"/>
      <c r="H1918" s="83"/>
      <c r="K1918" s="82"/>
      <c r="M1918" s="112"/>
      <c r="N1918" s="84"/>
    </row>
    <row r="1919" spans="1:14" s="2" customFormat="1">
      <c r="A1919" s="83"/>
      <c r="H1919" s="83"/>
      <c r="K1919" s="82"/>
      <c r="M1919" s="112"/>
      <c r="N1919" s="84"/>
    </row>
    <row r="1920" spans="1:14" s="2" customFormat="1">
      <c r="A1920" s="83"/>
      <c r="H1920" s="83"/>
      <c r="K1920" s="82"/>
      <c r="M1920" s="112"/>
      <c r="N1920" s="84"/>
    </row>
    <row r="1921" spans="1:14" s="2" customFormat="1">
      <c r="A1921" s="83"/>
      <c r="H1921" s="83"/>
      <c r="K1921" s="82"/>
      <c r="M1921" s="112"/>
      <c r="N1921" s="84"/>
    </row>
    <row r="1922" spans="1:14" s="2" customFormat="1">
      <c r="A1922" s="83"/>
      <c r="H1922" s="83"/>
      <c r="K1922" s="82"/>
      <c r="M1922" s="112"/>
      <c r="N1922" s="84"/>
    </row>
    <row r="1923" spans="1:14" s="2" customFormat="1">
      <c r="A1923" s="83"/>
      <c r="H1923" s="83"/>
      <c r="K1923" s="82"/>
      <c r="M1923" s="112"/>
      <c r="N1923" s="84"/>
    </row>
    <row r="1924" spans="1:14" s="2" customFormat="1">
      <c r="A1924" s="83"/>
      <c r="H1924" s="83"/>
      <c r="K1924" s="82"/>
      <c r="M1924" s="112"/>
      <c r="N1924" s="84"/>
    </row>
    <row r="1925" spans="1:14" s="2" customFormat="1">
      <c r="A1925" s="83"/>
      <c r="H1925" s="83"/>
      <c r="K1925" s="82"/>
      <c r="M1925" s="112"/>
      <c r="N1925" s="84"/>
    </row>
    <row r="1926" spans="1:14" s="2" customFormat="1">
      <c r="A1926" s="83"/>
      <c r="H1926" s="83"/>
      <c r="K1926" s="82"/>
      <c r="M1926" s="112"/>
      <c r="N1926" s="84"/>
    </row>
    <row r="1927" spans="1:14" s="2" customFormat="1">
      <c r="A1927" s="83"/>
      <c r="H1927" s="83"/>
      <c r="K1927" s="82"/>
      <c r="M1927" s="112"/>
      <c r="N1927" s="84"/>
    </row>
    <row r="1928" spans="1:14" s="2" customFormat="1">
      <c r="A1928" s="83"/>
      <c r="H1928" s="83"/>
      <c r="K1928" s="82"/>
      <c r="M1928" s="112"/>
      <c r="N1928" s="84"/>
    </row>
    <row r="1929" spans="1:14" s="2" customFormat="1">
      <c r="A1929" s="83"/>
      <c r="H1929" s="83"/>
      <c r="K1929" s="82"/>
      <c r="M1929" s="112"/>
      <c r="N1929" s="84"/>
    </row>
    <row r="1930" spans="1:14" s="2" customFormat="1">
      <c r="A1930" s="83"/>
      <c r="H1930" s="83"/>
      <c r="K1930" s="82"/>
      <c r="M1930" s="112"/>
      <c r="N1930" s="84"/>
    </row>
    <row r="1931" spans="1:14" s="2" customFormat="1">
      <c r="A1931" s="83"/>
      <c r="H1931" s="83"/>
      <c r="K1931" s="82"/>
      <c r="M1931" s="112"/>
      <c r="N1931" s="84"/>
    </row>
    <row r="1932" spans="1:14" s="2" customFormat="1">
      <c r="A1932" s="83"/>
      <c r="H1932" s="83"/>
      <c r="K1932" s="82"/>
      <c r="M1932" s="112"/>
      <c r="N1932" s="84"/>
    </row>
    <row r="1933" spans="1:14" s="2" customFormat="1">
      <c r="A1933" s="83"/>
      <c r="H1933" s="83"/>
      <c r="K1933" s="82"/>
      <c r="M1933" s="112"/>
      <c r="N1933" s="84"/>
    </row>
    <row r="1934" spans="1:14" s="2" customFormat="1">
      <c r="A1934" s="83"/>
      <c r="H1934" s="83"/>
      <c r="K1934" s="82"/>
      <c r="M1934" s="112"/>
      <c r="N1934" s="84"/>
    </row>
    <row r="1935" spans="1:14" s="2" customFormat="1">
      <c r="A1935" s="83"/>
      <c r="H1935" s="83"/>
      <c r="K1935" s="82"/>
      <c r="M1935" s="112"/>
      <c r="N1935" s="84"/>
    </row>
    <row r="1936" spans="1:14" s="2" customFormat="1">
      <c r="A1936" s="83"/>
      <c r="H1936" s="83"/>
      <c r="K1936" s="82"/>
      <c r="M1936" s="112"/>
      <c r="N1936" s="84"/>
    </row>
    <row r="1937" spans="1:14" s="2" customFormat="1">
      <c r="A1937" s="83"/>
      <c r="H1937" s="83"/>
      <c r="K1937" s="82"/>
      <c r="M1937" s="112"/>
      <c r="N1937" s="84"/>
    </row>
    <row r="1938" spans="1:14" s="2" customFormat="1">
      <c r="A1938" s="83"/>
      <c r="H1938" s="83"/>
      <c r="K1938" s="82"/>
      <c r="M1938" s="112"/>
      <c r="N1938" s="84"/>
    </row>
    <row r="1939" spans="1:14" s="2" customFormat="1">
      <c r="A1939" s="83"/>
      <c r="H1939" s="83"/>
      <c r="K1939" s="82"/>
      <c r="M1939" s="112"/>
      <c r="N1939" s="84"/>
    </row>
    <row r="1940" spans="1:14" s="2" customFormat="1">
      <c r="A1940" s="83"/>
      <c r="H1940" s="83"/>
      <c r="K1940" s="82"/>
      <c r="M1940" s="112"/>
      <c r="N1940" s="84"/>
    </row>
    <row r="1941" spans="1:14" s="2" customFormat="1">
      <c r="A1941" s="83"/>
      <c r="H1941" s="83"/>
      <c r="K1941" s="82"/>
      <c r="M1941" s="112"/>
      <c r="N1941" s="84"/>
    </row>
    <row r="1942" spans="1:14" s="2" customFormat="1">
      <c r="A1942" s="83"/>
      <c r="H1942" s="83"/>
      <c r="K1942" s="82"/>
      <c r="M1942" s="112"/>
      <c r="N1942" s="84"/>
    </row>
    <row r="1943" spans="1:14" s="2" customFormat="1">
      <c r="A1943" s="83"/>
      <c r="H1943" s="83"/>
      <c r="K1943" s="82"/>
      <c r="M1943" s="112"/>
      <c r="N1943" s="84"/>
    </row>
    <row r="1944" spans="1:14" s="2" customFormat="1">
      <c r="A1944" s="83"/>
      <c r="H1944" s="83"/>
      <c r="K1944" s="82"/>
      <c r="M1944" s="112"/>
      <c r="N1944" s="84"/>
    </row>
    <row r="1945" spans="1:14" s="2" customFormat="1">
      <c r="A1945" s="83"/>
      <c r="H1945" s="83"/>
      <c r="K1945" s="82"/>
      <c r="M1945" s="112"/>
      <c r="N1945" s="84"/>
    </row>
    <row r="1946" spans="1:14" s="2" customFormat="1">
      <c r="A1946" s="83"/>
      <c r="H1946" s="83"/>
      <c r="K1946" s="82"/>
      <c r="M1946" s="112"/>
      <c r="N1946" s="84"/>
    </row>
    <row r="1947" spans="1:14" s="2" customFormat="1">
      <c r="A1947" s="83"/>
      <c r="H1947" s="83"/>
      <c r="K1947" s="82"/>
      <c r="M1947" s="112"/>
      <c r="N1947" s="84"/>
    </row>
    <row r="1948" spans="1:14" s="2" customFormat="1">
      <c r="A1948" s="83"/>
      <c r="H1948" s="83"/>
      <c r="K1948" s="82"/>
      <c r="M1948" s="112"/>
      <c r="N1948" s="84"/>
    </row>
    <row r="1949" spans="1:14" s="2" customFormat="1">
      <c r="A1949" s="83"/>
      <c r="H1949" s="83"/>
      <c r="K1949" s="82"/>
      <c r="M1949" s="112"/>
      <c r="N1949" s="84"/>
    </row>
    <row r="1950" spans="1:14" s="2" customFormat="1">
      <c r="A1950" s="83"/>
      <c r="H1950" s="83"/>
      <c r="K1950" s="82"/>
      <c r="M1950" s="112"/>
      <c r="N1950" s="84"/>
    </row>
    <row r="1951" spans="1:14" s="2" customFormat="1">
      <c r="A1951" s="83"/>
      <c r="H1951" s="83"/>
      <c r="K1951" s="82"/>
      <c r="M1951" s="112"/>
      <c r="N1951" s="84"/>
    </row>
    <row r="1952" spans="1:14" s="2" customFormat="1">
      <c r="A1952" s="83"/>
      <c r="H1952" s="83"/>
      <c r="K1952" s="82"/>
      <c r="M1952" s="112"/>
      <c r="N1952" s="84"/>
    </row>
    <row r="1953" spans="1:14" s="2" customFormat="1">
      <c r="A1953" s="83"/>
      <c r="H1953" s="83"/>
      <c r="K1953" s="82"/>
      <c r="M1953" s="112"/>
      <c r="N1953" s="84"/>
    </row>
    <row r="1954" spans="1:14" s="2" customFormat="1">
      <c r="A1954" s="83"/>
      <c r="H1954" s="83"/>
      <c r="K1954" s="82"/>
      <c r="M1954" s="112"/>
      <c r="N1954" s="84"/>
    </row>
    <row r="1955" spans="1:14" s="2" customFormat="1">
      <c r="A1955" s="83"/>
      <c r="H1955" s="83"/>
      <c r="K1955" s="82"/>
      <c r="M1955" s="112"/>
      <c r="N1955" s="84"/>
    </row>
    <row r="1956" spans="1:14" s="2" customFormat="1">
      <c r="A1956" s="83"/>
      <c r="H1956" s="83"/>
      <c r="K1956" s="82"/>
      <c r="M1956" s="112"/>
      <c r="N1956" s="84"/>
    </row>
    <row r="1957" spans="1:14" s="2" customFormat="1">
      <c r="A1957" s="83"/>
      <c r="H1957" s="83"/>
      <c r="K1957" s="82"/>
      <c r="M1957" s="112"/>
      <c r="N1957" s="84"/>
    </row>
    <row r="1958" spans="1:14" s="2" customFormat="1">
      <c r="A1958" s="83"/>
      <c r="H1958" s="83"/>
      <c r="K1958" s="82"/>
      <c r="M1958" s="112"/>
      <c r="N1958" s="84"/>
    </row>
    <row r="1959" spans="1:14" s="2" customFormat="1">
      <c r="A1959" s="83"/>
      <c r="H1959" s="83"/>
      <c r="K1959" s="82"/>
      <c r="M1959" s="112"/>
      <c r="N1959" s="84"/>
    </row>
    <row r="1960" spans="1:14" s="2" customFormat="1">
      <c r="A1960" s="83"/>
      <c r="H1960" s="83"/>
      <c r="K1960" s="82"/>
      <c r="M1960" s="112"/>
      <c r="N1960" s="84"/>
    </row>
    <row r="1961" spans="1:14" s="2" customFormat="1">
      <c r="A1961" s="83"/>
      <c r="H1961" s="83"/>
      <c r="K1961" s="82"/>
      <c r="M1961" s="112"/>
      <c r="N1961" s="84"/>
    </row>
    <row r="1962" spans="1:14" s="2" customFormat="1">
      <c r="A1962" s="83"/>
      <c r="H1962" s="83"/>
      <c r="K1962" s="82"/>
      <c r="M1962" s="112"/>
      <c r="N1962" s="84"/>
    </row>
    <row r="1963" spans="1:14" s="2" customFormat="1">
      <c r="A1963" s="83"/>
      <c r="H1963" s="83"/>
      <c r="K1963" s="82"/>
      <c r="M1963" s="112"/>
      <c r="N1963" s="84"/>
    </row>
    <row r="1964" spans="1:14" s="2" customFormat="1">
      <c r="A1964" s="83"/>
      <c r="H1964" s="83"/>
      <c r="K1964" s="82"/>
      <c r="M1964" s="112"/>
      <c r="N1964" s="84"/>
    </row>
    <row r="1965" spans="1:14" s="2" customFormat="1">
      <c r="A1965" s="83"/>
      <c r="H1965" s="83"/>
      <c r="K1965" s="82"/>
      <c r="M1965" s="112"/>
      <c r="N1965" s="84"/>
    </row>
    <row r="1966" spans="1:14" s="2" customFormat="1">
      <c r="A1966" s="83"/>
      <c r="H1966" s="83"/>
      <c r="K1966" s="82"/>
      <c r="M1966" s="112"/>
      <c r="N1966" s="84"/>
    </row>
    <row r="1967" spans="1:14" s="2" customFormat="1">
      <c r="A1967" s="83"/>
      <c r="H1967" s="83"/>
      <c r="K1967" s="82"/>
      <c r="M1967" s="112"/>
      <c r="N1967" s="84"/>
    </row>
    <row r="1968" spans="1:14" s="2" customFormat="1">
      <c r="A1968" s="83"/>
      <c r="H1968" s="83"/>
      <c r="K1968" s="82"/>
      <c r="M1968" s="112"/>
      <c r="N1968" s="84"/>
    </row>
    <row r="1969" spans="1:14" s="2" customFormat="1">
      <c r="A1969" s="83"/>
      <c r="H1969" s="83"/>
      <c r="K1969" s="82"/>
      <c r="M1969" s="112"/>
      <c r="N1969" s="84"/>
    </row>
    <row r="1970" spans="1:14" s="2" customFormat="1">
      <c r="A1970" s="83"/>
      <c r="H1970" s="83"/>
      <c r="K1970" s="82"/>
      <c r="M1970" s="112"/>
      <c r="N1970" s="84"/>
    </row>
    <row r="1971" spans="1:14" s="2" customFormat="1">
      <c r="A1971" s="83"/>
      <c r="H1971" s="83"/>
      <c r="K1971" s="82"/>
      <c r="M1971" s="112"/>
      <c r="N1971" s="84"/>
    </row>
    <row r="1972" spans="1:14" s="2" customFormat="1">
      <c r="A1972" s="83"/>
      <c r="H1972" s="83"/>
      <c r="K1972" s="82"/>
      <c r="M1972" s="112"/>
      <c r="N1972" s="84"/>
    </row>
    <row r="1973" spans="1:14" s="2" customFormat="1">
      <c r="A1973" s="83"/>
      <c r="H1973" s="83"/>
      <c r="K1973" s="82"/>
      <c r="M1973" s="112"/>
      <c r="N1973" s="84"/>
    </row>
    <row r="1974" spans="1:14" s="2" customFormat="1">
      <c r="A1974" s="83"/>
      <c r="H1974" s="83"/>
      <c r="K1974" s="82"/>
      <c r="M1974" s="112"/>
      <c r="N1974" s="84"/>
    </row>
    <row r="1975" spans="1:14" s="2" customFormat="1">
      <c r="A1975" s="83"/>
      <c r="H1975" s="83"/>
      <c r="K1975" s="82"/>
      <c r="M1975" s="112"/>
      <c r="N1975" s="84"/>
    </row>
    <row r="1976" spans="1:14" s="2" customFormat="1">
      <c r="A1976" s="83"/>
      <c r="H1976" s="83"/>
      <c r="K1976" s="82"/>
      <c r="M1976" s="112"/>
      <c r="N1976" s="84"/>
    </row>
    <row r="1977" spans="1:14" s="2" customFormat="1">
      <c r="A1977" s="83"/>
      <c r="H1977" s="83"/>
      <c r="K1977" s="82"/>
      <c r="M1977" s="112"/>
      <c r="N1977" s="84"/>
    </row>
    <row r="1978" spans="1:14" s="2" customFormat="1">
      <c r="A1978" s="83"/>
      <c r="H1978" s="83"/>
      <c r="K1978" s="82"/>
      <c r="M1978" s="112"/>
      <c r="N1978" s="84"/>
    </row>
    <row r="1979" spans="1:14" s="2" customFormat="1">
      <c r="A1979" s="83"/>
      <c r="H1979" s="83"/>
      <c r="K1979" s="82"/>
      <c r="M1979" s="112"/>
      <c r="N1979" s="84"/>
    </row>
    <row r="1980" spans="1:14" s="2" customFormat="1">
      <c r="A1980" s="83"/>
      <c r="H1980" s="83"/>
      <c r="K1980" s="82"/>
      <c r="M1980" s="112"/>
      <c r="N1980" s="84"/>
    </row>
    <row r="1981" spans="1:14" s="2" customFormat="1">
      <c r="A1981" s="83"/>
      <c r="H1981" s="83"/>
      <c r="K1981" s="82"/>
      <c r="M1981" s="112"/>
      <c r="N1981" s="84"/>
    </row>
    <row r="1982" spans="1:14" s="2" customFormat="1">
      <c r="A1982" s="83"/>
      <c r="H1982" s="83"/>
      <c r="K1982" s="82"/>
      <c r="M1982" s="112"/>
      <c r="N1982" s="84"/>
    </row>
    <row r="1983" spans="1:14" s="2" customFormat="1">
      <c r="A1983" s="83"/>
      <c r="H1983" s="83"/>
      <c r="K1983" s="82"/>
      <c r="M1983" s="112"/>
      <c r="N1983" s="84"/>
    </row>
    <row r="1984" spans="1:14" s="2" customFormat="1">
      <c r="A1984" s="83"/>
      <c r="H1984" s="83"/>
      <c r="K1984" s="82"/>
      <c r="M1984" s="112"/>
      <c r="N1984" s="84"/>
    </row>
    <row r="1985" spans="1:14" s="2" customFormat="1">
      <c r="A1985" s="83"/>
      <c r="H1985" s="83"/>
      <c r="K1985" s="82"/>
      <c r="M1985" s="112"/>
      <c r="N1985" s="84"/>
    </row>
    <row r="1986" spans="1:14" s="2" customFormat="1">
      <c r="A1986" s="83"/>
      <c r="H1986" s="83"/>
      <c r="K1986" s="82"/>
      <c r="M1986" s="112"/>
      <c r="N1986" s="84"/>
    </row>
    <row r="1987" spans="1:14" s="2" customFormat="1">
      <c r="A1987" s="83"/>
      <c r="H1987" s="83"/>
      <c r="K1987" s="82"/>
      <c r="M1987" s="112"/>
      <c r="N1987" s="84"/>
    </row>
    <row r="1988" spans="1:14" s="2" customFormat="1">
      <c r="A1988" s="83"/>
      <c r="H1988" s="83"/>
      <c r="K1988" s="82"/>
      <c r="M1988" s="112"/>
      <c r="N1988" s="84"/>
    </row>
    <row r="1989" spans="1:14" s="2" customFormat="1">
      <c r="A1989" s="83"/>
      <c r="H1989" s="83"/>
      <c r="K1989" s="82"/>
      <c r="M1989" s="112"/>
      <c r="N1989" s="84"/>
    </row>
    <row r="1990" spans="1:14" s="2" customFormat="1">
      <c r="A1990" s="83"/>
      <c r="H1990" s="83"/>
      <c r="K1990" s="82"/>
      <c r="M1990" s="112"/>
      <c r="N1990" s="84"/>
    </row>
    <row r="1991" spans="1:14" s="2" customFormat="1">
      <c r="A1991" s="83"/>
      <c r="H1991" s="83"/>
      <c r="K1991" s="82"/>
      <c r="M1991" s="112"/>
      <c r="N1991" s="84"/>
    </row>
    <row r="1992" spans="1:14" s="2" customFormat="1">
      <c r="A1992" s="83"/>
      <c r="H1992" s="83"/>
      <c r="K1992" s="82"/>
      <c r="M1992" s="112"/>
      <c r="N1992" s="84"/>
    </row>
    <row r="1993" spans="1:14" s="2" customFormat="1">
      <c r="A1993" s="83"/>
      <c r="H1993" s="83"/>
      <c r="K1993" s="82"/>
      <c r="M1993" s="112"/>
      <c r="N1993" s="84"/>
    </row>
    <row r="1994" spans="1:14" s="2" customFormat="1">
      <c r="A1994" s="83"/>
      <c r="H1994" s="83"/>
      <c r="K1994" s="82"/>
      <c r="M1994" s="112"/>
      <c r="N1994" s="84"/>
    </row>
    <row r="1995" spans="1:14" s="2" customFormat="1">
      <c r="A1995" s="83"/>
      <c r="H1995" s="83"/>
      <c r="K1995" s="82"/>
      <c r="M1995" s="112"/>
      <c r="N1995" s="84"/>
    </row>
    <row r="1996" spans="1:14" s="2" customFormat="1">
      <c r="A1996" s="83"/>
      <c r="H1996" s="83"/>
      <c r="K1996" s="82"/>
      <c r="M1996" s="112"/>
      <c r="N1996" s="84"/>
    </row>
    <row r="1997" spans="1:14" s="2" customFormat="1">
      <c r="A1997" s="83"/>
      <c r="H1997" s="83"/>
      <c r="K1997" s="82"/>
      <c r="M1997" s="112"/>
      <c r="N1997" s="84"/>
    </row>
    <row r="1998" spans="1:14" s="2" customFormat="1">
      <c r="A1998" s="83"/>
      <c r="H1998" s="83"/>
      <c r="K1998" s="82"/>
      <c r="M1998" s="112"/>
      <c r="N1998" s="84"/>
    </row>
    <row r="1999" spans="1:14" s="2" customFormat="1">
      <c r="A1999" s="83"/>
      <c r="H1999" s="83"/>
      <c r="K1999" s="82"/>
      <c r="M1999" s="112"/>
      <c r="N1999" s="84"/>
    </row>
    <row r="2000" spans="1:14" s="2" customFormat="1">
      <c r="A2000" s="83"/>
      <c r="H2000" s="83"/>
      <c r="K2000" s="82"/>
      <c r="M2000" s="112"/>
      <c r="N2000" s="84"/>
    </row>
    <row r="2001" spans="1:14" s="2" customFormat="1">
      <c r="A2001" s="83"/>
      <c r="H2001" s="83"/>
      <c r="K2001" s="82"/>
      <c r="M2001" s="112"/>
      <c r="N2001" s="84"/>
    </row>
    <row r="2002" spans="1:14" s="2" customFormat="1">
      <c r="A2002" s="83"/>
      <c r="H2002" s="83"/>
      <c r="K2002" s="82"/>
      <c r="M2002" s="112"/>
      <c r="N2002" s="84"/>
    </row>
    <row r="2003" spans="1:14" s="2" customFormat="1">
      <c r="A2003" s="83"/>
      <c r="H2003" s="83"/>
      <c r="K2003" s="82"/>
      <c r="M2003" s="112"/>
      <c r="N2003" s="84"/>
    </row>
    <row r="2004" spans="1:14" s="2" customFormat="1">
      <c r="A2004" s="83"/>
      <c r="H2004" s="83"/>
      <c r="K2004" s="82"/>
      <c r="M2004" s="112"/>
      <c r="N2004" s="84"/>
    </row>
    <row r="2005" spans="1:14" s="2" customFormat="1">
      <c r="A2005" s="83"/>
      <c r="H2005" s="83"/>
      <c r="K2005" s="82"/>
      <c r="M2005" s="112"/>
      <c r="N2005" s="84"/>
    </row>
    <row r="2006" spans="1:14" s="2" customFormat="1">
      <c r="A2006" s="83"/>
      <c r="H2006" s="83"/>
      <c r="K2006" s="82"/>
      <c r="M2006" s="112"/>
      <c r="N2006" s="84"/>
    </row>
    <row r="2007" spans="1:14" s="2" customFormat="1">
      <c r="A2007" s="83"/>
      <c r="H2007" s="83"/>
      <c r="K2007" s="82"/>
      <c r="M2007" s="112"/>
      <c r="N2007" s="84"/>
    </row>
    <row r="2008" spans="1:14" s="2" customFormat="1">
      <c r="A2008" s="83"/>
      <c r="H2008" s="83"/>
      <c r="K2008" s="82"/>
      <c r="M2008" s="112"/>
      <c r="N2008" s="84"/>
    </row>
    <row r="2009" spans="1:14" s="2" customFormat="1">
      <c r="A2009" s="83"/>
      <c r="H2009" s="83"/>
      <c r="K2009" s="82"/>
      <c r="M2009" s="112"/>
      <c r="N2009" s="84"/>
    </row>
    <row r="2010" spans="1:14" s="2" customFormat="1">
      <c r="A2010" s="83"/>
      <c r="H2010" s="83"/>
      <c r="K2010" s="82"/>
      <c r="M2010" s="112"/>
      <c r="N2010" s="84"/>
    </row>
    <row r="2011" spans="1:14" s="2" customFormat="1">
      <c r="A2011" s="83"/>
      <c r="H2011" s="83"/>
      <c r="K2011" s="82"/>
      <c r="M2011" s="112"/>
      <c r="N2011" s="84"/>
    </row>
    <row r="2012" spans="1:14" s="2" customFormat="1">
      <c r="A2012" s="83"/>
      <c r="H2012" s="83"/>
      <c r="K2012" s="82"/>
      <c r="M2012" s="112"/>
      <c r="N2012" s="84"/>
    </row>
    <row r="2013" spans="1:14" s="2" customFormat="1">
      <c r="A2013" s="83"/>
      <c r="H2013" s="83"/>
      <c r="K2013" s="82"/>
      <c r="M2013" s="112"/>
      <c r="N2013" s="84"/>
    </row>
    <row r="2014" spans="1:14" s="2" customFormat="1">
      <c r="A2014" s="83"/>
      <c r="H2014" s="83"/>
      <c r="K2014" s="82"/>
      <c r="M2014" s="112"/>
      <c r="N2014" s="84"/>
    </row>
    <row r="2015" spans="1:14" s="2" customFormat="1">
      <c r="A2015" s="83"/>
      <c r="H2015" s="83"/>
      <c r="K2015" s="82"/>
      <c r="M2015" s="112"/>
      <c r="N2015" s="84"/>
    </row>
    <row r="2016" spans="1:14" s="2" customFormat="1">
      <c r="A2016" s="83"/>
      <c r="H2016" s="83"/>
      <c r="K2016" s="82"/>
      <c r="M2016" s="112"/>
      <c r="N2016" s="84"/>
    </row>
    <row r="2017" spans="1:14" s="2" customFormat="1">
      <c r="A2017" s="83"/>
      <c r="H2017" s="83"/>
      <c r="K2017" s="82"/>
      <c r="M2017" s="112"/>
      <c r="N2017" s="84"/>
    </row>
    <row r="2018" spans="1:14" s="2" customFormat="1">
      <c r="A2018" s="83"/>
      <c r="H2018" s="83"/>
      <c r="K2018" s="82"/>
      <c r="M2018" s="112"/>
      <c r="N2018" s="84"/>
    </row>
    <row r="2019" spans="1:14" s="2" customFormat="1">
      <c r="A2019" s="83"/>
      <c r="H2019" s="83"/>
      <c r="K2019" s="82"/>
      <c r="M2019" s="112"/>
      <c r="N2019" s="84"/>
    </row>
    <row r="2020" spans="1:14" s="2" customFormat="1">
      <c r="A2020" s="83"/>
      <c r="H2020" s="83"/>
      <c r="K2020" s="82"/>
      <c r="M2020" s="112"/>
      <c r="N2020" s="84"/>
    </row>
    <row r="2021" spans="1:14" s="2" customFormat="1">
      <c r="A2021" s="83"/>
      <c r="H2021" s="83"/>
      <c r="K2021" s="82"/>
      <c r="M2021" s="112"/>
      <c r="N2021" s="84"/>
    </row>
    <row r="2022" spans="1:14" s="2" customFormat="1">
      <c r="A2022" s="83"/>
      <c r="H2022" s="83"/>
      <c r="K2022" s="82"/>
      <c r="M2022" s="112"/>
      <c r="N2022" s="84"/>
    </row>
    <row r="2023" spans="1:14" s="2" customFormat="1">
      <c r="A2023" s="83"/>
      <c r="H2023" s="83"/>
      <c r="K2023" s="82"/>
      <c r="M2023" s="112"/>
      <c r="N2023" s="84"/>
    </row>
    <row r="2024" spans="1:14" s="2" customFormat="1">
      <c r="A2024" s="83"/>
      <c r="H2024" s="83"/>
      <c r="K2024" s="82"/>
      <c r="M2024" s="112"/>
      <c r="N2024" s="84"/>
    </row>
    <row r="2025" spans="1:14" s="2" customFormat="1">
      <c r="A2025" s="83"/>
      <c r="H2025" s="83"/>
      <c r="K2025" s="82"/>
      <c r="M2025" s="112"/>
      <c r="N2025" s="84"/>
    </row>
    <row r="2026" spans="1:14" s="2" customFormat="1">
      <c r="A2026" s="83"/>
      <c r="H2026" s="83"/>
      <c r="K2026" s="82"/>
      <c r="M2026" s="112"/>
      <c r="N2026" s="84"/>
    </row>
    <row r="2027" spans="1:14" s="2" customFormat="1">
      <c r="A2027" s="83"/>
      <c r="H2027" s="83"/>
      <c r="K2027" s="82"/>
      <c r="M2027" s="112"/>
      <c r="N2027" s="84"/>
    </row>
    <row r="2028" spans="1:14" s="2" customFormat="1">
      <c r="A2028" s="83"/>
      <c r="H2028" s="83"/>
      <c r="K2028" s="82"/>
      <c r="M2028" s="112"/>
      <c r="N2028" s="84"/>
    </row>
    <row r="2029" spans="1:14" s="2" customFormat="1">
      <c r="A2029" s="83"/>
      <c r="H2029" s="83"/>
      <c r="K2029" s="82"/>
      <c r="M2029" s="112"/>
      <c r="N2029" s="84"/>
    </row>
    <row r="2030" spans="1:14" s="2" customFormat="1">
      <c r="A2030" s="83"/>
      <c r="H2030" s="83"/>
      <c r="K2030" s="82"/>
      <c r="M2030" s="112"/>
      <c r="N2030" s="84"/>
    </row>
    <row r="2031" spans="1:14" s="2" customFormat="1">
      <c r="A2031" s="83"/>
      <c r="H2031" s="83"/>
      <c r="K2031" s="82"/>
      <c r="M2031" s="112"/>
      <c r="N2031" s="84"/>
    </row>
    <row r="2032" spans="1:14" s="2" customFormat="1">
      <c r="A2032" s="83"/>
      <c r="H2032" s="83"/>
      <c r="K2032" s="82"/>
      <c r="M2032" s="112"/>
      <c r="N2032" s="84"/>
    </row>
    <row r="2033" spans="1:14" s="2" customFormat="1">
      <c r="A2033" s="83"/>
      <c r="H2033" s="83"/>
      <c r="K2033" s="82"/>
      <c r="M2033" s="112"/>
      <c r="N2033" s="84"/>
    </row>
    <row r="2034" spans="1:14" s="2" customFormat="1">
      <c r="A2034" s="83"/>
      <c r="H2034" s="83"/>
      <c r="K2034" s="82"/>
      <c r="M2034" s="112"/>
      <c r="N2034" s="84"/>
    </row>
    <row r="2035" spans="1:14" s="2" customFormat="1">
      <c r="A2035" s="83"/>
      <c r="H2035" s="83"/>
      <c r="K2035" s="82"/>
      <c r="M2035" s="112"/>
      <c r="N2035" s="84"/>
    </row>
    <row r="2036" spans="1:14" s="2" customFormat="1">
      <c r="A2036" s="83"/>
      <c r="H2036" s="83"/>
      <c r="K2036" s="82"/>
      <c r="M2036" s="112"/>
      <c r="N2036" s="84"/>
    </row>
    <row r="2037" spans="1:14" s="2" customFormat="1">
      <c r="A2037" s="83"/>
      <c r="H2037" s="83"/>
      <c r="K2037" s="82"/>
      <c r="M2037" s="112"/>
      <c r="N2037" s="84"/>
    </row>
    <row r="2038" spans="1:14" s="2" customFormat="1">
      <c r="A2038" s="83"/>
      <c r="H2038" s="83"/>
      <c r="K2038" s="82"/>
      <c r="M2038" s="112"/>
      <c r="N2038" s="84"/>
    </row>
    <row r="2039" spans="1:14" s="2" customFormat="1">
      <c r="A2039" s="83"/>
      <c r="H2039" s="83"/>
      <c r="K2039" s="82"/>
      <c r="M2039" s="112"/>
      <c r="N2039" s="84"/>
    </row>
    <row r="2040" spans="1:14" s="2" customFormat="1">
      <c r="A2040" s="83"/>
      <c r="H2040" s="83"/>
      <c r="K2040" s="82"/>
      <c r="M2040" s="112"/>
      <c r="N2040" s="84"/>
    </row>
    <row r="2041" spans="1:14" s="2" customFormat="1">
      <c r="A2041" s="83"/>
      <c r="H2041" s="83"/>
      <c r="K2041" s="82"/>
      <c r="M2041" s="112"/>
      <c r="N2041" s="84"/>
    </row>
    <row r="2042" spans="1:14" s="2" customFormat="1">
      <c r="A2042" s="83"/>
      <c r="H2042" s="83"/>
      <c r="K2042" s="82"/>
      <c r="M2042" s="112"/>
      <c r="N2042" s="84"/>
    </row>
    <row r="2043" spans="1:14" s="2" customFormat="1">
      <c r="A2043" s="83"/>
      <c r="H2043" s="83"/>
      <c r="K2043" s="82"/>
      <c r="M2043" s="112"/>
      <c r="N2043" s="84"/>
    </row>
    <row r="2044" spans="1:14" s="2" customFormat="1">
      <c r="A2044" s="83"/>
      <c r="H2044" s="83"/>
      <c r="K2044" s="82"/>
      <c r="M2044" s="112"/>
      <c r="N2044" s="84"/>
    </row>
    <row r="2045" spans="1:14" s="2" customFormat="1">
      <c r="A2045" s="83"/>
      <c r="H2045" s="83"/>
      <c r="K2045" s="82"/>
      <c r="M2045" s="112"/>
      <c r="N2045" s="84"/>
    </row>
    <row r="2046" spans="1:14" s="2" customFormat="1">
      <c r="A2046" s="83"/>
      <c r="H2046" s="83"/>
      <c r="K2046" s="82"/>
      <c r="M2046" s="112"/>
      <c r="N2046" s="84"/>
    </row>
    <row r="2047" spans="1:14" s="2" customFormat="1">
      <c r="A2047" s="83"/>
      <c r="H2047" s="83"/>
      <c r="K2047" s="82"/>
      <c r="M2047" s="112"/>
      <c r="N2047" s="84"/>
    </row>
    <row r="2048" spans="1:14" s="2" customFormat="1">
      <c r="A2048" s="83"/>
      <c r="H2048" s="83"/>
      <c r="K2048" s="82"/>
      <c r="M2048" s="112"/>
      <c r="N2048" s="84"/>
    </row>
    <row r="2049" spans="1:14" s="2" customFormat="1">
      <c r="A2049" s="83"/>
      <c r="H2049" s="83"/>
      <c r="K2049" s="82"/>
      <c r="M2049" s="112"/>
      <c r="N2049" s="84"/>
    </row>
    <row r="2050" spans="1:14" s="2" customFormat="1">
      <c r="A2050" s="83"/>
      <c r="H2050" s="83"/>
      <c r="K2050" s="82"/>
      <c r="M2050" s="112"/>
      <c r="N2050" s="84"/>
    </row>
    <row r="2051" spans="1:14" s="2" customFormat="1">
      <c r="A2051" s="83"/>
      <c r="H2051" s="83"/>
      <c r="K2051" s="82"/>
      <c r="M2051" s="112"/>
      <c r="N2051" s="84"/>
    </row>
    <row r="2052" spans="1:14" s="2" customFormat="1">
      <c r="A2052" s="83"/>
      <c r="H2052" s="83"/>
      <c r="K2052" s="82"/>
      <c r="M2052" s="112"/>
      <c r="N2052" s="84"/>
    </row>
    <row r="2053" spans="1:14" s="2" customFormat="1">
      <c r="A2053" s="83"/>
      <c r="H2053" s="83"/>
      <c r="K2053" s="82"/>
      <c r="M2053" s="112"/>
      <c r="N2053" s="84"/>
    </row>
    <row r="2054" spans="1:14" s="2" customFormat="1">
      <c r="A2054" s="83"/>
      <c r="H2054" s="83"/>
      <c r="K2054" s="82"/>
      <c r="M2054" s="112"/>
      <c r="N2054" s="84"/>
    </row>
    <row r="2055" spans="1:14" s="2" customFormat="1">
      <c r="A2055" s="83"/>
      <c r="H2055" s="83"/>
      <c r="K2055" s="82"/>
      <c r="M2055" s="112"/>
      <c r="N2055" s="84"/>
    </row>
    <row r="2056" spans="1:14" s="2" customFormat="1">
      <c r="A2056" s="83"/>
      <c r="H2056" s="83"/>
      <c r="K2056" s="82"/>
      <c r="M2056" s="112"/>
      <c r="N2056" s="84"/>
    </row>
    <row r="2057" spans="1:14" s="2" customFormat="1">
      <c r="A2057" s="83"/>
      <c r="H2057" s="83"/>
      <c r="K2057" s="82"/>
      <c r="M2057" s="112"/>
      <c r="N2057" s="84"/>
    </row>
    <row r="2058" spans="1:14" s="2" customFormat="1">
      <c r="A2058" s="83"/>
      <c r="H2058" s="83"/>
      <c r="K2058" s="82"/>
      <c r="M2058" s="112"/>
      <c r="N2058" s="84"/>
    </row>
    <row r="2059" spans="1:14" s="2" customFormat="1">
      <c r="A2059" s="83"/>
      <c r="H2059" s="83"/>
      <c r="K2059" s="82"/>
      <c r="M2059" s="112"/>
      <c r="N2059" s="84"/>
    </row>
    <row r="2060" spans="1:14" s="2" customFormat="1">
      <c r="A2060" s="83"/>
      <c r="H2060" s="83"/>
      <c r="K2060" s="82"/>
      <c r="M2060" s="112"/>
      <c r="N2060" s="84"/>
    </row>
    <row r="2061" spans="1:14" s="2" customFormat="1">
      <c r="A2061" s="83"/>
      <c r="H2061" s="83"/>
      <c r="K2061" s="82"/>
      <c r="M2061" s="112"/>
      <c r="N2061" s="84"/>
    </row>
    <row r="2062" spans="1:14" s="2" customFormat="1">
      <c r="A2062" s="83"/>
      <c r="H2062" s="83"/>
      <c r="K2062" s="82"/>
      <c r="M2062" s="112"/>
      <c r="N2062" s="84"/>
    </row>
    <row r="2063" spans="1:14" s="2" customFormat="1">
      <c r="A2063" s="83"/>
      <c r="H2063" s="83"/>
      <c r="K2063" s="82"/>
      <c r="M2063" s="112"/>
      <c r="N2063" s="84"/>
    </row>
    <row r="2064" spans="1:14" s="2" customFormat="1">
      <c r="A2064" s="83"/>
      <c r="H2064" s="83"/>
      <c r="K2064" s="82"/>
      <c r="M2064" s="112"/>
      <c r="N2064" s="84"/>
    </row>
    <row r="2065" spans="1:14" s="2" customFormat="1">
      <c r="A2065" s="83"/>
      <c r="H2065" s="83"/>
      <c r="K2065" s="82"/>
      <c r="M2065" s="112"/>
      <c r="N2065" s="84"/>
    </row>
    <row r="2066" spans="1:14" s="2" customFormat="1">
      <c r="A2066" s="83"/>
      <c r="H2066" s="83"/>
      <c r="K2066" s="82"/>
      <c r="M2066" s="112"/>
      <c r="N2066" s="84"/>
    </row>
    <row r="2067" spans="1:14" s="2" customFormat="1">
      <c r="A2067" s="83"/>
      <c r="H2067" s="83"/>
      <c r="K2067" s="82"/>
      <c r="M2067" s="112"/>
      <c r="N2067" s="84"/>
    </row>
    <row r="2068" spans="1:14" s="2" customFormat="1">
      <c r="A2068" s="83"/>
      <c r="H2068" s="83"/>
      <c r="K2068" s="82"/>
      <c r="M2068" s="112"/>
      <c r="N2068" s="84"/>
    </row>
    <row r="2069" spans="1:14" s="2" customFormat="1">
      <c r="A2069" s="83"/>
      <c r="H2069" s="83"/>
      <c r="K2069" s="82"/>
      <c r="M2069" s="112"/>
      <c r="N2069" s="84"/>
    </row>
    <row r="2070" spans="1:14" s="2" customFormat="1">
      <c r="A2070" s="83"/>
      <c r="H2070" s="83"/>
      <c r="K2070" s="82"/>
      <c r="M2070" s="112"/>
      <c r="N2070" s="84"/>
    </row>
    <row r="2071" spans="1:14" s="2" customFormat="1">
      <c r="A2071" s="83"/>
      <c r="H2071" s="83"/>
      <c r="K2071" s="82"/>
      <c r="M2071" s="112"/>
      <c r="N2071" s="84"/>
    </row>
    <row r="2072" spans="1:14" s="2" customFormat="1">
      <c r="A2072" s="83"/>
      <c r="H2072" s="83"/>
      <c r="K2072" s="82"/>
      <c r="M2072" s="112"/>
      <c r="N2072" s="84"/>
    </row>
    <row r="2073" spans="1:14" s="2" customFormat="1">
      <c r="A2073" s="83"/>
      <c r="H2073" s="83"/>
      <c r="K2073" s="82"/>
      <c r="M2073" s="112"/>
      <c r="N2073" s="84"/>
    </row>
    <row r="2074" spans="1:14" s="2" customFormat="1">
      <c r="A2074" s="83"/>
      <c r="H2074" s="83"/>
      <c r="K2074" s="82"/>
      <c r="M2074" s="112"/>
      <c r="N2074" s="84"/>
    </row>
    <row r="2075" spans="1:14" s="2" customFormat="1">
      <c r="A2075" s="83"/>
      <c r="H2075" s="83"/>
      <c r="K2075" s="82"/>
      <c r="M2075" s="112"/>
      <c r="N2075" s="84"/>
    </row>
    <row r="2076" spans="1:14" s="2" customFormat="1">
      <c r="A2076" s="83"/>
      <c r="H2076" s="83"/>
      <c r="K2076" s="82"/>
      <c r="M2076" s="112"/>
      <c r="N2076" s="84"/>
    </row>
    <row r="2077" spans="1:14" s="2" customFormat="1">
      <c r="A2077" s="83"/>
      <c r="H2077" s="83"/>
      <c r="K2077" s="82"/>
      <c r="M2077" s="112"/>
      <c r="N2077" s="84"/>
    </row>
    <row r="2078" spans="1:14" s="2" customFormat="1">
      <c r="A2078" s="83"/>
      <c r="H2078" s="83"/>
      <c r="K2078" s="82"/>
      <c r="M2078" s="112"/>
      <c r="N2078" s="84"/>
    </row>
    <row r="2079" spans="1:14" s="2" customFormat="1">
      <c r="A2079" s="83"/>
      <c r="H2079" s="83"/>
      <c r="K2079" s="82"/>
      <c r="M2079" s="112"/>
      <c r="N2079" s="84"/>
    </row>
    <row r="2080" spans="1:14" s="2" customFormat="1">
      <c r="A2080" s="83"/>
      <c r="H2080" s="83"/>
      <c r="K2080" s="82"/>
      <c r="M2080" s="112"/>
      <c r="N2080" s="84"/>
    </row>
    <row r="2081" spans="1:14" s="2" customFormat="1">
      <c r="A2081" s="83"/>
      <c r="H2081" s="83"/>
      <c r="K2081" s="82"/>
      <c r="M2081" s="112"/>
      <c r="N2081" s="84"/>
    </row>
    <row r="2082" spans="1:14" s="2" customFormat="1">
      <c r="A2082" s="83"/>
      <c r="H2082" s="83"/>
      <c r="K2082" s="82"/>
      <c r="M2082" s="112"/>
      <c r="N2082" s="84"/>
    </row>
    <row r="2083" spans="1:14" s="2" customFormat="1">
      <c r="A2083" s="83"/>
      <c r="H2083" s="83"/>
      <c r="K2083" s="82"/>
      <c r="M2083" s="112"/>
      <c r="N2083" s="84"/>
    </row>
    <row r="2084" spans="1:14" s="2" customFormat="1">
      <c r="A2084" s="83"/>
      <c r="H2084" s="83"/>
      <c r="K2084" s="82"/>
      <c r="M2084" s="112"/>
      <c r="N2084" s="84"/>
    </row>
    <row r="2085" spans="1:14" s="2" customFormat="1">
      <c r="A2085" s="83"/>
      <c r="H2085" s="83"/>
      <c r="K2085" s="82"/>
      <c r="M2085" s="112"/>
      <c r="N2085" s="84"/>
    </row>
    <row r="2086" spans="1:14" s="2" customFormat="1">
      <c r="A2086" s="83"/>
      <c r="H2086" s="83"/>
      <c r="K2086" s="82"/>
      <c r="M2086" s="112"/>
      <c r="N2086" s="84"/>
    </row>
    <row r="2087" spans="1:14" s="2" customFormat="1">
      <c r="A2087" s="83"/>
      <c r="H2087" s="83"/>
      <c r="K2087" s="82"/>
      <c r="M2087" s="112"/>
      <c r="N2087" s="84"/>
    </row>
    <row r="2088" spans="1:14" s="2" customFormat="1">
      <c r="A2088" s="83"/>
      <c r="H2088" s="83"/>
      <c r="K2088" s="82"/>
      <c r="M2088" s="112"/>
      <c r="N2088" s="84"/>
    </row>
    <row r="2089" spans="1:14" s="2" customFormat="1">
      <c r="A2089" s="83"/>
      <c r="H2089" s="83"/>
      <c r="K2089" s="82"/>
      <c r="M2089" s="112"/>
      <c r="N2089" s="84"/>
    </row>
    <row r="2090" spans="1:14" s="2" customFormat="1">
      <c r="A2090" s="83"/>
      <c r="H2090" s="83"/>
      <c r="K2090" s="82"/>
      <c r="M2090" s="112"/>
      <c r="N2090" s="84"/>
    </row>
    <row r="2091" spans="1:14" s="2" customFormat="1">
      <c r="A2091" s="83"/>
      <c r="H2091" s="83"/>
      <c r="K2091" s="82"/>
      <c r="M2091" s="112"/>
      <c r="N2091" s="84"/>
    </row>
    <row r="2092" spans="1:14" s="2" customFormat="1">
      <c r="A2092" s="83"/>
      <c r="H2092" s="83"/>
      <c r="K2092" s="82"/>
      <c r="M2092" s="112"/>
      <c r="N2092" s="84"/>
    </row>
    <row r="2093" spans="1:14" s="2" customFormat="1">
      <c r="A2093" s="83"/>
      <c r="H2093" s="83"/>
      <c r="K2093" s="82"/>
      <c r="M2093" s="112"/>
      <c r="N2093" s="84"/>
    </row>
    <row r="2094" spans="1:14" s="2" customFormat="1">
      <c r="A2094" s="83"/>
      <c r="H2094" s="83"/>
      <c r="K2094" s="82"/>
      <c r="M2094" s="112"/>
      <c r="N2094" s="84"/>
    </row>
    <row r="2095" spans="1:14" s="2" customFormat="1">
      <c r="A2095" s="83"/>
      <c r="H2095" s="83"/>
      <c r="K2095" s="82"/>
      <c r="M2095" s="112"/>
      <c r="N2095" s="84"/>
    </row>
    <row r="2096" spans="1:14" s="2" customFormat="1">
      <c r="A2096" s="83"/>
      <c r="H2096" s="83"/>
      <c r="K2096" s="82"/>
      <c r="M2096" s="112"/>
      <c r="N2096" s="84"/>
    </row>
    <row r="2097" spans="1:14" s="2" customFormat="1">
      <c r="A2097" s="83"/>
      <c r="H2097" s="83"/>
      <c r="K2097" s="82"/>
      <c r="M2097" s="112"/>
      <c r="N2097" s="84"/>
    </row>
    <row r="2098" spans="1:14" s="2" customFormat="1">
      <c r="A2098" s="83"/>
      <c r="H2098" s="83"/>
      <c r="K2098" s="82"/>
      <c r="M2098" s="112"/>
      <c r="N2098" s="84"/>
    </row>
    <row r="2099" spans="1:14" s="2" customFormat="1">
      <c r="A2099" s="83"/>
      <c r="H2099" s="83"/>
      <c r="K2099" s="82"/>
      <c r="M2099" s="112"/>
      <c r="N2099" s="84"/>
    </row>
    <row r="2100" spans="1:14" s="2" customFormat="1">
      <c r="A2100" s="83"/>
      <c r="H2100" s="83"/>
      <c r="K2100" s="82"/>
      <c r="M2100" s="112"/>
      <c r="N2100" s="84"/>
    </row>
    <row r="2101" spans="1:14" s="2" customFormat="1">
      <c r="A2101" s="83"/>
      <c r="H2101" s="83"/>
      <c r="K2101" s="82"/>
      <c r="M2101" s="112"/>
      <c r="N2101" s="84"/>
    </row>
    <row r="2102" spans="1:14" s="2" customFormat="1">
      <c r="A2102" s="83"/>
      <c r="H2102" s="83"/>
      <c r="K2102" s="82"/>
      <c r="M2102" s="112"/>
      <c r="N2102" s="84"/>
    </row>
    <row r="2103" spans="1:14" s="2" customFormat="1">
      <c r="A2103" s="83"/>
      <c r="H2103" s="83"/>
      <c r="K2103" s="82"/>
      <c r="M2103" s="112"/>
      <c r="N2103" s="84"/>
    </row>
    <row r="2104" spans="1:14" s="2" customFormat="1">
      <c r="A2104" s="83"/>
      <c r="H2104" s="83"/>
      <c r="K2104" s="82"/>
      <c r="M2104" s="112"/>
      <c r="N2104" s="84"/>
    </row>
    <row r="2105" spans="1:14" s="2" customFormat="1">
      <c r="A2105" s="83"/>
      <c r="H2105" s="83"/>
      <c r="K2105" s="82"/>
      <c r="M2105" s="112"/>
      <c r="N2105" s="84"/>
    </row>
    <row r="2106" spans="1:14" s="2" customFormat="1">
      <c r="A2106" s="83"/>
      <c r="H2106" s="83"/>
      <c r="K2106" s="82"/>
      <c r="M2106" s="112"/>
      <c r="N2106" s="84"/>
    </row>
    <row r="2107" spans="1:14" s="2" customFormat="1">
      <c r="A2107" s="83"/>
      <c r="H2107" s="83"/>
      <c r="K2107" s="82"/>
      <c r="M2107" s="112"/>
      <c r="N2107" s="84"/>
    </row>
    <row r="2108" spans="1:14" s="2" customFormat="1">
      <c r="A2108" s="83"/>
      <c r="H2108" s="83"/>
      <c r="K2108" s="82"/>
      <c r="M2108" s="112"/>
      <c r="N2108" s="84"/>
    </row>
    <row r="2109" spans="1:14" s="2" customFormat="1">
      <c r="A2109" s="83"/>
      <c r="H2109" s="83"/>
      <c r="K2109" s="82"/>
      <c r="M2109" s="112"/>
      <c r="N2109" s="84"/>
    </row>
    <row r="2110" spans="1:14" s="2" customFormat="1">
      <c r="A2110" s="83"/>
      <c r="H2110" s="83"/>
      <c r="K2110" s="82"/>
      <c r="M2110" s="112"/>
      <c r="N2110" s="84"/>
    </row>
    <row r="2111" spans="1:14" s="2" customFormat="1">
      <c r="A2111" s="83"/>
      <c r="H2111" s="83"/>
      <c r="K2111" s="82"/>
      <c r="M2111" s="112"/>
      <c r="N2111" s="84"/>
    </row>
    <row r="2112" spans="1:14" s="2" customFormat="1">
      <c r="A2112" s="83"/>
      <c r="H2112" s="83"/>
      <c r="K2112" s="82"/>
      <c r="M2112" s="112"/>
      <c r="N2112" s="84"/>
    </row>
    <row r="2113" spans="1:14" s="2" customFormat="1">
      <c r="A2113" s="83"/>
      <c r="H2113" s="83"/>
      <c r="K2113" s="82"/>
      <c r="M2113" s="112"/>
      <c r="N2113" s="84"/>
    </row>
    <row r="2114" spans="1:14" s="2" customFormat="1">
      <c r="A2114" s="83"/>
      <c r="H2114" s="83"/>
      <c r="K2114" s="82"/>
      <c r="M2114" s="112"/>
      <c r="N2114" s="84"/>
    </row>
    <row r="2115" spans="1:14" s="2" customFormat="1">
      <c r="A2115" s="83"/>
      <c r="H2115" s="83"/>
      <c r="K2115" s="82"/>
      <c r="M2115" s="112"/>
      <c r="N2115" s="84"/>
    </row>
    <row r="2116" spans="1:14" s="2" customFormat="1">
      <c r="A2116" s="83"/>
      <c r="H2116" s="83"/>
      <c r="K2116" s="82"/>
      <c r="M2116" s="112"/>
      <c r="N2116" s="84"/>
    </row>
    <row r="2117" spans="1:14" s="2" customFormat="1">
      <c r="A2117" s="83"/>
      <c r="H2117" s="83"/>
      <c r="K2117" s="82"/>
      <c r="M2117" s="112"/>
      <c r="N2117" s="84"/>
    </row>
    <row r="2118" spans="1:14" s="2" customFormat="1">
      <c r="A2118" s="83"/>
      <c r="H2118" s="83"/>
      <c r="K2118" s="82"/>
      <c r="M2118" s="112"/>
      <c r="N2118" s="84"/>
    </row>
    <row r="2119" spans="1:14" s="2" customFormat="1">
      <c r="A2119" s="83"/>
      <c r="H2119" s="83"/>
      <c r="K2119" s="82"/>
      <c r="M2119" s="112"/>
      <c r="N2119" s="84"/>
    </row>
    <row r="2120" spans="1:14" s="2" customFormat="1">
      <c r="A2120" s="83"/>
      <c r="H2120" s="83"/>
      <c r="K2120" s="82"/>
      <c r="M2120" s="112"/>
      <c r="N2120" s="84"/>
    </row>
    <row r="2121" spans="1:14" s="2" customFormat="1">
      <c r="A2121" s="83"/>
      <c r="H2121" s="83"/>
      <c r="K2121" s="82"/>
      <c r="M2121" s="112"/>
      <c r="N2121" s="84"/>
    </row>
    <row r="2122" spans="1:14" s="2" customFormat="1">
      <c r="A2122" s="83"/>
      <c r="H2122" s="83"/>
      <c r="K2122" s="82"/>
      <c r="M2122" s="112"/>
      <c r="N2122" s="84"/>
    </row>
    <row r="2123" spans="1:14" s="2" customFormat="1">
      <c r="A2123" s="83"/>
      <c r="H2123" s="83"/>
      <c r="K2123" s="82"/>
      <c r="M2123" s="112"/>
      <c r="N2123" s="84"/>
    </row>
    <row r="2124" spans="1:14" s="2" customFormat="1">
      <c r="A2124" s="83"/>
      <c r="H2124" s="83"/>
      <c r="K2124" s="82"/>
      <c r="M2124" s="112"/>
      <c r="N2124" s="84"/>
    </row>
    <row r="2125" spans="1:14" s="2" customFormat="1">
      <c r="A2125" s="83"/>
      <c r="H2125" s="83"/>
      <c r="K2125" s="82"/>
      <c r="M2125" s="112"/>
      <c r="N2125" s="84"/>
    </row>
    <row r="2126" spans="1:14" s="2" customFormat="1">
      <c r="A2126" s="83"/>
      <c r="H2126" s="83"/>
      <c r="K2126" s="82"/>
      <c r="M2126" s="112"/>
      <c r="N2126" s="84"/>
    </row>
    <row r="2127" spans="1:14" s="2" customFormat="1">
      <c r="A2127" s="83"/>
      <c r="H2127" s="83"/>
      <c r="K2127" s="82"/>
      <c r="M2127" s="112"/>
      <c r="N2127" s="84"/>
    </row>
    <row r="2128" spans="1:14" s="2" customFormat="1">
      <c r="A2128" s="83"/>
      <c r="H2128" s="83"/>
      <c r="K2128" s="82"/>
      <c r="M2128" s="112"/>
      <c r="N2128" s="84"/>
    </row>
    <row r="2129" spans="1:14" s="2" customFormat="1">
      <c r="A2129" s="83"/>
      <c r="H2129" s="83"/>
      <c r="K2129" s="82"/>
      <c r="M2129" s="112"/>
      <c r="N2129" s="84"/>
    </row>
    <row r="2130" spans="1:14" s="2" customFormat="1">
      <c r="A2130" s="83"/>
      <c r="H2130" s="83"/>
      <c r="K2130" s="82"/>
      <c r="M2130" s="112"/>
      <c r="N2130" s="84"/>
    </row>
    <row r="2131" spans="1:14" s="2" customFormat="1">
      <c r="A2131" s="83"/>
      <c r="H2131" s="83"/>
      <c r="K2131" s="82"/>
      <c r="M2131" s="112"/>
      <c r="N2131" s="84"/>
    </row>
    <row r="2132" spans="1:14" s="2" customFormat="1">
      <c r="A2132" s="83"/>
      <c r="H2132" s="83"/>
      <c r="K2132" s="82"/>
      <c r="M2132" s="112"/>
      <c r="N2132" s="84"/>
    </row>
    <row r="2133" spans="1:14" s="2" customFormat="1">
      <c r="A2133" s="83"/>
      <c r="H2133" s="83"/>
      <c r="K2133" s="82"/>
      <c r="M2133" s="112"/>
      <c r="N2133" s="84"/>
    </row>
    <row r="2134" spans="1:14" s="2" customFormat="1">
      <c r="A2134" s="83"/>
      <c r="H2134" s="83"/>
      <c r="K2134" s="82"/>
      <c r="M2134" s="112"/>
      <c r="N2134" s="84"/>
    </row>
    <row r="2135" spans="1:14" s="2" customFormat="1">
      <c r="A2135" s="83"/>
      <c r="H2135" s="83"/>
      <c r="K2135" s="82"/>
      <c r="M2135" s="112"/>
      <c r="N2135" s="84"/>
    </row>
    <row r="2136" spans="1:14" s="2" customFormat="1">
      <c r="A2136" s="83"/>
      <c r="H2136" s="83"/>
      <c r="K2136" s="82"/>
      <c r="M2136" s="112"/>
      <c r="N2136" s="84"/>
    </row>
    <row r="2137" spans="1:14" s="2" customFormat="1">
      <c r="A2137" s="83"/>
      <c r="H2137" s="83"/>
      <c r="K2137" s="82"/>
      <c r="M2137" s="112"/>
      <c r="N2137" s="84"/>
    </row>
    <row r="2138" spans="1:14" s="2" customFormat="1">
      <c r="A2138" s="83"/>
      <c r="H2138" s="83"/>
      <c r="K2138" s="82"/>
      <c r="M2138" s="112"/>
      <c r="N2138" s="84"/>
    </row>
    <row r="2139" spans="1:14" s="2" customFormat="1">
      <c r="A2139" s="83"/>
      <c r="H2139" s="83"/>
      <c r="K2139" s="82"/>
      <c r="M2139" s="112"/>
      <c r="N2139" s="84"/>
    </row>
    <row r="2140" spans="1:14" s="2" customFormat="1">
      <c r="A2140" s="83"/>
      <c r="H2140" s="83"/>
      <c r="K2140" s="82"/>
      <c r="M2140" s="112"/>
      <c r="N2140" s="84"/>
    </row>
    <row r="2141" spans="1:14" s="2" customFormat="1">
      <c r="A2141" s="83"/>
      <c r="H2141" s="83"/>
      <c r="K2141" s="82"/>
      <c r="M2141" s="112"/>
      <c r="N2141" s="84"/>
    </row>
    <row r="2142" spans="1:14" s="2" customFormat="1">
      <c r="A2142" s="83"/>
      <c r="H2142" s="83"/>
      <c r="K2142" s="82"/>
      <c r="M2142" s="112"/>
      <c r="N2142" s="84"/>
    </row>
    <row r="2143" spans="1:14" s="2" customFormat="1">
      <c r="A2143" s="83"/>
      <c r="H2143" s="83"/>
      <c r="K2143" s="82"/>
      <c r="M2143" s="112"/>
      <c r="N2143" s="84"/>
    </row>
    <row r="2144" spans="1:14" s="2" customFormat="1">
      <c r="A2144" s="83"/>
      <c r="H2144" s="83"/>
      <c r="K2144" s="82"/>
      <c r="M2144" s="112"/>
      <c r="N2144" s="84"/>
    </row>
    <row r="2145" spans="1:14" s="2" customFormat="1">
      <c r="A2145" s="83"/>
      <c r="H2145" s="83"/>
      <c r="K2145" s="82"/>
      <c r="M2145" s="112"/>
      <c r="N2145" s="84"/>
    </row>
    <row r="2146" spans="1:14" s="2" customFormat="1">
      <c r="A2146" s="83"/>
      <c r="H2146" s="83"/>
      <c r="K2146" s="82"/>
      <c r="M2146" s="112"/>
      <c r="N2146" s="84"/>
    </row>
    <row r="2147" spans="1:14" s="2" customFormat="1">
      <c r="A2147" s="83"/>
      <c r="H2147" s="83"/>
      <c r="K2147" s="82"/>
      <c r="M2147" s="112"/>
      <c r="N2147" s="84"/>
    </row>
    <row r="2148" spans="1:14" s="2" customFormat="1">
      <c r="A2148" s="83"/>
      <c r="H2148" s="83"/>
      <c r="K2148" s="82"/>
      <c r="M2148" s="112"/>
      <c r="N2148" s="84"/>
    </row>
    <row r="2149" spans="1:14" s="2" customFormat="1">
      <c r="A2149" s="83"/>
      <c r="H2149" s="83"/>
      <c r="K2149" s="82"/>
      <c r="M2149" s="112"/>
      <c r="N2149" s="84"/>
    </row>
    <row r="2150" spans="1:14" s="2" customFormat="1">
      <c r="A2150" s="83"/>
      <c r="H2150" s="83"/>
      <c r="K2150" s="82"/>
      <c r="M2150" s="112"/>
      <c r="N2150" s="84"/>
    </row>
    <row r="2151" spans="1:14" s="2" customFormat="1">
      <c r="A2151" s="83"/>
      <c r="H2151" s="83"/>
      <c r="K2151" s="82"/>
      <c r="M2151" s="112"/>
      <c r="N2151" s="84"/>
    </row>
    <row r="2152" spans="1:14" s="2" customFormat="1">
      <c r="A2152" s="83"/>
      <c r="H2152" s="83"/>
      <c r="K2152" s="82"/>
      <c r="M2152" s="112"/>
      <c r="N2152" s="84"/>
    </row>
    <row r="2153" spans="1:14" s="2" customFormat="1">
      <c r="A2153" s="83"/>
      <c r="H2153" s="83"/>
      <c r="K2153" s="82"/>
      <c r="M2153" s="112"/>
      <c r="N2153" s="84"/>
    </row>
    <row r="2154" spans="1:14" s="2" customFormat="1">
      <c r="A2154" s="83"/>
      <c r="H2154" s="83"/>
      <c r="K2154" s="82"/>
      <c r="M2154" s="112"/>
      <c r="N2154" s="84"/>
    </row>
    <row r="2155" spans="1:14" s="2" customFormat="1">
      <c r="A2155" s="83"/>
      <c r="H2155" s="83"/>
      <c r="K2155" s="82"/>
      <c r="M2155" s="112"/>
      <c r="N2155" s="84"/>
    </row>
    <row r="2156" spans="1:14" s="2" customFormat="1">
      <c r="A2156" s="83"/>
      <c r="H2156" s="83"/>
      <c r="K2156" s="82"/>
      <c r="M2156" s="112"/>
      <c r="N2156" s="84"/>
    </row>
    <row r="2157" spans="1:14" s="2" customFormat="1">
      <c r="A2157" s="83"/>
      <c r="H2157" s="83"/>
      <c r="K2157" s="82"/>
      <c r="M2157" s="112"/>
      <c r="N2157" s="84"/>
    </row>
    <row r="2158" spans="1:14" s="2" customFormat="1">
      <c r="A2158" s="83"/>
      <c r="H2158" s="83"/>
      <c r="K2158" s="82"/>
      <c r="M2158" s="112"/>
      <c r="N2158" s="84"/>
    </row>
    <row r="2159" spans="1:14" s="2" customFormat="1">
      <c r="A2159" s="83"/>
      <c r="H2159" s="83"/>
      <c r="K2159" s="82"/>
      <c r="M2159" s="112"/>
      <c r="N2159" s="84"/>
    </row>
    <row r="2160" spans="1:14" s="2" customFormat="1">
      <c r="A2160" s="83"/>
      <c r="H2160" s="83"/>
      <c r="K2160" s="82"/>
      <c r="M2160" s="112"/>
      <c r="N2160" s="84"/>
    </row>
    <row r="2161" spans="1:14" s="2" customFormat="1">
      <c r="A2161" s="83"/>
      <c r="H2161" s="83"/>
      <c r="K2161" s="82"/>
      <c r="M2161" s="112"/>
      <c r="N2161" s="84"/>
    </row>
    <row r="2162" spans="1:14" s="2" customFormat="1">
      <c r="A2162" s="83"/>
      <c r="H2162" s="83"/>
      <c r="K2162" s="82"/>
      <c r="M2162" s="112"/>
      <c r="N2162" s="84"/>
    </row>
    <row r="2163" spans="1:14" s="2" customFormat="1">
      <c r="A2163" s="83"/>
      <c r="H2163" s="83"/>
      <c r="K2163" s="82"/>
      <c r="M2163" s="112"/>
      <c r="N2163" s="84"/>
    </row>
    <row r="2164" spans="1:14" s="2" customFormat="1">
      <c r="A2164" s="83"/>
      <c r="H2164" s="83"/>
      <c r="K2164" s="82"/>
      <c r="M2164" s="112"/>
      <c r="N2164" s="84"/>
    </row>
    <row r="2165" spans="1:14" s="2" customFormat="1">
      <c r="A2165" s="83"/>
      <c r="H2165" s="83"/>
      <c r="K2165" s="82"/>
      <c r="M2165" s="112"/>
      <c r="N2165" s="84"/>
    </row>
    <row r="2166" spans="1:14" s="2" customFormat="1">
      <c r="A2166" s="83"/>
      <c r="H2166" s="83"/>
      <c r="K2166" s="82"/>
      <c r="M2166" s="112"/>
      <c r="N2166" s="84"/>
    </row>
    <row r="2167" spans="1:14" s="2" customFormat="1">
      <c r="A2167" s="83"/>
      <c r="H2167" s="83"/>
      <c r="K2167" s="82"/>
      <c r="M2167" s="112"/>
      <c r="N2167" s="84"/>
    </row>
    <row r="2168" spans="1:14" s="2" customFormat="1">
      <c r="A2168" s="83"/>
      <c r="H2168" s="83"/>
      <c r="K2168" s="82"/>
      <c r="M2168" s="112"/>
      <c r="N2168" s="84"/>
    </row>
    <row r="2169" spans="1:14" s="2" customFormat="1">
      <c r="A2169" s="83"/>
      <c r="H2169" s="83"/>
      <c r="K2169" s="82"/>
      <c r="M2169" s="112"/>
      <c r="N2169" s="84"/>
    </row>
    <row r="2170" spans="1:14" s="2" customFormat="1">
      <c r="A2170" s="83"/>
      <c r="H2170" s="83"/>
      <c r="K2170" s="82"/>
      <c r="M2170" s="112"/>
      <c r="N2170" s="84"/>
    </row>
    <row r="2171" spans="1:14" s="2" customFormat="1">
      <c r="A2171" s="83"/>
      <c r="H2171" s="83"/>
      <c r="K2171" s="82"/>
      <c r="M2171" s="112"/>
      <c r="N2171" s="84"/>
    </row>
    <row r="2172" spans="1:14" s="2" customFormat="1">
      <c r="A2172" s="83"/>
      <c r="H2172" s="83"/>
      <c r="K2172" s="82"/>
      <c r="M2172" s="112"/>
      <c r="N2172" s="84"/>
    </row>
    <row r="2173" spans="1:14" s="2" customFormat="1">
      <c r="A2173" s="83"/>
      <c r="H2173" s="83"/>
      <c r="K2173" s="82"/>
      <c r="M2173" s="112"/>
      <c r="N2173" s="84"/>
    </row>
    <row r="2174" spans="1:14" s="2" customFormat="1">
      <c r="A2174" s="83"/>
      <c r="H2174" s="83"/>
      <c r="K2174" s="82"/>
      <c r="M2174" s="112"/>
      <c r="N2174" s="84"/>
    </row>
    <row r="2175" spans="1:14" s="2" customFormat="1">
      <c r="A2175" s="83"/>
      <c r="H2175" s="83"/>
      <c r="K2175" s="82"/>
      <c r="M2175" s="112"/>
      <c r="N2175" s="84"/>
    </row>
    <row r="2176" spans="1:14" s="2" customFormat="1">
      <c r="A2176" s="83"/>
      <c r="H2176" s="83"/>
      <c r="K2176" s="82"/>
      <c r="M2176" s="112"/>
      <c r="N2176" s="84"/>
    </row>
    <row r="2177" spans="1:14" s="2" customFormat="1">
      <c r="A2177" s="83"/>
      <c r="H2177" s="83"/>
      <c r="K2177" s="82"/>
      <c r="M2177" s="112"/>
      <c r="N2177" s="84"/>
    </row>
    <row r="2178" spans="1:14" s="2" customFormat="1">
      <c r="A2178" s="83"/>
      <c r="H2178" s="83"/>
      <c r="K2178" s="82"/>
      <c r="M2178" s="112"/>
      <c r="N2178" s="84"/>
    </row>
    <row r="2179" spans="1:14" s="2" customFormat="1">
      <c r="A2179" s="83"/>
      <c r="H2179" s="83"/>
      <c r="K2179" s="82"/>
      <c r="M2179" s="112"/>
      <c r="N2179" s="84"/>
    </row>
    <row r="2180" spans="1:14" s="2" customFormat="1">
      <c r="A2180" s="83"/>
      <c r="H2180" s="83"/>
      <c r="K2180" s="82"/>
      <c r="M2180" s="112"/>
      <c r="N2180" s="84"/>
    </row>
    <row r="2181" spans="1:14" s="2" customFormat="1">
      <c r="A2181" s="83"/>
      <c r="H2181" s="83"/>
      <c r="K2181" s="82"/>
      <c r="M2181" s="112"/>
      <c r="N2181" s="84"/>
    </row>
    <row r="2182" spans="1:14" s="2" customFormat="1">
      <c r="A2182" s="83"/>
      <c r="H2182" s="83"/>
      <c r="K2182" s="82"/>
      <c r="M2182" s="112"/>
      <c r="N2182" s="84"/>
    </row>
    <row r="2183" spans="1:14" s="2" customFormat="1">
      <c r="A2183" s="83"/>
      <c r="H2183" s="83"/>
      <c r="K2183" s="82"/>
      <c r="M2183" s="112"/>
      <c r="N2183" s="84"/>
    </row>
    <row r="2184" spans="1:14" s="2" customFormat="1">
      <c r="A2184" s="83"/>
      <c r="H2184" s="83"/>
      <c r="K2184" s="82"/>
      <c r="M2184" s="112"/>
      <c r="N2184" s="84"/>
    </row>
    <row r="2185" spans="1:14" s="2" customFormat="1">
      <c r="A2185" s="83"/>
      <c r="H2185" s="83"/>
      <c r="K2185" s="82"/>
      <c r="M2185" s="112"/>
      <c r="N2185" s="84"/>
    </row>
    <row r="2186" spans="1:14" s="2" customFormat="1">
      <c r="A2186" s="83"/>
      <c r="H2186" s="83"/>
      <c r="K2186" s="82"/>
      <c r="M2186" s="112"/>
      <c r="N2186" s="84"/>
    </row>
    <row r="2187" spans="1:14" s="2" customFormat="1">
      <c r="A2187" s="83"/>
      <c r="H2187" s="83"/>
      <c r="K2187" s="82"/>
      <c r="M2187" s="112"/>
      <c r="N2187" s="84"/>
    </row>
    <row r="2188" spans="1:14" s="2" customFormat="1">
      <c r="A2188" s="83"/>
      <c r="H2188" s="83"/>
      <c r="K2188" s="82"/>
      <c r="M2188" s="112"/>
      <c r="N2188" s="84"/>
    </row>
    <row r="2189" spans="1:14" s="2" customFormat="1">
      <c r="A2189" s="83"/>
      <c r="H2189" s="83"/>
      <c r="K2189" s="82"/>
      <c r="M2189" s="112"/>
      <c r="N2189" s="84"/>
    </row>
    <row r="2190" spans="1:14" s="2" customFormat="1">
      <c r="A2190" s="83"/>
      <c r="H2190" s="83"/>
      <c r="K2190" s="82"/>
      <c r="M2190" s="112"/>
      <c r="N2190" s="84"/>
    </row>
    <row r="2191" spans="1:14" s="2" customFormat="1">
      <c r="A2191" s="83"/>
      <c r="H2191" s="83"/>
      <c r="K2191" s="82"/>
      <c r="M2191" s="112"/>
      <c r="N2191" s="84"/>
    </row>
    <row r="2192" spans="1:14" s="2" customFormat="1">
      <c r="A2192" s="83"/>
      <c r="H2192" s="83"/>
      <c r="K2192" s="82"/>
      <c r="M2192" s="112"/>
      <c r="N2192" s="84"/>
    </row>
    <row r="2193" spans="1:14" s="2" customFormat="1">
      <c r="A2193" s="83"/>
      <c r="H2193" s="83"/>
      <c r="K2193" s="82"/>
      <c r="M2193" s="112"/>
      <c r="N2193" s="84"/>
    </row>
    <row r="2194" spans="1:14" s="2" customFormat="1">
      <c r="A2194" s="83"/>
      <c r="H2194" s="83"/>
      <c r="K2194" s="82"/>
      <c r="M2194" s="112"/>
      <c r="N2194" s="84"/>
    </row>
    <row r="2195" spans="1:14" s="2" customFormat="1">
      <c r="A2195" s="83"/>
      <c r="H2195" s="83"/>
      <c r="K2195" s="82"/>
      <c r="M2195" s="112"/>
      <c r="N2195" s="84"/>
    </row>
    <row r="2196" spans="1:14" s="2" customFormat="1">
      <c r="A2196" s="83"/>
      <c r="H2196" s="83"/>
      <c r="K2196" s="82"/>
      <c r="M2196" s="112"/>
      <c r="N2196" s="84"/>
    </row>
    <row r="2197" spans="1:14" s="2" customFormat="1">
      <c r="A2197" s="83"/>
      <c r="H2197" s="83"/>
      <c r="K2197" s="82"/>
      <c r="M2197" s="112"/>
      <c r="N2197" s="84"/>
    </row>
    <row r="2198" spans="1:14" s="2" customFormat="1">
      <c r="A2198" s="83"/>
      <c r="H2198" s="83"/>
      <c r="K2198" s="82"/>
      <c r="M2198" s="112"/>
      <c r="N2198" s="84"/>
    </row>
    <row r="2199" spans="1:14" s="2" customFormat="1">
      <c r="A2199" s="83"/>
      <c r="H2199" s="83"/>
      <c r="K2199" s="82"/>
      <c r="M2199" s="112"/>
      <c r="N2199" s="84"/>
    </row>
    <row r="2200" spans="1:14" s="2" customFormat="1">
      <c r="A2200" s="83"/>
      <c r="H2200" s="83"/>
      <c r="K2200" s="82"/>
      <c r="M2200" s="112"/>
      <c r="N2200" s="84"/>
    </row>
    <row r="2201" spans="1:14" s="2" customFormat="1">
      <c r="A2201" s="83"/>
      <c r="H2201" s="83"/>
      <c r="K2201" s="82"/>
      <c r="M2201" s="112"/>
      <c r="N2201" s="84"/>
    </row>
    <row r="2202" spans="1:14" s="2" customFormat="1">
      <c r="A2202" s="83"/>
      <c r="H2202" s="83"/>
      <c r="K2202" s="82"/>
      <c r="M2202" s="112"/>
      <c r="N2202" s="84"/>
    </row>
    <row r="2203" spans="1:14" s="2" customFormat="1">
      <c r="A2203" s="83"/>
      <c r="H2203" s="83"/>
      <c r="K2203" s="82"/>
      <c r="M2203" s="112"/>
      <c r="N2203" s="84"/>
    </row>
    <row r="2204" spans="1:14" s="2" customFormat="1">
      <c r="A2204" s="83"/>
      <c r="H2204" s="83"/>
      <c r="K2204" s="82"/>
      <c r="M2204" s="112"/>
      <c r="N2204" s="84"/>
    </row>
    <row r="2205" spans="1:14" s="2" customFormat="1">
      <c r="A2205" s="83"/>
      <c r="H2205" s="83"/>
      <c r="K2205" s="82"/>
      <c r="M2205" s="112"/>
      <c r="N2205" s="84"/>
    </row>
    <row r="2206" spans="1:14" s="2" customFormat="1">
      <c r="A2206" s="83"/>
      <c r="H2206" s="83"/>
      <c r="K2206" s="82"/>
      <c r="M2206" s="112"/>
      <c r="N2206" s="84"/>
    </row>
    <row r="2207" spans="1:14" s="2" customFormat="1">
      <c r="A2207" s="83"/>
      <c r="H2207" s="83"/>
      <c r="K2207" s="82"/>
      <c r="M2207" s="112"/>
      <c r="N2207" s="84"/>
    </row>
    <row r="2208" spans="1:14" s="2" customFormat="1">
      <c r="A2208" s="83"/>
      <c r="H2208" s="83"/>
      <c r="K2208" s="82"/>
      <c r="M2208" s="112"/>
      <c r="N2208" s="84"/>
    </row>
    <row r="2209" spans="1:14" s="2" customFormat="1">
      <c r="A2209" s="83"/>
      <c r="H2209" s="83"/>
      <c r="K2209" s="82"/>
      <c r="M2209" s="112"/>
      <c r="N2209" s="84"/>
    </row>
    <row r="2210" spans="1:14" s="2" customFormat="1">
      <c r="A2210" s="83"/>
      <c r="H2210" s="83"/>
      <c r="K2210" s="82"/>
      <c r="M2210" s="112"/>
      <c r="N2210" s="84"/>
    </row>
    <row r="2211" spans="1:14" s="2" customFormat="1">
      <c r="A2211" s="83"/>
      <c r="H2211" s="83"/>
      <c r="K2211" s="82"/>
      <c r="M2211" s="112"/>
      <c r="N2211" s="84"/>
    </row>
    <row r="2212" spans="1:14" s="2" customFormat="1">
      <c r="A2212" s="83"/>
      <c r="H2212" s="83"/>
      <c r="K2212" s="82"/>
      <c r="M2212" s="112"/>
      <c r="N2212" s="84"/>
    </row>
    <row r="2213" spans="1:14" s="2" customFormat="1">
      <c r="A2213" s="83"/>
      <c r="H2213" s="83"/>
      <c r="K2213" s="82"/>
      <c r="M2213" s="112"/>
      <c r="N2213" s="84"/>
    </row>
    <row r="2214" spans="1:14" s="2" customFormat="1">
      <c r="A2214" s="83"/>
      <c r="H2214" s="83"/>
      <c r="K2214" s="82"/>
      <c r="M2214" s="112"/>
      <c r="N2214" s="84"/>
    </row>
    <row r="2215" spans="1:14" s="2" customFormat="1">
      <c r="A2215" s="83"/>
      <c r="H2215" s="83"/>
      <c r="K2215" s="82"/>
      <c r="M2215" s="112"/>
      <c r="N2215" s="84"/>
    </row>
    <row r="2216" spans="1:14" s="2" customFormat="1">
      <c r="A2216" s="83"/>
      <c r="H2216" s="83"/>
      <c r="K2216" s="82"/>
      <c r="M2216" s="112"/>
      <c r="N2216" s="84"/>
    </row>
    <row r="2217" spans="1:14" s="2" customFormat="1">
      <c r="A2217" s="83"/>
      <c r="H2217" s="83"/>
      <c r="K2217" s="82"/>
      <c r="M2217" s="112"/>
      <c r="N2217" s="84"/>
    </row>
    <row r="2218" spans="1:14" s="2" customFormat="1">
      <c r="A2218" s="83"/>
      <c r="H2218" s="83"/>
      <c r="K2218" s="82"/>
      <c r="M2218" s="112"/>
      <c r="N2218" s="84"/>
    </row>
    <row r="2219" spans="1:14" s="2" customFormat="1">
      <c r="A2219" s="83"/>
      <c r="H2219" s="83"/>
      <c r="K2219" s="82"/>
      <c r="M2219" s="112"/>
      <c r="N2219" s="84"/>
    </row>
    <row r="2220" spans="1:14" s="2" customFormat="1">
      <c r="A2220" s="83"/>
      <c r="H2220" s="83"/>
      <c r="K2220" s="82"/>
      <c r="M2220" s="112"/>
      <c r="N2220" s="84"/>
    </row>
    <row r="2221" spans="1:14" s="2" customFormat="1">
      <c r="A2221" s="83"/>
      <c r="H2221" s="83"/>
      <c r="K2221" s="82"/>
      <c r="M2221" s="112"/>
      <c r="N2221" s="84"/>
    </row>
    <row r="2222" spans="1:14" s="2" customFormat="1">
      <c r="A2222" s="83"/>
      <c r="H2222" s="83"/>
      <c r="K2222" s="82"/>
      <c r="M2222" s="112"/>
      <c r="N2222" s="84"/>
    </row>
    <row r="2223" spans="1:14" s="2" customFormat="1">
      <c r="A2223" s="83"/>
      <c r="H2223" s="83"/>
      <c r="K2223" s="82"/>
      <c r="M2223" s="112"/>
      <c r="N2223" s="84"/>
    </row>
    <row r="2224" spans="1:14" s="2" customFormat="1">
      <c r="A2224" s="83"/>
      <c r="H2224" s="83"/>
      <c r="K2224" s="82"/>
      <c r="M2224" s="112"/>
      <c r="N2224" s="84"/>
    </row>
    <row r="2225" spans="1:14" s="2" customFormat="1">
      <c r="A2225" s="83"/>
      <c r="H2225" s="83"/>
      <c r="K2225" s="82"/>
      <c r="M2225" s="112"/>
      <c r="N2225" s="84"/>
    </row>
    <row r="2226" spans="1:14" s="2" customFormat="1">
      <c r="A2226" s="83"/>
      <c r="H2226" s="83"/>
      <c r="K2226" s="82"/>
      <c r="M2226" s="112"/>
      <c r="N2226" s="84"/>
    </row>
    <row r="2227" spans="1:14" s="2" customFormat="1">
      <c r="A2227" s="83"/>
      <c r="H2227" s="83"/>
      <c r="K2227" s="82"/>
      <c r="M2227" s="112"/>
      <c r="N2227" s="84"/>
    </row>
    <row r="2228" spans="1:14" s="2" customFormat="1">
      <c r="A2228" s="83"/>
      <c r="H2228" s="83"/>
      <c r="K2228" s="82"/>
      <c r="M2228" s="112"/>
      <c r="N2228" s="84"/>
    </row>
    <row r="2229" spans="1:14" s="2" customFormat="1">
      <c r="A2229" s="83"/>
      <c r="H2229" s="83"/>
      <c r="K2229" s="82"/>
      <c r="M2229" s="112"/>
      <c r="N2229" s="84"/>
    </row>
    <row r="2230" spans="1:14" s="2" customFormat="1">
      <c r="A2230" s="83"/>
      <c r="H2230" s="83"/>
      <c r="K2230" s="82"/>
      <c r="M2230" s="112"/>
      <c r="N2230" s="84"/>
    </row>
    <row r="2231" spans="1:14" s="2" customFormat="1">
      <c r="A2231" s="83"/>
      <c r="H2231" s="83"/>
      <c r="K2231" s="82"/>
      <c r="M2231" s="112"/>
      <c r="N2231" s="84"/>
    </row>
    <row r="2232" spans="1:14" s="2" customFormat="1">
      <c r="A2232" s="83"/>
      <c r="H2232" s="83"/>
      <c r="K2232" s="82"/>
      <c r="M2232" s="112"/>
      <c r="N2232" s="84"/>
    </row>
    <row r="2233" spans="1:14" s="2" customFormat="1">
      <c r="A2233" s="83"/>
      <c r="H2233" s="83"/>
      <c r="K2233" s="82"/>
      <c r="M2233" s="112"/>
      <c r="N2233" s="84"/>
    </row>
    <row r="2234" spans="1:14" s="2" customFormat="1">
      <c r="A2234" s="83"/>
      <c r="H2234" s="83"/>
      <c r="K2234" s="82"/>
      <c r="M2234" s="112"/>
      <c r="N2234" s="84"/>
    </row>
    <row r="2235" spans="1:14" s="2" customFormat="1">
      <c r="A2235" s="83"/>
      <c r="H2235" s="83"/>
      <c r="K2235" s="82"/>
      <c r="M2235" s="112"/>
      <c r="N2235" s="84"/>
    </row>
    <row r="2236" spans="1:14" s="2" customFormat="1">
      <c r="A2236" s="83"/>
      <c r="H2236" s="83"/>
      <c r="K2236" s="82"/>
      <c r="M2236" s="112"/>
      <c r="N2236" s="84"/>
    </row>
    <row r="2237" spans="1:14" s="2" customFormat="1">
      <c r="A2237" s="83"/>
      <c r="H2237" s="83"/>
      <c r="K2237" s="82"/>
      <c r="M2237" s="112"/>
      <c r="N2237" s="84"/>
    </row>
    <row r="2238" spans="1:14" s="2" customFormat="1">
      <c r="A2238" s="83"/>
      <c r="H2238" s="83"/>
      <c r="K2238" s="82"/>
      <c r="M2238" s="112"/>
      <c r="N2238" s="84"/>
    </row>
    <row r="2239" spans="1:14" s="2" customFormat="1">
      <c r="A2239" s="83"/>
      <c r="H2239" s="83"/>
      <c r="K2239" s="82"/>
      <c r="M2239" s="112"/>
      <c r="N2239" s="84"/>
    </row>
    <row r="2240" spans="1:14" s="2" customFormat="1">
      <c r="A2240" s="83"/>
      <c r="H2240" s="83"/>
      <c r="K2240" s="82"/>
      <c r="M2240" s="112"/>
      <c r="N2240" s="84"/>
    </row>
    <row r="2241" spans="1:14" s="2" customFormat="1">
      <c r="A2241" s="83"/>
      <c r="H2241" s="83"/>
      <c r="K2241" s="82"/>
      <c r="M2241" s="112"/>
      <c r="N2241" s="84"/>
    </row>
    <row r="2242" spans="1:14" s="2" customFormat="1">
      <c r="A2242" s="83"/>
      <c r="H2242" s="83"/>
      <c r="K2242" s="82"/>
      <c r="M2242" s="112"/>
      <c r="N2242" s="84"/>
    </row>
    <row r="2243" spans="1:14" s="2" customFormat="1">
      <c r="A2243" s="83"/>
      <c r="H2243" s="83"/>
      <c r="K2243" s="82"/>
      <c r="M2243" s="112"/>
      <c r="N2243" s="84"/>
    </row>
    <row r="2244" spans="1:14" s="2" customFormat="1">
      <c r="A2244" s="83"/>
      <c r="H2244" s="83"/>
      <c r="K2244" s="82"/>
      <c r="M2244" s="112"/>
      <c r="N2244" s="84"/>
    </row>
    <row r="2245" spans="1:14" s="2" customFormat="1">
      <c r="A2245" s="83"/>
      <c r="H2245" s="83"/>
      <c r="K2245" s="82"/>
      <c r="M2245" s="112"/>
      <c r="N2245" s="84"/>
    </row>
    <row r="2246" spans="1:14" s="2" customFormat="1">
      <c r="A2246" s="83"/>
      <c r="H2246" s="83"/>
      <c r="K2246" s="82"/>
      <c r="M2246" s="112"/>
      <c r="N2246" s="84"/>
    </row>
    <row r="2247" spans="1:14" s="2" customFormat="1">
      <c r="A2247" s="83"/>
      <c r="H2247" s="83"/>
      <c r="K2247" s="82"/>
      <c r="M2247" s="112"/>
      <c r="N2247" s="84"/>
    </row>
    <row r="2248" spans="1:14" s="2" customFormat="1">
      <c r="A2248" s="83"/>
      <c r="H2248" s="83"/>
      <c r="K2248" s="82"/>
      <c r="M2248" s="112"/>
      <c r="N2248" s="84"/>
    </row>
    <row r="2249" spans="1:14" s="2" customFormat="1">
      <c r="A2249" s="83"/>
      <c r="H2249" s="83"/>
      <c r="K2249" s="82"/>
      <c r="M2249" s="112"/>
      <c r="N2249" s="84"/>
    </row>
    <row r="2250" spans="1:14" s="2" customFormat="1">
      <c r="A2250" s="83"/>
      <c r="H2250" s="83"/>
      <c r="K2250" s="82"/>
      <c r="M2250" s="112"/>
      <c r="N2250" s="84"/>
    </row>
    <row r="2251" spans="1:14" s="2" customFormat="1">
      <c r="A2251" s="83"/>
      <c r="H2251" s="83"/>
      <c r="K2251" s="82"/>
      <c r="M2251" s="112"/>
      <c r="N2251" s="84"/>
    </row>
    <row r="2252" spans="1:14" s="2" customFormat="1">
      <c r="A2252" s="83"/>
      <c r="H2252" s="83"/>
      <c r="K2252" s="82"/>
      <c r="M2252" s="112"/>
      <c r="N2252" s="84"/>
    </row>
    <row r="2253" spans="1:14" s="2" customFormat="1">
      <c r="A2253" s="83"/>
      <c r="H2253" s="83"/>
      <c r="K2253" s="82"/>
      <c r="M2253" s="112"/>
      <c r="N2253" s="84"/>
    </row>
    <row r="2254" spans="1:14" s="2" customFormat="1">
      <c r="A2254" s="83"/>
      <c r="H2254" s="83"/>
      <c r="K2254" s="82"/>
      <c r="M2254" s="112"/>
      <c r="N2254" s="84"/>
    </row>
    <row r="2255" spans="1:14" s="2" customFormat="1">
      <c r="A2255" s="83"/>
      <c r="H2255" s="83"/>
      <c r="K2255" s="82"/>
      <c r="M2255" s="112"/>
      <c r="N2255" s="84"/>
    </row>
    <row r="2256" spans="1:14" s="2" customFormat="1">
      <c r="A2256" s="83"/>
      <c r="H2256" s="83"/>
      <c r="K2256" s="82"/>
      <c r="M2256" s="112"/>
      <c r="N2256" s="84"/>
    </row>
    <row r="2257" spans="1:14" s="2" customFormat="1">
      <c r="A2257" s="83"/>
      <c r="H2257" s="83"/>
      <c r="K2257" s="82"/>
      <c r="M2257" s="112"/>
      <c r="N2257" s="84"/>
    </row>
    <row r="2258" spans="1:14" s="2" customFormat="1">
      <c r="A2258" s="83"/>
      <c r="H2258" s="83"/>
      <c r="K2258" s="82"/>
      <c r="M2258" s="112"/>
      <c r="N2258" s="84"/>
    </row>
    <row r="2259" spans="1:14" s="2" customFormat="1">
      <c r="A2259" s="83"/>
      <c r="H2259" s="83"/>
      <c r="K2259" s="82"/>
      <c r="M2259" s="112"/>
      <c r="N2259" s="84"/>
    </row>
    <row r="2260" spans="1:14" s="2" customFormat="1">
      <c r="A2260" s="83"/>
      <c r="H2260" s="83"/>
      <c r="K2260" s="82"/>
      <c r="M2260" s="112"/>
      <c r="N2260" s="84"/>
    </row>
    <row r="2261" spans="1:14" s="2" customFormat="1">
      <c r="A2261" s="83"/>
      <c r="H2261" s="83"/>
      <c r="K2261" s="82"/>
      <c r="M2261" s="112"/>
      <c r="N2261" s="84"/>
    </row>
    <row r="2262" spans="1:14" s="2" customFormat="1">
      <c r="A2262" s="83"/>
      <c r="H2262" s="83"/>
      <c r="K2262" s="82"/>
      <c r="M2262" s="112"/>
      <c r="N2262" s="84"/>
    </row>
    <row r="2263" spans="1:14" s="2" customFormat="1">
      <c r="A2263" s="83"/>
      <c r="H2263" s="83"/>
      <c r="K2263" s="82"/>
      <c r="M2263" s="112"/>
      <c r="N2263" s="84"/>
    </row>
    <row r="2264" spans="1:14" s="2" customFormat="1">
      <c r="A2264" s="83"/>
      <c r="H2264" s="83"/>
      <c r="K2264" s="82"/>
      <c r="M2264" s="112"/>
      <c r="N2264" s="84"/>
    </row>
    <row r="2265" spans="1:14" s="2" customFormat="1">
      <c r="A2265" s="83"/>
      <c r="H2265" s="83"/>
      <c r="K2265" s="82"/>
      <c r="M2265" s="112"/>
      <c r="N2265" s="84"/>
    </row>
    <row r="2266" spans="1:14" s="2" customFormat="1">
      <c r="A2266" s="83"/>
      <c r="H2266" s="83"/>
      <c r="K2266" s="82"/>
      <c r="M2266" s="112"/>
      <c r="N2266" s="84"/>
    </row>
    <row r="2267" spans="1:14" s="2" customFormat="1">
      <c r="A2267" s="83"/>
      <c r="H2267" s="83"/>
      <c r="K2267" s="82"/>
      <c r="M2267" s="112"/>
      <c r="N2267" s="84"/>
    </row>
    <row r="2268" spans="1:14" s="2" customFormat="1">
      <c r="A2268" s="83"/>
      <c r="H2268" s="83"/>
      <c r="K2268" s="82"/>
      <c r="M2268" s="112"/>
      <c r="N2268" s="84"/>
    </row>
    <row r="2269" spans="1:14" s="2" customFormat="1">
      <c r="A2269" s="83"/>
      <c r="H2269" s="83"/>
      <c r="K2269" s="82"/>
      <c r="M2269" s="112"/>
      <c r="N2269" s="84"/>
    </row>
    <row r="2270" spans="1:14" s="2" customFormat="1">
      <c r="A2270" s="83"/>
      <c r="H2270" s="83"/>
      <c r="K2270" s="82"/>
      <c r="M2270" s="112"/>
      <c r="N2270" s="84"/>
    </row>
    <row r="2271" spans="1:14" s="2" customFormat="1">
      <c r="A2271" s="83"/>
      <c r="H2271" s="83"/>
      <c r="K2271" s="82"/>
      <c r="M2271" s="112"/>
      <c r="N2271" s="84"/>
    </row>
    <row r="2272" spans="1:14" s="2" customFormat="1">
      <c r="A2272" s="83"/>
      <c r="H2272" s="83"/>
      <c r="K2272" s="82"/>
      <c r="M2272" s="112"/>
      <c r="N2272" s="84"/>
    </row>
    <row r="2273" spans="1:14" s="2" customFormat="1">
      <c r="A2273" s="83"/>
      <c r="H2273" s="83"/>
      <c r="K2273" s="82"/>
      <c r="M2273" s="112"/>
      <c r="N2273" s="84"/>
    </row>
    <row r="2274" spans="1:14" s="2" customFormat="1">
      <c r="A2274" s="83"/>
      <c r="H2274" s="83"/>
      <c r="K2274" s="82"/>
      <c r="M2274" s="112"/>
      <c r="N2274" s="84"/>
    </row>
    <row r="2275" spans="1:14" s="2" customFormat="1">
      <c r="A2275" s="83"/>
      <c r="H2275" s="83"/>
      <c r="K2275" s="82"/>
      <c r="M2275" s="112"/>
      <c r="N2275" s="84"/>
    </row>
    <row r="2276" spans="1:14" s="2" customFormat="1">
      <c r="A2276" s="83"/>
      <c r="H2276" s="83"/>
      <c r="K2276" s="82"/>
      <c r="M2276" s="112"/>
      <c r="N2276" s="84"/>
    </row>
    <row r="2277" spans="1:14" s="2" customFormat="1">
      <c r="A2277" s="83"/>
      <c r="H2277" s="83"/>
      <c r="K2277" s="82"/>
      <c r="M2277" s="112"/>
      <c r="N2277" s="84"/>
    </row>
    <row r="2278" spans="1:14" s="2" customFormat="1">
      <c r="A2278" s="83"/>
      <c r="H2278" s="83"/>
      <c r="K2278" s="82"/>
      <c r="M2278" s="112"/>
      <c r="N2278" s="84"/>
    </row>
    <row r="2279" spans="1:14" s="2" customFormat="1">
      <c r="A2279" s="83"/>
      <c r="H2279" s="83"/>
      <c r="K2279" s="82"/>
      <c r="M2279" s="112"/>
      <c r="N2279" s="84"/>
    </row>
    <row r="2280" spans="1:14" s="2" customFormat="1">
      <c r="A2280" s="83"/>
      <c r="H2280" s="83"/>
      <c r="K2280" s="82"/>
      <c r="M2280" s="112"/>
      <c r="N2280" s="84"/>
    </row>
    <row r="2281" spans="1:14" s="2" customFormat="1">
      <c r="A2281" s="83"/>
      <c r="H2281" s="83"/>
      <c r="K2281" s="82"/>
      <c r="M2281" s="112"/>
      <c r="N2281" s="84"/>
    </row>
    <row r="2282" spans="1:14" s="2" customFormat="1">
      <c r="A2282" s="83"/>
      <c r="H2282" s="83"/>
      <c r="K2282" s="82"/>
      <c r="M2282" s="112"/>
      <c r="N2282" s="84"/>
    </row>
    <row r="2283" spans="1:14" s="2" customFormat="1">
      <c r="A2283" s="83"/>
      <c r="H2283" s="83"/>
      <c r="K2283" s="82"/>
      <c r="M2283" s="112"/>
      <c r="N2283" s="84"/>
    </row>
    <row r="2284" spans="1:14" s="2" customFormat="1">
      <c r="A2284" s="83"/>
      <c r="H2284" s="83"/>
      <c r="K2284" s="82"/>
      <c r="M2284" s="112"/>
      <c r="N2284" s="84"/>
    </row>
    <row r="2285" spans="1:14" s="2" customFormat="1">
      <c r="A2285" s="83"/>
      <c r="H2285" s="83"/>
      <c r="K2285" s="82"/>
      <c r="M2285" s="112"/>
      <c r="N2285" s="84"/>
    </row>
    <row r="2286" spans="1:14" s="2" customFormat="1">
      <c r="A2286" s="83"/>
      <c r="H2286" s="83"/>
      <c r="K2286" s="82"/>
      <c r="M2286" s="112"/>
      <c r="N2286" s="84"/>
    </row>
    <row r="2287" spans="1:14" s="2" customFormat="1">
      <c r="A2287" s="83"/>
      <c r="H2287" s="83"/>
      <c r="K2287" s="82"/>
      <c r="M2287" s="112"/>
      <c r="N2287" s="84"/>
    </row>
    <row r="2288" spans="1:14" s="2" customFormat="1">
      <c r="A2288" s="83"/>
      <c r="H2288" s="83"/>
      <c r="K2288" s="82"/>
      <c r="M2288" s="112"/>
      <c r="N2288" s="84"/>
    </row>
    <row r="2289" spans="1:14" s="2" customFormat="1">
      <c r="A2289" s="83"/>
      <c r="H2289" s="83"/>
      <c r="K2289" s="82"/>
      <c r="M2289" s="112"/>
      <c r="N2289" s="84"/>
    </row>
    <row r="2290" spans="1:14" s="2" customFormat="1">
      <c r="A2290" s="83"/>
      <c r="H2290" s="83"/>
      <c r="K2290" s="82"/>
      <c r="M2290" s="112"/>
      <c r="N2290" s="84"/>
    </row>
    <row r="2291" spans="1:14" s="2" customFormat="1">
      <c r="A2291" s="83"/>
      <c r="H2291" s="83"/>
      <c r="K2291" s="82"/>
      <c r="M2291" s="112"/>
      <c r="N2291" s="84"/>
    </row>
    <row r="2292" spans="1:14" s="2" customFormat="1">
      <c r="A2292" s="83"/>
      <c r="H2292" s="83"/>
      <c r="K2292" s="82"/>
      <c r="M2292" s="112"/>
      <c r="N2292" s="84"/>
    </row>
    <row r="2293" spans="1:14" s="2" customFormat="1">
      <c r="A2293" s="83"/>
      <c r="H2293" s="83"/>
      <c r="K2293" s="82"/>
      <c r="M2293" s="112"/>
      <c r="N2293" s="84"/>
    </row>
    <row r="2294" spans="1:14" s="2" customFormat="1">
      <c r="A2294" s="83"/>
      <c r="H2294" s="83"/>
      <c r="K2294" s="82"/>
      <c r="M2294" s="112"/>
      <c r="N2294" s="84"/>
    </row>
    <row r="2295" spans="1:14" s="2" customFormat="1">
      <c r="A2295" s="83"/>
      <c r="H2295" s="83"/>
      <c r="K2295" s="82"/>
      <c r="M2295" s="112"/>
      <c r="N2295" s="84"/>
    </row>
    <row r="2296" spans="1:14" s="2" customFormat="1">
      <c r="A2296" s="83"/>
      <c r="H2296" s="83"/>
      <c r="K2296" s="82"/>
      <c r="M2296" s="112"/>
      <c r="N2296" s="84"/>
    </row>
    <row r="2297" spans="1:14" s="2" customFormat="1">
      <c r="A2297" s="83"/>
      <c r="H2297" s="83"/>
      <c r="K2297" s="82"/>
      <c r="M2297" s="112"/>
      <c r="N2297" s="84"/>
    </row>
    <row r="2298" spans="1:14" s="2" customFormat="1">
      <c r="A2298" s="83"/>
      <c r="H2298" s="83"/>
      <c r="K2298" s="82"/>
      <c r="M2298" s="112"/>
      <c r="N2298" s="84"/>
    </row>
    <row r="2299" spans="1:14" s="2" customFormat="1">
      <c r="A2299" s="83"/>
      <c r="H2299" s="83"/>
      <c r="K2299" s="82"/>
      <c r="M2299" s="112"/>
      <c r="N2299" s="84"/>
    </row>
    <row r="2300" spans="1:14" s="2" customFormat="1">
      <c r="A2300" s="83"/>
      <c r="H2300" s="83"/>
      <c r="K2300" s="82"/>
      <c r="M2300" s="112"/>
      <c r="N2300" s="84"/>
    </row>
    <row r="2301" spans="1:14" s="2" customFormat="1">
      <c r="A2301" s="83"/>
      <c r="H2301" s="83"/>
      <c r="K2301" s="82"/>
      <c r="M2301" s="112"/>
      <c r="N2301" s="84"/>
    </row>
    <row r="2302" spans="1:14" s="2" customFormat="1">
      <c r="A2302" s="83"/>
      <c r="H2302" s="83"/>
      <c r="K2302" s="82"/>
      <c r="M2302" s="112"/>
      <c r="N2302" s="84"/>
    </row>
    <row r="2303" spans="1:14" s="2" customFormat="1">
      <c r="A2303" s="83"/>
      <c r="H2303" s="83"/>
      <c r="K2303" s="82"/>
      <c r="M2303" s="112"/>
      <c r="N2303" s="84"/>
    </row>
    <row r="2304" spans="1:14" s="2" customFormat="1">
      <c r="A2304" s="83"/>
      <c r="H2304" s="83"/>
      <c r="K2304" s="82"/>
      <c r="M2304" s="112"/>
      <c r="N2304" s="84"/>
    </row>
    <row r="2305" spans="1:14" s="2" customFormat="1">
      <c r="A2305" s="83"/>
      <c r="H2305" s="83"/>
      <c r="K2305" s="82"/>
      <c r="M2305" s="112"/>
      <c r="N2305" s="84"/>
    </row>
    <row r="2306" spans="1:14" s="2" customFormat="1">
      <c r="A2306" s="83"/>
      <c r="H2306" s="83"/>
      <c r="K2306" s="82"/>
      <c r="M2306" s="112"/>
      <c r="N2306" s="84"/>
    </row>
    <row r="2307" spans="1:14" s="2" customFormat="1">
      <c r="A2307" s="83"/>
      <c r="H2307" s="83"/>
      <c r="K2307" s="82"/>
      <c r="M2307" s="112"/>
      <c r="N2307" s="84"/>
    </row>
    <row r="2308" spans="1:14" s="2" customFormat="1">
      <c r="A2308" s="83"/>
      <c r="H2308" s="83"/>
      <c r="K2308" s="82"/>
      <c r="M2308" s="112"/>
      <c r="N2308" s="84"/>
    </row>
    <row r="2309" spans="1:14" s="2" customFormat="1">
      <c r="A2309" s="83"/>
      <c r="H2309" s="83"/>
      <c r="K2309" s="82"/>
      <c r="M2309" s="112"/>
      <c r="N2309" s="84"/>
    </row>
    <row r="2310" spans="1:14" s="2" customFormat="1">
      <c r="A2310" s="83"/>
      <c r="H2310" s="83"/>
      <c r="K2310" s="82"/>
      <c r="M2310" s="112"/>
      <c r="N2310" s="84"/>
    </row>
    <row r="2311" spans="1:14" s="2" customFormat="1">
      <c r="A2311" s="83"/>
      <c r="H2311" s="83"/>
      <c r="K2311" s="82"/>
      <c r="M2311" s="112"/>
      <c r="N2311" s="84"/>
    </row>
    <row r="2312" spans="1:14" s="2" customFormat="1">
      <c r="A2312" s="83"/>
      <c r="H2312" s="83"/>
      <c r="K2312" s="82"/>
      <c r="M2312" s="112"/>
      <c r="N2312" s="84"/>
    </row>
    <row r="2313" spans="1:14" s="2" customFormat="1">
      <c r="A2313" s="83"/>
      <c r="H2313" s="83"/>
      <c r="K2313" s="82"/>
      <c r="M2313" s="112"/>
      <c r="N2313" s="84"/>
    </row>
    <row r="2314" spans="1:14" s="2" customFormat="1">
      <c r="A2314" s="83"/>
      <c r="H2314" s="83"/>
      <c r="K2314" s="82"/>
      <c r="M2314" s="112"/>
      <c r="N2314" s="84"/>
    </row>
    <row r="2315" spans="1:14" s="2" customFormat="1">
      <c r="A2315" s="83"/>
      <c r="H2315" s="83"/>
      <c r="K2315" s="82"/>
      <c r="M2315" s="112"/>
      <c r="N2315" s="84"/>
    </row>
    <row r="2316" spans="1:14" s="2" customFormat="1">
      <c r="A2316" s="83"/>
      <c r="H2316" s="83"/>
      <c r="K2316" s="82"/>
      <c r="M2316" s="112"/>
      <c r="N2316" s="84"/>
    </row>
    <row r="2317" spans="1:14" s="2" customFormat="1">
      <c r="A2317" s="83"/>
      <c r="H2317" s="83"/>
      <c r="K2317" s="82"/>
      <c r="M2317" s="112"/>
      <c r="N2317" s="84"/>
    </row>
    <row r="2318" spans="1:14" s="2" customFormat="1">
      <c r="A2318" s="83"/>
      <c r="H2318" s="83"/>
      <c r="K2318" s="82"/>
      <c r="M2318" s="112"/>
      <c r="N2318" s="84"/>
    </row>
    <row r="2319" spans="1:14" s="2" customFormat="1">
      <c r="A2319" s="83"/>
      <c r="H2319" s="83"/>
      <c r="K2319" s="82"/>
      <c r="M2319" s="112"/>
      <c r="N2319" s="84"/>
    </row>
    <row r="2320" spans="1:14" s="2" customFormat="1">
      <c r="A2320" s="83"/>
      <c r="H2320" s="83"/>
      <c r="K2320" s="82"/>
      <c r="M2320" s="112"/>
      <c r="N2320" s="84"/>
    </row>
    <row r="2321" spans="1:14" s="2" customFormat="1">
      <c r="A2321" s="83"/>
      <c r="H2321" s="83"/>
      <c r="K2321" s="82"/>
      <c r="M2321" s="112"/>
      <c r="N2321" s="84"/>
    </row>
    <row r="2322" spans="1:14" s="2" customFormat="1">
      <c r="A2322" s="83"/>
      <c r="H2322" s="83"/>
      <c r="K2322" s="82"/>
      <c r="M2322" s="112"/>
      <c r="N2322" s="84"/>
    </row>
    <row r="2323" spans="1:14" s="2" customFormat="1">
      <c r="A2323" s="83"/>
      <c r="H2323" s="83"/>
      <c r="K2323" s="82"/>
      <c r="M2323" s="112"/>
      <c r="N2323" s="84"/>
    </row>
    <row r="2324" spans="1:14" s="2" customFormat="1">
      <c r="A2324" s="83"/>
      <c r="H2324" s="83"/>
      <c r="K2324" s="82"/>
      <c r="M2324" s="112"/>
      <c r="N2324" s="84"/>
    </row>
    <row r="2325" spans="1:14" s="2" customFormat="1">
      <c r="A2325" s="83"/>
      <c r="H2325" s="83"/>
      <c r="K2325" s="82"/>
      <c r="M2325" s="112"/>
      <c r="N2325" s="84"/>
    </row>
    <row r="2326" spans="1:14" s="2" customFormat="1">
      <c r="A2326" s="83"/>
      <c r="H2326" s="83"/>
      <c r="K2326" s="82"/>
      <c r="M2326" s="112"/>
      <c r="N2326" s="84"/>
    </row>
    <row r="2327" spans="1:14" s="2" customFormat="1">
      <c r="A2327" s="83"/>
      <c r="H2327" s="83"/>
      <c r="K2327" s="82"/>
      <c r="M2327" s="112"/>
      <c r="N2327" s="84"/>
    </row>
    <row r="2328" spans="1:14" s="2" customFormat="1">
      <c r="A2328" s="83"/>
      <c r="H2328" s="83"/>
      <c r="K2328" s="82"/>
      <c r="M2328" s="112"/>
      <c r="N2328" s="84"/>
    </row>
    <row r="2329" spans="1:14" s="2" customFormat="1">
      <c r="A2329" s="83"/>
      <c r="H2329" s="83"/>
      <c r="K2329" s="82"/>
      <c r="M2329" s="112"/>
      <c r="N2329" s="84"/>
    </row>
    <row r="2330" spans="1:14" s="2" customFormat="1">
      <c r="A2330" s="83"/>
      <c r="H2330" s="83"/>
      <c r="K2330" s="82"/>
      <c r="M2330" s="112"/>
      <c r="N2330" s="84"/>
    </row>
    <row r="2331" spans="1:14" s="2" customFormat="1">
      <c r="A2331" s="83"/>
      <c r="H2331" s="83"/>
      <c r="K2331" s="82"/>
      <c r="M2331" s="112"/>
      <c r="N2331" s="84"/>
    </row>
    <row r="2332" spans="1:14" s="2" customFormat="1">
      <c r="A2332" s="83"/>
      <c r="H2332" s="83"/>
      <c r="K2332" s="82"/>
      <c r="M2332" s="112"/>
      <c r="N2332" s="84"/>
    </row>
    <row r="2333" spans="1:14" s="2" customFormat="1">
      <c r="A2333" s="83"/>
      <c r="H2333" s="83"/>
      <c r="K2333" s="82"/>
      <c r="M2333" s="112"/>
      <c r="N2333" s="84"/>
    </row>
    <row r="2334" spans="1:14" s="2" customFormat="1">
      <c r="A2334" s="83"/>
      <c r="H2334" s="83"/>
      <c r="K2334" s="82"/>
      <c r="M2334" s="112"/>
      <c r="N2334" s="84"/>
    </row>
    <row r="2335" spans="1:14" s="2" customFormat="1">
      <c r="A2335" s="83"/>
      <c r="H2335" s="83"/>
      <c r="K2335" s="82"/>
      <c r="M2335" s="112"/>
      <c r="N2335" s="84"/>
    </row>
    <row r="2336" spans="1:14" s="2" customFormat="1">
      <c r="A2336" s="83"/>
      <c r="H2336" s="83"/>
      <c r="K2336" s="82"/>
      <c r="M2336" s="112"/>
      <c r="N2336" s="84"/>
    </row>
    <row r="2337" spans="1:14" s="2" customFormat="1">
      <c r="A2337" s="83"/>
      <c r="H2337" s="83"/>
      <c r="K2337" s="82"/>
      <c r="M2337" s="112"/>
      <c r="N2337" s="84"/>
    </row>
    <row r="2338" spans="1:14" s="2" customFormat="1">
      <c r="A2338" s="83"/>
      <c r="H2338" s="83"/>
      <c r="K2338" s="82"/>
      <c r="M2338" s="112"/>
      <c r="N2338" s="84"/>
    </row>
    <row r="2339" spans="1:14" s="2" customFormat="1">
      <c r="A2339" s="83"/>
      <c r="H2339" s="83"/>
      <c r="K2339" s="82"/>
      <c r="M2339" s="112"/>
      <c r="N2339" s="84"/>
    </row>
    <row r="2340" spans="1:14" s="2" customFormat="1">
      <c r="A2340" s="83"/>
      <c r="H2340" s="83"/>
      <c r="K2340" s="82"/>
      <c r="M2340" s="112"/>
      <c r="N2340" s="84"/>
    </row>
    <row r="2341" spans="1:14" s="2" customFormat="1">
      <c r="A2341" s="83"/>
      <c r="H2341" s="83"/>
      <c r="K2341" s="82"/>
      <c r="M2341" s="112"/>
      <c r="N2341" s="84"/>
    </row>
    <row r="2342" spans="1:14" s="2" customFormat="1">
      <c r="A2342" s="83"/>
      <c r="H2342" s="83"/>
      <c r="K2342" s="82"/>
      <c r="M2342" s="112"/>
      <c r="N2342" s="84"/>
    </row>
    <row r="2343" spans="1:14" s="2" customFormat="1">
      <c r="A2343" s="83"/>
      <c r="H2343" s="83"/>
      <c r="K2343" s="82"/>
      <c r="M2343" s="112"/>
      <c r="N2343" s="84"/>
    </row>
    <row r="2344" spans="1:14" s="2" customFormat="1">
      <c r="A2344" s="83"/>
      <c r="H2344" s="83"/>
      <c r="K2344" s="82"/>
      <c r="M2344" s="112"/>
      <c r="N2344" s="84"/>
    </row>
    <row r="2345" spans="1:14" s="2" customFormat="1">
      <c r="A2345" s="83"/>
      <c r="H2345" s="83"/>
      <c r="K2345" s="82"/>
      <c r="M2345" s="112"/>
      <c r="N2345" s="84"/>
    </row>
    <row r="2346" spans="1:14" s="2" customFormat="1">
      <c r="A2346" s="83"/>
      <c r="H2346" s="83"/>
      <c r="K2346" s="82"/>
      <c r="M2346" s="112"/>
      <c r="N2346" s="84"/>
    </row>
    <row r="2347" spans="1:14" s="2" customFormat="1">
      <c r="A2347" s="83"/>
      <c r="H2347" s="83"/>
      <c r="K2347" s="82"/>
      <c r="M2347" s="112"/>
      <c r="N2347" s="84"/>
    </row>
    <row r="2348" spans="1:14" s="2" customFormat="1">
      <c r="A2348" s="83"/>
      <c r="H2348" s="83"/>
      <c r="K2348" s="82"/>
      <c r="M2348" s="112"/>
      <c r="N2348" s="84"/>
    </row>
    <row r="2349" spans="1:14" s="2" customFormat="1">
      <c r="A2349" s="83"/>
      <c r="H2349" s="83"/>
      <c r="K2349" s="82"/>
      <c r="M2349" s="112"/>
      <c r="N2349" s="84"/>
    </row>
    <row r="2350" spans="1:14" s="2" customFormat="1">
      <c r="A2350" s="83"/>
      <c r="H2350" s="83"/>
      <c r="K2350" s="82"/>
      <c r="M2350" s="112"/>
      <c r="N2350" s="84"/>
    </row>
    <row r="2351" spans="1:14" s="2" customFormat="1">
      <c r="A2351" s="83"/>
      <c r="H2351" s="83"/>
      <c r="K2351" s="82"/>
      <c r="M2351" s="112"/>
      <c r="N2351" s="84"/>
    </row>
    <row r="2352" spans="1:14" s="2" customFormat="1">
      <c r="A2352" s="83"/>
      <c r="H2352" s="83"/>
      <c r="K2352" s="82"/>
      <c r="M2352" s="112"/>
      <c r="N2352" s="84"/>
    </row>
    <row r="2353" spans="1:14" s="2" customFormat="1">
      <c r="A2353" s="83"/>
      <c r="H2353" s="83"/>
      <c r="K2353" s="82"/>
      <c r="M2353" s="112"/>
      <c r="N2353" s="84"/>
    </row>
    <row r="2354" spans="1:14" s="2" customFormat="1">
      <c r="A2354" s="83"/>
      <c r="H2354" s="83"/>
      <c r="K2354" s="82"/>
      <c r="M2354" s="112"/>
      <c r="N2354" s="84"/>
    </row>
    <row r="2355" spans="1:14" s="2" customFormat="1">
      <c r="A2355" s="83"/>
      <c r="H2355" s="83"/>
      <c r="K2355" s="82"/>
      <c r="M2355" s="112"/>
      <c r="N2355" s="84"/>
    </row>
    <row r="2356" spans="1:14" s="2" customFormat="1">
      <c r="A2356" s="83"/>
      <c r="H2356" s="83"/>
      <c r="K2356" s="82"/>
      <c r="M2356" s="112"/>
      <c r="N2356" s="84"/>
    </row>
    <row r="2357" spans="1:14" s="2" customFormat="1">
      <c r="A2357" s="83"/>
      <c r="H2357" s="83"/>
      <c r="K2357" s="82"/>
      <c r="M2357" s="112"/>
      <c r="N2357" s="84"/>
    </row>
    <row r="2358" spans="1:14" s="2" customFormat="1">
      <c r="A2358" s="83"/>
      <c r="H2358" s="83"/>
      <c r="K2358" s="82"/>
      <c r="M2358" s="112"/>
      <c r="N2358" s="84"/>
    </row>
    <row r="2359" spans="1:14" s="2" customFormat="1">
      <c r="A2359" s="83"/>
      <c r="H2359" s="83"/>
      <c r="K2359" s="82"/>
      <c r="M2359" s="112"/>
      <c r="N2359" s="84"/>
    </row>
    <row r="2360" spans="1:14" s="2" customFormat="1">
      <c r="A2360" s="83"/>
      <c r="H2360" s="83"/>
      <c r="K2360" s="82"/>
      <c r="M2360" s="112"/>
      <c r="N2360" s="84"/>
    </row>
    <row r="2361" spans="1:14" s="2" customFormat="1">
      <c r="A2361" s="83"/>
      <c r="H2361" s="83"/>
      <c r="K2361" s="82"/>
      <c r="M2361" s="112"/>
      <c r="N2361" s="84"/>
    </row>
    <row r="2362" spans="1:14" s="2" customFormat="1">
      <c r="A2362" s="83"/>
      <c r="H2362" s="83"/>
      <c r="K2362" s="82"/>
      <c r="M2362" s="112"/>
      <c r="N2362" s="84"/>
    </row>
    <row r="2363" spans="1:14" s="2" customFormat="1">
      <c r="A2363" s="83"/>
      <c r="H2363" s="83"/>
      <c r="K2363" s="82"/>
      <c r="M2363" s="112"/>
      <c r="N2363" s="84"/>
    </row>
    <row r="2364" spans="1:14" s="2" customFormat="1">
      <c r="A2364" s="83"/>
      <c r="H2364" s="83"/>
      <c r="K2364" s="82"/>
      <c r="M2364" s="112"/>
      <c r="N2364" s="84"/>
    </row>
    <row r="2365" spans="1:14" s="2" customFormat="1">
      <c r="A2365" s="83"/>
      <c r="H2365" s="83"/>
      <c r="K2365" s="82"/>
      <c r="M2365" s="112"/>
      <c r="N2365" s="84"/>
    </row>
    <row r="2366" spans="1:14" s="2" customFormat="1">
      <c r="A2366" s="83"/>
      <c r="H2366" s="83"/>
      <c r="K2366" s="82"/>
      <c r="M2366" s="112"/>
      <c r="N2366" s="84"/>
    </row>
    <row r="2367" spans="1:14" s="2" customFormat="1">
      <c r="A2367" s="83"/>
      <c r="H2367" s="83"/>
      <c r="K2367" s="82"/>
      <c r="M2367" s="112"/>
      <c r="N2367" s="84"/>
    </row>
    <row r="2368" spans="1:14" s="2" customFormat="1">
      <c r="A2368" s="83"/>
      <c r="H2368" s="83"/>
      <c r="K2368" s="82"/>
      <c r="M2368" s="112"/>
      <c r="N2368" s="84"/>
    </row>
    <row r="2369" spans="1:14" s="2" customFormat="1">
      <c r="A2369" s="83"/>
      <c r="H2369" s="83"/>
      <c r="K2369" s="82"/>
      <c r="M2369" s="112"/>
      <c r="N2369" s="84"/>
    </row>
    <row r="2370" spans="1:14" s="2" customFormat="1">
      <c r="A2370" s="83"/>
      <c r="H2370" s="83"/>
      <c r="K2370" s="82"/>
      <c r="M2370" s="112"/>
      <c r="N2370" s="84"/>
    </row>
    <row r="2371" spans="1:14" s="2" customFormat="1">
      <c r="A2371" s="83"/>
      <c r="H2371" s="83"/>
      <c r="K2371" s="82"/>
      <c r="M2371" s="112"/>
      <c r="N2371" s="84"/>
    </row>
    <row r="2372" spans="1:14" s="2" customFormat="1">
      <c r="A2372" s="83"/>
      <c r="H2372" s="83"/>
      <c r="K2372" s="82"/>
      <c r="M2372" s="112"/>
      <c r="N2372" s="84"/>
    </row>
    <row r="2373" spans="1:14" s="2" customFormat="1">
      <c r="A2373" s="83"/>
      <c r="H2373" s="83"/>
      <c r="K2373" s="82"/>
      <c r="M2373" s="112"/>
      <c r="N2373" s="84"/>
    </row>
    <row r="2374" spans="1:14" s="2" customFormat="1">
      <c r="A2374" s="83"/>
      <c r="H2374" s="83"/>
      <c r="K2374" s="82"/>
      <c r="M2374" s="112"/>
      <c r="N2374" s="84"/>
    </row>
    <row r="2375" spans="1:14" s="2" customFormat="1">
      <c r="A2375" s="83"/>
      <c r="H2375" s="83"/>
      <c r="K2375" s="82"/>
      <c r="M2375" s="112"/>
      <c r="N2375" s="84"/>
    </row>
    <row r="2376" spans="1:14" s="2" customFormat="1">
      <c r="A2376" s="83"/>
      <c r="H2376" s="83"/>
      <c r="K2376" s="82"/>
      <c r="M2376" s="112"/>
      <c r="N2376" s="84"/>
    </row>
    <row r="2377" spans="1:14" s="2" customFormat="1">
      <c r="A2377" s="83"/>
      <c r="H2377" s="83"/>
      <c r="K2377" s="82"/>
      <c r="M2377" s="112"/>
      <c r="N2377" s="84"/>
    </row>
    <row r="2378" spans="1:14" s="2" customFormat="1">
      <c r="A2378" s="83"/>
      <c r="H2378" s="83"/>
      <c r="K2378" s="82"/>
      <c r="M2378" s="112"/>
      <c r="N2378" s="84"/>
    </row>
    <row r="2379" spans="1:14" s="2" customFormat="1">
      <c r="A2379" s="83"/>
      <c r="H2379" s="83"/>
      <c r="K2379" s="82"/>
      <c r="M2379" s="112"/>
      <c r="N2379" s="84"/>
    </row>
    <row r="2380" spans="1:14" s="2" customFormat="1">
      <c r="A2380" s="83"/>
      <c r="H2380" s="83"/>
      <c r="K2380" s="82"/>
      <c r="M2380" s="112"/>
      <c r="N2380" s="84"/>
    </row>
    <row r="2381" spans="1:14" s="2" customFormat="1">
      <c r="A2381" s="83"/>
      <c r="H2381" s="83"/>
      <c r="K2381" s="82"/>
      <c r="M2381" s="112"/>
      <c r="N2381" s="84"/>
    </row>
    <row r="2382" spans="1:14" s="2" customFormat="1">
      <c r="A2382" s="83"/>
      <c r="H2382" s="83"/>
      <c r="K2382" s="82"/>
      <c r="M2382" s="112"/>
      <c r="N2382" s="84"/>
    </row>
    <row r="2383" spans="1:14" s="2" customFormat="1">
      <c r="A2383" s="83"/>
      <c r="H2383" s="83"/>
      <c r="K2383" s="82"/>
      <c r="M2383" s="112"/>
      <c r="N2383" s="84"/>
    </row>
    <row r="2384" spans="1:14" s="2" customFormat="1">
      <c r="A2384" s="83"/>
      <c r="H2384" s="83"/>
      <c r="K2384" s="82"/>
      <c r="M2384" s="112"/>
      <c r="N2384" s="84"/>
    </row>
    <row r="2385" spans="1:14" s="2" customFormat="1">
      <c r="A2385" s="83"/>
      <c r="H2385" s="83"/>
      <c r="K2385" s="82"/>
      <c r="M2385" s="112"/>
      <c r="N2385" s="84"/>
    </row>
    <row r="2386" spans="1:14" s="2" customFormat="1">
      <c r="A2386" s="83"/>
      <c r="H2386" s="83"/>
      <c r="K2386" s="82"/>
      <c r="M2386" s="112"/>
      <c r="N2386" s="84"/>
    </row>
    <row r="2387" spans="1:14" s="2" customFormat="1">
      <c r="A2387" s="83"/>
      <c r="H2387" s="83"/>
      <c r="K2387" s="82"/>
      <c r="M2387" s="112"/>
      <c r="N2387" s="84"/>
    </row>
    <row r="2388" spans="1:14" s="2" customFormat="1">
      <c r="A2388" s="83"/>
      <c r="H2388" s="83"/>
      <c r="K2388" s="82"/>
      <c r="M2388" s="112"/>
      <c r="N2388" s="84"/>
    </row>
    <row r="2389" spans="1:14" s="2" customFormat="1">
      <c r="A2389" s="83"/>
      <c r="H2389" s="83"/>
      <c r="K2389" s="82"/>
      <c r="M2389" s="112"/>
      <c r="N2389" s="84"/>
    </row>
    <row r="2390" spans="1:14" s="2" customFormat="1">
      <c r="A2390" s="83"/>
      <c r="H2390" s="83"/>
      <c r="K2390" s="82"/>
      <c r="M2390" s="112"/>
      <c r="N2390" s="84"/>
    </row>
    <row r="2391" spans="1:14" s="2" customFormat="1">
      <c r="A2391" s="83"/>
      <c r="H2391" s="83"/>
      <c r="K2391" s="82"/>
      <c r="M2391" s="112"/>
      <c r="N2391" s="84"/>
    </row>
    <row r="2392" spans="1:14" s="2" customFormat="1">
      <c r="A2392" s="83"/>
      <c r="H2392" s="83"/>
      <c r="K2392" s="82"/>
      <c r="M2392" s="112"/>
      <c r="N2392" s="84"/>
    </row>
    <row r="2393" spans="1:14" s="2" customFormat="1">
      <c r="A2393" s="83"/>
      <c r="H2393" s="83"/>
      <c r="K2393" s="82"/>
      <c r="M2393" s="112"/>
      <c r="N2393" s="84"/>
    </row>
    <row r="2394" spans="1:14" s="2" customFormat="1">
      <c r="A2394" s="83"/>
      <c r="H2394" s="83"/>
      <c r="K2394" s="82"/>
      <c r="M2394" s="112"/>
      <c r="N2394" s="84"/>
    </row>
    <row r="2395" spans="1:14" s="2" customFormat="1">
      <c r="A2395" s="83"/>
      <c r="H2395" s="83"/>
      <c r="K2395" s="82"/>
      <c r="M2395" s="112"/>
      <c r="N2395" s="84"/>
    </row>
    <row r="2396" spans="1:14" s="2" customFormat="1">
      <c r="A2396" s="83"/>
      <c r="H2396" s="83"/>
      <c r="K2396" s="82"/>
      <c r="M2396" s="112"/>
      <c r="N2396" s="84"/>
    </row>
    <row r="2397" spans="1:14" s="2" customFormat="1">
      <c r="A2397" s="83"/>
      <c r="H2397" s="83"/>
      <c r="K2397" s="82"/>
      <c r="M2397" s="112"/>
      <c r="N2397" s="84"/>
    </row>
    <row r="2398" spans="1:14" s="2" customFormat="1">
      <c r="A2398" s="83"/>
      <c r="H2398" s="83"/>
      <c r="K2398" s="82"/>
      <c r="M2398" s="112"/>
      <c r="N2398" s="84"/>
    </row>
    <row r="2399" spans="1:14" s="2" customFormat="1">
      <c r="A2399" s="83"/>
      <c r="H2399" s="83"/>
      <c r="K2399" s="82"/>
      <c r="M2399" s="112"/>
      <c r="N2399" s="84"/>
    </row>
    <row r="2400" spans="1:14" s="2" customFormat="1">
      <c r="A2400" s="83"/>
      <c r="H2400" s="83"/>
      <c r="K2400" s="82"/>
      <c r="M2400" s="112"/>
      <c r="N2400" s="84"/>
    </row>
    <row r="2401" spans="1:14" s="2" customFormat="1">
      <c r="A2401" s="83"/>
      <c r="H2401" s="83"/>
      <c r="K2401" s="82"/>
      <c r="M2401" s="112"/>
      <c r="N2401" s="84"/>
    </row>
    <row r="2402" spans="1:14" s="2" customFormat="1">
      <c r="A2402" s="83"/>
      <c r="H2402" s="83"/>
      <c r="K2402" s="82"/>
      <c r="M2402" s="112"/>
      <c r="N2402" s="84"/>
    </row>
    <row r="2403" spans="1:14" s="2" customFormat="1">
      <c r="A2403" s="83"/>
      <c r="H2403" s="83"/>
      <c r="K2403" s="82"/>
      <c r="M2403" s="112"/>
      <c r="N2403" s="84"/>
    </row>
    <row r="2404" spans="1:14" s="2" customFormat="1">
      <c r="A2404" s="83"/>
      <c r="H2404" s="83"/>
      <c r="K2404" s="82"/>
      <c r="M2404" s="112"/>
      <c r="N2404" s="84"/>
    </row>
    <row r="2405" spans="1:14" s="2" customFormat="1">
      <c r="A2405" s="83"/>
      <c r="H2405" s="83"/>
      <c r="K2405" s="82"/>
      <c r="M2405" s="112"/>
      <c r="N2405" s="84"/>
    </row>
    <row r="2406" spans="1:14" s="2" customFormat="1">
      <c r="A2406" s="83"/>
      <c r="H2406" s="83"/>
      <c r="K2406" s="82"/>
      <c r="M2406" s="112"/>
      <c r="N2406" s="84"/>
    </row>
    <row r="2407" spans="1:14" s="2" customFormat="1">
      <c r="A2407" s="83"/>
      <c r="H2407" s="83"/>
      <c r="K2407" s="82"/>
      <c r="M2407" s="112"/>
      <c r="N2407" s="84"/>
    </row>
    <row r="2408" spans="1:14" s="2" customFormat="1">
      <c r="A2408" s="83"/>
      <c r="H2408" s="83"/>
      <c r="K2408" s="82"/>
      <c r="M2408" s="112"/>
      <c r="N2408" s="84"/>
    </row>
    <row r="2409" spans="1:14" s="2" customFormat="1">
      <c r="A2409" s="83"/>
      <c r="H2409" s="83"/>
      <c r="K2409" s="82"/>
      <c r="M2409" s="112"/>
      <c r="N2409" s="84"/>
    </row>
    <row r="2410" spans="1:14" s="2" customFormat="1">
      <c r="A2410" s="83"/>
      <c r="H2410" s="83"/>
      <c r="K2410" s="82"/>
      <c r="M2410" s="112"/>
      <c r="N2410" s="84"/>
    </row>
    <row r="2411" spans="1:14" s="2" customFormat="1">
      <c r="A2411" s="83"/>
      <c r="H2411" s="83"/>
      <c r="K2411" s="82"/>
      <c r="M2411" s="112"/>
      <c r="N2411" s="84"/>
    </row>
    <row r="2412" spans="1:14" s="2" customFormat="1">
      <c r="A2412" s="83"/>
      <c r="H2412" s="83"/>
      <c r="K2412" s="82"/>
      <c r="M2412" s="112"/>
      <c r="N2412" s="84"/>
    </row>
    <row r="2413" spans="1:14" s="2" customFormat="1">
      <c r="A2413" s="83"/>
      <c r="H2413" s="83"/>
      <c r="K2413" s="82"/>
      <c r="M2413" s="112"/>
      <c r="N2413" s="84"/>
    </row>
    <row r="2414" spans="1:14" s="2" customFormat="1">
      <c r="A2414" s="83"/>
      <c r="H2414" s="83"/>
      <c r="K2414" s="82"/>
      <c r="M2414" s="112"/>
      <c r="N2414" s="84"/>
    </row>
    <row r="2415" spans="1:14" s="2" customFormat="1">
      <c r="A2415" s="83"/>
      <c r="H2415" s="83"/>
      <c r="K2415" s="82"/>
      <c r="M2415" s="112"/>
      <c r="N2415" s="84"/>
    </row>
    <row r="2416" spans="1:14" s="2" customFormat="1">
      <c r="A2416" s="83"/>
      <c r="H2416" s="83"/>
      <c r="K2416" s="82"/>
      <c r="M2416" s="112"/>
      <c r="N2416" s="84"/>
    </row>
    <row r="2417" spans="1:14" s="2" customFormat="1">
      <c r="A2417" s="83"/>
      <c r="H2417" s="83"/>
      <c r="K2417" s="82"/>
      <c r="M2417" s="112"/>
      <c r="N2417" s="84"/>
    </row>
    <row r="2418" spans="1:14" s="2" customFormat="1">
      <c r="A2418" s="83"/>
      <c r="H2418" s="83"/>
      <c r="K2418" s="82"/>
      <c r="M2418" s="112"/>
      <c r="N2418" s="84"/>
    </row>
    <row r="2419" spans="1:14" s="2" customFormat="1">
      <c r="A2419" s="83"/>
      <c r="H2419" s="83"/>
      <c r="K2419" s="82"/>
      <c r="M2419" s="112"/>
      <c r="N2419" s="84"/>
    </row>
    <row r="2420" spans="1:14" s="2" customFormat="1">
      <c r="A2420" s="83"/>
      <c r="H2420" s="83"/>
      <c r="K2420" s="82"/>
      <c r="M2420" s="112"/>
      <c r="N2420" s="84"/>
    </row>
    <row r="2421" spans="1:14" s="2" customFormat="1">
      <c r="A2421" s="83"/>
      <c r="H2421" s="83"/>
      <c r="K2421" s="82"/>
      <c r="M2421" s="112"/>
      <c r="N2421" s="84"/>
    </row>
    <row r="2422" spans="1:14" s="2" customFormat="1">
      <c r="A2422" s="83"/>
      <c r="H2422" s="83"/>
      <c r="K2422" s="82"/>
      <c r="M2422" s="112"/>
      <c r="N2422" s="84"/>
    </row>
    <row r="2423" spans="1:14" s="2" customFormat="1">
      <c r="A2423" s="83"/>
      <c r="H2423" s="83"/>
      <c r="K2423" s="82"/>
      <c r="M2423" s="112"/>
      <c r="N2423" s="84"/>
    </row>
    <row r="2424" spans="1:14" s="2" customFormat="1">
      <c r="A2424" s="83"/>
      <c r="H2424" s="83"/>
      <c r="K2424" s="82"/>
      <c r="M2424" s="112"/>
      <c r="N2424" s="84"/>
    </row>
    <row r="2425" spans="1:14" s="2" customFormat="1">
      <c r="A2425" s="83"/>
      <c r="H2425" s="83"/>
      <c r="K2425" s="82"/>
      <c r="M2425" s="112"/>
      <c r="N2425" s="84"/>
    </row>
    <row r="2426" spans="1:14" s="2" customFormat="1">
      <c r="A2426" s="83"/>
      <c r="H2426" s="83"/>
      <c r="K2426" s="82"/>
      <c r="M2426" s="112"/>
      <c r="N2426" s="84"/>
    </row>
    <row r="2427" spans="1:14" s="2" customFormat="1">
      <c r="A2427" s="83"/>
      <c r="H2427" s="83"/>
      <c r="K2427" s="82"/>
      <c r="M2427" s="112"/>
      <c r="N2427" s="84"/>
    </row>
    <row r="2428" spans="1:14" s="2" customFormat="1">
      <c r="A2428" s="83"/>
      <c r="H2428" s="83"/>
      <c r="K2428" s="82"/>
      <c r="M2428" s="112"/>
      <c r="N2428" s="84"/>
    </row>
    <row r="2429" spans="1:14" s="2" customFormat="1">
      <c r="A2429" s="83"/>
      <c r="H2429" s="83"/>
      <c r="K2429" s="82"/>
      <c r="M2429" s="112"/>
      <c r="N2429" s="84"/>
    </row>
    <row r="2430" spans="1:14" s="2" customFormat="1">
      <c r="A2430" s="83"/>
      <c r="H2430" s="83"/>
      <c r="K2430" s="82"/>
      <c r="M2430" s="112"/>
      <c r="N2430" s="84"/>
    </row>
    <row r="2431" spans="1:14" s="2" customFormat="1">
      <c r="A2431" s="83"/>
      <c r="H2431" s="83"/>
      <c r="K2431" s="82"/>
      <c r="M2431" s="112"/>
      <c r="N2431" s="84"/>
    </row>
    <row r="2432" spans="1:14" s="2" customFormat="1">
      <c r="A2432" s="83"/>
      <c r="H2432" s="83"/>
      <c r="K2432" s="82"/>
      <c r="M2432" s="112"/>
      <c r="N2432" s="84"/>
    </row>
    <row r="2433" spans="1:14" s="2" customFormat="1">
      <c r="A2433" s="83"/>
      <c r="H2433" s="83"/>
      <c r="K2433" s="82"/>
      <c r="M2433" s="112"/>
      <c r="N2433" s="84"/>
    </row>
    <row r="2434" spans="1:14" s="2" customFormat="1">
      <c r="A2434" s="83"/>
      <c r="H2434" s="83"/>
      <c r="K2434" s="82"/>
      <c r="M2434" s="112"/>
      <c r="N2434" s="84"/>
    </row>
    <row r="2435" spans="1:14" s="2" customFormat="1">
      <c r="A2435" s="83"/>
      <c r="H2435" s="83"/>
      <c r="K2435" s="82"/>
      <c r="M2435" s="112"/>
      <c r="N2435" s="84"/>
    </row>
    <row r="2436" spans="1:14" s="2" customFormat="1">
      <c r="A2436" s="83"/>
      <c r="H2436" s="83"/>
      <c r="K2436" s="82"/>
      <c r="M2436" s="112"/>
      <c r="N2436" s="84"/>
    </row>
    <row r="2437" spans="1:14" s="2" customFormat="1">
      <c r="A2437" s="83"/>
      <c r="H2437" s="83"/>
      <c r="K2437" s="82"/>
      <c r="M2437" s="112"/>
      <c r="N2437" s="84"/>
    </row>
    <row r="2438" spans="1:14" s="2" customFormat="1">
      <c r="A2438" s="83"/>
      <c r="H2438" s="83"/>
      <c r="K2438" s="82"/>
      <c r="M2438" s="112"/>
      <c r="N2438" s="84"/>
    </row>
    <row r="2439" spans="1:14" s="2" customFormat="1">
      <c r="A2439" s="83"/>
      <c r="H2439" s="83"/>
      <c r="K2439" s="82"/>
      <c r="M2439" s="112"/>
      <c r="N2439" s="84"/>
    </row>
    <row r="2440" spans="1:14" s="2" customFormat="1">
      <c r="A2440" s="83"/>
      <c r="H2440" s="83"/>
      <c r="K2440" s="82"/>
      <c r="M2440" s="112"/>
      <c r="N2440" s="84"/>
    </row>
    <row r="2441" spans="1:14" s="2" customFormat="1">
      <c r="A2441" s="83"/>
      <c r="H2441" s="83"/>
      <c r="K2441" s="82"/>
      <c r="M2441" s="112"/>
      <c r="N2441" s="84"/>
    </row>
    <row r="2442" spans="1:14" s="2" customFormat="1">
      <c r="A2442" s="83"/>
      <c r="H2442" s="83"/>
      <c r="K2442" s="82"/>
      <c r="M2442" s="112"/>
      <c r="N2442" s="84"/>
    </row>
    <row r="2443" spans="1:14" s="2" customFormat="1">
      <c r="A2443" s="83"/>
      <c r="H2443" s="83"/>
      <c r="K2443" s="82"/>
      <c r="M2443" s="112"/>
      <c r="N2443" s="84"/>
    </row>
    <row r="2444" spans="1:14" s="2" customFormat="1">
      <c r="A2444" s="83"/>
      <c r="H2444" s="83"/>
      <c r="K2444" s="82"/>
      <c r="M2444" s="112"/>
      <c r="N2444" s="84"/>
    </row>
    <row r="2445" spans="1:14" s="2" customFormat="1">
      <c r="A2445" s="83"/>
      <c r="H2445" s="83"/>
      <c r="K2445" s="82"/>
      <c r="M2445" s="112"/>
      <c r="N2445" s="84"/>
    </row>
    <row r="2446" spans="1:14" s="2" customFormat="1">
      <c r="A2446" s="83"/>
      <c r="H2446" s="83"/>
      <c r="K2446" s="82"/>
      <c r="M2446" s="112"/>
      <c r="N2446" s="84"/>
    </row>
    <row r="2447" spans="1:14" s="2" customFormat="1">
      <c r="A2447" s="83"/>
      <c r="H2447" s="83"/>
      <c r="K2447" s="82"/>
      <c r="M2447" s="112"/>
      <c r="N2447" s="84"/>
    </row>
    <row r="2448" spans="1:14" s="2" customFormat="1">
      <c r="A2448" s="83"/>
      <c r="H2448" s="83"/>
      <c r="K2448" s="82"/>
      <c r="M2448" s="112"/>
      <c r="N2448" s="84"/>
    </row>
    <row r="2449" spans="1:14" s="2" customFormat="1">
      <c r="A2449" s="83"/>
      <c r="H2449" s="83"/>
      <c r="K2449" s="82"/>
      <c r="M2449" s="112"/>
      <c r="N2449" s="84"/>
    </row>
    <row r="2450" spans="1:14" s="2" customFormat="1">
      <c r="A2450" s="83"/>
      <c r="H2450" s="83"/>
      <c r="K2450" s="82"/>
      <c r="M2450" s="112"/>
      <c r="N2450" s="84"/>
    </row>
    <row r="2451" spans="1:14" s="2" customFormat="1">
      <c r="A2451" s="83"/>
      <c r="H2451" s="83"/>
      <c r="K2451" s="82"/>
      <c r="M2451" s="112"/>
      <c r="N2451" s="84"/>
    </row>
    <row r="2452" spans="1:14" s="2" customFormat="1">
      <c r="A2452" s="83"/>
      <c r="H2452" s="83"/>
      <c r="K2452" s="82"/>
      <c r="M2452" s="112"/>
      <c r="N2452" s="84"/>
    </row>
    <row r="2453" spans="1:14" s="2" customFormat="1">
      <c r="A2453" s="83"/>
      <c r="H2453" s="83"/>
      <c r="K2453" s="82"/>
      <c r="M2453" s="112"/>
      <c r="N2453" s="84"/>
    </row>
    <row r="2454" spans="1:14" s="2" customFormat="1">
      <c r="A2454" s="83"/>
      <c r="H2454" s="83"/>
      <c r="K2454" s="82"/>
      <c r="M2454" s="112"/>
      <c r="N2454" s="84"/>
    </row>
    <row r="2455" spans="1:14" s="2" customFormat="1">
      <c r="A2455" s="83"/>
      <c r="H2455" s="83"/>
      <c r="K2455" s="82"/>
      <c r="M2455" s="112"/>
      <c r="N2455" s="84"/>
    </row>
    <row r="2456" spans="1:14" s="2" customFormat="1">
      <c r="A2456" s="83"/>
      <c r="H2456" s="83"/>
      <c r="K2456" s="82"/>
      <c r="M2456" s="112"/>
      <c r="N2456" s="84"/>
    </row>
    <row r="2457" spans="1:14" s="2" customFormat="1">
      <c r="A2457" s="83"/>
      <c r="H2457" s="83"/>
      <c r="K2457" s="82"/>
      <c r="M2457" s="112"/>
      <c r="N2457" s="84"/>
    </row>
    <row r="2458" spans="1:14" s="2" customFormat="1">
      <c r="A2458" s="83"/>
      <c r="H2458" s="83"/>
      <c r="K2458" s="82"/>
      <c r="M2458" s="112"/>
      <c r="N2458" s="84"/>
    </row>
    <row r="2459" spans="1:14" s="2" customFormat="1">
      <c r="A2459" s="83"/>
      <c r="H2459" s="83"/>
      <c r="K2459" s="82"/>
      <c r="M2459" s="112"/>
      <c r="N2459" s="84"/>
    </row>
    <row r="2460" spans="1:14" s="2" customFormat="1">
      <c r="A2460" s="83"/>
      <c r="H2460" s="83"/>
      <c r="K2460" s="82"/>
      <c r="M2460" s="112"/>
      <c r="N2460" s="84"/>
    </row>
    <row r="2461" spans="1:14" s="2" customFormat="1">
      <c r="A2461" s="83"/>
      <c r="H2461" s="83"/>
      <c r="K2461" s="82"/>
      <c r="M2461" s="112"/>
      <c r="N2461" s="84"/>
    </row>
    <row r="2462" spans="1:14" s="2" customFormat="1">
      <c r="A2462" s="83"/>
      <c r="H2462" s="83"/>
      <c r="K2462" s="82"/>
      <c r="M2462" s="112"/>
      <c r="N2462" s="84"/>
    </row>
    <row r="2463" spans="1:14" s="2" customFormat="1">
      <c r="A2463" s="83"/>
      <c r="H2463" s="83"/>
      <c r="K2463" s="82"/>
      <c r="M2463" s="112"/>
      <c r="N2463" s="84"/>
    </row>
    <row r="2464" spans="1:14" s="2" customFormat="1">
      <c r="A2464" s="83"/>
      <c r="H2464" s="83"/>
      <c r="K2464" s="82"/>
      <c r="M2464" s="112"/>
      <c r="N2464" s="84"/>
    </row>
    <row r="2465" spans="1:14" s="2" customFormat="1">
      <c r="A2465" s="83"/>
      <c r="H2465" s="83"/>
      <c r="K2465" s="82"/>
      <c r="M2465" s="112"/>
      <c r="N2465" s="84"/>
    </row>
    <row r="2466" spans="1:14" s="2" customFormat="1">
      <c r="A2466" s="83"/>
      <c r="H2466" s="83"/>
      <c r="K2466" s="82"/>
      <c r="M2466" s="112"/>
      <c r="N2466" s="84"/>
    </row>
    <row r="2467" spans="1:14" s="2" customFormat="1">
      <c r="A2467" s="83"/>
      <c r="H2467" s="83"/>
      <c r="K2467" s="82"/>
      <c r="M2467" s="112"/>
      <c r="N2467" s="84"/>
    </row>
    <row r="2468" spans="1:14" s="2" customFormat="1">
      <c r="A2468" s="83"/>
      <c r="H2468" s="83"/>
      <c r="K2468" s="82"/>
      <c r="M2468" s="112"/>
      <c r="N2468" s="84"/>
    </row>
    <row r="2469" spans="1:14" s="2" customFormat="1">
      <c r="A2469" s="83"/>
      <c r="H2469" s="83"/>
      <c r="K2469" s="82"/>
      <c r="M2469" s="112"/>
      <c r="N2469" s="84"/>
    </row>
    <row r="2470" spans="1:14" s="2" customFormat="1">
      <c r="A2470" s="83"/>
      <c r="H2470" s="83"/>
      <c r="K2470" s="82"/>
      <c r="M2470" s="112"/>
      <c r="N2470" s="84"/>
    </row>
    <row r="2471" spans="1:14" s="2" customFormat="1">
      <c r="A2471" s="83"/>
      <c r="H2471" s="83"/>
      <c r="K2471" s="82"/>
      <c r="M2471" s="112"/>
      <c r="N2471" s="84"/>
    </row>
    <row r="2472" spans="1:14" s="2" customFormat="1">
      <c r="A2472" s="83"/>
      <c r="H2472" s="83"/>
      <c r="K2472" s="82"/>
      <c r="M2472" s="112"/>
      <c r="N2472" s="84"/>
    </row>
    <row r="2473" spans="1:14" s="2" customFormat="1">
      <c r="A2473" s="83"/>
      <c r="H2473" s="83"/>
      <c r="K2473" s="82"/>
      <c r="M2473" s="112"/>
      <c r="N2473" s="84"/>
    </row>
    <row r="2474" spans="1:14" s="2" customFormat="1">
      <c r="A2474" s="83"/>
      <c r="H2474" s="83"/>
      <c r="K2474" s="82"/>
      <c r="M2474" s="112"/>
      <c r="N2474" s="84"/>
    </row>
    <row r="2475" spans="1:14" s="2" customFormat="1">
      <c r="A2475" s="83"/>
      <c r="H2475" s="83"/>
      <c r="K2475" s="82"/>
      <c r="M2475" s="112"/>
      <c r="N2475" s="84"/>
    </row>
    <row r="2476" spans="1:14" s="2" customFormat="1">
      <c r="A2476" s="83"/>
      <c r="H2476" s="83"/>
      <c r="K2476" s="82"/>
      <c r="M2476" s="112"/>
      <c r="N2476" s="84"/>
    </row>
    <row r="2477" spans="1:14" s="2" customFormat="1">
      <c r="A2477" s="83"/>
      <c r="H2477" s="83"/>
      <c r="K2477" s="82"/>
      <c r="M2477" s="112"/>
      <c r="N2477" s="84"/>
    </row>
    <row r="2478" spans="1:14" s="2" customFormat="1">
      <c r="A2478" s="83"/>
      <c r="H2478" s="83"/>
      <c r="K2478" s="82"/>
      <c r="M2478" s="112"/>
      <c r="N2478" s="84"/>
    </row>
    <row r="2479" spans="1:14" s="2" customFormat="1">
      <c r="A2479" s="83"/>
      <c r="H2479" s="83"/>
      <c r="K2479" s="82"/>
      <c r="M2479" s="112"/>
      <c r="N2479" s="84"/>
    </row>
    <row r="2480" spans="1:14" s="2" customFormat="1">
      <c r="A2480" s="83"/>
      <c r="H2480" s="83"/>
      <c r="K2480" s="82"/>
      <c r="M2480" s="112"/>
      <c r="N2480" s="84"/>
    </row>
    <row r="2481" spans="1:14" s="2" customFormat="1">
      <c r="A2481" s="83"/>
      <c r="H2481" s="83"/>
      <c r="K2481" s="82"/>
      <c r="M2481" s="112"/>
      <c r="N2481" s="84"/>
    </row>
    <row r="2482" spans="1:14" s="2" customFormat="1">
      <c r="A2482" s="83"/>
      <c r="H2482" s="83"/>
      <c r="K2482" s="82"/>
      <c r="M2482" s="112"/>
      <c r="N2482" s="84"/>
    </row>
    <row r="2483" spans="1:14" s="2" customFormat="1">
      <c r="A2483" s="83"/>
      <c r="H2483" s="83"/>
      <c r="K2483" s="82"/>
      <c r="M2483" s="112"/>
      <c r="N2483" s="84"/>
    </row>
    <row r="2484" spans="1:14" s="2" customFormat="1">
      <c r="A2484" s="83"/>
      <c r="H2484" s="83"/>
      <c r="K2484" s="82"/>
      <c r="M2484" s="112"/>
      <c r="N2484" s="84"/>
    </row>
    <row r="2485" spans="1:14" s="2" customFormat="1">
      <c r="A2485" s="83"/>
      <c r="H2485" s="83"/>
      <c r="K2485" s="82"/>
      <c r="M2485" s="112"/>
      <c r="N2485" s="84"/>
    </row>
    <row r="2486" spans="1:14" s="2" customFormat="1">
      <c r="A2486" s="83"/>
      <c r="H2486" s="83"/>
      <c r="K2486" s="82"/>
      <c r="M2486" s="112"/>
      <c r="N2486" s="84"/>
    </row>
    <row r="2487" spans="1:14" s="2" customFormat="1">
      <c r="A2487" s="83"/>
      <c r="H2487" s="83"/>
      <c r="K2487" s="82"/>
      <c r="M2487" s="112"/>
      <c r="N2487" s="84"/>
    </row>
    <row r="2488" spans="1:14" s="2" customFormat="1">
      <c r="A2488" s="83"/>
      <c r="H2488" s="83"/>
      <c r="K2488" s="82"/>
      <c r="M2488" s="112"/>
      <c r="N2488" s="84"/>
    </row>
    <row r="2489" spans="1:14" s="2" customFormat="1">
      <c r="A2489" s="83"/>
      <c r="H2489" s="83"/>
      <c r="K2489" s="82"/>
      <c r="M2489" s="112"/>
      <c r="N2489" s="84"/>
    </row>
    <row r="2490" spans="1:14" s="2" customFormat="1">
      <c r="A2490" s="83"/>
      <c r="H2490" s="83"/>
      <c r="K2490" s="82"/>
      <c r="M2490" s="112"/>
      <c r="N2490" s="84"/>
    </row>
    <row r="2491" spans="1:14" s="2" customFormat="1">
      <c r="A2491" s="83"/>
      <c r="H2491" s="83"/>
      <c r="K2491" s="82"/>
      <c r="M2491" s="112"/>
      <c r="N2491" s="84"/>
    </row>
    <row r="2492" spans="1:14" s="2" customFormat="1">
      <c r="A2492" s="83"/>
      <c r="H2492" s="83"/>
      <c r="K2492" s="82"/>
      <c r="M2492" s="112"/>
      <c r="N2492" s="84"/>
    </row>
    <row r="2493" spans="1:14" s="2" customFormat="1">
      <c r="A2493" s="83"/>
      <c r="H2493" s="83"/>
      <c r="K2493" s="82"/>
      <c r="M2493" s="112"/>
      <c r="N2493" s="84"/>
    </row>
    <row r="2494" spans="1:14" s="2" customFormat="1">
      <c r="A2494" s="83"/>
      <c r="H2494" s="83"/>
      <c r="K2494" s="82"/>
      <c r="M2494" s="112"/>
      <c r="N2494" s="84"/>
    </row>
    <row r="2495" spans="1:14" s="2" customFormat="1">
      <c r="A2495" s="83"/>
      <c r="H2495" s="83"/>
      <c r="K2495" s="82"/>
      <c r="M2495" s="112"/>
      <c r="N2495" s="84"/>
    </row>
    <row r="2496" spans="1:14" s="2" customFormat="1">
      <c r="A2496" s="83"/>
      <c r="H2496" s="83"/>
      <c r="K2496" s="82"/>
      <c r="M2496" s="112"/>
      <c r="N2496" s="84"/>
    </row>
    <row r="2497" spans="1:14" s="2" customFormat="1">
      <c r="A2497" s="83"/>
      <c r="H2497" s="83"/>
      <c r="K2497" s="82"/>
      <c r="M2497" s="112"/>
      <c r="N2497" s="84"/>
    </row>
    <row r="2498" spans="1:14" s="2" customFormat="1">
      <c r="A2498" s="83"/>
      <c r="H2498" s="83"/>
      <c r="K2498" s="82"/>
      <c r="M2498" s="112"/>
      <c r="N2498" s="84"/>
    </row>
    <row r="2499" spans="1:14" s="2" customFormat="1">
      <c r="A2499" s="83"/>
      <c r="H2499" s="83"/>
      <c r="K2499" s="82"/>
      <c r="M2499" s="112"/>
      <c r="N2499" s="84"/>
    </row>
    <row r="2500" spans="1:14" s="2" customFormat="1">
      <c r="A2500" s="83"/>
      <c r="H2500" s="83"/>
      <c r="K2500" s="82"/>
      <c r="M2500" s="112"/>
      <c r="N2500" s="84"/>
    </row>
    <row r="2501" spans="1:14" s="2" customFormat="1">
      <c r="A2501" s="83"/>
      <c r="H2501" s="83"/>
      <c r="K2501" s="82"/>
      <c r="M2501" s="112"/>
      <c r="N2501" s="84"/>
    </row>
    <row r="2502" spans="1:14" s="2" customFormat="1">
      <c r="A2502" s="83"/>
      <c r="H2502" s="83"/>
      <c r="K2502" s="82"/>
      <c r="M2502" s="112"/>
      <c r="N2502" s="84"/>
    </row>
    <row r="2503" spans="1:14" s="2" customFormat="1">
      <c r="A2503" s="83"/>
      <c r="H2503" s="83"/>
      <c r="K2503" s="82"/>
      <c r="M2503" s="112"/>
      <c r="N2503" s="84"/>
    </row>
    <row r="2504" spans="1:14" s="2" customFormat="1">
      <c r="A2504" s="83"/>
      <c r="H2504" s="83"/>
      <c r="K2504" s="82"/>
      <c r="M2504" s="112"/>
      <c r="N2504" s="84"/>
    </row>
    <row r="2505" spans="1:14" s="2" customFormat="1">
      <c r="A2505" s="83"/>
      <c r="H2505" s="83"/>
      <c r="K2505" s="82"/>
      <c r="M2505" s="112"/>
      <c r="N2505" s="84"/>
    </row>
    <row r="2506" spans="1:14" s="2" customFormat="1">
      <c r="A2506" s="83"/>
      <c r="H2506" s="83"/>
      <c r="K2506" s="82"/>
      <c r="M2506" s="112"/>
      <c r="N2506" s="84"/>
    </row>
    <row r="2507" spans="1:14" s="2" customFormat="1">
      <c r="A2507" s="83"/>
      <c r="H2507" s="83"/>
      <c r="K2507" s="82"/>
      <c r="M2507" s="112"/>
      <c r="N2507" s="84"/>
    </row>
    <row r="2508" spans="1:14" s="2" customFormat="1">
      <c r="A2508" s="83"/>
      <c r="H2508" s="83"/>
      <c r="K2508" s="82"/>
      <c r="M2508" s="112"/>
      <c r="N2508" s="84"/>
    </row>
    <row r="2509" spans="1:14" s="2" customFormat="1">
      <c r="A2509" s="83"/>
      <c r="H2509" s="83"/>
      <c r="K2509" s="82"/>
      <c r="M2509" s="112"/>
      <c r="N2509" s="84"/>
    </row>
    <row r="2510" spans="1:14" s="2" customFormat="1">
      <c r="A2510" s="83"/>
      <c r="H2510" s="83"/>
      <c r="K2510" s="82"/>
      <c r="M2510" s="112"/>
      <c r="N2510" s="84"/>
    </row>
    <row r="2511" spans="1:14" s="2" customFormat="1">
      <c r="A2511" s="83"/>
      <c r="H2511" s="83"/>
      <c r="K2511" s="82"/>
      <c r="M2511" s="112"/>
      <c r="N2511" s="84"/>
    </row>
    <row r="2512" spans="1:14" s="2" customFormat="1">
      <c r="A2512" s="83"/>
      <c r="H2512" s="83"/>
      <c r="K2512" s="82"/>
      <c r="M2512" s="112"/>
      <c r="N2512" s="84"/>
    </row>
    <row r="2513" spans="1:14" s="2" customFormat="1">
      <c r="A2513" s="83"/>
      <c r="H2513" s="83"/>
      <c r="K2513" s="82"/>
      <c r="M2513" s="112"/>
      <c r="N2513" s="84"/>
    </row>
    <row r="2514" spans="1:14" s="2" customFormat="1">
      <c r="A2514" s="83"/>
      <c r="H2514" s="83"/>
      <c r="K2514" s="82"/>
      <c r="M2514" s="112"/>
      <c r="N2514" s="84"/>
    </row>
    <row r="2515" spans="1:14" s="2" customFormat="1">
      <c r="A2515" s="83"/>
      <c r="H2515" s="83"/>
      <c r="K2515" s="82"/>
      <c r="M2515" s="112"/>
      <c r="N2515" s="84"/>
    </row>
    <row r="2516" spans="1:14" s="2" customFormat="1">
      <c r="A2516" s="83"/>
      <c r="H2516" s="83"/>
      <c r="K2516" s="82"/>
      <c r="M2516" s="112"/>
      <c r="N2516" s="84"/>
    </row>
    <row r="2517" spans="1:14" s="2" customFormat="1">
      <c r="A2517" s="83"/>
      <c r="H2517" s="83"/>
      <c r="K2517" s="82"/>
      <c r="M2517" s="112"/>
      <c r="N2517" s="84"/>
    </row>
    <row r="2518" spans="1:14" s="2" customFormat="1">
      <c r="A2518" s="83"/>
      <c r="H2518" s="83"/>
      <c r="K2518" s="82"/>
      <c r="M2518" s="112"/>
      <c r="N2518" s="84"/>
    </row>
    <row r="2519" spans="1:14" s="2" customFormat="1">
      <c r="A2519" s="83"/>
      <c r="H2519" s="83"/>
      <c r="K2519" s="82"/>
      <c r="M2519" s="112"/>
      <c r="N2519" s="84"/>
    </row>
    <row r="2520" spans="1:14" s="2" customFormat="1">
      <c r="A2520" s="83"/>
      <c r="H2520" s="83"/>
      <c r="K2520" s="82"/>
      <c r="M2520" s="112"/>
      <c r="N2520" s="84"/>
    </row>
    <row r="2521" spans="1:14" s="2" customFormat="1">
      <c r="A2521" s="83"/>
      <c r="H2521" s="83"/>
      <c r="K2521" s="82"/>
      <c r="M2521" s="112"/>
      <c r="N2521" s="84"/>
    </row>
    <row r="2522" spans="1:14" s="2" customFormat="1">
      <c r="A2522" s="83"/>
      <c r="H2522" s="83"/>
      <c r="K2522" s="82"/>
      <c r="M2522" s="112"/>
      <c r="N2522" s="84"/>
    </row>
    <row r="2523" spans="1:14" s="2" customFormat="1">
      <c r="A2523" s="83"/>
      <c r="H2523" s="83"/>
      <c r="K2523" s="82"/>
      <c r="M2523" s="112"/>
      <c r="N2523" s="84"/>
    </row>
    <row r="2524" spans="1:14" s="2" customFormat="1">
      <c r="A2524" s="83"/>
      <c r="H2524" s="83"/>
      <c r="K2524" s="82"/>
      <c r="M2524" s="112"/>
      <c r="N2524" s="84"/>
    </row>
    <row r="2525" spans="1:14" s="2" customFormat="1">
      <c r="A2525" s="83"/>
      <c r="H2525" s="83"/>
      <c r="K2525" s="82"/>
      <c r="M2525" s="112"/>
      <c r="N2525" s="84"/>
    </row>
    <row r="2526" spans="1:14" s="2" customFormat="1">
      <c r="A2526" s="83"/>
      <c r="H2526" s="83"/>
      <c r="K2526" s="82"/>
      <c r="M2526" s="112"/>
      <c r="N2526" s="84"/>
    </row>
    <row r="2527" spans="1:14" s="2" customFormat="1">
      <c r="A2527" s="83"/>
      <c r="H2527" s="83"/>
      <c r="K2527" s="82"/>
      <c r="M2527" s="112"/>
      <c r="N2527" s="84"/>
    </row>
    <row r="2528" spans="1:14" s="2" customFormat="1">
      <c r="A2528" s="83"/>
      <c r="H2528" s="83"/>
      <c r="K2528" s="82"/>
      <c r="M2528" s="112"/>
      <c r="N2528" s="84"/>
    </row>
    <row r="2529" spans="1:14" s="2" customFormat="1">
      <c r="A2529" s="83"/>
      <c r="H2529" s="83"/>
      <c r="K2529" s="82"/>
      <c r="M2529" s="112"/>
      <c r="N2529" s="84"/>
    </row>
    <row r="2530" spans="1:14" s="2" customFormat="1">
      <c r="A2530" s="83"/>
      <c r="H2530" s="83"/>
      <c r="K2530" s="82"/>
      <c r="M2530" s="112"/>
      <c r="N2530" s="84"/>
    </row>
    <row r="2531" spans="1:14" s="2" customFormat="1">
      <c r="A2531" s="83"/>
      <c r="H2531" s="83"/>
      <c r="K2531" s="82"/>
      <c r="M2531" s="112"/>
      <c r="N2531" s="84"/>
    </row>
    <row r="2532" spans="1:14" s="2" customFormat="1">
      <c r="A2532" s="83"/>
      <c r="H2532" s="83"/>
      <c r="K2532" s="82"/>
      <c r="M2532" s="112"/>
      <c r="N2532" s="84"/>
    </row>
    <row r="2533" spans="1:14" s="2" customFormat="1">
      <c r="A2533" s="83"/>
      <c r="H2533" s="83"/>
      <c r="K2533" s="82"/>
      <c r="M2533" s="112"/>
      <c r="N2533" s="84"/>
    </row>
    <row r="2534" spans="1:14" s="2" customFormat="1">
      <c r="A2534" s="83"/>
      <c r="H2534" s="83"/>
      <c r="K2534" s="82"/>
      <c r="M2534" s="112"/>
      <c r="N2534" s="84"/>
    </row>
    <row r="2535" spans="1:14" s="2" customFormat="1">
      <c r="A2535" s="83"/>
      <c r="H2535" s="83"/>
      <c r="K2535" s="82"/>
      <c r="M2535" s="112"/>
      <c r="N2535" s="84"/>
    </row>
    <row r="2536" spans="1:14" s="2" customFormat="1">
      <c r="A2536" s="83"/>
      <c r="H2536" s="83"/>
      <c r="K2536" s="82"/>
      <c r="M2536" s="112"/>
      <c r="N2536" s="84"/>
    </row>
    <row r="2537" spans="1:14" s="2" customFormat="1">
      <c r="A2537" s="83"/>
      <c r="H2537" s="83"/>
      <c r="K2537" s="82"/>
      <c r="M2537" s="112"/>
      <c r="N2537" s="84"/>
    </row>
    <row r="2538" spans="1:14" s="2" customFormat="1">
      <c r="A2538" s="83"/>
      <c r="H2538" s="83"/>
      <c r="K2538" s="82"/>
      <c r="M2538" s="112"/>
      <c r="N2538" s="84"/>
    </row>
    <row r="2539" spans="1:14" s="2" customFormat="1">
      <c r="A2539" s="83"/>
      <c r="H2539" s="83"/>
      <c r="K2539" s="82"/>
      <c r="M2539" s="112"/>
      <c r="N2539" s="84"/>
    </row>
    <row r="2540" spans="1:14" s="2" customFormat="1">
      <c r="A2540" s="83"/>
      <c r="H2540" s="83"/>
      <c r="K2540" s="82"/>
      <c r="M2540" s="112"/>
      <c r="N2540" s="84"/>
    </row>
    <row r="2541" spans="1:14" s="2" customFormat="1">
      <c r="A2541" s="83"/>
      <c r="H2541" s="83"/>
      <c r="K2541" s="82"/>
      <c r="M2541" s="112"/>
      <c r="N2541" s="84"/>
    </row>
    <row r="2542" spans="1:14" s="2" customFormat="1">
      <c r="A2542" s="83"/>
      <c r="H2542" s="83"/>
      <c r="K2542" s="82"/>
      <c r="M2542" s="112"/>
      <c r="N2542" s="84"/>
    </row>
    <row r="2543" spans="1:14" s="2" customFormat="1">
      <c r="A2543" s="83"/>
      <c r="H2543" s="83"/>
      <c r="K2543" s="82"/>
      <c r="M2543" s="112"/>
      <c r="N2543" s="84"/>
    </row>
    <row r="2544" spans="1:14" s="2" customFormat="1">
      <c r="A2544" s="83"/>
      <c r="H2544" s="83"/>
      <c r="K2544" s="82"/>
      <c r="M2544" s="112"/>
      <c r="N2544" s="84"/>
    </row>
    <row r="2545" spans="1:14" s="2" customFormat="1">
      <c r="A2545" s="83"/>
      <c r="H2545" s="83"/>
      <c r="K2545" s="82"/>
      <c r="M2545" s="112"/>
      <c r="N2545" s="84"/>
    </row>
    <row r="2546" spans="1:14" s="2" customFormat="1">
      <c r="A2546" s="83"/>
      <c r="H2546" s="83"/>
      <c r="K2546" s="82"/>
      <c r="M2546" s="112"/>
      <c r="N2546" s="84"/>
    </row>
    <row r="2547" spans="1:14" s="2" customFormat="1">
      <c r="A2547" s="83"/>
      <c r="H2547" s="83"/>
      <c r="K2547" s="82"/>
      <c r="M2547" s="112"/>
      <c r="N2547" s="84"/>
    </row>
    <row r="2548" spans="1:14" s="2" customFormat="1">
      <c r="A2548" s="83"/>
      <c r="H2548" s="83"/>
      <c r="K2548" s="82"/>
      <c r="M2548" s="112"/>
      <c r="N2548" s="84"/>
    </row>
    <row r="2549" spans="1:14" s="2" customFormat="1">
      <c r="A2549" s="83"/>
      <c r="H2549" s="83"/>
      <c r="K2549" s="82"/>
      <c r="M2549" s="112"/>
      <c r="N2549" s="84"/>
    </row>
    <row r="2550" spans="1:14" s="2" customFormat="1">
      <c r="A2550" s="83"/>
      <c r="H2550" s="83"/>
      <c r="K2550" s="82"/>
      <c r="M2550" s="112"/>
      <c r="N2550" s="84"/>
    </row>
    <row r="2551" spans="1:14" s="2" customFormat="1">
      <c r="A2551" s="83"/>
      <c r="H2551" s="83"/>
      <c r="K2551" s="82"/>
      <c r="M2551" s="112"/>
      <c r="N2551" s="84"/>
    </row>
    <row r="2552" spans="1:14" s="2" customFormat="1">
      <c r="A2552" s="83"/>
      <c r="H2552" s="83"/>
      <c r="K2552" s="82"/>
      <c r="M2552" s="112"/>
      <c r="N2552" s="84"/>
    </row>
    <row r="2553" spans="1:14" s="2" customFormat="1">
      <c r="A2553" s="83"/>
      <c r="H2553" s="83"/>
      <c r="K2553" s="82"/>
      <c r="M2553" s="112"/>
      <c r="N2553" s="84"/>
    </row>
    <row r="2554" spans="1:14" s="2" customFormat="1">
      <c r="A2554" s="83"/>
      <c r="H2554" s="83"/>
      <c r="K2554" s="82"/>
      <c r="M2554" s="112"/>
      <c r="N2554" s="84"/>
    </row>
    <row r="2555" spans="1:14" s="2" customFormat="1">
      <c r="A2555" s="83"/>
      <c r="H2555" s="83"/>
      <c r="K2555" s="82"/>
      <c r="M2555" s="112"/>
      <c r="N2555" s="84"/>
    </row>
    <row r="2556" spans="1:14" s="2" customFormat="1">
      <c r="A2556" s="83"/>
      <c r="H2556" s="83"/>
      <c r="K2556" s="82"/>
      <c r="M2556" s="112"/>
      <c r="N2556" s="84"/>
    </row>
    <row r="2557" spans="1:14" s="2" customFormat="1">
      <c r="A2557" s="83"/>
      <c r="H2557" s="83"/>
      <c r="K2557" s="82"/>
      <c r="M2557" s="112"/>
      <c r="N2557" s="84"/>
    </row>
    <row r="2558" spans="1:14" s="2" customFormat="1">
      <c r="A2558" s="83"/>
      <c r="H2558" s="83"/>
      <c r="K2558" s="82"/>
      <c r="M2558" s="112"/>
      <c r="N2558" s="84"/>
    </row>
    <row r="2559" spans="1:14" s="2" customFormat="1">
      <c r="A2559" s="83"/>
      <c r="H2559" s="83"/>
      <c r="K2559" s="82"/>
      <c r="M2559" s="112"/>
      <c r="N2559" s="84"/>
    </row>
    <row r="2560" spans="1:14" s="2" customFormat="1">
      <c r="A2560" s="83"/>
      <c r="H2560" s="83"/>
      <c r="K2560" s="82"/>
      <c r="M2560" s="112"/>
      <c r="N2560" s="84"/>
    </row>
    <row r="2561" spans="1:14" s="2" customFormat="1">
      <c r="A2561" s="83"/>
      <c r="H2561" s="83"/>
      <c r="K2561" s="82"/>
      <c r="M2561" s="112"/>
      <c r="N2561" s="84"/>
    </row>
    <row r="2562" spans="1:14" s="2" customFormat="1">
      <c r="A2562" s="83"/>
      <c r="H2562" s="83"/>
      <c r="K2562" s="82"/>
      <c r="M2562" s="112"/>
      <c r="N2562" s="84"/>
    </row>
    <row r="2563" spans="1:14" s="2" customFormat="1">
      <c r="A2563" s="83"/>
      <c r="H2563" s="83"/>
      <c r="K2563" s="82"/>
      <c r="M2563" s="112"/>
      <c r="N2563" s="84"/>
    </row>
    <row r="2564" spans="1:14" s="2" customFormat="1">
      <c r="A2564" s="83"/>
      <c r="H2564" s="83"/>
      <c r="K2564" s="82"/>
      <c r="M2564" s="112"/>
      <c r="N2564" s="84"/>
    </row>
    <row r="2565" spans="1:14" s="2" customFormat="1">
      <c r="A2565" s="83"/>
      <c r="H2565" s="83"/>
      <c r="K2565" s="82"/>
      <c r="M2565" s="112"/>
      <c r="N2565" s="84"/>
    </row>
    <row r="2566" spans="1:14" s="2" customFormat="1">
      <c r="A2566" s="83"/>
      <c r="H2566" s="83"/>
      <c r="K2566" s="82"/>
      <c r="M2566" s="112"/>
      <c r="N2566" s="84"/>
    </row>
    <row r="2567" spans="1:14" s="2" customFormat="1">
      <c r="A2567" s="83"/>
      <c r="H2567" s="83"/>
      <c r="K2567" s="82"/>
      <c r="M2567" s="112"/>
      <c r="N2567" s="84"/>
    </row>
    <row r="2568" spans="1:14" s="2" customFormat="1">
      <c r="A2568" s="83"/>
      <c r="H2568" s="83"/>
      <c r="K2568" s="82"/>
      <c r="M2568" s="112"/>
      <c r="N2568" s="84"/>
    </row>
    <row r="2569" spans="1:14" s="2" customFormat="1">
      <c r="A2569" s="83"/>
      <c r="H2569" s="83"/>
      <c r="K2569" s="82"/>
      <c r="M2569" s="112"/>
      <c r="N2569" s="84"/>
    </row>
    <row r="2570" spans="1:14" s="2" customFormat="1">
      <c r="A2570" s="83"/>
      <c r="H2570" s="83"/>
      <c r="K2570" s="82"/>
      <c r="M2570" s="112"/>
      <c r="N2570" s="84"/>
    </row>
    <row r="2571" spans="1:14" s="2" customFormat="1">
      <c r="A2571" s="83"/>
      <c r="H2571" s="83"/>
      <c r="K2571" s="82"/>
      <c r="M2571" s="112"/>
      <c r="N2571" s="84"/>
    </row>
    <row r="2572" spans="1:14" s="2" customFormat="1">
      <c r="A2572" s="83"/>
      <c r="H2572" s="83"/>
      <c r="K2572" s="82"/>
      <c r="M2572" s="112"/>
      <c r="N2572" s="84"/>
    </row>
    <row r="2573" spans="1:14" s="2" customFormat="1">
      <c r="A2573" s="83"/>
      <c r="H2573" s="83"/>
      <c r="K2573" s="82"/>
      <c r="M2573" s="112"/>
      <c r="N2573" s="84"/>
    </row>
    <row r="2574" spans="1:14" s="2" customFormat="1">
      <c r="A2574" s="83"/>
      <c r="H2574" s="83"/>
      <c r="K2574" s="82"/>
      <c r="M2574" s="112"/>
      <c r="N2574" s="84"/>
    </row>
    <row r="2575" spans="1:14" s="2" customFormat="1">
      <c r="A2575" s="83"/>
      <c r="H2575" s="83"/>
      <c r="K2575" s="82"/>
      <c r="M2575" s="112"/>
      <c r="N2575" s="84"/>
    </row>
    <row r="2576" spans="1:14" s="2" customFormat="1">
      <c r="A2576" s="83"/>
      <c r="H2576" s="83"/>
      <c r="K2576" s="82"/>
      <c r="M2576" s="112"/>
      <c r="N2576" s="84"/>
    </row>
    <row r="2577" spans="1:14" s="2" customFormat="1">
      <c r="A2577" s="83"/>
      <c r="H2577" s="83"/>
      <c r="K2577" s="82"/>
      <c r="M2577" s="112"/>
      <c r="N2577" s="84"/>
    </row>
    <row r="2578" spans="1:14" s="2" customFormat="1">
      <c r="A2578" s="83"/>
      <c r="H2578" s="83"/>
      <c r="K2578" s="82"/>
      <c r="M2578" s="112"/>
      <c r="N2578" s="84"/>
    </row>
    <row r="2579" spans="1:14" s="2" customFormat="1">
      <c r="A2579" s="83"/>
      <c r="H2579" s="83"/>
      <c r="K2579" s="82"/>
      <c r="M2579" s="112"/>
      <c r="N2579" s="84"/>
    </row>
    <row r="2580" spans="1:14" s="2" customFormat="1">
      <c r="A2580" s="83"/>
      <c r="H2580" s="83"/>
      <c r="K2580" s="82"/>
      <c r="M2580" s="112"/>
      <c r="N2580" s="84"/>
    </row>
    <row r="2581" spans="1:14" s="2" customFormat="1">
      <c r="A2581" s="83"/>
      <c r="H2581" s="83"/>
      <c r="K2581" s="82"/>
      <c r="M2581" s="112"/>
      <c r="N2581" s="84"/>
    </row>
    <row r="2582" spans="1:14" s="2" customFormat="1">
      <c r="A2582" s="83"/>
      <c r="H2582" s="83"/>
      <c r="K2582" s="82"/>
      <c r="M2582" s="112"/>
      <c r="N2582" s="84"/>
    </row>
    <row r="2583" spans="1:14" s="2" customFormat="1">
      <c r="A2583" s="83"/>
      <c r="H2583" s="83"/>
      <c r="K2583" s="82"/>
      <c r="M2583" s="112"/>
      <c r="N2583" s="84"/>
    </row>
    <row r="2584" spans="1:14" s="2" customFormat="1">
      <c r="A2584" s="83"/>
      <c r="H2584" s="83"/>
      <c r="K2584" s="82"/>
      <c r="M2584" s="112"/>
      <c r="N2584" s="84"/>
    </row>
    <row r="2585" spans="1:14" s="2" customFormat="1">
      <c r="A2585" s="83"/>
      <c r="H2585" s="83"/>
      <c r="K2585" s="82"/>
      <c r="M2585" s="112"/>
      <c r="N2585" s="84"/>
    </row>
    <row r="2586" spans="1:14" s="2" customFormat="1">
      <c r="A2586" s="83"/>
      <c r="H2586" s="83"/>
      <c r="K2586" s="82"/>
      <c r="M2586" s="112"/>
      <c r="N2586" s="84"/>
    </row>
    <row r="2587" spans="1:14" s="2" customFormat="1">
      <c r="A2587" s="83"/>
      <c r="H2587" s="83"/>
      <c r="K2587" s="82"/>
      <c r="M2587" s="112"/>
      <c r="N2587" s="84"/>
    </row>
    <row r="2588" spans="1:14" s="2" customFormat="1">
      <c r="A2588" s="83"/>
      <c r="H2588" s="83"/>
      <c r="K2588" s="82"/>
      <c r="M2588" s="112"/>
      <c r="N2588" s="84"/>
    </row>
    <row r="2589" spans="1:14" s="2" customFormat="1">
      <c r="A2589" s="83"/>
      <c r="H2589" s="83"/>
      <c r="K2589" s="82"/>
      <c r="M2589" s="112"/>
      <c r="N2589" s="84"/>
    </row>
    <row r="2590" spans="1:14" s="2" customFormat="1">
      <c r="A2590" s="83"/>
      <c r="H2590" s="83"/>
      <c r="K2590" s="82"/>
      <c r="M2590" s="112"/>
      <c r="N2590" s="84"/>
    </row>
    <row r="2591" spans="1:14" s="2" customFormat="1">
      <c r="A2591" s="83"/>
      <c r="H2591" s="83"/>
      <c r="K2591" s="82"/>
      <c r="M2591" s="112"/>
      <c r="N2591" s="84"/>
    </row>
    <row r="2592" spans="1:14" s="2" customFormat="1">
      <c r="A2592" s="83"/>
      <c r="H2592" s="83"/>
      <c r="K2592" s="82"/>
      <c r="M2592" s="112"/>
      <c r="N2592" s="84"/>
    </row>
    <row r="2593" spans="1:14" s="2" customFormat="1">
      <c r="A2593" s="83"/>
      <c r="H2593" s="83"/>
      <c r="K2593" s="82"/>
      <c r="M2593" s="112"/>
      <c r="N2593" s="84"/>
    </row>
    <row r="2594" spans="1:14" s="2" customFormat="1">
      <c r="A2594" s="83"/>
      <c r="H2594" s="83"/>
      <c r="K2594" s="82"/>
      <c r="M2594" s="112"/>
      <c r="N2594" s="84"/>
    </row>
    <row r="2595" spans="1:14" s="2" customFormat="1">
      <c r="A2595" s="83"/>
      <c r="H2595" s="83"/>
      <c r="K2595" s="82"/>
      <c r="M2595" s="112"/>
      <c r="N2595" s="84"/>
    </row>
    <row r="2596" spans="1:14" s="2" customFormat="1">
      <c r="A2596" s="83"/>
      <c r="H2596" s="83"/>
      <c r="K2596" s="82"/>
      <c r="M2596" s="112"/>
      <c r="N2596" s="84"/>
    </row>
    <row r="2597" spans="1:14" s="2" customFormat="1">
      <c r="A2597" s="83"/>
      <c r="H2597" s="83"/>
      <c r="K2597" s="82"/>
      <c r="M2597" s="112"/>
      <c r="N2597" s="84"/>
    </row>
    <row r="2598" spans="1:14" s="2" customFormat="1">
      <c r="A2598" s="83"/>
      <c r="H2598" s="83"/>
      <c r="K2598" s="82"/>
      <c r="M2598" s="112"/>
      <c r="N2598" s="84"/>
    </row>
    <row r="2599" spans="1:14" s="2" customFormat="1">
      <c r="A2599" s="83"/>
      <c r="H2599" s="83"/>
      <c r="K2599" s="82"/>
      <c r="M2599" s="112"/>
      <c r="N2599" s="84"/>
    </row>
    <row r="2600" spans="1:14" s="2" customFormat="1">
      <c r="A2600" s="83"/>
      <c r="H2600" s="83"/>
      <c r="K2600" s="82"/>
      <c r="M2600" s="112"/>
      <c r="N2600" s="84"/>
    </row>
    <row r="2601" spans="1:14" s="2" customFormat="1">
      <c r="A2601" s="83"/>
      <c r="H2601" s="83"/>
      <c r="K2601" s="82"/>
      <c r="M2601" s="112"/>
      <c r="N2601" s="84"/>
    </row>
    <row r="2602" spans="1:14" s="2" customFormat="1">
      <c r="A2602" s="83"/>
      <c r="H2602" s="83"/>
      <c r="K2602" s="82"/>
      <c r="M2602" s="112"/>
      <c r="N2602" s="84"/>
    </row>
    <row r="2603" spans="1:14" s="2" customFormat="1">
      <c r="A2603" s="83"/>
      <c r="H2603" s="83"/>
      <c r="K2603" s="82"/>
      <c r="M2603" s="112"/>
      <c r="N2603" s="84"/>
    </row>
    <row r="2604" spans="1:14" s="2" customFormat="1">
      <c r="A2604" s="83"/>
      <c r="H2604" s="83"/>
      <c r="K2604" s="82"/>
      <c r="M2604" s="112"/>
      <c r="N2604" s="84"/>
    </row>
    <row r="2605" spans="1:14" s="2" customFormat="1">
      <c r="A2605" s="83"/>
      <c r="H2605" s="83"/>
      <c r="K2605" s="82"/>
      <c r="M2605" s="112"/>
      <c r="N2605" s="84"/>
    </row>
    <row r="2606" spans="1:14" s="2" customFormat="1">
      <c r="A2606" s="83"/>
      <c r="H2606" s="83"/>
      <c r="K2606" s="82"/>
      <c r="M2606" s="112"/>
      <c r="N2606" s="84"/>
    </row>
    <row r="2607" spans="1:14" s="2" customFormat="1">
      <c r="A2607" s="83"/>
      <c r="H2607" s="83"/>
      <c r="K2607" s="82"/>
      <c r="M2607" s="112"/>
      <c r="N2607" s="84"/>
    </row>
    <row r="2608" spans="1:14" s="2" customFormat="1">
      <c r="A2608" s="83"/>
      <c r="H2608" s="83"/>
      <c r="K2608" s="82"/>
      <c r="M2608" s="112"/>
      <c r="N2608" s="84"/>
    </row>
    <row r="2609" spans="1:14" s="2" customFormat="1">
      <c r="A2609" s="83"/>
      <c r="H2609" s="83"/>
      <c r="K2609" s="82"/>
      <c r="M2609" s="112"/>
      <c r="N2609" s="84"/>
    </row>
    <row r="2610" spans="1:14" s="2" customFormat="1">
      <c r="A2610" s="83"/>
      <c r="H2610" s="83"/>
      <c r="K2610" s="82"/>
      <c r="M2610" s="112"/>
      <c r="N2610" s="84"/>
    </row>
    <row r="2611" spans="1:14" s="2" customFormat="1">
      <c r="A2611" s="83"/>
      <c r="H2611" s="83"/>
      <c r="K2611" s="82"/>
      <c r="M2611" s="112"/>
      <c r="N2611" s="84"/>
    </row>
    <row r="2612" spans="1:14" s="2" customFormat="1">
      <c r="A2612" s="83"/>
      <c r="H2612" s="83"/>
      <c r="K2612" s="82"/>
      <c r="M2612" s="112"/>
      <c r="N2612" s="84"/>
    </row>
    <row r="2613" spans="1:14" s="2" customFormat="1">
      <c r="A2613" s="83"/>
      <c r="H2613" s="83"/>
      <c r="K2613" s="82"/>
      <c r="M2613" s="112"/>
      <c r="N2613" s="84"/>
    </row>
    <row r="2614" spans="1:14" s="2" customFormat="1">
      <c r="A2614" s="83"/>
      <c r="H2614" s="83"/>
      <c r="K2614" s="82"/>
      <c r="M2614" s="112"/>
      <c r="N2614" s="84"/>
    </row>
    <row r="2615" spans="1:14" s="2" customFormat="1">
      <c r="A2615" s="83"/>
      <c r="H2615" s="83"/>
      <c r="K2615" s="82"/>
      <c r="M2615" s="112"/>
      <c r="N2615" s="84"/>
    </row>
    <row r="2616" spans="1:14" s="2" customFormat="1">
      <c r="A2616" s="83"/>
      <c r="H2616" s="83"/>
      <c r="K2616" s="82"/>
      <c r="M2616" s="112"/>
      <c r="N2616" s="84"/>
    </row>
    <row r="2617" spans="1:14" s="2" customFormat="1">
      <c r="A2617" s="83"/>
      <c r="H2617" s="83"/>
      <c r="K2617" s="82"/>
      <c r="M2617" s="112"/>
      <c r="N2617" s="84"/>
    </row>
    <row r="2618" spans="1:14" s="2" customFormat="1">
      <c r="A2618" s="83"/>
      <c r="H2618" s="83"/>
      <c r="K2618" s="82"/>
      <c r="M2618" s="112"/>
      <c r="N2618" s="84"/>
    </row>
    <row r="2619" spans="1:14" s="2" customFormat="1">
      <c r="A2619" s="83"/>
      <c r="H2619" s="83"/>
      <c r="K2619" s="82"/>
      <c r="M2619" s="112"/>
      <c r="N2619" s="84"/>
    </row>
    <row r="2620" spans="1:14" s="2" customFormat="1">
      <c r="A2620" s="83"/>
      <c r="H2620" s="83"/>
      <c r="K2620" s="82"/>
      <c r="M2620" s="112"/>
      <c r="N2620" s="84"/>
    </row>
    <row r="2621" spans="1:14" s="2" customFormat="1">
      <c r="A2621" s="83"/>
      <c r="H2621" s="83"/>
      <c r="K2621" s="82"/>
      <c r="M2621" s="112"/>
      <c r="N2621" s="84"/>
    </row>
    <row r="2622" spans="1:14" s="2" customFormat="1">
      <c r="A2622" s="83"/>
      <c r="H2622" s="83"/>
      <c r="K2622" s="82"/>
      <c r="M2622" s="112"/>
      <c r="N2622" s="84"/>
    </row>
    <row r="2623" spans="1:14" s="2" customFormat="1">
      <c r="A2623" s="83"/>
      <c r="H2623" s="83"/>
      <c r="K2623" s="82"/>
      <c r="M2623" s="112"/>
      <c r="N2623" s="84"/>
    </row>
    <row r="2624" spans="1:14" s="2" customFormat="1">
      <c r="A2624" s="83"/>
      <c r="H2624" s="83"/>
      <c r="K2624" s="82"/>
      <c r="M2624" s="112"/>
      <c r="N2624" s="84"/>
    </row>
    <row r="2625" spans="1:14" s="2" customFormat="1">
      <c r="A2625" s="83"/>
      <c r="H2625" s="83"/>
      <c r="K2625" s="82"/>
      <c r="M2625" s="112"/>
      <c r="N2625" s="84"/>
    </row>
    <row r="2626" spans="1:14" s="2" customFormat="1">
      <c r="A2626" s="83"/>
      <c r="H2626" s="83"/>
      <c r="K2626" s="82"/>
      <c r="M2626" s="112"/>
      <c r="N2626" s="84"/>
    </row>
    <row r="2627" spans="1:14" s="2" customFormat="1">
      <c r="A2627" s="83"/>
      <c r="H2627" s="83"/>
      <c r="K2627" s="82"/>
      <c r="M2627" s="112"/>
      <c r="N2627" s="84"/>
    </row>
    <row r="2628" spans="1:14" s="2" customFormat="1">
      <c r="A2628" s="83"/>
      <c r="H2628" s="83"/>
      <c r="K2628" s="82"/>
      <c r="M2628" s="112"/>
      <c r="N2628" s="84"/>
    </row>
    <row r="2629" spans="1:14" s="2" customFormat="1">
      <c r="A2629" s="83"/>
      <c r="H2629" s="83"/>
      <c r="K2629" s="82"/>
      <c r="M2629" s="112"/>
      <c r="N2629" s="84"/>
    </row>
    <row r="2630" spans="1:14" s="2" customFormat="1">
      <c r="A2630" s="83"/>
      <c r="H2630" s="83"/>
      <c r="K2630" s="82"/>
      <c r="M2630" s="112"/>
      <c r="N2630" s="84"/>
    </row>
    <row r="2631" spans="1:14" s="2" customFormat="1">
      <c r="A2631" s="83"/>
      <c r="H2631" s="83"/>
      <c r="K2631" s="82"/>
      <c r="M2631" s="112"/>
      <c r="N2631" s="84"/>
    </row>
    <row r="2632" spans="1:14" s="2" customFormat="1">
      <c r="A2632" s="83"/>
      <c r="H2632" s="83"/>
      <c r="K2632" s="82"/>
      <c r="M2632" s="112"/>
      <c r="N2632" s="84"/>
    </row>
    <row r="2633" spans="1:14" s="2" customFormat="1">
      <c r="A2633" s="83"/>
      <c r="H2633" s="83"/>
      <c r="K2633" s="82"/>
      <c r="M2633" s="112"/>
      <c r="N2633" s="84"/>
    </row>
    <row r="2634" spans="1:14" s="2" customFormat="1">
      <c r="A2634" s="83"/>
      <c r="H2634" s="83"/>
      <c r="K2634" s="82"/>
      <c r="M2634" s="112"/>
      <c r="N2634" s="84"/>
    </row>
    <row r="2635" spans="1:14" s="2" customFormat="1">
      <c r="A2635" s="83"/>
      <c r="H2635" s="83"/>
      <c r="K2635" s="82"/>
      <c r="M2635" s="112"/>
      <c r="N2635" s="84"/>
    </row>
    <row r="2636" spans="1:14" s="2" customFormat="1">
      <c r="A2636" s="83"/>
      <c r="H2636" s="83"/>
      <c r="K2636" s="82"/>
      <c r="M2636" s="112"/>
      <c r="N2636" s="84"/>
    </row>
    <row r="2637" spans="1:14" s="2" customFormat="1">
      <c r="A2637" s="83"/>
      <c r="H2637" s="83"/>
      <c r="K2637" s="82"/>
      <c r="M2637" s="112"/>
      <c r="N2637" s="84"/>
    </row>
    <row r="2638" spans="1:14" s="2" customFormat="1">
      <c r="A2638" s="83"/>
      <c r="H2638" s="83"/>
      <c r="K2638" s="82"/>
      <c r="M2638" s="112"/>
      <c r="N2638" s="84"/>
    </row>
    <row r="2639" spans="1:14" s="2" customFormat="1">
      <c r="A2639" s="83"/>
      <c r="H2639" s="83"/>
      <c r="K2639" s="82"/>
      <c r="M2639" s="112"/>
      <c r="N2639" s="84"/>
    </row>
    <row r="2640" spans="1:14" s="2" customFormat="1">
      <c r="A2640" s="83"/>
      <c r="H2640" s="83"/>
      <c r="K2640" s="82"/>
      <c r="M2640" s="112"/>
      <c r="N2640" s="84"/>
    </row>
    <row r="2641" spans="1:14" s="2" customFormat="1">
      <c r="A2641" s="83"/>
      <c r="H2641" s="83"/>
      <c r="K2641" s="82"/>
      <c r="M2641" s="112"/>
      <c r="N2641" s="84"/>
    </row>
    <row r="2642" spans="1:14" s="2" customFormat="1">
      <c r="A2642" s="83"/>
      <c r="H2642" s="83"/>
      <c r="K2642" s="82"/>
      <c r="M2642" s="112"/>
      <c r="N2642" s="84"/>
    </row>
    <row r="2643" spans="1:14" s="2" customFormat="1">
      <c r="A2643" s="83"/>
      <c r="H2643" s="83"/>
      <c r="K2643" s="82"/>
      <c r="M2643" s="112"/>
      <c r="N2643" s="84"/>
    </row>
    <row r="2644" spans="1:14" s="2" customFormat="1">
      <c r="A2644" s="83"/>
      <c r="H2644" s="83"/>
      <c r="K2644" s="82"/>
      <c r="M2644" s="112"/>
      <c r="N2644" s="84"/>
    </row>
    <row r="2645" spans="1:14" s="2" customFormat="1">
      <c r="A2645" s="83"/>
      <c r="H2645" s="83"/>
      <c r="K2645" s="82"/>
      <c r="M2645" s="112"/>
      <c r="N2645" s="84"/>
    </row>
    <row r="2646" spans="1:14" s="2" customFormat="1">
      <c r="A2646" s="83"/>
      <c r="H2646" s="83"/>
      <c r="K2646" s="82"/>
      <c r="M2646" s="112"/>
      <c r="N2646" s="84"/>
    </row>
    <row r="2647" spans="1:14" s="2" customFormat="1">
      <c r="A2647" s="83"/>
      <c r="H2647" s="83"/>
      <c r="K2647" s="82"/>
      <c r="M2647" s="112"/>
      <c r="N2647" s="84"/>
    </row>
    <row r="2648" spans="1:14" s="2" customFormat="1">
      <c r="A2648" s="83"/>
      <c r="H2648" s="83"/>
      <c r="K2648" s="82"/>
      <c r="M2648" s="112"/>
      <c r="N2648" s="84"/>
    </row>
    <row r="2649" spans="1:14" s="2" customFormat="1">
      <c r="A2649" s="83"/>
      <c r="H2649" s="83"/>
      <c r="K2649" s="82"/>
      <c r="M2649" s="112"/>
      <c r="N2649" s="84"/>
    </row>
    <row r="2650" spans="1:14" s="2" customFormat="1">
      <c r="A2650" s="83"/>
      <c r="H2650" s="83"/>
      <c r="K2650" s="82"/>
      <c r="M2650" s="112"/>
      <c r="N2650" s="84"/>
    </row>
    <row r="2651" spans="1:14" s="2" customFormat="1">
      <c r="A2651" s="83"/>
      <c r="H2651" s="83"/>
      <c r="K2651" s="82"/>
      <c r="M2651" s="112"/>
      <c r="N2651" s="84"/>
    </row>
    <row r="2652" spans="1:14" s="2" customFormat="1">
      <c r="A2652" s="83"/>
      <c r="H2652" s="83"/>
      <c r="K2652" s="82"/>
      <c r="M2652" s="112"/>
      <c r="N2652" s="84"/>
    </row>
    <row r="2653" spans="1:14" s="2" customFormat="1">
      <c r="A2653" s="83"/>
      <c r="H2653" s="83"/>
      <c r="K2653" s="82"/>
      <c r="M2653" s="112"/>
      <c r="N2653" s="84"/>
    </row>
    <row r="2654" spans="1:14" s="2" customFormat="1">
      <c r="A2654" s="83"/>
      <c r="H2654" s="83"/>
      <c r="K2654" s="82"/>
      <c r="M2654" s="112"/>
      <c r="N2654" s="84"/>
    </row>
    <row r="2655" spans="1:14" s="2" customFormat="1">
      <c r="A2655" s="83"/>
      <c r="H2655" s="83"/>
      <c r="K2655" s="82"/>
      <c r="M2655" s="112"/>
      <c r="N2655" s="84"/>
    </row>
    <row r="2656" spans="1:14" s="2" customFormat="1">
      <c r="A2656" s="83"/>
      <c r="H2656" s="83"/>
      <c r="K2656" s="82"/>
      <c r="M2656" s="112"/>
      <c r="N2656" s="84"/>
    </row>
    <row r="2657" spans="1:14" s="2" customFormat="1">
      <c r="A2657" s="83"/>
      <c r="H2657" s="83"/>
      <c r="K2657" s="82"/>
      <c r="M2657" s="112"/>
      <c r="N2657" s="84"/>
    </row>
    <row r="2658" spans="1:14" s="2" customFormat="1">
      <c r="A2658" s="83"/>
      <c r="H2658" s="83"/>
      <c r="K2658" s="82"/>
      <c r="M2658" s="112"/>
      <c r="N2658" s="84"/>
    </row>
    <row r="2659" spans="1:14" s="2" customFormat="1">
      <c r="A2659" s="83"/>
      <c r="H2659" s="83"/>
      <c r="K2659" s="82"/>
      <c r="M2659" s="112"/>
      <c r="N2659" s="84"/>
    </row>
    <row r="2660" spans="1:14" s="2" customFormat="1">
      <c r="A2660" s="83"/>
      <c r="H2660" s="83"/>
      <c r="K2660" s="82"/>
      <c r="M2660" s="112"/>
      <c r="N2660" s="84"/>
    </row>
    <row r="2661" spans="1:14" s="2" customFormat="1">
      <c r="A2661" s="83"/>
      <c r="H2661" s="83"/>
      <c r="K2661" s="82"/>
      <c r="M2661" s="112"/>
      <c r="N2661" s="84"/>
    </row>
    <row r="2662" spans="1:14" s="2" customFormat="1">
      <c r="A2662" s="83"/>
      <c r="H2662" s="83"/>
      <c r="K2662" s="82"/>
      <c r="M2662" s="112"/>
      <c r="N2662" s="84"/>
    </row>
    <row r="2663" spans="1:14" s="2" customFormat="1">
      <c r="A2663" s="83"/>
      <c r="H2663" s="83"/>
      <c r="K2663" s="82"/>
      <c r="M2663" s="112"/>
      <c r="N2663" s="84"/>
    </row>
    <row r="2664" spans="1:14" s="2" customFormat="1">
      <c r="A2664" s="83"/>
      <c r="H2664" s="83"/>
      <c r="K2664" s="82"/>
      <c r="M2664" s="112"/>
      <c r="N2664" s="84"/>
    </row>
    <row r="2665" spans="1:14" s="2" customFormat="1">
      <c r="A2665" s="83"/>
      <c r="H2665" s="83"/>
      <c r="K2665" s="82"/>
      <c r="M2665" s="112"/>
      <c r="N2665" s="84"/>
    </row>
    <row r="2666" spans="1:14" s="2" customFormat="1">
      <c r="A2666" s="83"/>
      <c r="H2666" s="83"/>
      <c r="K2666" s="82"/>
      <c r="M2666" s="112"/>
      <c r="N2666" s="84"/>
    </row>
    <row r="2667" spans="1:14" s="2" customFormat="1">
      <c r="A2667" s="83"/>
      <c r="H2667" s="83"/>
      <c r="K2667" s="82"/>
      <c r="M2667" s="112"/>
      <c r="N2667" s="84"/>
    </row>
    <row r="2668" spans="1:14" s="2" customFormat="1">
      <c r="A2668" s="83"/>
      <c r="H2668" s="83"/>
      <c r="K2668" s="82"/>
      <c r="M2668" s="112"/>
      <c r="N2668" s="84"/>
    </row>
    <row r="2669" spans="1:14" s="2" customFormat="1">
      <c r="A2669" s="83"/>
      <c r="H2669" s="83"/>
      <c r="K2669" s="82"/>
      <c r="M2669" s="112"/>
      <c r="N2669" s="84"/>
    </row>
    <row r="2670" spans="1:14" s="2" customFormat="1">
      <c r="A2670" s="83"/>
      <c r="H2670" s="83"/>
      <c r="K2670" s="82"/>
      <c r="M2670" s="112"/>
      <c r="N2670" s="84"/>
    </row>
    <row r="2671" spans="1:14" s="2" customFormat="1">
      <c r="A2671" s="83"/>
      <c r="H2671" s="83"/>
      <c r="K2671" s="82"/>
      <c r="M2671" s="112"/>
      <c r="N2671" s="84"/>
    </row>
    <row r="2672" spans="1:14" s="2" customFormat="1">
      <c r="A2672" s="83"/>
      <c r="H2672" s="83"/>
      <c r="K2672" s="82"/>
      <c r="M2672" s="112"/>
      <c r="N2672" s="84"/>
    </row>
    <row r="2673" spans="1:14" s="2" customFormat="1">
      <c r="A2673" s="83"/>
      <c r="H2673" s="83"/>
      <c r="K2673" s="82"/>
      <c r="M2673" s="112"/>
      <c r="N2673" s="84"/>
    </row>
    <row r="2674" spans="1:14" s="2" customFormat="1">
      <c r="A2674" s="83"/>
      <c r="H2674" s="83"/>
      <c r="K2674" s="82"/>
      <c r="M2674" s="112"/>
      <c r="N2674" s="84"/>
    </row>
    <row r="2675" spans="1:14" s="2" customFormat="1">
      <c r="A2675" s="83"/>
      <c r="H2675" s="83"/>
      <c r="K2675" s="82"/>
      <c r="M2675" s="112"/>
      <c r="N2675" s="84"/>
    </row>
    <row r="2676" spans="1:14" s="2" customFormat="1">
      <c r="A2676" s="83"/>
      <c r="H2676" s="83"/>
      <c r="K2676" s="82"/>
      <c r="M2676" s="112"/>
      <c r="N2676" s="84"/>
    </row>
    <row r="2677" spans="1:14" s="2" customFormat="1">
      <c r="A2677" s="83"/>
      <c r="H2677" s="83"/>
      <c r="K2677" s="82"/>
      <c r="M2677" s="112"/>
      <c r="N2677" s="84"/>
    </row>
    <row r="2678" spans="1:14" s="2" customFormat="1">
      <c r="A2678" s="83"/>
      <c r="H2678" s="83"/>
      <c r="K2678" s="82"/>
      <c r="M2678" s="112"/>
      <c r="N2678" s="84"/>
    </row>
    <row r="2679" spans="1:14" s="2" customFormat="1">
      <c r="A2679" s="83"/>
      <c r="H2679" s="83"/>
      <c r="K2679" s="82"/>
      <c r="M2679" s="112"/>
      <c r="N2679" s="84"/>
    </row>
    <row r="2680" spans="1:14" s="2" customFormat="1">
      <c r="A2680" s="83"/>
      <c r="H2680" s="83"/>
      <c r="K2680" s="82"/>
      <c r="M2680" s="112"/>
      <c r="N2680" s="84"/>
    </row>
    <row r="2681" spans="1:14" s="2" customFormat="1">
      <c r="A2681" s="83"/>
      <c r="H2681" s="83"/>
      <c r="K2681" s="82"/>
      <c r="M2681" s="112"/>
      <c r="N2681" s="84"/>
    </row>
    <row r="2682" spans="1:14" s="2" customFormat="1">
      <c r="A2682" s="83"/>
      <c r="H2682" s="83"/>
      <c r="K2682" s="82"/>
      <c r="M2682" s="112"/>
      <c r="N2682" s="84"/>
    </row>
    <row r="2683" spans="1:14" s="2" customFormat="1">
      <c r="A2683" s="83"/>
      <c r="H2683" s="83"/>
      <c r="K2683" s="82"/>
      <c r="M2683" s="112"/>
      <c r="N2683" s="84"/>
    </row>
    <row r="2684" spans="1:14" s="2" customFormat="1">
      <c r="A2684" s="83"/>
      <c r="H2684" s="83"/>
      <c r="K2684" s="82"/>
      <c r="M2684" s="112"/>
      <c r="N2684" s="84"/>
    </row>
    <row r="2685" spans="1:14" s="2" customFormat="1">
      <c r="A2685" s="83"/>
      <c r="H2685" s="83"/>
      <c r="K2685" s="82"/>
      <c r="M2685" s="112"/>
      <c r="N2685" s="84"/>
    </row>
    <row r="2686" spans="1:14" s="2" customFormat="1">
      <c r="A2686" s="83"/>
      <c r="H2686" s="83"/>
      <c r="K2686" s="82"/>
      <c r="M2686" s="112"/>
      <c r="N2686" s="84"/>
    </row>
    <row r="2687" spans="1:14" s="2" customFormat="1">
      <c r="A2687" s="83"/>
      <c r="H2687" s="83"/>
      <c r="K2687" s="82"/>
      <c r="M2687" s="112"/>
      <c r="N2687" s="84"/>
    </row>
    <row r="2688" spans="1:14" s="2" customFormat="1">
      <c r="A2688" s="83"/>
      <c r="H2688" s="83"/>
      <c r="K2688" s="82"/>
      <c r="M2688" s="112"/>
      <c r="N2688" s="84"/>
    </row>
    <row r="2689" spans="1:14" s="2" customFormat="1">
      <c r="A2689" s="83"/>
      <c r="H2689" s="83"/>
      <c r="K2689" s="82"/>
      <c r="M2689" s="112"/>
      <c r="N2689" s="84"/>
    </row>
    <row r="2690" spans="1:14" s="2" customFormat="1">
      <c r="A2690" s="83"/>
      <c r="H2690" s="83"/>
      <c r="K2690" s="82"/>
      <c r="M2690" s="112"/>
      <c r="N2690" s="84"/>
    </row>
    <row r="2691" spans="1:14" s="2" customFormat="1">
      <c r="A2691" s="83"/>
      <c r="H2691" s="83"/>
      <c r="K2691" s="82"/>
      <c r="M2691" s="112"/>
      <c r="N2691" s="84"/>
    </row>
    <row r="2692" spans="1:14" s="2" customFormat="1">
      <c r="A2692" s="83"/>
      <c r="H2692" s="83"/>
      <c r="K2692" s="82"/>
      <c r="M2692" s="112"/>
      <c r="N2692" s="84"/>
    </row>
    <row r="2693" spans="1:14" s="2" customFormat="1">
      <c r="A2693" s="83"/>
      <c r="H2693" s="83"/>
      <c r="K2693" s="82"/>
      <c r="M2693" s="112"/>
      <c r="N2693" s="84"/>
    </row>
    <row r="2694" spans="1:14" s="2" customFormat="1">
      <c r="A2694" s="83"/>
      <c r="H2694" s="83"/>
      <c r="K2694" s="82"/>
      <c r="M2694" s="112"/>
      <c r="N2694" s="84"/>
    </row>
    <row r="2695" spans="1:14" s="2" customFormat="1">
      <c r="A2695" s="83"/>
      <c r="H2695" s="83"/>
      <c r="K2695" s="82"/>
      <c r="M2695" s="112"/>
      <c r="N2695" s="84"/>
    </row>
    <row r="2696" spans="1:14" s="2" customFormat="1">
      <c r="A2696" s="83"/>
      <c r="H2696" s="83"/>
      <c r="K2696" s="82"/>
      <c r="M2696" s="112"/>
      <c r="N2696" s="84"/>
    </row>
    <row r="2697" spans="1:14" s="2" customFormat="1">
      <c r="A2697" s="83"/>
      <c r="H2697" s="83"/>
      <c r="K2697" s="82"/>
      <c r="M2697" s="112"/>
      <c r="N2697" s="84"/>
    </row>
    <row r="2698" spans="1:14" s="2" customFormat="1">
      <c r="A2698" s="83"/>
      <c r="H2698" s="83"/>
      <c r="K2698" s="82"/>
      <c r="M2698" s="112"/>
      <c r="N2698" s="84"/>
    </row>
    <row r="2699" spans="1:14" s="2" customFormat="1">
      <c r="A2699" s="83"/>
      <c r="H2699" s="83"/>
      <c r="K2699" s="82"/>
      <c r="M2699" s="112"/>
      <c r="N2699" s="84"/>
    </row>
    <row r="2700" spans="1:14" s="2" customFormat="1">
      <c r="A2700" s="83"/>
      <c r="H2700" s="83"/>
      <c r="K2700" s="82"/>
      <c r="M2700" s="112"/>
      <c r="N2700" s="84"/>
    </row>
    <row r="2701" spans="1:14" s="2" customFormat="1">
      <c r="A2701" s="83"/>
      <c r="H2701" s="83"/>
      <c r="K2701" s="82"/>
      <c r="M2701" s="112"/>
      <c r="N2701" s="84"/>
    </row>
    <row r="2702" spans="1:14" s="2" customFormat="1">
      <c r="A2702" s="83"/>
      <c r="H2702" s="83"/>
      <c r="K2702" s="82"/>
      <c r="M2702" s="112"/>
      <c r="N2702" s="84"/>
    </row>
    <row r="2703" spans="1:14" s="2" customFormat="1">
      <c r="A2703" s="83"/>
      <c r="H2703" s="83"/>
      <c r="K2703" s="82"/>
      <c r="M2703" s="112"/>
      <c r="N2703" s="84"/>
    </row>
    <row r="2704" spans="1:14" s="2" customFormat="1">
      <c r="A2704" s="83"/>
      <c r="H2704" s="83"/>
      <c r="K2704" s="82"/>
      <c r="M2704" s="112"/>
      <c r="N2704" s="84"/>
    </row>
    <row r="2705" spans="1:14" s="2" customFormat="1">
      <c r="A2705" s="83"/>
      <c r="H2705" s="83"/>
      <c r="K2705" s="82"/>
      <c r="M2705" s="112"/>
      <c r="N2705" s="84"/>
    </row>
    <row r="2706" spans="1:14" s="2" customFormat="1">
      <c r="A2706" s="83"/>
      <c r="H2706" s="83"/>
      <c r="K2706" s="82"/>
      <c r="M2706" s="112"/>
      <c r="N2706" s="84"/>
    </row>
    <row r="2707" spans="1:14" s="2" customFormat="1">
      <c r="A2707" s="83"/>
      <c r="H2707" s="83"/>
      <c r="K2707" s="82"/>
      <c r="M2707" s="112"/>
      <c r="N2707" s="84"/>
    </row>
    <row r="2708" spans="1:14" s="2" customFormat="1">
      <c r="A2708" s="83"/>
      <c r="H2708" s="83"/>
      <c r="K2708" s="82"/>
      <c r="M2708" s="112"/>
      <c r="N2708" s="84"/>
    </row>
    <row r="2709" spans="1:14" s="2" customFormat="1">
      <c r="A2709" s="83"/>
      <c r="H2709" s="83"/>
      <c r="K2709" s="82"/>
      <c r="M2709" s="112"/>
      <c r="N2709" s="84"/>
    </row>
    <row r="2710" spans="1:14" s="2" customFormat="1">
      <c r="A2710" s="83"/>
      <c r="H2710" s="83"/>
      <c r="K2710" s="82"/>
      <c r="M2710" s="112"/>
      <c r="N2710" s="84"/>
    </row>
    <row r="2711" spans="1:14" s="2" customFormat="1">
      <c r="A2711" s="83"/>
      <c r="H2711" s="83"/>
      <c r="K2711" s="82"/>
      <c r="M2711" s="112"/>
      <c r="N2711" s="84"/>
    </row>
    <row r="2712" spans="1:14" s="2" customFormat="1">
      <c r="A2712" s="83"/>
      <c r="H2712" s="83"/>
      <c r="K2712" s="82"/>
      <c r="M2712" s="112"/>
      <c r="N2712" s="84"/>
    </row>
    <row r="2713" spans="1:14" s="2" customFormat="1">
      <c r="A2713" s="83"/>
      <c r="H2713" s="83"/>
      <c r="K2713" s="82"/>
      <c r="M2713" s="112"/>
      <c r="N2713" s="84"/>
    </row>
    <row r="2714" spans="1:14" s="2" customFormat="1">
      <c r="A2714" s="83"/>
      <c r="H2714" s="83"/>
      <c r="K2714" s="82"/>
      <c r="M2714" s="112"/>
      <c r="N2714" s="84"/>
    </row>
    <row r="2715" spans="1:14" s="2" customFormat="1">
      <c r="A2715" s="83"/>
      <c r="H2715" s="83"/>
      <c r="K2715" s="82"/>
      <c r="M2715" s="112"/>
      <c r="N2715" s="84"/>
    </row>
    <row r="2716" spans="1:14" s="2" customFormat="1">
      <c r="A2716" s="83"/>
      <c r="H2716" s="83"/>
      <c r="K2716" s="82"/>
      <c r="M2716" s="112"/>
      <c r="N2716" s="84"/>
    </row>
    <row r="2717" spans="1:14" s="2" customFormat="1">
      <c r="A2717" s="83"/>
      <c r="H2717" s="83"/>
      <c r="K2717" s="82"/>
      <c r="M2717" s="112"/>
      <c r="N2717" s="84"/>
    </row>
    <row r="2718" spans="1:14" s="2" customFormat="1">
      <c r="A2718" s="83"/>
      <c r="H2718" s="83"/>
      <c r="K2718" s="82"/>
      <c r="M2718" s="112"/>
      <c r="N2718" s="84"/>
    </row>
    <row r="2719" spans="1:14" s="2" customFormat="1">
      <c r="A2719" s="83"/>
      <c r="H2719" s="83"/>
      <c r="K2719" s="82"/>
      <c r="M2719" s="112"/>
      <c r="N2719" s="84"/>
    </row>
    <row r="2720" spans="1:14" s="2" customFormat="1">
      <c r="A2720" s="83"/>
      <c r="H2720" s="83"/>
      <c r="K2720" s="82"/>
      <c r="M2720" s="112"/>
      <c r="N2720" s="84"/>
    </row>
    <row r="2721" spans="1:14" s="2" customFormat="1">
      <c r="A2721" s="83"/>
      <c r="H2721" s="83"/>
      <c r="K2721" s="82"/>
      <c r="M2721" s="112"/>
      <c r="N2721" s="84"/>
    </row>
    <row r="2722" spans="1:14" s="2" customFormat="1">
      <c r="A2722" s="83"/>
      <c r="H2722" s="83"/>
      <c r="K2722" s="82"/>
      <c r="M2722" s="112"/>
      <c r="N2722" s="84"/>
    </row>
    <row r="2723" spans="1:14" s="2" customFormat="1">
      <c r="A2723" s="83"/>
      <c r="H2723" s="83"/>
      <c r="K2723" s="82"/>
      <c r="M2723" s="112"/>
      <c r="N2723" s="84"/>
    </row>
    <row r="2724" spans="1:14" s="2" customFormat="1">
      <c r="A2724" s="83"/>
      <c r="H2724" s="83"/>
      <c r="K2724" s="82"/>
      <c r="M2724" s="112"/>
      <c r="N2724" s="84"/>
    </row>
    <row r="2725" spans="1:14" s="2" customFormat="1">
      <c r="A2725" s="83"/>
      <c r="H2725" s="83"/>
      <c r="K2725" s="82"/>
      <c r="M2725" s="112"/>
      <c r="N2725" s="84"/>
    </row>
    <row r="2726" spans="1:14" s="2" customFormat="1">
      <c r="A2726" s="83"/>
      <c r="H2726" s="83"/>
      <c r="K2726" s="82"/>
      <c r="M2726" s="112"/>
      <c r="N2726" s="84"/>
    </row>
    <row r="2727" spans="1:14" s="2" customFormat="1">
      <c r="A2727" s="83"/>
      <c r="H2727" s="83"/>
      <c r="K2727" s="82"/>
      <c r="M2727" s="112"/>
      <c r="N2727" s="84"/>
    </row>
    <row r="2728" spans="1:14" s="2" customFormat="1">
      <c r="A2728" s="83"/>
      <c r="H2728" s="83"/>
      <c r="K2728" s="82"/>
      <c r="M2728" s="112"/>
      <c r="N2728" s="84"/>
    </row>
    <row r="2729" spans="1:14" s="2" customFormat="1">
      <c r="A2729" s="83"/>
      <c r="H2729" s="83"/>
      <c r="K2729" s="82"/>
      <c r="M2729" s="112"/>
      <c r="N2729" s="84"/>
    </row>
    <row r="2730" spans="1:14" s="2" customFormat="1">
      <c r="A2730" s="83"/>
      <c r="H2730" s="83"/>
      <c r="K2730" s="82"/>
      <c r="M2730" s="112"/>
      <c r="N2730" s="84"/>
    </row>
    <row r="2731" spans="1:14" s="2" customFormat="1">
      <c r="A2731" s="83"/>
      <c r="H2731" s="83"/>
      <c r="K2731" s="82"/>
      <c r="M2731" s="112"/>
      <c r="N2731" s="84"/>
    </row>
    <row r="2732" spans="1:14" s="2" customFormat="1">
      <c r="A2732" s="83"/>
      <c r="H2732" s="83"/>
      <c r="K2732" s="82"/>
      <c r="M2732" s="112"/>
      <c r="N2732" s="84"/>
    </row>
    <row r="2733" spans="1:14" s="2" customFormat="1">
      <c r="A2733" s="83"/>
      <c r="H2733" s="83"/>
      <c r="K2733" s="82"/>
      <c r="M2733" s="112"/>
      <c r="N2733" s="84"/>
    </row>
    <row r="2734" spans="1:14" s="2" customFormat="1">
      <c r="A2734" s="83"/>
      <c r="H2734" s="83"/>
      <c r="K2734" s="82"/>
      <c r="M2734" s="112"/>
      <c r="N2734" s="84"/>
    </row>
    <row r="2735" spans="1:14" s="2" customFormat="1">
      <c r="A2735" s="83"/>
      <c r="H2735" s="83"/>
      <c r="K2735" s="82"/>
      <c r="M2735" s="112"/>
      <c r="N2735" s="84"/>
    </row>
    <row r="2736" spans="1:14" s="2" customFormat="1">
      <c r="A2736" s="83"/>
      <c r="H2736" s="83"/>
      <c r="K2736" s="82"/>
      <c r="M2736" s="112"/>
      <c r="N2736" s="84"/>
    </row>
    <row r="2737" spans="1:14" s="2" customFormat="1">
      <c r="A2737" s="83"/>
      <c r="H2737" s="83"/>
      <c r="K2737" s="82"/>
      <c r="M2737" s="112"/>
      <c r="N2737" s="84"/>
    </row>
    <row r="2738" spans="1:14" s="2" customFormat="1">
      <c r="A2738" s="83"/>
      <c r="H2738" s="83"/>
      <c r="K2738" s="82"/>
      <c r="M2738" s="112"/>
      <c r="N2738" s="84"/>
    </row>
    <row r="2739" spans="1:14" s="2" customFormat="1">
      <c r="A2739" s="83"/>
      <c r="H2739" s="83"/>
      <c r="K2739" s="82"/>
      <c r="M2739" s="112"/>
      <c r="N2739" s="84"/>
    </row>
    <row r="2740" spans="1:14" s="2" customFormat="1">
      <c r="A2740" s="83"/>
      <c r="H2740" s="83"/>
      <c r="K2740" s="82"/>
      <c r="M2740" s="112"/>
      <c r="N2740" s="84"/>
    </row>
    <row r="2741" spans="1:14" s="2" customFormat="1">
      <c r="A2741" s="83"/>
      <c r="H2741" s="83"/>
      <c r="K2741" s="82"/>
      <c r="M2741" s="112"/>
      <c r="N2741" s="84"/>
    </row>
    <row r="2742" spans="1:14" s="2" customFormat="1">
      <c r="A2742" s="83"/>
      <c r="H2742" s="83"/>
      <c r="K2742" s="82"/>
      <c r="M2742" s="112"/>
      <c r="N2742" s="84"/>
    </row>
    <row r="2743" spans="1:14" s="2" customFormat="1">
      <c r="A2743" s="83"/>
      <c r="H2743" s="83"/>
      <c r="K2743" s="82"/>
      <c r="M2743" s="112"/>
      <c r="N2743" s="84"/>
    </row>
    <row r="2744" spans="1:14" s="2" customFormat="1">
      <c r="A2744" s="83"/>
      <c r="H2744" s="83"/>
      <c r="K2744" s="82"/>
      <c r="M2744" s="112"/>
      <c r="N2744" s="84"/>
    </row>
    <row r="2745" spans="1:14" s="2" customFormat="1">
      <c r="A2745" s="83"/>
      <c r="H2745" s="83"/>
      <c r="K2745" s="82"/>
      <c r="M2745" s="112"/>
      <c r="N2745" s="84"/>
    </row>
    <row r="2746" spans="1:14" s="2" customFormat="1">
      <c r="A2746" s="83"/>
      <c r="H2746" s="83"/>
      <c r="K2746" s="82"/>
      <c r="M2746" s="112"/>
      <c r="N2746" s="84"/>
    </row>
    <row r="2747" spans="1:14" s="2" customFormat="1">
      <c r="A2747" s="83"/>
      <c r="H2747" s="83"/>
      <c r="K2747" s="82"/>
      <c r="M2747" s="112"/>
      <c r="N2747" s="84"/>
    </row>
    <row r="2748" spans="1:14" s="2" customFormat="1">
      <c r="A2748" s="83"/>
      <c r="H2748" s="83"/>
      <c r="K2748" s="82"/>
      <c r="M2748" s="112"/>
      <c r="N2748" s="84"/>
    </row>
    <row r="2749" spans="1:14" s="2" customFormat="1">
      <c r="A2749" s="83"/>
      <c r="H2749" s="83"/>
      <c r="K2749" s="82"/>
      <c r="M2749" s="112"/>
      <c r="N2749" s="84"/>
    </row>
    <row r="2750" spans="1:14" s="2" customFormat="1">
      <c r="A2750" s="83"/>
      <c r="H2750" s="83"/>
      <c r="K2750" s="82"/>
      <c r="M2750" s="112"/>
      <c r="N2750" s="84"/>
    </row>
    <row r="2751" spans="1:14" s="2" customFormat="1">
      <c r="A2751" s="83"/>
      <c r="H2751" s="83"/>
      <c r="K2751" s="82"/>
      <c r="M2751" s="112"/>
      <c r="N2751" s="84"/>
    </row>
    <row r="2752" spans="1:14" s="2" customFormat="1">
      <c r="A2752" s="83"/>
      <c r="H2752" s="83"/>
      <c r="K2752" s="82"/>
      <c r="M2752" s="112"/>
      <c r="N2752" s="84"/>
    </row>
    <row r="2753" spans="1:14" s="2" customFormat="1">
      <c r="A2753" s="83"/>
      <c r="H2753" s="83"/>
      <c r="K2753" s="82"/>
      <c r="M2753" s="112"/>
      <c r="N2753" s="84"/>
    </row>
    <row r="2754" spans="1:14" s="2" customFormat="1">
      <c r="A2754" s="83"/>
      <c r="H2754" s="83"/>
      <c r="K2754" s="82"/>
      <c r="M2754" s="112"/>
      <c r="N2754" s="84"/>
    </row>
    <row r="2755" spans="1:14" s="2" customFormat="1">
      <c r="A2755" s="83"/>
      <c r="H2755" s="83"/>
      <c r="K2755" s="82"/>
      <c r="M2755" s="112"/>
      <c r="N2755" s="84"/>
    </row>
    <row r="2756" spans="1:14" s="2" customFormat="1">
      <c r="A2756" s="83"/>
      <c r="H2756" s="83"/>
      <c r="K2756" s="82"/>
      <c r="M2756" s="112"/>
      <c r="N2756" s="84"/>
    </row>
    <row r="2757" spans="1:14" s="2" customFormat="1">
      <c r="A2757" s="83"/>
      <c r="H2757" s="83"/>
      <c r="K2757" s="82"/>
      <c r="M2757" s="112"/>
      <c r="N2757" s="84"/>
    </row>
    <row r="2758" spans="1:14" s="2" customFormat="1">
      <c r="A2758" s="83"/>
      <c r="H2758" s="83"/>
      <c r="K2758" s="82"/>
      <c r="M2758" s="112"/>
      <c r="N2758" s="84"/>
    </row>
    <row r="2759" spans="1:14" s="2" customFormat="1">
      <c r="A2759" s="83"/>
      <c r="H2759" s="83"/>
      <c r="K2759" s="82"/>
      <c r="M2759" s="112"/>
      <c r="N2759" s="84"/>
    </row>
    <row r="2760" spans="1:14" s="2" customFormat="1">
      <c r="A2760" s="83"/>
      <c r="H2760" s="83"/>
      <c r="K2760" s="82"/>
      <c r="M2760" s="112"/>
      <c r="N2760" s="84"/>
    </row>
    <row r="2761" spans="1:14" s="2" customFormat="1">
      <c r="A2761" s="83"/>
      <c r="H2761" s="83"/>
      <c r="K2761" s="82"/>
      <c r="M2761" s="112"/>
      <c r="N2761" s="84"/>
    </row>
    <row r="2762" spans="1:14" s="2" customFormat="1">
      <c r="A2762" s="83"/>
      <c r="H2762" s="83"/>
      <c r="K2762" s="82"/>
      <c r="M2762" s="112"/>
      <c r="N2762" s="84"/>
    </row>
    <row r="2763" spans="1:14" s="2" customFormat="1">
      <c r="A2763" s="83"/>
      <c r="H2763" s="83"/>
      <c r="K2763" s="82"/>
      <c r="M2763" s="112"/>
      <c r="N2763" s="84"/>
    </row>
    <row r="2764" spans="1:14" s="2" customFormat="1">
      <c r="A2764" s="83"/>
      <c r="H2764" s="83"/>
      <c r="K2764" s="82"/>
      <c r="M2764" s="112"/>
      <c r="N2764" s="84"/>
    </row>
    <row r="2765" spans="1:14" s="2" customFormat="1">
      <c r="A2765" s="83"/>
      <c r="H2765" s="83"/>
      <c r="K2765" s="82"/>
      <c r="M2765" s="112"/>
      <c r="N2765" s="84"/>
    </row>
    <row r="2766" spans="1:14" s="2" customFormat="1">
      <c r="A2766" s="83"/>
      <c r="H2766" s="83"/>
      <c r="K2766" s="82"/>
      <c r="M2766" s="112"/>
      <c r="N2766" s="84"/>
    </row>
    <row r="2767" spans="1:14" s="2" customFormat="1">
      <c r="A2767" s="83"/>
      <c r="H2767" s="83"/>
      <c r="K2767" s="82"/>
      <c r="M2767" s="112"/>
      <c r="N2767" s="84"/>
    </row>
    <row r="2768" spans="1:14" s="2" customFormat="1">
      <c r="A2768" s="83"/>
      <c r="H2768" s="83"/>
      <c r="K2768" s="82"/>
      <c r="M2768" s="112"/>
      <c r="N2768" s="84"/>
    </row>
    <row r="2769" spans="1:14" s="2" customFormat="1">
      <c r="A2769" s="83"/>
      <c r="H2769" s="83"/>
      <c r="K2769" s="82"/>
      <c r="M2769" s="112"/>
      <c r="N2769" s="84"/>
    </row>
    <row r="2770" spans="1:14" s="2" customFormat="1">
      <c r="A2770" s="83"/>
      <c r="H2770" s="83"/>
      <c r="K2770" s="82"/>
      <c r="M2770" s="112"/>
      <c r="N2770" s="84"/>
    </row>
    <row r="2771" spans="1:14" s="2" customFormat="1">
      <c r="A2771" s="83"/>
      <c r="H2771" s="83"/>
      <c r="K2771" s="82"/>
      <c r="M2771" s="112"/>
      <c r="N2771" s="84"/>
    </row>
    <row r="2772" spans="1:14" s="2" customFormat="1">
      <c r="A2772" s="83"/>
      <c r="H2772" s="83"/>
      <c r="K2772" s="82"/>
      <c r="M2772" s="112"/>
      <c r="N2772" s="84"/>
    </row>
    <row r="2773" spans="1:14" s="2" customFormat="1">
      <c r="A2773" s="83"/>
      <c r="H2773" s="83"/>
      <c r="K2773" s="82"/>
      <c r="M2773" s="112"/>
      <c r="N2773" s="84"/>
    </row>
    <row r="2774" spans="1:14" s="2" customFormat="1">
      <c r="A2774" s="83"/>
      <c r="H2774" s="83"/>
      <c r="K2774" s="82"/>
      <c r="M2774" s="112"/>
      <c r="N2774" s="84"/>
    </row>
    <row r="2775" spans="1:14" s="2" customFormat="1">
      <c r="A2775" s="83"/>
      <c r="H2775" s="83"/>
      <c r="K2775" s="82"/>
      <c r="M2775" s="112"/>
      <c r="N2775" s="84"/>
    </row>
    <row r="2776" spans="1:14" s="2" customFormat="1">
      <c r="A2776" s="83"/>
      <c r="H2776" s="83"/>
      <c r="K2776" s="82"/>
      <c r="M2776" s="112"/>
      <c r="N2776" s="84"/>
    </row>
    <row r="2777" spans="1:14" s="2" customFormat="1">
      <c r="A2777" s="83"/>
      <c r="H2777" s="83"/>
      <c r="K2777" s="82"/>
      <c r="M2777" s="112"/>
      <c r="N2777" s="84"/>
    </row>
    <row r="2778" spans="1:14" s="2" customFormat="1">
      <c r="A2778" s="83"/>
      <c r="H2778" s="83"/>
      <c r="K2778" s="82"/>
      <c r="M2778" s="112"/>
      <c r="N2778" s="84"/>
    </row>
    <row r="2779" spans="1:14" s="2" customFormat="1">
      <c r="A2779" s="83"/>
      <c r="H2779" s="83"/>
      <c r="K2779" s="82"/>
      <c r="M2779" s="112"/>
      <c r="N2779" s="84"/>
    </row>
    <row r="2780" spans="1:14" s="2" customFormat="1">
      <c r="A2780" s="83"/>
      <c r="H2780" s="83"/>
      <c r="K2780" s="82"/>
      <c r="M2780" s="112"/>
      <c r="N2780" s="84"/>
    </row>
    <row r="2781" spans="1:14" s="2" customFormat="1">
      <c r="A2781" s="83"/>
      <c r="H2781" s="83"/>
      <c r="K2781" s="82"/>
      <c r="M2781" s="112"/>
      <c r="N2781" s="84"/>
    </row>
    <row r="2782" spans="1:14" s="2" customFormat="1">
      <c r="A2782" s="83"/>
      <c r="H2782" s="83"/>
      <c r="K2782" s="82"/>
      <c r="M2782" s="112"/>
      <c r="N2782" s="84"/>
    </row>
    <row r="2783" spans="1:14" s="2" customFormat="1">
      <c r="A2783" s="83"/>
      <c r="H2783" s="83"/>
      <c r="K2783" s="82"/>
      <c r="M2783" s="112"/>
      <c r="N2783" s="84"/>
    </row>
    <row r="2784" spans="1:14" s="2" customFormat="1">
      <c r="A2784" s="83"/>
      <c r="H2784" s="83"/>
      <c r="K2784" s="82"/>
      <c r="M2784" s="112"/>
      <c r="N2784" s="84"/>
    </row>
    <row r="2785" spans="1:14" s="2" customFormat="1">
      <c r="A2785" s="83"/>
      <c r="H2785" s="83"/>
      <c r="K2785" s="82"/>
      <c r="M2785" s="112"/>
      <c r="N2785" s="84"/>
    </row>
    <row r="2786" spans="1:14" s="2" customFormat="1">
      <c r="A2786" s="83"/>
      <c r="H2786" s="83"/>
      <c r="K2786" s="82"/>
      <c r="M2786" s="112"/>
      <c r="N2786" s="84"/>
    </row>
    <row r="2787" spans="1:14" s="2" customFormat="1">
      <c r="A2787" s="83"/>
      <c r="H2787" s="83"/>
      <c r="K2787" s="82"/>
      <c r="M2787" s="112"/>
      <c r="N2787" s="84"/>
    </row>
    <row r="2788" spans="1:14" s="2" customFormat="1">
      <c r="A2788" s="83"/>
      <c r="H2788" s="83"/>
      <c r="K2788" s="82"/>
      <c r="M2788" s="112"/>
      <c r="N2788" s="84"/>
    </row>
    <row r="2789" spans="1:14" s="2" customFormat="1">
      <c r="A2789" s="83"/>
      <c r="H2789" s="83"/>
      <c r="K2789" s="82"/>
      <c r="M2789" s="112"/>
      <c r="N2789" s="84"/>
    </row>
    <row r="2790" spans="1:14" s="2" customFormat="1">
      <c r="A2790" s="83"/>
      <c r="H2790" s="83"/>
      <c r="K2790" s="82"/>
      <c r="M2790" s="112"/>
      <c r="N2790" s="84"/>
    </row>
    <row r="2791" spans="1:14" s="2" customFormat="1">
      <c r="A2791" s="83"/>
      <c r="H2791" s="83"/>
      <c r="K2791" s="82"/>
      <c r="M2791" s="112"/>
      <c r="N2791" s="84"/>
    </row>
    <row r="2792" spans="1:14" s="2" customFormat="1">
      <c r="A2792" s="83"/>
      <c r="H2792" s="83"/>
      <c r="K2792" s="82"/>
      <c r="M2792" s="112"/>
      <c r="N2792" s="84"/>
    </row>
    <row r="2793" spans="1:14" s="2" customFormat="1">
      <c r="A2793" s="83"/>
      <c r="H2793" s="83"/>
      <c r="K2793" s="82"/>
      <c r="M2793" s="112"/>
      <c r="N2793" s="84"/>
    </row>
    <row r="2794" spans="1:14" s="2" customFormat="1">
      <c r="A2794" s="83"/>
      <c r="H2794" s="83"/>
      <c r="K2794" s="82"/>
      <c r="M2794" s="112"/>
      <c r="N2794" s="84"/>
    </row>
    <row r="2795" spans="1:14" s="2" customFormat="1">
      <c r="A2795" s="83"/>
      <c r="H2795" s="83"/>
      <c r="K2795" s="82"/>
      <c r="M2795" s="112"/>
      <c r="N2795" s="84"/>
    </row>
    <row r="2796" spans="1:14" s="2" customFormat="1">
      <c r="A2796" s="83"/>
      <c r="H2796" s="83"/>
      <c r="K2796" s="82"/>
      <c r="M2796" s="112"/>
      <c r="N2796" s="84"/>
    </row>
    <row r="2797" spans="1:14" s="2" customFormat="1">
      <c r="A2797" s="83"/>
      <c r="H2797" s="83"/>
      <c r="K2797" s="82"/>
      <c r="M2797" s="112"/>
      <c r="N2797" s="84"/>
    </row>
    <row r="2798" spans="1:14" s="2" customFormat="1">
      <c r="A2798" s="83"/>
      <c r="H2798" s="83"/>
      <c r="K2798" s="82"/>
      <c r="M2798" s="112"/>
      <c r="N2798" s="84"/>
    </row>
    <row r="2799" spans="1:14" s="2" customFormat="1">
      <c r="A2799" s="83"/>
      <c r="H2799" s="83"/>
      <c r="K2799" s="82"/>
      <c r="M2799" s="112"/>
      <c r="N2799" s="84"/>
    </row>
    <row r="2800" spans="1:14" s="2" customFormat="1">
      <c r="A2800" s="83"/>
      <c r="H2800" s="83"/>
      <c r="K2800" s="82"/>
      <c r="M2800" s="112"/>
      <c r="N2800" s="84"/>
    </row>
    <row r="2801" spans="1:14" s="2" customFormat="1">
      <c r="A2801" s="83"/>
      <c r="H2801" s="83"/>
      <c r="K2801" s="82"/>
      <c r="M2801" s="112"/>
      <c r="N2801" s="84"/>
    </row>
    <row r="2802" spans="1:14" s="2" customFormat="1">
      <c r="A2802" s="83"/>
      <c r="H2802" s="83"/>
      <c r="K2802" s="82"/>
      <c r="M2802" s="112"/>
      <c r="N2802" s="84"/>
    </row>
    <row r="2803" spans="1:14" s="2" customFormat="1">
      <c r="A2803" s="83"/>
      <c r="H2803" s="83"/>
      <c r="K2803" s="82"/>
      <c r="M2803" s="112"/>
      <c r="N2803" s="84"/>
    </row>
    <row r="2804" spans="1:14" s="2" customFormat="1">
      <c r="A2804" s="83"/>
      <c r="H2804" s="83"/>
      <c r="K2804" s="82"/>
      <c r="M2804" s="112"/>
      <c r="N2804" s="84"/>
    </row>
    <row r="2805" spans="1:14" s="2" customFormat="1">
      <c r="A2805" s="83"/>
      <c r="H2805" s="83"/>
      <c r="K2805" s="82"/>
      <c r="M2805" s="112"/>
      <c r="N2805" s="84"/>
    </row>
    <row r="2806" spans="1:14" s="2" customFormat="1">
      <c r="A2806" s="83"/>
      <c r="H2806" s="83"/>
      <c r="K2806" s="82"/>
      <c r="M2806" s="112"/>
      <c r="N2806" s="84"/>
    </row>
    <row r="2807" spans="1:14" s="2" customFormat="1">
      <c r="A2807" s="83"/>
      <c r="H2807" s="83"/>
      <c r="K2807" s="82"/>
      <c r="M2807" s="112"/>
      <c r="N2807" s="84"/>
    </row>
    <row r="2808" spans="1:14" s="2" customFormat="1">
      <c r="A2808" s="83"/>
      <c r="H2808" s="83"/>
      <c r="K2808" s="82"/>
      <c r="M2808" s="112"/>
      <c r="N2808" s="84"/>
    </row>
    <row r="2809" spans="1:14" s="2" customFormat="1">
      <c r="A2809" s="83"/>
      <c r="H2809" s="83"/>
      <c r="K2809" s="82"/>
      <c r="M2809" s="112"/>
      <c r="N2809" s="84"/>
    </row>
    <row r="2810" spans="1:14" s="2" customFormat="1">
      <c r="A2810" s="83"/>
      <c r="H2810" s="83"/>
      <c r="K2810" s="82"/>
      <c r="M2810" s="112"/>
      <c r="N2810" s="84"/>
    </row>
    <row r="2811" spans="1:14" s="2" customFormat="1">
      <c r="A2811" s="83"/>
      <c r="H2811" s="83"/>
      <c r="K2811" s="82"/>
      <c r="M2811" s="112"/>
      <c r="N2811" s="84"/>
    </row>
    <row r="2812" spans="1:14" s="2" customFormat="1">
      <c r="A2812" s="83"/>
      <c r="H2812" s="83"/>
      <c r="K2812" s="82"/>
      <c r="M2812" s="112"/>
      <c r="N2812" s="84"/>
    </row>
    <row r="2813" spans="1:14" s="2" customFormat="1">
      <c r="A2813" s="83"/>
      <c r="H2813" s="83"/>
      <c r="K2813" s="82"/>
      <c r="M2813" s="112"/>
      <c r="N2813" s="84"/>
    </row>
    <row r="2814" spans="1:14" s="2" customFormat="1">
      <c r="A2814" s="83"/>
      <c r="H2814" s="83"/>
      <c r="K2814" s="82"/>
      <c r="M2814" s="112"/>
      <c r="N2814" s="84"/>
    </row>
    <row r="2815" spans="1:14" s="2" customFormat="1">
      <c r="A2815" s="83"/>
      <c r="H2815" s="83"/>
      <c r="K2815" s="82"/>
      <c r="M2815" s="112"/>
      <c r="N2815" s="84"/>
    </row>
    <row r="2816" spans="1:14" s="2" customFormat="1">
      <c r="A2816" s="83"/>
      <c r="H2816" s="83"/>
      <c r="K2816" s="82"/>
      <c r="M2816" s="112"/>
      <c r="N2816" s="84"/>
    </row>
    <row r="2817" spans="1:14" s="2" customFormat="1">
      <c r="A2817" s="83"/>
      <c r="H2817" s="83"/>
      <c r="K2817" s="82"/>
      <c r="M2817" s="112"/>
      <c r="N2817" s="84"/>
    </row>
    <row r="2818" spans="1:14" s="2" customFormat="1">
      <c r="A2818" s="83"/>
      <c r="H2818" s="83"/>
      <c r="K2818" s="82"/>
      <c r="M2818" s="112"/>
      <c r="N2818" s="84"/>
    </row>
    <row r="2819" spans="1:14" s="2" customFormat="1">
      <c r="A2819" s="83"/>
      <c r="H2819" s="83"/>
      <c r="K2819" s="82"/>
      <c r="M2819" s="112"/>
      <c r="N2819" s="84"/>
    </row>
    <row r="2820" spans="1:14" s="2" customFormat="1">
      <c r="A2820" s="83"/>
      <c r="H2820" s="83"/>
      <c r="K2820" s="82"/>
      <c r="M2820" s="112"/>
      <c r="N2820" s="84"/>
    </row>
    <row r="2821" spans="1:14" s="2" customFormat="1">
      <c r="A2821" s="83"/>
      <c r="H2821" s="83"/>
      <c r="K2821" s="82"/>
      <c r="M2821" s="112"/>
      <c r="N2821" s="84"/>
    </row>
    <row r="2822" spans="1:14" s="2" customFormat="1">
      <c r="A2822" s="83"/>
      <c r="H2822" s="83"/>
      <c r="K2822" s="82"/>
      <c r="M2822" s="112"/>
      <c r="N2822" s="84"/>
    </row>
    <row r="2823" spans="1:14" s="2" customFormat="1">
      <c r="A2823" s="83"/>
      <c r="H2823" s="83"/>
      <c r="K2823" s="82"/>
      <c r="M2823" s="112"/>
      <c r="N2823" s="84"/>
    </row>
    <row r="2824" spans="1:14" s="2" customFormat="1">
      <c r="A2824" s="83"/>
      <c r="H2824" s="83"/>
      <c r="K2824" s="82"/>
      <c r="M2824" s="112"/>
      <c r="N2824" s="84"/>
    </row>
    <row r="2825" spans="1:14" s="2" customFormat="1">
      <c r="A2825" s="83"/>
      <c r="H2825" s="83"/>
      <c r="K2825" s="82"/>
      <c r="M2825" s="112"/>
      <c r="N2825" s="84"/>
    </row>
    <row r="2826" spans="1:14" s="2" customFormat="1">
      <c r="A2826" s="83"/>
      <c r="H2826" s="83"/>
      <c r="K2826" s="82"/>
      <c r="M2826" s="112"/>
      <c r="N2826" s="84"/>
    </row>
    <row r="2827" spans="1:14" s="2" customFormat="1">
      <c r="A2827" s="83"/>
      <c r="H2827" s="83"/>
      <c r="K2827" s="82"/>
      <c r="M2827" s="112"/>
      <c r="N2827" s="84"/>
    </row>
    <row r="2828" spans="1:14" s="2" customFormat="1">
      <c r="A2828" s="83"/>
      <c r="H2828" s="83"/>
      <c r="K2828" s="82"/>
      <c r="M2828" s="112"/>
      <c r="N2828" s="84"/>
    </row>
    <row r="2829" spans="1:14" s="2" customFormat="1">
      <c r="A2829" s="83"/>
      <c r="H2829" s="83"/>
      <c r="K2829" s="82"/>
      <c r="M2829" s="112"/>
      <c r="N2829" s="84"/>
    </row>
    <row r="2830" spans="1:14" s="2" customFormat="1">
      <c r="A2830" s="83"/>
      <c r="H2830" s="83"/>
      <c r="K2830" s="82"/>
      <c r="M2830" s="112"/>
      <c r="N2830" s="84"/>
    </row>
    <row r="2831" spans="1:14" s="2" customFormat="1">
      <c r="A2831" s="83"/>
      <c r="H2831" s="83"/>
      <c r="K2831" s="82"/>
      <c r="M2831" s="112"/>
      <c r="N2831" s="84"/>
    </row>
    <row r="2832" spans="1:14" s="2" customFormat="1">
      <c r="A2832" s="83"/>
      <c r="H2832" s="83"/>
      <c r="K2832" s="82"/>
      <c r="M2832" s="112"/>
      <c r="N2832" s="84"/>
    </row>
    <row r="2833" spans="1:14" s="2" customFormat="1">
      <c r="A2833" s="83"/>
      <c r="H2833" s="83"/>
      <c r="K2833" s="82"/>
      <c r="M2833" s="112"/>
      <c r="N2833" s="84"/>
    </row>
    <row r="2834" spans="1:14" s="2" customFormat="1">
      <c r="A2834" s="83"/>
      <c r="H2834" s="83"/>
      <c r="K2834" s="82"/>
      <c r="M2834" s="112"/>
      <c r="N2834" s="84"/>
    </row>
    <row r="2835" spans="1:14" s="2" customFormat="1">
      <c r="A2835" s="83"/>
      <c r="H2835" s="83"/>
      <c r="K2835" s="82"/>
      <c r="M2835" s="112"/>
      <c r="N2835" s="84"/>
    </row>
    <row r="2836" spans="1:14" s="2" customFormat="1">
      <c r="A2836" s="83"/>
      <c r="H2836" s="83"/>
      <c r="K2836" s="82"/>
      <c r="M2836" s="112"/>
      <c r="N2836" s="84"/>
    </row>
    <row r="2837" spans="1:14" s="2" customFormat="1">
      <c r="A2837" s="83"/>
      <c r="H2837" s="83"/>
      <c r="K2837" s="82"/>
      <c r="M2837" s="112"/>
      <c r="N2837" s="84"/>
    </row>
    <row r="2838" spans="1:14" s="2" customFormat="1">
      <c r="A2838" s="83"/>
      <c r="H2838" s="83"/>
      <c r="K2838" s="82"/>
      <c r="M2838" s="112"/>
      <c r="N2838" s="84"/>
    </row>
    <row r="2839" spans="1:14" s="2" customFormat="1">
      <c r="A2839" s="83"/>
      <c r="H2839" s="83"/>
      <c r="K2839" s="82"/>
      <c r="M2839" s="112"/>
      <c r="N2839" s="84"/>
    </row>
    <row r="2840" spans="1:14" s="2" customFormat="1">
      <c r="A2840" s="83"/>
      <c r="H2840" s="83"/>
      <c r="K2840" s="82"/>
      <c r="M2840" s="112"/>
      <c r="N2840" s="84"/>
    </row>
    <row r="2841" spans="1:14" s="2" customFormat="1">
      <c r="A2841" s="83"/>
      <c r="H2841" s="83"/>
      <c r="K2841" s="82"/>
      <c r="M2841" s="112"/>
      <c r="N2841" s="84"/>
    </row>
    <row r="2842" spans="1:14" s="2" customFormat="1">
      <c r="A2842" s="83"/>
      <c r="H2842" s="83"/>
      <c r="K2842" s="82"/>
      <c r="M2842" s="112"/>
      <c r="N2842" s="84"/>
    </row>
    <row r="2843" spans="1:14" s="2" customFormat="1">
      <c r="A2843" s="83"/>
      <c r="H2843" s="83"/>
      <c r="K2843" s="82"/>
      <c r="M2843" s="112"/>
      <c r="N2843" s="84"/>
    </row>
    <row r="2844" spans="1:14" s="2" customFormat="1">
      <c r="A2844" s="83"/>
      <c r="H2844" s="83"/>
      <c r="K2844" s="82"/>
      <c r="M2844" s="112"/>
      <c r="N2844" s="84"/>
    </row>
    <row r="2845" spans="1:14" s="2" customFormat="1">
      <c r="A2845" s="83"/>
      <c r="H2845" s="83"/>
      <c r="K2845" s="82"/>
      <c r="M2845" s="112"/>
      <c r="N2845" s="84"/>
    </row>
    <row r="2846" spans="1:14" s="2" customFormat="1">
      <c r="A2846" s="83"/>
      <c r="H2846" s="83"/>
      <c r="K2846" s="82"/>
      <c r="M2846" s="112"/>
      <c r="N2846" s="84"/>
    </row>
    <row r="2847" spans="1:14" s="2" customFormat="1">
      <c r="A2847" s="83"/>
      <c r="H2847" s="83"/>
      <c r="K2847" s="82"/>
      <c r="M2847" s="112"/>
      <c r="N2847" s="84"/>
    </row>
    <row r="2848" spans="1:14" s="2" customFormat="1">
      <c r="A2848" s="83"/>
      <c r="H2848" s="83"/>
      <c r="K2848" s="82"/>
      <c r="M2848" s="112"/>
      <c r="N2848" s="84"/>
    </row>
    <row r="2849" spans="1:14" s="2" customFormat="1">
      <c r="A2849" s="83"/>
      <c r="H2849" s="83"/>
      <c r="K2849" s="82"/>
      <c r="M2849" s="112"/>
      <c r="N2849" s="84"/>
    </row>
    <row r="2850" spans="1:14" s="2" customFormat="1">
      <c r="A2850" s="83"/>
      <c r="H2850" s="83"/>
      <c r="K2850" s="82"/>
      <c r="M2850" s="112"/>
      <c r="N2850" s="84"/>
    </row>
    <row r="2851" spans="1:14" s="2" customFormat="1">
      <c r="A2851" s="83"/>
      <c r="H2851" s="83"/>
      <c r="K2851" s="82"/>
      <c r="M2851" s="112"/>
      <c r="N2851" s="84"/>
    </row>
    <row r="2852" spans="1:14" s="2" customFormat="1">
      <c r="A2852" s="83"/>
      <c r="H2852" s="83"/>
      <c r="K2852" s="82"/>
      <c r="M2852" s="112"/>
      <c r="N2852" s="84"/>
    </row>
    <row r="2853" spans="1:14" s="2" customFormat="1">
      <c r="A2853" s="83"/>
      <c r="H2853" s="83"/>
      <c r="K2853" s="82"/>
      <c r="M2853" s="112"/>
      <c r="N2853" s="84"/>
    </row>
    <row r="2854" spans="1:14" s="2" customFormat="1">
      <c r="A2854" s="83"/>
      <c r="H2854" s="83"/>
      <c r="K2854" s="82"/>
      <c r="M2854" s="112"/>
      <c r="N2854" s="84"/>
    </row>
    <row r="2855" spans="1:14" s="2" customFormat="1">
      <c r="A2855" s="83"/>
      <c r="H2855" s="83"/>
      <c r="K2855" s="82"/>
      <c r="M2855" s="112"/>
      <c r="N2855" s="84"/>
    </row>
    <row r="2856" spans="1:14" s="2" customFormat="1">
      <c r="A2856" s="83"/>
      <c r="H2856" s="83"/>
      <c r="K2856" s="82"/>
      <c r="M2856" s="112"/>
      <c r="N2856" s="84"/>
    </row>
    <row r="2857" spans="1:14" s="2" customFormat="1">
      <c r="A2857" s="83"/>
      <c r="H2857" s="83"/>
      <c r="K2857" s="82"/>
      <c r="M2857" s="112"/>
      <c r="N2857" s="84"/>
    </row>
    <row r="2858" spans="1:14" s="2" customFormat="1">
      <c r="A2858" s="83"/>
      <c r="H2858" s="83"/>
      <c r="K2858" s="82"/>
      <c r="M2858" s="112"/>
      <c r="N2858" s="84"/>
    </row>
    <row r="2859" spans="1:14" s="2" customFormat="1">
      <c r="A2859" s="83"/>
      <c r="H2859" s="83"/>
      <c r="K2859" s="82"/>
      <c r="M2859" s="112"/>
      <c r="N2859" s="84"/>
    </row>
    <row r="2860" spans="1:14" s="2" customFormat="1">
      <c r="A2860" s="83"/>
      <c r="H2860" s="83"/>
      <c r="K2860" s="82"/>
      <c r="M2860" s="112"/>
      <c r="N2860" s="84"/>
    </row>
    <row r="2861" spans="1:14" s="2" customFormat="1">
      <c r="A2861" s="83"/>
      <c r="H2861" s="83"/>
      <c r="K2861" s="82"/>
      <c r="M2861" s="112"/>
      <c r="N2861" s="84"/>
    </row>
    <row r="2862" spans="1:14" s="2" customFormat="1">
      <c r="A2862" s="83"/>
      <c r="H2862" s="83"/>
      <c r="K2862" s="82"/>
      <c r="M2862" s="112"/>
      <c r="N2862" s="84"/>
    </row>
    <row r="2863" spans="1:14" s="2" customFormat="1">
      <c r="A2863" s="83"/>
      <c r="H2863" s="83"/>
      <c r="K2863" s="82"/>
      <c r="M2863" s="112"/>
      <c r="N2863" s="84"/>
    </row>
    <row r="2864" spans="1:14" s="2" customFormat="1">
      <c r="A2864" s="83"/>
      <c r="H2864" s="83"/>
      <c r="K2864" s="82"/>
      <c r="M2864" s="112"/>
      <c r="N2864" s="84"/>
    </row>
    <row r="2865" spans="1:14" s="2" customFormat="1">
      <c r="A2865" s="83"/>
      <c r="H2865" s="83"/>
      <c r="K2865" s="82"/>
      <c r="M2865" s="112"/>
      <c r="N2865" s="84"/>
    </row>
    <row r="2866" spans="1:14" s="2" customFormat="1">
      <c r="A2866" s="83"/>
      <c r="H2866" s="83"/>
      <c r="K2866" s="82"/>
      <c r="M2866" s="112"/>
      <c r="N2866" s="84"/>
    </row>
    <row r="2867" spans="1:14" s="2" customFormat="1">
      <c r="A2867" s="83"/>
      <c r="H2867" s="83"/>
      <c r="K2867" s="82"/>
      <c r="M2867" s="112"/>
      <c r="N2867" s="84"/>
    </row>
    <row r="2868" spans="1:14" s="2" customFormat="1">
      <c r="A2868" s="83"/>
      <c r="H2868" s="83"/>
      <c r="K2868" s="82"/>
      <c r="M2868" s="112"/>
      <c r="N2868" s="84"/>
    </row>
    <row r="2869" spans="1:14" s="2" customFormat="1">
      <c r="A2869" s="83"/>
      <c r="H2869" s="83"/>
      <c r="K2869" s="82"/>
      <c r="M2869" s="112"/>
      <c r="N2869" s="84"/>
    </row>
    <row r="2870" spans="1:14" s="2" customFormat="1">
      <c r="A2870" s="83"/>
      <c r="H2870" s="83"/>
      <c r="K2870" s="82"/>
      <c r="M2870" s="112"/>
      <c r="N2870" s="84"/>
    </row>
    <row r="2871" spans="1:14" s="2" customFormat="1">
      <c r="A2871" s="83"/>
      <c r="H2871" s="83"/>
      <c r="K2871" s="82"/>
      <c r="M2871" s="112"/>
      <c r="N2871" s="84"/>
    </row>
    <row r="2872" spans="1:14" s="2" customFormat="1">
      <c r="A2872" s="83"/>
      <c r="H2872" s="83"/>
      <c r="K2872" s="82"/>
      <c r="M2872" s="112"/>
      <c r="N2872" s="84"/>
    </row>
    <row r="2873" spans="1:14" s="2" customFormat="1">
      <c r="A2873" s="83"/>
      <c r="H2873" s="83"/>
      <c r="K2873" s="82"/>
      <c r="M2873" s="112"/>
      <c r="N2873" s="84"/>
    </row>
    <row r="2874" spans="1:14" s="2" customFormat="1">
      <c r="A2874" s="83"/>
      <c r="H2874" s="83"/>
      <c r="K2874" s="82"/>
      <c r="M2874" s="112"/>
      <c r="N2874" s="84"/>
    </row>
    <row r="2875" spans="1:14" s="2" customFormat="1">
      <c r="A2875" s="83"/>
      <c r="H2875" s="83"/>
      <c r="K2875" s="82"/>
      <c r="M2875" s="112"/>
      <c r="N2875" s="84"/>
    </row>
    <row r="2876" spans="1:14" s="2" customFormat="1">
      <c r="A2876" s="83"/>
      <c r="H2876" s="83"/>
      <c r="K2876" s="82"/>
      <c r="M2876" s="112"/>
      <c r="N2876" s="84"/>
    </row>
    <row r="2877" spans="1:14" s="2" customFormat="1">
      <c r="A2877" s="83"/>
      <c r="H2877" s="83"/>
      <c r="K2877" s="82"/>
      <c r="M2877" s="112"/>
      <c r="N2877" s="84"/>
    </row>
    <row r="2878" spans="1:14" s="2" customFormat="1">
      <c r="A2878" s="83"/>
      <c r="H2878" s="83"/>
      <c r="K2878" s="82"/>
      <c r="M2878" s="112"/>
      <c r="N2878" s="84"/>
    </row>
    <row r="2879" spans="1:14" s="2" customFormat="1">
      <c r="A2879" s="83"/>
      <c r="H2879" s="83"/>
      <c r="K2879" s="82"/>
      <c r="M2879" s="112"/>
      <c r="N2879" s="84"/>
    </row>
    <row r="2880" spans="1:14" s="2" customFormat="1">
      <c r="A2880" s="83"/>
      <c r="H2880" s="83"/>
      <c r="K2880" s="82"/>
      <c r="M2880" s="112"/>
      <c r="N2880" s="84"/>
    </row>
    <row r="2881" spans="1:14" s="2" customFormat="1">
      <c r="A2881" s="83"/>
      <c r="H2881" s="83"/>
      <c r="K2881" s="82"/>
      <c r="M2881" s="112"/>
      <c r="N2881" s="84"/>
    </row>
    <row r="2882" spans="1:14" s="2" customFormat="1">
      <c r="A2882" s="83"/>
      <c r="H2882" s="83"/>
      <c r="K2882" s="82"/>
      <c r="M2882" s="112"/>
      <c r="N2882" s="84"/>
    </row>
    <row r="2883" spans="1:14" s="2" customFormat="1">
      <c r="A2883" s="83"/>
      <c r="H2883" s="83"/>
      <c r="K2883" s="82"/>
      <c r="M2883" s="112"/>
      <c r="N2883" s="84"/>
    </row>
    <row r="2884" spans="1:14" s="2" customFormat="1">
      <c r="A2884" s="83"/>
      <c r="H2884" s="83"/>
      <c r="K2884" s="82"/>
      <c r="M2884" s="112"/>
      <c r="N2884" s="84"/>
    </row>
    <row r="2885" spans="1:14" s="2" customFormat="1">
      <c r="A2885" s="83"/>
      <c r="H2885" s="83"/>
      <c r="K2885" s="82"/>
      <c r="M2885" s="112"/>
      <c r="N2885" s="84"/>
    </row>
    <row r="2886" spans="1:14" s="2" customFormat="1">
      <c r="A2886" s="83"/>
      <c r="H2886" s="83"/>
      <c r="K2886" s="82"/>
      <c r="M2886" s="112"/>
      <c r="N2886" s="84"/>
    </row>
    <row r="2887" spans="1:14" s="2" customFormat="1">
      <c r="A2887" s="83"/>
      <c r="H2887" s="83"/>
      <c r="K2887" s="82"/>
      <c r="M2887" s="112"/>
      <c r="N2887" s="84"/>
    </row>
    <row r="2888" spans="1:14" s="2" customFormat="1">
      <c r="A2888" s="83"/>
      <c r="H2888" s="83"/>
      <c r="K2888" s="82"/>
      <c r="M2888" s="112"/>
      <c r="N2888" s="84"/>
    </row>
    <row r="2889" spans="1:14" s="2" customFormat="1">
      <c r="A2889" s="83"/>
      <c r="H2889" s="83"/>
      <c r="K2889" s="82"/>
      <c r="M2889" s="112"/>
      <c r="N2889" s="84"/>
    </row>
    <row r="2890" spans="1:14" s="2" customFormat="1">
      <c r="A2890" s="83"/>
      <c r="H2890" s="83"/>
      <c r="K2890" s="82"/>
      <c r="M2890" s="112"/>
      <c r="N2890" s="84"/>
    </row>
    <row r="2891" spans="1:14" s="2" customFormat="1">
      <c r="A2891" s="83"/>
      <c r="H2891" s="83"/>
      <c r="K2891" s="82"/>
      <c r="M2891" s="112"/>
      <c r="N2891" s="84"/>
    </row>
    <row r="2892" spans="1:14" s="2" customFormat="1">
      <c r="A2892" s="83"/>
      <c r="H2892" s="83"/>
      <c r="K2892" s="82"/>
      <c r="M2892" s="112"/>
      <c r="N2892" s="84"/>
    </row>
    <row r="2893" spans="1:14" s="2" customFormat="1">
      <c r="A2893" s="83"/>
      <c r="H2893" s="83"/>
      <c r="K2893" s="82"/>
      <c r="M2893" s="112"/>
      <c r="N2893" s="84"/>
    </row>
    <row r="2894" spans="1:14" s="2" customFormat="1">
      <c r="A2894" s="83"/>
      <c r="H2894" s="83"/>
      <c r="K2894" s="82"/>
      <c r="M2894" s="112"/>
      <c r="N2894" s="84"/>
    </row>
    <row r="2895" spans="1:14" s="2" customFormat="1">
      <c r="A2895" s="83"/>
      <c r="H2895" s="83"/>
      <c r="K2895" s="82"/>
      <c r="M2895" s="112"/>
      <c r="N2895" s="84"/>
    </row>
    <row r="2896" spans="1:14" s="2" customFormat="1">
      <c r="A2896" s="83"/>
      <c r="H2896" s="83"/>
      <c r="K2896" s="82"/>
      <c r="M2896" s="112"/>
      <c r="N2896" s="84"/>
    </row>
    <row r="2897" spans="1:14" s="2" customFormat="1">
      <c r="A2897" s="83"/>
      <c r="H2897" s="83"/>
      <c r="K2897" s="82"/>
      <c r="M2897" s="112"/>
      <c r="N2897" s="84"/>
    </row>
    <row r="2898" spans="1:14" s="2" customFormat="1">
      <c r="A2898" s="83"/>
      <c r="H2898" s="83"/>
      <c r="K2898" s="82"/>
      <c r="M2898" s="112"/>
      <c r="N2898" s="84"/>
    </row>
    <row r="2899" spans="1:14" s="2" customFormat="1">
      <c r="A2899" s="83"/>
      <c r="H2899" s="83"/>
      <c r="K2899" s="82"/>
      <c r="M2899" s="112"/>
      <c r="N2899" s="84"/>
    </row>
    <row r="2900" spans="1:14" s="2" customFormat="1">
      <c r="A2900" s="83"/>
      <c r="H2900" s="83"/>
      <c r="K2900" s="82"/>
      <c r="M2900" s="112"/>
      <c r="N2900" s="84"/>
    </row>
    <row r="2901" spans="1:14" s="2" customFormat="1">
      <c r="A2901" s="83"/>
      <c r="H2901" s="83"/>
      <c r="K2901" s="82"/>
      <c r="M2901" s="112"/>
      <c r="N2901" s="84"/>
    </row>
    <row r="2902" spans="1:14" s="2" customFormat="1">
      <c r="A2902" s="83"/>
      <c r="H2902" s="83"/>
      <c r="K2902" s="82"/>
      <c r="M2902" s="112"/>
      <c r="N2902" s="84"/>
    </row>
    <row r="2903" spans="1:14" s="2" customFormat="1">
      <c r="A2903" s="83"/>
      <c r="H2903" s="83"/>
      <c r="K2903" s="82"/>
      <c r="M2903" s="112"/>
      <c r="N2903" s="84"/>
    </row>
    <row r="2904" spans="1:14" s="2" customFormat="1">
      <c r="A2904" s="83"/>
      <c r="H2904" s="83"/>
      <c r="K2904" s="82"/>
      <c r="M2904" s="112"/>
      <c r="N2904" s="84"/>
    </row>
    <row r="2905" spans="1:14" s="2" customFormat="1">
      <c r="A2905" s="83"/>
      <c r="H2905" s="83"/>
      <c r="K2905" s="82"/>
      <c r="M2905" s="112"/>
      <c r="N2905" s="84"/>
    </row>
    <row r="2906" spans="1:14" s="2" customFormat="1">
      <c r="A2906" s="83"/>
      <c r="H2906" s="83"/>
      <c r="K2906" s="82"/>
      <c r="M2906" s="112"/>
      <c r="N2906" s="84"/>
    </row>
    <row r="2907" spans="1:14" s="2" customFormat="1">
      <c r="A2907" s="83"/>
      <c r="H2907" s="83"/>
      <c r="K2907" s="82"/>
      <c r="M2907" s="112"/>
      <c r="N2907" s="84"/>
    </row>
    <row r="2908" spans="1:14" s="2" customFormat="1">
      <c r="A2908" s="83"/>
      <c r="H2908" s="83"/>
      <c r="K2908" s="82"/>
      <c r="M2908" s="112"/>
      <c r="N2908" s="84"/>
    </row>
    <row r="2909" spans="1:14" s="2" customFormat="1">
      <c r="A2909" s="83"/>
      <c r="H2909" s="83"/>
      <c r="K2909" s="82"/>
      <c r="M2909" s="112"/>
      <c r="N2909" s="84"/>
    </row>
    <row r="2910" spans="1:14" s="2" customFormat="1">
      <c r="A2910" s="83"/>
      <c r="H2910" s="83"/>
      <c r="K2910" s="82"/>
      <c r="M2910" s="112"/>
      <c r="N2910" s="84"/>
    </row>
    <row r="2911" spans="1:14" s="2" customFormat="1">
      <c r="A2911" s="83"/>
      <c r="H2911" s="83"/>
      <c r="K2911" s="82"/>
      <c r="M2911" s="112"/>
      <c r="N2911" s="84"/>
    </row>
    <row r="2912" spans="1:14" s="2" customFormat="1">
      <c r="A2912" s="83"/>
      <c r="H2912" s="83"/>
      <c r="K2912" s="82"/>
      <c r="M2912" s="112"/>
      <c r="N2912" s="84"/>
    </row>
    <row r="2913" spans="1:14" s="2" customFormat="1">
      <c r="A2913" s="83"/>
      <c r="H2913" s="83"/>
      <c r="K2913" s="82"/>
      <c r="M2913" s="112"/>
      <c r="N2913" s="84"/>
    </row>
    <row r="2914" spans="1:14" s="2" customFormat="1">
      <c r="A2914" s="83"/>
      <c r="H2914" s="83"/>
      <c r="K2914" s="82"/>
      <c r="M2914" s="112"/>
      <c r="N2914" s="84"/>
    </row>
    <row r="2915" spans="1:14" s="2" customFormat="1">
      <c r="A2915" s="83"/>
      <c r="H2915" s="83"/>
      <c r="K2915" s="82"/>
      <c r="M2915" s="112"/>
      <c r="N2915" s="84"/>
    </row>
    <row r="2916" spans="1:14" s="2" customFormat="1">
      <c r="A2916" s="83"/>
      <c r="H2916" s="83"/>
      <c r="K2916" s="82"/>
      <c r="M2916" s="112"/>
      <c r="N2916" s="84"/>
    </row>
    <row r="2917" spans="1:14" s="2" customFormat="1">
      <c r="A2917" s="83"/>
      <c r="H2917" s="83"/>
      <c r="K2917" s="82"/>
      <c r="M2917" s="112"/>
      <c r="N2917" s="84"/>
    </row>
    <row r="2918" spans="1:14" s="2" customFormat="1">
      <c r="A2918" s="83"/>
      <c r="H2918" s="83"/>
      <c r="K2918" s="82"/>
      <c r="M2918" s="112"/>
      <c r="N2918" s="84"/>
    </row>
    <row r="2919" spans="1:14" s="2" customFormat="1">
      <c r="A2919" s="83"/>
      <c r="H2919" s="83"/>
      <c r="K2919" s="82"/>
      <c r="M2919" s="112"/>
      <c r="N2919" s="84"/>
    </row>
    <row r="2920" spans="1:14" s="2" customFormat="1">
      <c r="A2920" s="83"/>
      <c r="H2920" s="83"/>
      <c r="K2920" s="82"/>
      <c r="M2920" s="112"/>
      <c r="N2920" s="84"/>
    </row>
    <row r="2921" spans="1:14" s="2" customFormat="1">
      <c r="A2921" s="83"/>
      <c r="H2921" s="83"/>
      <c r="K2921" s="82"/>
      <c r="M2921" s="112"/>
      <c r="N2921" s="84"/>
    </row>
    <row r="2922" spans="1:14" s="2" customFormat="1">
      <c r="A2922" s="83"/>
      <c r="H2922" s="83"/>
      <c r="K2922" s="82"/>
      <c r="M2922" s="112"/>
      <c r="N2922" s="84"/>
    </row>
    <row r="2923" spans="1:14" s="2" customFormat="1">
      <c r="A2923" s="83"/>
      <c r="H2923" s="83"/>
      <c r="K2923" s="82"/>
      <c r="M2923" s="112"/>
      <c r="N2923" s="84"/>
    </row>
    <row r="2924" spans="1:14" s="2" customFormat="1">
      <c r="A2924" s="83"/>
      <c r="H2924" s="83"/>
      <c r="K2924" s="82"/>
      <c r="M2924" s="112"/>
      <c r="N2924" s="84"/>
    </row>
    <row r="2925" spans="1:14" s="2" customFormat="1">
      <c r="A2925" s="83"/>
      <c r="H2925" s="83"/>
      <c r="K2925" s="82"/>
      <c r="M2925" s="112"/>
      <c r="N2925" s="84"/>
    </row>
    <row r="2926" spans="1:14" s="2" customFormat="1">
      <c r="A2926" s="83"/>
      <c r="H2926" s="83"/>
      <c r="K2926" s="82"/>
      <c r="M2926" s="112"/>
      <c r="N2926" s="84"/>
    </row>
    <row r="2927" spans="1:14" s="2" customFormat="1">
      <c r="A2927" s="83"/>
      <c r="H2927" s="83"/>
      <c r="K2927" s="82"/>
      <c r="M2927" s="112"/>
      <c r="N2927" s="84"/>
    </row>
    <row r="2928" spans="1:14" s="2" customFormat="1">
      <c r="A2928" s="83"/>
      <c r="H2928" s="83"/>
      <c r="K2928" s="82"/>
      <c r="M2928" s="112"/>
      <c r="N2928" s="84"/>
    </row>
    <row r="2929" spans="1:14" s="2" customFormat="1">
      <c r="A2929" s="83"/>
      <c r="H2929" s="83"/>
      <c r="K2929" s="82"/>
      <c r="M2929" s="112"/>
      <c r="N2929" s="84"/>
    </row>
    <row r="2930" spans="1:14" s="2" customFormat="1">
      <c r="A2930" s="83"/>
      <c r="H2930" s="83"/>
      <c r="K2930" s="82"/>
      <c r="M2930" s="112"/>
      <c r="N2930" s="84"/>
    </row>
    <row r="2931" spans="1:14" s="2" customFormat="1">
      <c r="A2931" s="83"/>
      <c r="H2931" s="83"/>
      <c r="K2931" s="82"/>
      <c r="M2931" s="112"/>
      <c r="N2931" s="84"/>
    </row>
    <row r="2932" spans="1:14" s="2" customFormat="1">
      <c r="A2932" s="83"/>
      <c r="H2932" s="83"/>
      <c r="K2932" s="82"/>
      <c r="M2932" s="112"/>
      <c r="N2932" s="84"/>
    </row>
    <row r="2933" spans="1:14" s="2" customFormat="1">
      <c r="A2933" s="83"/>
      <c r="H2933" s="83"/>
      <c r="K2933" s="82"/>
      <c r="M2933" s="112"/>
      <c r="N2933" s="84"/>
    </row>
    <row r="2934" spans="1:14" s="2" customFormat="1">
      <c r="A2934" s="83"/>
      <c r="H2934" s="83"/>
      <c r="K2934" s="82"/>
      <c r="M2934" s="112"/>
      <c r="N2934" s="84"/>
    </row>
    <row r="2935" spans="1:14" s="2" customFormat="1">
      <c r="A2935" s="83"/>
      <c r="H2935" s="83"/>
      <c r="K2935" s="82"/>
      <c r="M2935" s="112"/>
      <c r="N2935" s="84"/>
    </row>
    <row r="2936" spans="1:14" s="2" customFormat="1">
      <c r="A2936" s="83"/>
      <c r="H2936" s="83"/>
      <c r="K2936" s="82"/>
      <c r="M2936" s="112"/>
      <c r="N2936" s="84"/>
    </row>
    <row r="2937" spans="1:14" s="2" customFormat="1">
      <c r="A2937" s="83"/>
      <c r="H2937" s="83"/>
      <c r="K2937" s="82"/>
      <c r="M2937" s="112"/>
      <c r="N2937" s="84"/>
    </row>
    <row r="2938" spans="1:14" s="2" customFormat="1">
      <c r="A2938" s="83"/>
      <c r="H2938" s="83"/>
      <c r="K2938" s="82"/>
      <c r="M2938" s="112"/>
      <c r="N2938" s="84"/>
    </row>
    <row r="2939" spans="1:14" s="2" customFormat="1">
      <c r="A2939" s="83"/>
      <c r="H2939" s="83"/>
      <c r="K2939" s="82"/>
      <c r="M2939" s="112"/>
      <c r="N2939" s="84"/>
    </row>
    <row r="2940" spans="1:14" s="2" customFormat="1">
      <c r="A2940" s="83"/>
      <c r="H2940" s="83"/>
      <c r="K2940" s="82"/>
      <c r="M2940" s="112"/>
      <c r="N2940" s="84"/>
    </row>
    <row r="2941" spans="1:14" s="2" customFormat="1">
      <c r="A2941" s="83"/>
      <c r="H2941" s="83"/>
      <c r="K2941" s="82"/>
      <c r="M2941" s="112"/>
      <c r="N2941" s="84"/>
    </row>
    <row r="2942" spans="1:14" s="2" customFormat="1">
      <c r="A2942" s="83"/>
      <c r="H2942" s="83"/>
      <c r="K2942" s="82"/>
      <c r="M2942" s="112"/>
      <c r="N2942" s="84"/>
    </row>
    <row r="2943" spans="1:14" s="2" customFormat="1">
      <c r="A2943" s="83"/>
      <c r="H2943" s="83"/>
      <c r="K2943" s="82"/>
      <c r="M2943" s="112"/>
      <c r="N2943" s="84"/>
    </row>
    <row r="2944" spans="1:14" s="2" customFormat="1">
      <c r="A2944" s="83"/>
      <c r="H2944" s="83"/>
      <c r="K2944" s="82"/>
      <c r="M2944" s="112"/>
      <c r="N2944" s="84"/>
    </row>
    <row r="2945" spans="1:14" s="2" customFormat="1">
      <c r="A2945" s="83"/>
      <c r="H2945" s="83"/>
      <c r="K2945" s="82"/>
      <c r="M2945" s="112"/>
      <c r="N2945" s="84"/>
    </row>
    <row r="2946" spans="1:14" s="2" customFormat="1">
      <c r="A2946" s="83"/>
      <c r="H2946" s="83"/>
      <c r="K2946" s="82"/>
      <c r="M2946" s="112"/>
      <c r="N2946" s="84"/>
    </row>
    <row r="2947" spans="1:14" s="2" customFormat="1">
      <c r="A2947" s="83"/>
      <c r="H2947" s="83"/>
      <c r="K2947" s="82"/>
      <c r="M2947" s="112"/>
      <c r="N2947" s="84"/>
    </row>
    <row r="2948" spans="1:14" s="2" customFormat="1">
      <c r="A2948" s="83"/>
      <c r="H2948" s="83"/>
      <c r="K2948" s="82"/>
      <c r="M2948" s="112"/>
      <c r="N2948" s="84"/>
    </row>
    <row r="2949" spans="1:14" s="2" customFormat="1">
      <c r="A2949" s="83"/>
      <c r="H2949" s="83"/>
      <c r="K2949" s="82"/>
      <c r="M2949" s="112"/>
      <c r="N2949" s="84"/>
    </row>
    <row r="2950" spans="1:14" s="2" customFormat="1">
      <c r="A2950" s="83"/>
      <c r="H2950" s="83"/>
      <c r="K2950" s="82"/>
      <c r="M2950" s="112"/>
      <c r="N2950" s="84"/>
    </row>
    <row r="2951" spans="1:14" s="2" customFormat="1">
      <c r="A2951" s="83"/>
      <c r="H2951" s="83"/>
      <c r="K2951" s="82"/>
      <c r="M2951" s="112"/>
      <c r="N2951" s="84"/>
    </row>
    <row r="2952" spans="1:14" s="2" customFormat="1">
      <c r="A2952" s="83"/>
      <c r="H2952" s="83"/>
      <c r="K2952" s="82"/>
      <c r="M2952" s="112"/>
      <c r="N2952" s="84"/>
    </row>
    <row r="2953" spans="1:14" s="2" customFormat="1">
      <c r="A2953" s="83"/>
      <c r="H2953" s="83"/>
      <c r="K2953" s="82"/>
      <c r="M2953" s="112"/>
      <c r="N2953" s="84"/>
    </row>
    <row r="2954" spans="1:14" s="2" customFormat="1">
      <c r="A2954" s="83"/>
      <c r="H2954" s="83"/>
      <c r="K2954" s="82"/>
      <c r="M2954" s="112"/>
      <c r="N2954" s="84"/>
    </row>
    <row r="2955" spans="1:14" s="2" customFormat="1">
      <c r="A2955" s="83"/>
      <c r="H2955" s="83"/>
      <c r="K2955" s="82"/>
      <c r="M2955" s="112"/>
      <c r="N2955" s="84"/>
    </row>
    <row r="2956" spans="1:14" s="2" customFormat="1">
      <c r="A2956" s="83"/>
      <c r="H2956" s="83"/>
      <c r="K2956" s="82"/>
      <c r="M2956" s="112"/>
      <c r="N2956" s="84"/>
    </row>
    <row r="2957" spans="1:14" s="2" customFormat="1">
      <c r="A2957" s="83"/>
      <c r="H2957" s="83"/>
      <c r="K2957" s="82"/>
      <c r="M2957" s="112"/>
      <c r="N2957" s="84"/>
    </row>
    <row r="2958" spans="1:14" s="2" customFormat="1">
      <c r="A2958" s="83"/>
      <c r="H2958" s="83"/>
      <c r="K2958" s="82"/>
      <c r="M2958" s="112"/>
      <c r="N2958" s="84"/>
    </row>
    <row r="2959" spans="1:14" s="2" customFormat="1">
      <c r="A2959" s="83"/>
      <c r="H2959" s="83"/>
      <c r="K2959" s="82"/>
      <c r="M2959" s="112"/>
      <c r="N2959" s="84"/>
    </row>
    <row r="2960" spans="1:14" s="2" customFormat="1">
      <c r="A2960" s="83"/>
      <c r="H2960" s="83"/>
      <c r="K2960" s="82"/>
      <c r="M2960" s="112"/>
      <c r="N2960" s="84"/>
    </row>
    <row r="2961" spans="1:14" s="2" customFormat="1">
      <c r="A2961" s="83"/>
      <c r="H2961" s="83"/>
      <c r="K2961" s="82"/>
      <c r="M2961" s="112"/>
      <c r="N2961" s="84"/>
    </row>
    <row r="2962" spans="1:14" s="2" customFormat="1">
      <c r="A2962" s="83"/>
      <c r="H2962" s="83"/>
      <c r="K2962" s="82"/>
      <c r="M2962" s="112"/>
      <c r="N2962" s="84"/>
    </row>
    <row r="2963" spans="1:14" s="2" customFormat="1">
      <c r="A2963" s="83"/>
      <c r="H2963" s="83"/>
      <c r="K2963" s="82"/>
      <c r="M2963" s="112"/>
      <c r="N2963" s="84"/>
    </row>
    <row r="2964" spans="1:14" s="2" customFormat="1">
      <c r="A2964" s="83"/>
      <c r="H2964" s="83"/>
      <c r="K2964" s="82"/>
      <c r="M2964" s="112"/>
      <c r="N2964" s="84"/>
    </row>
    <row r="2965" spans="1:14" s="2" customFormat="1">
      <c r="A2965" s="83"/>
      <c r="H2965" s="83"/>
      <c r="K2965" s="82"/>
      <c r="M2965" s="112"/>
      <c r="N2965" s="84"/>
    </row>
    <row r="2966" spans="1:14" s="2" customFormat="1">
      <c r="A2966" s="83"/>
      <c r="H2966" s="83"/>
      <c r="K2966" s="82"/>
      <c r="M2966" s="112"/>
      <c r="N2966" s="84"/>
    </row>
    <row r="2967" spans="1:14" s="2" customFormat="1">
      <c r="A2967" s="83"/>
      <c r="H2967" s="83"/>
      <c r="K2967" s="82"/>
      <c r="M2967" s="112"/>
      <c r="N2967" s="84"/>
    </row>
    <row r="2968" spans="1:14" s="2" customFormat="1">
      <c r="A2968" s="83"/>
      <c r="H2968" s="83"/>
      <c r="K2968" s="82"/>
      <c r="M2968" s="112"/>
      <c r="N2968" s="84"/>
    </row>
    <row r="2969" spans="1:14" s="2" customFormat="1">
      <c r="A2969" s="83"/>
      <c r="H2969" s="83"/>
      <c r="K2969" s="82"/>
      <c r="M2969" s="112"/>
      <c r="N2969" s="84"/>
    </row>
    <row r="2970" spans="1:14" s="2" customFormat="1">
      <c r="A2970" s="83"/>
      <c r="H2970" s="83"/>
      <c r="K2970" s="82"/>
      <c r="M2970" s="112"/>
      <c r="N2970" s="84"/>
    </row>
    <row r="2971" spans="1:14" s="2" customFormat="1">
      <c r="A2971" s="83"/>
      <c r="H2971" s="83"/>
      <c r="K2971" s="82"/>
      <c r="M2971" s="112"/>
      <c r="N2971" s="84"/>
    </row>
    <row r="2972" spans="1:14" s="2" customFormat="1">
      <c r="A2972" s="83"/>
      <c r="H2972" s="83"/>
      <c r="K2972" s="82"/>
      <c r="M2972" s="112"/>
      <c r="N2972" s="84"/>
    </row>
    <row r="2973" spans="1:14" s="2" customFormat="1">
      <c r="A2973" s="83"/>
      <c r="H2973" s="83"/>
      <c r="K2973" s="82"/>
      <c r="M2973" s="112"/>
      <c r="N2973" s="84"/>
    </row>
    <row r="2974" spans="1:14" s="2" customFormat="1">
      <c r="A2974" s="83"/>
      <c r="H2974" s="83"/>
      <c r="K2974" s="82"/>
      <c r="M2974" s="112"/>
      <c r="N2974" s="84"/>
    </row>
    <row r="2975" spans="1:14" s="2" customFormat="1">
      <c r="A2975" s="83"/>
      <c r="H2975" s="83"/>
      <c r="K2975" s="82"/>
      <c r="M2975" s="112"/>
      <c r="N2975" s="84"/>
    </row>
    <row r="2976" spans="1:14" s="2" customFormat="1">
      <c r="A2976" s="83"/>
      <c r="H2976" s="83"/>
      <c r="K2976" s="82"/>
      <c r="M2976" s="112"/>
      <c r="N2976" s="84"/>
    </row>
    <row r="2977" spans="1:14" s="2" customFormat="1">
      <c r="A2977" s="83"/>
      <c r="H2977" s="83"/>
      <c r="K2977" s="82"/>
      <c r="M2977" s="112"/>
      <c r="N2977" s="84"/>
    </row>
    <row r="2978" spans="1:14" s="2" customFormat="1">
      <c r="A2978" s="83"/>
      <c r="H2978" s="83"/>
      <c r="K2978" s="82"/>
      <c r="M2978" s="112"/>
      <c r="N2978" s="84"/>
    </row>
    <row r="2979" spans="1:14" s="2" customFormat="1">
      <c r="A2979" s="83"/>
      <c r="H2979" s="83"/>
      <c r="K2979" s="82"/>
      <c r="M2979" s="112"/>
      <c r="N2979" s="84"/>
    </row>
    <row r="2980" spans="1:14" s="2" customFormat="1">
      <c r="A2980" s="83"/>
      <c r="H2980" s="83"/>
      <c r="K2980" s="82"/>
      <c r="M2980" s="112"/>
      <c r="N2980" s="84"/>
    </row>
    <row r="2981" spans="1:14" s="2" customFormat="1">
      <c r="A2981" s="83"/>
      <c r="H2981" s="83"/>
      <c r="K2981" s="82"/>
      <c r="M2981" s="112"/>
      <c r="N2981" s="84"/>
    </row>
    <row r="2982" spans="1:14" s="2" customFormat="1">
      <c r="A2982" s="83"/>
      <c r="H2982" s="83"/>
      <c r="K2982" s="82"/>
      <c r="M2982" s="112"/>
      <c r="N2982" s="84"/>
    </row>
    <row r="2983" spans="1:14" s="2" customFormat="1">
      <c r="A2983" s="83"/>
      <c r="H2983" s="83"/>
      <c r="K2983" s="82"/>
      <c r="M2983" s="112"/>
      <c r="N2983" s="84"/>
    </row>
    <row r="2984" spans="1:14" s="2" customFormat="1">
      <c r="A2984" s="83"/>
      <c r="H2984" s="83"/>
      <c r="K2984" s="82"/>
      <c r="M2984" s="112"/>
      <c r="N2984" s="84"/>
    </row>
    <row r="2985" spans="1:14" s="2" customFormat="1">
      <c r="A2985" s="83"/>
      <c r="H2985" s="83"/>
      <c r="K2985" s="82"/>
      <c r="M2985" s="112"/>
      <c r="N2985" s="84"/>
    </row>
    <row r="2986" spans="1:14" s="2" customFormat="1">
      <c r="A2986" s="83"/>
      <c r="H2986" s="83"/>
      <c r="K2986" s="82"/>
      <c r="M2986" s="112"/>
      <c r="N2986" s="84"/>
    </row>
    <row r="2987" spans="1:14" s="2" customFormat="1">
      <c r="A2987" s="83"/>
      <c r="H2987" s="83"/>
      <c r="K2987" s="82"/>
      <c r="M2987" s="112"/>
      <c r="N2987" s="84"/>
    </row>
    <row r="2988" spans="1:14" s="2" customFormat="1">
      <c r="A2988" s="83"/>
      <c r="H2988" s="83"/>
      <c r="K2988" s="82"/>
      <c r="M2988" s="112"/>
      <c r="N2988" s="84"/>
    </row>
    <row r="2989" spans="1:14" s="2" customFormat="1">
      <c r="A2989" s="83"/>
      <c r="H2989" s="83"/>
      <c r="K2989" s="82"/>
      <c r="M2989" s="112"/>
      <c r="N2989" s="84"/>
    </row>
    <row r="2990" spans="1:14" s="2" customFormat="1">
      <c r="A2990" s="83"/>
      <c r="H2990" s="83"/>
      <c r="K2990" s="82"/>
      <c r="M2990" s="112"/>
      <c r="N2990" s="84"/>
    </row>
    <row r="2991" spans="1:14" s="2" customFormat="1">
      <c r="A2991" s="83"/>
      <c r="H2991" s="83"/>
      <c r="K2991" s="82"/>
      <c r="M2991" s="112"/>
      <c r="N2991" s="84"/>
    </row>
    <row r="2992" spans="1:14" s="2" customFormat="1">
      <c r="A2992" s="83"/>
      <c r="H2992" s="83"/>
      <c r="K2992" s="82"/>
      <c r="M2992" s="112"/>
      <c r="N2992" s="84"/>
    </row>
    <row r="2993" spans="1:14" s="2" customFormat="1">
      <c r="A2993" s="83"/>
      <c r="H2993" s="83"/>
      <c r="K2993" s="82"/>
      <c r="M2993" s="112"/>
      <c r="N2993" s="84"/>
    </row>
    <row r="2994" spans="1:14" s="2" customFormat="1">
      <c r="A2994" s="83"/>
      <c r="H2994" s="83"/>
      <c r="K2994" s="82"/>
      <c r="M2994" s="112"/>
      <c r="N2994" s="84"/>
    </row>
    <row r="2995" spans="1:14" s="2" customFormat="1">
      <c r="A2995" s="83"/>
      <c r="H2995" s="83"/>
      <c r="K2995" s="82"/>
      <c r="M2995" s="112"/>
      <c r="N2995" s="84"/>
    </row>
    <row r="2996" spans="1:14" s="2" customFormat="1">
      <c r="A2996" s="83"/>
      <c r="H2996" s="83"/>
      <c r="K2996" s="82"/>
      <c r="M2996" s="112"/>
      <c r="N2996" s="84"/>
    </row>
    <row r="2997" spans="1:14" s="2" customFormat="1">
      <c r="A2997" s="83"/>
      <c r="H2997" s="83"/>
      <c r="K2997" s="82"/>
      <c r="M2997" s="112"/>
      <c r="N2997" s="84"/>
    </row>
    <row r="2998" spans="1:14" s="2" customFormat="1">
      <c r="A2998" s="83"/>
      <c r="H2998" s="83"/>
      <c r="K2998" s="82"/>
      <c r="M2998" s="112"/>
      <c r="N2998" s="84"/>
    </row>
    <row r="2999" spans="1:14" s="2" customFormat="1">
      <c r="A2999" s="83"/>
      <c r="H2999" s="83"/>
      <c r="K2999" s="82"/>
      <c r="M2999" s="112"/>
      <c r="N2999" s="84"/>
    </row>
    <row r="3000" spans="1:14" s="2" customFormat="1">
      <c r="A3000" s="83"/>
      <c r="H3000" s="83"/>
      <c r="K3000" s="82"/>
      <c r="M3000" s="112"/>
      <c r="N3000" s="84"/>
    </row>
    <row r="3001" spans="1:14" s="2" customFormat="1">
      <c r="A3001" s="83"/>
      <c r="H3001" s="83"/>
      <c r="K3001" s="82"/>
      <c r="M3001" s="112"/>
      <c r="N3001" s="84"/>
    </row>
    <row r="3002" spans="1:14" s="2" customFormat="1">
      <c r="A3002" s="83"/>
      <c r="H3002" s="83"/>
      <c r="K3002" s="82"/>
      <c r="M3002" s="112"/>
      <c r="N3002" s="84"/>
    </row>
    <row r="3003" spans="1:14" s="2" customFormat="1">
      <c r="A3003" s="83"/>
      <c r="H3003" s="83"/>
      <c r="K3003" s="82"/>
      <c r="M3003" s="112"/>
      <c r="N3003" s="84"/>
    </row>
    <row r="3004" spans="1:14" s="2" customFormat="1">
      <c r="A3004" s="83"/>
      <c r="H3004" s="83"/>
      <c r="K3004" s="82"/>
      <c r="M3004" s="112"/>
      <c r="N3004" s="84"/>
    </row>
    <row r="3005" spans="1:14" s="2" customFormat="1">
      <c r="A3005" s="83"/>
      <c r="H3005" s="83"/>
      <c r="K3005" s="82"/>
      <c r="M3005" s="112"/>
      <c r="N3005" s="84"/>
    </row>
    <row r="3006" spans="1:14" s="2" customFormat="1">
      <c r="A3006" s="83"/>
      <c r="H3006" s="83"/>
      <c r="K3006" s="82"/>
      <c r="M3006" s="112"/>
      <c r="N3006" s="84"/>
    </row>
    <row r="3007" spans="1:14" s="2" customFormat="1">
      <c r="A3007" s="83"/>
      <c r="H3007" s="83"/>
      <c r="K3007" s="82"/>
      <c r="M3007" s="112"/>
      <c r="N3007" s="84"/>
    </row>
    <row r="3008" spans="1:14" s="2" customFormat="1">
      <c r="A3008" s="83"/>
      <c r="H3008" s="83"/>
      <c r="K3008" s="82"/>
      <c r="M3008" s="112"/>
      <c r="N3008" s="84"/>
    </row>
    <row r="3009" spans="1:14" s="2" customFormat="1">
      <c r="A3009" s="83"/>
      <c r="H3009" s="83"/>
      <c r="K3009" s="82"/>
      <c r="M3009" s="112"/>
      <c r="N3009" s="84"/>
    </row>
    <row r="3010" spans="1:14" s="2" customFormat="1">
      <c r="A3010" s="83"/>
      <c r="H3010" s="83"/>
      <c r="K3010" s="82"/>
      <c r="M3010" s="112"/>
      <c r="N3010" s="84"/>
    </row>
    <row r="3011" spans="1:14" s="2" customFormat="1">
      <c r="A3011" s="83"/>
      <c r="H3011" s="83"/>
      <c r="K3011" s="82"/>
      <c r="M3011" s="112"/>
      <c r="N3011" s="84"/>
    </row>
    <row r="3012" spans="1:14" s="2" customFormat="1">
      <c r="A3012" s="83"/>
      <c r="H3012" s="83"/>
      <c r="K3012" s="82"/>
      <c r="M3012" s="112"/>
      <c r="N3012" s="84"/>
    </row>
    <row r="3013" spans="1:14" s="2" customFormat="1">
      <c r="A3013" s="83"/>
      <c r="H3013" s="83"/>
      <c r="K3013" s="82"/>
      <c r="M3013" s="112"/>
      <c r="N3013" s="84"/>
    </row>
    <row r="3014" spans="1:14" s="2" customFormat="1">
      <c r="A3014" s="83"/>
      <c r="H3014" s="83"/>
      <c r="K3014" s="82"/>
      <c r="M3014" s="112"/>
      <c r="N3014" s="84"/>
    </row>
    <row r="3015" spans="1:14" s="2" customFormat="1">
      <c r="A3015" s="83"/>
      <c r="H3015" s="83"/>
      <c r="K3015" s="82"/>
      <c r="M3015" s="112"/>
      <c r="N3015" s="84"/>
    </row>
    <row r="3016" spans="1:14" s="2" customFormat="1">
      <c r="A3016" s="83"/>
      <c r="H3016" s="83"/>
      <c r="K3016" s="82"/>
      <c r="M3016" s="112"/>
      <c r="N3016" s="84"/>
    </row>
    <row r="3017" spans="1:14" s="2" customFormat="1">
      <c r="A3017" s="83"/>
      <c r="H3017" s="83"/>
      <c r="K3017" s="82"/>
      <c r="M3017" s="112"/>
      <c r="N3017" s="84"/>
    </row>
    <row r="3018" spans="1:14" s="2" customFormat="1">
      <c r="A3018" s="83"/>
      <c r="H3018" s="83"/>
      <c r="K3018" s="82"/>
      <c r="M3018" s="112"/>
      <c r="N3018" s="84"/>
    </row>
    <row r="3019" spans="1:14" s="2" customFormat="1">
      <c r="A3019" s="83"/>
      <c r="H3019" s="83"/>
      <c r="K3019" s="82"/>
      <c r="M3019" s="112"/>
      <c r="N3019" s="84"/>
    </row>
    <row r="3020" spans="1:14" s="2" customFormat="1">
      <c r="A3020" s="83"/>
      <c r="H3020" s="83"/>
      <c r="K3020" s="82"/>
      <c r="M3020" s="112"/>
      <c r="N3020" s="84"/>
    </row>
    <row r="3021" spans="1:14" s="2" customFormat="1">
      <c r="A3021" s="83"/>
      <c r="H3021" s="83"/>
      <c r="K3021" s="82"/>
      <c r="M3021" s="112"/>
      <c r="N3021" s="84"/>
    </row>
    <row r="3022" spans="1:14" s="2" customFormat="1">
      <c r="A3022" s="83"/>
      <c r="H3022" s="83"/>
      <c r="K3022" s="82"/>
      <c r="M3022" s="112"/>
      <c r="N3022" s="84"/>
    </row>
    <row r="3023" spans="1:14" s="2" customFormat="1">
      <c r="A3023" s="83"/>
      <c r="H3023" s="83"/>
      <c r="K3023" s="82"/>
      <c r="M3023" s="112"/>
      <c r="N3023" s="84"/>
    </row>
    <row r="3024" spans="1:14" s="2" customFormat="1">
      <c r="A3024" s="83"/>
      <c r="H3024" s="83"/>
      <c r="K3024" s="82"/>
      <c r="M3024" s="112"/>
      <c r="N3024" s="84"/>
    </row>
    <row r="3025" spans="1:14" s="2" customFormat="1">
      <c r="A3025" s="83"/>
      <c r="H3025" s="83"/>
      <c r="K3025" s="82"/>
      <c r="M3025" s="112"/>
      <c r="N3025" s="84"/>
    </row>
    <row r="3026" spans="1:14" s="2" customFormat="1">
      <c r="A3026" s="83"/>
      <c r="H3026" s="83"/>
      <c r="K3026" s="82"/>
      <c r="M3026" s="112"/>
      <c r="N3026" s="84"/>
    </row>
    <row r="3027" spans="1:14" s="2" customFormat="1">
      <c r="A3027" s="83"/>
      <c r="H3027" s="83"/>
      <c r="K3027" s="82"/>
      <c r="M3027" s="112"/>
      <c r="N3027" s="84"/>
    </row>
    <row r="3028" spans="1:14" s="2" customFormat="1">
      <c r="A3028" s="83"/>
      <c r="H3028" s="83"/>
      <c r="K3028" s="82"/>
      <c r="M3028" s="112"/>
      <c r="N3028" s="84"/>
    </row>
    <row r="3029" spans="1:14" s="2" customFormat="1">
      <c r="A3029" s="83"/>
      <c r="H3029" s="83"/>
      <c r="K3029" s="82"/>
      <c r="M3029" s="112"/>
      <c r="N3029" s="84"/>
    </row>
    <row r="3030" spans="1:14" s="2" customFormat="1">
      <c r="A3030" s="83"/>
      <c r="H3030" s="83"/>
      <c r="K3030" s="82"/>
      <c r="M3030" s="112"/>
      <c r="N3030" s="84"/>
    </row>
    <row r="3031" spans="1:14" s="2" customFormat="1">
      <c r="A3031" s="83"/>
      <c r="H3031" s="83"/>
      <c r="K3031" s="82"/>
      <c r="M3031" s="112"/>
      <c r="N3031" s="84"/>
    </row>
    <row r="3032" spans="1:14" s="2" customFormat="1">
      <c r="A3032" s="83"/>
      <c r="H3032" s="83"/>
      <c r="K3032" s="82"/>
      <c r="M3032" s="112"/>
      <c r="N3032" s="84"/>
    </row>
    <row r="3033" spans="1:14" s="2" customFormat="1">
      <c r="A3033" s="83"/>
      <c r="H3033" s="83"/>
      <c r="K3033" s="82"/>
      <c r="M3033" s="112"/>
      <c r="N3033" s="84"/>
    </row>
    <row r="3034" spans="1:14" s="2" customFormat="1">
      <c r="A3034" s="83"/>
      <c r="H3034" s="83"/>
      <c r="K3034" s="82"/>
      <c r="M3034" s="112"/>
      <c r="N3034" s="84"/>
    </row>
    <row r="3035" spans="1:14" s="2" customFormat="1">
      <c r="A3035" s="83"/>
      <c r="H3035" s="83"/>
      <c r="K3035" s="82"/>
      <c r="M3035" s="112"/>
      <c r="N3035" s="84"/>
    </row>
    <row r="3036" spans="1:14" s="2" customFormat="1">
      <c r="A3036" s="83"/>
      <c r="H3036" s="83"/>
      <c r="K3036" s="82"/>
      <c r="M3036" s="112"/>
      <c r="N3036" s="84"/>
    </row>
    <row r="3037" spans="1:14" s="2" customFormat="1">
      <c r="A3037" s="83"/>
      <c r="H3037" s="83"/>
      <c r="K3037" s="82"/>
      <c r="M3037" s="112"/>
      <c r="N3037" s="84"/>
    </row>
    <row r="3038" spans="1:14" s="2" customFormat="1">
      <c r="A3038" s="83"/>
      <c r="H3038" s="83"/>
      <c r="K3038" s="82"/>
      <c r="M3038" s="112"/>
      <c r="N3038" s="84"/>
    </row>
    <row r="3039" spans="1:14" s="2" customFormat="1">
      <c r="A3039" s="83"/>
      <c r="H3039" s="83"/>
      <c r="K3039" s="82"/>
      <c r="M3039" s="112"/>
      <c r="N3039" s="84"/>
    </row>
    <row r="3040" spans="1:14" s="2" customFormat="1">
      <c r="A3040" s="83"/>
      <c r="H3040" s="83"/>
      <c r="K3040" s="82"/>
      <c r="M3040" s="112"/>
      <c r="N3040" s="84"/>
    </row>
    <row r="3041" spans="1:14" s="2" customFormat="1">
      <c r="A3041" s="83"/>
      <c r="H3041" s="83"/>
      <c r="K3041" s="82"/>
      <c r="M3041" s="112"/>
      <c r="N3041" s="84"/>
    </row>
    <row r="3042" spans="1:14" s="2" customFormat="1">
      <c r="A3042" s="83"/>
      <c r="H3042" s="83"/>
      <c r="K3042" s="82"/>
      <c r="M3042" s="112"/>
      <c r="N3042" s="84"/>
    </row>
    <row r="3043" spans="1:14" s="2" customFormat="1">
      <c r="A3043" s="83"/>
      <c r="H3043" s="83"/>
      <c r="K3043" s="82"/>
      <c r="M3043" s="112"/>
      <c r="N3043" s="84"/>
    </row>
    <row r="3044" spans="1:14" s="2" customFormat="1">
      <c r="A3044" s="83"/>
      <c r="H3044" s="83"/>
      <c r="K3044" s="82"/>
      <c r="M3044" s="112"/>
      <c r="N3044" s="84"/>
    </row>
    <row r="3045" spans="1:14" s="2" customFormat="1">
      <c r="A3045" s="83"/>
      <c r="H3045" s="83"/>
      <c r="K3045" s="82"/>
      <c r="M3045" s="112"/>
      <c r="N3045" s="84"/>
    </row>
    <row r="3046" spans="1:14" s="2" customFormat="1">
      <c r="A3046" s="83"/>
      <c r="H3046" s="83"/>
      <c r="K3046" s="82"/>
      <c r="M3046" s="112"/>
      <c r="N3046" s="84"/>
    </row>
    <row r="3047" spans="1:14" s="2" customFormat="1">
      <c r="A3047" s="83"/>
      <c r="H3047" s="83"/>
      <c r="K3047" s="82"/>
      <c r="M3047" s="112"/>
      <c r="N3047" s="84"/>
    </row>
    <row r="3048" spans="1:14" s="2" customFormat="1">
      <c r="A3048" s="83"/>
      <c r="H3048" s="83"/>
      <c r="K3048" s="82"/>
      <c r="M3048" s="112"/>
      <c r="N3048" s="84"/>
    </row>
    <row r="3049" spans="1:14" s="2" customFormat="1">
      <c r="A3049" s="83"/>
      <c r="H3049" s="83"/>
      <c r="K3049" s="82"/>
      <c r="M3049" s="112"/>
      <c r="N3049" s="84"/>
    </row>
    <row r="3050" spans="1:14" s="2" customFormat="1">
      <c r="A3050" s="83"/>
      <c r="H3050" s="83"/>
      <c r="K3050" s="82"/>
      <c r="M3050" s="112"/>
      <c r="N3050" s="84"/>
    </row>
    <row r="3051" spans="1:14" s="2" customFormat="1">
      <c r="A3051" s="83"/>
      <c r="H3051" s="83"/>
      <c r="K3051" s="82"/>
      <c r="M3051" s="112"/>
      <c r="N3051" s="84"/>
    </row>
    <row r="3052" spans="1:14" s="2" customFormat="1">
      <c r="A3052" s="83"/>
      <c r="H3052" s="83"/>
      <c r="K3052" s="82"/>
      <c r="M3052" s="112"/>
      <c r="N3052" s="84"/>
    </row>
    <row r="3053" spans="1:14" s="2" customFormat="1">
      <c r="A3053" s="83"/>
      <c r="H3053" s="83"/>
      <c r="K3053" s="82"/>
      <c r="M3053" s="112"/>
      <c r="N3053" s="84"/>
    </row>
    <row r="3054" spans="1:14" s="2" customFormat="1">
      <c r="A3054" s="83"/>
      <c r="H3054" s="83"/>
      <c r="K3054" s="82"/>
      <c r="M3054" s="112"/>
      <c r="N3054" s="84"/>
    </row>
    <row r="3055" spans="1:14" s="2" customFormat="1">
      <c r="A3055" s="83"/>
      <c r="H3055" s="83"/>
      <c r="K3055" s="82"/>
      <c r="M3055" s="112"/>
      <c r="N3055" s="84"/>
    </row>
    <row r="3056" spans="1:14" s="2" customFormat="1">
      <c r="A3056" s="83"/>
      <c r="H3056" s="83"/>
      <c r="K3056" s="82"/>
      <c r="M3056" s="112"/>
      <c r="N3056" s="84"/>
    </row>
    <row r="3057" spans="1:14" s="2" customFormat="1">
      <c r="A3057" s="83"/>
      <c r="H3057" s="83"/>
      <c r="K3057" s="82"/>
      <c r="M3057" s="112"/>
      <c r="N3057" s="84"/>
    </row>
    <row r="3058" spans="1:14" s="2" customFormat="1">
      <c r="A3058" s="83"/>
      <c r="H3058" s="83"/>
      <c r="K3058" s="82"/>
      <c r="M3058" s="112"/>
      <c r="N3058" s="84"/>
    </row>
    <row r="3059" spans="1:14" s="2" customFormat="1">
      <c r="A3059" s="83"/>
      <c r="H3059" s="83"/>
      <c r="K3059" s="82"/>
      <c r="M3059" s="112"/>
      <c r="N3059" s="84"/>
    </row>
    <row r="3060" spans="1:14" s="2" customFormat="1">
      <c r="A3060" s="83"/>
      <c r="H3060" s="83"/>
      <c r="K3060" s="82"/>
      <c r="M3060" s="112"/>
      <c r="N3060" s="84"/>
    </row>
    <row r="3061" spans="1:14" s="2" customFormat="1">
      <c r="A3061" s="83"/>
      <c r="H3061" s="83"/>
      <c r="K3061" s="82"/>
      <c r="M3061" s="112"/>
      <c r="N3061" s="84"/>
    </row>
    <row r="3062" spans="1:14" s="2" customFormat="1">
      <c r="A3062" s="83"/>
      <c r="H3062" s="83"/>
      <c r="K3062" s="82"/>
      <c r="M3062" s="112"/>
      <c r="N3062" s="84"/>
    </row>
    <row r="3063" spans="1:14" s="2" customFormat="1">
      <c r="A3063" s="83"/>
      <c r="H3063" s="83"/>
      <c r="K3063" s="82"/>
      <c r="M3063" s="112"/>
      <c r="N3063" s="84"/>
    </row>
    <row r="3064" spans="1:14" s="2" customFormat="1">
      <c r="A3064" s="83"/>
      <c r="H3064" s="83"/>
      <c r="K3064" s="82"/>
      <c r="M3064" s="112"/>
      <c r="N3064" s="84"/>
    </row>
    <row r="3065" spans="1:14" s="2" customFormat="1">
      <c r="A3065" s="83"/>
      <c r="H3065" s="83"/>
      <c r="K3065" s="82"/>
      <c r="M3065" s="112"/>
      <c r="N3065" s="84"/>
    </row>
    <row r="3066" spans="1:14" s="2" customFormat="1">
      <c r="A3066" s="83"/>
      <c r="H3066" s="83"/>
      <c r="K3066" s="82"/>
      <c r="M3066" s="112"/>
      <c r="N3066" s="84"/>
    </row>
    <row r="3067" spans="1:14" s="2" customFormat="1">
      <c r="A3067" s="83"/>
      <c r="H3067" s="83"/>
      <c r="K3067" s="82"/>
      <c r="M3067" s="112"/>
      <c r="N3067" s="84"/>
    </row>
    <row r="3068" spans="1:14" s="2" customFormat="1">
      <c r="A3068" s="83"/>
      <c r="H3068" s="83"/>
      <c r="K3068" s="82"/>
      <c r="M3068" s="112"/>
      <c r="N3068" s="84"/>
    </row>
    <row r="3069" spans="1:14" s="2" customFormat="1">
      <c r="A3069" s="83"/>
      <c r="H3069" s="83"/>
      <c r="K3069" s="82"/>
      <c r="M3069" s="112"/>
      <c r="N3069" s="84"/>
    </row>
    <row r="3070" spans="1:14" s="2" customFormat="1">
      <c r="A3070" s="83"/>
      <c r="H3070" s="83"/>
      <c r="K3070" s="82"/>
      <c r="M3070" s="112"/>
      <c r="N3070" s="84"/>
    </row>
    <row r="3071" spans="1:14" s="2" customFormat="1">
      <c r="A3071" s="83"/>
      <c r="H3071" s="83"/>
      <c r="K3071" s="82"/>
      <c r="M3071" s="112"/>
      <c r="N3071" s="84"/>
    </row>
    <row r="3072" spans="1:14" s="2" customFormat="1">
      <c r="A3072" s="83"/>
      <c r="H3072" s="83"/>
      <c r="K3072" s="82"/>
      <c r="M3072" s="112"/>
      <c r="N3072" s="84"/>
    </row>
    <row r="3073" spans="1:14" s="2" customFormat="1">
      <c r="A3073" s="83"/>
      <c r="H3073" s="83"/>
      <c r="K3073" s="82"/>
      <c r="M3073" s="112"/>
      <c r="N3073" s="84"/>
    </row>
    <row r="3074" spans="1:14" s="2" customFormat="1">
      <c r="A3074" s="83"/>
      <c r="H3074" s="83"/>
      <c r="K3074" s="82"/>
      <c r="M3074" s="112"/>
      <c r="N3074" s="84"/>
    </row>
    <row r="3075" spans="1:14" s="2" customFormat="1">
      <c r="A3075" s="83"/>
      <c r="H3075" s="83"/>
      <c r="K3075" s="82"/>
      <c r="M3075" s="112"/>
      <c r="N3075" s="84"/>
    </row>
    <row r="3076" spans="1:14" s="2" customFormat="1">
      <c r="A3076" s="83"/>
      <c r="H3076" s="83"/>
      <c r="K3076" s="82"/>
      <c r="M3076" s="112"/>
      <c r="N3076" s="84"/>
    </row>
    <row r="3077" spans="1:14" s="2" customFormat="1">
      <c r="A3077" s="83"/>
      <c r="H3077" s="83"/>
      <c r="K3077" s="82"/>
      <c r="M3077" s="112"/>
      <c r="N3077" s="84"/>
    </row>
    <row r="3078" spans="1:14" s="2" customFormat="1">
      <c r="A3078" s="83"/>
      <c r="H3078" s="83"/>
      <c r="K3078" s="82"/>
      <c r="M3078" s="112"/>
      <c r="N3078" s="84"/>
    </row>
    <row r="3079" spans="1:14" s="2" customFormat="1">
      <c r="A3079" s="83"/>
      <c r="H3079" s="83"/>
      <c r="K3079" s="82"/>
      <c r="M3079" s="112"/>
      <c r="N3079" s="84"/>
    </row>
    <row r="3080" spans="1:14" s="2" customFormat="1">
      <c r="A3080" s="83"/>
      <c r="H3080" s="83"/>
      <c r="K3080" s="82"/>
      <c r="M3080" s="112"/>
      <c r="N3080" s="84"/>
    </row>
    <row r="3081" spans="1:14" s="2" customFormat="1">
      <c r="A3081" s="83"/>
      <c r="H3081" s="83"/>
      <c r="K3081" s="82"/>
      <c r="M3081" s="112"/>
      <c r="N3081" s="84"/>
    </row>
    <row r="3082" spans="1:14" s="2" customFormat="1">
      <c r="A3082" s="83"/>
      <c r="H3082" s="83"/>
      <c r="K3082" s="82"/>
      <c r="M3082" s="112"/>
      <c r="N3082" s="84"/>
    </row>
    <row r="3083" spans="1:14" s="2" customFormat="1">
      <c r="A3083" s="83"/>
      <c r="H3083" s="83"/>
      <c r="K3083" s="82"/>
      <c r="M3083" s="112"/>
      <c r="N3083" s="84"/>
    </row>
    <row r="3084" spans="1:14" s="2" customFormat="1">
      <c r="A3084" s="83"/>
      <c r="H3084" s="83"/>
      <c r="K3084" s="82"/>
      <c r="M3084" s="112"/>
      <c r="N3084" s="84"/>
    </row>
    <row r="3085" spans="1:14" s="2" customFormat="1">
      <c r="A3085" s="83"/>
      <c r="H3085" s="83"/>
      <c r="K3085" s="82"/>
      <c r="M3085" s="112"/>
      <c r="N3085" s="84"/>
    </row>
    <row r="3086" spans="1:14" s="2" customFormat="1">
      <c r="A3086" s="83"/>
      <c r="H3086" s="83"/>
      <c r="K3086" s="82"/>
      <c r="M3086" s="112"/>
      <c r="N3086" s="84"/>
    </row>
    <row r="3087" spans="1:14" s="2" customFormat="1">
      <c r="A3087" s="83"/>
      <c r="H3087" s="83"/>
      <c r="K3087" s="82"/>
      <c r="M3087" s="112"/>
      <c r="N3087" s="84"/>
    </row>
    <row r="3088" spans="1:14" s="2" customFormat="1">
      <c r="A3088" s="83"/>
      <c r="H3088" s="83"/>
      <c r="K3088" s="82"/>
      <c r="M3088" s="112"/>
      <c r="N3088" s="84"/>
    </row>
    <row r="3089" spans="1:14" s="2" customFormat="1">
      <c r="A3089" s="83"/>
      <c r="H3089" s="83"/>
      <c r="K3089" s="82"/>
      <c r="M3089" s="112"/>
      <c r="N3089" s="84"/>
    </row>
    <row r="3090" spans="1:14" s="2" customFormat="1">
      <c r="A3090" s="83"/>
      <c r="H3090" s="83"/>
      <c r="K3090" s="82"/>
      <c r="M3090" s="112"/>
      <c r="N3090" s="84"/>
    </row>
    <row r="3091" spans="1:14" s="2" customFormat="1">
      <c r="A3091" s="83"/>
      <c r="H3091" s="83"/>
      <c r="K3091" s="82"/>
      <c r="M3091" s="112"/>
      <c r="N3091" s="84"/>
    </row>
    <row r="3092" spans="1:14" s="2" customFormat="1">
      <c r="A3092" s="83"/>
      <c r="H3092" s="83"/>
      <c r="K3092" s="82"/>
      <c r="M3092" s="112"/>
      <c r="N3092" s="84"/>
    </row>
    <row r="3093" spans="1:14" s="2" customFormat="1">
      <c r="A3093" s="83"/>
      <c r="H3093" s="83"/>
      <c r="K3093" s="82"/>
      <c r="M3093" s="112"/>
      <c r="N3093" s="84"/>
    </row>
    <row r="3094" spans="1:14" s="2" customFormat="1">
      <c r="A3094" s="83"/>
      <c r="H3094" s="83"/>
      <c r="K3094" s="82"/>
      <c r="M3094" s="112"/>
      <c r="N3094" s="84"/>
    </row>
    <row r="3095" spans="1:14" s="2" customFormat="1">
      <c r="A3095" s="83"/>
      <c r="H3095" s="83"/>
      <c r="K3095" s="82"/>
      <c r="M3095" s="112"/>
      <c r="N3095" s="84"/>
    </row>
    <row r="3096" spans="1:14" s="2" customFormat="1">
      <c r="A3096" s="83"/>
      <c r="H3096" s="83"/>
      <c r="K3096" s="82"/>
      <c r="M3096" s="112"/>
      <c r="N3096" s="84"/>
    </row>
    <row r="3097" spans="1:14" s="2" customFormat="1">
      <c r="A3097" s="83"/>
      <c r="H3097" s="83"/>
      <c r="K3097" s="82"/>
      <c r="M3097" s="112"/>
      <c r="N3097" s="84"/>
    </row>
    <row r="3098" spans="1:14" s="2" customFormat="1">
      <c r="A3098" s="83"/>
      <c r="H3098" s="83"/>
      <c r="K3098" s="82"/>
      <c r="M3098" s="112"/>
      <c r="N3098" s="84"/>
    </row>
    <row r="3099" spans="1:14" s="2" customFormat="1">
      <c r="A3099" s="83"/>
      <c r="H3099" s="83"/>
      <c r="K3099" s="82"/>
      <c r="M3099" s="112"/>
      <c r="N3099" s="84"/>
    </row>
    <row r="3100" spans="1:14" s="2" customFormat="1">
      <c r="A3100" s="83"/>
      <c r="H3100" s="83"/>
      <c r="K3100" s="82"/>
      <c r="M3100" s="112"/>
      <c r="N3100" s="84"/>
    </row>
    <row r="3101" spans="1:14" s="2" customFormat="1">
      <c r="A3101" s="83"/>
      <c r="H3101" s="83"/>
      <c r="K3101" s="82"/>
      <c r="M3101" s="112"/>
      <c r="N3101" s="84"/>
    </row>
    <row r="3102" spans="1:14" s="2" customFormat="1">
      <c r="A3102" s="83"/>
      <c r="H3102" s="83"/>
      <c r="K3102" s="82"/>
      <c r="M3102" s="112"/>
      <c r="N3102" s="84"/>
    </row>
    <row r="3103" spans="1:14" s="2" customFormat="1">
      <c r="A3103" s="83"/>
      <c r="H3103" s="83"/>
      <c r="K3103" s="82"/>
      <c r="M3103" s="112"/>
      <c r="N3103" s="84"/>
    </row>
    <row r="3104" spans="1:14" s="2" customFormat="1">
      <c r="A3104" s="83"/>
      <c r="H3104" s="83"/>
      <c r="K3104" s="82"/>
      <c r="M3104" s="112"/>
      <c r="N3104" s="84"/>
    </row>
    <row r="3105" spans="1:14" s="2" customFormat="1">
      <c r="A3105" s="83"/>
      <c r="H3105" s="83"/>
      <c r="K3105" s="82"/>
      <c r="M3105" s="112"/>
      <c r="N3105" s="84"/>
    </row>
    <row r="3106" spans="1:14" s="2" customFormat="1">
      <c r="A3106" s="83"/>
      <c r="H3106" s="83"/>
      <c r="K3106" s="82"/>
      <c r="M3106" s="112"/>
      <c r="N3106" s="84"/>
    </row>
    <row r="3107" spans="1:14" s="2" customFormat="1">
      <c r="A3107" s="83"/>
      <c r="H3107" s="83"/>
      <c r="K3107" s="82"/>
      <c r="M3107" s="112"/>
      <c r="N3107" s="84"/>
    </row>
    <row r="3108" spans="1:14" s="2" customFormat="1">
      <c r="A3108" s="83"/>
      <c r="H3108" s="83"/>
      <c r="K3108" s="82"/>
      <c r="M3108" s="112"/>
      <c r="N3108" s="84"/>
    </row>
    <row r="3109" spans="1:14" s="2" customFormat="1">
      <c r="A3109" s="83"/>
      <c r="H3109" s="83"/>
      <c r="K3109" s="82"/>
      <c r="M3109" s="112"/>
      <c r="N3109" s="84"/>
    </row>
    <row r="3110" spans="1:14" s="2" customFormat="1">
      <c r="A3110" s="83"/>
      <c r="H3110" s="83"/>
      <c r="K3110" s="82"/>
      <c r="M3110" s="112"/>
      <c r="N3110" s="84"/>
    </row>
    <row r="3111" spans="1:14" s="2" customFormat="1">
      <c r="A3111" s="83"/>
      <c r="H3111" s="83"/>
      <c r="K3111" s="82"/>
      <c r="M3111" s="112"/>
      <c r="N3111" s="84"/>
    </row>
    <row r="3112" spans="1:14" s="2" customFormat="1">
      <c r="A3112" s="83"/>
      <c r="H3112" s="83"/>
      <c r="K3112" s="82"/>
      <c r="M3112" s="112"/>
      <c r="N3112" s="84"/>
    </row>
    <row r="3113" spans="1:14" s="2" customFormat="1">
      <c r="A3113" s="83"/>
      <c r="H3113" s="83"/>
      <c r="K3113" s="82"/>
      <c r="M3113" s="112"/>
      <c r="N3113" s="84"/>
    </row>
    <row r="3114" spans="1:14" s="2" customFormat="1">
      <c r="A3114" s="83"/>
      <c r="H3114" s="83"/>
      <c r="K3114" s="82"/>
      <c r="M3114" s="112"/>
      <c r="N3114" s="84"/>
    </row>
    <row r="3115" spans="1:14" s="2" customFormat="1">
      <c r="A3115" s="83"/>
      <c r="H3115" s="83"/>
      <c r="K3115" s="82"/>
      <c r="M3115" s="112"/>
      <c r="N3115" s="84"/>
    </row>
    <row r="3116" spans="1:14" s="2" customFormat="1">
      <c r="A3116" s="83"/>
      <c r="H3116" s="83"/>
      <c r="K3116" s="82"/>
      <c r="M3116" s="112"/>
      <c r="N3116" s="84"/>
    </row>
    <row r="3117" spans="1:14" s="2" customFormat="1">
      <c r="A3117" s="83"/>
      <c r="H3117" s="83"/>
      <c r="K3117" s="82"/>
      <c r="M3117" s="112"/>
      <c r="N3117" s="84"/>
    </row>
    <row r="3118" spans="1:14" s="2" customFormat="1">
      <c r="A3118" s="83"/>
      <c r="H3118" s="83"/>
      <c r="K3118" s="82"/>
      <c r="M3118" s="112"/>
      <c r="N3118" s="84"/>
    </row>
    <row r="3119" spans="1:14" s="2" customFormat="1">
      <c r="A3119" s="83"/>
      <c r="H3119" s="83"/>
      <c r="K3119" s="82"/>
      <c r="M3119" s="112"/>
      <c r="N3119" s="84"/>
    </row>
    <row r="3120" spans="1:14" s="2" customFormat="1">
      <c r="A3120" s="83"/>
      <c r="H3120" s="83"/>
      <c r="K3120" s="82"/>
      <c r="M3120" s="112"/>
      <c r="N3120" s="84"/>
    </row>
    <row r="3121" spans="1:14" s="2" customFormat="1">
      <c r="A3121" s="83"/>
      <c r="H3121" s="83"/>
      <c r="K3121" s="82"/>
      <c r="M3121" s="112"/>
      <c r="N3121" s="84"/>
    </row>
    <row r="3122" spans="1:14" s="2" customFormat="1">
      <c r="A3122" s="83"/>
      <c r="H3122" s="83"/>
      <c r="K3122" s="82"/>
      <c r="M3122" s="112"/>
      <c r="N3122" s="84"/>
    </row>
    <row r="3123" spans="1:14" s="2" customFormat="1">
      <c r="A3123" s="83"/>
      <c r="H3123" s="83"/>
      <c r="K3123" s="82"/>
      <c r="M3123" s="112"/>
      <c r="N3123" s="84"/>
    </row>
    <row r="3124" spans="1:14" s="2" customFormat="1">
      <c r="A3124" s="83"/>
      <c r="H3124" s="83"/>
      <c r="K3124" s="82"/>
      <c r="M3124" s="112"/>
      <c r="N3124" s="84"/>
    </row>
    <row r="3125" spans="1:14" s="2" customFormat="1">
      <c r="A3125" s="83"/>
      <c r="H3125" s="83"/>
      <c r="K3125" s="82"/>
      <c r="M3125" s="112"/>
      <c r="N3125" s="84"/>
    </row>
    <row r="3126" spans="1:14" s="2" customFormat="1">
      <c r="A3126" s="83"/>
      <c r="H3126" s="83"/>
      <c r="K3126" s="82"/>
      <c r="M3126" s="112"/>
      <c r="N3126" s="84"/>
    </row>
    <row r="3127" spans="1:14" s="2" customFormat="1">
      <c r="A3127" s="83"/>
      <c r="H3127" s="83"/>
      <c r="K3127" s="82"/>
      <c r="M3127" s="112"/>
      <c r="N3127" s="84"/>
    </row>
    <row r="3128" spans="1:14" s="2" customFormat="1">
      <c r="A3128" s="83"/>
      <c r="H3128" s="83"/>
      <c r="K3128" s="82"/>
      <c r="M3128" s="112"/>
      <c r="N3128" s="84"/>
    </row>
    <row r="3129" spans="1:14" s="2" customFormat="1">
      <c r="A3129" s="83"/>
      <c r="H3129" s="83"/>
      <c r="K3129" s="82"/>
      <c r="M3129" s="112"/>
      <c r="N3129" s="84"/>
    </row>
    <row r="3130" spans="1:14" s="2" customFormat="1">
      <c r="A3130" s="83"/>
      <c r="H3130" s="83"/>
      <c r="K3130" s="82"/>
      <c r="M3130" s="112"/>
      <c r="N3130" s="84"/>
    </row>
    <row r="3131" spans="1:14" s="2" customFormat="1">
      <c r="A3131" s="83"/>
      <c r="H3131" s="83"/>
      <c r="K3131" s="82"/>
      <c r="M3131" s="112"/>
      <c r="N3131" s="84"/>
    </row>
    <row r="3132" spans="1:14" s="2" customFormat="1">
      <c r="A3132" s="83"/>
      <c r="H3132" s="83"/>
      <c r="K3132" s="82"/>
      <c r="M3132" s="112"/>
      <c r="N3132" s="84"/>
    </row>
    <row r="3133" spans="1:14" s="2" customFormat="1">
      <c r="A3133" s="83"/>
      <c r="H3133" s="83"/>
      <c r="K3133" s="82"/>
      <c r="M3133" s="112"/>
      <c r="N3133" s="84"/>
    </row>
    <row r="3134" spans="1:14" s="2" customFormat="1">
      <c r="A3134" s="83"/>
      <c r="H3134" s="83"/>
      <c r="K3134" s="82"/>
      <c r="M3134" s="112"/>
      <c r="N3134" s="84"/>
    </row>
    <row r="3135" spans="1:14" s="2" customFormat="1">
      <c r="A3135" s="83"/>
      <c r="H3135" s="83"/>
      <c r="K3135" s="82"/>
      <c r="M3135" s="112"/>
      <c r="N3135" s="84"/>
    </row>
    <row r="3136" spans="1:14" s="2" customFormat="1">
      <c r="A3136" s="83"/>
      <c r="H3136" s="83"/>
      <c r="K3136" s="82"/>
      <c r="M3136" s="112"/>
      <c r="N3136" s="84"/>
    </row>
    <row r="3137" spans="1:14" s="2" customFormat="1">
      <c r="A3137" s="83"/>
      <c r="H3137" s="83"/>
      <c r="K3137" s="82"/>
      <c r="M3137" s="112"/>
      <c r="N3137" s="84"/>
    </row>
    <row r="3138" spans="1:14" s="2" customFormat="1">
      <c r="A3138" s="83"/>
      <c r="H3138" s="83"/>
      <c r="K3138" s="82"/>
      <c r="M3138" s="112"/>
      <c r="N3138" s="84"/>
    </row>
    <row r="3139" spans="1:14" s="2" customFormat="1">
      <c r="A3139" s="83"/>
      <c r="H3139" s="83"/>
      <c r="K3139" s="82"/>
      <c r="M3139" s="112"/>
      <c r="N3139" s="84"/>
    </row>
    <row r="3140" spans="1:14" s="2" customFormat="1">
      <c r="A3140" s="83"/>
      <c r="H3140" s="83"/>
      <c r="K3140" s="82"/>
      <c r="M3140" s="112"/>
      <c r="N3140" s="84"/>
    </row>
    <row r="3141" spans="1:14" s="2" customFormat="1">
      <c r="A3141" s="83"/>
      <c r="H3141" s="83"/>
      <c r="K3141" s="82"/>
      <c r="M3141" s="112"/>
      <c r="N3141" s="84"/>
    </row>
    <row r="3142" spans="1:14" s="2" customFormat="1">
      <c r="A3142" s="83"/>
      <c r="H3142" s="83"/>
      <c r="K3142" s="82"/>
      <c r="M3142" s="112"/>
      <c r="N3142" s="84"/>
    </row>
    <row r="3143" spans="1:14" s="2" customFormat="1">
      <c r="A3143" s="83"/>
      <c r="H3143" s="83"/>
      <c r="K3143" s="82"/>
      <c r="M3143" s="112"/>
      <c r="N3143" s="84"/>
    </row>
    <row r="3144" spans="1:14" s="2" customFormat="1">
      <c r="A3144" s="83"/>
      <c r="H3144" s="83"/>
      <c r="K3144" s="82"/>
      <c r="M3144" s="112"/>
      <c r="N3144" s="84"/>
    </row>
    <row r="3145" spans="1:14" s="2" customFormat="1">
      <c r="A3145" s="83"/>
      <c r="H3145" s="83"/>
      <c r="K3145" s="82"/>
      <c r="M3145" s="112"/>
      <c r="N3145" s="84"/>
    </row>
    <row r="3146" spans="1:14" s="2" customFormat="1">
      <c r="A3146" s="83"/>
      <c r="H3146" s="83"/>
      <c r="K3146" s="82"/>
      <c r="M3146" s="112"/>
      <c r="N3146" s="84"/>
    </row>
    <row r="3147" spans="1:14" s="2" customFormat="1">
      <c r="A3147" s="83"/>
      <c r="H3147" s="83"/>
      <c r="K3147" s="82"/>
      <c r="M3147" s="112"/>
      <c r="N3147" s="84"/>
    </row>
    <row r="3148" spans="1:14" s="2" customFormat="1">
      <c r="A3148" s="83"/>
      <c r="H3148" s="83"/>
      <c r="K3148" s="82"/>
      <c r="M3148" s="112"/>
      <c r="N3148" s="84"/>
    </row>
    <row r="3149" spans="1:14" s="2" customFormat="1">
      <c r="A3149" s="83"/>
      <c r="H3149" s="83"/>
      <c r="K3149" s="82"/>
      <c r="M3149" s="112"/>
      <c r="N3149" s="84"/>
    </row>
    <row r="3150" spans="1:14" s="2" customFormat="1">
      <c r="A3150" s="83"/>
      <c r="H3150" s="83"/>
      <c r="K3150" s="82"/>
      <c r="M3150" s="112"/>
      <c r="N3150" s="84"/>
    </row>
    <row r="3151" spans="1:14" s="2" customFormat="1">
      <c r="A3151" s="83"/>
      <c r="H3151" s="83"/>
      <c r="K3151" s="82"/>
      <c r="M3151" s="112"/>
      <c r="N3151" s="84"/>
    </row>
    <row r="3152" spans="1:14" s="2" customFormat="1">
      <c r="A3152" s="83"/>
      <c r="H3152" s="83"/>
      <c r="K3152" s="82"/>
      <c r="M3152" s="112"/>
      <c r="N3152" s="84"/>
    </row>
    <row r="3153" spans="1:14" s="2" customFormat="1">
      <c r="A3153" s="83"/>
      <c r="H3153" s="83"/>
      <c r="K3153" s="82"/>
      <c r="M3153" s="112"/>
      <c r="N3153" s="84"/>
    </row>
    <row r="3154" spans="1:14" s="2" customFormat="1">
      <c r="A3154" s="83"/>
      <c r="H3154" s="83"/>
      <c r="K3154" s="82"/>
      <c r="M3154" s="112"/>
      <c r="N3154" s="84"/>
    </row>
    <row r="3155" spans="1:14" s="2" customFormat="1">
      <c r="A3155" s="83"/>
      <c r="H3155" s="83"/>
      <c r="K3155" s="82"/>
      <c r="M3155" s="112"/>
      <c r="N3155" s="84"/>
    </row>
    <row r="3156" spans="1:14" s="2" customFormat="1">
      <c r="A3156" s="83"/>
      <c r="H3156" s="83"/>
      <c r="K3156" s="82"/>
      <c r="M3156" s="112"/>
      <c r="N3156" s="84"/>
    </row>
    <row r="3157" spans="1:14" s="2" customFormat="1">
      <c r="A3157" s="83"/>
      <c r="H3157" s="83"/>
      <c r="K3157" s="82"/>
      <c r="M3157" s="112"/>
      <c r="N3157" s="84"/>
    </row>
    <row r="3158" spans="1:14" s="2" customFormat="1">
      <c r="A3158" s="83"/>
      <c r="H3158" s="83"/>
      <c r="K3158" s="82"/>
      <c r="M3158" s="112"/>
      <c r="N3158" s="84"/>
    </row>
    <row r="3159" spans="1:14" s="2" customFormat="1">
      <c r="A3159" s="83"/>
      <c r="H3159" s="83"/>
      <c r="K3159" s="82"/>
      <c r="M3159" s="112"/>
      <c r="N3159" s="84"/>
    </row>
    <row r="3160" spans="1:14" s="2" customFormat="1">
      <c r="A3160" s="83"/>
      <c r="H3160" s="83"/>
      <c r="K3160" s="82"/>
      <c r="M3160" s="112"/>
      <c r="N3160" s="84"/>
    </row>
    <row r="3161" spans="1:14" s="2" customFormat="1">
      <c r="A3161" s="83"/>
      <c r="H3161" s="83"/>
      <c r="K3161" s="82"/>
      <c r="M3161" s="112"/>
      <c r="N3161" s="84"/>
    </row>
    <row r="3162" spans="1:14" s="2" customFormat="1">
      <c r="A3162" s="83"/>
      <c r="H3162" s="83"/>
      <c r="K3162" s="82"/>
      <c r="M3162" s="112"/>
      <c r="N3162" s="84"/>
    </row>
    <row r="3163" spans="1:14" s="2" customFormat="1">
      <c r="A3163" s="83"/>
      <c r="H3163" s="83"/>
      <c r="K3163" s="82"/>
      <c r="M3163" s="112"/>
      <c r="N3163" s="84"/>
    </row>
    <row r="3164" spans="1:14" s="2" customFormat="1">
      <c r="A3164" s="83"/>
      <c r="H3164" s="83"/>
      <c r="K3164" s="82"/>
      <c r="M3164" s="112"/>
      <c r="N3164" s="84"/>
    </row>
    <row r="3165" spans="1:14" s="2" customFormat="1">
      <c r="A3165" s="83"/>
      <c r="H3165" s="83"/>
      <c r="K3165" s="82"/>
      <c r="M3165" s="112"/>
      <c r="N3165" s="84"/>
    </row>
    <row r="3166" spans="1:14" s="2" customFormat="1">
      <c r="A3166" s="83"/>
      <c r="H3166" s="83"/>
      <c r="K3166" s="82"/>
      <c r="M3166" s="112"/>
      <c r="N3166" s="84"/>
    </row>
    <row r="3167" spans="1:14" s="2" customFormat="1">
      <c r="A3167" s="83"/>
      <c r="H3167" s="83"/>
      <c r="K3167" s="82"/>
      <c r="M3167" s="112"/>
      <c r="N3167" s="84"/>
    </row>
    <row r="3168" spans="1:14" s="2" customFormat="1">
      <c r="A3168" s="83"/>
      <c r="H3168" s="83"/>
      <c r="K3168" s="82"/>
      <c r="M3168" s="112"/>
      <c r="N3168" s="84"/>
    </row>
    <row r="3169" spans="1:14" s="2" customFormat="1">
      <c r="A3169" s="83"/>
      <c r="H3169" s="83"/>
      <c r="K3169" s="82"/>
      <c r="M3169" s="112"/>
      <c r="N3169" s="84"/>
    </row>
    <row r="3170" spans="1:14" s="2" customFormat="1">
      <c r="A3170" s="83"/>
      <c r="H3170" s="83"/>
      <c r="K3170" s="82"/>
      <c r="M3170" s="112"/>
      <c r="N3170" s="84"/>
    </row>
    <row r="3171" spans="1:14" s="2" customFormat="1">
      <c r="A3171" s="83"/>
      <c r="H3171" s="83"/>
      <c r="K3171" s="82"/>
      <c r="M3171" s="112"/>
      <c r="N3171" s="84"/>
    </row>
    <row r="3172" spans="1:14" s="2" customFormat="1">
      <c r="A3172" s="83"/>
      <c r="H3172" s="83"/>
      <c r="K3172" s="82"/>
      <c r="M3172" s="112"/>
      <c r="N3172" s="84"/>
    </row>
    <row r="3173" spans="1:14" s="2" customFormat="1">
      <c r="A3173" s="83"/>
      <c r="H3173" s="83"/>
      <c r="K3173" s="82"/>
      <c r="M3173" s="112"/>
      <c r="N3173" s="84"/>
    </row>
    <row r="3174" spans="1:14" s="2" customFormat="1">
      <c r="A3174" s="83"/>
      <c r="H3174" s="83"/>
      <c r="K3174" s="82"/>
      <c r="M3174" s="112"/>
      <c r="N3174" s="84"/>
    </row>
    <row r="3175" spans="1:14" s="2" customFormat="1">
      <c r="A3175" s="83"/>
      <c r="H3175" s="83"/>
      <c r="K3175" s="82"/>
      <c r="M3175" s="112"/>
      <c r="N3175" s="84"/>
    </row>
    <row r="3176" spans="1:14" s="2" customFormat="1">
      <c r="A3176" s="83"/>
      <c r="H3176" s="83"/>
      <c r="K3176" s="82"/>
      <c r="M3176" s="112"/>
      <c r="N3176" s="84"/>
    </row>
    <row r="3177" spans="1:14" s="2" customFormat="1">
      <c r="A3177" s="83"/>
      <c r="H3177" s="83"/>
      <c r="K3177" s="82"/>
      <c r="M3177" s="112"/>
      <c r="N3177" s="84"/>
    </row>
    <row r="3178" spans="1:14" s="2" customFormat="1">
      <c r="A3178" s="83"/>
      <c r="H3178" s="83"/>
      <c r="K3178" s="82"/>
      <c r="M3178" s="112"/>
      <c r="N3178" s="84"/>
    </row>
    <row r="3179" spans="1:14" s="2" customFormat="1">
      <c r="A3179" s="83"/>
      <c r="H3179" s="83"/>
      <c r="K3179" s="82"/>
      <c r="M3179" s="112"/>
      <c r="N3179" s="84"/>
    </row>
    <row r="3180" spans="1:14" s="2" customFormat="1">
      <c r="A3180" s="83"/>
      <c r="H3180" s="83"/>
      <c r="K3180" s="82"/>
      <c r="M3180" s="112"/>
      <c r="N3180" s="84"/>
    </row>
    <row r="3181" spans="1:14" s="2" customFormat="1">
      <c r="A3181" s="83"/>
      <c r="H3181" s="83"/>
      <c r="K3181" s="82"/>
      <c r="M3181" s="112"/>
      <c r="N3181" s="84"/>
    </row>
    <row r="3182" spans="1:14" s="2" customFormat="1">
      <c r="A3182" s="83"/>
      <c r="H3182" s="83"/>
      <c r="K3182" s="82"/>
      <c r="M3182" s="112"/>
      <c r="N3182" s="84"/>
    </row>
    <row r="3183" spans="1:14" s="2" customFormat="1">
      <c r="A3183" s="83"/>
      <c r="H3183" s="83"/>
      <c r="K3183" s="82"/>
      <c r="M3183" s="112"/>
      <c r="N3183" s="84"/>
    </row>
    <row r="3184" spans="1:14" s="2" customFormat="1">
      <c r="A3184" s="83"/>
      <c r="H3184" s="83"/>
      <c r="K3184" s="82"/>
      <c r="M3184" s="112"/>
      <c r="N3184" s="84"/>
    </row>
    <row r="3185" spans="1:14" s="2" customFormat="1">
      <c r="A3185" s="83"/>
      <c r="H3185" s="83"/>
      <c r="K3185" s="82"/>
      <c r="M3185" s="112"/>
      <c r="N3185" s="84"/>
    </row>
    <row r="3186" spans="1:14" s="2" customFormat="1">
      <c r="A3186" s="83"/>
      <c r="H3186" s="83"/>
      <c r="K3186" s="82"/>
      <c r="M3186" s="112"/>
      <c r="N3186" s="84"/>
    </row>
    <row r="3187" spans="1:14" s="2" customFormat="1">
      <c r="A3187" s="83"/>
      <c r="H3187" s="83"/>
      <c r="K3187" s="82"/>
      <c r="M3187" s="112"/>
      <c r="N3187" s="84"/>
    </row>
    <row r="3188" spans="1:14" s="2" customFormat="1">
      <c r="A3188" s="83"/>
      <c r="H3188" s="83"/>
      <c r="K3188" s="82"/>
      <c r="M3188" s="112"/>
      <c r="N3188" s="84"/>
    </row>
    <row r="3189" spans="1:14" s="2" customFormat="1">
      <c r="A3189" s="83"/>
      <c r="H3189" s="83"/>
      <c r="K3189" s="82"/>
      <c r="M3189" s="112"/>
      <c r="N3189" s="84"/>
    </row>
    <row r="3190" spans="1:14" s="2" customFormat="1">
      <c r="A3190" s="83"/>
      <c r="H3190" s="83"/>
      <c r="K3190" s="82"/>
      <c r="M3190" s="112"/>
      <c r="N3190" s="84"/>
    </row>
    <row r="3191" spans="1:14" s="2" customFormat="1">
      <c r="A3191" s="83"/>
      <c r="H3191" s="83"/>
      <c r="K3191" s="82"/>
      <c r="M3191" s="112"/>
      <c r="N3191" s="84"/>
    </row>
    <row r="3192" spans="1:14" s="2" customFormat="1">
      <c r="A3192" s="83"/>
      <c r="H3192" s="83"/>
      <c r="K3192" s="82"/>
      <c r="M3192" s="112"/>
      <c r="N3192" s="84"/>
    </row>
    <row r="3193" spans="1:14" s="2" customFormat="1">
      <c r="A3193" s="83"/>
      <c r="H3193" s="83"/>
      <c r="K3193" s="82"/>
      <c r="M3193" s="112"/>
      <c r="N3193" s="84"/>
    </row>
    <row r="3194" spans="1:14" s="2" customFormat="1">
      <c r="A3194" s="83"/>
      <c r="H3194" s="83"/>
      <c r="K3194" s="82"/>
      <c r="M3194" s="112"/>
      <c r="N3194" s="84"/>
    </row>
    <row r="3195" spans="1:14" s="2" customFormat="1">
      <c r="A3195" s="83"/>
      <c r="H3195" s="83"/>
      <c r="K3195" s="82"/>
      <c r="M3195" s="112"/>
      <c r="N3195" s="84"/>
    </row>
    <row r="3196" spans="1:14" s="2" customFormat="1">
      <c r="A3196" s="83"/>
      <c r="H3196" s="83"/>
      <c r="K3196" s="82"/>
      <c r="M3196" s="112"/>
      <c r="N3196" s="84"/>
    </row>
    <row r="3197" spans="1:14" s="2" customFormat="1">
      <c r="A3197" s="83"/>
      <c r="H3197" s="83"/>
      <c r="K3197" s="82"/>
      <c r="M3197" s="112"/>
      <c r="N3197" s="84"/>
    </row>
    <row r="3198" spans="1:14" s="2" customFormat="1">
      <c r="A3198" s="83"/>
      <c r="H3198" s="83"/>
      <c r="K3198" s="82"/>
      <c r="M3198" s="112"/>
      <c r="N3198" s="84"/>
    </row>
    <row r="3199" spans="1:14" s="2" customFormat="1">
      <c r="A3199" s="83"/>
      <c r="H3199" s="83"/>
      <c r="K3199" s="82"/>
      <c r="M3199" s="112"/>
      <c r="N3199" s="84"/>
    </row>
    <row r="3200" spans="1:14" s="2" customFormat="1">
      <c r="A3200" s="83"/>
      <c r="H3200" s="83"/>
      <c r="K3200" s="82"/>
      <c r="M3200" s="112"/>
      <c r="N3200" s="84"/>
    </row>
    <row r="3201" spans="1:14" s="2" customFormat="1">
      <c r="A3201" s="83"/>
      <c r="H3201" s="83"/>
      <c r="K3201" s="82"/>
      <c r="M3201" s="112"/>
      <c r="N3201" s="84"/>
    </row>
    <row r="3202" spans="1:14" s="2" customFormat="1">
      <c r="A3202" s="83"/>
      <c r="H3202" s="83"/>
      <c r="K3202" s="82"/>
      <c r="M3202" s="112"/>
      <c r="N3202" s="84"/>
    </row>
    <row r="3203" spans="1:14" s="2" customFormat="1">
      <c r="A3203" s="83"/>
      <c r="H3203" s="83"/>
      <c r="K3203" s="82"/>
      <c r="M3203" s="112"/>
      <c r="N3203" s="84"/>
    </row>
    <row r="3204" spans="1:14" s="2" customFormat="1">
      <c r="A3204" s="83"/>
      <c r="H3204" s="83"/>
      <c r="K3204" s="82"/>
      <c r="M3204" s="112"/>
      <c r="N3204" s="84"/>
    </row>
    <row r="3205" spans="1:14" s="2" customFormat="1">
      <c r="A3205" s="83"/>
      <c r="H3205" s="83"/>
      <c r="K3205" s="82"/>
      <c r="M3205" s="112"/>
      <c r="N3205" s="84"/>
    </row>
    <row r="3206" spans="1:14" s="2" customFormat="1">
      <c r="A3206" s="83"/>
      <c r="H3206" s="83"/>
      <c r="K3206" s="82"/>
      <c r="M3206" s="112"/>
      <c r="N3206" s="84"/>
    </row>
    <row r="3207" spans="1:14" s="2" customFormat="1">
      <c r="A3207" s="83"/>
      <c r="H3207" s="83"/>
      <c r="K3207" s="82"/>
      <c r="M3207" s="112"/>
      <c r="N3207" s="84"/>
    </row>
    <row r="3208" spans="1:14" s="2" customFormat="1">
      <c r="A3208" s="83"/>
      <c r="H3208" s="83"/>
      <c r="K3208" s="82"/>
      <c r="M3208" s="112"/>
      <c r="N3208" s="84"/>
    </row>
    <row r="3209" spans="1:14" s="2" customFormat="1">
      <c r="A3209" s="83"/>
      <c r="H3209" s="83"/>
      <c r="K3209" s="82"/>
      <c r="M3209" s="112"/>
      <c r="N3209" s="84"/>
    </row>
    <row r="3210" spans="1:14" s="2" customFormat="1">
      <c r="A3210" s="83"/>
      <c r="H3210" s="83"/>
      <c r="K3210" s="82"/>
      <c r="M3210" s="112"/>
      <c r="N3210" s="84"/>
    </row>
    <row r="3211" spans="1:14" s="2" customFormat="1">
      <c r="A3211" s="83"/>
      <c r="H3211" s="83"/>
      <c r="K3211" s="82"/>
      <c r="M3211" s="112"/>
      <c r="N3211" s="84"/>
    </row>
    <row r="3212" spans="1:14" s="2" customFormat="1">
      <c r="A3212" s="83"/>
      <c r="H3212" s="83"/>
      <c r="K3212" s="82"/>
      <c r="M3212" s="112"/>
      <c r="N3212" s="84"/>
    </row>
    <row r="3213" spans="1:14" s="2" customFormat="1">
      <c r="A3213" s="83"/>
      <c r="H3213" s="83"/>
      <c r="K3213" s="82"/>
      <c r="M3213" s="112"/>
      <c r="N3213" s="84"/>
    </row>
    <row r="3214" spans="1:14" s="2" customFormat="1">
      <c r="A3214" s="83"/>
      <c r="H3214" s="83"/>
      <c r="K3214" s="82"/>
      <c r="M3214" s="112"/>
      <c r="N3214" s="84"/>
    </row>
    <row r="3215" spans="1:14" s="2" customFormat="1">
      <c r="A3215" s="83"/>
      <c r="H3215" s="83"/>
      <c r="K3215" s="82"/>
      <c r="M3215" s="112"/>
      <c r="N3215" s="84"/>
    </row>
    <row r="3216" spans="1:14" s="2" customFormat="1">
      <c r="A3216" s="83"/>
      <c r="H3216" s="83"/>
      <c r="K3216" s="82"/>
      <c r="M3216" s="112"/>
      <c r="N3216" s="84"/>
    </row>
    <row r="3217" spans="1:14" s="2" customFormat="1">
      <c r="A3217" s="83"/>
      <c r="H3217" s="83"/>
      <c r="K3217" s="82"/>
      <c r="M3217" s="112"/>
      <c r="N3217" s="84"/>
    </row>
    <row r="3218" spans="1:14" s="2" customFormat="1">
      <c r="A3218" s="83"/>
      <c r="H3218" s="83"/>
      <c r="K3218" s="82"/>
      <c r="M3218" s="112"/>
      <c r="N3218" s="84"/>
    </row>
    <row r="3219" spans="1:14" s="2" customFormat="1">
      <c r="A3219" s="83"/>
      <c r="H3219" s="83"/>
      <c r="K3219" s="82"/>
      <c r="M3219" s="112"/>
      <c r="N3219" s="84"/>
    </row>
    <row r="3220" spans="1:14" s="2" customFormat="1">
      <c r="A3220" s="83"/>
      <c r="H3220" s="83"/>
      <c r="K3220" s="82"/>
      <c r="M3220" s="112"/>
      <c r="N3220" s="84"/>
    </row>
    <row r="3221" spans="1:14" s="2" customFormat="1">
      <c r="A3221" s="83"/>
      <c r="H3221" s="83"/>
      <c r="K3221" s="82"/>
      <c r="M3221" s="112"/>
      <c r="N3221" s="84"/>
    </row>
    <row r="3222" spans="1:14" s="2" customFormat="1">
      <c r="A3222" s="83"/>
      <c r="H3222" s="83"/>
      <c r="K3222" s="82"/>
      <c r="M3222" s="112"/>
      <c r="N3222" s="84"/>
    </row>
    <row r="3223" spans="1:14" s="2" customFormat="1">
      <c r="A3223" s="83"/>
      <c r="H3223" s="83"/>
      <c r="K3223" s="82"/>
      <c r="M3223" s="112"/>
      <c r="N3223" s="84"/>
    </row>
    <row r="3224" spans="1:14" s="2" customFormat="1">
      <c r="A3224" s="83"/>
      <c r="H3224" s="83"/>
      <c r="K3224" s="82"/>
      <c r="M3224" s="112"/>
      <c r="N3224" s="84"/>
    </row>
    <row r="3225" spans="1:14" s="2" customFormat="1">
      <c r="A3225" s="83"/>
      <c r="H3225" s="83"/>
      <c r="K3225" s="82"/>
      <c r="M3225" s="112"/>
      <c r="N3225" s="84"/>
    </row>
    <row r="3226" spans="1:14" s="2" customFormat="1">
      <c r="A3226" s="83"/>
      <c r="H3226" s="83"/>
      <c r="K3226" s="82"/>
      <c r="M3226" s="112"/>
      <c r="N3226" s="84"/>
    </row>
    <row r="3227" spans="1:14" s="2" customFormat="1">
      <c r="A3227" s="83"/>
      <c r="H3227" s="83"/>
      <c r="K3227" s="82"/>
      <c r="M3227" s="112"/>
      <c r="N3227" s="84"/>
    </row>
    <row r="3228" spans="1:14" s="2" customFormat="1">
      <c r="A3228" s="83"/>
      <c r="H3228" s="83"/>
      <c r="K3228" s="82"/>
      <c r="M3228" s="112"/>
      <c r="N3228" s="84"/>
    </row>
    <row r="3229" spans="1:14" s="2" customFormat="1">
      <c r="A3229" s="83"/>
      <c r="H3229" s="83"/>
      <c r="K3229" s="82"/>
      <c r="M3229" s="112"/>
      <c r="N3229" s="84"/>
    </row>
    <row r="3230" spans="1:14" s="2" customFormat="1">
      <c r="A3230" s="83"/>
      <c r="H3230" s="83"/>
      <c r="K3230" s="82"/>
      <c r="M3230" s="112"/>
      <c r="N3230" s="84"/>
    </row>
    <row r="3231" spans="1:14" s="2" customFormat="1">
      <c r="A3231" s="83"/>
      <c r="H3231" s="83"/>
      <c r="K3231" s="82"/>
      <c r="M3231" s="112"/>
      <c r="N3231" s="84"/>
    </row>
    <row r="3232" spans="1:14" s="2" customFormat="1">
      <c r="A3232" s="83"/>
      <c r="H3232" s="83"/>
      <c r="K3232" s="82"/>
      <c r="M3232" s="112"/>
      <c r="N3232" s="84"/>
    </row>
    <row r="3233" spans="1:14" s="2" customFormat="1">
      <c r="A3233" s="83"/>
      <c r="H3233" s="83"/>
      <c r="K3233" s="82"/>
      <c r="M3233" s="112"/>
      <c r="N3233" s="84"/>
    </row>
    <row r="3234" spans="1:14" s="2" customFormat="1">
      <c r="A3234" s="83"/>
      <c r="H3234" s="83"/>
      <c r="K3234" s="82"/>
      <c r="M3234" s="112"/>
      <c r="N3234" s="84"/>
    </row>
    <row r="3235" spans="1:14" s="2" customFormat="1">
      <c r="A3235" s="83"/>
      <c r="H3235" s="83"/>
      <c r="K3235" s="82"/>
      <c r="M3235" s="112"/>
      <c r="N3235" s="84"/>
    </row>
    <row r="3236" spans="1:14" s="2" customFormat="1">
      <c r="A3236" s="83"/>
      <c r="H3236" s="83"/>
      <c r="K3236" s="82"/>
      <c r="M3236" s="112"/>
      <c r="N3236" s="84"/>
    </row>
    <row r="3237" spans="1:14" s="2" customFormat="1">
      <c r="A3237" s="83"/>
      <c r="H3237" s="83"/>
      <c r="K3237" s="82"/>
      <c r="M3237" s="112"/>
      <c r="N3237" s="84"/>
    </row>
    <row r="3238" spans="1:14" s="2" customFormat="1">
      <c r="A3238" s="83"/>
      <c r="H3238" s="83"/>
      <c r="K3238" s="82"/>
      <c r="M3238" s="112"/>
      <c r="N3238" s="84"/>
    </row>
    <row r="3239" spans="1:14" s="2" customFormat="1">
      <c r="A3239" s="83"/>
      <c r="H3239" s="83"/>
      <c r="K3239" s="82"/>
      <c r="M3239" s="112"/>
      <c r="N3239" s="84"/>
    </row>
    <row r="3240" spans="1:14" s="2" customFormat="1">
      <c r="A3240" s="83"/>
      <c r="H3240" s="83"/>
      <c r="K3240" s="82"/>
      <c r="M3240" s="112"/>
      <c r="N3240" s="84"/>
    </row>
    <row r="3241" spans="1:14" s="2" customFormat="1">
      <c r="A3241" s="83"/>
      <c r="H3241" s="83"/>
      <c r="K3241" s="82"/>
      <c r="M3241" s="112"/>
      <c r="N3241" s="84"/>
    </row>
    <row r="3242" spans="1:14" s="2" customFormat="1">
      <c r="A3242" s="83"/>
      <c r="H3242" s="83"/>
      <c r="K3242" s="82"/>
      <c r="M3242" s="112"/>
      <c r="N3242" s="84"/>
    </row>
    <row r="3243" spans="1:14" s="2" customFormat="1">
      <c r="A3243" s="83"/>
      <c r="H3243" s="83"/>
      <c r="K3243" s="82"/>
      <c r="M3243" s="112"/>
      <c r="N3243" s="84"/>
    </row>
    <row r="3244" spans="1:14" s="2" customFormat="1">
      <c r="A3244" s="83"/>
      <c r="H3244" s="83"/>
      <c r="K3244" s="82"/>
      <c r="M3244" s="112"/>
      <c r="N3244" s="84"/>
    </row>
    <row r="3245" spans="1:14" s="2" customFormat="1">
      <c r="A3245" s="83"/>
      <c r="H3245" s="83"/>
      <c r="K3245" s="82"/>
      <c r="M3245" s="112"/>
      <c r="N3245" s="84"/>
    </row>
    <row r="3246" spans="1:14" s="2" customFormat="1">
      <c r="A3246" s="83"/>
      <c r="H3246" s="83"/>
      <c r="K3246" s="82"/>
      <c r="M3246" s="112"/>
      <c r="N3246" s="84"/>
    </row>
    <row r="3247" spans="1:14" s="2" customFormat="1">
      <c r="A3247" s="83"/>
      <c r="H3247" s="83"/>
      <c r="K3247" s="82"/>
      <c r="M3247" s="112"/>
      <c r="N3247" s="84"/>
    </row>
    <row r="3248" spans="1:14" s="2" customFormat="1">
      <c r="A3248" s="83"/>
      <c r="H3248" s="83"/>
      <c r="K3248" s="82"/>
      <c r="M3248" s="112"/>
      <c r="N3248" s="84"/>
    </row>
    <row r="3249" spans="1:14" s="2" customFormat="1">
      <c r="A3249" s="83"/>
      <c r="H3249" s="83"/>
      <c r="K3249" s="82"/>
      <c r="M3249" s="112"/>
      <c r="N3249" s="84"/>
    </row>
    <row r="3250" spans="1:14" s="2" customFormat="1">
      <c r="A3250" s="83"/>
      <c r="H3250" s="83"/>
      <c r="K3250" s="82"/>
      <c r="M3250" s="112"/>
      <c r="N3250" s="84"/>
    </row>
    <row r="3251" spans="1:14" s="2" customFormat="1">
      <c r="A3251" s="83"/>
      <c r="H3251" s="83"/>
      <c r="K3251" s="82"/>
      <c r="M3251" s="112"/>
      <c r="N3251" s="84"/>
    </row>
    <row r="3252" spans="1:14" s="2" customFormat="1">
      <c r="A3252" s="83"/>
      <c r="H3252" s="83"/>
      <c r="K3252" s="82"/>
      <c r="M3252" s="112"/>
      <c r="N3252" s="84"/>
    </row>
    <row r="3253" spans="1:14" s="2" customFormat="1">
      <c r="A3253" s="83"/>
      <c r="H3253" s="83"/>
      <c r="K3253" s="82"/>
      <c r="M3253" s="112"/>
      <c r="N3253" s="84"/>
    </row>
    <row r="3254" spans="1:14" s="2" customFormat="1">
      <c r="A3254" s="83"/>
      <c r="H3254" s="83"/>
      <c r="K3254" s="82"/>
      <c r="M3254" s="112"/>
      <c r="N3254" s="84"/>
    </row>
    <row r="3255" spans="1:14" s="2" customFormat="1">
      <c r="A3255" s="83"/>
      <c r="H3255" s="83"/>
      <c r="K3255" s="82"/>
      <c r="M3255" s="112"/>
      <c r="N3255" s="84"/>
    </row>
    <row r="3256" spans="1:14" s="2" customFormat="1">
      <c r="A3256" s="83"/>
      <c r="H3256" s="83"/>
      <c r="K3256" s="82"/>
      <c r="M3256" s="112"/>
      <c r="N3256" s="84"/>
    </row>
    <row r="3257" spans="1:14" s="2" customFormat="1">
      <c r="A3257" s="83"/>
      <c r="H3257" s="83"/>
      <c r="K3257" s="82"/>
      <c r="M3257" s="112"/>
      <c r="N3257" s="84"/>
    </row>
    <row r="3258" spans="1:14" s="2" customFormat="1">
      <c r="A3258" s="83"/>
      <c r="H3258" s="83"/>
      <c r="K3258" s="82"/>
      <c r="M3258" s="112"/>
      <c r="N3258" s="84"/>
    </row>
    <row r="3259" spans="1:14" s="2" customFormat="1">
      <c r="A3259" s="83"/>
      <c r="H3259" s="83"/>
      <c r="K3259" s="82"/>
      <c r="M3259" s="112"/>
      <c r="N3259" s="84"/>
    </row>
    <row r="3260" spans="1:14" s="2" customFormat="1">
      <c r="A3260" s="83"/>
      <c r="H3260" s="83"/>
      <c r="K3260" s="82"/>
      <c r="M3260" s="112"/>
      <c r="N3260" s="84"/>
    </row>
    <row r="3261" spans="1:14" s="2" customFormat="1">
      <c r="A3261" s="83"/>
      <c r="H3261" s="83"/>
      <c r="K3261" s="82"/>
      <c r="M3261" s="112"/>
      <c r="N3261" s="84"/>
    </row>
    <row r="3262" spans="1:14" s="2" customFormat="1">
      <c r="A3262" s="83"/>
      <c r="H3262" s="83"/>
      <c r="K3262" s="82"/>
      <c r="M3262" s="112"/>
      <c r="N3262" s="84"/>
    </row>
    <row r="3263" spans="1:14" s="2" customFormat="1">
      <c r="A3263" s="83"/>
      <c r="H3263" s="83"/>
      <c r="K3263" s="82"/>
      <c r="M3263" s="112"/>
      <c r="N3263" s="84"/>
    </row>
    <row r="3264" spans="1:14" s="2" customFormat="1">
      <c r="A3264" s="83"/>
      <c r="H3264" s="83"/>
      <c r="K3264" s="82"/>
      <c r="M3264" s="112"/>
      <c r="N3264" s="84"/>
    </row>
    <row r="3265" spans="1:14" s="2" customFormat="1">
      <c r="A3265" s="83"/>
      <c r="H3265" s="83"/>
      <c r="K3265" s="82"/>
      <c r="M3265" s="112"/>
      <c r="N3265" s="84"/>
    </row>
    <row r="3266" spans="1:14" s="2" customFormat="1">
      <c r="A3266" s="83"/>
      <c r="H3266" s="83"/>
      <c r="K3266" s="82"/>
      <c r="M3266" s="112"/>
      <c r="N3266" s="84"/>
    </row>
    <row r="3267" spans="1:14" s="2" customFormat="1">
      <c r="A3267" s="83"/>
      <c r="H3267" s="83"/>
      <c r="K3267" s="82"/>
      <c r="M3267" s="112"/>
      <c r="N3267" s="84"/>
    </row>
    <row r="3268" spans="1:14" s="2" customFormat="1">
      <c r="A3268" s="83"/>
      <c r="H3268" s="83"/>
      <c r="K3268" s="82"/>
      <c r="M3268" s="112"/>
      <c r="N3268" s="84"/>
    </row>
    <row r="3269" spans="1:14" s="2" customFormat="1">
      <c r="A3269" s="83"/>
      <c r="H3269" s="83"/>
      <c r="K3269" s="82"/>
      <c r="M3269" s="112"/>
      <c r="N3269" s="84"/>
    </row>
    <row r="3270" spans="1:14" s="2" customFormat="1">
      <c r="A3270" s="83"/>
      <c r="H3270" s="83"/>
      <c r="K3270" s="82"/>
      <c r="M3270" s="112"/>
      <c r="N3270" s="84"/>
    </row>
    <row r="3271" spans="1:14" s="2" customFormat="1">
      <c r="A3271" s="83"/>
      <c r="H3271" s="83"/>
      <c r="K3271" s="82"/>
      <c r="M3271" s="112"/>
      <c r="N3271" s="84"/>
    </row>
    <row r="3272" spans="1:14" s="2" customFormat="1">
      <c r="A3272" s="83"/>
      <c r="H3272" s="83"/>
      <c r="K3272" s="82"/>
      <c r="M3272" s="112"/>
      <c r="N3272" s="84"/>
    </row>
    <row r="3273" spans="1:14" s="2" customFormat="1">
      <c r="A3273" s="83"/>
      <c r="H3273" s="83"/>
      <c r="K3273" s="82"/>
      <c r="M3273" s="112"/>
      <c r="N3273" s="84"/>
    </row>
    <row r="3274" spans="1:14" s="2" customFormat="1">
      <c r="A3274" s="83"/>
      <c r="H3274" s="83"/>
      <c r="K3274" s="82"/>
      <c r="M3274" s="112"/>
      <c r="N3274" s="84"/>
    </row>
    <row r="3275" spans="1:14" s="2" customFormat="1">
      <c r="A3275" s="83"/>
      <c r="H3275" s="83"/>
      <c r="K3275" s="82"/>
      <c r="M3275" s="112"/>
      <c r="N3275" s="84"/>
    </row>
    <row r="3276" spans="1:14" s="2" customFormat="1">
      <c r="A3276" s="83"/>
      <c r="H3276" s="83"/>
      <c r="K3276" s="82"/>
      <c r="M3276" s="112"/>
      <c r="N3276" s="84"/>
    </row>
    <row r="3277" spans="1:14" s="2" customFormat="1">
      <c r="A3277" s="83"/>
      <c r="H3277" s="83"/>
      <c r="K3277" s="82"/>
      <c r="M3277" s="112"/>
      <c r="N3277" s="84"/>
    </row>
    <row r="3278" spans="1:14" s="2" customFormat="1">
      <c r="A3278" s="83"/>
      <c r="H3278" s="83"/>
      <c r="K3278" s="82"/>
      <c r="M3278" s="112"/>
      <c r="N3278" s="84"/>
    </row>
    <row r="3279" spans="1:14" s="2" customFormat="1">
      <c r="A3279" s="83"/>
      <c r="H3279" s="83"/>
      <c r="K3279" s="82"/>
      <c r="M3279" s="112"/>
      <c r="N3279" s="84"/>
    </row>
    <row r="3280" spans="1:14" s="2" customFormat="1">
      <c r="A3280" s="83"/>
      <c r="H3280" s="83"/>
      <c r="K3280" s="82"/>
      <c r="M3280" s="112"/>
      <c r="N3280" s="84"/>
    </row>
    <row r="3281" spans="1:14" s="2" customFormat="1">
      <c r="A3281" s="83"/>
      <c r="H3281" s="83"/>
      <c r="K3281" s="82"/>
      <c r="M3281" s="112"/>
      <c r="N3281" s="84"/>
    </row>
    <row r="3282" spans="1:14" s="2" customFormat="1">
      <c r="A3282" s="83"/>
      <c r="H3282" s="83"/>
      <c r="K3282" s="82"/>
      <c r="M3282" s="112"/>
      <c r="N3282" s="84"/>
    </row>
    <row r="3283" spans="1:14" s="2" customFormat="1">
      <c r="A3283" s="83"/>
      <c r="H3283" s="83"/>
      <c r="K3283" s="82"/>
      <c r="M3283" s="112"/>
      <c r="N3283" s="84"/>
    </row>
    <row r="3284" spans="1:14" s="2" customFormat="1">
      <c r="A3284" s="83"/>
      <c r="H3284" s="83"/>
      <c r="K3284" s="82"/>
      <c r="M3284" s="112"/>
      <c r="N3284" s="84"/>
    </row>
    <row r="3285" spans="1:14" s="2" customFormat="1">
      <c r="A3285" s="83"/>
      <c r="H3285" s="83"/>
      <c r="K3285" s="82"/>
      <c r="M3285" s="112"/>
      <c r="N3285" s="84"/>
    </row>
    <row r="3286" spans="1:14" s="2" customFormat="1">
      <c r="A3286" s="83"/>
      <c r="H3286" s="83"/>
      <c r="K3286" s="82"/>
      <c r="M3286" s="112"/>
      <c r="N3286" s="84"/>
    </row>
    <row r="3287" spans="1:14" s="2" customFormat="1">
      <c r="A3287" s="83"/>
      <c r="H3287" s="83"/>
      <c r="K3287" s="82"/>
      <c r="M3287" s="112"/>
      <c r="N3287" s="84"/>
    </row>
    <row r="3288" spans="1:14" s="2" customFormat="1">
      <c r="A3288" s="83"/>
      <c r="H3288" s="83"/>
      <c r="K3288" s="82"/>
      <c r="M3288" s="112"/>
      <c r="N3288" s="84"/>
    </row>
    <row r="3289" spans="1:14" s="2" customFormat="1">
      <c r="A3289" s="83"/>
      <c r="H3289" s="83"/>
      <c r="K3289" s="82"/>
      <c r="M3289" s="112"/>
      <c r="N3289" s="84"/>
    </row>
    <row r="3290" spans="1:14" s="2" customFormat="1">
      <c r="A3290" s="83"/>
      <c r="H3290" s="83"/>
      <c r="K3290" s="82"/>
      <c r="M3290" s="112"/>
      <c r="N3290" s="84"/>
    </row>
    <row r="3291" spans="1:14" s="2" customFormat="1">
      <c r="A3291" s="83"/>
      <c r="H3291" s="83"/>
      <c r="K3291" s="82"/>
      <c r="M3291" s="112"/>
      <c r="N3291" s="84"/>
    </row>
    <row r="3292" spans="1:14" s="2" customFormat="1">
      <c r="A3292" s="83"/>
      <c r="H3292" s="83"/>
      <c r="K3292" s="82"/>
      <c r="M3292" s="112"/>
      <c r="N3292" s="84"/>
    </row>
    <row r="3293" spans="1:14" s="2" customFormat="1">
      <c r="A3293" s="83"/>
      <c r="H3293" s="83"/>
      <c r="K3293" s="82"/>
      <c r="M3293" s="112"/>
      <c r="N3293" s="84"/>
    </row>
    <row r="3294" spans="1:14" s="2" customFormat="1">
      <c r="A3294" s="83"/>
      <c r="H3294" s="83"/>
      <c r="K3294" s="82"/>
      <c r="M3294" s="112"/>
      <c r="N3294" s="84"/>
    </row>
    <row r="3295" spans="1:14" s="2" customFormat="1">
      <c r="A3295" s="83"/>
      <c r="H3295" s="83"/>
      <c r="K3295" s="82"/>
      <c r="M3295" s="112"/>
      <c r="N3295" s="84"/>
    </row>
    <row r="3296" spans="1:14" s="2" customFormat="1">
      <c r="A3296" s="83"/>
      <c r="H3296" s="83"/>
      <c r="K3296" s="82"/>
      <c r="M3296" s="112"/>
      <c r="N3296" s="84"/>
    </row>
    <row r="3297" spans="1:14" s="2" customFormat="1">
      <c r="A3297" s="83"/>
      <c r="H3297" s="83"/>
      <c r="K3297" s="82"/>
      <c r="M3297" s="112"/>
      <c r="N3297" s="84"/>
    </row>
    <row r="3298" spans="1:14" s="2" customFormat="1">
      <c r="A3298" s="83"/>
      <c r="H3298" s="83"/>
      <c r="K3298" s="82"/>
      <c r="M3298" s="112"/>
      <c r="N3298" s="84"/>
    </row>
    <row r="3299" spans="1:14" s="2" customFormat="1">
      <c r="A3299" s="83"/>
      <c r="H3299" s="83"/>
      <c r="K3299" s="82"/>
      <c r="M3299" s="112"/>
      <c r="N3299" s="84"/>
    </row>
    <row r="3300" spans="1:14" s="2" customFormat="1">
      <c r="A3300" s="83"/>
      <c r="H3300" s="83"/>
      <c r="K3300" s="82"/>
      <c r="M3300" s="112"/>
      <c r="N3300" s="84"/>
    </row>
    <row r="3301" spans="1:14" s="2" customFormat="1">
      <c r="A3301" s="83"/>
      <c r="H3301" s="83"/>
      <c r="K3301" s="82"/>
      <c r="M3301" s="112"/>
      <c r="N3301" s="84"/>
    </row>
    <row r="3302" spans="1:14" s="2" customFormat="1">
      <c r="A3302" s="83"/>
      <c r="H3302" s="83"/>
      <c r="K3302" s="82"/>
      <c r="M3302" s="112"/>
      <c r="N3302" s="84"/>
    </row>
    <row r="3303" spans="1:14" s="2" customFormat="1">
      <c r="A3303" s="83"/>
      <c r="H3303" s="83"/>
      <c r="K3303" s="82"/>
      <c r="M3303" s="112"/>
      <c r="N3303" s="84"/>
    </row>
    <row r="3304" spans="1:14" s="2" customFormat="1">
      <c r="A3304" s="83"/>
      <c r="H3304" s="83"/>
      <c r="K3304" s="82"/>
      <c r="M3304" s="112"/>
      <c r="N3304" s="84"/>
    </row>
    <row r="3305" spans="1:14" s="2" customFormat="1">
      <c r="A3305" s="83"/>
      <c r="H3305" s="83"/>
      <c r="K3305" s="82"/>
      <c r="M3305" s="112"/>
      <c r="N3305" s="84"/>
    </row>
    <row r="3306" spans="1:14" s="2" customFormat="1">
      <c r="A3306" s="83"/>
      <c r="H3306" s="83"/>
      <c r="K3306" s="82"/>
      <c r="M3306" s="112"/>
      <c r="N3306" s="84"/>
    </row>
    <row r="3307" spans="1:14" s="2" customFormat="1">
      <c r="A3307" s="83"/>
      <c r="H3307" s="83"/>
      <c r="K3307" s="82"/>
      <c r="M3307" s="112"/>
      <c r="N3307" s="84"/>
    </row>
    <row r="3308" spans="1:14" s="2" customFormat="1">
      <c r="A3308" s="83"/>
      <c r="H3308" s="83"/>
      <c r="K3308" s="82"/>
      <c r="M3308" s="112"/>
      <c r="N3308" s="84"/>
    </row>
    <row r="3309" spans="1:14" s="2" customFormat="1">
      <c r="A3309" s="83"/>
      <c r="H3309" s="83"/>
      <c r="K3309" s="82"/>
      <c r="M3309" s="112"/>
      <c r="N3309" s="84"/>
    </row>
    <row r="3310" spans="1:14" s="2" customFormat="1">
      <c r="A3310" s="83"/>
      <c r="H3310" s="83"/>
      <c r="K3310" s="82"/>
      <c r="M3310" s="112"/>
      <c r="N3310" s="84"/>
    </row>
    <row r="3311" spans="1:14" s="2" customFormat="1">
      <c r="A3311" s="83"/>
      <c r="H3311" s="83"/>
      <c r="K3311" s="82"/>
      <c r="M3311" s="112"/>
      <c r="N3311" s="84"/>
    </row>
    <row r="3312" spans="1:14" s="2" customFormat="1">
      <c r="A3312" s="83"/>
      <c r="H3312" s="83"/>
      <c r="K3312" s="82"/>
      <c r="M3312" s="112"/>
      <c r="N3312" s="84"/>
    </row>
    <row r="3313" spans="1:14" s="2" customFormat="1">
      <c r="A3313" s="83"/>
      <c r="H3313" s="83"/>
      <c r="K3313" s="82"/>
      <c r="M3313" s="112"/>
      <c r="N3313" s="84"/>
    </row>
    <row r="3314" spans="1:14" s="2" customFormat="1">
      <c r="A3314" s="83"/>
      <c r="H3314" s="83"/>
      <c r="K3314" s="82"/>
      <c r="M3314" s="112"/>
      <c r="N3314" s="84"/>
    </row>
    <row r="3315" spans="1:14" s="2" customFormat="1">
      <c r="A3315" s="83"/>
      <c r="H3315" s="83"/>
      <c r="K3315" s="82"/>
      <c r="M3315" s="112"/>
      <c r="N3315" s="84"/>
    </row>
    <row r="3316" spans="1:14" s="2" customFormat="1">
      <c r="A3316" s="83"/>
      <c r="H3316" s="83"/>
      <c r="K3316" s="82"/>
      <c r="M3316" s="112"/>
      <c r="N3316" s="84"/>
    </row>
    <row r="3317" spans="1:14" s="2" customFormat="1">
      <c r="A3317" s="83"/>
      <c r="H3317" s="83"/>
      <c r="K3317" s="82"/>
      <c r="M3317" s="112"/>
      <c r="N3317" s="84"/>
    </row>
    <row r="3318" spans="1:14" s="2" customFormat="1">
      <c r="A3318" s="83"/>
      <c r="H3318" s="83"/>
      <c r="K3318" s="82"/>
      <c r="M3318" s="112"/>
      <c r="N3318" s="84"/>
    </row>
    <row r="3319" spans="1:14" s="2" customFormat="1">
      <c r="A3319" s="83"/>
      <c r="H3319" s="83"/>
      <c r="K3319" s="82"/>
      <c r="M3319" s="112"/>
      <c r="N3319" s="84"/>
    </row>
    <row r="3320" spans="1:14" s="2" customFormat="1">
      <c r="A3320" s="83"/>
      <c r="H3320" s="83"/>
      <c r="K3320" s="82"/>
      <c r="M3320" s="112"/>
      <c r="N3320" s="84"/>
    </row>
    <row r="3321" spans="1:14" s="2" customFormat="1">
      <c r="A3321" s="83"/>
      <c r="H3321" s="83"/>
      <c r="K3321" s="82"/>
      <c r="M3321" s="112"/>
      <c r="N3321" s="84"/>
    </row>
    <row r="3322" spans="1:14" s="2" customFormat="1">
      <c r="A3322" s="83"/>
      <c r="H3322" s="83"/>
      <c r="K3322" s="82"/>
      <c r="M3322" s="112"/>
      <c r="N3322" s="84"/>
    </row>
    <row r="3323" spans="1:14" s="2" customFormat="1">
      <c r="A3323" s="83"/>
      <c r="H3323" s="83"/>
      <c r="K3323" s="82"/>
      <c r="M3323" s="112"/>
      <c r="N3323" s="84"/>
    </row>
    <row r="3324" spans="1:14" s="2" customFormat="1">
      <c r="A3324" s="83"/>
      <c r="H3324" s="83"/>
      <c r="K3324" s="82"/>
      <c r="M3324" s="112"/>
      <c r="N3324" s="84"/>
    </row>
    <row r="3325" spans="1:14" s="2" customFormat="1">
      <c r="A3325" s="83"/>
      <c r="H3325" s="83"/>
      <c r="K3325" s="82"/>
      <c r="M3325" s="112"/>
      <c r="N3325" s="84"/>
    </row>
    <row r="3326" spans="1:14" s="2" customFormat="1">
      <c r="A3326" s="83"/>
      <c r="H3326" s="83"/>
      <c r="K3326" s="82"/>
      <c r="M3326" s="112"/>
      <c r="N3326" s="84"/>
    </row>
    <row r="3327" spans="1:14" s="2" customFormat="1">
      <c r="A3327" s="83"/>
      <c r="H3327" s="83"/>
      <c r="K3327" s="82"/>
      <c r="M3327" s="112"/>
      <c r="N3327" s="84"/>
    </row>
    <row r="3328" spans="1:14" s="2" customFormat="1">
      <c r="A3328" s="83"/>
      <c r="H3328" s="83"/>
      <c r="K3328" s="82"/>
      <c r="M3328" s="112"/>
      <c r="N3328" s="84"/>
    </row>
    <row r="3329" spans="1:14" s="2" customFormat="1">
      <c r="A3329" s="83"/>
      <c r="H3329" s="83"/>
      <c r="K3329" s="82"/>
      <c r="M3329" s="112"/>
      <c r="N3329" s="84"/>
    </row>
    <row r="3330" spans="1:14" s="2" customFormat="1">
      <c r="A3330" s="83"/>
      <c r="H3330" s="83"/>
      <c r="K3330" s="82"/>
      <c r="M3330" s="112"/>
      <c r="N3330" s="84"/>
    </row>
    <row r="3331" spans="1:14" s="2" customFormat="1">
      <c r="A3331" s="83"/>
      <c r="H3331" s="83"/>
      <c r="K3331" s="82"/>
      <c r="M3331" s="112"/>
      <c r="N3331" s="84"/>
    </row>
    <row r="3332" spans="1:14" s="2" customFormat="1">
      <c r="A3332" s="83"/>
      <c r="H3332" s="83"/>
      <c r="K3332" s="82"/>
      <c r="M3332" s="112"/>
      <c r="N3332" s="84"/>
    </row>
    <row r="3333" spans="1:14" s="2" customFormat="1">
      <c r="A3333" s="83"/>
      <c r="H3333" s="83"/>
      <c r="K3333" s="82"/>
      <c r="M3333" s="112"/>
      <c r="N3333" s="84"/>
    </row>
    <row r="3334" spans="1:14" s="2" customFormat="1">
      <c r="A3334" s="83"/>
      <c r="H3334" s="83"/>
      <c r="K3334" s="82"/>
      <c r="M3334" s="112"/>
      <c r="N3334" s="84"/>
    </row>
    <row r="3335" spans="1:14" s="2" customFormat="1">
      <c r="A3335" s="83"/>
      <c r="H3335" s="83"/>
      <c r="K3335" s="82"/>
      <c r="M3335" s="112"/>
      <c r="N3335" s="84"/>
    </row>
    <row r="3336" spans="1:14" s="2" customFormat="1">
      <c r="A3336" s="83"/>
      <c r="H3336" s="83"/>
      <c r="K3336" s="82"/>
      <c r="M3336" s="112"/>
      <c r="N3336" s="84"/>
    </row>
    <row r="3337" spans="1:14" s="2" customFormat="1">
      <c r="A3337" s="83"/>
      <c r="H3337" s="83"/>
      <c r="K3337" s="82"/>
      <c r="M3337" s="112"/>
      <c r="N3337" s="84"/>
    </row>
    <row r="3338" spans="1:14" s="2" customFormat="1">
      <c r="A3338" s="83"/>
      <c r="H3338" s="83"/>
      <c r="K3338" s="82"/>
      <c r="M3338" s="112"/>
      <c r="N3338" s="84"/>
    </row>
    <row r="3339" spans="1:14" s="2" customFormat="1">
      <c r="A3339" s="83"/>
      <c r="H3339" s="83"/>
      <c r="K3339" s="82"/>
      <c r="M3339" s="112"/>
      <c r="N3339" s="84"/>
    </row>
    <row r="3340" spans="1:14" s="2" customFormat="1">
      <c r="A3340" s="83"/>
      <c r="H3340" s="83"/>
      <c r="K3340" s="82"/>
      <c r="M3340" s="112"/>
      <c r="N3340" s="84"/>
    </row>
    <row r="3341" spans="1:14" s="2" customFormat="1">
      <c r="A3341" s="83"/>
      <c r="H3341" s="83"/>
      <c r="K3341" s="82"/>
      <c r="M3341" s="112"/>
      <c r="N3341" s="84"/>
    </row>
    <row r="3342" spans="1:14" s="2" customFormat="1">
      <c r="A3342" s="83"/>
      <c r="H3342" s="83"/>
      <c r="K3342" s="82"/>
      <c r="M3342" s="112"/>
      <c r="N3342" s="84"/>
    </row>
    <row r="3343" spans="1:14" s="2" customFormat="1">
      <c r="A3343" s="83"/>
      <c r="H3343" s="83"/>
      <c r="K3343" s="82"/>
      <c r="M3343" s="112"/>
      <c r="N3343" s="84"/>
    </row>
    <row r="3344" spans="1:14" s="2" customFormat="1">
      <c r="A3344" s="83"/>
      <c r="H3344" s="83"/>
      <c r="K3344" s="82"/>
      <c r="M3344" s="112"/>
      <c r="N3344" s="84"/>
    </row>
    <row r="3345" spans="1:14" s="2" customFormat="1">
      <c r="A3345" s="83"/>
      <c r="H3345" s="83"/>
      <c r="K3345" s="82"/>
      <c r="M3345" s="112"/>
      <c r="N3345" s="84"/>
    </row>
    <row r="3346" spans="1:14" s="2" customFormat="1">
      <c r="A3346" s="83"/>
      <c r="H3346" s="83"/>
      <c r="K3346" s="82"/>
      <c r="M3346" s="112"/>
      <c r="N3346" s="84"/>
    </row>
    <row r="3347" spans="1:14" s="2" customFormat="1">
      <c r="A3347" s="83"/>
      <c r="H3347" s="83"/>
      <c r="K3347" s="82"/>
      <c r="M3347" s="112"/>
      <c r="N3347" s="84"/>
    </row>
    <row r="3348" spans="1:14" s="2" customFormat="1">
      <c r="A3348" s="83"/>
      <c r="H3348" s="83"/>
      <c r="K3348" s="82"/>
      <c r="M3348" s="112"/>
      <c r="N3348" s="84"/>
    </row>
    <row r="3349" spans="1:14" s="2" customFormat="1">
      <c r="A3349" s="83"/>
      <c r="H3349" s="83"/>
      <c r="K3349" s="82"/>
      <c r="M3349" s="112"/>
      <c r="N3349" s="84"/>
    </row>
    <row r="3350" spans="1:14" s="2" customFormat="1">
      <c r="A3350" s="83"/>
      <c r="H3350" s="83"/>
      <c r="K3350" s="82"/>
      <c r="M3350" s="112"/>
      <c r="N3350" s="84"/>
    </row>
    <row r="3351" spans="1:14" s="2" customFormat="1">
      <c r="A3351" s="83"/>
      <c r="H3351" s="83"/>
      <c r="K3351" s="82"/>
      <c r="M3351" s="112"/>
      <c r="N3351" s="84"/>
    </row>
    <row r="3352" spans="1:14" s="2" customFormat="1">
      <c r="A3352" s="83"/>
      <c r="H3352" s="83"/>
      <c r="K3352" s="82"/>
      <c r="M3352" s="112"/>
      <c r="N3352" s="84"/>
    </row>
    <row r="3353" spans="1:14" s="2" customFormat="1">
      <c r="A3353" s="83"/>
      <c r="H3353" s="83"/>
      <c r="K3353" s="82"/>
      <c r="M3353" s="112"/>
      <c r="N3353" s="84"/>
    </row>
    <row r="3354" spans="1:14" s="2" customFormat="1">
      <c r="A3354" s="83"/>
      <c r="H3354" s="83"/>
      <c r="K3354" s="82"/>
      <c r="M3354" s="112"/>
      <c r="N3354" s="84"/>
    </row>
    <row r="3355" spans="1:14" s="2" customFormat="1">
      <c r="A3355" s="83"/>
      <c r="H3355" s="83"/>
      <c r="K3355" s="82"/>
      <c r="M3355" s="112"/>
      <c r="N3355" s="84"/>
    </row>
    <row r="3356" spans="1:14" s="2" customFormat="1">
      <c r="A3356" s="83"/>
      <c r="H3356" s="83"/>
      <c r="K3356" s="82"/>
      <c r="M3356" s="112"/>
      <c r="N3356" s="84"/>
    </row>
    <row r="3357" spans="1:14" s="2" customFormat="1">
      <c r="A3357" s="83"/>
      <c r="H3357" s="83"/>
      <c r="K3357" s="82"/>
      <c r="M3357" s="112"/>
      <c r="N3357" s="84"/>
    </row>
    <row r="3358" spans="1:14" s="2" customFormat="1">
      <c r="A3358" s="83"/>
      <c r="H3358" s="83"/>
      <c r="K3358" s="82"/>
      <c r="M3358" s="112"/>
      <c r="N3358" s="84"/>
    </row>
    <row r="3359" spans="1:14" s="2" customFormat="1">
      <c r="A3359" s="83"/>
      <c r="H3359" s="83"/>
      <c r="K3359" s="82"/>
      <c r="M3359" s="112"/>
      <c r="N3359" s="84"/>
    </row>
    <row r="3360" spans="1:14" s="2" customFormat="1">
      <c r="A3360" s="83"/>
      <c r="H3360" s="83"/>
      <c r="K3360" s="82"/>
      <c r="M3360" s="112"/>
      <c r="N3360" s="84"/>
    </row>
    <row r="3361" spans="1:14" s="2" customFormat="1">
      <c r="A3361" s="83"/>
      <c r="H3361" s="83"/>
      <c r="K3361" s="82"/>
      <c r="M3361" s="112"/>
      <c r="N3361" s="84"/>
    </row>
    <row r="3362" spans="1:14" s="2" customFormat="1">
      <c r="A3362" s="83"/>
      <c r="H3362" s="83"/>
      <c r="K3362" s="82"/>
      <c r="M3362" s="112"/>
      <c r="N3362" s="84"/>
    </row>
    <row r="3363" spans="1:14" s="2" customFormat="1">
      <c r="A3363" s="83"/>
      <c r="H3363" s="83"/>
      <c r="K3363" s="82"/>
      <c r="M3363" s="112"/>
      <c r="N3363" s="84"/>
    </row>
    <row r="3364" spans="1:14" s="2" customFormat="1">
      <c r="A3364" s="83"/>
      <c r="H3364" s="83"/>
      <c r="K3364" s="82"/>
      <c r="M3364" s="112"/>
      <c r="N3364" s="84"/>
    </row>
    <row r="3365" spans="1:14" s="2" customFormat="1">
      <c r="A3365" s="83"/>
      <c r="H3365" s="83"/>
      <c r="K3365" s="82"/>
      <c r="M3365" s="112"/>
      <c r="N3365" s="84"/>
    </row>
    <row r="3366" spans="1:14" s="2" customFormat="1">
      <c r="A3366" s="83"/>
      <c r="H3366" s="83"/>
      <c r="K3366" s="82"/>
      <c r="M3366" s="112"/>
      <c r="N3366" s="84"/>
    </row>
    <row r="3367" spans="1:14" s="2" customFormat="1">
      <c r="A3367" s="83"/>
      <c r="H3367" s="83"/>
      <c r="K3367" s="82"/>
      <c r="M3367" s="112"/>
      <c r="N3367" s="84"/>
    </row>
    <row r="3368" spans="1:14" s="2" customFormat="1">
      <c r="A3368" s="83"/>
      <c r="H3368" s="83"/>
      <c r="K3368" s="82"/>
      <c r="M3368" s="112"/>
      <c r="N3368" s="84"/>
    </row>
    <row r="3369" spans="1:14" s="2" customFormat="1">
      <c r="A3369" s="83"/>
      <c r="H3369" s="83"/>
      <c r="K3369" s="82"/>
      <c r="M3369" s="112"/>
      <c r="N3369" s="84"/>
    </row>
    <row r="3370" spans="1:14" s="2" customFormat="1">
      <c r="A3370" s="83"/>
      <c r="H3370" s="83"/>
      <c r="K3370" s="82"/>
      <c r="M3370" s="112"/>
      <c r="N3370" s="84"/>
    </row>
    <row r="3371" spans="1:14" s="2" customFormat="1">
      <c r="A3371" s="83"/>
      <c r="H3371" s="83"/>
      <c r="K3371" s="82"/>
      <c r="M3371" s="112"/>
      <c r="N3371" s="84"/>
    </row>
    <row r="3372" spans="1:14" s="2" customFormat="1">
      <c r="A3372" s="83"/>
      <c r="H3372" s="83"/>
      <c r="K3372" s="82"/>
      <c r="M3372" s="112"/>
      <c r="N3372" s="84"/>
    </row>
    <row r="3373" spans="1:14" s="2" customFormat="1">
      <c r="A3373" s="83"/>
      <c r="H3373" s="83"/>
      <c r="K3373" s="82"/>
      <c r="M3373" s="112"/>
      <c r="N3373" s="84"/>
    </row>
    <row r="3374" spans="1:14" s="2" customFormat="1">
      <c r="A3374" s="83"/>
      <c r="H3374" s="83"/>
      <c r="K3374" s="82"/>
      <c r="M3374" s="112"/>
      <c r="N3374" s="84"/>
    </row>
    <row r="3375" spans="1:14" s="2" customFormat="1">
      <c r="A3375" s="83"/>
      <c r="H3375" s="83"/>
      <c r="K3375" s="82"/>
      <c r="M3375" s="112"/>
      <c r="N3375" s="84"/>
    </row>
    <row r="3376" spans="1:14" s="2" customFormat="1">
      <c r="A3376" s="83"/>
      <c r="H3376" s="83"/>
      <c r="K3376" s="82"/>
      <c r="M3376" s="112"/>
      <c r="N3376" s="84"/>
    </row>
    <row r="3377" spans="1:14" s="2" customFormat="1">
      <c r="A3377" s="83"/>
      <c r="H3377" s="83"/>
      <c r="K3377" s="82"/>
      <c r="M3377" s="112"/>
      <c r="N3377" s="84"/>
    </row>
    <row r="3378" spans="1:14" s="2" customFormat="1">
      <c r="A3378" s="83"/>
      <c r="H3378" s="83"/>
      <c r="K3378" s="82"/>
      <c r="M3378" s="112"/>
      <c r="N3378" s="84"/>
    </row>
    <row r="3379" spans="1:14" s="2" customFormat="1">
      <c r="A3379" s="83"/>
      <c r="H3379" s="83"/>
      <c r="K3379" s="82"/>
      <c r="M3379" s="112"/>
      <c r="N3379" s="84"/>
    </row>
    <row r="3380" spans="1:14" s="2" customFormat="1">
      <c r="A3380" s="83"/>
      <c r="H3380" s="83"/>
      <c r="K3380" s="82"/>
      <c r="M3380" s="112"/>
      <c r="N3380" s="84"/>
    </row>
    <row r="3381" spans="1:14" s="2" customFormat="1">
      <c r="A3381" s="83"/>
      <c r="H3381" s="83"/>
      <c r="K3381" s="82"/>
      <c r="M3381" s="112"/>
      <c r="N3381" s="84"/>
    </row>
    <row r="3382" spans="1:14" s="2" customFormat="1">
      <c r="A3382" s="83"/>
      <c r="H3382" s="83"/>
      <c r="K3382" s="82"/>
      <c r="M3382" s="112"/>
      <c r="N3382" s="84"/>
    </row>
    <row r="3383" spans="1:14" s="2" customFormat="1">
      <c r="A3383" s="83"/>
      <c r="H3383" s="83"/>
      <c r="K3383" s="82"/>
      <c r="M3383" s="112"/>
      <c r="N3383" s="84"/>
    </row>
    <row r="3384" spans="1:14" s="2" customFormat="1">
      <c r="A3384" s="83"/>
      <c r="H3384" s="83"/>
      <c r="K3384" s="82"/>
      <c r="M3384" s="112"/>
      <c r="N3384" s="84"/>
    </row>
    <row r="3385" spans="1:14" s="2" customFormat="1">
      <c r="A3385" s="83"/>
      <c r="H3385" s="83"/>
      <c r="K3385" s="82"/>
      <c r="M3385" s="112"/>
      <c r="N3385" s="84"/>
    </row>
    <row r="3386" spans="1:14" s="2" customFormat="1">
      <c r="A3386" s="83"/>
      <c r="H3386" s="83"/>
      <c r="K3386" s="82"/>
      <c r="M3386" s="112"/>
      <c r="N3386" s="84"/>
    </row>
    <row r="3387" spans="1:14" s="2" customFormat="1">
      <c r="A3387" s="83"/>
      <c r="H3387" s="83"/>
      <c r="K3387" s="82"/>
      <c r="M3387" s="112"/>
      <c r="N3387" s="84"/>
    </row>
    <row r="3388" spans="1:14" s="2" customFormat="1">
      <c r="A3388" s="83"/>
      <c r="H3388" s="83"/>
      <c r="K3388" s="82"/>
      <c r="M3388" s="112"/>
      <c r="N3388" s="84"/>
    </row>
    <row r="3389" spans="1:14" s="2" customFormat="1">
      <c r="A3389" s="83"/>
      <c r="H3389" s="83"/>
      <c r="K3389" s="82"/>
      <c r="M3389" s="112"/>
      <c r="N3389" s="84"/>
    </row>
    <row r="3390" spans="1:14" s="2" customFormat="1">
      <c r="A3390" s="83"/>
      <c r="H3390" s="83"/>
      <c r="K3390" s="82"/>
      <c r="M3390" s="112"/>
      <c r="N3390" s="84"/>
    </row>
    <row r="3391" spans="1:14" s="2" customFormat="1">
      <c r="A3391" s="83"/>
      <c r="H3391" s="83"/>
      <c r="K3391" s="82"/>
      <c r="M3391" s="112"/>
      <c r="N3391" s="84"/>
    </row>
    <row r="3392" spans="1:14" s="2" customFormat="1">
      <c r="A3392" s="83"/>
      <c r="H3392" s="83"/>
      <c r="K3392" s="82"/>
      <c r="M3392" s="112"/>
      <c r="N3392" s="84"/>
    </row>
    <row r="3393" spans="1:14" s="2" customFormat="1">
      <c r="A3393" s="83"/>
      <c r="H3393" s="83"/>
      <c r="K3393" s="82"/>
      <c r="M3393" s="112"/>
      <c r="N3393" s="84"/>
    </row>
    <row r="3394" spans="1:14" s="2" customFormat="1">
      <c r="A3394" s="83"/>
      <c r="H3394" s="83"/>
      <c r="K3394" s="82"/>
      <c r="M3394" s="112"/>
      <c r="N3394" s="84"/>
    </row>
    <row r="3395" spans="1:14" s="2" customFormat="1">
      <c r="A3395" s="83"/>
      <c r="H3395" s="83"/>
      <c r="K3395" s="82"/>
      <c r="M3395" s="112"/>
      <c r="N3395" s="84"/>
    </row>
    <row r="3396" spans="1:14" s="2" customFormat="1">
      <c r="A3396" s="83"/>
      <c r="H3396" s="83"/>
      <c r="K3396" s="82"/>
      <c r="M3396" s="112"/>
      <c r="N3396" s="84"/>
    </row>
    <row r="3397" spans="1:14" s="2" customFormat="1">
      <c r="A3397" s="83"/>
      <c r="H3397" s="83"/>
      <c r="K3397" s="82"/>
      <c r="M3397" s="112"/>
      <c r="N3397" s="84"/>
    </row>
    <row r="3398" spans="1:14" s="2" customFormat="1">
      <c r="A3398" s="83"/>
      <c r="H3398" s="83"/>
      <c r="K3398" s="82"/>
      <c r="M3398" s="112"/>
      <c r="N3398" s="84"/>
    </row>
    <row r="3399" spans="1:14" s="2" customFormat="1">
      <c r="A3399" s="83"/>
      <c r="H3399" s="83"/>
      <c r="K3399" s="82"/>
      <c r="M3399" s="112"/>
      <c r="N3399" s="84"/>
    </row>
    <row r="3400" spans="1:14" s="2" customFormat="1">
      <c r="A3400" s="83"/>
      <c r="H3400" s="83"/>
      <c r="K3400" s="82"/>
      <c r="M3400" s="112"/>
      <c r="N3400" s="84"/>
    </row>
    <row r="3401" spans="1:14" s="2" customFormat="1">
      <c r="A3401" s="83"/>
      <c r="H3401" s="83"/>
      <c r="K3401" s="82"/>
      <c r="M3401" s="112"/>
      <c r="N3401" s="84"/>
    </row>
    <row r="3402" spans="1:14" s="2" customFormat="1">
      <c r="A3402" s="83"/>
      <c r="H3402" s="83"/>
      <c r="K3402" s="82"/>
      <c r="M3402" s="112"/>
      <c r="N3402" s="84"/>
    </row>
    <row r="3403" spans="1:14" s="2" customFormat="1">
      <c r="A3403" s="83"/>
      <c r="H3403" s="83"/>
      <c r="K3403" s="82"/>
      <c r="M3403" s="112"/>
      <c r="N3403" s="84"/>
    </row>
    <row r="3404" spans="1:14" s="2" customFormat="1">
      <c r="A3404" s="83"/>
      <c r="H3404" s="83"/>
      <c r="K3404" s="82"/>
      <c r="M3404" s="112"/>
      <c r="N3404" s="84"/>
    </row>
    <row r="3405" spans="1:14" s="2" customFormat="1">
      <c r="A3405" s="83"/>
      <c r="H3405" s="83"/>
      <c r="K3405" s="82"/>
      <c r="M3405" s="112"/>
      <c r="N3405" s="84"/>
    </row>
    <row r="3406" spans="1:14" s="2" customFormat="1">
      <c r="A3406" s="83"/>
      <c r="H3406" s="83"/>
      <c r="K3406" s="82"/>
      <c r="M3406" s="112"/>
      <c r="N3406" s="84"/>
    </row>
    <row r="3407" spans="1:14" s="2" customFormat="1">
      <c r="A3407" s="83"/>
      <c r="H3407" s="83"/>
      <c r="K3407" s="82"/>
      <c r="M3407" s="112"/>
      <c r="N3407" s="84"/>
    </row>
    <row r="3408" spans="1:14" s="2" customFormat="1">
      <c r="A3408" s="83"/>
      <c r="H3408" s="83"/>
      <c r="K3408" s="82"/>
      <c r="M3408" s="112"/>
      <c r="N3408" s="84"/>
    </row>
    <row r="3409" spans="1:14" s="2" customFormat="1">
      <c r="A3409" s="83"/>
      <c r="H3409" s="83"/>
      <c r="K3409" s="82"/>
      <c r="M3409" s="112"/>
      <c r="N3409" s="84"/>
    </row>
    <row r="3410" spans="1:14" s="2" customFormat="1">
      <c r="A3410" s="83"/>
      <c r="H3410" s="83"/>
      <c r="K3410" s="82"/>
      <c r="M3410" s="112"/>
      <c r="N3410" s="84"/>
    </row>
    <row r="3411" spans="1:14" s="2" customFormat="1">
      <c r="A3411" s="83"/>
      <c r="H3411" s="83"/>
      <c r="K3411" s="82"/>
      <c r="M3411" s="112"/>
      <c r="N3411" s="84"/>
    </row>
    <row r="3412" spans="1:14" s="2" customFormat="1">
      <c r="A3412" s="83"/>
      <c r="H3412" s="83"/>
      <c r="K3412" s="82"/>
      <c r="M3412" s="112"/>
      <c r="N3412" s="84"/>
    </row>
    <row r="3413" spans="1:14" s="2" customFormat="1">
      <c r="A3413" s="83"/>
      <c r="H3413" s="83"/>
      <c r="K3413" s="82"/>
      <c r="M3413" s="112"/>
      <c r="N3413" s="84"/>
    </row>
    <row r="3414" spans="1:14" s="2" customFormat="1">
      <c r="A3414" s="83"/>
      <c r="H3414" s="83"/>
      <c r="K3414" s="82"/>
      <c r="M3414" s="112"/>
      <c r="N3414" s="84"/>
    </row>
    <row r="3415" spans="1:14" s="2" customFormat="1">
      <c r="A3415" s="83"/>
      <c r="H3415" s="83"/>
      <c r="K3415" s="82"/>
      <c r="M3415" s="112"/>
      <c r="N3415" s="84"/>
    </row>
    <row r="3416" spans="1:14" s="2" customFormat="1">
      <c r="A3416" s="83"/>
      <c r="H3416" s="83"/>
      <c r="K3416" s="82"/>
      <c r="M3416" s="112"/>
      <c r="N3416" s="84"/>
    </row>
    <row r="3417" spans="1:14" s="2" customFormat="1">
      <c r="A3417" s="83"/>
      <c r="H3417" s="83"/>
      <c r="K3417" s="82"/>
      <c r="M3417" s="112"/>
      <c r="N3417" s="84"/>
    </row>
    <row r="3418" spans="1:14" s="2" customFormat="1">
      <c r="A3418" s="83"/>
      <c r="H3418" s="83"/>
      <c r="K3418" s="82"/>
      <c r="M3418" s="112"/>
      <c r="N3418" s="84"/>
    </row>
    <row r="3419" spans="1:14" s="2" customFormat="1">
      <c r="A3419" s="83"/>
      <c r="H3419" s="83"/>
      <c r="K3419" s="82"/>
      <c r="M3419" s="112"/>
      <c r="N3419" s="84"/>
    </row>
    <row r="3420" spans="1:14" s="2" customFormat="1">
      <c r="A3420" s="83"/>
      <c r="H3420" s="83"/>
      <c r="K3420" s="82"/>
      <c r="M3420" s="112"/>
      <c r="N3420" s="84"/>
    </row>
    <row r="3421" spans="1:14" s="2" customFormat="1">
      <c r="A3421" s="83"/>
      <c r="H3421" s="83"/>
      <c r="K3421" s="82"/>
      <c r="M3421" s="112"/>
      <c r="N3421" s="84"/>
    </row>
    <row r="3422" spans="1:14" s="2" customFormat="1">
      <c r="A3422" s="83"/>
      <c r="H3422" s="83"/>
      <c r="K3422" s="82"/>
      <c r="M3422" s="112"/>
      <c r="N3422" s="84"/>
    </row>
    <row r="3423" spans="1:14" s="2" customFormat="1">
      <c r="A3423" s="83"/>
      <c r="H3423" s="83"/>
      <c r="K3423" s="82"/>
      <c r="M3423" s="112"/>
      <c r="N3423" s="84"/>
    </row>
    <row r="3424" spans="1:14" s="2" customFormat="1">
      <c r="A3424" s="83"/>
      <c r="H3424" s="83"/>
      <c r="K3424" s="82"/>
      <c r="M3424" s="112"/>
      <c r="N3424" s="84"/>
    </row>
    <row r="3425" spans="1:14" s="2" customFormat="1">
      <c r="A3425" s="83"/>
      <c r="H3425" s="83"/>
      <c r="K3425" s="82"/>
      <c r="M3425" s="112"/>
      <c r="N3425" s="84"/>
    </row>
    <row r="3426" spans="1:14" s="2" customFormat="1">
      <c r="A3426" s="83"/>
      <c r="H3426" s="83"/>
      <c r="K3426" s="82"/>
      <c r="M3426" s="112"/>
      <c r="N3426" s="84"/>
    </row>
    <row r="3427" spans="1:14" s="2" customFormat="1">
      <c r="A3427" s="83"/>
      <c r="H3427" s="83"/>
      <c r="K3427" s="82"/>
      <c r="M3427" s="112"/>
      <c r="N3427" s="84"/>
    </row>
    <row r="3428" spans="1:14" s="2" customFormat="1">
      <c r="A3428" s="83"/>
      <c r="H3428" s="83"/>
      <c r="K3428" s="82"/>
      <c r="M3428" s="112"/>
      <c r="N3428" s="84"/>
    </row>
    <row r="3429" spans="1:14" s="2" customFormat="1">
      <c r="A3429" s="83"/>
      <c r="H3429" s="83"/>
      <c r="K3429" s="82"/>
      <c r="M3429" s="112"/>
      <c r="N3429" s="84"/>
    </row>
    <row r="3430" spans="1:14" s="2" customFormat="1">
      <c r="A3430" s="83"/>
      <c r="H3430" s="83"/>
      <c r="K3430" s="82"/>
      <c r="M3430" s="112"/>
      <c r="N3430" s="84"/>
    </row>
    <row r="3431" spans="1:14" s="2" customFormat="1">
      <c r="A3431" s="83"/>
      <c r="H3431" s="83"/>
      <c r="K3431" s="82"/>
      <c r="M3431" s="112"/>
      <c r="N3431" s="84"/>
    </row>
    <row r="3432" spans="1:14" s="2" customFormat="1">
      <c r="A3432" s="83"/>
      <c r="H3432" s="83"/>
      <c r="K3432" s="82"/>
      <c r="M3432" s="112"/>
      <c r="N3432" s="84"/>
    </row>
    <row r="3433" spans="1:14" s="2" customFormat="1">
      <c r="A3433" s="83"/>
      <c r="H3433" s="83"/>
      <c r="K3433" s="82"/>
      <c r="M3433" s="112"/>
      <c r="N3433" s="84"/>
    </row>
    <row r="3434" spans="1:14" s="2" customFormat="1">
      <c r="A3434" s="83"/>
      <c r="H3434" s="83"/>
      <c r="K3434" s="82"/>
      <c r="M3434" s="112"/>
      <c r="N3434" s="84"/>
    </row>
    <row r="3435" spans="1:14" s="2" customFormat="1">
      <c r="A3435" s="83"/>
      <c r="H3435" s="83"/>
      <c r="K3435" s="82"/>
      <c r="M3435" s="112"/>
      <c r="N3435" s="84"/>
    </row>
    <row r="3436" spans="1:14" s="2" customFormat="1">
      <c r="A3436" s="83"/>
      <c r="H3436" s="83"/>
      <c r="K3436" s="82"/>
      <c r="M3436" s="112"/>
      <c r="N3436" s="84"/>
    </row>
    <row r="3437" spans="1:14" s="2" customFormat="1">
      <c r="A3437" s="83"/>
      <c r="H3437" s="83"/>
      <c r="K3437" s="82"/>
      <c r="M3437" s="112"/>
      <c r="N3437" s="84"/>
    </row>
    <row r="3438" spans="1:14" s="2" customFormat="1">
      <c r="A3438" s="83"/>
      <c r="H3438" s="83"/>
      <c r="K3438" s="82"/>
      <c r="M3438" s="112"/>
      <c r="N3438" s="84"/>
    </row>
    <row r="3439" spans="1:14" s="2" customFormat="1">
      <c r="A3439" s="83"/>
      <c r="H3439" s="83"/>
      <c r="K3439" s="82"/>
      <c r="M3439" s="112"/>
      <c r="N3439" s="84"/>
    </row>
    <row r="3440" spans="1:14" s="2" customFormat="1">
      <c r="A3440" s="83"/>
      <c r="H3440" s="83"/>
      <c r="K3440" s="82"/>
      <c r="M3440" s="112"/>
      <c r="N3440" s="84"/>
    </row>
    <row r="3441" spans="1:14" s="2" customFormat="1">
      <c r="A3441" s="83"/>
      <c r="H3441" s="83"/>
      <c r="K3441" s="82"/>
      <c r="M3441" s="112"/>
      <c r="N3441" s="84"/>
    </row>
    <row r="3442" spans="1:14" s="2" customFormat="1">
      <c r="A3442" s="83"/>
      <c r="H3442" s="83"/>
      <c r="K3442" s="82"/>
      <c r="M3442" s="112"/>
      <c r="N3442" s="84"/>
    </row>
    <row r="3443" spans="1:14" s="2" customFormat="1">
      <c r="A3443" s="83"/>
      <c r="H3443" s="83"/>
      <c r="K3443" s="82"/>
      <c r="M3443" s="112"/>
      <c r="N3443" s="84"/>
    </row>
    <row r="3444" spans="1:14" s="2" customFormat="1">
      <c r="A3444" s="83"/>
      <c r="H3444" s="83"/>
      <c r="K3444" s="82"/>
      <c r="M3444" s="112"/>
      <c r="N3444" s="84"/>
    </row>
    <row r="3445" spans="1:14" s="2" customFormat="1">
      <c r="A3445" s="83"/>
      <c r="H3445" s="83"/>
      <c r="K3445" s="82"/>
      <c r="M3445" s="112"/>
      <c r="N3445" s="84"/>
    </row>
    <row r="3446" spans="1:14" s="2" customFormat="1">
      <c r="A3446" s="83"/>
      <c r="H3446" s="83"/>
      <c r="K3446" s="82"/>
      <c r="M3446" s="112"/>
      <c r="N3446" s="84"/>
    </row>
    <row r="3447" spans="1:14" s="2" customFormat="1">
      <c r="A3447" s="83"/>
      <c r="H3447" s="83"/>
      <c r="K3447" s="82"/>
      <c r="M3447" s="112"/>
      <c r="N3447" s="84"/>
    </row>
    <row r="3448" spans="1:14" s="2" customFormat="1">
      <c r="A3448" s="83"/>
      <c r="H3448" s="83"/>
      <c r="K3448" s="82"/>
      <c r="M3448" s="112"/>
      <c r="N3448" s="84"/>
    </row>
    <row r="3449" spans="1:14" s="2" customFormat="1">
      <c r="A3449" s="83"/>
      <c r="H3449" s="83"/>
      <c r="K3449" s="82"/>
      <c r="M3449" s="112"/>
      <c r="N3449" s="84"/>
    </row>
    <row r="3450" spans="1:14" s="2" customFormat="1">
      <c r="A3450" s="83"/>
      <c r="H3450" s="83"/>
      <c r="K3450" s="82"/>
      <c r="M3450" s="112"/>
      <c r="N3450" s="84"/>
    </row>
    <row r="3451" spans="1:14" s="2" customFormat="1">
      <c r="A3451" s="83"/>
      <c r="H3451" s="83"/>
      <c r="K3451" s="82"/>
      <c r="M3451" s="112"/>
      <c r="N3451" s="84"/>
    </row>
    <row r="3452" spans="1:14" s="2" customFormat="1">
      <c r="A3452" s="83"/>
      <c r="H3452" s="83"/>
      <c r="K3452" s="82"/>
      <c r="M3452" s="112"/>
      <c r="N3452" s="84"/>
    </row>
    <row r="3453" spans="1:14" s="2" customFormat="1">
      <c r="A3453" s="83"/>
      <c r="H3453" s="83"/>
      <c r="K3453" s="82"/>
      <c r="M3453" s="112"/>
      <c r="N3453" s="84"/>
    </row>
    <row r="3454" spans="1:14" s="2" customFormat="1">
      <c r="A3454" s="83"/>
      <c r="H3454" s="83"/>
      <c r="K3454" s="82"/>
      <c r="M3454" s="112"/>
      <c r="N3454" s="84"/>
    </row>
    <row r="3455" spans="1:14" s="2" customFormat="1">
      <c r="A3455" s="83"/>
      <c r="H3455" s="83"/>
      <c r="K3455" s="82"/>
      <c r="M3455" s="112"/>
      <c r="N3455" s="84"/>
    </row>
    <row r="3456" spans="1:14" s="2" customFormat="1">
      <c r="A3456" s="83"/>
      <c r="H3456" s="83"/>
      <c r="K3456" s="82"/>
      <c r="M3456" s="112"/>
      <c r="N3456" s="84"/>
    </row>
    <row r="3457" spans="1:14" s="2" customFormat="1">
      <c r="A3457" s="83"/>
      <c r="H3457" s="83"/>
      <c r="K3457" s="82"/>
      <c r="M3457" s="112"/>
      <c r="N3457" s="84"/>
    </row>
    <row r="3458" spans="1:14" s="2" customFormat="1">
      <c r="A3458" s="83"/>
      <c r="H3458" s="83"/>
      <c r="K3458" s="82"/>
      <c r="M3458" s="112"/>
      <c r="N3458" s="84"/>
    </row>
    <row r="3459" spans="1:14" s="2" customFormat="1">
      <c r="A3459" s="83"/>
      <c r="H3459" s="83"/>
      <c r="K3459" s="82"/>
      <c r="M3459" s="112"/>
      <c r="N3459" s="84"/>
    </row>
    <row r="3460" spans="1:14" s="2" customFormat="1">
      <c r="A3460" s="83"/>
      <c r="H3460" s="83"/>
      <c r="K3460" s="82"/>
      <c r="M3460" s="112"/>
      <c r="N3460" s="84"/>
    </row>
    <row r="3461" spans="1:14" s="2" customFormat="1">
      <c r="A3461" s="83"/>
      <c r="H3461" s="83"/>
      <c r="K3461" s="82"/>
      <c r="M3461" s="112"/>
      <c r="N3461" s="84"/>
    </row>
    <row r="3462" spans="1:14" s="2" customFormat="1">
      <c r="A3462" s="83"/>
      <c r="H3462" s="83"/>
      <c r="K3462" s="82"/>
      <c r="M3462" s="112"/>
      <c r="N3462" s="84"/>
    </row>
    <row r="3463" spans="1:14" s="2" customFormat="1">
      <c r="A3463" s="83"/>
      <c r="H3463" s="83"/>
      <c r="K3463" s="82"/>
      <c r="M3463" s="112"/>
      <c r="N3463" s="84"/>
    </row>
    <row r="3464" spans="1:14" s="2" customFormat="1">
      <c r="A3464" s="83"/>
      <c r="H3464" s="83"/>
      <c r="K3464" s="82"/>
      <c r="M3464" s="112"/>
      <c r="N3464" s="84"/>
    </row>
    <row r="3465" spans="1:14" s="2" customFormat="1">
      <c r="A3465" s="83"/>
      <c r="H3465" s="83"/>
      <c r="K3465" s="82"/>
      <c r="M3465" s="112"/>
      <c r="N3465" s="84"/>
    </row>
    <row r="3466" spans="1:14" s="2" customFormat="1">
      <c r="A3466" s="83"/>
      <c r="H3466" s="83"/>
      <c r="K3466" s="82"/>
      <c r="M3466" s="112"/>
      <c r="N3466" s="84"/>
    </row>
    <row r="3467" spans="1:14" s="2" customFormat="1">
      <c r="A3467" s="83"/>
      <c r="H3467" s="83"/>
      <c r="K3467" s="82"/>
      <c r="M3467" s="112"/>
      <c r="N3467" s="84"/>
    </row>
    <row r="3468" spans="1:14" s="2" customFormat="1">
      <c r="A3468" s="83"/>
      <c r="H3468" s="83"/>
      <c r="K3468" s="82"/>
      <c r="M3468" s="112"/>
      <c r="N3468" s="84"/>
    </row>
    <row r="3469" spans="1:14" s="2" customFormat="1">
      <c r="A3469" s="83"/>
      <c r="H3469" s="83"/>
      <c r="K3469" s="82"/>
      <c r="M3469" s="112"/>
      <c r="N3469" s="84"/>
    </row>
    <row r="3470" spans="1:14" s="2" customFormat="1">
      <c r="A3470" s="83"/>
      <c r="H3470" s="83"/>
      <c r="K3470" s="82"/>
      <c r="M3470" s="112"/>
      <c r="N3470" s="84"/>
    </row>
    <row r="3471" spans="1:14" s="2" customFormat="1">
      <c r="A3471" s="83"/>
      <c r="H3471" s="83"/>
      <c r="K3471" s="82"/>
      <c r="M3471" s="112"/>
      <c r="N3471" s="84"/>
    </row>
    <row r="3472" spans="1:14" s="2" customFormat="1">
      <c r="A3472" s="83"/>
      <c r="H3472" s="83"/>
      <c r="K3472" s="82"/>
      <c r="M3472" s="112"/>
      <c r="N3472" s="84"/>
    </row>
    <row r="3473" spans="1:14" s="2" customFormat="1">
      <c r="A3473" s="83"/>
      <c r="H3473" s="83"/>
      <c r="K3473" s="82"/>
      <c r="M3473" s="112"/>
      <c r="N3473" s="84"/>
    </row>
    <row r="3474" spans="1:14" s="2" customFormat="1">
      <c r="A3474" s="83"/>
      <c r="H3474" s="83"/>
      <c r="K3474" s="82"/>
      <c r="M3474" s="112"/>
      <c r="N3474" s="84"/>
    </row>
    <row r="3475" spans="1:14" s="2" customFormat="1">
      <c r="A3475" s="83"/>
      <c r="H3475" s="83"/>
      <c r="K3475" s="82"/>
      <c r="M3475" s="112"/>
      <c r="N3475" s="84"/>
    </row>
    <row r="3476" spans="1:14" s="2" customFormat="1">
      <c r="A3476" s="83"/>
      <c r="H3476" s="83"/>
      <c r="K3476" s="82"/>
      <c r="M3476" s="112"/>
      <c r="N3476" s="84"/>
    </row>
    <row r="3477" spans="1:14" s="2" customFormat="1">
      <c r="A3477" s="83"/>
      <c r="H3477" s="83"/>
      <c r="K3477" s="82"/>
      <c r="M3477" s="112"/>
      <c r="N3477" s="84"/>
    </row>
    <row r="3478" spans="1:14" s="2" customFormat="1">
      <c r="A3478" s="83"/>
      <c r="H3478" s="83"/>
      <c r="K3478" s="82"/>
      <c r="M3478" s="112"/>
      <c r="N3478" s="84"/>
    </row>
    <row r="3479" spans="1:14" s="2" customFormat="1">
      <c r="A3479" s="83"/>
      <c r="H3479" s="83"/>
      <c r="K3479" s="82"/>
      <c r="M3479" s="112"/>
      <c r="N3479" s="84"/>
    </row>
    <row r="3480" spans="1:14" s="2" customFormat="1">
      <c r="A3480" s="83"/>
      <c r="H3480" s="83"/>
      <c r="K3480" s="82"/>
      <c r="M3480" s="112"/>
      <c r="N3480" s="84"/>
    </row>
    <row r="3481" spans="1:14" s="2" customFormat="1">
      <c r="A3481" s="83"/>
      <c r="H3481" s="83"/>
      <c r="K3481" s="82"/>
      <c r="M3481" s="112"/>
      <c r="N3481" s="84"/>
    </row>
    <row r="3482" spans="1:14" s="2" customFormat="1">
      <c r="A3482" s="83"/>
      <c r="H3482" s="83"/>
      <c r="K3482" s="82"/>
      <c r="M3482" s="112"/>
      <c r="N3482" s="84"/>
    </row>
    <row r="3483" spans="1:14" s="2" customFormat="1">
      <c r="A3483" s="83"/>
      <c r="H3483" s="83"/>
      <c r="K3483" s="82"/>
      <c r="M3483" s="112"/>
      <c r="N3483" s="84"/>
    </row>
    <row r="3484" spans="1:14" s="2" customFormat="1">
      <c r="A3484" s="83"/>
      <c r="H3484" s="83"/>
      <c r="K3484" s="82"/>
      <c r="M3484" s="112"/>
      <c r="N3484" s="84"/>
    </row>
    <row r="3485" spans="1:14" s="2" customFormat="1">
      <c r="A3485" s="83"/>
      <c r="H3485" s="83"/>
      <c r="K3485" s="82"/>
      <c r="M3485" s="112"/>
      <c r="N3485" s="84"/>
    </row>
    <row r="3486" spans="1:14" s="2" customFormat="1">
      <c r="A3486" s="83"/>
      <c r="H3486" s="83"/>
      <c r="K3486" s="82"/>
      <c r="M3486" s="112"/>
      <c r="N3486" s="84"/>
    </row>
    <row r="3487" spans="1:14" s="2" customFormat="1">
      <c r="A3487" s="83"/>
      <c r="H3487" s="83"/>
      <c r="K3487" s="82"/>
      <c r="M3487" s="112"/>
      <c r="N3487" s="84"/>
    </row>
    <row r="3488" spans="1:14" s="2" customFormat="1">
      <c r="A3488" s="83"/>
      <c r="H3488" s="83"/>
      <c r="K3488" s="82"/>
      <c r="M3488" s="112"/>
      <c r="N3488" s="84"/>
    </row>
    <row r="3489" spans="1:14" s="2" customFormat="1">
      <c r="A3489" s="83"/>
      <c r="H3489" s="83"/>
      <c r="K3489" s="82"/>
      <c r="M3489" s="112"/>
      <c r="N3489" s="84"/>
    </row>
    <row r="3490" spans="1:14" s="2" customFormat="1">
      <c r="A3490" s="83"/>
      <c r="H3490" s="83"/>
      <c r="K3490" s="82"/>
      <c r="M3490" s="112"/>
      <c r="N3490" s="84"/>
    </row>
    <row r="3491" spans="1:14" s="2" customFormat="1">
      <c r="A3491" s="83"/>
      <c r="H3491" s="83"/>
      <c r="K3491" s="82"/>
      <c r="M3491" s="112"/>
      <c r="N3491" s="84"/>
    </row>
    <row r="3492" spans="1:14" s="2" customFormat="1">
      <c r="A3492" s="83"/>
      <c r="H3492" s="83"/>
      <c r="K3492" s="82"/>
      <c r="M3492" s="112"/>
      <c r="N3492" s="84"/>
    </row>
    <row r="3493" spans="1:14" s="2" customFormat="1">
      <c r="A3493" s="83"/>
      <c r="H3493" s="83"/>
      <c r="K3493" s="82"/>
      <c r="M3493" s="112"/>
      <c r="N3493" s="84"/>
    </row>
    <row r="3494" spans="1:14" s="2" customFormat="1">
      <c r="A3494" s="83"/>
      <c r="H3494" s="83"/>
      <c r="K3494" s="82"/>
      <c r="M3494" s="112"/>
      <c r="N3494" s="84"/>
    </row>
    <row r="3495" spans="1:14" s="2" customFormat="1">
      <c r="A3495" s="83"/>
      <c r="H3495" s="83"/>
      <c r="K3495" s="82"/>
      <c r="M3495" s="112"/>
      <c r="N3495" s="84"/>
    </row>
    <row r="3496" spans="1:14" s="2" customFormat="1">
      <c r="A3496" s="83"/>
      <c r="H3496" s="83"/>
      <c r="K3496" s="82"/>
      <c r="M3496" s="112"/>
      <c r="N3496" s="84"/>
    </row>
    <row r="3497" spans="1:14" s="2" customFormat="1">
      <c r="A3497" s="83"/>
      <c r="H3497" s="83"/>
      <c r="K3497" s="82"/>
      <c r="M3497" s="112"/>
      <c r="N3497" s="84"/>
    </row>
    <row r="3498" spans="1:14" s="2" customFormat="1">
      <c r="A3498" s="83"/>
      <c r="H3498" s="83"/>
      <c r="K3498" s="82"/>
      <c r="M3498" s="112"/>
      <c r="N3498" s="84"/>
    </row>
    <row r="3499" spans="1:14" s="2" customFormat="1">
      <c r="A3499" s="83"/>
      <c r="H3499" s="83"/>
      <c r="K3499" s="82"/>
      <c r="M3499" s="112"/>
      <c r="N3499" s="84"/>
    </row>
    <row r="3500" spans="1:14" s="2" customFormat="1">
      <c r="A3500" s="83"/>
      <c r="H3500" s="83"/>
      <c r="K3500" s="82"/>
      <c r="M3500" s="112"/>
      <c r="N3500" s="84"/>
    </row>
    <row r="3501" spans="1:14" s="2" customFormat="1">
      <c r="A3501" s="83"/>
      <c r="H3501" s="83"/>
      <c r="K3501" s="82"/>
      <c r="M3501" s="112"/>
      <c r="N3501" s="84"/>
    </row>
    <row r="3502" spans="1:14" s="2" customFormat="1">
      <c r="A3502" s="83"/>
      <c r="H3502" s="83"/>
      <c r="K3502" s="82"/>
      <c r="M3502" s="112"/>
      <c r="N3502" s="84"/>
    </row>
    <row r="3503" spans="1:14" s="2" customFormat="1">
      <c r="A3503" s="83"/>
      <c r="H3503" s="83"/>
      <c r="K3503" s="82"/>
      <c r="M3503" s="112"/>
      <c r="N3503" s="84"/>
    </row>
    <row r="3504" spans="1:14" s="2" customFormat="1">
      <c r="A3504" s="83"/>
      <c r="H3504" s="83"/>
      <c r="K3504" s="82"/>
      <c r="M3504" s="112"/>
      <c r="N3504" s="84"/>
    </row>
    <row r="3505" spans="1:14" s="2" customFormat="1">
      <c r="A3505" s="83"/>
      <c r="H3505" s="83"/>
      <c r="K3505" s="82"/>
      <c r="M3505" s="112"/>
      <c r="N3505" s="84"/>
    </row>
    <row r="3506" spans="1:14" s="2" customFormat="1">
      <c r="A3506" s="83"/>
      <c r="H3506" s="83"/>
      <c r="K3506" s="82"/>
      <c r="M3506" s="112"/>
      <c r="N3506" s="84"/>
    </row>
    <row r="3507" spans="1:14" s="2" customFormat="1">
      <c r="A3507" s="83"/>
      <c r="H3507" s="83"/>
      <c r="K3507" s="82"/>
      <c r="M3507" s="112"/>
      <c r="N3507" s="84"/>
    </row>
    <row r="3508" spans="1:14" s="2" customFormat="1">
      <c r="A3508" s="83"/>
      <c r="H3508" s="83"/>
      <c r="K3508" s="82"/>
      <c r="M3508" s="112"/>
      <c r="N3508" s="84"/>
    </row>
    <row r="3509" spans="1:14" s="2" customFormat="1">
      <c r="A3509" s="83"/>
      <c r="H3509" s="83"/>
      <c r="K3509" s="82"/>
      <c r="M3509" s="112"/>
      <c r="N3509" s="84"/>
    </row>
    <row r="3510" spans="1:14" s="2" customFormat="1">
      <c r="A3510" s="83"/>
      <c r="H3510" s="83"/>
      <c r="K3510" s="82"/>
      <c r="M3510" s="112"/>
      <c r="N3510" s="84"/>
    </row>
    <row r="3511" spans="1:14" s="2" customFormat="1">
      <c r="A3511" s="83"/>
      <c r="H3511" s="83"/>
      <c r="K3511" s="82"/>
      <c r="M3511" s="112"/>
      <c r="N3511" s="84"/>
    </row>
    <row r="3512" spans="1:14" s="2" customFormat="1">
      <c r="A3512" s="83"/>
      <c r="H3512" s="83"/>
      <c r="K3512" s="82"/>
      <c r="M3512" s="112"/>
      <c r="N3512" s="84"/>
    </row>
    <row r="3513" spans="1:14" s="2" customFormat="1">
      <c r="A3513" s="83"/>
      <c r="H3513" s="83"/>
      <c r="K3513" s="82"/>
      <c r="M3513" s="112"/>
      <c r="N3513" s="84"/>
    </row>
    <row r="3514" spans="1:14" s="2" customFormat="1">
      <c r="A3514" s="83"/>
      <c r="H3514" s="83"/>
      <c r="K3514" s="82"/>
      <c r="M3514" s="112"/>
      <c r="N3514" s="84"/>
    </row>
    <row r="3515" spans="1:14" s="2" customFormat="1">
      <c r="A3515" s="83"/>
      <c r="H3515" s="83"/>
      <c r="K3515" s="82"/>
      <c r="M3515" s="112"/>
      <c r="N3515" s="84"/>
    </row>
    <row r="3516" spans="1:14" s="2" customFormat="1">
      <c r="A3516" s="83"/>
      <c r="H3516" s="83"/>
      <c r="K3516" s="82"/>
      <c r="M3516" s="112"/>
      <c r="N3516" s="84"/>
    </row>
    <row r="3517" spans="1:14" s="2" customFormat="1">
      <c r="A3517" s="83"/>
      <c r="H3517" s="83"/>
      <c r="K3517" s="82"/>
      <c r="M3517" s="112"/>
      <c r="N3517" s="84"/>
    </row>
    <row r="3518" spans="1:14" s="2" customFormat="1">
      <c r="A3518" s="83"/>
      <c r="H3518" s="83"/>
      <c r="K3518" s="82"/>
      <c r="M3518" s="112"/>
      <c r="N3518" s="84"/>
    </row>
    <row r="3519" spans="1:14" s="2" customFormat="1">
      <c r="A3519" s="83"/>
      <c r="H3519" s="83"/>
      <c r="K3519" s="82"/>
      <c r="M3519" s="112"/>
      <c r="N3519" s="84"/>
    </row>
    <row r="3520" spans="1:14" s="2" customFormat="1">
      <c r="A3520" s="83"/>
      <c r="H3520" s="83"/>
      <c r="K3520" s="82"/>
      <c r="M3520" s="112"/>
      <c r="N3520" s="84"/>
    </row>
    <row r="3521" spans="1:14" s="2" customFormat="1">
      <c r="A3521" s="83"/>
      <c r="H3521" s="83"/>
      <c r="K3521" s="82"/>
      <c r="M3521" s="112"/>
      <c r="N3521" s="84"/>
    </row>
    <row r="3522" spans="1:14" s="2" customFormat="1">
      <c r="A3522" s="83"/>
      <c r="H3522" s="83"/>
      <c r="K3522" s="82"/>
      <c r="M3522" s="112"/>
      <c r="N3522" s="84"/>
    </row>
    <row r="3523" spans="1:14" s="2" customFormat="1">
      <c r="A3523" s="83"/>
      <c r="H3523" s="83"/>
      <c r="K3523" s="82"/>
      <c r="M3523" s="112"/>
      <c r="N3523" s="84"/>
    </row>
    <row r="3524" spans="1:14" s="2" customFormat="1">
      <c r="A3524" s="83"/>
      <c r="H3524" s="83"/>
      <c r="K3524" s="82"/>
      <c r="M3524" s="112"/>
      <c r="N3524" s="84"/>
    </row>
    <row r="3525" spans="1:14" s="2" customFormat="1">
      <c r="A3525" s="83"/>
      <c r="H3525" s="83"/>
      <c r="K3525" s="82"/>
      <c r="M3525" s="112"/>
      <c r="N3525" s="84"/>
    </row>
    <row r="3526" spans="1:14" s="2" customFormat="1">
      <c r="A3526" s="83"/>
      <c r="H3526" s="83"/>
      <c r="K3526" s="82"/>
      <c r="M3526" s="112"/>
      <c r="N3526" s="84"/>
    </row>
    <row r="3527" spans="1:14" s="2" customFormat="1">
      <c r="A3527" s="83"/>
      <c r="H3527" s="83"/>
      <c r="K3527" s="82"/>
      <c r="M3527" s="112"/>
      <c r="N3527" s="84"/>
    </row>
    <row r="3528" spans="1:14" s="2" customFormat="1">
      <c r="A3528" s="83"/>
      <c r="H3528" s="83"/>
      <c r="K3528" s="82"/>
      <c r="M3528" s="112"/>
      <c r="N3528" s="84"/>
    </row>
    <row r="3529" spans="1:14" s="2" customFormat="1">
      <c r="A3529" s="83"/>
      <c r="H3529" s="83"/>
      <c r="K3529" s="82"/>
      <c r="M3529" s="112"/>
      <c r="N3529" s="84"/>
    </row>
    <row r="3530" spans="1:14" s="2" customFormat="1">
      <c r="A3530" s="83"/>
      <c r="H3530" s="83"/>
      <c r="K3530" s="82"/>
      <c r="M3530" s="112"/>
      <c r="N3530" s="84"/>
    </row>
    <row r="3531" spans="1:14" s="2" customFormat="1">
      <c r="A3531" s="83"/>
      <c r="H3531" s="83"/>
      <c r="K3531" s="82"/>
      <c r="M3531" s="112"/>
      <c r="N3531" s="84"/>
    </row>
    <row r="3532" spans="1:14" s="2" customFormat="1">
      <c r="A3532" s="83"/>
      <c r="H3532" s="83"/>
      <c r="K3532" s="82"/>
      <c r="M3532" s="112"/>
      <c r="N3532" s="84"/>
    </row>
    <row r="3533" spans="1:14" s="2" customFormat="1">
      <c r="A3533" s="83"/>
      <c r="H3533" s="83"/>
      <c r="K3533" s="82"/>
      <c r="M3533" s="112"/>
      <c r="N3533" s="84"/>
    </row>
    <row r="3534" spans="1:14" s="2" customFormat="1">
      <c r="A3534" s="83"/>
      <c r="H3534" s="83"/>
      <c r="K3534" s="82"/>
      <c r="M3534" s="112"/>
      <c r="N3534" s="84"/>
    </row>
    <row r="3535" spans="1:14" s="2" customFormat="1">
      <c r="A3535" s="83"/>
      <c r="H3535" s="83"/>
      <c r="K3535" s="82"/>
      <c r="M3535" s="112"/>
      <c r="N3535" s="84"/>
    </row>
    <row r="3536" spans="1:14" s="2" customFormat="1">
      <c r="A3536" s="83"/>
      <c r="H3536" s="83"/>
      <c r="K3536" s="82"/>
      <c r="M3536" s="112"/>
      <c r="N3536" s="84"/>
    </row>
    <row r="3537" spans="1:14" s="2" customFormat="1">
      <c r="A3537" s="83"/>
      <c r="H3537" s="83"/>
      <c r="K3537" s="82"/>
      <c r="M3537" s="112"/>
      <c r="N3537" s="84"/>
    </row>
    <row r="3538" spans="1:14" s="2" customFormat="1">
      <c r="A3538" s="83"/>
      <c r="H3538" s="83"/>
      <c r="K3538" s="82"/>
      <c r="M3538" s="112"/>
      <c r="N3538" s="84"/>
    </row>
    <row r="3539" spans="1:14" s="2" customFormat="1">
      <c r="A3539" s="83"/>
      <c r="H3539" s="83"/>
      <c r="K3539" s="82"/>
      <c r="M3539" s="112"/>
      <c r="N3539" s="84"/>
    </row>
    <row r="3540" spans="1:14" s="2" customFormat="1">
      <c r="A3540" s="83"/>
      <c r="H3540" s="83"/>
      <c r="K3540" s="82"/>
      <c r="M3540" s="112"/>
      <c r="N3540" s="84"/>
    </row>
    <row r="3541" spans="1:14" s="2" customFormat="1">
      <c r="A3541" s="83"/>
      <c r="H3541" s="83"/>
      <c r="K3541" s="82"/>
      <c r="M3541" s="112"/>
      <c r="N3541" s="84"/>
    </row>
    <row r="3542" spans="1:14" s="2" customFormat="1">
      <c r="A3542" s="83"/>
      <c r="H3542" s="83"/>
      <c r="K3542" s="82"/>
      <c r="M3542" s="112"/>
      <c r="N3542" s="84"/>
    </row>
    <row r="3543" spans="1:14" s="2" customFormat="1">
      <c r="A3543" s="83"/>
      <c r="H3543" s="83"/>
      <c r="K3543" s="82"/>
      <c r="M3543" s="112"/>
      <c r="N3543" s="84"/>
    </row>
    <row r="3544" spans="1:14" s="2" customFormat="1">
      <c r="A3544" s="83"/>
      <c r="H3544" s="83"/>
      <c r="K3544" s="82"/>
      <c r="M3544" s="112"/>
      <c r="N3544" s="84"/>
    </row>
    <row r="3545" spans="1:14" s="2" customFormat="1">
      <c r="A3545" s="83"/>
      <c r="H3545" s="83"/>
      <c r="K3545" s="82"/>
      <c r="M3545" s="112"/>
      <c r="N3545" s="84"/>
    </row>
    <row r="3546" spans="1:14" s="2" customFormat="1">
      <c r="A3546" s="83"/>
      <c r="H3546" s="83"/>
      <c r="K3546" s="82"/>
      <c r="M3546" s="112"/>
      <c r="N3546" s="84"/>
    </row>
    <row r="3547" spans="1:14" s="2" customFormat="1">
      <c r="A3547" s="83"/>
      <c r="H3547" s="83"/>
      <c r="K3547" s="82"/>
      <c r="M3547" s="112"/>
      <c r="N3547" s="84"/>
    </row>
    <row r="3548" spans="1:14" s="2" customFormat="1">
      <c r="A3548" s="83"/>
      <c r="H3548" s="83"/>
      <c r="K3548" s="82"/>
      <c r="M3548" s="112"/>
      <c r="N3548" s="84"/>
    </row>
    <row r="3549" spans="1:14" s="2" customFormat="1">
      <c r="A3549" s="83"/>
      <c r="H3549" s="83"/>
      <c r="K3549" s="82"/>
      <c r="M3549" s="112"/>
      <c r="N3549" s="84"/>
    </row>
    <row r="3550" spans="1:14" s="2" customFormat="1">
      <c r="A3550" s="83"/>
      <c r="H3550" s="83"/>
      <c r="K3550" s="82"/>
      <c r="M3550" s="112"/>
      <c r="N3550" s="84"/>
    </row>
    <row r="3551" spans="1:14" s="2" customFormat="1">
      <c r="A3551" s="83"/>
      <c r="H3551" s="83"/>
      <c r="K3551" s="82"/>
      <c r="M3551" s="112"/>
      <c r="N3551" s="84"/>
    </row>
    <row r="3552" spans="1:14" s="2" customFormat="1">
      <c r="A3552" s="83"/>
      <c r="H3552" s="83"/>
      <c r="K3552" s="82"/>
      <c r="M3552" s="112"/>
      <c r="N3552" s="84"/>
    </row>
    <row r="3553" spans="1:14" s="2" customFormat="1">
      <c r="A3553" s="83"/>
      <c r="H3553" s="83"/>
      <c r="K3553" s="82"/>
      <c r="M3553" s="112"/>
      <c r="N3553" s="84"/>
    </row>
    <row r="3554" spans="1:14" s="2" customFormat="1">
      <c r="A3554" s="83"/>
      <c r="H3554" s="83"/>
      <c r="K3554" s="82"/>
      <c r="M3554" s="112"/>
      <c r="N3554" s="84"/>
    </row>
    <row r="3555" spans="1:14" s="2" customFormat="1">
      <c r="A3555" s="83"/>
      <c r="H3555" s="83"/>
      <c r="K3555" s="82"/>
      <c r="M3555" s="112"/>
      <c r="N3555" s="84"/>
    </row>
    <row r="3556" spans="1:14" s="2" customFormat="1">
      <c r="A3556" s="83"/>
      <c r="H3556" s="83"/>
      <c r="K3556" s="82"/>
      <c r="M3556" s="112"/>
      <c r="N3556" s="84"/>
    </row>
    <row r="3557" spans="1:14" s="2" customFormat="1">
      <c r="A3557" s="83"/>
      <c r="H3557" s="83"/>
      <c r="K3557" s="82"/>
      <c r="M3557" s="112"/>
      <c r="N3557" s="84"/>
    </row>
    <row r="3558" spans="1:14" s="2" customFormat="1">
      <c r="A3558" s="83"/>
      <c r="H3558" s="83"/>
      <c r="K3558" s="82"/>
      <c r="M3558" s="112"/>
      <c r="N3558" s="84"/>
    </row>
    <row r="3559" spans="1:14" s="2" customFormat="1">
      <c r="A3559" s="83"/>
      <c r="H3559" s="83"/>
      <c r="K3559" s="82"/>
      <c r="M3559" s="112"/>
      <c r="N3559" s="84"/>
    </row>
    <row r="3560" spans="1:14" s="2" customFormat="1">
      <c r="A3560" s="83"/>
      <c r="H3560" s="83"/>
      <c r="K3560" s="82"/>
      <c r="M3560" s="112"/>
      <c r="N3560" s="84"/>
    </row>
    <row r="3561" spans="1:14" s="2" customFormat="1">
      <c r="A3561" s="83"/>
      <c r="H3561" s="83"/>
      <c r="K3561" s="82"/>
      <c r="M3561" s="112"/>
      <c r="N3561" s="84"/>
    </row>
    <row r="3562" spans="1:14" s="2" customFormat="1">
      <c r="A3562" s="83"/>
      <c r="H3562" s="83"/>
      <c r="K3562" s="82"/>
      <c r="M3562" s="112"/>
      <c r="N3562" s="84"/>
    </row>
    <row r="3563" spans="1:14" s="2" customFormat="1">
      <c r="A3563" s="83"/>
      <c r="H3563" s="83"/>
      <c r="K3563" s="82"/>
      <c r="M3563" s="112"/>
      <c r="N3563" s="84"/>
    </row>
    <row r="3564" spans="1:14" s="2" customFormat="1">
      <c r="A3564" s="83"/>
      <c r="H3564" s="83"/>
      <c r="K3564" s="82"/>
      <c r="M3564" s="112"/>
      <c r="N3564" s="84"/>
    </row>
    <row r="3565" spans="1:14" s="2" customFormat="1">
      <c r="A3565" s="83"/>
      <c r="H3565" s="83"/>
      <c r="K3565" s="82"/>
      <c r="M3565" s="112"/>
      <c r="N3565" s="84"/>
    </row>
    <row r="3566" spans="1:14" s="2" customFormat="1">
      <c r="A3566" s="83"/>
      <c r="H3566" s="83"/>
      <c r="K3566" s="82"/>
      <c r="M3566" s="112"/>
      <c r="N3566" s="84"/>
    </row>
    <row r="3567" spans="1:14" s="2" customFormat="1">
      <c r="A3567" s="83"/>
      <c r="H3567" s="83"/>
      <c r="K3567" s="82"/>
      <c r="M3567" s="112"/>
      <c r="N3567" s="84"/>
    </row>
    <row r="3568" spans="1:14" s="2" customFormat="1">
      <c r="A3568" s="83"/>
      <c r="H3568" s="83"/>
      <c r="K3568" s="82"/>
      <c r="M3568" s="112"/>
      <c r="N3568" s="84"/>
    </row>
    <row r="3569" spans="1:14" s="2" customFormat="1">
      <c r="A3569" s="83"/>
      <c r="H3569" s="83"/>
      <c r="K3569" s="82"/>
      <c r="M3569" s="112"/>
      <c r="N3569" s="84"/>
    </row>
    <row r="3570" spans="1:14" s="2" customFormat="1">
      <c r="A3570" s="83"/>
      <c r="H3570" s="83"/>
      <c r="K3570" s="82"/>
      <c r="M3570" s="112"/>
      <c r="N3570" s="84"/>
    </row>
    <row r="3571" spans="1:14" s="2" customFormat="1">
      <c r="A3571" s="83"/>
      <c r="H3571" s="83"/>
      <c r="K3571" s="82"/>
      <c r="M3571" s="112"/>
      <c r="N3571" s="84"/>
    </row>
    <row r="3572" spans="1:14" s="2" customFormat="1">
      <c r="A3572" s="83"/>
      <c r="H3572" s="83"/>
      <c r="K3572" s="82"/>
      <c r="M3572" s="112"/>
      <c r="N3572" s="84"/>
    </row>
    <row r="3573" spans="1:14" s="2" customFormat="1">
      <c r="A3573" s="83"/>
      <c r="H3573" s="83"/>
      <c r="K3573" s="82"/>
      <c r="M3573" s="112"/>
      <c r="N3573" s="84"/>
    </row>
    <row r="3574" spans="1:14" s="2" customFormat="1">
      <c r="A3574" s="83"/>
      <c r="H3574" s="83"/>
      <c r="K3574" s="82"/>
      <c r="M3574" s="112"/>
      <c r="N3574" s="84"/>
    </row>
    <row r="3575" spans="1:14" s="2" customFormat="1">
      <c r="A3575" s="83"/>
      <c r="H3575" s="83"/>
      <c r="K3575" s="82"/>
      <c r="M3575" s="112"/>
      <c r="N3575" s="84"/>
    </row>
    <row r="3576" spans="1:14" s="2" customFormat="1">
      <c r="A3576" s="83"/>
      <c r="H3576" s="83"/>
      <c r="K3576" s="82"/>
      <c r="M3576" s="112"/>
      <c r="N3576" s="84"/>
    </row>
    <row r="3577" spans="1:14" s="2" customFormat="1">
      <c r="A3577" s="83"/>
      <c r="H3577" s="83"/>
      <c r="K3577" s="82"/>
      <c r="M3577" s="112"/>
      <c r="N3577" s="84"/>
    </row>
    <row r="3578" spans="1:14" s="2" customFormat="1">
      <c r="A3578" s="83"/>
      <c r="H3578" s="83"/>
      <c r="K3578" s="82"/>
      <c r="M3578" s="112"/>
      <c r="N3578" s="84"/>
    </row>
    <row r="3579" spans="1:14" s="2" customFormat="1">
      <c r="A3579" s="83"/>
      <c r="H3579" s="83"/>
      <c r="K3579" s="82"/>
      <c r="M3579" s="112"/>
      <c r="N3579" s="84"/>
    </row>
    <row r="3580" spans="1:14" s="2" customFormat="1">
      <c r="A3580" s="83"/>
      <c r="H3580" s="83"/>
      <c r="K3580" s="82"/>
      <c r="M3580" s="112"/>
      <c r="N3580" s="84"/>
    </row>
    <row r="3581" spans="1:14" s="2" customFormat="1">
      <c r="A3581" s="83"/>
      <c r="H3581" s="83"/>
      <c r="K3581" s="82"/>
      <c r="M3581" s="112"/>
      <c r="N3581" s="84"/>
    </row>
    <row r="3582" spans="1:14" s="2" customFormat="1">
      <c r="A3582" s="83"/>
      <c r="H3582" s="83"/>
      <c r="K3582" s="82"/>
      <c r="M3582" s="112"/>
      <c r="N3582" s="84"/>
    </row>
    <row r="3583" spans="1:14" s="2" customFormat="1">
      <c r="A3583" s="83"/>
      <c r="H3583" s="83"/>
      <c r="K3583" s="82"/>
      <c r="M3583" s="112"/>
      <c r="N3583" s="84"/>
    </row>
    <row r="3584" spans="1:14" s="2" customFormat="1">
      <c r="A3584" s="83"/>
      <c r="H3584" s="83"/>
      <c r="K3584" s="82"/>
      <c r="M3584" s="112"/>
      <c r="N3584" s="84"/>
    </row>
    <row r="3585" spans="1:14" s="2" customFormat="1">
      <c r="A3585" s="83"/>
      <c r="H3585" s="83"/>
      <c r="K3585" s="82"/>
      <c r="M3585" s="112"/>
      <c r="N3585" s="84"/>
    </row>
    <row r="3586" spans="1:14" s="2" customFormat="1">
      <c r="A3586" s="83"/>
      <c r="H3586" s="83"/>
      <c r="K3586" s="82"/>
      <c r="M3586" s="112"/>
      <c r="N3586" s="84"/>
    </row>
    <row r="3587" spans="1:14" s="2" customFormat="1">
      <c r="A3587" s="83"/>
      <c r="H3587" s="83"/>
      <c r="K3587" s="82"/>
      <c r="M3587" s="112"/>
      <c r="N3587" s="84"/>
    </row>
    <row r="3588" spans="1:14" s="2" customFormat="1">
      <c r="A3588" s="83"/>
      <c r="H3588" s="83"/>
      <c r="K3588" s="82"/>
      <c r="M3588" s="112"/>
      <c r="N3588" s="84"/>
    </row>
    <row r="3589" spans="1:14" s="2" customFormat="1">
      <c r="A3589" s="83"/>
      <c r="H3589" s="83"/>
      <c r="K3589" s="82"/>
      <c r="M3589" s="112"/>
      <c r="N3589" s="84"/>
    </row>
    <row r="3590" spans="1:14" s="2" customFormat="1">
      <c r="A3590" s="83"/>
      <c r="H3590" s="83"/>
      <c r="K3590" s="82"/>
      <c r="M3590" s="112"/>
      <c r="N3590" s="84"/>
    </row>
    <row r="3591" spans="1:14" s="2" customFormat="1">
      <c r="A3591" s="83"/>
      <c r="H3591" s="83"/>
      <c r="K3591" s="82"/>
      <c r="M3591" s="112"/>
      <c r="N3591" s="84"/>
    </row>
    <row r="3592" spans="1:14" s="2" customFormat="1">
      <c r="A3592" s="83"/>
      <c r="H3592" s="83"/>
      <c r="K3592" s="82"/>
      <c r="M3592" s="112"/>
      <c r="N3592" s="84"/>
    </row>
    <row r="3593" spans="1:14" s="2" customFormat="1">
      <c r="A3593" s="83"/>
      <c r="H3593" s="83"/>
      <c r="K3593" s="82"/>
      <c r="M3593" s="112"/>
      <c r="N3593" s="84"/>
    </row>
    <row r="3594" spans="1:14" s="2" customFormat="1">
      <c r="A3594" s="83"/>
      <c r="H3594" s="83"/>
      <c r="K3594" s="82"/>
      <c r="M3594" s="112"/>
      <c r="N3594" s="84"/>
    </row>
    <row r="3595" spans="1:14" s="2" customFormat="1">
      <c r="A3595" s="83"/>
      <c r="H3595" s="83"/>
      <c r="K3595" s="82"/>
      <c r="M3595" s="112"/>
      <c r="N3595" s="84"/>
    </row>
    <row r="3596" spans="1:14" s="2" customFormat="1">
      <c r="A3596" s="83"/>
      <c r="H3596" s="83"/>
      <c r="K3596" s="82"/>
      <c r="M3596" s="112"/>
      <c r="N3596" s="84"/>
    </row>
    <row r="3597" spans="1:14" s="2" customFormat="1">
      <c r="A3597" s="83"/>
      <c r="H3597" s="83"/>
      <c r="K3597" s="82"/>
      <c r="M3597" s="112"/>
      <c r="N3597" s="84"/>
    </row>
    <row r="3598" spans="1:14" s="2" customFormat="1">
      <c r="A3598" s="83"/>
      <c r="H3598" s="83"/>
      <c r="K3598" s="82"/>
      <c r="M3598" s="112"/>
      <c r="N3598" s="84"/>
    </row>
    <row r="3599" spans="1:14" s="2" customFormat="1">
      <c r="A3599" s="83"/>
      <c r="H3599" s="83"/>
      <c r="K3599" s="82"/>
      <c r="M3599" s="112"/>
      <c r="N3599" s="84"/>
    </row>
    <row r="3600" spans="1:14" s="2" customFormat="1">
      <c r="A3600" s="83"/>
      <c r="H3600" s="83"/>
      <c r="K3600" s="82"/>
      <c r="M3600" s="112"/>
      <c r="N3600" s="84"/>
    </row>
    <row r="3601" spans="1:14" s="2" customFormat="1">
      <c r="A3601" s="83"/>
      <c r="H3601" s="83"/>
      <c r="K3601" s="82"/>
      <c r="M3601" s="112"/>
      <c r="N3601" s="84"/>
    </row>
    <row r="3602" spans="1:14" s="2" customFormat="1">
      <c r="A3602" s="83"/>
      <c r="H3602" s="83"/>
      <c r="K3602" s="82"/>
      <c r="M3602" s="112"/>
      <c r="N3602" s="84"/>
    </row>
    <row r="3603" spans="1:14" s="2" customFormat="1">
      <c r="A3603" s="83"/>
      <c r="H3603" s="83"/>
      <c r="K3603" s="82"/>
      <c r="M3603" s="112"/>
      <c r="N3603" s="84"/>
    </row>
    <row r="3604" spans="1:14" s="2" customFormat="1">
      <c r="A3604" s="83"/>
      <c r="H3604" s="83"/>
      <c r="K3604" s="82"/>
      <c r="M3604" s="112"/>
      <c r="N3604" s="84"/>
    </row>
    <row r="3605" spans="1:14" s="2" customFormat="1">
      <c r="A3605" s="83"/>
      <c r="H3605" s="83"/>
      <c r="K3605" s="82"/>
      <c r="M3605" s="112"/>
      <c r="N3605" s="84"/>
    </row>
    <row r="3606" spans="1:14" s="2" customFormat="1">
      <c r="A3606" s="83"/>
      <c r="H3606" s="83"/>
      <c r="K3606" s="82"/>
      <c r="M3606" s="112"/>
      <c r="N3606" s="84"/>
    </row>
    <row r="3607" spans="1:14" s="2" customFormat="1">
      <c r="A3607" s="83"/>
      <c r="H3607" s="83"/>
      <c r="K3607" s="82"/>
      <c r="M3607" s="112"/>
      <c r="N3607" s="84"/>
    </row>
    <row r="3608" spans="1:14" s="2" customFormat="1">
      <c r="A3608" s="83"/>
      <c r="H3608" s="83"/>
      <c r="K3608" s="82"/>
      <c r="M3608" s="112"/>
      <c r="N3608" s="84"/>
    </row>
    <row r="3609" spans="1:14" s="2" customFormat="1">
      <c r="A3609" s="83"/>
      <c r="H3609" s="83"/>
      <c r="K3609" s="82"/>
      <c r="M3609" s="112"/>
      <c r="N3609" s="84"/>
    </row>
    <row r="3610" spans="1:14" s="2" customFormat="1">
      <c r="A3610" s="83"/>
      <c r="H3610" s="83"/>
      <c r="K3610" s="82"/>
      <c r="M3610" s="112"/>
      <c r="N3610" s="84"/>
    </row>
    <row r="3611" spans="1:14" s="2" customFormat="1">
      <c r="A3611" s="83"/>
      <c r="H3611" s="83"/>
      <c r="K3611" s="82"/>
      <c r="M3611" s="112"/>
      <c r="N3611" s="84"/>
    </row>
    <row r="3612" spans="1:14" s="2" customFormat="1">
      <c r="A3612" s="83"/>
      <c r="H3612" s="83"/>
      <c r="K3612" s="82"/>
      <c r="M3612" s="112"/>
      <c r="N3612" s="84"/>
    </row>
    <row r="3613" spans="1:14" s="2" customFormat="1">
      <c r="A3613" s="83"/>
      <c r="H3613" s="83"/>
      <c r="K3613" s="82"/>
      <c r="M3613" s="112"/>
      <c r="N3613" s="84"/>
    </row>
    <row r="3614" spans="1:14" s="2" customFormat="1">
      <c r="A3614" s="83"/>
      <c r="H3614" s="83"/>
      <c r="K3614" s="82"/>
      <c r="M3614" s="112"/>
      <c r="N3614" s="84"/>
    </row>
    <row r="3615" spans="1:14" s="2" customFormat="1">
      <c r="A3615" s="83"/>
      <c r="H3615" s="83"/>
      <c r="K3615" s="82"/>
      <c r="M3615" s="112"/>
      <c r="N3615" s="84"/>
    </row>
    <row r="3616" spans="1:14" s="2" customFormat="1">
      <c r="A3616" s="83"/>
      <c r="H3616" s="83"/>
      <c r="K3616" s="82"/>
      <c r="M3616" s="112"/>
      <c r="N3616" s="84"/>
    </row>
    <row r="3617" spans="1:14" s="2" customFormat="1">
      <c r="A3617" s="83"/>
      <c r="H3617" s="83"/>
      <c r="K3617" s="82"/>
      <c r="M3617" s="112"/>
      <c r="N3617" s="84"/>
    </row>
    <row r="3618" spans="1:14" s="2" customFormat="1">
      <c r="A3618" s="83"/>
      <c r="H3618" s="83"/>
      <c r="K3618" s="82"/>
      <c r="M3618" s="112"/>
      <c r="N3618" s="84"/>
    </row>
    <row r="3619" spans="1:14" s="2" customFormat="1">
      <c r="A3619" s="83"/>
      <c r="H3619" s="83"/>
      <c r="K3619" s="82"/>
      <c r="M3619" s="112"/>
      <c r="N3619" s="84"/>
    </row>
    <row r="3620" spans="1:14" s="2" customFormat="1">
      <c r="A3620" s="83"/>
      <c r="H3620" s="83"/>
      <c r="K3620" s="82"/>
      <c r="M3620" s="112"/>
      <c r="N3620" s="84"/>
    </row>
    <row r="3621" spans="1:14" s="2" customFormat="1">
      <c r="A3621" s="83"/>
      <c r="H3621" s="83"/>
      <c r="K3621" s="82"/>
      <c r="M3621" s="112"/>
      <c r="N3621" s="84"/>
    </row>
    <row r="3622" spans="1:14" s="2" customFormat="1">
      <c r="A3622" s="83"/>
      <c r="H3622" s="83"/>
      <c r="K3622" s="82"/>
      <c r="M3622" s="112"/>
      <c r="N3622" s="84"/>
    </row>
    <row r="3623" spans="1:14" s="2" customFormat="1">
      <c r="A3623" s="83"/>
      <c r="H3623" s="83"/>
      <c r="K3623" s="82"/>
      <c r="M3623" s="112"/>
      <c r="N3623" s="84"/>
    </row>
    <row r="3624" spans="1:14" s="2" customFormat="1">
      <c r="A3624" s="83"/>
      <c r="H3624" s="83"/>
      <c r="K3624" s="82"/>
      <c r="M3624" s="112"/>
      <c r="N3624" s="84"/>
    </row>
    <row r="3625" spans="1:14" s="2" customFormat="1">
      <c r="A3625" s="83"/>
      <c r="H3625" s="83"/>
      <c r="K3625" s="82"/>
      <c r="M3625" s="112"/>
      <c r="N3625" s="84"/>
    </row>
    <row r="3626" spans="1:14" s="2" customFormat="1">
      <c r="A3626" s="83"/>
      <c r="H3626" s="83"/>
      <c r="K3626" s="82"/>
      <c r="M3626" s="112"/>
      <c r="N3626" s="84"/>
    </row>
    <row r="3627" spans="1:14" s="2" customFormat="1">
      <c r="A3627" s="83"/>
      <c r="H3627" s="83"/>
      <c r="K3627" s="82"/>
      <c r="M3627" s="112"/>
      <c r="N3627" s="84"/>
    </row>
    <row r="3628" spans="1:14" s="2" customFormat="1">
      <c r="A3628" s="83"/>
      <c r="H3628" s="83"/>
      <c r="K3628" s="82"/>
      <c r="M3628" s="112"/>
      <c r="N3628" s="84"/>
    </row>
    <row r="3629" spans="1:14" s="2" customFormat="1">
      <c r="A3629" s="83"/>
      <c r="H3629" s="83"/>
      <c r="K3629" s="82"/>
      <c r="M3629" s="112"/>
      <c r="N3629" s="84"/>
    </row>
    <row r="3630" spans="1:14" s="2" customFormat="1">
      <c r="A3630" s="83"/>
      <c r="H3630" s="83"/>
      <c r="K3630" s="82"/>
      <c r="M3630" s="112"/>
      <c r="N3630" s="84"/>
    </row>
    <row r="3631" spans="1:14" s="2" customFormat="1">
      <c r="A3631" s="83"/>
      <c r="H3631" s="83"/>
      <c r="K3631" s="82"/>
      <c r="M3631" s="112"/>
      <c r="N3631" s="84"/>
    </row>
    <row r="3632" spans="1:14" s="2" customFormat="1">
      <c r="A3632" s="83"/>
      <c r="H3632" s="83"/>
      <c r="K3632" s="82"/>
      <c r="M3632" s="112"/>
      <c r="N3632" s="84"/>
    </row>
    <row r="3633" spans="1:14" s="2" customFormat="1">
      <c r="A3633" s="83"/>
      <c r="H3633" s="83"/>
      <c r="K3633" s="82"/>
      <c r="M3633" s="112"/>
      <c r="N3633" s="84"/>
    </row>
    <row r="3634" spans="1:14" s="2" customFormat="1">
      <c r="A3634" s="83"/>
      <c r="H3634" s="83"/>
      <c r="K3634" s="82"/>
      <c r="M3634" s="112"/>
      <c r="N3634" s="84"/>
    </row>
    <row r="3635" spans="1:14" s="2" customFormat="1">
      <c r="A3635" s="83"/>
      <c r="H3635" s="83"/>
      <c r="K3635" s="82"/>
      <c r="M3635" s="112"/>
      <c r="N3635" s="84"/>
    </row>
    <row r="3636" spans="1:14" s="2" customFormat="1">
      <c r="A3636" s="83"/>
      <c r="H3636" s="83"/>
      <c r="K3636" s="82"/>
      <c r="M3636" s="112"/>
      <c r="N3636" s="84"/>
    </row>
    <row r="3637" spans="1:14" s="2" customFormat="1">
      <c r="A3637" s="83"/>
      <c r="H3637" s="83"/>
      <c r="K3637" s="82"/>
      <c r="M3637" s="112"/>
      <c r="N3637" s="84"/>
    </row>
    <row r="3638" spans="1:14" s="2" customFormat="1">
      <c r="A3638" s="83"/>
      <c r="H3638" s="83"/>
      <c r="K3638" s="82"/>
      <c r="M3638" s="112"/>
      <c r="N3638" s="84"/>
    </row>
    <row r="3639" spans="1:14" s="2" customFormat="1">
      <c r="A3639" s="83"/>
      <c r="H3639" s="83"/>
      <c r="K3639" s="82"/>
      <c r="M3639" s="112"/>
      <c r="N3639" s="84"/>
    </row>
    <row r="3640" spans="1:14" s="2" customFormat="1">
      <c r="A3640" s="83"/>
      <c r="H3640" s="83"/>
      <c r="K3640" s="82"/>
      <c r="M3640" s="112"/>
      <c r="N3640" s="84"/>
    </row>
    <row r="3641" spans="1:14" s="2" customFormat="1">
      <c r="A3641" s="83"/>
      <c r="H3641" s="83"/>
      <c r="K3641" s="82"/>
      <c r="M3641" s="112"/>
      <c r="N3641" s="84"/>
    </row>
    <row r="3642" spans="1:14" s="2" customFormat="1">
      <c r="A3642" s="83"/>
      <c r="H3642" s="83"/>
      <c r="K3642" s="82"/>
      <c r="M3642" s="112"/>
      <c r="N3642" s="84"/>
    </row>
    <row r="3643" spans="1:14" s="2" customFormat="1">
      <c r="A3643" s="83"/>
      <c r="H3643" s="83"/>
      <c r="K3643" s="82"/>
      <c r="M3643" s="112"/>
      <c r="N3643" s="84"/>
    </row>
    <row r="3644" spans="1:14" s="2" customFormat="1">
      <c r="A3644" s="83"/>
      <c r="H3644" s="83"/>
      <c r="K3644" s="82"/>
      <c r="M3644" s="112"/>
      <c r="N3644" s="84"/>
    </row>
    <row r="3645" spans="1:14" s="2" customFormat="1">
      <c r="A3645" s="83"/>
      <c r="H3645" s="83"/>
      <c r="K3645" s="82"/>
      <c r="M3645" s="112"/>
      <c r="N3645" s="84"/>
    </row>
    <row r="3646" spans="1:14" s="2" customFormat="1">
      <c r="A3646" s="83"/>
      <c r="H3646" s="83"/>
      <c r="K3646" s="82"/>
      <c r="M3646" s="112"/>
      <c r="N3646" s="84"/>
    </row>
    <row r="3647" spans="1:14" s="2" customFormat="1">
      <c r="A3647" s="83"/>
      <c r="H3647" s="83"/>
      <c r="K3647" s="82"/>
      <c r="M3647" s="112"/>
      <c r="N3647" s="84"/>
    </row>
    <row r="3648" spans="1:14" s="2" customFormat="1">
      <c r="A3648" s="83"/>
      <c r="H3648" s="83"/>
      <c r="K3648" s="82"/>
      <c r="M3648" s="112"/>
      <c r="N3648" s="84"/>
    </row>
    <row r="3649" spans="1:14" s="2" customFormat="1">
      <c r="A3649" s="83"/>
      <c r="H3649" s="83"/>
      <c r="K3649" s="82"/>
      <c r="M3649" s="112"/>
      <c r="N3649" s="84"/>
    </row>
    <row r="3650" spans="1:14" s="2" customFormat="1">
      <c r="A3650" s="83"/>
      <c r="H3650" s="83"/>
      <c r="K3650" s="82"/>
      <c r="M3650" s="112"/>
      <c r="N3650" s="84"/>
    </row>
    <row r="3651" spans="1:14" s="2" customFormat="1">
      <c r="A3651" s="83"/>
      <c r="H3651" s="83"/>
      <c r="K3651" s="82"/>
      <c r="M3651" s="112"/>
      <c r="N3651" s="84"/>
    </row>
    <row r="3652" spans="1:14" s="2" customFormat="1">
      <c r="A3652" s="83"/>
      <c r="H3652" s="83"/>
      <c r="K3652" s="82"/>
      <c r="M3652" s="112"/>
      <c r="N3652" s="84"/>
    </row>
    <row r="3653" spans="1:14" s="2" customFormat="1">
      <c r="A3653" s="83"/>
      <c r="H3653" s="83"/>
      <c r="K3653" s="82"/>
      <c r="M3653" s="112"/>
      <c r="N3653" s="84"/>
    </row>
    <row r="3654" spans="1:14" s="2" customFormat="1">
      <c r="A3654" s="83"/>
      <c r="H3654" s="83"/>
      <c r="K3654" s="82"/>
      <c r="M3654" s="112"/>
      <c r="N3654" s="84"/>
    </row>
    <row r="3655" spans="1:14" s="2" customFormat="1">
      <c r="A3655" s="83"/>
      <c r="H3655" s="83"/>
      <c r="K3655" s="82"/>
      <c r="M3655" s="112"/>
      <c r="N3655" s="84"/>
    </row>
    <row r="3656" spans="1:14" s="2" customFormat="1">
      <c r="A3656" s="83"/>
      <c r="H3656" s="83"/>
      <c r="K3656" s="82"/>
      <c r="M3656" s="112"/>
      <c r="N3656" s="84"/>
    </row>
    <row r="3657" spans="1:14" s="2" customFormat="1">
      <c r="A3657" s="83"/>
      <c r="H3657" s="83"/>
      <c r="K3657" s="82"/>
      <c r="M3657" s="112"/>
      <c r="N3657" s="84"/>
    </row>
    <row r="3658" spans="1:14" s="2" customFormat="1">
      <c r="A3658" s="83"/>
      <c r="H3658" s="83"/>
      <c r="K3658" s="82"/>
      <c r="M3658" s="112"/>
      <c r="N3658" s="84"/>
    </row>
    <row r="3659" spans="1:14" s="2" customFormat="1">
      <c r="A3659" s="83"/>
      <c r="H3659" s="83"/>
      <c r="K3659" s="82"/>
      <c r="M3659" s="112"/>
      <c r="N3659" s="84"/>
    </row>
    <row r="3660" spans="1:14" s="2" customFormat="1">
      <c r="A3660" s="83"/>
      <c r="H3660" s="83"/>
      <c r="K3660" s="82"/>
      <c r="M3660" s="112"/>
      <c r="N3660" s="84"/>
    </row>
    <row r="3661" spans="1:14" s="2" customFormat="1">
      <c r="A3661" s="83"/>
      <c r="H3661" s="83"/>
      <c r="K3661" s="82"/>
      <c r="M3661" s="112"/>
      <c r="N3661" s="84"/>
    </row>
    <row r="3662" spans="1:14" s="2" customFormat="1">
      <c r="A3662" s="83"/>
      <c r="H3662" s="83"/>
      <c r="K3662" s="82"/>
      <c r="M3662" s="112"/>
      <c r="N3662" s="84"/>
    </row>
    <row r="3663" spans="1:14" s="2" customFormat="1">
      <c r="A3663" s="83"/>
      <c r="H3663" s="83"/>
      <c r="K3663" s="82"/>
      <c r="M3663" s="112"/>
      <c r="N3663" s="84"/>
    </row>
    <row r="3664" spans="1:14" s="2" customFormat="1">
      <c r="A3664" s="83"/>
      <c r="H3664" s="83"/>
      <c r="K3664" s="82"/>
      <c r="M3664" s="112"/>
      <c r="N3664" s="84"/>
    </row>
    <row r="3665" spans="1:14" s="2" customFormat="1">
      <c r="A3665" s="83"/>
      <c r="H3665" s="83"/>
      <c r="K3665" s="82"/>
      <c r="M3665" s="112"/>
      <c r="N3665" s="84"/>
    </row>
    <row r="3666" spans="1:14" s="2" customFormat="1">
      <c r="A3666" s="83"/>
      <c r="H3666" s="83"/>
      <c r="K3666" s="82"/>
      <c r="M3666" s="112"/>
      <c r="N3666" s="84"/>
    </row>
    <row r="3667" spans="1:14" s="2" customFormat="1">
      <c r="A3667" s="83"/>
      <c r="H3667" s="83"/>
      <c r="K3667" s="82"/>
      <c r="M3667" s="112"/>
      <c r="N3667" s="84"/>
    </row>
    <row r="3668" spans="1:14" s="2" customFormat="1">
      <c r="A3668" s="83"/>
      <c r="H3668" s="83"/>
      <c r="K3668" s="82"/>
      <c r="M3668" s="112"/>
      <c r="N3668" s="84"/>
    </row>
    <row r="3669" spans="1:14" s="2" customFormat="1">
      <c r="A3669" s="83"/>
      <c r="H3669" s="83"/>
      <c r="K3669" s="82"/>
      <c r="M3669" s="112"/>
      <c r="N3669" s="84"/>
    </row>
    <row r="3670" spans="1:14" s="2" customFormat="1">
      <c r="A3670" s="83"/>
      <c r="H3670" s="83"/>
      <c r="K3670" s="82"/>
      <c r="M3670" s="112"/>
      <c r="N3670" s="84"/>
    </row>
    <row r="3671" spans="1:14" s="2" customFormat="1">
      <c r="A3671" s="83"/>
      <c r="H3671" s="83"/>
      <c r="K3671" s="82"/>
      <c r="M3671" s="112"/>
      <c r="N3671" s="84"/>
    </row>
    <row r="3672" spans="1:14" s="2" customFormat="1">
      <c r="A3672" s="83"/>
      <c r="H3672" s="83"/>
      <c r="K3672" s="82"/>
      <c r="M3672" s="112"/>
      <c r="N3672" s="84"/>
    </row>
    <row r="3673" spans="1:14" s="2" customFormat="1">
      <c r="A3673" s="83"/>
      <c r="H3673" s="83"/>
      <c r="K3673" s="82"/>
      <c r="M3673" s="112"/>
      <c r="N3673" s="84"/>
    </row>
    <row r="3674" spans="1:14" s="2" customFormat="1">
      <c r="A3674" s="83"/>
      <c r="H3674" s="83"/>
      <c r="K3674" s="82"/>
      <c r="M3674" s="112"/>
      <c r="N3674" s="84"/>
    </row>
    <row r="3675" spans="1:14" s="2" customFormat="1">
      <c r="A3675" s="83"/>
      <c r="H3675" s="83"/>
      <c r="K3675" s="82"/>
      <c r="M3675" s="112"/>
      <c r="N3675" s="84"/>
    </row>
    <row r="3676" spans="1:14" s="2" customFormat="1">
      <c r="A3676" s="83"/>
      <c r="H3676" s="83"/>
      <c r="K3676" s="82"/>
      <c r="M3676" s="112"/>
      <c r="N3676" s="84"/>
    </row>
    <row r="3677" spans="1:14" s="2" customFormat="1">
      <c r="A3677" s="83"/>
      <c r="H3677" s="83"/>
      <c r="K3677" s="82"/>
      <c r="M3677" s="112"/>
      <c r="N3677" s="84"/>
    </row>
    <row r="3678" spans="1:14" s="2" customFormat="1">
      <c r="A3678" s="83"/>
      <c r="H3678" s="83"/>
      <c r="K3678" s="82"/>
      <c r="M3678" s="112"/>
      <c r="N3678" s="84"/>
    </row>
    <row r="3679" spans="1:14" s="2" customFormat="1">
      <c r="A3679" s="83"/>
      <c r="H3679" s="83"/>
      <c r="K3679" s="82"/>
      <c r="M3679" s="112"/>
      <c r="N3679" s="84"/>
    </row>
    <row r="3680" spans="1:14" s="2" customFormat="1">
      <c r="A3680" s="83"/>
      <c r="H3680" s="83"/>
      <c r="K3680" s="82"/>
      <c r="M3680" s="112"/>
      <c r="N3680" s="84"/>
    </row>
    <row r="3681" spans="1:14" s="2" customFormat="1">
      <c r="A3681" s="83"/>
      <c r="H3681" s="83"/>
      <c r="K3681" s="82"/>
      <c r="M3681" s="112"/>
      <c r="N3681" s="84"/>
    </row>
    <row r="3682" spans="1:14" s="2" customFormat="1">
      <c r="A3682" s="83"/>
      <c r="H3682" s="83"/>
      <c r="K3682" s="82"/>
      <c r="M3682" s="112"/>
      <c r="N3682" s="84"/>
    </row>
    <row r="3683" spans="1:14" s="2" customFormat="1">
      <c r="A3683" s="83"/>
      <c r="H3683" s="83"/>
      <c r="K3683" s="82"/>
      <c r="M3683" s="112"/>
      <c r="N3683" s="84"/>
    </row>
    <row r="3684" spans="1:14" s="2" customFormat="1">
      <c r="A3684" s="83"/>
      <c r="H3684" s="83"/>
      <c r="K3684" s="82"/>
      <c r="M3684" s="112"/>
      <c r="N3684" s="84"/>
    </row>
    <row r="3685" spans="1:14" s="2" customFormat="1">
      <c r="A3685" s="83"/>
      <c r="H3685" s="83"/>
      <c r="K3685" s="82"/>
      <c r="M3685" s="112"/>
      <c r="N3685" s="84"/>
    </row>
    <row r="3686" spans="1:14" s="2" customFormat="1">
      <c r="A3686" s="83"/>
      <c r="H3686" s="83"/>
      <c r="K3686" s="82"/>
      <c r="M3686" s="112"/>
      <c r="N3686" s="84"/>
    </row>
    <row r="3687" spans="1:14" s="2" customFormat="1">
      <c r="A3687" s="83"/>
      <c r="H3687" s="83"/>
      <c r="K3687" s="82"/>
      <c r="M3687" s="112"/>
      <c r="N3687" s="84"/>
    </row>
    <row r="3688" spans="1:14" s="2" customFormat="1">
      <c r="A3688" s="83"/>
      <c r="H3688" s="83"/>
      <c r="K3688" s="82"/>
      <c r="M3688" s="112"/>
      <c r="N3688" s="84"/>
    </row>
    <row r="3689" spans="1:14" s="2" customFormat="1">
      <c r="A3689" s="83"/>
      <c r="H3689" s="83"/>
      <c r="K3689" s="82"/>
      <c r="M3689" s="112"/>
      <c r="N3689" s="84"/>
    </row>
    <row r="3690" spans="1:14" s="2" customFormat="1">
      <c r="A3690" s="83"/>
      <c r="H3690" s="83"/>
      <c r="K3690" s="82"/>
      <c r="M3690" s="112"/>
      <c r="N3690" s="84"/>
    </row>
    <row r="3691" spans="1:14" s="2" customFormat="1">
      <c r="A3691" s="83"/>
      <c r="H3691" s="83"/>
      <c r="K3691" s="82"/>
      <c r="M3691" s="112"/>
      <c r="N3691" s="84"/>
    </row>
    <row r="3692" spans="1:14" s="2" customFormat="1">
      <c r="A3692" s="83"/>
      <c r="H3692" s="83"/>
      <c r="K3692" s="82"/>
      <c r="M3692" s="112"/>
      <c r="N3692" s="84"/>
    </row>
    <row r="3693" spans="1:14" s="2" customFormat="1">
      <c r="A3693" s="83"/>
      <c r="H3693" s="83"/>
      <c r="K3693" s="82"/>
      <c r="M3693" s="112"/>
      <c r="N3693" s="84"/>
    </row>
    <row r="3694" spans="1:14" s="2" customFormat="1">
      <c r="A3694" s="83"/>
      <c r="H3694" s="83"/>
      <c r="K3694" s="82"/>
      <c r="M3694" s="112"/>
      <c r="N3694" s="84"/>
    </row>
    <row r="3695" spans="1:14" s="2" customFormat="1">
      <c r="A3695" s="83"/>
      <c r="H3695" s="83"/>
      <c r="K3695" s="82"/>
      <c r="M3695" s="112"/>
      <c r="N3695" s="84"/>
    </row>
    <row r="3696" spans="1:14" s="2" customFormat="1">
      <c r="A3696" s="83"/>
      <c r="H3696" s="83"/>
      <c r="K3696" s="82"/>
      <c r="M3696" s="112"/>
      <c r="N3696" s="84"/>
    </row>
    <row r="3697" spans="1:14" s="2" customFormat="1">
      <c r="A3697" s="83"/>
      <c r="H3697" s="83"/>
      <c r="K3697" s="82"/>
      <c r="M3697" s="112"/>
      <c r="N3697" s="84"/>
    </row>
    <row r="3698" spans="1:14" s="2" customFormat="1">
      <c r="A3698" s="83"/>
      <c r="H3698" s="83"/>
      <c r="K3698" s="82"/>
      <c r="M3698" s="112"/>
      <c r="N3698" s="84"/>
    </row>
    <row r="3699" spans="1:14" s="2" customFormat="1">
      <c r="A3699" s="83"/>
      <c r="H3699" s="83"/>
      <c r="K3699" s="82"/>
      <c r="M3699" s="112"/>
      <c r="N3699" s="84"/>
    </row>
    <row r="3700" spans="1:14" s="2" customFormat="1">
      <c r="A3700" s="83"/>
      <c r="H3700" s="83"/>
      <c r="K3700" s="82"/>
      <c r="M3700" s="112"/>
      <c r="N3700" s="84"/>
    </row>
    <row r="3701" spans="1:14" s="2" customFormat="1">
      <c r="A3701" s="83"/>
      <c r="H3701" s="83"/>
      <c r="K3701" s="82"/>
      <c r="M3701" s="112"/>
      <c r="N3701" s="84"/>
    </row>
    <row r="3702" spans="1:14" s="2" customFormat="1">
      <c r="A3702" s="83"/>
      <c r="H3702" s="83"/>
      <c r="K3702" s="82"/>
      <c r="M3702" s="112"/>
      <c r="N3702" s="84"/>
    </row>
    <row r="3703" spans="1:14" s="2" customFormat="1">
      <c r="A3703" s="83"/>
      <c r="H3703" s="83"/>
      <c r="K3703" s="82"/>
      <c r="M3703" s="112"/>
      <c r="N3703" s="84"/>
    </row>
    <row r="3704" spans="1:14" s="2" customFormat="1">
      <c r="A3704" s="83"/>
      <c r="H3704" s="83"/>
      <c r="K3704" s="82"/>
      <c r="M3704" s="112"/>
      <c r="N3704" s="84"/>
    </row>
    <row r="3705" spans="1:14" s="2" customFormat="1">
      <c r="A3705" s="83"/>
      <c r="H3705" s="83"/>
      <c r="K3705" s="82"/>
      <c r="M3705" s="112"/>
      <c r="N3705" s="84"/>
    </row>
    <row r="3706" spans="1:14" s="2" customFormat="1">
      <c r="A3706" s="83"/>
      <c r="H3706" s="83"/>
      <c r="K3706" s="82"/>
      <c r="M3706" s="112"/>
      <c r="N3706" s="84"/>
    </row>
    <row r="3707" spans="1:14" s="2" customFormat="1">
      <c r="A3707" s="83"/>
      <c r="H3707" s="83"/>
      <c r="K3707" s="82"/>
      <c r="M3707" s="112"/>
      <c r="N3707" s="84"/>
    </row>
    <row r="3708" spans="1:14" s="2" customFormat="1">
      <c r="A3708" s="83"/>
      <c r="H3708" s="83"/>
      <c r="K3708" s="82"/>
      <c r="M3708" s="112"/>
      <c r="N3708" s="84"/>
    </row>
    <row r="3709" spans="1:14" s="2" customFormat="1">
      <c r="A3709" s="83"/>
      <c r="H3709" s="83"/>
      <c r="K3709" s="82"/>
      <c r="M3709" s="112"/>
      <c r="N3709" s="84"/>
    </row>
    <row r="3710" spans="1:14" s="2" customFormat="1">
      <c r="A3710" s="83"/>
      <c r="H3710" s="83"/>
      <c r="K3710" s="82"/>
      <c r="M3710" s="112"/>
      <c r="N3710" s="84"/>
    </row>
    <row r="3711" spans="1:14" s="2" customFormat="1">
      <c r="A3711" s="83"/>
      <c r="H3711" s="83"/>
      <c r="K3711" s="82"/>
      <c r="M3711" s="112"/>
      <c r="N3711" s="84"/>
    </row>
    <row r="3712" spans="1:14" s="2" customFormat="1">
      <c r="A3712" s="83"/>
      <c r="H3712" s="83"/>
      <c r="K3712" s="82"/>
      <c r="M3712" s="112"/>
      <c r="N3712" s="84"/>
    </row>
    <row r="3713" spans="1:14" s="2" customFormat="1">
      <c r="A3713" s="83"/>
      <c r="H3713" s="83"/>
      <c r="K3713" s="82"/>
      <c r="M3713" s="112"/>
      <c r="N3713" s="84"/>
    </row>
    <row r="3714" spans="1:14" s="2" customFormat="1">
      <c r="A3714" s="83"/>
      <c r="H3714" s="83"/>
      <c r="K3714" s="82"/>
      <c r="M3714" s="112"/>
      <c r="N3714" s="84"/>
    </row>
    <row r="3715" spans="1:14" s="2" customFormat="1">
      <c r="A3715" s="83"/>
      <c r="H3715" s="83"/>
      <c r="K3715" s="82"/>
      <c r="M3715" s="112"/>
      <c r="N3715" s="84"/>
    </row>
    <row r="3716" spans="1:14" s="2" customFormat="1">
      <c r="A3716" s="83"/>
      <c r="H3716" s="83"/>
      <c r="K3716" s="82"/>
      <c r="M3716" s="112"/>
      <c r="N3716" s="84"/>
    </row>
    <row r="3717" spans="1:14" s="2" customFormat="1">
      <c r="A3717" s="83"/>
      <c r="H3717" s="83"/>
      <c r="K3717" s="82"/>
      <c r="M3717" s="112"/>
      <c r="N3717" s="84"/>
    </row>
    <row r="3718" spans="1:14" s="2" customFormat="1">
      <c r="A3718" s="83"/>
      <c r="H3718" s="83"/>
      <c r="K3718" s="82"/>
      <c r="M3718" s="112"/>
      <c r="N3718" s="84"/>
    </row>
    <row r="3719" spans="1:14" s="2" customFormat="1">
      <c r="A3719" s="83"/>
      <c r="H3719" s="83"/>
      <c r="K3719" s="82"/>
      <c r="M3719" s="112"/>
      <c r="N3719" s="84"/>
    </row>
    <row r="3720" spans="1:14" s="2" customFormat="1">
      <c r="A3720" s="83"/>
      <c r="H3720" s="83"/>
      <c r="K3720" s="82"/>
      <c r="M3720" s="112"/>
      <c r="N3720" s="84"/>
    </row>
    <row r="3721" spans="1:14" s="2" customFormat="1">
      <c r="A3721" s="83"/>
      <c r="H3721" s="83"/>
      <c r="K3721" s="82"/>
      <c r="M3721" s="112"/>
      <c r="N3721" s="84"/>
    </row>
    <row r="3722" spans="1:14" s="2" customFormat="1">
      <c r="A3722" s="83"/>
      <c r="H3722" s="83"/>
      <c r="K3722" s="82"/>
      <c r="M3722" s="112"/>
      <c r="N3722" s="84"/>
    </row>
    <row r="3723" spans="1:14" s="2" customFormat="1">
      <c r="A3723" s="83"/>
      <c r="H3723" s="83"/>
      <c r="K3723" s="82"/>
      <c r="M3723" s="112"/>
      <c r="N3723" s="84"/>
    </row>
    <row r="3724" spans="1:14" s="2" customFormat="1">
      <c r="A3724" s="83"/>
      <c r="H3724" s="83"/>
      <c r="K3724" s="82"/>
      <c r="M3724" s="112"/>
      <c r="N3724" s="84"/>
    </row>
    <row r="3725" spans="1:14" s="2" customFormat="1">
      <c r="A3725" s="83"/>
      <c r="H3725" s="83"/>
      <c r="K3725" s="82"/>
      <c r="M3725" s="112"/>
      <c r="N3725" s="84"/>
    </row>
    <row r="3726" spans="1:14" s="2" customFormat="1">
      <c r="A3726" s="83"/>
      <c r="H3726" s="83"/>
      <c r="K3726" s="82"/>
      <c r="M3726" s="112"/>
      <c r="N3726" s="84"/>
    </row>
    <row r="3727" spans="1:14" s="2" customFormat="1">
      <c r="A3727" s="83"/>
      <c r="H3727" s="83"/>
      <c r="K3727" s="82"/>
      <c r="M3727" s="112"/>
      <c r="N3727" s="84"/>
    </row>
    <row r="3728" spans="1:14" s="2" customFormat="1">
      <c r="A3728" s="83"/>
      <c r="H3728" s="83"/>
      <c r="K3728" s="82"/>
      <c r="M3728" s="112"/>
      <c r="N3728" s="84"/>
    </row>
    <row r="3729" spans="1:14" s="2" customFormat="1">
      <c r="A3729" s="83"/>
      <c r="H3729" s="83"/>
      <c r="K3729" s="82"/>
      <c r="M3729" s="112"/>
      <c r="N3729" s="84"/>
    </row>
    <row r="3730" spans="1:14" s="2" customFormat="1">
      <c r="A3730" s="83"/>
      <c r="H3730" s="83"/>
      <c r="K3730" s="82"/>
      <c r="M3730" s="112"/>
      <c r="N3730" s="84"/>
    </row>
    <row r="3731" spans="1:14" s="2" customFormat="1">
      <c r="A3731" s="83"/>
      <c r="H3731" s="83"/>
      <c r="K3731" s="82"/>
      <c r="M3731" s="112"/>
      <c r="N3731" s="84"/>
    </row>
    <row r="3732" spans="1:14" s="2" customFormat="1">
      <c r="A3732" s="83"/>
      <c r="H3732" s="83"/>
      <c r="K3732" s="82"/>
      <c r="M3732" s="112"/>
      <c r="N3732" s="84"/>
    </row>
    <row r="3733" spans="1:14" s="2" customFormat="1">
      <c r="A3733" s="83"/>
      <c r="H3733" s="83"/>
      <c r="K3733" s="82"/>
      <c r="M3733" s="112"/>
      <c r="N3733" s="84"/>
    </row>
    <row r="3734" spans="1:14" s="2" customFormat="1">
      <c r="A3734" s="83"/>
      <c r="H3734" s="83"/>
      <c r="K3734" s="82"/>
      <c r="M3734" s="112"/>
      <c r="N3734" s="84"/>
    </row>
    <row r="3735" spans="1:14" s="2" customFormat="1">
      <c r="A3735" s="83"/>
      <c r="H3735" s="83"/>
      <c r="K3735" s="82"/>
      <c r="M3735" s="112"/>
      <c r="N3735" s="84"/>
    </row>
    <row r="3736" spans="1:14" s="2" customFormat="1">
      <c r="A3736" s="83"/>
      <c r="H3736" s="83"/>
      <c r="K3736" s="82"/>
      <c r="M3736" s="112"/>
      <c r="N3736" s="84"/>
    </row>
    <row r="3737" spans="1:14" s="2" customFormat="1">
      <c r="A3737" s="83"/>
      <c r="H3737" s="83"/>
      <c r="K3737" s="82"/>
      <c r="M3737" s="112"/>
      <c r="N3737" s="84"/>
    </row>
    <row r="3738" spans="1:14" s="2" customFormat="1">
      <c r="A3738" s="83"/>
      <c r="H3738" s="83"/>
      <c r="K3738" s="82"/>
      <c r="M3738" s="112"/>
      <c r="N3738" s="84"/>
    </row>
    <row r="3739" spans="1:14" s="2" customFormat="1">
      <c r="A3739" s="83"/>
      <c r="H3739" s="83"/>
      <c r="K3739" s="82"/>
      <c r="M3739" s="112"/>
      <c r="N3739" s="84"/>
    </row>
    <row r="3740" spans="1:14" s="2" customFormat="1">
      <c r="A3740" s="83"/>
      <c r="H3740" s="83"/>
      <c r="K3740" s="82"/>
      <c r="M3740" s="112"/>
      <c r="N3740" s="84"/>
    </row>
    <row r="3741" spans="1:14" s="2" customFormat="1">
      <c r="A3741" s="83"/>
      <c r="H3741" s="83"/>
      <c r="K3741" s="82"/>
      <c r="M3741" s="112"/>
      <c r="N3741" s="84"/>
    </row>
    <row r="3742" spans="1:14" s="2" customFormat="1">
      <c r="A3742" s="83"/>
      <c r="H3742" s="83"/>
      <c r="K3742" s="82"/>
      <c r="M3742" s="112"/>
      <c r="N3742" s="84"/>
    </row>
    <row r="3743" spans="1:14" s="2" customFormat="1">
      <c r="A3743" s="83"/>
      <c r="H3743" s="83"/>
      <c r="K3743" s="82"/>
      <c r="M3743" s="112"/>
      <c r="N3743" s="84"/>
    </row>
    <row r="3744" spans="1:14" s="2" customFormat="1">
      <c r="A3744" s="83"/>
      <c r="H3744" s="83"/>
      <c r="K3744" s="82"/>
      <c r="M3744" s="112"/>
      <c r="N3744" s="84"/>
    </row>
    <row r="3745" spans="1:14" s="2" customFormat="1">
      <c r="A3745" s="83"/>
      <c r="H3745" s="83"/>
      <c r="K3745" s="82"/>
      <c r="M3745" s="112"/>
      <c r="N3745" s="84"/>
    </row>
    <row r="3746" spans="1:14" s="2" customFormat="1">
      <c r="A3746" s="83"/>
      <c r="H3746" s="83"/>
      <c r="K3746" s="82"/>
      <c r="M3746" s="112"/>
      <c r="N3746" s="84"/>
    </row>
    <row r="3747" spans="1:14" s="2" customFormat="1">
      <c r="A3747" s="83"/>
      <c r="H3747" s="83"/>
      <c r="K3747" s="82"/>
      <c r="M3747" s="112"/>
      <c r="N3747" s="84"/>
    </row>
    <row r="3748" spans="1:14" s="2" customFormat="1">
      <c r="A3748" s="83"/>
      <c r="H3748" s="83"/>
      <c r="K3748" s="82"/>
      <c r="M3748" s="112"/>
      <c r="N3748" s="84"/>
    </row>
    <row r="3749" spans="1:14" s="2" customFormat="1">
      <c r="A3749" s="83"/>
      <c r="H3749" s="83"/>
      <c r="K3749" s="82"/>
      <c r="M3749" s="112"/>
      <c r="N3749" s="84"/>
    </row>
    <row r="3750" spans="1:14" s="2" customFormat="1">
      <c r="A3750" s="83"/>
      <c r="H3750" s="83"/>
      <c r="K3750" s="82"/>
      <c r="M3750" s="112"/>
      <c r="N3750" s="84"/>
    </row>
    <row r="3751" spans="1:14" s="2" customFormat="1">
      <c r="A3751" s="83"/>
      <c r="H3751" s="83"/>
      <c r="K3751" s="82"/>
      <c r="M3751" s="112"/>
      <c r="N3751" s="84"/>
    </row>
    <row r="3752" spans="1:14" s="2" customFormat="1">
      <c r="A3752" s="83"/>
      <c r="H3752" s="83"/>
      <c r="K3752" s="82"/>
      <c r="M3752" s="112"/>
      <c r="N3752" s="84"/>
    </row>
    <row r="3753" spans="1:14" s="2" customFormat="1">
      <c r="A3753" s="83"/>
      <c r="H3753" s="83"/>
      <c r="K3753" s="82"/>
      <c r="M3753" s="112"/>
      <c r="N3753" s="84"/>
    </row>
    <row r="3754" spans="1:14" s="2" customFormat="1">
      <c r="A3754" s="83"/>
      <c r="H3754" s="83"/>
      <c r="K3754" s="82"/>
      <c r="M3754" s="112"/>
      <c r="N3754" s="84"/>
    </row>
    <row r="3755" spans="1:14" s="2" customFormat="1">
      <c r="A3755" s="83"/>
      <c r="H3755" s="83"/>
      <c r="K3755" s="82"/>
      <c r="M3755" s="112"/>
      <c r="N3755" s="84"/>
    </row>
    <row r="3756" spans="1:14" s="2" customFormat="1">
      <c r="A3756" s="83"/>
      <c r="H3756" s="83"/>
      <c r="K3756" s="82"/>
      <c r="M3756" s="112"/>
      <c r="N3756" s="84"/>
    </row>
    <row r="3757" spans="1:14" s="2" customFormat="1">
      <c r="A3757" s="83"/>
      <c r="H3757" s="83"/>
      <c r="K3757" s="82"/>
      <c r="M3757" s="112"/>
      <c r="N3757" s="84"/>
    </row>
    <row r="3758" spans="1:14" s="2" customFormat="1">
      <c r="A3758" s="83"/>
      <c r="H3758" s="83"/>
      <c r="K3758" s="82"/>
      <c r="M3758" s="112"/>
      <c r="N3758" s="84"/>
    </row>
    <row r="3759" spans="1:14" s="2" customFormat="1">
      <c r="A3759" s="83"/>
      <c r="H3759" s="83"/>
      <c r="K3759" s="82"/>
      <c r="M3759" s="112"/>
      <c r="N3759" s="84"/>
    </row>
    <row r="3760" spans="1:14" s="2" customFormat="1">
      <c r="A3760" s="83"/>
      <c r="H3760" s="83"/>
      <c r="K3760" s="82"/>
      <c r="M3760" s="112"/>
      <c r="N3760" s="84"/>
    </row>
    <row r="3761" spans="1:14" s="2" customFormat="1">
      <c r="A3761" s="83"/>
      <c r="H3761" s="83"/>
      <c r="K3761" s="82"/>
      <c r="M3761" s="112"/>
      <c r="N3761" s="84"/>
    </row>
    <row r="3762" spans="1:14" s="2" customFormat="1">
      <c r="A3762" s="83"/>
      <c r="H3762" s="83"/>
      <c r="K3762" s="82"/>
      <c r="M3762" s="112"/>
      <c r="N3762" s="84"/>
    </row>
    <row r="3763" spans="1:14" s="2" customFormat="1">
      <c r="A3763" s="83"/>
      <c r="H3763" s="83"/>
      <c r="K3763" s="82"/>
      <c r="M3763" s="112"/>
      <c r="N3763" s="84"/>
    </row>
    <row r="3764" spans="1:14" s="2" customFormat="1">
      <c r="A3764" s="83"/>
      <c r="H3764" s="83"/>
      <c r="K3764" s="82"/>
      <c r="M3764" s="112"/>
      <c r="N3764" s="84"/>
    </row>
    <row r="3765" spans="1:14" s="2" customFormat="1">
      <c r="A3765" s="83"/>
      <c r="H3765" s="83"/>
      <c r="K3765" s="82"/>
      <c r="M3765" s="112"/>
      <c r="N3765" s="84"/>
    </row>
    <row r="3766" spans="1:14" s="2" customFormat="1">
      <c r="A3766" s="83"/>
      <c r="H3766" s="83"/>
      <c r="K3766" s="82"/>
      <c r="M3766" s="112"/>
      <c r="N3766" s="84"/>
    </row>
    <row r="3767" spans="1:14" s="2" customFormat="1">
      <c r="A3767" s="83"/>
      <c r="H3767" s="83"/>
      <c r="K3767" s="82"/>
      <c r="M3767" s="112"/>
      <c r="N3767" s="84"/>
    </row>
    <row r="3768" spans="1:14" s="2" customFormat="1">
      <c r="A3768" s="83"/>
      <c r="H3768" s="83"/>
      <c r="K3768" s="82"/>
      <c r="M3768" s="112"/>
      <c r="N3768" s="84"/>
    </row>
    <row r="3769" spans="1:14" s="2" customFormat="1">
      <c r="A3769" s="83"/>
      <c r="H3769" s="83"/>
      <c r="K3769" s="82"/>
      <c r="M3769" s="112"/>
      <c r="N3769" s="84"/>
    </row>
    <row r="3770" spans="1:14" s="2" customFormat="1">
      <c r="A3770" s="83"/>
      <c r="H3770" s="83"/>
      <c r="K3770" s="82"/>
      <c r="M3770" s="112"/>
      <c r="N3770" s="84"/>
    </row>
    <row r="3771" spans="1:14" s="2" customFormat="1">
      <c r="A3771" s="83"/>
      <c r="H3771" s="83"/>
      <c r="K3771" s="82"/>
      <c r="M3771" s="112"/>
      <c r="N3771" s="84"/>
    </row>
    <row r="3772" spans="1:14" s="2" customFormat="1">
      <c r="A3772" s="83"/>
      <c r="H3772" s="83"/>
      <c r="K3772" s="82"/>
      <c r="M3772" s="112"/>
      <c r="N3772" s="84"/>
    </row>
    <row r="3773" spans="1:14" s="2" customFormat="1">
      <c r="A3773" s="83"/>
      <c r="H3773" s="83"/>
      <c r="K3773" s="82"/>
      <c r="M3773" s="112"/>
      <c r="N3773" s="84"/>
    </row>
    <row r="3774" spans="1:14" s="2" customFormat="1">
      <c r="A3774" s="83"/>
      <c r="H3774" s="83"/>
      <c r="K3774" s="82"/>
      <c r="M3774" s="112"/>
      <c r="N3774" s="84"/>
    </row>
    <row r="3775" spans="1:14" s="2" customFormat="1">
      <c r="A3775" s="83"/>
      <c r="H3775" s="83"/>
      <c r="K3775" s="82"/>
      <c r="M3775" s="112"/>
      <c r="N3775" s="84"/>
    </row>
    <row r="3776" spans="1:14" s="2" customFormat="1">
      <c r="A3776" s="83"/>
      <c r="H3776" s="83"/>
      <c r="K3776" s="82"/>
      <c r="M3776" s="112"/>
      <c r="N3776" s="84"/>
    </row>
    <row r="3777" spans="1:14" s="2" customFormat="1">
      <c r="A3777" s="83"/>
      <c r="H3777" s="83"/>
      <c r="K3777" s="82"/>
      <c r="M3777" s="112"/>
      <c r="N3777" s="84"/>
    </row>
    <row r="3778" spans="1:14" s="2" customFormat="1">
      <c r="A3778" s="83"/>
      <c r="H3778" s="83"/>
      <c r="K3778" s="82"/>
      <c r="M3778" s="112"/>
      <c r="N3778" s="84"/>
    </row>
    <row r="3779" spans="1:14" s="2" customFormat="1">
      <c r="A3779" s="83"/>
      <c r="H3779" s="83"/>
      <c r="K3779" s="82"/>
      <c r="M3779" s="112"/>
      <c r="N3779" s="84"/>
    </row>
    <row r="3780" spans="1:14" s="2" customFormat="1">
      <c r="A3780" s="83"/>
      <c r="H3780" s="83"/>
      <c r="K3780" s="82"/>
      <c r="M3780" s="112"/>
      <c r="N3780" s="84"/>
    </row>
    <row r="3781" spans="1:14" s="2" customFormat="1">
      <c r="A3781" s="83"/>
      <c r="H3781" s="83"/>
      <c r="K3781" s="82"/>
      <c r="M3781" s="112"/>
      <c r="N3781" s="84"/>
    </row>
    <row r="3782" spans="1:14" s="2" customFormat="1">
      <c r="A3782" s="83"/>
      <c r="H3782" s="83"/>
      <c r="K3782" s="82"/>
      <c r="M3782" s="112"/>
      <c r="N3782" s="84"/>
    </row>
    <row r="3783" spans="1:14" s="2" customFormat="1">
      <c r="A3783" s="83"/>
      <c r="H3783" s="83"/>
      <c r="K3783" s="82"/>
      <c r="M3783" s="112"/>
      <c r="N3783" s="84"/>
    </row>
    <row r="3784" spans="1:14" s="2" customFormat="1">
      <c r="A3784" s="83"/>
      <c r="H3784" s="83"/>
      <c r="K3784" s="82"/>
      <c r="M3784" s="112"/>
      <c r="N3784" s="84"/>
    </row>
    <row r="3785" spans="1:14" s="2" customFormat="1">
      <c r="A3785" s="83"/>
      <c r="H3785" s="83"/>
      <c r="K3785" s="82"/>
      <c r="M3785" s="112"/>
      <c r="N3785" s="84"/>
    </row>
    <row r="3786" spans="1:14" s="2" customFormat="1">
      <c r="A3786" s="83"/>
      <c r="H3786" s="83"/>
      <c r="K3786" s="82"/>
      <c r="M3786" s="112"/>
      <c r="N3786" s="84"/>
    </row>
    <row r="3787" spans="1:14" s="2" customFormat="1">
      <c r="A3787" s="83"/>
      <c r="H3787" s="83"/>
      <c r="K3787" s="82"/>
      <c r="M3787" s="112"/>
      <c r="N3787" s="84"/>
    </row>
    <row r="3788" spans="1:14" s="2" customFormat="1">
      <c r="A3788" s="83"/>
      <c r="H3788" s="83"/>
      <c r="K3788" s="82"/>
      <c r="M3788" s="112"/>
      <c r="N3788" s="84"/>
    </row>
    <row r="3789" spans="1:14" s="2" customFormat="1">
      <c r="A3789" s="83"/>
      <c r="H3789" s="83"/>
      <c r="K3789" s="82"/>
      <c r="M3789" s="112"/>
      <c r="N3789" s="84"/>
    </row>
    <row r="3790" spans="1:14" s="2" customFormat="1">
      <c r="A3790" s="83"/>
      <c r="H3790" s="83"/>
      <c r="K3790" s="82"/>
      <c r="M3790" s="112"/>
      <c r="N3790" s="84"/>
    </row>
    <row r="3791" spans="1:14" s="2" customFormat="1">
      <c r="A3791" s="83"/>
      <c r="H3791" s="83"/>
      <c r="K3791" s="82"/>
      <c r="M3791" s="112"/>
      <c r="N3791" s="84"/>
    </row>
    <row r="3792" spans="1:14" s="2" customFormat="1">
      <c r="A3792" s="83"/>
      <c r="H3792" s="83"/>
      <c r="K3792" s="82"/>
      <c r="M3792" s="112"/>
      <c r="N3792" s="84"/>
    </row>
    <row r="3793" spans="1:14" s="2" customFormat="1">
      <c r="A3793" s="83"/>
      <c r="H3793" s="83"/>
      <c r="K3793" s="82"/>
      <c r="M3793" s="112"/>
      <c r="N3793" s="84"/>
    </row>
    <row r="3794" spans="1:14" s="2" customFormat="1">
      <c r="A3794" s="83"/>
      <c r="H3794" s="83"/>
      <c r="K3794" s="82"/>
      <c r="M3794" s="112"/>
      <c r="N3794" s="84"/>
    </row>
    <row r="3795" spans="1:14" s="2" customFormat="1">
      <c r="A3795" s="83"/>
      <c r="H3795" s="83"/>
      <c r="K3795" s="82"/>
      <c r="M3795" s="112"/>
      <c r="N3795" s="84"/>
    </row>
    <row r="3796" spans="1:14" s="2" customFormat="1">
      <c r="A3796" s="83"/>
      <c r="H3796" s="83"/>
      <c r="K3796" s="82"/>
      <c r="M3796" s="112"/>
      <c r="N3796" s="84"/>
    </row>
    <row r="3797" spans="1:14" s="2" customFormat="1">
      <c r="A3797" s="83"/>
      <c r="H3797" s="83"/>
      <c r="K3797" s="82"/>
      <c r="M3797" s="112"/>
      <c r="N3797" s="84"/>
    </row>
    <row r="3798" spans="1:14" s="2" customFormat="1">
      <c r="A3798" s="83"/>
      <c r="H3798" s="83"/>
      <c r="K3798" s="82"/>
      <c r="M3798" s="112"/>
      <c r="N3798" s="84"/>
    </row>
    <row r="3799" spans="1:14" s="2" customFormat="1">
      <c r="A3799" s="83"/>
      <c r="H3799" s="83"/>
      <c r="K3799" s="82"/>
      <c r="M3799" s="112"/>
      <c r="N3799" s="84"/>
    </row>
    <row r="3800" spans="1:14" s="2" customFormat="1">
      <c r="A3800" s="83"/>
      <c r="H3800" s="83"/>
      <c r="K3800" s="82"/>
      <c r="M3800" s="112"/>
      <c r="N3800" s="84"/>
    </row>
    <row r="3801" spans="1:14" s="2" customFormat="1">
      <c r="A3801" s="83"/>
      <c r="H3801" s="83"/>
      <c r="K3801" s="82"/>
      <c r="M3801" s="112"/>
      <c r="N3801" s="84"/>
    </row>
    <row r="3802" spans="1:14" s="2" customFormat="1">
      <c r="A3802" s="83"/>
      <c r="H3802" s="83"/>
      <c r="K3802" s="82"/>
      <c r="M3802" s="112"/>
      <c r="N3802" s="84"/>
    </row>
    <row r="3803" spans="1:14" s="2" customFormat="1">
      <c r="A3803" s="83"/>
      <c r="H3803" s="83"/>
      <c r="K3803" s="82"/>
      <c r="M3803" s="112"/>
      <c r="N3803" s="84"/>
    </row>
    <row r="3804" spans="1:14" s="2" customFormat="1">
      <c r="A3804" s="83"/>
      <c r="H3804" s="83"/>
      <c r="K3804" s="82"/>
      <c r="M3804" s="112"/>
      <c r="N3804" s="84"/>
    </row>
    <row r="3805" spans="1:14" s="2" customFormat="1">
      <c r="A3805" s="83"/>
      <c r="H3805" s="83"/>
      <c r="K3805" s="82"/>
      <c r="M3805" s="112"/>
      <c r="N3805" s="84"/>
    </row>
    <row r="3806" spans="1:14" s="2" customFormat="1">
      <c r="A3806" s="83"/>
      <c r="H3806" s="83"/>
      <c r="K3806" s="82"/>
      <c r="M3806" s="112"/>
      <c r="N3806" s="84"/>
    </row>
    <row r="3807" spans="1:14" s="2" customFormat="1">
      <c r="A3807" s="83"/>
      <c r="H3807" s="83"/>
      <c r="K3807" s="82"/>
      <c r="M3807" s="112"/>
      <c r="N3807" s="84"/>
    </row>
    <row r="3808" spans="1:14" s="2" customFormat="1">
      <c r="A3808" s="83"/>
      <c r="H3808" s="83"/>
      <c r="K3808" s="82"/>
      <c r="M3808" s="112"/>
      <c r="N3808" s="84"/>
    </row>
    <row r="3809" spans="1:14" s="2" customFormat="1">
      <c r="A3809" s="83"/>
      <c r="H3809" s="83"/>
      <c r="K3809" s="82"/>
      <c r="M3809" s="112"/>
      <c r="N3809" s="84"/>
    </row>
    <row r="3810" spans="1:14" s="2" customFormat="1">
      <c r="A3810" s="83"/>
      <c r="H3810" s="83"/>
      <c r="K3810" s="82"/>
      <c r="M3810" s="112"/>
      <c r="N3810" s="84"/>
    </row>
    <row r="3811" spans="1:14" s="2" customFormat="1">
      <c r="A3811" s="83"/>
      <c r="H3811" s="83"/>
      <c r="K3811" s="82"/>
      <c r="M3811" s="112"/>
      <c r="N3811" s="84"/>
    </row>
    <row r="3812" spans="1:14" s="2" customFormat="1">
      <c r="A3812" s="83"/>
      <c r="H3812" s="83"/>
      <c r="K3812" s="82"/>
      <c r="M3812" s="112"/>
      <c r="N3812" s="84"/>
    </row>
    <row r="3813" spans="1:14" s="2" customFormat="1">
      <c r="A3813" s="83"/>
      <c r="H3813" s="83"/>
      <c r="K3813" s="82"/>
      <c r="M3813" s="112"/>
      <c r="N3813" s="84"/>
    </row>
    <row r="3814" spans="1:14" s="2" customFormat="1">
      <c r="A3814" s="83"/>
      <c r="H3814" s="83"/>
      <c r="K3814" s="82"/>
      <c r="M3814" s="112"/>
      <c r="N3814" s="84"/>
    </row>
    <row r="3815" spans="1:14" s="2" customFormat="1">
      <c r="A3815" s="83"/>
      <c r="H3815" s="83"/>
      <c r="K3815" s="82"/>
      <c r="M3815" s="112"/>
      <c r="N3815" s="84"/>
    </row>
    <row r="3816" spans="1:14" s="2" customFormat="1">
      <c r="A3816" s="83"/>
      <c r="H3816" s="83"/>
      <c r="K3816" s="82"/>
      <c r="M3816" s="112"/>
      <c r="N3816" s="84"/>
    </row>
    <row r="3817" spans="1:14" s="2" customFormat="1">
      <c r="A3817" s="83"/>
      <c r="H3817" s="83"/>
      <c r="K3817" s="82"/>
      <c r="M3817" s="112"/>
      <c r="N3817" s="84"/>
    </row>
    <row r="3818" spans="1:14" s="2" customFormat="1">
      <c r="A3818" s="83"/>
      <c r="H3818" s="83"/>
      <c r="K3818" s="82"/>
      <c r="M3818" s="112"/>
      <c r="N3818" s="84"/>
    </row>
    <row r="3819" spans="1:14" s="2" customFormat="1">
      <c r="A3819" s="83"/>
      <c r="H3819" s="83"/>
      <c r="K3819" s="82"/>
      <c r="M3819" s="112"/>
      <c r="N3819" s="84"/>
    </row>
    <row r="3820" spans="1:14" s="2" customFormat="1">
      <c r="A3820" s="83"/>
      <c r="H3820" s="83"/>
      <c r="K3820" s="82"/>
      <c r="M3820" s="112"/>
      <c r="N3820" s="84"/>
    </row>
    <row r="3821" spans="1:14" s="2" customFormat="1">
      <c r="A3821" s="83"/>
      <c r="H3821" s="83"/>
      <c r="K3821" s="82"/>
      <c r="M3821" s="112"/>
      <c r="N3821" s="84"/>
    </row>
    <row r="3822" spans="1:14" s="2" customFormat="1">
      <c r="A3822" s="83"/>
      <c r="H3822" s="83"/>
      <c r="K3822" s="82"/>
      <c r="M3822" s="112"/>
      <c r="N3822" s="84"/>
    </row>
    <row r="3823" spans="1:14" s="2" customFormat="1">
      <c r="A3823" s="83"/>
      <c r="H3823" s="83"/>
      <c r="K3823" s="82"/>
      <c r="M3823" s="112"/>
      <c r="N3823" s="84"/>
    </row>
    <row r="3824" spans="1:14" s="2" customFormat="1">
      <c r="A3824" s="83"/>
      <c r="H3824" s="83"/>
      <c r="K3824" s="82"/>
      <c r="M3824" s="112"/>
      <c r="N3824" s="84"/>
    </row>
    <row r="3825" spans="1:14" s="2" customFormat="1">
      <c r="A3825" s="83"/>
      <c r="H3825" s="83"/>
      <c r="K3825" s="82"/>
      <c r="M3825" s="112"/>
      <c r="N3825" s="84"/>
    </row>
    <row r="3826" spans="1:14" s="2" customFormat="1">
      <c r="A3826" s="83"/>
      <c r="H3826" s="83"/>
      <c r="K3826" s="82"/>
      <c r="M3826" s="112"/>
      <c r="N3826" s="84"/>
    </row>
    <row r="3827" spans="1:14" s="2" customFormat="1">
      <c r="A3827" s="83"/>
      <c r="H3827" s="83"/>
      <c r="K3827" s="82"/>
      <c r="M3827" s="112"/>
      <c r="N3827" s="84"/>
    </row>
    <row r="3828" spans="1:14" s="2" customFormat="1">
      <c r="A3828" s="83"/>
      <c r="H3828" s="83"/>
      <c r="K3828" s="82"/>
      <c r="M3828" s="112"/>
      <c r="N3828" s="84"/>
    </row>
    <row r="3829" spans="1:14" s="2" customFormat="1">
      <c r="A3829" s="83"/>
      <c r="H3829" s="83"/>
      <c r="K3829" s="82"/>
      <c r="M3829" s="112"/>
      <c r="N3829" s="84"/>
    </row>
    <row r="3830" spans="1:14" s="2" customFormat="1">
      <c r="A3830" s="83"/>
      <c r="H3830" s="83"/>
      <c r="K3830" s="82"/>
      <c r="M3830" s="112"/>
      <c r="N3830" s="84"/>
    </row>
    <row r="3831" spans="1:14" s="2" customFormat="1">
      <c r="A3831" s="83"/>
      <c r="H3831" s="83"/>
      <c r="K3831" s="82"/>
      <c r="M3831" s="112"/>
      <c r="N3831" s="84"/>
    </row>
    <row r="3832" spans="1:14" s="2" customFormat="1">
      <c r="A3832" s="83"/>
      <c r="H3832" s="83"/>
      <c r="K3832" s="82"/>
      <c r="M3832" s="112"/>
      <c r="N3832" s="84"/>
    </row>
    <row r="3833" spans="1:14" s="2" customFormat="1">
      <c r="A3833" s="83"/>
      <c r="H3833" s="83"/>
      <c r="K3833" s="82"/>
      <c r="M3833" s="112"/>
      <c r="N3833" s="84"/>
    </row>
    <row r="3834" spans="1:14" s="2" customFormat="1">
      <c r="A3834" s="83"/>
      <c r="H3834" s="83"/>
      <c r="K3834" s="82"/>
      <c r="M3834" s="112"/>
      <c r="N3834" s="84"/>
    </row>
    <row r="3835" spans="1:14" s="2" customFormat="1">
      <c r="A3835" s="83"/>
      <c r="H3835" s="83"/>
      <c r="K3835" s="82"/>
      <c r="M3835" s="112"/>
      <c r="N3835" s="84"/>
    </row>
    <row r="3836" spans="1:14" s="2" customFormat="1">
      <c r="A3836" s="83"/>
      <c r="H3836" s="83"/>
      <c r="K3836" s="82"/>
      <c r="M3836" s="112"/>
      <c r="N3836" s="84"/>
    </row>
    <row r="3837" spans="1:14" s="2" customFormat="1">
      <c r="A3837" s="83"/>
      <c r="H3837" s="83"/>
      <c r="K3837" s="82"/>
      <c r="M3837" s="112"/>
      <c r="N3837" s="84"/>
    </row>
    <row r="3838" spans="1:14" s="2" customFormat="1">
      <c r="A3838" s="83"/>
      <c r="H3838" s="83"/>
      <c r="K3838" s="82"/>
      <c r="M3838" s="112"/>
      <c r="N3838" s="84"/>
    </row>
    <row r="3839" spans="1:14" s="2" customFormat="1">
      <c r="A3839" s="83"/>
      <c r="H3839" s="83"/>
      <c r="K3839" s="82"/>
      <c r="M3839" s="112"/>
      <c r="N3839" s="84"/>
    </row>
    <row r="3840" spans="1:14" s="2" customFormat="1">
      <c r="A3840" s="83"/>
      <c r="H3840" s="83"/>
      <c r="K3840" s="82"/>
      <c r="M3840" s="112"/>
      <c r="N3840" s="84"/>
    </row>
    <row r="3841" spans="1:14" s="2" customFormat="1">
      <c r="A3841" s="83"/>
      <c r="H3841" s="83"/>
      <c r="K3841" s="82"/>
      <c r="M3841" s="112"/>
      <c r="N3841" s="84"/>
    </row>
    <row r="3842" spans="1:14" s="2" customFormat="1">
      <c r="A3842" s="83"/>
      <c r="H3842" s="83"/>
      <c r="K3842" s="82"/>
      <c r="M3842" s="112"/>
      <c r="N3842" s="84"/>
    </row>
    <row r="3843" spans="1:14" s="2" customFormat="1">
      <c r="A3843" s="83"/>
      <c r="H3843" s="83"/>
      <c r="K3843" s="82"/>
      <c r="M3843" s="112"/>
      <c r="N3843" s="84"/>
    </row>
    <row r="3844" spans="1:14" s="2" customFormat="1">
      <c r="A3844" s="83"/>
      <c r="H3844" s="83"/>
      <c r="K3844" s="82"/>
      <c r="M3844" s="112"/>
      <c r="N3844" s="84"/>
    </row>
    <row r="3845" spans="1:14" s="2" customFormat="1">
      <c r="A3845" s="83"/>
      <c r="H3845" s="83"/>
      <c r="K3845" s="82"/>
      <c r="M3845" s="112"/>
      <c r="N3845" s="84"/>
    </row>
    <row r="3846" spans="1:14" s="2" customFormat="1">
      <c r="A3846" s="83"/>
      <c r="H3846" s="83"/>
      <c r="K3846" s="82"/>
      <c r="M3846" s="112"/>
      <c r="N3846" s="84"/>
    </row>
    <row r="3847" spans="1:14" s="2" customFormat="1">
      <c r="A3847" s="83"/>
      <c r="H3847" s="83"/>
      <c r="K3847" s="82"/>
      <c r="M3847" s="112"/>
      <c r="N3847" s="84"/>
    </row>
    <row r="3848" spans="1:14" s="2" customFormat="1">
      <c r="A3848" s="83"/>
      <c r="H3848" s="83"/>
      <c r="K3848" s="82"/>
      <c r="M3848" s="112"/>
      <c r="N3848" s="84"/>
    </row>
    <row r="3849" spans="1:14" s="2" customFormat="1">
      <c r="A3849" s="83"/>
      <c r="H3849" s="83"/>
      <c r="K3849" s="82"/>
      <c r="M3849" s="112"/>
      <c r="N3849" s="84"/>
    </row>
    <row r="3850" spans="1:14" s="2" customFormat="1">
      <c r="A3850" s="83"/>
      <c r="H3850" s="83"/>
      <c r="K3850" s="82"/>
      <c r="M3850" s="112"/>
      <c r="N3850" s="84"/>
    </row>
    <row r="3851" spans="1:14" s="2" customFormat="1">
      <c r="A3851" s="83"/>
      <c r="H3851" s="83"/>
      <c r="K3851" s="82"/>
      <c r="M3851" s="112"/>
      <c r="N3851" s="84"/>
    </row>
    <row r="3852" spans="1:14" s="2" customFormat="1">
      <c r="A3852" s="83"/>
      <c r="H3852" s="83"/>
      <c r="K3852" s="82"/>
      <c r="M3852" s="112"/>
      <c r="N3852" s="84"/>
    </row>
    <row r="3853" spans="1:14" s="2" customFormat="1">
      <c r="A3853" s="83"/>
      <c r="H3853" s="83"/>
      <c r="K3853" s="82"/>
      <c r="M3853" s="112"/>
      <c r="N3853" s="84"/>
    </row>
    <row r="3854" spans="1:14" s="2" customFormat="1">
      <c r="A3854" s="83"/>
      <c r="H3854" s="83"/>
      <c r="K3854" s="82"/>
      <c r="M3854" s="112"/>
      <c r="N3854" s="84"/>
    </row>
    <row r="3855" spans="1:14" s="2" customFormat="1">
      <c r="A3855" s="83"/>
      <c r="H3855" s="83"/>
      <c r="K3855" s="82"/>
      <c r="M3855" s="112"/>
      <c r="N3855" s="84"/>
    </row>
    <row r="3856" spans="1:14" s="2" customFormat="1">
      <c r="A3856" s="83"/>
      <c r="H3856" s="83"/>
      <c r="K3856" s="82"/>
      <c r="M3856" s="112"/>
      <c r="N3856" s="84"/>
    </row>
    <row r="3857" spans="1:14" s="2" customFormat="1">
      <c r="A3857" s="83"/>
      <c r="H3857" s="83"/>
      <c r="K3857" s="82"/>
      <c r="M3857" s="112"/>
      <c r="N3857" s="84"/>
    </row>
    <row r="3858" spans="1:14" s="2" customFormat="1">
      <c r="A3858" s="83"/>
      <c r="H3858" s="83"/>
      <c r="K3858" s="82"/>
      <c r="M3858" s="112"/>
      <c r="N3858" s="84"/>
    </row>
    <row r="3859" spans="1:14" s="2" customFormat="1">
      <c r="A3859" s="83"/>
      <c r="H3859" s="83"/>
      <c r="K3859" s="82"/>
      <c r="M3859" s="112"/>
      <c r="N3859" s="84"/>
    </row>
    <row r="3860" spans="1:14" s="2" customFormat="1">
      <c r="A3860" s="83"/>
      <c r="H3860" s="83"/>
      <c r="K3860" s="82"/>
      <c r="M3860" s="112"/>
      <c r="N3860" s="84"/>
    </row>
    <row r="3861" spans="1:14" s="2" customFormat="1">
      <c r="A3861" s="83"/>
      <c r="H3861" s="83"/>
      <c r="K3861" s="82"/>
      <c r="M3861" s="112"/>
      <c r="N3861" s="84"/>
    </row>
    <row r="3862" spans="1:14" s="2" customFormat="1">
      <c r="A3862" s="83"/>
      <c r="H3862" s="83"/>
      <c r="K3862" s="82"/>
      <c r="M3862" s="112"/>
      <c r="N3862" s="84"/>
    </row>
    <row r="3863" spans="1:14" s="2" customFormat="1">
      <c r="A3863" s="83"/>
      <c r="H3863" s="83"/>
      <c r="K3863" s="82"/>
      <c r="M3863" s="112"/>
      <c r="N3863" s="84"/>
    </row>
    <row r="3864" spans="1:14" s="2" customFormat="1">
      <c r="A3864" s="83"/>
      <c r="H3864" s="83"/>
      <c r="K3864" s="82"/>
      <c r="M3864" s="112"/>
      <c r="N3864" s="84"/>
    </row>
    <row r="3865" spans="1:14" s="2" customFormat="1">
      <c r="A3865" s="83"/>
      <c r="H3865" s="83"/>
      <c r="K3865" s="82"/>
      <c r="M3865" s="112"/>
      <c r="N3865" s="84"/>
    </row>
    <row r="3866" spans="1:14" s="2" customFormat="1">
      <c r="A3866" s="83"/>
      <c r="H3866" s="83"/>
      <c r="K3866" s="82"/>
      <c r="M3866" s="112"/>
      <c r="N3866" s="84"/>
    </row>
    <row r="3867" spans="1:14" s="2" customFormat="1">
      <c r="A3867" s="83"/>
      <c r="H3867" s="83"/>
      <c r="K3867" s="82"/>
      <c r="M3867" s="112"/>
      <c r="N3867" s="84"/>
    </row>
    <row r="3868" spans="1:14" s="2" customFormat="1">
      <c r="A3868" s="83"/>
      <c r="H3868" s="83"/>
      <c r="K3868" s="82"/>
      <c r="M3868" s="112"/>
      <c r="N3868" s="84"/>
    </row>
    <row r="3869" spans="1:14" s="2" customFormat="1">
      <c r="A3869" s="83"/>
      <c r="H3869" s="83"/>
      <c r="K3869" s="82"/>
      <c r="M3869" s="112"/>
      <c r="N3869" s="84"/>
    </row>
    <row r="3870" spans="1:14" s="2" customFormat="1">
      <c r="A3870" s="83"/>
      <c r="H3870" s="83"/>
      <c r="K3870" s="82"/>
      <c r="M3870" s="112"/>
      <c r="N3870" s="84"/>
    </row>
    <row r="3871" spans="1:14" s="2" customFormat="1">
      <c r="A3871" s="83"/>
      <c r="H3871" s="83"/>
      <c r="K3871" s="82"/>
      <c r="M3871" s="112"/>
      <c r="N3871" s="84"/>
    </row>
    <row r="3872" spans="1:14" s="2" customFormat="1">
      <c r="A3872" s="83"/>
      <c r="H3872" s="83"/>
      <c r="K3872" s="82"/>
      <c r="M3872" s="112"/>
      <c r="N3872" s="84"/>
    </row>
    <row r="3873" spans="1:14" s="2" customFormat="1">
      <c r="A3873" s="83"/>
      <c r="H3873" s="83"/>
      <c r="K3873" s="82"/>
      <c r="M3873" s="112"/>
      <c r="N3873" s="84"/>
    </row>
    <row r="3874" spans="1:14" s="2" customFormat="1">
      <c r="A3874" s="83"/>
      <c r="H3874" s="83"/>
      <c r="K3874" s="82"/>
      <c r="M3874" s="112"/>
      <c r="N3874" s="84"/>
    </row>
    <row r="3875" spans="1:14" s="2" customFormat="1">
      <c r="A3875" s="83"/>
      <c r="H3875" s="83"/>
      <c r="K3875" s="82"/>
      <c r="M3875" s="112"/>
      <c r="N3875" s="84"/>
    </row>
    <row r="3876" spans="1:14" s="2" customFormat="1">
      <c r="A3876" s="83"/>
      <c r="H3876" s="83"/>
      <c r="K3876" s="82"/>
      <c r="M3876" s="112"/>
      <c r="N3876" s="84"/>
    </row>
    <row r="3877" spans="1:14" s="2" customFormat="1">
      <c r="A3877" s="83"/>
      <c r="H3877" s="83"/>
      <c r="K3877" s="82"/>
      <c r="M3877" s="112"/>
      <c r="N3877" s="84"/>
    </row>
    <row r="3878" spans="1:14" s="2" customFormat="1">
      <c r="A3878" s="83"/>
      <c r="H3878" s="83"/>
      <c r="K3878" s="82"/>
      <c r="M3878" s="112"/>
      <c r="N3878" s="84"/>
    </row>
    <row r="3879" spans="1:14" s="2" customFormat="1">
      <c r="A3879" s="83"/>
      <c r="H3879" s="83"/>
      <c r="K3879" s="82"/>
      <c r="M3879" s="112"/>
      <c r="N3879" s="84"/>
    </row>
    <row r="3880" spans="1:14" s="2" customFormat="1">
      <c r="A3880" s="83"/>
      <c r="H3880" s="83"/>
      <c r="K3880" s="82"/>
      <c r="M3880" s="112"/>
      <c r="N3880" s="84"/>
    </row>
    <row r="3881" spans="1:14" s="2" customFormat="1">
      <c r="A3881" s="83"/>
      <c r="H3881" s="83"/>
      <c r="K3881" s="82"/>
      <c r="M3881" s="112"/>
      <c r="N3881" s="84"/>
    </row>
    <row r="3882" spans="1:14" s="2" customFormat="1">
      <c r="A3882" s="83"/>
      <c r="H3882" s="83"/>
      <c r="K3882" s="82"/>
      <c r="M3882" s="112"/>
      <c r="N3882" s="84"/>
    </row>
    <row r="3883" spans="1:14" s="2" customFormat="1">
      <c r="A3883" s="83"/>
      <c r="H3883" s="83"/>
      <c r="K3883" s="82"/>
      <c r="M3883" s="112"/>
      <c r="N3883" s="84"/>
    </row>
    <row r="3884" spans="1:14" s="2" customFormat="1">
      <c r="A3884" s="83"/>
      <c r="H3884" s="83"/>
      <c r="K3884" s="82"/>
      <c r="M3884" s="112"/>
      <c r="N3884" s="84"/>
    </row>
    <row r="3885" spans="1:14" s="2" customFormat="1">
      <c r="A3885" s="83"/>
      <c r="H3885" s="83"/>
      <c r="K3885" s="82"/>
      <c r="M3885" s="112"/>
      <c r="N3885" s="84"/>
    </row>
    <row r="3886" spans="1:14" s="2" customFormat="1">
      <c r="A3886" s="83"/>
      <c r="H3886" s="83"/>
      <c r="K3886" s="82"/>
      <c r="M3886" s="112"/>
      <c r="N3886" s="84"/>
    </row>
    <row r="3887" spans="1:14" s="2" customFormat="1">
      <c r="A3887" s="83"/>
      <c r="H3887" s="83"/>
      <c r="K3887" s="82"/>
      <c r="M3887" s="112"/>
      <c r="N3887" s="84"/>
    </row>
    <row r="3888" spans="1:14" s="2" customFormat="1">
      <c r="A3888" s="83"/>
      <c r="H3888" s="83"/>
      <c r="K3888" s="82"/>
      <c r="M3888" s="112"/>
      <c r="N3888" s="84"/>
    </row>
    <row r="3889" spans="1:14" s="2" customFormat="1">
      <c r="A3889" s="83"/>
      <c r="H3889" s="83"/>
      <c r="K3889" s="82"/>
      <c r="M3889" s="112"/>
      <c r="N3889" s="84"/>
    </row>
    <row r="3890" spans="1:14" s="2" customFormat="1">
      <c r="A3890" s="83"/>
      <c r="H3890" s="83"/>
      <c r="K3890" s="82"/>
      <c r="M3890" s="112"/>
      <c r="N3890" s="84"/>
    </row>
    <row r="3891" spans="1:14" s="2" customFormat="1">
      <c r="A3891" s="83"/>
      <c r="H3891" s="83"/>
      <c r="K3891" s="82"/>
      <c r="M3891" s="112"/>
      <c r="N3891" s="84"/>
    </row>
    <row r="3892" spans="1:14" s="2" customFormat="1">
      <c r="A3892" s="83"/>
      <c r="H3892" s="83"/>
      <c r="K3892" s="82"/>
      <c r="M3892" s="112"/>
      <c r="N3892" s="84"/>
    </row>
    <row r="3893" spans="1:14" s="2" customFormat="1">
      <c r="A3893" s="83"/>
      <c r="H3893" s="83"/>
      <c r="K3893" s="82"/>
      <c r="M3893" s="112"/>
      <c r="N3893" s="84"/>
    </row>
    <row r="3894" spans="1:14" s="2" customFormat="1">
      <c r="A3894" s="83"/>
      <c r="H3894" s="83"/>
      <c r="K3894" s="82"/>
      <c r="M3894" s="112"/>
      <c r="N3894" s="84"/>
    </row>
    <row r="3895" spans="1:14" s="2" customFormat="1">
      <c r="A3895" s="83"/>
      <c r="H3895" s="83"/>
      <c r="K3895" s="82"/>
      <c r="M3895" s="112"/>
      <c r="N3895" s="84"/>
    </row>
    <row r="3896" spans="1:14" s="2" customFormat="1">
      <c r="A3896" s="83"/>
      <c r="H3896" s="83"/>
      <c r="K3896" s="82"/>
      <c r="M3896" s="112"/>
      <c r="N3896" s="84"/>
    </row>
    <row r="3897" spans="1:14" s="2" customFormat="1">
      <c r="A3897" s="83"/>
      <c r="H3897" s="83"/>
      <c r="K3897" s="82"/>
      <c r="M3897" s="112"/>
      <c r="N3897" s="84"/>
    </row>
    <row r="3898" spans="1:14" s="2" customFormat="1">
      <c r="A3898" s="83"/>
      <c r="H3898" s="83"/>
      <c r="K3898" s="82"/>
      <c r="M3898" s="112"/>
      <c r="N3898" s="84"/>
    </row>
    <row r="3899" spans="1:14" s="2" customFormat="1">
      <c r="A3899" s="83"/>
      <c r="H3899" s="83"/>
      <c r="K3899" s="82"/>
      <c r="M3899" s="112"/>
      <c r="N3899" s="84"/>
    </row>
    <row r="3900" spans="1:14" s="2" customFormat="1">
      <c r="A3900" s="83"/>
      <c r="H3900" s="83"/>
      <c r="K3900" s="82"/>
      <c r="M3900" s="112"/>
      <c r="N3900" s="84"/>
    </row>
    <row r="3901" spans="1:14" s="2" customFormat="1">
      <c r="A3901" s="83"/>
      <c r="H3901" s="83"/>
      <c r="K3901" s="82"/>
      <c r="M3901" s="112"/>
      <c r="N3901" s="84"/>
    </row>
    <row r="3902" spans="1:14" s="2" customFormat="1">
      <c r="A3902" s="83"/>
      <c r="H3902" s="83"/>
      <c r="K3902" s="82"/>
      <c r="M3902" s="112"/>
      <c r="N3902" s="84"/>
    </row>
    <row r="3903" spans="1:14" s="2" customFormat="1">
      <c r="A3903" s="83"/>
      <c r="H3903" s="83"/>
      <c r="K3903" s="82"/>
      <c r="M3903" s="112"/>
      <c r="N3903" s="84"/>
    </row>
    <row r="3904" spans="1:14" s="2" customFormat="1">
      <c r="A3904" s="83"/>
      <c r="H3904" s="83"/>
      <c r="K3904" s="82"/>
      <c r="M3904" s="112"/>
      <c r="N3904" s="84"/>
    </row>
    <row r="3905" spans="1:14" s="2" customFormat="1">
      <c r="A3905" s="83"/>
      <c r="H3905" s="83"/>
      <c r="K3905" s="82"/>
      <c r="M3905" s="112"/>
      <c r="N3905" s="84"/>
    </row>
    <row r="3906" spans="1:14" s="2" customFormat="1">
      <c r="A3906" s="83"/>
      <c r="H3906" s="83"/>
      <c r="K3906" s="82"/>
      <c r="M3906" s="112"/>
      <c r="N3906" s="84"/>
    </row>
    <row r="3907" spans="1:14" s="2" customFormat="1">
      <c r="A3907" s="83"/>
      <c r="H3907" s="83"/>
      <c r="K3907" s="82"/>
      <c r="M3907" s="112"/>
      <c r="N3907" s="84"/>
    </row>
    <row r="3908" spans="1:14" s="2" customFormat="1">
      <c r="A3908" s="83"/>
      <c r="H3908" s="83"/>
      <c r="K3908" s="82"/>
      <c r="M3908" s="112"/>
      <c r="N3908" s="84"/>
    </row>
    <row r="3909" spans="1:14" s="2" customFormat="1">
      <c r="A3909" s="83"/>
      <c r="H3909" s="83"/>
      <c r="K3909" s="82"/>
      <c r="M3909" s="112"/>
      <c r="N3909" s="84"/>
    </row>
    <row r="3910" spans="1:14" s="2" customFormat="1">
      <c r="A3910" s="83"/>
      <c r="H3910" s="83"/>
      <c r="K3910" s="82"/>
      <c r="M3910" s="112"/>
      <c r="N3910" s="84"/>
    </row>
    <row r="3911" spans="1:14" s="2" customFormat="1">
      <c r="A3911" s="83"/>
      <c r="H3911" s="83"/>
      <c r="K3911" s="82"/>
      <c r="M3911" s="112"/>
      <c r="N3911" s="84"/>
    </row>
    <row r="3912" spans="1:14" s="2" customFormat="1">
      <c r="A3912" s="83"/>
      <c r="H3912" s="83"/>
      <c r="K3912" s="82"/>
      <c r="M3912" s="112"/>
      <c r="N3912" s="84"/>
    </row>
    <row r="3913" spans="1:14" s="2" customFormat="1">
      <c r="A3913" s="83"/>
      <c r="H3913" s="83"/>
      <c r="K3913" s="82"/>
      <c r="M3913" s="112"/>
      <c r="N3913" s="84"/>
    </row>
    <row r="3914" spans="1:14" s="2" customFormat="1">
      <c r="A3914" s="83"/>
      <c r="H3914" s="83"/>
      <c r="K3914" s="82"/>
      <c r="M3914" s="112"/>
      <c r="N3914" s="84"/>
    </row>
    <row r="3915" spans="1:14" s="2" customFormat="1">
      <c r="A3915" s="83"/>
      <c r="H3915" s="83"/>
      <c r="K3915" s="82"/>
      <c r="M3915" s="112"/>
      <c r="N3915" s="84"/>
    </row>
    <row r="3916" spans="1:14" s="2" customFormat="1">
      <c r="A3916" s="83"/>
      <c r="H3916" s="83"/>
      <c r="K3916" s="82"/>
      <c r="M3916" s="112"/>
      <c r="N3916" s="84"/>
    </row>
    <row r="3917" spans="1:14" s="2" customFormat="1">
      <c r="A3917" s="83"/>
      <c r="H3917" s="83"/>
      <c r="K3917" s="82"/>
      <c r="M3917" s="112"/>
      <c r="N3917" s="84"/>
    </row>
    <row r="3918" spans="1:14" s="2" customFormat="1">
      <c r="A3918" s="83"/>
      <c r="H3918" s="83"/>
      <c r="K3918" s="82"/>
      <c r="M3918" s="112"/>
      <c r="N3918" s="84"/>
    </row>
    <row r="3919" spans="1:14" s="2" customFormat="1">
      <c r="A3919" s="83"/>
      <c r="H3919" s="83"/>
      <c r="K3919" s="82"/>
      <c r="M3919" s="112"/>
      <c r="N3919" s="84"/>
    </row>
    <row r="3920" spans="1:14" s="2" customFormat="1">
      <c r="A3920" s="83"/>
      <c r="H3920" s="83"/>
      <c r="K3920" s="82"/>
      <c r="M3920" s="112"/>
      <c r="N3920" s="84"/>
    </row>
    <row r="3921" spans="1:14" s="2" customFormat="1">
      <c r="A3921" s="83"/>
      <c r="H3921" s="83"/>
      <c r="K3921" s="82"/>
      <c r="M3921" s="112"/>
      <c r="N3921" s="84"/>
    </row>
    <row r="3922" spans="1:14" s="2" customFormat="1">
      <c r="A3922" s="83"/>
      <c r="H3922" s="83"/>
      <c r="K3922" s="82"/>
      <c r="M3922" s="112"/>
      <c r="N3922" s="84"/>
    </row>
    <row r="3923" spans="1:14" s="2" customFormat="1">
      <c r="A3923" s="83"/>
      <c r="H3923" s="83"/>
      <c r="K3923" s="82"/>
      <c r="M3923" s="112"/>
      <c r="N3923" s="84"/>
    </row>
    <row r="3924" spans="1:14" s="2" customFormat="1">
      <c r="A3924" s="83"/>
      <c r="H3924" s="83"/>
      <c r="K3924" s="82"/>
      <c r="M3924" s="112"/>
      <c r="N3924" s="84"/>
    </row>
    <row r="3925" spans="1:14" s="2" customFormat="1">
      <c r="A3925" s="83"/>
      <c r="H3925" s="83"/>
      <c r="K3925" s="82"/>
      <c r="M3925" s="112"/>
      <c r="N3925" s="84"/>
    </row>
    <row r="3926" spans="1:14" s="2" customFormat="1">
      <c r="A3926" s="83"/>
      <c r="H3926" s="83"/>
      <c r="K3926" s="82"/>
      <c r="M3926" s="112"/>
      <c r="N3926" s="84"/>
    </row>
    <row r="3927" spans="1:14" s="2" customFormat="1">
      <c r="A3927" s="83"/>
      <c r="H3927" s="83"/>
      <c r="K3927" s="82"/>
      <c r="M3927" s="112"/>
      <c r="N3927" s="84"/>
    </row>
    <row r="3928" spans="1:14" s="2" customFormat="1">
      <c r="A3928" s="83"/>
      <c r="H3928" s="83"/>
      <c r="K3928" s="82"/>
      <c r="M3928" s="112"/>
      <c r="N3928" s="84"/>
    </row>
    <row r="3929" spans="1:14" s="2" customFormat="1">
      <c r="A3929" s="83"/>
      <c r="H3929" s="83"/>
      <c r="K3929" s="82"/>
      <c r="M3929" s="112"/>
      <c r="N3929" s="84"/>
    </row>
    <row r="3930" spans="1:14" s="2" customFormat="1">
      <c r="A3930" s="83"/>
      <c r="H3930" s="83"/>
      <c r="K3930" s="82"/>
      <c r="M3930" s="112"/>
      <c r="N3930" s="84"/>
    </row>
    <row r="3931" spans="1:14" s="2" customFormat="1">
      <c r="A3931" s="83"/>
      <c r="H3931" s="83"/>
      <c r="K3931" s="82"/>
      <c r="M3931" s="112"/>
      <c r="N3931" s="84"/>
    </row>
    <row r="3932" spans="1:14" s="2" customFormat="1">
      <c r="A3932" s="83"/>
      <c r="H3932" s="83"/>
      <c r="K3932" s="82"/>
      <c r="M3932" s="112"/>
      <c r="N3932" s="84"/>
    </row>
    <row r="3933" spans="1:14" s="2" customFormat="1">
      <c r="A3933" s="83"/>
      <c r="H3933" s="83"/>
      <c r="K3933" s="82"/>
      <c r="M3933" s="112"/>
      <c r="N3933" s="84"/>
    </row>
    <row r="3934" spans="1:14" s="2" customFormat="1">
      <c r="A3934" s="83"/>
      <c r="H3934" s="83"/>
      <c r="K3934" s="82"/>
      <c r="M3934" s="112"/>
      <c r="N3934" s="84"/>
    </row>
    <row r="3935" spans="1:14" s="2" customFormat="1">
      <c r="A3935" s="83"/>
      <c r="H3935" s="83"/>
      <c r="K3935" s="82"/>
      <c r="M3935" s="112"/>
      <c r="N3935" s="84"/>
    </row>
    <row r="3936" spans="1:14" s="2" customFormat="1">
      <c r="A3936" s="83"/>
      <c r="H3936" s="83"/>
      <c r="K3936" s="82"/>
      <c r="M3936" s="112"/>
      <c r="N3936" s="84"/>
    </row>
    <row r="3937" spans="1:14" s="2" customFormat="1">
      <c r="A3937" s="83"/>
      <c r="H3937" s="83"/>
      <c r="K3937" s="82"/>
      <c r="M3937" s="112"/>
      <c r="N3937" s="84"/>
    </row>
    <row r="3938" spans="1:14" s="2" customFormat="1">
      <c r="A3938" s="83"/>
      <c r="H3938" s="83"/>
      <c r="K3938" s="82"/>
      <c r="M3938" s="112"/>
      <c r="N3938" s="84"/>
    </row>
    <row r="3939" spans="1:14" s="2" customFormat="1">
      <c r="A3939" s="83"/>
      <c r="H3939" s="83"/>
      <c r="K3939" s="82"/>
      <c r="M3939" s="112"/>
      <c r="N3939" s="84"/>
    </row>
    <row r="3940" spans="1:14" s="2" customFormat="1">
      <c r="A3940" s="83"/>
      <c r="H3940" s="83"/>
      <c r="K3940" s="82"/>
      <c r="M3940" s="112"/>
      <c r="N3940" s="84"/>
    </row>
    <row r="3941" spans="1:14" s="2" customFormat="1">
      <c r="A3941" s="83"/>
      <c r="H3941" s="83"/>
      <c r="K3941" s="82"/>
      <c r="M3941" s="112"/>
      <c r="N3941" s="84"/>
    </row>
    <row r="3942" spans="1:14" s="2" customFormat="1">
      <c r="A3942" s="83"/>
      <c r="H3942" s="83"/>
      <c r="K3942" s="82"/>
      <c r="M3942" s="112"/>
      <c r="N3942" s="84"/>
    </row>
    <row r="3943" spans="1:14" s="2" customFormat="1">
      <c r="A3943" s="83"/>
      <c r="H3943" s="83"/>
      <c r="K3943" s="82"/>
      <c r="M3943" s="112"/>
      <c r="N3943" s="84"/>
    </row>
    <row r="3944" spans="1:14" s="2" customFormat="1">
      <c r="A3944" s="83"/>
      <c r="H3944" s="83"/>
      <c r="K3944" s="82"/>
      <c r="M3944" s="112"/>
      <c r="N3944" s="84"/>
    </row>
    <row r="3945" spans="1:14" s="2" customFormat="1">
      <c r="A3945" s="83"/>
      <c r="H3945" s="83"/>
      <c r="K3945" s="82"/>
      <c r="M3945" s="112"/>
      <c r="N3945" s="84"/>
    </row>
    <row r="3946" spans="1:14" s="2" customFormat="1">
      <c r="A3946" s="83"/>
      <c r="H3946" s="83"/>
      <c r="K3946" s="82"/>
      <c r="M3946" s="112"/>
      <c r="N3946" s="84"/>
    </row>
    <row r="3947" spans="1:14" s="2" customFormat="1">
      <c r="A3947" s="83"/>
      <c r="H3947" s="83"/>
      <c r="K3947" s="82"/>
      <c r="M3947" s="112"/>
      <c r="N3947" s="84"/>
    </row>
    <row r="3948" spans="1:14" s="2" customFormat="1">
      <c r="A3948" s="83"/>
      <c r="H3948" s="83"/>
      <c r="K3948" s="82"/>
      <c r="M3948" s="112"/>
      <c r="N3948" s="84"/>
    </row>
    <row r="3949" spans="1:14" s="2" customFormat="1">
      <c r="A3949" s="83"/>
      <c r="H3949" s="83"/>
      <c r="K3949" s="82"/>
      <c r="M3949" s="112"/>
      <c r="N3949" s="84"/>
    </row>
    <row r="3950" spans="1:14" s="2" customFormat="1">
      <c r="A3950" s="83"/>
      <c r="H3950" s="83"/>
      <c r="K3950" s="82"/>
      <c r="M3950" s="112"/>
      <c r="N3950" s="84"/>
    </row>
    <row r="3951" spans="1:14" s="2" customFormat="1">
      <c r="A3951" s="83"/>
      <c r="H3951" s="83"/>
      <c r="K3951" s="82"/>
      <c r="M3951" s="112"/>
      <c r="N3951" s="84"/>
    </row>
    <row r="3952" spans="1:14" s="2" customFormat="1">
      <c r="A3952" s="83"/>
      <c r="H3952" s="83"/>
      <c r="K3952" s="82"/>
      <c r="M3952" s="112"/>
      <c r="N3952" s="84"/>
    </row>
    <row r="3953" spans="1:14" s="2" customFormat="1">
      <c r="A3953" s="83"/>
      <c r="H3953" s="83"/>
      <c r="K3953" s="82"/>
      <c r="M3953" s="112"/>
      <c r="N3953" s="84"/>
    </row>
    <row r="3954" spans="1:14" s="2" customFormat="1">
      <c r="A3954" s="83"/>
      <c r="H3954" s="83"/>
      <c r="K3954" s="82"/>
      <c r="M3954" s="112"/>
      <c r="N3954" s="84"/>
    </row>
    <row r="3955" spans="1:14" s="2" customFormat="1">
      <c r="A3955" s="83"/>
      <c r="H3955" s="83"/>
      <c r="K3955" s="82"/>
      <c r="M3955" s="112"/>
      <c r="N3955" s="84"/>
    </row>
    <row r="3956" spans="1:14" s="2" customFormat="1">
      <c r="A3956" s="83"/>
      <c r="H3956" s="83"/>
      <c r="K3956" s="82"/>
      <c r="M3956" s="112"/>
      <c r="N3956" s="84"/>
    </row>
    <row r="3957" spans="1:14" s="2" customFormat="1">
      <c r="A3957" s="83"/>
      <c r="H3957" s="83"/>
      <c r="K3957" s="82"/>
      <c r="M3957" s="112"/>
      <c r="N3957" s="84"/>
    </row>
    <row r="3958" spans="1:14" s="2" customFormat="1">
      <c r="A3958" s="83"/>
      <c r="H3958" s="83"/>
      <c r="K3958" s="82"/>
      <c r="M3958" s="112"/>
      <c r="N3958" s="84"/>
    </row>
    <row r="3959" spans="1:14" s="2" customFormat="1">
      <c r="A3959" s="83"/>
      <c r="H3959" s="83"/>
      <c r="K3959" s="82"/>
      <c r="M3959" s="112"/>
      <c r="N3959" s="84"/>
    </row>
    <row r="3960" spans="1:14" s="2" customFormat="1">
      <c r="A3960" s="83"/>
      <c r="H3960" s="83"/>
      <c r="K3960" s="82"/>
      <c r="M3960" s="112"/>
      <c r="N3960" s="84"/>
    </row>
    <row r="3961" spans="1:14" s="2" customFormat="1">
      <c r="A3961" s="83"/>
      <c r="H3961" s="83"/>
      <c r="K3961" s="82"/>
      <c r="M3961" s="112"/>
      <c r="N3961" s="84"/>
    </row>
    <row r="3962" spans="1:14" s="2" customFormat="1">
      <c r="A3962" s="83"/>
      <c r="H3962" s="83"/>
      <c r="K3962" s="82"/>
      <c r="M3962" s="112"/>
      <c r="N3962" s="84"/>
    </row>
    <row r="3963" spans="1:14" s="2" customFormat="1">
      <c r="A3963" s="83"/>
      <c r="H3963" s="83"/>
      <c r="K3963" s="82"/>
      <c r="M3963" s="112"/>
      <c r="N3963" s="84"/>
    </row>
    <row r="3964" spans="1:14" s="2" customFormat="1">
      <c r="A3964" s="83"/>
      <c r="H3964" s="83"/>
      <c r="K3964" s="82"/>
      <c r="M3964" s="112"/>
      <c r="N3964" s="84"/>
    </row>
    <row r="3965" spans="1:14" s="2" customFormat="1">
      <c r="A3965" s="83"/>
      <c r="H3965" s="83"/>
      <c r="K3965" s="82"/>
      <c r="M3965" s="112"/>
      <c r="N3965" s="84"/>
    </row>
    <row r="3966" spans="1:14" s="2" customFormat="1">
      <c r="A3966" s="83"/>
      <c r="H3966" s="83"/>
      <c r="K3966" s="82"/>
      <c r="M3966" s="112"/>
      <c r="N3966" s="84"/>
    </row>
    <row r="3967" spans="1:14" s="2" customFormat="1">
      <c r="A3967" s="83"/>
      <c r="H3967" s="83"/>
      <c r="K3967" s="82"/>
      <c r="M3967" s="112"/>
      <c r="N3967" s="84"/>
    </row>
    <row r="3968" spans="1:14" s="2" customFormat="1">
      <c r="A3968" s="83"/>
      <c r="H3968" s="83"/>
      <c r="K3968" s="82"/>
      <c r="M3968" s="112"/>
      <c r="N3968" s="84"/>
    </row>
    <row r="3969" spans="1:14" s="2" customFormat="1">
      <c r="A3969" s="83"/>
      <c r="H3969" s="83"/>
      <c r="K3969" s="82"/>
      <c r="M3969" s="112"/>
      <c r="N3969" s="84"/>
    </row>
    <row r="3970" spans="1:14" s="2" customFormat="1">
      <c r="A3970" s="83"/>
      <c r="H3970" s="83"/>
      <c r="K3970" s="82"/>
      <c r="M3970" s="112"/>
      <c r="N3970" s="84"/>
    </row>
    <row r="3971" spans="1:14" s="2" customFormat="1">
      <c r="A3971" s="83"/>
      <c r="H3971" s="83"/>
      <c r="K3971" s="82"/>
      <c r="M3971" s="112"/>
      <c r="N3971" s="84"/>
    </row>
    <row r="3972" spans="1:14" s="2" customFormat="1">
      <c r="A3972" s="83"/>
      <c r="H3972" s="83"/>
      <c r="K3972" s="82"/>
      <c r="M3972" s="112"/>
      <c r="N3972" s="84"/>
    </row>
    <row r="3973" spans="1:14" s="2" customFormat="1">
      <c r="A3973" s="83"/>
      <c r="H3973" s="83"/>
      <c r="K3973" s="82"/>
      <c r="M3973" s="112"/>
      <c r="N3973" s="84"/>
    </row>
    <row r="3974" spans="1:14" s="2" customFormat="1">
      <c r="A3974" s="83"/>
      <c r="H3974" s="83"/>
      <c r="K3974" s="82"/>
      <c r="M3974" s="112"/>
      <c r="N3974" s="84"/>
    </row>
    <row r="3975" spans="1:14" s="2" customFormat="1">
      <c r="A3975" s="83"/>
      <c r="H3975" s="83"/>
      <c r="K3975" s="82"/>
      <c r="M3975" s="112"/>
      <c r="N3975" s="84"/>
    </row>
    <row r="3976" spans="1:14" s="2" customFormat="1">
      <c r="A3976" s="83"/>
      <c r="H3976" s="83"/>
      <c r="K3976" s="82"/>
      <c r="M3976" s="112"/>
      <c r="N3976" s="84"/>
    </row>
    <row r="3977" spans="1:14" s="2" customFormat="1">
      <c r="A3977" s="83"/>
      <c r="H3977" s="83"/>
      <c r="K3977" s="82"/>
      <c r="M3977" s="112"/>
      <c r="N3977" s="84"/>
    </row>
    <row r="3978" spans="1:14" s="2" customFormat="1">
      <c r="A3978" s="83"/>
      <c r="H3978" s="83"/>
      <c r="K3978" s="82"/>
      <c r="M3978" s="112"/>
      <c r="N3978" s="84"/>
    </row>
    <row r="3979" spans="1:14" s="2" customFormat="1">
      <c r="A3979" s="83"/>
      <c r="H3979" s="83"/>
      <c r="K3979" s="82"/>
      <c r="M3979" s="112"/>
      <c r="N3979" s="84"/>
    </row>
    <row r="3980" spans="1:14" s="2" customFormat="1">
      <c r="A3980" s="83"/>
      <c r="H3980" s="83"/>
      <c r="K3980" s="82"/>
      <c r="M3980" s="112"/>
      <c r="N3980" s="84"/>
    </row>
    <row r="3981" spans="1:14" s="2" customFormat="1">
      <c r="A3981" s="83"/>
      <c r="H3981" s="83"/>
      <c r="K3981" s="82"/>
      <c r="M3981" s="112"/>
      <c r="N3981" s="84"/>
    </row>
    <row r="3982" spans="1:14" s="2" customFormat="1">
      <c r="A3982" s="83"/>
      <c r="H3982" s="83"/>
      <c r="K3982" s="82"/>
      <c r="M3982" s="112"/>
      <c r="N3982" s="84"/>
    </row>
    <row r="3983" spans="1:14" s="2" customFormat="1">
      <c r="A3983" s="83"/>
      <c r="H3983" s="83"/>
      <c r="K3983" s="82"/>
      <c r="M3983" s="112"/>
      <c r="N3983" s="84"/>
    </row>
    <row r="3984" spans="1:14" s="2" customFormat="1">
      <c r="A3984" s="83"/>
      <c r="H3984" s="83"/>
      <c r="K3984" s="82"/>
      <c r="M3984" s="112"/>
      <c r="N3984" s="84"/>
    </row>
    <row r="3985" spans="1:14" s="2" customFormat="1">
      <c r="A3985" s="83"/>
      <c r="H3985" s="83"/>
      <c r="K3985" s="82"/>
      <c r="M3985" s="112"/>
      <c r="N3985" s="84"/>
    </row>
    <row r="3986" spans="1:14" s="2" customFormat="1">
      <c r="A3986" s="83"/>
      <c r="H3986" s="83"/>
      <c r="K3986" s="82"/>
      <c r="M3986" s="112"/>
      <c r="N3986" s="84"/>
    </row>
    <row r="3987" spans="1:14" s="2" customFormat="1">
      <c r="A3987" s="83"/>
      <c r="H3987" s="83"/>
      <c r="K3987" s="82"/>
      <c r="M3987" s="112"/>
      <c r="N3987" s="84"/>
    </row>
    <row r="3988" spans="1:14" s="2" customFormat="1">
      <c r="A3988" s="83"/>
      <c r="H3988" s="83"/>
      <c r="K3988" s="82"/>
      <c r="M3988" s="112"/>
      <c r="N3988" s="84"/>
    </row>
    <row r="3989" spans="1:14" s="2" customFormat="1">
      <c r="A3989" s="83"/>
      <c r="H3989" s="83"/>
      <c r="K3989" s="82"/>
      <c r="M3989" s="112"/>
      <c r="N3989" s="84"/>
    </row>
    <row r="3990" spans="1:14" s="2" customFormat="1">
      <c r="A3990" s="83"/>
      <c r="H3990" s="83"/>
      <c r="K3990" s="82"/>
      <c r="M3990" s="112"/>
      <c r="N3990" s="84"/>
    </row>
    <row r="3991" spans="1:14" s="2" customFormat="1">
      <c r="A3991" s="83"/>
      <c r="H3991" s="83"/>
      <c r="K3991" s="82"/>
      <c r="M3991" s="112"/>
      <c r="N3991" s="84"/>
    </row>
    <row r="3992" spans="1:14" s="2" customFormat="1">
      <c r="A3992" s="83"/>
      <c r="H3992" s="83"/>
      <c r="K3992" s="82"/>
      <c r="M3992" s="112"/>
      <c r="N3992" s="84"/>
    </row>
    <row r="3993" spans="1:14" s="2" customFormat="1">
      <c r="A3993" s="83"/>
      <c r="H3993" s="83"/>
      <c r="K3993" s="82"/>
      <c r="M3993" s="112"/>
      <c r="N3993" s="84"/>
    </row>
    <row r="3994" spans="1:14" s="2" customFormat="1">
      <c r="A3994" s="83"/>
      <c r="H3994" s="83"/>
      <c r="K3994" s="82"/>
      <c r="M3994" s="112"/>
      <c r="N3994" s="84"/>
    </row>
    <row r="3995" spans="1:14" s="2" customFormat="1">
      <c r="A3995" s="83"/>
      <c r="H3995" s="83"/>
      <c r="K3995" s="82"/>
      <c r="M3995" s="112"/>
      <c r="N3995" s="84"/>
    </row>
    <row r="3996" spans="1:14" s="2" customFormat="1">
      <c r="A3996" s="83"/>
      <c r="H3996" s="83"/>
      <c r="K3996" s="82"/>
      <c r="M3996" s="112"/>
      <c r="N3996" s="84"/>
    </row>
    <row r="3997" spans="1:14" s="2" customFormat="1">
      <c r="A3997" s="83"/>
      <c r="H3997" s="83"/>
      <c r="K3997" s="82"/>
      <c r="M3997" s="112"/>
      <c r="N3997" s="84"/>
    </row>
    <row r="3998" spans="1:14" s="2" customFormat="1">
      <c r="A3998" s="83"/>
      <c r="H3998" s="83"/>
      <c r="K3998" s="82"/>
      <c r="M3998" s="112"/>
      <c r="N3998" s="84"/>
    </row>
    <row r="3999" spans="1:14" s="2" customFormat="1">
      <c r="A3999" s="83"/>
      <c r="H3999" s="83"/>
      <c r="K3999" s="82"/>
      <c r="M3999" s="112"/>
      <c r="N3999" s="84"/>
    </row>
    <row r="4000" spans="1:14" s="2" customFormat="1">
      <c r="A4000" s="83"/>
      <c r="H4000" s="83"/>
      <c r="K4000" s="82"/>
      <c r="M4000" s="112"/>
      <c r="N4000" s="84"/>
    </row>
    <row r="4001" spans="1:14" s="2" customFormat="1">
      <c r="A4001" s="83"/>
      <c r="H4001" s="83"/>
      <c r="K4001" s="82"/>
      <c r="M4001" s="112"/>
      <c r="N4001" s="84"/>
    </row>
    <row r="4002" spans="1:14" s="2" customFormat="1">
      <c r="A4002" s="83"/>
      <c r="H4002" s="83"/>
      <c r="K4002" s="82"/>
      <c r="M4002" s="112"/>
      <c r="N4002" s="84"/>
    </row>
    <row r="4003" spans="1:14" s="2" customFormat="1">
      <c r="A4003" s="83"/>
      <c r="H4003" s="83"/>
      <c r="K4003" s="82"/>
      <c r="M4003" s="112"/>
      <c r="N4003" s="84"/>
    </row>
    <row r="4004" spans="1:14" s="2" customFormat="1">
      <c r="A4004" s="83"/>
      <c r="H4004" s="83"/>
      <c r="K4004" s="82"/>
      <c r="M4004" s="112"/>
      <c r="N4004" s="84"/>
    </row>
    <row r="4005" spans="1:14" s="2" customFormat="1">
      <c r="A4005" s="83"/>
      <c r="H4005" s="83"/>
      <c r="K4005" s="82"/>
      <c r="M4005" s="112"/>
      <c r="N4005" s="84"/>
    </row>
    <row r="4006" spans="1:14" s="2" customFormat="1">
      <c r="A4006" s="83"/>
      <c r="H4006" s="83"/>
      <c r="K4006" s="82"/>
      <c r="M4006" s="112"/>
      <c r="N4006" s="84"/>
    </row>
    <row r="4007" spans="1:14" s="2" customFormat="1">
      <c r="A4007" s="83"/>
      <c r="H4007" s="83"/>
      <c r="K4007" s="82"/>
      <c r="M4007" s="112"/>
      <c r="N4007" s="84"/>
    </row>
    <row r="4008" spans="1:14" s="2" customFormat="1">
      <c r="A4008" s="83"/>
      <c r="H4008" s="83"/>
      <c r="K4008" s="82"/>
      <c r="M4008" s="112"/>
      <c r="N4008" s="84"/>
    </row>
    <row r="4009" spans="1:14" s="2" customFormat="1">
      <c r="A4009" s="83"/>
      <c r="H4009" s="83"/>
      <c r="K4009" s="82"/>
      <c r="M4009" s="112"/>
      <c r="N4009" s="84"/>
    </row>
    <row r="4010" spans="1:14" s="2" customFormat="1">
      <c r="A4010" s="83"/>
      <c r="H4010" s="83"/>
      <c r="K4010" s="82"/>
      <c r="M4010" s="112"/>
      <c r="N4010" s="84"/>
    </row>
    <row r="4011" spans="1:14" s="2" customFormat="1">
      <c r="A4011" s="83"/>
      <c r="H4011" s="83"/>
      <c r="K4011" s="82"/>
      <c r="M4011" s="112"/>
      <c r="N4011" s="84"/>
    </row>
    <row r="4012" spans="1:14" s="2" customFormat="1">
      <c r="A4012" s="83"/>
      <c r="H4012" s="83"/>
      <c r="K4012" s="82"/>
      <c r="M4012" s="112"/>
      <c r="N4012" s="84"/>
    </row>
    <row r="4013" spans="1:14" s="2" customFormat="1">
      <c r="A4013" s="83"/>
      <c r="H4013" s="83"/>
      <c r="K4013" s="82"/>
      <c r="M4013" s="112"/>
      <c r="N4013" s="84"/>
    </row>
    <row r="4014" spans="1:14" s="2" customFormat="1">
      <c r="A4014" s="83"/>
      <c r="H4014" s="83"/>
      <c r="K4014" s="82"/>
      <c r="M4014" s="112"/>
      <c r="N4014" s="84"/>
    </row>
    <row r="4015" spans="1:14" s="2" customFormat="1">
      <c r="A4015" s="83"/>
      <c r="H4015" s="83"/>
      <c r="K4015" s="82"/>
      <c r="M4015" s="112"/>
      <c r="N4015" s="84"/>
    </row>
    <row r="4016" spans="1:14" s="2" customFormat="1">
      <c r="A4016" s="83"/>
      <c r="H4016" s="83"/>
      <c r="K4016" s="82"/>
      <c r="M4016" s="112"/>
      <c r="N4016" s="84"/>
    </row>
    <row r="4017" spans="1:14" s="2" customFormat="1">
      <c r="A4017" s="83"/>
      <c r="H4017" s="83"/>
      <c r="K4017" s="82"/>
      <c r="M4017" s="112"/>
      <c r="N4017" s="84"/>
    </row>
    <row r="4018" spans="1:14" s="2" customFormat="1">
      <c r="A4018" s="83"/>
      <c r="H4018" s="83"/>
      <c r="K4018" s="82"/>
      <c r="M4018" s="112"/>
      <c r="N4018" s="84"/>
    </row>
    <row r="4019" spans="1:14" s="2" customFormat="1">
      <c r="A4019" s="83"/>
      <c r="H4019" s="83"/>
      <c r="K4019" s="82"/>
      <c r="M4019" s="112"/>
      <c r="N4019" s="84"/>
    </row>
    <row r="4020" spans="1:14" s="2" customFormat="1">
      <c r="A4020" s="83"/>
      <c r="H4020" s="83"/>
      <c r="K4020" s="82"/>
      <c r="M4020" s="112"/>
      <c r="N4020" s="84"/>
    </row>
    <row r="4021" spans="1:14" s="2" customFormat="1">
      <c r="A4021" s="83"/>
      <c r="H4021" s="83"/>
      <c r="K4021" s="82"/>
      <c r="M4021" s="112"/>
      <c r="N4021" s="84"/>
    </row>
    <row r="4022" spans="1:14" s="2" customFormat="1">
      <c r="A4022" s="83"/>
      <c r="H4022" s="83"/>
      <c r="K4022" s="82"/>
      <c r="M4022" s="112"/>
      <c r="N4022" s="84"/>
    </row>
    <row r="4023" spans="1:14" s="2" customFormat="1">
      <c r="A4023" s="83"/>
      <c r="H4023" s="83"/>
      <c r="K4023" s="82"/>
      <c r="M4023" s="112"/>
      <c r="N4023" s="84"/>
    </row>
    <row r="4024" spans="1:14" s="2" customFormat="1">
      <c r="A4024" s="83"/>
      <c r="H4024" s="83"/>
      <c r="K4024" s="82"/>
      <c r="M4024" s="112"/>
      <c r="N4024" s="84"/>
    </row>
    <row r="4025" spans="1:14" s="2" customFormat="1">
      <c r="A4025" s="83"/>
      <c r="H4025" s="83"/>
      <c r="K4025" s="82"/>
      <c r="M4025" s="112"/>
      <c r="N4025" s="84"/>
    </row>
    <row r="4026" spans="1:14" s="2" customFormat="1">
      <c r="A4026" s="83"/>
      <c r="H4026" s="83"/>
      <c r="K4026" s="82"/>
      <c r="M4026" s="112"/>
      <c r="N4026" s="84"/>
    </row>
    <row r="4027" spans="1:14" s="2" customFormat="1">
      <c r="A4027" s="83"/>
      <c r="H4027" s="83"/>
      <c r="K4027" s="82"/>
      <c r="M4027" s="112"/>
      <c r="N4027" s="84"/>
    </row>
    <row r="4028" spans="1:14" s="2" customFormat="1">
      <c r="A4028" s="83"/>
      <c r="H4028" s="83"/>
      <c r="K4028" s="82"/>
      <c r="M4028" s="112"/>
      <c r="N4028" s="84"/>
    </row>
    <row r="4029" spans="1:14" s="2" customFormat="1">
      <c r="A4029" s="83"/>
      <c r="H4029" s="83"/>
      <c r="K4029" s="82"/>
      <c r="M4029" s="112"/>
      <c r="N4029" s="84"/>
    </row>
    <row r="4030" spans="1:14" s="2" customFormat="1">
      <c r="A4030" s="83"/>
      <c r="H4030" s="83"/>
      <c r="K4030" s="82"/>
      <c r="M4030" s="112"/>
      <c r="N4030" s="84"/>
    </row>
    <row r="4031" spans="1:14" s="2" customFormat="1">
      <c r="A4031" s="83"/>
      <c r="H4031" s="83"/>
      <c r="K4031" s="82"/>
      <c r="M4031" s="112"/>
      <c r="N4031" s="84"/>
    </row>
    <row r="4032" spans="1:14" s="2" customFormat="1">
      <c r="A4032" s="83"/>
      <c r="H4032" s="83"/>
      <c r="K4032" s="82"/>
      <c r="M4032" s="112"/>
      <c r="N4032" s="84"/>
    </row>
    <row r="4033" spans="1:14" s="2" customFormat="1">
      <c r="A4033" s="83"/>
      <c r="H4033" s="83"/>
      <c r="K4033" s="82"/>
      <c r="M4033" s="112"/>
      <c r="N4033" s="84"/>
    </row>
    <row r="4034" spans="1:14" s="2" customFormat="1">
      <c r="A4034" s="83"/>
      <c r="H4034" s="83"/>
      <c r="K4034" s="82"/>
      <c r="M4034" s="112"/>
      <c r="N4034" s="84"/>
    </row>
    <row r="4035" spans="1:14" s="2" customFormat="1">
      <c r="A4035" s="83"/>
      <c r="H4035" s="83"/>
      <c r="K4035" s="82"/>
      <c r="M4035" s="112"/>
      <c r="N4035" s="84"/>
    </row>
    <row r="4036" spans="1:14" s="2" customFormat="1">
      <c r="A4036" s="83"/>
      <c r="H4036" s="83"/>
      <c r="K4036" s="82"/>
      <c r="M4036" s="112"/>
      <c r="N4036" s="84"/>
    </row>
    <row r="4037" spans="1:14" s="2" customFormat="1">
      <c r="A4037" s="83"/>
      <c r="H4037" s="83"/>
      <c r="K4037" s="82"/>
      <c r="M4037" s="112"/>
      <c r="N4037" s="84"/>
    </row>
    <row r="4038" spans="1:14" s="2" customFormat="1">
      <c r="A4038" s="83"/>
      <c r="H4038" s="83"/>
      <c r="K4038" s="82"/>
      <c r="M4038" s="112"/>
      <c r="N4038" s="84"/>
    </row>
    <row r="4039" spans="1:14" s="2" customFormat="1">
      <c r="A4039" s="83"/>
      <c r="H4039" s="83"/>
      <c r="K4039" s="82"/>
      <c r="M4039" s="112"/>
      <c r="N4039" s="84"/>
    </row>
    <row r="4040" spans="1:14" s="2" customFormat="1">
      <c r="A4040" s="83"/>
      <c r="H4040" s="83"/>
      <c r="K4040" s="82"/>
      <c r="M4040" s="112"/>
      <c r="N4040" s="84"/>
    </row>
    <row r="4041" spans="1:14" s="2" customFormat="1">
      <c r="A4041" s="83"/>
      <c r="H4041" s="83"/>
      <c r="K4041" s="82"/>
      <c r="M4041" s="112"/>
      <c r="N4041" s="84"/>
    </row>
    <row r="4042" spans="1:14" s="2" customFormat="1">
      <c r="A4042" s="83"/>
      <c r="H4042" s="83"/>
      <c r="K4042" s="82"/>
      <c r="M4042" s="112"/>
      <c r="N4042" s="84"/>
    </row>
    <row r="4043" spans="1:14" s="2" customFormat="1">
      <c r="A4043" s="83"/>
      <c r="H4043" s="83"/>
      <c r="K4043" s="82"/>
      <c r="M4043" s="112"/>
      <c r="N4043" s="84"/>
    </row>
    <row r="4044" spans="1:14" s="2" customFormat="1">
      <c r="A4044" s="83"/>
      <c r="H4044" s="83"/>
      <c r="K4044" s="82"/>
      <c r="M4044" s="112"/>
      <c r="N4044" s="84"/>
    </row>
    <row r="4045" spans="1:14" s="2" customFormat="1">
      <c r="A4045" s="83"/>
      <c r="H4045" s="83"/>
      <c r="K4045" s="82"/>
      <c r="M4045" s="112"/>
      <c r="N4045" s="84"/>
    </row>
    <row r="4046" spans="1:14" s="2" customFormat="1">
      <c r="A4046" s="83"/>
      <c r="H4046" s="83"/>
      <c r="K4046" s="82"/>
      <c r="M4046" s="112"/>
      <c r="N4046" s="84"/>
    </row>
    <row r="4047" spans="1:14" s="2" customFormat="1">
      <c r="A4047" s="83"/>
      <c r="H4047" s="83"/>
      <c r="K4047" s="82"/>
      <c r="M4047" s="112"/>
      <c r="N4047" s="84"/>
    </row>
    <row r="4048" spans="1:14" s="2" customFormat="1">
      <c r="A4048" s="83"/>
      <c r="H4048" s="83"/>
      <c r="K4048" s="82"/>
      <c r="M4048" s="112"/>
      <c r="N4048" s="84"/>
    </row>
    <row r="4049" spans="1:14" s="2" customFormat="1">
      <c r="A4049" s="83"/>
      <c r="H4049" s="83"/>
      <c r="K4049" s="82"/>
      <c r="M4049" s="112"/>
      <c r="N4049" s="84"/>
    </row>
    <row r="4050" spans="1:14" s="2" customFormat="1">
      <c r="A4050" s="83"/>
      <c r="H4050" s="83"/>
      <c r="K4050" s="82"/>
      <c r="M4050" s="112"/>
      <c r="N4050" s="84"/>
    </row>
    <row r="4051" spans="1:14" s="2" customFormat="1">
      <c r="A4051" s="83"/>
      <c r="H4051" s="83"/>
      <c r="K4051" s="82"/>
      <c r="M4051" s="112"/>
      <c r="N4051" s="84"/>
    </row>
    <row r="4052" spans="1:14" s="2" customFormat="1">
      <c r="A4052" s="83"/>
      <c r="H4052" s="83"/>
      <c r="K4052" s="82"/>
      <c r="M4052" s="112"/>
      <c r="N4052" s="84"/>
    </row>
    <row r="4053" spans="1:14" s="2" customFormat="1">
      <c r="A4053" s="83"/>
      <c r="H4053" s="83"/>
      <c r="K4053" s="82"/>
      <c r="M4053" s="112"/>
      <c r="N4053" s="84"/>
    </row>
    <row r="4054" spans="1:14" s="2" customFormat="1">
      <c r="A4054" s="83"/>
      <c r="H4054" s="83"/>
      <c r="K4054" s="82"/>
      <c r="M4054" s="112"/>
      <c r="N4054" s="84"/>
    </row>
    <row r="4055" spans="1:14" s="2" customFormat="1">
      <c r="A4055" s="83"/>
      <c r="H4055" s="83"/>
      <c r="K4055" s="82"/>
      <c r="M4055" s="112"/>
      <c r="N4055" s="84"/>
    </row>
    <row r="4056" spans="1:14" s="2" customFormat="1">
      <c r="A4056" s="83"/>
      <c r="H4056" s="83"/>
      <c r="K4056" s="82"/>
      <c r="M4056" s="112"/>
      <c r="N4056" s="84"/>
    </row>
    <row r="4057" spans="1:14" s="2" customFormat="1">
      <c r="A4057" s="83"/>
      <c r="H4057" s="83"/>
      <c r="K4057" s="82"/>
      <c r="M4057" s="112"/>
      <c r="N4057" s="84"/>
    </row>
    <row r="4058" spans="1:14" s="2" customFormat="1">
      <c r="A4058" s="83"/>
      <c r="H4058" s="83"/>
      <c r="K4058" s="82"/>
      <c r="M4058" s="112"/>
      <c r="N4058" s="84"/>
    </row>
    <row r="4059" spans="1:14" s="2" customFormat="1">
      <c r="A4059" s="83"/>
      <c r="H4059" s="83"/>
      <c r="K4059" s="82"/>
      <c r="M4059" s="112"/>
      <c r="N4059" s="84"/>
    </row>
    <row r="4060" spans="1:14" s="2" customFormat="1">
      <c r="A4060" s="83"/>
      <c r="H4060" s="83"/>
      <c r="K4060" s="82"/>
      <c r="M4060" s="112"/>
      <c r="N4060" s="84"/>
    </row>
    <row r="4061" spans="1:14" s="2" customFormat="1">
      <c r="A4061" s="83"/>
      <c r="H4061" s="83"/>
      <c r="K4061" s="82"/>
      <c r="M4061" s="112"/>
      <c r="N4061" s="84"/>
    </row>
    <row r="4062" spans="1:14" s="2" customFormat="1">
      <c r="A4062" s="83"/>
      <c r="H4062" s="83"/>
      <c r="K4062" s="82"/>
      <c r="M4062" s="112"/>
      <c r="N4062" s="84"/>
    </row>
    <row r="4063" spans="1:14" s="2" customFormat="1">
      <c r="A4063" s="83"/>
      <c r="H4063" s="83"/>
      <c r="K4063" s="82"/>
      <c r="M4063" s="112"/>
      <c r="N4063" s="84"/>
    </row>
    <row r="4064" spans="1:14" s="2" customFormat="1">
      <c r="A4064" s="83"/>
      <c r="H4064" s="83"/>
      <c r="K4064" s="82"/>
      <c r="M4064" s="112"/>
      <c r="N4064" s="84"/>
    </row>
    <row r="4065" spans="1:14" s="2" customFormat="1">
      <c r="A4065" s="83"/>
      <c r="H4065" s="83"/>
      <c r="K4065" s="82"/>
      <c r="M4065" s="112"/>
      <c r="N4065" s="84"/>
    </row>
    <row r="4066" spans="1:14" s="2" customFormat="1">
      <c r="A4066" s="83"/>
      <c r="H4066" s="83"/>
      <c r="K4066" s="82"/>
      <c r="M4066" s="112"/>
      <c r="N4066" s="84"/>
    </row>
    <row r="4067" spans="1:14" s="2" customFormat="1">
      <c r="A4067" s="83"/>
      <c r="H4067" s="83"/>
      <c r="K4067" s="82"/>
      <c r="M4067" s="112"/>
      <c r="N4067" s="84"/>
    </row>
    <row r="4068" spans="1:14" s="2" customFormat="1">
      <c r="A4068" s="83"/>
      <c r="H4068" s="83"/>
      <c r="K4068" s="82"/>
      <c r="M4068" s="112"/>
      <c r="N4068" s="84"/>
    </row>
    <row r="4069" spans="1:14" s="2" customFormat="1">
      <c r="A4069" s="83"/>
      <c r="H4069" s="83"/>
      <c r="K4069" s="82"/>
      <c r="M4069" s="112"/>
      <c r="N4069" s="84"/>
    </row>
    <row r="4070" spans="1:14" s="2" customFormat="1">
      <c r="A4070" s="83"/>
      <c r="H4070" s="83"/>
      <c r="K4070" s="82"/>
      <c r="M4070" s="112"/>
      <c r="N4070" s="84"/>
    </row>
    <row r="4071" spans="1:14" s="2" customFormat="1">
      <c r="A4071" s="83"/>
      <c r="H4071" s="83"/>
      <c r="K4071" s="82"/>
      <c r="M4071" s="112"/>
      <c r="N4071" s="84"/>
    </row>
    <row r="4072" spans="1:14" s="2" customFormat="1">
      <c r="A4072" s="83"/>
      <c r="H4072" s="83"/>
      <c r="K4072" s="82"/>
      <c r="M4072" s="112"/>
      <c r="N4072" s="84"/>
    </row>
    <row r="4073" spans="1:14" s="2" customFormat="1">
      <c r="A4073" s="83"/>
      <c r="H4073" s="83"/>
      <c r="K4073" s="82"/>
      <c r="M4073" s="112"/>
      <c r="N4073" s="84"/>
    </row>
    <row r="4074" spans="1:14" s="2" customFormat="1">
      <c r="A4074" s="83"/>
      <c r="H4074" s="83"/>
      <c r="K4074" s="82"/>
      <c r="M4074" s="112"/>
      <c r="N4074" s="84"/>
    </row>
    <row r="4075" spans="1:14" s="2" customFormat="1">
      <c r="A4075" s="83"/>
      <c r="H4075" s="83"/>
      <c r="K4075" s="82"/>
      <c r="M4075" s="112"/>
      <c r="N4075" s="84"/>
    </row>
    <row r="4076" spans="1:14" s="2" customFormat="1">
      <c r="A4076" s="83"/>
      <c r="H4076" s="83"/>
      <c r="K4076" s="82"/>
      <c r="M4076" s="112"/>
      <c r="N4076" s="84"/>
    </row>
    <row r="4077" spans="1:14" s="2" customFormat="1">
      <c r="A4077" s="83"/>
      <c r="H4077" s="83"/>
      <c r="K4077" s="82"/>
      <c r="M4077" s="112"/>
      <c r="N4077" s="84"/>
    </row>
    <row r="4078" spans="1:14" s="2" customFormat="1">
      <c r="A4078" s="83"/>
      <c r="H4078" s="83"/>
      <c r="K4078" s="82"/>
      <c r="M4078" s="112"/>
      <c r="N4078" s="84"/>
    </row>
    <row r="4079" spans="1:14" s="2" customFormat="1">
      <c r="A4079" s="83"/>
      <c r="H4079" s="83"/>
      <c r="K4079" s="82"/>
      <c r="M4079" s="112"/>
      <c r="N4079" s="84"/>
    </row>
    <row r="4080" spans="1:14" s="2" customFormat="1">
      <c r="A4080" s="83"/>
      <c r="H4080" s="83"/>
      <c r="K4080" s="82"/>
      <c r="M4080" s="112"/>
      <c r="N4080" s="84"/>
    </row>
    <row r="4081" spans="1:14" s="2" customFormat="1">
      <c r="A4081" s="83"/>
      <c r="H4081" s="83"/>
      <c r="K4081" s="82"/>
      <c r="M4081" s="112"/>
      <c r="N4081" s="84"/>
    </row>
    <row r="4082" spans="1:14" s="2" customFormat="1">
      <c r="A4082" s="83"/>
      <c r="H4082" s="83"/>
      <c r="K4082" s="82"/>
      <c r="M4082" s="112"/>
      <c r="N4082" s="84"/>
    </row>
    <row r="4083" spans="1:14" s="2" customFormat="1">
      <c r="A4083" s="83"/>
      <c r="H4083" s="83"/>
      <c r="K4083" s="82"/>
      <c r="M4083" s="112"/>
      <c r="N4083" s="84"/>
    </row>
    <row r="4084" spans="1:14" s="2" customFormat="1">
      <c r="A4084" s="83"/>
      <c r="H4084" s="83"/>
      <c r="K4084" s="82"/>
      <c r="M4084" s="112"/>
      <c r="N4084" s="84"/>
    </row>
    <row r="4085" spans="1:14" s="2" customFormat="1">
      <c r="A4085" s="83"/>
      <c r="H4085" s="83"/>
      <c r="K4085" s="82"/>
      <c r="M4085" s="112"/>
      <c r="N4085" s="84"/>
    </row>
    <row r="4086" spans="1:14" s="2" customFormat="1">
      <c r="A4086" s="83"/>
      <c r="H4086" s="83"/>
      <c r="K4086" s="82"/>
      <c r="M4086" s="112"/>
      <c r="N4086" s="84"/>
    </row>
    <row r="4087" spans="1:14" s="2" customFormat="1">
      <c r="A4087" s="83"/>
      <c r="H4087" s="83"/>
      <c r="K4087" s="82"/>
      <c r="M4087" s="112"/>
      <c r="N4087" s="84"/>
    </row>
    <row r="4088" spans="1:14" s="2" customFormat="1">
      <c r="A4088" s="83"/>
      <c r="H4088" s="83"/>
      <c r="K4088" s="82"/>
      <c r="M4088" s="112"/>
      <c r="N4088" s="84"/>
    </row>
    <row r="4089" spans="1:14" s="2" customFormat="1">
      <c r="A4089" s="83"/>
      <c r="H4089" s="83"/>
      <c r="K4089" s="82"/>
      <c r="M4089" s="112"/>
      <c r="N4089" s="84"/>
    </row>
    <row r="4090" spans="1:14" s="2" customFormat="1">
      <c r="A4090" s="83"/>
      <c r="H4090" s="83"/>
      <c r="K4090" s="82"/>
      <c r="M4090" s="112"/>
      <c r="N4090" s="84"/>
    </row>
    <row r="4091" spans="1:14" s="2" customFormat="1">
      <c r="A4091" s="83"/>
      <c r="H4091" s="83"/>
      <c r="K4091" s="82"/>
      <c r="M4091" s="112"/>
      <c r="N4091" s="84"/>
    </row>
    <row r="4092" spans="1:14" s="2" customFormat="1">
      <c r="A4092" s="83"/>
      <c r="H4092" s="83"/>
      <c r="K4092" s="82"/>
      <c r="M4092" s="112"/>
      <c r="N4092" s="84"/>
    </row>
    <row r="4093" spans="1:14" s="2" customFormat="1">
      <c r="A4093" s="83"/>
      <c r="H4093" s="83"/>
      <c r="K4093" s="82"/>
      <c r="M4093" s="112"/>
      <c r="N4093" s="84"/>
    </row>
    <row r="4094" spans="1:14" s="2" customFormat="1">
      <c r="A4094" s="83"/>
      <c r="H4094" s="83"/>
      <c r="K4094" s="82"/>
      <c r="M4094" s="112"/>
      <c r="N4094" s="84"/>
    </row>
    <row r="4095" spans="1:14" s="2" customFormat="1">
      <c r="A4095" s="83"/>
      <c r="H4095" s="83"/>
      <c r="K4095" s="82"/>
      <c r="M4095" s="112"/>
      <c r="N4095" s="84"/>
    </row>
    <row r="4096" spans="1:14" s="2" customFormat="1">
      <c r="A4096" s="83"/>
      <c r="H4096" s="83"/>
      <c r="K4096" s="82"/>
      <c r="M4096" s="112"/>
      <c r="N4096" s="84"/>
    </row>
    <row r="4097" spans="1:14" s="2" customFormat="1">
      <c r="A4097" s="83"/>
      <c r="H4097" s="83"/>
      <c r="K4097" s="82"/>
      <c r="M4097" s="112"/>
      <c r="N4097" s="84"/>
    </row>
    <row r="4098" spans="1:14" s="2" customFormat="1">
      <c r="A4098" s="83"/>
      <c r="H4098" s="83"/>
      <c r="K4098" s="82"/>
      <c r="M4098" s="112"/>
      <c r="N4098" s="84"/>
    </row>
    <row r="4099" spans="1:14" s="2" customFormat="1">
      <c r="A4099" s="83"/>
      <c r="H4099" s="83"/>
      <c r="K4099" s="82"/>
      <c r="M4099" s="112"/>
      <c r="N4099" s="84"/>
    </row>
    <row r="4100" spans="1:14" s="2" customFormat="1">
      <c r="A4100" s="83"/>
      <c r="H4100" s="83"/>
      <c r="K4100" s="82"/>
      <c r="M4100" s="112"/>
      <c r="N4100" s="84"/>
    </row>
    <row r="4101" spans="1:14" s="2" customFormat="1">
      <c r="A4101" s="83"/>
      <c r="H4101" s="83"/>
      <c r="K4101" s="82"/>
      <c r="M4101" s="112"/>
      <c r="N4101" s="84"/>
    </row>
    <row r="4102" spans="1:14" s="2" customFormat="1">
      <c r="A4102" s="83"/>
      <c r="H4102" s="83"/>
      <c r="K4102" s="82"/>
      <c r="M4102" s="112"/>
      <c r="N4102" s="84"/>
    </row>
    <row r="4103" spans="1:14" s="2" customFormat="1">
      <c r="A4103" s="83"/>
      <c r="H4103" s="83"/>
      <c r="K4103" s="82"/>
      <c r="M4103" s="112"/>
      <c r="N4103" s="84"/>
    </row>
    <row r="4104" spans="1:14" s="2" customFormat="1">
      <c r="A4104" s="83"/>
      <c r="H4104" s="83"/>
      <c r="K4104" s="82"/>
      <c r="M4104" s="112"/>
      <c r="N4104" s="84"/>
    </row>
    <row r="4105" spans="1:14" s="2" customFormat="1">
      <c r="A4105" s="83"/>
      <c r="H4105" s="83"/>
      <c r="K4105" s="82"/>
      <c r="M4105" s="112"/>
      <c r="N4105" s="84"/>
    </row>
    <row r="4106" spans="1:14" s="2" customFormat="1">
      <c r="A4106" s="83"/>
      <c r="H4106" s="83"/>
      <c r="K4106" s="82"/>
      <c r="M4106" s="112"/>
      <c r="N4106" s="84"/>
    </row>
    <row r="4107" spans="1:14" s="2" customFormat="1">
      <c r="A4107" s="83"/>
      <c r="H4107" s="83"/>
      <c r="K4107" s="82"/>
      <c r="M4107" s="112"/>
      <c r="N4107" s="84"/>
    </row>
    <row r="4108" spans="1:14" s="2" customFormat="1">
      <c r="A4108" s="83"/>
      <c r="H4108" s="83"/>
      <c r="K4108" s="82"/>
      <c r="M4108" s="112"/>
      <c r="N4108" s="84"/>
    </row>
    <row r="4109" spans="1:14" s="2" customFormat="1">
      <c r="A4109" s="83"/>
      <c r="H4109" s="83"/>
      <c r="K4109" s="82"/>
      <c r="M4109" s="112"/>
      <c r="N4109" s="84"/>
    </row>
    <row r="4110" spans="1:14" s="2" customFormat="1">
      <c r="A4110" s="83"/>
      <c r="H4110" s="83"/>
      <c r="K4110" s="82"/>
      <c r="M4110" s="112"/>
      <c r="N4110" s="84"/>
    </row>
    <row r="4111" spans="1:14" s="2" customFormat="1">
      <c r="A4111" s="83"/>
      <c r="H4111" s="83"/>
      <c r="K4111" s="82"/>
      <c r="M4111" s="112"/>
      <c r="N4111" s="84"/>
    </row>
    <row r="4112" spans="1:14" s="2" customFormat="1">
      <c r="A4112" s="83"/>
      <c r="H4112" s="83"/>
      <c r="K4112" s="82"/>
      <c r="M4112" s="112"/>
      <c r="N4112" s="84"/>
    </row>
    <row r="4113" spans="1:14" s="2" customFormat="1">
      <c r="A4113" s="83"/>
      <c r="H4113" s="83"/>
      <c r="K4113" s="82"/>
      <c r="M4113" s="112"/>
      <c r="N4113" s="84"/>
    </row>
    <row r="4114" spans="1:14" s="2" customFormat="1">
      <c r="A4114" s="83"/>
      <c r="H4114" s="83"/>
      <c r="K4114" s="82"/>
      <c r="M4114" s="112"/>
      <c r="N4114" s="84"/>
    </row>
    <row r="4115" spans="1:14" s="2" customFormat="1">
      <c r="A4115" s="83"/>
      <c r="H4115" s="83"/>
      <c r="K4115" s="82"/>
      <c r="M4115" s="112"/>
      <c r="N4115" s="84"/>
    </row>
    <row r="4116" spans="1:14" s="2" customFormat="1">
      <c r="A4116" s="83"/>
      <c r="H4116" s="83"/>
      <c r="K4116" s="82"/>
      <c r="M4116" s="112"/>
      <c r="N4116" s="84"/>
    </row>
    <row r="4117" spans="1:14" s="2" customFormat="1">
      <c r="A4117" s="83"/>
      <c r="H4117" s="83"/>
      <c r="K4117" s="82"/>
      <c r="M4117" s="112"/>
      <c r="N4117" s="84"/>
    </row>
    <row r="4118" spans="1:14" s="2" customFormat="1">
      <c r="A4118" s="83"/>
      <c r="H4118" s="83"/>
      <c r="K4118" s="82"/>
      <c r="M4118" s="112"/>
      <c r="N4118" s="84"/>
    </row>
    <row r="4119" spans="1:14" s="2" customFormat="1">
      <c r="A4119" s="83"/>
      <c r="H4119" s="83"/>
      <c r="K4119" s="82"/>
      <c r="M4119" s="112"/>
      <c r="N4119" s="84"/>
    </row>
    <row r="4120" spans="1:14" s="2" customFormat="1">
      <c r="A4120" s="83"/>
      <c r="H4120" s="83"/>
      <c r="K4120" s="82"/>
      <c r="M4120" s="112"/>
      <c r="N4120" s="84"/>
    </row>
    <row r="4121" spans="1:14" s="2" customFormat="1">
      <c r="A4121" s="83"/>
      <c r="H4121" s="83"/>
      <c r="K4121" s="82"/>
      <c r="M4121" s="112"/>
      <c r="N4121" s="84"/>
    </row>
    <row r="4122" spans="1:14" s="2" customFormat="1">
      <c r="A4122" s="83"/>
      <c r="H4122" s="83"/>
      <c r="K4122" s="82"/>
      <c r="M4122" s="112"/>
      <c r="N4122" s="84"/>
    </row>
    <row r="4123" spans="1:14" s="2" customFormat="1">
      <c r="A4123" s="83"/>
      <c r="H4123" s="83"/>
      <c r="K4123" s="82"/>
      <c r="M4123" s="112"/>
      <c r="N4123" s="84"/>
    </row>
    <row r="4124" spans="1:14" s="2" customFormat="1">
      <c r="A4124" s="83"/>
      <c r="H4124" s="83"/>
      <c r="K4124" s="82"/>
      <c r="M4124" s="112"/>
      <c r="N4124" s="84"/>
    </row>
    <row r="4125" spans="1:14" s="2" customFormat="1">
      <c r="A4125" s="83"/>
      <c r="H4125" s="83"/>
      <c r="K4125" s="82"/>
      <c r="M4125" s="112"/>
      <c r="N4125" s="84"/>
    </row>
    <row r="4126" spans="1:14" s="2" customFormat="1">
      <c r="A4126" s="83"/>
      <c r="H4126" s="83"/>
      <c r="K4126" s="82"/>
      <c r="M4126" s="112"/>
      <c r="N4126" s="84"/>
    </row>
    <row r="4127" spans="1:14" s="2" customFormat="1">
      <c r="A4127" s="83"/>
      <c r="H4127" s="83"/>
      <c r="K4127" s="82"/>
      <c r="M4127" s="112"/>
      <c r="N4127" s="84"/>
    </row>
    <row r="4128" spans="1:14" s="2" customFormat="1">
      <c r="A4128" s="83"/>
      <c r="H4128" s="83"/>
      <c r="K4128" s="82"/>
      <c r="M4128" s="112"/>
      <c r="N4128" s="84"/>
    </row>
    <row r="4129" spans="1:14" s="2" customFormat="1">
      <c r="A4129" s="83"/>
      <c r="H4129" s="83"/>
      <c r="K4129" s="82"/>
      <c r="M4129" s="112"/>
      <c r="N4129" s="84"/>
    </row>
    <row r="4130" spans="1:14" s="2" customFormat="1">
      <c r="A4130" s="83"/>
      <c r="H4130" s="83"/>
      <c r="K4130" s="82"/>
      <c r="M4130" s="112"/>
      <c r="N4130" s="84"/>
    </row>
    <row r="4131" spans="1:14" s="2" customFormat="1">
      <c r="A4131" s="83"/>
      <c r="H4131" s="83"/>
      <c r="K4131" s="82"/>
      <c r="M4131" s="112"/>
      <c r="N4131" s="84"/>
    </row>
    <row r="4132" spans="1:14" s="2" customFormat="1">
      <c r="A4132" s="83"/>
      <c r="H4132" s="83"/>
      <c r="K4132" s="82"/>
      <c r="M4132" s="112"/>
      <c r="N4132" s="84"/>
    </row>
    <row r="4133" spans="1:14" s="2" customFormat="1">
      <c r="A4133" s="83"/>
      <c r="H4133" s="83"/>
      <c r="K4133" s="82"/>
      <c r="M4133" s="112"/>
      <c r="N4133" s="84"/>
    </row>
    <row r="4134" spans="1:14" s="2" customFormat="1">
      <c r="A4134" s="83"/>
      <c r="H4134" s="83"/>
      <c r="K4134" s="82"/>
      <c r="M4134" s="112"/>
      <c r="N4134" s="84"/>
    </row>
    <row r="4135" spans="1:14" s="2" customFormat="1">
      <c r="A4135" s="83"/>
      <c r="H4135" s="83"/>
      <c r="K4135" s="82"/>
      <c r="M4135" s="112"/>
      <c r="N4135" s="84"/>
    </row>
    <row r="4136" spans="1:14" s="2" customFormat="1">
      <c r="A4136" s="83"/>
      <c r="H4136" s="83"/>
      <c r="K4136" s="82"/>
      <c r="M4136" s="112"/>
      <c r="N4136" s="84"/>
    </row>
    <row r="4137" spans="1:14" s="2" customFormat="1">
      <c r="A4137" s="83"/>
      <c r="H4137" s="83"/>
      <c r="K4137" s="82"/>
      <c r="M4137" s="112"/>
      <c r="N4137" s="84"/>
    </row>
    <row r="4138" spans="1:14" s="2" customFormat="1">
      <c r="A4138" s="83"/>
      <c r="H4138" s="83"/>
      <c r="K4138" s="82"/>
      <c r="M4138" s="112"/>
      <c r="N4138" s="84"/>
    </row>
    <row r="4139" spans="1:14" s="2" customFormat="1">
      <c r="A4139" s="83"/>
      <c r="H4139" s="83"/>
      <c r="K4139" s="82"/>
      <c r="M4139" s="112"/>
      <c r="N4139" s="84"/>
    </row>
    <row r="4140" spans="1:14" s="2" customFormat="1">
      <c r="A4140" s="83"/>
      <c r="H4140" s="83"/>
      <c r="K4140" s="82"/>
      <c r="M4140" s="112"/>
      <c r="N4140" s="84"/>
    </row>
    <row r="4141" spans="1:14" s="2" customFormat="1">
      <c r="A4141" s="83"/>
      <c r="H4141" s="83"/>
      <c r="K4141" s="82"/>
      <c r="M4141" s="112"/>
      <c r="N4141" s="84"/>
    </row>
    <row r="4142" spans="1:14" s="2" customFormat="1">
      <c r="A4142" s="83"/>
      <c r="H4142" s="83"/>
      <c r="K4142" s="82"/>
      <c r="M4142" s="112"/>
      <c r="N4142" s="84"/>
    </row>
    <row r="4143" spans="1:14" s="2" customFormat="1">
      <c r="A4143" s="83"/>
      <c r="H4143" s="83"/>
      <c r="K4143" s="82"/>
      <c r="M4143" s="112"/>
      <c r="N4143" s="84"/>
    </row>
    <row r="4144" spans="1:14" s="2" customFormat="1">
      <c r="A4144" s="83"/>
      <c r="H4144" s="83"/>
      <c r="K4144" s="82"/>
      <c r="M4144" s="112"/>
      <c r="N4144" s="84"/>
    </row>
    <row r="4145" spans="1:14" s="2" customFormat="1">
      <c r="A4145" s="83"/>
      <c r="H4145" s="83"/>
      <c r="K4145" s="82"/>
      <c r="M4145" s="112"/>
      <c r="N4145" s="84"/>
    </row>
    <row r="4146" spans="1:14" s="2" customFormat="1">
      <c r="A4146" s="83"/>
      <c r="H4146" s="83"/>
      <c r="K4146" s="82"/>
      <c r="M4146" s="112"/>
      <c r="N4146" s="84"/>
    </row>
    <row r="4147" spans="1:14" s="2" customFormat="1">
      <c r="A4147" s="83"/>
      <c r="H4147" s="83"/>
      <c r="K4147" s="82"/>
      <c r="M4147" s="112"/>
      <c r="N4147" s="84"/>
    </row>
    <row r="4148" spans="1:14" s="2" customFormat="1">
      <c r="A4148" s="83"/>
      <c r="H4148" s="83"/>
      <c r="K4148" s="82"/>
      <c r="M4148" s="112"/>
      <c r="N4148" s="84"/>
    </row>
    <row r="4149" spans="1:14" s="2" customFormat="1">
      <c r="A4149" s="83"/>
      <c r="H4149" s="83"/>
      <c r="K4149" s="82"/>
      <c r="M4149" s="112"/>
      <c r="N4149" s="84"/>
    </row>
    <row r="4150" spans="1:14" s="2" customFormat="1">
      <c r="A4150" s="83"/>
      <c r="H4150" s="83"/>
      <c r="K4150" s="82"/>
      <c r="M4150" s="112"/>
      <c r="N4150" s="84"/>
    </row>
    <row r="4151" spans="1:14" s="2" customFormat="1">
      <c r="A4151" s="83"/>
      <c r="H4151" s="83"/>
      <c r="K4151" s="82"/>
      <c r="M4151" s="112"/>
      <c r="N4151" s="84"/>
    </row>
    <row r="4152" spans="1:14" s="2" customFormat="1">
      <c r="A4152" s="83"/>
      <c r="H4152" s="83"/>
      <c r="K4152" s="82"/>
      <c r="M4152" s="112"/>
      <c r="N4152" s="84"/>
    </row>
    <row r="4153" spans="1:14" s="2" customFormat="1">
      <c r="A4153" s="83"/>
      <c r="H4153" s="83"/>
      <c r="K4153" s="82"/>
      <c r="M4153" s="112"/>
      <c r="N4153" s="84"/>
    </row>
    <row r="4154" spans="1:14" s="2" customFormat="1">
      <c r="A4154" s="83"/>
      <c r="H4154" s="83"/>
      <c r="K4154" s="82"/>
      <c r="M4154" s="112"/>
      <c r="N4154" s="84"/>
    </row>
    <row r="4155" spans="1:14" s="2" customFormat="1">
      <c r="A4155" s="83"/>
      <c r="H4155" s="83"/>
      <c r="K4155" s="82"/>
      <c r="M4155" s="112"/>
      <c r="N4155" s="84"/>
    </row>
    <row r="4156" spans="1:14" s="2" customFormat="1">
      <c r="A4156" s="83"/>
      <c r="H4156" s="83"/>
      <c r="K4156" s="82"/>
      <c r="M4156" s="112"/>
      <c r="N4156" s="84"/>
    </row>
    <row r="4157" spans="1:14" s="2" customFormat="1">
      <c r="A4157" s="83"/>
      <c r="H4157" s="83"/>
      <c r="K4157" s="82"/>
      <c r="M4157" s="112"/>
      <c r="N4157" s="84"/>
    </row>
    <row r="4158" spans="1:14" s="2" customFormat="1">
      <c r="A4158" s="83"/>
      <c r="H4158" s="83"/>
      <c r="K4158" s="82"/>
      <c r="M4158" s="112"/>
      <c r="N4158" s="84"/>
    </row>
    <row r="4159" spans="1:14" s="2" customFormat="1">
      <c r="A4159" s="83"/>
      <c r="H4159" s="83"/>
      <c r="K4159" s="82"/>
      <c r="M4159" s="112"/>
      <c r="N4159" s="84"/>
    </row>
    <row r="4160" spans="1:14" s="2" customFormat="1">
      <c r="A4160" s="83"/>
      <c r="H4160" s="83"/>
      <c r="K4160" s="82"/>
      <c r="M4160" s="112"/>
      <c r="N4160" s="84"/>
    </row>
    <row r="4161" spans="1:14" s="2" customFormat="1">
      <c r="A4161" s="83"/>
      <c r="H4161" s="83"/>
      <c r="K4161" s="82"/>
      <c r="M4161" s="112"/>
      <c r="N4161" s="84"/>
    </row>
    <row r="4162" spans="1:14" s="2" customFormat="1">
      <c r="A4162" s="83"/>
      <c r="H4162" s="83"/>
      <c r="K4162" s="82"/>
      <c r="M4162" s="112"/>
      <c r="N4162" s="84"/>
    </row>
    <row r="4163" spans="1:14" s="2" customFormat="1">
      <c r="A4163" s="83"/>
      <c r="H4163" s="83"/>
      <c r="K4163" s="82"/>
      <c r="M4163" s="112"/>
      <c r="N4163" s="84"/>
    </row>
    <row r="4164" spans="1:14" s="2" customFormat="1">
      <c r="A4164" s="83"/>
      <c r="H4164" s="83"/>
      <c r="K4164" s="82"/>
      <c r="M4164" s="112"/>
      <c r="N4164" s="84"/>
    </row>
    <row r="4165" spans="1:14" s="2" customFormat="1">
      <c r="A4165" s="83"/>
      <c r="H4165" s="83"/>
      <c r="K4165" s="82"/>
      <c r="M4165" s="112"/>
      <c r="N4165" s="84"/>
    </row>
    <row r="4166" spans="1:14" s="2" customFormat="1">
      <c r="A4166" s="83"/>
      <c r="H4166" s="83"/>
      <c r="K4166" s="82"/>
      <c r="M4166" s="112"/>
      <c r="N4166" s="84"/>
    </row>
    <row r="4167" spans="1:14" s="2" customFormat="1">
      <c r="A4167" s="83"/>
      <c r="H4167" s="83"/>
      <c r="K4167" s="82"/>
      <c r="M4167" s="112"/>
      <c r="N4167" s="84"/>
    </row>
    <row r="4168" spans="1:14" s="2" customFormat="1">
      <c r="A4168" s="83"/>
      <c r="H4168" s="83"/>
      <c r="K4168" s="82"/>
      <c r="M4168" s="112"/>
      <c r="N4168" s="84"/>
    </row>
    <row r="4169" spans="1:14" s="2" customFormat="1">
      <c r="A4169" s="83"/>
      <c r="H4169" s="83"/>
      <c r="K4169" s="82"/>
      <c r="M4169" s="112"/>
      <c r="N4169" s="84"/>
    </row>
    <row r="4170" spans="1:14" s="2" customFormat="1">
      <c r="A4170" s="83"/>
      <c r="H4170" s="83"/>
      <c r="K4170" s="82"/>
      <c r="M4170" s="112"/>
      <c r="N4170" s="84"/>
    </row>
    <row r="4171" spans="1:14" s="2" customFormat="1">
      <c r="A4171" s="83"/>
      <c r="H4171" s="83"/>
      <c r="K4171" s="82"/>
      <c r="M4171" s="112"/>
      <c r="N4171" s="84"/>
    </row>
    <row r="4172" spans="1:14" s="2" customFormat="1">
      <c r="A4172" s="83"/>
      <c r="H4172" s="83"/>
      <c r="K4172" s="82"/>
      <c r="M4172" s="112"/>
      <c r="N4172" s="84"/>
    </row>
    <row r="4173" spans="1:14" s="2" customFormat="1">
      <c r="A4173" s="83"/>
      <c r="H4173" s="83"/>
      <c r="K4173" s="82"/>
      <c r="M4173" s="112"/>
      <c r="N4173" s="84"/>
    </row>
    <row r="4174" spans="1:14" s="2" customFormat="1">
      <c r="A4174" s="83"/>
      <c r="H4174" s="83"/>
      <c r="K4174" s="82"/>
      <c r="M4174" s="112"/>
      <c r="N4174" s="84"/>
    </row>
    <row r="4175" spans="1:14" s="2" customFormat="1">
      <c r="A4175" s="83"/>
      <c r="H4175" s="83"/>
      <c r="K4175" s="82"/>
      <c r="M4175" s="112"/>
      <c r="N4175" s="84"/>
    </row>
    <row r="4176" spans="1:14" s="2" customFormat="1">
      <c r="A4176" s="83"/>
      <c r="H4176" s="83"/>
      <c r="K4176" s="82"/>
      <c r="M4176" s="112"/>
      <c r="N4176" s="84"/>
    </row>
    <row r="4177" spans="1:14" s="2" customFormat="1">
      <c r="A4177" s="83"/>
      <c r="H4177" s="83"/>
      <c r="K4177" s="82"/>
      <c r="M4177" s="112"/>
      <c r="N4177" s="84"/>
    </row>
    <row r="4178" spans="1:14" s="2" customFormat="1">
      <c r="A4178" s="83"/>
      <c r="H4178" s="83"/>
      <c r="K4178" s="82"/>
      <c r="M4178" s="112"/>
      <c r="N4178" s="84"/>
    </row>
    <row r="4179" spans="1:14" s="2" customFormat="1">
      <c r="A4179" s="83"/>
      <c r="H4179" s="83"/>
      <c r="K4179" s="82"/>
      <c r="M4179" s="112"/>
      <c r="N4179" s="84"/>
    </row>
    <row r="4180" spans="1:14" s="2" customFormat="1">
      <c r="A4180" s="83"/>
      <c r="H4180" s="83"/>
      <c r="K4180" s="82"/>
      <c r="M4180" s="112"/>
      <c r="N4180" s="84"/>
    </row>
    <row r="4181" spans="1:14" s="2" customFormat="1">
      <c r="A4181" s="83"/>
      <c r="H4181" s="83"/>
      <c r="K4181" s="82"/>
      <c r="M4181" s="112"/>
      <c r="N4181" s="84"/>
    </row>
    <row r="4182" spans="1:14" s="2" customFormat="1">
      <c r="A4182" s="83"/>
      <c r="H4182" s="83"/>
      <c r="K4182" s="82"/>
      <c r="M4182" s="112"/>
      <c r="N4182" s="84"/>
    </row>
    <row r="4183" spans="1:14" s="2" customFormat="1">
      <c r="A4183" s="83"/>
      <c r="H4183" s="83"/>
      <c r="K4183" s="82"/>
      <c r="M4183" s="112"/>
      <c r="N4183" s="84"/>
    </row>
    <row r="4184" spans="1:14" s="2" customFormat="1">
      <c r="A4184" s="83"/>
      <c r="H4184" s="83"/>
      <c r="K4184" s="82"/>
      <c r="M4184" s="112"/>
      <c r="N4184" s="84"/>
    </row>
    <row r="4185" spans="1:14" s="2" customFormat="1">
      <c r="A4185" s="83"/>
      <c r="H4185" s="83"/>
      <c r="K4185" s="82"/>
      <c r="M4185" s="112"/>
      <c r="N4185" s="84"/>
    </row>
    <row r="4186" spans="1:14" s="2" customFormat="1">
      <c r="A4186" s="83"/>
      <c r="H4186" s="83"/>
      <c r="K4186" s="82"/>
      <c r="M4186" s="112"/>
      <c r="N4186" s="84"/>
    </row>
    <row r="4187" spans="1:14" s="2" customFormat="1">
      <c r="A4187" s="83"/>
      <c r="H4187" s="83"/>
      <c r="K4187" s="82"/>
      <c r="M4187" s="112"/>
      <c r="N4187" s="84"/>
    </row>
    <row r="4188" spans="1:14" s="2" customFormat="1">
      <c r="A4188" s="83"/>
      <c r="H4188" s="83"/>
      <c r="K4188" s="82"/>
      <c r="M4188" s="112"/>
      <c r="N4188" s="84"/>
    </row>
    <row r="4189" spans="1:14" s="2" customFormat="1">
      <c r="A4189" s="83"/>
      <c r="H4189" s="83"/>
      <c r="K4189" s="82"/>
      <c r="M4189" s="112"/>
      <c r="N4189" s="84"/>
    </row>
    <row r="4190" spans="1:14" s="2" customFormat="1">
      <c r="A4190" s="83"/>
      <c r="H4190" s="83"/>
      <c r="K4190" s="82"/>
      <c r="M4190" s="112"/>
      <c r="N4190" s="84"/>
    </row>
    <row r="4191" spans="1:14" s="2" customFormat="1">
      <c r="A4191" s="83"/>
      <c r="H4191" s="83"/>
      <c r="K4191" s="82"/>
      <c r="M4191" s="112"/>
      <c r="N4191" s="84"/>
    </row>
    <row r="4192" spans="1:14" s="2" customFormat="1">
      <c r="A4192" s="83"/>
      <c r="H4192" s="83"/>
      <c r="K4192" s="82"/>
      <c r="M4192" s="112"/>
      <c r="N4192" s="84"/>
    </row>
    <row r="4193" spans="1:14" s="2" customFormat="1">
      <c r="A4193" s="83"/>
      <c r="H4193" s="83"/>
      <c r="K4193" s="82"/>
      <c r="M4193" s="112"/>
      <c r="N4193" s="84"/>
    </row>
    <row r="4194" spans="1:14" s="2" customFormat="1">
      <c r="A4194" s="83"/>
      <c r="H4194" s="83"/>
      <c r="K4194" s="82"/>
      <c r="M4194" s="112"/>
      <c r="N4194" s="84"/>
    </row>
    <row r="4195" spans="1:14" s="2" customFormat="1">
      <c r="A4195" s="83"/>
      <c r="H4195" s="83"/>
      <c r="K4195" s="82"/>
      <c r="M4195" s="112"/>
      <c r="N4195" s="84"/>
    </row>
    <row r="4196" spans="1:14" s="2" customFormat="1">
      <c r="A4196" s="83"/>
      <c r="H4196" s="83"/>
      <c r="K4196" s="82"/>
      <c r="M4196" s="112"/>
      <c r="N4196" s="84"/>
    </row>
    <row r="4197" spans="1:14" s="2" customFormat="1">
      <c r="A4197" s="83"/>
      <c r="H4197" s="83"/>
      <c r="K4197" s="82"/>
      <c r="M4197" s="112"/>
      <c r="N4197" s="84"/>
    </row>
    <row r="4198" spans="1:14" s="2" customFormat="1">
      <c r="A4198" s="83"/>
      <c r="H4198" s="83"/>
      <c r="K4198" s="82"/>
      <c r="M4198" s="112"/>
      <c r="N4198" s="84"/>
    </row>
    <row r="4199" spans="1:14" s="2" customFormat="1">
      <c r="A4199" s="83"/>
      <c r="H4199" s="83"/>
      <c r="K4199" s="82"/>
      <c r="M4199" s="112"/>
      <c r="N4199" s="84"/>
    </row>
    <row r="4200" spans="1:14" s="2" customFormat="1">
      <c r="A4200" s="83"/>
      <c r="H4200" s="83"/>
      <c r="K4200" s="82"/>
      <c r="M4200" s="112"/>
      <c r="N4200" s="84"/>
    </row>
    <row r="4201" spans="1:14" s="2" customFormat="1">
      <c r="A4201" s="83"/>
      <c r="H4201" s="83"/>
      <c r="K4201" s="82"/>
      <c r="M4201" s="112"/>
      <c r="N4201" s="84"/>
    </row>
    <row r="4202" spans="1:14" s="2" customFormat="1">
      <c r="A4202" s="83"/>
      <c r="H4202" s="83"/>
      <c r="K4202" s="82"/>
      <c r="M4202" s="112"/>
      <c r="N4202" s="84"/>
    </row>
    <row r="4203" spans="1:14" s="2" customFormat="1">
      <c r="A4203" s="83"/>
      <c r="H4203" s="83"/>
      <c r="K4203" s="82"/>
      <c r="M4203" s="112"/>
      <c r="N4203" s="84"/>
    </row>
    <row r="4204" spans="1:14" s="2" customFormat="1">
      <c r="A4204" s="83"/>
      <c r="H4204" s="83"/>
      <c r="K4204" s="82"/>
      <c r="M4204" s="112"/>
      <c r="N4204" s="84"/>
    </row>
    <row r="4205" spans="1:14" s="2" customFormat="1">
      <c r="A4205" s="83"/>
      <c r="H4205" s="83"/>
      <c r="K4205" s="82"/>
      <c r="M4205" s="112"/>
      <c r="N4205" s="84"/>
    </row>
    <row r="4206" spans="1:14" s="2" customFormat="1">
      <c r="A4206" s="83"/>
      <c r="H4206" s="83"/>
      <c r="K4206" s="82"/>
      <c r="M4206" s="112"/>
      <c r="N4206" s="84"/>
    </row>
    <row r="4207" spans="1:14" s="2" customFormat="1">
      <c r="A4207" s="83"/>
      <c r="H4207" s="83"/>
      <c r="K4207" s="82"/>
      <c r="M4207" s="112"/>
      <c r="N4207" s="84"/>
    </row>
    <row r="4208" spans="1:14" s="2" customFormat="1">
      <c r="A4208" s="83"/>
      <c r="H4208" s="83"/>
      <c r="K4208" s="82"/>
      <c r="M4208" s="112"/>
      <c r="N4208" s="84"/>
    </row>
    <row r="4209" spans="1:14" s="2" customFormat="1">
      <c r="A4209" s="83"/>
      <c r="H4209" s="83"/>
      <c r="K4209" s="82"/>
      <c r="M4209" s="112"/>
      <c r="N4209" s="84"/>
    </row>
    <row r="4210" spans="1:14" s="2" customFormat="1">
      <c r="A4210" s="83"/>
      <c r="H4210" s="83"/>
      <c r="K4210" s="82"/>
      <c r="M4210" s="112"/>
      <c r="N4210" s="84"/>
    </row>
    <row r="4211" spans="1:14" s="2" customFormat="1">
      <c r="A4211" s="83"/>
      <c r="H4211" s="83"/>
      <c r="K4211" s="82"/>
      <c r="M4211" s="112"/>
      <c r="N4211" s="84"/>
    </row>
    <row r="4212" spans="1:14" s="2" customFormat="1">
      <c r="A4212" s="83"/>
      <c r="H4212" s="83"/>
      <c r="K4212" s="82"/>
      <c r="M4212" s="112"/>
      <c r="N4212" s="84"/>
    </row>
    <row r="4213" spans="1:14" s="2" customFormat="1">
      <c r="A4213" s="83"/>
      <c r="H4213" s="83"/>
      <c r="K4213" s="82"/>
      <c r="M4213" s="112"/>
      <c r="N4213" s="84"/>
    </row>
    <row r="4214" spans="1:14" s="2" customFormat="1">
      <c r="A4214" s="83"/>
      <c r="H4214" s="83"/>
      <c r="K4214" s="82"/>
      <c r="M4214" s="112"/>
      <c r="N4214" s="84"/>
    </row>
    <row r="4215" spans="1:14" s="2" customFormat="1">
      <c r="A4215" s="83"/>
      <c r="H4215" s="83"/>
      <c r="K4215" s="82"/>
      <c r="M4215" s="112"/>
      <c r="N4215" s="84"/>
    </row>
    <row r="4216" spans="1:14" s="2" customFormat="1">
      <c r="A4216" s="83"/>
      <c r="H4216" s="83"/>
      <c r="K4216" s="82"/>
      <c r="M4216" s="112"/>
      <c r="N4216" s="84"/>
    </row>
    <row r="4217" spans="1:14" s="2" customFormat="1">
      <c r="A4217" s="83"/>
      <c r="H4217" s="83"/>
      <c r="K4217" s="82"/>
      <c r="M4217" s="112"/>
      <c r="N4217" s="84"/>
    </row>
    <row r="4218" spans="1:14" s="2" customFormat="1">
      <c r="A4218" s="83"/>
      <c r="H4218" s="83"/>
      <c r="K4218" s="82"/>
      <c r="M4218" s="112"/>
      <c r="N4218" s="84"/>
    </row>
    <row r="4219" spans="1:14" s="2" customFormat="1">
      <c r="A4219" s="83"/>
      <c r="H4219" s="83"/>
      <c r="K4219" s="82"/>
      <c r="M4219" s="112"/>
      <c r="N4219" s="84"/>
    </row>
    <row r="4220" spans="1:14" s="2" customFormat="1">
      <c r="A4220" s="83"/>
      <c r="H4220" s="83"/>
      <c r="K4220" s="82"/>
      <c r="M4220" s="112"/>
      <c r="N4220" s="84"/>
    </row>
    <row r="4221" spans="1:14" s="2" customFormat="1">
      <c r="A4221" s="83"/>
      <c r="H4221" s="83"/>
      <c r="K4221" s="82"/>
      <c r="M4221" s="112"/>
      <c r="N4221" s="84"/>
    </row>
    <row r="4222" spans="1:14" s="2" customFormat="1">
      <c r="A4222" s="83"/>
      <c r="H4222" s="83"/>
      <c r="K4222" s="82"/>
      <c r="M4222" s="112"/>
      <c r="N4222" s="84"/>
    </row>
    <row r="4223" spans="1:14" s="2" customFormat="1">
      <c r="A4223" s="83"/>
      <c r="H4223" s="83"/>
      <c r="K4223" s="82"/>
      <c r="M4223" s="112"/>
      <c r="N4223" s="84"/>
    </row>
    <row r="4224" spans="1:14" s="2" customFormat="1">
      <c r="A4224" s="83"/>
      <c r="H4224" s="83"/>
      <c r="K4224" s="82"/>
      <c r="M4224" s="112"/>
      <c r="N4224" s="84"/>
    </row>
    <row r="4225" spans="1:14" s="2" customFormat="1">
      <c r="A4225" s="83"/>
      <c r="H4225" s="83"/>
      <c r="K4225" s="82"/>
      <c r="M4225" s="112"/>
      <c r="N4225" s="84"/>
    </row>
    <row r="4226" spans="1:14" s="2" customFormat="1">
      <c r="A4226" s="83"/>
      <c r="H4226" s="83"/>
      <c r="K4226" s="82"/>
      <c r="M4226" s="112"/>
      <c r="N4226" s="84"/>
    </row>
    <row r="4227" spans="1:14" s="2" customFormat="1">
      <c r="A4227" s="83"/>
      <c r="H4227" s="83"/>
      <c r="K4227" s="82"/>
      <c r="M4227" s="112"/>
      <c r="N4227" s="84"/>
    </row>
    <row r="4228" spans="1:14" s="2" customFormat="1">
      <c r="A4228" s="83"/>
      <c r="H4228" s="83"/>
      <c r="K4228" s="82"/>
      <c r="M4228" s="112"/>
      <c r="N4228" s="84"/>
    </row>
    <row r="4229" spans="1:14" s="2" customFormat="1">
      <c r="A4229" s="83"/>
      <c r="H4229" s="83"/>
      <c r="K4229" s="82"/>
      <c r="M4229" s="112"/>
      <c r="N4229" s="84"/>
    </row>
    <row r="4230" spans="1:14" s="2" customFormat="1">
      <c r="A4230" s="83"/>
      <c r="H4230" s="83"/>
      <c r="K4230" s="82"/>
      <c r="M4230" s="112"/>
      <c r="N4230" s="84"/>
    </row>
    <row r="4231" spans="1:14" s="2" customFormat="1">
      <c r="A4231" s="83"/>
      <c r="H4231" s="83"/>
      <c r="K4231" s="82"/>
      <c r="M4231" s="112"/>
      <c r="N4231" s="84"/>
    </row>
    <row r="4232" spans="1:14" s="2" customFormat="1">
      <c r="A4232" s="83"/>
      <c r="H4232" s="83"/>
      <c r="K4232" s="82"/>
      <c r="M4232" s="112"/>
      <c r="N4232" s="84"/>
    </row>
    <row r="4233" spans="1:14" s="2" customFormat="1">
      <c r="A4233" s="83"/>
      <c r="H4233" s="83"/>
      <c r="K4233" s="82"/>
      <c r="M4233" s="112"/>
      <c r="N4233" s="84"/>
    </row>
    <row r="4234" spans="1:14" s="2" customFormat="1">
      <c r="A4234" s="83"/>
      <c r="H4234" s="83"/>
      <c r="K4234" s="82"/>
      <c r="M4234" s="112"/>
      <c r="N4234" s="84"/>
    </row>
    <row r="4235" spans="1:14" s="2" customFormat="1">
      <c r="A4235" s="83"/>
      <c r="H4235" s="83"/>
      <c r="K4235" s="82"/>
      <c r="M4235" s="112"/>
      <c r="N4235" s="84"/>
    </row>
    <row r="4236" spans="1:14" s="2" customFormat="1">
      <c r="A4236" s="83"/>
      <c r="H4236" s="83"/>
      <c r="K4236" s="82"/>
      <c r="M4236" s="112"/>
      <c r="N4236" s="84"/>
    </row>
    <row r="4237" spans="1:14" s="2" customFormat="1">
      <c r="A4237" s="83"/>
      <c r="H4237" s="83"/>
      <c r="K4237" s="82"/>
      <c r="M4237" s="112"/>
      <c r="N4237" s="84"/>
    </row>
    <row r="4238" spans="1:14" s="2" customFormat="1">
      <c r="A4238" s="83"/>
      <c r="H4238" s="83"/>
      <c r="K4238" s="82"/>
      <c r="M4238" s="112"/>
      <c r="N4238" s="84"/>
    </row>
    <row r="4239" spans="1:14" s="2" customFormat="1">
      <c r="A4239" s="83"/>
      <c r="H4239" s="83"/>
      <c r="K4239" s="82"/>
      <c r="M4239" s="112"/>
      <c r="N4239" s="84"/>
    </row>
    <row r="4240" spans="1:14" s="2" customFormat="1">
      <c r="A4240" s="83"/>
      <c r="H4240" s="83"/>
      <c r="K4240" s="82"/>
      <c r="M4240" s="112"/>
      <c r="N4240" s="84"/>
    </row>
    <row r="4241" spans="1:14" s="2" customFormat="1">
      <c r="A4241" s="83"/>
      <c r="H4241" s="83"/>
      <c r="K4241" s="82"/>
      <c r="M4241" s="112"/>
      <c r="N4241" s="84"/>
    </row>
    <row r="4242" spans="1:14" s="2" customFormat="1">
      <c r="A4242" s="83"/>
      <c r="H4242" s="83"/>
      <c r="K4242" s="82"/>
      <c r="M4242" s="112"/>
      <c r="N4242" s="84"/>
    </row>
    <row r="4243" spans="1:14" s="2" customFormat="1">
      <c r="A4243" s="83"/>
      <c r="H4243" s="83"/>
      <c r="K4243" s="82"/>
      <c r="M4243" s="112"/>
      <c r="N4243" s="84"/>
    </row>
    <row r="4244" spans="1:14" s="2" customFormat="1">
      <c r="A4244" s="83"/>
      <c r="H4244" s="83"/>
      <c r="K4244" s="82"/>
      <c r="M4244" s="112"/>
      <c r="N4244" s="84"/>
    </row>
    <row r="4245" spans="1:14" s="2" customFormat="1">
      <c r="A4245" s="83"/>
      <c r="H4245" s="83"/>
      <c r="K4245" s="82"/>
      <c r="M4245" s="112"/>
      <c r="N4245" s="84"/>
    </row>
    <row r="4246" spans="1:14" s="2" customFormat="1">
      <c r="A4246" s="83"/>
      <c r="H4246" s="83"/>
      <c r="K4246" s="82"/>
      <c r="M4246" s="112"/>
      <c r="N4246" s="84"/>
    </row>
    <row r="4247" spans="1:14" s="2" customFormat="1">
      <c r="A4247" s="83"/>
      <c r="H4247" s="83"/>
      <c r="K4247" s="82"/>
      <c r="M4247" s="112"/>
      <c r="N4247" s="84"/>
    </row>
    <row r="4248" spans="1:14" s="2" customFormat="1">
      <c r="A4248" s="83"/>
      <c r="H4248" s="83"/>
      <c r="K4248" s="82"/>
      <c r="M4248" s="112"/>
      <c r="N4248" s="84"/>
    </row>
    <row r="4249" spans="1:14" s="2" customFormat="1">
      <c r="A4249" s="83"/>
      <c r="H4249" s="83"/>
      <c r="K4249" s="82"/>
      <c r="M4249" s="112"/>
      <c r="N4249" s="84"/>
    </row>
    <row r="4250" spans="1:14" s="2" customFormat="1">
      <c r="A4250" s="83"/>
      <c r="H4250" s="83"/>
      <c r="K4250" s="82"/>
      <c r="M4250" s="112"/>
      <c r="N4250" s="84"/>
    </row>
    <row r="4251" spans="1:14" s="2" customFormat="1">
      <c r="A4251" s="83"/>
      <c r="H4251" s="83"/>
      <c r="K4251" s="82"/>
      <c r="M4251" s="112"/>
      <c r="N4251" s="84"/>
    </row>
    <row r="4252" spans="1:14" s="2" customFormat="1">
      <c r="A4252" s="83"/>
      <c r="H4252" s="83"/>
      <c r="K4252" s="82"/>
      <c r="M4252" s="112"/>
      <c r="N4252" s="84"/>
    </row>
    <row r="4253" spans="1:14" s="2" customFormat="1">
      <c r="A4253" s="83"/>
      <c r="H4253" s="83"/>
      <c r="K4253" s="82"/>
      <c r="M4253" s="112"/>
      <c r="N4253" s="84"/>
    </row>
    <row r="4254" spans="1:14" s="2" customFormat="1">
      <c r="A4254" s="83"/>
      <c r="H4254" s="83"/>
      <c r="K4254" s="82"/>
      <c r="M4254" s="112"/>
      <c r="N4254" s="84"/>
    </row>
    <row r="4255" spans="1:14" s="2" customFormat="1">
      <c r="A4255" s="83"/>
      <c r="H4255" s="83"/>
      <c r="K4255" s="82"/>
      <c r="M4255" s="112"/>
      <c r="N4255" s="84"/>
    </row>
    <row r="4256" spans="1:14" s="2" customFormat="1">
      <c r="A4256" s="83"/>
      <c r="H4256" s="83"/>
      <c r="K4256" s="82"/>
      <c r="M4256" s="112"/>
      <c r="N4256" s="84"/>
    </row>
    <row r="4257" spans="1:14" s="2" customFormat="1">
      <c r="A4257" s="83"/>
      <c r="H4257" s="83"/>
      <c r="K4257" s="82"/>
      <c r="M4257" s="112"/>
      <c r="N4257" s="84"/>
    </row>
    <row r="4258" spans="1:14" s="2" customFormat="1">
      <c r="A4258" s="83"/>
      <c r="H4258" s="83"/>
      <c r="K4258" s="82"/>
      <c r="M4258" s="112"/>
      <c r="N4258" s="84"/>
    </row>
    <row r="4259" spans="1:14" s="2" customFormat="1">
      <c r="A4259" s="83"/>
      <c r="H4259" s="83"/>
      <c r="K4259" s="82"/>
      <c r="M4259" s="112"/>
      <c r="N4259" s="84"/>
    </row>
    <row r="4260" spans="1:14" s="2" customFormat="1">
      <c r="A4260" s="83"/>
      <c r="H4260" s="83"/>
      <c r="K4260" s="82"/>
      <c r="M4260" s="112"/>
      <c r="N4260" s="84"/>
    </row>
    <row r="4261" spans="1:14" s="2" customFormat="1">
      <c r="A4261" s="83"/>
      <c r="H4261" s="83"/>
      <c r="K4261" s="82"/>
      <c r="M4261" s="112"/>
      <c r="N4261" s="84"/>
    </row>
    <row r="4262" spans="1:14" s="2" customFormat="1">
      <c r="A4262" s="83"/>
      <c r="H4262" s="83"/>
      <c r="K4262" s="82"/>
      <c r="M4262" s="112"/>
      <c r="N4262" s="84"/>
    </row>
    <row r="4263" spans="1:14" s="2" customFormat="1">
      <c r="A4263" s="83"/>
      <c r="H4263" s="83"/>
      <c r="K4263" s="82"/>
      <c r="M4263" s="112"/>
      <c r="N4263" s="84"/>
    </row>
    <row r="4264" spans="1:14" s="2" customFormat="1">
      <c r="A4264" s="83"/>
      <c r="H4264" s="83"/>
      <c r="K4264" s="82"/>
      <c r="M4264" s="112"/>
      <c r="N4264" s="84"/>
    </row>
    <row r="4265" spans="1:14" s="2" customFormat="1">
      <c r="A4265" s="83"/>
      <c r="H4265" s="83"/>
      <c r="K4265" s="82"/>
      <c r="M4265" s="112"/>
      <c r="N4265" s="84"/>
    </row>
    <row r="4266" spans="1:14" s="2" customFormat="1">
      <c r="A4266" s="83"/>
      <c r="H4266" s="83"/>
      <c r="K4266" s="82"/>
      <c r="M4266" s="112"/>
      <c r="N4266" s="84"/>
    </row>
    <row r="4267" spans="1:14" s="2" customFormat="1">
      <c r="A4267" s="83"/>
      <c r="H4267" s="83"/>
      <c r="K4267" s="82"/>
      <c r="M4267" s="112"/>
      <c r="N4267" s="84"/>
    </row>
    <row r="4268" spans="1:14" s="2" customFormat="1">
      <c r="A4268" s="83"/>
      <c r="H4268" s="83"/>
      <c r="K4268" s="82"/>
      <c r="M4268" s="112"/>
      <c r="N4268" s="84"/>
    </row>
    <row r="4269" spans="1:14" s="2" customFormat="1">
      <c r="A4269" s="83"/>
      <c r="H4269" s="83"/>
      <c r="K4269" s="82"/>
      <c r="M4269" s="112"/>
      <c r="N4269" s="84"/>
    </row>
    <row r="4270" spans="1:14" s="2" customFormat="1">
      <c r="A4270" s="83"/>
      <c r="H4270" s="83"/>
      <c r="K4270" s="82"/>
      <c r="M4270" s="112"/>
      <c r="N4270" s="84"/>
    </row>
    <row r="4271" spans="1:14" s="2" customFormat="1">
      <c r="A4271" s="83"/>
      <c r="H4271" s="83"/>
      <c r="K4271" s="82"/>
      <c r="M4271" s="112"/>
      <c r="N4271" s="84"/>
    </row>
    <row r="4272" spans="1:14" s="2" customFormat="1">
      <c r="A4272" s="83"/>
      <c r="H4272" s="83"/>
      <c r="K4272" s="82"/>
      <c r="M4272" s="112"/>
      <c r="N4272" s="84"/>
    </row>
    <row r="4273" spans="1:14" s="2" customFormat="1">
      <c r="A4273" s="83"/>
      <c r="H4273" s="83"/>
      <c r="K4273" s="82"/>
      <c r="M4273" s="112"/>
      <c r="N4273" s="84"/>
    </row>
    <row r="4274" spans="1:14" s="2" customFormat="1">
      <c r="A4274" s="83"/>
      <c r="H4274" s="83"/>
      <c r="K4274" s="82"/>
      <c r="M4274" s="112"/>
      <c r="N4274" s="84"/>
    </row>
    <row r="4275" spans="1:14" s="2" customFormat="1">
      <c r="A4275" s="83"/>
      <c r="H4275" s="83"/>
      <c r="K4275" s="82"/>
      <c r="M4275" s="112"/>
      <c r="N4275" s="84"/>
    </row>
    <row r="4276" spans="1:14" s="2" customFormat="1">
      <c r="A4276" s="83"/>
      <c r="H4276" s="83"/>
      <c r="K4276" s="82"/>
      <c r="M4276" s="112"/>
      <c r="N4276" s="84"/>
    </row>
    <row r="4277" spans="1:14" s="2" customFormat="1">
      <c r="A4277" s="83"/>
      <c r="H4277" s="83"/>
      <c r="K4277" s="82"/>
      <c r="M4277" s="112"/>
      <c r="N4277" s="84"/>
    </row>
    <row r="4278" spans="1:14" s="2" customFormat="1">
      <c r="A4278" s="83"/>
      <c r="H4278" s="83"/>
      <c r="K4278" s="82"/>
      <c r="M4278" s="112"/>
      <c r="N4278" s="84"/>
    </row>
    <row r="4279" spans="1:14" s="2" customFormat="1">
      <c r="A4279" s="83"/>
      <c r="H4279" s="83"/>
      <c r="K4279" s="82"/>
      <c r="M4279" s="112"/>
      <c r="N4279" s="84"/>
    </row>
    <row r="4280" spans="1:14" s="2" customFormat="1">
      <c r="A4280" s="83"/>
      <c r="H4280" s="83"/>
      <c r="K4280" s="82"/>
      <c r="M4280" s="112"/>
      <c r="N4280" s="84"/>
    </row>
    <row r="4281" spans="1:14" s="2" customFormat="1">
      <c r="A4281" s="83"/>
      <c r="H4281" s="83"/>
      <c r="K4281" s="82"/>
      <c r="M4281" s="112"/>
      <c r="N4281" s="84"/>
    </row>
    <row r="4282" spans="1:14" s="2" customFormat="1">
      <c r="A4282" s="83"/>
      <c r="H4282" s="83"/>
      <c r="K4282" s="82"/>
      <c r="M4282" s="112"/>
      <c r="N4282" s="84"/>
    </row>
    <row r="4283" spans="1:14" s="2" customFormat="1">
      <c r="A4283" s="83"/>
      <c r="H4283" s="83"/>
      <c r="K4283" s="82"/>
      <c r="M4283" s="112"/>
      <c r="N4283" s="84"/>
    </row>
    <row r="4284" spans="1:14" s="2" customFormat="1">
      <c r="A4284" s="83"/>
      <c r="H4284" s="83"/>
      <c r="K4284" s="82"/>
      <c r="M4284" s="112"/>
      <c r="N4284" s="84"/>
    </row>
    <row r="4285" spans="1:14" s="2" customFormat="1">
      <c r="A4285" s="83"/>
      <c r="H4285" s="83"/>
      <c r="K4285" s="82"/>
      <c r="M4285" s="112"/>
      <c r="N4285" s="84"/>
    </row>
    <row r="4286" spans="1:14" s="2" customFormat="1">
      <c r="A4286" s="83"/>
      <c r="H4286" s="83"/>
      <c r="K4286" s="82"/>
      <c r="M4286" s="112"/>
      <c r="N4286" s="84"/>
    </row>
    <row r="4287" spans="1:14" s="2" customFormat="1">
      <c r="A4287" s="83"/>
      <c r="H4287" s="83"/>
      <c r="K4287" s="82"/>
      <c r="M4287" s="112"/>
      <c r="N4287" s="84"/>
    </row>
    <row r="4288" spans="1:14" s="2" customFormat="1">
      <c r="A4288" s="83"/>
      <c r="H4288" s="83"/>
      <c r="K4288" s="82"/>
      <c r="M4288" s="112"/>
      <c r="N4288" s="84"/>
    </row>
    <row r="4289" spans="1:14" s="2" customFormat="1">
      <c r="A4289" s="83"/>
      <c r="H4289" s="83"/>
      <c r="K4289" s="82"/>
      <c r="M4289" s="112"/>
      <c r="N4289" s="84"/>
    </row>
    <row r="4290" spans="1:14" s="2" customFormat="1">
      <c r="A4290" s="83"/>
      <c r="H4290" s="83"/>
      <c r="K4290" s="82"/>
      <c r="M4290" s="112"/>
      <c r="N4290" s="84"/>
    </row>
    <row r="4291" spans="1:14" s="2" customFormat="1">
      <c r="A4291" s="83"/>
      <c r="H4291" s="83"/>
      <c r="K4291" s="82"/>
      <c r="M4291" s="112"/>
      <c r="N4291" s="84"/>
    </row>
    <row r="4292" spans="1:14" s="2" customFormat="1">
      <c r="A4292" s="83"/>
      <c r="H4292" s="83"/>
      <c r="K4292" s="82"/>
      <c r="M4292" s="112"/>
      <c r="N4292" s="84"/>
    </row>
    <row r="4293" spans="1:14" s="2" customFormat="1">
      <c r="A4293" s="83"/>
      <c r="H4293" s="83"/>
      <c r="K4293" s="82"/>
      <c r="M4293" s="112"/>
      <c r="N4293" s="84"/>
    </row>
    <row r="4294" spans="1:14" s="2" customFormat="1">
      <c r="A4294" s="83"/>
      <c r="H4294" s="83"/>
      <c r="K4294" s="82"/>
      <c r="M4294" s="112"/>
      <c r="N4294" s="84"/>
    </row>
    <row r="4295" spans="1:14" s="2" customFormat="1">
      <c r="A4295" s="83"/>
      <c r="H4295" s="83"/>
      <c r="K4295" s="82"/>
      <c r="M4295" s="112"/>
      <c r="N4295" s="84"/>
    </row>
    <row r="4296" spans="1:14" s="2" customFormat="1">
      <c r="A4296" s="83"/>
      <c r="H4296" s="83"/>
      <c r="K4296" s="82"/>
      <c r="M4296" s="112"/>
      <c r="N4296" s="84"/>
    </row>
    <row r="4297" spans="1:14" s="2" customFormat="1">
      <c r="A4297" s="83"/>
      <c r="H4297" s="83"/>
      <c r="K4297" s="82"/>
      <c r="M4297" s="112"/>
      <c r="N4297" s="84"/>
    </row>
    <row r="4298" spans="1:14" s="2" customFormat="1">
      <c r="A4298" s="83"/>
      <c r="H4298" s="83"/>
      <c r="K4298" s="82"/>
      <c r="M4298" s="112"/>
      <c r="N4298" s="84"/>
    </row>
    <row r="4299" spans="1:14" s="2" customFormat="1">
      <c r="A4299" s="83"/>
      <c r="H4299" s="83"/>
      <c r="K4299" s="82"/>
      <c r="M4299" s="112"/>
      <c r="N4299" s="84"/>
    </row>
    <row r="4300" spans="1:14" s="2" customFormat="1">
      <c r="A4300" s="83"/>
      <c r="H4300" s="83"/>
      <c r="K4300" s="82"/>
      <c r="M4300" s="112"/>
      <c r="N4300" s="84"/>
    </row>
    <row r="4301" spans="1:14" s="2" customFormat="1">
      <c r="A4301" s="83"/>
      <c r="H4301" s="83"/>
      <c r="K4301" s="82"/>
      <c r="M4301" s="112"/>
      <c r="N4301" s="84"/>
    </row>
    <row r="4302" spans="1:14" s="2" customFormat="1">
      <c r="A4302" s="83"/>
      <c r="H4302" s="83"/>
      <c r="K4302" s="82"/>
      <c r="M4302" s="112"/>
      <c r="N4302" s="84"/>
    </row>
    <row r="4303" spans="1:14" s="2" customFormat="1">
      <c r="A4303" s="83"/>
      <c r="H4303" s="83"/>
      <c r="K4303" s="82"/>
      <c r="M4303" s="112"/>
      <c r="N4303" s="84"/>
    </row>
    <row r="4304" spans="1:14" s="2" customFormat="1">
      <c r="A4304" s="83"/>
      <c r="H4304" s="83"/>
      <c r="K4304" s="82"/>
      <c r="M4304" s="112"/>
      <c r="N4304" s="84"/>
    </row>
    <row r="4305" spans="1:14" s="2" customFormat="1">
      <c r="A4305" s="83"/>
      <c r="H4305" s="83"/>
      <c r="K4305" s="82"/>
      <c r="M4305" s="112"/>
      <c r="N4305" s="84"/>
    </row>
    <row r="4306" spans="1:14" s="2" customFormat="1">
      <c r="A4306" s="83"/>
      <c r="H4306" s="83"/>
      <c r="K4306" s="82"/>
      <c r="M4306" s="112"/>
      <c r="N4306" s="84"/>
    </row>
    <row r="4307" spans="1:14" s="2" customFormat="1">
      <c r="A4307" s="83"/>
      <c r="H4307" s="83"/>
      <c r="K4307" s="82"/>
      <c r="M4307" s="112"/>
      <c r="N4307" s="84"/>
    </row>
    <row r="4308" spans="1:14" s="2" customFormat="1">
      <c r="A4308" s="83"/>
      <c r="H4308" s="83"/>
      <c r="K4308" s="82"/>
      <c r="M4308" s="112"/>
      <c r="N4308" s="84"/>
    </row>
    <row r="4309" spans="1:14" s="2" customFormat="1">
      <c r="A4309" s="83"/>
      <c r="H4309" s="83"/>
      <c r="K4309" s="82"/>
      <c r="M4309" s="112"/>
      <c r="N4309" s="84"/>
    </row>
    <row r="4310" spans="1:14" s="2" customFormat="1">
      <c r="A4310" s="83"/>
      <c r="H4310" s="83"/>
      <c r="K4310" s="82"/>
      <c r="M4310" s="112"/>
      <c r="N4310" s="84"/>
    </row>
    <row r="4311" spans="1:14" s="2" customFormat="1">
      <c r="A4311" s="83"/>
      <c r="H4311" s="83"/>
      <c r="K4311" s="82"/>
      <c r="M4311" s="112"/>
      <c r="N4311" s="84"/>
    </row>
    <row r="4312" spans="1:14" s="2" customFormat="1">
      <c r="A4312" s="83"/>
      <c r="H4312" s="83"/>
      <c r="K4312" s="82"/>
      <c r="M4312" s="112"/>
      <c r="N4312" s="84"/>
    </row>
    <row r="4313" spans="1:14" s="2" customFormat="1">
      <c r="A4313" s="83"/>
      <c r="H4313" s="83"/>
      <c r="K4313" s="82"/>
      <c r="M4313" s="112"/>
      <c r="N4313" s="84"/>
    </row>
    <row r="4314" spans="1:14" s="2" customFormat="1">
      <c r="A4314" s="83"/>
      <c r="H4314" s="83"/>
      <c r="K4314" s="82"/>
      <c r="M4314" s="112"/>
      <c r="N4314" s="84"/>
    </row>
    <row r="4315" spans="1:14" s="2" customFormat="1">
      <c r="A4315" s="83"/>
      <c r="H4315" s="83"/>
      <c r="K4315" s="82"/>
      <c r="M4315" s="112"/>
      <c r="N4315" s="84"/>
    </row>
    <row r="4316" spans="1:14" s="2" customFormat="1">
      <c r="A4316" s="83"/>
      <c r="H4316" s="83"/>
      <c r="K4316" s="82"/>
      <c r="M4316" s="112"/>
      <c r="N4316" s="84"/>
    </row>
    <row r="4317" spans="1:14" s="2" customFormat="1">
      <c r="A4317" s="83"/>
      <c r="H4317" s="83"/>
      <c r="K4317" s="82"/>
      <c r="M4317" s="112"/>
      <c r="N4317" s="84"/>
    </row>
    <row r="4318" spans="1:14" s="2" customFormat="1">
      <c r="A4318" s="83"/>
      <c r="H4318" s="83"/>
      <c r="K4318" s="82"/>
      <c r="M4318" s="112"/>
      <c r="N4318" s="84"/>
    </row>
    <row r="4319" spans="1:14" s="2" customFormat="1">
      <c r="A4319" s="83"/>
      <c r="H4319" s="83"/>
      <c r="K4319" s="82"/>
      <c r="M4319" s="112"/>
      <c r="N4319" s="84"/>
    </row>
    <row r="4320" spans="1:14" s="2" customFormat="1">
      <c r="A4320" s="83"/>
      <c r="H4320" s="83"/>
      <c r="K4320" s="82"/>
      <c r="M4320" s="112"/>
      <c r="N4320" s="84"/>
    </row>
    <row r="4321" spans="1:14" s="2" customFormat="1">
      <c r="A4321" s="83"/>
      <c r="H4321" s="83"/>
      <c r="K4321" s="82"/>
      <c r="M4321" s="112"/>
      <c r="N4321" s="84"/>
    </row>
    <row r="4322" spans="1:14" s="2" customFormat="1">
      <c r="A4322" s="83"/>
      <c r="H4322" s="83"/>
      <c r="K4322" s="82"/>
      <c r="M4322" s="112"/>
      <c r="N4322" s="84"/>
    </row>
    <row r="4323" spans="1:14" s="2" customFormat="1">
      <c r="A4323" s="83"/>
      <c r="H4323" s="83"/>
      <c r="K4323" s="82"/>
      <c r="M4323" s="112"/>
      <c r="N4323" s="84"/>
    </row>
    <row r="4324" spans="1:14" s="2" customFormat="1">
      <c r="A4324" s="83"/>
      <c r="H4324" s="83"/>
      <c r="K4324" s="82"/>
      <c r="M4324" s="112"/>
      <c r="N4324" s="84"/>
    </row>
    <row r="4325" spans="1:14" s="2" customFormat="1">
      <c r="A4325" s="83"/>
      <c r="H4325" s="83"/>
      <c r="K4325" s="82"/>
      <c r="M4325" s="112"/>
      <c r="N4325" s="84"/>
    </row>
    <row r="4326" spans="1:14" s="2" customFormat="1">
      <c r="A4326" s="83"/>
      <c r="H4326" s="83"/>
      <c r="K4326" s="82"/>
      <c r="M4326" s="112"/>
      <c r="N4326" s="84"/>
    </row>
    <row r="4327" spans="1:14" s="2" customFormat="1">
      <c r="A4327" s="83"/>
      <c r="H4327" s="83"/>
      <c r="K4327" s="82"/>
      <c r="M4327" s="112"/>
      <c r="N4327" s="84"/>
    </row>
    <row r="4328" spans="1:14" s="2" customFormat="1">
      <c r="A4328" s="83"/>
      <c r="H4328" s="83"/>
      <c r="K4328" s="82"/>
      <c r="M4328" s="112"/>
      <c r="N4328" s="84"/>
    </row>
    <row r="4329" spans="1:14" s="2" customFormat="1">
      <c r="A4329" s="83"/>
      <c r="H4329" s="83"/>
      <c r="K4329" s="82"/>
      <c r="M4329" s="112"/>
      <c r="N4329" s="84"/>
    </row>
    <row r="4330" spans="1:14" s="2" customFormat="1">
      <c r="A4330" s="83"/>
      <c r="H4330" s="83"/>
      <c r="K4330" s="82"/>
      <c r="M4330" s="112"/>
      <c r="N4330" s="84"/>
    </row>
    <row r="4331" spans="1:14" s="2" customFormat="1">
      <c r="A4331" s="83"/>
      <c r="H4331" s="83"/>
      <c r="K4331" s="82"/>
      <c r="M4331" s="112"/>
      <c r="N4331" s="84"/>
    </row>
    <row r="4332" spans="1:14" s="2" customFormat="1">
      <c r="A4332" s="83"/>
      <c r="H4332" s="83"/>
      <c r="K4332" s="82"/>
      <c r="M4332" s="112"/>
      <c r="N4332" s="84"/>
    </row>
    <row r="4333" spans="1:14" s="2" customFormat="1">
      <c r="A4333" s="83"/>
      <c r="H4333" s="83"/>
      <c r="K4333" s="82"/>
      <c r="M4333" s="112"/>
      <c r="N4333" s="84"/>
    </row>
    <row r="4334" spans="1:14" s="2" customFormat="1">
      <c r="A4334" s="83"/>
      <c r="H4334" s="83"/>
      <c r="K4334" s="82"/>
      <c r="M4334" s="112"/>
      <c r="N4334" s="84"/>
    </row>
    <row r="4335" spans="1:14" s="2" customFormat="1">
      <c r="A4335" s="83"/>
      <c r="H4335" s="83"/>
      <c r="K4335" s="82"/>
      <c r="M4335" s="112"/>
      <c r="N4335" s="84"/>
    </row>
    <row r="4336" spans="1:14" s="2" customFormat="1">
      <c r="A4336" s="83"/>
      <c r="H4336" s="83"/>
      <c r="K4336" s="82"/>
      <c r="M4336" s="112"/>
      <c r="N4336" s="84"/>
    </row>
    <row r="4337" spans="1:14" s="2" customFormat="1">
      <c r="A4337" s="83"/>
      <c r="H4337" s="83"/>
      <c r="K4337" s="82"/>
      <c r="M4337" s="112"/>
      <c r="N4337" s="84"/>
    </row>
    <row r="4338" spans="1:14" s="2" customFormat="1">
      <c r="A4338" s="83"/>
      <c r="H4338" s="83"/>
      <c r="K4338" s="82"/>
      <c r="M4338" s="112"/>
      <c r="N4338" s="84"/>
    </row>
    <row r="4339" spans="1:14" s="2" customFormat="1">
      <c r="A4339" s="83"/>
      <c r="H4339" s="83"/>
      <c r="K4339" s="82"/>
      <c r="M4339" s="112"/>
      <c r="N4339" s="84"/>
    </row>
    <row r="4340" spans="1:14" s="2" customFormat="1">
      <c r="A4340" s="83"/>
      <c r="H4340" s="83"/>
      <c r="K4340" s="82"/>
      <c r="M4340" s="112"/>
      <c r="N4340" s="84"/>
    </row>
    <row r="4341" spans="1:14" s="2" customFormat="1">
      <c r="A4341" s="83"/>
      <c r="H4341" s="83"/>
      <c r="K4341" s="82"/>
      <c r="M4341" s="112"/>
      <c r="N4341" s="84"/>
    </row>
    <row r="4342" spans="1:14" s="2" customFormat="1">
      <c r="A4342" s="83"/>
      <c r="H4342" s="83"/>
      <c r="K4342" s="82"/>
      <c r="M4342" s="112"/>
      <c r="N4342" s="84"/>
    </row>
    <row r="4343" spans="1:14" s="2" customFormat="1">
      <c r="A4343" s="83"/>
      <c r="H4343" s="83"/>
      <c r="K4343" s="82"/>
      <c r="M4343" s="112"/>
      <c r="N4343" s="84"/>
    </row>
    <row r="4344" spans="1:14" s="2" customFormat="1">
      <c r="A4344" s="83"/>
      <c r="H4344" s="83"/>
      <c r="K4344" s="82"/>
      <c r="M4344" s="112"/>
      <c r="N4344" s="84"/>
    </row>
    <row r="4345" spans="1:14" s="2" customFormat="1">
      <c r="A4345" s="83"/>
      <c r="H4345" s="83"/>
      <c r="K4345" s="82"/>
      <c r="M4345" s="112"/>
      <c r="N4345" s="84"/>
    </row>
    <row r="4346" spans="1:14" s="2" customFormat="1">
      <c r="A4346" s="83"/>
      <c r="H4346" s="83"/>
      <c r="K4346" s="82"/>
      <c r="M4346" s="112"/>
      <c r="N4346" s="84"/>
    </row>
    <row r="4347" spans="1:14" s="2" customFormat="1">
      <c r="A4347" s="83"/>
      <c r="H4347" s="83"/>
      <c r="K4347" s="82"/>
      <c r="M4347" s="112"/>
      <c r="N4347" s="84"/>
    </row>
    <row r="4348" spans="1:14" s="2" customFormat="1">
      <c r="A4348" s="83"/>
      <c r="H4348" s="83"/>
      <c r="K4348" s="82"/>
      <c r="M4348" s="112"/>
      <c r="N4348" s="84"/>
    </row>
    <row r="4349" spans="1:14" s="2" customFormat="1">
      <c r="A4349" s="83"/>
      <c r="H4349" s="83"/>
      <c r="K4349" s="82"/>
      <c r="M4349" s="112"/>
      <c r="N4349" s="84"/>
    </row>
    <row r="4350" spans="1:14" s="2" customFormat="1">
      <c r="A4350" s="83"/>
      <c r="H4350" s="83"/>
      <c r="K4350" s="82"/>
      <c r="M4350" s="112"/>
      <c r="N4350" s="84"/>
    </row>
    <row r="4351" spans="1:14" s="2" customFormat="1">
      <c r="A4351" s="83"/>
      <c r="H4351" s="83"/>
      <c r="K4351" s="82"/>
      <c r="M4351" s="112"/>
      <c r="N4351" s="84"/>
    </row>
    <row r="4352" spans="1:14" s="2" customFormat="1">
      <c r="A4352" s="83"/>
      <c r="H4352" s="83"/>
      <c r="K4352" s="82"/>
      <c r="M4352" s="112"/>
      <c r="N4352" s="84"/>
    </row>
    <row r="4353" spans="1:14" s="2" customFormat="1">
      <c r="A4353" s="83"/>
      <c r="H4353" s="83"/>
      <c r="K4353" s="82"/>
      <c r="M4353" s="112"/>
      <c r="N4353" s="84"/>
    </row>
    <row r="4354" spans="1:14" s="2" customFormat="1">
      <c r="A4354" s="83"/>
      <c r="H4354" s="83"/>
      <c r="K4354" s="82"/>
      <c r="M4354" s="112"/>
      <c r="N4354" s="84"/>
    </row>
    <row r="4355" spans="1:14" s="2" customFormat="1">
      <c r="A4355" s="83"/>
      <c r="H4355" s="83"/>
      <c r="K4355" s="82"/>
      <c r="M4355" s="112"/>
      <c r="N4355" s="84"/>
    </row>
    <row r="4356" spans="1:14" s="2" customFormat="1">
      <c r="A4356" s="83"/>
      <c r="H4356" s="83"/>
      <c r="K4356" s="82"/>
      <c r="M4356" s="112"/>
      <c r="N4356" s="84"/>
    </row>
    <row r="4357" spans="1:14" s="2" customFormat="1">
      <c r="A4357" s="83"/>
      <c r="H4357" s="83"/>
      <c r="K4357" s="82"/>
      <c r="M4357" s="112"/>
      <c r="N4357" s="84"/>
    </row>
    <row r="4358" spans="1:14" s="2" customFormat="1">
      <c r="A4358" s="83"/>
      <c r="H4358" s="83"/>
      <c r="K4358" s="82"/>
      <c r="M4358" s="112"/>
      <c r="N4358" s="84"/>
    </row>
    <row r="4359" spans="1:14" s="2" customFormat="1">
      <c r="A4359" s="83"/>
      <c r="H4359" s="83"/>
      <c r="K4359" s="82"/>
      <c r="M4359" s="112"/>
      <c r="N4359" s="84"/>
    </row>
    <row r="4360" spans="1:14" s="2" customFormat="1">
      <c r="A4360" s="83"/>
      <c r="H4360" s="83"/>
      <c r="K4360" s="82"/>
      <c r="M4360" s="112"/>
      <c r="N4360" s="84"/>
    </row>
    <row r="4361" spans="1:14" s="2" customFormat="1">
      <c r="A4361" s="83"/>
      <c r="H4361" s="83"/>
      <c r="K4361" s="82"/>
      <c r="M4361" s="112"/>
      <c r="N4361" s="84"/>
    </row>
    <row r="4362" spans="1:14" s="2" customFormat="1">
      <c r="A4362" s="83"/>
      <c r="H4362" s="83"/>
      <c r="K4362" s="82"/>
      <c r="M4362" s="112"/>
      <c r="N4362" s="84"/>
    </row>
    <row r="4363" spans="1:14" s="2" customFormat="1">
      <c r="A4363" s="83"/>
      <c r="H4363" s="83"/>
      <c r="K4363" s="82"/>
      <c r="M4363" s="112"/>
      <c r="N4363" s="84"/>
    </row>
    <row r="4364" spans="1:14" s="2" customFormat="1">
      <c r="A4364" s="83"/>
      <c r="H4364" s="83"/>
      <c r="K4364" s="82"/>
      <c r="M4364" s="112"/>
      <c r="N4364" s="84"/>
    </row>
    <row r="4365" spans="1:14" s="2" customFormat="1">
      <c r="A4365" s="83"/>
      <c r="H4365" s="83"/>
      <c r="K4365" s="82"/>
      <c r="M4365" s="112"/>
      <c r="N4365" s="84"/>
    </row>
    <row r="4366" spans="1:14" s="2" customFormat="1">
      <c r="A4366" s="83"/>
      <c r="H4366" s="83"/>
      <c r="K4366" s="82"/>
      <c r="M4366" s="112"/>
      <c r="N4366" s="84"/>
    </row>
    <row r="4367" spans="1:14" s="2" customFormat="1">
      <c r="A4367" s="83"/>
      <c r="H4367" s="83"/>
      <c r="K4367" s="82"/>
      <c r="M4367" s="112"/>
      <c r="N4367" s="84"/>
    </row>
    <row r="4368" spans="1:14" s="2" customFormat="1">
      <c r="A4368" s="83"/>
      <c r="H4368" s="83"/>
      <c r="K4368" s="82"/>
      <c r="M4368" s="112"/>
      <c r="N4368" s="84"/>
    </row>
    <row r="4369" spans="1:14" s="2" customFormat="1">
      <c r="A4369" s="83"/>
      <c r="H4369" s="83"/>
      <c r="K4369" s="82"/>
      <c r="M4369" s="112"/>
      <c r="N4369" s="84"/>
    </row>
    <row r="4370" spans="1:14" s="2" customFormat="1">
      <c r="A4370" s="83"/>
      <c r="H4370" s="83"/>
      <c r="K4370" s="82"/>
      <c r="M4370" s="112"/>
      <c r="N4370" s="84"/>
    </row>
    <row r="4371" spans="1:14" s="2" customFormat="1">
      <c r="A4371" s="83"/>
      <c r="H4371" s="83"/>
      <c r="K4371" s="82"/>
      <c r="M4371" s="112"/>
      <c r="N4371" s="84"/>
    </row>
    <row r="4372" spans="1:14" s="2" customFormat="1">
      <c r="A4372" s="83"/>
      <c r="H4372" s="83"/>
      <c r="K4372" s="82"/>
      <c r="M4372" s="112"/>
      <c r="N4372" s="84"/>
    </row>
    <row r="4373" spans="1:14" s="2" customFormat="1">
      <c r="A4373" s="83"/>
      <c r="H4373" s="83"/>
      <c r="K4373" s="82"/>
      <c r="M4373" s="112"/>
      <c r="N4373" s="84"/>
    </row>
    <row r="4374" spans="1:14" s="2" customFormat="1">
      <c r="A4374" s="83"/>
      <c r="H4374" s="83"/>
      <c r="K4374" s="82"/>
      <c r="M4374" s="112"/>
      <c r="N4374" s="84"/>
    </row>
    <row r="4375" spans="1:14" s="2" customFormat="1">
      <c r="A4375" s="83"/>
      <c r="H4375" s="83"/>
      <c r="K4375" s="82"/>
      <c r="M4375" s="112"/>
      <c r="N4375" s="84"/>
    </row>
    <row r="4376" spans="1:14" s="2" customFormat="1">
      <c r="A4376" s="83"/>
      <c r="H4376" s="83"/>
      <c r="K4376" s="82"/>
      <c r="M4376" s="112"/>
      <c r="N4376" s="84"/>
    </row>
    <row r="4377" spans="1:14" s="2" customFormat="1">
      <c r="A4377" s="83"/>
      <c r="H4377" s="83"/>
      <c r="K4377" s="82"/>
      <c r="M4377" s="112"/>
      <c r="N4377" s="84"/>
    </row>
    <row r="4378" spans="1:14" s="2" customFormat="1">
      <c r="A4378" s="83"/>
      <c r="H4378" s="83"/>
      <c r="K4378" s="82"/>
      <c r="M4378" s="112"/>
      <c r="N4378" s="84"/>
    </row>
    <row r="4379" spans="1:14" s="2" customFormat="1">
      <c r="A4379" s="83"/>
      <c r="H4379" s="83"/>
      <c r="K4379" s="82"/>
      <c r="M4379" s="112"/>
      <c r="N4379" s="84"/>
    </row>
    <row r="4380" spans="1:14" s="2" customFormat="1">
      <c r="A4380" s="83"/>
      <c r="H4380" s="83"/>
      <c r="K4380" s="82"/>
      <c r="M4380" s="112"/>
      <c r="N4380" s="84"/>
    </row>
    <row r="4381" spans="1:14" s="2" customFormat="1">
      <c r="A4381" s="83"/>
      <c r="H4381" s="83"/>
      <c r="K4381" s="82"/>
      <c r="M4381" s="112"/>
      <c r="N4381" s="84"/>
    </row>
    <row r="4382" spans="1:14" s="2" customFormat="1">
      <c r="A4382" s="83"/>
      <c r="H4382" s="83"/>
      <c r="K4382" s="82"/>
      <c r="M4382" s="112"/>
      <c r="N4382" s="84"/>
    </row>
    <row r="4383" spans="1:14" s="2" customFormat="1">
      <c r="A4383" s="83"/>
      <c r="H4383" s="83"/>
      <c r="K4383" s="82"/>
      <c r="M4383" s="112"/>
      <c r="N4383" s="84"/>
    </row>
    <row r="4384" spans="1:14" s="2" customFormat="1">
      <c r="A4384" s="83"/>
      <c r="H4384" s="83"/>
      <c r="K4384" s="82"/>
      <c r="M4384" s="112"/>
      <c r="N4384" s="84"/>
    </row>
    <row r="4385" spans="1:14" s="2" customFormat="1">
      <c r="A4385" s="83"/>
      <c r="H4385" s="83"/>
      <c r="K4385" s="82"/>
      <c r="M4385" s="112"/>
      <c r="N4385" s="84"/>
    </row>
    <row r="4386" spans="1:14" s="2" customFormat="1">
      <c r="A4386" s="83"/>
      <c r="H4386" s="83"/>
      <c r="K4386" s="82"/>
      <c r="M4386" s="112"/>
      <c r="N4386" s="84"/>
    </row>
    <row r="4387" spans="1:14" s="2" customFormat="1">
      <c r="A4387" s="83"/>
      <c r="H4387" s="83"/>
      <c r="K4387" s="82"/>
      <c r="M4387" s="112"/>
      <c r="N4387" s="84"/>
    </row>
    <row r="4388" spans="1:14" s="2" customFormat="1">
      <c r="A4388" s="83"/>
      <c r="H4388" s="83"/>
      <c r="K4388" s="82"/>
      <c r="M4388" s="112"/>
      <c r="N4388" s="84"/>
    </row>
    <row r="4389" spans="1:14" s="2" customFormat="1">
      <c r="A4389" s="83"/>
      <c r="H4389" s="83"/>
      <c r="K4389" s="82"/>
      <c r="M4389" s="112"/>
      <c r="N4389" s="84"/>
    </row>
    <row r="4390" spans="1:14" s="2" customFormat="1">
      <c r="A4390" s="83"/>
      <c r="H4390" s="83"/>
      <c r="K4390" s="82"/>
      <c r="M4390" s="112"/>
      <c r="N4390" s="84"/>
    </row>
    <row r="4391" spans="1:14" s="2" customFormat="1">
      <c r="A4391" s="83"/>
      <c r="H4391" s="83"/>
      <c r="K4391" s="82"/>
      <c r="M4391" s="112"/>
      <c r="N4391" s="84"/>
    </row>
    <row r="4392" spans="1:14" s="2" customFormat="1">
      <c r="A4392" s="83"/>
      <c r="H4392" s="83"/>
      <c r="K4392" s="82"/>
      <c r="M4392" s="112"/>
      <c r="N4392" s="84"/>
    </row>
    <row r="4393" spans="1:14" s="2" customFormat="1">
      <c r="A4393" s="83"/>
      <c r="H4393" s="83"/>
      <c r="K4393" s="82"/>
      <c r="M4393" s="112"/>
      <c r="N4393" s="84"/>
    </row>
    <row r="4394" spans="1:14" s="2" customFormat="1">
      <c r="A4394" s="83"/>
      <c r="H4394" s="83"/>
      <c r="K4394" s="82"/>
      <c r="M4394" s="112"/>
      <c r="N4394" s="84"/>
    </row>
    <row r="4395" spans="1:14" s="2" customFormat="1">
      <c r="A4395" s="83"/>
      <c r="H4395" s="83"/>
      <c r="K4395" s="82"/>
      <c r="M4395" s="112"/>
      <c r="N4395" s="84"/>
    </row>
    <row r="4396" spans="1:14" s="2" customFormat="1">
      <c r="A4396" s="83"/>
      <c r="H4396" s="83"/>
      <c r="K4396" s="82"/>
      <c r="M4396" s="112"/>
      <c r="N4396" s="84"/>
    </row>
    <row r="4397" spans="1:14" s="2" customFormat="1">
      <c r="A4397" s="83"/>
      <c r="H4397" s="83"/>
      <c r="K4397" s="82"/>
      <c r="M4397" s="112"/>
      <c r="N4397" s="84"/>
    </row>
    <row r="4398" spans="1:14" s="2" customFormat="1">
      <c r="A4398" s="83"/>
      <c r="H4398" s="83"/>
      <c r="K4398" s="82"/>
      <c r="M4398" s="112"/>
      <c r="N4398" s="84"/>
    </row>
    <row r="4399" spans="1:14" s="2" customFormat="1">
      <c r="A4399" s="83"/>
      <c r="H4399" s="83"/>
      <c r="K4399" s="82"/>
      <c r="M4399" s="112"/>
      <c r="N4399" s="84"/>
    </row>
    <row r="4400" spans="1:14" s="2" customFormat="1">
      <c r="A4400" s="83"/>
      <c r="H4400" s="83"/>
      <c r="K4400" s="82"/>
      <c r="M4400" s="112"/>
      <c r="N4400" s="84"/>
    </row>
    <row r="4401" spans="1:14" s="2" customFormat="1">
      <c r="A4401" s="83"/>
      <c r="H4401" s="83"/>
      <c r="K4401" s="82"/>
      <c r="M4401" s="112"/>
      <c r="N4401" s="84"/>
    </row>
    <row r="4402" spans="1:14" s="2" customFormat="1">
      <c r="A4402" s="83"/>
      <c r="H4402" s="83"/>
      <c r="K4402" s="82"/>
      <c r="M4402" s="112"/>
      <c r="N4402" s="84"/>
    </row>
    <row r="4403" spans="1:14" s="2" customFormat="1">
      <c r="A4403" s="83"/>
      <c r="H4403" s="83"/>
      <c r="K4403" s="82"/>
      <c r="M4403" s="112"/>
      <c r="N4403" s="84"/>
    </row>
    <row r="4404" spans="1:14" s="2" customFormat="1">
      <c r="A4404" s="83"/>
      <c r="H4404" s="83"/>
      <c r="K4404" s="82"/>
      <c r="M4404" s="112"/>
      <c r="N4404" s="84"/>
    </row>
    <row r="4405" spans="1:14" s="2" customFormat="1">
      <c r="A4405" s="83"/>
      <c r="H4405" s="83"/>
      <c r="K4405" s="82"/>
      <c r="M4405" s="112"/>
      <c r="N4405" s="84"/>
    </row>
    <row r="4406" spans="1:14" s="2" customFormat="1">
      <c r="A4406" s="83"/>
      <c r="H4406" s="83"/>
      <c r="K4406" s="82"/>
      <c r="M4406" s="112"/>
      <c r="N4406" s="84"/>
    </row>
    <row r="4407" spans="1:14" s="2" customFormat="1">
      <c r="A4407" s="83"/>
      <c r="H4407" s="83"/>
      <c r="K4407" s="82"/>
      <c r="M4407" s="112"/>
      <c r="N4407" s="84"/>
    </row>
    <row r="4408" spans="1:14" s="2" customFormat="1">
      <c r="A4408" s="83"/>
      <c r="H4408" s="83"/>
      <c r="K4408" s="82"/>
      <c r="M4408" s="112"/>
      <c r="N4408" s="84"/>
    </row>
    <row r="4409" spans="1:14" s="2" customFormat="1">
      <c r="A4409" s="83"/>
      <c r="H4409" s="83"/>
      <c r="K4409" s="82"/>
      <c r="M4409" s="112"/>
      <c r="N4409" s="84"/>
    </row>
    <row r="4410" spans="1:14" s="2" customFormat="1">
      <c r="A4410" s="83"/>
      <c r="H4410" s="83"/>
      <c r="K4410" s="82"/>
      <c r="M4410" s="112"/>
      <c r="N4410" s="84"/>
    </row>
    <row r="4411" spans="1:14" s="2" customFormat="1">
      <c r="A4411" s="83"/>
      <c r="H4411" s="83"/>
      <c r="K4411" s="82"/>
      <c r="M4411" s="112"/>
      <c r="N4411" s="84"/>
    </row>
    <row r="4412" spans="1:14" s="2" customFormat="1">
      <c r="A4412" s="83"/>
      <c r="H4412" s="83"/>
      <c r="K4412" s="82"/>
      <c r="M4412" s="112"/>
      <c r="N4412" s="84"/>
    </row>
    <row r="4413" spans="1:14" s="2" customFormat="1">
      <c r="A4413" s="83"/>
      <c r="H4413" s="83"/>
      <c r="K4413" s="82"/>
      <c r="M4413" s="112"/>
      <c r="N4413" s="84"/>
    </row>
    <row r="4414" spans="1:14" s="2" customFormat="1">
      <c r="A4414" s="83"/>
      <c r="H4414" s="83"/>
      <c r="K4414" s="82"/>
      <c r="M4414" s="112"/>
      <c r="N4414" s="84"/>
    </row>
    <row r="4415" spans="1:14" s="2" customFormat="1">
      <c r="A4415" s="83"/>
      <c r="H4415" s="83"/>
      <c r="K4415" s="82"/>
      <c r="M4415" s="112"/>
      <c r="N4415" s="84"/>
    </row>
    <row r="4416" spans="1:14" s="2" customFormat="1">
      <c r="A4416" s="83"/>
      <c r="H4416" s="83"/>
      <c r="K4416" s="82"/>
      <c r="M4416" s="112"/>
      <c r="N4416" s="84"/>
    </row>
    <row r="4417" spans="1:14" s="2" customFormat="1">
      <c r="A4417" s="83"/>
      <c r="H4417" s="83"/>
      <c r="K4417" s="82"/>
      <c r="M4417" s="112"/>
      <c r="N4417" s="84"/>
    </row>
    <row r="4418" spans="1:14" s="2" customFormat="1">
      <c r="A4418" s="83"/>
      <c r="H4418" s="83"/>
      <c r="K4418" s="82"/>
      <c r="M4418" s="112"/>
      <c r="N4418" s="84"/>
    </row>
    <row r="4419" spans="1:14" s="2" customFormat="1">
      <c r="A4419" s="83"/>
      <c r="H4419" s="83"/>
      <c r="K4419" s="82"/>
      <c r="M4419" s="112"/>
      <c r="N4419" s="84"/>
    </row>
    <row r="4420" spans="1:14" s="2" customFormat="1">
      <c r="A4420" s="83"/>
      <c r="H4420" s="83"/>
      <c r="K4420" s="82"/>
      <c r="M4420" s="112"/>
      <c r="N4420" s="84"/>
    </row>
    <row r="4421" spans="1:14" s="2" customFormat="1">
      <c r="A4421" s="83"/>
      <c r="H4421" s="83"/>
      <c r="K4421" s="82"/>
      <c r="M4421" s="112"/>
      <c r="N4421" s="84"/>
    </row>
    <row r="4422" spans="1:14" s="2" customFormat="1">
      <c r="A4422" s="83"/>
      <c r="H4422" s="83"/>
      <c r="K4422" s="82"/>
      <c r="M4422" s="112"/>
      <c r="N4422" s="84"/>
    </row>
    <row r="4423" spans="1:14" s="2" customFormat="1">
      <c r="A4423" s="83"/>
      <c r="H4423" s="83"/>
      <c r="K4423" s="82"/>
      <c r="M4423" s="112"/>
      <c r="N4423" s="84"/>
    </row>
    <row r="4424" spans="1:14" s="2" customFormat="1">
      <c r="A4424" s="83"/>
      <c r="H4424" s="83"/>
      <c r="K4424" s="82"/>
      <c r="M4424" s="112"/>
      <c r="N4424" s="84"/>
    </row>
    <row r="4425" spans="1:14" s="2" customFormat="1">
      <c r="A4425" s="83"/>
      <c r="H4425" s="83"/>
      <c r="K4425" s="82"/>
      <c r="M4425" s="112"/>
      <c r="N4425" s="84"/>
    </row>
    <row r="4426" spans="1:14" s="2" customFormat="1">
      <c r="A4426" s="83"/>
      <c r="H4426" s="83"/>
      <c r="K4426" s="82"/>
      <c r="M4426" s="112"/>
      <c r="N4426" s="84"/>
    </row>
    <row r="4427" spans="1:14" s="2" customFormat="1">
      <c r="A4427" s="83"/>
      <c r="H4427" s="83"/>
      <c r="K4427" s="82"/>
      <c r="M4427" s="112"/>
      <c r="N4427" s="84"/>
    </row>
    <row r="4428" spans="1:14" s="2" customFormat="1">
      <c r="A4428" s="83"/>
      <c r="H4428" s="83"/>
      <c r="K4428" s="82"/>
      <c r="M4428" s="112"/>
      <c r="N4428" s="84"/>
    </row>
    <row r="4429" spans="1:14" s="2" customFormat="1">
      <c r="A4429" s="83"/>
      <c r="H4429" s="83"/>
      <c r="K4429" s="82"/>
      <c r="M4429" s="112"/>
      <c r="N4429" s="84"/>
    </row>
    <row r="4430" spans="1:14" s="2" customFormat="1">
      <c r="A4430" s="83"/>
      <c r="H4430" s="83"/>
      <c r="K4430" s="82"/>
      <c r="M4430" s="112"/>
      <c r="N4430" s="84"/>
    </row>
    <row r="4431" spans="1:14" s="2" customFormat="1">
      <c r="A4431" s="83"/>
      <c r="H4431" s="83"/>
      <c r="K4431" s="82"/>
      <c r="M4431" s="112"/>
      <c r="N4431" s="84"/>
    </row>
    <row r="4432" spans="1:14" s="2" customFormat="1">
      <c r="A4432" s="83"/>
      <c r="H4432" s="83"/>
      <c r="K4432" s="82"/>
      <c r="M4432" s="112"/>
      <c r="N4432" s="84"/>
    </row>
    <row r="4433" spans="1:14" s="2" customFormat="1">
      <c r="A4433" s="83"/>
      <c r="H4433" s="83"/>
      <c r="K4433" s="82"/>
      <c r="M4433" s="112"/>
      <c r="N4433" s="84"/>
    </row>
    <row r="4434" spans="1:14" s="2" customFormat="1">
      <c r="A4434" s="83"/>
      <c r="H4434" s="83"/>
      <c r="K4434" s="82"/>
      <c r="M4434" s="112"/>
      <c r="N4434" s="84"/>
    </row>
    <row r="4435" spans="1:14" s="2" customFormat="1">
      <c r="A4435" s="83"/>
      <c r="H4435" s="83"/>
      <c r="K4435" s="82"/>
      <c r="M4435" s="112"/>
      <c r="N4435" s="84"/>
    </row>
    <row r="4436" spans="1:14" s="2" customFormat="1">
      <c r="A4436" s="83"/>
      <c r="H4436" s="83"/>
      <c r="K4436" s="82"/>
      <c r="M4436" s="112"/>
      <c r="N4436" s="84"/>
    </row>
    <row r="4437" spans="1:14" s="2" customFormat="1">
      <c r="A4437" s="83"/>
      <c r="H4437" s="83"/>
      <c r="K4437" s="82"/>
      <c r="M4437" s="112"/>
      <c r="N4437" s="84"/>
    </row>
    <row r="4438" spans="1:14" s="2" customFormat="1">
      <c r="A4438" s="83"/>
      <c r="H4438" s="83"/>
      <c r="K4438" s="82"/>
      <c r="M4438" s="112"/>
      <c r="N4438" s="84"/>
    </row>
    <row r="4439" spans="1:14" s="2" customFormat="1">
      <c r="A4439" s="83"/>
      <c r="H4439" s="83"/>
      <c r="K4439" s="82"/>
      <c r="M4439" s="112"/>
      <c r="N4439" s="84"/>
    </row>
    <row r="4440" spans="1:14" s="2" customFormat="1">
      <c r="A4440" s="83"/>
      <c r="H4440" s="83"/>
      <c r="K4440" s="82"/>
      <c r="M4440" s="112"/>
      <c r="N4440" s="84"/>
    </row>
    <row r="4441" spans="1:14" s="2" customFormat="1">
      <c r="A4441" s="83"/>
      <c r="H4441" s="83"/>
      <c r="K4441" s="82"/>
      <c r="M4441" s="112"/>
      <c r="N4441" s="84"/>
    </row>
    <row r="4442" spans="1:14" s="2" customFormat="1">
      <c r="A4442" s="83"/>
      <c r="H4442" s="83"/>
      <c r="K4442" s="82"/>
      <c r="M4442" s="112"/>
      <c r="N4442" s="84"/>
    </row>
    <row r="4443" spans="1:14" s="2" customFormat="1">
      <c r="A4443" s="83"/>
      <c r="H4443" s="83"/>
      <c r="K4443" s="82"/>
      <c r="M4443" s="112"/>
      <c r="N4443" s="84"/>
    </row>
    <row r="4444" spans="1:14" s="2" customFormat="1">
      <c r="A4444" s="83"/>
      <c r="H4444" s="83"/>
      <c r="K4444" s="82"/>
      <c r="M4444" s="112"/>
      <c r="N4444" s="84"/>
    </row>
    <row r="4445" spans="1:14" s="2" customFormat="1">
      <c r="A4445" s="83"/>
      <c r="H4445" s="83"/>
      <c r="K4445" s="82"/>
      <c r="M4445" s="112"/>
      <c r="N4445" s="84"/>
    </row>
    <row r="4446" spans="1:14" s="2" customFormat="1">
      <c r="A4446" s="83"/>
      <c r="H4446" s="83"/>
      <c r="K4446" s="82"/>
      <c r="M4446" s="112"/>
      <c r="N4446" s="84"/>
    </row>
    <row r="4447" spans="1:14" s="2" customFormat="1">
      <c r="A4447" s="83"/>
      <c r="H4447" s="83"/>
      <c r="K4447" s="82"/>
      <c r="M4447" s="112"/>
      <c r="N4447" s="84"/>
    </row>
    <row r="4448" spans="1:14" s="2" customFormat="1">
      <c r="A4448" s="83"/>
      <c r="H4448" s="83"/>
      <c r="K4448" s="82"/>
      <c r="M4448" s="112"/>
      <c r="N4448" s="84"/>
    </row>
    <row r="4449" spans="1:14" s="2" customFormat="1">
      <c r="A4449" s="83"/>
      <c r="H4449" s="83"/>
      <c r="K4449" s="82"/>
      <c r="M4449" s="112"/>
      <c r="N4449" s="84"/>
    </row>
    <row r="4450" spans="1:14" s="2" customFormat="1">
      <c r="A4450" s="83"/>
      <c r="H4450" s="83"/>
      <c r="K4450" s="82"/>
      <c r="M4450" s="112"/>
      <c r="N4450" s="84"/>
    </row>
    <row r="4451" spans="1:14" s="2" customFormat="1">
      <c r="A4451" s="83"/>
      <c r="H4451" s="83"/>
      <c r="K4451" s="82"/>
      <c r="M4451" s="112"/>
      <c r="N4451" s="84"/>
    </row>
    <row r="4452" spans="1:14" s="2" customFormat="1">
      <c r="A4452" s="83"/>
      <c r="H4452" s="83"/>
      <c r="K4452" s="82"/>
      <c r="M4452" s="112"/>
      <c r="N4452" s="84"/>
    </row>
    <row r="4453" spans="1:14" s="2" customFormat="1">
      <c r="A4453" s="83"/>
      <c r="H4453" s="83"/>
      <c r="K4453" s="82"/>
      <c r="M4453" s="112"/>
      <c r="N4453" s="84"/>
    </row>
    <row r="4454" spans="1:14" s="2" customFormat="1">
      <c r="A4454" s="83"/>
      <c r="H4454" s="83"/>
      <c r="K4454" s="82"/>
      <c r="M4454" s="112"/>
      <c r="N4454" s="84"/>
    </row>
    <row r="4455" spans="1:14" s="2" customFormat="1">
      <c r="A4455" s="83"/>
      <c r="H4455" s="83"/>
      <c r="K4455" s="82"/>
      <c r="M4455" s="112"/>
      <c r="N4455" s="84"/>
    </row>
    <row r="4456" spans="1:14" s="2" customFormat="1">
      <c r="A4456" s="83"/>
      <c r="H4456" s="83"/>
      <c r="K4456" s="82"/>
      <c r="M4456" s="112"/>
      <c r="N4456" s="84"/>
    </row>
    <row r="4457" spans="1:14" s="2" customFormat="1">
      <c r="A4457" s="83"/>
      <c r="H4457" s="83"/>
      <c r="K4457" s="82"/>
      <c r="M4457" s="112"/>
      <c r="N4457" s="84"/>
    </row>
    <row r="4458" spans="1:14" s="2" customFormat="1">
      <c r="A4458" s="83"/>
      <c r="H4458" s="83"/>
      <c r="K4458" s="82"/>
      <c r="M4458" s="112"/>
      <c r="N4458" s="84"/>
    </row>
    <row r="4459" spans="1:14" s="2" customFormat="1">
      <c r="A4459" s="83"/>
      <c r="H4459" s="83"/>
      <c r="K4459" s="82"/>
      <c r="M4459" s="112"/>
      <c r="N4459" s="84"/>
    </row>
    <row r="4460" spans="1:14" s="2" customFormat="1">
      <c r="A4460" s="83"/>
      <c r="H4460" s="83"/>
      <c r="K4460" s="82"/>
      <c r="M4460" s="112"/>
      <c r="N4460" s="84"/>
    </row>
    <row r="4461" spans="1:14" s="2" customFormat="1">
      <c r="A4461" s="83"/>
      <c r="H4461" s="83"/>
      <c r="K4461" s="82"/>
      <c r="M4461" s="112"/>
      <c r="N4461" s="84"/>
    </row>
    <row r="4462" spans="1:14" s="2" customFormat="1">
      <c r="A4462" s="83"/>
      <c r="H4462" s="83"/>
      <c r="K4462" s="82"/>
      <c r="M4462" s="112"/>
      <c r="N4462" s="84"/>
    </row>
    <row r="4463" spans="1:14" s="2" customFormat="1">
      <c r="A4463" s="83"/>
      <c r="H4463" s="83"/>
      <c r="K4463" s="82"/>
      <c r="M4463" s="112"/>
      <c r="N4463" s="84"/>
    </row>
    <row r="4464" spans="1:14" s="2" customFormat="1">
      <c r="A4464" s="83"/>
      <c r="H4464" s="83"/>
      <c r="K4464" s="82"/>
      <c r="M4464" s="112"/>
      <c r="N4464" s="84"/>
    </row>
    <row r="4465" spans="1:14" s="2" customFormat="1">
      <c r="A4465" s="83"/>
      <c r="H4465" s="83"/>
      <c r="K4465" s="82"/>
      <c r="M4465" s="112"/>
      <c r="N4465" s="84"/>
    </row>
    <row r="4466" spans="1:14" s="2" customFormat="1">
      <c r="A4466" s="83"/>
      <c r="H4466" s="83"/>
      <c r="K4466" s="82"/>
      <c r="M4466" s="112"/>
      <c r="N4466" s="84"/>
    </row>
    <row r="4467" spans="1:14" s="2" customFormat="1">
      <c r="A4467" s="83"/>
      <c r="H4467" s="83"/>
      <c r="K4467" s="82"/>
      <c r="M4467" s="112"/>
      <c r="N4467" s="84"/>
    </row>
    <row r="4468" spans="1:14" s="2" customFormat="1">
      <c r="A4468" s="83"/>
      <c r="H4468" s="83"/>
      <c r="K4468" s="82"/>
      <c r="M4468" s="112"/>
      <c r="N4468" s="84"/>
    </row>
    <row r="4469" spans="1:14" s="2" customFormat="1">
      <c r="A4469" s="83"/>
      <c r="H4469" s="83"/>
      <c r="K4469" s="82"/>
      <c r="M4469" s="112"/>
      <c r="N4469" s="84"/>
    </row>
    <row r="4470" spans="1:14" s="2" customFormat="1">
      <c r="A4470" s="83"/>
      <c r="H4470" s="83"/>
      <c r="K4470" s="82"/>
      <c r="M4470" s="112"/>
      <c r="N4470" s="84"/>
    </row>
    <row r="4471" spans="1:14" s="2" customFormat="1">
      <c r="A4471" s="83"/>
      <c r="H4471" s="83"/>
      <c r="K4471" s="82"/>
      <c r="M4471" s="112"/>
      <c r="N4471" s="84"/>
    </row>
    <row r="4472" spans="1:14" s="2" customFormat="1">
      <c r="A4472" s="83"/>
      <c r="H4472" s="83"/>
      <c r="K4472" s="82"/>
      <c r="M4472" s="112"/>
      <c r="N4472" s="84"/>
    </row>
    <row r="4473" spans="1:14" s="2" customFormat="1">
      <c r="A4473" s="83"/>
      <c r="H4473" s="83"/>
      <c r="K4473" s="82"/>
      <c r="M4473" s="112"/>
      <c r="N4473" s="84"/>
    </row>
    <row r="4474" spans="1:14" s="2" customFormat="1">
      <c r="A4474" s="83"/>
      <c r="H4474" s="83"/>
      <c r="K4474" s="82"/>
      <c r="M4474" s="112"/>
      <c r="N4474" s="84"/>
    </row>
    <row r="4475" spans="1:14" s="2" customFormat="1">
      <c r="A4475" s="83"/>
      <c r="H4475" s="83"/>
      <c r="K4475" s="82"/>
      <c r="M4475" s="112"/>
      <c r="N4475" s="84"/>
    </row>
    <row r="4476" spans="1:14" s="2" customFormat="1">
      <c r="A4476" s="83"/>
      <c r="H4476" s="83"/>
      <c r="K4476" s="82"/>
      <c r="M4476" s="112"/>
      <c r="N4476" s="84"/>
    </row>
    <row r="4477" spans="1:14" s="2" customFormat="1">
      <c r="A4477" s="83"/>
      <c r="H4477" s="83"/>
      <c r="K4477" s="82"/>
      <c r="M4477" s="112"/>
      <c r="N4477" s="84"/>
    </row>
    <row r="4478" spans="1:14" s="2" customFormat="1">
      <c r="A4478" s="83"/>
      <c r="H4478" s="83"/>
      <c r="K4478" s="82"/>
      <c r="M4478" s="112"/>
      <c r="N4478" s="84"/>
    </row>
    <row r="4479" spans="1:14" s="2" customFormat="1">
      <c r="A4479" s="83"/>
      <c r="H4479" s="83"/>
      <c r="K4479" s="82"/>
      <c r="M4479" s="112"/>
      <c r="N4479" s="84"/>
    </row>
    <row r="4480" spans="1:14" s="2" customFormat="1">
      <c r="A4480" s="83"/>
      <c r="H4480" s="83"/>
      <c r="K4480" s="82"/>
      <c r="M4480" s="112"/>
      <c r="N4480" s="84"/>
    </row>
    <row r="4481" spans="1:14" s="2" customFormat="1">
      <c r="A4481" s="83"/>
      <c r="H4481" s="83"/>
      <c r="K4481" s="82"/>
      <c r="M4481" s="112"/>
      <c r="N4481" s="84"/>
    </row>
    <row r="4482" spans="1:14" s="2" customFormat="1">
      <c r="A4482" s="83"/>
      <c r="H4482" s="83"/>
      <c r="K4482" s="82"/>
      <c r="M4482" s="112"/>
      <c r="N4482" s="84"/>
    </row>
    <row r="4483" spans="1:14" s="2" customFormat="1">
      <c r="A4483" s="83"/>
      <c r="H4483" s="83"/>
      <c r="K4483" s="82"/>
      <c r="M4483" s="112"/>
      <c r="N4483" s="84"/>
    </row>
    <row r="4484" spans="1:14" s="2" customFormat="1">
      <c r="A4484" s="83"/>
      <c r="H4484" s="83"/>
      <c r="K4484" s="82"/>
      <c r="M4484" s="112"/>
      <c r="N4484" s="84"/>
    </row>
    <row r="4485" spans="1:14" s="2" customFormat="1">
      <c r="A4485" s="83"/>
      <c r="H4485" s="83"/>
      <c r="K4485" s="82"/>
      <c r="M4485" s="112"/>
      <c r="N4485" s="84"/>
    </row>
    <row r="4486" spans="1:14" s="2" customFormat="1">
      <c r="A4486" s="83"/>
      <c r="H4486" s="83"/>
      <c r="K4486" s="82"/>
      <c r="M4486" s="112"/>
      <c r="N4486" s="84"/>
    </row>
    <row r="4487" spans="1:14" s="2" customFormat="1">
      <c r="A4487" s="83"/>
      <c r="H4487" s="83"/>
      <c r="K4487" s="82"/>
      <c r="M4487" s="112"/>
      <c r="N4487" s="84"/>
    </row>
    <row r="4488" spans="1:14" s="2" customFormat="1">
      <c r="A4488" s="83"/>
      <c r="H4488" s="83"/>
      <c r="K4488" s="82"/>
      <c r="M4488" s="112"/>
      <c r="N4488" s="84"/>
    </row>
    <row r="4489" spans="1:14" s="2" customFormat="1">
      <c r="A4489" s="83"/>
      <c r="H4489" s="83"/>
      <c r="K4489" s="82"/>
      <c r="M4489" s="112"/>
      <c r="N4489" s="84"/>
    </row>
    <row r="4490" spans="1:14" s="2" customFormat="1">
      <c r="A4490" s="83"/>
      <c r="H4490" s="83"/>
      <c r="K4490" s="82"/>
      <c r="M4490" s="112"/>
      <c r="N4490" s="84"/>
    </row>
    <row r="4491" spans="1:14" s="2" customFormat="1">
      <c r="A4491" s="83"/>
      <c r="H4491" s="83"/>
      <c r="K4491" s="82"/>
      <c r="M4491" s="112"/>
      <c r="N4491" s="84"/>
    </row>
    <row r="4492" spans="1:14" s="2" customFormat="1">
      <c r="A4492" s="83"/>
      <c r="H4492" s="83"/>
      <c r="K4492" s="82"/>
      <c r="M4492" s="112"/>
      <c r="N4492" s="84"/>
    </row>
    <row r="4493" spans="1:14" s="2" customFormat="1">
      <c r="A4493" s="83"/>
      <c r="H4493" s="83"/>
      <c r="K4493" s="82"/>
      <c r="M4493" s="112"/>
      <c r="N4493" s="84"/>
    </row>
    <row r="4494" spans="1:14" s="2" customFormat="1">
      <c r="A4494" s="83"/>
      <c r="H4494" s="83"/>
      <c r="K4494" s="82"/>
      <c r="M4494" s="112"/>
      <c r="N4494" s="84"/>
    </row>
    <row r="4495" spans="1:14" s="2" customFormat="1">
      <c r="A4495" s="83"/>
      <c r="H4495" s="83"/>
      <c r="K4495" s="82"/>
      <c r="M4495" s="112"/>
      <c r="N4495" s="84"/>
    </row>
    <row r="4496" spans="1:14" s="2" customFormat="1">
      <c r="A4496" s="83"/>
      <c r="H4496" s="83"/>
      <c r="K4496" s="82"/>
      <c r="M4496" s="112"/>
      <c r="N4496" s="84"/>
    </row>
    <row r="4497" spans="1:14" s="2" customFormat="1">
      <c r="A4497" s="83"/>
      <c r="H4497" s="83"/>
      <c r="K4497" s="82"/>
      <c r="M4497" s="112"/>
      <c r="N4497" s="84"/>
    </row>
    <row r="4498" spans="1:14" s="2" customFormat="1">
      <c r="A4498" s="83"/>
      <c r="H4498" s="83"/>
      <c r="K4498" s="82"/>
      <c r="M4498" s="112"/>
      <c r="N4498" s="84"/>
    </row>
    <row r="4499" spans="1:14" s="2" customFormat="1">
      <c r="A4499" s="83"/>
      <c r="H4499" s="83"/>
      <c r="K4499" s="82"/>
      <c r="M4499" s="112"/>
      <c r="N4499" s="84"/>
    </row>
    <row r="4500" spans="1:14" s="2" customFormat="1">
      <c r="A4500" s="83"/>
      <c r="H4500" s="83"/>
      <c r="K4500" s="82"/>
      <c r="M4500" s="112"/>
      <c r="N4500" s="84"/>
    </row>
    <row r="4501" spans="1:14" s="2" customFormat="1">
      <c r="A4501" s="83"/>
      <c r="H4501" s="83"/>
      <c r="K4501" s="82"/>
      <c r="M4501" s="112"/>
      <c r="N4501" s="84"/>
    </row>
    <row r="4502" spans="1:14" s="2" customFormat="1">
      <c r="A4502" s="83"/>
      <c r="H4502" s="83"/>
      <c r="K4502" s="82"/>
      <c r="M4502" s="112"/>
      <c r="N4502" s="84"/>
    </row>
    <row r="4503" spans="1:14" s="2" customFormat="1">
      <c r="A4503" s="83"/>
      <c r="H4503" s="83"/>
      <c r="K4503" s="82"/>
      <c r="M4503" s="112"/>
      <c r="N4503" s="84"/>
    </row>
    <row r="4504" spans="1:14" s="2" customFormat="1">
      <c r="A4504" s="83"/>
      <c r="H4504" s="83"/>
      <c r="K4504" s="82"/>
      <c r="M4504" s="112"/>
      <c r="N4504" s="84"/>
    </row>
    <row r="4505" spans="1:14" s="2" customFormat="1">
      <c r="A4505" s="83"/>
      <c r="H4505" s="83"/>
      <c r="K4505" s="82"/>
      <c r="M4505" s="112"/>
      <c r="N4505" s="84"/>
    </row>
    <row r="4506" spans="1:14" s="2" customFormat="1">
      <c r="A4506" s="83"/>
      <c r="H4506" s="83"/>
      <c r="K4506" s="82"/>
      <c r="M4506" s="112"/>
      <c r="N4506" s="84"/>
    </row>
    <row r="4507" spans="1:14" s="2" customFormat="1">
      <c r="A4507" s="83"/>
      <c r="H4507" s="83"/>
      <c r="K4507" s="82"/>
      <c r="M4507" s="112"/>
      <c r="N4507" s="84"/>
    </row>
    <row r="4508" spans="1:14" s="2" customFormat="1">
      <c r="A4508" s="83"/>
      <c r="H4508" s="83"/>
      <c r="K4508" s="82"/>
      <c r="M4508" s="112"/>
      <c r="N4508" s="84"/>
    </row>
    <row r="4509" spans="1:14" s="2" customFormat="1">
      <c r="A4509" s="83"/>
      <c r="H4509" s="83"/>
      <c r="K4509" s="82"/>
      <c r="M4509" s="112"/>
      <c r="N4509" s="84"/>
    </row>
    <row r="4510" spans="1:14" s="2" customFormat="1">
      <c r="A4510" s="83"/>
      <c r="H4510" s="83"/>
      <c r="K4510" s="82"/>
      <c r="M4510" s="112"/>
      <c r="N4510" s="84"/>
    </row>
    <row r="4511" spans="1:14" s="2" customFormat="1">
      <c r="A4511" s="83"/>
      <c r="H4511" s="83"/>
      <c r="K4511" s="82"/>
      <c r="M4511" s="112"/>
      <c r="N4511" s="84"/>
    </row>
    <row r="4512" spans="1:14" s="2" customFormat="1">
      <c r="A4512" s="83"/>
      <c r="H4512" s="83"/>
      <c r="K4512" s="82"/>
      <c r="M4512" s="112"/>
      <c r="N4512" s="84"/>
    </row>
    <row r="4513" spans="1:14" s="2" customFormat="1">
      <c r="A4513" s="83"/>
      <c r="H4513" s="83"/>
      <c r="K4513" s="82"/>
      <c r="M4513" s="112"/>
      <c r="N4513" s="84"/>
    </row>
    <row r="4514" spans="1:14" s="2" customFormat="1">
      <c r="A4514" s="83"/>
      <c r="H4514" s="83"/>
      <c r="K4514" s="82"/>
      <c r="M4514" s="112"/>
      <c r="N4514" s="84"/>
    </row>
    <row r="4515" spans="1:14" s="2" customFormat="1">
      <c r="A4515" s="83"/>
      <c r="H4515" s="83"/>
      <c r="K4515" s="82"/>
      <c r="M4515" s="112"/>
      <c r="N4515" s="84"/>
    </row>
    <row r="4516" spans="1:14" s="2" customFormat="1">
      <c r="A4516" s="83"/>
      <c r="H4516" s="83"/>
      <c r="K4516" s="82"/>
      <c r="M4516" s="112"/>
      <c r="N4516" s="84"/>
    </row>
    <row r="4517" spans="1:14" s="2" customFormat="1">
      <c r="A4517" s="83"/>
      <c r="H4517" s="83"/>
      <c r="K4517" s="82"/>
      <c r="M4517" s="112"/>
      <c r="N4517" s="84"/>
    </row>
    <row r="4518" spans="1:14" s="2" customFormat="1">
      <c r="A4518" s="83"/>
      <c r="H4518" s="83"/>
      <c r="K4518" s="82"/>
      <c r="M4518" s="112"/>
      <c r="N4518" s="84"/>
    </row>
    <row r="4519" spans="1:14" s="2" customFormat="1">
      <c r="A4519" s="83"/>
      <c r="H4519" s="83"/>
      <c r="K4519" s="82"/>
      <c r="M4519" s="112"/>
      <c r="N4519" s="84"/>
    </row>
    <row r="4520" spans="1:14" s="2" customFormat="1">
      <c r="A4520" s="83"/>
      <c r="H4520" s="83"/>
      <c r="K4520" s="82"/>
      <c r="M4520" s="112"/>
      <c r="N4520" s="84"/>
    </row>
    <row r="4521" spans="1:14" s="2" customFormat="1">
      <c r="A4521" s="83"/>
      <c r="H4521" s="83"/>
      <c r="K4521" s="82"/>
      <c r="M4521" s="112"/>
      <c r="N4521" s="84"/>
    </row>
    <row r="4522" spans="1:14" s="2" customFormat="1">
      <c r="A4522" s="83"/>
      <c r="H4522" s="83"/>
      <c r="K4522" s="82"/>
      <c r="M4522" s="112"/>
      <c r="N4522" s="84"/>
    </row>
    <row r="4523" spans="1:14" s="2" customFormat="1">
      <c r="A4523" s="83"/>
      <c r="H4523" s="83"/>
      <c r="K4523" s="82"/>
      <c r="M4523" s="112"/>
      <c r="N4523" s="84"/>
    </row>
    <row r="4524" spans="1:14" s="2" customFormat="1">
      <c r="A4524" s="83"/>
      <c r="H4524" s="83"/>
      <c r="K4524" s="82"/>
      <c r="M4524" s="112"/>
      <c r="N4524" s="84"/>
    </row>
    <row r="4525" spans="1:14" s="2" customFormat="1">
      <c r="A4525" s="83"/>
      <c r="H4525" s="83"/>
      <c r="K4525" s="82"/>
      <c r="M4525" s="112"/>
      <c r="N4525" s="84"/>
    </row>
    <row r="4526" spans="1:14" s="2" customFormat="1">
      <c r="A4526" s="83"/>
      <c r="H4526" s="83"/>
      <c r="K4526" s="82"/>
      <c r="M4526" s="112"/>
      <c r="N4526" s="84"/>
    </row>
    <row r="4527" spans="1:14" s="2" customFormat="1">
      <c r="A4527" s="83"/>
      <c r="H4527" s="83"/>
      <c r="K4527" s="82"/>
      <c r="M4527" s="112"/>
      <c r="N4527" s="84"/>
    </row>
    <row r="4528" spans="1:14" s="2" customFormat="1">
      <c r="A4528" s="83"/>
      <c r="H4528" s="83"/>
      <c r="K4528" s="82"/>
      <c r="M4528" s="112"/>
      <c r="N4528" s="84"/>
    </row>
    <row r="4529" spans="1:14" s="2" customFormat="1">
      <c r="A4529" s="83"/>
      <c r="H4529" s="83"/>
      <c r="K4529" s="82"/>
      <c r="M4529" s="112"/>
      <c r="N4529" s="84"/>
    </row>
    <row r="4530" spans="1:14" s="2" customFormat="1">
      <c r="A4530" s="83"/>
      <c r="H4530" s="83"/>
      <c r="K4530" s="82"/>
      <c r="M4530" s="112"/>
      <c r="N4530" s="84"/>
    </row>
    <row r="4531" spans="1:14" s="2" customFormat="1">
      <c r="A4531" s="83"/>
      <c r="H4531" s="83"/>
      <c r="K4531" s="82"/>
      <c r="M4531" s="112"/>
      <c r="N4531" s="84"/>
    </row>
    <row r="4532" spans="1:14" s="2" customFormat="1">
      <c r="A4532" s="83"/>
      <c r="H4532" s="83"/>
      <c r="K4532" s="82"/>
      <c r="M4532" s="112"/>
      <c r="N4532" s="84"/>
    </row>
    <row r="4533" spans="1:14" s="2" customFormat="1">
      <c r="A4533" s="83"/>
      <c r="H4533" s="83"/>
      <c r="K4533" s="82"/>
      <c r="M4533" s="112"/>
      <c r="N4533" s="84"/>
    </row>
    <row r="4534" spans="1:14" s="2" customFormat="1">
      <c r="A4534" s="83"/>
      <c r="H4534" s="83"/>
      <c r="K4534" s="82"/>
      <c r="M4534" s="112"/>
      <c r="N4534" s="84"/>
    </row>
    <row r="4535" spans="1:14" s="2" customFormat="1">
      <c r="A4535" s="83"/>
      <c r="H4535" s="83"/>
      <c r="K4535" s="82"/>
      <c r="M4535" s="112"/>
      <c r="N4535" s="84"/>
    </row>
    <row r="4536" spans="1:14" s="2" customFormat="1">
      <c r="A4536" s="83"/>
      <c r="H4536" s="83"/>
      <c r="K4536" s="82"/>
      <c r="M4536" s="112"/>
      <c r="N4536" s="84"/>
    </row>
    <row r="4537" spans="1:14" s="2" customFormat="1">
      <c r="A4537" s="83"/>
      <c r="H4537" s="83"/>
      <c r="K4537" s="82"/>
      <c r="M4537" s="112"/>
      <c r="N4537" s="84"/>
    </row>
    <row r="4538" spans="1:14" s="2" customFormat="1">
      <c r="A4538" s="83"/>
      <c r="H4538" s="83"/>
      <c r="K4538" s="82"/>
      <c r="M4538" s="112"/>
      <c r="N4538" s="84"/>
    </row>
    <row r="4539" spans="1:14" s="2" customFormat="1">
      <c r="A4539" s="83"/>
      <c r="H4539" s="83"/>
      <c r="K4539" s="82"/>
      <c r="M4539" s="112"/>
      <c r="N4539" s="84"/>
    </row>
    <row r="4540" spans="1:14" s="2" customFormat="1">
      <c r="A4540" s="83"/>
      <c r="H4540" s="83"/>
      <c r="K4540" s="82"/>
      <c r="M4540" s="112"/>
      <c r="N4540" s="84"/>
    </row>
    <row r="4541" spans="1:14" s="2" customFormat="1">
      <c r="A4541" s="83"/>
      <c r="H4541" s="83"/>
      <c r="K4541" s="82"/>
      <c r="M4541" s="112"/>
      <c r="N4541" s="84"/>
    </row>
    <row r="4542" spans="1:14" s="2" customFormat="1">
      <c r="A4542" s="83"/>
      <c r="H4542" s="83"/>
      <c r="K4542" s="82"/>
      <c r="M4542" s="112"/>
      <c r="N4542" s="84"/>
    </row>
    <row r="4543" spans="1:14" s="2" customFormat="1">
      <c r="A4543" s="83"/>
      <c r="H4543" s="83"/>
      <c r="K4543" s="82"/>
      <c r="M4543" s="112"/>
      <c r="N4543" s="84"/>
    </row>
    <row r="4544" spans="1:14" s="2" customFormat="1">
      <c r="A4544" s="83"/>
      <c r="H4544" s="83"/>
      <c r="K4544" s="82"/>
      <c r="M4544" s="112"/>
      <c r="N4544" s="84"/>
    </row>
    <row r="4545" spans="1:14" s="2" customFormat="1">
      <c r="A4545" s="83"/>
      <c r="H4545" s="83"/>
      <c r="K4545" s="82"/>
      <c r="M4545" s="112"/>
      <c r="N4545" s="84"/>
    </row>
    <row r="4546" spans="1:14" s="2" customFormat="1">
      <c r="A4546" s="83"/>
      <c r="H4546" s="83"/>
      <c r="K4546" s="82"/>
      <c r="M4546" s="112"/>
      <c r="N4546" s="84"/>
    </row>
    <row r="4547" spans="1:14" s="2" customFormat="1">
      <c r="A4547" s="83"/>
      <c r="H4547" s="83"/>
      <c r="K4547" s="82"/>
      <c r="M4547" s="112"/>
      <c r="N4547" s="84"/>
    </row>
    <row r="4548" spans="1:14" s="2" customFormat="1">
      <c r="A4548" s="83"/>
      <c r="H4548" s="83"/>
      <c r="K4548" s="82"/>
      <c r="M4548" s="112"/>
      <c r="N4548" s="84"/>
    </row>
    <row r="4549" spans="1:14" s="2" customFormat="1">
      <c r="A4549" s="83"/>
      <c r="H4549" s="83"/>
      <c r="K4549" s="82"/>
      <c r="M4549" s="112"/>
      <c r="N4549" s="84"/>
    </row>
    <row r="4550" spans="1:14" s="2" customFormat="1">
      <c r="A4550" s="83"/>
      <c r="H4550" s="83"/>
      <c r="K4550" s="82"/>
      <c r="M4550" s="112"/>
      <c r="N4550" s="84"/>
    </row>
    <row r="4551" spans="1:14" s="2" customFormat="1">
      <c r="A4551" s="83"/>
      <c r="H4551" s="83"/>
      <c r="K4551" s="82"/>
      <c r="M4551" s="112"/>
      <c r="N4551" s="84"/>
    </row>
    <row r="4552" spans="1:14" s="2" customFormat="1">
      <c r="A4552" s="83"/>
      <c r="H4552" s="83"/>
      <c r="K4552" s="82"/>
      <c r="M4552" s="112"/>
      <c r="N4552" s="84"/>
    </row>
    <row r="4553" spans="1:14" s="2" customFormat="1">
      <c r="A4553" s="83"/>
      <c r="H4553" s="83"/>
      <c r="K4553" s="82"/>
      <c r="M4553" s="112"/>
      <c r="N4553" s="84"/>
    </row>
    <row r="4554" spans="1:14" s="2" customFormat="1">
      <c r="A4554" s="83"/>
      <c r="H4554" s="83"/>
      <c r="K4554" s="82"/>
      <c r="M4554" s="112"/>
      <c r="N4554" s="84"/>
    </row>
    <row r="4555" spans="1:14" s="2" customFormat="1">
      <c r="A4555" s="83"/>
      <c r="H4555" s="83"/>
      <c r="K4555" s="82"/>
      <c r="M4555" s="112"/>
      <c r="N4555" s="84"/>
    </row>
    <row r="4556" spans="1:14" s="2" customFormat="1">
      <c r="A4556" s="83"/>
      <c r="H4556" s="83"/>
      <c r="K4556" s="82"/>
      <c r="M4556" s="112"/>
      <c r="N4556" s="84"/>
    </row>
    <row r="4557" spans="1:14" s="2" customFormat="1">
      <c r="A4557" s="83"/>
      <c r="H4557" s="83"/>
      <c r="K4557" s="82"/>
      <c r="M4557" s="112"/>
      <c r="N4557" s="84"/>
    </row>
    <row r="4558" spans="1:14" s="2" customFormat="1">
      <c r="A4558" s="83"/>
      <c r="H4558" s="83"/>
      <c r="K4558" s="82"/>
      <c r="M4558" s="112"/>
      <c r="N4558" s="84"/>
    </row>
    <row r="4559" spans="1:14" s="2" customFormat="1">
      <c r="A4559" s="83"/>
      <c r="H4559" s="83"/>
      <c r="K4559" s="82"/>
      <c r="M4559" s="112"/>
      <c r="N4559" s="84"/>
    </row>
    <row r="4560" spans="1:14" s="2" customFormat="1">
      <c r="A4560" s="83"/>
      <c r="H4560" s="83"/>
      <c r="K4560" s="82"/>
      <c r="M4560" s="112"/>
      <c r="N4560" s="84"/>
    </row>
    <row r="4561" spans="1:14" s="2" customFormat="1">
      <c r="A4561" s="83"/>
      <c r="H4561" s="83"/>
      <c r="K4561" s="82"/>
      <c r="M4561" s="112"/>
      <c r="N4561" s="84"/>
    </row>
    <row r="4562" spans="1:14" s="2" customFormat="1">
      <c r="A4562" s="83"/>
      <c r="H4562" s="83"/>
      <c r="K4562" s="82"/>
      <c r="M4562" s="112"/>
      <c r="N4562" s="84"/>
    </row>
    <row r="4563" spans="1:14" s="2" customFormat="1">
      <c r="A4563" s="83"/>
      <c r="H4563" s="83"/>
      <c r="K4563" s="82"/>
      <c r="M4563" s="112"/>
      <c r="N4563" s="84"/>
    </row>
    <row r="4564" spans="1:14" s="2" customFormat="1">
      <c r="A4564" s="83"/>
      <c r="H4564" s="83"/>
      <c r="K4564" s="82"/>
      <c r="M4564" s="112"/>
      <c r="N4564" s="84"/>
    </row>
    <row r="4565" spans="1:14" s="2" customFormat="1">
      <c r="A4565" s="83"/>
      <c r="H4565" s="83"/>
      <c r="K4565" s="82"/>
      <c r="M4565" s="112"/>
      <c r="N4565" s="84"/>
    </row>
    <row r="4566" spans="1:14" s="2" customFormat="1">
      <c r="A4566" s="83"/>
      <c r="H4566" s="83"/>
      <c r="K4566" s="82"/>
      <c r="M4566" s="112"/>
      <c r="N4566" s="84"/>
    </row>
    <row r="4567" spans="1:14" s="2" customFormat="1">
      <c r="A4567" s="83"/>
      <c r="H4567" s="83"/>
      <c r="K4567" s="82"/>
      <c r="M4567" s="112"/>
      <c r="N4567" s="84"/>
    </row>
    <row r="4568" spans="1:14" s="2" customFormat="1">
      <c r="A4568" s="83"/>
      <c r="H4568" s="83"/>
      <c r="K4568" s="82"/>
      <c r="M4568" s="112"/>
      <c r="N4568" s="84"/>
    </row>
    <row r="4569" spans="1:14" s="2" customFormat="1">
      <c r="A4569" s="83"/>
      <c r="H4569" s="83"/>
      <c r="K4569" s="82"/>
      <c r="M4569" s="112"/>
      <c r="N4569" s="84"/>
    </row>
    <row r="4570" spans="1:14" s="2" customFormat="1">
      <c r="A4570" s="83"/>
      <c r="H4570" s="83"/>
      <c r="K4570" s="82"/>
      <c r="M4570" s="112"/>
      <c r="N4570" s="84"/>
    </row>
    <row r="4571" spans="1:14" s="2" customFormat="1">
      <c r="A4571" s="83"/>
      <c r="H4571" s="83"/>
      <c r="K4571" s="82"/>
      <c r="M4571" s="112"/>
      <c r="N4571" s="84"/>
    </row>
    <row r="4572" spans="1:14" s="2" customFormat="1">
      <c r="A4572" s="83"/>
      <c r="H4572" s="83"/>
      <c r="K4572" s="82"/>
      <c r="M4572" s="112"/>
      <c r="N4572" s="84"/>
    </row>
    <row r="4573" spans="1:14" s="2" customFormat="1">
      <c r="A4573" s="83"/>
      <c r="H4573" s="83"/>
      <c r="K4573" s="82"/>
      <c r="M4573" s="112"/>
      <c r="N4573" s="84"/>
    </row>
    <row r="4574" spans="1:14" s="2" customFormat="1">
      <c r="A4574" s="83"/>
      <c r="H4574" s="83"/>
      <c r="K4574" s="82"/>
      <c r="M4574" s="112"/>
      <c r="N4574" s="84"/>
    </row>
    <row r="4575" spans="1:14" s="2" customFormat="1">
      <c r="A4575" s="83"/>
      <c r="H4575" s="83"/>
      <c r="K4575" s="82"/>
      <c r="M4575" s="112"/>
      <c r="N4575" s="84"/>
    </row>
    <row r="4576" spans="1:14" s="2" customFormat="1">
      <c r="A4576" s="83"/>
      <c r="H4576" s="83"/>
      <c r="K4576" s="82"/>
      <c r="M4576" s="112"/>
      <c r="N4576" s="84"/>
    </row>
    <row r="4577" spans="1:14" s="2" customFormat="1">
      <c r="A4577" s="83"/>
      <c r="H4577" s="83"/>
      <c r="K4577" s="82"/>
      <c r="M4577" s="112"/>
      <c r="N4577" s="84"/>
    </row>
    <row r="4578" spans="1:14" s="2" customFormat="1">
      <c r="A4578" s="83"/>
      <c r="H4578" s="83"/>
      <c r="K4578" s="82"/>
      <c r="M4578" s="112"/>
      <c r="N4578" s="84"/>
    </row>
    <row r="4579" spans="1:14" s="2" customFormat="1">
      <c r="A4579" s="83"/>
      <c r="H4579" s="83"/>
      <c r="K4579" s="82"/>
      <c r="M4579" s="112"/>
      <c r="N4579" s="84"/>
    </row>
    <row r="4580" spans="1:14" s="2" customFormat="1">
      <c r="A4580" s="83"/>
      <c r="H4580" s="83"/>
      <c r="K4580" s="82"/>
      <c r="M4580" s="112"/>
      <c r="N4580" s="84"/>
    </row>
    <row r="4581" spans="1:14" s="2" customFormat="1">
      <c r="A4581" s="83"/>
      <c r="H4581" s="83"/>
      <c r="K4581" s="82"/>
      <c r="M4581" s="112"/>
      <c r="N4581" s="84"/>
    </row>
    <row r="4582" spans="1:14" s="2" customFormat="1">
      <c r="A4582" s="83"/>
      <c r="H4582" s="83"/>
      <c r="K4582" s="82"/>
      <c r="M4582" s="112"/>
      <c r="N4582" s="84"/>
    </row>
    <row r="4583" spans="1:14" s="2" customFormat="1">
      <c r="A4583" s="83"/>
      <c r="H4583" s="83"/>
      <c r="K4583" s="82"/>
      <c r="M4583" s="112"/>
      <c r="N4583" s="84"/>
    </row>
    <row r="4584" spans="1:14" s="2" customFormat="1">
      <c r="A4584" s="83"/>
      <c r="H4584" s="83"/>
      <c r="K4584" s="82"/>
      <c r="M4584" s="112"/>
      <c r="N4584" s="84"/>
    </row>
    <row r="4585" spans="1:14" s="2" customFormat="1">
      <c r="A4585" s="83"/>
      <c r="H4585" s="83"/>
      <c r="K4585" s="82"/>
      <c r="M4585" s="112"/>
      <c r="N4585" s="84"/>
    </row>
    <row r="4586" spans="1:14" s="2" customFormat="1">
      <c r="A4586" s="83"/>
      <c r="H4586" s="83"/>
      <c r="K4586" s="82"/>
      <c r="M4586" s="112"/>
      <c r="N4586" s="84"/>
    </row>
    <row r="4587" spans="1:14" s="2" customFormat="1">
      <c r="A4587" s="83"/>
      <c r="H4587" s="83"/>
      <c r="K4587" s="82"/>
      <c r="M4587" s="112"/>
      <c r="N4587" s="84"/>
    </row>
    <row r="4588" spans="1:14" s="2" customFormat="1">
      <c r="A4588" s="83"/>
      <c r="H4588" s="83"/>
      <c r="K4588" s="82"/>
      <c r="M4588" s="112"/>
      <c r="N4588" s="84"/>
    </row>
    <row r="4589" spans="1:14" s="2" customFormat="1">
      <c r="A4589" s="83"/>
      <c r="H4589" s="83"/>
      <c r="K4589" s="82"/>
      <c r="M4589" s="112"/>
      <c r="N4589" s="84"/>
    </row>
    <row r="4590" spans="1:14" s="2" customFormat="1">
      <c r="A4590" s="83"/>
      <c r="H4590" s="83"/>
      <c r="K4590" s="82"/>
      <c r="M4590" s="112"/>
      <c r="N4590" s="84"/>
    </row>
    <row r="4591" spans="1:14" s="2" customFormat="1">
      <c r="A4591" s="83"/>
      <c r="H4591" s="83"/>
      <c r="K4591" s="82"/>
      <c r="M4591" s="112"/>
      <c r="N4591" s="84"/>
    </row>
    <row r="4592" spans="1:14" s="2" customFormat="1">
      <c r="A4592" s="83"/>
      <c r="H4592" s="83"/>
      <c r="K4592" s="82"/>
      <c r="M4592" s="112"/>
      <c r="N4592" s="84"/>
    </row>
    <row r="4593" spans="1:14" s="2" customFormat="1">
      <c r="A4593" s="83"/>
      <c r="H4593" s="83"/>
      <c r="K4593" s="82"/>
      <c r="M4593" s="112"/>
      <c r="N4593" s="84"/>
    </row>
    <row r="4594" spans="1:14" s="2" customFormat="1">
      <c r="A4594" s="83"/>
      <c r="H4594" s="83"/>
      <c r="K4594" s="82"/>
      <c r="M4594" s="112"/>
      <c r="N4594" s="84"/>
    </row>
    <row r="4595" spans="1:14" s="2" customFormat="1">
      <c r="A4595" s="83"/>
      <c r="H4595" s="83"/>
      <c r="K4595" s="82"/>
      <c r="M4595" s="112"/>
      <c r="N4595" s="84"/>
    </row>
    <row r="4596" spans="1:14" s="2" customFormat="1">
      <c r="A4596" s="83"/>
      <c r="H4596" s="83"/>
      <c r="K4596" s="82"/>
      <c r="M4596" s="112"/>
      <c r="N4596" s="84"/>
    </row>
    <row r="4597" spans="1:14" s="2" customFormat="1">
      <c r="A4597" s="83"/>
      <c r="H4597" s="83"/>
      <c r="K4597" s="82"/>
      <c r="M4597" s="112"/>
      <c r="N4597" s="84"/>
    </row>
    <row r="4598" spans="1:14" s="2" customFormat="1">
      <c r="A4598" s="83"/>
      <c r="H4598" s="83"/>
      <c r="K4598" s="82"/>
      <c r="M4598" s="112"/>
      <c r="N4598" s="84"/>
    </row>
    <row r="4599" spans="1:14" s="2" customFormat="1">
      <c r="A4599" s="83"/>
      <c r="H4599" s="83"/>
      <c r="K4599" s="82"/>
      <c r="M4599" s="112"/>
      <c r="N4599" s="84"/>
    </row>
    <row r="4600" spans="1:14" s="2" customFormat="1">
      <c r="A4600" s="83"/>
      <c r="H4600" s="83"/>
      <c r="K4600" s="82"/>
      <c r="M4600" s="112"/>
      <c r="N4600" s="84"/>
    </row>
    <row r="4601" spans="1:14" s="2" customFormat="1">
      <c r="A4601" s="83"/>
      <c r="H4601" s="83"/>
      <c r="K4601" s="82"/>
      <c r="M4601" s="112"/>
      <c r="N4601" s="84"/>
    </row>
    <row r="4602" spans="1:14" s="2" customFormat="1">
      <c r="A4602" s="83"/>
      <c r="H4602" s="83"/>
      <c r="K4602" s="82"/>
      <c r="M4602" s="112"/>
      <c r="N4602" s="84"/>
    </row>
    <row r="4603" spans="1:14" s="2" customFormat="1">
      <c r="A4603" s="83"/>
      <c r="H4603" s="83"/>
      <c r="K4603" s="82"/>
      <c r="M4603" s="112"/>
      <c r="N4603" s="84"/>
    </row>
    <row r="4604" spans="1:14" s="2" customFormat="1">
      <c r="A4604" s="83"/>
      <c r="H4604" s="83"/>
      <c r="K4604" s="82"/>
      <c r="M4604" s="112"/>
      <c r="N4604" s="84"/>
    </row>
    <row r="4605" spans="1:14" s="2" customFormat="1">
      <c r="A4605" s="83"/>
      <c r="H4605" s="83"/>
      <c r="K4605" s="82"/>
      <c r="M4605" s="112"/>
      <c r="N4605" s="84"/>
    </row>
    <row r="4606" spans="1:14" s="2" customFormat="1">
      <c r="A4606" s="83"/>
      <c r="H4606" s="83"/>
      <c r="K4606" s="82"/>
      <c r="M4606" s="112"/>
      <c r="N4606" s="84"/>
    </row>
    <row r="4607" spans="1:14" s="2" customFormat="1">
      <c r="A4607" s="83"/>
      <c r="H4607" s="83"/>
      <c r="K4607" s="82"/>
      <c r="M4607" s="112"/>
      <c r="N4607" s="84"/>
    </row>
    <row r="4608" spans="1:14" s="2" customFormat="1">
      <c r="A4608" s="83"/>
      <c r="H4608" s="83"/>
      <c r="K4608" s="82"/>
      <c r="M4608" s="112"/>
      <c r="N4608" s="84"/>
    </row>
    <row r="4609" spans="1:14" s="2" customFormat="1">
      <c r="A4609" s="83"/>
      <c r="H4609" s="83"/>
      <c r="K4609" s="82"/>
      <c r="M4609" s="112"/>
      <c r="N4609" s="84"/>
    </row>
    <row r="4610" spans="1:14" s="2" customFormat="1">
      <c r="A4610" s="83"/>
      <c r="H4610" s="83"/>
      <c r="K4610" s="82"/>
      <c r="M4610" s="112"/>
      <c r="N4610" s="84"/>
    </row>
    <row r="4611" spans="1:14" s="2" customFormat="1">
      <c r="A4611" s="83"/>
      <c r="H4611" s="83"/>
      <c r="K4611" s="82"/>
      <c r="M4611" s="112"/>
      <c r="N4611" s="84"/>
    </row>
    <row r="4612" spans="1:14" s="2" customFormat="1">
      <c r="A4612" s="83"/>
      <c r="H4612" s="83"/>
      <c r="K4612" s="82"/>
      <c r="M4612" s="112"/>
      <c r="N4612" s="84"/>
    </row>
    <row r="4613" spans="1:14" s="2" customFormat="1">
      <c r="A4613" s="83"/>
      <c r="H4613" s="83"/>
      <c r="K4613" s="82"/>
      <c r="M4613" s="112"/>
      <c r="N4613" s="84"/>
    </row>
    <row r="4614" spans="1:14" s="2" customFormat="1">
      <c r="A4614" s="83"/>
      <c r="H4614" s="83"/>
      <c r="K4614" s="82"/>
      <c r="M4614" s="112"/>
      <c r="N4614" s="84"/>
    </row>
    <row r="4615" spans="1:14" s="2" customFormat="1">
      <c r="A4615" s="83"/>
      <c r="H4615" s="83"/>
      <c r="K4615" s="82"/>
      <c r="M4615" s="112"/>
      <c r="N4615" s="84"/>
    </row>
    <row r="4616" spans="1:14" s="2" customFormat="1">
      <c r="A4616" s="83"/>
      <c r="H4616" s="83"/>
      <c r="K4616" s="82"/>
      <c r="M4616" s="112"/>
      <c r="N4616" s="84"/>
    </row>
    <row r="4617" spans="1:14" s="2" customFormat="1">
      <c r="A4617" s="83"/>
      <c r="H4617" s="83"/>
      <c r="K4617" s="82"/>
      <c r="M4617" s="112"/>
      <c r="N4617" s="84"/>
    </row>
    <row r="4618" spans="1:14" s="2" customFormat="1">
      <c r="A4618" s="83"/>
      <c r="H4618" s="83"/>
      <c r="K4618" s="82"/>
      <c r="M4618" s="112"/>
      <c r="N4618" s="84"/>
    </row>
    <row r="4619" spans="1:14" s="2" customFormat="1">
      <c r="A4619" s="83"/>
      <c r="H4619" s="83"/>
      <c r="K4619" s="82"/>
      <c r="M4619" s="112"/>
      <c r="N4619" s="84"/>
    </row>
    <row r="4620" spans="1:14" s="2" customFormat="1">
      <c r="A4620" s="83"/>
      <c r="H4620" s="83"/>
      <c r="K4620" s="82"/>
      <c r="M4620" s="112"/>
      <c r="N4620" s="84"/>
    </row>
    <row r="4621" spans="1:14" s="2" customFormat="1">
      <c r="A4621" s="83"/>
      <c r="H4621" s="83"/>
      <c r="K4621" s="82"/>
      <c r="M4621" s="112"/>
      <c r="N4621" s="84"/>
    </row>
    <row r="4622" spans="1:14" s="2" customFormat="1">
      <c r="A4622" s="83"/>
      <c r="H4622" s="83"/>
      <c r="K4622" s="82"/>
      <c r="M4622" s="112"/>
      <c r="N4622" s="84"/>
    </row>
    <row r="4623" spans="1:14" s="2" customFormat="1">
      <c r="A4623" s="83"/>
      <c r="H4623" s="83"/>
      <c r="K4623" s="82"/>
      <c r="M4623" s="112"/>
      <c r="N4623" s="84"/>
    </row>
    <row r="4624" spans="1:14" s="2" customFormat="1">
      <c r="A4624" s="83"/>
      <c r="H4624" s="83"/>
      <c r="K4624" s="82"/>
      <c r="M4624" s="112"/>
      <c r="N4624" s="84"/>
    </row>
    <row r="4625" spans="1:14" s="2" customFormat="1">
      <c r="A4625" s="83"/>
      <c r="H4625" s="83"/>
      <c r="K4625" s="82"/>
      <c r="M4625" s="112"/>
      <c r="N4625" s="84"/>
    </row>
    <row r="4626" spans="1:14" s="2" customFormat="1">
      <c r="A4626" s="83"/>
      <c r="H4626" s="83"/>
      <c r="K4626" s="82"/>
      <c r="M4626" s="112"/>
      <c r="N4626" s="84"/>
    </row>
    <row r="4627" spans="1:14" s="2" customFormat="1">
      <c r="A4627" s="83"/>
      <c r="H4627" s="83"/>
      <c r="K4627" s="82"/>
      <c r="M4627" s="112"/>
      <c r="N4627" s="84"/>
    </row>
    <row r="4628" spans="1:14" s="2" customFormat="1">
      <c r="A4628" s="83"/>
      <c r="H4628" s="83"/>
      <c r="K4628" s="82"/>
      <c r="M4628" s="112"/>
      <c r="N4628" s="84"/>
    </row>
    <row r="4629" spans="1:14" s="2" customFormat="1">
      <c r="A4629" s="83"/>
      <c r="H4629" s="83"/>
      <c r="K4629" s="82"/>
      <c r="M4629" s="112"/>
      <c r="N4629" s="84"/>
    </row>
    <row r="4630" spans="1:14" s="2" customFormat="1">
      <c r="A4630" s="83"/>
      <c r="H4630" s="83"/>
      <c r="K4630" s="82"/>
      <c r="M4630" s="112"/>
      <c r="N4630" s="84"/>
    </row>
    <row r="4631" spans="1:14" s="2" customFormat="1">
      <c r="A4631" s="83"/>
      <c r="H4631" s="83"/>
      <c r="K4631" s="82"/>
      <c r="M4631" s="112"/>
      <c r="N4631" s="84"/>
    </row>
    <row r="4632" spans="1:14" s="2" customFormat="1">
      <c r="A4632" s="83"/>
      <c r="H4632" s="83"/>
      <c r="K4632" s="82"/>
      <c r="M4632" s="112"/>
      <c r="N4632" s="84"/>
    </row>
    <row r="4633" spans="1:14" s="2" customFormat="1">
      <c r="A4633" s="83"/>
      <c r="H4633" s="83"/>
      <c r="K4633" s="82"/>
      <c r="M4633" s="112"/>
      <c r="N4633" s="84"/>
    </row>
    <row r="4634" spans="1:14" s="2" customFormat="1">
      <c r="A4634" s="83"/>
      <c r="H4634" s="83"/>
      <c r="K4634" s="82"/>
      <c r="M4634" s="112"/>
      <c r="N4634" s="84"/>
    </row>
    <row r="4635" spans="1:14" s="2" customFormat="1">
      <c r="A4635" s="83"/>
      <c r="H4635" s="83"/>
      <c r="K4635" s="82"/>
      <c r="M4635" s="112"/>
      <c r="N4635" s="84"/>
    </row>
    <row r="4636" spans="1:14" s="2" customFormat="1">
      <c r="A4636" s="83"/>
      <c r="H4636" s="83"/>
      <c r="K4636" s="82"/>
      <c r="M4636" s="112"/>
      <c r="N4636" s="84"/>
    </row>
    <row r="4637" spans="1:14" s="2" customFormat="1">
      <c r="A4637" s="83"/>
      <c r="H4637" s="83"/>
      <c r="K4637" s="82"/>
      <c r="M4637" s="112"/>
      <c r="N4637" s="84"/>
    </row>
    <row r="4638" spans="1:14" s="2" customFormat="1">
      <c r="A4638" s="83"/>
      <c r="H4638" s="83"/>
      <c r="K4638" s="82"/>
      <c r="M4638" s="112"/>
      <c r="N4638" s="84"/>
    </row>
    <row r="4639" spans="1:14" s="2" customFormat="1">
      <c r="A4639" s="83"/>
      <c r="H4639" s="83"/>
      <c r="K4639" s="82"/>
      <c r="M4639" s="112"/>
      <c r="N4639" s="84"/>
    </row>
    <row r="4640" spans="1:14" s="2" customFormat="1">
      <c r="A4640" s="83"/>
      <c r="H4640" s="83"/>
      <c r="K4640" s="82"/>
      <c r="M4640" s="112"/>
      <c r="N4640" s="84"/>
    </row>
    <row r="4641" spans="1:14" s="2" customFormat="1">
      <c r="A4641" s="83"/>
      <c r="H4641" s="83"/>
      <c r="K4641" s="82"/>
      <c r="M4641" s="112"/>
      <c r="N4641" s="84"/>
    </row>
    <row r="4642" spans="1:14" s="2" customFormat="1">
      <c r="A4642" s="83"/>
      <c r="H4642" s="83"/>
      <c r="K4642" s="82"/>
      <c r="M4642" s="112"/>
      <c r="N4642" s="84"/>
    </row>
    <row r="4643" spans="1:14" s="2" customFormat="1">
      <c r="A4643" s="83"/>
      <c r="H4643" s="83"/>
      <c r="K4643" s="82"/>
      <c r="M4643" s="112"/>
      <c r="N4643" s="84"/>
    </row>
    <row r="4644" spans="1:14" s="2" customFormat="1">
      <c r="A4644" s="83"/>
      <c r="H4644" s="83"/>
      <c r="K4644" s="82"/>
      <c r="M4644" s="112"/>
      <c r="N4644" s="84"/>
    </row>
    <row r="4645" spans="1:14" s="2" customFormat="1">
      <c r="A4645" s="83"/>
      <c r="H4645" s="83"/>
      <c r="K4645" s="82"/>
      <c r="M4645" s="112"/>
      <c r="N4645" s="84"/>
    </row>
    <row r="4646" spans="1:14" s="2" customFormat="1">
      <c r="A4646" s="83"/>
      <c r="H4646" s="83"/>
      <c r="K4646" s="82"/>
      <c r="M4646" s="112"/>
      <c r="N4646" s="84"/>
    </row>
    <row r="4647" spans="1:14" s="2" customFormat="1">
      <c r="A4647" s="83"/>
      <c r="H4647" s="83"/>
      <c r="K4647" s="82"/>
      <c r="M4647" s="112"/>
      <c r="N4647" s="84"/>
    </row>
    <row r="4648" spans="1:14" s="2" customFormat="1">
      <c r="A4648" s="83"/>
      <c r="H4648" s="83"/>
      <c r="K4648" s="82"/>
      <c r="M4648" s="112"/>
      <c r="N4648" s="84"/>
    </row>
    <row r="4649" spans="1:14" s="2" customFormat="1">
      <c r="A4649" s="83"/>
      <c r="H4649" s="83"/>
      <c r="K4649" s="82"/>
      <c r="M4649" s="112"/>
      <c r="N4649" s="84"/>
    </row>
    <row r="4650" spans="1:14" s="2" customFormat="1">
      <c r="A4650" s="83"/>
      <c r="H4650" s="83"/>
      <c r="K4650" s="82"/>
      <c r="M4650" s="112"/>
      <c r="N4650" s="84"/>
    </row>
    <row r="4651" spans="1:14" s="2" customFormat="1">
      <c r="A4651" s="83"/>
      <c r="H4651" s="83"/>
      <c r="K4651" s="82"/>
      <c r="M4651" s="112"/>
      <c r="N4651" s="84"/>
    </row>
    <row r="4652" spans="1:14" s="2" customFormat="1">
      <c r="A4652" s="83"/>
      <c r="H4652" s="83"/>
      <c r="K4652" s="82"/>
      <c r="M4652" s="112"/>
      <c r="N4652" s="84"/>
    </row>
    <row r="4653" spans="1:14" s="2" customFormat="1">
      <c r="A4653" s="83"/>
      <c r="H4653" s="83"/>
      <c r="K4653" s="82"/>
      <c r="M4653" s="112"/>
      <c r="N4653" s="84"/>
    </row>
    <row r="4654" spans="1:14" s="2" customFormat="1">
      <c r="A4654" s="83"/>
      <c r="H4654" s="83"/>
      <c r="K4654" s="82"/>
      <c r="M4654" s="112"/>
      <c r="N4654" s="84"/>
    </row>
    <row r="4655" spans="1:14" s="2" customFormat="1">
      <c r="A4655" s="83"/>
      <c r="H4655" s="83"/>
      <c r="K4655" s="82"/>
      <c r="M4655" s="112"/>
      <c r="N4655" s="84"/>
    </row>
    <row r="4656" spans="1:14" s="2" customFormat="1">
      <c r="A4656" s="83"/>
      <c r="H4656" s="83"/>
      <c r="K4656" s="82"/>
      <c r="M4656" s="112"/>
      <c r="N4656" s="84"/>
    </row>
    <row r="4657" spans="1:14" s="2" customFormat="1">
      <c r="A4657" s="83"/>
      <c r="H4657" s="83"/>
      <c r="K4657" s="82"/>
      <c r="M4657" s="112"/>
      <c r="N4657" s="84"/>
    </row>
    <row r="4658" spans="1:14" s="2" customFormat="1">
      <c r="A4658" s="83"/>
      <c r="H4658" s="83"/>
      <c r="K4658" s="82"/>
      <c r="M4658" s="112"/>
      <c r="N4658" s="84"/>
    </row>
    <row r="4659" spans="1:14" s="2" customFormat="1">
      <c r="A4659" s="83"/>
      <c r="H4659" s="83"/>
      <c r="K4659" s="82"/>
      <c r="M4659" s="112"/>
      <c r="N4659" s="84"/>
    </row>
    <row r="4660" spans="1:14" s="2" customFormat="1">
      <c r="A4660" s="83"/>
      <c r="H4660" s="83"/>
      <c r="K4660" s="82"/>
      <c r="M4660" s="112"/>
      <c r="N4660" s="84"/>
    </row>
    <row r="4661" spans="1:14" s="2" customFormat="1">
      <c r="A4661" s="83"/>
      <c r="H4661" s="83"/>
      <c r="K4661" s="82"/>
      <c r="M4661" s="112"/>
      <c r="N4661" s="84"/>
    </row>
    <row r="4662" spans="1:14" s="2" customFormat="1">
      <c r="A4662" s="83"/>
      <c r="H4662" s="83"/>
      <c r="K4662" s="82"/>
      <c r="M4662" s="112"/>
      <c r="N4662" s="84"/>
    </row>
    <row r="4663" spans="1:14" s="2" customFormat="1">
      <c r="A4663" s="83"/>
      <c r="H4663" s="83"/>
      <c r="K4663" s="82"/>
      <c r="M4663" s="112"/>
      <c r="N4663" s="84"/>
    </row>
    <row r="4664" spans="1:14" s="2" customFormat="1">
      <c r="A4664" s="83"/>
      <c r="H4664" s="83"/>
      <c r="K4664" s="82"/>
      <c r="M4664" s="112"/>
      <c r="N4664" s="84"/>
    </row>
    <row r="4665" spans="1:14" s="2" customFormat="1">
      <c r="A4665" s="83"/>
      <c r="H4665" s="83"/>
      <c r="K4665" s="82"/>
      <c r="M4665" s="112"/>
      <c r="N4665" s="84"/>
    </row>
    <row r="4666" spans="1:14" s="2" customFormat="1">
      <c r="A4666" s="83"/>
      <c r="H4666" s="83"/>
      <c r="K4666" s="82"/>
      <c r="M4666" s="112"/>
      <c r="N4666" s="84"/>
    </row>
    <row r="4667" spans="1:14" s="2" customFormat="1">
      <c r="A4667" s="83"/>
      <c r="H4667" s="83"/>
      <c r="K4667" s="82"/>
      <c r="M4667" s="112"/>
      <c r="N4667" s="84"/>
    </row>
    <row r="4668" spans="1:14" s="2" customFormat="1">
      <c r="A4668" s="83"/>
      <c r="H4668" s="83"/>
      <c r="K4668" s="82"/>
      <c r="M4668" s="112"/>
      <c r="N4668" s="84"/>
    </row>
    <row r="4669" spans="1:14" s="2" customFormat="1">
      <c r="A4669" s="83"/>
      <c r="H4669" s="83"/>
      <c r="K4669" s="82"/>
      <c r="M4669" s="112"/>
      <c r="N4669" s="84"/>
    </row>
    <row r="4670" spans="1:14" s="2" customFormat="1">
      <c r="A4670" s="83"/>
      <c r="H4670" s="83"/>
      <c r="K4670" s="82"/>
      <c r="M4670" s="112"/>
      <c r="N4670" s="84"/>
    </row>
    <row r="4671" spans="1:14" s="2" customFormat="1">
      <c r="A4671" s="83"/>
      <c r="H4671" s="83"/>
      <c r="K4671" s="82"/>
      <c r="M4671" s="112"/>
      <c r="N4671" s="84"/>
    </row>
    <row r="4672" spans="1:14" s="2" customFormat="1">
      <c r="A4672" s="83"/>
      <c r="H4672" s="83"/>
      <c r="K4672" s="82"/>
      <c r="M4672" s="112"/>
      <c r="N4672" s="84"/>
    </row>
    <row r="4673" spans="1:14" s="2" customFormat="1">
      <c r="A4673" s="83"/>
      <c r="H4673" s="83"/>
      <c r="K4673" s="82"/>
      <c r="M4673" s="112"/>
      <c r="N4673" s="84"/>
    </row>
    <row r="4674" spans="1:14" s="2" customFormat="1">
      <c r="A4674" s="83"/>
      <c r="H4674" s="83"/>
      <c r="K4674" s="82"/>
      <c r="M4674" s="112"/>
      <c r="N4674" s="84"/>
    </row>
    <row r="4675" spans="1:14" s="2" customFormat="1">
      <c r="A4675" s="83"/>
      <c r="H4675" s="83"/>
      <c r="K4675" s="82"/>
      <c r="M4675" s="112"/>
      <c r="N4675" s="84"/>
    </row>
    <row r="4676" spans="1:14" s="2" customFormat="1">
      <c r="A4676" s="83"/>
      <c r="H4676" s="83"/>
      <c r="K4676" s="82"/>
      <c r="M4676" s="112"/>
      <c r="N4676" s="84"/>
    </row>
    <row r="4677" spans="1:14" s="2" customFormat="1">
      <c r="A4677" s="83"/>
      <c r="H4677" s="83"/>
      <c r="K4677" s="82"/>
      <c r="M4677" s="112"/>
      <c r="N4677" s="84"/>
    </row>
    <row r="4678" spans="1:14" s="2" customFormat="1">
      <c r="A4678" s="83"/>
      <c r="H4678" s="83"/>
      <c r="K4678" s="82"/>
      <c r="M4678" s="112"/>
      <c r="N4678" s="84"/>
    </row>
    <row r="4679" spans="1:14" s="2" customFormat="1">
      <c r="A4679" s="83"/>
      <c r="H4679" s="83"/>
      <c r="K4679" s="82"/>
      <c r="M4679" s="112"/>
      <c r="N4679" s="84"/>
    </row>
    <row r="4680" spans="1:14" s="2" customFormat="1">
      <c r="A4680" s="83"/>
      <c r="H4680" s="83"/>
      <c r="K4680" s="82"/>
      <c r="M4680" s="112"/>
      <c r="N4680" s="84"/>
    </row>
    <row r="4681" spans="1:14" s="2" customFormat="1">
      <c r="A4681" s="83"/>
      <c r="H4681" s="83"/>
      <c r="K4681" s="82"/>
      <c r="M4681" s="112"/>
      <c r="N4681" s="84"/>
    </row>
    <row r="4682" spans="1:14" s="2" customFormat="1">
      <c r="A4682" s="83"/>
      <c r="H4682" s="83"/>
      <c r="K4682" s="82"/>
      <c r="M4682" s="112"/>
      <c r="N4682" s="84"/>
    </row>
    <row r="4683" spans="1:14" s="2" customFormat="1">
      <c r="A4683" s="83"/>
      <c r="H4683" s="83"/>
      <c r="K4683" s="82"/>
      <c r="M4683" s="112"/>
      <c r="N4683" s="84"/>
    </row>
    <row r="4684" spans="1:14" s="2" customFormat="1">
      <c r="A4684" s="83"/>
      <c r="H4684" s="83"/>
      <c r="K4684" s="82"/>
      <c r="M4684" s="112"/>
      <c r="N4684" s="84"/>
    </row>
    <row r="4685" spans="1:14" s="2" customFormat="1">
      <c r="A4685" s="83"/>
      <c r="H4685" s="83"/>
      <c r="K4685" s="82"/>
      <c r="M4685" s="112"/>
      <c r="N4685" s="84"/>
    </row>
    <row r="4686" spans="1:14" s="2" customFormat="1">
      <c r="A4686" s="83"/>
      <c r="H4686" s="83"/>
      <c r="K4686" s="82"/>
      <c r="M4686" s="112"/>
      <c r="N4686" s="84"/>
    </row>
    <row r="4687" spans="1:14" s="2" customFormat="1">
      <c r="A4687" s="83"/>
      <c r="H4687" s="83"/>
      <c r="K4687" s="82"/>
      <c r="M4687" s="112"/>
      <c r="N4687" s="84"/>
    </row>
    <row r="4688" spans="1:14" s="2" customFormat="1">
      <c r="A4688" s="83"/>
      <c r="H4688" s="83"/>
      <c r="K4688" s="82"/>
      <c r="M4688" s="112"/>
      <c r="N4688" s="84"/>
    </row>
    <row r="4689" spans="1:14" s="2" customFormat="1">
      <c r="A4689" s="83"/>
      <c r="H4689" s="83"/>
      <c r="K4689" s="82"/>
      <c r="M4689" s="112"/>
      <c r="N4689" s="84"/>
    </row>
    <row r="4690" spans="1:14" s="2" customFormat="1">
      <c r="A4690" s="83"/>
      <c r="H4690" s="83"/>
      <c r="K4690" s="82"/>
      <c r="M4690" s="112"/>
      <c r="N4690" s="84"/>
    </row>
    <row r="4691" spans="1:14" s="2" customFormat="1">
      <c r="A4691" s="83"/>
      <c r="H4691" s="83"/>
      <c r="K4691" s="82"/>
      <c r="M4691" s="112"/>
      <c r="N4691" s="84"/>
    </row>
    <row r="4692" spans="1:14" s="2" customFormat="1">
      <c r="A4692" s="83"/>
      <c r="H4692" s="83"/>
      <c r="K4692" s="82"/>
      <c r="M4692" s="112"/>
      <c r="N4692" s="84"/>
    </row>
    <row r="4693" spans="1:14" s="2" customFormat="1">
      <c r="A4693" s="83"/>
      <c r="H4693" s="83"/>
      <c r="K4693" s="82"/>
      <c r="M4693" s="112"/>
      <c r="N4693" s="84"/>
    </row>
    <row r="4694" spans="1:14" s="2" customFormat="1">
      <c r="A4694" s="83"/>
      <c r="H4694" s="83"/>
      <c r="K4694" s="82"/>
      <c r="M4694" s="112"/>
      <c r="N4694" s="84"/>
    </row>
    <row r="4695" spans="1:14" s="2" customFormat="1">
      <c r="A4695" s="83"/>
      <c r="H4695" s="83"/>
      <c r="K4695" s="82"/>
      <c r="M4695" s="112"/>
      <c r="N4695" s="84"/>
    </row>
    <row r="4696" spans="1:14" s="2" customFormat="1">
      <c r="A4696" s="83"/>
      <c r="H4696" s="83"/>
      <c r="K4696" s="82"/>
      <c r="M4696" s="112"/>
      <c r="N4696" s="84"/>
    </row>
    <row r="4697" spans="1:14" s="2" customFormat="1">
      <c r="A4697" s="83"/>
      <c r="H4697" s="83"/>
      <c r="K4697" s="82"/>
      <c r="M4697" s="112"/>
      <c r="N4697" s="84"/>
    </row>
    <row r="4698" spans="1:14" s="2" customFormat="1">
      <c r="A4698" s="83"/>
      <c r="H4698" s="83"/>
      <c r="K4698" s="82"/>
      <c r="M4698" s="112"/>
      <c r="N4698" s="84"/>
    </row>
    <row r="4699" spans="1:14" s="2" customFormat="1">
      <c r="A4699" s="83"/>
      <c r="H4699" s="83"/>
      <c r="K4699" s="82"/>
      <c r="M4699" s="112"/>
      <c r="N4699" s="84"/>
    </row>
    <row r="4700" spans="1:14" s="2" customFormat="1">
      <c r="A4700" s="83"/>
      <c r="H4700" s="83"/>
      <c r="K4700" s="82"/>
      <c r="M4700" s="112"/>
      <c r="N4700" s="84"/>
    </row>
    <row r="4701" spans="1:14" s="2" customFormat="1">
      <c r="A4701" s="83"/>
      <c r="H4701" s="83"/>
      <c r="K4701" s="82"/>
      <c r="M4701" s="112"/>
      <c r="N4701" s="84"/>
    </row>
    <row r="4702" spans="1:14" s="2" customFormat="1">
      <c r="A4702" s="83"/>
      <c r="H4702" s="83"/>
      <c r="K4702" s="82"/>
      <c r="M4702" s="112"/>
      <c r="N4702" s="84"/>
    </row>
    <row r="4703" spans="1:14" s="2" customFormat="1">
      <c r="A4703" s="83"/>
      <c r="H4703" s="83"/>
      <c r="K4703" s="82"/>
      <c r="M4703" s="112"/>
      <c r="N4703" s="84"/>
    </row>
    <row r="4704" spans="1:14" s="2" customFormat="1">
      <c r="A4704" s="83"/>
      <c r="H4704" s="83"/>
      <c r="K4704" s="82"/>
      <c r="M4704" s="112"/>
      <c r="N4704" s="84"/>
    </row>
    <row r="4705" spans="1:14" s="2" customFormat="1">
      <c r="A4705" s="83"/>
      <c r="H4705" s="83"/>
      <c r="K4705" s="82"/>
      <c r="M4705" s="112"/>
      <c r="N4705" s="84"/>
    </row>
    <row r="4706" spans="1:14" s="2" customFormat="1">
      <c r="A4706" s="83"/>
      <c r="H4706" s="83"/>
      <c r="K4706" s="82"/>
      <c r="M4706" s="112"/>
      <c r="N4706" s="84"/>
    </row>
    <row r="4707" spans="1:14" s="2" customFormat="1">
      <c r="A4707" s="83"/>
      <c r="H4707" s="83"/>
      <c r="K4707" s="82"/>
      <c r="M4707" s="112"/>
      <c r="N4707" s="84"/>
    </row>
    <row r="4708" spans="1:14" s="2" customFormat="1">
      <c r="A4708" s="83"/>
      <c r="H4708" s="83"/>
      <c r="K4708" s="82"/>
      <c r="M4708" s="112"/>
      <c r="N4708" s="84"/>
    </row>
    <row r="4709" spans="1:14" s="2" customFormat="1">
      <c r="A4709" s="83"/>
      <c r="H4709" s="83"/>
      <c r="K4709" s="82"/>
      <c r="M4709" s="112"/>
      <c r="N4709" s="84"/>
    </row>
    <row r="4710" spans="1:14" s="2" customFormat="1">
      <c r="A4710" s="83"/>
      <c r="H4710" s="83"/>
      <c r="K4710" s="82"/>
      <c r="M4710" s="112"/>
      <c r="N4710" s="84"/>
    </row>
    <row r="4711" spans="1:14" s="2" customFormat="1">
      <c r="A4711" s="83"/>
      <c r="H4711" s="83"/>
      <c r="K4711" s="82"/>
      <c r="M4711" s="112"/>
      <c r="N4711" s="84"/>
    </row>
    <row r="4712" spans="1:14" s="2" customFormat="1">
      <c r="A4712" s="83"/>
      <c r="H4712" s="83"/>
      <c r="K4712" s="82"/>
      <c r="M4712" s="112"/>
      <c r="N4712" s="84"/>
    </row>
    <row r="4713" spans="1:14" s="2" customFormat="1">
      <c r="A4713" s="83"/>
      <c r="H4713" s="83"/>
      <c r="K4713" s="82"/>
      <c r="M4713" s="112"/>
      <c r="N4713" s="84"/>
    </row>
    <row r="4714" spans="1:14" s="2" customFormat="1">
      <c r="A4714" s="83"/>
      <c r="H4714" s="83"/>
      <c r="K4714" s="82"/>
      <c r="M4714" s="112"/>
      <c r="N4714" s="84"/>
    </row>
    <row r="4715" spans="1:14" s="2" customFormat="1">
      <c r="A4715" s="83"/>
      <c r="H4715" s="83"/>
      <c r="K4715" s="82"/>
      <c r="M4715" s="112"/>
      <c r="N4715" s="84"/>
    </row>
    <row r="4716" spans="1:14" s="2" customFormat="1">
      <c r="A4716" s="83"/>
      <c r="H4716" s="83"/>
      <c r="K4716" s="82"/>
      <c r="M4716" s="112"/>
      <c r="N4716" s="84"/>
    </row>
    <row r="4717" spans="1:14" s="2" customFormat="1">
      <c r="A4717" s="83"/>
      <c r="H4717" s="83"/>
      <c r="K4717" s="82"/>
      <c r="M4717" s="112"/>
      <c r="N4717" s="84"/>
    </row>
    <row r="4718" spans="1:14" s="2" customFormat="1">
      <c r="A4718" s="83"/>
      <c r="H4718" s="83"/>
      <c r="K4718" s="82"/>
      <c r="M4718" s="112"/>
      <c r="N4718" s="84"/>
    </row>
    <row r="4719" spans="1:14" s="2" customFormat="1">
      <c r="A4719" s="83"/>
      <c r="H4719" s="83"/>
      <c r="K4719" s="82"/>
      <c r="M4719" s="112"/>
      <c r="N4719" s="84"/>
    </row>
    <row r="4720" spans="1:14" s="2" customFormat="1">
      <c r="A4720" s="83"/>
      <c r="H4720" s="83"/>
      <c r="K4720" s="82"/>
      <c r="M4720" s="112"/>
      <c r="N4720" s="84"/>
    </row>
    <row r="4721" spans="1:14" s="2" customFormat="1">
      <c r="A4721" s="83"/>
      <c r="H4721" s="83"/>
      <c r="K4721" s="82"/>
      <c r="M4721" s="112"/>
      <c r="N4721" s="84"/>
    </row>
    <row r="4722" spans="1:14" s="2" customFormat="1">
      <c r="A4722" s="83"/>
      <c r="H4722" s="83"/>
      <c r="K4722" s="82"/>
      <c r="M4722" s="112"/>
      <c r="N4722" s="84"/>
    </row>
    <row r="4723" spans="1:14" s="2" customFormat="1">
      <c r="A4723" s="83"/>
      <c r="H4723" s="83"/>
      <c r="K4723" s="82"/>
      <c r="M4723" s="112"/>
      <c r="N4723" s="84"/>
    </row>
    <row r="4724" spans="1:14" s="2" customFormat="1">
      <c r="A4724" s="83"/>
      <c r="H4724" s="83"/>
      <c r="K4724" s="82"/>
      <c r="M4724" s="112"/>
      <c r="N4724" s="84"/>
    </row>
    <row r="4725" spans="1:14" s="2" customFormat="1">
      <c r="A4725" s="83"/>
      <c r="H4725" s="83"/>
      <c r="K4725" s="82"/>
      <c r="M4725" s="112"/>
      <c r="N4725" s="84"/>
    </row>
    <row r="4726" spans="1:14" s="2" customFormat="1">
      <c r="A4726" s="83"/>
      <c r="H4726" s="83"/>
      <c r="K4726" s="82"/>
      <c r="M4726" s="112"/>
      <c r="N4726" s="84"/>
    </row>
    <row r="4727" spans="1:14" s="2" customFormat="1">
      <c r="A4727" s="83"/>
      <c r="H4727" s="83"/>
      <c r="K4727" s="82"/>
      <c r="M4727" s="112"/>
      <c r="N4727" s="84"/>
    </row>
    <row r="4728" spans="1:14" s="2" customFormat="1">
      <c r="A4728" s="83"/>
      <c r="H4728" s="83"/>
      <c r="K4728" s="82"/>
      <c r="M4728" s="112"/>
      <c r="N4728" s="84"/>
    </row>
    <row r="4729" spans="1:14" s="2" customFormat="1">
      <c r="A4729" s="83"/>
      <c r="H4729" s="83"/>
      <c r="K4729" s="82"/>
      <c r="M4729" s="112"/>
      <c r="N4729" s="84"/>
    </row>
    <row r="4730" spans="1:14" s="2" customFormat="1">
      <c r="A4730" s="83"/>
      <c r="H4730" s="83"/>
      <c r="K4730" s="82"/>
      <c r="M4730" s="112"/>
      <c r="N4730" s="84"/>
    </row>
    <row r="4731" spans="1:14" s="2" customFormat="1">
      <c r="A4731" s="83"/>
      <c r="H4731" s="83"/>
      <c r="K4731" s="82"/>
      <c r="M4731" s="112"/>
      <c r="N4731" s="84"/>
    </row>
    <row r="4732" spans="1:14" s="2" customFormat="1">
      <c r="A4732" s="83"/>
      <c r="H4732" s="83"/>
      <c r="K4732" s="82"/>
      <c r="M4732" s="112"/>
      <c r="N4732" s="84"/>
    </row>
    <row r="4733" spans="1:14" s="2" customFormat="1">
      <c r="A4733" s="83"/>
      <c r="H4733" s="83"/>
      <c r="K4733" s="82"/>
      <c r="M4733" s="112"/>
      <c r="N4733" s="84"/>
    </row>
    <row r="4734" spans="1:14" s="2" customFormat="1">
      <c r="A4734" s="83"/>
      <c r="H4734" s="83"/>
      <c r="K4734" s="82"/>
      <c r="M4734" s="112"/>
      <c r="N4734" s="84"/>
    </row>
    <row r="4735" spans="1:14" s="2" customFormat="1">
      <c r="A4735" s="83"/>
      <c r="H4735" s="83"/>
      <c r="K4735" s="82"/>
      <c r="M4735" s="112"/>
      <c r="N4735" s="84"/>
    </row>
    <row r="4736" spans="1:14" s="2" customFormat="1">
      <c r="A4736" s="83"/>
      <c r="H4736" s="83"/>
      <c r="K4736" s="82"/>
      <c r="M4736" s="112"/>
      <c r="N4736" s="84"/>
    </row>
    <row r="4737" spans="1:14" s="2" customFormat="1">
      <c r="A4737" s="83"/>
      <c r="H4737" s="83"/>
      <c r="K4737" s="82"/>
      <c r="M4737" s="112"/>
      <c r="N4737" s="84"/>
    </row>
    <row r="4738" spans="1:14" s="2" customFormat="1">
      <c r="A4738" s="83"/>
      <c r="H4738" s="83"/>
      <c r="K4738" s="82"/>
      <c r="M4738" s="112"/>
      <c r="N4738" s="84"/>
    </row>
    <row r="4739" spans="1:14" s="2" customFormat="1">
      <c r="A4739" s="83"/>
      <c r="H4739" s="83"/>
      <c r="K4739" s="82"/>
      <c r="M4739" s="112"/>
      <c r="N4739" s="84"/>
    </row>
    <row r="4740" spans="1:14" s="2" customFormat="1">
      <c r="A4740" s="83"/>
      <c r="H4740" s="83"/>
      <c r="K4740" s="82"/>
      <c r="M4740" s="112"/>
      <c r="N4740" s="84"/>
    </row>
    <row r="4741" spans="1:14" s="2" customFormat="1">
      <c r="A4741" s="83"/>
      <c r="H4741" s="83"/>
      <c r="K4741" s="82"/>
      <c r="M4741" s="112"/>
      <c r="N4741" s="84"/>
    </row>
    <row r="4742" spans="1:14" s="2" customFormat="1">
      <c r="A4742" s="83"/>
      <c r="H4742" s="83"/>
      <c r="K4742" s="82"/>
      <c r="M4742" s="112"/>
      <c r="N4742" s="84"/>
    </row>
    <row r="4743" spans="1:14" s="2" customFormat="1">
      <c r="A4743" s="83"/>
      <c r="H4743" s="83"/>
      <c r="K4743" s="82"/>
      <c r="M4743" s="112"/>
      <c r="N4743" s="84"/>
    </row>
    <row r="4744" spans="1:14" s="2" customFormat="1">
      <c r="A4744" s="83"/>
      <c r="H4744" s="83"/>
      <c r="K4744" s="82"/>
      <c r="M4744" s="112"/>
      <c r="N4744" s="84"/>
    </row>
    <row r="4745" spans="1:14" s="2" customFormat="1">
      <c r="A4745" s="83"/>
      <c r="H4745" s="83"/>
      <c r="K4745" s="82"/>
      <c r="M4745" s="112"/>
      <c r="N4745" s="84"/>
    </row>
    <row r="4746" spans="1:14" s="2" customFormat="1">
      <c r="A4746" s="83"/>
      <c r="H4746" s="83"/>
      <c r="K4746" s="82"/>
      <c r="M4746" s="112"/>
      <c r="N4746" s="84"/>
    </row>
    <row r="4747" spans="1:14" s="2" customFormat="1">
      <c r="A4747" s="83"/>
      <c r="H4747" s="83"/>
      <c r="K4747" s="82"/>
      <c r="M4747" s="112"/>
      <c r="N4747" s="84"/>
    </row>
    <row r="4748" spans="1:14" s="2" customFormat="1">
      <c r="A4748" s="83"/>
      <c r="H4748" s="83"/>
      <c r="K4748" s="82"/>
      <c r="M4748" s="112"/>
      <c r="N4748" s="84"/>
    </row>
    <row r="4749" spans="1:14" s="2" customFormat="1">
      <c r="A4749" s="83"/>
      <c r="H4749" s="83"/>
      <c r="K4749" s="82"/>
      <c r="M4749" s="112"/>
      <c r="N4749" s="84"/>
    </row>
    <row r="4750" spans="1:14" s="2" customFormat="1">
      <c r="A4750" s="83"/>
      <c r="H4750" s="83"/>
      <c r="K4750" s="82"/>
      <c r="M4750" s="112"/>
      <c r="N4750" s="84"/>
    </row>
    <row r="4751" spans="1:14" s="2" customFormat="1">
      <c r="A4751" s="83"/>
      <c r="H4751" s="83"/>
      <c r="K4751" s="82"/>
      <c r="M4751" s="112"/>
      <c r="N4751" s="84"/>
    </row>
    <row r="4752" spans="1:14" s="2" customFormat="1">
      <c r="A4752" s="83"/>
      <c r="H4752" s="83"/>
      <c r="K4752" s="82"/>
      <c r="M4752" s="112"/>
      <c r="N4752" s="84"/>
    </row>
    <row r="4753" spans="1:14" s="2" customFormat="1">
      <c r="A4753" s="83"/>
      <c r="H4753" s="83"/>
      <c r="K4753" s="82"/>
      <c r="M4753" s="112"/>
      <c r="N4753" s="84"/>
    </row>
    <row r="4754" spans="1:14" s="2" customFormat="1">
      <c r="A4754" s="83"/>
      <c r="H4754" s="83"/>
      <c r="K4754" s="82"/>
      <c r="M4754" s="112"/>
      <c r="N4754" s="84"/>
    </row>
    <row r="4755" spans="1:14" s="2" customFormat="1">
      <c r="A4755" s="83"/>
      <c r="H4755" s="83"/>
      <c r="K4755" s="82"/>
      <c r="M4755" s="112"/>
      <c r="N4755" s="84"/>
    </row>
    <row r="4756" spans="1:14" s="2" customFormat="1">
      <c r="A4756" s="83"/>
      <c r="H4756" s="83"/>
      <c r="K4756" s="82"/>
      <c r="M4756" s="112"/>
      <c r="N4756" s="84"/>
    </row>
    <row r="4757" spans="1:14" s="2" customFormat="1">
      <c r="A4757" s="83"/>
      <c r="H4757" s="83"/>
      <c r="K4757" s="82"/>
      <c r="M4757" s="112"/>
      <c r="N4757" s="84"/>
    </row>
    <row r="4758" spans="1:14" s="2" customFormat="1">
      <c r="A4758" s="83"/>
      <c r="H4758" s="83"/>
      <c r="K4758" s="82"/>
      <c r="M4758" s="112"/>
      <c r="N4758" s="84"/>
    </row>
    <row r="4759" spans="1:14" s="2" customFormat="1">
      <c r="A4759" s="83"/>
      <c r="H4759" s="83"/>
      <c r="K4759" s="82"/>
      <c r="M4759" s="112"/>
      <c r="N4759" s="84"/>
    </row>
    <row r="4760" spans="1:14" s="2" customFormat="1">
      <c r="A4760" s="83"/>
      <c r="H4760" s="83"/>
      <c r="K4760" s="82"/>
      <c r="M4760" s="112"/>
      <c r="N4760" s="84"/>
    </row>
    <row r="4761" spans="1:14" s="2" customFormat="1">
      <c r="A4761" s="83"/>
      <c r="H4761" s="83"/>
      <c r="K4761" s="82"/>
      <c r="M4761" s="112"/>
      <c r="N4761" s="84"/>
    </row>
    <row r="4762" spans="1:14" s="2" customFormat="1">
      <c r="A4762" s="83"/>
      <c r="H4762" s="83"/>
      <c r="K4762" s="82"/>
      <c r="M4762" s="112"/>
      <c r="N4762" s="84"/>
    </row>
    <row r="4763" spans="1:14" s="2" customFormat="1">
      <c r="A4763" s="83"/>
      <c r="H4763" s="83"/>
      <c r="K4763" s="82"/>
      <c r="M4763" s="112"/>
      <c r="N4763" s="84"/>
    </row>
    <row r="4764" spans="1:14" s="2" customFormat="1">
      <c r="A4764" s="83"/>
      <c r="H4764" s="83"/>
      <c r="K4764" s="82"/>
      <c r="M4764" s="112"/>
      <c r="N4764" s="84"/>
    </row>
    <row r="4765" spans="1:14" s="2" customFormat="1">
      <c r="A4765" s="83"/>
      <c r="H4765" s="83"/>
      <c r="K4765" s="82"/>
      <c r="M4765" s="112"/>
      <c r="N4765" s="84"/>
    </row>
    <row r="4766" spans="1:14" s="2" customFormat="1">
      <c r="A4766" s="83"/>
      <c r="H4766" s="83"/>
      <c r="K4766" s="82"/>
      <c r="M4766" s="112"/>
      <c r="N4766" s="84"/>
    </row>
    <row r="4767" spans="1:14" s="2" customFormat="1">
      <c r="A4767" s="83"/>
      <c r="H4767" s="83"/>
      <c r="K4767" s="82"/>
      <c r="M4767" s="112"/>
      <c r="N4767" s="84"/>
    </row>
    <row r="4768" spans="1:14" s="2" customFormat="1">
      <c r="A4768" s="83"/>
      <c r="H4768" s="83"/>
      <c r="K4768" s="82"/>
      <c r="M4768" s="112"/>
      <c r="N4768" s="84"/>
    </row>
    <row r="4769" spans="1:14" s="2" customFormat="1">
      <c r="A4769" s="83"/>
      <c r="H4769" s="83"/>
      <c r="K4769" s="82"/>
      <c r="M4769" s="112"/>
      <c r="N4769" s="84"/>
    </row>
    <row r="4770" spans="1:14" s="2" customFormat="1">
      <c r="A4770" s="83"/>
      <c r="H4770" s="83"/>
      <c r="K4770" s="82"/>
      <c r="M4770" s="112"/>
      <c r="N4770" s="84"/>
    </row>
    <row r="4771" spans="1:14" s="2" customFormat="1">
      <c r="A4771" s="83"/>
      <c r="H4771" s="83"/>
      <c r="K4771" s="82"/>
      <c r="M4771" s="112"/>
      <c r="N4771" s="84"/>
    </row>
    <row r="4772" spans="1:14" s="2" customFormat="1">
      <c r="A4772" s="83"/>
      <c r="H4772" s="83"/>
      <c r="K4772" s="82"/>
      <c r="M4772" s="112"/>
      <c r="N4772" s="84"/>
    </row>
    <row r="4773" spans="1:14" s="2" customFormat="1">
      <c r="A4773" s="83"/>
      <c r="H4773" s="83"/>
      <c r="K4773" s="82"/>
      <c r="M4773" s="112"/>
      <c r="N4773" s="84"/>
    </row>
    <row r="4774" spans="1:14" s="2" customFormat="1">
      <c r="A4774" s="83"/>
      <c r="H4774" s="83"/>
      <c r="K4774" s="82"/>
      <c r="M4774" s="112"/>
      <c r="N4774" s="84"/>
    </row>
    <row r="4775" spans="1:14" s="2" customFormat="1">
      <c r="A4775" s="83"/>
      <c r="H4775" s="83"/>
      <c r="K4775" s="82"/>
      <c r="M4775" s="112"/>
      <c r="N4775" s="84"/>
    </row>
    <row r="4776" spans="1:14" s="2" customFormat="1">
      <c r="A4776" s="83"/>
      <c r="H4776" s="83"/>
      <c r="K4776" s="82"/>
      <c r="M4776" s="112"/>
      <c r="N4776" s="84"/>
    </row>
    <row r="4777" spans="1:14" s="2" customFormat="1">
      <c r="A4777" s="83"/>
      <c r="H4777" s="83"/>
      <c r="K4777" s="82"/>
      <c r="M4777" s="112"/>
      <c r="N4777" s="84"/>
    </row>
    <row r="4778" spans="1:14" s="2" customFormat="1">
      <c r="A4778" s="83"/>
      <c r="H4778" s="83"/>
      <c r="K4778" s="82"/>
      <c r="M4778" s="112"/>
      <c r="N4778" s="84"/>
    </row>
    <row r="4779" spans="1:14" s="2" customFormat="1">
      <c r="A4779" s="83"/>
      <c r="H4779" s="83"/>
      <c r="K4779" s="82"/>
      <c r="M4779" s="112"/>
      <c r="N4779" s="84"/>
    </row>
    <row r="4780" spans="1:14" s="2" customFormat="1">
      <c r="A4780" s="83"/>
      <c r="H4780" s="83"/>
      <c r="K4780" s="82"/>
      <c r="M4780" s="112"/>
      <c r="N4780" s="84"/>
    </row>
    <row r="4781" spans="1:14" s="2" customFormat="1">
      <c r="A4781" s="83"/>
      <c r="H4781" s="83"/>
      <c r="K4781" s="82"/>
      <c r="M4781" s="112"/>
      <c r="N4781" s="84"/>
    </row>
    <row r="4782" spans="1:14" s="2" customFormat="1">
      <c r="A4782" s="83"/>
      <c r="H4782" s="83"/>
      <c r="K4782" s="82"/>
      <c r="M4782" s="112"/>
      <c r="N4782" s="84"/>
    </row>
    <row r="4783" spans="1:14" s="2" customFormat="1">
      <c r="A4783" s="83"/>
      <c r="H4783" s="83"/>
      <c r="K4783" s="82"/>
      <c r="M4783" s="112"/>
      <c r="N4783" s="84"/>
    </row>
    <row r="4784" spans="1:14" s="2" customFormat="1">
      <c r="A4784" s="83"/>
      <c r="H4784" s="83"/>
      <c r="K4784" s="82"/>
      <c r="M4784" s="112"/>
      <c r="N4784" s="84"/>
    </row>
    <row r="4785" spans="1:14" s="2" customFormat="1">
      <c r="A4785" s="83"/>
      <c r="H4785" s="83"/>
      <c r="K4785" s="82"/>
      <c r="M4785" s="112"/>
      <c r="N4785" s="84"/>
    </row>
    <row r="4786" spans="1:14" s="2" customFormat="1">
      <c r="A4786" s="83"/>
      <c r="H4786" s="83"/>
      <c r="K4786" s="82"/>
      <c r="M4786" s="112"/>
      <c r="N4786" s="84"/>
    </row>
    <row r="4787" spans="1:14" s="2" customFormat="1">
      <c r="A4787" s="83"/>
      <c r="H4787" s="83"/>
      <c r="K4787" s="82"/>
      <c r="M4787" s="112"/>
      <c r="N4787" s="84"/>
    </row>
    <row r="4788" spans="1:14" s="2" customFormat="1">
      <c r="A4788" s="83"/>
      <c r="H4788" s="83"/>
      <c r="K4788" s="82"/>
      <c r="M4788" s="112"/>
      <c r="N4788" s="84"/>
    </row>
    <row r="4789" spans="1:14" s="2" customFormat="1">
      <c r="A4789" s="83"/>
      <c r="H4789" s="83"/>
      <c r="K4789" s="82"/>
      <c r="M4789" s="112"/>
      <c r="N4789" s="84"/>
    </row>
    <row r="4790" spans="1:14" s="2" customFormat="1">
      <c r="A4790" s="83"/>
      <c r="H4790" s="83"/>
      <c r="K4790" s="82"/>
      <c r="M4790" s="112"/>
      <c r="N4790" s="84"/>
    </row>
    <row r="4791" spans="1:14" s="2" customFormat="1">
      <c r="A4791" s="83"/>
      <c r="H4791" s="83"/>
      <c r="K4791" s="82"/>
      <c r="M4791" s="112"/>
      <c r="N4791" s="84"/>
    </row>
    <row r="4792" spans="1:14" s="2" customFormat="1">
      <c r="A4792" s="83"/>
      <c r="H4792" s="83"/>
      <c r="K4792" s="82"/>
      <c r="M4792" s="112"/>
      <c r="N4792" s="84"/>
    </row>
    <row r="4793" spans="1:14" s="2" customFormat="1">
      <c r="A4793" s="83"/>
      <c r="H4793" s="83"/>
      <c r="K4793" s="82"/>
      <c r="M4793" s="112"/>
      <c r="N4793" s="84"/>
    </row>
    <row r="4794" spans="1:14" s="2" customFormat="1">
      <c r="A4794" s="83"/>
      <c r="H4794" s="83"/>
      <c r="K4794" s="82"/>
      <c r="M4794" s="112"/>
      <c r="N4794" s="84"/>
    </row>
    <row r="4795" spans="1:14" s="2" customFormat="1">
      <c r="A4795" s="83"/>
      <c r="H4795" s="83"/>
      <c r="K4795" s="82"/>
      <c r="M4795" s="112"/>
      <c r="N4795" s="84"/>
    </row>
    <row r="4796" spans="1:14" s="2" customFormat="1">
      <c r="A4796" s="83"/>
      <c r="H4796" s="83"/>
      <c r="K4796" s="82"/>
      <c r="M4796" s="112"/>
      <c r="N4796" s="84"/>
    </row>
    <row r="4797" spans="1:14" s="2" customFormat="1">
      <c r="A4797" s="83"/>
      <c r="H4797" s="83"/>
      <c r="K4797" s="82"/>
      <c r="M4797" s="112"/>
      <c r="N4797" s="84"/>
    </row>
    <row r="4798" spans="1:14" s="2" customFormat="1">
      <c r="A4798" s="83"/>
      <c r="H4798" s="83"/>
      <c r="K4798" s="82"/>
      <c r="M4798" s="112"/>
      <c r="N4798" s="84"/>
    </row>
    <row r="4799" spans="1:14" s="2" customFormat="1">
      <c r="A4799" s="83"/>
      <c r="H4799" s="83"/>
      <c r="K4799" s="82"/>
      <c r="M4799" s="112"/>
      <c r="N4799" s="84"/>
    </row>
    <row r="4800" spans="1:14" s="2" customFormat="1">
      <c r="A4800" s="83"/>
      <c r="H4800" s="83"/>
      <c r="K4800" s="82"/>
      <c r="M4800" s="112"/>
      <c r="N4800" s="84"/>
    </row>
    <row r="4801" spans="1:14" s="2" customFormat="1">
      <c r="A4801" s="83"/>
      <c r="H4801" s="83"/>
      <c r="K4801" s="82"/>
      <c r="M4801" s="112"/>
      <c r="N4801" s="84"/>
    </row>
    <row r="4802" spans="1:14" s="2" customFormat="1">
      <c r="A4802" s="83"/>
      <c r="H4802" s="83"/>
      <c r="K4802" s="82"/>
      <c r="M4802" s="112"/>
      <c r="N4802" s="84"/>
    </row>
    <row r="4803" spans="1:14" s="2" customFormat="1">
      <c r="A4803" s="83"/>
      <c r="H4803" s="83"/>
      <c r="K4803" s="82"/>
      <c r="M4803" s="112"/>
      <c r="N4803" s="84"/>
    </row>
    <row r="4804" spans="1:14" s="2" customFormat="1">
      <c r="A4804" s="83"/>
      <c r="H4804" s="83"/>
      <c r="K4804" s="82"/>
      <c r="M4804" s="112"/>
      <c r="N4804" s="84"/>
    </row>
    <row r="4805" spans="1:14" s="2" customFormat="1">
      <c r="A4805" s="83"/>
      <c r="H4805" s="83"/>
      <c r="K4805" s="82"/>
      <c r="M4805" s="112"/>
      <c r="N4805" s="84"/>
    </row>
    <row r="4806" spans="1:14" s="2" customFormat="1">
      <c r="A4806" s="83"/>
      <c r="H4806" s="83"/>
      <c r="K4806" s="82"/>
      <c r="M4806" s="112"/>
      <c r="N4806" s="84"/>
    </row>
    <row r="4807" spans="1:14" s="2" customFormat="1">
      <c r="A4807" s="83"/>
      <c r="H4807" s="83"/>
      <c r="K4807" s="82"/>
      <c r="M4807" s="112"/>
      <c r="N4807" s="84"/>
    </row>
    <row r="4808" spans="1:14" s="2" customFormat="1">
      <c r="A4808" s="83"/>
      <c r="H4808" s="83"/>
      <c r="K4808" s="82"/>
      <c r="M4808" s="112"/>
      <c r="N4808" s="84"/>
    </row>
    <row r="4809" spans="1:14" s="2" customFormat="1">
      <c r="A4809" s="83"/>
      <c r="H4809" s="83"/>
      <c r="K4809" s="82"/>
      <c r="M4809" s="112"/>
      <c r="N4809" s="84"/>
    </row>
    <row r="4810" spans="1:14" s="2" customFormat="1">
      <c r="A4810" s="83"/>
      <c r="H4810" s="83"/>
      <c r="K4810" s="82"/>
      <c r="M4810" s="112"/>
      <c r="N4810" s="84"/>
    </row>
    <row r="4811" spans="1:14" s="2" customFormat="1">
      <c r="A4811" s="83"/>
      <c r="H4811" s="83"/>
      <c r="K4811" s="82"/>
      <c r="M4811" s="112"/>
      <c r="N4811" s="84"/>
    </row>
    <row r="4812" spans="1:14" s="2" customFormat="1">
      <c r="A4812" s="83"/>
      <c r="H4812" s="83"/>
      <c r="K4812" s="82"/>
      <c r="M4812" s="112"/>
      <c r="N4812" s="84"/>
    </row>
    <row r="4813" spans="1:14" s="2" customFormat="1">
      <c r="A4813" s="83"/>
      <c r="H4813" s="83"/>
      <c r="K4813" s="82"/>
      <c r="M4813" s="112"/>
      <c r="N4813" s="84"/>
    </row>
    <row r="4814" spans="1:14" s="2" customFormat="1">
      <c r="A4814" s="83"/>
      <c r="H4814" s="83"/>
      <c r="K4814" s="82"/>
      <c r="M4814" s="112"/>
      <c r="N4814" s="84"/>
    </row>
    <row r="4815" spans="1:14" s="2" customFormat="1">
      <c r="A4815" s="83"/>
      <c r="H4815" s="83"/>
      <c r="K4815" s="82"/>
      <c r="M4815" s="112"/>
      <c r="N4815" s="84"/>
    </row>
    <row r="4816" spans="1:14" s="2" customFormat="1">
      <c r="A4816" s="83"/>
      <c r="H4816" s="83"/>
      <c r="K4816" s="82"/>
      <c r="M4816" s="112"/>
      <c r="N4816" s="84"/>
    </row>
    <row r="4817" spans="1:14" s="2" customFormat="1">
      <c r="A4817" s="83"/>
      <c r="H4817" s="83"/>
      <c r="K4817" s="82"/>
      <c r="M4817" s="112"/>
      <c r="N4817" s="84"/>
    </row>
    <row r="4818" spans="1:14" s="2" customFormat="1">
      <c r="A4818" s="83"/>
      <c r="H4818" s="83"/>
      <c r="K4818" s="82"/>
      <c r="M4818" s="112"/>
      <c r="N4818" s="84"/>
    </row>
    <row r="4819" spans="1:14" s="2" customFormat="1">
      <c r="A4819" s="83"/>
      <c r="H4819" s="83"/>
      <c r="K4819" s="82"/>
      <c r="M4819" s="112"/>
      <c r="N4819" s="84"/>
    </row>
    <row r="4820" spans="1:14" s="2" customFormat="1">
      <c r="A4820" s="83"/>
      <c r="H4820" s="83"/>
      <c r="K4820" s="82"/>
      <c r="M4820" s="112"/>
      <c r="N4820" s="84"/>
    </row>
    <row r="4821" spans="1:14" s="2" customFormat="1">
      <c r="A4821" s="83"/>
      <c r="H4821" s="83"/>
      <c r="K4821" s="82"/>
      <c r="M4821" s="112"/>
      <c r="N4821" s="84"/>
    </row>
    <row r="4822" spans="1:14" s="2" customFormat="1">
      <c r="A4822" s="83"/>
      <c r="H4822" s="83"/>
      <c r="K4822" s="82"/>
      <c r="M4822" s="112"/>
      <c r="N4822" s="84"/>
    </row>
    <row r="4823" spans="1:14" s="2" customFormat="1">
      <c r="A4823" s="83"/>
      <c r="H4823" s="83"/>
      <c r="K4823" s="82"/>
      <c r="M4823" s="112"/>
      <c r="N4823" s="84"/>
    </row>
    <row r="4824" spans="1:14" s="2" customFormat="1">
      <c r="A4824" s="83"/>
      <c r="H4824" s="83"/>
      <c r="K4824" s="82"/>
      <c r="M4824" s="112"/>
      <c r="N4824" s="84"/>
    </row>
    <row r="4825" spans="1:14" s="2" customFormat="1">
      <c r="A4825" s="83"/>
      <c r="H4825" s="83"/>
      <c r="K4825" s="82"/>
      <c r="M4825" s="112"/>
      <c r="N4825" s="84"/>
    </row>
    <row r="4826" spans="1:14" s="2" customFormat="1">
      <c r="A4826" s="83"/>
      <c r="H4826" s="83"/>
      <c r="K4826" s="82"/>
      <c r="M4826" s="112"/>
      <c r="N4826" s="84"/>
    </row>
    <row r="4827" spans="1:14" s="2" customFormat="1">
      <c r="A4827" s="83"/>
      <c r="H4827" s="83"/>
      <c r="K4827" s="82"/>
      <c r="M4827" s="112"/>
      <c r="N4827" s="84"/>
    </row>
    <row r="4828" spans="1:14" s="2" customFormat="1">
      <c r="A4828" s="83"/>
      <c r="H4828" s="83"/>
      <c r="K4828" s="82"/>
      <c r="M4828" s="112"/>
      <c r="N4828" s="84"/>
    </row>
    <row r="4829" spans="1:14" s="2" customFormat="1">
      <c r="A4829" s="83"/>
      <c r="H4829" s="83"/>
      <c r="K4829" s="82"/>
      <c r="M4829" s="112"/>
      <c r="N4829" s="84"/>
    </row>
    <row r="4830" spans="1:14" s="2" customFormat="1">
      <c r="A4830" s="83"/>
      <c r="H4830" s="83"/>
      <c r="K4830" s="82"/>
      <c r="M4830" s="112"/>
      <c r="N4830" s="84"/>
    </row>
    <row r="4831" spans="1:14" s="2" customFormat="1">
      <c r="A4831" s="83"/>
      <c r="H4831" s="83"/>
      <c r="K4831" s="82"/>
      <c r="M4831" s="112"/>
      <c r="N4831" s="84"/>
    </row>
    <row r="4832" spans="1:14" s="2" customFormat="1">
      <c r="A4832" s="83"/>
      <c r="H4832" s="83"/>
      <c r="K4832" s="82"/>
      <c r="M4832" s="112"/>
      <c r="N4832" s="84"/>
    </row>
    <row r="4833" spans="1:14" s="2" customFormat="1">
      <c r="A4833" s="83"/>
      <c r="H4833" s="83"/>
      <c r="K4833" s="82"/>
      <c r="M4833" s="112"/>
      <c r="N4833" s="84"/>
    </row>
    <row r="4834" spans="1:14" s="2" customFormat="1">
      <c r="A4834" s="83"/>
      <c r="H4834" s="83"/>
      <c r="K4834" s="82"/>
      <c r="M4834" s="112"/>
      <c r="N4834" s="84"/>
    </row>
    <row r="4835" spans="1:14" s="2" customFormat="1">
      <c r="A4835" s="83"/>
      <c r="H4835" s="83"/>
      <c r="K4835" s="82"/>
      <c r="M4835" s="112"/>
      <c r="N4835" s="84"/>
    </row>
    <row r="4836" spans="1:14" s="2" customFormat="1">
      <c r="A4836" s="83"/>
      <c r="H4836" s="83"/>
      <c r="K4836" s="82"/>
      <c r="M4836" s="112"/>
      <c r="N4836" s="84"/>
    </row>
    <row r="4837" spans="1:14" s="2" customFormat="1">
      <c r="A4837" s="83"/>
      <c r="H4837" s="83"/>
      <c r="K4837" s="82"/>
      <c r="M4837" s="112"/>
      <c r="N4837" s="84"/>
    </row>
    <row r="4838" spans="1:14" s="2" customFormat="1">
      <c r="A4838" s="83"/>
      <c r="H4838" s="83"/>
      <c r="K4838" s="82"/>
      <c r="M4838" s="112"/>
      <c r="N4838" s="84"/>
    </row>
    <row r="4839" spans="1:14" s="2" customFormat="1">
      <c r="A4839" s="83"/>
      <c r="H4839" s="83"/>
      <c r="K4839" s="82"/>
      <c r="M4839" s="112"/>
      <c r="N4839" s="84"/>
    </row>
    <row r="4840" spans="1:14" s="2" customFormat="1">
      <c r="A4840" s="83"/>
      <c r="H4840" s="83"/>
      <c r="K4840" s="82"/>
      <c r="M4840" s="112"/>
      <c r="N4840" s="84"/>
    </row>
    <row r="4841" spans="1:14" s="2" customFormat="1">
      <c r="A4841" s="83"/>
      <c r="H4841" s="83"/>
      <c r="K4841" s="82"/>
      <c r="M4841" s="112"/>
      <c r="N4841" s="84"/>
    </row>
    <row r="4842" spans="1:14" s="2" customFormat="1">
      <c r="A4842" s="83"/>
      <c r="H4842" s="83"/>
      <c r="K4842" s="82"/>
      <c r="M4842" s="112"/>
      <c r="N4842" s="84"/>
    </row>
    <row r="4843" spans="1:14" s="2" customFormat="1">
      <c r="A4843" s="83"/>
      <c r="H4843" s="83"/>
      <c r="K4843" s="82"/>
      <c r="M4843" s="112"/>
      <c r="N4843" s="84"/>
    </row>
    <row r="4844" spans="1:14" s="2" customFormat="1">
      <c r="A4844" s="83"/>
      <c r="H4844" s="83"/>
      <c r="K4844" s="82"/>
      <c r="M4844" s="112"/>
      <c r="N4844" s="84"/>
    </row>
    <row r="4845" spans="1:14" s="2" customFormat="1">
      <c r="A4845" s="83"/>
      <c r="H4845" s="83"/>
      <c r="K4845" s="82"/>
      <c r="M4845" s="112"/>
      <c r="N4845" s="84"/>
    </row>
    <row r="4846" spans="1:14" s="2" customFormat="1">
      <c r="A4846" s="83"/>
      <c r="H4846" s="83"/>
      <c r="K4846" s="82"/>
      <c r="M4846" s="112"/>
      <c r="N4846" s="84"/>
    </row>
    <row r="4847" spans="1:14" s="2" customFormat="1">
      <c r="A4847" s="83"/>
      <c r="H4847" s="83"/>
      <c r="K4847" s="82"/>
      <c r="M4847" s="112"/>
      <c r="N4847" s="84"/>
    </row>
    <row r="4848" spans="1:14" s="2" customFormat="1">
      <c r="A4848" s="83"/>
      <c r="H4848" s="83"/>
      <c r="K4848" s="82"/>
      <c r="M4848" s="112"/>
      <c r="N4848" s="84"/>
    </row>
    <row r="4849" spans="1:14" s="2" customFormat="1">
      <c r="A4849" s="83"/>
      <c r="H4849" s="83"/>
      <c r="K4849" s="82"/>
      <c r="M4849" s="112"/>
      <c r="N4849" s="84"/>
    </row>
    <row r="4850" spans="1:14" s="2" customFormat="1">
      <c r="A4850" s="83"/>
      <c r="H4850" s="83"/>
      <c r="K4850" s="82"/>
      <c r="M4850" s="112"/>
      <c r="N4850" s="84"/>
    </row>
    <row r="4851" spans="1:14" s="2" customFormat="1">
      <c r="A4851" s="83"/>
      <c r="H4851" s="83"/>
      <c r="K4851" s="82"/>
      <c r="M4851" s="112"/>
      <c r="N4851" s="84"/>
    </row>
    <row r="4852" spans="1:14" s="2" customFormat="1">
      <c r="A4852" s="83"/>
      <c r="H4852" s="83"/>
      <c r="K4852" s="82"/>
      <c r="M4852" s="112"/>
      <c r="N4852" s="84"/>
    </row>
    <row r="4853" spans="1:14" s="2" customFormat="1">
      <c r="A4853" s="83"/>
      <c r="H4853" s="83"/>
      <c r="K4853" s="82"/>
      <c r="M4853" s="112"/>
      <c r="N4853" s="84"/>
    </row>
    <row r="4854" spans="1:14" s="2" customFormat="1">
      <c r="A4854" s="83"/>
      <c r="H4854" s="83"/>
      <c r="K4854" s="82"/>
      <c r="M4854" s="112"/>
      <c r="N4854" s="84"/>
    </row>
    <row r="4855" spans="1:14" s="2" customFormat="1">
      <c r="A4855" s="83"/>
      <c r="H4855" s="83"/>
      <c r="K4855" s="82"/>
      <c r="M4855" s="112"/>
      <c r="N4855" s="84"/>
    </row>
    <row r="4856" spans="1:14" s="2" customFormat="1">
      <c r="A4856" s="83"/>
      <c r="H4856" s="83"/>
      <c r="K4856" s="82"/>
      <c r="M4856" s="112"/>
      <c r="N4856" s="84"/>
    </row>
    <row r="4857" spans="1:14" s="2" customFormat="1">
      <c r="A4857" s="83"/>
      <c r="H4857" s="83"/>
      <c r="K4857" s="82"/>
      <c r="M4857" s="112"/>
      <c r="N4857" s="84"/>
    </row>
    <row r="4858" spans="1:14" s="2" customFormat="1">
      <c r="A4858" s="83"/>
      <c r="H4858" s="83"/>
      <c r="K4858" s="82"/>
      <c r="M4858" s="112"/>
      <c r="N4858" s="84"/>
    </row>
    <row r="4859" spans="1:14" s="2" customFormat="1">
      <c r="A4859" s="83"/>
      <c r="H4859" s="83"/>
      <c r="K4859" s="82"/>
      <c r="M4859" s="112"/>
      <c r="N4859" s="84"/>
    </row>
    <row r="4860" spans="1:14" s="2" customFormat="1">
      <c r="A4860" s="83"/>
      <c r="H4860" s="83"/>
      <c r="K4860" s="82"/>
      <c r="M4860" s="112"/>
      <c r="N4860" s="84"/>
    </row>
    <row r="4861" spans="1:14" s="2" customFormat="1">
      <c r="A4861" s="83"/>
      <c r="H4861" s="83"/>
      <c r="K4861" s="82"/>
      <c r="M4861" s="112"/>
      <c r="N4861" s="84"/>
    </row>
    <row r="4862" spans="1:14" s="2" customFormat="1">
      <c r="A4862" s="83"/>
      <c r="H4862" s="83"/>
      <c r="K4862" s="82"/>
      <c r="M4862" s="112"/>
      <c r="N4862" s="84"/>
    </row>
    <row r="4863" spans="1:14" s="2" customFormat="1">
      <c r="A4863" s="83"/>
      <c r="H4863" s="83"/>
      <c r="K4863" s="82"/>
      <c r="M4863" s="112"/>
      <c r="N4863" s="84"/>
    </row>
    <row r="4864" spans="1:14" s="2" customFormat="1">
      <c r="A4864" s="83"/>
      <c r="H4864" s="83"/>
      <c r="K4864" s="82"/>
      <c r="M4864" s="112"/>
      <c r="N4864" s="84"/>
    </row>
    <row r="4865" spans="1:14" s="2" customFormat="1">
      <c r="A4865" s="83"/>
      <c r="H4865" s="83"/>
      <c r="K4865" s="82"/>
      <c r="M4865" s="112"/>
      <c r="N4865" s="84"/>
    </row>
    <row r="4866" spans="1:14" s="2" customFormat="1">
      <c r="A4866" s="83"/>
      <c r="H4866" s="83"/>
      <c r="K4866" s="82"/>
      <c r="M4866" s="112"/>
      <c r="N4866" s="84"/>
    </row>
    <row r="4867" spans="1:14" s="2" customFormat="1">
      <c r="A4867" s="83"/>
      <c r="H4867" s="83"/>
      <c r="K4867" s="82"/>
      <c r="M4867" s="112"/>
      <c r="N4867" s="84"/>
    </row>
    <row r="4868" spans="1:14" s="2" customFormat="1">
      <c r="A4868" s="83"/>
      <c r="H4868" s="83"/>
      <c r="K4868" s="82"/>
      <c r="M4868" s="112"/>
      <c r="N4868" s="84"/>
    </row>
    <row r="4869" spans="1:14" s="2" customFormat="1">
      <c r="A4869" s="83"/>
      <c r="H4869" s="83"/>
      <c r="K4869" s="82"/>
      <c r="M4869" s="112"/>
      <c r="N4869" s="84"/>
    </row>
    <row r="4870" spans="1:14" s="2" customFormat="1">
      <c r="A4870" s="83"/>
      <c r="H4870" s="83"/>
      <c r="K4870" s="82"/>
      <c r="M4870" s="112"/>
      <c r="N4870" s="84"/>
    </row>
    <row r="4871" spans="1:14" s="2" customFormat="1">
      <c r="A4871" s="83"/>
      <c r="H4871" s="83"/>
      <c r="K4871" s="82"/>
      <c r="M4871" s="112"/>
      <c r="N4871" s="84"/>
    </row>
    <row r="4872" spans="1:14" s="2" customFormat="1">
      <c r="A4872" s="83"/>
      <c r="H4872" s="83"/>
      <c r="K4872" s="82"/>
      <c r="M4872" s="112"/>
      <c r="N4872" s="84"/>
    </row>
    <row r="4873" spans="1:14" s="2" customFormat="1">
      <c r="A4873" s="83"/>
      <c r="H4873" s="83"/>
      <c r="K4873" s="82"/>
      <c r="M4873" s="112"/>
      <c r="N4873" s="84"/>
    </row>
    <row r="4874" spans="1:14" s="2" customFormat="1">
      <c r="A4874" s="83"/>
      <c r="H4874" s="83"/>
      <c r="K4874" s="82"/>
      <c r="M4874" s="112"/>
      <c r="N4874" s="84"/>
    </row>
    <row r="4875" spans="1:14" s="2" customFormat="1">
      <c r="A4875" s="83"/>
      <c r="H4875" s="83"/>
      <c r="K4875" s="82"/>
      <c r="M4875" s="112"/>
      <c r="N4875" s="84"/>
    </row>
    <row r="4876" spans="1:14" s="2" customFormat="1">
      <c r="A4876" s="83"/>
      <c r="H4876" s="83"/>
      <c r="K4876" s="82"/>
      <c r="M4876" s="112"/>
      <c r="N4876" s="84"/>
    </row>
    <row r="4877" spans="1:14" s="2" customFormat="1">
      <c r="A4877" s="83"/>
      <c r="H4877" s="83"/>
      <c r="K4877" s="82"/>
      <c r="M4877" s="112"/>
      <c r="N4877" s="84"/>
    </row>
    <row r="4878" spans="1:14" s="2" customFormat="1">
      <c r="A4878" s="83"/>
      <c r="H4878" s="83"/>
      <c r="K4878" s="82"/>
      <c r="M4878" s="112"/>
      <c r="N4878" s="84"/>
    </row>
    <row r="4879" spans="1:14" s="2" customFormat="1">
      <c r="A4879" s="83"/>
      <c r="H4879" s="83"/>
      <c r="K4879" s="82"/>
      <c r="M4879" s="112"/>
      <c r="N4879" s="84"/>
    </row>
    <row r="4880" spans="1:14" s="2" customFormat="1">
      <c r="A4880" s="83"/>
      <c r="H4880" s="83"/>
      <c r="K4880" s="82"/>
      <c r="M4880" s="112"/>
      <c r="N4880" s="84"/>
    </row>
    <row r="4881" spans="1:14" s="2" customFormat="1">
      <c r="A4881" s="83"/>
      <c r="H4881" s="83"/>
      <c r="K4881" s="82"/>
      <c r="M4881" s="112"/>
      <c r="N4881" s="84"/>
    </row>
    <row r="4882" spans="1:14" s="2" customFormat="1">
      <c r="A4882" s="83"/>
      <c r="H4882" s="83"/>
      <c r="K4882" s="82"/>
      <c r="M4882" s="112"/>
      <c r="N4882" s="84"/>
    </row>
    <row r="4883" spans="1:14" s="2" customFormat="1">
      <c r="A4883" s="83"/>
      <c r="H4883" s="83"/>
      <c r="K4883" s="82"/>
      <c r="M4883" s="112"/>
      <c r="N4883" s="84"/>
    </row>
    <row r="4884" spans="1:14" s="2" customFormat="1">
      <c r="A4884" s="83"/>
      <c r="H4884" s="83"/>
      <c r="K4884" s="82"/>
      <c r="M4884" s="112"/>
      <c r="N4884" s="84"/>
    </row>
    <row r="4885" spans="1:14" s="2" customFormat="1">
      <c r="A4885" s="83"/>
      <c r="H4885" s="83"/>
      <c r="K4885" s="82"/>
      <c r="M4885" s="112"/>
      <c r="N4885" s="84"/>
    </row>
    <row r="4886" spans="1:14" s="2" customFormat="1">
      <c r="A4886" s="83"/>
      <c r="H4886" s="83"/>
      <c r="K4886" s="82"/>
      <c r="M4886" s="112"/>
      <c r="N4886" s="84"/>
    </row>
    <row r="4887" spans="1:14" s="2" customFormat="1">
      <c r="A4887" s="83"/>
      <c r="H4887" s="83"/>
      <c r="K4887" s="82"/>
      <c r="M4887" s="112"/>
      <c r="N4887" s="84"/>
    </row>
    <row r="4888" spans="1:14" s="2" customFormat="1">
      <c r="A4888" s="83"/>
      <c r="H4888" s="83"/>
      <c r="K4888" s="82"/>
      <c r="M4888" s="112"/>
      <c r="N4888" s="84"/>
    </row>
    <row r="4889" spans="1:14" s="2" customFormat="1">
      <c r="A4889" s="83"/>
      <c r="H4889" s="83"/>
      <c r="K4889" s="82"/>
      <c r="M4889" s="112"/>
      <c r="N4889" s="84"/>
    </row>
    <row r="4890" spans="1:14" s="2" customFormat="1">
      <c r="A4890" s="83"/>
      <c r="H4890" s="83"/>
      <c r="K4890" s="82"/>
      <c r="M4890" s="112"/>
      <c r="N4890" s="84"/>
    </row>
    <row r="4891" spans="1:14" s="2" customFormat="1">
      <c r="A4891" s="83"/>
      <c r="H4891" s="83"/>
      <c r="K4891" s="82"/>
      <c r="M4891" s="112"/>
      <c r="N4891" s="84"/>
    </row>
    <row r="4892" spans="1:14" s="2" customFormat="1">
      <c r="A4892" s="83"/>
      <c r="H4892" s="83"/>
      <c r="K4892" s="82"/>
      <c r="M4892" s="112"/>
      <c r="N4892" s="84"/>
    </row>
    <row r="4893" spans="1:14" s="2" customFormat="1">
      <c r="A4893" s="83"/>
      <c r="H4893" s="83"/>
      <c r="K4893" s="82"/>
      <c r="M4893" s="112"/>
      <c r="N4893" s="84"/>
    </row>
    <row r="4894" spans="1:14" s="2" customFormat="1">
      <c r="A4894" s="83"/>
      <c r="H4894" s="83"/>
      <c r="K4894" s="82"/>
      <c r="M4894" s="112"/>
      <c r="N4894" s="84"/>
    </row>
    <row r="4895" spans="1:14" s="2" customFormat="1">
      <c r="A4895" s="83"/>
      <c r="H4895" s="83"/>
      <c r="K4895" s="82"/>
      <c r="M4895" s="112"/>
      <c r="N4895" s="84"/>
    </row>
    <row r="4896" spans="1:14" s="2" customFormat="1">
      <c r="A4896" s="83"/>
      <c r="H4896" s="83"/>
      <c r="K4896" s="82"/>
      <c r="M4896" s="112"/>
      <c r="N4896" s="84"/>
    </row>
    <row r="4897" spans="1:14" s="2" customFormat="1">
      <c r="A4897" s="83"/>
      <c r="H4897" s="83"/>
      <c r="K4897" s="82"/>
      <c r="M4897" s="112"/>
      <c r="N4897" s="84"/>
    </row>
    <row r="4898" spans="1:14" s="2" customFormat="1">
      <c r="A4898" s="83"/>
      <c r="H4898" s="83"/>
      <c r="K4898" s="82"/>
      <c r="M4898" s="112"/>
      <c r="N4898" s="84"/>
    </row>
    <row r="4899" spans="1:14" s="2" customFormat="1">
      <c r="A4899" s="83"/>
      <c r="H4899" s="83"/>
      <c r="K4899" s="82"/>
      <c r="M4899" s="112"/>
      <c r="N4899" s="84"/>
    </row>
    <row r="4900" spans="1:14" s="2" customFormat="1">
      <c r="A4900" s="83"/>
      <c r="H4900" s="83"/>
      <c r="K4900" s="82"/>
      <c r="M4900" s="112"/>
      <c r="N4900" s="84"/>
    </row>
    <row r="4901" spans="1:14" s="2" customFormat="1">
      <c r="A4901" s="83"/>
      <c r="H4901" s="83"/>
      <c r="K4901" s="82"/>
      <c r="M4901" s="112"/>
      <c r="N4901" s="84"/>
    </row>
    <row r="4902" spans="1:14" s="2" customFormat="1">
      <c r="A4902" s="83"/>
      <c r="H4902" s="83"/>
      <c r="K4902" s="82"/>
      <c r="M4902" s="112"/>
      <c r="N4902" s="84"/>
    </row>
    <row r="4903" spans="1:14" s="2" customFormat="1">
      <c r="A4903" s="83"/>
      <c r="H4903" s="83"/>
      <c r="K4903" s="82"/>
      <c r="M4903" s="112"/>
      <c r="N4903" s="84"/>
    </row>
    <row r="4904" spans="1:14" s="2" customFormat="1">
      <c r="A4904" s="83"/>
      <c r="H4904" s="83"/>
      <c r="K4904" s="82"/>
      <c r="M4904" s="112"/>
      <c r="N4904" s="84"/>
    </row>
    <row r="4905" spans="1:14" s="2" customFormat="1">
      <c r="A4905" s="83"/>
      <c r="H4905" s="83"/>
      <c r="K4905" s="82"/>
      <c r="M4905" s="112"/>
      <c r="N4905" s="84"/>
    </row>
    <row r="4906" spans="1:14" s="2" customFormat="1">
      <c r="A4906" s="83"/>
      <c r="H4906" s="83"/>
      <c r="K4906" s="82"/>
      <c r="M4906" s="112"/>
      <c r="N4906" s="84"/>
    </row>
    <row r="4907" spans="1:14" s="2" customFormat="1">
      <c r="A4907" s="83"/>
      <c r="H4907" s="83"/>
      <c r="K4907" s="82"/>
      <c r="M4907" s="112"/>
      <c r="N4907" s="84"/>
    </row>
    <row r="4908" spans="1:14" s="2" customFormat="1">
      <c r="A4908" s="83"/>
      <c r="H4908" s="83"/>
      <c r="K4908" s="82"/>
      <c r="M4908" s="112"/>
      <c r="N4908" s="84"/>
    </row>
    <row r="4909" spans="1:14" s="2" customFormat="1">
      <c r="A4909" s="83"/>
      <c r="H4909" s="83"/>
      <c r="K4909" s="82"/>
      <c r="M4909" s="112"/>
      <c r="N4909" s="84"/>
    </row>
    <row r="4910" spans="1:14" s="2" customFormat="1">
      <c r="A4910" s="83"/>
      <c r="H4910" s="83"/>
      <c r="K4910" s="82"/>
      <c r="M4910" s="112"/>
      <c r="N4910" s="84"/>
    </row>
    <row r="4911" spans="1:14" s="2" customFormat="1">
      <c r="A4911" s="83"/>
      <c r="H4911" s="83"/>
      <c r="K4911" s="82"/>
      <c r="M4911" s="112"/>
      <c r="N4911" s="84"/>
    </row>
    <row r="4912" spans="1:14" s="2" customFormat="1">
      <c r="A4912" s="83"/>
      <c r="H4912" s="83"/>
      <c r="K4912" s="82"/>
      <c r="M4912" s="112"/>
      <c r="N4912" s="84"/>
    </row>
    <row r="4913" spans="1:14" s="2" customFormat="1">
      <c r="A4913" s="83"/>
      <c r="H4913" s="83"/>
      <c r="K4913" s="82"/>
      <c r="M4913" s="112"/>
      <c r="N4913" s="84"/>
    </row>
    <row r="4914" spans="1:14" s="2" customFormat="1">
      <c r="A4914" s="83"/>
      <c r="H4914" s="83"/>
      <c r="K4914" s="82"/>
      <c r="M4914" s="112"/>
      <c r="N4914" s="84"/>
    </row>
    <row r="4915" spans="1:14" s="2" customFormat="1">
      <c r="A4915" s="83"/>
      <c r="H4915" s="83"/>
      <c r="K4915" s="82"/>
      <c r="M4915" s="112"/>
      <c r="N4915" s="84"/>
    </row>
    <row r="4916" spans="1:14" s="2" customFormat="1">
      <c r="A4916" s="83"/>
      <c r="H4916" s="83"/>
      <c r="K4916" s="82"/>
      <c r="M4916" s="112"/>
      <c r="N4916" s="84"/>
    </row>
    <row r="4917" spans="1:14" s="2" customFormat="1">
      <c r="A4917" s="83"/>
      <c r="H4917" s="83"/>
      <c r="K4917" s="82"/>
      <c r="M4917" s="112"/>
      <c r="N4917" s="84"/>
    </row>
    <row r="4918" spans="1:14" s="2" customFormat="1">
      <c r="A4918" s="83"/>
      <c r="H4918" s="83"/>
      <c r="K4918" s="82"/>
      <c r="M4918" s="112"/>
      <c r="N4918" s="84"/>
    </row>
    <row r="4919" spans="1:14" s="2" customFormat="1">
      <c r="A4919" s="83"/>
      <c r="H4919" s="83"/>
      <c r="K4919" s="82"/>
      <c r="M4919" s="112"/>
      <c r="N4919" s="84"/>
    </row>
    <row r="4920" spans="1:14" s="2" customFormat="1">
      <c r="A4920" s="83"/>
      <c r="H4920" s="83"/>
      <c r="K4920" s="82"/>
      <c r="M4920" s="112"/>
      <c r="N4920" s="84"/>
    </row>
    <row r="4921" spans="1:14" s="2" customFormat="1">
      <c r="A4921" s="83"/>
      <c r="H4921" s="83"/>
      <c r="K4921" s="82"/>
      <c r="M4921" s="112"/>
      <c r="N4921" s="84"/>
    </row>
    <row r="4922" spans="1:14" s="2" customFormat="1">
      <c r="A4922" s="83"/>
      <c r="H4922" s="83"/>
      <c r="K4922" s="82"/>
      <c r="M4922" s="112"/>
      <c r="N4922" s="84"/>
    </row>
    <row r="4923" spans="1:14" s="2" customFormat="1">
      <c r="A4923" s="83"/>
      <c r="H4923" s="83"/>
      <c r="K4923" s="82"/>
      <c r="M4923" s="112"/>
      <c r="N4923" s="84"/>
    </row>
    <row r="4924" spans="1:14" s="2" customFormat="1">
      <c r="A4924" s="83"/>
      <c r="H4924" s="83"/>
      <c r="K4924" s="82"/>
      <c r="M4924" s="112"/>
      <c r="N4924" s="84"/>
    </row>
    <row r="4925" spans="1:14" s="2" customFormat="1">
      <c r="A4925" s="83"/>
      <c r="H4925" s="83"/>
      <c r="K4925" s="82"/>
      <c r="M4925" s="112"/>
      <c r="N4925" s="84"/>
    </row>
    <row r="4926" spans="1:14" s="2" customFormat="1">
      <c r="A4926" s="83"/>
      <c r="H4926" s="83"/>
      <c r="K4926" s="82"/>
      <c r="M4926" s="112"/>
      <c r="N4926" s="84"/>
    </row>
    <row r="4927" spans="1:14" s="2" customFormat="1">
      <c r="A4927" s="83"/>
      <c r="H4927" s="83"/>
      <c r="K4927" s="82"/>
      <c r="M4927" s="112"/>
      <c r="N4927" s="84"/>
    </row>
    <row r="4928" spans="1:14" s="2" customFormat="1">
      <c r="A4928" s="83"/>
      <c r="H4928" s="83"/>
      <c r="K4928" s="82"/>
      <c r="M4928" s="112"/>
      <c r="N4928" s="84"/>
    </row>
    <row r="4929" spans="1:14" s="2" customFormat="1">
      <c r="A4929" s="83"/>
      <c r="H4929" s="83"/>
      <c r="K4929" s="82"/>
      <c r="M4929" s="112"/>
      <c r="N4929" s="84"/>
    </row>
    <row r="4930" spans="1:14" s="2" customFormat="1">
      <c r="A4930" s="83"/>
      <c r="H4930" s="83"/>
      <c r="K4930" s="82"/>
      <c r="M4930" s="112"/>
      <c r="N4930" s="84"/>
    </row>
    <row r="4931" spans="1:14" s="2" customFormat="1">
      <c r="A4931" s="83"/>
      <c r="H4931" s="83"/>
      <c r="K4931" s="82"/>
      <c r="M4931" s="112"/>
      <c r="N4931" s="84"/>
    </row>
    <row r="4932" spans="1:14" s="2" customFormat="1">
      <c r="A4932" s="83"/>
      <c r="H4932" s="83"/>
      <c r="K4932" s="82"/>
      <c r="M4932" s="112"/>
      <c r="N4932" s="84"/>
    </row>
    <row r="4933" spans="1:14" s="2" customFormat="1">
      <c r="A4933" s="83"/>
      <c r="H4933" s="83"/>
      <c r="K4933" s="82"/>
      <c r="M4933" s="112"/>
      <c r="N4933" s="84"/>
    </row>
    <row r="4934" spans="1:14" s="2" customFormat="1">
      <c r="A4934" s="83"/>
      <c r="H4934" s="83"/>
      <c r="K4934" s="82"/>
      <c r="M4934" s="112"/>
      <c r="N4934" s="84"/>
    </row>
    <row r="4935" spans="1:14" s="2" customFormat="1">
      <c r="A4935" s="83"/>
      <c r="H4935" s="83"/>
      <c r="K4935" s="82"/>
      <c r="M4935" s="112"/>
      <c r="N4935" s="84"/>
    </row>
    <row r="4936" spans="1:14" s="2" customFormat="1">
      <c r="A4936" s="83"/>
      <c r="H4936" s="83"/>
      <c r="K4936" s="82"/>
      <c r="M4936" s="112"/>
      <c r="N4936" s="84"/>
    </row>
    <row r="4937" spans="1:14" s="2" customFormat="1">
      <c r="A4937" s="83"/>
      <c r="H4937" s="83"/>
      <c r="K4937" s="82"/>
      <c r="M4937" s="112"/>
      <c r="N4937" s="84"/>
    </row>
    <row r="4938" spans="1:14" s="2" customFormat="1">
      <c r="A4938" s="83"/>
      <c r="H4938" s="83"/>
      <c r="K4938" s="82"/>
      <c r="M4938" s="112"/>
      <c r="N4938" s="84"/>
    </row>
    <row r="4939" spans="1:14" s="2" customFormat="1">
      <c r="A4939" s="83"/>
      <c r="H4939" s="83"/>
      <c r="K4939" s="82"/>
      <c r="M4939" s="112"/>
      <c r="N4939" s="84"/>
    </row>
    <row r="4940" spans="1:14" s="2" customFormat="1">
      <c r="A4940" s="83"/>
      <c r="H4940" s="83"/>
      <c r="K4940" s="82"/>
      <c r="M4940" s="112"/>
      <c r="N4940" s="84"/>
    </row>
    <row r="4941" spans="1:14" s="2" customFormat="1">
      <c r="A4941" s="83"/>
      <c r="H4941" s="83"/>
      <c r="K4941" s="82"/>
      <c r="M4941" s="112"/>
      <c r="N4941" s="84"/>
    </row>
    <row r="4942" spans="1:14" s="2" customFormat="1">
      <c r="A4942" s="83"/>
      <c r="H4942" s="83"/>
      <c r="K4942" s="82"/>
      <c r="M4942" s="112"/>
      <c r="N4942" s="84"/>
    </row>
    <row r="4943" spans="1:14" s="2" customFormat="1">
      <c r="A4943" s="83"/>
      <c r="H4943" s="83"/>
      <c r="K4943" s="82"/>
      <c r="M4943" s="112"/>
      <c r="N4943" s="84"/>
    </row>
    <row r="4944" spans="1:14" s="2" customFormat="1">
      <c r="A4944" s="83"/>
      <c r="H4944" s="83"/>
      <c r="K4944" s="82"/>
      <c r="M4944" s="112"/>
      <c r="N4944" s="84"/>
    </row>
    <row r="4945" spans="1:14" s="2" customFormat="1">
      <c r="A4945" s="83"/>
      <c r="H4945" s="83"/>
      <c r="K4945" s="82"/>
      <c r="M4945" s="112"/>
      <c r="N4945" s="84"/>
    </row>
    <row r="4946" spans="1:14" s="2" customFormat="1">
      <c r="A4946" s="83"/>
      <c r="H4946" s="83"/>
      <c r="K4946" s="82"/>
      <c r="M4946" s="112"/>
      <c r="N4946" s="84"/>
    </row>
    <row r="4947" spans="1:14" s="2" customFormat="1">
      <c r="A4947" s="83"/>
      <c r="H4947" s="83"/>
      <c r="K4947" s="82"/>
      <c r="M4947" s="112"/>
      <c r="N4947" s="84"/>
    </row>
    <row r="4948" spans="1:14" s="2" customFormat="1">
      <c r="A4948" s="83"/>
      <c r="H4948" s="83"/>
      <c r="K4948" s="82"/>
      <c r="M4948" s="112"/>
      <c r="N4948" s="84"/>
    </row>
    <row r="4949" spans="1:14" s="2" customFormat="1">
      <c r="A4949" s="83"/>
      <c r="H4949" s="83"/>
      <c r="K4949" s="82"/>
      <c r="M4949" s="112"/>
      <c r="N4949" s="84"/>
    </row>
    <row r="4950" spans="1:14" s="2" customFormat="1">
      <c r="A4950" s="83"/>
      <c r="H4950" s="83"/>
      <c r="K4950" s="82"/>
      <c r="M4950" s="112"/>
      <c r="N4950" s="84"/>
    </row>
    <row r="4951" spans="1:14" s="2" customFormat="1">
      <c r="A4951" s="83"/>
      <c r="H4951" s="83"/>
      <c r="K4951" s="82"/>
      <c r="M4951" s="112"/>
      <c r="N4951" s="84"/>
    </row>
    <row r="4952" spans="1:14" s="2" customFormat="1">
      <c r="A4952" s="83"/>
      <c r="H4952" s="83"/>
      <c r="K4952" s="82"/>
      <c r="M4952" s="112"/>
      <c r="N4952" s="84"/>
    </row>
    <row r="4953" spans="1:14" s="2" customFormat="1">
      <c r="A4953" s="83"/>
      <c r="H4953" s="83"/>
      <c r="K4953" s="82"/>
      <c r="M4953" s="112"/>
      <c r="N4953" s="84"/>
    </row>
    <row r="4954" spans="1:14" s="2" customFormat="1">
      <c r="A4954" s="83"/>
      <c r="H4954" s="83"/>
      <c r="K4954" s="82"/>
      <c r="M4954" s="112"/>
      <c r="N4954" s="84"/>
    </row>
    <row r="4955" spans="1:14" s="2" customFormat="1">
      <c r="A4955" s="83"/>
      <c r="H4955" s="83"/>
      <c r="K4955" s="82"/>
      <c r="M4955" s="112"/>
      <c r="N4955" s="84"/>
    </row>
    <row r="4956" spans="1:14" s="2" customFormat="1">
      <c r="A4956" s="83"/>
      <c r="H4956" s="83"/>
      <c r="K4956" s="82"/>
      <c r="M4956" s="112"/>
      <c r="N4956" s="84"/>
    </row>
    <row r="4957" spans="1:14" s="2" customFormat="1">
      <c r="A4957" s="83"/>
      <c r="H4957" s="83"/>
      <c r="K4957" s="82"/>
      <c r="M4957" s="112"/>
      <c r="N4957" s="84"/>
    </row>
    <row r="4958" spans="1:14" s="2" customFormat="1">
      <c r="A4958" s="83"/>
      <c r="H4958" s="83"/>
      <c r="K4958" s="82"/>
      <c r="M4958" s="112"/>
      <c r="N4958" s="84"/>
    </row>
    <row r="4959" spans="1:14" s="2" customFormat="1">
      <c r="A4959" s="83"/>
      <c r="H4959" s="83"/>
      <c r="K4959" s="82"/>
      <c r="M4959" s="112"/>
      <c r="N4959" s="84"/>
    </row>
    <row r="4960" spans="1:14" s="2" customFormat="1">
      <c r="A4960" s="83"/>
      <c r="H4960" s="83"/>
      <c r="K4960" s="82"/>
      <c r="M4960" s="112"/>
      <c r="N4960" s="84"/>
    </row>
    <row r="4961" spans="1:14" s="2" customFormat="1">
      <c r="A4961" s="83"/>
      <c r="H4961" s="83"/>
      <c r="K4961" s="82"/>
      <c r="M4961" s="112"/>
      <c r="N4961" s="84"/>
    </row>
    <row r="4962" spans="1:14" s="2" customFormat="1">
      <c r="A4962" s="83"/>
      <c r="H4962" s="83"/>
      <c r="K4962" s="82"/>
      <c r="M4962" s="112"/>
      <c r="N4962" s="84"/>
    </row>
    <row r="4963" spans="1:14" s="2" customFormat="1">
      <c r="A4963" s="83"/>
      <c r="H4963" s="83"/>
      <c r="K4963" s="82"/>
      <c r="M4963" s="112"/>
      <c r="N4963" s="84"/>
    </row>
    <row r="4964" spans="1:14" s="2" customFormat="1">
      <c r="A4964" s="83"/>
      <c r="H4964" s="83"/>
      <c r="K4964" s="82"/>
      <c r="M4964" s="112"/>
      <c r="N4964" s="84"/>
    </row>
    <row r="4965" spans="1:14" s="2" customFormat="1">
      <c r="A4965" s="83"/>
      <c r="H4965" s="83"/>
      <c r="K4965" s="82"/>
      <c r="M4965" s="112"/>
      <c r="N4965" s="84"/>
    </row>
    <row r="4966" spans="1:14" s="2" customFormat="1">
      <c r="A4966" s="83"/>
      <c r="H4966" s="83"/>
      <c r="K4966" s="82"/>
      <c r="M4966" s="112"/>
      <c r="N4966" s="84"/>
    </row>
    <row r="4967" spans="1:14" s="2" customFormat="1">
      <c r="A4967" s="83"/>
      <c r="H4967" s="83"/>
      <c r="K4967" s="82"/>
      <c r="M4967" s="112"/>
      <c r="N4967" s="84"/>
    </row>
    <row r="4968" spans="1:14" s="2" customFormat="1">
      <c r="A4968" s="83"/>
      <c r="H4968" s="83"/>
      <c r="K4968" s="82"/>
      <c r="M4968" s="112"/>
      <c r="N4968" s="84"/>
    </row>
    <row r="4969" spans="1:14" s="2" customFormat="1">
      <c r="A4969" s="83"/>
      <c r="H4969" s="83"/>
      <c r="K4969" s="82"/>
      <c r="M4969" s="112"/>
      <c r="N4969" s="84"/>
    </row>
    <row r="4970" spans="1:14" s="2" customFormat="1">
      <c r="A4970" s="83"/>
      <c r="H4970" s="83"/>
      <c r="K4970" s="82"/>
      <c r="M4970" s="112"/>
      <c r="N4970" s="84"/>
    </row>
    <row r="4971" spans="1:14" s="2" customFormat="1">
      <c r="A4971" s="83"/>
      <c r="H4971" s="83"/>
      <c r="K4971" s="82"/>
      <c r="M4971" s="112"/>
      <c r="N4971" s="84"/>
    </row>
    <row r="4972" spans="1:14" s="2" customFormat="1">
      <c r="A4972" s="83"/>
      <c r="H4972" s="83"/>
      <c r="K4972" s="82"/>
      <c r="M4972" s="112"/>
      <c r="N4972" s="84"/>
    </row>
    <row r="4973" spans="1:14" s="2" customFormat="1">
      <c r="A4973" s="83"/>
      <c r="H4973" s="83"/>
      <c r="K4973" s="82"/>
      <c r="M4973" s="112"/>
      <c r="N4973" s="84"/>
    </row>
    <row r="4974" spans="1:14" s="2" customFormat="1">
      <c r="A4974" s="83"/>
      <c r="H4974" s="83"/>
      <c r="K4974" s="82"/>
      <c r="M4974" s="112"/>
      <c r="N4974" s="84"/>
    </row>
    <row r="4975" spans="1:14" s="2" customFormat="1">
      <c r="A4975" s="83"/>
      <c r="H4975" s="83"/>
      <c r="K4975" s="82"/>
      <c r="M4975" s="112"/>
      <c r="N4975" s="84"/>
    </row>
    <row r="4976" spans="1:14" s="2" customFormat="1">
      <c r="A4976" s="83"/>
      <c r="H4976" s="83"/>
      <c r="K4976" s="82"/>
      <c r="M4976" s="112"/>
      <c r="N4976" s="84"/>
    </row>
    <row r="4977" spans="1:14" s="2" customFormat="1">
      <c r="A4977" s="83"/>
      <c r="H4977" s="83"/>
      <c r="K4977" s="82"/>
      <c r="M4977" s="112"/>
      <c r="N4977" s="84"/>
    </row>
    <row r="4978" spans="1:14" s="2" customFormat="1">
      <c r="A4978" s="83"/>
      <c r="H4978" s="83"/>
      <c r="K4978" s="82"/>
      <c r="M4978" s="112"/>
      <c r="N4978" s="84"/>
    </row>
    <row r="4979" spans="1:14" s="2" customFormat="1">
      <c r="A4979" s="83"/>
      <c r="H4979" s="83"/>
      <c r="K4979" s="82"/>
      <c r="M4979" s="112"/>
      <c r="N4979" s="84"/>
    </row>
    <row r="4980" spans="1:14" s="2" customFormat="1">
      <c r="A4980" s="83"/>
      <c r="H4980" s="83"/>
      <c r="K4980" s="82"/>
      <c r="M4980" s="112"/>
      <c r="N4980" s="84"/>
    </row>
    <row r="4981" spans="1:14" s="2" customFormat="1">
      <c r="A4981" s="83"/>
      <c r="H4981" s="83"/>
      <c r="K4981" s="82"/>
      <c r="M4981" s="112"/>
      <c r="N4981" s="84"/>
    </row>
    <row r="4982" spans="1:14" s="2" customFormat="1">
      <c r="A4982" s="83"/>
      <c r="H4982" s="83"/>
      <c r="K4982" s="82"/>
      <c r="M4982" s="112"/>
      <c r="N4982" s="84"/>
    </row>
    <row r="4983" spans="1:14" s="2" customFormat="1">
      <c r="A4983" s="83"/>
      <c r="H4983" s="83"/>
      <c r="K4983" s="82"/>
      <c r="M4983" s="112"/>
      <c r="N4983" s="84"/>
    </row>
    <row r="4984" spans="1:14" s="2" customFormat="1">
      <c r="A4984" s="83"/>
      <c r="H4984" s="83"/>
      <c r="K4984" s="82"/>
      <c r="M4984" s="112"/>
      <c r="N4984" s="84"/>
    </row>
    <row r="4985" spans="1:14" s="2" customFormat="1">
      <c r="A4985" s="83"/>
      <c r="H4985" s="83"/>
      <c r="K4985" s="82"/>
      <c r="M4985" s="112"/>
      <c r="N4985" s="84"/>
    </row>
    <row r="4986" spans="1:14" s="2" customFormat="1">
      <c r="A4986" s="83"/>
      <c r="H4986" s="83"/>
      <c r="K4986" s="82"/>
      <c r="M4986" s="112"/>
      <c r="N4986" s="84"/>
    </row>
    <row r="4987" spans="1:14" s="2" customFormat="1">
      <c r="A4987" s="83"/>
      <c r="H4987" s="83"/>
      <c r="K4987" s="82"/>
      <c r="M4987" s="112"/>
      <c r="N4987" s="84"/>
    </row>
    <row r="4988" spans="1:14" s="2" customFormat="1">
      <c r="A4988" s="83"/>
      <c r="H4988" s="83"/>
      <c r="K4988" s="82"/>
      <c r="M4988" s="112"/>
      <c r="N4988" s="84"/>
    </row>
    <row r="4989" spans="1:14" s="2" customFormat="1">
      <c r="A4989" s="83"/>
      <c r="H4989" s="83"/>
      <c r="K4989" s="82"/>
      <c r="M4989" s="112"/>
      <c r="N4989" s="84"/>
    </row>
    <row r="4990" spans="1:14" s="2" customFormat="1">
      <c r="A4990" s="83"/>
      <c r="H4990" s="83"/>
      <c r="K4990" s="82"/>
      <c r="M4990" s="112"/>
      <c r="N4990" s="84"/>
    </row>
    <row r="4991" spans="1:14" s="2" customFormat="1">
      <c r="A4991" s="83"/>
      <c r="H4991" s="83"/>
      <c r="K4991" s="82"/>
      <c r="M4991" s="112"/>
      <c r="N4991" s="84"/>
    </row>
    <row r="4992" spans="1:14" s="2" customFormat="1">
      <c r="A4992" s="83"/>
      <c r="H4992" s="83"/>
      <c r="K4992" s="82"/>
      <c r="M4992" s="112"/>
      <c r="N4992" s="84"/>
    </row>
    <row r="4993" spans="1:14" s="2" customFormat="1">
      <c r="A4993" s="83"/>
      <c r="H4993" s="83"/>
      <c r="K4993" s="82"/>
      <c r="M4993" s="112"/>
      <c r="N4993" s="84"/>
    </row>
    <row r="4994" spans="1:14" s="2" customFormat="1">
      <c r="A4994" s="83"/>
      <c r="H4994" s="83"/>
      <c r="K4994" s="82"/>
      <c r="M4994" s="112"/>
      <c r="N4994" s="84"/>
    </row>
    <row r="4995" spans="1:14" s="2" customFormat="1">
      <c r="A4995" s="83"/>
      <c r="H4995" s="83"/>
      <c r="K4995" s="82"/>
      <c r="M4995" s="112"/>
      <c r="N4995" s="84"/>
    </row>
    <row r="4996" spans="1:14" s="2" customFormat="1">
      <c r="A4996" s="83"/>
      <c r="H4996" s="83"/>
      <c r="K4996" s="82"/>
      <c r="M4996" s="112"/>
      <c r="N4996" s="84"/>
    </row>
    <row r="4997" spans="1:14" s="2" customFormat="1">
      <c r="A4997" s="83"/>
      <c r="H4997" s="83"/>
      <c r="K4997" s="82"/>
      <c r="M4997" s="112"/>
      <c r="N4997" s="84"/>
    </row>
    <row r="4998" spans="1:14" s="2" customFormat="1">
      <c r="A4998" s="83"/>
      <c r="H4998" s="83"/>
      <c r="K4998" s="82"/>
      <c r="M4998" s="112"/>
      <c r="N4998" s="84"/>
    </row>
    <row r="4999" spans="1:14" s="2" customFormat="1">
      <c r="A4999" s="83"/>
      <c r="H4999" s="83"/>
      <c r="K4999" s="82"/>
      <c r="M4999" s="112"/>
      <c r="N4999" s="84"/>
    </row>
    <row r="5000" spans="1:14" s="2" customFormat="1">
      <c r="A5000" s="83"/>
      <c r="H5000" s="83"/>
      <c r="K5000" s="82"/>
      <c r="M5000" s="112"/>
      <c r="N5000" s="84"/>
    </row>
    <row r="5001" spans="1:14" s="2" customFormat="1">
      <c r="A5001" s="83"/>
      <c r="H5001" s="83"/>
      <c r="K5001" s="82"/>
      <c r="M5001" s="112"/>
      <c r="N5001" s="84"/>
    </row>
    <row r="5002" spans="1:14" s="2" customFormat="1">
      <c r="A5002" s="83"/>
      <c r="H5002" s="83"/>
      <c r="K5002" s="82"/>
      <c r="M5002" s="112"/>
      <c r="N5002" s="84"/>
    </row>
    <row r="5003" spans="1:14" s="2" customFormat="1">
      <c r="A5003" s="83"/>
      <c r="H5003" s="83"/>
      <c r="K5003" s="82"/>
      <c r="M5003" s="112"/>
      <c r="N5003" s="84"/>
    </row>
    <row r="5004" spans="1:14" s="2" customFormat="1">
      <c r="A5004" s="83"/>
      <c r="H5004" s="83"/>
      <c r="K5004" s="82"/>
      <c r="M5004" s="112"/>
      <c r="N5004" s="84"/>
    </row>
    <row r="5005" spans="1:14" s="2" customFormat="1">
      <c r="A5005" s="83"/>
      <c r="H5005" s="83"/>
      <c r="K5005" s="82"/>
      <c r="M5005" s="112"/>
      <c r="N5005" s="84"/>
    </row>
    <row r="5006" spans="1:14" s="2" customFormat="1">
      <c r="A5006" s="83"/>
      <c r="H5006" s="83"/>
      <c r="K5006" s="82"/>
      <c r="M5006" s="112"/>
      <c r="N5006" s="84"/>
    </row>
    <row r="5007" spans="1:14" s="2" customFormat="1">
      <c r="A5007" s="83"/>
      <c r="H5007" s="83"/>
      <c r="K5007" s="82"/>
      <c r="M5007" s="112"/>
      <c r="N5007" s="84"/>
    </row>
    <row r="5008" spans="1:14" s="2" customFormat="1">
      <c r="A5008" s="83"/>
      <c r="H5008" s="83"/>
      <c r="K5008" s="82"/>
      <c r="M5008" s="112"/>
      <c r="N5008" s="84"/>
    </row>
    <row r="5009" spans="1:14" s="2" customFormat="1">
      <c r="A5009" s="83"/>
      <c r="H5009" s="83"/>
      <c r="K5009" s="82"/>
      <c r="M5009" s="112"/>
      <c r="N5009" s="84"/>
    </row>
    <row r="5010" spans="1:14" s="2" customFormat="1">
      <c r="A5010" s="83"/>
      <c r="H5010" s="83"/>
      <c r="K5010" s="82"/>
      <c r="M5010" s="112"/>
      <c r="N5010" s="84"/>
    </row>
    <row r="5011" spans="1:14" s="2" customFormat="1">
      <c r="A5011" s="83"/>
      <c r="H5011" s="83"/>
      <c r="K5011" s="82"/>
      <c r="M5011" s="112"/>
      <c r="N5011" s="84"/>
    </row>
    <row r="5012" spans="1:14" s="2" customFormat="1">
      <c r="A5012" s="83"/>
      <c r="H5012" s="83"/>
      <c r="K5012" s="82"/>
      <c r="M5012" s="112"/>
      <c r="N5012" s="84"/>
    </row>
    <row r="5013" spans="1:14" s="2" customFormat="1">
      <c r="A5013" s="83"/>
      <c r="H5013" s="83"/>
      <c r="K5013" s="82"/>
      <c r="M5013" s="112"/>
      <c r="N5013" s="84"/>
    </row>
    <row r="5014" spans="1:14" s="2" customFormat="1">
      <c r="A5014" s="83"/>
      <c r="H5014" s="83"/>
      <c r="K5014" s="82"/>
      <c r="M5014" s="112"/>
      <c r="N5014" s="84"/>
    </row>
    <row r="5015" spans="1:14" s="2" customFormat="1">
      <c r="A5015" s="83"/>
      <c r="H5015" s="83"/>
      <c r="K5015" s="82"/>
      <c r="M5015" s="112"/>
      <c r="N5015" s="84"/>
    </row>
    <row r="5016" spans="1:14" s="2" customFormat="1">
      <c r="A5016" s="83"/>
      <c r="H5016" s="83"/>
      <c r="K5016" s="82"/>
      <c r="M5016" s="112"/>
      <c r="N5016" s="84"/>
    </row>
    <row r="5017" spans="1:14" s="2" customFormat="1">
      <c r="A5017" s="83"/>
      <c r="H5017" s="83"/>
      <c r="K5017" s="82"/>
      <c r="M5017" s="112"/>
      <c r="N5017" s="84"/>
    </row>
    <row r="5018" spans="1:14" s="2" customFormat="1">
      <c r="A5018" s="83"/>
      <c r="H5018" s="83"/>
      <c r="K5018" s="82"/>
      <c r="M5018" s="112"/>
      <c r="N5018" s="84"/>
    </row>
    <row r="5019" spans="1:14" s="2" customFormat="1">
      <c r="A5019" s="83"/>
      <c r="H5019" s="83"/>
      <c r="K5019" s="82"/>
      <c r="M5019" s="112"/>
      <c r="N5019" s="84"/>
    </row>
    <row r="5020" spans="1:14" s="2" customFormat="1">
      <c r="A5020" s="83"/>
      <c r="H5020" s="83"/>
      <c r="K5020" s="82"/>
      <c r="M5020" s="112"/>
      <c r="N5020" s="84"/>
    </row>
    <row r="5021" spans="1:14" s="2" customFormat="1">
      <c r="A5021" s="83"/>
      <c r="H5021" s="83"/>
      <c r="K5021" s="82"/>
      <c r="M5021" s="112"/>
      <c r="N5021" s="84"/>
    </row>
    <row r="5022" spans="1:14" s="2" customFormat="1">
      <c r="A5022" s="83"/>
      <c r="H5022" s="83"/>
      <c r="K5022" s="82"/>
      <c r="M5022" s="112"/>
      <c r="N5022" s="84"/>
    </row>
    <row r="5023" spans="1:14" s="2" customFormat="1">
      <c r="A5023" s="83"/>
      <c r="H5023" s="83"/>
      <c r="K5023" s="82"/>
      <c r="M5023" s="112"/>
      <c r="N5023" s="84"/>
    </row>
    <row r="5024" spans="1:14" s="2" customFormat="1">
      <c r="A5024" s="83"/>
      <c r="H5024" s="83"/>
      <c r="K5024" s="82"/>
      <c r="M5024" s="112"/>
      <c r="N5024" s="84"/>
    </row>
    <row r="5025" spans="1:14" s="2" customFormat="1">
      <c r="A5025" s="83"/>
      <c r="H5025" s="83"/>
      <c r="K5025" s="82"/>
      <c r="M5025" s="112"/>
      <c r="N5025" s="84"/>
    </row>
    <row r="5026" spans="1:14" s="2" customFormat="1">
      <c r="A5026" s="83"/>
      <c r="H5026" s="83"/>
      <c r="K5026" s="82"/>
      <c r="M5026" s="112"/>
      <c r="N5026" s="84"/>
    </row>
    <row r="5027" spans="1:14" s="2" customFormat="1">
      <c r="A5027" s="83"/>
      <c r="H5027" s="83"/>
      <c r="K5027" s="82"/>
      <c r="M5027" s="112"/>
      <c r="N5027" s="84"/>
    </row>
    <row r="5028" spans="1:14" s="2" customFormat="1">
      <c r="A5028" s="83"/>
      <c r="H5028" s="83"/>
      <c r="K5028" s="82"/>
      <c r="M5028" s="112"/>
      <c r="N5028" s="84"/>
    </row>
    <row r="5029" spans="1:14" s="2" customFormat="1">
      <c r="A5029" s="83"/>
      <c r="H5029" s="83"/>
      <c r="K5029" s="82"/>
      <c r="M5029" s="112"/>
      <c r="N5029" s="84"/>
    </row>
    <row r="5030" spans="1:14" s="2" customFormat="1">
      <c r="A5030" s="83"/>
      <c r="H5030" s="83"/>
      <c r="K5030" s="82"/>
      <c r="M5030" s="112"/>
      <c r="N5030" s="84"/>
    </row>
    <row r="5031" spans="1:14" s="2" customFormat="1">
      <c r="A5031" s="83"/>
      <c r="H5031" s="83"/>
      <c r="K5031" s="82"/>
      <c r="M5031" s="112"/>
      <c r="N5031" s="84"/>
    </row>
    <row r="5032" spans="1:14" s="2" customFormat="1">
      <c r="A5032" s="83"/>
      <c r="H5032" s="83"/>
      <c r="K5032" s="82"/>
      <c r="M5032" s="112"/>
      <c r="N5032" s="84"/>
    </row>
    <row r="5033" spans="1:14" s="2" customFormat="1">
      <c r="A5033" s="83"/>
      <c r="H5033" s="83"/>
      <c r="K5033" s="82"/>
      <c r="M5033" s="112"/>
      <c r="N5033" s="84"/>
    </row>
    <row r="5034" spans="1:14" s="2" customFormat="1">
      <c r="A5034" s="83"/>
      <c r="H5034" s="83"/>
      <c r="K5034" s="82"/>
      <c r="M5034" s="112"/>
      <c r="N5034" s="84"/>
    </row>
    <row r="5035" spans="1:14" s="2" customFormat="1">
      <c r="A5035" s="83"/>
      <c r="H5035" s="83"/>
      <c r="K5035" s="82"/>
      <c r="M5035" s="112"/>
      <c r="N5035" s="84"/>
    </row>
    <row r="5036" spans="1:14" s="2" customFormat="1">
      <c r="A5036" s="83"/>
      <c r="H5036" s="83"/>
      <c r="K5036" s="82"/>
      <c r="M5036" s="112"/>
      <c r="N5036" s="84"/>
    </row>
    <row r="5037" spans="1:14" s="2" customFormat="1">
      <c r="A5037" s="83"/>
      <c r="H5037" s="83"/>
      <c r="K5037" s="82"/>
      <c r="M5037" s="112"/>
      <c r="N5037" s="84"/>
    </row>
    <row r="5038" spans="1:14" s="2" customFormat="1">
      <c r="A5038" s="83"/>
      <c r="H5038" s="83"/>
      <c r="K5038" s="82"/>
      <c r="M5038" s="112"/>
      <c r="N5038" s="84"/>
    </row>
    <row r="5039" spans="1:14" s="2" customFormat="1">
      <c r="A5039" s="83"/>
      <c r="H5039" s="83"/>
      <c r="K5039" s="82"/>
      <c r="M5039" s="112"/>
      <c r="N5039" s="84"/>
    </row>
    <row r="5040" spans="1:14" s="2" customFormat="1">
      <c r="A5040" s="83"/>
      <c r="H5040" s="83"/>
      <c r="K5040" s="82"/>
      <c r="M5040" s="112"/>
      <c r="N5040" s="84"/>
    </row>
    <row r="5041" spans="1:14" s="2" customFormat="1">
      <c r="A5041" s="83"/>
      <c r="H5041" s="83"/>
      <c r="K5041" s="82"/>
      <c r="M5041" s="112"/>
      <c r="N5041" s="84"/>
    </row>
    <row r="5042" spans="1:14" s="2" customFormat="1">
      <c r="A5042" s="83"/>
      <c r="H5042" s="83"/>
      <c r="K5042" s="82"/>
      <c r="M5042" s="112"/>
      <c r="N5042" s="84"/>
    </row>
    <row r="5043" spans="1:14" s="2" customFormat="1">
      <c r="A5043" s="83"/>
      <c r="H5043" s="83"/>
      <c r="K5043" s="82"/>
      <c r="M5043" s="112"/>
      <c r="N5043" s="84"/>
    </row>
    <row r="5044" spans="1:14" s="2" customFormat="1">
      <c r="A5044" s="83"/>
      <c r="H5044" s="83"/>
      <c r="K5044" s="82"/>
      <c r="M5044" s="112"/>
      <c r="N5044" s="84"/>
    </row>
    <row r="5045" spans="1:14" s="2" customFormat="1">
      <c r="A5045" s="83"/>
      <c r="H5045" s="83"/>
      <c r="K5045" s="82"/>
      <c r="M5045" s="112"/>
      <c r="N5045" s="84"/>
    </row>
    <row r="5046" spans="1:14" s="2" customFormat="1">
      <c r="A5046" s="83"/>
      <c r="H5046" s="83"/>
      <c r="K5046" s="82"/>
      <c r="M5046" s="112"/>
      <c r="N5046" s="84"/>
    </row>
    <row r="5047" spans="1:14" s="2" customFormat="1">
      <c r="A5047" s="83"/>
      <c r="H5047" s="83"/>
      <c r="K5047" s="82"/>
      <c r="M5047" s="112"/>
      <c r="N5047" s="84"/>
    </row>
    <row r="5048" spans="1:14" s="2" customFormat="1">
      <c r="A5048" s="83"/>
      <c r="H5048" s="83"/>
      <c r="K5048" s="82"/>
      <c r="M5048" s="112"/>
      <c r="N5048" s="84"/>
    </row>
    <row r="5049" spans="1:14" s="2" customFormat="1">
      <c r="A5049" s="83"/>
      <c r="H5049" s="83"/>
      <c r="K5049" s="82"/>
      <c r="M5049" s="112"/>
      <c r="N5049" s="84"/>
    </row>
    <row r="5050" spans="1:14" s="2" customFormat="1">
      <c r="A5050" s="83"/>
      <c r="H5050" s="83"/>
      <c r="K5050" s="82"/>
      <c r="M5050" s="112"/>
      <c r="N5050" s="84"/>
    </row>
    <row r="5051" spans="1:14" s="2" customFormat="1">
      <c r="A5051" s="83"/>
      <c r="H5051" s="83"/>
      <c r="K5051" s="82"/>
      <c r="M5051" s="112"/>
      <c r="N5051" s="84"/>
    </row>
    <row r="5052" spans="1:14" s="2" customFormat="1">
      <c r="A5052" s="83"/>
      <c r="H5052" s="83"/>
      <c r="K5052" s="82"/>
      <c r="M5052" s="112"/>
      <c r="N5052" s="84"/>
    </row>
    <row r="5053" spans="1:14" s="2" customFormat="1">
      <c r="A5053" s="83"/>
      <c r="H5053" s="83"/>
      <c r="K5053" s="82"/>
      <c r="M5053" s="112"/>
      <c r="N5053" s="84"/>
    </row>
    <row r="5054" spans="1:14" s="2" customFormat="1">
      <c r="A5054" s="83"/>
      <c r="H5054" s="83"/>
      <c r="K5054" s="82"/>
      <c r="M5054" s="112"/>
      <c r="N5054" s="84"/>
    </row>
    <row r="5055" spans="1:14" s="2" customFormat="1">
      <c r="A5055" s="83"/>
      <c r="H5055" s="83"/>
      <c r="K5055" s="82"/>
      <c r="M5055" s="112"/>
      <c r="N5055" s="84"/>
    </row>
    <row r="5056" spans="1:14" s="2" customFormat="1">
      <c r="A5056" s="83"/>
      <c r="H5056" s="83"/>
      <c r="K5056" s="82"/>
      <c r="M5056" s="112"/>
      <c r="N5056" s="84"/>
    </row>
    <row r="5057" spans="1:14" s="2" customFormat="1">
      <c r="A5057" s="83"/>
      <c r="H5057" s="83"/>
      <c r="K5057" s="82"/>
      <c r="M5057" s="112"/>
      <c r="N5057" s="84"/>
    </row>
    <row r="5058" spans="1:14" s="2" customFormat="1">
      <c r="A5058" s="83"/>
      <c r="H5058" s="83"/>
      <c r="K5058" s="82"/>
      <c r="M5058" s="112"/>
      <c r="N5058" s="84"/>
    </row>
    <row r="5059" spans="1:14" s="2" customFormat="1">
      <c r="A5059" s="83"/>
      <c r="H5059" s="83"/>
      <c r="K5059" s="82"/>
      <c r="M5059" s="112"/>
      <c r="N5059" s="84"/>
    </row>
    <row r="5060" spans="1:14" s="2" customFormat="1">
      <c r="A5060" s="83"/>
      <c r="H5060" s="83"/>
      <c r="K5060" s="82"/>
      <c r="M5060" s="112"/>
      <c r="N5060" s="84"/>
    </row>
    <row r="5061" spans="1:14" s="2" customFormat="1">
      <c r="A5061" s="83"/>
      <c r="H5061" s="83"/>
      <c r="K5061" s="82"/>
      <c r="M5061" s="112"/>
      <c r="N5061" s="84"/>
    </row>
    <row r="5062" spans="1:14" s="2" customFormat="1">
      <c r="A5062" s="83"/>
      <c r="H5062" s="83"/>
      <c r="K5062" s="82"/>
      <c r="M5062" s="112"/>
      <c r="N5062" s="84"/>
    </row>
    <row r="5063" spans="1:14" s="2" customFormat="1">
      <c r="A5063" s="83"/>
      <c r="H5063" s="83"/>
      <c r="K5063" s="82"/>
      <c r="M5063" s="112"/>
      <c r="N5063" s="84"/>
    </row>
    <row r="5064" spans="1:14" s="2" customFormat="1">
      <c r="A5064" s="83"/>
      <c r="H5064" s="83"/>
      <c r="K5064" s="82"/>
      <c r="M5064" s="112"/>
      <c r="N5064" s="84"/>
    </row>
    <row r="5065" spans="1:14" s="2" customFormat="1">
      <c r="A5065" s="83"/>
      <c r="H5065" s="83"/>
      <c r="K5065" s="82"/>
      <c r="M5065" s="112"/>
      <c r="N5065" s="84"/>
    </row>
    <row r="5066" spans="1:14" s="2" customFormat="1">
      <c r="A5066" s="83"/>
      <c r="H5066" s="83"/>
      <c r="K5066" s="82"/>
      <c r="M5066" s="112"/>
      <c r="N5066" s="84"/>
    </row>
    <row r="5067" spans="1:14" s="2" customFormat="1">
      <c r="A5067" s="83"/>
      <c r="H5067" s="83"/>
      <c r="K5067" s="82"/>
      <c r="M5067" s="112"/>
      <c r="N5067" s="84"/>
    </row>
    <row r="5068" spans="1:14" s="2" customFormat="1">
      <c r="A5068" s="83"/>
      <c r="H5068" s="83"/>
      <c r="K5068" s="82"/>
      <c r="M5068" s="112"/>
      <c r="N5068" s="84"/>
    </row>
    <row r="5069" spans="1:14" s="2" customFormat="1">
      <c r="A5069" s="83"/>
      <c r="H5069" s="83"/>
      <c r="K5069" s="82"/>
      <c r="M5069" s="112"/>
      <c r="N5069" s="84"/>
    </row>
    <row r="5070" spans="1:14" s="2" customFormat="1">
      <c r="A5070" s="83"/>
      <c r="H5070" s="83"/>
      <c r="K5070" s="82"/>
      <c r="M5070" s="112"/>
      <c r="N5070" s="84"/>
    </row>
    <row r="5071" spans="1:14" s="2" customFormat="1">
      <c r="A5071" s="83"/>
      <c r="H5071" s="83"/>
      <c r="K5071" s="82"/>
      <c r="M5071" s="112"/>
      <c r="N5071" s="84"/>
    </row>
    <row r="5072" spans="1:14" s="2" customFormat="1">
      <c r="A5072" s="83"/>
      <c r="H5072" s="83"/>
      <c r="K5072" s="82"/>
      <c r="M5072" s="112"/>
      <c r="N5072" s="84"/>
    </row>
    <row r="5073" spans="1:14" s="2" customFormat="1">
      <c r="A5073" s="83"/>
      <c r="H5073" s="83"/>
      <c r="K5073" s="82"/>
      <c r="M5073" s="112"/>
      <c r="N5073" s="84"/>
    </row>
    <row r="5074" spans="1:14" s="2" customFormat="1">
      <c r="A5074" s="83"/>
      <c r="H5074" s="83"/>
      <c r="K5074" s="82"/>
      <c r="M5074" s="112"/>
      <c r="N5074" s="84"/>
    </row>
    <row r="5075" spans="1:14" s="2" customFormat="1">
      <c r="A5075" s="83"/>
      <c r="H5075" s="83"/>
      <c r="K5075" s="82"/>
      <c r="M5075" s="112"/>
      <c r="N5075" s="84"/>
    </row>
    <row r="5076" spans="1:14" s="2" customFormat="1">
      <c r="A5076" s="83"/>
      <c r="H5076" s="83"/>
      <c r="K5076" s="82"/>
      <c r="M5076" s="112"/>
      <c r="N5076" s="84"/>
    </row>
    <row r="5077" spans="1:14" s="2" customFormat="1">
      <c r="A5077" s="83"/>
      <c r="H5077" s="83"/>
      <c r="K5077" s="82"/>
      <c r="M5077" s="112"/>
      <c r="N5077" s="84"/>
    </row>
    <row r="5078" spans="1:14" s="2" customFormat="1">
      <c r="A5078" s="83"/>
      <c r="H5078" s="83"/>
      <c r="K5078" s="82"/>
      <c r="M5078" s="112"/>
      <c r="N5078" s="84"/>
    </row>
    <row r="5079" spans="1:14" s="2" customFormat="1">
      <c r="A5079" s="83"/>
      <c r="H5079" s="83"/>
      <c r="K5079" s="82"/>
      <c r="M5079" s="112"/>
      <c r="N5079" s="84"/>
    </row>
    <row r="5080" spans="1:14" s="2" customFormat="1">
      <c r="A5080" s="83"/>
      <c r="H5080" s="83"/>
      <c r="K5080" s="82"/>
      <c r="M5080" s="112"/>
      <c r="N5080" s="84"/>
    </row>
    <row r="5081" spans="1:14" s="2" customFormat="1">
      <c r="A5081" s="83"/>
      <c r="H5081" s="83"/>
      <c r="K5081" s="82"/>
      <c r="M5081" s="112"/>
      <c r="N5081" s="84"/>
    </row>
    <row r="5082" spans="1:14" s="2" customFormat="1">
      <c r="A5082" s="83"/>
      <c r="H5082" s="83"/>
      <c r="K5082" s="82"/>
      <c r="M5082" s="112"/>
      <c r="N5082" s="84"/>
    </row>
    <row r="5083" spans="1:14" s="2" customFormat="1">
      <c r="A5083" s="83"/>
      <c r="H5083" s="83"/>
      <c r="K5083" s="82"/>
      <c r="M5083" s="112"/>
      <c r="N5083" s="84"/>
    </row>
    <row r="5084" spans="1:14" s="2" customFormat="1">
      <c r="A5084" s="83"/>
      <c r="H5084" s="83"/>
      <c r="K5084" s="82"/>
      <c r="M5084" s="112"/>
      <c r="N5084" s="84"/>
    </row>
    <row r="5085" spans="1:14" s="2" customFormat="1">
      <c r="A5085" s="83"/>
      <c r="H5085" s="83"/>
      <c r="K5085" s="82"/>
      <c r="M5085" s="112"/>
      <c r="N5085" s="84"/>
    </row>
    <row r="5086" spans="1:14" s="2" customFormat="1">
      <c r="A5086" s="83"/>
      <c r="H5086" s="83"/>
      <c r="K5086" s="82"/>
      <c r="M5086" s="112"/>
      <c r="N5086" s="84"/>
    </row>
    <row r="5087" spans="1:14" s="2" customFormat="1">
      <c r="A5087" s="83"/>
      <c r="H5087" s="83"/>
      <c r="K5087" s="82"/>
      <c r="M5087" s="112"/>
      <c r="N5087" s="84"/>
    </row>
    <row r="5088" spans="1:14" s="2" customFormat="1">
      <c r="A5088" s="83"/>
      <c r="H5088" s="83"/>
      <c r="K5088" s="82"/>
      <c r="M5088" s="112"/>
      <c r="N5088" s="84"/>
    </row>
    <row r="5089" spans="1:14" s="2" customFormat="1">
      <c r="A5089" s="83"/>
      <c r="H5089" s="83"/>
      <c r="K5089" s="82"/>
      <c r="M5089" s="112"/>
      <c r="N5089" s="84"/>
    </row>
    <row r="5090" spans="1:14" s="2" customFormat="1">
      <c r="A5090" s="83"/>
      <c r="H5090" s="83"/>
      <c r="K5090" s="82"/>
      <c r="M5090" s="112"/>
      <c r="N5090" s="84"/>
    </row>
    <row r="5091" spans="1:14" s="2" customFormat="1">
      <c r="A5091" s="83"/>
      <c r="H5091" s="83"/>
      <c r="K5091" s="82"/>
      <c r="M5091" s="112"/>
      <c r="N5091" s="84"/>
    </row>
    <row r="5092" spans="1:14" s="2" customFormat="1">
      <c r="A5092" s="83"/>
      <c r="H5092" s="83"/>
      <c r="K5092" s="82"/>
      <c r="M5092" s="112"/>
      <c r="N5092" s="84"/>
    </row>
    <row r="5093" spans="1:14" s="2" customFormat="1">
      <c r="A5093" s="83"/>
      <c r="H5093" s="83"/>
      <c r="K5093" s="82"/>
      <c r="M5093" s="112"/>
      <c r="N5093" s="84"/>
    </row>
    <row r="5094" spans="1:14" s="2" customFormat="1">
      <c r="A5094" s="83"/>
      <c r="H5094" s="83"/>
      <c r="K5094" s="82"/>
      <c r="M5094" s="112"/>
      <c r="N5094" s="84"/>
    </row>
    <row r="5095" spans="1:14" s="2" customFormat="1">
      <c r="A5095" s="83"/>
      <c r="H5095" s="83"/>
      <c r="K5095" s="82"/>
      <c r="M5095" s="112"/>
      <c r="N5095" s="84"/>
    </row>
    <row r="5096" spans="1:14" s="2" customFormat="1">
      <c r="A5096" s="83"/>
      <c r="H5096" s="83"/>
      <c r="K5096" s="82"/>
      <c r="M5096" s="112"/>
      <c r="N5096" s="84"/>
    </row>
    <row r="5097" spans="1:14" s="2" customFormat="1">
      <c r="A5097" s="83"/>
      <c r="H5097" s="83"/>
      <c r="K5097" s="82"/>
      <c r="M5097" s="112"/>
      <c r="N5097" s="84"/>
    </row>
    <row r="5098" spans="1:14" s="2" customFormat="1">
      <c r="A5098" s="83"/>
      <c r="H5098" s="83"/>
      <c r="K5098" s="82"/>
      <c r="M5098" s="112"/>
      <c r="N5098" s="84"/>
    </row>
    <row r="5099" spans="1:14" s="2" customFormat="1">
      <c r="A5099" s="83"/>
      <c r="H5099" s="83"/>
      <c r="K5099" s="82"/>
      <c r="M5099" s="112"/>
      <c r="N5099" s="84"/>
    </row>
    <row r="5100" spans="1:14" s="2" customFormat="1">
      <c r="A5100" s="83"/>
      <c r="H5100" s="83"/>
      <c r="K5100" s="82"/>
      <c r="M5100" s="112"/>
      <c r="N5100" s="84"/>
    </row>
    <row r="5101" spans="1:14" s="2" customFormat="1">
      <c r="A5101" s="83"/>
      <c r="H5101" s="83"/>
      <c r="K5101" s="82"/>
      <c r="M5101" s="112"/>
      <c r="N5101" s="84"/>
    </row>
    <row r="5102" spans="1:14" s="2" customFormat="1">
      <c r="A5102" s="83"/>
      <c r="H5102" s="83"/>
      <c r="K5102" s="82"/>
      <c r="M5102" s="112"/>
      <c r="N5102" s="84"/>
    </row>
    <row r="5103" spans="1:14" s="2" customFormat="1">
      <c r="A5103" s="83"/>
      <c r="H5103" s="83"/>
      <c r="K5103" s="82"/>
      <c r="M5103" s="112"/>
      <c r="N5103" s="84"/>
    </row>
    <row r="5104" spans="1:14" s="2" customFormat="1">
      <c r="A5104" s="83"/>
      <c r="H5104" s="83"/>
      <c r="K5104" s="82"/>
      <c r="M5104" s="112"/>
      <c r="N5104" s="84"/>
    </row>
    <row r="5105" spans="1:14" s="2" customFormat="1">
      <c r="A5105" s="83"/>
      <c r="H5105" s="83"/>
      <c r="K5105" s="82"/>
      <c r="M5105" s="112"/>
      <c r="N5105" s="84"/>
    </row>
    <row r="5106" spans="1:14" s="2" customFormat="1">
      <c r="A5106" s="83"/>
      <c r="H5106" s="83"/>
      <c r="K5106" s="82"/>
      <c r="M5106" s="112"/>
      <c r="N5106" s="84"/>
    </row>
    <row r="5107" spans="1:14" s="2" customFormat="1">
      <c r="A5107" s="83"/>
      <c r="H5107" s="83"/>
      <c r="K5107" s="82"/>
      <c r="M5107" s="112"/>
      <c r="N5107" s="84"/>
    </row>
    <row r="5108" spans="1:14" s="2" customFormat="1">
      <c r="A5108" s="83"/>
      <c r="H5108" s="83"/>
      <c r="K5108" s="82"/>
      <c r="M5108" s="112"/>
      <c r="N5108" s="84"/>
    </row>
    <row r="5109" spans="1:14" s="2" customFormat="1">
      <c r="A5109" s="83"/>
      <c r="H5109" s="83"/>
      <c r="K5109" s="82"/>
      <c r="M5109" s="112"/>
      <c r="N5109" s="84"/>
    </row>
    <row r="5110" spans="1:14" s="2" customFormat="1">
      <c r="A5110" s="83"/>
      <c r="H5110" s="83"/>
      <c r="K5110" s="82"/>
      <c r="M5110" s="112"/>
      <c r="N5110" s="84"/>
    </row>
    <row r="5111" spans="1:14" s="2" customFormat="1">
      <c r="A5111" s="83"/>
      <c r="H5111" s="83"/>
      <c r="K5111" s="82"/>
      <c r="M5111" s="112"/>
      <c r="N5111" s="84"/>
    </row>
    <row r="5112" spans="1:14" s="2" customFormat="1">
      <c r="A5112" s="83"/>
      <c r="H5112" s="83"/>
      <c r="K5112" s="82"/>
      <c r="M5112" s="112"/>
      <c r="N5112" s="84"/>
    </row>
    <row r="5113" spans="1:14" s="2" customFormat="1">
      <c r="A5113" s="83"/>
      <c r="H5113" s="83"/>
      <c r="K5113" s="82"/>
      <c r="M5113" s="112"/>
      <c r="N5113" s="84"/>
    </row>
    <row r="5114" spans="1:14" s="2" customFormat="1">
      <c r="A5114" s="83"/>
      <c r="H5114" s="83"/>
      <c r="K5114" s="82"/>
      <c r="M5114" s="112"/>
      <c r="N5114" s="84"/>
    </row>
    <row r="5115" spans="1:14" s="2" customFormat="1">
      <c r="A5115" s="83"/>
      <c r="H5115" s="83"/>
      <c r="K5115" s="82"/>
      <c r="M5115" s="112"/>
      <c r="N5115" s="84"/>
    </row>
    <row r="5116" spans="1:14" s="2" customFormat="1">
      <c r="A5116" s="83"/>
      <c r="H5116" s="83"/>
      <c r="K5116" s="82"/>
      <c r="M5116" s="112"/>
      <c r="N5116" s="84"/>
    </row>
    <row r="5117" spans="1:14" s="2" customFormat="1">
      <c r="A5117" s="83"/>
      <c r="H5117" s="83"/>
      <c r="K5117" s="82"/>
      <c r="M5117" s="112"/>
      <c r="N5117" s="84"/>
    </row>
    <row r="5118" spans="1:14" s="2" customFormat="1">
      <c r="A5118" s="83"/>
      <c r="H5118" s="83"/>
      <c r="K5118" s="82"/>
      <c r="M5118" s="112"/>
      <c r="N5118" s="84"/>
    </row>
    <row r="5119" spans="1:14" s="2" customFormat="1">
      <c r="A5119" s="83"/>
      <c r="H5119" s="83"/>
      <c r="K5119" s="82"/>
      <c r="M5119" s="112"/>
      <c r="N5119" s="84"/>
    </row>
    <row r="5120" spans="1:14" s="2" customFormat="1">
      <c r="A5120" s="83"/>
      <c r="H5120" s="83"/>
      <c r="K5120" s="82"/>
      <c r="M5120" s="112"/>
      <c r="N5120" s="84"/>
    </row>
    <row r="5121" spans="1:14" s="2" customFormat="1">
      <c r="A5121" s="83"/>
      <c r="H5121" s="83"/>
      <c r="K5121" s="82"/>
      <c r="M5121" s="112"/>
      <c r="N5121" s="84"/>
    </row>
    <row r="5122" spans="1:14" s="2" customFormat="1">
      <c r="A5122" s="83"/>
      <c r="H5122" s="83"/>
      <c r="K5122" s="82"/>
      <c r="M5122" s="112"/>
      <c r="N5122" s="84"/>
    </row>
    <row r="5123" spans="1:14" s="2" customFormat="1">
      <c r="A5123" s="83"/>
      <c r="H5123" s="83"/>
      <c r="K5123" s="82"/>
      <c r="M5123" s="112"/>
      <c r="N5123" s="84"/>
    </row>
    <row r="5124" spans="1:14" s="2" customFormat="1">
      <c r="A5124" s="83"/>
      <c r="H5124" s="83"/>
      <c r="K5124" s="82"/>
      <c r="M5124" s="112"/>
      <c r="N5124" s="84"/>
    </row>
    <row r="5125" spans="1:14" s="2" customFormat="1">
      <c r="A5125" s="83"/>
      <c r="H5125" s="83"/>
      <c r="K5125" s="82"/>
      <c r="M5125" s="112"/>
      <c r="N5125" s="84"/>
    </row>
    <row r="5126" spans="1:14" s="2" customFormat="1">
      <c r="A5126" s="83"/>
      <c r="H5126" s="83"/>
      <c r="K5126" s="82"/>
      <c r="M5126" s="112"/>
      <c r="N5126" s="84"/>
    </row>
    <row r="5127" spans="1:14" s="2" customFormat="1">
      <c r="A5127" s="83"/>
      <c r="H5127" s="83"/>
      <c r="K5127" s="82"/>
      <c r="M5127" s="112"/>
      <c r="N5127" s="84"/>
    </row>
    <row r="5128" spans="1:14" s="2" customFormat="1">
      <c r="A5128" s="83"/>
      <c r="H5128" s="83"/>
      <c r="K5128" s="82"/>
      <c r="M5128" s="112"/>
      <c r="N5128" s="84"/>
    </row>
    <row r="5129" spans="1:14" s="2" customFormat="1">
      <c r="A5129" s="83"/>
      <c r="H5129" s="83"/>
      <c r="K5129" s="82"/>
      <c r="M5129" s="112"/>
      <c r="N5129" s="84"/>
    </row>
    <row r="5130" spans="1:14" s="2" customFormat="1">
      <c r="A5130" s="83"/>
      <c r="H5130" s="83"/>
      <c r="K5130" s="82"/>
      <c r="M5130" s="112"/>
      <c r="N5130" s="84"/>
    </row>
    <row r="5131" spans="1:14" s="2" customFormat="1">
      <c r="A5131" s="83"/>
      <c r="H5131" s="83"/>
      <c r="K5131" s="82"/>
      <c r="M5131" s="112"/>
      <c r="N5131" s="84"/>
    </row>
    <row r="5132" spans="1:14" s="2" customFormat="1">
      <c r="A5132" s="83"/>
      <c r="H5132" s="83"/>
      <c r="K5132" s="82"/>
      <c r="M5132" s="112"/>
      <c r="N5132" s="84"/>
    </row>
    <row r="5133" spans="1:14" s="2" customFormat="1">
      <c r="A5133" s="83"/>
      <c r="H5133" s="83"/>
      <c r="K5133" s="82"/>
      <c r="M5133" s="112"/>
      <c r="N5133" s="84"/>
    </row>
    <row r="5134" spans="1:14" s="2" customFormat="1">
      <c r="A5134" s="83"/>
      <c r="H5134" s="83"/>
      <c r="K5134" s="82"/>
      <c r="M5134" s="112"/>
      <c r="N5134" s="84"/>
    </row>
    <row r="5135" spans="1:14" s="2" customFormat="1">
      <c r="A5135" s="83"/>
      <c r="H5135" s="83"/>
      <c r="K5135" s="82"/>
      <c r="M5135" s="112"/>
      <c r="N5135" s="84"/>
    </row>
    <row r="5136" spans="1:14" s="2" customFormat="1">
      <c r="A5136" s="83"/>
      <c r="H5136" s="83"/>
      <c r="K5136" s="82"/>
      <c r="M5136" s="112"/>
      <c r="N5136" s="84"/>
    </row>
    <row r="5137" spans="1:14" s="2" customFormat="1">
      <c r="A5137" s="83"/>
      <c r="H5137" s="83"/>
      <c r="K5137" s="82"/>
      <c r="M5137" s="112"/>
      <c r="N5137" s="84"/>
    </row>
    <row r="5138" spans="1:14" s="2" customFormat="1">
      <c r="A5138" s="83"/>
      <c r="H5138" s="83"/>
      <c r="K5138" s="82"/>
      <c r="M5138" s="112"/>
      <c r="N5138" s="84"/>
    </row>
    <row r="5139" spans="1:14" s="2" customFormat="1">
      <c r="A5139" s="83"/>
      <c r="H5139" s="83"/>
      <c r="K5139" s="82"/>
      <c r="M5139" s="112"/>
      <c r="N5139" s="84"/>
    </row>
    <row r="5140" spans="1:14" s="2" customFormat="1">
      <c r="A5140" s="83"/>
      <c r="H5140" s="83"/>
      <c r="K5140" s="82"/>
      <c r="M5140" s="112"/>
      <c r="N5140" s="84"/>
    </row>
    <row r="5141" spans="1:14" s="2" customFormat="1">
      <c r="A5141" s="83"/>
      <c r="H5141" s="83"/>
      <c r="K5141" s="82"/>
      <c r="M5141" s="112"/>
      <c r="N5141" s="84"/>
    </row>
    <row r="5142" spans="1:14" s="2" customFormat="1">
      <c r="A5142" s="83"/>
      <c r="H5142" s="83"/>
      <c r="K5142" s="82"/>
      <c r="M5142" s="112"/>
      <c r="N5142" s="84"/>
    </row>
    <row r="5143" spans="1:14" s="2" customFormat="1">
      <c r="A5143" s="83"/>
      <c r="H5143" s="83"/>
      <c r="K5143" s="82"/>
      <c r="M5143" s="112"/>
      <c r="N5143" s="84"/>
    </row>
    <row r="5144" spans="1:14" s="2" customFormat="1">
      <c r="A5144" s="83"/>
      <c r="H5144" s="83"/>
      <c r="K5144" s="82"/>
      <c r="M5144" s="112"/>
      <c r="N5144" s="84"/>
    </row>
    <row r="5145" spans="1:14" s="2" customFormat="1">
      <c r="A5145" s="83"/>
      <c r="H5145" s="83"/>
      <c r="K5145" s="82"/>
      <c r="M5145" s="112"/>
      <c r="N5145" s="84"/>
    </row>
    <row r="5146" spans="1:14" s="2" customFormat="1">
      <c r="A5146" s="83"/>
      <c r="H5146" s="83"/>
      <c r="K5146" s="82"/>
      <c r="M5146" s="112"/>
      <c r="N5146" s="84"/>
    </row>
    <row r="5147" spans="1:14" s="2" customFormat="1">
      <c r="A5147" s="83"/>
      <c r="H5147" s="83"/>
      <c r="K5147" s="82"/>
      <c r="M5147" s="112"/>
      <c r="N5147" s="84"/>
    </row>
    <row r="5148" spans="1:14" s="2" customFormat="1">
      <c r="A5148" s="83"/>
      <c r="H5148" s="83"/>
      <c r="K5148" s="82"/>
      <c r="M5148" s="112"/>
      <c r="N5148" s="84"/>
    </row>
    <row r="5149" spans="1:14" s="2" customFormat="1">
      <c r="A5149" s="83"/>
      <c r="H5149" s="83"/>
      <c r="K5149" s="82"/>
      <c r="M5149" s="112"/>
      <c r="N5149" s="84"/>
    </row>
    <row r="5150" spans="1:14" s="2" customFormat="1">
      <c r="A5150" s="83"/>
      <c r="H5150" s="83"/>
      <c r="K5150" s="82"/>
      <c r="M5150" s="112"/>
      <c r="N5150" s="84"/>
    </row>
    <row r="5151" spans="1:14" s="2" customFormat="1">
      <c r="A5151" s="83"/>
      <c r="H5151" s="83"/>
      <c r="K5151" s="82"/>
      <c r="M5151" s="112"/>
      <c r="N5151" s="84"/>
    </row>
    <row r="5152" spans="1:14" s="2" customFormat="1">
      <c r="A5152" s="83"/>
      <c r="H5152" s="83"/>
      <c r="K5152" s="82"/>
      <c r="M5152" s="112"/>
      <c r="N5152" s="84"/>
    </row>
    <row r="5153" spans="1:14" s="2" customFormat="1">
      <c r="A5153" s="83"/>
      <c r="H5153" s="83"/>
      <c r="K5153" s="82"/>
      <c r="M5153" s="112"/>
      <c r="N5153" s="84"/>
    </row>
    <row r="5154" spans="1:14" s="2" customFormat="1">
      <c r="A5154" s="83"/>
      <c r="H5154" s="83"/>
      <c r="K5154" s="82"/>
      <c r="M5154" s="112"/>
      <c r="N5154" s="84"/>
    </row>
    <row r="5155" spans="1:14" s="2" customFormat="1">
      <c r="A5155" s="83"/>
      <c r="H5155" s="83"/>
      <c r="K5155" s="82"/>
      <c r="M5155" s="112"/>
      <c r="N5155" s="84"/>
    </row>
    <row r="5156" spans="1:14" s="2" customFormat="1">
      <c r="A5156" s="83"/>
      <c r="H5156" s="83"/>
      <c r="K5156" s="82"/>
      <c r="M5156" s="112"/>
      <c r="N5156" s="84"/>
    </row>
    <row r="5157" spans="1:14" s="2" customFormat="1">
      <c r="A5157" s="83"/>
      <c r="H5157" s="83"/>
      <c r="K5157" s="82"/>
      <c r="M5157" s="112"/>
      <c r="N5157" s="84"/>
    </row>
    <row r="5158" spans="1:14" s="2" customFormat="1">
      <c r="A5158" s="83"/>
      <c r="H5158" s="83"/>
      <c r="K5158" s="82"/>
      <c r="M5158" s="112"/>
      <c r="N5158" s="84"/>
    </row>
    <row r="5159" spans="1:14" s="2" customFormat="1">
      <c r="A5159" s="83"/>
      <c r="H5159" s="83"/>
      <c r="K5159" s="82"/>
      <c r="M5159" s="112"/>
      <c r="N5159" s="84"/>
    </row>
    <row r="5160" spans="1:14" s="2" customFormat="1">
      <c r="A5160" s="83"/>
      <c r="H5160" s="83"/>
      <c r="K5160" s="82"/>
      <c r="M5160" s="112"/>
      <c r="N5160" s="84"/>
    </row>
    <row r="5161" spans="1:14" s="2" customFormat="1">
      <c r="A5161" s="83"/>
      <c r="H5161" s="83"/>
      <c r="K5161" s="82"/>
      <c r="M5161" s="112"/>
      <c r="N5161" s="84"/>
    </row>
    <row r="5162" spans="1:14" s="2" customFormat="1">
      <c r="A5162" s="83"/>
      <c r="H5162" s="83"/>
      <c r="K5162" s="82"/>
      <c r="M5162" s="112"/>
      <c r="N5162" s="84"/>
    </row>
    <row r="5163" spans="1:14" s="2" customFormat="1">
      <c r="A5163" s="83"/>
      <c r="H5163" s="83"/>
      <c r="K5163" s="82"/>
      <c r="M5163" s="112"/>
      <c r="N5163" s="84"/>
    </row>
    <row r="5164" spans="1:14" s="2" customFormat="1">
      <c r="A5164" s="83"/>
      <c r="H5164" s="83"/>
      <c r="K5164" s="82"/>
      <c r="M5164" s="112"/>
      <c r="N5164" s="84"/>
    </row>
    <row r="5165" spans="1:14" s="2" customFormat="1">
      <c r="A5165" s="83"/>
      <c r="H5165" s="83"/>
      <c r="K5165" s="82"/>
      <c r="M5165" s="112"/>
      <c r="N5165" s="84"/>
    </row>
    <row r="5166" spans="1:14" s="2" customFormat="1">
      <c r="A5166" s="83"/>
      <c r="H5166" s="83"/>
      <c r="K5166" s="82"/>
      <c r="M5166" s="112"/>
      <c r="N5166" s="84"/>
    </row>
    <row r="5167" spans="1:14" s="2" customFormat="1">
      <c r="A5167" s="83"/>
      <c r="H5167" s="83"/>
      <c r="K5167" s="82"/>
      <c r="M5167" s="112"/>
      <c r="N5167" s="84"/>
    </row>
    <row r="5168" spans="1:14" s="2" customFormat="1">
      <c r="A5168" s="83"/>
      <c r="H5168" s="83"/>
      <c r="K5168" s="82"/>
      <c r="M5168" s="112"/>
      <c r="N5168" s="84"/>
    </row>
    <row r="5169" spans="1:14" s="2" customFormat="1">
      <c r="A5169" s="83"/>
      <c r="H5169" s="83"/>
      <c r="K5169" s="82"/>
      <c r="M5169" s="112"/>
      <c r="N5169" s="84"/>
    </row>
    <row r="5170" spans="1:14" s="2" customFormat="1">
      <c r="A5170" s="83"/>
      <c r="H5170" s="83"/>
      <c r="K5170" s="82"/>
      <c r="M5170" s="112"/>
      <c r="N5170" s="84"/>
    </row>
    <row r="5171" spans="1:14" s="2" customFormat="1">
      <c r="A5171" s="83"/>
      <c r="H5171" s="83"/>
      <c r="K5171" s="82"/>
      <c r="M5171" s="112"/>
      <c r="N5171" s="84"/>
    </row>
    <row r="5172" spans="1:14" s="2" customFormat="1">
      <c r="A5172" s="83"/>
      <c r="H5172" s="83"/>
      <c r="K5172" s="82"/>
      <c r="M5172" s="112"/>
      <c r="N5172" s="84"/>
    </row>
    <row r="5173" spans="1:14" s="2" customFormat="1">
      <c r="A5173" s="83"/>
      <c r="H5173" s="83"/>
      <c r="K5173" s="82"/>
      <c r="M5173" s="112"/>
      <c r="N5173" s="84"/>
    </row>
    <row r="5174" spans="1:14" s="2" customFormat="1">
      <c r="A5174" s="83"/>
      <c r="H5174" s="83"/>
      <c r="K5174" s="82"/>
      <c r="M5174" s="112"/>
      <c r="N5174" s="84"/>
    </row>
    <row r="5175" spans="1:14" s="2" customFormat="1">
      <c r="A5175" s="83"/>
      <c r="H5175" s="83"/>
      <c r="K5175" s="82"/>
      <c r="M5175" s="112"/>
      <c r="N5175" s="84"/>
    </row>
    <row r="5176" spans="1:14" s="2" customFormat="1">
      <c r="A5176" s="83"/>
      <c r="H5176" s="83"/>
      <c r="K5176" s="82"/>
      <c r="M5176" s="112"/>
      <c r="N5176" s="84"/>
    </row>
    <row r="5177" spans="1:14" s="2" customFormat="1">
      <c r="A5177" s="83"/>
      <c r="H5177" s="83"/>
      <c r="K5177" s="82"/>
      <c r="M5177" s="112"/>
      <c r="N5177" s="84"/>
    </row>
    <row r="5178" spans="1:14" s="2" customFormat="1">
      <c r="A5178" s="83"/>
      <c r="H5178" s="83"/>
      <c r="K5178" s="82"/>
      <c r="M5178" s="112"/>
      <c r="N5178" s="84"/>
    </row>
    <row r="5179" spans="1:14" s="2" customFormat="1">
      <c r="A5179" s="83"/>
      <c r="H5179" s="83"/>
      <c r="K5179" s="82"/>
      <c r="M5179" s="112"/>
      <c r="N5179" s="84"/>
    </row>
    <row r="5180" spans="1:14" s="2" customFormat="1">
      <c r="A5180" s="83"/>
      <c r="H5180" s="83"/>
      <c r="K5180" s="82"/>
      <c r="M5180" s="112"/>
      <c r="N5180" s="84"/>
    </row>
    <row r="5181" spans="1:14" s="2" customFormat="1">
      <c r="A5181" s="83"/>
      <c r="H5181" s="83"/>
      <c r="K5181" s="82"/>
      <c r="M5181" s="112"/>
      <c r="N5181" s="84"/>
    </row>
    <row r="5182" spans="1:14" s="2" customFormat="1">
      <c r="A5182" s="83"/>
      <c r="H5182" s="83"/>
      <c r="K5182" s="82"/>
      <c r="M5182" s="112"/>
      <c r="N5182" s="84"/>
    </row>
    <row r="5183" spans="1:14" s="2" customFormat="1">
      <c r="A5183" s="83"/>
      <c r="H5183" s="83"/>
      <c r="K5183" s="82"/>
      <c r="M5183" s="112"/>
      <c r="N5183" s="84"/>
    </row>
    <row r="5184" spans="1:14" s="2" customFormat="1">
      <c r="A5184" s="83"/>
      <c r="H5184" s="83"/>
      <c r="K5184" s="82"/>
      <c r="M5184" s="112"/>
      <c r="N5184" s="84"/>
    </row>
    <row r="5185" spans="1:14" s="2" customFormat="1">
      <c r="A5185" s="83"/>
      <c r="H5185" s="83"/>
      <c r="K5185" s="82"/>
      <c r="M5185" s="112"/>
      <c r="N5185" s="84"/>
    </row>
    <row r="5186" spans="1:14" s="2" customFormat="1">
      <c r="A5186" s="83"/>
      <c r="H5186" s="83"/>
      <c r="K5186" s="82"/>
      <c r="M5186" s="112"/>
      <c r="N5186" s="84"/>
    </row>
    <row r="5187" spans="1:14" s="2" customFormat="1">
      <c r="A5187" s="83"/>
      <c r="H5187" s="83"/>
      <c r="K5187" s="82"/>
      <c r="M5187" s="112"/>
      <c r="N5187" s="84"/>
    </row>
    <row r="5188" spans="1:14" s="2" customFormat="1">
      <c r="A5188" s="83"/>
      <c r="H5188" s="83"/>
      <c r="K5188" s="82"/>
      <c r="M5188" s="112"/>
      <c r="N5188" s="84"/>
    </row>
    <row r="5189" spans="1:14" s="2" customFormat="1">
      <c r="A5189" s="83"/>
      <c r="H5189" s="83"/>
      <c r="K5189" s="82"/>
      <c r="M5189" s="112"/>
      <c r="N5189" s="84"/>
    </row>
    <row r="5190" spans="1:14" s="2" customFormat="1">
      <c r="A5190" s="83"/>
      <c r="H5190" s="83"/>
      <c r="K5190" s="82"/>
      <c r="M5190" s="112"/>
      <c r="N5190" s="84"/>
    </row>
    <row r="5191" spans="1:14" s="2" customFormat="1">
      <c r="A5191" s="83"/>
      <c r="H5191" s="83"/>
      <c r="K5191" s="82"/>
      <c r="M5191" s="112"/>
      <c r="N5191" s="84"/>
    </row>
    <row r="5192" spans="1:14" s="2" customFormat="1">
      <c r="A5192" s="83"/>
      <c r="H5192" s="83"/>
      <c r="K5192" s="82"/>
      <c r="M5192" s="112"/>
      <c r="N5192" s="84"/>
    </row>
    <row r="5193" spans="1:14" s="2" customFormat="1">
      <c r="A5193" s="83"/>
      <c r="H5193" s="83"/>
      <c r="K5193" s="82"/>
      <c r="M5193" s="112"/>
      <c r="N5193" s="84"/>
    </row>
    <row r="5194" spans="1:14" s="2" customFormat="1">
      <c r="A5194" s="83"/>
      <c r="H5194" s="83"/>
      <c r="K5194" s="82"/>
      <c r="M5194" s="112"/>
      <c r="N5194" s="84"/>
    </row>
    <row r="5195" spans="1:14" s="2" customFormat="1">
      <c r="A5195" s="83"/>
      <c r="H5195" s="83"/>
      <c r="K5195" s="82"/>
      <c r="M5195" s="112"/>
      <c r="N5195" s="84"/>
    </row>
    <row r="5196" spans="1:14" s="2" customFormat="1">
      <c r="A5196" s="83"/>
      <c r="H5196" s="83"/>
      <c r="K5196" s="82"/>
      <c r="M5196" s="112"/>
      <c r="N5196" s="84"/>
    </row>
    <row r="5197" spans="1:14" s="2" customFormat="1">
      <c r="A5197" s="83"/>
      <c r="H5197" s="83"/>
      <c r="K5197" s="82"/>
      <c r="M5197" s="112"/>
      <c r="N5197" s="84"/>
    </row>
    <row r="5198" spans="1:14" s="2" customFormat="1">
      <c r="A5198" s="83"/>
      <c r="H5198" s="83"/>
      <c r="K5198" s="82"/>
      <c r="M5198" s="112"/>
      <c r="N5198" s="84"/>
    </row>
    <row r="5199" spans="1:14" s="2" customFormat="1">
      <c r="A5199" s="83"/>
      <c r="H5199" s="83"/>
      <c r="K5199" s="82"/>
      <c r="M5199" s="112"/>
      <c r="N5199" s="84"/>
    </row>
    <row r="5200" spans="1:14" s="2" customFormat="1">
      <c r="A5200" s="83"/>
      <c r="H5200" s="83"/>
      <c r="K5200" s="82"/>
      <c r="M5200" s="112"/>
      <c r="N5200" s="84"/>
    </row>
    <row r="5201" spans="1:14" s="2" customFormat="1">
      <c r="A5201" s="83"/>
      <c r="H5201" s="83"/>
      <c r="K5201" s="82"/>
      <c r="M5201" s="112"/>
      <c r="N5201" s="84"/>
    </row>
    <row r="5202" spans="1:14" s="2" customFormat="1">
      <c r="A5202" s="83"/>
      <c r="H5202" s="83"/>
      <c r="K5202" s="82"/>
      <c r="M5202" s="112"/>
      <c r="N5202" s="84"/>
    </row>
    <row r="5203" spans="1:14" s="2" customFormat="1">
      <c r="A5203" s="83"/>
      <c r="H5203" s="83"/>
      <c r="K5203" s="82"/>
      <c r="M5203" s="112"/>
      <c r="N5203" s="84"/>
    </row>
    <row r="5204" spans="1:14" s="2" customFormat="1">
      <c r="A5204" s="83"/>
      <c r="H5204" s="83"/>
      <c r="K5204" s="82"/>
      <c r="M5204" s="112"/>
      <c r="N5204" s="84"/>
    </row>
    <row r="5205" spans="1:14" s="2" customFormat="1">
      <c r="A5205" s="83"/>
      <c r="H5205" s="83"/>
      <c r="K5205" s="82"/>
      <c r="M5205" s="112"/>
      <c r="N5205" s="84"/>
    </row>
    <row r="5206" spans="1:14" s="2" customFormat="1">
      <c r="A5206" s="83"/>
      <c r="H5206" s="83"/>
      <c r="K5206" s="82"/>
      <c r="M5206" s="112"/>
      <c r="N5206" s="84"/>
    </row>
    <row r="5207" spans="1:14" s="2" customFormat="1">
      <c r="A5207" s="83"/>
      <c r="H5207" s="83"/>
      <c r="K5207" s="82"/>
      <c r="M5207" s="112"/>
      <c r="N5207" s="84"/>
    </row>
    <row r="5208" spans="1:14" s="2" customFormat="1">
      <c r="A5208" s="83"/>
      <c r="H5208" s="83"/>
      <c r="K5208" s="82"/>
      <c r="M5208" s="112"/>
      <c r="N5208" s="84"/>
    </row>
    <row r="5209" spans="1:14" s="2" customFormat="1">
      <c r="A5209" s="83"/>
      <c r="H5209" s="83"/>
      <c r="K5209" s="82"/>
      <c r="M5209" s="112"/>
      <c r="N5209" s="84"/>
    </row>
    <row r="5210" spans="1:14" s="2" customFormat="1">
      <c r="A5210" s="83"/>
      <c r="H5210" s="83"/>
      <c r="K5210" s="82"/>
      <c r="M5210" s="112"/>
      <c r="N5210" s="84"/>
    </row>
    <row r="5211" spans="1:14" s="2" customFormat="1">
      <c r="A5211" s="83"/>
      <c r="H5211" s="83"/>
      <c r="K5211" s="82"/>
      <c r="M5211" s="112"/>
      <c r="N5211" s="84"/>
    </row>
    <row r="5212" spans="1:14" s="2" customFormat="1">
      <c r="A5212" s="83"/>
      <c r="H5212" s="83"/>
      <c r="K5212" s="82"/>
      <c r="M5212" s="112"/>
      <c r="N5212" s="84"/>
    </row>
    <row r="5213" spans="1:14" s="2" customFormat="1">
      <c r="A5213" s="83"/>
      <c r="H5213" s="83"/>
      <c r="K5213" s="82"/>
      <c r="M5213" s="112"/>
      <c r="N5213" s="84"/>
    </row>
    <row r="5214" spans="1:14" s="2" customFormat="1">
      <c r="A5214" s="83"/>
      <c r="H5214" s="83"/>
      <c r="K5214" s="82"/>
      <c r="M5214" s="112"/>
      <c r="N5214" s="84"/>
    </row>
    <row r="5215" spans="1:14" s="2" customFormat="1">
      <c r="A5215" s="83"/>
      <c r="H5215" s="83"/>
      <c r="K5215" s="82"/>
      <c r="M5215" s="112"/>
      <c r="N5215" s="84"/>
    </row>
    <row r="5216" spans="1:14" s="2" customFormat="1">
      <c r="A5216" s="83"/>
      <c r="H5216" s="83"/>
      <c r="K5216" s="82"/>
      <c r="M5216" s="112"/>
      <c r="N5216" s="84"/>
    </row>
    <row r="5217" spans="1:14" s="2" customFormat="1">
      <c r="A5217" s="83"/>
      <c r="H5217" s="83"/>
      <c r="K5217" s="82"/>
      <c r="M5217" s="112"/>
      <c r="N5217" s="84"/>
    </row>
    <row r="5218" spans="1:14" s="2" customFormat="1">
      <c r="A5218" s="83"/>
      <c r="H5218" s="83"/>
      <c r="K5218" s="82"/>
      <c r="M5218" s="112"/>
      <c r="N5218" s="84"/>
    </row>
    <row r="5219" spans="1:14" s="2" customFormat="1">
      <c r="A5219" s="83"/>
      <c r="H5219" s="83"/>
      <c r="K5219" s="82"/>
      <c r="M5219" s="112"/>
      <c r="N5219" s="84"/>
    </row>
    <row r="5220" spans="1:14" s="2" customFormat="1">
      <c r="A5220" s="83"/>
      <c r="H5220" s="83"/>
      <c r="K5220" s="82"/>
      <c r="M5220" s="112"/>
      <c r="N5220" s="84"/>
    </row>
    <row r="5221" spans="1:14" s="2" customFormat="1">
      <c r="A5221" s="83"/>
      <c r="H5221" s="83"/>
      <c r="K5221" s="82"/>
      <c r="M5221" s="112"/>
      <c r="N5221" s="84"/>
    </row>
    <row r="5222" spans="1:14" s="2" customFormat="1">
      <c r="A5222" s="83"/>
      <c r="H5222" s="83"/>
      <c r="K5222" s="82"/>
      <c r="M5222" s="112"/>
      <c r="N5222" s="84"/>
    </row>
    <row r="5223" spans="1:14" s="2" customFormat="1">
      <c r="A5223" s="83"/>
      <c r="H5223" s="83"/>
      <c r="K5223" s="82"/>
      <c r="M5223" s="112"/>
      <c r="N5223" s="84"/>
    </row>
    <row r="5224" spans="1:14" s="2" customFormat="1">
      <c r="A5224" s="83"/>
      <c r="H5224" s="83"/>
      <c r="K5224" s="82"/>
      <c r="M5224" s="112"/>
      <c r="N5224" s="84"/>
    </row>
    <row r="5225" spans="1:14" s="2" customFormat="1">
      <c r="A5225" s="83"/>
      <c r="H5225" s="83"/>
      <c r="K5225" s="82"/>
      <c r="M5225" s="112"/>
      <c r="N5225" s="84"/>
    </row>
    <row r="5226" spans="1:14" s="2" customFormat="1">
      <c r="A5226" s="83"/>
      <c r="H5226" s="83"/>
      <c r="K5226" s="82"/>
      <c r="M5226" s="112"/>
      <c r="N5226" s="84"/>
    </row>
    <row r="5227" spans="1:14" s="2" customFormat="1">
      <c r="A5227" s="83"/>
      <c r="H5227" s="83"/>
      <c r="K5227" s="82"/>
      <c r="M5227" s="112"/>
      <c r="N5227" s="84"/>
    </row>
    <row r="5228" spans="1:14" s="2" customFormat="1">
      <c r="A5228" s="83"/>
      <c r="H5228" s="83"/>
      <c r="K5228" s="82"/>
      <c r="M5228" s="112"/>
      <c r="N5228" s="84"/>
    </row>
    <row r="5229" spans="1:14" s="2" customFormat="1">
      <c r="A5229" s="83"/>
      <c r="H5229" s="83"/>
      <c r="K5229" s="82"/>
      <c r="M5229" s="112"/>
      <c r="N5229" s="84"/>
    </row>
    <row r="5230" spans="1:14" s="2" customFormat="1">
      <c r="A5230" s="83"/>
      <c r="H5230" s="83"/>
      <c r="K5230" s="82"/>
      <c r="M5230" s="112"/>
      <c r="N5230" s="84"/>
    </row>
    <row r="5231" spans="1:14" s="2" customFormat="1">
      <c r="A5231" s="83"/>
      <c r="H5231" s="83"/>
      <c r="K5231" s="82"/>
      <c r="M5231" s="112"/>
      <c r="N5231" s="84"/>
    </row>
    <row r="5232" spans="1:14" s="2" customFormat="1">
      <c r="A5232" s="83"/>
      <c r="H5232" s="83"/>
      <c r="K5232" s="82"/>
      <c r="M5232" s="112"/>
      <c r="N5232" s="84"/>
    </row>
    <row r="5233" spans="1:14" s="2" customFormat="1">
      <c r="A5233" s="83"/>
      <c r="H5233" s="83"/>
      <c r="K5233" s="82"/>
      <c r="M5233" s="112"/>
      <c r="N5233" s="84"/>
    </row>
    <row r="5234" spans="1:14" s="2" customFormat="1">
      <c r="A5234" s="83"/>
      <c r="H5234" s="83"/>
      <c r="K5234" s="82"/>
      <c r="M5234" s="112"/>
      <c r="N5234" s="84"/>
    </row>
    <row r="5235" spans="1:14" s="2" customFormat="1">
      <c r="A5235" s="83"/>
      <c r="H5235" s="83"/>
      <c r="K5235" s="82"/>
      <c r="M5235" s="112"/>
      <c r="N5235" s="84"/>
    </row>
    <row r="5236" spans="1:14" s="2" customFormat="1">
      <c r="A5236" s="83"/>
      <c r="H5236" s="83"/>
      <c r="K5236" s="82"/>
      <c r="M5236" s="112"/>
      <c r="N5236" s="84"/>
    </row>
    <row r="5237" spans="1:14" s="2" customFormat="1">
      <c r="A5237" s="83"/>
      <c r="H5237" s="83"/>
      <c r="K5237" s="82"/>
      <c r="M5237" s="112"/>
      <c r="N5237" s="84"/>
    </row>
    <row r="5238" spans="1:14" s="2" customFormat="1">
      <c r="A5238" s="83"/>
      <c r="H5238" s="83"/>
      <c r="K5238" s="82"/>
      <c r="M5238" s="112"/>
      <c r="N5238" s="84"/>
    </row>
    <row r="5239" spans="1:14" s="2" customFormat="1">
      <c r="A5239" s="83"/>
      <c r="H5239" s="83"/>
      <c r="K5239" s="82"/>
      <c r="M5239" s="112"/>
      <c r="N5239" s="84"/>
    </row>
    <row r="5240" spans="1:14" s="2" customFormat="1">
      <c r="A5240" s="83"/>
      <c r="H5240" s="83"/>
      <c r="K5240" s="82"/>
      <c r="M5240" s="112"/>
      <c r="N5240" s="84"/>
    </row>
    <row r="5241" spans="1:14" s="2" customFormat="1">
      <c r="A5241" s="83"/>
      <c r="H5241" s="83"/>
      <c r="K5241" s="82"/>
      <c r="M5241" s="112"/>
      <c r="N5241" s="84"/>
    </row>
    <row r="5242" spans="1:14" s="2" customFormat="1">
      <c r="A5242" s="83"/>
      <c r="H5242" s="83"/>
      <c r="K5242" s="82"/>
      <c r="M5242" s="112"/>
      <c r="N5242" s="84"/>
    </row>
    <row r="5243" spans="1:14" s="2" customFormat="1">
      <c r="A5243" s="83"/>
      <c r="H5243" s="83"/>
      <c r="K5243" s="82"/>
      <c r="M5243" s="112"/>
      <c r="N5243" s="84"/>
    </row>
    <row r="5244" spans="1:14" s="2" customFormat="1">
      <c r="A5244" s="83"/>
      <c r="H5244" s="83"/>
      <c r="K5244" s="82"/>
      <c r="M5244" s="112"/>
      <c r="N5244" s="84"/>
    </row>
    <row r="5245" spans="1:14" s="2" customFormat="1">
      <c r="A5245" s="83"/>
      <c r="H5245" s="83"/>
      <c r="K5245" s="82"/>
      <c r="M5245" s="112"/>
      <c r="N5245" s="84"/>
    </row>
    <row r="5246" spans="1:14" s="2" customFormat="1">
      <c r="A5246" s="83"/>
      <c r="H5246" s="83"/>
      <c r="K5246" s="82"/>
      <c r="M5246" s="112"/>
      <c r="N5246" s="84"/>
    </row>
    <row r="5247" spans="1:14" s="2" customFormat="1">
      <c r="A5247" s="83"/>
      <c r="H5247" s="83"/>
      <c r="K5247" s="82"/>
      <c r="M5247" s="112"/>
      <c r="N5247" s="84"/>
    </row>
    <row r="5248" spans="1:14" s="2" customFormat="1">
      <c r="A5248" s="83"/>
      <c r="H5248" s="83"/>
      <c r="K5248" s="82"/>
      <c r="M5248" s="112"/>
      <c r="N5248" s="84"/>
    </row>
    <row r="5249" spans="1:14" s="2" customFormat="1">
      <c r="A5249" s="83"/>
      <c r="H5249" s="83"/>
      <c r="K5249" s="82"/>
      <c r="M5249" s="112"/>
      <c r="N5249" s="84"/>
    </row>
    <row r="5250" spans="1:14" s="2" customFormat="1">
      <c r="A5250" s="83"/>
      <c r="H5250" s="83"/>
      <c r="K5250" s="82"/>
      <c r="M5250" s="112"/>
      <c r="N5250" s="84"/>
    </row>
    <row r="5251" spans="1:14" s="2" customFormat="1">
      <c r="A5251" s="83"/>
      <c r="H5251" s="83"/>
      <c r="K5251" s="82"/>
      <c r="M5251" s="112"/>
      <c r="N5251" s="84"/>
    </row>
    <row r="5252" spans="1:14" s="2" customFormat="1">
      <c r="A5252" s="83"/>
      <c r="H5252" s="83"/>
      <c r="K5252" s="82"/>
      <c r="M5252" s="112"/>
      <c r="N5252" s="84"/>
    </row>
    <row r="5253" spans="1:14" s="2" customFormat="1">
      <c r="A5253" s="83"/>
      <c r="H5253" s="83"/>
      <c r="K5253" s="82"/>
      <c r="M5253" s="112"/>
      <c r="N5253" s="84"/>
    </row>
    <row r="5254" spans="1:14" s="2" customFormat="1">
      <c r="A5254" s="83"/>
      <c r="H5254" s="83"/>
      <c r="K5254" s="82"/>
      <c r="M5254" s="112"/>
      <c r="N5254" s="84"/>
    </row>
    <row r="5255" spans="1:14" s="2" customFormat="1">
      <c r="A5255" s="83"/>
      <c r="H5255" s="83"/>
      <c r="K5255" s="82"/>
      <c r="M5255" s="112"/>
      <c r="N5255" s="84"/>
    </row>
    <row r="5256" spans="1:14" s="2" customFormat="1">
      <c r="A5256" s="83"/>
      <c r="H5256" s="83"/>
      <c r="K5256" s="82"/>
      <c r="M5256" s="112"/>
      <c r="N5256" s="84"/>
    </row>
    <row r="5257" spans="1:14" s="2" customFormat="1">
      <c r="A5257" s="83"/>
      <c r="H5257" s="83"/>
      <c r="K5257" s="82"/>
      <c r="M5257" s="112"/>
      <c r="N5257" s="84"/>
    </row>
    <row r="5258" spans="1:14" s="2" customFormat="1">
      <c r="A5258" s="83"/>
      <c r="H5258" s="83"/>
      <c r="K5258" s="82"/>
      <c r="M5258" s="112"/>
      <c r="N5258" s="84"/>
    </row>
    <row r="5259" spans="1:14" s="2" customFormat="1">
      <c r="A5259" s="83"/>
      <c r="H5259" s="83"/>
      <c r="K5259" s="82"/>
      <c r="M5259" s="112"/>
      <c r="N5259" s="84"/>
    </row>
    <row r="5260" spans="1:14" s="2" customFormat="1">
      <c r="A5260" s="83"/>
      <c r="H5260" s="83"/>
      <c r="K5260" s="82"/>
      <c r="M5260" s="112"/>
      <c r="N5260" s="84"/>
    </row>
    <row r="5261" spans="1:14" s="2" customFormat="1">
      <c r="A5261" s="83"/>
      <c r="H5261" s="83"/>
      <c r="K5261" s="82"/>
      <c r="M5261" s="112"/>
      <c r="N5261" s="84"/>
    </row>
    <row r="5262" spans="1:14" s="2" customFormat="1">
      <c r="A5262" s="83"/>
      <c r="H5262" s="83"/>
      <c r="K5262" s="82"/>
      <c r="M5262" s="112"/>
      <c r="N5262" s="84"/>
    </row>
    <row r="5263" spans="1:14" s="2" customFormat="1">
      <c r="A5263" s="83"/>
      <c r="H5263" s="83"/>
      <c r="K5263" s="82"/>
      <c r="M5263" s="112"/>
      <c r="N5263" s="84"/>
    </row>
    <row r="5264" spans="1:14" s="2" customFormat="1">
      <c r="A5264" s="83"/>
      <c r="H5264" s="83"/>
      <c r="K5264" s="82"/>
      <c r="M5264" s="112"/>
      <c r="N5264" s="84"/>
    </row>
    <row r="5265" spans="1:14" s="2" customFormat="1">
      <c r="A5265" s="83"/>
      <c r="H5265" s="83"/>
      <c r="K5265" s="82"/>
      <c r="M5265" s="112"/>
      <c r="N5265" s="84"/>
    </row>
    <row r="5266" spans="1:14" s="2" customFormat="1">
      <c r="A5266" s="83"/>
      <c r="H5266" s="83"/>
      <c r="K5266" s="82"/>
      <c r="M5266" s="112"/>
      <c r="N5266" s="84"/>
    </row>
    <row r="5267" spans="1:14" s="2" customFormat="1">
      <c r="A5267" s="83"/>
      <c r="H5267" s="83"/>
      <c r="K5267" s="82"/>
      <c r="M5267" s="112"/>
      <c r="N5267" s="84"/>
    </row>
    <row r="5268" spans="1:14" s="2" customFormat="1">
      <c r="A5268" s="83"/>
      <c r="H5268" s="83"/>
      <c r="K5268" s="82"/>
      <c r="M5268" s="112"/>
      <c r="N5268" s="84"/>
    </row>
    <row r="5269" spans="1:14" s="2" customFormat="1">
      <c r="A5269" s="83"/>
      <c r="H5269" s="83"/>
      <c r="K5269" s="82"/>
      <c r="M5269" s="112"/>
      <c r="N5269" s="84"/>
    </row>
    <row r="5270" spans="1:14" s="2" customFormat="1">
      <c r="A5270" s="83"/>
      <c r="H5270" s="83"/>
      <c r="K5270" s="82"/>
      <c r="M5270" s="112"/>
      <c r="N5270" s="84"/>
    </row>
    <row r="5271" spans="1:14" s="2" customFormat="1">
      <c r="A5271" s="83"/>
      <c r="H5271" s="83"/>
      <c r="K5271" s="82"/>
      <c r="M5271" s="112"/>
      <c r="N5271" s="84"/>
    </row>
    <row r="5272" spans="1:14" s="2" customFormat="1">
      <c r="A5272" s="83"/>
      <c r="H5272" s="83"/>
      <c r="K5272" s="82"/>
      <c r="M5272" s="112"/>
      <c r="N5272" s="84"/>
    </row>
    <row r="5273" spans="1:14" s="2" customFormat="1">
      <c r="A5273" s="83"/>
      <c r="H5273" s="83"/>
      <c r="K5273" s="82"/>
      <c r="M5273" s="112"/>
      <c r="N5273" s="84"/>
    </row>
    <row r="5274" spans="1:14" s="2" customFormat="1">
      <c r="A5274" s="83"/>
      <c r="H5274" s="83"/>
      <c r="K5274" s="82"/>
      <c r="M5274" s="112"/>
      <c r="N5274" s="84"/>
    </row>
    <row r="5275" spans="1:14" s="2" customFormat="1">
      <c r="A5275" s="83"/>
      <c r="H5275" s="83"/>
      <c r="K5275" s="82"/>
      <c r="M5275" s="112"/>
      <c r="N5275" s="84"/>
    </row>
    <row r="5276" spans="1:14" s="2" customFormat="1">
      <c r="A5276" s="83"/>
      <c r="H5276" s="83"/>
      <c r="K5276" s="82"/>
      <c r="M5276" s="112"/>
      <c r="N5276" s="84"/>
    </row>
    <row r="5277" spans="1:14" s="2" customFormat="1">
      <c r="A5277" s="83"/>
      <c r="H5277" s="83"/>
      <c r="K5277" s="82"/>
      <c r="M5277" s="112"/>
      <c r="N5277" s="84"/>
    </row>
    <row r="5278" spans="1:14" s="2" customFormat="1">
      <c r="A5278" s="83"/>
      <c r="H5278" s="83"/>
      <c r="K5278" s="82"/>
      <c r="M5278" s="112"/>
      <c r="N5278" s="84"/>
    </row>
    <row r="5279" spans="1:14" s="2" customFormat="1">
      <c r="A5279" s="83"/>
      <c r="H5279" s="83"/>
      <c r="K5279" s="82"/>
      <c r="M5279" s="112"/>
      <c r="N5279" s="84"/>
    </row>
    <row r="5280" spans="1:14" s="2" customFormat="1">
      <c r="A5280" s="83"/>
      <c r="H5280" s="83"/>
      <c r="K5280" s="82"/>
      <c r="M5280" s="112"/>
      <c r="N5280" s="84"/>
    </row>
    <row r="5281" spans="1:14" s="2" customFormat="1">
      <c r="A5281" s="83"/>
      <c r="H5281" s="83"/>
      <c r="K5281" s="82"/>
      <c r="M5281" s="112"/>
      <c r="N5281" s="84"/>
    </row>
    <row r="5282" spans="1:14" s="2" customFormat="1">
      <c r="A5282" s="83"/>
      <c r="H5282" s="83"/>
      <c r="K5282" s="82"/>
      <c r="M5282" s="112"/>
      <c r="N5282" s="84"/>
    </row>
    <row r="5283" spans="1:14" s="2" customFormat="1">
      <c r="A5283" s="83"/>
      <c r="H5283" s="83"/>
      <c r="K5283" s="82"/>
      <c r="M5283" s="112"/>
      <c r="N5283" s="84"/>
    </row>
    <row r="5284" spans="1:14" s="2" customFormat="1">
      <c r="A5284" s="83"/>
      <c r="H5284" s="83"/>
      <c r="K5284" s="82"/>
      <c r="M5284" s="112"/>
      <c r="N5284" s="84"/>
    </row>
    <row r="5285" spans="1:14" s="2" customFormat="1">
      <c r="A5285" s="83"/>
      <c r="H5285" s="83"/>
      <c r="K5285" s="82"/>
      <c r="M5285" s="112"/>
      <c r="N5285" s="84"/>
    </row>
    <row r="5286" spans="1:14" s="2" customFormat="1">
      <c r="A5286" s="83"/>
      <c r="H5286" s="83"/>
      <c r="K5286" s="82"/>
      <c r="M5286" s="112"/>
      <c r="N5286" s="84"/>
    </row>
    <row r="5287" spans="1:14" s="2" customFormat="1">
      <c r="A5287" s="83"/>
      <c r="H5287" s="83"/>
      <c r="K5287" s="82"/>
      <c r="M5287" s="112"/>
      <c r="N5287" s="84"/>
    </row>
    <row r="5288" spans="1:14" s="2" customFormat="1">
      <c r="A5288" s="83"/>
      <c r="H5288" s="83"/>
      <c r="K5288" s="82"/>
      <c r="M5288" s="112"/>
      <c r="N5288" s="84"/>
    </row>
    <row r="5289" spans="1:14" s="2" customFormat="1">
      <c r="A5289" s="83"/>
      <c r="H5289" s="83"/>
      <c r="K5289" s="82"/>
      <c r="M5289" s="112"/>
      <c r="N5289" s="84"/>
    </row>
    <row r="5290" spans="1:14" s="2" customFormat="1">
      <c r="A5290" s="83"/>
      <c r="H5290" s="83"/>
      <c r="K5290" s="82"/>
      <c r="M5290" s="112"/>
      <c r="N5290" s="84"/>
    </row>
    <row r="5291" spans="1:14" s="2" customFormat="1">
      <c r="A5291" s="83"/>
      <c r="H5291" s="83"/>
      <c r="K5291" s="82"/>
      <c r="M5291" s="112"/>
      <c r="N5291" s="84"/>
    </row>
    <row r="5292" spans="1:14" s="2" customFormat="1">
      <c r="A5292" s="83"/>
      <c r="H5292" s="83"/>
      <c r="K5292" s="82"/>
      <c r="M5292" s="112"/>
      <c r="N5292" s="84"/>
    </row>
    <row r="5293" spans="1:14" s="2" customFormat="1">
      <c r="A5293" s="83"/>
      <c r="H5293" s="83"/>
      <c r="K5293" s="82"/>
      <c r="M5293" s="112"/>
      <c r="N5293" s="84"/>
    </row>
    <row r="5294" spans="1:14" s="2" customFormat="1">
      <c r="A5294" s="83"/>
      <c r="H5294" s="83"/>
      <c r="K5294" s="82"/>
      <c r="M5294" s="112"/>
      <c r="N5294" s="84"/>
    </row>
    <row r="5295" spans="1:14" s="2" customFormat="1">
      <c r="A5295" s="83"/>
      <c r="H5295" s="83"/>
      <c r="K5295" s="82"/>
      <c r="M5295" s="112"/>
      <c r="N5295" s="84"/>
    </row>
    <row r="5296" spans="1:14" s="2" customFormat="1">
      <c r="A5296" s="83"/>
      <c r="H5296" s="83"/>
      <c r="K5296" s="82"/>
      <c r="M5296" s="112"/>
      <c r="N5296" s="84"/>
    </row>
    <row r="5297" spans="1:14" s="2" customFormat="1">
      <c r="A5297" s="83"/>
      <c r="H5297" s="83"/>
      <c r="K5297" s="82"/>
      <c r="M5297" s="112"/>
      <c r="N5297" s="84"/>
    </row>
    <row r="5298" spans="1:14" s="2" customFormat="1">
      <c r="A5298" s="83"/>
      <c r="H5298" s="83"/>
      <c r="K5298" s="82"/>
      <c r="M5298" s="112"/>
      <c r="N5298" s="84"/>
    </row>
    <row r="5299" spans="1:14" s="2" customFormat="1">
      <c r="A5299" s="83"/>
      <c r="H5299" s="83"/>
      <c r="K5299" s="82"/>
      <c r="M5299" s="112"/>
      <c r="N5299" s="84"/>
    </row>
    <row r="5300" spans="1:14" s="2" customFormat="1">
      <c r="A5300" s="83"/>
      <c r="H5300" s="83"/>
      <c r="K5300" s="82"/>
      <c r="M5300" s="112"/>
      <c r="N5300" s="84"/>
    </row>
    <row r="5301" spans="1:14" s="2" customFormat="1">
      <c r="A5301" s="83"/>
      <c r="H5301" s="83"/>
      <c r="K5301" s="82"/>
      <c r="M5301" s="112"/>
      <c r="N5301" s="84"/>
    </row>
    <row r="5302" spans="1:14" s="2" customFormat="1">
      <c r="A5302" s="83"/>
      <c r="H5302" s="83"/>
      <c r="K5302" s="82"/>
      <c r="M5302" s="112"/>
      <c r="N5302" s="84"/>
    </row>
    <row r="5303" spans="1:14" s="2" customFormat="1">
      <c r="A5303" s="83"/>
      <c r="H5303" s="83"/>
      <c r="K5303" s="82"/>
      <c r="M5303" s="112"/>
      <c r="N5303" s="84"/>
    </row>
    <row r="5304" spans="1:14" s="2" customFormat="1">
      <c r="A5304" s="83"/>
      <c r="H5304" s="83"/>
      <c r="K5304" s="82"/>
      <c r="M5304" s="112"/>
      <c r="N5304" s="84"/>
    </row>
    <row r="5305" spans="1:14" s="2" customFormat="1">
      <c r="A5305" s="83"/>
      <c r="H5305" s="83"/>
      <c r="K5305" s="82"/>
      <c r="M5305" s="112"/>
      <c r="N5305" s="84"/>
    </row>
    <row r="5306" spans="1:14" s="2" customFormat="1">
      <c r="A5306" s="83"/>
      <c r="H5306" s="83"/>
      <c r="K5306" s="82"/>
      <c r="M5306" s="112"/>
      <c r="N5306" s="84"/>
    </row>
    <row r="5307" spans="1:14" s="2" customFormat="1">
      <c r="A5307" s="83"/>
      <c r="H5307" s="83"/>
      <c r="K5307" s="82"/>
      <c r="M5307" s="112"/>
      <c r="N5307" s="84"/>
    </row>
    <row r="5308" spans="1:14" s="2" customFormat="1">
      <c r="A5308" s="83"/>
      <c r="H5308" s="83"/>
      <c r="K5308" s="82"/>
      <c r="M5308" s="112"/>
      <c r="N5308" s="84"/>
    </row>
    <row r="5309" spans="1:14" s="2" customFormat="1">
      <c r="A5309" s="83"/>
      <c r="H5309" s="83"/>
      <c r="K5309" s="82"/>
      <c r="M5309" s="112"/>
      <c r="N5309" s="84"/>
    </row>
    <row r="5310" spans="1:14" s="2" customFormat="1">
      <c r="A5310" s="83"/>
      <c r="H5310" s="83"/>
      <c r="K5310" s="82"/>
      <c r="M5310" s="112"/>
      <c r="N5310" s="84"/>
    </row>
    <row r="5311" spans="1:14" s="2" customFormat="1">
      <c r="A5311" s="83"/>
      <c r="H5311" s="83"/>
      <c r="K5311" s="82"/>
      <c r="M5311" s="112"/>
      <c r="N5311" s="84"/>
    </row>
    <row r="5312" spans="1:14" s="2" customFormat="1">
      <c r="A5312" s="83"/>
      <c r="H5312" s="83"/>
      <c r="K5312" s="82"/>
      <c r="M5312" s="112"/>
      <c r="N5312" s="84"/>
    </row>
    <row r="5313" spans="1:14" s="2" customFormat="1">
      <c r="A5313" s="83"/>
      <c r="H5313" s="83"/>
      <c r="K5313" s="82"/>
      <c r="M5313" s="112"/>
      <c r="N5313" s="84"/>
    </row>
    <row r="5314" spans="1:14" s="2" customFormat="1">
      <c r="A5314" s="83"/>
      <c r="H5314" s="83"/>
      <c r="K5314" s="82"/>
      <c r="M5314" s="112"/>
      <c r="N5314" s="84"/>
    </row>
    <row r="5315" spans="1:14" s="2" customFormat="1">
      <c r="A5315" s="83"/>
      <c r="H5315" s="83"/>
      <c r="K5315" s="82"/>
      <c r="M5315" s="112"/>
      <c r="N5315" s="84"/>
    </row>
    <row r="5316" spans="1:14" s="2" customFormat="1">
      <c r="A5316" s="83"/>
      <c r="H5316" s="83"/>
      <c r="K5316" s="82"/>
      <c r="M5316" s="112"/>
      <c r="N5316" s="84"/>
    </row>
    <row r="5317" spans="1:14" s="2" customFormat="1">
      <c r="A5317" s="83"/>
      <c r="H5317" s="83"/>
      <c r="K5317" s="82"/>
      <c r="M5317" s="112"/>
      <c r="N5317" s="84"/>
    </row>
    <row r="5318" spans="1:14" s="2" customFormat="1">
      <c r="A5318" s="83"/>
      <c r="H5318" s="83"/>
      <c r="K5318" s="82"/>
      <c r="M5318" s="112"/>
      <c r="N5318" s="84"/>
    </row>
    <row r="5319" spans="1:14" s="2" customFormat="1">
      <c r="A5319" s="83"/>
      <c r="H5319" s="83"/>
      <c r="K5319" s="82"/>
      <c r="M5319" s="112"/>
      <c r="N5319" s="84"/>
    </row>
    <row r="5320" spans="1:14" s="2" customFormat="1">
      <c r="A5320" s="83"/>
      <c r="H5320" s="83"/>
      <c r="K5320" s="82"/>
      <c r="M5320" s="112"/>
      <c r="N5320" s="84"/>
    </row>
    <row r="5321" spans="1:14" s="2" customFormat="1">
      <c r="A5321" s="83"/>
      <c r="H5321" s="83"/>
      <c r="K5321" s="82"/>
      <c r="M5321" s="112"/>
      <c r="N5321" s="84"/>
    </row>
    <row r="5322" spans="1:14" s="2" customFormat="1">
      <c r="A5322" s="83"/>
      <c r="H5322" s="83"/>
      <c r="K5322" s="82"/>
      <c r="M5322" s="112"/>
      <c r="N5322" s="84"/>
    </row>
    <row r="5323" spans="1:14" s="2" customFormat="1">
      <c r="A5323" s="83"/>
      <c r="H5323" s="83"/>
      <c r="K5323" s="82"/>
      <c r="M5323" s="112"/>
      <c r="N5323" s="84"/>
    </row>
    <row r="5324" spans="1:14" s="2" customFormat="1">
      <c r="A5324" s="83"/>
      <c r="H5324" s="83"/>
      <c r="K5324" s="82"/>
      <c r="M5324" s="112"/>
      <c r="N5324" s="84"/>
    </row>
    <row r="5325" spans="1:14" s="2" customFormat="1">
      <c r="A5325" s="83"/>
      <c r="H5325" s="83"/>
      <c r="K5325" s="82"/>
      <c r="M5325" s="112"/>
      <c r="N5325" s="84"/>
    </row>
    <row r="5326" spans="1:14" s="2" customFormat="1">
      <c r="A5326" s="83"/>
      <c r="H5326" s="83"/>
      <c r="K5326" s="82"/>
      <c r="M5326" s="112"/>
      <c r="N5326" s="84"/>
    </row>
    <row r="5327" spans="1:14" s="2" customFormat="1">
      <c r="A5327" s="83"/>
      <c r="H5327" s="83"/>
      <c r="K5327" s="82"/>
      <c r="M5327" s="112"/>
      <c r="N5327" s="84"/>
    </row>
    <row r="5328" spans="1:14" s="2" customFormat="1">
      <c r="A5328" s="83"/>
      <c r="H5328" s="83"/>
      <c r="K5328" s="82"/>
      <c r="M5328" s="112"/>
      <c r="N5328" s="84"/>
    </row>
    <row r="5329" spans="1:14" s="2" customFormat="1">
      <c r="A5329" s="83"/>
      <c r="H5329" s="83"/>
      <c r="K5329" s="82"/>
      <c r="M5329" s="112"/>
      <c r="N5329" s="84"/>
    </row>
    <row r="5330" spans="1:14" s="2" customFormat="1">
      <c r="A5330" s="83"/>
      <c r="H5330" s="83"/>
      <c r="K5330" s="82"/>
      <c r="M5330" s="112"/>
      <c r="N5330" s="84"/>
    </row>
    <row r="5331" spans="1:14" s="2" customFormat="1">
      <c r="A5331" s="83"/>
      <c r="H5331" s="83"/>
      <c r="K5331" s="82"/>
      <c r="M5331" s="112"/>
      <c r="N5331" s="84"/>
    </row>
    <row r="5332" spans="1:14" s="2" customFormat="1">
      <c r="A5332" s="83"/>
      <c r="H5332" s="83"/>
      <c r="K5332" s="82"/>
      <c r="M5332" s="112"/>
      <c r="N5332" s="84"/>
    </row>
    <row r="5333" spans="1:14" s="2" customFormat="1">
      <c r="A5333" s="83"/>
      <c r="H5333" s="83"/>
      <c r="K5333" s="82"/>
      <c r="M5333" s="112"/>
      <c r="N5333" s="84"/>
    </row>
    <row r="5334" spans="1:14" s="2" customFormat="1">
      <c r="A5334" s="83"/>
      <c r="H5334" s="83"/>
      <c r="K5334" s="82"/>
      <c r="M5334" s="112"/>
      <c r="N5334" s="84"/>
    </row>
    <row r="5335" spans="1:14" s="2" customFormat="1">
      <c r="A5335" s="83"/>
      <c r="H5335" s="83"/>
      <c r="K5335" s="82"/>
      <c r="M5335" s="112"/>
      <c r="N5335" s="84"/>
    </row>
    <row r="5336" spans="1:14" s="2" customFormat="1">
      <c r="A5336" s="83"/>
      <c r="H5336" s="83"/>
      <c r="K5336" s="82"/>
      <c r="M5336" s="112"/>
      <c r="N5336" s="84"/>
    </row>
    <row r="5337" spans="1:14" s="2" customFormat="1">
      <c r="A5337" s="83"/>
      <c r="H5337" s="83"/>
      <c r="K5337" s="82"/>
      <c r="M5337" s="112"/>
      <c r="N5337" s="84"/>
    </row>
    <row r="5338" spans="1:14" s="2" customFormat="1">
      <c r="A5338" s="83"/>
      <c r="H5338" s="83"/>
      <c r="K5338" s="82"/>
      <c r="M5338" s="112"/>
      <c r="N5338" s="84"/>
    </row>
    <row r="5339" spans="1:14" s="2" customFormat="1">
      <c r="A5339" s="83"/>
      <c r="H5339" s="83"/>
      <c r="K5339" s="82"/>
      <c r="M5339" s="112"/>
      <c r="N5339" s="84"/>
    </row>
    <row r="5340" spans="1:14" s="2" customFormat="1">
      <c r="A5340" s="83"/>
      <c r="H5340" s="83"/>
      <c r="K5340" s="82"/>
      <c r="M5340" s="112"/>
      <c r="N5340" s="84"/>
    </row>
    <row r="5341" spans="1:14" s="2" customFormat="1">
      <c r="A5341" s="83"/>
      <c r="H5341" s="83"/>
      <c r="K5341" s="82"/>
      <c r="M5341" s="112"/>
      <c r="N5341" s="84"/>
    </row>
    <row r="5342" spans="1:14" s="2" customFormat="1">
      <c r="A5342" s="83"/>
      <c r="H5342" s="83"/>
      <c r="K5342" s="82"/>
      <c r="M5342" s="112"/>
      <c r="N5342" s="84"/>
    </row>
    <row r="5343" spans="1:14" s="2" customFormat="1">
      <c r="A5343" s="83"/>
      <c r="H5343" s="83"/>
      <c r="K5343" s="82"/>
      <c r="M5343" s="112"/>
      <c r="N5343" s="84"/>
    </row>
    <row r="5344" spans="1:14" s="2" customFormat="1">
      <c r="A5344" s="83"/>
      <c r="H5344" s="83"/>
      <c r="K5344" s="82"/>
      <c r="M5344" s="112"/>
      <c r="N5344" s="84"/>
    </row>
    <row r="5345" spans="1:14" s="2" customFormat="1">
      <c r="A5345" s="83"/>
      <c r="H5345" s="83"/>
      <c r="K5345" s="82"/>
      <c r="M5345" s="112"/>
      <c r="N5345" s="84"/>
    </row>
    <row r="5346" spans="1:14" s="2" customFormat="1">
      <c r="A5346" s="83"/>
      <c r="H5346" s="83"/>
      <c r="K5346" s="82"/>
      <c r="M5346" s="112"/>
      <c r="N5346" s="84"/>
    </row>
    <row r="5347" spans="1:14" s="2" customFormat="1">
      <c r="A5347" s="83"/>
      <c r="H5347" s="83"/>
      <c r="K5347" s="82"/>
      <c r="M5347" s="112"/>
      <c r="N5347" s="84"/>
    </row>
    <row r="5348" spans="1:14" s="2" customFormat="1">
      <c r="A5348" s="83"/>
      <c r="H5348" s="83"/>
      <c r="K5348" s="82"/>
      <c r="M5348" s="112"/>
      <c r="N5348" s="84"/>
    </row>
    <row r="5349" spans="1:14" s="2" customFormat="1">
      <c r="A5349" s="83"/>
      <c r="H5349" s="83"/>
      <c r="K5349" s="82"/>
      <c r="M5349" s="112"/>
      <c r="N5349" s="84"/>
    </row>
    <row r="5350" spans="1:14" s="2" customFormat="1">
      <c r="A5350" s="83"/>
      <c r="H5350" s="83"/>
      <c r="K5350" s="82"/>
      <c r="M5350" s="112"/>
      <c r="N5350" s="84"/>
    </row>
    <row r="5351" spans="1:14" s="2" customFormat="1">
      <c r="A5351" s="83"/>
      <c r="H5351" s="83"/>
      <c r="K5351" s="82"/>
      <c r="M5351" s="112"/>
      <c r="N5351" s="84"/>
    </row>
    <row r="5352" spans="1:14" s="2" customFormat="1">
      <c r="A5352" s="83"/>
      <c r="H5352" s="83"/>
      <c r="K5352" s="82"/>
      <c r="M5352" s="112"/>
      <c r="N5352" s="84"/>
    </row>
    <row r="5353" spans="1:14" s="2" customFormat="1">
      <c r="A5353" s="83"/>
      <c r="H5353" s="83"/>
      <c r="K5353" s="82"/>
      <c r="M5353" s="112"/>
      <c r="N5353" s="84"/>
    </row>
    <row r="5354" spans="1:14" s="2" customFormat="1">
      <c r="A5354" s="83"/>
      <c r="H5354" s="83"/>
      <c r="K5354" s="82"/>
      <c r="M5354" s="112"/>
      <c r="N5354" s="84"/>
    </row>
    <row r="5355" spans="1:14" s="2" customFormat="1">
      <c r="A5355" s="83"/>
      <c r="H5355" s="83"/>
      <c r="K5355" s="82"/>
      <c r="M5355" s="112"/>
      <c r="N5355" s="84"/>
    </row>
    <row r="5356" spans="1:14" s="2" customFormat="1">
      <c r="A5356" s="83"/>
      <c r="H5356" s="83"/>
      <c r="K5356" s="82"/>
      <c r="M5356" s="112"/>
      <c r="N5356" s="84"/>
    </row>
    <row r="5357" spans="1:14" s="2" customFormat="1">
      <c r="A5357" s="83"/>
      <c r="H5357" s="83"/>
      <c r="K5357" s="82"/>
      <c r="M5357" s="112"/>
      <c r="N5357" s="84"/>
    </row>
    <row r="5358" spans="1:14" s="2" customFormat="1">
      <c r="A5358" s="83"/>
      <c r="H5358" s="83"/>
      <c r="K5358" s="82"/>
      <c r="M5358" s="112"/>
      <c r="N5358" s="84"/>
    </row>
    <row r="5359" spans="1:14" s="2" customFormat="1">
      <c r="A5359" s="83"/>
      <c r="H5359" s="83"/>
      <c r="K5359" s="82"/>
      <c r="M5359" s="112"/>
      <c r="N5359" s="84"/>
    </row>
    <row r="5360" spans="1:14" s="2" customFormat="1">
      <c r="A5360" s="83"/>
      <c r="H5360" s="83"/>
      <c r="K5360" s="82"/>
      <c r="M5360" s="112"/>
      <c r="N5360" s="84"/>
    </row>
    <row r="5361" spans="1:14" s="2" customFormat="1">
      <c r="A5361" s="83"/>
      <c r="H5361" s="83"/>
      <c r="K5361" s="82"/>
      <c r="M5361" s="112"/>
      <c r="N5361" s="84"/>
    </row>
    <row r="5362" spans="1:14" s="2" customFormat="1">
      <c r="A5362" s="83"/>
      <c r="H5362" s="83"/>
      <c r="K5362" s="82"/>
      <c r="M5362" s="112"/>
      <c r="N5362" s="84"/>
    </row>
    <row r="5363" spans="1:14" s="2" customFormat="1">
      <c r="A5363" s="83"/>
      <c r="H5363" s="83"/>
      <c r="K5363" s="82"/>
      <c r="M5363" s="112"/>
      <c r="N5363" s="84"/>
    </row>
    <row r="5364" spans="1:14" s="2" customFormat="1">
      <c r="A5364" s="83"/>
      <c r="H5364" s="83"/>
      <c r="K5364" s="82"/>
      <c r="M5364" s="112"/>
      <c r="N5364" s="84"/>
    </row>
    <row r="5365" spans="1:14" s="2" customFormat="1">
      <c r="A5365" s="83"/>
      <c r="H5365" s="83"/>
      <c r="K5365" s="82"/>
      <c r="M5365" s="112"/>
      <c r="N5365" s="84"/>
    </row>
    <row r="5366" spans="1:14" s="2" customFormat="1">
      <c r="A5366" s="83"/>
      <c r="H5366" s="83"/>
      <c r="K5366" s="82"/>
      <c r="M5366" s="112"/>
      <c r="N5366" s="84"/>
    </row>
    <row r="5367" spans="1:14" s="2" customFormat="1">
      <c r="A5367" s="83"/>
      <c r="H5367" s="83"/>
      <c r="K5367" s="82"/>
      <c r="M5367" s="112"/>
      <c r="N5367" s="84"/>
    </row>
    <row r="5368" spans="1:14" s="2" customFormat="1">
      <c r="A5368" s="83"/>
      <c r="H5368" s="83"/>
      <c r="K5368" s="82"/>
      <c r="M5368" s="112"/>
      <c r="N5368" s="84"/>
    </row>
    <row r="5369" spans="1:14" s="2" customFormat="1">
      <c r="A5369" s="83"/>
      <c r="H5369" s="83"/>
      <c r="K5369" s="82"/>
      <c r="M5369" s="112"/>
      <c r="N5369" s="84"/>
    </row>
    <row r="5370" spans="1:14" s="2" customFormat="1">
      <c r="A5370" s="83"/>
      <c r="H5370" s="83"/>
      <c r="K5370" s="82"/>
      <c r="M5370" s="112"/>
      <c r="N5370" s="84"/>
    </row>
    <row r="5371" spans="1:14" s="2" customFormat="1">
      <c r="A5371" s="83"/>
      <c r="H5371" s="83"/>
      <c r="K5371" s="82"/>
      <c r="M5371" s="112"/>
      <c r="N5371" s="84"/>
    </row>
    <row r="5372" spans="1:14" s="2" customFormat="1">
      <c r="A5372" s="83"/>
      <c r="H5372" s="83"/>
      <c r="K5372" s="82"/>
      <c r="M5372" s="112"/>
      <c r="N5372" s="84"/>
    </row>
    <row r="5373" spans="1:14" s="2" customFormat="1">
      <c r="A5373" s="83"/>
      <c r="H5373" s="83"/>
      <c r="K5373" s="82"/>
      <c r="M5373" s="112"/>
      <c r="N5373" s="84"/>
    </row>
    <row r="5374" spans="1:14" s="2" customFormat="1">
      <c r="A5374" s="83"/>
      <c r="H5374" s="83"/>
      <c r="K5374" s="82"/>
      <c r="M5374" s="112"/>
      <c r="N5374" s="84"/>
    </row>
    <row r="5375" spans="1:14" s="2" customFormat="1">
      <c r="A5375" s="83"/>
      <c r="H5375" s="83"/>
      <c r="K5375" s="82"/>
      <c r="M5375" s="112"/>
      <c r="N5375" s="84"/>
    </row>
    <row r="5376" spans="1:14" s="2" customFormat="1">
      <c r="A5376" s="83"/>
      <c r="H5376" s="83"/>
      <c r="K5376" s="82"/>
      <c r="M5376" s="112"/>
      <c r="N5376" s="84"/>
    </row>
    <row r="5377" spans="1:14" s="2" customFormat="1">
      <c r="A5377" s="83"/>
      <c r="H5377" s="83"/>
      <c r="K5377" s="82"/>
      <c r="M5377" s="112"/>
      <c r="N5377" s="84"/>
    </row>
    <row r="5378" spans="1:14" s="2" customFormat="1">
      <c r="A5378" s="83"/>
      <c r="H5378" s="83"/>
      <c r="K5378" s="82"/>
      <c r="M5378" s="112"/>
      <c r="N5378" s="84"/>
    </row>
    <row r="5379" spans="1:14" s="2" customFormat="1">
      <c r="A5379" s="83"/>
      <c r="H5379" s="83"/>
      <c r="K5379" s="82"/>
      <c r="M5379" s="112"/>
      <c r="N5379" s="84"/>
    </row>
    <row r="5380" spans="1:14" s="2" customFormat="1">
      <c r="A5380" s="83"/>
      <c r="H5380" s="83"/>
      <c r="K5380" s="82"/>
      <c r="M5380" s="112"/>
      <c r="N5380" s="84"/>
    </row>
    <row r="5381" spans="1:14" s="2" customFormat="1">
      <c r="A5381" s="83"/>
      <c r="H5381" s="83"/>
      <c r="K5381" s="82"/>
      <c r="M5381" s="112"/>
      <c r="N5381" s="84"/>
    </row>
    <row r="5382" spans="1:14" s="2" customFormat="1">
      <c r="A5382" s="83"/>
      <c r="H5382" s="83"/>
      <c r="K5382" s="82"/>
      <c r="M5382" s="112"/>
      <c r="N5382" s="84"/>
    </row>
    <row r="5383" spans="1:14" s="2" customFormat="1">
      <c r="A5383" s="83"/>
      <c r="H5383" s="83"/>
      <c r="K5383" s="82"/>
      <c r="M5383" s="112"/>
      <c r="N5383" s="84"/>
    </row>
    <row r="5384" spans="1:14" s="2" customFormat="1">
      <c r="A5384" s="83"/>
      <c r="H5384" s="83"/>
      <c r="K5384" s="82"/>
      <c r="M5384" s="112"/>
      <c r="N5384" s="84"/>
    </row>
    <row r="5385" spans="1:14" s="2" customFormat="1">
      <c r="A5385" s="83"/>
      <c r="H5385" s="83"/>
      <c r="K5385" s="82"/>
      <c r="M5385" s="112"/>
      <c r="N5385" s="84"/>
    </row>
    <row r="5386" spans="1:14" s="2" customFormat="1">
      <c r="A5386" s="83"/>
      <c r="H5386" s="83"/>
      <c r="K5386" s="82"/>
      <c r="M5386" s="112"/>
      <c r="N5386" s="84"/>
    </row>
    <row r="5387" spans="1:14" s="2" customFormat="1">
      <c r="A5387" s="83"/>
      <c r="H5387" s="83"/>
      <c r="K5387" s="82"/>
      <c r="M5387" s="112"/>
      <c r="N5387" s="84"/>
    </row>
    <row r="5388" spans="1:14" s="2" customFormat="1">
      <c r="A5388" s="83"/>
      <c r="H5388" s="83"/>
      <c r="K5388" s="82"/>
      <c r="M5388" s="112"/>
      <c r="N5388" s="84"/>
    </row>
    <row r="5389" spans="1:14" s="2" customFormat="1">
      <c r="A5389" s="83"/>
      <c r="H5389" s="83"/>
      <c r="K5389" s="82"/>
      <c r="M5389" s="112"/>
      <c r="N5389" s="84"/>
    </row>
    <row r="5390" spans="1:14" s="2" customFormat="1">
      <c r="A5390" s="83"/>
      <c r="H5390" s="83"/>
      <c r="K5390" s="82"/>
      <c r="M5390" s="112"/>
      <c r="N5390" s="84"/>
    </row>
    <row r="5391" spans="1:14" s="2" customFormat="1">
      <c r="A5391" s="83"/>
      <c r="H5391" s="83"/>
      <c r="K5391" s="82"/>
      <c r="M5391" s="112"/>
      <c r="N5391" s="84"/>
    </row>
    <row r="5392" spans="1:14" s="2" customFormat="1">
      <c r="A5392" s="83"/>
      <c r="H5392" s="83"/>
      <c r="K5392" s="82"/>
      <c r="M5392" s="112"/>
      <c r="N5392" s="84"/>
    </row>
    <row r="5393" spans="1:14" s="2" customFormat="1">
      <c r="A5393" s="83"/>
      <c r="H5393" s="83"/>
      <c r="K5393" s="82"/>
      <c r="M5393" s="112"/>
      <c r="N5393" s="84"/>
    </row>
    <row r="5394" spans="1:14" s="2" customFormat="1">
      <c r="A5394" s="83"/>
      <c r="H5394" s="83"/>
      <c r="K5394" s="82"/>
      <c r="M5394" s="112"/>
      <c r="N5394" s="84"/>
    </row>
    <row r="5395" spans="1:14" s="2" customFormat="1">
      <c r="A5395" s="83"/>
      <c r="H5395" s="83"/>
      <c r="K5395" s="82"/>
      <c r="M5395" s="112"/>
      <c r="N5395" s="84"/>
    </row>
    <row r="5396" spans="1:14" s="2" customFormat="1">
      <c r="A5396" s="83"/>
      <c r="H5396" s="83"/>
      <c r="K5396" s="82"/>
      <c r="M5396" s="112"/>
      <c r="N5396" s="84"/>
    </row>
    <row r="5397" spans="1:14" s="2" customFormat="1">
      <c r="A5397" s="83"/>
      <c r="H5397" s="83"/>
      <c r="K5397" s="82"/>
      <c r="M5397" s="112"/>
      <c r="N5397" s="84"/>
    </row>
    <row r="5398" spans="1:14" s="2" customFormat="1">
      <c r="A5398" s="83"/>
      <c r="H5398" s="83"/>
      <c r="K5398" s="82"/>
      <c r="M5398" s="112"/>
      <c r="N5398" s="84"/>
    </row>
    <row r="5399" spans="1:14" s="2" customFormat="1">
      <c r="A5399" s="83"/>
      <c r="H5399" s="83"/>
      <c r="K5399" s="82"/>
      <c r="M5399" s="112"/>
      <c r="N5399" s="84"/>
    </row>
    <row r="5400" spans="1:14" s="2" customFormat="1">
      <c r="A5400" s="83"/>
      <c r="H5400" s="83"/>
      <c r="K5400" s="82"/>
      <c r="M5400" s="112"/>
      <c r="N5400" s="84"/>
    </row>
    <row r="5401" spans="1:14" s="2" customFormat="1">
      <c r="A5401" s="83"/>
      <c r="H5401" s="83"/>
      <c r="K5401" s="82"/>
      <c r="M5401" s="112"/>
      <c r="N5401" s="84"/>
    </row>
    <row r="5402" spans="1:14" s="2" customFormat="1">
      <c r="A5402" s="83"/>
      <c r="H5402" s="83"/>
      <c r="K5402" s="82"/>
      <c r="M5402" s="112"/>
      <c r="N5402" s="84"/>
    </row>
    <row r="5403" spans="1:14" s="2" customFormat="1">
      <c r="A5403" s="83"/>
      <c r="H5403" s="83"/>
      <c r="K5403" s="82"/>
      <c r="M5403" s="112"/>
      <c r="N5403" s="84"/>
    </row>
    <row r="5404" spans="1:14" s="2" customFormat="1">
      <c r="A5404" s="83"/>
      <c r="H5404" s="83"/>
      <c r="K5404" s="82"/>
      <c r="M5404" s="112"/>
      <c r="N5404" s="84"/>
    </row>
    <row r="5405" spans="1:14" s="2" customFormat="1">
      <c r="A5405" s="83"/>
      <c r="H5405" s="83"/>
      <c r="K5405" s="82"/>
      <c r="M5405" s="112"/>
      <c r="N5405" s="84"/>
    </row>
    <row r="5406" spans="1:14" s="2" customFormat="1">
      <c r="A5406" s="83"/>
      <c r="H5406" s="83"/>
      <c r="K5406" s="82"/>
      <c r="M5406" s="112"/>
      <c r="N5406" s="84"/>
    </row>
    <row r="5407" spans="1:14" s="2" customFormat="1">
      <c r="A5407" s="83"/>
      <c r="H5407" s="83"/>
      <c r="K5407" s="82"/>
      <c r="M5407" s="112"/>
      <c r="N5407" s="84"/>
    </row>
    <row r="5408" spans="1:14" s="2" customFormat="1">
      <c r="A5408" s="83"/>
      <c r="H5408" s="83"/>
      <c r="K5408" s="82"/>
      <c r="M5408" s="112"/>
      <c r="N5408" s="84"/>
    </row>
    <row r="5409" spans="1:14" s="2" customFormat="1">
      <c r="A5409" s="83"/>
      <c r="H5409" s="83"/>
      <c r="K5409" s="82"/>
      <c r="M5409" s="112"/>
      <c r="N5409" s="84"/>
    </row>
    <row r="5410" spans="1:14" s="2" customFormat="1">
      <c r="A5410" s="83"/>
      <c r="H5410" s="83"/>
      <c r="K5410" s="82"/>
      <c r="M5410" s="112"/>
      <c r="N5410" s="84"/>
    </row>
    <row r="5411" spans="1:14" s="2" customFormat="1">
      <c r="A5411" s="83"/>
      <c r="H5411" s="83"/>
      <c r="K5411" s="82"/>
      <c r="M5411" s="112"/>
      <c r="N5411" s="84"/>
    </row>
    <row r="5412" spans="1:14" s="2" customFormat="1">
      <c r="A5412" s="83"/>
      <c r="H5412" s="83"/>
      <c r="K5412" s="82"/>
      <c r="M5412" s="112"/>
      <c r="N5412" s="84"/>
    </row>
    <row r="5413" spans="1:14" s="2" customFormat="1">
      <c r="A5413" s="83"/>
      <c r="H5413" s="83"/>
      <c r="K5413" s="82"/>
      <c r="M5413" s="112"/>
      <c r="N5413" s="84"/>
    </row>
    <row r="5414" spans="1:14" s="2" customFormat="1">
      <c r="A5414" s="83"/>
      <c r="H5414" s="83"/>
      <c r="K5414" s="82"/>
      <c r="M5414" s="112"/>
      <c r="N5414" s="84"/>
    </row>
    <row r="5415" spans="1:14" s="2" customFormat="1">
      <c r="A5415" s="83"/>
      <c r="H5415" s="83"/>
      <c r="K5415" s="82"/>
      <c r="M5415" s="112"/>
      <c r="N5415" s="84"/>
    </row>
    <row r="5416" spans="1:14" s="2" customFormat="1">
      <c r="A5416" s="83"/>
      <c r="H5416" s="83"/>
      <c r="K5416" s="82"/>
      <c r="M5416" s="112"/>
      <c r="N5416" s="84"/>
    </row>
    <row r="5417" spans="1:14" s="2" customFormat="1">
      <c r="A5417" s="83"/>
      <c r="H5417" s="83"/>
      <c r="K5417" s="82"/>
      <c r="M5417" s="112"/>
      <c r="N5417" s="84"/>
    </row>
    <row r="5418" spans="1:14" s="2" customFormat="1">
      <c r="A5418" s="83"/>
      <c r="H5418" s="83"/>
      <c r="K5418" s="82"/>
      <c r="M5418" s="112"/>
      <c r="N5418" s="84"/>
    </row>
    <row r="5419" spans="1:14" s="2" customFormat="1">
      <c r="A5419" s="83"/>
      <c r="H5419" s="83"/>
      <c r="K5419" s="82"/>
      <c r="M5419" s="112"/>
      <c r="N5419" s="84"/>
    </row>
    <row r="5420" spans="1:14" s="2" customFormat="1">
      <c r="A5420" s="83"/>
      <c r="H5420" s="83"/>
      <c r="K5420" s="82"/>
      <c r="M5420" s="112"/>
      <c r="N5420" s="84"/>
    </row>
    <row r="5421" spans="1:14" s="2" customFormat="1">
      <c r="A5421" s="83"/>
      <c r="H5421" s="83"/>
      <c r="K5421" s="82"/>
      <c r="M5421" s="112"/>
      <c r="N5421" s="84"/>
    </row>
    <row r="5422" spans="1:14" s="2" customFormat="1">
      <c r="A5422" s="83"/>
      <c r="H5422" s="83"/>
      <c r="K5422" s="82"/>
      <c r="M5422" s="112"/>
      <c r="N5422" s="84"/>
    </row>
    <row r="5423" spans="1:14" s="2" customFormat="1">
      <c r="A5423" s="83"/>
      <c r="H5423" s="83"/>
      <c r="K5423" s="82"/>
      <c r="M5423" s="112"/>
      <c r="N5423" s="84"/>
    </row>
    <row r="5424" spans="1:14" s="2" customFormat="1">
      <c r="A5424" s="83"/>
      <c r="H5424" s="83"/>
      <c r="K5424" s="82"/>
      <c r="M5424" s="112"/>
      <c r="N5424" s="84"/>
    </row>
    <row r="5425" spans="1:14" s="2" customFormat="1">
      <c r="A5425" s="83"/>
      <c r="H5425" s="83"/>
      <c r="K5425" s="82"/>
      <c r="M5425" s="112"/>
      <c r="N5425" s="84"/>
    </row>
    <row r="5426" spans="1:14" s="2" customFormat="1">
      <c r="A5426" s="83"/>
      <c r="H5426" s="83"/>
      <c r="K5426" s="82"/>
      <c r="M5426" s="112"/>
      <c r="N5426" s="84"/>
    </row>
    <row r="5427" spans="1:14" s="2" customFormat="1">
      <c r="A5427" s="83"/>
      <c r="H5427" s="83"/>
      <c r="K5427" s="82"/>
      <c r="M5427" s="112"/>
      <c r="N5427" s="84"/>
    </row>
    <row r="5428" spans="1:14" s="2" customFormat="1">
      <c r="A5428" s="83"/>
      <c r="H5428" s="83"/>
      <c r="K5428" s="82"/>
      <c r="M5428" s="112"/>
      <c r="N5428" s="84"/>
    </row>
    <row r="5429" spans="1:14" s="2" customFormat="1">
      <c r="A5429" s="83"/>
      <c r="H5429" s="83"/>
      <c r="K5429" s="82"/>
      <c r="M5429" s="112"/>
      <c r="N5429" s="84"/>
    </row>
    <row r="5430" spans="1:14" s="2" customFormat="1">
      <c r="A5430" s="83"/>
      <c r="H5430" s="83"/>
      <c r="K5430" s="82"/>
      <c r="M5430" s="112"/>
      <c r="N5430" s="84"/>
    </row>
    <row r="5431" spans="1:14" s="2" customFormat="1">
      <c r="A5431" s="83"/>
      <c r="H5431" s="83"/>
      <c r="K5431" s="82"/>
      <c r="M5431" s="112"/>
      <c r="N5431" s="84"/>
    </row>
    <row r="5432" spans="1:14" s="2" customFormat="1">
      <c r="A5432" s="83"/>
      <c r="H5432" s="83"/>
      <c r="K5432" s="82"/>
      <c r="M5432" s="112"/>
      <c r="N5432" s="84"/>
    </row>
    <row r="5433" spans="1:14" s="2" customFormat="1">
      <c r="A5433" s="83"/>
      <c r="H5433" s="83"/>
      <c r="K5433" s="82"/>
      <c r="M5433" s="112"/>
      <c r="N5433" s="84"/>
    </row>
    <row r="5434" spans="1:14" s="2" customFormat="1">
      <c r="A5434" s="83"/>
      <c r="H5434" s="83"/>
      <c r="K5434" s="82"/>
      <c r="M5434" s="112"/>
      <c r="N5434" s="84"/>
    </row>
    <row r="5435" spans="1:14" s="2" customFormat="1">
      <c r="A5435" s="83"/>
      <c r="H5435" s="83"/>
      <c r="K5435" s="82"/>
      <c r="M5435" s="112"/>
      <c r="N5435" s="84"/>
    </row>
    <row r="5436" spans="1:14" s="2" customFormat="1">
      <c r="A5436" s="83"/>
      <c r="H5436" s="83"/>
      <c r="K5436" s="82"/>
      <c r="M5436" s="112"/>
      <c r="N5436" s="84"/>
    </row>
    <row r="5437" spans="1:14" s="2" customFormat="1">
      <c r="A5437" s="83"/>
      <c r="H5437" s="83"/>
      <c r="K5437" s="82"/>
      <c r="M5437" s="112"/>
      <c r="N5437" s="84"/>
    </row>
    <row r="5438" spans="1:14" s="2" customFormat="1">
      <c r="A5438" s="83"/>
      <c r="H5438" s="83"/>
      <c r="K5438" s="82"/>
      <c r="M5438" s="112"/>
      <c r="N5438" s="84"/>
    </row>
    <row r="5439" spans="1:14" s="2" customFormat="1">
      <c r="A5439" s="83"/>
      <c r="H5439" s="83"/>
      <c r="K5439" s="82"/>
      <c r="M5439" s="112"/>
      <c r="N5439" s="84"/>
    </row>
    <row r="5440" spans="1:14" s="2" customFormat="1">
      <c r="A5440" s="83"/>
      <c r="H5440" s="83"/>
      <c r="K5440" s="82"/>
      <c r="M5440" s="112"/>
      <c r="N5440" s="84"/>
    </row>
    <row r="5441" spans="1:14" s="2" customFormat="1">
      <c r="A5441" s="83"/>
      <c r="H5441" s="83"/>
      <c r="K5441" s="82"/>
      <c r="M5441" s="112"/>
      <c r="N5441" s="84"/>
    </row>
    <row r="5442" spans="1:14" s="2" customFormat="1">
      <c r="A5442" s="83"/>
      <c r="H5442" s="83"/>
      <c r="K5442" s="82"/>
      <c r="M5442" s="112"/>
      <c r="N5442" s="84"/>
    </row>
    <row r="5443" spans="1:14" s="2" customFormat="1">
      <c r="A5443" s="83"/>
      <c r="H5443" s="83"/>
      <c r="K5443" s="82"/>
      <c r="M5443" s="112"/>
      <c r="N5443" s="84"/>
    </row>
    <row r="5444" spans="1:14" s="2" customFormat="1">
      <c r="A5444" s="83"/>
      <c r="H5444" s="83"/>
      <c r="K5444" s="82"/>
      <c r="M5444" s="112"/>
      <c r="N5444" s="84"/>
    </row>
    <row r="5445" spans="1:14" s="2" customFormat="1">
      <c r="A5445" s="83"/>
      <c r="H5445" s="83"/>
      <c r="K5445" s="82"/>
      <c r="M5445" s="112"/>
      <c r="N5445" s="84"/>
    </row>
    <row r="5446" spans="1:14" s="2" customFormat="1">
      <c r="A5446" s="83"/>
      <c r="H5446" s="83"/>
      <c r="K5446" s="82"/>
      <c r="M5446" s="112"/>
      <c r="N5446" s="84"/>
    </row>
    <row r="5447" spans="1:14" s="2" customFormat="1">
      <c r="A5447" s="83"/>
      <c r="H5447" s="83"/>
      <c r="K5447" s="82"/>
      <c r="M5447" s="112"/>
      <c r="N5447" s="84"/>
    </row>
    <row r="5448" spans="1:14" s="2" customFormat="1">
      <c r="A5448" s="83"/>
      <c r="H5448" s="83"/>
      <c r="K5448" s="82"/>
      <c r="M5448" s="112"/>
      <c r="N5448" s="84"/>
    </row>
    <row r="5449" spans="1:14" s="2" customFormat="1">
      <c r="A5449" s="83"/>
      <c r="H5449" s="83"/>
      <c r="K5449" s="82"/>
      <c r="M5449" s="112"/>
      <c r="N5449" s="84"/>
    </row>
    <row r="5450" spans="1:14" s="2" customFormat="1">
      <c r="A5450" s="83"/>
      <c r="H5450" s="83"/>
      <c r="K5450" s="82"/>
      <c r="M5450" s="112"/>
      <c r="N5450" s="84"/>
    </row>
    <row r="5451" spans="1:14" s="2" customFormat="1">
      <c r="A5451" s="83"/>
      <c r="H5451" s="83"/>
      <c r="K5451" s="82"/>
      <c r="M5451" s="112"/>
      <c r="N5451" s="84"/>
    </row>
    <row r="5452" spans="1:14" s="2" customFormat="1">
      <c r="A5452" s="83"/>
      <c r="H5452" s="83"/>
      <c r="K5452" s="82"/>
      <c r="M5452" s="112"/>
      <c r="N5452" s="84"/>
    </row>
    <row r="5453" spans="1:14" s="2" customFormat="1">
      <c r="A5453" s="83"/>
      <c r="H5453" s="83"/>
      <c r="K5453" s="82"/>
      <c r="M5453" s="112"/>
      <c r="N5453" s="84"/>
    </row>
    <row r="5454" spans="1:14" s="2" customFormat="1">
      <c r="A5454" s="83"/>
      <c r="H5454" s="83"/>
      <c r="K5454" s="82"/>
      <c r="M5454" s="112"/>
      <c r="N5454" s="84"/>
    </row>
    <row r="5455" spans="1:14" s="2" customFormat="1">
      <c r="A5455" s="83"/>
      <c r="H5455" s="83"/>
      <c r="K5455" s="82"/>
      <c r="M5455" s="112"/>
      <c r="N5455" s="84"/>
    </row>
    <row r="5456" spans="1:14" s="2" customFormat="1">
      <c r="A5456" s="83"/>
      <c r="H5456" s="83"/>
      <c r="K5456" s="82"/>
      <c r="M5456" s="112"/>
      <c r="N5456" s="84"/>
    </row>
    <row r="5457" spans="1:14" s="2" customFormat="1">
      <c r="A5457" s="83"/>
      <c r="H5457" s="83"/>
      <c r="K5457" s="82"/>
      <c r="M5457" s="112"/>
      <c r="N5457" s="84"/>
    </row>
    <row r="5458" spans="1:14" s="2" customFormat="1">
      <c r="A5458" s="83"/>
      <c r="H5458" s="83"/>
      <c r="K5458" s="82"/>
      <c r="M5458" s="112"/>
      <c r="N5458" s="84"/>
    </row>
    <row r="5459" spans="1:14" s="2" customFormat="1">
      <c r="A5459" s="83"/>
      <c r="H5459" s="83"/>
      <c r="K5459" s="82"/>
      <c r="M5459" s="112"/>
      <c r="N5459" s="84"/>
    </row>
    <row r="5460" spans="1:14" s="2" customFormat="1">
      <c r="A5460" s="83"/>
      <c r="H5460" s="83"/>
      <c r="K5460" s="82"/>
      <c r="M5460" s="112"/>
      <c r="N5460" s="84"/>
    </row>
    <row r="5461" spans="1:14" s="2" customFormat="1">
      <c r="A5461" s="83"/>
      <c r="H5461" s="83"/>
      <c r="K5461" s="82"/>
      <c r="M5461" s="112"/>
      <c r="N5461" s="84"/>
    </row>
    <row r="5462" spans="1:14" s="2" customFormat="1">
      <c r="A5462" s="83"/>
      <c r="H5462" s="83"/>
      <c r="K5462" s="82"/>
      <c r="M5462" s="112"/>
      <c r="N5462" s="84"/>
    </row>
    <row r="5463" spans="1:14" s="2" customFormat="1">
      <c r="A5463" s="83"/>
      <c r="H5463" s="83"/>
      <c r="K5463" s="82"/>
      <c r="M5463" s="112"/>
      <c r="N5463" s="84"/>
    </row>
    <row r="5464" spans="1:14" s="2" customFormat="1">
      <c r="A5464" s="83"/>
      <c r="H5464" s="83"/>
      <c r="K5464" s="82"/>
      <c r="M5464" s="112"/>
      <c r="N5464" s="84"/>
    </row>
    <row r="5465" spans="1:14" s="2" customFormat="1">
      <c r="A5465" s="83"/>
      <c r="H5465" s="83"/>
      <c r="K5465" s="82"/>
      <c r="M5465" s="112"/>
      <c r="N5465" s="84"/>
    </row>
    <row r="5466" spans="1:14" s="2" customFormat="1">
      <c r="A5466" s="83"/>
      <c r="H5466" s="83"/>
      <c r="K5466" s="82"/>
      <c r="M5466" s="112"/>
      <c r="N5466" s="84"/>
    </row>
    <row r="5467" spans="1:14" s="2" customFormat="1">
      <c r="A5467" s="83"/>
      <c r="H5467" s="83"/>
      <c r="K5467" s="82"/>
      <c r="M5467" s="112"/>
      <c r="N5467" s="84"/>
    </row>
    <row r="5468" spans="1:14" s="2" customFormat="1">
      <c r="A5468" s="83"/>
      <c r="H5468" s="83"/>
      <c r="K5468" s="82"/>
      <c r="M5468" s="112"/>
      <c r="N5468" s="84"/>
    </row>
    <row r="5469" spans="1:14" s="2" customFormat="1">
      <c r="A5469" s="83"/>
      <c r="H5469" s="83"/>
      <c r="K5469" s="82"/>
      <c r="M5469" s="112"/>
      <c r="N5469" s="84"/>
    </row>
    <row r="5470" spans="1:14" s="2" customFormat="1">
      <c r="A5470" s="83"/>
      <c r="H5470" s="83"/>
      <c r="K5470" s="82"/>
      <c r="M5470" s="112"/>
      <c r="N5470" s="84"/>
    </row>
    <row r="5471" spans="1:14" s="2" customFormat="1">
      <c r="A5471" s="83"/>
      <c r="H5471" s="83"/>
      <c r="K5471" s="82"/>
      <c r="M5471" s="112"/>
      <c r="N5471" s="84"/>
    </row>
    <row r="5472" spans="1:14" s="2" customFormat="1">
      <c r="A5472" s="83"/>
      <c r="H5472" s="83"/>
      <c r="K5472" s="82"/>
      <c r="M5472" s="112"/>
      <c r="N5472" s="84"/>
    </row>
    <row r="5473" spans="1:14" s="2" customFormat="1">
      <c r="A5473" s="83"/>
      <c r="H5473" s="83"/>
      <c r="K5473" s="82"/>
      <c r="M5473" s="112"/>
      <c r="N5473" s="84"/>
    </row>
    <row r="5474" spans="1:14" s="2" customFormat="1">
      <c r="A5474" s="83"/>
      <c r="H5474" s="83"/>
      <c r="K5474" s="82"/>
      <c r="M5474" s="112"/>
      <c r="N5474" s="84"/>
    </row>
    <row r="5475" spans="1:14" s="2" customFormat="1">
      <c r="A5475" s="83"/>
      <c r="H5475" s="83"/>
      <c r="K5475" s="82"/>
      <c r="M5475" s="112"/>
      <c r="N5475" s="84"/>
    </row>
    <row r="5476" spans="1:14" s="2" customFormat="1">
      <c r="A5476" s="83"/>
      <c r="H5476" s="83"/>
      <c r="K5476" s="82"/>
      <c r="M5476" s="112"/>
      <c r="N5476" s="84"/>
    </row>
    <row r="5477" spans="1:14" s="2" customFormat="1">
      <c r="A5477" s="83"/>
      <c r="H5477" s="83"/>
      <c r="K5477" s="82"/>
      <c r="M5477" s="112"/>
      <c r="N5477" s="84"/>
    </row>
    <row r="5478" spans="1:14" s="2" customFormat="1">
      <c r="A5478" s="83"/>
      <c r="H5478" s="83"/>
      <c r="K5478" s="82"/>
      <c r="M5478" s="112"/>
      <c r="N5478" s="84"/>
    </row>
    <row r="5479" spans="1:14" s="2" customFormat="1">
      <c r="A5479" s="83"/>
      <c r="H5479" s="83"/>
      <c r="K5479" s="82"/>
      <c r="M5479" s="112"/>
      <c r="N5479" s="84"/>
    </row>
    <row r="5480" spans="1:14" s="2" customFormat="1">
      <c r="A5480" s="83"/>
      <c r="H5480" s="83"/>
      <c r="K5480" s="82"/>
      <c r="M5480" s="112"/>
      <c r="N5480" s="84"/>
    </row>
    <row r="5481" spans="1:14" s="2" customFormat="1">
      <c r="A5481" s="83"/>
      <c r="H5481" s="83"/>
      <c r="K5481" s="82"/>
      <c r="M5481" s="112"/>
      <c r="N5481" s="84"/>
    </row>
    <row r="5482" spans="1:14" s="2" customFormat="1">
      <c r="A5482" s="83"/>
      <c r="H5482" s="83"/>
      <c r="K5482" s="82"/>
      <c r="M5482" s="112"/>
      <c r="N5482" s="84"/>
    </row>
    <row r="5483" spans="1:14" s="2" customFormat="1">
      <c r="A5483" s="83"/>
      <c r="H5483" s="83"/>
      <c r="K5483" s="82"/>
      <c r="M5483" s="112"/>
      <c r="N5483" s="84"/>
    </row>
    <row r="5484" spans="1:14" s="2" customFormat="1">
      <c r="A5484" s="83"/>
      <c r="H5484" s="83"/>
      <c r="K5484" s="82"/>
      <c r="M5484" s="112"/>
      <c r="N5484" s="84"/>
    </row>
    <row r="5485" spans="1:14" s="2" customFormat="1">
      <c r="A5485" s="83"/>
      <c r="H5485" s="83"/>
      <c r="K5485" s="82"/>
      <c r="M5485" s="112"/>
      <c r="N5485" s="84"/>
    </row>
    <row r="5486" spans="1:14" s="2" customFormat="1">
      <c r="A5486" s="83"/>
      <c r="H5486" s="83"/>
      <c r="K5486" s="82"/>
      <c r="M5486" s="112"/>
      <c r="N5486" s="84"/>
    </row>
    <row r="5487" spans="1:14" s="2" customFormat="1">
      <c r="A5487" s="83"/>
      <c r="H5487" s="83"/>
      <c r="K5487" s="82"/>
      <c r="M5487" s="112"/>
      <c r="N5487" s="84"/>
    </row>
    <row r="5488" spans="1:14" s="2" customFormat="1">
      <c r="A5488" s="83"/>
      <c r="H5488" s="83"/>
      <c r="K5488" s="82"/>
      <c r="M5488" s="112"/>
      <c r="N5488" s="84"/>
    </row>
    <row r="5489" spans="1:14" s="2" customFormat="1">
      <c r="A5489" s="83"/>
      <c r="H5489" s="83"/>
      <c r="K5489" s="82"/>
      <c r="M5489" s="112"/>
      <c r="N5489" s="84"/>
    </row>
    <row r="5490" spans="1:14" s="2" customFormat="1">
      <c r="A5490" s="83"/>
      <c r="H5490" s="83"/>
      <c r="K5490" s="82"/>
      <c r="M5490" s="112"/>
      <c r="N5490" s="84"/>
    </row>
    <row r="5491" spans="1:14" s="2" customFormat="1">
      <c r="A5491" s="83"/>
      <c r="H5491" s="83"/>
      <c r="K5491" s="82"/>
      <c r="M5491" s="112"/>
      <c r="N5491" s="84"/>
    </row>
    <row r="5492" spans="1:14" s="2" customFormat="1">
      <c r="A5492" s="83"/>
      <c r="H5492" s="83"/>
      <c r="K5492" s="82"/>
      <c r="M5492" s="112"/>
      <c r="N5492" s="84"/>
    </row>
    <row r="5493" spans="1:14" s="2" customFormat="1">
      <c r="A5493" s="83"/>
      <c r="H5493" s="83"/>
      <c r="K5493" s="82"/>
      <c r="M5493" s="112"/>
      <c r="N5493" s="84"/>
    </row>
    <row r="5494" spans="1:14" s="2" customFormat="1">
      <c r="A5494" s="83"/>
      <c r="H5494" s="83"/>
      <c r="K5494" s="82"/>
      <c r="M5494" s="112"/>
      <c r="N5494" s="84"/>
    </row>
    <row r="5495" spans="1:14" s="2" customFormat="1">
      <c r="A5495" s="83"/>
      <c r="H5495" s="83"/>
      <c r="K5495" s="82"/>
      <c r="M5495" s="112"/>
      <c r="N5495" s="84"/>
    </row>
    <row r="5496" spans="1:14" s="2" customFormat="1">
      <c r="A5496" s="83"/>
      <c r="H5496" s="83"/>
      <c r="K5496" s="82"/>
      <c r="M5496" s="112"/>
      <c r="N5496" s="84"/>
    </row>
    <row r="5497" spans="1:14" s="2" customFormat="1">
      <c r="A5497" s="83"/>
      <c r="H5497" s="83"/>
      <c r="K5497" s="82"/>
      <c r="M5497" s="112"/>
      <c r="N5497" s="84"/>
    </row>
    <row r="5498" spans="1:14" s="2" customFormat="1">
      <c r="A5498" s="83"/>
      <c r="H5498" s="83"/>
      <c r="K5498" s="82"/>
      <c r="M5498" s="112"/>
      <c r="N5498" s="84"/>
    </row>
    <row r="5499" spans="1:14" s="2" customFormat="1">
      <c r="A5499" s="83"/>
      <c r="H5499" s="83"/>
      <c r="K5499" s="82"/>
      <c r="M5499" s="112"/>
      <c r="N5499" s="84"/>
    </row>
    <row r="5500" spans="1:14" s="2" customFormat="1">
      <c r="A5500" s="83"/>
      <c r="H5500" s="83"/>
      <c r="K5500" s="82"/>
      <c r="M5500" s="112"/>
      <c r="N5500" s="84"/>
    </row>
    <row r="5501" spans="1:14" s="2" customFormat="1">
      <c r="A5501" s="83"/>
      <c r="H5501" s="83"/>
      <c r="K5501" s="82"/>
      <c r="M5501" s="112"/>
      <c r="N5501" s="84"/>
    </row>
    <row r="5502" spans="1:14" s="2" customFormat="1">
      <c r="A5502" s="83"/>
      <c r="H5502" s="83"/>
      <c r="K5502" s="82"/>
      <c r="M5502" s="112"/>
      <c r="N5502" s="84"/>
    </row>
    <row r="5503" spans="1:14" s="2" customFormat="1">
      <c r="A5503" s="83"/>
      <c r="H5503" s="83"/>
      <c r="K5503" s="82"/>
      <c r="M5503" s="112"/>
      <c r="N5503" s="84"/>
    </row>
    <row r="5504" spans="1:14" s="2" customFormat="1">
      <c r="A5504" s="83"/>
      <c r="H5504" s="83"/>
      <c r="K5504" s="82"/>
      <c r="M5504" s="112"/>
      <c r="N5504" s="84"/>
    </row>
    <row r="5505" spans="1:14" s="2" customFormat="1">
      <c r="A5505" s="83"/>
      <c r="H5505" s="83"/>
      <c r="K5505" s="82"/>
      <c r="M5505" s="112"/>
      <c r="N5505" s="84"/>
    </row>
    <row r="5506" spans="1:14" s="2" customFormat="1">
      <c r="A5506" s="83"/>
      <c r="H5506" s="83"/>
      <c r="K5506" s="82"/>
      <c r="M5506" s="112"/>
      <c r="N5506" s="84"/>
    </row>
    <row r="5507" spans="1:14" s="2" customFormat="1">
      <c r="A5507" s="83"/>
      <c r="H5507" s="83"/>
      <c r="K5507" s="82"/>
      <c r="M5507" s="112"/>
      <c r="N5507" s="84"/>
    </row>
    <row r="5508" spans="1:14" s="2" customFormat="1">
      <c r="A5508" s="83"/>
      <c r="H5508" s="83"/>
      <c r="K5508" s="82"/>
      <c r="M5508" s="112"/>
      <c r="N5508" s="84"/>
    </row>
    <row r="5509" spans="1:14" s="2" customFormat="1">
      <c r="A5509" s="83"/>
      <c r="H5509" s="83"/>
      <c r="K5509" s="82"/>
      <c r="M5509" s="112"/>
      <c r="N5509" s="84"/>
    </row>
    <row r="5510" spans="1:14" s="2" customFormat="1">
      <c r="A5510" s="83"/>
      <c r="H5510" s="83"/>
      <c r="K5510" s="82"/>
      <c r="M5510" s="112"/>
      <c r="N5510" s="84"/>
    </row>
    <row r="5511" spans="1:14" s="2" customFormat="1">
      <c r="A5511" s="83"/>
      <c r="H5511" s="83"/>
      <c r="K5511" s="82"/>
      <c r="M5511" s="112"/>
      <c r="N5511" s="84"/>
    </row>
    <row r="5512" spans="1:14" s="2" customFormat="1">
      <c r="A5512" s="83"/>
      <c r="H5512" s="83"/>
      <c r="K5512" s="82"/>
      <c r="M5512" s="112"/>
      <c r="N5512" s="84"/>
    </row>
    <row r="5513" spans="1:14" s="2" customFormat="1">
      <c r="A5513" s="83"/>
      <c r="H5513" s="83"/>
      <c r="K5513" s="82"/>
      <c r="M5513" s="112"/>
      <c r="N5513" s="84"/>
    </row>
    <row r="5514" spans="1:14" s="2" customFormat="1">
      <c r="A5514" s="83"/>
      <c r="H5514" s="83"/>
      <c r="K5514" s="82"/>
      <c r="M5514" s="112"/>
      <c r="N5514" s="84"/>
    </row>
    <row r="5515" spans="1:14" s="2" customFormat="1">
      <c r="A5515" s="83"/>
      <c r="H5515" s="83"/>
      <c r="K5515" s="82"/>
      <c r="M5515" s="112"/>
      <c r="N5515" s="84"/>
    </row>
    <row r="5516" spans="1:14" s="2" customFormat="1">
      <c r="A5516" s="83"/>
      <c r="H5516" s="83"/>
      <c r="K5516" s="82"/>
      <c r="M5516" s="112"/>
      <c r="N5516" s="84"/>
    </row>
    <row r="5517" spans="1:14" s="2" customFormat="1">
      <c r="A5517" s="83"/>
      <c r="H5517" s="83"/>
      <c r="K5517" s="82"/>
      <c r="M5517" s="112"/>
      <c r="N5517" s="84"/>
    </row>
    <row r="5518" spans="1:14" s="2" customFormat="1">
      <c r="A5518" s="83"/>
      <c r="H5518" s="83"/>
      <c r="K5518" s="82"/>
      <c r="M5518" s="112"/>
      <c r="N5518" s="84"/>
    </row>
    <row r="5519" spans="1:14" s="2" customFormat="1">
      <c r="A5519" s="83"/>
      <c r="H5519" s="83"/>
      <c r="K5519" s="82"/>
      <c r="M5519" s="112"/>
      <c r="N5519" s="84"/>
    </row>
    <row r="5520" spans="1:14" s="2" customFormat="1">
      <c r="A5520" s="83"/>
      <c r="H5520" s="83"/>
      <c r="K5520" s="82"/>
      <c r="M5520" s="112"/>
      <c r="N5520" s="84"/>
    </row>
    <row r="5521" spans="1:14" s="2" customFormat="1">
      <c r="A5521" s="83"/>
      <c r="H5521" s="83"/>
      <c r="K5521" s="82"/>
      <c r="M5521" s="112"/>
      <c r="N5521" s="84"/>
    </row>
    <row r="5522" spans="1:14" s="2" customFormat="1">
      <c r="A5522" s="83"/>
      <c r="H5522" s="83"/>
      <c r="K5522" s="82"/>
      <c r="M5522" s="112"/>
      <c r="N5522" s="84"/>
    </row>
    <row r="5523" spans="1:14" s="2" customFormat="1">
      <c r="A5523" s="83"/>
      <c r="H5523" s="83"/>
      <c r="K5523" s="82"/>
      <c r="M5523" s="112"/>
      <c r="N5523" s="84"/>
    </row>
    <row r="5524" spans="1:14" s="2" customFormat="1">
      <c r="A5524" s="83"/>
      <c r="H5524" s="83"/>
      <c r="K5524" s="82"/>
      <c r="M5524" s="112"/>
      <c r="N5524" s="84"/>
    </row>
    <row r="5525" spans="1:14" s="2" customFormat="1">
      <c r="A5525" s="83"/>
      <c r="H5525" s="83"/>
      <c r="K5525" s="82"/>
      <c r="M5525" s="112"/>
      <c r="N5525" s="84"/>
    </row>
    <row r="5526" spans="1:14" s="2" customFormat="1">
      <c r="A5526" s="83"/>
      <c r="H5526" s="83"/>
      <c r="K5526" s="82"/>
      <c r="M5526" s="112"/>
      <c r="N5526" s="84"/>
    </row>
    <row r="5527" spans="1:14" s="2" customFormat="1">
      <c r="A5527" s="83"/>
      <c r="H5527" s="83"/>
      <c r="K5527" s="82"/>
      <c r="M5527" s="112"/>
      <c r="N5527" s="84"/>
    </row>
    <row r="5528" spans="1:14" s="2" customFormat="1">
      <c r="A5528" s="83"/>
      <c r="H5528" s="83"/>
      <c r="K5528" s="82"/>
      <c r="M5528" s="112"/>
      <c r="N5528" s="84"/>
    </row>
    <row r="5529" spans="1:14" s="2" customFormat="1">
      <c r="A5529" s="83"/>
      <c r="H5529" s="83"/>
      <c r="K5529" s="82"/>
      <c r="M5529" s="112"/>
      <c r="N5529" s="84"/>
    </row>
    <row r="5530" spans="1:14" s="2" customFormat="1">
      <c r="A5530" s="83"/>
      <c r="H5530" s="83"/>
      <c r="K5530" s="82"/>
      <c r="M5530" s="112"/>
      <c r="N5530" s="84"/>
    </row>
    <row r="5531" spans="1:14" s="2" customFormat="1">
      <c r="A5531" s="83"/>
      <c r="H5531" s="83"/>
      <c r="K5531" s="82"/>
      <c r="M5531" s="112"/>
      <c r="N5531" s="84"/>
    </row>
    <row r="5532" spans="1:14" s="2" customFormat="1">
      <c r="A5532" s="83"/>
      <c r="H5532" s="83"/>
      <c r="K5532" s="82"/>
      <c r="M5532" s="112"/>
      <c r="N5532" s="84"/>
    </row>
    <row r="5533" spans="1:14" s="2" customFormat="1">
      <c r="A5533" s="83"/>
      <c r="H5533" s="83"/>
      <c r="K5533" s="82"/>
      <c r="M5533" s="112"/>
      <c r="N5533" s="84"/>
    </row>
    <row r="5534" spans="1:14" s="2" customFormat="1">
      <c r="A5534" s="83"/>
      <c r="H5534" s="83"/>
      <c r="K5534" s="82"/>
      <c r="M5534" s="112"/>
      <c r="N5534" s="84"/>
    </row>
    <row r="5535" spans="1:14" s="2" customFormat="1">
      <c r="A5535" s="83"/>
      <c r="H5535" s="83"/>
      <c r="K5535" s="82"/>
      <c r="M5535" s="112"/>
      <c r="N5535" s="84"/>
    </row>
    <row r="5536" spans="1:14" s="2" customFormat="1">
      <c r="A5536" s="83"/>
      <c r="H5536" s="83"/>
      <c r="K5536" s="82"/>
      <c r="M5536" s="112"/>
      <c r="N5536" s="84"/>
    </row>
    <row r="5537" spans="1:14" s="2" customFormat="1">
      <c r="A5537" s="83"/>
      <c r="H5537" s="83"/>
      <c r="K5537" s="82"/>
      <c r="M5537" s="112"/>
      <c r="N5537" s="84"/>
    </row>
    <row r="5538" spans="1:14" s="2" customFormat="1">
      <c r="A5538" s="83"/>
      <c r="H5538" s="83"/>
      <c r="K5538" s="82"/>
      <c r="M5538" s="112"/>
      <c r="N5538" s="84"/>
    </row>
    <row r="5539" spans="1:14" s="2" customFormat="1">
      <c r="A5539" s="83"/>
      <c r="H5539" s="83"/>
      <c r="K5539" s="82"/>
      <c r="M5539" s="112"/>
      <c r="N5539" s="84"/>
    </row>
    <row r="5540" spans="1:14" s="2" customFormat="1">
      <c r="A5540" s="83"/>
      <c r="H5540" s="83"/>
      <c r="K5540" s="82"/>
      <c r="M5540" s="112"/>
      <c r="N5540" s="84"/>
    </row>
    <row r="5541" spans="1:14" s="2" customFormat="1">
      <c r="A5541" s="83"/>
      <c r="H5541" s="83"/>
      <c r="K5541" s="82"/>
      <c r="M5541" s="112"/>
      <c r="N5541" s="84"/>
    </row>
    <row r="5542" spans="1:14" s="2" customFormat="1">
      <c r="A5542" s="83"/>
      <c r="H5542" s="83"/>
      <c r="K5542" s="82"/>
      <c r="M5542" s="112"/>
      <c r="N5542" s="84"/>
    </row>
    <row r="5543" spans="1:14" s="2" customFormat="1">
      <c r="A5543" s="83"/>
      <c r="H5543" s="83"/>
      <c r="K5543" s="82"/>
      <c r="M5543" s="112"/>
      <c r="N5543" s="84"/>
    </row>
    <row r="5544" spans="1:14" s="2" customFormat="1">
      <c r="A5544" s="83"/>
      <c r="H5544" s="83"/>
      <c r="K5544" s="82"/>
      <c r="M5544" s="112"/>
      <c r="N5544" s="84"/>
    </row>
    <row r="5545" spans="1:14" s="2" customFormat="1">
      <c r="A5545" s="83"/>
      <c r="H5545" s="83"/>
      <c r="K5545" s="82"/>
      <c r="M5545" s="112"/>
      <c r="N5545" s="84"/>
    </row>
    <row r="5546" spans="1:14" s="2" customFormat="1">
      <c r="A5546" s="83"/>
      <c r="H5546" s="83"/>
      <c r="K5546" s="82"/>
      <c r="M5546" s="112"/>
      <c r="N5546" s="84"/>
    </row>
    <row r="5547" spans="1:14" s="2" customFormat="1">
      <c r="A5547" s="83"/>
      <c r="H5547" s="83"/>
      <c r="K5547" s="82"/>
      <c r="M5547" s="112"/>
      <c r="N5547" s="84"/>
    </row>
    <row r="5548" spans="1:14" s="2" customFormat="1">
      <c r="A5548" s="83"/>
      <c r="H5548" s="83"/>
      <c r="K5548" s="82"/>
      <c r="M5548" s="112"/>
      <c r="N5548" s="84"/>
    </row>
    <row r="5549" spans="1:14" s="2" customFormat="1">
      <c r="A5549" s="83"/>
      <c r="H5549" s="83"/>
      <c r="K5549" s="82"/>
      <c r="M5549" s="112"/>
      <c r="N5549" s="84"/>
    </row>
    <row r="5550" spans="1:14" s="2" customFormat="1">
      <c r="A5550" s="83"/>
      <c r="H5550" s="83"/>
      <c r="K5550" s="82"/>
      <c r="M5550" s="112"/>
      <c r="N5550" s="84"/>
    </row>
    <row r="5551" spans="1:14" s="2" customFormat="1">
      <c r="A5551" s="83"/>
      <c r="H5551" s="83"/>
      <c r="K5551" s="82"/>
      <c r="M5551" s="112"/>
      <c r="N5551" s="84"/>
    </row>
    <row r="5552" spans="1:14" s="2" customFormat="1">
      <c r="A5552" s="83"/>
      <c r="H5552" s="83"/>
      <c r="K5552" s="82"/>
      <c r="M5552" s="112"/>
      <c r="N5552" s="84"/>
    </row>
    <row r="5553" spans="1:14" s="2" customFormat="1">
      <c r="A5553" s="83"/>
      <c r="H5553" s="83"/>
      <c r="K5553" s="82"/>
      <c r="M5553" s="112"/>
      <c r="N5553" s="84"/>
    </row>
    <row r="5554" spans="1:14" s="2" customFormat="1">
      <c r="A5554" s="83"/>
      <c r="H5554" s="83"/>
      <c r="K5554" s="82"/>
      <c r="M5554" s="112"/>
      <c r="N5554" s="84"/>
    </row>
    <row r="5555" spans="1:14" s="2" customFormat="1">
      <c r="A5555" s="83"/>
      <c r="H5555" s="83"/>
      <c r="K5555" s="82"/>
      <c r="M5555" s="112"/>
      <c r="N5555" s="84"/>
    </row>
    <row r="5556" spans="1:14" s="2" customFormat="1">
      <c r="A5556" s="83"/>
      <c r="H5556" s="83"/>
      <c r="K5556" s="82"/>
      <c r="M5556" s="112"/>
      <c r="N5556" s="84"/>
    </row>
    <row r="5557" spans="1:14" s="2" customFormat="1">
      <c r="A5557" s="83"/>
      <c r="H5557" s="83"/>
      <c r="K5557" s="82"/>
      <c r="M5557" s="112"/>
      <c r="N5557" s="84"/>
    </row>
    <row r="5558" spans="1:14" s="2" customFormat="1">
      <c r="A5558" s="83"/>
      <c r="H5558" s="83"/>
      <c r="K5558" s="82"/>
      <c r="M5558" s="112"/>
      <c r="N5558" s="84"/>
    </row>
    <row r="5559" spans="1:14" s="2" customFormat="1">
      <c r="A5559" s="83"/>
      <c r="H5559" s="83"/>
      <c r="K5559" s="82"/>
      <c r="M5559" s="112"/>
      <c r="N5559" s="84"/>
    </row>
    <row r="5560" spans="1:14" s="2" customFormat="1">
      <c r="A5560" s="83"/>
      <c r="H5560" s="83"/>
      <c r="K5560" s="82"/>
      <c r="M5560" s="112"/>
      <c r="N5560" s="84"/>
    </row>
    <row r="5561" spans="1:14" s="2" customFormat="1">
      <c r="A5561" s="83"/>
      <c r="H5561" s="83"/>
      <c r="K5561" s="82"/>
      <c r="M5561" s="112"/>
      <c r="N5561" s="84"/>
    </row>
    <row r="5562" spans="1:14" s="2" customFormat="1">
      <c r="A5562" s="83"/>
      <c r="H5562" s="83"/>
      <c r="K5562" s="82"/>
      <c r="M5562" s="112"/>
      <c r="N5562" s="84"/>
    </row>
    <row r="5563" spans="1:14" s="2" customFormat="1">
      <c r="A5563" s="83"/>
      <c r="H5563" s="83"/>
      <c r="K5563" s="82"/>
      <c r="M5563" s="112"/>
      <c r="N5563" s="84"/>
    </row>
    <row r="5564" spans="1:14" s="2" customFormat="1">
      <c r="A5564" s="83"/>
      <c r="H5564" s="83"/>
      <c r="K5564" s="82"/>
      <c r="M5564" s="112"/>
      <c r="N5564" s="84"/>
    </row>
    <row r="5565" spans="1:14" s="2" customFormat="1">
      <c r="A5565" s="83"/>
      <c r="H5565" s="83"/>
      <c r="K5565" s="82"/>
      <c r="M5565" s="112"/>
      <c r="N5565" s="84"/>
    </row>
    <row r="5566" spans="1:14" s="2" customFormat="1">
      <c r="A5566" s="83"/>
      <c r="H5566" s="83"/>
      <c r="K5566" s="82"/>
      <c r="M5566" s="112"/>
      <c r="N5566" s="84"/>
    </row>
    <row r="5567" spans="1:14" s="2" customFormat="1">
      <c r="A5567" s="83"/>
      <c r="H5567" s="83"/>
      <c r="K5567" s="82"/>
      <c r="M5567" s="112"/>
      <c r="N5567" s="84"/>
    </row>
    <row r="5568" spans="1:14" s="2" customFormat="1">
      <c r="A5568" s="83"/>
      <c r="H5568" s="83"/>
      <c r="K5568" s="82"/>
      <c r="M5568" s="112"/>
      <c r="N5568" s="84"/>
    </row>
    <row r="5569" spans="1:14" s="2" customFormat="1">
      <c r="A5569" s="83"/>
      <c r="H5569" s="83"/>
      <c r="K5569" s="82"/>
      <c r="M5569" s="112"/>
      <c r="N5569" s="84"/>
    </row>
    <row r="5570" spans="1:14" s="2" customFormat="1">
      <c r="A5570" s="83"/>
      <c r="H5570" s="83"/>
      <c r="K5570" s="82"/>
      <c r="M5570" s="112"/>
      <c r="N5570" s="84"/>
    </row>
    <row r="5571" spans="1:14" s="2" customFormat="1">
      <c r="A5571" s="83"/>
      <c r="H5571" s="83"/>
      <c r="K5571" s="82"/>
      <c r="M5571" s="112"/>
      <c r="N5571" s="84"/>
    </row>
    <row r="5572" spans="1:14" s="2" customFormat="1">
      <c r="A5572" s="83"/>
      <c r="H5572" s="83"/>
      <c r="K5572" s="82"/>
      <c r="M5572" s="112"/>
      <c r="N5572" s="84"/>
    </row>
    <row r="5573" spans="1:14" s="2" customFormat="1">
      <c r="A5573" s="83"/>
      <c r="H5573" s="83"/>
      <c r="K5573" s="82"/>
      <c r="M5573" s="112"/>
      <c r="N5573" s="84"/>
    </row>
    <row r="5574" spans="1:14" s="2" customFormat="1">
      <c r="A5574" s="83"/>
      <c r="H5574" s="83"/>
      <c r="K5574" s="82"/>
      <c r="M5574" s="112"/>
      <c r="N5574" s="84"/>
    </row>
    <row r="5575" spans="1:14" s="2" customFormat="1">
      <c r="A5575" s="83"/>
      <c r="H5575" s="83"/>
      <c r="K5575" s="82"/>
      <c r="M5575" s="112"/>
      <c r="N5575" s="84"/>
    </row>
    <row r="5576" spans="1:14" s="2" customFormat="1">
      <c r="A5576" s="83"/>
      <c r="H5576" s="83"/>
      <c r="K5576" s="82"/>
      <c r="M5576" s="112"/>
      <c r="N5576" s="84"/>
    </row>
    <row r="5577" spans="1:14" s="2" customFormat="1">
      <c r="A5577" s="83"/>
      <c r="H5577" s="83"/>
      <c r="K5577" s="82"/>
      <c r="M5577" s="112"/>
      <c r="N5577" s="84"/>
    </row>
    <row r="5578" spans="1:14" s="2" customFormat="1">
      <c r="A5578" s="83"/>
      <c r="H5578" s="83"/>
      <c r="K5578" s="82"/>
      <c r="M5578" s="112"/>
      <c r="N5578" s="84"/>
    </row>
    <row r="5579" spans="1:14" s="2" customFormat="1">
      <c r="A5579" s="83"/>
      <c r="H5579" s="83"/>
      <c r="K5579" s="82"/>
      <c r="M5579" s="112"/>
      <c r="N5579" s="84"/>
    </row>
    <row r="5580" spans="1:14" s="2" customFormat="1">
      <c r="A5580" s="83"/>
      <c r="H5580" s="83"/>
      <c r="K5580" s="82"/>
      <c r="M5580" s="112"/>
      <c r="N5580" s="84"/>
    </row>
    <row r="5581" spans="1:14" s="2" customFormat="1">
      <c r="A5581" s="83"/>
      <c r="H5581" s="83"/>
      <c r="K5581" s="82"/>
      <c r="M5581" s="112"/>
      <c r="N5581" s="84"/>
    </row>
    <row r="5582" spans="1:14" s="2" customFormat="1">
      <c r="A5582" s="83"/>
      <c r="H5582" s="83"/>
      <c r="K5582" s="82"/>
      <c r="M5582" s="112"/>
      <c r="N5582" s="84"/>
    </row>
    <row r="5583" spans="1:14" s="2" customFormat="1">
      <c r="A5583" s="83"/>
      <c r="H5583" s="83"/>
      <c r="K5583" s="82"/>
      <c r="M5583" s="112"/>
      <c r="N5583" s="84"/>
    </row>
    <row r="5584" spans="1:14" s="2" customFormat="1">
      <c r="A5584" s="83"/>
      <c r="H5584" s="83"/>
      <c r="K5584" s="82"/>
      <c r="M5584" s="112"/>
      <c r="N5584" s="84"/>
    </row>
    <row r="5585" spans="1:14" s="2" customFormat="1">
      <c r="A5585" s="83"/>
      <c r="H5585" s="83"/>
      <c r="K5585" s="82"/>
      <c r="M5585" s="112"/>
      <c r="N5585" s="84"/>
    </row>
    <row r="5586" spans="1:14" s="2" customFormat="1">
      <c r="A5586" s="83"/>
      <c r="H5586" s="83"/>
      <c r="K5586" s="82"/>
      <c r="M5586" s="112"/>
      <c r="N5586" s="84"/>
    </row>
    <row r="5587" spans="1:14" s="2" customFormat="1">
      <c r="A5587" s="83"/>
      <c r="H5587" s="83"/>
      <c r="K5587" s="82"/>
      <c r="M5587" s="112"/>
      <c r="N5587" s="84"/>
    </row>
    <row r="5588" spans="1:14" s="2" customFormat="1">
      <c r="A5588" s="83"/>
      <c r="H5588" s="83"/>
      <c r="K5588" s="82"/>
      <c r="M5588" s="112"/>
      <c r="N5588" s="84"/>
    </row>
    <row r="5589" spans="1:14" s="2" customFormat="1">
      <c r="A5589" s="83"/>
      <c r="H5589" s="83"/>
      <c r="K5589" s="82"/>
      <c r="M5589" s="112"/>
      <c r="N5589" s="84"/>
    </row>
    <row r="5590" spans="1:14" s="2" customFormat="1">
      <c r="A5590" s="83"/>
      <c r="H5590" s="83"/>
      <c r="K5590" s="82"/>
      <c r="M5590" s="112"/>
      <c r="N5590" s="84"/>
    </row>
    <row r="5591" spans="1:14" s="2" customFormat="1">
      <c r="A5591" s="83"/>
      <c r="H5591" s="83"/>
      <c r="K5591" s="82"/>
      <c r="M5591" s="112"/>
      <c r="N5591" s="84"/>
    </row>
    <row r="5592" spans="1:14" s="2" customFormat="1">
      <c r="A5592" s="83"/>
      <c r="H5592" s="83"/>
      <c r="K5592" s="82"/>
      <c r="M5592" s="112"/>
      <c r="N5592" s="84"/>
    </row>
    <row r="5593" spans="1:14" s="2" customFormat="1">
      <c r="A5593" s="83"/>
      <c r="H5593" s="83"/>
      <c r="K5593" s="82"/>
      <c r="M5593" s="112"/>
      <c r="N5593" s="84"/>
    </row>
    <row r="5594" spans="1:14" s="2" customFormat="1">
      <c r="A5594" s="83"/>
      <c r="H5594" s="83"/>
      <c r="K5594" s="82"/>
      <c r="M5594" s="112"/>
      <c r="N5594" s="84"/>
    </row>
    <row r="5595" spans="1:14" s="2" customFormat="1">
      <c r="A5595" s="83"/>
      <c r="H5595" s="83"/>
      <c r="K5595" s="82"/>
      <c r="M5595" s="112"/>
      <c r="N5595" s="84"/>
    </row>
    <row r="5596" spans="1:14" s="2" customFormat="1">
      <c r="A5596" s="83"/>
      <c r="H5596" s="83"/>
      <c r="K5596" s="82"/>
      <c r="M5596" s="112"/>
      <c r="N5596" s="84"/>
    </row>
    <row r="5597" spans="1:14" s="2" customFormat="1">
      <c r="A5597" s="83"/>
      <c r="H5597" s="83"/>
      <c r="K5597" s="82"/>
      <c r="M5597" s="112"/>
      <c r="N5597" s="84"/>
    </row>
    <row r="5598" spans="1:14" s="2" customFormat="1">
      <c r="A5598" s="83"/>
      <c r="H5598" s="83"/>
      <c r="K5598" s="82"/>
      <c r="M5598" s="112"/>
      <c r="N5598" s="84"/>
    </row>
    <row r="5599" spans="1:14" s="2" customFormat="1">
      <c r="A5599" s="83"/>
      <c r="H5599" s="83"/>
      <c r="K5599" s="82"/>
      <c r="M5599" s="112"/>
      <c r="N5599" s="84"/>
    </row>
    <row r="5600" spans="1:14" s="2" customFormat="1">
      <c r="A5600" s="83"/>
      <c r="H5600" s="83"/>
      <c r="K5600" s="82"/>
      <c r="M5600" s="112"/>
      <c r="N5600" s="84"/>
    </row>
    <row r="5601" spans="1:14" s="2" customFormat="1">
      <c r="A5601" s="83"/>
      <c r="H5601" s="83"/>
      <c r="K5601" s="82"/>
      <c r="M5601" s="112"/>
      <c r="N5601" s="84"/>
    </row>
    <row r="5602" spans="1:14" s="2" customFormat="1">
      <c r="A5602" s="83"/>
      <c r="H5602" s="83"/>
      <c r="K5602" s="82"/>
      <c r="M5602" s="112"/>
      <c r="N5602" s="84"/>
    </row>
    <row r="5603" spans="1:14" s="2" customFormat="1">
      <c r="A5603" s="83"/>
      <c r="H5603" s="83"/>
      <c r="K5603" s="82"/>
      <c r="M5603" s="112"/>
      <c r="N5603" s="84"/>
    </row>
    <row r="5604" spans="1:14" s="2" customFormat="1">
      <c r="A5604" s="83"/>
      <c r="H5604" s="83"/>
      <c r="K5604" s="82"/>
      <c r="M5604" s="112"/>
      <c r="N5604" s="84"/>
    </row>
    <row r="5605" spans="1:14" s="2" customFormat="1">
      <c r="A5605" s="83"/>
      <c r="H5605" s="83"/>
      <c r="K5605" s="82"/>
      <c r="M5605" s="112"/>
      <c r="N5605" s="84"/>
    </row>
    <row r="5606" spans="1:14" s="2" customFormat="1">
      <c r="A5606" s="83"/>
      <c r="H5606" s="83"/>
      <c r="K5606" s="82"/>
      <c r="M5606" s="112"/>
      <c r="N5606" s="84"/>
    </row>
    <row r="5607" spans="1:14" s="2" customFormat="1">
      <c r="A5607" s="83"/>
      <c r="H5607" s="83"/>
      <c r="K5607" s="82"/>
      <c r="M5607" s="112"/>
      <c r="N5607" s="84"/>
    </row>
    <row r="5608" spans="1:14" s="2" customFormat="1">
      <c r="A5608" s="83"/>
      <c r="H5608" s="83"/>
      <c r="K5608" s="82"/>
      <c r="M5608" s="112"/>
      <c r="N5608" s="84"/>
    </row>
    <row r="5609" spans="1:14" s="2" customFormat="1">
      <c r="A5609" s="83"/>
      <c r="H5609" s="83"/>
      <c r="K5609" s="82"/>
      <c r="M5609" s="112"/>
      <c r="N5609" s="84"/>
    </row>
    <row r="5610" spans="1:14" s="2" customFormat="1">
      <c r="A5610" s="83"/>
      <c r="H5610" s="83"/>
      <c r="K5610" s="82"/>
      <c r="M5610" s="112"/>
      <c r="N5610" s="84"/>
    </row>
    <row r="5611" spans="1:14" s="2" customFormat="1">
      <c r="A5611" s="83"/>
      <c r="H5611" s="83"/>
      <c r="K5611" s="82"/>
      <c r="M5611" s="112"/>
      <c r="N5611" s="84"/>
    </row>
    <row r="5612" spans="1:14" s="2" customFormat="1">
      <c r="A5612" s="83"/>
      <c r="H5612" s="83"/>
      <c r="K5612" s="82"/>
      <c r="M5612" s="112"/>
      <c r="N5612" s="84"/>
    </row>
    <row r="5613" spans="1:14" s="2" customFormat="1">
      <c r="A5613" s="83"/>
      <c r="H5613" s="83"/>
      <c r="K5613" s="82"/>
      <c r="M5613" s="112"/>
      <c r="N5613" s="84"/>
    </row>
    <row r="5614" spans="1:14" s="2" customFormat="1">
      <c r="A5614" s="83"/>
      <c r="H5614" s="83"/>
      <c r="K5614" s="82"/>
      <c r="M5614" s="112"/>
      <c r="N5614" s="84"/>
    </row>
    <row r="5615" spans="1:14" s="2" customFormat="1">
      <c r="A5615" s="83"/>
      <c r="H5615" s="83"/>
      <c r="K5615" s="82"/>
      <c r="M5615" s="112"/>
      <c r="N5615" s="84"/>
    </row>
    <row r="5616" spans="1:14" s="2" customFormat="1">
      <c r="A5616" s="83"/>
      <c r="H5616" s="83"/>
      <c r="K5616" s="82"/>
      <c r="M5616" s="112"/>
      <c r="N5616" s="84"/>
    </row>
    <row r="5617" spans="1:14" s="2" customFormat="1">
      <c r="A5617" s="83"/>
      <c r="H5617" s="83"/>
      <c r="K5617" s="82"/>
      <c r="M5617" s="112"/>
      <c r="N5617" s="84"/>
    </row>
    <row r="5618" spans="1:14" s="2" customFormat="1">
      <c r="A5618" s="83"/>
      <c r="H5618" s="83"/>
      <c r="K5618" s="82"/>
      <c r="M5618" s="112"/>
      <c r="N5618" s="84"/>
    </row>
    <row r="5619" spans="1:14" s="2" customFormat="1">
      <c r="A5619" s="83"/>
      <c r="H5619" s="83"/>
      <c r="K5619" s="82"/>
      <c r="M5619" s="112"/>
      <c r="N5619" s="84"/>
    </row>
    <row r="5620" spans="1:14" s="2" customFormat="1">
      <c r="A5620" s="83"/>
      <c r="H5620" s="83"/>
      <c r="K5620" s="82"/>
      <c r="M5620" s="112"/>
      <c r="N5620" s="84"/>
    </row>
    <row r="5621" spans="1:14" s="2" customFormat="1">
      <c r="A5621" s="83"/>
      <c r="H5621" s="83"/>
      <c r="K5621" s="82"/>
      <c r="M5621" s="112"/>
      <c r="N5621" s="84"/>
    </row>
    <row r="5622" spans="1:14" s="2" customFormat="1">
      <c r="A5622" s="83"/>
      <c r="H5622" s="83"/>
      <c r="K5622" s="82"/>
      <c r="M5622" s="112"/>
      <c r="N5622" s="84"/>
    </row>
    <row r="5623" spans="1:14" s="2" customFormat="1">
      <c r="A5623" s="83"/>
      <c r="H5623" s="83"/>
      <c r="K5623" s="82"/>
      <c r="M5623" s="112"/>
      <c r="N5623" s="84"/>
    </row>
    <row r="5624" spans="1:14" s="2" customFormat="1">
      <c r="A5624" s="83"/>
      <c r="H5624" s="83"/>
      <c r="K5624" s="82"/>
      <c r="M5624" s="112"/>
      <c r="N5624" s="84"/>
    </row>
    <row r="5625" spans="1:14" s="2" customFormat="1">
      <c r="A5625" s="83"/>
      <c r="H5625" s="83"/>
      <c r="K5625" s="82"/>
      <c r="M5625" s="112"/>
      <c r="N5625" s="84"/>
    </row>
    <row r="5626" spans="1:14" s="2" customFormat="1">
      <c r="A5626" s="83"/>
      <c r="H5626" s="83"/>
      <c r="K5626" s="82"/>
      <c r="M5626" s="112"/>
      <c r="N5626" s="84"/>
    </row>
    <row r="5627" spans="1:14" s="2" customFormat="1">
      <c r="A5627" s="83"/>
      <c r="H5627" s="83"/>
      <c r="K5627" s="82"/>
      <c r="M5627" s="112"/>
      <c r="N5627" s="84"/>
    </row>
    <row r="5628" spans="1:14" s="2" customFormat="1">
      <c r="A5628" s="83"/>
      <c r="H5628" s="83"/>
      <c r="K5628" s="82"/>
      <c r="M5628" s="112"/>
      <c r="N5628" s="84"/>
    </row>
    <row r="5629" spans="1:14" s="2" customFormat="1">
      <c r="A5629" s="83"/>
      <c r="H5629" s="83"/>
      <c r="K5629" s="82"/>
      <c r="M5629" s="112"/>
      <c r="N5629" s="84"/>
    </row>
    <row r="5630" spans="1:14" s="2" customFormat="1">
      <c r="A5630" s="83"/>
      <c r="H5630" s="83"/>
      <c r="K5630" s="82"/>
      <c r="M5630" s="112"/>
      <c r="N5630" s="84"/>
    </row>
    <row r="5631" spans="1:14" s="2" customFormat="1">
      <c r="A5631" s="83"/>
      <c r="H5631" s="83"/>
      <c r="K5631" s="82"/>
      <c r="M5631" s="112"/>
      <c r="N5631" s="84"/>
    </row>
    <row r="5632" spans="1:14" s="2" customFormat="1">
      <c r="A5632" s="83"/>
      <c r="H5632" s="83"/>
      <c r="K5632" s="82"/>
      <c r="M5632" s="112"/>
      <c r="N5632" s="84"/>
    </row>
    <row r="5633" spans="1:14" s="2" customFormat="1">
      <c r="A5633" s="83"/>
      <c r="H5633" s="83"/>
      <c r="K5633" s="82"/>
      <c r="M5633" s="112"/>
      <c r="N5633" s="84"/>
    </row>
    <row r="5634" spans="1:14" s="2" customFormat="1">
      <c r="A5634" s="83"/>
      <c r="H5634" s="83"/>
      <c r="K5634" s="82"/>
      <c r="M5634" s="112"/>
      <c r="N5634" s="84"/>
    </row>
    <row r="5635" spans="1:14" s="2" customFormat="1">
      <c r="A5635" s="83"/>
      <c r="H5635" s="83"/>
      <c r="K5635" s="82"/>
      <c r="M5635" s="112"/>
      <c r="N5635" s="84"/>
    </row>
    <row r="5636" spans="1:14" s="2" customFormat="1">
      <c r="A5636" s="83"/>
      <c r="H5636" s="83"/>
      <c r="K5636" s="82"/>
      <c r="M5636" s="112"/>
      <c r="N5636" s="84"/>
    </row>
    <row r="5637" spans="1:14" s="2" customFormat="1">
      <c r="A5637" s="83"/>
      <c r="H5637" s="83"/>
      <c r="K5637" s="82"/>
      <c r="M5637" s="112"/>
      <c r="N5637" s="84"/>
    </row>
    <row r="5638" spans="1:14" s="2" customFormat="1">
      <c r="A5638" s="83"/>
      <c r="H5638" s="83"/>
      <c r="K5638" s="82"/>
      <c r="M5638" s="112"/>
      <c r="N5638" s="84"/>
    </row>
    <row r="5639" spans="1:14" s="2" customFormat="1">
      <c r="A5639" s="83"/>
      <c r="H5639" s="83"/>
      <c r="K5639" s="82"/>
      <c r="M5639" s="112"/>
      <c r="N5639" s="84"/>
    </row>
    <row r="5640" spans="1:14" s="2" customFormat="1">
      <c r="A5640" s="83"/>
      <c r="H5640" s="83"/>
      <c r="K5640" s="82"/>
      <c r="M5640" s="112"/>
      <c r="N5640" s="84"/>
    </row>
    <row r="5641" spans="1:14" s="2" customFormat="1">
      <c r="A5641" s="83"/>
      <c r="H5641" s="83"/>
      <c r="K5641" s="82"/>
      <c r="M5641" s="112"/>
      <c r="N5641" s="84"/>
    </row>
    <row r="5642" spans="1:14" s="2" customFormat="1">
      <c r="A5642" s="83"/>
      <c r="H5642" s="83"/>
      <c r="K5642" s="82"/>
      <c r="M5642" s="112"/>
      <c r="N5642" s="84"/>
    </row>
    <row r="5643" spans="1:14" s="2" customFormat="1">
      <c r="A5643" s="83"/>
      <c r="H5643" s="83"/>
      <c r="K5643" s="82"/>
      <c r="M5643" s="112"/>
      <c r="N5643" s="84"/>
    </row>
    <row r="5644" spans="1:14" s="2" customFormat="1">
      <c r="A5644" s="83"/>
      <c r="H5644" s="83"/>
      <c r="K5644" s="82"/>
      <c r="M5644" s="112"/>
      <c r="N5644" s="84"/>
    </row>
    <row r="5645" spans="1:14" s="2" customFormat="1">
      <c r="A5645" s="83"/>
      <c r="H5645" s="83"/>
      <c r="K5645" s="82"/>
      <c r="M5645" s="112"/>
      <c r="N5645" s="84"/>
    </row>
    <row r="5646" spans="1:14" s="2" customFormat="1">
      <c r="A5646" s="83"/>
      <c r="H5646" s="83"/>
      <c r="K5646" s="82"/>
      <c r="M5646" s="112"/>
      <c r="N5646" s="84"/>
    </row>
    <row r="5647" spans="1:14" s="2" customFormat="1">
      <c r="A5647" s="83"/>
      <c r="H5647" s="83"/>
      <c r="K5647" s="82"/>
      <c r="M5647" s="112"/>
      <c r="N5647" s="84"/>
    </row>
    <row r="5648" spans="1:14" s="2" customFormat="1">
      <c r="A5648" s="83"/>
      <c r="H5648" s="83"/>
      <c r="K5648" s="82"/>
      <c r="M5648" s="112"/>
      <c r="N5648" s="84"/>
    </row>
    <row r="5649" spans="1:14" s="2" customFormat="1">
      <c r="A5649" s="83"/>
      <c r="H5649" s="83"/>
      <c r="K5649" s="82"/>
      <c r="M5649" s="112"/>
      <c r="N5649" s="84"/>
    </row>
    <row r="5650" spans="1:14" s="2" customFormat="1">
      <c r="A5650" s="83"/>
      <c r="H5650" s="83"/>
      <c r="K5650" s="82"/>
      <c r="M5650" s="112"/>
      <c r="N5650" s="84"/>
    </row>
    <row r="5651" spans="1:14" s="2" customFormat="1">
      <c r="A5651" s="83"/>
      <c r="H5651" s="83"/>
      <c r="K5651" s="82"/>
      <c r="M5651" s="112"/>
      <c r="N5651" s="84"/>
    </row>
    <row r="5652" spans="1:14" s="2" customFormat="1">
      <c r="A5652" s="83"/>
      <c r="H5652" s="83"/>
      <c r="K5652" s="82"/>
      <c r="M5652" s="112"/>
      <c r="N5652" s="84"/>
    </row>
    <row r="5653" spans="1:14" s="2" customFormat="1">
      <c r="A5653" s="83"/>
      <c r="H5653" s="83"/>
      <c r="K5653" s="82"/>
      <c r="M5653" s="112"/>
      <c r="N5653" s="84"/>
    </row>
    <row r="5654" spans="1:14" s="2" customFormat="1">
      <c r="A5654" s="83"/>
      <c r="H5654" s="83"/>
      <c r="K5654" s="82"/>
      <c r="M5654" s="112"/>
      <c r="N5654" s="84"/>
    </row>
    <row r="5655" spans="1:14" s="2" customFormat="1">
      <c r="A5655" s="83"/>
      <c r="H5655" s="83"/>
      <c r="K5655" s="82"/>
      <c r="M5655" s="112"/>
      <c r="N5655" s="84"/>
    </row>
    <row r="5656" spans="1:14" s="2" customFormat="1">
      <c r="A5656" s="83"/>
      <c r="H5656" s="83"/>
      <c r="K5656" s="82"/>
      <c r="M5656" s="112"/>
      <c r="N5656" s="84"/>
    </row>
    <row r="5657" spans="1:14" s="2" customFormat="1">
      <c r="A5657" s="83"/>
      <c r="H5657" s="83"/>
      <c r="K5657" s="82"/>
      <c r="M5657" s="112"/>
      <c r="N5657" s="84"/>
    </row>
    <row r="5658" spans="1:14" s="2" customFormat="1">
      <c r="A5658" s="83"/>
      <c r="H5658" s="83"/>
      <c r="K5658" s="82"/>
      <c r="M5658" s="112"/>
      <c r="N5658" s="84"/>
    </row>
    <row r="5659" spans="1:14" s="2" customFormat="1">
      <c r="A5659" s="83"/>
      <c r="H5659" s="83"/>
      <c r="K5659" s="82"/>
      <c r="M5659" s="112"/>
      <c r="N5659" s="84"/>
    </row>
    <row r="5660" spans="1:14" s="2" customFormat="1">
      <c r="A5660" s="83"/>
      <c r="H5660" s="83"/>
      <c r="K5660" s="82"/>
      <c r="M5660" s="112"/>
      <c r="N5660" s="84"/>
    </row>
    <row r="5661" spans="1:14" s="2" customFormat="1">
      <c r="A5661" s="83"/>
      <c r="H5661" s="83"/>
      <c r="K5661" s="82"/>
      <c r="M5661" s="112"/>
      <c r="N5661" s="84"/>
    </row>
    <row r="5662" spans="1:14" s="2" customFormat="1">
      <c r="A5662" s="83"/>
      <c r="H5662" s="83"/>
      <c r="K5662" s="82"/>
      <c r="M5662" s="112"/>
      <c r="N5662" s="84"/>
    </row>
    <row r="5663" spans="1:14" s="2" customFormat="1">
      <c r="A5663" s="83"/>
      <c r="H5663" s="83"/>
      <c r="K5663" s="82"/>
      <c r="M5663" s="112"/>
      <c r="N5663" s="84"/>
    </row>
    <row r="5664" spans="1:14" s="2" customFormat="1">
      <c r="A5664" s="83"/>
      <c r="H5664" s="83"/>
      <c r="K5664" s="82"/>
      <c r="M5664" s="112"/>
      <c r="N5664" s="84"/>
    </row>
    <row r="5665" spans="1:14" s="2" customFormat="1">
      <c r="A5665" s="83"/>
      <c r="H5665" s="83"/>
      <c r="K5665" s="82"/>
      <c r="M5665" s="112"/>
      <c r="N5665" s="84"/>
    </row>
    <row r="5666" spans="1:14" s="2" customFormat="1">
      <c r="A5666" s="83"/>
      <c r="H5666" s="83"/>
      <c r="K5666" s="82"/>
      <c r="M5666" s="112"/>
      <c r="N5666" s="84"/>
    </row>
    <row r="5667" spans="1:14" s="2" customFormat="1">
      <c r="A5667" s="83"/>
      <c r="H5667" s="83"/>
      <c r="K5667" s="82"/>
      <c r="M5667" s="112"/>
      <c r="N5667" s="84"/>
    </row>
    <row r="5668" spans="1:14" s="2" customFormat="1">
      <c r="A5668" s="83"/>
      <c r="H5668" s="83"/>
      <c r="K5668" s="82"/>
      <c r="M5668" s="112"/>
      <c r="N5668" s="84"/>
    </row>
    <row r="5669" spans="1:14" s="2" customFormat="1">
      <c r="A5669" s="83"/>
      <c r="H5669" s="83"/>
      <c r="K5669" s="82"/>
      <c r="M5669" s="112"/>
      <c r="N5669" s="84"/>
    </row>
    <row r="5670" spans="1:14" s="2" customFormat="1">
      <c r="A5670" s="83"/>
      <c r="H5670" s="83"/>
      <c r="K5670" s="82"/>
      <c r="M5670" s="112"/>
      <c r="N5670" s="84"/>
    </row>
    <row r="5671" spans="1:14" s="2" customFormat="1">
      <c r="A5671" s="83"/>
      <c r="H5671" s="83"/>
      <c r="K5671" s="82"/>
      <c r="M5671" s="112"/>
      <c r="N5671" s="84"/>
    </row>
    <row r="5672" spans="1:14" s="2" customFormat="1">
      <c r="A5672" s="83"/>
      <c r="H5672" s="83"/>
      <c r="K5672" s="82"/>
      <c r="M5672" s="112"/>
      <c r="N5672" s="84"/>
    </row>
    <row r="5673" spans="1:14" s="2" customFormat="1">
      <c r="A5673" s="83"/>
      <c r="H5673" s="83"/>
      <c r="K5673" s="82"/>
      <c r="M5673" s="112"/>
      <c r="N5673" s="84"/>
    </row>
    <row r="5674" spans="1:14" s="2" customFormat="1">
      <c r="A5674" s="83"/>
      <c r="H5674" s="83"/>
      <c r="K5674" s="82"/>
      <c r="M5674" s="112"/>
      <c r="N5674" s="84"/>
    </row>
    <row r="5675" spans="1:14" s="2" customFormat="1">
      <c r="A5675" s="83"/>
      <c r="H5675" s="83"/>
      <c r="K5675" s="82"/>
      <c r="M5675" s="112"/>
      <c r="N5675" s="84"/>
    </row>
    <row r="5676" spans="1:14" s="2" customFormat="1">
      <c r="A5676" s="83"/>
      <c r="H5676" s="83"/>
      <c r="K5676" s="82"/>
      <c r="M5676" s="112"/>
      <c r="N5676" s="84"/>
    </row>
    <row r="5677" spans="1:14" s="2" customFormat="1">
      <c r="A5677" s="83"/>
      <c r="H5677" s="83"/>
      <c r="K5677" s="82"/>
      <c r="M5677" s="112"/>
      <c r="N5677" s="84"/>
    </row>
    <row r="5678" spans="1:14" s="2" customFormat="1">
      <c r="A5678" s="83"/>
      <c r="H5678" s="83"/>
      <c r="K5678" s="82"/>
      <c r="M5678" s="112"/>
      <c r="N5678" s="84"/>
    </row>
    <row r="5679" spans="1:14" s="2" customFormat="1">
      <c r="A5679" s="83"/>
      <c r="H5679" s="83"/>
      <c r="K5679" s="82"/>
      <c r="M5679" s="112"/>
      <c r="N5679" s="84"/>
    </row>
    <row r="5680" spans="1:14" s="2" customFormat="1">
      <c r="A5680" s="83"/>
      <c r="H5680" s="83"/>
      <c r="K5680" s="82"/>
      <c r="M5680" s="112"/>
      <c r="N5680" s="84"/>
    </row>
    <row r="5681" spans="1:14" s="2" customFormat="1">
      <c r="A5681" s="83"/>
      <c r="H5681" s="83"/>
      <c r="K5681" s="82"/>
      <c r="M5681" s="112"/>
      <c r="N5681" s="84"/>
    </row>
    <row r="5682" spans="1:14" s="2" customFormat="1">
      <c r="A5682" s="83"/>
      <c r="H5682" s="83"/>
      <c r="K5682" s="82"/>
      <c r="M5682" s="112"/>
      <c r="N5682" s="84"/>
    </row>
    <row r="5683" spans="1:14" s="2" customFormat="1">
      <c r="A5683" s="83"/>
      <c r="H5683" s="83"/>
      <c r="K5683" s="82"/>
      <c r="M5683" s="112"/>
      <c r="N5683" s="84"/>
    </row>
    <row r="5684" spans="1:14" s="2" customFormat="1">
      <c r="A5684" s="83"/>
      <c r="H5684" s="83"/>
      <c r="K5684" s="82"/>
      <c r="M5684" s="112"/>
      <c r="N5684" s="84"/>
    </row>
    <row r="5685" spans="1:14" s="2" customFormat="1">
      <c r="A5685" s="83"/>
      <c r="H5685" s="83"/>
      <c r="K5685" s="82"/>
      <c r="M5685" s="112"/>
      <c r="N5685" s="84"/>
    </row>
    <row r="5686" spans="1:14" s="2" customFormat="1">
      <c r="A5686" s="83"/>
      <c r="H5686" s="83"/>
      <c r="K5686" s="82"/>
      <c r="M5686" s="112"/>
      <c r="N5686" s="84"/>
    </row>
    <row r="5687" spans="1:14" s="2" customFormat="1">
      <c r="A5687" s="83"/>
      <c r="H5687" s="83"/>
      <c r="K5687" s="82"/>
      <c r="M5687" s="112"/>
      <c r="N5687" s="84"/>
    </row>
    <row r="5688" spans="1:14" s="2" customFormat="1">
      <c r="A5688" s="83"/>
      <c r="H5688" s="83"/>
      <c r="K5688" s="82"/>
      <c r="M5688" s="112"/>
      <c r="N5688" s="84"/>
    </row>
    <row r="5689" spans="1:14" s="2" customFormat="1">
      <c r="A5689" s="83"/>
      <c r="H5689" s="83"/>
      <c r="K5689" s="82"/>
      <c r="M5689" s="112"/>
      <c r="N5689" s="84"/>
    </row>
    <row r="5690" spans="1:14" s="2" customFormat="1">
      <c r="A5690" s="83"/>
      <c r="H5690" s="83"/>
      <c r="K5690" s="82"/>
      <c r="M5690" s="112"/>
      <c r="N5690" s="84"/>
    </row>
    <row r="5691" spans="1:14" s="2" customFormat="1">
      <c r="A5691" s="83"/>
      <c r="H5691" s="83"/>
      <c r="K5691" s="82"/>
      <c r="M5691" s="112"/>
      <c r="N5691" s="84"/>
    </row>
    <row r="5692" spans="1:14" s="2" customFormat="1">
      <c r="A5692" s="83"/>
      <c r="H5692" s="83"/>
      <c r="K5692" s="82"/>
      <c r="M5692" s="112"/>
      <c r="N5692" s="84"/>
    </row>
    <row r="5693" spans="1:14" s="2" customFormat="1">
      <c r="A5693" s="83"/>
      <c r="H5693" s="83"/>
      <c r="K5693" s="82"/>
      <c r="M5693" s="112"/>
      <c r="N5693" s="84"/>
    </row>
    <row r="5694" spans="1:14" s="2" customFormat="1">
      <c r="A5694" s="83"/>
      <c r="H5694" s="83"/>
      <c r="K5694" s="82"/>
      <c r="M5694" s="112"/>
      <c r="N5694" s="84"/>
    </row>
    <row r="5695" spans="1:14" s="2" customFormat="1">
      <c r="A5695" s="83"/>
      <c r="H5695" s="83"/>
      <c r="K5695" s="82"/>
      <c r="M5695" s="112"/>
      <c r="N5695" s="84"/>
    </row>
    <row r="5696" spans="1:14" s="2" customFormat="1">
      <c r="A5696" s="83"/>
      <c r="H5696" s="83"/>
      <c r="K5696" s="82"/>
      <c r="M5696" s="112"/>
      <c r="N5696" s="84"/>
    </row>
    <row r="5697" spans="1:14" s="2" customFormat="1">
      <c r="A5697" s="83"/>
      <c r="H5697" s="83"/>
      <c r="K5697" s="82"/>
      <c r="M5697" s="112"/>
      <c r="N5697" s="84"/>
    </row>
    <row r="5698" spans="1:14" s="2" customFormat="1">
      <c r="A5698" s="83"/>
      <c r="H5698" s="83"/>
      <c r="K5698" s="82"/>
      <c r="M5698" s="112"/>
      <c r="N5698" s="84"/>
    </row>
    <row r="5699" spans="1:14" s="2" customFormat="1">
      <c r="A5699" s="83"/>
      <c r="H5699" s="83"/>
      <c r="K5699" s="82"/>
      <c r="M5699" s="112"/>
      <c r="N5699" s="84"/>
    </row>
    <row r="5700" spans="1:14" s="2" customFormat="1">
      <c r="A5700" s="83"/>
      <c r="H5700" s="83"/>
      <c r="K5700" s="82"/>
      <c r="M5700" s="112"/>
      <c r="N5700" s="84"/>
    </row>
    <row r="5701" spans="1:14" s="2" customFormat="1">
      <c r="A5701" s="83"/>
      <c r="H5701" s="83"/>
      <c r="K5701" s="82"/>
      <c r="M5701" s="112"/>
      <c r="N5701" s="84"/>
    </row>
    <row r="5702" spans="1:14" s="2" customFormat="1">
      <c r="A5702" s="83"/>
      <c r="H5702" s="83"/>
      <c r="K5702" s="82"/>
      <c r="M5702" s="112"/>
      <c r="N5702" s="84"/>
    </row>
    <row r="5703" spans="1:14" s="2" customFormat="1">
      <c r="A5703" s="83"/>
      <c r="H5703" s="83"/>
      <c r="K5703" s="82"/>
      <c r="M5703" s="112"/>
      <c r="N5703" s="84"/>
    </row>
    <row r="5704" spans="1:14" s="2" customFormat="1">
      <c r="A5704" s="83"/>
      <c r="H5704" s="83"/>
      <c r="K5704" s="82"/>
      <c r="M5704" s="112"/>
      <c r="N5704" s="84"/>
    </row>
    <row r="5705" spans="1:14" s="2" customFormat="1">
      <c r="A5705" s="83"/>
      <c r="H5705" s="83"/>
      <c r="K5705" s="82"/>
      <c r="M5705" s="112"/>
      <c r="N5705" s="84"/>
    </row>
    <row r="5706" spans="1:14" s="2" customFormat="1">
      <c r="A5706" s="83"/>
      <c r="H5706" s="83"/>
      <c r="K5706" s="82"/>
      <c r="M5706" s="112"/>
      <c r="N5706" s="84"/>
    </row>
    <row r="5707" spans="1:14" s="2" customFormat="1">
      <c r="A5707" s="83"/>
      <c r="H5707" s="83"/>
      <c r="K5707" s="82"/>
      <c r="M5707" s="112"/>
      <c r="N5707" s="84"/>
    </row>
    <row r="5708" spans="1:14" s="2" customFormat="1">
      <c r="A5708" s="83"/>
      <c r="H5708" s="83"/>
      <c r="K5708" s="82"/>
      <c r="M5708" s="112"/>
      <c r="N5708" s="84"/>
    </row>
    <row r="5709" spans="1:14" s="2" customFormat="1">
      <c r="A5709" s="83"/>
      <c r="H5709" s="83"/>
      <c r="K5709" s="82"/>
      <c r="M5709" s="112"/>
      <c r="N5709" s="84"/>
    </row>
    <row r="5710" spans="1:14" s="2" customFormat="1">
      <c r="A5710" s="83"/>
      <c r="H5710" s="83"/>
      <c r="K5710" s="82"/>
      <c r="M5710" s="112"/>
      <c r="N5710" s="84"/>
    </row>
    <row r="5711" spans="1:14" s="2" customFormat="1">
      <c r="A5711" s="83"/>
      <c r="H5711" s="83"/>
      <c r="K5711" s="82"/>
      <c r="M5711" s="112"/>
      <c r="N5711" s="84"/>
    </row>
    <row r="5712" spans="1:14" s="2" customFormat="1">
      <c r="A5712" s="83"/>
      <c r="H5712" s="83"/>
      <c r="K5712" s="82"/>
      <c r="M5712" s="112"/>
      <c r="N5712" s="84"/>
    </row>
    <row r="5713" spans="1:14" s="2" customFormat="1">
      <c r="A5713" s="83"/>
      <c r="H5713" s="83"/>
      <c r="K5713" s="82"/>
      <c r="M5713" s="112"/>
      <c r="N5713" s="84"/>
    </row>
    <row r="5714" spans="1:14" s="2" customFormat="1">
      <c r="A5714" s="83"/>
      <c r="H5714" s="83"/>
      <c r="K5714" s="82"/>
      <c r="M5714" s="112"/>
      <c r="N5714" s="84"/>
    </row>
    <row r="5715" spans="1:14" s="2" customFormat="1">
      <c r="A5715" s="83"/>
      <c r="H5715" s="83"/>
      <c r="K5715" s="82"/>
      <c r="M5715" s="112"/>
      <c r="N5715" s="84"/>
    </row>
    <row r="5716" spans="1:14" s="2" customFormat="1">
      <c r="A5716" s="83"/>
      <c r="H5716" s="83"/>
      <c r="K5716" s="82"/>
      <c r="M5716" s="112"/>
      <c r="N5716" s="84"/>
    </row>
    <row r="5717" spans="1:14" s="2" customFormat="1">
      <c r="A5717" s="83"/>
      <c r="H5717" s="83"/>
      <c r="K5717" s="82"/>
      <c r="M5717" s="112"/>
      <c r="N5717" s="84"/>
    </row>
    <row r="5718" spans="1:14" s="2" customFormat="1">
      <c r="A5718" s="83"/>
      <c r="H5718" s="83"/>
      <c r="K5718" s="82"/>
      <c r="M5718" s="112"/>
      <c r="N5718" s="84"/>
    </row>
    <row r="5719" spans="1:14" s="2" customFormat="1">
      <c r="A5719" s="83"/>
      <c r="H5719" s="83"/>
      <c r="K5719" s="82"/>
      <c r="M5719" s="112"/>
      <c r="N5719" s="84"/>
    </row>
    <row r="5720" spans="1:14" s="2" customFormat="1">
      <c r="A5720" s="83"/>
      <c r="H5720" s="83"/>
      <c r="K5720" s="82"/>
      <c r="M5720" s="112"/>
      <c r="N5720" s="84"/>
    </row>
    <row r="5721" spans="1:14" s="2" customFormat="1">
      <c r="A5721" s="83"/>
      <c r="H5721" s="83"/>
      <c r="K5721" s="82"/>
      <c r="M5721" s="112"/>
      <c r="N5721" s="84"/>
    </row>
    <row r="5722" spans="1:14" s="2" customFormat="1">
      <c r="A5722" s="83"/>
      <c r="H5722" s="83"/>
      <c r="K5722" s="82"/>
      <c r="M5722" s="112"/>
      <c r="N5722" s="84"/>
    </row>
    <row r="5723" spans="1:14" s="2" customFormat="1">
      <c r="A5723" s="83"/>
      <c r="H5723" s="83"/>
      <c r="K5723" s="82"/>
      <c r="M5723" s="112"/>
      <c r="N5723" s="84"/>
    </row>
    <row r="5724" spans="1:14" s="2" customFormat="1">
      <c r="A5724" s="83"/>
      <c r="H5724" s="83"/>
      <c r="K5724" s="82"/>
      <c r="M5724" s="112"/>
      <c r="N5724" s="84"/>
    </row>
    <row r="5725" spans="1:14" s="2" customFormat="1">
      <c r="A5725" s="83"/>
      <c r="H5725" s="83"/>
      <c r="K5725" s="82"/>
      <c r="M5725" s="112"/>
      <c r="N5725" s="84"/>
    </row>
    <row r="5726" spans="1:14" s="2" customFormat="1">
      <c r="A5726" s="83"/>
      <c r="H5726" s="83"/>
      <c r="K5726" s="82"/>
      <c r="M5726" s="112"/>
      <c r="N5726" s="84"/>
    </row>
    <row r="5727" spans="1:14" s="2" customFormat="1">
      <c r="A5727" s="83"/>
      <c r="H5727" s="83"/>
      <c r="K5727" s="82"/>
      <c r="M5727" s="112"/>
      <c r="N5727" s="84"/>
    </row>
    <row r="5728" spans="1:14" s="2" customFormat="1">
      <c r="A5728" s="83"/>
      <c r="H5728" s="83"/>
      <c r="K5728" s="82"/>
      <c r="M5728" s="112"/>
      <c r="N5728" s="84"/>
    </row>
    <row r="5729" spans="1:14" s="2" customFormat="1">
      <c r="A5729" s="83"/>
      <c r="H5729" s="83"/>
      <c r="K5729" s="82"/>
      <c r="M5729" s="112"/>
      <c r="N5729" s="84"/>
    </row>
    <row r="5730" spans="1:14" s="2" customFormat="1">
      <c r="A5730" s="83"/>
      <c r="H5730" s="83"/>
      <c r="K5730" s="82"/>
      <c r="M5730" s="112"/>
      <c r="N5730" s="84"/>
    </row>
    <row r="5731" spans="1:14" s="2" customFormat="1">
      <c r="A5731" s="83"/>
      <c r="H5731" s="83"/>
      <c r="K5731" s="82"/>
      <c r="M5731" s="112"/>
      <c r="N5731" s="84"/>
    </row>
    <row r="5732" spans="1:14" s="2" customFormat="1">
      <c r="A5732" s="83"/>
      <c r="H5732" s="83"/>
      <c r="K5732" s="82"/>
      <c r="M5732" s="112"/>
      <c r="N5732" s="84"/>
    </row>
    <row r="5733" spans="1:14" s="2" customFormat="1">
      <c r="A5733" s="83"/>
      <c r="H5733" s="83"/>
      <c r="K5733" s="82"/>
      <c r="M5733" s="112"/>
      <c r="N5733" s="84"/>
    </row>
    <row r="5734" spans="1:14" s="2" customFormat="1">
      <c r="A5734" s="83"/>
      <c r="H5734" s="83"/>
      <c r="K5734" s="82"/>
      <c r="M5734" s="112"/>
      <c r="N5734" s="84"/>
    </row>
    <row r="5735" spans="1:14" s="2" customFormat="1">
      <c r="A5735" s="83"/>
      <c r="H5735" s="83"/>
      <c r="K5735" s="82"/>
      <c r="M5735" s="112"/>
      <c r="N5735" s="84"/>
    </row>
    <row r="5736" spans="1:14" s="2" customFormat="1">
      <c r="A5736" s="83"/>
      <c r="H5736" s="83"/>
      <c r="K5736" s="82"/>
      <c r="M5736" s="112"/>
      <c r="N5736" s="84"/>
    </row>
    <row r="5737" spans="1:14" s="2" customFormat="1">
      <c r="A5737" s="83"/>
      <c r="H5737" s="83"/>
      <c r="K5737" s="82"/>
      <c r="M5737" s="112"/>
      <c r="N5737" s="84"/>
    </row>
    <row r="5738" spans="1:14" s="2" customFormat="1">
      <c r="A5738" s="83"/>
      <c r="H5738" s="83"/>
      <c r="K5738" s="82"/>
      <c r="M5738" s="112"/>
      <c r="N5738" s="84"/>
    </row>
    <row r="5739" spans="1:14" s="2" customFormat="1">
      <c r="A5739" s="83"/>
      <c r="H5739" s="83"/>
      <c r="K5739" s="82"/>
      <c r="M5739" s="112"/>
      <c r="N5739" s="84"/>
    </row>
    <row r="5740" spans="1:14" s="2" customFormat="1">
      <c r="A5740" s="83"/>
      <c r="H5740" s="83"/>
      <c r="K5740" s="82"/>
      <c r="M5740" s="112"/>
      <c r="N5740" s="84"/>
    </row>
    <row r="5741" spans="1:14" s="2" customFormat="1">
      <c r="A5741" s="83"/>
      <c r="H5741" s="83"/>
      <c r="K5741" s="82"/>
      <c r="M5741" s="112"/>
      <c r="N5741" s="84"/>
    </row>
    <row r="5742" spans="1:14" s="2" customFormat="1">
      <c r="A5742" s="83"/>
      <c r="H5742" s="83"/>
      <c r="K5742" s="82"/>
      <c r="M5742" s="112"/>
      <c r="N5742" s="84"/>
    </row>
    <row r="5743" spans="1:14" s="2" customFormat="1">
      <c r="A5743" s="83"/>
      <c r="H5743" s="83"/>
      <c r="K5743" s="82"/>
      <c r="M5743" s="112"/>
      <c r="N5743" s="84"/>
    </row>
    <row r="5744" spans="1:14" s="2" customFormat="1">
      <c r="A5744" s="83"/>
      <c r="H5744" s="83"/>
      <c r="K5744" s="82"/>
      <c r="M5744" s="112"/>
      <c r="N5744" s="84"/>
    </row>
    <row r="5745" spans="1:14" s="2" customFormat="1">
      <c r="A5745" s="83"/>
      <c r="H5745" s="83"/>
      <c r="K5745" s="82"/>
      <c r="M5745" s="112"/>
      <c r="N5745" s="84"/>
    </row>
    <row r="5746" spans="1:14" s="2" customFormat="1">
      <c r="A5746" s="83"/>
      <c r="H5746" s="83"/>
      <c r="K5746" s="82"/>
      <c r="M5746" s="112"/>
      <c r="N5746" s="84"/>
    </row>
    <row r="5747" spans="1:14" s="2" customFormat="1">
      <c r="A5747" s="83"/>
      <c r="H5747" s="83"/>
      <c r="K5747" s="82"/>
      <c r="M5747" s="112"/>
      <c r="N5747" s="84"/>
    </row>
    <row r="5748" spans="1:14" s="2" customFormat="1">
      <c r="A5748" s="83"/>
      <c r="H5748" s="83"/>
      <c r="K5748" s="82"/>
      <c r="M5748" s="112"/>
      <c r="N5748" s="84"/>
    </row>
    <row r="5749" spans="1:14" s="2" customFormat="1">
      <c r="A5749" s="83"/>
      <c r="H5749" s="83"/>
      <c r="K5749" s="82"/>
      <c r="M5749" s="112"/>
      <c r="N5749" s="84"/>
    </row>
    <row r="5750" spans="1:14" s="2" customFormat="1">
      <c r="A5750" s="83"/>
      <c r="H5750" s="83"/>
      <c r="K5750" s="82"/>
      <c r="M5750" s="112"/>
      <c r="N5750" s="84"/>
    </row>
    <row r="5751" spans="1:14" s="2" customFormat="1">
      <c r="A5751" s="83"/>
      <c r="H5751" s="83"/>
      <c r="K5751" s="82"/>
      <c r="M5751" s="112"/>
      <c r="N5751" s="84"/>
    </row>
    <row r="5752" spans="1:14" s="2" customFormat="1">
      <c r="A5752" s="83"/>
      <c r="H5752" s="83"/>
      <c r="K5752" s="82"/>
      <c r="M5752" s="112"/>
      <c r="N5752" s="84"/>
    </row>
    <row r="5753" spans="1:14" s="2" customFormat="1">
      <c r="A5753" s="83"/>
      <c r="H5753" s="83"/>
      <c r="K5753" s="82"/>
      <c r="M5753" s="112"/>
      <c r="N5753" s="84"/>
    </row>
    <row r="5754" spans="1:14" s="2" customFormat="1">
      <c r="A5754" s="83"/>
      <c r="H5754" s="83"/>
      <c r="K5754" s="82"/>
      <c r="M5754" s="112"/>
      <c r="N5754" s="84"/>
    </row>
    <row r="5755" spans="1:14" s="2" customFormat="1">
      <c r="A5755" s="83"/>
      <c r="H5755" s="83"/>
      <c r="K5755" s="82"/>
      <c r="M5755" s="112"/>
      <c r="N5755" s="84"/>
    </row>
    <row r="5756" spans="1:14" s="2" customFormat="1">
      <c r="A5756" s="83"/>
      <c r="H5756" s="83"/>
      <c r="K5756" s="82"/>
      <c r="M5756" s="112"/>
      <c r="N5756" s="84"/>
    </row>
    <row r="5757" spans="1:14" s="2" customFormat="1">
      <c r="A5757" s="83"/>
      <c r="H5757" s="83"/>
      <c r="K5757" s="82"/>
      <c r="M5757" s="112"/>
      <c r="N5757" s="84"/>
    </row>
    <row r="5758" spans="1:14" s="2" customFormat="1">
      <c r="A5758" s="83"/>
      <c r="H5758" s="83"/>
      <c r="K5758" s="82"/>
      <c r="M5758" s="112"/>
      <c r="N5758" s="84"/>
    </row>
    <row r="5759" spans="1:14" s="2" customFormat="1">
      <c r="A5759" s="83"/>
      <c r="H5759" s="83"/>
      <c r="K5759" s="82"/>
      <c r="M5759" s="112"/>
      <c r="N5759" s="84"/>
    </row>
    <row r="5760" spans="1:14" s="2" customFormat="1">
      <c r="A5760" s="83"/>
      <c r="H5760" s="83"/>
      <c r="K5760" s="82"/>
      <c r="M5760" s="112"/>
      <c r="N5760" s="84"/>
    </row>
    <row r="5761" spans="1:14" s="2" customFormat="1">
      <c r="A5761" s="83"/>
      <c r="H5761" s="83"/>
      <c r="K5761" s="82"/>
      <c r="M5761" s="112"/>
      <c r="N5761" s="84"/>
    </row>
    <row r="5762" spans="1:14" s="2" customFormat="1">
      <c r="A5762" s="83"/>
      <c r="H5762" s="83"/>
      <c r="K5762" s="82"/>
      <c r="M5762" s="112"/>
      <c r="N5762" s="84"/>
    </row>
    <row r="5763" spans="1:14" s="2" customFormat="1">
      <c r="A5763" s="83"/>
      <c r="H5763" s="83"/>
      <c r="K5763" s="82"/>
      <c r="M5763" s="112"/>
      <c r="N5763" s="84"/>
    </row>
    <row r="5764" spans="1:14" s="2" customFormat="1">
      <c r="A5764" s="83"/>
      <c r="H5764" s="83"/>
      <c r="K5764" s="82"/>
      <c r="M5764" s="112"/>
      <c r="N5764" s="84"/>
    </row>
    <row r="5765" spans="1:14" s="2" customFormat="1">
      <c r="A5765" s="83"/>
      <c r="H5765" s="83"/>
      <c r="K5765" s="82"/>
      <c r="M5765" s="112"/>
      <c r="N5765" s="84"/>
    </row>
    <row r="5766" spans="1:14" s="2" customFormat="1">
      <c r="A5766" s="83"/>
      <c r="H5766" s="83"/>
      <c r="K5766" s="82"/>
      <c r="M5766" s="112"/>
      <c r="N5766" s="84"/>
    </row>
    <row r="5767" spans="1:14" s="2" customFormat="1">
      <c r="A5767" s="83"/>
      <c r="H5767" s="83"/>
      <c r="K5767" s="82"/>
      <c r="M5767" s="112"/>
      <c r="N5767" s="84"/>
    </row>
    <row r="5768" spans="1:14" s="2" customFormat="1">
      <c r="A5768" s="83"/>
      <c r="H5768" s="83"/>
      <c r="K5768" s="82"/>
      <c r="M5768" s="112"/>
      <c r="N5768" s="84"/>
    </row>
    <row r="5769" spans="1:14" s="2" customFormat="1">
      <c r="A5769" s="83"/>
      <c r="H5769" s="83"/>
      <c r="K5769" s="82"/>
      <c r="M5769" s="112"/>
      <c r="N5769" s="84"/>
    </row>
    <row r="5770" spans="1:14" s="2" customFormat="1">
      <c r="A5770" s="83"/>
      <c r="H5770" s="83"/>
      <c r="K5770" s="82"/>
      <c r="M5770" s="112"/>
      <c r="N5770" s="84"/>
    </row>
    <row r="5771" spans="1:14" s="2" customFormat="1">
      <c r="A5771" s="83"/>
      <c r="H5771" s="83"/>
      <c r="K5771" s="82"/>
      <c r="M5771" s="112"/>
      <c r="N5771" s="84"/>
    </row>
    <row r="5772" spans="1:14" s="2" customFormat="1">
      <c r="A5772" s="83"/>
      <c r="H5772" s="83"/>
      <c r="K5772" s="82"/>
      <c r="M5772" s="112"/>
      <c r="N5772" s="84"/>
    </row>
    <row r="5773" spans="1:14" s="2" customFormat="1">
      <c r="A5773" s="83"/>
      <c r="H5773" s="83"/>
      <c r="K5773" s="82"/>
      <c r="M5773" s="112"/>
      <c r="N5773" s="84"/>
    </row>
    <row r="5774" spans="1:14" s="2" customFormat="1">
      <c r="A5774" s="83"/>
      <c r="H5774" s="83"/>
      <c r="K5774" s="82"/>
      <c r="M5774" s="112"/>
      <c r="N5774" s="84"/>
    </row>
    <row r="5775" spans="1:14" s="2" customFormat="1">
      <c r="A5775" s="83"/>
      <c r="H5775" s="83"/>
      <c r="K5775" s="82"/>
      <c r="M5775" s="112"/>
      <c r="N5775" s="84"/>
    </row>
    <row r="5776" spans="1:14" s="2" customFormat="1">
      <c r="A5776" s="83"/>
      <c r="H5776" s="83"/>
      <c r="K5776" s="82"/>
      <c r="M5776" s="112"/>
      <c r="N5776" s="84"/>
    </row>
    <row r="5777" spans="1:14" s="2" customFormat="1">
      <c r="A5777" s="83"/>
      <c r="H5777" s="83"/>
      <c r="K5777" s="82"/>
      <c r="M5777" s="112"/>
      <c r="N5777" s="84"/>
    </row>
    <row r="5778" spans="1:14" s="2" customFormat="1">
      <c r="A5778" s="83"/>
      <c r="H5778" s="83"/>
      <c r="K5778" s="82"/>
      <c r="M5778" s="112"/>
      <c r="N5778" s="84"/>
    </row>
    <row r="5779" spans="1:14" s="2" customFormat="1">
      <c r="A5779" s="83"/>
      <c r="H5779" s="83"/>
      <c r="K5779" s="82"/>
      <c r="M5779" s="112"/>
      <c r="N5779" s="84"/>
    </row>
    <row r="5780" spans="1:14" s="2" customFormat="1">
      <c r="A5780" s="83"/>
      <c r="H5780" s="83"/>
      <c r="K5780" s="82"/>
      <c r="M5780" s="112"/>
      <c r="N5780" s="84"/>
    </row>
    <row r="5781" spans="1:14" s="2" customFormat="1">
      <c r="A5781" s="83"/>
      <c r="H5781" s="83"/>
      <c r="K5781" s="82"/>
      <c r="M5781" s="112"/>
      <c r="N5781" s="84"/>
    </row>
    <row r="5782" spans="1:14" s="2" customFormat="1">
      <c r="A5782" s="83"/>
      <c r="H5782" s="83"/>
      <c r="K5782" s="82"/>
      <c r="M5782" s="112"/>
      <c r="N5782" s="84"/>
    </row>
    <row r="5783" spans="1:14" s="2" customFormat="1">
      <c r="A5783" s="83"/>
      <c r="H5783" s="83"/>
      <c r="K5783" s="82"/>
      <c r="M5783" s="112"/>
      <c r="N5783" s="84"/>
    </row>
    <row r="5784" spans="1:14" s="2" customFormat="1">
      <c r="A5784" s="83"/>
      <c r="H5784" s="83"/>
      <c r="K5784" s="82"/>
      <c r="M5784" s="112"/>
      <c r="N5784" s="84"/>
    </row>
    <row r="5785" spans="1:14" s="2" customFormat="1">
      <c r="A5785" s="83"/>
      <c r="H5785" s="83"/>
      <c r="K5785" s="82"/>
      <c r="M5785" s="112"/>
      <c r="N5785" s="84"/>
    </row>
    <row r="5786" spans="1:14" s="2" customFormat="1">
      <c r="A5786" s="83"/>
      <c r="H5786" s="83"/>
      <c r="K5786" s="82"/>
      <c r="M5786" s="112"/>
      <c r="N5786" s="84"/>
    </row>
    <row r="5787" spans="1:14" s="2" customFormat="1">
      <c r="A5787" s="83"/>
      <c r="H5787" s="83"/>
      <c r="K5787" s="82"/>
      <c r="M5787" s="112"/>
      <c r="N5787" s="84"/>
    </row>
    <row r="5788" spans="1:14" s="2" customFormat="1">
      <c r="A5788" s="83"/>
      <c r="H5788" s="83"/>
      <c r="K5788" s="82"/>
      <c r="M5788" s="112"/>
      <c r="N5788" s="84"/>
    </row>
    <row r="5789" spans="1:14" s="2" customFormat="1">
      <c r="A5789" s="83"/>
      <c r="H5789" s="83"/>
      <c r="K5789" s="82"/>
      <c r="M5789" s="112"/>
      <c r="N5789" s="84"/>
    </row>
    <row r="5790" spans="1:14" s="2" customFormat="1">
      <c r="A5790" s="83"/>
      <c r="H5790" s="83"/>
      <c r="K5790" s="82"/>
      <c r="M5790" s="112"/>
      <c r="N5790" s="84"/>
    </row>
    <row r="5791" spans="1:14" s="2" customFormat="1">
      <c r="A5791" s="83"/>
      <c r="H5791" s="83"/>
      <c r="K5791" s="82"/>
      <c r="M5791" s="112"/>
      <c r="N5791" s="84"/>
    </row>
    <row r="5792" spans="1:14" s="2" customFormat="1">
      <c r="A5792" s="83"/>
      <c r="H5792" s="83"/>
      <c r="K5792" s="82"/>
      <c r="M5792" s="112"/>
      <c r="N5792" s="84"/>
    </row>
    <row r="5793" spans="1:14" s="2" customFormat="1">
      <c r="A5793" s="83"/>
      <c r="H5793" s="83"/>
      <c r="K5793" s="82"/>
      <c r="M5793" s="112"/>
      <c r="N5793" s="84"/>
    </row>
    <row r="5794" spans="1:14" s="2" customFormat="1">
      <c r="A5794" s="83"/>
      <c r="H5794" s="83"/>
      <c r="K5794" s="82"/>
      <c r="M5794" s="112"/>
      <c r="N5794" s="84"/>
    </row>
    <row r="5795" spans="1:14" s="2" customFormat="1">
      <c r="A5795" s="83"/>
      <c r="H5795" s="83"/>
      <c r="K5795" s="82"/>
      <c r="M5795" s="112"/>
      <c r="N5795" s="84"/>
    </row>
    <row r="5796" spans="1:14" s="2" customFormat="1">
      <c r="A5796" s="83"/>
      <c r="H5796" s="83"/>
      <c r="K5796" s="82"/>
      <c r="M5796" s="112"/>
      <c r="N5796" s="84"/>
    </row>
    <row r="5797" spans="1:14" s="2" customFormat="1">
      <c r="A5797" s="83"/>
      <c r="H5797" s="83"/>
      <c r="K5797" s="82"/>
      <c r="M5797" s="112"/>
      <c r="N5797" s="84"/>
    </row>
    <row r="5798" spans="1:14" s="2" customFormat="1">
      <c r="A5798" s="83"/>
      <c r="H5798" s="83"/>
      <c r="K5798" s="82"/>
      <c r="M5798" s="112"/>
      <c r="N5798" s="84"/>
    </row>
    <row r="5799" spans="1:14" s="2" customFormat="1">
      <c r="A5799" s="83"/>
      <c r="H5799" s="83"/>
      <c r="K5799" s="82"/>
      <c r="M5799" s="112"/>
      <c r="N5799" s="84"/>
    </row>
    <row r="5800" spans="1:14" s="2" customFormat="1">
      <c r="A5800" s="83"/>
      <c r="H5800" s="83"/>
      <c r="K5800" s="82"/>
      <c r="M5800" s="112"/>
      <c r="N5800" s="84"/>
    </row>
    <row r="5801" spans="1:14" s="2" customFormat="1">
      <c r="A5801" s="83"/>
      <c r="H5801" s="83"/>
      <c r="K5801" s="82"/>
      <c r="M5801" s="112"/>
      <c r="N5801" s="84"/>
    </row>
    <row r="5802" spans="1:14" s="2" customFormat="1">
      <c r="A5802" s="83"/>
      <c r="H5802" s="83"/>
      <c r="K5802" s="82"/>
      <c r="M5802" s="112"/>
      <c r="N5802" s="84"/>
    </row>
    <row r="5803" spans="1:14" s="2" customFormat="1">
      <c r="A5803" s="83"/>
      <c r="H5803" s="83"/>
      <c r="K5803" s="82"/>
      <c r="M5803" s="112"/>
      <c r="N5803" s="84"/>
    </row>
    <row r="5804" spans="1:14" s="2" customFormat="1">
      <c r="A5804" s="83"/>
      <c r="H5804" s="83"/>
      <c r="K5804" s="82"/>
      <c r="M5804" s="112"/>
      <c r="N5804" s="84"/>
    </row>
    <row r="5805" spans="1:14" s="2" customFormat="1">
      <c r="A5805" s="83"/>
      <c r="H5805" s="83"/>
      <c r="K5805" s="82"/>
      <c r="M5805" s="112"/>
      <c r="N5805" s="84"/>
    </row>
    <row r="5806" spans="1:14" s="2" customFormat="1">
      <c r="A5806" s="83"/>
      <c r="H5806" s="83"/>
      <c r="K5806" s="82"/>
      <c r="M5806" s="112"/>
      <c r="N5806" s="84"/>
    </row>
    <row r="5807" spans="1:14" s="2" customFormat="1">
      <c r="A5807" s="83"/>
      <c r="H5807" s="83"/>
      <c r="K5807" s="82"/>
      <c r="M5807" s="112"/>
      <c r="N5807" s="84"/>
    </row>
    <row r="5808" spans="1:14" s="2" customFormat="1">
      <c r="A5808" s="83"/>
      <c r="H5808" s="83"/>
      <c r="K5808" s="82"/>
      <c r="M5808" s="112"/>
      <c r="N5808" s="84"/>
    </row>
    <row r="5809" spans="1:14" s="2" customFormat="1">
      <c r="A5809" s="83"/>
      <c r="H5809" s="83"/>
      <c r="K5809" s="82"/>
      <c r="M5809" s="112"/>
      <c r="N5809" s="84"/>
    </row>
    <row r="5810" spans="1:14" s="2" customFormat="1">
      <c r="A5810" s="83"/>
      <c r="H5810" s="83"/>
      <c r="K5810" s="82"/>
      <c r="M5810" s="112"/>
      <c r="N5810" s="84"/>
    </row>
    <row r="5811" spans="1:14" s="2" customFormat="1">
      <c r="A5811" s="83"/>
      <c r="H5811" s="83"/>
      <c r="K5811" s="82"/>
      <c r="M5811" s="112"/>
      <c r="N5811" s="84"/>
    </row>
    <row r="5812" spans="1:14" s="2" customFormat="1">
      <c r="A5812" s="83"/>
      <c r="H5812" s="83"/>
      <c r="K5812" s="82"/>
      <c r="M5812" s="112"/>
      <c r="N5812" s="84"/>
    </row>
    <row r="5813" spans="1:14" s="2" customFormat="1">
      <c r="A5813" s="83"/>
      <c r="H5813" s="83"/>
      <c r="K5813" s="82"/>
      <c r="M5813" s="112"/>
      <c r="N5813" s="84"/>
    </row>
    <row r="5814" spans="1:14" s="2" customFormat="1">
      <c r="A5814" s="83"/>
      <c r="H5814" s="83"/>
      <c r="K5814" s="82"/>
      <c r="M5814" s="112"/>
      <c r="N5814" s="84"/>
    </row>
    <row r="5815" spans="1:14" s="2" customFormat="1">
      <c r="A5815" s="83"/>
      <c r="H5815" s="83"/>
      <c r="K5815" s="82"/>
      <c r="M5815" s="112"/>
      <c r="N5815" s="84"/>
    </row>
    <row r="5816" spans="1:14" s="2" customFormat="1">
      <c r="A5816" s="83"/>
      <c r="H5816" s="83"/>
      <c r="K5816" s="82"/>
      <c r="M5816" s="112"/>
      <c r="N5816" s="84"/>
    </row>
    <row r="5817" spans="1:14" s="2" customFormat="1">
      <c r="A5817" s="83"/>
      <c r="H5817" s="83"/>
      <c r="K5817" s="82"/>
      <c r="M5817" s="112"/>
      <c r="N5817" s="84"/>
    </row>
    <row r="5818" spans="1:14" s="2" customFormat="1">
      <c r="A5818" s="83"/>
      <c r="H5818" s="83"/>
      <c r="K5818" s="82"/>
      <c r="M5818" s="112"/>
      <c r="N5818" s="84"/>
    </row>
    <row r="5819" spans="1:14" s="2" customFormat="1">
      <c r="A5819" s="83"/>
      <c r="H5819" s="83"/>
      <c r="K5819" s="82"/>
      <c r="M5819" s="112"/>
      <c r="N5819" s="84"/>
    </row>
    <row r="5820" spans="1:14" s="2" customFormat="1">
      <c r="A5820" s="83"/>
      <c r="H5820" s="83"/>
      <c r="K5820" s="82"/>
      <c r="M5820" s="112"/>
      <c r="N5820" s="84"/>
    </row>
    <row r="5821" spans="1:14" s="2" customFormat="1">
      <c r="A5821" s="83"/>
      <c r="H5821" s="83"/>
      <c r="K5821" s="82"/>
      <c r="M5821" s="112"/>
      <c r="N5821" s="84"/>
    </row>
    <row r="5822" spans="1:14" s="2" customFormat="1">
      <c r="A5822" s="83"/>
      <c r="H5822" s="83"/>
      <c r="K5822" s="82"/>
      <c r="M5822" s="112"/>
      <c r="N5822" s="84"/>
    </row>
    <row r="5823" spans="1:14" s="2" customFormat="1">
      <c r="A5823" s="83"/>
      <c r="H5823" s="83"/>
      <c r="K5823" s="82"/>
      <c r="M5823" s="112"/>
      <c r="N5823" s="84"/>
    </row>
    <row r="5824" spans="1:14" s="2" customFormat="1">
      <c r="A5824" s="83"/>
      <c r="H5824" s="83"/>
      <c r="K5824" s="82"/>
      <c r="M5824" s="112"/>
      <c r="N5824" s="84"/>
    </row>
    <row r="5825" spans="1:14" s="2" customFormat="1">
      <c r="A5825" s="83"/>
      <c r="H5825" s="83"/>
      <c r="K5825" s="82"/>
      <c r="M5825" s="112"/>
      <c r="N5825" s="84"/>
    </row>
    <row r="5826" spans="1:14" s="2" customFormat="1">
      <c r="A5826" s="83"/>
      <c r="H5826" s="83"/>
      <c r="K5826" s="82"/>
      <c r="M5826" s="112"/>
      <c r="N5826" s="84"/>
    </row>
    <row r="5827" spans="1:14" s="2" customFormat="1">
      <c r="A5827" s="83"/>
      <c r="H5827" s="83"/>
      <c r="K5827" s="82"/>
      <c r="M5827" s="112"/>
      <c r="N5827" s="84"/>
    </row>
    <row r="5828" spans="1:14" s="2" customFormat="1">
      <c r="A5828" s="83"/>
      <c r="H5828" s="83"/>
      <c r="K5828" s="82"/>
      <c r="M5828" s="112"/>
      <c r="N5828" s="84"/>
    </row>
    <row r="5829" spans="1:14" s="2" customFormat="1">
      <c r="A5829" s="83"/>
      <c r="H5829" s="83"/>
      <c r="K5829" s="82"/>
      <c r="M5829" s="112"/>
      <c r="N5829" s="84"/>
    </row>
    <row r="5830" spans="1:14" s="2" customFormat="1">
      <c r="A5830" s="83"/>
      <c r="H5830" s="83"/>
      <c r="K5830" s="82"/>
      <c r="M5830" s="112"/>
      <c r="N5830" s="84"/>
    </row>
    <row r="5831" spans="1:14" s="2" customFormat="1">
      <c r="A5831" s="83"/>
      <c r="H5831" s="83"/>
      <c r="K5831" s="82"/>
      <c r="M5831" s="112"/>
      <c r="N5831" s="84"/>
    </row>
    <row r="5832" spans="1:14" s="2" customFormat="1">
      <c r="A5832" s="83"/>
      <c r="H5832" s="83"/>
      <c r="K5832" s="82"/>
      <c r="M5832" s="112"/>
      <c r="N5832" s="84"/>
    </row>
    <row r="5833" spans="1:14" s="2" customFormat="1">
      <c r="A5833" s="83"/>
      <c r="H5833" s="83"/>
      <c r="K5833" s="82"/>
      <c r="M5833" s="112"/>
      <c r="N5833" s="84"/>
    </row>
    <row r="5834" spans="1:14" s="2" customFormat="1">
      <c r="A5834" s="83"/>
      <c r="H5834" s="83"/>
      <c r="K5834" s="82"/>
      <c r="M5834" s="112"/>
      <c r="N5834" s="84"/>
    </row>
    <row r="5835" spans="1:14" s="2" customFormat="1">
      <c r="A5835" s="83"/>
      <c r="H5835" s="83"/>
      <c r="K5835" s="82"/>
      <c r="M5835" s="112"/>
      <c r="N5835" s="84"/>
    </row>
    <row r="5836" spans="1:14" s="2" customFormat="1">
      <c r="A5836" s="83"/>
      <c r="H5836" s="83"/>
      <c r="K5836" s="82"/>
      <c r="M5836" s="112"/>
      <c r="N5836" s="84"/>
    </row>
    <row r="5837" spans="1:14" s="2" customFormat="1">
      <c r="A5837" s="83"/>
      <c r="H5837" s="83"/>
      <c r="K5837" s="82"/>
      <c r="M5837" s="112"/>
      <c r="N5837" s="84"/>
    </row>
    <row r="5838" spans="1:14" s="2" customFormat="1">
      <c r="A5838" s="83"/>
      <c r="H5838" s="83"/>
      <c r="K5838" s="82"/>
      <c r="M5838" s="112"/>
      <c r="N5838" s="84"/>
    </row>
    <row r="5839" spans="1:14" s="2" customFormat="1">
      <c r="A5839" s="83"/>
      <c r="H5839" s="83"/>
      <c r="K5839" s="82"/>
      <c r="M5839" s="112"/>
      <c r="N5839" s="84"/>
    </row>
    <row r="5840" spans="1:14" s="2" customFormat="1">
      <c r="A5840" s="83"/>
      <c r="H5840" s="83"/>
      <c r="K5840" s="82"/>
      <c r="M5840" s="112"/>
      <c r="N5840" s="84"/>
    </row>
    <row r="5841" spans="1:14" s="2" customFormat="1">
      <c r="A5841" s="83"/>
      <c r="H5841" s="83"/>
      <c r="K5841" s="82"/>
      <c r="M5841" s="112"/>
      <c r="N5841" s="84"/>
    </row>
    <row r="5842" spans="1:14" s="2" customFormat="1">
      <c r="A5842" s="83"/>
      <c r="H5842" s="83"/>
      <c r="K5842" s="82"/>
      <c r="M5842" s="112"/>
      <c r="N5842" s="84"/>
    </row>
    <row r="5843" spans="1:14" s="2" customFormat="1">
      <c r="A5843" s="83"/>
      <c r="H5843" s="83"/>
      <c r="K5843" s="82"/>
      <c r="M5843" s="112"/>
      <c r="N5843" s="84"/>
    </row>
    <row r="5844" spans="1:14" s="2" customFormat="1">
      <c r="A5844" s="83"/>
      <c r="H5844" s="83"/>
      <c r="K5844" s="82"/>
      <c r="M5844" s="112"/>
      <c r="N5844" s="84"/>
    </row>
    <row r="5845" spans="1:14" s="2" customFormat="1">
      <c r="A5845" s="83"/>
      <c r="H5845" s="83"/>
      <c r="K5845" s="82"/>
      <c r="M5845" s="112"/>
      <c r="N5845" s="84"/>
    </row>
    <row r="5846" spans="1:14" s="2" customFormat="1">
      <c r="A5846" s="83"/>
      <c r="H5846" s="83"/>
      <c r="K5846" s="82"/>
      <c r="M5846" s="112"/>
      <c r="N5846" s="84"/>
    </row>
    <row r="5847" spans="1:14" s="2" customFormat="1">
      <c r="A5847" s="83"/>
      <c r="H5847" s="83"/>
      <c r="K5847" s="82"/>
      <c r="M5847" s="112"/>
      <c r="N5847" s="84"/>
    </row>
    <row r="5848" spans="1:14" s="2" customFormat="1">
      <c r="A5848" s="83"/>
      <c r="H5848" s="83"/>
      <c r="K5848" s="82"/>
      <c r="M5848" s="112"/>
      <c r="N5848" s="84"/>
    </row>
    <row r="5849" spans="1:14" s="2" customFormat="1">
      <c r="A5849" s="83"/>
      <c r="H5849" s="83"/>
      <c r="K5849" s="82"/>
      <c r="M5849" s="112"/>
      <c r="N5849" s="84"/>
    </row>
    <row r="5850" spans="1:14" s="2" customFormat="1">
      <c r="A5850" s="83"/>
      <c r="H5850" s="83"/>
      <c r="K5850" s="82"/>
      <c r="M5850" s="112"/>
      <c r="N5850" s="84"/>
    </row>
    <row r="5851" spans="1:14" s="2" customFormat="1">
      <c r="A5851" s="83"/>
      <c r="H5851" s="83"/>
      <c r="K5851" s="82"/>
      <c r="M5851" s="112"/>
      <c r="N5851" s="84"/>
    </row>
    <row r="5852" spans="1:14" s="2" customFormat="1">
      <c r="A5852" s="83"/>
      <c r="H5852" s="83"/>
      <c r="K5852" s="82"/>
      <c r="M5852" s="112"/>
      <c r="N5852" s="84"/>
    </row>
    <row r="5853" spans="1:14" s="2" customFormat="1">
      <c r="A5853" s="83"/>
      <c r="H5853" s="83"/>
      <c r="K5853" s="82"/>
      <c r="M5853" s="112"/>
      <c r="N5853" s="84"/>
    </row>
    <row r="5854" spans="1:14" s="2" customFormat="1">
      <c r="A5854" s="83"/>
      <c r="H5854" s="83"/>
      <c r="K5854" s="82"/>
      <c r="M5854" s="112"/>
      <c r="N5854" s="84"/>
    </row>
    <row r="5855" spans="1:14" s="2" customFormat="1">
      <c r="A5855" s="83"/>
      <c r="H5855" s="83"/>
      <c r="K5855" s="82"/>
      <c r="M5855" s="112"/>
      <c r="N5855" s="84"/>
    </row>
    <row r="5856" spans="1:14" s="2" customFormat="1">
      <c r="A5856" s="83"/>
      <c r="H5856" s="83"/>
      <c r="K5856" s="82"/>
      <c r="M5856" s="112"/>
      <c r="N5856" s="84"/>
    </row>
    <row r="5857" spans="1:14" s="2" customFormat="1">
      <c r="A5857" s="83"/>
      <c r="H5857" s="83"/>
      <c r="K5857" s="82"/>
      <c r="M5857" s="112"/>
      <c r="N5857" s="84"/>
    </row>
    <row r="5858" spans="1:14" s="2" customFormat="1">
      <c r="A5858" s="83"/>
      <c r="H5858" s="83"/>
      <c r="K5858" s="82"/>
      <c r="M5858" s="112"/>
      <c r="N5858" s="84"/>
    </row>
    <row r="5859" spans="1:14" s="2" customFormat="1">
      <c r="A5859" s="83"/>
      <c r="H5859" s="83"/>
      <c r="K5859" s="82"/>
      <c r="M5859" s="112"/>
      <c r="N5859" s="84"/>
    </row>
    <row r="5860" spans="1:14" s="2" customFormat="1">
      <c r="A5860" s="83"/>
      <c r="H5860" s="83"/>
      <c r="K5860" s="82"/>
      <c r="M5860" s="112"/>
      <c r="N5860" s="84"/>
    </row>
    <row r="5861" spans="1:14" s="2" customFormat="1">
      <c r="A5861" s="83"/>
      <c r="H5861" s="83"/>
      <c r="K5861" s="82"/>
      <c r="M5861" s="112"/>
      <c r="N5861" s="84"/>
    </row>
    <row r="5862" spans="1:14" s="2" customFormat="1">
      <c r="A5862" s="83"/>
      <c r="H5862" s="83"/>
      <c r="K5862" s="82"/>
      <c r="M5862" s="112"/>
      <c r="N5862" s="84"/>
    </row>
    <row r="5863" spans="1:14" s="2" customFormat="1">
      <c r="A5863" s="83"/>
      <c r="H5863" s="83"/>
      <c r="K5863" s="82"/>
      <c r="M5863" s="112"/>
      <c r="N5863" s="84"/>
    </row>
    <row r="5864" spans="1:14" s="2" customFormat="1">
      <c r="A5864" s="83"/>
      <c r="H5864" s="83"/>
      <c r="K5864" s="82"/>
      <c r="M5864" s="112"/>
      <c r="N5864" s="84"/>
    </row>
    <row r="5865" spans="1:14" s="2" customFormat="1">
      <c r="A5865" s="83"/>
      <c r="H5865" s="83"/>
      <c r="K5865" s="82"/>
      <c r="M5865" s="112"/>
      <c r="N5865" s="84"/>
    </row>
    <row r="5866" spans="1:14" s="2" customFormat="1">
      <c r="A5866" s="83"/>
      <c r="H5866" s="83"/>
      <c r="K5866" s="82"/>
      <c r="M5866" s="112"/>
      <c r="N5866" s="84"/>
    </row>
    <row r="5867" spans="1:14" s="2" customFormat="1">
      <c r="A5867" s="83"/>
      <c r="H5867" s="83"/>
      <c r="K5867" s="82"/>
      <c r="M5867" s="112"/>
      <c r="N5867" s="84"/>
    </row>
    <row r="5868" spans="1:14" s="2" customFormat="1">
      <c r="A5868" s="83"/>
      <c r="H5868" s="83"/>
      <c r="K5868" s="82"/>
      <c r="M5868" s="112"/>
      <c r="N5868" s="84"/>
    </row>
    <row r="5869" spans="1:14" s="2" customFormat="1">
      <c r="A5869" s="83"/>
      <c r="H5869" s="83"/>
      <c r="K5869" s="82"/>
      <c r="M5869" s="112"/>
      <c r="N5869" s="84"/>
    </row>
    <row r="5870" spans="1:14" s="2" customFormat="1">
      <c r="A5870" s="83"/>
      <c r="H5870" s="83"/>
      <c r="K5870" s="82"/>
      <c r="M5870" s="112"/>
      <c r="N5870" s="84"/>
    </row>
    <row r="5871" spans="1:14" s="2" customFormat="1">
      <c r="A5871" s="83"/>
      <c r="H5871" s="83"/>
      <c r="K5871" s="82"/>
      <c r="M5871" s="112"/>
      <c r="N5871" s="84"/>
    </row>
    <row r="5872" spans="1:14" s="2" customFormat="1">
      <c r="A5872" s="83"/>
      <c r="H5872" s="83"/>
      <c r="K5872" s="82"/>
      <c r="M5872" s="112"/>
      <c r="N5872" s="84"/>
    </row>
    <row r="5873" spans="1:14" s="2" customFormat="1">
      <c r="A5873" s="83"/>
      <c r="H5873" s="83"/>
      <c r="K5873" s="82"/>
      <c r="M5873" s="112"/>
      <c r="N5873" s="84"/>
    </row>
    <row r="5874" spans="1:14" s="2" customFormat="1">
      <c r="A5874" s="83"/>
      <c r="H5874" s="83"/>
      <c r="K5874" s="82"/>
      <c r="M5874" s="112"/>
      <c r="N5874" s="84"/>
    </row>
    <row r="5875" spans="1:14" s="2" customFormat="1">
      <c r="A5875" s="83"/>
      <c r="H5875" s="83"/>
      <c r="K5875" s="82"/>
      <c r="M5875" s="112"/>
      <c r="N5875" s="84"/>
    </row>
    <row r="5876" spans="1:14" s="2" customFormat="1">
      <c r="A5876" s="83"/>
      <c r="H5876" s="83"/>
      <c r="K5876" s="82"/>
      <c r="M5876" s="112"/>
      <c r="N5876" s="84"/>
    </row>
    <row r="5877" spans="1:14" s="2" customFormat="1">
      <c r="A5877" s="83"/>
      <c r="H5877" s="83"/>
      <c r="K5877" s="82"/>
      <c r="M5877" s="112"/>
      <c r="N5877" s="84"/>
    </row>
    <row r="5878" spans="1:14" s="2" customFormat="1">
      <c r="A5878" s="83"/>
      <c r="H5878" s="83"/>
      <c r="K5878" s="82"/>
      <c r="M5878" s="112"/>
      <c r="N5878" s="84"/>
    </row>
    <row r="5879" spans="1:14" s="2" customFormat="1">
      <c r="A5879" s="83"/>
      <c r="H5879" s="83"/>
      <c r="K5879" s="82"/>
      <c r="M5879" s="112"/>
      <c r="N5879" s="84"/>
    </row>
    <row r="5880" spans="1:14" s="2" customFormat="1">
      <c r="A5880" s="83"/>
      <c r="H5880" s="83"/>
      <c r="K5880" s="82"/>
      <c r="M5880" s="112"/>
      <c r="N5880" s="84"/>
    </row>
    <row r="5881" spans="1:14" s="2" customFormat="1">
      <c r="A5881" s="83"/>
      <c r="H5881" s="83"/>
      <c r="K5881" s="82"/>
      <c r="M5881" s="112"/>
      <c r="N5881" s="84"/>
    </row>
    <row r="5882" spans="1:14" s="2" customFormat="1">
      <c r="A5882" s="83"/>
      <c r="H5882" s="83"/>
      <c r="K5882" s="82"/>
      <c r="M5882" s="112"/>
      <c r="N5882" s="84"/>
    </row>
    <row r="5883" spans="1:14" s="2" customFormat="1">
      <c r="A5883" s="83"/>
      <c r="H5883" s="83"/>
      <c r="K5883" s="82"/>
      <c r="M5883" s="112"/>
      <c r="N5883" s="84"/>
    </row>
    <row r="5884" spans="1:14" s="2" customFormat="1">
      <c r="A5884" s="83"/>
      <c r="H5884" s="83"/>
      <c r="K5884" s="82"/>
      <c r="M5884" s="112"/>
      <c r="N5884" s="84"/>
    </row>
    <row r="5885" spans="1:14" s="2" customFormat="1">
      <c r="A5885" s="83"/>
      <c r="H5885" s="83"/>
      <c r="K5885" s="82"/>
      <c r="M5885" s="112"/>
      <c r="N5885" s="84"/>
    </row>
    <row r="5886" spans="1:14" s="2" customFormat="1">
      <c r="A5886" s="83"/>
      <c r="H5886" s="83"/>
      <c r="K5886" s="82"/>
      <c r="M5886" s="112"/>
      <c r="N5886" s="84"/>
    </row>
    <row r="5887" spans="1:14" s="2" customFormat="1">
      <c r="A5887" s="83"/>
      <c r="H5887" s="83"/>
      <c r="K5887" s="82"/>
      <c r="M5887" s="112"/>
      <c r="N5887" s="84"/>
    </row>
    <row r="5888" spans="1:14" s="2" customFormat="1">
      <c r="A5888" s="83"/>
      <c r="H5888" s="83"/>
      <c r="K5888" s="82"/>
      <c r="M5888" s="112"/>
      <c r="N5888" s="84"/>
    </row>
    <row r="5889" spans="1:14" s="2" customFormat="1">
      <c r="A5889" s="83"/>
      <c r="H5889" s="83"/>
      <c r="K5889" s="82"/>
      <c r="M5889" s="112"/>
      <c r="N5889" s="84"/>
    </row>
    <row r="5890" spans="1:14" s="2" customFormat="1">
      <c r="A5890" s="83"/>
      <c r="H5890" s="83"/>
      <c r="K5890" s="82"/>
      <c r="M5890" s="112"/>
      <c r="N5890" s="84"/>
    </row>
    <row r="5891" spans="1:14" s="2" customFormat="1">
      <c r="A5891" s="83"/>
      <c r="H5891" s="83"/>
      <c r="K5891" s="82"/>
      <c r="M5891" s="112"/>
      <c r="N5891" s="84"/>
    </row>
    <row r="5892" spans="1:14" s="2" customFormat="1">
      <c r="A5892" s="83"/>
      <c r="H5892" s="83"/>
      <c r="K5892" s="82"/>
      <c r="M5892" s="112"/>
      <c r="N5892" s="84"/>
    </row>
    <row r="5893" spans="1:14" s="2" customFormat="1">
      <c r="A5893" s="83"/>
      <c r="H5893" s="83"/>
      <c r="K5893" s="82"/>
      <c r="M5893" s="112"/>
      <c r="N5893" s="84"/>
    </row>
    <row r="5894" spans="1:14" s="2" customFormat="1">
      <c r="A5894" s="83"/>
      <c r="H5894" s="83"/>
      <c r="K5894" s="82"/>
      <c r="M5894" s="112"/>
      <c r="N5894" s="84"/>
    </row>
    <row r="5895" spans="1:14" s="2" customFormat="1">
      <c r="A5895" s="83"/>
      <c r="H5895" s="83"/>
      <c r="K5895" s="82"/>
      <c r="M5895" s="112"/>
      <c r="N5895" s="84"/>
    </row>
    <row r="5896" spans="1:14" s="2" customFormat="1">
      <c r="A5896" s="83"/>
      <c r="H5896" s="83"/>
      <c r="K5896" s="82"/>
      <c r="M5896" s="112"/>
      <c r="N5896" s="84"/>
    </row>
    <row r="5897" spans="1:14" s="2" customFormat="1">
      <c r="A5897" s="83"/>
      <c r="H5897" s="83"/>
      <c r="K5897" s="82"/>
      <c r="M5897" s="112"/>
      <c r="N5897" s="84"/>
    </row>
    <row r="5898" spans="1:14" s="2" customFormat="1">
      <c r="A5898" s="83"/>
      <c r="H5898" s="83"/>
      <c r="K5898" s="82"/>
      <c r="M5898" s="112"/>
      <c r="N5898" s="84"/>
    </row>
    <row r="5899" spans="1:14" s="2" customFormat="1">
      <c r="A5899" s="83"/>
      <c r="H5899" s="83"/>
      <c r="K5899" s="82"/>
      <c r="M5899" s="112"/>
      <c r="N5899" s="84"/>
    </row>
    <row r="5900" spans="1:14" s="2" customFormat="1">
      <c r="A5900" s="83"/>
      <c r="H5900" s="83"/>
      <c r="K5900" s="82"/>
      <c r="M5900" s="112"/>
      <c r="N5900" s="84"/>
    </row>
    <row r="5901" spans="1:14" s="2" customFormat="1">
      <c r="A5901" s="83"/>
      <c r="H5901" s="83"/>
      <c r="K5901" s="82"/>
      <c r="M5901" s="112"/>
      <c r="N5901" s="84"/>
    </row>
    <row r="5902" spans="1:14" s="2" customFormat="1">
      <c r="A5902" s="83"/>
      <c r="H5902" s="83"/>
      <c r="K5902" s="82"/>
      <c r="M5902" s="112"/>
      <c r="N5902" s="84"/>
    </row>
    <row r="5903" spans="1:14" s="2" customFormat="1">
      <c r="A5903" s="83"/>
      <c r="H5903" s="83"/>
      <c r="K5903" s="82"/>
      <c r="M5903" s="112"/>
      <c r="N5903" s="84"/>
    </row>
    <row r="5904" spans="1:14" s="2" customFormat="1">
      <c r="A5904" s="83"/>
      <c r="H5904" s="83"/>
      <c r="K5904" s="82"/>
      <c r="M5904" s="112"/>
      <c r="N5904" s="84"/>
    </row>
    <row r="5905" spans="1:14" s="2" customFormat="1">
      <c r="A5905" s="83"/>
      <c r="H5905" s="83"/>
      <c r="K5905" s="82"/>
      <c r="M5905" s="112"/>
      <c r="N5905" s="84"/>
    </row>
    <row r="5906" spans="1:14" s="2" customFormat="1">
      <c r="A5906" s="83"/>
      <c r="H5906" s="83"/>
      <c r="K5906" s="82"/>
      <c r="M5906" s="112"/>
      <c r="N5906" s="84"/>
    </row>
    <row r="5907" spans="1:14" s="2" customFormat="1">
      <c r="A5907" s="83"/>
      <c r="H5907" s="83"/>
      <c r="K5907" s="82"/>
      <c r="M5907" s="112"/>
      <c r="N5907" s="84"/>
    </row>
    <row r="5908" spans="1:14" s="2" customFormat="1">
      <c r="A5908" s="83"/>
      <c r="H5908" s="83"/>
      <c r="K5908" s="82"/>
      <c r="M5908" s="112"/>
      <c r="N5908" s="84"/>
    </row>
    <row r="5909" spans="1:14" s="2" customFormat="1">
      <c r="A5909" s="83"/>
      <c r="H5909" s="83"/>
      <c r="K5909" s="82"/>
      <c r="M5909" s="112"/>
      <c r="N5909" s="84"/>
    </row>
    <row r="5910" spans="1:14" s="2" customFormat="1">
      <c r="A5910" s="83"/>
      <c r="H5910" s="83"/>
      <c r="K5910" s="82"/>
      <c r="M5910" s="112"/>
      <c r="N5910" s="84"/>
    </row>
    <row r="5911" spans="1:14" s="2" customFormat="1">
      <c r="A5911" s="83"/>
      <c r="H5911" s="83"/>
      <c r="K5911" s="82"/>
      <c r="M5911" s="112"/>
      <c r="N5911" s="84"/>
    </row>
    <row r="5912" spans="1:14" s="2" customFormat="1">
      <c r="A5912" s="83"/>
      <c r="H5912" s="83"/>
      <c r="K5912" s="82"/>
      <c r="M5912" s="112"/>
      <c r="N5912" s="84"/>
    </row>
    <row r="5913" spans="1:14" s="2" customFormat="1">
      <c r="A5913" s="83"/>
      <c r="H5913" s="83"/>
      <c r="K5913" s="82"/>
      <c r="M5913" s="112"/>
      <c r="N5913" s="84"/>
    </row>
    <row r="5914" spans="1:14" s="2" customFormat="1">
      <c r="A5914" s="83"/>
      <c r="H5914" s="83"/>
      <c r="K5914" s="82"/>
      <c r="M5914" s="112"/>
      <c r="N5914" s="84"/>
    </row>
    <row r="5915" spans="1:14" s="2" customFormat="1">
      <c r="A5915" s="83"/>
      <c r="H5915" s="83"/>
      <c r="K5915" s="82"/>
      <c r="M5915" s="112"/>
      <c r="N5915" s="84"/>
    </row>
    <row r="5916" spans="1:14" s="2" customFormat="1">
      <c r="A5916" s="83"/>
      <c r="H5916" s="83"/>
      <c r="K5916" s="82"/>
      <c r="M5916" s="112"/>
      <c r="N5916" s="84"/>
    </row>
    <row r="5917" spans="1:14" s="2" customFormat="1">
      <c r="A5917" s="83"/>
      <c r="H5917" s="83"/>
      <c r="K5917" s="82"/>
      <c r="M5917" s="112"/>
      <c r="N5917" s="84"/>
    </row>
    <row r="5918" spans="1:14" s="2" customFormat="1">
      <c r="A5918" s="83"/>
      <c r="H5918" s="83"/>
      <c r="K5918" s="82"/>
      <c r="M5918" s="112"/>
      <c r="N5918" s="84"/>
    </row>
    <row r="5919" spans="1:14" s="2" customFormat="1">
      <c r="A5919" s="83"/>
      <c r="H5919" s="83"/>
      <c r="K5919" s="82"/>
      <c r="M5919" s="112"/>
      <c r="N5919" s="84"/>
    </row>
    <row r="5920" spans="1:14" s="2" customFormat="1">
      <c r="A5920" s="83"/>
      <c r="H5920" s="83"/>
      <c r="K5920" s="82"/>
      <c r="M5920" s="112"/>
      <c r="N5920" s="84"/>
    </row>
    <row r="5921" spans="1:14" s="2" customFormat="1">
      <c r="A5921" s="83"/>
      <c r="H5921" s="83"/>
      <c r="K5921" s="82"/>
      <c r="M5921" s="112"/>
      <c r="N5921" s="84"/>
    </row>
    <row r="5922" spans="1:14" s="2" customFormat="1">
      <c r="A5922" s="83"/>
      <c r="H5922" s="83"/>
      <c r="K5922" s="82"/>
      <c r="M5922" s="112"/>
      <c r="N5922" s="84"/>
    </row>
    <row r="5923" spans="1:14" s="2" customFormat="1">
      <c r="A5923" s="83"/>
      <c r="H5923" s="83"/>
      <c r="K5923" s="82"/>
      <c r="M5923" s="112"/>
      <c r="N5923" s="84"/>
    </row>
    <row r="5924" spans="1:14" s="2" customFormat="1">
      <c r="A5924" s="83"/>
      <c r="H5924" s="83"/>
      <c r="K5924" s="82"/>
      <c r="M5924" s="112"/>
      <c r="N5924" s="84"/>
    </row>
    <row r="5925" spans="1:14" s="2" customFormat="1">
      <c r="A5925" s="83"/>
      <c r="H5925" s="83"/>
      <c r="K5925" s="82"/>
      <c r="M5925" s="112"/>
      <c r="N5925" s="84"/>
    </row>
    <row r="5926" spans="1:14" s="2" customFormat="1">
      <c r="A5926" s="83"/>
      <c r="H5926" s="83"/>
      <c r="K5926" s="82"/>
      <c r="M5926" s="112"/>
      <c r="N5926" s="84"/>
    </row>
    <row r="5927" spans="1:14" s="2" customFormat="1">
      <c r="A5927" s="83"/>
      <c r="H5927" s="83"/>
      <c r="K5927" s="82"/>
      <c r="M5927" s="112"/>
      <c r="N5927" s="84"/>
    </row>
    <row r="5928" spans="1:14" s="2" customFormat="1">
      <c r="A5928" s="83"/>
      <c r="H5928" s="83"/>
      <c r="K5928" s="82"/>
      <c r="M5928" s="112"/>
      <c r="N5928" s="84"/>
    </row>
    <row r="5929" spans="1:14" s="2" customFormat="1">
      <c r="A5929" s="83"/>
      <c r="H5929" s="83"/>
      <c r="K5929" s="82"/>
      <c r="M5929" s="112"/>
      <c r="N5929" s="84"/>
    </row>
    <row r="5930" spans="1:14" s="2" customFormat="1">
      <c r="A5930" s="83"/>
      <c r="H5930" s="83"/>
      <c r="K5930" s="82"/>
      <c r="M5930" s="112"/>
      <c r="N5930" s="84"/>
    </row>
    <row r="5931" spans="1:14" s="2" customFormat="1">
      <c r="A5931" s="83"/>
      <c r="H5931" s="83"/>
      <c r="K5931" s="82"/>
      <c r="M5931" s="112"/>
      <c r="N5931" s="84"/>
    </row>
    <row r="5932" spans="1:14" s="2" customFormat="1">
      <c r="A5932" s="83"/>
      <c r="H5932" s="83"/>
      <c r="K5932" s="82"/>
      <c r="M5932" s="112"/>
      <c r="N5932" s="84"/>
    </row>
    <row r="5933" spans="1:14" s="2" customFormat="1">
      <c r="A5933" s="83"/>
      <c r="H5933" s="83"/>
      <c r="K5933" s="82"/>
      <c r="M5933" s="112"/>
      <c r="N5933" s="84"/>
    </row>
    <row r="5934" spans="1:14" s="2" customFormat="1">
      <c r="A5934" s="83"/>
      <c r="H5934" s="83"/>
      <c r="K5934" s="82"/>
      <c r="M5934" s="112"/>
      <c r="N5934" s="84"/>
    </row>
    <row r="5935" spans="1:14" s="2" customFormat="1">
      <c r="A5935" s="83"/>
      <c r="H5935" s="83"/>
      <c r="K5935" s="82"/>
      <c r="M5935" s="112"/>
      <c r="N5935" s="84"/>
    </row>
    <row r="5936" spans="1:14" s="2" customFormat="1">
      <c r="A5936" s="83"/>
      <c r="H5936" s="83"/>
      <c r="K5936" s="82"/>
      <c r="M5936" s="112"/>
      <c r="N5936" s="84"/>
    </row>
    <row r="5937" spans="1:14" s="2" customFormat="1">
      <c r="A5937" s="83"/>
      <c r="H5937" s="83"/>
      <c r="K5937" s="82"/>
      <c r="M5937" s="112"/>
      <c r="N5937" s="84"/>
    </row>
    <row r="5938" spans="1:14" s="2" customFormat="1">
      <c r="A5938" s="83"/>
      <c r="H5938" s="83"/>
      <c r="K5938" s="82"/>
      <c r="M5938" s="112"/>
      <c r="N5938" s="84"/>
    </row>
    <row r="5939" spans="1:14" s="2" customFormat="1">
      <c r="A5939" s="83"/>
      <c r="H5939" s="83"/>
      <c r="K5939" s="82"/>
      <c r="M5939" s="112"/>
      <c r="N5939" s="84"/>
    </row>
    <row r="5940" spans="1:14" s="2" customFormat="1">
      <c r="A5940" s="83"/>
      <c r="H5940" s="83"/>
      <c r="K5940" s="82"/>
      <c r="M5940" s="112"/>
      <c r="N5940" s="84"/>
    </row>
    <row r="5941" spans="1:14" s="2" customFormat="1">
      <c r="A5941" s="83"/>
      <c r="H5941" s="83"/>
      <c r="K5941" s="82"/>
      <c r="M5941" s="112"/>
      <c r="N5941" s="84"/>
    </row>
    <row r="5942" spans="1:14" s="2" customFormat="1">
      <c r="A5942" s="83"/>
      <c r="H5942" s="83"/>
      <c r="K5942" s="82"/>
      <c r="M5942" s="112"/>
      <c r="N5942" s="84"/>
    </row>
    <row r="5943" spans="1:14" s="2" customFormat="1">
      <c r="A5943" s="83"/>
      <c r="H5943" s="83"/>
      <c r="K5943" s="82"/>
      <c r="M5943" s="112"/>
      <c r="N5943" s="84"/>
    </row>
    <row r="5944" spans="1:14" s="2" customFormat="1">
      <c r="A5944" s="83"/>
      <c r="H5944" s="83"/>
      <c r="K5944" s="82"/>
      <c r="M5944" s="112"/>
      <c r="N5944" s="84"/>
    </row>
    <row r="5945" spans="1:14" s="2" customFormat="1">
      <c r="A5945" s="83"/>
      <c r="H5945" s="83"/>
      <c r="K5945" s="82"/>
      <c r="M5945" s="112"/>
      <c r="N5945" s="84"/>
    </row>
    <row r="5946" spans="1:14" s="2" customFormat="1">
      <c r="A5946" s="83"/>
      <c r="H5946" s="83"/>
      <c r="K5946" s="82"/>
      <c r="M5946" s="112"/>
      <c r="N5946" s="84"/>
    </row>
    <row r="5947" spans="1:14" s="2" customFormat="1">
      <c r="A5947" s="83"/>
      <c r="H5947" s="83"/>
      <c r="K5947" s="82"/>
      <c r="M5947" s="112"/>
      <c r="N5947" s="84"/>
    </row>
    <row r="5948" spans="1:14" s="2" customFormat="1">
      <c r="A5948" s="83"/>
      <c r="H5948" s="83"/>
      <c r="K5948" s="82"/>
      <c r="M5948" s="112"/>
      <c r="N5948" s="84"/>
    </row>
    <row r="5949" spans="1:14" s="2" customFormat="1">
      <c r="A5949" s="83"/>
      <c r="H5949" s="83"/>
      <c r="K5949" s="82"/>
      <c r="M5949" s="112"/>
      <c r="N5949" s="84"/>
    </row>
    <row r="5950" spans="1:14" s="2" customFormat="1">
      <c r="A5950" s="83"/>
      <c r="H5950" s="83"/>
      <c r="K5950" s="82"/>
      <c r="M5950" s="112"/>
      <c r="N5950" s="84"/>
    </row>
    <row r="5951" spans="1:14" s="2" customFormat="1">
      <c r="A5951" s="83"/>
      <c r="H5951" s="83"/>
      <c r="K5951" s="82"/>
      <c r="M5951" s="112"/>
      <c r="N5951" s="84"/>
    </row>
    <row r="5952" spans="1:14" s="2" customFormat="1">
      <c r="A5952" s="83"/>
      <c r="H5952" s="83"/>
      <c r="K5952" s="82"/>
      <c r="M5952" s="112"/>
      <c r="N5952" s="84"/>
    </row>
    <row r="5953" spans="1:14" s="2" customFormat="1">
      <c r="A5953" s="83"/>
      <c r="H5953" s="83"/>
      <c r="K5953" s="82"/>
      <c r="M5953" s="112"/>
      <c r="N5953" s="84"/>
    </row>
    <row r="5954" spans="1:14" s="2" customFormat="1">
      <c r="A5954" s="83"/>
      <c r="H5954" s="83"/>
      <c r="K5954" s="82"/>
      <c r="M5954" s="112"/>
      <c r="N5954" s="84"/>
    </row>
    <row r="5955" spans="1:14" s="2" customFormat="1">
      <c r="A5955" s="83"/>
      <c r="H5955" s="83"/>
      <c r="K5955" s="82"/>
      <c r="M5955" s="112"/>
      <c r="N5955" s="84"/>
    </row>
    <row r="5956" spans="1:14" s="2" customFormat="1">
      <c r="A5956" s="83"/>
      <c r="H5956" s="83"/>
      <c r="K5956" s="82"/>
      <c r="M5956" s="112"/>
      <c r="N5956" s="84"/>
    </row>
    <row r="5957" spans="1:14" s="2" customFormat="1">
      <c r="A5957" s="83"/>
      <c r="H5957" s="83"/>
      <c r="K5957" s="82"/>
      <c r="M5957" s="112"/>
      <c r="N5957" s="84"/>
    </row>
    <row r="5958" spans="1:14" s="2" customFormat="1">
      <c r="A5958" s="83"/>
      <c r="H5958" s="83"/>
      <c r="K5958" s="82"/>
      <c r="M5958" s="112"/>
      <c r="N5958" s="84"/>
    </row>
    <row r="5959" spans="1:14" s="2" customFormat="1">
      <c r="A5959" s="83"/>
      <c r="H5959" s="83"/>
      <c r="K5959" s="82"/>
      <c r="M5959" s="112"/>
      <c r="N5959" s="84"/>
    </row>
    <row r="5960" spans="1:14" s="2" customFormat="1">
      <c r="A5960" s="83"/>
      <c r="H5960" s="83"/>
      <c r="K5960" s="82"/>
      <c r="M5960" s="112"/>
      <c r="N5960" s="84"/>
    </row>
    <row r="5961" spans="1:14" s="2" customFormat="1">
      <c r="A5961" s="83"/>
      <c r="H5961" s="83"/>
      <c r="K5961" s="82"/>
      <c r="M5961" s="112"/>
      <c r="N5961" s="84"/>
    </row>
    <row r="5962" spans="1:14" s="2" customFormat="1">
      <c r="A5962" s="83"/>
      <c r="H5962" s="83"/>
      <c r="K5962" s="82"/>
      <c r="M5962" s="112"/>
      <c r="N5962" s="84"/>
    </row>
    <row r="5963" spans="1:14" s="2" customFormat="1">
      <c r="A5963" s="83"/>
      <c r="H5963" s="83"/>
      <c r="K5963" s="82"/>
      <c r="M5963" s="112"/>
      <c r="N5963" s="84"/>
    </row>
    <row r="5964" spans="1:14" s="2" customFormat="1">
      <c r="A5964" s="83"/>
      <c r="H5964" s="83"/>
      <c r="K5964" s="82"/>
      <c r="M5964" s="112"/>
      <c r="N5964" s="84"/>
    </row>
    <row r="5965" spans="1:14" s="2" customFormat="1">
      <c r="A5965" s="83"/>
      <c r="H5965" s="83"/>
      <c r="K5965" s="82"/>
      <c r="M5965" s="112"/>
      <c r="N5965" s="84"/>
    </row>
    <row r="5966" spans="1:14" s="2" customFormat="1">
      <c r="A5966" s="83"/>
      <c r="H5966" s="83"/>
      <c r="K5966" s="82"/>
      <c r="M5966" s="112"/>
      <c r="N5966" s="84"/>
    </row>
    <row r="5967" spans="1:14" s="2" customFormat="1">
      <c r="A5967" s="83"/>
      <c r="H5967" s="83"/>
      <c r="K5967" s="82"/>
      <c r="M5967" s="112"/>
      <c r="N5967" s="84"/>
    </row>
    <row r="5968" spans="1:14" s="2" customFormat="1">
      <c r="A5968" s="83"/>
      <c r="H5968" s="83"/>
      <c r="K5968" s="82"/>
      <c r="M5968" s="112"/>
      <c r="N5968" s="84"/>
    </row>
    <row r="5969" spans="1:14" s="2" customFormat="1">
      <c r="A5969" s="83"/>
      <c r="H5969" s="83"/>
      <c r="K5969" s="82"/>
      <c r="M5969" s="112"/>
      <c r="N5969" s="84"/>
    </row>
    <row r="5970" spans="1:14" s="2" customFormat="1">
      <c r="A5970" s="83"/>
      <c r="H5970" s="83"/>
      <c r="K5970" s="82"/>
      <c r="M5970" s="112"/>
      <c r="N5970" s="84"/>
    </row>
    <row r="5971" spans="1:14" s="2" customFormat="1">
      <c r="A5971" s="83"/>
      <c r="H5971" s="83"/>
      <c r="K5971" s="82"/>
      <c r="M5971" s="112"/>
      <c r="N5971" s="84"/>
    </row>
    <row r="5972" spans="1:14" s="2" customFormat="1">
      <c r="A5972" s="83"/>
      <c r="H5972" s="83"/>
      <c r="K5972" s="82"/>
      <c r="M5972" s="112"/>
      <c r="N5972" s="84"/>
    </row>
    <row r="5973" spans="1:14" s="2" customFormat="1">
      <c r="A5973" s="83"/>
      <c r="H5973" s="83"/>
      <c r="K5973" s="82"/>
      <c r="M5973" s="112"/>
      <c r="N5973" s="84"/>
    </row>
    <row r="5974" spans="1:14" s="2" customFormat="1">
      <c r="A5974" s="83"/>
      <c r="H5974" s="83"/>
      <c r="K5974" s="82"/>
      <c r="M5974" s="112"/>
      <c r="N5974" s="84"/>
    </row>
    <row r="5975" spans="1:14" s="2" customFormat="1">
      <c r="A5975" s="83"/>
      <c r="H5975" s="83"/>
      <c r="K5975" s="82"/>
      <c r="M5975" s="112"/>
      <c r="N5975" s="84"/>
    </row>
    <row r="5976" spans="1:14" s="2" customFormat="1">
      <c r="A5976" s="83"/>
      <c r="H5976" s="83"/>
      <c r="K5976" s="82"/>
      <c r="M5976" s="112"/>
      <c r="N5976" s="84"/>
    </row>
    <row r="5977" spans="1:14" s="2" customFormat="1">
      <c r="A5977" s="83"/>
      <c r="H5977" s="83"/>
      <c r="K5977" s="82"/>
      <c r="M5977" s="112"/>
      <c r="N5977" s="84"/>
    </row>
    <row r="5978" spans="1:14" s="2" customFormat="1">
      <c r="A5978" s="83"/>
      <c r="H5978" s="83"/>
      <c r="K5978" s="82"/>
      <c r="M5978" s="112"/>
      <c r="N5978" s="84"/>
    </row>
    <row r="5979" spans="1:14" s="2" customFormat="1">
      <c r="A5979" s="83"/>
      <c r="H5979" s="83"/>
      <c r="K5979" s="82"/>
      <c r="M5979" s="112"/>
      <c r="N5979" s="84"/>
    </row>
    <row r="5980" spans="1:14" s="2" customFormat="1">
      <c r="A5980" s="83"/>
      <c r="H5980" s="83"/>
      <c r="K5980" s="82"/>
      <c r="M5980" s="112"/>
      <c r="N5980" s="84"/>
    </row>
    <row r="5981" spans="1:14" s="2" customFormat="1">
      <c r="A5981" s="83"/>
      <c r="H5981" s="83"/>
      <c r="K5981" s="82"/>
      <c r="M5981" s="112"/>
      <c r="N5981" s="84"/>
    </row>
    <row r="5982" spans="1:14" s="2" customFormat="1">
      <c r="A5982" s="83"/>
      <c r="H5982" s="83"/>
      <c r="K5982" s="82"/>
      <c r="M5982" s="112"/>
      <c r="N5982" s="84"/>
    </row>
    <row r="5983" spans="1:14" s="2" customFormat="1">
      <c r="A5983" s="83"/>
      <c r="H5983" s="83"/>
      <c r="K5983" s="82"/>
      <c r="M5983" s="112"/>
      <c r="N5983" s="84"/>
    </row>
    <row r="5984" spans="1:14" s="2" customFormat="1">
      <c r="A5984" s="83"/>
      <c r="H5984" s="83"/>
      <c r="K5984" s="82"/>
      <c r="M5984" s="112"/>
      <c r="N5984" s="84"/>
    </row>
    <row r="5985" spans="1:14" s="2" customFormat="1">
      <c r="A5985" s="83"/>
      <c r="H5985" s="83"/>
      <c r="K5985" s="82"/>
      <c r="M5985" s="112"/>
      <c r="N5985" s="84"/>
    </row>
    <row r="5986" spans="1:14" s="2" customFormat="1">
      <c r="A5986" s="83"/>
      <c r="H5986" s="83"/>
      <c r="K5986" s="82"/>
      <c r="M5986" s="112"/>
      <c r="N5986" s="84"/>
    </row>
    <row r="5987" spans="1:14" s="2" customFormat="1">
      <c r="A5987" s="83"/>
      <c r="H5987" s="83"/>
      <c r="K5987" s="82"/>
      <c r="M5987" s="112"/>
      <c r="N5987" s="84"/>
    </row>
    <row r="5988" spans="1:14" s="2" customFormat="1">
      <c r="A5988" s="83"/>
      <c r="H5988" s="83"/>
      <c r="K5988" s="82"/>
      <c r="M5988" s="112"/>
      <c r="N5988" s="84"/>
    </row>
    <row r="5989" spans="1:14" s="2" customFormat="1">
      <c r="A5989" s="83"/>
      <c r="H5989" s="83"/>
      <c r="K5989" s="82"/>
      <c r="M5989" s="112"/>
      <c r="N5989" s="84"/>
    </row>
    <row r="5990" spans="1:14" s="2" customFormat="1">
      <c r="A5990" s="83"/>
      <c r="H5990" s="83"/>
      <c r="K5990" s="82"/>
      <c r="M5990" s="112"/>
      <c r="N5990" s="84"/>
    </row>
    <row r="5991" spans="1:14" s="2" customFormat="1">
      <c r="A5991" s="83"/>
      <c r="H5991" s="83"/>
      <c r="K5991" s="82"/>
      <c r="M5991" s="112"/>
      <c r="N5991" s="84"/>
    </row>
    <row r="5992" spans="1:14" s="2" customFormat="1">
      <c r="A5992" s="83"/>
      <c r="H5992" s="83"/>
      <c r="K5992" s="82"/>
      <c r="M5992" s="112"/>
      <c r="N5992" s="84"/>
    </row>
    <row r="5993" spans="1:14" s="2" customFormat="1">
      <c r="A5993" s="83"/>
      <c r="H5993" s="83"/>
      <c r="K5993" s="82"/>
      <c r="M5993" s="112"/>
      <c r="N5993" s="84"/>
    </row>
    <row r="5994" spans="1:14" s="2" customFormat="1">
      <c r="A5994" s="83"/>
      <c r="H5994" s="83"/>
      <c r="K5994" s="82"/>
      <c r="M5994" s="112"/>
      <c r="N5994" s="84"/>
    </row>
    <row r="5995" spans="1:14" s="2" customFormat="1">
      <c r="A5995" s="83"/>
      <c r="H5995" s="83"/>
      <c r="K5995" s="82"/>
      <c r="M5995" s="112"/>
      <c r="N5995" s="84"/>
    </row>
    <row r="5996" spans="1:14" s="2" customFormat="1">
      <c r="A5996" s="83"/>
      <c r="H5996" s="83"/>
      <c r="K5996" s="82"/>
      <c r="M5996" s="112"/>
      <c r="N5996" s="84"/>
    </row>
    <row r="5997" spans="1:14" s="2" customFormat="1">
      <c r="A5997" s="83"/>
      <c r="H5997" s="83"/>
      <c r="K5997" s="82"/>
      <c r="M5997" s="112"/>
      <c r="N5997" s="84"/>
    </row>
    <row r="5998" spans="1:14" s="2" customFormat="1">
      <c r="A5998" s="83"/>
      <c r="H5998" s="83"/>
      <c r="K5998" s="82"/>
      <c r="M5998" s="112"/>
      <c r="N5998" s="84"/>
    </row>
    <row r="5999" spans="1:14" s="2" customFormat="1">
      <c r="A5999" s="83"/>
      <c r="H5999" s="83"/>
      <c r="K5999" s="82"/>
      <c r="M5999" s="112"/>
      <c r="N5999" s="84"/>
    </row>
    <row r="6000" spans="1:14" s="2" customFormat="1">
      <c r="A6000" s="83"/>
      <c r="H6000" s="83"/>
      <c r="K6000" s="82"/>
      <c r="M6000" s="112"/>
      <c r="N6000" s="84"/>
    </row>
    <row r="6001" spans="1:14" s="2" customFormat="1">
      <c r="A6001" s="83"/>
      <c r="H6001" s="83"/>
      <c r="K6001" s="82"/>
      <c r="M6001" s="112"/>
      <c r="N6001" s="84"/>
    </row>
    <row r="6002" spans="1:14" s="2" customFormat="1">
      <c r="A6002" s="83"/>
      <c r="H6002" s="83"/>
      <c r="K6002" s="82"/>
      <c r="M6002" s="112"/>
      <c r="N6002" s="84"/>
    </row>
    <row r="6003" spans="1:14" s="2" customFormat="1">
      <c r="A6003" s="83"/>
      <c r="H6003" s="83"/>
      <c r="K6003" s="82"/>
      <c r="M6003" s="112"/>
      <c r="N6003" s="84"/>
    </row>
    <row r="6004" spans="1:14" s="2" customFormat="1">
      <c r="A6004" s="83"/>
      <c r="H6004" s="83"/>
      <c r="K6004" s="82"/>
      <c r="M6004" s="112"/>
      <c r="N6004" s="84"/>
    </row>
    <row r="6005" spans="1:14" s="2" customFormat="1">
      <c r="A6005" s="83"/>
      <c r="H6005" s="83"/>
      <c r="K6005" s="82"/>
      <c r="M6005" s="112"/>
      <c r="N6005" s="84"/>
    </row>
    <row r="6006" spans="1:14" s="2" customFormat="1">
      <c r="A6006" s="83"/>
      <c r="H6006" s="83"/>
      <c r="K6006" s="82"/>
      <c r="M6006" s="112"/>
      <c r="N6006" s="84"/>
    </row>
    <row r="6007" spans="1:14" s="2" customFormat="1">
      <c r="A6007" s="83"/>
      <c r="H6007" s="83"/>
      <c r="K6007" s="82"/>
      <c r="M6007" s="112"/>
      <c r="N6007" s="84"/>
    </row>
    <row r="6008" spans="1:14" s="2" customFormat="1">
      <c r="A6008" s="83"/>
      <c r="H6008" s="83"/>
      <c r="K6008" s="82"/>
      <c r="M6008" s="112"/>
      <c r="N6008" s="84"/>
    </row>
    <row r="6009" spans="1:14" s="2" customFormat="1">
      <c r="A6009" s="83"/>
      <c r="H6009" s="83"/>
      <c r="K6009" s="82"/>
      <c r="M6009" s="112"/>
      <c r="N6009" s="84"/>
    </row>
    <row r="6010" spans="1:14" s="2" customFormat="1">
      <c r="A6010" s="83"/>
      <c r="H6010" s="83"/>
      <c r="K6010" s="82"/>
      <c r="M6010" s="112"/>
      <c r="N6010" s="84"/>
    </row>
    <row r="6011" spans="1:14" s="2" customFormat="1">
      <c r="A6011" s="83"/>
      <c r="H6011" s="83"/>
      <c r="K6011" s="82"/>
      <c r="M6011" s="112"/>
      <c r="N6011" s="84"/>
    </row>
    <row r="6012" spans="1:14" s="2" customFormat="1">
      <c r="A6012" s="83"/>
      <c r="H6012" s="83"/>
      <c r="K6012" s="82"/>
      <c r="M6012" s="112"/>
      <c r="N6012" s="84"/>
    </row>
    <row r="6013" spans="1:14" s="2" customFormat="1">
      <c r="A6013" s="83"/>
      <c r="H6013" s="83"/>
      <c r="K6013" s="82"/>
      <c r="M6013" s="112"/>
      <c r="N6013" s="84"/>
    </row>
    <row r="6014" spans="1:14" s="2" customFormat="1">
      <c r="A6014" s="83"/>
      <c r="H6014" s="83"/>
      <c r="K6014" s="82"/>
      <c r="M6014" s="112"/>
      <c r="N6014" s="84"/>
    </row>
    <row r="6015" spans="1:14" s="2" customFormat="1">
      <c r="A6015" s="83"/>
      <c r="H6015" s="83"/>
      <c r="K6015" s="82"/>
      <c r="M6015" s="112"/>
      <c r="N6015" s="84"/>
    </row>
    <row r="6016" spans="1:14" s="2" customFormat="1">
      <c r="A6016" s="83"/>
      <c r="H6016" s="83"/>
      <c r="K6016" s="82"/>
      <c r="M6016" s="112"/>
      <c r="N6016" s="84"/>
    </row>
    <row r="6017" spans="1:14" s="2" customFormat="1">
      <c r="A6017" s="83"/>
      <c r="H6017" s="83"/>
      <c r="K6017" s="82"/>
      <c r="M6017" s="112"/>
      <c r="N6017" s="84"/>
    </row>
    <row r="6018" spans="1:14" s="2" customFormat="1">
      <c r="A6018" s="83"/>
      <c r="H6018" s="83"/>
      <c r="K6018" s="82"/>
      <c r="M6018" s="112"/>
      <c r="N6018" s="84"/>
    </row>
    <row r="6019" spans="1:14" s="2" customFormat="1">
      <c r="A6019" s="83"/>
      <c r="H6019" s="83"/>
      <c r="K6019" s="82"/>
      <c r="M6019" s="112"/>
      <c r="N6019" s="84"/>
    </row>
    <row r="6020" spans="1:14" s="2" customFormat="1">
      <c r="A6020" s="83"/>
      <c r="H6020" s="83"/>
      <c r="K6020" s="82"/>
      <c r="M6020" s="112"/>
      <c r="N6020" s="84"/>
    </row>
    <row r="6021" spans="1:14" s="2" customFormat="1">
      <c r="A6021" s="83"/>
      <c r="H6021" s="83"/>
      <c r="K6021" s="82"/>
      <c r="M6021" s="112"/>
      <c r="N6021" s="84"/>
    </row>
    <row r="6022" spans="1:14" s="2" customFormat="1">
      <c r="A6022" s="83"/>
      <c r="H6022" s="83"/>
      <c r="K6022" s="82"/>
      <c r="M6022" s="112"/>
      <c r="N6022" s="84"/>
    </row>
    <row r="6023" spans="1:14" s="2" customFormat="1">
      <c r="A6023" s="83"/>
      <c r="H6023" s="83"/>
      <c r="K6023" s="82"/>
      <c r="M6023" s="112"/>
      <c r="N6023" s="84"/>
    </row>
    <row r="6024" spans="1:14" s="2" customFormat="1">
      <c r="A6024" s="83"/>
      <c r="H6024" s="83"/>
      <c r="K6024" s="82"/>
      <c r="M6024" s="112"/>
      <c r="N6024" s="84"/>
    </row>
    <row r="6025" spans="1:14" s="2" customFormat="1">
      <c r="A6025" s="83"/>
      <c r="H6025" s="83"/>
      <c r="K6025" s="82"/>
      <c r="M6025" s="112"/>
      <c r="N6025" s="84"/>
    </row>
    <row r="6026" spans="1:14" s="2" customFormat="1">
      <c r="A6026" s="83"/>
      <c r="H6026" s="83"/>
      <c r="K6026" s="82"/>
      <c r="M6026" s="112"/>
      <c r="N6026" s="84"/>
    </row>
    <row r="6027" spans="1:14" s="2" customFormat="1">
      <c r="A6027" s="83"/>
      <c r="H6027" s="83"/>
      <c r="K6027" s="82"/>
      <c r="M6027" s="112"/>
      <c r="N6027" s="84"/>
    </row>
    <row r="6028" spans="1:14" s="2" customFormat="1">
      <c r="A6028" s="83"/>
      <c r="H6028" s="83"/>
      <c r="K6028" s="82"/>
      <c r="M6028" s="112"/>
      <c r="N6028" s="84"/>
    </row>
    <row r="6029" spans="1:14" s="2" customFormat="1">
      <c r="A6029" s="83"/>
      <c r="H6029" s="83"/>
      <c r="K6029" s="82"/>
      <c r="M6029" s="112"/>
      <c r="N6029" s="84"/>
    </row>
    <row r="6030" spans="1:14" s="2" customFormat="1">
      <c r="A6030" s="83"/>
      <c r="H6030" s="83"/>
      <c r="K6030" s="82"/>
      <c r="M6030" s="112"/>
      <c r="N6030" s="84"/>
    </row>
    <row r="6031" spans="1:14" s="2" customFormat="1">
      <c r="A6031" s="83"/>
      <c r="H6031" s="83"/>
      <c r="K6031" s="82"/>
      <c r="M6031" s="112"/>
      <c r="N6031" s="84"/>
    </row>
    <row r="6032" spans="1:14" s="2" customFormat="1">
      <c r="A6032" s="83"/>
      <c r="H6032" s="83"/>
      <c r="K6032" s="82"/>
      <c r="M6032" s="112"/>
      <c r="N6032" s="84"/>
    </row>
    <row r="6033" spans="1:14" s="2" customFormat="1">
      <c r="A6033" s="83"/>
      <c r="H6033" s="83"/>
      <c r="K6033" s="82"/>
      <c r="M6033" s="112"/>
      <c r="N6033" s="84"/>
    </row>
    <row r="6034" spans="1:14" s="2" customFormat="1">
      <c r="A6034" s="83"/>
      <c r="H6034" s="83"/>
      <c r="K6034" s="82"/>
      <c r="M6034" s="112"/>
      <c r="N6034" s="84"/>
    </row>
    <row r="6035" spans="1:14" s="2" customFormat="1">
      <c r="A6035" s="83"/>
      <c r="H6035" s="83"/>
      <c r="K6035" s="82"/>
      <c r="M6035" s="112"/>
      <c r="N6035" s="84"/>
    </row>
    <row r="6036" spans="1:14" s="2" customFormat="1">
      <c r="A6036" s="83"/>
      <c r="H6036" s="83"/>
      <c r="K6036" s="82"/>
      <c r="M6036" s="112"/>
      <c r="N6036" s="84"/>
    </row>
    <row r="6037" spans="1:14" s="2" customFormat="1">
      <c r="A6037" s="83"/>
      <c r="H6037" s="83"/>
      <c r="K6037" s="82"/>
      <c r="M6037" s="112"/>
      <c r="N6037" s="84"/>
    </row>
    <row r="6038" spans="1:14" s="2" customFormat="1">
      <c r="A6038" s="83"/>
      <c r="H6038" s="83"/>
      <c r="K6038" s="82"/>
      <c r="M6038" s="112"/>
      <c r="N6038" s="84"/>
    </row>
    <row r="6039" spans="1:14" s="2" customFormat="1">
      <c r="A6039" s="83"/>
      <c r="H6039" s="83"/>
      <c r="K6039" s="82"/>
      <c r="M6039" s="112"/>
      <c r="N6039" s="84"/>
    </row>
    <row r="6040" spans="1:14" s="2" customFormat="1">
      <c r="A6040" s="83"/>
      <c r="H6040" s="83"/>
      <c r="K6040" s="82"/>
      <c r="M6040" s="112"/>
      <c r="N6040" s="84"/>
    </row>
    <row r="6041" spans="1:14" s="2" customFormat="1">
      <c r="A6041" s="83"/>
      <c r="H6041" s="83"/>
      <c r="K6041" s="82"/>
      <c r="M6041" s="112"/>
      <c r="N6041" s="84"/>
    </row>
    <row r="6042" spans="1:14" s="2" customFormat="1">
      <c r="A6042" s="83"/>
      <c r="H6042" s="83"/>
      <c r="K6042" s="82"/>
      <c r="M6042" s="112"/>
      <c r="N6042" s="84"/>
    </row>
    <row r="6043" spans="1:14" s="2" customFormat="1">
      <c r="A6043" s="83"/>
      <c r="H6043" s="83"/>
      <c r="K6043" s="82"/>
      <c r="M6043" s="112"/>
      <c r="N6043" s="84"/>
    </row>
    <row r="6044" spans="1:14" s="2" customFormat="1">
      <c r="A6044" s="83"/>
      <c r="H6044" s="83"/>
      <c r="K6044" s="82"/>
      <c r="M6044" s="112"/>
      <c r="N6044" s="84"/>
    </row>
    <row r="6045" spans="1:14" s="2" customFormat="1">
      <c r="A6045" s="83"/>
      <c r="H6045" s="83"/>
      <c r="K6045" s="82"/>
      <c r="M6045" s="112"/>
      <c r="N6045" s="84"/>
    </row>
    <row r="6046" spans="1:14" s="2" customFormat="1">
      <c r="A6046" s="83"/>
      <c r="H6046" s="83"/>
      <c r="K6046" s="82"/>
      <c r="M6046" s="112"/>
      <c r="N6046" s="84"/>
    </row>
    <row r="6047" spans="1:14" s="2" customFormat="1">
      <c r="A6047" s="83"/>
      <c r="H6047" s="83"/>
      <c r="K6047" s="82"/>
      <c r="M6047" s="112"/>
      <c r="N6047" s="84"/>
    </row>
    <row r="6048" spans="1:14" s="2" customFormat="1">
      <c r="A6048" s="83"/>
      <c r="H6048" s="83"/>
      <c r="K6048" s="82"/>
      <c r="M6048" s="112"/>
      <c r="N6048" s="84"/>
    </row>
    <row r="6049" spans="1:14" s="2" customFormat="1">
      <c r="A6049" s="83"/>
      <c r="H6049" s="83"/>
      <c r="K6049" s="82"/>
      <c r="M6049" s="112"/>
      <c r="N6049" s="84"/>
    </row>
    <row r="6050" spans="1:14" s="2" customFormat="1">
      <c r="A6050" s="83"/>
      <c r="H6050" s="83"/>
      <c r="K6050" s="82"/>
      <c r="M6050" s="112"/>
      <c r="N6050" s="84"/>
    </row>
    <row r="6051" spans="1:14" s="2" customFormat="1">
      <c r="A6051" s="83"/>
      <c r="H6051" s="83"/>
      <c r="K6051" s="82"/>
      <c r="M6051" s="112"/>
      <c r="N6051" s="84"/>
    </row>
    <row r="6052" spans="1:14" s="2" customFormat="1">
      <c r="A6052" s="83"/>
      <c r="H6052" s="83"/>
      <c r="K6052" s="82"/>
      <c r="M6052" s="112"/>
      <c r="N6052" s="84"/>
    </row>
    <row r="6053" spans="1:14" s="2" customFormat="1">
      <c r="A6053" s="83"/>
      <c r="H6053" s="83"/>
      <c r="K6053" s="82"/>
      <c r="M6053" s="112"/>
      <c r="N6053" s="84"/>
    </row>
    <row r="6054" spans="1:14" s="2" customFormat="1">
      <c r="A6054" s="83"/>
      <c r="H6054" s="83"/>
      <c r="K6054" s="82"/>
      <c r="M6054" s="112"/>
      <c r="N6054" s="84"/>
    </row>
    <row r="6055" spans="1:14" s="2" customFormat="1">
      <c r="A6055" s="83"/>
      <c r="H6055" s="83"/>
      <c r="K6055" s="82"/>
      <c r="M6055" s="112"/>
      <c r="N6055" s="84"/>
    </row>
    <row r="6056" spans="1:14" s="2" customFormat="1">
      <c r="A6056" s="83"/>
      <c r="H6056" s="83"/>
      <c r="K6056" s="82"/>
      <c r="M6056" s="112"/>
      <c r="N6056" s="84"/>
    </row>
    <row r="6057" spans="1:14" s="2" customFormat="1">
      <c r="A6057" s="83"/>
      <c r="H6057" s="83"/>
      <c r="K6057" s="82"/>
      <c r="M6057" s="112"/>
      <c r="N6057" s="84"/>
    </row>
    <row r="6058" spans="1:14" s="2" customFormat="1">
      <c r="A6058" s="83"/>
      <c r="H6058" s="83"/>
      <c r="K6058" s="82"/>
      <c r="M6058" s="112"/>
      <c r="N6058" s="84"/>
    </row>
    <row r="6059" spans="1:14" s="2" customFormat="1">
      <c r="A6059" s="83"/>
      <c r="H6059" s="83"/>
      <c r="K6059" s="82"/>
      <c r="M6059" s="112"/>
      <c r="N6059" s="84"/>
    </row>
    <row r="6060" spans="1:14" s="2" customFormat="1">
      <c r="A6060" s="83"/>
      <c r="H6060" s="83"/>
      <c r="K6060" s="82"/>
      <c r="M6060" s="112"/>
      <c r="N6060" s="84"/>
    </row>
    <row r="6061" spans="1:14" s="2" customFormat="1">
      <c r="A6061" s="83"/>
      <c r="H6061" s="83"/>
      <c r="K6061" s="82"/>
      <c r="M6061" s="112"/>
      <c r="N6061" s="84"/>
    </row>
    <row r="6062" spans="1:14" s="2" customFormat="1">
      <c r="A6062" s="83"/>
      <c r="H6062" s="83"/>
      <c r="K6062" s="82"/>
      <c r="M6062" s="112"/>
      <c r="N6062" s="84"/>
    </row>
    <row r="6063" spans="1:14" s="2" customFormat="1">
      <c r="A6063" s="83"/>
      <c r="H6063" s="83"/>
      <c r="K6063" s="82"/>
      <c r="M6063" s="112"/>
      <c r="N6063" s="84"/>
    </row>
    <row r="6064" spans="1:14" s="2" customFormat="1">
      <c r="A6064" s="83"/>
      <c r="H6064" s="83"/>
      <c r="K6064" s="82"/>
      <c r="M6064" s="112"/>
      <c r="N6064" s="84"/>
    </row>
    <row r="6065" spans="1:14" s="2" customFormat="1">
      <c r="A6065" s="83"/>
      <c r="H6065" s="83"/>
      <c r="K6065" s="82"/>
      <c r="M6065" s="112"/>
      <c r="N6065" s="84"/>
    </row>
    <row r="6066" spans="1:14" s="2" customFormat="1">
      <c r="A6066" s="83"/>
      <c r="H6066" s="83"/>
      <c r="K6066" s="82"/>
      <c r="M6066" s="112"/>
      <c r="N6066" s="84"/>
    </row>
    <row r="6067" spans="1:14" s="2" customFormat="1">
      <c r="A6067" s="83"/>
      <c r="H6067" s="83"/>
      <c r="K6067" s="82"/>
      <c r="M6067" s="112"/>
      <c r="N6067" s="84"/>
    </row>
    <row r="6068" spans="1:14" s="2" customFormat="1">
      <c r="A6068" s="83"/>
      <c r="H6068" s="83"/>
      <c r="K6068" s="82"/>
      <c r="M6068" s="112"/>
      <c r="N6068" s="84"/>
    </row>
    <row r="6069" spans="1:14" s="2" customFormat="1">
      <c r="A6069" s="83"/>
      <c r="H6069" s="83"/>
      <c r="K6069" s="82"/>
      <c r="M6069" s="112"/>
      <c r="N6069" s="84"/>
    </row>
    <row r="6070" spans="1:14" s="2" customFormat="1">
      <c r="A6070" s="83"/>
      <c r="H6070" s="83"/>
      <c r="K6070" s="82"/>
      <c r="M6070" s="112"/>
      <c r="N6070" s="84"/>
    </row>
    <row r="6071" spans="1:14" s="2" customFormat="1">
      <c r="A6071" s="83"/>
      <c r="H6071" s="83"/>
      <c r="K6071" s="82"/>
      <c r="M6071" s="112"/>
      <c r="N6071" s="84"/>
    </row>
    <row r="6072" spans="1:14" s="2" customFormat="1">
      <c r="A6072" s="83"/>
      <c r="H6072" s="83"/>
      <c r="K6072" s="82"/>
      <c r="M6072" s="112"/>
      <c r="N6072" s="84"/>
    </row>
    <row r="6073" spans="1:14" s="2" customFormat="1">
      <c r="A6073" s="83"/>
      <c r="H6073" s="83"/>
      <c r="K6073" s="82"/>
      <c r="M6073" s="112"/>
      <c r="N6073" s="84"/>
    </row>
    <row r="6074" spans="1:14" s="2" customFormat="1">
      <c r="A6074" s="83"/>
      <c r="H6074" s="83"/>
      <c r="K6074" s="82"/>
      <c r="M6074" s="112"/>
      <c r="N6074" s="84"/>
    </row>
    <row r="6075" spans="1:14" s="2" customFormat="1">
      <c r="A6075" s="83"/>
      <c r="H6075" s="83"/>
      <c r="K6075" s="82"/>
      <c r="M6075" s="112"/>
      <c r="N6075" s="84"/>
    </row>
    <row r="6076" spans="1:14" s="2" customFormat="1">
      <c r="A6076" s="83"/>
      <c r="H6076" s="83"/>
      <c r="K6076" s="82"/>
      <c r="M6076" s="112"/>
      <c r="N6076" s="84"/>
    </row>
    <row r="6077" spans="1:14" s="2" customFormat="1">
      <c r="A6077" s="83"/>
      <c r="H6077" s="83"/>
      <c r="K6077" s="82"/>
      <c r="M6077" s="112"/>
      <c r="N6077" s="84"/>
    </row>
    <row r="6078" spans="1:14" s="2" customFormat="1">
      <c r="A6078" s="83"/>
      <c r="H6078" s="83"/>
      <c r="K6078" s="82"/>
      <c r="M6078" s="112"/>
      <c r="N6078" s="84"/>
    </row>
    <row r="6079" spans="1:14" s="2" customFormat="1">
      <c r="A6079" s="83"/>
      <c r="H6079" s="83"/>
      <c r="K6079" s="82"/>
      <c r="M6079" s="112"/>
      <c r="N6079" s="84"/>
    </row>
    <row r="6080" spans="1:14" s="2" customFormat="1">
      <c r="A6080" s="83"/>
      <c r="H6080" s="83"/>
      <c r="K6080" s="82"/>
      <c r="M6080" s="112"/>
      <c r="N6080" s="84"/>
    </row>
    <row r="6081" spans="1:14" s="2" customFormat="1">
      <c r="A6081" s="83"/>
      <c r="H6081" s="83"/>
      <c r="K6081" s="82"/>
      <c r="M6081" s="112"/>
      <c r="N6081" s="84"/>
    </row>
    <row r="6082" spans="1:14" s="2" customFormat="1">
      <c r="A6082" s="83"/>
      <c r="H6082" s="83"/>
      <c r="K6082" s="82"/>
      <c r="M6082" s="112"/>
      <c r="N6082" s="84"/>
    </row>
    <row r="6083" spans="1:14" s="2" customFormat="1">
      <c r="A6083" s="83"/>
      <c r="H6083" s="83"/>
      <c r="K6083" s="82"/>
      <c r="M6083" s="112"/>
      <c r="N6083" s="84"/>
    </row>
    <row r="6084" spans="1:14" s="2" customFormat="1">
      <c r="A6084" s="83"/>
      <c r="H6084" s="83"/>
      <c r="K6084" s="82"/>
      <c r="M6084" s="112"/>
      <c r="N6084" s="84"/>
    </row>
    <row r="6085" spans="1:14" s="2" customFormat="1">
      <c r="A6085" s="83"/>
      <c r="H6085" s="83"/>
      <c r="K6085" s="82"/>
      <c r="M6085" s="112"/>
      <c r="N6085" s="84"/>
    </row>
    <row r="6086" spans="1:14" s="2" customFormat="1">
      <c r="A6086" s="83"/>
      <c r="H6086" s="83"/>
      <c r="K6086" s="82"/>
      <c r="M6086" s="112"/>
      <c r="N6086" s="84"/>
    </row>
    <row r="6087" spans="1:14" s="2" customFormat="1">
      <c r="A6087" s="83"/>
      <c r="H6087" s="83"/>
      <c r="K6087" s="82"/>
      <c r="M6087" s="112"/>
      <c r="N6087" s="84"/>
    </row>
    <row r="6088" spans="1:14" s="2" customFormat="1">
      <c r="A6088" s="83"/>
      <c r="H6088" s="83"/>
      <c r="K6088" s="82"/>
      <c r="M6088" s="112"/>
      <c r="N6088" s="84"/>
    </row>
    <row r="6089" spans="1:14" s="2" customFormat="1">
      <c r="A6089" s="83"/>
      <c r="H6089" s="83"/>
      <c r="K6089" s="82"/>
      <c r="M6089" s="112"/>
      <c r="N6089" s="84"/>
    </row>
    <row r="6090" spans="1:14" s="2" customFormat="1">
      <c r="A6090" s="83"/>
      <c r="H6090" s="83"/>
      <c r="K6090" s="82"/>
      <c r="M6090" s="112"/>
      <c r="N6090" s="84"/>
    </row>
    <row r="6091" spans="1:14" s="2" customFormat="1">
      <c r="A6091" s="83"/>
      <c r="H6091" s="83"/>
      <c r="K6091" s="82"/>
      <c r="M6091" s="112"/>
      <c r="N6091" s="84"/>
    </row>
    <row r="6092" spans="1:14" s="2" customFormat="1">
      <c r="A6092" s="83"/>
      <c r="H6092" s="83"/>
      <c r="K6092" s="82"/>
      <c r="M6092" s="112"/>
      <c r="N6092" s="84"/>
    </row>
    <row r="6093" spans="1:14" s="2" customFormat="1">
      <c r="A6093" s="83"/>
      <c r="H6093" s="83"/>
      <c r="K6093" s="82"/>
      <c r="M6093" s="112"/>
      <c r="N6093" s="84"/>
    </row>
    <row r="6094" spans="1:14" s="2" customFormat="1">
      <c r="A6094" s="83"/>
      <c r="H6094" s="83"/>
      <c r="K6094" s="82"/>
      <c r="M6094" s="112"/>
      <c r="N6094" s="84"/>
    </row>
    <row r="6095" spans="1:14" s="2" customFormat="1">
      <c r="A6095" s="83"/>
      <c r="H6095" s="83"/>
      <c r="K6095" s="82"/>
      <c r="M6095" s="112"/>
      <c r="N6095" s="84"/>
    </row>
    <row r="6096" spans="1:14" s="2" customFormat="1">
      <c r="A6096" s="83"/>
      <c r="H6096" s="83"/>
      <c r="K6096" s="82"/>
      <c r="M6096" s="112"/>
      <c r="N6096" s="84"/>
    </row>
    <row r="6097" spans="1:14" s="2" customFormat="1">
      <c r="A6097" s="83"/>
      <c r="H6097" s="83"/>
      <c r="K6097" s="82"/>
      <c r="M6097" s="112"/>
      <c r="N6097" s="84"/>
    </row>
    <row r="6098" spans="1:14" s="2" customFormat="1">
      <c r="A6098" s="83"/>
      <c r="H6098" s="83"/>
      <c r="K6098" s="82"/>
      <c r="M6098" s="112"/>
      <c r="N6098" s="84"/>
    </row>
    <row r="6099" spans="1:14" s="2" customFormat="1">
      <c r="A6099" s="83"/>
      <c r="H6099" s="83"/>
      <c r="K6099" s="82"/>
      <c r="M6099" s="112"/>
      <c r="N6099" s="84"/>
    </row>
    <row r="6100" spans="1:14" s="2" customFormat="1">
      <c r="A6100" s="83"/>
      <c r="H6100" s="83"/>
      <c r="K6100" s="82"/>
      <c r="M6100" s="112"/>
      <c r="N6100" s="84"/>
    </row>
    <row r="6101" spans="1:14" s="2" customFormat="1">
      <c r="A6101" s="83"/>
      <c r="H6101" s="83"/>
      <c r="K6101" s="82"/>
      <c r="M6101" s="112"/>
      <c r="N6101" s="84"/>
    </row>
    <row r="6102" spans="1:14" s="2" customFormat="1">
      <c r="A6102" s="83"/>
      <c r="H6102" s="83"/>
      <c r="K6102" s="82"/>
      <c r="M6102" s="112"/>
      <c r="N6102" s="84"/>
    </row>
    <row r="6103" spans="1:14" s="2" customFormat="1">
      <c r="A6103" s="83"/>
      <c r="H6103" s="83"/>
      <c r="K6103" s="82"/>
      <c r="M6103" s="112"/>
      <c r="N6103" s="84"/>
    </row>
    <row r="6104" spans="1:14" s="2" customFormat="1">
      <c r="A6104" s="83"/>
      <c r="H6104" s="83"/>
      <c r="K6104" s="82"/>
      <c r="M6104" s="112"/>
      <c r="N6104" s="84"/>
    </row>
    <row r="6105" spans="1:14" s="2" customFormat="1">
      <c r="A6105" s="83"/>
      <c r="H6105" s="83"/>
      <c r="K6105" s="82"/>
      <c r="M6105" s="112"/>
      <c r="N6105" s="84"/>
    </row>
    <row r="6106" spans="1:14" s="2" customFormat="1">
      <c r="A6106" s="83"/>
      <c r="H6106" s="83"/>
      <c r="K6106" s="82"/>
      <c r="M6106" s="112"/>
      <c r="N6106" s="84"/>
    </row>
    <row r="6107" spans="1:14" s="2" customFormat="1">
      <c r="A6107" s="83"/>
      <c r="H6107" s="83"/>
      <c r="K6107" s="82"/>
      <c r="M6107" s="112"/>
      <c r="N6107" s="84"/>
    </row>
    <row r="6108" spans="1:14" s="2" customFormat="1">
      <c r="A6108" s="83"/>
      <c r="H6108" s="83"/>
      <c r="K6108" s="82"/>
      <c r="M6108" s="112"/>
      <c r="N6108" s="84"/>
    </row>
    <row r="6109" spans="1:14" s="2" customFormat="1">
      <c r="A6109" s="83"/>
      <c r="H6109" s="83"/>
      <c r="K6109" s="82"/>
      <c r="M6109" s="112"/>
      <c r="N6109" s="84"/>
    </row>
    <row r="6110" spans="1:14" s="2" customFormat="1">
      <c r="A6110" s="83"/>
      <c r="H6110" s="83"/>
      <c r="K6110" s="82"/>
      <c r="M6110" s="112"/>
      <c r="N6110" s="84"/>
    </row>
    <row r="6111" spans="1:14" s="2" customFormat="1">
      <c r="A6111" s="83"/>
      <c r="H6111" s="83"/>
      <c r="K6111" s="82"/>
      <c r="M6111" s="112"/>
      <c r="N6111" s="84"/>
    </row>
    <row r="6112" spans="1:14" s="2" customFormat="1">
      <c r="A6112" s="83"/>
      <c r="H6112" s="83"/>
      <c r="K6112" s="82"/>
      <c r="M6112" s="112"/>
      <c r="N6112" s="84"/>
    </row>
    <row r="6113" spans="1:14" s="2" customFormat="1">
      <c r="A6113" s="83"/>
      <c r="H6113" s="83"/>
      <c r="K6113" s="82"/>
      <c r="M6113" s="112"/>
      <c r="N6113" s="84"/>
    </row>
    <row r="6114" spans="1:14" s="2" customFormat="1">
      <c r="A6114" s="83"/>
      <c r="H6114" s="83"/>
      <c r="K6114" s="82"/>
      <c r="M6114" s="112"/>
      <c r="N6114" s="84"/>
    </row>
    <row r="6115" spans="1:14" s="2" customFormat="1">
      <c r="A6115" s="83"/>
      <c r="H6115" s="83"/>
      <c r="K6115" s="82"/>
      <c r="M6115" s="112"/>
      <c r="N6115" s="84"/>
    </row>
    <row r="6116" spans="1:14" s="2" customFormat="1">
      <c r="A6116" s="83"/>
      <c r="H6116" s="83"/>
      <c r="K6116" s="82"/>
      <c r="M6116" s="112"/>
      <c r="N6116" s="84"/>
    </row>
    <row r="6117" spans="1:14" s="2" customFormat="1">
      <c r="A6117" s="83"/>
      <c r="H6117" s="83"/>
      <c r="K6117" s="82"/>
      <c r="M6117" s="112"/>
      <c r="N6117" s="84"/>
    </row>
    <row r="6118" spans="1:14" s="2" customFormat="1">
      <c r="A6118" s="83"/>
      <c r="H6118" s="83"/>
      <c r="K6118" s="82"/>
      <c r="M6118" s="112"/>
      <c r="N6118" s="84"/>
    </row>
    <row r="6119" spans="1:14" s="2" customFormat="1">
      <c r="A6119" s="83"/>
      <c r="H6119" s="83"/>
      <c r="K6119" s="82"/>
      <c r="M6119" s="112"/>
      <c r="N6119" s="84"/>
    </row>
    <row r="6120" spans="1:14" s="2" customFormat="1">
      <c r="A6120" s="83"/>
      <c r="H6120" s="83"/>
      <c r="K6120" s="82"/>
      <c r="M6120" s="112"/>
      <c r="N6120" s="84"/>
    </row>
    <row r="6121" spans="1:14" s="2" customFormat="1">
      <c r="A6121" s="83"/>
      <c r="H6121" s="83"/>
      <c r="K6121" s="82"/>
      <c r="M6121" s="112"/>
      <c r="N6121" s="84"/>
    </row>
    <row r="6122" spans="1:14" s="2" customFormat="1">
      <c r="A6122" s="83"/>
      <c r="H6122" s="83"/>
      <c r="K6122" s="82"/>
      <c r="M6122" s="112"/>
      <c r="N6122" s="84"/>
    </row>
    <row r="6123" spans="1:14" s="2" customFormat="1">
      <c r="A6123" s="83"/>
      <c r="H6123" s="83"/>
      <c r="K6123" s="82"/>
      <c r="M6123" s="112"/>
      <c r="N6123" s="84"/>
    </row>
    <row r="6124" spans="1:14" s="2" customFormat="1">
      <c r="A6124" s="83"/>
      <c r="H6124" s="83"/>
      <c r="K6124" s="82"/>
      <c r="M6124" s="112"/>
      <c r="N6124" s="84"/>
    </row>
    <row r="6125" spans="1:14" s="2" customFormat="1">
      <c r="A6125" s="83"/>
      <c r="H6125" s="83"/>
      <c r="K6125" s="82"/>
      <c r="M6125" s="112"/>
      <c r="N6125" s="84"/>
    </row>
    <row r="6126" spans="1:14" s="2" customFormat="1">
      <c r="A6126" s="83"/>
      <c r="H6126" s="83"/>
      <c r="K6126" s="82"/>
      <c r="M6126" s="112"/>
      <c r="N6126" s="84"/>
    </row>
    <row r="6127" spans="1:14" s="2" customFormat="1">
      <c r="A6127" s="83"/>
      <c r="H6127" s="83"/>
      <c r="K6127" s="82"/>
      <c r="M6127" s="112"/>
      <c r="N6127" s="84"/>
    </row>
    <row r="6128" spans="1:14" s="2" customFormat="1">
      <c r="A6128" s="83"/>
      <c r="H6128" s="83"/>
      <c r="K6128" s="82"/>
      <c r="M6128" s="112"/>
      <c r="N6128" s="84"/>
    </row>
    <row r="6129" spans="1:14" s="2" customFormat="1">
      <c r="A6129" s="83"/>
      <c r="H6129" s="83"/>
      <c r="K6129" s="82"/>
      <c r="M6129" s="112"/>
      <c r="N6129" s="84"/>
    </row>
    <row r="6130" spans="1:14" s="2" customFormat="1">
      <c r="A6130" s="83"/>
      <c r="H6130" s="83"/>
      <c r="K6130" s="82"/>
      <c r="M6130" s="112"/>
      <c r="N6130" s="84"/>
    </row>
    <row r="6131" spans="1:14" s="2" customFormat="1">
      <c r="A6131" s="83"/>
      <c r="H6131" s="83"/>
      <c r="K6131" s="82"/>
      <c r="M6131" s="112"/>
      <c r="N6131" s="84"/>
    </row>
    <row r="6132" spans="1:14" s="2" customFormat="1">
      <c r="A6132" s="83"/>
      <c r="H6132" s="83"/>
      <c r="K6132" s="82"/>
      <c r="M6132" s="112"/>
      <c r="N6132" s="84"/>
    </row>
    <row r="6133" spans="1:14" s="2" customFormat="1">
      <c r="A6133" s="83"/>
      <c r="H6133" s="83"/>
      <c r="K6133" s="82"/>
      <c r="M6133" s="112"/>
      <c r="N6133" s="84"/>
    </row>
    <row r="6134" spans="1:14" s="2" customFormat="1">
      <c r="A6134" s="83"/>
      <c r="H6134" s="83"/>
      <c r="K6134" s="82"/>
      <c r="M6134" s="112"/>
      <c r="N6134" s="84"/>
    </row>
    <row r="6135" spans="1:14" s="2" customFormat="1">
      <c r="A6135" s="83"/>
      <c r="H6135" s="83"/>
      <c r="K6135" s="82"/>
      <c r="M6135" s="112"/>
      <c r="N6135" s="84"/>
    </row>
    <row r="6136" spans="1:14" s="2" customFormat="1">
      <c r="A6136" s="83"/>
      <c r="H6136" s="83"/>
      <c r="K6136" s="82"/>
      <c r="M6136" s="112"/>
      <c r="N6136" s="84"/>
    </row>
    <row r="6137" spans="1:14" s="2" customFormat="1">
      <c r="A6137" s="83"/>
      <c r="H6137" s="83"/>
      <c r="K6137" s="82"/>
      <c r="M6137" s="112"/>
      <c r="N6137" s="84"/>
    </row>
    <row r="6138" spans="1:14" s="2" customFormat="1">
      <c r="A6138" s="83"/>
      <c r="H6138" s="83"/>
      <c r="K6138" s="82"/>
      <c r="M6138" s="112"/>
      <c r="N6138" s="84"/>
    </row>
    <row r="6139" spans="1:14" s="2" customFormat="1">
      <c r="A6139" s="83"/>
      <c r="H6139" s="83"/>
      <c r="K6139" s="82"/>
      <c r="M6139" s="112"/>
      <c r="N6139" s="84"/>
    </row>
    <row r="6140" spans="1:14" s="2" customFormat="1">
      <c r="A6140" s="83"/>
      <c r="H6140" s="83"/>
      <c r="K6140" s="82"/>
      <c r="M6140" s="112"/>
      <c r="N6140" s="84"/>
    </row>
    <row r="6141" spans="1:14" s="2" customFormat="1">
      <c r="A6141" s="83"/>
      <c r="H6141" s="83"/>
      <c r="K6141" s="82"/>
      <c r="M6141" s="112"/>
      <c r="N6141" s="84"/>
    </row>
    <row r="6142" spans="1:14" s="2" customFormat="1">
      <c r="A6142" s="83"/>
      <c r="H6142" s="83"/>
      <c r="K6142" s="82"/>
      <c r="M6142" s="112"/>
      <c r="N6142" s="84"/>
    </row>
    <row r="6143" spans="1:14" s="2" customFormat="1">
      <c r="A6143" s="83"/>
      <c r="H6143" s="83"/>
      <c r="K6143" s="82"/>
      <c r="M6143" s="112"/>
      <c r="N6143" s="84"/>
    </row>
    <row r="6144" spans="1:14" s="2" customFormat="1">
      <c r="A6144" s="83"/>
      <c r="H6144" s="83"/>
      <c r="K6144" s="82"/>
      <c r="M6144" s="112"/>
      <c r="N6144" s="84"/>
    </row>
    <row r="6145" spans="1:14" s="2" customFormat="1">
      <c r="A6145" s="83"/>
      <c r="H6145" s="83"/>
      <c r="K6145" s="82"/>
      <c r="M6145" s="112"/>
      <c r="N6145" s="84"/>
    </row>
    <row r="6146" spans="1:14" s="2" customFormat="1">
      <c r="A6146" s="83"/>
      <c r="H6146" s="83"/>
      <c r="K6146" s="82"/>
      <c r="M6146" s="112"/>
      <c r="N6146" s="84"/>
    </row>
    <row r="6147" spans="1:14" s="2" customFormat="1">
      <c r="A6147" s="83"/>
      <c r="H6147" s="83"/>
      <c r="K6147" s="82"/>
      <c r="M6147" s="112"/>
      <c r="N6147" s="84"/>
    </row>
    <row r="6148" spans="1:14" s="2" customFormat="1">
      <c r="A6148" s="83"/>
      <c r="H6148" s="83"/>
      <c r="K6148" s="82"/>
      <c r="M6148" s="112"/>
      <c r="N6148" s="84"/>
    </row>
    <row r="6149" spans="1:14" s="2" customFormat="1">
      <c r="A6149" s="83"/>
      <c r="H6149" s="83"/>
      <c r="K6149" s="82"/>
      <c r="M6149" s="112"/>
      <c r="N6149" s="84"/>
    </row>
    <row r="6150" spans="1:14" s="2" customFormat="1">
      <c r="A6150" s="83"/>
      <c r="H6150" s="83"/>
      <c r="K6150" s="82"/>
      <c r="M6150" s="112"/>
      <c r="N6150" s="84"/>
    </row>
    <row r="6151" spans="1:14" s="2" customFormat="1">
      <c r="A6151" s="83"/>
      <c r="H6151" s="83"/>
      <c r="K6151" s="82"/>
      <c r="M6151" s="112"/>
      <c r="N6151" s="84"/>
    </row>
    <row r="6152" spans="1:14" s="2" customFormat="1">
      <c r="A6152" s="83"/>
      <c r="H6152" s="83"/>
      <c r="K6152" s="82"/>
      <c r="M6152" s="112"/>
      <c r="N6152" s="84"/>
    </row>
    <row r="6153" spans="1:14" s="2" customFormat="1">
      <c r="A6153" s="83"/>
      <c r="H6153" s="83"/>
      <c r="K6153" s="82"/>
      <c r="M6153" s="112"/>
      <c r="N6153" s="84"/>
    </row>
    <row r="6154" spans="1:14" s="2" customFormat="1">
      <c r="A6154" s="83"/>
      <c r="H6154" s="83"/>
      <c r="K6154" s="82"/>
      <c r="M6154" s="112"/>
      <c r="N6154" s="84"/>
    </row>
    <row r="6155" spans="1:14" s="2" customFormat="1">
      <c r="A6155" s="83"/>
      <c r="H6155" s="83"/>
      <c r="K6155" s="82"/>
      <c r="M6155" s="112"/>
      <c r="N6155" s="84"/>
    </row>
    <row r="6156" spans="1:14" s="2" customFormat="1">
      <c r="A6156" s="83"/>
      <c r="H6156" s="83"/>
      <c r="K6156" s="82"/>
      <c r="M6156" s="112"/>
      <c r="N6156" s="84"/>
    </row>
    <row r="6157" spans="1:14" s="2" customFormat="1">
      <c r="A6157" s="83"/>
      <c r="H6157" s="83"/>
      <c r="K6157" s="82"/>
      <c r="M6157" s="112"/>
      <c r="N6157" s="84"/>
    </row>
    <row r="6158" spans="1:14" s="2" customFormat="1">
      <c r="A6158" s="83"/>
      <c r="H6158" s="83"/>
      <c r="K6158" s="82"/>
      <c r="M6158" s="112"/>
      <c r="N6158" s="84"/>
    </row>
    <row r="6159" spans="1:14" s="2" customFormat="1">
      <c r="A6159" s="83"/>
      <c r="H6159" s="83"/>
      <c r="K6159" s="82"/>
      <c r="M6159" s="112"/>
      <c r="N6159" s="84"/>
    </row>
    <row r="6160" spans="1:14" s="2" customFormat="1">
      <c r="A6160" s="83"/>
      <c r="H6160" s="83"/>
      <c r="K6160" s="82"/>
      <c r="M6160" s="112"/>
      <c r="N6160" s="84"/>
    </row>
    <row r="6161" spans="1:14" s="2" customFormat="1">
      <c r="A6161" s="83"/>
      <c r="H6161" s="83"/>
      <c r="K6161" s="82"/>
      <c r="M6161" s="112"/>
      <c r="N6161" s="84"/>
    </row>
    <row r="6162" spans="1:14" s="2" customFormat="1">
      <c r="A6162" s="83"/>
      <c r="H6162" s="83"/>
      <c r="K6162" s="82"/>
      <c r="M6162" s="112"/>
      <c r="N6162" s="84"/>
    </row>
    <row r="6163" spans="1:14" s="2" customFormat="1">
      <c r="A6163" s="83"/>
      <c r="H6163" s="83"/>
      <c r="K6163" s="82"/>
      <c r="M6163" s="112"/>
      <c r="N6163" s="84"/>
    </row>
    <row r="6164" spans="1:14" s="2" customFormat="1">
      <c r="A6164" s="83"/>
      <c r="H6164" s="83"/>
      <c r="K6164" s="82"/>
      <c r="M6164" s="112"/>
      <c r="N6164" s="84"/>
    </row>
    <row r="6165" spans="1:14" s="2" customFormat="1">
      <c r="A6165" s="83"/>
      <c r="H6165" s="83"/>
      <c r="K6165" s="82"/>
      <c r="M6165" s="112"/>
      <c r="N6165" s="84"/>
    </row>
    <row r="6166" spans="1:14" s="2" customFormat="1">
      <c r="A6166" s="83"/>
      <c r="H6166" s="83"/>
      <c r="K6166" s="82"/>
      <c r="M6166" s="112"/>
      <c r="N6166" s="84"/>
    </row>
    <row r="6167" spans="1:14" s="2" customFormat="1">
      <c r="A6167" s="83"/>
      <c r="H6167" s="83"/>
      <c r="K6167" s="82"/>
      <c r="M6167" s="112"/>
      <c r="N6167" s="84"/>
    </row>
    <row r="6168" spans="1:14" s="2" customFormat="1">
      <c r="A6168" s="83"/>
      <c r="H6168" s="83"/>
      <c r="K6168" s="82"/>
      <c r="M6168" s="112"/>
      <c r="N6168" s="84"/>
    </row>
    <row r="6169" spans="1:14" s="2" customFormat="1">
      <c r="A6169" s="83"/>
      <c r="H6169" s="83"/>
      <c r="K6169" s="82"/>
      <c r="M6169" s="112"/>
      <c r="N6169" s="84"/>
    </row>
    <row r="6170" spans="1:14" s="2" customFormat="1">
      <c r="A6170" s="83"/>
      <c r="H6170" s="83"/>
      <c r="K6170" s="82"/>
      <c r="M6170" s="112"/>
      <c r="N6170" s="84"/>
    </row>
    <row r="6171" spans="1:14" s="2" customFormat="1">
      <c r="A6171" s="83"/>
      <c r="H6171" s="83"/>
      <c r="K6171" s="82"/>
      <c r="M6171" s="112"/>
      <c r="N6171" s="84"/>
    </row>
    <row r="6172" spans="1:14" s="2" customFormat="1">
      <c r="A6172" s="83"/>
      <c r="H6172" s="83"/>
      <c r="K6172" s="82"/>
      <c r="M6172" s="112"/>
      <c r="N6172" s="84"/>
    </row>
    <row r="6173" spans="1:14" s="2" customFormat="1">
      <c r="A6173" s="83"/>
      <c r="H6173" s="83"/>
      <c r="K6173" s="82"/>
      <c r="M6173" s="112"/>
      <c r="N6173" s="84"/>
    </row>
    <row r="6174" spans="1:14" s="2" customFormat="1">
      <c r="A6174" s="83"/>
      <c r="H6174" s="83"/>
      <c r="K6174" s="82"/>
      <c r="M6174" s="112"/>
      <c r="N6174" s="84"/>
    </row>
    <row r="6175" spans="1:14" s="2" customFormat="1">
      <c r="A6175" s="83"/>
      <c r="H6175" s="83"/>
      <c r="K6175" s="82"/>
      <c r="M6175" s="112"/>
      <c r="N6175" s="84"/>
    </row>
    <row r="6176" spans="1:14" s="2" customFormat="1">
      <c r="A6176" s="83"/>
      <c r="H6176" s="83"/>
      <c r="K6176" s="82"/>
      <c r="M6176" s="112"/>
      <c r="N6176" s="84"/>
    </row>
    <row r="6177" spans="1:14" s="2" customFormat="1">
      <c r="A6177" s="83"/>
      <c r="H6177" s="83"/>
      <c r="K6177" s="82"/>
      <c r="M6177" s="112"/>
      <c r="N6177" s="84"/>
    </row>
    <row r="6178" spans="1:14" s="2" customFormat="1">
      <c r="A6178" s="83"/>
      <c r="H6178" s="83"/>
      <c r="K6178" s="82"/>
      <c r="M6178" s="112"/>
      <c r="N6178" s="84"/>
    </row>
    <row r="6179" spans="1:14" s="2" customFormat="1">
      <c r="A6179" s="83"/>
      <c r="H6179" s="83"/>
      <c r="K6179" s="82"/>
      <c r="M6179" s="112"/>
      <c r="N6179" s="84"/>
    </row>
    <row r="6180" spans="1:14" s="2" customFormat="1">
      <c r="A6180" s="83"/>
      <c r="H6180" s="83"/>
      <c r="K6180" s="82"/>
      <c r="M6180" s="112"/>
      <c r="N6180" s="84"/>
    </row>
    <row r="6181" spans="1:14" s="2" customFormat="1">
      <c r="A6181" s="83"/>
      <c r="H6181" s="83"/>
      <c r="K6181" s="82"/>
      <c r="M6181" s="112"/>
      <c r="N6181" s="84"/>
    </row>
    <row r="6182" spans="1:14" s="2" customFormat="1">
      <c r="A6182" s="83"/>
      <c r="H6182" s="83"/>
      <c r="K6182" s="82"/>
      <c r="M6182" s="112"/>
      <c r="N6182" s="84"/>
    </row>
    <row r="6183" spans="1:14" s="2" customFormat="1">
      <c r="A6183" s="83"/>
      <c r="H6183" s="83"/>
      <c r="K6183" s="82"/>
      <c r="M6183" s="112"/>
      <c r="N6183" s="84"/>
    </row>
    <row r="6184" spans="1:14" s="2" customFormat="1">
      <c r="A6184" s="83"/>
      <c r="H6184" s="83"/>
      <c r="K6184" s="82"/>
      <c r="M6184" s="112"/>
      <c r="N6184" s="84"/>
    </row>
    <row r="6185" spans="1:14" s="2" customFormat="1">
      <c r="A6185" s="83"/>
      <c r="H6185" s="83"/>
      <c r="K6185" s="82"/>
      <c r="M6185" s="112"/>
      <c r="N6185" s="84"/>
    </row>
    <row r="6186" spans="1:14" s="2" customFormat="1">
      <c r="A6186" s="83"/>
      <c r="H6186" s="83"/>
      <c r="K6186" s="82"/>
      <c r="M6186" s="112"/>
      <c r="N6186" s="84"/>
    </row>
    <row r="6187" spans="1:14" s="2" customFormat="1">
      <c r="A6187" s="83"/>
      <c r="H6187" s="83"/>
      <c r="K6187" s="82"/>
      <c r="M6187" s="112"/>
      <c r="N6187" s="84"/>
    </row>
    <row r="6188" spans="1:14" s="2" customFormat="1">
      <c r="A6188" s="83"/>
      <c r="H6188" s="83"/>
      <c r="K6188" s="82"/>
      <c r="M6188" s="112"/>
      <c r="N6188" s="84"/>
    </row>
    <row r="6189" spans="1:14" s="2" customFormat="1">
      <c r="A6189" s="83"/>
      <c r="H6189" s="83"/>
      <c r="K6189" s="82"/>
      <c r="M6189" s="112"/>
      <c r="N6189" s="84"/>
    </row>
    <row r="6190" spans="1:14" s="2" customFormat="1">
      <c r="A6190" s="83"/>
      <c r="H6190" s="83"/>
      <c r="K6190" s="82"/>
      <c r="M6190" s="112"/>
      <c r="N6190" s="84"/>
    </row>
    <row r="6191" spans="1:14" s="2" customFormat="1">
      <c r="A6191" s="83"/>
      <c r="H6191" s="83"/>
      <c r="K6191" s="82"/>
      <c r="M6191" s="112"/>
      <c r="N6191" s="84"/>
    </row>
    <row r="6192" spans="1:14" s="2" customFormat="1">
      <c r="A6192" s="83"/>
      <c r="H6192" s="83"/>
      <c r="K6192" s="82"/>
      <c r="M6192" s="112"/>
      <c r="N6192" s="84"/>
    </row>
    <row r="6193" spans="1:14" s="2" customFormat="1">
      <c r="A6193" s="83"/>
      <c r="H6193" s="83"/>
      <c r="K6193" s="82"/>
      <c r="M6193" s="112"/>
      <c r="N6193" s="84"/>
    </row>
    <row r="6194" spans="1:14" s="2" customFormat="1">
      <c r="A6194" s="83"/>
      <c r="H6194" s="83"/>
      <c r="K6194" s="82"/>
      <c r="M6194" s="112"/>
      <c r="N6194" s="84"/>
    </row>
    <row r="6195" spans="1:14" s="2" customFormat="1">
      <c r="A6195" s="83"/>
      <c r="H6195" s="83"/>
      <c r="K6195" s="82"/>
      <c r="M6195" s="112"/>
      <c r="N6195" s="84"/>
    </row>
    <row r="6196" spans="1:14" s="2" customFormat="1">
      <c r="A6196" s="83"/>
      <c r="H6196" s="83"/>
      <c r="K6196" s="82"/>
      <c r="M6196" s="112"/>
      <c r="N6196" s="84"/>
    </row>
    <row r="6197" spans="1:14" s="2" customFormat="1">
      <c r="A6197" s="83"/>
      <c r="H6197" s="83"/>
      <c r="K6197" s="82"/>
      <c r="M6197" s="112"/>
      <c r="N6197" s="84"/>
    </row>
    <row r="6198" spans="1:14" s="2" customFormat="1">
      <c r="A6198" s="83"/>
      <c r="H6198" s="83"/>
      <c r="K6198" s="82"/>
      <c r="M6198" s="112"/>
      <c r="N6198" s="84"/>
    </row>
    <row r="6199" spans="1:14" s="2" customFormat="1">
      <c r="A6199" s="83"/>
      <c r="H6199" s="83"/>
      <c r="K6199" s="82"/>
      <c r="M6199" s="112"/>
      <c r="N6199" s="84"/>
    </row>
    <row r="6200" spans="1:14" s="2" customFormat="1">
      <c r="A6200" s="83"/>
      <c r="H6200" s="83"/>
      <c r="K6200" s="82"/>
      <c r="M6200" s="112"/>
      <c r="N6200" s="84"/>
    </row>
    <row r="6201" spans="1:14" s="2" customFormat="1">
      <c r="A6201" s="83"/>
      <c r="H6201" s="83"/>
      <c r="K6201" s="82"/>
      <c r="M6201" s="112"/>
      <c r="N6201" s="84"/>
    </row>
    <row r="6202" spans="1:14" s="2" customFormat="1">
      <c r="A6202" s="83"/>
      <c r="H6202" s="83"/>
      <c r="K6202" s="82"/>
      <c r="M6202" s="112"/>
      <c r="N6202" s="84"/>
    </row>
    <row r="6203" spans="1:14" s="2" customFormat="1">
      <c r="A6203" s="83"/>
      <c r="H6203" s="83"/>
      <c r="K6203" s="82"/>
      <c r="M6203" s="112"/>
      <c r="N6203" s="84"/>
    </row>
    <row r="6204" spans="1:14" s="2" customFormat="1">
      <c r="A6204" s="83"/>
      <c r="H6204" s="83"/>
      <c r="K6204" s="82"/>
      <c r="M6204" s="112"/>
      <c r="N6204" s="84"/>
    </row>
    <row r="6205" spans="1:14" s="2" customFormat="1">
      <c r="A6205" s="83"/>
      <c r="H6205" s="83"/>
      <c r="K6205" s="82"/>
      <c r="M6205" s="112"/>
      <c r="N6205" s="84"/>
    </row>
    <row r="6206" spans="1:14" s="2" customFormat="1">
      <c r="A6206" s="83"/>
      <c r="H6206" s="83"/>
      <c r="K6206" s="82"/>
      <c r="M6206" s="112"/>
      <c r="N6206" s="84"/>
    </row>
    <row r="6207" spans="1:14" s="2" customFormat="1">
      <c r="A6207" s="83"/>
      <c r="H6207" s="83"/>
      <c r="K6207" s="82"/>
      <c r="M6207" s="112"/>
      <c r="N6207" s="84"/>
    </row>
    <row r="6208" spans="1:14" s="2" customFormat="1">
      <c r="A6208" s="83"/>
      <c r="H6208" s="83"/>
      <c r="K6208" s="82"/>
      <c r="M6208" s="112"/>
      <c r="N6208" s="84"/>
    </row>
    <row r="6209" spans="1:14" s="2" customFormat="1">
      <c r="A6209" s="83"/>
      <c r="H6209" s="83"/>
      <c r="K6209" s="82"/>
      <c r="M6209" s="112"/>
      <c r="N6209" s="84"/>
    </row>
    <row r="6210" spans="1:14" s="2" customFormat="1">
      <c r="A6210" s="83"/>
      <c r="H6210" s="83"/>
      <c r="K6210" s="82"/>
      <c r="M6210" s="112"/>
      <c r="N6210" s="84"/>
    </row>
    <row r="6211" spans="1:14" s="2" customFormat="1">
      <c r="A6211" s="83"/>
      <c r="H6211" s="83"/>
      <c r="K6211" s="82"/>
      <c r="M6211" s="112"/>
      <c r="N6211" s="84"/>
    </row>
    <row r="6212" spans="1:14" s="2" customFormat="1">
      <c r="A6212" s="83"/>
      <c r="H6212" s="83"/>
      <c r="K6212" s="82"/>
      <c r="M6212" s="112"/>
      <c r="N6212" s="84"/>
    </row>
    <row r="6213" spans="1:14" s="2" customFormat="1">
      <c r="A6213" s="83"/>
      <c r="H6213" s="83"/>
      <c r="K6213" s="82"/>
      <c r="M6213" s="112"/>
      <c r="N6213" s="84"/>
    </row>
    <row r="6214" spans="1:14" s="2" customFormat="1">
      <c r="A6214" s="83"/>
      <c r="H6214" s="83"/>
      <c r="K6214" s="82"/>
      <c r="M6214" s="112"/>
      <c r="N6214" s="84"/>
    </row>
    <row r="6215" spans="1:14" s="2" customFormat="1">
      <c r="A6215" s="83"/>
      <c r="H6215" s="83"/>
      <c r="K6215" s="82"/>
      <c r="M6215" s="112"/>
      <c r="N6215" s="84"/>
    </row>
    <row r="6216" spans="1:14" s="2" customFormat="1">
      <c r="A6216" s="83"/>
      <c r="H6216" s="83"/>
      <c r="K6216" s="82"/>
      <c r="M6216" s="112"/>
      <c r="N6216" s="84"/>
    </row>
    <row r="6217" spans="1:14" s="2" customFormat="1">
      <c r="A6217" s="83"/>
      <c r="H6217" s="83"/>
      <c r="K6217" s="82"/>
      <c r="M6217" s="112"/>
      <c r="N6217" s="84"/>
    </row>
    <row r="6218" spans="1:14" s="2" customFormat="1">
      <c r="A6218" s="83"/>
      <c r="H6218" s="83"/>
      <c r="K6218" s="82"/>
      <c r="M6218" s="112"/>
      <c r="N6218" s="84"/>
    </row>
    <row r="6219" spans="1:14" s="2" customFormat="1">
      <c r="A6219" s="83"/>
      <c r="H6219" s="83"/>
      <c r="K6219" s="82"/>
      <c r="M6219" s="112"/>
      <c r="N6219" s="84"/>
    </row>
    <row r="6220" spans="1:14" s="2" customFormat="1">
      <c r="A6220" s="83"/>
      <c r="H6220" s="83"/>
      <c r="K6220" s="82"/>
      <c r="M6220" s="112"/>
      <c r="N6220" s="84"/>
    </row>
    <row r="6221" spans="1:14" s="2" customFormat="1">
      <c r="A6221" s="83"/>
      <c r="H6221" s="83"/>
      <c r="K6221" s="82"/>
      <c r="M6221" s="112"/>
      <c r="N6221" s="84"/>
    </row>
    <row r="6222" spans="1:14" s="2" customFormat="1">
      <c r="A6222" s="83"/>
      <c r="H6222" s="83"/>
      <c r="K6222" s="82"/>
      <c r="M6222" s="112"/>
      <c r="N6222" s="84"/>
    </row>
    <row r="6223" spans="1:14" s="2" customFormat="1">
      <c r="A6223" s="83"/>
      <c r="H6223" s="83"/>
      <c r="K6223" s="82"/>
      <c r="M6223" s="112"/>
      <c r="N6223" s="84"/>
    </row>
    <row r="6224" spans="1:14" s="2" customFormat="1">
      <c r="A6224" s="83"/>
      <c r="H6224" s="83"/>
      <c r="K6224" s="82"/>
      <c r="M6224" s="112"/>
      <c r="N6224" s="84"/>
    </row>
    <row r="6225" spans="1:14" s="2" customFormat="1">
      <c r="A6225" s="83"/>
      <c r="H6225" s="83"/>
      <c r="K6225" s="82"/>
      <c r="M6225" s="112"/>
      <c r="N6225" s="84"/>
    </row>
    <row r="6226" spans="1:14" s="2" customFormat="1">
      <c r="A6226" s="83"/>
      <c r="H6226" s="83"/>
      <c r="K6226" s="82"/>
      <c r="M6226" s="112"/>
      <c r="N6226" s="84"/>
    </row>
    <row r="6227" spans="1:14" s="2" customFormat="1">
      <c r="A6227" s="83"/>
      <c r="H6227" s="83"/>
      <c r="K6227" s="82"/>
      <c r="M6227" s="112"/>
      <c r="N6227" s="84"/>
    </row>
    <row r="6228" spans="1:14" s="2" customFormat="1">
      <c r="A6228" s="83"/>
      <c r="H6228" s="83"/>
      <c r="K6228" s="82"/>
      <c r="M6228" s="112"/>
      <c r="N6228" s="84"/>
    </row>
    <row r="6229" spans="1:14" s="2" customFormat="1">
      <c r="A6229" s="83"/>
      <c r="H6229" s="83"/>
      <c r="K6229" s="82"/>
      <c r="M6229" s="112"/>
      <c r="N6229" s="84"/>
    </row>
    <row r="6230" spans="1:14" s="2" customFormat="1">
      <c r="A6230" s="83"/>
      <c r="H6230" s="83"/>
      <c r="K6230" s="82"/>
      <c r="M6230" s="112"/>
      <c r="N6230" s="84"/>
    </row>
    <row r="6231" spans="1:14" s="2" customFormat="1">
      <c r="A6231" s="83"/>
      <c r="H6231" s="83"/>
      <c r="K6231" s="82"/>
      <c r="M6231" s="112"/>
      <c r="N6231" s="84"/>
    </row>
    <row r="6232" spans="1:14" s="2" customFormat="1">
      <c r="A6232" s="83"/>
      <c r="H6232" s="83"/>
      <c r="K6232" s="82"/>
      <c r="M6232" s="112"/>
      <c r="N6232" s="84"/>
    </row>
    <row r="6233" spans="1:14" s="2" customFormat="1">
      <c r="A6233" s="83"/>
      <c r="H6233" s="83"/>
      <c r="K6233" s="82"/>
      <c r="M6233" s="112"/>
      <c r="N6233" s="84"/>
    </row>
    <row r="6234" spans="1:14" s="2" customFormat="1">
      <c r="A6234" s="83"/>
      <c r="H6234" s="83"/>
      <c r="K6234" s="82"/>
      <c r="M6234" s="112"/>
      <c r="N6234" s="84"/>
    </row>
    <row r="6235" spans="1:14" s="2" customFormat="1">
      <c r="A6235" s="83"/>
      <c r="H6235" s="83"/>
      <c r="K6235" s="82"/>
      <c r="M6235" s="112"/>
      <c r="N6235" s="84"/>
    </row>
    <row r="6236" spans="1:14" s="2" customFormat="1">
      <c r="A6236" s="83"/>
      <c r="H6236" s="83"/>
      <c r="K6236" s="82"/>
      <c r="M6236" s="112"/>
      <c r="N6236" s="84"/>
    </row>
    <row r="6237" spans="1:14" s="2" customFormat="1">
      <c r="A6237" s="83"/>
      <c r="H6237" s="83"/>
      <c r="K6237" s="82"/>
      <c r="M6237" s="112"/>
      <c r="N6237" s="84"/>
    </row>
    <row r="6238" spans="1:14" s="2" customFormat="1">
      <c r="A6238" s="83"/>
      <c r="H6238" s="83"/>
      <c r="K6238" s="82"/>
      <c r="M6238" s="112"/>
      <c r="N6238" s="84"/>
    </row>
    <row r="6239" spans="1:14" s="2" customFormat="1">
      <c r="A6239" s="83"/>
      <c r="H6239" s="83"/>
      <c r="K6239" s="82"/>
      <c r="M6239" s="112"/>
      <c r="N6239" s="84"/>
    </row>
    <row r="6240" spans="1:14" s="2" customFormat="1">
      <c r="A6240" s="83"/>
      <c r="H6240" s="83"/>
      <c r="K6240" s="82"/>
      <c r="M6240" s="112"/>
      <c r="N6240" s="84"/>
    </row>
    <row r="6241" spans="1:14" s="2" customFormat="1">
      <c r="A6241" s="83"/>
      <c r="H6241" s="83"/>
      <c r="K6241" s="82"/>
      <c r="M6241" s="112"/>
      <c r="N6241" s="84"/>
    </row>
    <row r="6242" spans="1:14" s="2" customFormat="1">
      <c r="A6242" s="83"/>
      <c r="H6242" s="83"/>
      <c r="K6242" s="82"/>
      <c r="M6242" s="112"/>
      <c r="N6242" s="84"/>
    </row>
    <row r="6243" spans="1:14" s="2" customFormat="1">
      <c r="A6243" s="83"/>
      <c r="H6243" s="83"/>
      <c r="K6243" s="82"/>
      <c r="M6243" s="112"/>
      <c r="N6243" s="84"/>
    </row>
    <row r="6244" spans="1:14" s="2" customFormat="1">
      <c r="A6244" s="83"/>
      <c r="H6244" s="83"/>
      <c r="K6244" s="82"/>
      <c r="M6244" s="112"/>
      <c r="N6244" s="84"/>
    </row>
    <row r="6245" spans="1:14" s="2" customFormat="1">
      <c r="A6245" s="83"/>
      <c r="H6245" s="83"/>
      <c r="K6245" s="82"/>
      <c r="M6245" s="112"/>
      <c r="N6245" s="84"/>
    </row>
    <row r="6246" spans="1:14" s="2" customFormat="1">
      <c r="A6246" s="83"/>
      <c r="H6246" s="83"/>
      <c r="K6246" s="82"/>
      <c r="M6246" s="112"/>
      <c r="N6246" s="84"/>
    </row>
    <row r="6247" spans="1:14" s="2" customFormat="1">
      <c r="A6247" s="83"/>
      <c r="H6247" s="83"/>
      <c r="K6247" s="82"/>
      <c r="M6247" s="112"/>
      <c r="N6247" s="84"/>
    </row>
    <row r="6248" spans="1:14" s="2" customFormat="1">
      <c r="A6248" s="83"/>
      <c r="H6248" s="83"/>
      <c r="K6248" s="82"/>
      <c r="M6248" s="112"/>
      <c r="N6248" s="84"/>
    </row>
    <row r="6249" spans="1:14" s="2" customFormat="1">
      <c r="A6249" s="83"/>
      <c r="H6249" s="83"/>
      <c r="K6249" s="82"/>
      <c r="M6249" s="112"/>
      <c r="N6249" s="84"/>
    </row>
    <row r="6250" spans="1:14" s="2" customFormat="1">
      <c r="A6250" s="83"/>
      <c r="H6250" s="83"/>
      <c r="K6250" s="82"/>
      <c r="M6250" s="112"/>
      <c r="N6250" s="84"/>
    </row>
    <row r="6251" spans="1:14" s="2" customFormat="1">
      <c r="A6251" s="83"/>
      <c r="H6251" s="83"/>
      <c r="K6251" s="82"/>
      <c r="M6251" s="112"/>
      <c r="N6251" s="84"/>
    </row>
    <row r="6252" spans="1:14" s="2" customFormat="1">
      <c r="A6252" s="83"/>
      <c r="H6252" s="83"/>
      <c r="K6252" s="82"/>
      <c r="M6252" s="112"/>
      <c r="N6252" s="84"/>
    </row>
    <row r="6253" spans="1:14" s="2" customFormat="1">
      <c r="A6253" s="83"/>
      <c r="H6253" s="83"/>
      <c r="K6253" s="82"/>
      <c r="M6253" s="112"/>
      <c r="N6253" s="84"/>
    </row>
    <row r="6254" spans="1:14" s="2" customFormat="1">
      <c r="A6254" s="83"/>
      <c r="H6254" s="83"/>
      <c r="K6254" s="82"/>
      <c r="M6254" s="112"/>
      <c r="N6254" s="84"/>
    </row>
    <row r="6255" spans="1:14" s="2" customFormat="1">
      <c r="A6255" s="83"/>
      <c r="H6255" s="83"/>
      <c r="K6255" s="82"/>
      <c r="M6255" s="112"/>
      <c r="N6255" s="84"/>
    </row>
    <row r="6256" spans="1:14" s="2" customFormat="1">
      <c r="A6256" s="83"/>
      <c r="H6256" s="83"/>
      <c r="K6256" s="82"/>
      <c r="M6256" s="112"/>
      <c r="N6256" s="84"/>
    </row>
    <row r="6257" spans="1:14" s="2" customFormat="1">
      <c r="A6257" s="83"/>
      <c r="H6257" s="83"/>
      <c r="K6257" s="82"/>
      <c r="M6257" s="112"/>
      <c r="N6257" s="84"/>
    </row>
    <row r="6258" spans="1:14" s="2" customFormat="1">
      <c r="A6258" s="83"/>
      <c r="H6258" s="83"/>
      <c r="K6258" s="82"/>
      <c r="M6258" s="112"/>
      <c r="N6258" s="84"/>
    </row>
    <row r="6259" spans="1:14" s="2" customFormat="1">
      <c r="A6259" s="83"/>
      <c r="H6259" s="83"/>
      <c r="K6259" s="82"/>
      <c r="M6259" s="112"/>
      <c r="N6259" s="84"/>
    </row>
    <row r="6260" spans="1:14" s="2" customFormat="1">
      <c r="A6260" s="83"/>
      <c r="H6260" s="83"/>
      <c r="K6260" s="82"/>
      <c r="M6260" s="112"/>
      <c r="N6260" s="84"/>
    </row>
    <row r="6261" spans="1:14" s="2" customFormat="1">
      <c r="A6261" s="83"/>
      <c r="H6261" s="83"/>
      <c r="K6261" s="82"/>
      <c r="M6261" s="112"/>
      <c r="N6261" s="84"/>
    </row>
    <row r="6262" spans="1:14" s="2" customFormat="1">
      <c r="A6262" s="83"/>
      <c r="H6262" s="83"/>
      <c r="K6262" s="82"/>
      <c r="M6262" s="112"/>
      <c r="N6262" s="84"/>
    </row>
    <row r="6263" spans="1:14" s="2" customFormat="1">
      <c r="A6263" s="83"/>
      <c r="H6263" s="83"/>
      <c r="K6263" s="82"/>
      <c r="M6263" s="112"/>
      <c r="N6263" s="84"/>
    </row>
    <row r="6264" spans="1:14" s="2" customFormat="1">
      <c r="A6264" s="83"/>
      <c r="H6264" s="83"/>
      <c r="K6264" s="82"/>
      <c r="M6264" s="112"/>
      <c r="N6264" s="84"/>
    </row>
    <row r="6265" spans="1:14" s="2" customFormat="1">
      <c r="A6265" s="83"/>
      <c r="H6265" s="83"/>
      <c r="K6265" s="82"/>
      <c r="M6265" s="112"/>
      <c r="N6265" s="84"/>
    </row>
    <row r="6266" spans="1:14" s="2" customFormat="1">
      <c r="A6266" s="83"/>
      <c r="H6266" s="83"/>
      <c r="K6266" s="82"/>
      <c r="M6266" s="112"/>
      <c r="N6266" s="84"/>
    </row>
    <row r="6267" spans="1:14" s="2" customFormat="1">
      <c r="A6267" s="83"/>
      <c r="H6267" s="83"/>
      <c r="K6267" s="82"/>
      <c r="M6267" s="112"/>
      <c r="N6267" s="84"/>
    </row>
    <row r="6268" spans="1:14" s="2" customFormat="1">
      <c r="A6268" s="83"/>
      <c r="H6268" s="83"/>
      <c r="K6268" s="82"/>
      <c r="M6268" s="112"/>
      <c r="N6268" s="84"/>
    </row>
    <row r="6269" spans="1:14" s="2" customFormat="1">
      <c r="A6269" s="83"/>
      <c r="H6269" s="83"/>
      <c r="K6269" s="82"/>
      <c r="M6269" s="112"/>
      <c r="N6269" s="84"/>
    </row>
    <row r="6270" spans="1:14" s="2" customFormat="1">
      <c r="A6270" s="83"/>
      <c r="H6270" s="83"/>
      <c r="K6270" s="82"/>
      <c r="M6270" s="112"/>
      <c r="N6270" s="84"/>
    </row>
    <row r="6271" spans="1:14" s="2" customFormat="1">
      <c r="A6271" s="83"/>
      <c r="H6271" s="83"/>
      <c r="K6271" s="82"/>
      <c r="M6271" s="112"/>
      <c r="N6271" s="84"/>
    </row>
    <row r="6272" spans="1:14" s="2" customFormat="1">
      <c r="A6272" s="83"/>
      <c r="H6272" s="83"/>
      <c r="K6272" s="82"/>
      <c r="M6272" s="112"/>
      <c r="N6272" s="84"/>
    </row>
    <row r="6273" spans="1:14" s="2" customFormat="1">
      <c r="A6273" s="83"/>
      <c r="H6273" s="83"/>
      <c r="K6273" s="82"/>
      <c r="M6273" s="112"/>
      <c r="N6273" s="84"/>
    </row>
    <row r="6274" spans="1:14" s="2" customFormat="1">
      <c r="A6274" s="83"/>
      <c r="H6274" s="83"/>
      <c r="K6274" s="82"/>
      <c r="M6274" s="112"/>
      <c r="N6274" s="84"/>
    </row>
    <row r="6275" spans="1:14" s="2" customFormat="1">
      <c r="A6275" s="83"/>
      <c r="H6275" s="83"/>
      <c r="K6275" s="82"/>
      <c r="M6275" s="112"/>
      <c r="N6275" s="84"/>
    </row>
    <row r="6276" spans="1:14" s="2" customFormat="1">
      <c r="A6276" s="83"/>
      <c r="H6276" s="83"/>
      <c r="K6276" s="82"/>
      <c r="M6276" s="112"/>
      <c r="N6276" s="84"/>
    </row>
    <row r="6277" spans="1:14" s="2" customFormat="1">
      <c r="A6277" s="83"/>
      <c r="H6277" s="83"/>
      <c r="K6277" s="82"/>
      <c r="M6277" s="112"/>
      <c r="N6277" s="84"/>
    </row>
    <row r="6278" spans="1:14" s="2" customFormat="1">
      <c r="A6278" s="83"/>
      <c r="H6278" s="83"/>
      <c r="K6278" s="82"/>
      <c r="M6278" s="112"/>
      <c r="N6278" s="84"/>
    </row>
    <row r="6279" spans="1:14" s="2" customFormat="1">
      <c r="A6279" s="83"/>
      <c r="H6279" s="83"/>
      <c r="K6279" s="82"/>
      <c r="M6279" s="112"/>
      <c r="N6279" s="84"/>
    </row>
    <row r="6280" spans="1:14" s="2" customFormat="1">
      <c r="A6280" s="83"/>
      <c r="H6280" s="83"/>
      <c r="K6280" s="82"/>
      <c r="M6280" s="112"/>
      <c r="N6280" s="84"/>
    </row>
    <row r="6281" spans="1:14" s="2" customFormat="1">
      <c r="A6281" s="83"/>
      <c r="H6281" s="83"/>
      <c r="K6281" s="82"/>
      <c r="M6281" s="112"/>
      <c r="N6281" s="84"/>
    </row>
    <row r="6282" spans="1:14" s="2" customFormat="1">
      <c r="A6282" s="83"/>
      <c r="H6282" s="83"/>
      <c r="K6282" s="82"/>
      <c r="M6282" s="112"/>
      <c r="N6282" s="84"/>
    </row>
    <row r="6283" spans="1:14" s="2" customFormat="1">
      <c r="A6283" s="83"/>
      <c r="H6283" s="83"/>
      <c r="K6283" s="82"/>
      <c r="M6283" s="112"/>
      <c r="N6283" s="84"/>
    </row>
    <row r="6284" spans="1:14" s="2" customFormat="1">
      <c r="A6284" s="83"/>
      <c r="H6284" s="83"/>
      <c r="K6284" s="82"/>
      <c r="M6284" s="112"/>
      <c r="N6284" s="84"/>
    </row>
    <row r="6285" spans="1:14" s="2" customFormat="1">
      <c r="A6285" s="83"/>
      <c r="H6285" s="83"/>
      <c r="K6285" s="82"/>
      <c r="M6285" s="112"/>
      <c r="N6285" s="84"/>
    </row>
    <row r="6286" spans="1:14" s="2" customFormat="1">
      <c r="A6286" s="83"/>
      <c r="H6286" s="83"/>
      <c r="K6286" s="82"/>
      <c r="M6286" s="112"/>
      <c r="N6286" s="84"/>
    </row>
    <row r="6287" spans="1:14" s="2" customFormat="1">
      <c r="A6287" s="83"/>
      <c r="H6287" s="83"/>
      <c r="K6287" s="82"/>
      <c r="M6287" s="112"/>
      <c r="N6287" s="84"/>
    </row>
    <row r="6288" spans="1:14" s="2" customFormat="1">
      <c r="A6288" s="83"/>
      <c r="H6288" s="83"/>
      <c r="K6288" s="82"/>
      <c r="M6288" s="112"/>
      <c r="N6288" s="84"/>
    </row>
    <row r="6289" spans="1:14" s="2" customFormat="1">
      <c r="A6289" s="83"/>
      <c r="H6289" s="83"/>
      <c r="K6289" s="82"/>
      <c r="M6289" s="112"/>
      <c r="N6289" s="84"/>
    </row>
    <row r="6290" spans="1:14" s="2" customFormat="1">
      <c r="A6290" s="83"/>
      <c r="H6290" s="83"/>
      <c r="K6290" s="82"/>
      <c r="M6290" s="112"/>
      <c r="N6290" s="84"/>
    </row>
    <row r="6291" spans="1:14" s="2" customFormat="1">
      <c r="A6291" s="83"/>
      <c r="H6291" s="83"/>
      <c r="K6291" s="82"/>
      <c r="M6291" s="112"/>
      <c r="N6291" s="84"/>
    </row>
    <row r="6292" spans="1:14" s="2" customFormat="1">
      <c r="A6292" s="83"/>
      <c r="H6292" s="83"/>
      <c r="K6292" s="82"/>
      <c r="M6292" s="112"/>
      <c r="N6292" s="84"/>
    </row>
    <row r="6293" spans="1:14" s="2" customFormat="1">
      <c r="A6293" s="83"/>
      <c r="H6293" s="83"/>
      <c r="K6293" s="82"/>
      <c r="M6293" s="112"/>
      <c r="N6293" s="84"/>
    </row>
    <row r="6294" spans="1:14" s="2" customFormat="1">
      <c r="A6294" s="83"/>
      <c r="H6294" s="83"/>
      <c r="K6294" s="82"/>
      <c r="M6294" s="112"/>
      <c r="N6294" s="84"/>
    </row>
    <row r="6295" spans="1:14" s="2" customFormat="1">
      <c r="A6295" s="83"/>
      <c r="H6295" s="83"/>
      <c r="K6295" s="82"/>
      <c r="M6295" s="112"/>
      <c r="N6295" s="84"/>
    </row>
    <row r="6296" spans="1:14" s="2" customFormat="1">
      <c r="A6296" s="83"/>
      <c r="H6296" s="83"/>
      <c r="K6296" s="82"/>
      <c r="M6296" s="112"/>
      <c r="N6296" s="84"/>
    </row>
    <row r="6297" spans="1:14" s="2" customFormat="1">
      <c r="A6297" s="83"/>
      <c r="H6297" s="83"/>
      <c r="K6297" s="82"/>
      <c r="M6297" s="112"/>
      <c r="N6297" s="84"/>
    </row>
    <row r="6298" spans="1:14" s="2" customFormat="1">
      <c r="A6298" s="83"/>
      <c r="H6298" s="83"/>
      <c r="K6298" s="82"/>
      <c r="M6298" s="112"/>
      <c r="N6298" s="84"/>
    </row>
    <row r="6299" spans="1:14" s="2" customFormat="1">
      <c r="A6299" s="83"/>
      <c r="H6299" s="83"/>
      <c r="K6299" s="82"/>
      <c r="M6299" s="112"/>
      <c r="N6299" s="84"/>
    </row>
    <row r="6300" spans="1:14" s="2" customFormat="1">
      <c r="A6300" s="83"/>
      <c r="H6300" s="83"/>
      <c r="K6300" s="82"/>
      <c r="M6300" s="112"/>
      <c r="N6300" s="84"/>
    </row>
    <row r="6301" spans="1:14" s="2" customFormat="1">
      <c r="A6301" s="83"/>
      <c r="H6301" s="83"/>
      <c r="K6301" s="82"/>
      <c r="M6301" s="112"/>
      <c r="N6301" s="84"/>
    </row>
    <row r="6302" spans="1:14" s="2" customFormat="1">
      <c r="A6302" s="83"/>
      <c r="H6302" s="83"/>
      <c r="K6302" s="82"/>
      <c r="M6302" s="112"/>
      <c r="N6302" s="84"/>
    </row>
    <row r="6303" spans="1:14" s="2" customFormat="1">
      <c r="A6303" s="83"/>
      <c r="H6303" s="83"/>
      <c r="K6303" s="82"/>
      <c r="M6303" s="112"/>
      <c r="N6303" s="84"/>
    </row>
    <row r="6304" spans="1:14" s="2" customFormat="1">
      <c r="A6304" s="83"/>
      <c r="H6304" s="83"/>
      <c r="K6304" s="82"/>
      <c r="M6304" s="112"/>
      <c r="N6304" s="84"/>
    </row>
    <row r="6305" spans="1:14" s="2" customFormat="1">
      <c r="A6305" s="83"/>
      <c r="H6305" s="83"/>
      <c r="K6305" s="82"/>
      <c r="M6305" s="112"/>
      <c r="N6305" s="84"/>
    </row>
    <row r="6306" spans="1:14" s="2" customFormat="1">
      <c r="A6306" s="83"/>
      <c r="H6306" s="83"/>
      <c r="K6306" s="82"/>
      <c r="M6306" s="112"/>
      <c r="N6306" s="84"/>
    </row>
    <row r="6307" spans="1:14" s="2" customFormat="1">
      <c r="A6307" s="83"/>
      <c r="H6307" s="83"/>
      <c r="K6307" s="82"/>
      <c r="M6307" s="112"/>
      <c r="N6307" s="84"/>
    </row>
    <row r="6308" spans="1:14" s="2" customFormat="1">
      <c r="A6308" s="83"/>
      <c r="H6308" s="83"/>
      <c r="K6308" s="82"/>
      <c r="M6308" s="112"/>
      <c r="N6308" s="84"/>
    </row>
    <row r="6309" spans="1:14" s="2" customFormat="1">
      <c r="A6309" s="83"/>
      <c r="H6309" s="83"/>
      <c r="K6309" s="82"/>
      <c r="M6309" s="112"/>
      <c r="N6309" s="84"/>
    </row>
    <row r="6310" spans="1:14" s="2" customFormat="1">
      <c r="A6310" s="83"/>
      <c r="H6310" s="83"/>
      <c r="K6310" s="82"/>
      <c r="M6310" s="112"/>
      <c r="N6310" s="84"/>
    </row>
    <row r="6311" spans="1:14" s="2" customFormat="1">
      <c r="A6311" s="83"/>
      <c r="H6311" s="83"/>
      <c r="K6311" s="82"/>
      <c r="M6311" s="112"/>
      <c r="N6311" s="84"/>
    </row>
    <row r="6312" spans="1:14" s="2" customFormat="1">
      <c r="A6312" s="83"/>
      <c r="H6312" s="83"/>
      <c r="K6312" s="82"/>
      <c r="M6312" s="112"/>
      <c r="N6312" s="84"/>
    </row>
    <row r="6313" spans="1:14" s="2" customFormat="1">
      <c r="A6313" s="83"/>
      <c r="H6313" s="83"/>
      <c r="K6313" s="82"/>
      <c r="M6313" s="112"/>
      <c r="N6313" s="84"/>
    </row>
    <row r="6314" spans="1:14" s="2" customFormat="1">
      <c r="A6314" s="83"/>
      <c r="H6314" s="83"/>
      <c r="K6314" s="82"/>
      <c r="M6314" s="112"/>
      <c r="N6314" s="84"/>
    </row>
    <row r="6315" spans="1:14" s="2" customFormat="1">
      <c r="A6315" s="83"/>
      <c r="H6315" s="83"/>
      <c r="K6315" s="82"/>
      <c r="M6315" s="112"/>
      <c r="N6315" s="84"/>
    </row>
    <row r="6316" spans="1:14" s="2" customFormat="1">
      <c r="A6316" s="83"/>
      <c r="H6316" s="83"/>
      <c r="K6316" s="82"/>
      <c r="M6316" s="112"/>
      <c r="N6316" s="84"/>
    </row>
    <row r="6317" spans="1:14" s="2" customFormat="1">
      <c r="A6317" s="83"/>
      <c r="H6317" s="83"/>
      <c r="K6317" s="82"/>
      <c r="M6317" s="112"/>
      <c r="N6317" s="84"/>
    </row>
    <row r="6318" spans="1:14" s="2" customFormat="1">
      <c r="A6318" s="83"/>
      <c r="H6318" s="83"/>
      <c r="K6318" s="82"/>
      <c r="M6318" s="112"/>
      <c r="N6318" s="84"/>
    </row>
    <row r="6319" spans="1:14" s="2" customFormat="1">
      <c r="A6319" s="83"/>
      <c r="H6319" s="83"/>
      <c r="K6319" s="82"/>
      <c r="M6319" s="112"/>
      <c r="N6319" s="84"/>
    </row>
    <row r="6320" spans="1:14" s="2" customFormat="1">
      <c r="A6320" s="83"/>
      <c r="H6320" s="83"/>
      <c r="K6320" s="82"/>
      <c r="M6320" s="112"/>
      <c r="N6320" s="84"/>
    </row>
    <row r="6321" spans="1:14" s="2" customFormat="1">
      <c r="A6321" s="83"/>
      <c r="H6321" s="83"/>
      <c r="K6321" s="82"/>
      <c r="M6321" s="112"/>
      <c r="N6321" s="84"/>
    </row>
    <row r="6322" spans="1:14" s="2" customFormat="1">
      <c r="A6322" s="83"/>
      <c r="H6322" s="83"/>
      <c r="K6322" s="82"/>
      <c r="M6322" s="112"/>
      <c r="N6322" s="84"/>
    </row>
    <row r="6323" spans="1:14" s="2" customFormat="1">
      <c r="A6323" s="83"/>
      <c r="H6323" s="83"/>
      <c r="K6323" s="82"/>
      <c r="M6323" s="112"/>
      <c r="N6323" s="84"/>
    </row>
    <row r="6324" spans="1:14" s="2" customFormat="1">
      <c r="A6324" s="83"/>
      <c r="H6324" s="83"/>
      <c r="K6324" s="82"/>
      <c r="M6324" s="112"/>
      <c r="N6324" s="84"/>
    </row>
    <row r="6325" spans="1:14" s="2" customFormat="1">
      <c r="A6325" s="83"/>
      <c r="H6325" s="83"/>
      <c r="K6325" s="82"/>
      <c r="M6325" s="112"/>
      <c r="N6325" s="84"/>
    </row>
    <row r="6326" spans="1:14" s="2" customFormat="1">
      <c r="A6326" s="83"/>
      <c r="H6326" s="83"/>
      <c r="K6326" s="82"/>
      <c r="M6326" s="112"/>
      <c r="N6326" s="84"/>
    </row>
    <row r="6327" spans="1:14" s="2" customFormat="1">
      <c r="A6327" s="83"/>
      <c r="H6327" s="83"/>
      <c r="K6327" s="82"/>
      <c r="M6327" s="112"/>
      <c r="N6327" s="84"/>
    </row>
    <row r="6328" spans="1:14" s="2" customFormat="1">
      <c r="A6328" s="83"/>
      <c r="H6328" s="83"/>
      <c r="K6328" s="82"/>
      <c r="M6328" s="112"/>
      <c r="N6328" s="84"/>
    </row>
    <row r="6329" spans="1:14" s="2" customFormat="1">
      <c r="A6329" s="83"/>
      <c r="H6329" s="83"/>
      <c r="K6329" s="82"/>
      <c r="M6329" s="112"/>
      <c r="N6329" s="84"/>
    </row>
    <row r="6330" spans="1:14" s="2" customFormat="1">
      <c r="A6330" s="83"/>
      <c r="H6330" s="83"/>
      <c r="K6330" s="82"/>
      <c r="M6330" s="112"/>
      <c r="N6330" s="84"/>
    </row>
    <row r="6331" spans="1:14" s="2" customFormat="1">
      <c r="A6331" s="83"/>
      <c r="H6331" s="83"/>
      <c r="K6331" s="82"/>
      <c r="M6331" s="112"/>
      <c r="N6331" s="84"/>
    </row>
    <row r="6332" spans="1:14" s="2" customFormat="1">
      <c r="A6332" s="83"/>
      <c r="H6332" s="83"/>
      <c r="K6332" s="82"/>
      <c r="M6332" s="112"/>
      <c r="N6332" s="84"/>
    </row>
    <row r="6333" spans="1:14" s="2" customFormat="1">
      <c r="A6333" s="83"/>
      <c r="H6333" s="83"/>
      <c r="K6333" s="82"/>
      <c r="M6333" s="112"/>
      <c r="N6333" s="84"/>
    </row>
    <row r="6334" spans="1:14" s="2" customFormat="1">
      <c r="A6334" s="83"/>
      <c r="H6334" s="83"/>
      <c r="K6334" s="82"/>
      <c r="M6334" s="112"/>
      <c r="N6334" s="84"/>
    </row>
    <row r="6335" spans="1:14" s="2" customFormat="1">
      <c r="A6335" s="83"/>
      <c r="H6335" s="83"/>
      <c r="K6335" s="82"/>
      <c r="M6335" s="112"/>
      <c r="N6335" s="84"/>
    </row>
    <row r="6336" spans="1:14" s="2" customFormat="1">
      <c r="A6336" s="83"/>
      <c r="H6336" s="83"/>
      <c r="K6336" s="82"/>
      <c r="M6336" s="112"/>
      <c r="N6336" s="84"/>
    </row>
    <row r="6337" spans="1:14" s="2" customFormat="1">
      <c r="A6337" s="83"/>
      <c r="H6337" s="83"/>
      <c r="K6337" s="82"/>
      <c r="M6337" s="112"/>
      <c r="N6337" s="84"/>
    </row>
    <row r="6338" spans="1:14" s="2" customFormat="1">
      <c r="A6338" s="83"/>
      <c r="H6338" s="83"/>
      <c r="K6338" s="82"/>
      <c r="M6338" s="112"/>
      <c r="N6338" s="84"/>
    </row>
    <row r="6339" spans="1:14" s="2" customFormat="1">
      <c r="A6339" s="83"/>
      <c r="H6339" s="83"/>
      <c r="K6339" s="82"/>
      <c r="M6339" s="112"/>
      <c r="N6339" s="84"/>
    </row>
    <row r="6340" spans="1:14" s="2" customFormat="1">
      <c r="A6340" s="83"/>
      <c r="H6340" s="83"/>
      <c r="K6340" s="82"/>
      <c r="M6340" s="112"/>
      <c r="N6340" s="84"/>
    </row>
    <row r="6341" spans="1:14" s="2" customFormat="1">
      <c r="A6341" s="83"/>
      <c r="H6341" s="83"/>
      <c r="K6341" s="82"/>
      <c r="M6341" s="112"/>
      <c r="N6341" s="84"/>
    </row>
    <row r="6342" spans="1:14" s="2" customFormat="1">
      <c r="A6342" s="83"/>
      <c r="H6342" s="83"/>
      <c r="K6342" s="82"/>
      <c r="M6342" s="112"/>
      <c r="N6342" s="84"/>
    </row>
    <row r="6343" spans="1:14" s="2" customFormat="1">
      <c r="A6343" s="83"/>
      <c r="H6343" s="83"/>
      <c r="K6343" s="82"/>
      <c r="M6343" s="112"/>
      <c r="N6343" s="84"/>
    </row>
    <row r="6344" spans="1:14" s="2" customFormat="1">
      <c r="A6344" s="83"/>
      <c r="H6344" s="83"/>
      <c r="K6344" s="82"/>
      <c r="M6344" s="112"/>
      <c r="N6344" s="84"/>
    </row>
    <row r="6345" spans="1:14" s="2" customFormat="1">
      <c r="A6345" s="83"/>
      <c r="H6345" s="83"/>
      <c r="K6345" s="82"/>
      <c r="M6345" s="112"/>
      <c r="N6345" s="84"/>
    </row>
    <row r="6346" spans="1:14" s="2" customFormat="1">
      <c r="A6346" s="83"/>
      <c r="H6346" s="83"/>
      <c r="K6346" s="82"/>
      <c r="M6346" s="112"/>
      <c r="N6346" s="84"/>
    </row>
    <row r="6347" spans="1:14" s="2" customFormat="1">
      <c r="A6347" s="83"/>
      <c r="H6347" s="83"/>
      <c r="K6347" s="82"/>
      <c r="M6347" s="112"/>
      <c r="N6347" s="84"/>
    </row>
    <row r="6348" spans="1:14" s="2" customFormat="1">
      <c r="A6348" s="83"/>
      <c r="H6348" s="83"/>
      <c r="K6348" s="82"/>
      <c r="M6348" s="112"/>
      <c r="N6348" s="84"/>
    </row>
    <row r="6349" spans="1:14" s="2" customFormat="1">
      <c r="A6349" s="83"/>
      <c r="H6349" s="83"/>
      <c r="K6349" s="82"/>
      <c r="M6349" s="112"/>
      <c r="N6349" s="84"/>
    </row>
    <row r="6350" spans="1:14" s="2" customFormat="1">
      <c r="A6350" s="83"/>
      <c r="H6350" s="83"/>
      <c r="K6350" s="82"/>
      <c r="M6350" s="112"/>
      <c r="N6350" s="84"/>
    </row>
    <row r="6351" spans="1:14" s="2" customFormat="1">
      <c r="A6351" s="83"/>
      <c r="H6351" s="83"/>
      <c r="K6351" s="82"/>
      <c r="M6351" s="112"/>
      <c r="N6351" s="84"/>
    </row>
    <row r="6352" spans="1:14" s="2" customFormat="1">
      <c r="A6352" s="83"/>
      <c r="H6352" s="83"/>
      <c r="K6352" s="82"/>
      <c r="M6352" s="112"/>
      <c r="N6352" s="84"/>
    </row>
    <row r="6353" spans="1:14" s="2" customFormat="1">
      <c r="A6353" s="83"/>
      <c r="H6353" s="83"/>
      <c r="K6353" s="82"/>
      <c r="M6353" s="112"/>
      <c r="N6353" s="84"/>
    </row>
    <row r="6354" spans="1:14" s="2" customFormat="1">
      <c r="A6354" s="83"/>
      <c r="H6354" s="83"/>
      <c r="K6354" s="82"/>
      <c r="M6354" s="112"/>
      <c r="N6354" s="84"/>
    </row>
    <row r="6355" spans="1:14" s="2" customFormat="1">
      <c r="A6355" s="83"/>
      <c r="H6355" s="83"/>
      <c r="K6355" s="82"/>
      <c r="M6355" s="112"/>
      <c r="N6355" s="84"/>
    </row>
    <row r="6356" spans="1:14" s="2" customFormat="1">
      <c r="A6356" s="83"/>
      <c r="H6356" s="83"/>
      <c r="K6356" s="82"/>
      <c r="M6356" s="112"/>
      <c r="N6356" s="84"/>
    </row>
    <row r="6357" spans="1:14" s="2" customFormat="1">
      <c r="A6357" s="83"/>
      <c r="H6357" s="83"/>
      <c r="K6357" s="82"/>
      <c r="M6357" s="112"/>
      <c r="N6357" s="84"/>
    </row>
    <row r="6358" spans="1:14" s="2" customFormat="1">
      <c r="A6358" s="83"/>
      <c r="H6358" s="83"/>
      <c r="K6358" s="82"/>
      <c r="M6358" s="112"/>
      <c r="N6358" s="84"/>
    </row>
    <row r="6359" spans="1:14" s="2" customFormat="1">
      <c r="A6359" s="83"/>
      <c r="H6359" s="83"/>
      <c r="K6359" s="82"/>
      <c r="M6359" s="112"/>
      <c r="N6359" s="84"/>
    </row>
    <row r="6360" spans="1:14" s="2" customFormat="1">
      <c r="A6360" s="83"/>
      <c r="H6360" s="83"/>
      <c r="K6360" s="82"/>
      <c r="M6360" s="112"/>
      <c r="N6360" s="84"/>
    </row>
    <row r="6361" spans="1:14" s="2" customFormat="1">
      <c r="A6361" s="83"/>
      <c r="H6361" s="83"/>
      <c r="K6361" s="82"/>
      <c r="M6361" s="112"/>
      <c r="N6361" s="84"/>
    </row>
    <row r="6362" spans="1:14" s="2" customFormat="1">
      <c r="A6362" s="83"/>
      <c r="H6362" s="83"/>
      <c r="K6362" s="82"/>
      <c r="M6362" s="112"/>
      <c r="N6362" s="84"/>
    </row>
    <row r="6363" spans="1:14" s="2" customFormat="1">
      <c r="A6363" s="83"/>
      <c r="H6363" s="83"/>
      <c r="K6363" s="82"/>
      <c r="M6363" s="112"/>
      <c r="N6363" s="84"/>
    </row>
    <row r="6364" spans="1:14" s="2" customFormat="1">
      <c r="A6364" s="83"/>
      <c r="H6364" s="83"/>
      <c r="K6364" s="82"/>
      <c r="M6364" s="112"/>
      <c r="N6364" s="84"/>
    </row>
    <row r="6365" spans="1:14" s="2" customFormat="1">
      <c r="A6365" s="83"/>
      <c r="H6365" s="83"/>
      <c r="K6365" s="82"/>
      <c r="M6365" s="112"/>
      <c r="N6365" s="84"/>
    </row>
    <row r="6366" spans="1:14" s="2" customFormat="1">
      <c r="A6366" s="83"/>
      <c r="H6366" s="83"/>
      <c r="K6366" s="82"/>
      <c r="M6366" s="112"/>
      <c r="N6366" s="84"/>
    </row>
    <row r="6367" spans="1:14" s="2" customFormat="1">
      <c r="A6367" s="83"/>
      <c r="H6367" s="83"/>
      <c r="K6367" s="82"/>
      <c r="M6367" s="112"/>
      <c r="N6367" s="84"/>
    </row>
    <row r="6368" spans="1:14" s="2" customFormat="1">
      <c r="A6368" s="83"/>
      <c r="H6368" s="83"/>
      <c r="K6368" s="82"/>
      <c r="M6368" s="112"/>
      <c r="N6368" s="84"/>
    </row>
    <row r="6369" spans="1:14" s="2" customFormat="1">
      <c r="A6369" s="83"/>
      <c r="H6369" s="83"/>
      <c r="K6369" s="82"/>
      <c r="M6369" s="112"/>
      <c r="N6369" s="84"/>
    </row>
    <row r="6370" spans="1:14" s="2" customFormat="1">
      <c r="A6370" s="83"/>
      <c r="H6370" s="83"/>
      <c r="K6370" s="82"/>
      <c r="M6370" s="112"/>
      <c r="N6370" s="84"/>
    </row>
    <row r="6371" spans="1:14" s="2" customFormat="1">
      <c r="A6371" s="83"/>
      <c r="H6371" s="83"/>
      <c r="K6371" s="82"/>
      <c r="M6371" s="112"/>
      <c r="N6371" s="84"/>
    </row>
    <row r="6372" spans="1:14" s="2" customFormat="1">
      <c r="A6372" s="83"/>
      <c r="H6372" s="83"/>
      <c r="K6372" s="82"/>
      <c r="M6372" s="112"/>
      <c r="N6372" s="84"/>
    </row>
    <row r="6373" spans="1:14" s="2" customFormat="1">
      <c r="A6373" s="83"/>
      <c r="H6373" s="83"/>
      <c r="K6373" s="82"/>
      <c r="M6373" s="112"/>
      <c r="N6373" s="84"/>
    </row>
    <row r="6374" spans="1:14" s="2" customFormat="1">
      <c r="A6374" s="83"/>
      <c r="H6374" s="83"/>
      <c r="K6374" s="82"/>
      <c r="M6374" s="112"/>
      <c r="N6374" s="84"/>
    </row>
    <row r="6375" spans="1:14" s="2" customFormat="1">
      <c r="A6375" s="83"/>
      <c r="H6375" s="83"/>
      <c r="K6375" s="82"/>
      <c r="M6375" s="112"/>
      <c r="N6375" s="84"/>
    </row>
    <row r="6376" spans="1:14" s="2" customFormat="1">
      <c r="A6376" s="83"/>
      <c r="H6376" s="83"/>
      <c r="K6376" s="82"/>
      <c r="M6376" s="112"/>
      <c r="N6376" s="84"/>
    </row>
    <row r="6377" spans="1:14" s="2" customFormat="1">
      <c r="A6377" s="83"/>
      <c r="H6377" s="83"/>
      <c r="K6377" s="82"/>
      <c r="M6377" s="112"/>
      <c r="N6377" s="84"/>
    </row>
    <row r="6378" spans="1:14" s="2" customFormat="1">
      <c r="A6378" s="83"/>
      <c r="H6378" s="83"/>
      <c r="K6378" s="82"/>
      <c r="M6378" s="112"/>
      <c r="N6378" s="84"/>
    </row>
    <row r="6379" spans="1:14" s="2" customFormat="1">
      <c r="A6379" s="83"/>
      <c r="H6379" s="83"/>
      <c r="K6379" s="82"/>
      <c r="M6379" s="112"/>
      <c r="N6379" s="84"/>
    </row>
    <row r="6380" spans="1:14" s="2" customFormat="1">
      <c r="A6380" s="83"/>
      <c r="H6380" s="83"/>
      <c r="K6380" s="82"/>
      <c r="M6380" s="112"/>
      <c r="N6380" s="84"/>
    </row>
    <row r="6381" spans="1:14" s="2" customFormat="1">
      <c r="A6381" s="83"/>
      <c r="H6381" s="83"/>
      <c r="K6381" s="82"/>
      <c r="M6381" s="112"/>
      <c r="N6381" s="84"/>
    </row>
    <row r="6382" spans="1:14" s="2" customFormat="1">
      <c r="A6382" s="83"/>
      <c r="H6382" s="83"/>
      <c r="K6382" s="82"/>
      <c r="M6382" s="112"/>
      <c r="N6382" s="84"/>
    </row>
    <row r="6383" spans="1:14" s="2" customFormat="1">
      <c r="A6383" s="83"/>
      <c r="H6383" s="83"/>
      <c r="K6383" s="82"/>
      <c r="M6383" s="112"/>
      <c r="N6383" s="84"/>
    </row>
    <row r="6384" spans="1:14" s="2" customFormat="1">
      <c r="A6384" s="83"/>
      <c r="H6384" s="83"/>
      <c r="K6384" s="82"/>
      <c r="M6384" s="112"/>
      <c r="N6384" s="84"/>
    </row>
    <row r="6385" spans="1:14" s="2" customFormat="1">
      <c r="A6385" s="83"/>
      <c r="H6385" s="83"/>
      <c r="K6385" s="82"/>
      <c r="M6385" s="112"/>
      <c r="N6385" s="84"/>
    </row>
    <row r="6386" spans="1:14" s="2" customFormat="1">
      <c r="A6386" s="83"/>
      <c r="H6386" s="83"/>
      <c r="K6386" s="82"/>
      <c r="M6386" s="112"/>
      <c r="N6386" s="84"/>
    </row>
    <row r="6387" spans="1:14" s="2" customFormat="1">
      <c r="A6387" s="83"/>
      <c r="H6387" s="83"/>
      <c r="K6387" s="82"/>
      <c r="M6387" s="112"/>
      <c r="N6387" s="84"/>
    </row>
    <row r="6388" spans="1:14" s="2" customFormat="1">
      <c r="A6388" s="83"/>
      <c r="H6388" s="83"/>
      <c r="K6388" s="82"/>
      <c r="M6388" s="112"/>
      <c r="N6388" s="84"/>
    </row>
    <row r="6389" spans="1:14" s="2" customFormat="1">
      <c r="A6389" s="83"/>
      <c r="H6389" s="83"/>
      <c r="K6389" s="82"/>
      <c r="M6389" s="112"/>
      <c r="N6389" s="84"/>
    </row>
    <row r="6390" spans="1:14" s="2" customFormat="1">
      <c r="A6390" s="83"/>
      <c r="H6390" s="83"/>
      <c r="K6390" s="82"/>
      <c r="M6390" s="112"/>
      <c r="N6390" s="84"/>
    </row>
    <row r="6391" spans="1:14" s="2" customFormat="1">
      <c r="A6391" s="83"/>
      <c r="H6391" s="83"/>
      <c r="K6391" s="82"/>
      <c r="M6391" s="112"/>
      <c r="N6391" s="84"/>
    </row>
    <row r="6392" spans="1:14" s="2" customFormat="1">
      <c r="A6392" s="83"/>
      <c r="H6392" s="83"/>
      <c r="K6392" s="82"/>
      <c r="M6392" s="112"/>
      <c r="N6392" s="84"/>
    </row>
    <row r="6393" spans="1:14" s="2" customFormat="1">
      <c r="A6393" s="83"/>
      <c r="H6393" s="83"/>
      <c r="K6393" s="82"/>
      <c r="M6393" s="112"/>
      <c r="N6393" s="84"/>
    </row>
    <row r="6394" spans="1:14" s="2" customFormat="1">
      <c r="A6394" s="83"/>
      <c r="H6394" s="83"/>
      <c r="K6394" s="82"/>
      <c r="M6394" s="112"/>
      <c r="N6394" s="84"/>
    </row>
    <row r="6395" spans="1:14" s="2" customFormat="1">
      <c r="A6395" s="83"/>
      <c r="H6395" s="83"/>
      <c r="K6395" s="82"/>
      <c r="M6395" s="112"/>
      <c r="N6395" s="84"/>
    </row>
    <row r="6396" spans="1:14" s="2" customFormat="1">
      <c r="A6396" s="83"/>
      <c r="H6396" s="83"/>
      <c r="K6396" s="82"/>
      <c r="M6396" s="112"/>
      <c r="N6396" s="84"/>
    </row>
    <row r="6397" spans="1:14" s="2" customFormat="1">
      <c r="A6397" s="83"/>
      <c r="H6397" s="83"/>
      <c r="K6397" s="82"/>
      <c r="M6397" s="112"/>
      <c r="N6397" s="84"/>
    </row>
    <row r="6398" spans="1:14" s="2" customFormat="1">
      <c r="A6398" s="83"/>
      <c r="H6398" s="83"/>
      <c r="K6398" s="82"/>
      <c r="M6398" s="112"/>
      <c r="N6398" s="84"/>
    </row>
    <row r="6399" spans="1:14" s="2" customFormat="1">
      <c r="A6399" s="83"/>
      <c r="H6399" s="83"/>
      <c r="K6399" s="82"/>
      <c r="M6399" s="112"/>
      <c r="N6399" s="84"/>
    </row>
    <row r="6400" spans="1:14" s="2" customFormat="1">
      <c r="A6400" s="83"/>
      <c r="H6400" s="83"/>
      <c r="K6400" s="82"/>
      <c r="M6400" s="112"/>
      <c r="N6400" s="84"/>
    </row>
    <row r="6401" spans="1:14" s="2" customFormat="1">
      <c r="A6401" s="83"/>
      <c r="H6401" s="83"/>
      <c r="K6401" s="82"/>
      <c r="M6401" s="112"/>
      <c r="N6401" s="84"/>
    </row>
    <row r="6402" spans="1:14" s="2" customFormat="1">
      <c r="A6402" s="83"/>
      <c r="H6402" s="83"/>
      <c r="K6402" s="82"/>
      <c r="M6402" s="112"/>
      <c r="N6402" s="84"/>
    </row>
    <row r="6403" spans="1:14" s="2" customFormat="1">
      <c r="A6403" s="83"/>
      <c r="H6403" s="83"/>
      <c r="K6403" s="82"/>
      <c r="M6403" s="112"/>
      <c r="N6403" s="84"/>
    </row>
    <row r="6404" spans="1:14" s="2" customFormat="1">
      <c r="A6404" s="83"/>
      <c r="H6404" s="83"/>
      <c r="K6404" s="82"/>
      <c r="M6404" s="112"/>
      <c r="N6404" s="84"/>
    </row>
    <row r="6405" spans="1:14" s="2" customFormat="1">
      <c r="A6405" s="83"/>
      <c r="H6405" s="83"/>
      <c r="K6405" s="82"/>
      <c r="M6405" s="112"/>
      <c r="N6405" s="84"/>
    </row>
    <row r="6406" spans="1:14" s="2" customFormat="1">
      <c r="A6406" s="83"/>
      <c r="H6406" s="83"/>
      <c r="K6406" s="82"/>
      <c r="M6406" s="112"/>
      <c r="N6406" s="84"/>
    </row>
    <row r="6407" spans="1:14" s="2" customFormat="1">
      <c r="A6407" s="83"/>
      <c r="H6407" s="83"/>
      <c r="K6407" s="82"/>
      <c r="M6407" s="112"/>
      <c r="N6407" s="84"/>
    </row>
    <row r="6408" spans="1:14" s="2" customFormat="1">
      <c r="A6408" s="83"/>
      <c r="H6408" s="83"/>
      <c r="K6408" s="82"/>
      <c r="M6408" s="112"/>
      <c r="N6408" s="84"/>
    </row>
    <row r="6409" spans="1:14" s="2" customFormat="1">
      <c r="A6409" s="83"/>
      <c r="H6409" s="83"/>
      <c r="K6409" s="82"/>
      <c r="M6409" s="112"/>
      <c r="N6409" s="84"/>
    </row>
    <row r="6410" spans="1:14" s="2" customFormat="1">
      <c r="A6410" s="83"/>
      <c r="H6410" s="83"/>
      <c r="K6410" s="82"/>
      <c r="M6410" s="112"/>
      <c r="N6410" s="84"/>
    </row>
    <row r="6411" spans="1:14" s="2" customFormat="1">
      <c r="A6411" s="83"/>
      <c r="H6411" s="83"/>
      <c r="K6411" s="82"/>
      <c r="M6411" s="112"/>
      <c r="N6411" s="84"/>
    </row>
    <row r="6412" spans="1:14" s="2" customFormat="1">
      <c r="A6412" s="83"/>
      <c r="H6412" s="83"/>
      <c r="K6412" s="82"/>
      <c r="M6412" s="112"/>
      <c r="N6412" s="84"/>
    </row>
    <row r="6413" spans="1:14" s="2" customFormat="1">
      <c r="A6413" s="83"/>
      <c r="H6413" s="83"/>
      <c r="K6413" s="82"/>
      <c r="M6413" s="112"/>
      <c r="N6413" s="84"/>
    </row>
    <row r="6414" spans="1:14" s="2" customFormat="1">
      <c r="A6414" s="83"/>
      <c r="H6414" s="83"/>
      <c r="K6414" s="82"/>
      <c r="M6414" s="112"/>
      <c r="N6414" s="84"/>
    </row>
    <row r="6415" spans="1:14" s="2" customFormat="1">
      <c r="A6415" s="83"/>
      <c r="H6415" s="83"/>
      <c r="K6415" s="82"/>
      <c r="M6415" s="112"/>
      <c r="N6415" s="84"/>
    </row>
    <row r="6416" spans="1:14" s="2" customFormat="1">
      <c r="A6416" s="83"/>
      <c r="H6416" s="83"/>
      <c r="K6416" s="82"/>
      <c r="M6416" s="112"/>
      <c r="N6416" s="84"/>
    </row>
    <row r="6417" spans="1:14" s="2" customFormat="1">
      <c r="A6417" s="83"/>
      <c r="H6417" s="83"/>
      <c r="K6417" s="82"/>
      <c r="M6417" s="112"/>
      <c r="N6417" s="84"/>
    </row>
    <row r="6418" spans="1:14" s="2" customFormat="1">
      <c r="A6418" s="83"/>
      <c r="H6418" s="83"/>
      <c r="K6418" s="82"/>
      <c r="M6418" s="112"/>
      <c r="N6418" s="84"/>
    </row>
    <row r="6419" spans="1:14" s="2" customFormat="1">
      <c r="A6419" s="83"/>
      <c r="H6419" s="83"/>
      <c r="K6419" s="82"/>
      <c r="M6419" s="112"/>
      <c r="N6419" s="84"/>
    </row>
    <row r="6420" spans="1:14" s="2" customFormat="1">
      <c r="A6420" s="83"/>
      <c r="H6420" s="83"/>
      <c r="K6420" s="82"/>
      <c r="M6420" s="112"/>
      <c r="N6420" s="84"/>
    </row>
    <row r="6421" spans="1:14" s="2" customFormat="1">
      <c r="A6421" s="83"/>
      <c r="H6421" s="83"/>
      <c r="K6421" s="82"/>
      <c r="M6421" s="112"/>
      <c r="N6421" s="84"/>
    </row>
    <row r="6422" spans="1:14" s="2" customFormat="1">
      <c r="A6422" s="83"/>
      <c r="H6422" s="83"/>
      <c r="K6422" s="82"/>
      <c r="M6422" s="112"/>
      <c r="N6422" s="84"/>
    </row>
    <row r="6423" spans="1:14" s="2" customFormat="1">
      <c r="A6423" s="83"/>
      <c r="H6423" s="83"/>
      <c r="K6423" s="82"/>
      <c r="M6423" s="112"/>
      <c r="N6423" s="84"/>
    </row>
    <row r="6424" spans="1:14" s="2" customFormat="1">
      <c r="A6424" s="83"/>
      <c r="H6424" s="83"/>
      <c r="K6424" s="82"/>
      <c r="M6424" s="112"/>
      <c r="N6424" s="84"/>
    </row>
    <row r="6425" spans="1:14" s="2" customFormat="1">
      <c r="A6425" s="83"/>
      <c r="H6425" s="83"/>
      <c r="K6425" s="82"/>
      <c r="M6425" s="112"/>
      <c r="N6425" s="84"/>
    </row>
    <row r="6426" spans="1:14" s="2" customFormat="1">
      <c r="A6426" s="83"/>
      <c r="H6426" s="83"/>
      <c r="K6426" s="82"/>
      <c r="M6426" s="112"/>
      <c r="N6426" s="84"/>
    </row>
    <row r="6427" spans="1:14" s="2" customFormat="1">
      <c r="A6427" s="83"/>
      <c r="H6427" s="83"/>
      <c r="K6427" s="82"/>
      <c r="M6427" s="112"/>
      <c r="N6427" s="84"/>
    </row>
    <row r="6428" spans="1:14" s="2" customFormat="1">
      <c r="A6428" s="83"/>
      <c r="H6428" s="83"/>
      <c r="K6428" s="82"/>
      <c r="M6428" s="112"/>
      <c r="N6428" s="84"/>
    </row>
    <row r="6429" spans="1:14" s="2" customFormat="1">
      <c r="A6429" s="83"/>
      <c r="H6429" s="83"/>
      <c r="K6429" s="82"/>
      <c r="M6429" s="112"/>
      <c r="N6429" s="84"/>
    </row>
    <row r="6430" spans="1:14" s="2" customFormat="1">
      <c r="A6430" s="83"/>
      <c r="H6430" s="83"/>
      <c r="K6430" s="82"/>
      <c r="M6430" s="112"/>
      <c r="N6430" s="84"/>
    </row>
    <row r="6431" spans="1:14" s="2" customFormat="1">
      <c r="A6431" s="83"/>
      <c r="H6431" s="83"/>
      <c r="K6431" s="82"/>
      <c r="M6431" s="112"/>
      <c r="N6431" s="84"/>
    </row>
    <row r="6432" spans="1:14" s="2" customFormat="1">
      <c r="A6432" s="83"/>
      <c r="H6432" s="83"/>
      <c r="K6432" s="82"/>
      <c r="M6432" s="112"/>
      <c r="N6432" s="84"/>
    </row>
    <row r="6433" spans="1:14" s="2" customFormat="1">
      <c r="A6433" s="83"/>
      <c r="H6433" s="83"/>
      <c r="K6433" s="82"/>
      <c r="M6433" s="112"/>
      <c r="N6433" s="84"/>
    </row>
    <row r="6434" spans="1:14" s="2" customFormat="1">
      <c r="A6434" s="83"/>
      <c r="H6434" s="83"/>
      <c r="K6434" s="82"/>
      <c r="M6434" s="112"/>
      <c r="N6434" s="84"/>
    </row>
    <row r="6435" spans="1:14" s="2" customFormat="1">
      <c r="A6435" s="83"/>
      <c r="H6435" s="83"/>
      <c r="K6435" s="82"/>
      <c r="M6435" s="112"/>
      <c r="N6435" s="84"/>
    </row>
    <row r="6436" spans="1:14" s="2" customFormat="1">
      <c r="A6436" s="83"/>
      <c r="H6436" s="83"/>
      <c r="K6436" s="82"/>
      <c r="M6436" s="112"/>
      <c r="N6436" s="84"/>
    </row>
    <row r="6437" spans="1:14" s="2" customFormat="1">
      <c r="A6437" s="83"/>
      <c r="H6437" s="83"/>
      <c r="K6437" s="82"/>
      <c r="M6437" s="112"/>
      <c r="N6437" s="84"/>
    </row>
    <row r="6438" spans="1:14" s="2" customFormat="1">
      <c r="A6438" s="83"/>
      <c r="H6438" s="83"/>
      <c r="K6438" s="82"/>
      <c r="M6438" s="112"/>
      <c r="N6438" s="84"/>
    </row>
    <row r="6439" spans="1:14" s="2" customFormat="1">
      <c r="A6439" s="83"/>
      <c r="H6439" s="83"/>
      <c r="K6439" s="82"/>
      <c r="M6439" s="112"/>
      <c r="N6439" s="84"/>
    </row>
    <row r="6440" spans="1:14" s="2" customFormat="1">
      <c r="A6440" s="83"/>
      <c r="H6440" s="83"/>
      <c r="K6440" s="82"/>
      <c r="M6440" s="112"/>
      <c r="N6440" s="84"/>
    </row>
    <row r="6441" spans="1:14" s="2" customFormat="1">
      <c r="A6441" s="83"/>
      <c r="H6441" s="83"/>
      <c r="K6441" s="82"/>
      <c r="M6441" s="112"/>
      <c r="N6441" s="84"/>
    </row>
    <row r="6442" spans="1:14" s="2" customFormat="1">
      <c r="A6442" s="83"/>
      <c r="H6442" s="83"/>
      <c r="K6442" s="82"/>
      <c r="M6442" s="112"/>
      <c r="N6442" s="84"/>
    </row>
    <row r="6443" spans="1:14" s="2" customFormat="1">
      <c r="A6443" s="83"/>
      <c r="H6443" s="83"/>
      <c r="K6443" s="82"/>
      <c r="M6443" s="112"/>
      <c r="N6443" s="84"/>
    </row>
    <row r="6444" spans="1:14" s="2" customFormat="1">
      <c r="A6444" s="83"/>
      <c r="H6444" s="83"/>
      <c r="K6444" s="82"/>
      <c r="M6444" s="112"/>
      <c r="N6444" s="84"/>
    </row>
    <row r="6445" spans="1:14" s="2" customFormat="1">
      <c r="A6445" s="83"/>
      <c r="H6445" s="83"/>
      <c r="K6445" s="82"/>
      <c r="M6445" s="112"/>
      <c r="N6445" s="84"/>
    </row>
    <row r="6446" spans="1:14" s="2" customFormat="1">
      <c r="A6446" s="83"/>
      <c r="H6446" s="83"/>
      <c r="K6446" s="82"/>
      <c r="M6446" s="112"/>
      <c r="N6446" s="84"/>
    </row>
    <row r="6447" spans="1:14" s="2" customFormat="1">
      <c r="A6447" s="83"/>
      <c r="H6447" s="83"/>
      <c r="K6447" s="82"/>
      <c r="M6447" s="112"/>
      <c r="N6447" s="84"/>
    </row>
    <row r="6448" spans="1:14" s="2" customFormat="1">
      <c r="A6448" s="83"/>
      <c r="H6448" s="83"/>
      <c r="K6448" s="82"/>
      <c r="M6448" s="112"/>
      <c r="N6448" s="84"/>
    </row>
    <row r="6449" spans="1:14" s="2" customFormat="1">
      <c r="A6449" s="83"/>
      <c r="H6449" s="83"/>
      <c r="K6449" s="82"/>
      <c r="M6449" s="112"/>
      <c r="N6449" s="84"/>
    </row>
    <row r="6450" spans="1:14" s="2" customFormat="1">
      <c r="A6450" s="83"/>
      <c r="H6450" s="83"/>
      <c r="K6450" s="82"/>
      <c r="M6450" s="112"/>
      <c r="N6450" s="84"/>
    </row>
    <row r="6451" spans="1:14" s="2" customFormat="1">
      <c r="A6451" s="83"/>
      <c r="H6451" s="83"/>
      <c r="K6451" s="82"/>
      <c r="M6451" s="112"/>
      <c r="N6451" s="84"/>
    </row>
    <row r="6452" spans="1:14" s="2" customFormat="1">
      <c r="A6452" s="83"/>
      <c r="H6452" s="83"/>
      <c r="K6452" s="82"/>
      <c r="M6452" s="112"/>
      <c r="N6452" s="84"/>
    </row>
    <row r="6453" spans="1:14" s="2" customFormat="1">
      <c r="A6453" s="83"/>
      <c r="H6453" s="83"/>
      <c r="K6453" s="82"/>
      <c r="M6453" s="112"/>
      <c r="N6453" s="84"/>
    </row>
    <row r="6454" spans="1:14" s="2" customFormat="1">
      <c r="A6454" s="83"/>
      <c r="H6454" s="83"/>
      <c r="K6454" s="82"/>
      <c r="M6454" s="112"/>
      <c r="N6454" s="84"/>
    </row>
    <row r="6455" spans="1:14" s="2" customFormat="1">
      <c r="A6455" s="83"/>
      <c r="H6455" s="83"/>
      <c r="K6455" s="82"/>
      <c r="M6455" s="112"/>
      <c r="N6455" s="84"/>
    </row>
    <row r="6456" spans="1:14" s="2" customFormat="1">
      <c r="A6456" s="83"/>
      <c r="H6456" s="83"/>
      <c r="K6456" s="82"/>
      <c r="M6456" s="112"/>
      <c r="N6456" s="84"/>
    </row>
    <row r="6457" spans="1:14" s="2" customFormat="1">
      <c r="A6457" s="83"/>
      <c r="H6457" s="83"/>
      <c r="K6457" s="82"/>
      <c r="M6457" s="112"/>
      <c r="N6457" s="84"/>
    </row>
    <row r="6458" spans="1:14" s="2" customFormat="1">
      <c r="A6458" s="83"/>
      <c r="H6458" s="83"/>
      <c r="K6458" s="82"/>
      <c r="M6458" s="112"/>
      <c r="N6458" s="84"/>
    </row>
    <row r="6459" spans="1:14" s="2" customFormat="1">
      <c r="A6459" s="83"/>
      <c r="H6459" s="83"/>
      <c r="K6459" s="82"/>
      <c r="M6459" s="112"/>
      <c r="N6459" s="84"/>
    </row>
    <row r="6460" spans="1:14" s="2" customFormat="1">
      <c r="A6460" s="83"/>
      <c r="H6460" s="83"/>
      <c r="K6460" s="82"/>
      <c r="M6460" s="112"/>
      <c r="N6460" s="84"/>
    </row>
    <row r="6461" spans="1:14" s="2" customFormat="1">
      <c r="A6461" s="83"/>
      <c r="H6461" s="83"/>
      <c r="K6461" s="82"/>
      <c r="M6461" s="112"/>
      <c r="N6461" s="84"/>
    </row>
    <row r="6462" spans="1:14" s="2" customFormat="1">
      <c r="A6462" s="83"/>
      <c r="H6462" s="83"/>
      <c r="K6462" s="82"/>
      <c r="M6462" s="112"/>
      <c r="N6462" s="84"/>
    </row>
    <row r="6463" spans="1:14" s="2" customFormat="1">
      <c r="A6463" s="83"/>
      <c r="H6463" s="83"/>
      <c r="K6463" s="82"/>
      <c r="M6463" s="112"/>
      <c r="N6463" s="84"/>
    </row>
    <row r="6464" spans="1:14" s="2" customFormat="1">
      <c r="A6464" s="83"/>
      <c r="H6464" s="83"/>
      <c r="K6464" s="82"/>
      <c r="M6464" s="112"/>
      <c r="N6464" s="84"/>
    </row>
    <row r="6465" spans="1:14" s="2" customFormat="1">
      <c r="A6465" s="83"/>
      <c r="H6465" s="83"/>
      <c r="K6465" s="82"/>
      <c r="M6465" s="112"/>
      <c r="N6465" s="84"/>
    </row>
    <row r="6466" spans="1:14" s="2" customFormat="1">
      <c r="A6466" s="83"/>
      <c r="H6466" s="83"/>
      <c r="K6466" s="82"/>
      <c r="M6466" s="112"/>
      <c r="N6466" s="84"/>
    </row>
    <row r="6467" spans="1:14" s="2" customFormat="1">
      <c r="A6467" s="83"/>
      <c r="H6467" s="83"/>
      <c r="K6467" s="82"/>
      <c r="M6467" s="112"/>
      <c r="N6467" s="84"/>
    </row>
    <row r="6468" spans="1:14" s="2" customFormat="1">
      <c r="A6468" s="83"/>
      <c r="H6468" s="83"/>
      <c r="K6468" s="82"/>
      <c r="M6468" s="112"/>
      <c r="N6468" s="84"/>
    </row>
    <row r="6469" spans="1:14" s="2" customFormat="1">
      <c r="A6469" s="83"/>
      <c r="H6469" s="83"/>
      <c r="K6469" s="82"/>
      <c r="M6469" s="112"/>
      <c r="N6469" s="84"/>
    </row>
    <row r="6470" spans="1:14" s="2" customFormat="1">
      <c r="A6470" s="83"/>
      <c r="H6470" s="83"/>
      <c r="K6470" s="82"/>
      <c r="M6470" s="112"/>
      <c r="N6470" s="84"/>
    </row>
    <row r="6471" spans="1:14" s="2" customFormat="1">
      <c r="A6471" s="83"/>
      <c r="H6471" s="83"/>
      <c r="K6471" s="82"/>
      <c r="M6471" s="112"/>
      <c r="N6471" s="84"/>
    </row>
    <row r="6472" spans="1:14" s="2" customFormat="1">
      <c r="A6472" s="83"/>
      <c r="H6472" s="83"/>
      <c r="K6472" s="82"/>
      <c r="M6472" s="112"/>
      <c r="N6472" s="84"/>
    </row>
    <row r="6473" spans="1:14" s="2" customFormat="1">
      <c r="A6473" s="83"/>
      <c r="H6473" s="83"/>
      <c r="K6473" s="82"/>
      <c r="M6473" s="112"/>
      <c r="N6473" s="84"/>
    </row>
    <row r="6474" spans="1:14" s="2" customFormat="1">
      <c r="A6474" s="83"/>
      <c r="H6474" s="83"/>
      <c r="K6474" s="82"/>
      <c r="M6474" s="112"/>
      <c r="N6474" s="84"/>
    </row>
    <row r="6475" spans="1:14" s="2" customFormat="1">
      <c r="A6475" s="83"/>
      <c r="H6475" s="83"/>
      <c r="K6475" s="82"/>
      <c r="M6475" s="112"/>
      <c r="N6475" s="84"/>
    </row>
    <row r="6476" spans="1:14" s="2" customFormat="1">
      <c r="A6476" s="83"/>
      <c r="H6476" s="83"/>
      <c r="K6476" s="82"/>
      <c r="M6476" s="112"/>
      <c r="N6476" s="84"/>
    </row>
    <row r="6477" spans="1:14" s="2" customFormat="1">
      <c r="A6477" s="83"/>
      <c r="H6477" s="83"/>
      <c r="K6477" s="82"/>
      <c r="M6477" s="112"/>
      <c r="N6477" s="84"/>
    </row>
    <row r="6478" spans="1:14" s="2" customFormat="1">
      <c r="A6478" s="83"/>
      <c r="H6478" s="83"/>
      <c r="K6478" s="82"/>
      <c r="M6478" s="112"/>
      <c r="N6478" s="84"/>
    </row>
    <row r="6479" spans="1:14" s="2" customFormat="1">
      <c r="A6479" s="83"/>
      <c r="H6479" s="83"/>
      <c r="K6479" s="82"/>
      <c r="M6479" s="112"/>
      <c r="N6479" s="84"/>
    </row>
    <row r="6480" spans="1:14" s="2" customFormat="1">
      <c r="A6480" s="83"/>
      <c r="H6480" s="83"/>
      <c r="K6480" s="82"/>
      <c r="M6480" s="112"/>
      <c r="N6480" s="84"/>
    </row>
    <row r="6481" spans="1:14" s="2" customFormat="1">
      <c r="A6481" s="83"/>
      <c r="H6481" s="83"/>
      <c r="K6481" s="82"/>
      <c r="M6481" s="112"/>
      <c r="N6481" s="84"/>
    </row>
    <row r="6482" spans="1:14" s="2" customFormat="1">
      <c r="A6482" s="83"/>
      <c r="H6482" s="83"/>
      <c r="K6482" s="82"/>
      <c r="M6482" s="112"/>
      <c r="N6482" s="84"/>
    </row>
    <row r="6483" spans="1:14" s="2" customFormat="1">
      <c r="A6483" s="83"/>
      <c r="H6483" s="83"/>
      <c r="K6483" s="82"/>
      <c r="M6483" s="112"/>
      <c r="N6483" s="84"/>
    </row>
    <row r="6484" spans="1:14" s="2" customFormat="1">
      <c r="A6484" s="83"/>
      <c r="H6484" s="83"/>
      <c r="K6484" s="82"/>
      <c r="M6484" s="112"/>
      <c r="N6484" s="84"/>
    </row>
    <row r="6485" spans="1:14" s="2" customFormat="1">
      <c r="A6485" s="83"/>
      <c r="H6485" s="83"/>
      <c r="K6485" s="82"/>
      <c r="M6485" s="112"/>
      <c r="N6485" s="84"/>
    </row>
    <row r="6486" spans="1:14" s="2" customFormat="1">
      <c r="A6486" s="83"/>
      <c r="H6486" s="83"/>
      <c r="K6486" s="82"/>
      <c r="M6486" s="112"/>
      <c r="N6486" s="84"/>
    </row>
    <row r="6487" spans="1:14" s="2" customFormat="1">
      <c r="A6487" s="83"/>
      <c r="H6487" s="83"/>
      <c r="K6487" s="82"/>
      <c r="M6487" s="112"/>
      <c r="N6487" s="84"/>
    </row>
    <row r="6488" spans="1:14" s="2" customFormat="1">
      <c r="A6488" s="83"/>
      <c r="H6488" s="83"/>
      <c r="K6488" s="82"/>
      <c r="M6488" s="112"/>
      <c r="N6488" s="84"/>
    </row>
    <row r="6489" spans="1:14" s="2" customFormat="1">
      <c r="A6489" s="83"/>
      <c r="H6489" s="83"/>
      <c r="K6489" s="82"/>
      <c r="M6489" s="112"/>
      <c r="N6489" s="84"/>
    </row>
    <row r="6490" spans="1:14" s="2" customFormat="1">
      <c r="A6490" s="83"/>
      <c r="H6490" s="83"/>
      <c r="K6490" s="82"/>
      <c r="M6490" s="112"/>
      <c r="N6490" s="84"/>
    </row>
    <row r="6491" spans="1:14" s="2" customFormat="1">
      <c r="A6491" s="83"/>
      <c r="H6491" s="83"/>
      <c r="K6491" s="82"/>
      <c r="M6491" s="112"/>
      <c r="N6491" s="84"/>
    </row>
    <row r="6492" spans="1:14" s="2" customFormat="1">
      <c r="A6492" s="83"/>
      <c r="H6492" s="83"/>
      <c r="K6492" s="82"/>
      <c r="M6492" s="112"/>
      <c r="N6492" s="84"/>
    </row>
    <row r="6493" spans="1:14" s="2" customFormat="1">
      <c r="A6493" s="83"/>
      <c r="H6493" s="83"/>
      <c r="K6493" s="82"/>
      <c r="M6493" s="112"/>
      <c r="N6493" s="84"/>
    </row>
    <row r="6494" spans="1:14" s="2" customFormat="1">
      <c r="A6494" s="83"/>
      <c r="H6494" s="83"/>
      <c r="K6494" s="82"/>
      <c r="M6494" s="112"/>
      <c r="N6494" s="84"/>
    </row>
    <row r="6495" spans="1:14" s="2" customFormat="1">
      <c r="A6495" s="83"/>
      <c r="H6495" s="83"/>
      <c r="K6495" s="82"/>
      <c r="M6495" s="112"/>
      <c r="N6495" s="84"/>
    </row>
    <row r="6496" spans="1:14" s="2" customFormat="1">
      <c r="A6496" s="83"/>
      <c r="H6496" s="83"/>
      <c r="K6496" s="82"/>
      <c r="M6496" s="112"/>
      <c r="N6496" s="84"/>
    </row>
    <row r="6497" spans="1:14" s="2" customFormat="1">
      <c r="A6497" s="83"/>
      <c r="H6497" s="83"/>
      <c r="K6497" s="82"/>
      <c r="M6497" s="112"/>
      <c r="N6497" s="84"/>
    </row>
    <row r="6498" spans="1:14" s="2" customFormat="1">
      <c r="A6498" s="83"/>
      <c r="H6498" s="83"/>
      <c r="K6498" s="82"/>
      <c r="M6498" s="112"/>
      <c r="N6498" s="84"/>
    </row>
    <row r="6499" spans="1:14" s="2" customFormat="1">
      <c r="A6499" s="83"/>
      <c r="H6499" s="83"/>
      <c r="K6499" s="82"/>
      <c r="M6499" s="112"/>
      <c r="N6499" s="84"/>
    </row>
    <row r="6500" spans="1:14" s="2" customFormat="1">
      <c r="A6500" s="83"/>
      <c r="H6500" s="83"/>
      <c r="K6500" s="82"/>
      <c r="M6500" s="112"/>
      <c r="N6500" s="84"/>
    </row>
    <row r="6501" spans="1:14" s="2" customFormat="1">
      <c r="A6501" s="83"/>
      <c r="H6501" s="83"/>
      <c r="K6501" s="82"/>
      <c r="M6501" s="112"/>
      <c r="N6501" s="84"/>
    </row>
    <row r="6502" spans="1:14" s="2" customFormat="1">
      <c r="A6502" s="83"/>
      <c r="H6502" s="83"/>
      <c r="K6502" s="82"/>
      <c r="M6502" s="112"/>
      <c r="N6502" s="84"/>
    </row>
    <row r="6503" spans="1:14" s="2" customFormat="1">
      <c r="A6503" s="83"/>
      <c r="H6503" s="83"/>
      <c r="K6503" s="82"/>
      <c r="M6503" s="112"/>
      <c r="N6503" s="84"/>
    </row>
    <row r="6504" spans="1:14" s="2" customFormat="1">
      <c r="A6504" s="83"/>
      <c r="H6504" s="83"/>
      <c r="K6504" s="82"/>
      <c r="M6504" s="112"/>
      <c r="N6504" s="84"/>
    </row>
    <row r="6505" spans="1:14" s="2" customFormat="1">
      <c r="A6505" s="83"/>
      <c r="H6505" s="83"/>
      <c r="K6505" s="82"/>
      <c r="M6505" s="112"/>
      <c r="N6505" s="84"/>
    </row>
    <row r="6506" spans="1:14" s="2" customFormat="1">
      <c r="A6506" s="83"/>
      <c r="H6506" s="83"/>
      <c r="K6506" s="82"/>
      <c r="M6506" s="112"/>
      <c r="N6506" s="84"/>
    </row>
    <row r="6507" spans="1:14" s="2" customFormat="1">
      <c r="A6507" s="83"/>
      <c r="H6507" s="83"/>
      <c r="K6507" s="82"/>
      <c r="M6507" s="112"/>
      <c r="N6507" s="84"/>
    </row>
    <row r="6508" spans="1:14" s="2" customFormat="1">
      <c r="A6508" s="83"/>
      <c r="H6508" s="83"/>
      <c r="K6508" s="82"/>
      <c r="M6508" s="112"/>
      <c r="N6508" s="84"/>
    </row>
    <row r="6509" spans="1:14" s="2" customFormat="1">
      <c r="A6509" s="83"/>
      <c r="H6509" s="83"/>
      <c r="K6509" s="82"/>
      <c r="M6509" s="112"/>
      <c r="N6509" s="84"/>
    </row>
    <row r="6510" spans="1:14" s="2" customFormat="1">
      <c r="A6510" s="83"/>
      <c r="H6510" s="83"/>
      <c r="K6510" s="82"/>
      <c r="M6510" s="112"/>
      <c r="N6510" s="84"/>
    </row>
    <row r="6511" spans="1:14" s="2" customFormat="1">
      <c r="A6511" s="83"/>
      <c r="H6511" s="83"/>
      <c r="K6511" s="82"/>
      <c r="M6511" s="112"/>
      <c r="N6511" s="84"/>
    </row>
    <row r="6512" spans="1:14" s="2" customFormat="1">
      <c r="A6512" s="83"/>
      <c r="H6512" s="83"/>
      <c r="K6512" s="82"/>
      <c r="M6512" s="112"/>
      <c r="N6512" s="84"/>
    </row>
    <row r="6513" spans="1:14" s="2" customFormat="1">
      <c r="A6513" s="83"/>
      <c r="H6513" s="83"/>
      <c r="K6513" s="82"/>
      <c r="M6513" s="112"/>
      <c r="N6513" s="84"/>
    </row>
    <row r="6514" spans="1:14" s="2" customFormat="1">
      <c r="A6514" s="83"/>
      <c r="H6514" s="83"/>
      <c r="K6514" s="82"/>
      <c r="M6514" s="112"/>
      <c r="N6514" s="84"/>
    </row>
    <row r="6515" spans="1:14" s="2" customFormat="1">
      <c r="A6515" s="83"/>
      <c r="H6515" s="83"/>
      <c r="K6515" s="82"/>
      <c r="M6515" s="112"/>
      <c r="N6515" s="84"/>
    </row>
    <row r="6516" spans="1:14" s="2" customFormat="1">
      <c r="A6516" s="83"/>
      <c r="H6516" s="83"/>
      <c r="K6516" s="82"/>
      <c r="M6516" s="112"/>
      <c r="N6516" s="84"/>
    </row>
    <row r="6517" spans="1:14" s="2" customFormat="1">
      <c r="A6517" s="83"/>
      <c r="H6517" s="83"/>
      <c r="K6517" s="82"/>
      <c r="M6517" s="112"/>
      <c r="N6517" s="84"/>
    </row>
    <row r="6518" spans="1:14" s="2" customFormat="1">
      <c r="A6518" s="83"/>
      <c r="H6518" s="83"/>
      <c r="K6518" s="82"/>
      <c r="M6518" s="112"/>
      <c r="N6518" s="84"/>
    </row>
    <row r="6519" spans="1:14" s="2" customFormat="1">
      <c r="A6519" s="83"/>
      <c r="H6519" s="83"/>
      <c r="K6519" s="82"/>
      <c r="M6519" s="112"/>
      <c r="N6519" s="84"/>
    </row>
    <row r="6520" spans="1:14" s="2" customFormat="1">
      <c r="A6520" s="83"/>
      <c r="H6520" s="83"/>
      <c r="K6520" s="82"/>
      <c r="M6520" s="112"/>
      <c r="N6520" s="84"/>
    </row>
    <row r="6521" spans="1:14" s="2" customFormat="1">
      <c r="A6521" s="83"/>
      <c r="H6521" s="83"/>
      <c r="K6521" s="82"/>
      <c r="M6521" s="112"/>
      <c r="N6521" s="84"/>
    </row>
    <row r="6522" spans="1:14" s="2" customFormat="1">
      <c r="A6522" s="83"/>
      <c r="H6522" s="83"/>
      <c r="K6522" s="82"/>
      <c r="M6522" s="112"/>
      <c r="N6522" s="84"/>
    </row>
    <row r="6523" spans="1:14" s="2" customFormat="1">
      <c r="A6523" s="83"/>
      <c r="H6523" s="83"/>
      <c r="K6523" s="82"/>
      <c r="M6523" s="112"/>
      <c r="N6523" s="84"/>
    </row>
    <row r="6524" spans="1:14" s="2" customFormat="1">
      <c r="A6524" s="83"/>
      <c r="H6524" s="83"/>
      <c r="K6524" s="82"/>
      <c r="M6524" s="112"/>
      <c r="N6524" s="84"/>
    </row>
    <row r="6525" spans="1:14" s="2" customFormat="1">
      <c r="A6525" s="83"/>
      <c r="H6525" s="83"/>
      <c r="K6525" s="82"/>
      <c r="M6525" s="112"/>
      <c r="N6525" s="84"/>
    </row>
    <row r="6526" spans="1:14" s="2" customFormat="1">
      <c r="A6526" s="83"/>
      <c r="H6526" s="83"/>
      <c r="K6526" s="82"/>
      <c r="M6526" s="112"/>
      <c r="N6526" s="84"/>
    </row>
    <row r="6527" spans="1:14" s="2" customFormat="1">
      <c r="A6527" s="83"/>
      <c r="H6527" s="83"/>
      <c r="K6527" s="82"/>
      <c r="M6527" s="112"/>
      <c r="N6527" s="84"/>
    </row>
    <row r="6528" spans="1:14" s="2" customFormat="1">
      <c r="A6528" s="83"/>
      <c r="H6528" s="83"/>
      <c r="K6528" s="82"/>
      <c r="M6528" s="112"/>
      <c r="N6528" s="84"/>
    </row>
    <row r="6529" spans="1:14" s="2" customFormat="1">
      <c r="A6529" s="83"/>
      <c r="H6529" s="83"/>
      <c r="K6529" s="82"/>
      <c r="M6529" s="112"/>
      <c r="N6529" s="84"/>
    </row>
    <row r="6530" spans="1:14" s="2" customFormat="1">
      <c r="A6530" s="83"/>
      <c r="H6530" s="83"/>
      <c r="K6530" s="82"/>
      <c r="M6530" s="112"/>
      <c r="N6530" s="84"/>
    </row>
    <row r="6531" spans="1:14" s="2" customFormat="1">
      <c r="A6531" s="83"/>
      <c r="H6531" s="83"/>
      <c r="K6531" s="82"/>
      <c r="M6531" s="112"/>
      <c r="N6531" s="84"/>
    </row>
    <row r="6532" spans="1:14" s="2" customFormat="1">
      <c r="A6532" s="83"/>
      <c r="H6532" s="83"/>
      <c r="K6532" s="82"/>
      <c r="M6532" s="112"/>
      <c r="N6532" s="84"/>
    </row>
    <row r="6533" spans="1:14" s="2" customFormat="1">
      <c r="A6533" s="83"/>
      <c r="H6533" s="83"/>
      <c r="K6533" s="82"/>
      <c r="M6533" s="112"/>
      <c r="N6533" s="84"/>
    </row>
    <row r="6534" spans="1:14" s="2" customFormat="1">
      <c r="A6534" s="83"/>
      <c r="H6534" s="83"/>
      <c r="K6534" s="82"/>
      <c r="M6534" s="112"/>
      <c r="N6534" s="84"/>
    </row>
    <row r="6535" spans="1:14" s="2" customFormat="1">
      <c r="A6535" s="83"/>
      <c r="H6535" s="83"/>
      <c r="K6535" s="82"/>
      <c r="M6535" s="112"/>
      <c r="N6535" s="84"/>
    </row>
    <row r="6536" spans="1:14" s="2" customFormat="1">
      <c r="A6536" s="83"/>
      <c r="H6536" s="83"/>
      <c r="K6536" s="82"/>
      <c r="M6536" s="112"/>
      <c r="N6536" s="84"/>
    </row>
    <row r="6537" spans="1:14" s="2" customFormat="1">
      <c r="A6537" s="83"/>
      <c r="H6537" s="83"/>
      <c r="K6537" s="82"/>
      <c r="M6537" s="112"/>
      <c r="N6537" s="84"/>
    </row>
    <row r="6538" spans="1:14" s="2" customFormat="1">
      <c r="A6538" s="83"/>
      <c r="H6538" s="83"/>
      <c r="K6538" s="82"/>
      <c r="M6538" s="112"/>
      <c r="N6538" s="84"/>
    </row>
    <row r="6539" spans="1:14" s="2" customFormat="1">
      <c r="A6539" s="83"/>
      <c r="H6539" s="83"/>
      <c r="K6539" s="82"/>
      <c r="M6539" s="112"/>
      <c r="N6539" s="84"/>
    </row>
    <row r="6540" spans="1:14" s="2" customFormat="1">
      <c r="A6540" s="83"/>
      <c r="H6540" s="83"/>
      <c r="K6540" s="82"/>
      <c r="M6540" s="112"/>
      <c r="N6540" s="84"/>
    </row>
    <row r="6541" spans="1:14" s="2" customFormat="1">
      <c r="A6541" s="83"/>
      <c r="H6541" s="83"/>
      <c r="K6541" s="82"/>
      <c r="M6541" s="112"/>
      <c r="N6541" s="84"/>
    </row>
    <row r="6542" spans="1:14" s="2" customFormat="1">
      <c r="A6542" s="83"/>
      <c r="H6542" s="83"/>
      <c r="K6542" s="82"/>
      <c r="M6542" s="112"/>
      <c r="N6542" s="84"/>
    </row>
    <row r="6543" spans="1:14" s="2" customFormat="1">
      <c r="A6543" s="83"/>
      <c r="H6543" s="83"/>
      <c r="K6543" s="82"/>
      <c r="M6543" s="112"/>
      <c r="N6543" s="84"/>
    </row>
    <row r="6544" spans="1:14" s="2" customFormat="1">
      <c r="A6544" s="83"/>
      <c r="H6544" s="83"/>
      <c r="K6544" s="82"/>
      <c r="M6544" s="112"/>
      <c r="N6544" s="84"/>
    </row>
    <row r="6545" spans="1:14" s="2" customFormat="1">
      <c r="A6545" s="83"/>
      <c r="H6545" s="83"/>
      <c r="K6545" s="82"/>
      <c r="M6545" s="112"/>
      <c r="N6545" s="84"/>
    </row>
    <row r="6546" spans="1:14" s="2" customFormat="1">
      <c r="A6546" s="83"/>
      <c r="H6546" s="83"/>
      <c r="K6546" s="82"/>
      <c r="M6546" s="112"/>
      <c r="N6546" s="84"/>
    </row>
    <row r="6547" spans="1:14" s="2" customFormat="1">
      <c r="A6547" s="83"/>
      <c r="H6547" s="83"/>
      <c r="K6547" s="82"/>
      <c r="M6547" s="112"/>
      <c r="N6547" s="84"/>
    </row>
    <row r="6548" spans="1:14" s="2" customFormat="1">
      <c r="A6548" s="83"/>
      <c r="H6548" s="83"/>
      <c r="K6548" s="82"/>
      <c r="M6548" s="112"/>
      <c r="N6548" s="84"/>
    </row>
    <row r="6549" spans="1:14" s="2" customFormat="1">
      <c r="A6549" s="83"/>
      <c r="H6549" s="83"/>
      <c r="K6549" s="82"/>
      <c r="M6549" s="112"/>
      <c r="N6549" s="84"/>
    </row>
    <row r="6550" spans="1:14" s="2" customFormat="1">
      <c r="A6550" s="83"/>
      <c r="H6550" s="83"/>
      <c r="K6550" s="82"/>
      <c r="M6550" s="112"/>
      <c r="N6550" s="84"/>
    </row>
    <row r="6551" spans="1:14" s="2" customFormat="1">
      <c r="A6551" s="83"/>
      <c r="H6551" s="83"/>
      <c r="K6551" s="82"/>
      <c r="M6551" s="112"/>
      <c r="N6551" s="84"/>
    </row>
    <row r="6552" spans="1:14" s="2" customFormat="1">
      <c r="A6552" s="83"/>
      <c r="H6552" s="83"/>
      <c r="K6552" s="82"/>
      <c r="M6552" s="112"/>
      <c r="N6552" s="84"/>
    </row>
    <row r="6553" spans="1:14" s="2" customFormat="1">
      <c r="A6553" s="83"/>
      <c r="H6553" s="83"/>
      <c r="K6553" s="82"/>
      <c r="M6553" s="112"/>
      <c r="N6553" s="84"/>
    </row>
    <row r="6554" spans="1:14" s="2" customFormat="1">
      <c r="A6554" s="83"/>
      <c r="H6554" s="83"/>
      <c r="K6554" s="82"/>
      <c r="M6554" s="112"/>
      <c r="N6554" s="84"/>
    </row>
    <row r="6555" spans="1:14" s="2" customFormat="1">
      <c r="A6555" s="83"/>
      <c r="H6555" s="83"/>
      <c r="K6555" s="82"/>
      <c r="M6555" s="112"/>
      <c r="N6555" s="84"/>
    </row>
    <row r="6556" spans="1:14" s="2" customFormat="1">
      <c r="A6556" s="83"/>
      <c r="H6556" s="83"/>
      <c r="K6556" s="82"/>
      <c r="M6556" s="112"/>
      <c r="N6556" s="84"/>
    </row>
    <row r="6557" spans="1:14" s="2" customFormat="1">
      <c r="A6557" s="83"/>
      <c r="H6557" s="83"/>
      <c r="K6557" s="82"/>
      <c r="M6557" s="112"/>
      <c r="N6557" s="84"/>
    </row>
    <row r="6558" spans="1:14" s="2" customFormat="1">
      <c r="A6558" s="83"/>
      <c r="H6558" s="83"/>
      <c r="K6558" s="82"/>
      <c r="M6558" s="112"/>
      <c r="N6558" s="84"/>
    </row>
    <row r="6559" spans="1:14" s="2" customFormat="1">
      <c r="A6559" s="83"/>
      <c r="H6559" s="83"/>
      <c r="K6559" s="82"/>
      <c r="M6559" s="112"/>
      <c r="N6559" s="84"/>
    </row>
    <row r="6560" spans="1:14" s="2" customFormat="1">
      <c r="A6560" s="83"/>
      <c r="H6560" s="83"/>
      <c r="K6560" s="82"/>
      <c r="M6560" s="112"/>
      <c r="N6560" s="84"/>
    </row>
    <row r="6561" spans="1:14" s="2" customFormat="1">
      <c r="A6561" s="83"/>
      <c r="H6561" s="83"/>
      <c r="K6561" s="82"/>
      <c r="M6561" s="112"/>
      <c r="N6561" s="84"/>
    </row>
    <row r="6562" spans="1:14" s="2" customFormat="1">
      <c r="A6562" s="83"/>
      <c r="H6562" s="83"/>
      <c r="K6562" s="82"/>
      <c r="M6562" s="112"/>
      <c r="N6562" s="84"/>
    </row>
    <row r="6563" spans="1:14" s="2" customFormat="1">
      <c r="A6563" s="83"/>
      <c r="H6563" s="83"/>
      <c r="K6563" s="82"/>
      <c r="M6563" s="112"/>
      <c r="N6563" s="84"/>
    </row>
    <row r="6564" spans="1:14" s="2" customFormat="1">
      <c r="A6564" s="83"/>
      <c r="H6564" s="83"/>
      <c r="K6564" s="82"/>
      <c r="M6564" s="112"/>
      <c r="N6564" s="84"/>
    </row>
    <row r="6565" spans="1:14" s="2" customFormat="1">
      <c r="A6565" s="83"/>
      <c r="H6565" s="83"/>
      <c r="K6565" s="82"/>
      <c r="M6565" s="112"/>
      <c r="N6565" s="84"/>
    </row>
    <row r="6566" spans="1:14" s="2" customFormat="1">
      <c r="A6566" s="83"/>
      <c r="H6566" s="83"/>
      <c r="K6566" s="82"/>
      <c r="M6566" s="112"/>
      <c r="N6566" s="84"/>
    </row>
    <row r="6567" spans="1:14" s="2" customFormat="1">
      <c r="A6567" s="83"/>
      <c r="H6567" s="83"/>
      <c r="K6567" s="82"/>
      <c r="M6567" s="112"/>
      <c r="N6567" s="84"/>
    </row>
    <row r="6568" spans="1:14" s="2" customFormat="1">
      <c r="A6568" s="83"/>
      <c r="H6568" s="83"/>
      <c r="K6568" s="82"/>
      <c r="M6568" s="112"/>
      <c r="N6568" s="84"/>
    </row>
    <row r="6569" spans="1:14" s="2" customFormat="1">
      <c r="A6569" s="83"/>
      <c r="H6569" s="83"/>
      <c r="K6569" s="82"/>
      <c r="M6569" s="112"/>
      <c r="N6569" s="84"/>
    </row>
    <row r="6570" spans="1:14" s="2" customFormat="1">
      <c r="A6570" s="83"/>
      <c r="H6570" s="83"/>
      <c r="K6570" s="82"/>
      <c r="M6570" s="112"/>
      <c r="N6570" s="84"/>
    </row>
    <row r="6571" spans="1:14" s="2" customFormat="1">
      <c r="A6571" s="83"/>
      <c r="H6571" s="83"/>
      <c r="K6571" s="82"/>
      <c r="M6571" s="112"/>
      <c r="N6571" s="84"/>
    </row>
    <row r="6572" spans="1:14" s="2" customFormat="1">
      <c r="A6572" s="83"/>
      <c r="H6572" s="83"/>
      <c r="K6572" s="82"/>
      <c r="M6572" s="112"/>
      <c r="N6572" s="84"/>
    </row>
    <row r="6573" spans="1:14" s="2" customFormat="1">
      <c r="A6573" s="83"/>
      <c r="H6573" s="83"/>
      <c r="K6573" s="82"/>
      <c r="M6573" s="112"/>
      <c r="N6573" s="84"/>
    </row>
    <row r="6574" spans="1:14" s="2" customFormat="1">
      <c r="A6574" s="83"/>
      <c r="H6574" s="83"/>
      <c r="K6574" s="82"/>
      <c r="M6574" s="112"/>
      <c r="N6574" s="84"/>
    </row>
    <row r="6575" spans="1:14" s="2" customFormat="1">
      <c r="A6575" s="83"/>
      <c r="H6575" s="83"/>
      <c r="K6575" s="82"/>
      <c r="M6575" s="112"/>
      <c r="N6575" s="84"/>
    </row>
    <row r="6576" spans="1:14" s="2" customFormat="1">
      <c r="A6576" s="83"/>
      <c r="H6576" s="83"/>
      <c r="K6576" s="82"/>
      <c r="M6576" s="112"/>
      <c r="N6576" s="84"/>
    </row>
    <row r="6577" spans="1:14" s="2" customFormat="1">
      <c r="A6577" s="83"/>
      <c r="H6577" s="83"/>
      <c r="K6577" s="82"/>
      <c r="M6577" s="112"/>
      <c r="N6577" s="84"/>
    </row>
    <row r="6578" spans="1:14" s="2" customFormat="1">
      <c r="A6578" s="83"/>
      <c r="H6578" s="83"/>
      <c r="K6578" s="82"/>
      <c r="M6578" s="112"/>
      <c r="N6578" s="84"/>
    </row>
    <row r="6579" spans="1:14" s="2" customFormat="1">
      <c r="A6579" s="83"/>
      <c r="H6579" s="83"/>
      <c r="K6579" s="82"/>
      <c r="M6579" s="112"/>
      <c r="N6579" s="84"/>
    </row>
    <row r="6580" spans="1:14" s="2" customFormat="1">
      <c r="A6580" s="83"/>
      <c r="H6580" s="83"/>
      <c r="K6580" s="82"/>
      <c r="M6580" s="112"/>
      <c r="N6580" s="84"/>
    </row>
    <row r="6581" spans="1:14" s="2" customFormat="1">
      <c r="A6581" s="83"/>
      <c r="H6581" s="83"/>
      <c r="K6581" s="82"/>
      <c r="M6581" s="112"/>
      <c r="N6581" s="84"/>
    </row>
    <row r="6582" spans="1:14" s="2" customFormat="1">
      <c r="A6582" s="83"/>
      <c r="H6582" s="83"/>
      <c r="K6582" s="82"/>
      <c r="M6582" s="112"/>
      <c r="N6582" s="84"/>
    </row>
    <row r="6583" spans="1:14" s="2" customFormat="1">
      <c r="A6583" s="83"/>
      <c r="H6583" s="83"/>
      <c r="K6583" s="82"/>
      <c r="M6583" s="112"/>
      <c r="N6583" s="84"/>
    </row>
    <row r="6584" spans="1:14" s="2" customFormat="1">
      <c r="A6584" s="83"/>
      <c r="H6584" s="83"/>
      <c r="K6584" s="82"/>
      <c r="M6584" s="112"/>
      <c r="N6584" s="84"/>
    </row>
    <row r="6585" spans="1:14" s="2" customFormat="1">
      <c r="A6585" s="83"/>
      <c r="H6585" s="83"/>
      <c r="K6585" s="82"/>
      <c r="M6585" s="112"/>
      <c r="N6585" s="84"/>
    </row>
    <row r="6586" spans="1:14" s="2" customFormat="1">
      <c r="A6586" s="83"/>
      <c r="H6586" s="83"/>
      <c r="K6586" s="82"/>
      <c r="M6586" s="112"/>
      <c r="N6586" s="84"/>
    </row>
    <row r="6587" spans="1:14" s="2" customFormat="1">
      <c r="A6587" s="83"/>
      <c r="H6587" s="83"/>
      <c r="K6587" s="82"/>
      <c r="M6587" s="112"/>
      <c r="N6587" s="84"/>
    </row>
    <row r="6588" spans="1:14" s="2" customFormat="1">
      <c r="A6588" s="83"/>
      <c r="H6588" s="83"/>
      <c r="K6588" s="82"/>
      <c r="M6588" s="112"/>
      <c r="N6588" s="84"/>
    </row>
    <row r="6589" spans="1:14" s="2" customFormat="1">
      <c r="A6589" s="83"/>
      <c r="H6589" s="83"/>
      <c r="K6589" s="82"/>
      <c r="M6589" s="112"/>
      <c r="N6589" s="84"/>
    </row>
    <row r="6590" spans="1:14" s="2" customFormat="1">
      <c r="A6590" s="83"/>
      <c r="H6590" s="83"/>
      <c r="K6590" s="82"/>
      <c r="M6590" s="112"/>
      <c r="N6590" s="84"/>
    </row>
    <row r="6591" spans="1:14" s="2" customFormat="1">
      <c r="A6591" s="83"/>
      <c r="H6591" s="83"/>
      <c r="K6591" s="82"/>
      <c r="M6591" s="112"/>
      <c r="N6591" s="84"/>
    </row>
    <row r="6592" spans="1:14" s="2" customFormat="1">
      <c r="A6592" s="83"/>
      <c r="H6592" s="83"/>
      <c r="K6592" s="82"/>
      <c r="M6592" s="112"/>
      <c r="N6592" s="84"/>
    </row>
    <row r="6593" spans="1:14" s="2" customFormat="1">
      <c r="A6593" s="83"/>
      <c r="H6593" s="83"/>
      <c r="K6593" s="82"/>
      <c r="M6593" s="112"/>
      <c r="N6593" s="84"/>
    </row>
    <row r="6594" spans="1:14" s="2" customFormat="1">
      <c r="A6594" s="83"/>
      <c r="H6594" s="83"/>
      <c r="K6594" s="82"/>
      <c r="M6594" s="112"/>
      <c r="N6594" s="84"/>
    </row>
    <row r="6595" spans="1:14" s="2" customFormat="1">
      <c r="A6595" s="83"/>
      <c r="H6595" s="83"/>
      <c r="K6595" s="82"/>
      <c r="M6595" s="112"/>
      <c r="N6595" s="84"/>
    </row>
    <row r="6596" spans="1:14" s="2" customFormat="1">
      <c r="A6596" s="83"/>
      <c r="H6596" s="83"/>
      <c r="K6596" s="82"/>
      <c r="M6596" s="112"/>
      <c r="N6596" s="84"/>
    </row>
    <row r="6597" spans="1:14" s="2" customFormat="1">
      <c r="A6597" s="83"/>
      <c r="H6597" s="83"/>
      <c r="K6597" s="82"/>
      <c r="M6597" s="112"/>
      <c r="N6597" s="84"/>
    </row>
    <row r="6598" spans="1:14" s="2" customFormat="1">
      <c r="A6598" s="83"/>
      <c r="H6598" s="83"/>
      <c r="K6598" s="82"/>
      <c r="M6598" s="112"/>
      <c r="N6598" s="84"/>
    </row>
    <row r="6599" spans="1:14" s="2" customFormat="1">
      <c r="A6599" s="83"/>
      <c r="H6599" s="83"/>
      <c r="K6599" s="82"/>
      <c r="M6599" s="112"/>
      <c r="N6599" s="84"/>
    </row>
    <row r="6600" spans="1:14" s="2" customFormat="1">
      <c r="A6600" s="83"/>
      <c r="H6600" s="83"/>
      <c r="K6600" s="82"/>
      <c r="M6600" s="112"/>
      <c r="N6600" s="84"/>
    </row>
    <row r="6601" spans="1:14" s="2" customFormat="1">
      <c r="A6601" s="83"/>
      <c r="H6601" s="83"/>
      <c r="K6601" s="82"/>
      <c r="M6601" s="112"/>
      <c r="N6601" s="84"/>
    </row>
    <row r="6602" spans="1:14" s="2" customFormat="1">
      <c r="A6602" s="83"/>
      <c r="H6602" s="83"/>
      <c r="K6602" s="82"/>
      <c r="M6602" s="112"/>
      <c r="N6602" s="84"/>
    </row>
    <row r="6603" spans="1:14" s="2" customFormat="1">
      <c r="A6603" s="83"/>
      <c r="H6603" s="83"/>
      <c r="K6603" s="82"/>
      <c r="M6603" s="112"/>
      <c r="N6603" s="84"/>
    </row>
    <row r="6604" spans="1:14" s="2" customFormat="1">
      <c r="A6604" s="83"/>
      <c r="H6604" s="83"/>
      <c r="K6604" s="82"/>
      <c r="M6604" s="112"/>
      <c r="N6604" s="84"/>
    </row>
    <row r="6605" spans="1:14" s="2" customFormat="1">
      <c r="A6605" s="83"/>
      <c r="H6605" s="83"/>
      <c r="K6605" s="82"/>
      <c r="M6605" s="112"/>
      <c r="N6605" s="84"/>
    </row>
    <row r="6606" spans="1:14" s="2" customFormat="1">
      <c r="A6606" s="83"/>
      <c r="H6606" s="83"/>
      <c r="K6606" s="82"/>
      <c r="M6606" s="112"/>
      <c r="N6606" s="84"/>
    </row>
    <row r="6607" spans="1:14" s="2" customFormat="1">
      <c r="A6607" s="83"/>
      <c r="H6607" s="83"/>
      <c r="K6607" s="82"/>
      <c r="M6607" s="112"/>
      <c r="N6607" s="84"/>
    </row>
    <row r="6608" spans="1:14" s="2" customFormat="1">
      <c r="A6608" s="83"/>
      <c r="H6608" s="83"/>
      <c r="K6608" s="82"/>
      <c r="M6608" s="112"/>
      <c r="N6608" s="84"/>
    </row>
    <row r="6609" spans="1:14" s="2" customFormat="1">
      <c r="A6609" s="83"/>
      <c r="H6609" s="83"/>
      <c r="K6609" s="82"/>
      <c r="M6609" s="112"/>
      <c r="N6609" s="84"/>
    </row>
    <row r="6610" spans="1:14" s="2" customFormat="1">
      <c r="A6610" s="83"/>
      <c r="H6610" s="83"/>
      <c r="K6610" s="82"/>
      <c r="M6610" s="112"/>
      <c r="N6610" s="84"/>
    </row>
    <row r="6611" spans="1:14" s="2" customFormat="1">
      <c r="A6611" s="83"/>
      <c r="H6611" s="83"/>
      <c r="K6611" s="82"/>
      <c r="M6611" s="112"/>
      <c r="N6611" s="84"/>
    </row>
    <row r="6612" spans="1:14" s="2" customFormat="1">
      <c r="A6612" s="83"/>
      <c r="H6612" s="83"/>
      <c r="K6612" s="82"/>
      <c r="M6612" s="112"/>
      <c r="N6612" s="84"/>
    </row>
    <row r="6613" spans="1:14" s="2" customFormat="1">
      <c r="A6613" s="83"/>
      <c r="H6613" s="83"/>
      <c r="K6613" s="82"/>
      <c r="M6613" s="112"/>
      <c r="N6613" s="84"/>
    </row>
    <row r="6614" spans="1:14" s="2" customFormat="1">
      <c r="A6614" s="83"/>
      <c r="H6614" s="83"/>
      <c r="K6614" s="82"/>
      <c r="M6614" s="112"/>
      <c r="N6614" s="84"/>
    </row>
    <row r="6615" spans="1:14" s="2" customFormat="1">
      <c r="A6615" s="83"/>
      <c r="H6615" s="83"/>
      <c r="K6615" s="82"/>
      <c r="M6615" s="112"/>
      <c r="N6615" s="84"/>
    </row>
    <row r="6616" spans="1:14" s="2" customFormat="1">
      <c r="A6616" s="83"/>
      <c r="H6616" s="83"/>
      <c r="K6616" s="82"/>
      <c r="M6616" s="112"/>
      <c r="N6616" s="84"/>
    </row>
    <row r="6617" spans="1:14" s="2" customFormat="1">
      <c r="A6617" s="83"/>
      <c r="H6617" s="83"/>
      <c r="K6617" s="82"/>
      <c r="M6617" s="112"/>
      <c r="N6617" s="84"/>
    </row>
    <row r="6618" spans="1:14" s="2" customFormat="1">
      <c r="A6618" s="83"/>
      <c r="H6618" s="83"/>
      <c r="K6618" s="82"/>
      <c r="M6618" s="112"/>
      <c r="N6618" s="84"/>
    </row>
    <row r="6619" spans="1:14" s="2" customFormat="1">
      <c r="A6619" s="83"/>
      <c r="H6619" s="83"/>
      <c r="K6619" s="82"/>
      <c r="M6619" s="112"/>
      <c r="N6619" s="84"/>
    </row>
    <row r="6620" spans="1:14" s="2" customFormat="1">
      <c r="A6620" s="83"/>
      <c r="H6620" s="83"/>
      <c r="K6620" s="82"/>
      <c r="M6620" s="112"/>
      <c r="N6620" s="84"/>
    </row>
    <row r="6621" spans="1:14" s="2" customFormat="1">
      <c r="A6621" s="83"/>
      <c r="H6621" s="83"/>
      <c r="K6621" s="82"/>
      <c r="M6621" s="112"/>
      <c r="N6621" s="84"/>
    </row>
    <row r="6622" spans="1:14" s="2" customFormat="1">
      <c r="A6622" s="83"/>
      <c r="H6622" s="83"/>
      <c r="K6622" s="82"/>
      <c r="M6622" s="112"/>
      <c r="N6622" s="84"/>
    </row>
    <row r="6623" spans="1:14" s="2" customFormat="1">
      <c r="A6623" s="83"/>
      <c r="H6623" s="83"/>
      <c r="K6623" s="82"/>
      <c r="M6623" s="112"/>
      <c r="N6623" s="84"/>
    </row>
    <row r="6624" spans="1:14" s="2" customFormat="1">
      <c r="A6624" s="83"/>
      <c r="H6624" s="83"/>
      <c r="K6624" s="82"/>
      <c r="M6624" s="112"/>
      <c r="N6624" s="84"/>
    </row>
    <row r="6625" spans="1:14" s="2" customFormat="1">
      <c r="A6625" s="83"/>
      <c r="H6625" s="83"/>
      <c r="K6625" s="82"/>
      <c r="M6625" s="112"/>
      <c r="N6625" s="84"/>
    </row>
    <row r="6626" spans="1:14" s="2" customFormat="1">
      <c r="A6626" s="83"/>
      <c r="H6626" s="83"/>
      <c r="K6626" s="82"/>
      <c r="M6626" s="112"/>
      <c r="N6626" s="84"/>
    </row>
    <row r="6627" spans="1:14" s="2" customFormat="1">
      <c r="A6627" s="83"/>
      <c r="H6627" s="83"/>
      <c r="K6627" s="82"/>
      <c r="M6627" s="112"/>
      <c r="N6627" s="84"/>
    </row>
    <row r="6628" spans="1:14" s="2" customFormat="1">
      <c r="A6628" s="83"/>
      <c r="H6628" s="83"/>
      <c r="K6628" s="82"/>
      <c r="M6628" s="112"/>
      <c r="N6628" s="84"/>
    </row>
    <row r="6629" spans="1:14" s="2" customFormat="1">
      <c r="A6629" s="83"/>
      <c r="H6629" s="83"/>
      <c r="K6629" s="82"/>
      <c r="M6629" s="112"/>
      <c r="N6629" s="84"/>
    </row>
    <row r="6630" spans="1:14" s="2" customFormat="1">
      <c r="A6630" s="83"/>
      <c r="H6630" s="83"/>
      <c r="K6630" s="82"/>
      <c r="M6630" s="112"/>
      <c r="N6630" s="84"/>
    </row>
    <row r="6631" spans="1:14" s="2" customFormat="1">
      <c r="A6631" s="83"/>
      <c r="H6631" s="83"/>
      <c r="K6631" s="82"/>
      <c r="M6631" s="112"/>
      <c r="N6631" s="84"/>
    </row>
    <row r="6632" spans="1:14" s="2" customFormat="1">
      <c r="A6632" s="83"/>
      <c r="H6632" s="83"/>
      <c r="K6632" s="82"/>
      <c r="M6632" s="112"/>
      <c r="N6632" s="84"/>
    </row>
    <row r="6633" spans="1:14" s="2" customFormat="1">
      <c r="A6633" s="83"/>
      <c r="H6633" s="83"/>
      <c r="K6633" s="82"/>
      <c r="M6633" s="112"/>
      <c r="N6633" s="84"/>
    </row>
    <row r="6634" spans="1:14" s="2" customFormat="1">
      <c r="A6634" s="83"/>
      <c r="H6634" s="83"/>
      <c r="K6634" s="82"/>
      <c r="M6634" s="112"/>
      <c r="N6634" s="84"/>
    </row>
    <row r="6635" spans="1:14" s="2" customFormat="1">
      <c r="A6635" s="83"/>
      <c r="H6635" s="83"/>
      <c r="K6635" s="82"/>
      <c r="M6635" s="112"/>
      <c r="N6635" s="84"/>
    </row>
    <row r="6636" spans="1:14" s="2" customFormat="1">
      <c r="A6636" s="83"/>
      <c r="H6636" s="83"/>
      <c r="K6636" s="82"/>
      <c r="M6636" s="112"/>
      <c r="N6636" s="84"/>
    </row>
    <row r="6637" spans="1:14" s="2" customFormat="1">
      <c r="A6637" s="83"/>
      <c r="H6637" s="83"/>
      <c r="K6637" s="82"/>
      <c r="M6637" s="112"/>
      <c r="N6637" s="84"/>
    </row>
    <row r="6638" spans="1:14" s="2" customFormat="1">
      <c r="A6638" s="83"/>
      <c r="H6638" s="83"/>
      <c r="K6638" s="82"/>
      <c r="M6638" s="112"/>
      <c r="N6638" s="84"/>
    </row>
    <row r="6639" spans="1:14" s="2" customFormat="1">
      <c r="A6639" s="83"/>
      <c r="H6639" s="83"/>
      <c r="K6639" s="82"/>
      <c r="M6639" s="112"/>
      <c r="N6639" s="84"/>
    </row>
    <row r="6640" spans="1:14" s="2" customFormat="1">
      <c r="A6640" s="83"/>
      <c r="H6640" s="83"/>
      <c r="K6640" s="82"/>
      <c r="M6640" s="112"/>
      <c r="N6640" s="84"/>
    </row>
    <row r="6641" spans="1:14" s="2" customFormat="1">
      <c r="A6641" s="83"/>
      <c r="H6641" s="83"/>
      <c r="K6641" s="82"/>
      <c r="M6641" s="112"/>
      <c r="N6641" s="84"/>
    </row>
    <row r="6642" spans="1:14" s="2" customFormat="1">
      <c r="A6642" s="83"/>
      <c r="H6642" s="83"/>
      <c r="K6642" s="82"/>
      <c r="M6642" s="112"/>
      <c r="N6642" s="84"/>
    </row>
    <row r="6643" spans="1:14" s="2" customFormat="1">
      <c r="A6643" s="83"/>
      <c r="H6643" s="83"/>
      <c r="K6643" s="82"/>
      <c r="M6643" s="112"/>
      <c r="N6643" s="84"/>
    </row>
    <row r="6644" spans="1:14" s="2" customFormat="1">
      <c r="A6644" s="83"/>
      <c r="H6644" s="83"/>
      <c r="K6644" s="82"/>
      <c r="M6644" s="112"/>
      <c r="N6644" s="84"/>
    </row>
    <row r="6645" spans="1:14" s="2" customFormat="1">
      <c r="A6645" s="83"/>
      <c r="H6645" s="83"/>
      <c r="K6645" s="82"/>
      <c r="M6645" s="112"/>
      <c r="N6645" s="84"/>
    </row>
    <row r="6646" spans="1:14" s="2" customFormat="1">
      <c r="A6646" s="83"/>
      <c r="H6646" s="83"/>
      <c r="K6646" s="82"/>
      <c r="M6646" s="112"/>
      <c r="N6646" s="84"/>
    </row>
    <row r="6647" spans="1:14" s="2" customFormat="1">
      <c r="A6647" s="83"/>
      <c r="H6647" s="83"/>
      <c r="K6647" s="82"/>
      <c r="M6647" s="112"/>
      <c r="N6647" s="84"/>
    </row>
    <row r="6648" spans="1:14" s="2" customFormat="1">
      <c r="A6648" s="83"/>
      <c r="H6648" s="83"/>
      <c r="K6648" s="82"/>
      <c r="M6648" s="112"/>
      <c r="N6648" s="84"/>
    </row>
    <row r="6649" spans="1:14" s="2" customFormat="1">
      <c r="A6649" s="83"/>
      <c r="H6649" s="83"/>
      <c r="K6649" s="82"/>
      <c r="M6649" s="112"/>
      <c r="N6649" s="84"/>
    </row>
    <row r="6650" spans="1:14" s="2" customFormat="1">
      <c r="A6650" s="83"/>
      <c r="H6650" s="83"/>
      <c r="K6650" s="82"/>
      <c r="M6650" s="112"/>
      <c r="N6650" s="84"/>
    </row>
    <row r="6651" spans="1:14" s="2" customFormat="1">
      <c r="A6651" s="83"/>
      <c r="H6651" s="83"/>
      <c r="K6651" s="82"/>
      <c r="M6651" s="112"/>
      <c r="N6651" s="84"/>
    </row>
    <row r="6652" spans="1:14" s="2" customFormat="1">
      <c r="A6652" s="83"/>
      <c r="H6652" s="83"/>
      <c r="K6652" s="82"/>
      <c r="M6652" s="112"/>
      <c r="N6652" s="84"/>
    </row>
    <row r="6653" spans="1:14" s="2" customFormat="1">
      <c r="A6653" s="83"/>
      <c r="H6653" s="83"/>
      <c r="K6653" s="82"/>
      <c r="M6653" s="112"/>
      <c r="N6653" s="84"/>
    </row>
    <row r="6654" spans="1:14" s="2" customFormat="1">
      <c r="A6654" s="83"/>
      <c r="H6654" s="83"/>
      <c r="K6654" s="82"/>
      <c r="M6654" s="112"/>
      <c r="N6654" s="84"/>
    </row>
    <row r="6655" spans="1:14" s="2" customFormat="1">
      <c r="A6655" s="83"/>
      <c r="H6655" s="83"/>
      <c r="K6655" s="82"/>
      <c r="M6655" s="112"/>
      <c r="N6655" s="84"/>
    </row>
    <row r="6656" spans="1:14" s="2" customFormat="1">
      <c r="A6656" s="83"/>
      <c r="H6656" s="83"/>
      <c r="K6656" s="82"/>
      <c r="M6656" s="112"/>
      <c r="N6656" s="84"/>
    </row>
    <row r="6657" spans="1:14" s="2" customFormat="1">
      <c r="A6657" s="83"/>
      <c r="H6657" s="83"/>
      <c r="K6657" s="82"/>
      <c r="M6657" s="112"/>
      <c r="N6657" s="84"/>
    </row>
    <row r="6658" spans="1:14" s="2" customFormat="1">
      <c r="A6658" s="83"/>
      <c r="H6658" s="83"/>
      <c r="K6658" s="82"/>
      <c r="M6658" s="112"/>
      <c r="N6658" s="84"/>
    </row>
    <row r="6659" spans="1:14" s="2" customFormat="1">
      <c r="A6659" s="83"/>
      <c r="H6659" s="83"/>
      <c r="K6659" s="82"/>
      <c r="M6659" s="112"/>
      <c r="N6659" s="84"/>
    </row>
    <row r="6660" spans="1:14" s="2" customFormat="1">
      <c r="A6660" s="83"/>
      <c r="H6660" s="83"/>
      <c r="K6660" s="82"/>
      <c r="M6660" s="112"/>
      <c r="N6660" s="84"/>
    </row>
    <row r="6661" spans="1:14" s="2" customFormat="1">
      <c r="A6661" s="83"/>
      <c r="H6661" s="83"/>
      <c r="K6661" s="82"/>
      <c r="M6661" s="112"/>
      <c r="N6661" s="84"/>
    </row>
    <row r="6662" spans="1:14" s="2" customFormat="1">
      <c r="A6662" s="83"/>
      <c r="H6662" s="83"/>
      <c r="K6662" s="82"/>
      <c r="M6662" s="112"/>
      <c r="N6662" s="84"/>
    </row>
    <row r="6663" spans="1:14" s="2" customFormat="1">
      <c r="A6663" s="83"/>
      <c r="H6663" s="83"/>
      <c r="K6663" s="82"/>
      <c r="M6663" s="112"/>
      <c r="N6663" s="84"/>
    </row>
    <row r="6664" spans="1:14" s="2" customFormat="1">
      <c r="A6664" s="83"/>
      <c r="H6664" s="83"/>
      <c r="K6664" s="82"/>
      <c r="M6664" s="112"/>
      <c r="N6664" s="84"/>
    </row>
    <row r="6665" spans="1:14" s="2" customFormat="1">
      <c r="A6665" s="83"/>
      <c r="H6665" s="83"/>
      <c r="K6665" s="82"/>
      <c r="M6665" s="112"/>
      <c r="N6665" s="84"/>
    </row>
    <row r="6666" spans="1:14" s="2" customFormat="1">
      <c r="A6666" s="83"/>
      <c r="H6666" s="83"/>
      <c r="K6666" s="82"/>
      <c r="M6666" s="112"/>
      <c r="N6666" s="84"/>
    </row>
    <row r="6667" spans="1:14" s="2" customFormat="1">
      <c r="A6667" s="83"/>
      <c r="H6667" s="83"/>
      <c r="K6667" s="82"/>
      <c r="M6667" s="112"/>
      <c r="N6667" s="84"/>
    </row>
    <row r="6668" spans="1:14" s="2" customFormat="1">
      <c r="A6668" s="83"/>
      <c r="H6668" s="83"/>
      <c r="K6668" s="82"/>
      <c r="M6668" s="112"/>
      <c r="N6668" s="84"/>
    </row>
    <row r="6669" spans="1:14" s="2" customFormat="1">
      <c r="A6669" s="83"/>
      <c r="H6669" s="83"/>
      <c r="K6669" s="82"/>
      <c r="M6669" s="112"/>
      <c r="N6669" s="84"/>
    </row>
    <row r="6670" spans="1:14" s="2" customFormat="1">
      <c r="A6670" s="83"/>
      <c r="H6670" s="83"/>
      <c r="K6670" s="82"/>
      <c r="M6670" s="112"/>
      <c r="N6670" s="84"/>
    </row>
    <row r="6671" spans="1:14" s="2" customFormat="1">
      <c r="A6671" s="83"/>
      <c r="H6671" s="83"/>
      <c r="K6671" s="82"/>
      <c r="M6671" s="112"/>
      <c r="N6671" s="84"/>
    </row>
    <row r="6672" spans="1:14" s="2" customFormat="1">
      <c r="A6672" s="83"/>
      <c r="H6672" s="83"/>
      <c r="K6672" s="82"/>
      <c r="M6672" s="112"/>
      <c r="N6672" s="84"/>
    </row>
    <row r="6673" spans="1:14" s="2" customFormat="1">
      <c r="A6673" s="83"/>
      <c r="H6673" s="83"/>
      <c r="K6673" s="82"/>
      <c r="M6673" s="112"/>
      <c r="N6673" s="84"/>
    </row>
    <row r="6674" spans="1:14" s="2" customFormat="1">
      <c r="A6674" s="83"/>
      <c r="H6674" s="83"/>
      <c r="K6674" s="82"/>
      <c r="M6674" s="112"/>
      <c r="N6674" s="84"/>
    </row>
    <row r="6675" spans="1:14" s="2" customFormat="1">
      <c r="A6675" s="83"/>
      <c r="H6675" s="83"/>
      <c r="K6675" s="82"/>
      <c r="M6675" s="112"/>
      <c r="N6675" s="84"/>
    </row>
    <row r="6676" spans="1:14" s="2" customFormat="1">
      <c r="A6676" s="83"/>
      <c r="H6676" s="83"/>
      <c r="K6676" s="82"/>
      <c r="M6676" s="112"/>
      <c r="N6676" s="84"/>
    </row>
    <row r="6677" spans="1:14" s="2" customFormat="1">
      <c r="A6677" s="83"/>
      <c r="H6677" s="83"/>
      <c r="K6677" s="82"/>
      <c r="M6677" s="112"/>
      <c r="N6677" s="84"/>
    </row>
    <row r="6678" spans="1:14" s="2" customFormat="1">
      <c r="A6678" s="83"/>
      <c r="H6678" s="83"/>
      <c r="K6678" s="82"/>
      <c r="M6678" s="112"/>
      <c r="N6678" s="84"/>
    </row>
    <row r="6679" spans="1:14" s="2" customFormat="1">
      <c r="A6679" s="83"/>
      <c r="H6679" s="83"/>
      <c r="K6679" s="82"/>
      <c r="M6679" s="112"/>
      <c r="N6679" s="84"/>
    </row>
    <row r="6680" spans="1:14" s="2" customFormat="1">
      <c r="A6680" s="83"/>
      <c r="H6680" s="83"/>
      <c r="K6680" s="82"/>
      <c r="M6680" s="112"/>
      <c r="N6680" s="84"/>
    </row>
    <row r="6681" spans="1:14" s="2" customFormat="1">
      <c r="A6681" s="83"/>
      <c r="H6681" s="83"/>
      <c r="K6681" s="82"/>
      <c r="M6681" s="112"/>
      <c r="N6681" s="84"/>
    </row>
    <row r="6682" spans="1:14" s="2" customFormat="1">
      <c r="A6682" s="83"/>
      <c r="H6682" s="83"/>
      <c r="K6682" s="82"/>
      <c r="M6682" s="112"/>
      <c r="N6682" s="84"/>
    </row>
    <row r="6683" spans="1:14" s="2" customFormat="1">
      <c r="A6683" s="83"/>
      <c r="H6683" s="83"/>
      <c r="K6683" s="82"/>
      <c r="M6683" s="112"/>
      <c r="N6683" s="84"/>
    </row>
    <row r="6684" spans="1:14" s="2" customFormat="1">
      <c r="A6684" s="83"/>
      <c r="H6684" s="83"/>
      <c r="K6684" s="82"/>
      <c r="M6684" s="112"/>
      <c r="N6684" s="84"/>
    </row>
    <row r="6685" spans="1:14" s="2" customFormat="1">
      <c r="A6685" s="83"/>
      <c r="H6685" s="83"/>
      <c r="K6685" s="82"/>
      <c r="M6685" s="112"/>
      <c r="N6685" s="84"/>
    </row>
    <row r="6686" spans="1:14" s="2" customFormat="1">
      <c r="A6686" s="83"/>
      <c r="H6686" s="83"/>
      <c r="K6686" s="82"/>
      <c r="M6686" s="112"/>
      <c r="N6686" s="84"/>
    </row>
    <row r="6687" spans="1:14" s="2" customFormat="1">
      <c r="A6687" s="83"/>
      <c r="H6687" s="83"/>
      <c r="K6687" s="82"/>
      <c r="M6687" s="112"/>
      <c r="N6687" s="84"/>
    </row>
    <row r="6688" spans="1:14" s="2" customFormat="1">
      <c r="A6688" s="83"/>
      <c r="H6688" s="83"/>
      <c r="K6688" s="82"/>
      <c r="M6688" s="112"/>
      <c r="N6688" s="84"/>
    </row>
    <row r="6689" spans="1:14" s="2" customFormat="1">
      <c r="A6689" s="83"/>
      <c r="H6689" s="83"/>
      <c r="K6689" s="82"/>
      <c r="M6689" s="112"/>
      <c r="N6689" s="84"/>
    </row>
    <row r="6690" spans="1:14" s="2" customFormat="1">
      <c r="A6690" s="83"/>
      <c r="H6690" s="83"/>
      <c r="K6690" s="82"/>
      <c r="M6690" s="112"/>
      <c r="N6690" s="84"/>
    </row>
    <row r="6691" spans="1:14" s="2" customFormat="1">
      <c r="A6691" s="83"/>
      <c r="H6691" s="83"/>
      <c r="K6691" s="82"/>
      <c r="M6691" s="112"/>
      <c r="N6691" s="84"/>
    </row>
    <row r="6692" spans="1:14" s="2" customFormat="1">
      <c r="A6692" s="83"/>
      <c r="H6692" s="83"/>
      <c r="K6692" s="82"/>
      <c r="M6692" s="112"/>
      <c r="N6692" s="84"/>
    </row>
    <row r="6693" spans="1:14" s="2" customFormat="1">
      <c r="A6693" s="83"/>
      <c r="H6693" s="83"/>
      <c r="K6693" s="82"/>
      <c r="M6693" s="112"/>
      <c r="N6693" s="84"/>
    </row>
    <row r="6694" spans="1:14" s="2" customFormat="1">
      <c r="A6694" s="83"/>
      <c r="H6694" s="83"/>
      <c r="K6694" s="82"/>
      <c r="M6694" s="112"/>
      <c r="N6694" s="84"/>
    </row>
    <row r="6695" spans="1:14" s="2" customFormat="1">
      <c r="A6695" s="83"/>
      <c r="H6695" s="83"/>
      <c r="K6695" s="82"/>
      <c r="M6695" s="112"/>
      <c r="N6695" s="84"/>
    </row>
    <row r="6696" spans="1:14" s="2" customFormat="1">
      <c r="A6696" s="83"/>
      <c r="H6696" s="83"/>
      <c r="K6696" s="82"/>
      <c r="M6696" s="112"/>
      <c r="N6696" s="84"/>
    </row>
    <row r="6697" spans="1:14" s="2" customFormat="1">
      <c r="A6697" s="83"/>
      <c r="H6697" s="83"/>
      <c r="K6697" s="82"/>
      <c r="M6697" s="112"/>
      <c r="N6697" s="84"/>
    </row>
    <row r="6698" spans="1:14" s="2" customFormat="1">
      <c r="A6698" s="83"/>
      <c r="H6698" s="83"/>
      <c r="K6698" s="82"/>
      <c r="M6698" s="112"/>
      <c r="N6698" s="84"/>
    </row>
    <row r="6699" spans="1:14" s="2" customFormat="1">
      <c r="A6699" s="83"/>
      <c r="H6699" s="83"/>
      <c r="K6699" s="82"/>
      <c r="M6699" s="112"/>
      <c r="N6699" s="84"/>
    </row>
    <row r="6700" spans="1:14" s="2" customFormat="1">
      <c r="A6700" s="83"/>
      <c r="H6700" s="83"/>
      <c r="K6700" s="82"/>
      <c r="M6700" s="112"/>
      <c r="N6700" s="84"/>
    </row>
    <row r="6701" spans="1:14" s="2" customFormat="1">
      <c r="A6701" s="83"/>
      <c r="H6701" s="83"/>
      <c r="K6701" s="82"/>
      <c r="M6701" s="112"/>
      <c r="N6701" s="84"/>
    </row>
    <row r="6702" spans="1:14" s="2" customFormat="1">
      <c r="A6702" s="83"/>
      <c r="H6702" s="83"/>
      <c r="K6702" s="82"/>
      <c r="M6702" s="112"/>
      <c r="N6702" s="84"/>
    </row>
    <row r="6703" spans="1:14" s="2" customFormat="1">
      <c r="A6703" s="83"/>
      <c r="H6703" s="83"/>
      <c r="K6703" s="82"/>
      <c r="M6703" s="112"/>
      <c r="N6703" s="84"/>
    </row>
    <row r="6704" spans="1:14" s="2" customFormat="1">
      <c r="A6704" s="83"/>
      <c r="H6704" s="83"/>
      <c r="K6704" s="82"/>
      <c r="M6704" s="112"/>
      <c r="N6704" s="84"/>
    </row>
    <row r="6705" spans="1:14" s="2" customFormat="1">
      <c r="A6705" s="83"/>
      <c r="H6705" s="83"/>
      <c r="K6705" s="82"/>
      <c r="M6705" s="112"/>
      <c r="N6705" s="84"/>
    </row>
    <row r="6706" spans="1:14" s="2" customFormat="1">
      <c r="A6706" s="83"/>
      <c r="H6706" s="83"/>
      <c r="K6706" s="82"/>
      <c r="M6706" s="112"/>
      <c r="N6706" s="84"/>
    </row>
    <row r="6707" spans="1:14" s="2" customFormat="1">
      <c r="A6707" s="83"/>
      <c r="H6707" s="83"/>
      <c r="K6707" s="82"/>
      <c r="M6707" s="112"/>
      <c r="N6707" s="84"/>
    </row>
    <row r="6708" spans="1:14" s="2" customFormat="1">
      <c r="A6708" s="83"/>
      <c r="H6708" s="83"/>
      <c r="K6708" s="82"/>
      <c r="M6708" s="112"/>
      <c r="N6708" s="84"/>
    </row>
    <row r="6709" spans="1:14" s="2" customFormat="1">
      <c r="A6709" s="83"/>
      <c r="H6709" s="83"/>
      <c r="K6709" s="82"/>
      <c r="M6709" s="112"/>
      <c r="N6709" s="84"/>
    </row>
    <row r="6710" spans="1:14" s="2" customFormat="1">
      <c r="A6710" s="83"/>
      <c r="H6710" s="83"/>
      <c r="K6710" s="82"/>
      <c r="M6710" s="112"/>
      <c r="N6710" s="84"/>
    </row>
    <row r="6711" spans="1:14" s="2" customFormat="1">
      <c r="A6711" s="83"/>
      <c r="H6711" s="83"/>
      <c r="K6711" s="82"/>
      <c r="M6711" s="112"/>
      <c r="N6711" s="84"/>
    </row>
    <row r="6712" spans="1:14" s="2" customFormat="1">
      <c r="A6712" s="83"/>
      <c r="H6712" s="83"/>
      <c r="K6712" s="82"/>
      <c r="M6712" s="112"/>
      <c r="N6712" s="84"/>
    </row>
    <row r="6713" spans="1:14" s="2" customFormat="1">
      <c r="A6713" s="83"/>
      <c r="H6713" s="83"/>
      <c r="K6713" s="82"/>
      <c r="M6713" s="112"/>
      <c r="N6713" s="84"/>
    </row>
    <row r="6714" spans="1:14" s="2" customFormat="1">
      <c r="A6714" s="83"/>
      <c r="H6714" s="83"/>
      <c r="K6714" s="82"/>
      <c r="M6714" s="112"/>
      <c r="N6714" s="84"/>
    </row>
    <row r="6715" spans="1:14" s="2" customFormat="1">
      <c r="A6715" s="83"/>
      <c r="H6715" s="83"/>
      <c r="K6715" s="82"/>
      <c r="M6715" s="112"/>
      <c r="N6715" s="84"/>
    </row>
    <row r="6716" spans="1:14" s="2" customFormat="1">
      <c r="A6716" s="83"/>
      <c r="H6716" s="83"/>
      <c r="K6716" s="82"/>
      <c r="M6716" s="112"/>
      <c r="N6716" s="84"/>
    </row>
    <row r="6717" spans="1:14" s="2" customFormat="1">
      <c r="A6717" s="83"/>
      <c r="H6717" s="83"/>
      <c r="K6717" s="82"/>
      <c r="M6717" s="112"/>
      <c r="N6717" s="84"/>
    </row>
    <row r="6718" spans="1:14" s="2" customFormat="1">
      <c r="A6718" s="83"/>
      <c r="H6718" s="83"/>
      <c r="K6718" s="82"/>
      <c r="M6718" s="112"/>
      <c r="N6718" s="84"/>
    </row>
    <row r="6719" spans="1:14" s="2" customFormat="1">
      <c r="A6719" s="83"/>
      <c r="H6719" s="83"/>
      <c r="K6719" s="82"/>
      <c r="M6719" s="112"/>
      <c r="N6719" s="84"/>
    </row>
    <row r="6720" spans="1:14" s="2" customFormat="1">
      <c r="A6720" s="83"/>
      <c r="H6720" s="83"/>
      <c r="K6720" s="82"/>
      <c r="M6720" s="112"/>
      <c r="N6720" s="84"/>
    </row>
    <row r="6721" spans="1:14" s="2" customFormat="1">
      <c r="A6721" s="83"/>
      <c r="H6721" s="83"/>
      <c r="K6721" s="82"/>
      <c r="M6721" s="112"/>
      <c r="N6721" s="84"/>
    </row>
    <row r="6722" spans="1:14" s="2" customFormat="1">
      <c r="A6722" s="83"/>
      <c r="H6722" s="83"/>
      <c r="K6722" s="82"/>
      <c r="M6722" s="112"/>
      <c r="N6722" s="84"/>
    </row>
    <row r="6723" spans="1:14" s="2" customFormat="1">
      <c r="A6723" s="83"/>
      <c r="H6723" s="83"/>
      <c r="K6723" s="82"/>
      <c r="M6723" s="112"/>
      <c r="N6723" s="84"/>
    </row>
    <row r="6724" spans="1:14" s="2" customFormat="1">
      <c r="A6724" s="83"/>
      <c r="H6724" s="83"/>
      <c r="K6724" s="82"/>
      <c r="M6724" s="112"/>
      <c r="N6724" s="84"/>
    </row>
    <row r="6725" spans="1:14" s="2" customFormat="1">
      <c r="A6725" s="83"/>
      <c r="H6725" s="83"/>
      <c r="K6725" s="82"/>
      <c r="M6725" s="112"/>
      <c r="N6725" s="84"/>
    </row>
    <row r="6726" spans="1:14" s="2" customFormat="1">
      <c r="A6726" s="83"/>
      <c r="H6726" s="83"/>
      <c r="K6726" s="82"/>
      <c r="M6726" s="112"/>
      <c r="N6726" s="84"/>
    </row>
    <row r="6727" spans="1:14" s="2" customFormat="1">
      <c r="A6727" s="83"/>
      <c r="H6727" s="83"/>
      <c r="K6727" s="82"/>
      <c r="M6727" s="112"/>
      <c r="N6727" s="84"/>
    </row>
    <row r="6728" spans="1:14" s="2" customFormat="1">
      <c r="A6728" s="83"/>
      <c r="H6728" s="83"/>
      <c r="K6728" s="82"/>
      <c r="M6728" s="112"/>
      <c r="N6728" s="84"/>
    </row>
    <row r="6729" spans="1:14" s="2" customFormat="1">
      <c r="A6729" s="83"/>
      <c r="H6729" s="83"/>
      <c r="K6729" s="82"/>
      <c r="M6729" s="112"/>
      <c r="N6729" s="84"/>
    </row>
    <row r="6730" spans="1:14" s="2" customFormat="1">
      <c r="A6730" s="83"/>
      <c r="H6730" s="83"/>
      <c r="K6730" s="82"/>
      <c r="M6730" s="112"/>
      <c r="N6730" s="84"/>
    </row>
    <row r="6731" spans="1:14" s="2" customFormat="1">
      <c r="A6731" s="83"/>
      <c r="H6731" s="83"/>
      <c r="K6731" s="82"/>
      <c r="M6731" s="112"/>
      <c r="N6731" s="84"/>
    </row>
    <row r="6732" spans="1:14" s="2" customFormat="1">
      <c r="A6732" s="83"/>
      <c r="H6732" s="83"/>
      <c r="K6732" s="82"/>
      <c r="M6732" s="112"/>
      <c r="N6732" s="84"/>
    </row>
    <row r="6733" spans="1:14" s="2" customFormat="1">
      <c r="A6733" s="83"/>
      <c r="H6733" s="83"/>
      <c r="K6733" s="82"/>
      <c r="M6733" s="112"/>
      <c r="N6733" s="84"/>
    </row>
    <row r="6734" spans="1:14" s="2" customFormat="1">
      <c r="A6734" s="83"/>
      <c r="H6734" s="83"/>
      <c r="K6734" s="82"/>
      <c r="M6734" s="112"/>
      <c r="N6734" s="84"/>
    </row>
    <row r="6735" spans="1:14" s="2" customFormat="1">
      <c r="A6735" s="83"/>
      <c r="H6735" s="83"/>
      <c r="K6735" s="82"/>
      <c r="M6735" s="112"/>
      <c r="N6735" s="84"/>
    </row>
    <row r="6736" spans="1:14" s="2" customFormat="1">
      <c r="A6736" s="83"/>
      <c r="H6736" s="83"/>
      <c r="K6736" s="82"/>
      <c r="M6736" s="112"/>
      <c r="N6736" s="84"/>
    </row>
    <row r="6737" spans="1:14" s="2" customFormat="1">
      <c r="A6737" s="83"/>
      <c r="H6737" s="83"/>
      <c r="K6737" s="82"/>
      <c r="M6737" s="112"/>
      <c r="N6737" s="84"/>
    </row>
    <row r="6738" spans="1:14" s="2" customFormat="1">
      <c r="A6738" s="83"/>
      <c r="H6738" s="83"/>
      <c r="K6738" s="82"/>
      <c r="M6738" s="112"/>
      <c r="N6738" s="84"/>
    </row>
    <row r="6739" spans="1:14" s="2" customFormat="1">
      <c r="A6739" s="83"/>
      <c r="H6739" s="83"/>
      <c r="K6739" s="82"/>
      <c r="M6739" s="112"/>
      <c r="N6739" s="84"/>
    </row>
    <row r="6740" spans="1:14" s="2" customFormat="1">
      <c r="A6740" s="83"/>
      <c r="H6740" s="83"/>
      <c r="K6740" s="82"/>
      <c r="M6740" s="112"/>
      <c r="N6740" s="84"/>
    </row>
    <row r="6741" spans="1:14" s="2" customFormat="1">
      <c r="A6741" s="83"/>
      <c r="H6741" s="83"/>
      <c r="K6741" s="82"/>
      <c r="M6741" s="112"/>
      <c r="N6741" s="84"/>
    </row>
    <row r="6742" spans="1:14" s="2" customFormat="1">
      <c r="A6742" s="83"/>
      <c r="H6742" s="83"/>
      <c r="K6742" s="82"/>
      <c r="M6742" s="112"/>
      <c r="N6742" s="84"/>
    </row>
    <row r="6743" spans="1:14" s="2" customFormat="1">
      <c r="A6743" s="83"/>
      <c r="H6743" s="83"/>
      <c r="K6743" s="82"/>
      <c r="M6743" s="112"/>
      <c r="N6743" s="84"/>
    </row>
    <row r="6744" spans="1:14" s="2" customFormat="1">
      <c r="A6744" s="83"/>
      <c r="H6744" s="83"/>
      <c r="K6744" s="82"/>
      <c r="M6744" s="112"/>
      <c r="N6744" s="84"/>
    </row>
    <row r="6745" spans="1:14" s="2" customFormat="1">
      <c r="A6745" s="83"/>
      <c r="H6745" s="83"/>
      <c r="K6745" s="82"/>
      <c r="M6745" s="112"/>
      <c r="N6745" s="84"/>
    </row>
    <row r="6746" spans="1:14" s="2" customFormat="1">
      <c r="A6746" s="83"/>
      <c r="H6746" s="83"/>
      <c r="K6746" s="82"/>
      <c r="M6746" s="112"/>
      <c r="N6746" s="84"/>
    </row>
    <row r="6747" spans="1:14" s="2" customFormat="1">
      <c r="A6747" s="83"/>
      <c r="H6747" s="83"/>
      <c r="K6747" s="82"/>
      <c r="M6747" s="112"/>
      <c r="N6747" s="84"/>
    </row>
    <row r="6748" spans="1:14" s="2" customFormat="1">
      <c r="A6748" s="83"/>
      <c r="H6748" s="83"/>
      <c r="K6748" s="82"/>
      <c r="M6748" s="112"/>
      <c r="N6748" s="84"/>
    </row>
    <row r="6749" spans="1:14" s="2" customFormat="1">
      <c r="A6749" s="83"/>
      <c r="H6749" s="83"/>
      <c r="K6749" s="82"/>
      <c r="M6749" s="112"/>
      <c r="N6749" s="84"/>
    </row>
    <row r="6750" spans="1:14" s="2" customFormat="1">
      <c r="A6750" s="83"/>
      <c r="H6750" s="83"/>
      <c r="K6750" s="82"/>
      <c r="M6750" s="112"/>
      <c r="N6750" s="84"/>
    </row>
    <row r="6751" spans="1:14" s="2" customFormat="1">
      <c r="A6751" s="83"/>
      <c r="H6751" s="83"/>
      <c r="K6751" s="82"/>
      <c r="M6751" s="112"/>
      <c r="N6751" s="84"/>
    </row>
    <row r="6752" spans="1:14" s="2" customFormat="1">
      <c r="A6752" s="83"/>
      <c r="H6752" s="83"/>
      <c r="K6752" s="82"/>
      <c r="M6752" s="112"/>
      <c r="N6752" s="84"/>
    </row>
    <row r="6753" spans="1:14" s="2" customFormat="1">
      <c r="A6753" s="83"/>
      <c r="H6753" s="83"/>
      <c r="K6753" s="82"/>
      <c r="M6753" s="112"/>
      <c r="N6753" s="84"/>
    </row>
    <row r="6754" spans="1:14" s="2" customFormat="1">
      <c r="A6754" s="83"/>
      <c r="H6754" s="83"/>
      <c r="K6754" s="82"/>
      <c r="M6754" s="112"/>
      <c r="N6754" s="84"/>
    </row>
    <row r="6755" spans="1:14" s="2" customFormat="1">
      <c r="A6755" s="83"/>
      <c r="H6755" s="83"/>
      <c r="K6755" s="82"/>
      <c r="M6755" s="112"/>
      <c r="N6755" s="84"/>
    </row>
    <row r="6756" spans="1:14" s="2" customFormat="1">
      <c r="A6756" s="83"/>
      <c r="H6756" s="83"/>
      <c r="K6756" s="82"/>
      <c r="M6756" s="112"/>
      <c r="N6756" s="84"/>
    </row>
    <row r="6757" spans="1:14" s="2" customFormat="1">
      <c r="A6757" s="83"/>
      <c r="H6757" s="83"/>
      <c r="K6757" s="82"/>
      <c r="M6757" s="112"/>
      <c r="N6757" s="84"/>
    </row>
    <row r="6758" spans="1:14" s="2" customFormat="1">
      <c r="A6758" s="83"/>
      <c r="H6758" s="83"/>
      <c r="K6758" s="82"/>
      <c r="M6758" s="112"/>
      <c r="N6758" s="84"/>
    </row>
    <row r="6759" spans="1:14" s="2" customFormat="1">
      <c r="A6759" s="83"/>
      <c r="H6759" s="83"/>
      <c r="K6759" s="82"/>
      <c r="M6759" s="112"/>
      <c r="N6759" s="84"/>
    </row>
    <row r="6760" spans="1:14" s="2" customFormat="1">
      <c r="A6760" s="83"/>
      <c r="H6760" s="83"/>
      <c r="K6760" s="82"/>
      <c r="M6760" s="112"/>
      <c r="N6760" s="84"/>
    </row>
    <row r="6761" spans="1:14" s="2" customFormat="1">
      <c r="A6761" s="83"/>
      <c r="H6761" s="83"/>
      <c r="K6761" s="82"/>
      <c r="M6761" s="112"/>
      <c r="N6761" s="84"/>
    </row>
    <row r="6762" spans="1:14" s="2" customFormat="1">
      <c r="A6762" s="83"/>
      <c r="H6762" s="83"/>
      <c r="K6762" s="82"/>
      <c r="M6762" s="112"/>
      <c r="N6762" s="84"/>
    </row>
    <row r="6763" spans="1:14" s="2" customFormat="1">
      <c r="A6763" s="83"/>
      <c r="H6763" s="83"/>
      <c r="K6763" s="82"/>
      <c r="M6763" s="112"/>
      <c r="N6763" s="84"/>
    </row>
    <row r="6764" spans="1:14" s="2" customFormat="1">
      <c r="A6764" s="83"/>
      <c r="H6764" s="83"/>
      <c r="K6764" s="82"/>
      <c r="M6764" s="112"/>
      <c r="N6764" s="84"/>
    </row>
    <row r="6765" spans="1:14" s="2" customFormat="1">
      <c r="A6765" s="83"/>
      <c r="H6765" s="83"/>
      <c r="K6765" s="82"/>
      <c r="M6765" s="112"/>
      <c r="N6765" s="84"/>
    </row>
    <row r="6766" spans="1:14" s="2" customFormat="1">
      <c r="A6766" s="83"/>
      <c r="H6766" s="83"/>
      <c r="K6766" s="82"/>
      <c r="M6766" s="112"/>
      <c r="N6766" s="84"/>
    </row>
    <row r="6767" spans="1:14" s="2" customFormat="1">
      <c r="A6767" s="83"/>
      <c r="H6767" s="83"/>
      <c r="K6767" s="82"/>
      <c r="M6767" s="112"/>
      <c r="N6767" s="84"/>
    </row>
    <row r="6768" spans="1:14" s="2" customFormat="1">
      <c r="A6768" s="83"/>
      <c r="H6768" s="83"/>
      <c r="K6768" s="82"/>
      <c r="M6768" s="112"/>
      <c r="N6768" s="84"/>
    </row>
    <row r="6769" spans="1:14" s="2" customFormat="1">
      <c r="A6769" s="83"/>
      <c r="H6769" s="83"/>
      <c r="K6769" s="82"/>
      <c r="M6769" s="112"/>
      <c r="N6769" s="84"/>
    </row>
    <row r="6770" spans="1:14" s="2" customFormat="1">
      <c r="A6770" s="83"/>
      <c r="H6770" s="83"/>
      <c r="K6770" s="82"/>
      <c r="M6770" s="112"/>
      <c r="N6770" s="84"/>
    </row>
    <row r="6771" spans="1:14" s="2" customFormat="1">
      <c r="A6771" s="83"/>
      <c r="H6771" s="83"/>
      <c r="K6771" s="82"/>
      <c r="M6771" s="112"/>
      <c r="N6771" s="84"/>
    </row>
    <row r="6772" spans="1:14" s="2" customFormat="1">
      <c r="A6772" s="83"/>
      <c r="H6772" s="83"/>
      <c r="K6772" s="82"/>
      <c r="M6772" s="112"/>
      <c r="N6772" s="84"/>
    </row>
    <row r="6773" spans="1:14" s="2" customFormat="1">
      <c r="A6773" s="83"/>
      <c r="H6773" s="83"/>
      <c r="K6773" s="82"/>
      <c r="M6773" s="112"/>
      <c r="N6773" s="84"/>
    </row>
    <row r="6774" spans="1:14" s="2" customFormat="1">
      <c r="A6774" s="83"/>
      <c r="H6774" s="83"/>
      <c r="K6774" s="82"/>
      <c r="M6774" s="112"/>
      <c r="N6774" s="84"/>
    </row>
    <row r="6775" spans="1:14" s="2" customFormat="1">
      <c r="A6775" s="83"/>
      <c r="H6775" s="83"/>
      <c r="K6775" s="82"/>
      <c r="M6775" s="112"/>
      <c r="N6775" s="84"/>
    </row>
    <row r="6776" spans="1:14" s="2" customFormat="1">
      <c r="A6776" s="83"/>
      <c r="H6776" s="83"/>
      <c r="K6776" s="82"/>
      <c r="M6776" s="112"/>
      <c r="N6776" s="84"/>
    </row>
    <row r="6777" spans="1:14" s="2" customFormat="1">
      <c r="A6777" s="83"/>
      <c r="H6777" s="83"/>
      <c r="K6777" s="82"/>
      <c r="M6777" s="112"/>
      <c r="N6777" s="84"/>
    </row>
    <row r="6778" spans="1:14" s="2" customFormat="1">
      <c r="A6778" s="83"/>
      <c r="H6778" s="83"/>
      <c r="K6778" s="82"/>
      <c r="M6778" s="112"/>
      <c r="N6778" s="84"/>
    </row>
    <row r="6779" spans="1:14" s="2" customFormat="1">
      <c r="A6779" s="83"/>
      <c r="H6779" s="83"/>
      <c r="K6779" s="82"/>
      <c r="M6779" s="112"/>
      <c r="N6779" s="84"/>
    </row>
    <row r="6780" spans="1:14" s="2" customFormat="1">
      <c r="A6780" s="83"/>
      <c r="H6780" s="83"/>
      <c r="K6780" s="82"/>
      <c r="M6780" s="112"/>
      <c r="N6780" s="84"/>
    </row>
    <row r="6781" spans="1:14" s="2" customFormat="1">
      <c r="A6781" s="83"/>
      <c r="H6781" s="83"/>
      <c r="K6781" s="82"/>
      <c r="M6781" s="112"/>
      <c r="N6781" s="84"/>
    </row>
    <row r="6782" spans="1:14" s="2" customFormat="1">
      <c r="A6782" s="83"/>
      <c r="H6782" s="83"/>
      <c r="K6782" s="82"/>
      <c r="M6782" s="112"/>
      <c r="N6782" s="84"/>
    </row>
    <row r="6783" spans="1:14" s="2" customFormat="1">
      <c r="A6783" s="83"/>
      <c r="H6783" s="83"/>
      <c r="K6783" s="82"/>
      <c r="M6783" s="112"/>
      <c r="N6783" s="84"/>
    </row>
    <row r="6784" spans="1:14" s="2" customFormat="1">
      <c r="A6784" s="83"/>
      <c r="H6784" s="83"/>
      <c r="K6784" s="82"/>
      <c r="M6784" s="112"/>
      <c r="N6784" s="84"/>
    </row>
    <row r="6785" spans="1:14" s="2" customFormat="1">
      <c r="A6785" s="83"/>
      <c r="H6785" s="83"/>
      <c r="K6785" s="82"/>
      <c r="M6785" s="112"/>
      <c r="N6785" s="84"/>
    </row>
    <row r="6786" spans="1:14" s="2" customFormat="1">
      <c r="A6786" s="83"/>
      <c r="H6786" s="83"/>
      <c r="K6786" s="82"/>
      <c r="M6786" s="112"/>
      <c r="N6786" s="84"/>
    </row>
    <row r="6787" spans="1:14" s="2" customFormat="1">
      <c r="A6787" s="83"/>
      <c r="H6787" s="83"/>
      <c r="K6787" s="82"/>
      <c r="M6787" s="112"/>
      <c r="N6787" s="84"/>
    </row>
    <row r="6788" spans="1:14" s="2" customFormat="1">
      <c r="A6788" s="83"/>
      <c r="H6788" s="83"/>
      <c r="K6788" s="82"/>
      <c r="M6788" s="112"/>
      <c r="N6788" s="84"/>
    </row>
    <row r="6789" spans="1:14" s="2" customFormat="1">
      <c r="A6789" s="83"/>
      <c r="H6789" s="83"/>
      <c r="K6789" s="82"/>
      <c r="M6789" s="112"/>
      <c r="N6789" s="84"/>
    </row>
    <row r="6790" spans="1:14" s="2" customFormat="1">
      <c r="A6790" s="83"/>
      <c r="H6790" s="83"/>
      <c r="K6790" s="82"/>
      <c r="M6790" s="112"/>
      <c r="N6790" s="84"/>
    </row>
    <row r="6791" spans="1:14" s="2" customFormat="1">
      <c r="A6791" s="83"/>
      <c r="H6791" s="83"/>
      <c r="K6791" s="82"/>
      <c r="M6791" s="112"/>
      <c r="N6791" s="84"/>
    </row>
    <row r="6792" spans="1:14" s="2" customFormat="1">
      <c r="A6792" s="83"/>
      <c r="H6792" s="83"/>
      <c r="K6792" s="82"/>
      <c r="M6792" s="112"/>
      <c r="N6792" s="84"/>
    </row>
    <row r="6793" spans="1:14" s="2" customFormat="1">
      <c r="A6793" s="83"/>
      <c r="H6793" s="83"/>
      <c r="K6793" s="82"/>
      <c r="M6793" s="112"/>
      <c r="N6793" s="84"/>
    </row>
    <row r="6794" spans="1:14" s="2" customFormat="1">
      <c r="A6794" s="83"/>
      <c r="H6794" s="83"/>
      <c r="K6794" s="82"/>
      <c r="M6794" s="112"/>
      <c r="N6794" s="84"/>
    </row>
    <row r="6795" spans="1:14" s="2" customFormat="1">
      <c r="A6795" s="83"/>
      <c r="H6795" s="83"/>
      <c r="K6795" s="82"/>
      <c r="M6795" s="112"/>
      <c r="N6795" s="84"/>
    </row>
    <row r="6796" spans="1:14" s="2" customFormat="1">
      <c r="A6796" s="83"/>
      <c r="H6796" s="83"/>
      <c r="K6796" s="82"/>
      <c r="M6796" s="112"/>
      <c r="N6796" s="84"/>
    </row>
    <row r="6797" spans="1:14" s="2" customFormat="1">
      <c r="A6797" s="83"/>
      <c r="H6797" s="83"/>
      <c r="K6797" s="82"/>
      <c r="M6797" s="112"/>
      <c r="N6797" s="84"/>
    </row>
    <row r="6798" spans="1:14" s="2" customFormat="1">
      <c r="A6798" s="83"/>
      <c r="H6798" s="83"/>
      <c r="K6798" s="82"/>
      <c r="M6798" s="112"/>
      <c r="N6798" s="84"/>
    </row>
    <row r="6799" spans="1:14" s="2" customFormat="1">
      <c r="A6799" s="83"/>
      <c r="H6799" s="83"/>
      <c r="K6799" s="82"/>
      <c r="M6799" s="112"/>
      <c r="N6799" s="84"/>
    </row>
    <row r="6800" spans="1:14" s="2" customFormat="1">
      <c r="A6800" s="83"/>
      <c r="H6800" s="83"/>
      <c r="K6800" s="82"/>
      <c r="M6800" s="112"/>
      <c r="N6800" s="84"/>
    </row>
    <row r="6801" spans="1:14" s="2" customFormat="1">
      <c r="A6801" s="83"/>
      <c r="H6801" s="83"/>
      <c r="K6801" s="82"/>
      <c r="M6801" s="112"/>
      <c r="N6801" s="84"/>
    </row>
    <row r="6802" spans="1:14" s="2" customFormat="1">
      <c r="A6802" s="83"/>
      <c r="H6802" s="83"/>
      <c r="K6802" s="82"/>
      <c r="M6802" s="112"/>
      <c r="N6802" s="84"/>
    </row>
    <row r="6803" spans="1:14" s="2" customFormat="1">
      <c r="A6803" s="83"/>
      <c r="H6803" s="83"/>
      <c r="K6803" s="82"/>
      <c r="M6803" s="112"/>
      <c r="N6803" s="84"/>
    </row>
    <row r="6804" spans="1:14" s="2" customFormat="1">
      <c r="A6804" s="83"/>
      <c r="H6804" s="83"/>
      <c r="K6804" s="82"/>
      <c r="M6804" s="112"/>
      <c r="N6804" s="84"/>
    </row>
    <row r="6805" spans="1:14" s="2" customFormat="1">
      <c r="A6805" s="83"/>
      <c r="H6805" s="83"/>
      <c r="K6805" s="82"/>
      <c r="M6805" s="112"/>
      <c r="N6805" s="84"/>
    </row>
    <row r="6806" spans="1:14" s="2" customFormat="1">
      <c r="A6806" s="83"/>
      <c r="H6806" s="83"/>
      <c r="K6806" s="82"/>
      <c r="M6806" s="112"/>
      <c r="N6806" s="84"/>
    </row>
    <row r="6807" spans="1:14" s="2" customFormat="1">
      <c r="A6807" s="83"/>
      <c r="H6807" s="83"/>
      <c r="K6807" s="82"/>
      <c r="M6807" s="112"/>
      <c r="N6807" s="84"/>
    </row>
    <row r="6808" spans="1:14" s="2" customFormat="1">
      <c r="A6808" s="83"/>
      <c r="H6808" s="83"/>
      <c r="K6808" s="82"/>
      <c r="M6808" s="112"/>
      <c r="N6808" s="84"/>
    </row>
    <row r="6809" spans="1:14" s="2" customFormat="1">
      <c r="A6809" s="83"/>
      <c r="H6809" s="83"/>
      <c r="K6809" s="82"/>
      <c r="M6809" s="112"/>
      <c r="N6809" s="84"/>
    </row>
    <row r="6810" spans="1:14" s="2" customFormat="1">
      <c r="A6810" s="83"/>
      <c r="H6810" s="83"/>
      <c r="K6810" s="82"/>
      <c r="M6810" s="112"/>
      <c r="N6810" s="84"/>
    </row>
    <row r="6811" spans="1:14" s="2" customFormat="1">
      <c r="A6811" s="83"/>
      <c r="H6811" s="83"/>
      <c r="K6811" s="82"/>
      <c r="M6811" s="112"/>
      <c r="N6811" s="84"/>
    </row>
    <row r="6812" spans="1:14" s="2" customFormat="1">
      <c r="A6812" s="83"/>
      <c r="H6812" s="83"/>
      <c r="K6812" s="82"/>
      <c r="M6812" s="112"/>
      <c r="N6812" s="84"/>
    </row>
    <row r="6813" spans="1:14" s="2" customFormat="1">
      <c r="A6813" s="83"/>
      <c r="H6813" s="83"/>
      <c r="K6813" s="82"/>
      <c r="M6813" s="112"/>
      <c r="N6813" s="84"/>
    </row>
    <row r="6814" spans="1:14" s="2" customFormat="1">
      <c r="A6814" s="83"/>
      <c r="H6814" s="83"/>
      <c r="K6814" s="82"/>
      <c r="M6814" s="112"/>
      <c r="N6814" s="84"/>
    </row>
    <row r="6815" spans="1:14" s="2" customFormat="1">
      <c r="A6815" s="83"/>
      <c r="H6815" s="83"/>
      <c r="K6815" s="82"/>
      <c r="M6815" s="112"/>
      <c r="N6815" s="84"/>
    </row>
    <row r="6816" spans="1:14" s="2" customFormat="1">
      <c r="A6816" s="83"/>
      <c r="H6816" s="83"/>
      <c r="K6816" s="82"/>
      <c r="M6816" s="112"/>
      <c r="N6816" s="84"/>
    </row>
    <row r="6817" spans="1:14" s="2" customFormat="1">
      <c r="A6817" s="83"/>
      <c r="H6817" s="83"/>
      <c r="K6817" s="82"/>
      <c r="M6817" s="112"/>
      <c r="N6817" s="84"/>
    </row>
    <row r="6818" spans="1:14" s="2" customFormat="1">
      <c r="A6818" s="83"/>
      <c r="H6818" s="83"/>
      <c r="K6818" s="82"/>
      <c r="M6818" s="112"/>
      <c r="N6818" s="84"/>
    </row>
    <row r="6819" spans="1:14" s="2" customFormat="1">
      <c r="A6819" s="83"/>
      <c r="H6819" s="83"/>
      <c r="K6819" s="82"/>
      <c r="M6819" s="112"/>
      <c r="N6819" s="84"/>
    </row>
    <row r="6820" spans="1:14" s="2" customFormat="1">
      <c r="A6820" s="83"/>
      <c r="H6820" s="83"/>
      <c r="K6820" s="82"/>
      <c r="M6820" s="112"/>
      <c r="N6820" s="84"/>
    </row>
    <row r="6821" spans="1:14" s="2" customFormat="1">
      <c r="A6821" s="83"/>
      <c r="H6821" s="83"/>
      <c r="K6821" s="82"/>
      <c r="M6821" s="112"/>
      <c r="N6821" s="84"/>
    </row>
    <row r="6822" spans="1:14" s="2" customFormat="1">
      <c r="A6822" s="83"/>
      <c r="H6822" s="83"/>
      <c r="K6822" s="82"/>
      <c r="M6822" s="112"/>
      <c r="N6822" s="84"/>
    </row>
    <row r="6823" spans="1:14" s="2" customFormat="1">
      <c r="A6823" s="83"/>
      <c r="H6823" s="83"/>
      <c r="K6823" s="82"/>
      <c r="M6823" s="112"/>
      <c r="N6823" s="84"/>
    </row>
    <row r="6824" spans="1:14" s="2" customFormat="1">
      <c r="A6824" s="83"/>
      <c r="H6824" s="83"/>
      <c r="K6824" s="82"/>
      <c r="M6824" s="112"/>
      <c r="N6824" s="84"/>
    </row>
    <row r="6825" spans="1:14" s="2" customFormat="1">
      <c r="A6825" s="83"/>
      <c r="H6825" s="83"/>
      <c r="K6825" s="82"/>
      <c r="M6825" s="112"/>
      <c r="N6825" s="84"/>
    </row>
    <row r="6826" spans="1:14" s="2" customFormat="1">
      <c r="A6826" s="83"/>
      <c r="H6826" s="83"/>
      <c r="K6826" s="82"/>
      <c r="M6826" s="112"/>
      <c r="N6826" s="84"/>
    </row>
    <row r="6827" spans="1:14" s="2" customFormat="1">
      <c r="A6827" s="83"/>
      <c r="H6827" s="83"/>
      <c r="K6827" s="82"/>
      <c r="M6827" s="112"/>
      <c r="N6827" s="84"/>
    </row>
    <row r="6828" spans="1:14" s="2" customFormat="1">
      <c r="A6828" s="83"/>
      <c r="H6828" s="83"/>
      <c r="K6828" s="82"/>
      <c r="M6828" s="112"/>
      <c r="N6828" s="84"/>
    </row>
    <row r="6829" spans="1:14" s="2" customFormat="1">
      <c r="A6829" s="83"/>
      <c r="H6829" s="83"/>
      <c r="K6829" s="82"/>
      <c r="M6829" s="112"/>
      <c r="N6829" s="84"/>
    </row>
    <row r="6830" spans="1:14" s="2" customFormat="1">
      <c r="A6830" s="83"/>
      <c r="H6830" s="83"/>
      <c r="K6830" s="82"/>
      <c r="M6830" s="112"/>
      <c r="N6830" s="84"/>
    </row>
    <row r="6831" spans="1:14" s="2" customFormat="1">
      <c r="A6831" s="83"/>
      <c r="H6831" s="83"/>
      <c r="K6831" s="82"/>
      <c r="M6831" s="112"/>
      <c r="N6831" s="84"/>
    </row>
    <row r="6832" spans="1:14" s="2" customFormat="1">
      <c r="A6832" s="83"/>
      <c r="H6832" s="83"/>
      <c r="K6832" s="82"/>
      <c r="M6832" s="112"/>
      <c r="N6832" s="84"/>
    </row>
    <row r="6833" spans="1:14" s="2" customFormat="1">
      <c r="A6833" s="83"/>
      <c r="H6833" s="83"/>
      <c r="K6833" s="82"/>
      <c r="M6833" s="112"/>
      <c r="N6833" s="84"/>
    </row>
    <row r="6834" spans="1:14" s="2" customFormat="1">
      <c r="A6834" s="83"/>
      <c r="H6834" s="83"/>
      <c r="K6834" s="82"/>
      <c r="M6834" s="112"/>
      <c r="N6834" s="84"/>
    </row>
    <row r="6835" spans="1:14" s="2" customFormat="1">
      <c r="A6835" s="83"/>
      <c r="H6835" s="83"/>
      <c r="K6835" s="82"/>
      <c r="M6835" s="112"/>
      <c r="N6835" s="84"/>
    </row>
    <row r="6836" spans="1:14" s="2" customFormat="1">
      <c r="A6836" s="83"/>
      <c r="H6836" s="83"/>
      <c r="K6836" s="82"/>
      <c r="M6836" s="112"/>
      <c r="N6836" s="84"/>
    </row>
    <row r="6837" spans="1:14" s="2" customFormat="1">
      <c r="A6837" s="83"/>
      <c r="H6837" s="83"/>
      <c r="K6837" s="82"/>
      <c r="M6837" s="112"/>
      <c r="N6837" s="84"/>
    </row>
    <row r="6838" spans="1:14" s="2" customFormat="1">
      <c r="A6838" s="83"/>
      <c r="H6838" s="83"/>
      <c r="K6838" s="82"/>
      <c r="M6838" s="112"/>
      <c r="N6838" s="84"/>
    </row>
    <row r="6839" spans="1:14" s="2" customFormat="1">
      <c r="A6839" s="83"/>
      <c r="H6839" s="83"/>
      <c r="K6839" s="82"/>
      <c r="M6839" s="112"/>
      <c r="N6839" s="84"/>
    </row>
    <row r="6840" spans="1:14" s="2" customFormat="1">
      <c r="A6840" s="83"/>
      <c r="H6840" s="83"/>
      <c r="K6840" s="82"/>
      <c r="M6840" s="112"/>
      <c r="N6840" s="84"/>
    </row>
    <row r="6841" spans="1:14" s="2" customFormat="1">
      <c r="A6841" s="83"/>
      <c r="H6841" s="83"/>
      <c r="K6841" s="82"/>
      <c r="M6841" s="112"/>
      <c r="N6841" s="84"/>
    </row>
    <row r="6842" spans="1:14" s="2" customFormat="1">
      <c r="A6842" s="83"/>
      <c r="H6842" s="83"/>
      <c r="K6842" s="82"/>
      <c r="M6842" s="112"/>
      <c r="N6842" s="84"/>
    </row>
    <row r="6843" spans="1:14" s="2" customFormat="1">
      <c r="A6843" s="83"/>
      <c r="H6843" s="83"/>
      <c r="K6843" s="82"/>
      <c r="M6843" s="112"/>
      <c r="N6843" s="84"/>
    </row>
    <row r="6844" spans="1:14" s="2" customFormat="1">
      <c r="A6844" s="83"/>
      <c r="H6844" s="83"/>
      <c r="K6844" s="82"/>
      <c r="M6844" s="112"/>
      <c r="N6844" s="84"/>
    </row>
    <row r="6845" spans="1:14" s="2" customFormat="1">
      <c r="A6845" s="83"/>
      <c r="H6845" s="83"/>
      <c r="K6845" s="82"/>
      <c r="M6845" s="112"/>
      <c r="N6845" s="84"/>
    </row>
    <row r="6846" spans="1:14" s="2" customFormat="1">
      <c r="A6846" s="83"/>
      <c r="H6846" s="83"/>
      <c r="K6846" s="82"/>
      <c r="M6846" s="112"/>
      <c r="N6846" s="84"/>
    </row>
    <row r="6847" spans="1:14" s="2" customFormat="1">
      <c r="A6847" s="83"/>
      <c r="H6847" s="83"/>
      <c r="K6847" s="82"/>
      <c r="M6847" s="112"/>
      <c r="N6847" s="84"/>
    </row>
    <row r="6848" spans="1:14" s="2" customFormat="1">
      <c r="A6848" s="83"/>
      <c r="H6848" s="83"/>
      <c r="K6848" s="82"/>
      <c r="M6848" s="112"/>
      <c r="N6848" s="84"/>
    </row>
    <row r="6849" spans="1:14" s="2" customFormat="1">
      <c r="A6849" s="83"/>
      <c r="H6849" s="83"/>
      <c r="K6849" s="82"/>
      <c r="M6849" s="112"/>
      <c r="N6849" s="84"/>
    </row>
    <row r="6850" spans="1:14" s="2" customFormat="1">
      <c r="A6850" s="83"/>
      <c r="H6850" s="83"/>
      <c r="K6850" s="82"/>
      <c r="M6850" s="112"/>
      <c r="N6850" s="84"/>
    </row>
    <row r="6851" spans="1:14" s="2" customFormat="1">
      <c r="A6851" s="83"/>
      <c r="H6851" s="83"/>
      <c r="K6851" s="82"/>
      <c r="M6851" s="112"/>
      <c r="N6851" s="84"/>
    </row>
    <row r="6852" spans="1:14" s="2" customFormat="1">
      <c r="A6852" s="83"/>
      <c r="H6852" s="83"/>
      <c r="K6852" s="82"/>
      <c r="M6852" s="112"/>
      <c r="N6852" s="84"/>
    </row>
    <row r="6853" spans="1:14" s="2" customFormat="1">
      <c r="A6853" s="83"/>
      <c r="H6853" s="83"/>
      <c r="K6853" s="82"/>
      <c r="M6853" s="112"/>
      <c r="N6853" s="84"/>
    </row>
    <row r="6854" spans="1:14" s="2" customFormat="1">
      <c r="A6854" s="83"/>
      <c r="H6854" s="83"/>
      <c r="K6854" s="82"/>
      <c r="M6854" s="112"/>
      <c r="N6854" s="84"/>
    </row>
    <row r="6855" spans="1:14" s="2" customFormat="1">
      <c r="A6855" s="83"/>
      <c r="H6855" s="83"/>
      <c r="K6855" s="82"/>
      <c r="M6855" s="112"/>
      <c r="N6855" s="84"/>
    </row>
    <row r="6856" spans="1:14" s="2" customFormat="1">
      <c r="A6856" s="83"/>
      <c r="H6856" s="83"/>
      <c r="K6856" s="82"/>
      <c r="M6856" s="112"/>
      <c r="N6856" s="84"/>
    </row>
    <row r="6857" spans="1:14" s="2" customFormat="1">
      <c r="A6857" s="83"/>
      <c r="H6857" s="83"/>
      <c r="K6857" s="82"/>
      <c r="M6857" s="112"/>
      <c r="N6857" s="84"/>
    </row>
    <row r="6858" spans="1:14" s="2" customFormat="1">
      <c r="A6858" s="83"/>
      <c r="H6858" s="83"/>
      <c r="K6858" s="82"/>
      <c r="M6858" s="112"/>
      <c r="N6858" s="84"/>
    </row>
    <row r="6859" spans="1:14" s="2" customFormat="1">
      <c r="A6859" s="83"/>
      <c r="H6859" s="83"/>
      <c r="K6859" s="82"/>
      <c r="M6859" s="112"/>
      <c r="N6859" s="84"/>
    </row>
    <row r="6860" spans="1:14" s="2" customFormat="1">
      <c r="A6860" s="83"/>
      <c r="H6860" s="83"/>
      <c r="K6860" s="82"/>
      <c r="M6860" s="112"/>
      <c r="N6860" s="84"/>
    </row>
    <row r="6861" spans="1:14" s="2" customFormat="1">
      <c r="A6861" s="83"/>
      <c r="H6861" s="83"/>
      <c r="K6861" s="82"/>
      <c r="M6861" s="112"/>
      <c r="N6861" s="84"/>
    </row>
    <row r="6862" spans="1:14" s="2" customFormat="1">
      <c r="A6862" s="83"/>
      <c r="H6862" s="83"/>
      <c r="K6862" s="82"/>
      <c r="M6862" s="112"/>
      <c r="N6862" s="84"/>
    </row>
    <row r="6863" spans="1:14" s="2" customFormat="1">
      <c r="A6863" s="83"/>
      <c r="H6863" s="83"/>
      <c r="K6863" s="82"/>
      <c r="M6863" s="112"/>
      <c r="N6863" s="84"/>
    </row>
    <row r="6864" spans="1:14" s="2" customFormat="1">
      <c r="A6864" s="83"/>
      <c r="H6864" s="83"/>
      <c r="K6864" s="82"/>
      <c r="M6864" s="112"/>
      <c r="N6864" s="84"/>
    </row>
    <row r="6865" spans="1:14" s="2" customFormat="1">
      <c r="A6865" s="83"/>
      <c r="H6865" s="83"/>
      <c r="K6865" s="82"/>
      <c r="M6865" s="112"/>
      <c r="N6865" s="84"/>
    </row>
    <row r="6866" spans="1:14" s="2" customFormat="1">
      <c r="A6866" s="83"/>
      <c r="H6866" s="83"/>
      <c r="K6866" s="82"/>
      <c r="M6866" s="112"/>
      <c r="N6866" s="84"/>
    </row>
    <row r="6867" spans="1:14" s="2" customFormat="1">
      <c r="A6867" s="83"/>
      <c r="H6867" s="83"/>
      <c r="K6867" s="82"/>
      <c r="M6867" s="112"/>
      <c r="N6867" s="84"/>
    </row>
    <row r="6868" spans="1:14" s="2" customFormat="1">
      <c r="A6868" s="83"/>
      <c r="H6868" s="83"/>
      <c r="K6868" s="82"/>
      <c r="M6868" s="112"/>
      <c r="N6868" s="84"/>
    </row>
    <row r="6869" spans="1:14" s="2" customFormat="1">
      <c r="A6869" s="83"/>
      <c r="H6869" s="83"/>
      <c r="K6869" s="82"/>
      <c r="M6869" s="112"/>
      <c r="N6869" s="84"/>
    </row>
    <row r="6870" spans="1:14" s="2" customFormat="1">
      <c r="A6870" s="83"/>
      <c r="H6870" s="83"/>
      <c r="K6870" s="82"/>
      <c r="M6870" s="112"/>
      <c r="N6870" s="84"/>
    </row>
    <row r="6871" spans="1:14" s="2" customFormat="1">
      <c r="A6871" s="83"/>
      <c r="H6871" s="83"/>
      <c r="K6871" s="82"/>
      <c r="M6871" s="112"/>
      <c r="N6871" s="84"/>
    </row>
    <row r="6872" spans="1:14" s="2" customFormat="1">
      <c r="A6872" s="83"/>
      <c r="H6872" s="83"/>
      <c r="K6872" s="82"/>
      <c r="M6872" s="112"/>
      <c r="N6872" s="84"/>
    </row>
    <row r="6873" spans="1:14" s="2" customFormat="1">
      <c r="A6873" s="83"/>
      <c r="H6873" s="83"/>
      <c r="K6873" s="82"/>
      <c r="M6873" s="112"/>
      <c r="N6873" s="84"/>
    </row>
    <row r="6874" spans="1:14" s="2" customFormat="1">
      <c r="A6874" s="83"/>
      <c r="H6874" s="83"/>
      <c r="K6874" s="82"/>
      <c r="M6874" s="112"/>
      <c r="N6874" s="84"/>
    </row>
    <row r="6875" spans="1:14" s="2" customFormat="1">
      <c r="A6875" s="83"/>
      <c r="H6875" s="83"/>
      <c r="K6875" s="82"/>
      <c r="M6875" s="112"/>
      <c r="N6875" s="84"/>
    </row>
    <row r="6876" spans="1:14" s="2" customFormat="1">
      <c r="A6876" s="83"/>
      <c r="H6876" s="83"/>
      <c r="K6876" s="82"/>
      <c r="M6876" s="112"/>
      <c r="N6876" s="84"/>
    </row>
    <row r="6877" spans="1:14" s="2" customFormat="1">
      <c r="A6877" s="83"/>
      <c r="H6877" s="83"/>
      <c r="K6877" s="82"/>
      <c r="M6877" s="112"/>
      <c r="N6877" s="84"/>
    </row>
    <row r="6878" spans="1:14" s="2" customFormat="1">
      <c r="A6878" s="83"/>
      <c r="H6878" s="83"/>
      <c r="K6878" s="82"/>
      <c r="M6878" s="112"/>
      <c r="N6878" s="84"/>
    </row>
    <row r="6879" spans="1:14" s="2" customFormat="1">
      <c r="A6879" s="83"/>
      <c r="H6879" s="83"/>
      <c r="K6879" s="82"/>
      <c r="M6879" s="112"/>
      <c r="N6879" s="84"/>
    </row>
    <row r="6880" spans="1:14" s="2" customFormat="1">
      <c r="A6880" s="83"/>
      <c r="H6880" s="83"/>
      <c r="K6880" s="82"/>
      <c r="M6880" s="112"/>
      <c r="N6880" s="84"/>
    </row>
    <row r="6881" spans="1:14" s="2" customFormat="1">
      <c r="A6881" s="83"/>
      <c r="H6881" s="83"/>
      <c r="K6881" s="82"/>
      <c r="M6881" s="112"/>
      <c r="N6881" s="84"/>
    </row>
    <row r="6882" spans="1:14" s="2" customFormat="1">
      <c r="A6882" s="83"/>
      <c r="H6882" s="83"/>
      <c r="K6882" s="82"/>
      <c r="M6882" s="112"/>
      <c r="N6882" s="84"/>
    </row>
    <row r="6883" spans="1:14" s="2" customFormat="1">
      <c r="A6883" s="83"/>
      <c r="H6883" s="83"/>
      <c r="K6883" s="82"/>
      <c r="M6883" s="112"/>
      <c r="N6883" s="84"/>
    </row>
    <row r="6884" spans="1:14" s="2" customFormat="1">
      <c r="A6884" s="83"/>
      <c r="H6884" s="83"/>
      <c r="K6884" s="82"/>
      <c r="M6884" s="112"/>
      <c r="N6884" s="84"/>
    </row>
    <row r="6885" spans="1:14" s="2" customFormat="1">
      <c r="A6885" s="83"/>
      <c r="H6885" s="83"/>
      <c r="K6885" s="82"/>
      <c r="M6885" s="112"/>
      <c r="N6885" s="84"/>
    </row>
    <row r="6886" spans="1:14" s="2" customFormat="1">
      <c r="A6886" s="83"/>
      <c r="H6886" s="83"/>
      <c r="K6886" s="82"/>
      <c r="M6886" s="112"/>
      <c r="N6886" s="84"/>
    </row>
    <row r="6887" spans="1:14" s="2" customFormat="1">
      <c r="A6887" s="83"/>
      <c r="H6887" s="83"/>
      <c r="K6887" s="82"/>
      <c r="M6887" s="112"/>
      <c r="N6887" s="84"/>
    </row>
    <row r="6888" spans="1:14" s="2" customFormat="1">
      <c r="A6888" s="83"/>
      <c r="H6888" s="83"/>
      <c r="K6888" s="82"/>
      <c r="M6888" s="112"/>
      <c r="N6888" s="84"/>
    </row>
    <row r="6889" spans="1:14" s="2" customFormat="1">
      <c r="A6889" s="83"/>
      <c r="H6889" s="83"/>
      <c r="K6889" s="82"/>
      <c r="M6889" s="112"/>
      <c r="N6889" s="84"/>
    </row>
    <row r="6890" spans="1:14" s="2" customFormat="1">
      <c r="A6890" s="83"/>
      <c r="H6890" s="83"/>
      <c r="K6890" s="82"/>
      <c r="M6890" s="112"/>
      <c r="N6890" s="84"/>
    </row>
    <row r="6891" spans="1:14" s="2" customFormat="1">
      <c r="A6891" s="83"/>
      <c r="H6891" s="83"/>
      <c r="K6891" s="82"/>
      <c r="M6891" s="112"/>
      <c r="N6891" s="84"/>
    </row>
    <row r="6892" spans="1:14" s="2" customFormat="1">
      <c r="A6892" s="83"/>
      <c r="H6892" s="83"/>
      <c r="K6892" s="82"/>
      <c r="M6892" s="112"/>
      <c r="N6892" s="84"/>
    </row>
    <row r="6893" spans="1:14" s="2" customFormat="1">
      <c r="A6893" s="83"/>
      <c r="H6893" s="83"/>
      <c r="K6893" s="82"/>
      <c r="M6893" s="112"/>
      <c r="N6893" s="84"/>
    </row>
    <row r="6894" spans="1:14" s="2" customFormat="1">
      <c r="A6894" s="83"/>
      <c r="H6894" s="83"/>
      <c r="K6894" s="82"/>
      <c r="M6894" s="112"/>
      <c r="N6894" s="84"/>
    </row>
    <row r="6895" spans="1:14" s="2" customFormat="1">
      <c r="A6895" s="83"/>
      <c r="H6895" s="83"/>
      <c r="K6895" s="82"/>
      <c r="M6895" s="112"/>
      <c r="N6895" s="84"/>
    </row>
    <row r="6896" spans="1:14" s="2" customFormat="1">
      <c r="A6896" s="83"/>
      <c r="H6896" s="83"/>
      <c r="K6896" s="82"/>
      <c r="M6896" s="112"/>
      <c r="N6896" s="84"/>
    </row>
    <row r="6897" spans="1:14" s="2" customFormat="1">
      <c r="A6897" s="83"/>
      <c r="H6897" s="83"/>
      <c r="K6897" s="82"/>
      <c r="M6897" s="112"/>
      <c r="N6897" s="84"/>
    </row>
    <row r="6898" spans="1:14" s="2" customFormat="1">
      <c r="A6898" s="83"/>
      <c r="H6898" s="83"/>
      <c r="K6898" s="82"/>
      <c r="M6898" s="112"/>
      <c r="N6898" s="84"/>
    </row>
    <row r="6899" spans="1:14" s="2" customFormat="1">
      <c r="A6899" s="83"/>
      <c r="H6899" s="83"/>
      <c r="K6899" s="82"/>
      <c r="M6899" s="112"/>
      <c r="N6899" s="84"/>
    </row>
    <row r="6900" spans="1:14" s="2" customFormat="1">
      <c r="A6900" s="83"/>
      <c r="H6900" s="83"/>
      <c r="K6900" s="82"/>
      <c r="M6900" s="112"/>
      <c r="N6900" s="84"/>
    </row>
    <row r="6901" spans="1:14" s="2" customFormat="1">
      <c r="A6901" s="83"/>
      <c r="H6901" s="83"/>
      <c r="K6901" s="82"/>
      <c r="M6901" s="112"/>
      <c r="N6901" s="84"/>
    </row>
    <row r="6902" spans="1:14" s="2" customFormat="1">
      <c r="A6902" s="83"/>
      <c r="H6902" s="83"/>
      <c r="K6902" s="82"/>
      <c r="M6902" s="112"/>
      <c r="N6902" s="84"/>
    </row>
    <row r="6903" spans="1:14" s="2" customFormat="1">
      <c r="A6903" s="83"/>
      <c r="H6903" s="83"/>
      <c r="K6903" s="82"/>
      <c r="M6903" s="112"/>
      <c r="N6903" s="84"/>
    </row>
    <row r="6904" spans="1:14" s="2" customFormat="1">
      <c r="A6904" s="83"/>
      <c r="H6904" s="83"/>
      <c r="K6904" s="82"/>
      <c r="M6904" s="112"/>
      <c r="N6904" s="84"/>
    </row>
    <row r="6905" spans="1:14" s="2" customFormat="1">
      <c r="A6905" s="83"/>
      <c r="H6905" s="83"/>
      <c r="K6905" s="82"/>
      <c r="M6905" s="112"/>
      <c r="N6905" s="84"/>
    </row>
    <row r="6906" spans="1:14" s="2" customFormat="1">
      <c r="A6906" s="83"/>
      <c r="H6906" s="83"/>
      <c r="K6906" s="82"/>
      <c r="M6906" s="112"/>
      <c r="N6906" s="84"/>
    </row>
    <row r="6907" spans="1:14" s="2" customFormat="1">
      <c r="A6907" s="83"/>
      <c r="H6907" s="83"/>
      <c r="K6907" s="82"/>
      <c r="M6907" s="112"/>
      <c r="N6907" s="84"/>
    </row>
    <row r="6908" spans="1:14" s="2" customFormat="1">
      <c r="A6908" s="83"/>
      <c r="H6908" s="83"/>
      <c r="K6908" s="82"/>
      <c r="M6908" s="112"/>
      <c r="N6908" s="84"/>
    </row>
    <row r="6909" spans="1:14" s="2" customFormat="1">
      <c r="A6909" s="83"/>
      <c r="H6909" s="83"/>
      <c r="K6909" s="82"/>
      <c r="M6909" s="112"/>
      <c r="N6909" s="84"/>
    </row>
    <row r="6910" spans="1:14" s="2" customFormat="1">
      <c r="A6910" s="83"/>
      <c r="H6910" s="83"/>
      <c r="K6910" s="82"/>
      <c r="M6910" s="112"/>
      <c r="N6910" s="84"/>
    </row>
    <row r="6911" spans="1:14" s="2" customFormat="1">
      <c r="A6911" s="83"/>
      <c r="H6911" s="83"/>
      <c r="K6911" s="82"/>
      <c r="M6911" s="112"/>
      <c r="N6911" s="84"/>
    </row>
    <row r="6912" spans="1:14" s="2" customFormat="1">
      <c r="A6912" s="83"/>
      <c r="H6912" s="83"/>
      <c r="K6912" s="82"/>
      <c r="M6912" s="112"/>
      <c r="N6912" s="84"/>
    </row>
    <row r="6913" spans="1:14" s="2" customFormat="1">
      <c r="A6913" s="83"/>
      <c r="H6913" s="83"/>
      <c r="K6913" s="82"/>
      <c r="M6913" s="112"/>
      <c r="N6913" s="84"/>
    </row>
    <row r="6914" spans="1:14" s="2" customFormat="1">
      <c r="A6914" s="83"/>
      <c r="H6914" s="83"/>
      <c r="K6914" s="82"/>
      <c r="M6914" s="112"/>
      <c r="N6914" s="84"/>
    </row>
    <row r="6915" spans="1:14" s="2" customFormat="1">
      <c r="A6915" s="83"/>
      <c r="H6915" s="83"/>
      <c r="K6915" s="82"/>
      <c r="M6915" s="112"/>
      <c r="N6915" s="84"/>
    </row>
    <row r="6916" spans="1:14" s="2" customFormat="1">
      <c r="A6916" s="83"/>
      <c r="H6916" s="83"/>
      <c r="K6916" s="82"/>
      <c r="M6916" s="112"/>
      <c r="N6916" s="84"/>
    </row>
    <row r="6917" spans="1:14" s="2" customFormat="1">
      <c r="A6917" s="83"/>
      <c r="H6917" s="83"/>
      <c r="K6917" s="82"/>
      <c r="M6917" s="112"/>
      <c r="N6917" s="84"/>
    </row>
    <row r="6918" spans="1:14" s="2" customFormat="1">
      <c r="A6918" s="83"/>
      <c r="H6918" s="83"/>
      <c r="K6918" s="82"/>
      <c r="M6918" s="112"/>
      <c r="N6918" s="84"/>
    </row>
    <row r="6919" spans="1:14" s="2" customFormat="1">
      <c r="A6919" s="83"/>
      <c r="H6919" s="83"/>
      <c r="K6919" s="82"/>
      <c r="M6919" s="112"/>
      <c r="N6919" s="84"/>
    </row>
    <row r="6920" spans="1:14" s="2" customFormat="1">
      <c r="A6920" s="83"/>
      <c r="H6920" s="83"/>
      <c r="K6920" s="82"/>
      <c r="M6920" s="112"/>
      <c r="N6920" s="84"/>
    </row>
    <row r="6921" spans="1:14" s="2" customFormat="1">
      <c r="A6921" s="83"/>
      <c r="H6921" s="83"/>
      <c r="K6921" s="82"/>
      <c r="M6921" s="112"/>
      <c r="N6921" s="84"/>
    </row>
    <row r="6922" spans="1:14" s="2" customFormat="1">
      <c r="A6922" s="83"/>
      <c r="H6922" s="83"/>
      <c r="K6922" s="82"/>
      <c r="M6922" s="112"/>
      <c r="N6922" s="84"/>
    </row>
    <row r="6923" spans="1:14" s="2" customFormat="1">
      <c r="A6923" s="83"/>
      <c r="H6923" s="83"/>
      <c r="K6923" s="82"/>
      <c r="M6923" s="112"/>
      <c r="N6923" s="84"/>
    </row>
    <row r="6924" spans="1:14" s="2" customFormat="1">
      <c r="A6924" s="83"/>
      <c r="H6924" s="83"/>
      <c r="K6924" s="82"/>
      <c r="M6924" s="112"/>
      <c r="N6924" s="84"/>
    </row>
    <row r="6925" spans="1:14" s="2" customFormat="1">
      <c r="A6925" s="83"/>
      <c r="H6925" s="83"/>
      <c r="K6925" s="82"/>
      <c r="M6925" s="112"/>
      <c r="N6925" s="84"/>
    </row>
    <row r="6926" spans="1:14" s="2" customFormat="1">
      <c r="A6926" s="83"/>
      <c r="H6926" s="83"/>
      <c r="K6926" s="82"/>
      <c r="M6926" s="112"/>
      <c r="N6926" s="84"/>
    </row>
    <row r="6927" spans="1:14" s="2" customFormat="1">
      <c r="A6927" s="83"/>
      <c r="H6927" s="83"/>
      <c r="K6927" s="82"/>
      <c r="M6927" s="112"/>
      <c r="N6927" s="84"/>
    </row>
    <row r="6928" spans="1:14" s="2" customFormat="1">
      <c r="A6928" s="83"/>
      <c r="H6928" s="83"/>
      <c r="K6928" s="82"/>
      <c r="M6928" s="112"/>
      <c r="N6928" s="84"/>
    </row>
    <row r="6929" spans="1:14" s="2" customFormat="1">
      <c r="A6929" s="83"/>
      <c r="H6929" s="83"/>
      <c r="K6929" s="82"/>
      <c r="M6929" s="112"/>
      <c r="N6929" s="84"/>
    </row>
    <row r="6930" spans="1:14" s="2" customFormat="1">
      <c r="A6930" s="83"/>
      <c r="H6930" s="83"/>
      <c r="K6930" s="82"/>
      <c r="M6930" s="112"/>
      <c r="N6930" s="84"/>
    </row>
    <row r="6931" spans="1:14" s="2" customFormat="1">
      <c r="A6931" s="83"/>
      <c r="H6931" s="83"/>
      <c r="K6931" s="82"/>
      <c r="M6931" s="112"/>
      <c r="N6931" s="84"/>
    </row>
    <row r="6932" spans="1:14" s="2" customFormat="1">
      <c r="A6932" s="83"/>
      <c r="H6932" s="83"/>
      <c r="K6932" s="82"/>
      <c r="M6932" s="112"/>
      <c r="N6932" s="84"/>
    </row>
    <row r="6933" spans="1:14" s="2" customFormat="1">
      <c r="A6933" s="83"/>
      <c r="H6933" s="83"/>
      <c r="K6933" s="82"/>
      <c r="M6933" s="112"/>
      <c r="N6933" s="84"/>
    </row>
    <row r="6934" spans="1:14" s="2" customFormat="1">
      <c r="A6934" s="83"/>
      <c r="H6934" s="83"/>
      <c r="K6934" s="82"/>
      <c r="M6934" s="112"/>
      <c r="N6934" s="84"/>
    </row>
    <row r="6935" spans="1:14" s="2" customFormat="1">
      <c r="A6935" s="83"/>
      <c r="H6935" s="83"/>
      <c r="K6935" s="82"/>
      <c r="M6935" s="112"/>
      <c r="N6935" s="84"/>
    </row>
    <row r="6936" spans="1:14" s="2" customFormat="1">
      <c r="A6936" s="83"/>
      <c r="H6936" s="83"/>
      <c r="K6936" s="82"/>
      <c r="M6936" s="112"/>
      <c r="N6936" s="84"/>
    </row>
    <row r="6937" spans="1:14" s="2" customFormat="1">
      <c r="A6937" s="83"/>
      <c r="H6937" s="83"/>
      <c r="K6937" s="82"/>
      <c r="M6937" s="112"/>
      <c r="N6937" s="84"/>
    </row>
    <row r="6938" spans="1:14" s="2" customFormat="1">
      <c r="A6938" s="83"/>
      <c r="H6938" s="83"/>
      <c r="K6938" s="82"/>
      <c r="M6938" s="112"/>
      <c r="N6938" s="84"/>
    </row>
    <row r="6939" spans="1:14" s="2" customFormat="1">
      <c r="A6939" s="83"/>
      <c r="H6939" s="83"/>
      <c r="K6939" s="82"/>
      <c r="M6939" s="112"/>
      <c r="N6939" s="84"/>
    </row>
    <row r="6940" spans="1:14" s="2" customFormat="1">
      <c r="A6940" s="83"/>
      <c r="H6940" s="83"/>
      <c r="K6940" s="82"/>
      <c r="M6940" s="112"/>
      <c r="N6940" s="84"/>
    </row>
    <row r="6941" spans="1:14" s="2" customFormat="1">
      <c r="A6941" s="83"/>
      <c r="H6941" s="83"/>
      <c r="K6941" s="82"/>
      <c r="M6941" s="112"/>
      <c r="N6941" s="84"/>
    </row>
    <row r="6942" spans="1:14" s="2" customFormat="1">
      <c r="A6942" s="83"/>
      <c r="H6942" s="83"/>
      <c r="K6942" s="82"/>
      <c r="M6942" s="112"/>
      <c r="N6942" s="84"/>
    </row>
    <row r="6943" spans="1:14" s="2" customFormat="1">
      <c r="A6943" s="83"/>
      <c r="H6943" s="83"/>
      <c r="K6943" s="82"/>
      <c r="M6943" s="112"/>
      <c r="N6943" s="84"/>
    </row>
    <row r="6944" spans="1:14" s="2" customFormat="1">
      <c r="A6944" s="83"/>
      <c r="H6944" s="83"/>
      <c r="K6944" s="82"/>
      <c r="M6944" s="112"/>
      <c r="N6944" s="84"/>
    </row>
    <row r="6945" spans="1:14" s="2" customFormat="1">
      <c r="A6945" s="83"/>
      <c r="H6945" s="83"/>
      <c r="K6945" s="82"/>
      <c r="M6945" s="112"/>
      <c r="N6945" s="84"/>
    </row>
    <row r="6946" spans="1:14" s="2" customFormat="1">
      <c r="A6946" s="83"/>
      <c r="H6946" s="83"/>
      <c r="K6946" s="82"/>
      <c r="M6946" s="112"/>
      <c r="N6946" s="84"/>
    </row>
    <row r="6947" spans="1:14" s="2" customFormat="1">
      <c r="A6947" s="83"/>
      <c r="H6947" s="83"/>
      <c r="K6947" s="82"/>
      <c r="M6947" s="112"/>
      <c r="N6947" s="84"/>
    </row>
    <row r="6948" spans="1:14" s="2" customFormat="1">
      <c r="A6948" s="83"/>
      <c r="H6948" s="83"/>
      <c r="K6948" s="82"/>
      <c r="M6948" s="112"/>
      <c r="N6948" s="84"/>
    </row>
    <row r="6949" spans="1:14" s="2" customFormat="1">
      <c r="A6949" s="83"/>
      <c r="H6949" s="83"/>
      <c r="K6949" s="82"/>
      <c r="M6949" s="112"/>
      <c r="N6949" s="84"/>
    </row>
    <row r="6950" spans="1:14" s="2" customFormat="1">
      <c r="A6950" s="83"/>
      <c r="H6950" s="83"/>
      <c r="K6950" s="82"/>
      <c r="M6950" s="112"/>
      <c r="N6950" s="84"/>
    </row>
    <row r="6951" spans="1:14" s="2" customFormat="1">
      <c r="A6951" s="83"/>
      <c r="H6951" s="83"/>
      <c r="K6951" s="82"/>
      <c r="M6951" s="112"/>
      <c r="N6951" s="84"/>
    </row>
    <row r="6952" spans="1:14" s="2" customFormat="1">
      <c r="A6952" s="83"/>
      <c r="H6952" s="83"/>
      <c r="K6952" s="82"/>
      <c r="M6952" s="112"/>
      <c r="N6952" s="84"/>
    </row>
    <row r="6953" spans="1:14" s="2" customFormat="1">
      <c r="A6953" s="83"/>
      <c r="H6953" s="83"/>
      <c r="K6953" s="82"/>
      <c r="M6953" s="112"/>
      <c r="N6953" s="84"/>
    </row>
    <row r="6954" spans="1:14" s="2" customFormat="1">
      <c r="A6954" s="83"/>
      <c r="H6954" s="83"/>
      <c r="K6954" s="82"/>
      <c r="M6954" s="112"/>
      <c r="N6954" s="84"/>
    </row>
    <row r="6955" spans="1:14" s="2" customFormat="1">
      <c r="A6955" s="83"/>
      <c r="H6955" s="83"/>
      <c r="K6955" s="82"/>
      <c r="M6955" s="112"/>
      <c r="N6955" s="84"/>
    </row>
    <row r="6956" spans="1:14" s="2" customFormat="1">
      <c r="A6956" s="83"/>
      <c r="H6956" s="83"/>
      <c r="K6956" s="82"/>
      <c r="M6956" s="112"/>
      <c r="N6956" s="84"/>
    </row>
    <row r="6957" spans="1:14" s="2" customFormat="1">
      <c r="A6957" s="83"/>
      <c r="H6957" s="83"/>
      <c r="K6957" s="82"/>
      <c r="M6957" s="112"/>
      <c r="N6957" s="84"/>
    </row>
    <row r="6958" spans="1:14" s="2" customFormat="1">
      <c r="A6958" s="83"/>
      <c r="H6958" s="83"/>
      <c r="K6958" s="82"/>
      <c r="M6958" s="112"/>
      <c r="N6958" s="84"/>
    </row>
    <row r="6959" spans="1:14" s="2" customFormat="1">
      <c r="A6959" s="83"/>
      <c r="H6959" s="83"/>
      <c r="K6959" s="82"/>
      <c r="M6959" s="112"/>
      <c r="N6959" s="84"/>
    </row>
    <row r="6960" spans="1:14" s="2" customFormat="1">
      <c r="A6960" s="83"/>
      <c r="H6960" s="83"/>
      <c r="K6960" s="82"/>
      <c r="M6960" s="112"/>
      <c r="N6960" s="84"/>
    </row>
    <row r="6961" spans="1:14" s="2" customFormat="1">
      <c r="A6961" s="83"/>
      <c r="H6961" s="83"/>
      <c r="K6961" s="82"/>
      <c r="M6961" s="112"/>
      <c r="N6961" s="84"/>
    </row>
    <row r="6962" spans="1:14" s="2" customFormat="1">
      <c r="A6962" s="83"/>
      <c r="H6962" s="83"/>
      <c r="K6962" s="82"/>
      <c r="M6962" s="112"/>
      <c r="N6962" s="84"/>
    </row>
    <row r="6963" spans="1:14" s="2" customFormat="1">
      <c r="A6963" s="83"/>
      <c r="H6963" s="83"/>
      <c r="K6963" s="82"/>
      <c r="M6963" s="112"/>
      <c r="N6963" s="84"/>
    </row>
    <row r="6964" spans="1:14" s="2" customFormat="1">
      <c r="A6964" s="83"/>
      <c r="H6964" s="83"/>
      <c r="K6964" s="82"/>
      <c r="M6964" s="112"/>
      <c r="N6964" s="84"/>
    </row>
    <row r="6965" spans="1:14" s="2" customFormat="1">
      <c r="A6965" s="83"/>
      <c r="H6965" s="83"/>
      <c r="K6965" s="82"/>
      <c r="M6965" s="112"/>
      <c r="N6965" s="84"/>
    </row>
    <row r="6966" spans="1:14" s="2" customFormat="1">
      <c r="A6966" s="83"/>
      <c r="H6966" s="83"/>
      <c r="K6966" s="82"/>
      <c r="M6966" s="112"/>
      <c r="N6966" s="84"/>
    </row>
    <row r="6967" spans="1:14" s="2" customFormat="1">
      <c r="A6967" s="83"/>
      <c r="H6967" s="83"/>
      <c r="K6967" s="82"/>
      <c r="M6967" s="112"/>
      <c r="N6967" s="84"/>
    </row>
    <row r="6968" spans="1:14" s="2" customFormat="1">
      <c r="A6968" s="83"/>
      <c r="H6968" s="83"/>
      <c r="K6968" s="82"/>
      <c r="M6968" s="112"/>
      <c r="N6968" s="84"/>
    </row>
    <row r="6969" spans="1:14" s="2" customFormat="1">
      <c r="A6969" s="83"/>
      <c r="H6969" s="83"/>
      <c r="K6969" s="82"/>
      <c r="M6969" s="112"/>
      <c r="N6969" s="84"/>
    </row>
    <row r="6970" spans="1:14" s="2" customFormat="1">
      <c r="A6970" s="83"/>
      <c r="H6970" s="83"/>
      <c r="K6970" s="82"/>
      <c r="M6970" s="112"/>
      <c r="N6970" s="84"/>
    </row>
    <row r="6971" spans="1:14" s="2" customFormat="1">
      <c r="A6971" s="83"/>
      <c r="H6971" s="83"/>
      <c r="K6971" s="82"/>
      <c r="M6971" s="112"/>
      <c r="N6971" s="84"/>
    </row>
    <row r="6972" spans="1:14" s="2" customFormat="1">
      <c r="A6972" s="83"/>
      <c r="H6972" s="83"/>
      <c r="K6972" s="82"/>
      <c r="M6972" s="112"/>
      <c r="N6972" s="84"/>
    </row>
    <row r="6973" spans="1:14" s="2" customFormat="1">
      <c r="A6973" s="83"/>
      <c r="H6973" s="83"/>
      <c r="K6973" s="82"/>
      <c r="M6973" s="112"/>
      <c r="N6973" s="84"/>
    </row>
    <row r="6974" spans="1:14" s="2" customFormat="1">
      <c r="A6974" s="83"/>
      <c r="H6974" s="83"/>
      <c r="K6974" s="82"/>
      <c r="M6974" s="112"/>
      <c r="N6974" s="84"/>
    </row>
    <row r="6975" spans="1:14" s="2" customFormat="1">
      <c r="A6975" s="83"/>
      <c r="H6975" s="83"/>
      <c r="K6975" s="82"/>
      <c r="M6975" s="112"/>
      <c r="N6975" s="84"/>
    </row>
    <row r="6976" spans="1:14" s="2" customFormat="1">
      <c r="A6976" s="83"/>
      <c r="H6976" s="83"/>
      <c r="K6976" s="82"/>
      <c r="M6976" s="112"/>
      <c r="N6976" s="84"/>
    </row>
    <row r="6977" spans="1:14" s="2" customFormat="1">
      <c r="A6977" s="83"/>
      <c r="H6977" s="83"/>
      <c r="K6977" s="82"/>
      <c r="M6977" s="112"/>
      <c r="N6977" s="84"/>
    </row>
    <row r="6978" spans="1:14" s="2" customFormat="1">
      <c r="A6978" s="83"/>
      <c r="H6978" s="83"/>
      <c r="K6978" s="82"/>
      <c r="M6978" s="112"/>
      <c r="N6978" s="84"/>
    </row>
    <row r="6979" spans="1:14" s="2" customFormat="1">
      <c r="A6979" s="83"/>
      <c r="H6979" s="83"/>
      <c r="K6979" s="82"/>
      <c r="M6979" s="112"/>
      <c r="N6979" s="84"/>
    </row>
    <row r="6980" spans="1:14" s="2" customFormat="1">
      <c r="A6980" s="83"/>
      <c r="H6980" s="83"/>
      <c r="K6980" s="82"/>
      <c r="M6980" s="112"/>
      <c r="N6980" s="84"/>
    </row>
    <row r="6981" spans="1:14" s="2" customFormat="1">
      <c r="A6981" s="83"/>
      <c r="H6981" s="83"/>
      <c r="K6981" s="82"/>
      <c r="M6981" s="112"/>
      <c r="N6981" s="84"/>
    </row>
    <row r="6982" spans="1:14" s="2" customFormat="1">
      <c r="A6982" s="83"/>
      <c r="H6982" s="83"/>
      <c r="K6982" s="82"/>
      <c r="M6982" s="112"/>
      <c r="N6982" s="84"/>
    </row>
    <row r="6983" spans="1:14" s="2" customFormat="1">
      <c r="A6983" s="83"/>
      <c r="H6983" s="83"/>
      <c r="K6983" s="82"/>
      <c r="M6983" s="112"/>
      <c r="N6983" s="84"/>
    </row>
    <row r="6984" spans="1:14" s="2" customFormat="1">
      <c r="A6984" s="83"/>
      <c r="H6984" s="83"/>
      <c r="K6984" s="82"/>
      <c r="M6984" s="112"/>
      <c r="N6984" s="84"/>
    </row>
    <row r="6985" spans="1:14" s="2" customFormat="1">
      <c r="A6985" s="83"/>
      <c r="H6985" s="83"/>
      <c r="K6985" s="82"/>
      <c r="M6985" s="112"/>
      <c r="N6985" s="84"/>
    </row>
    <row r="6986" spans="1:14" s="2" customFormat="1">
      <c r="A6986" s="83"/>
      <c r="H6986" s="83"/>
      <c r="K6986" s="82"/>
      <c r="M6986" s="112"/>
      <c r="N6986" s="84"/>
    </row>
    <row r="6987" spans="1:14" s="2" customFormat="1">
      <c r="A6987" s="83"/>
      <c r="H6987" s="83"/>
      <c r="K6987" s="82"/>
      <c r="M6987" s="112"/>
      <c r="N6987" s="84"/>
    </row>
    <row r="6988" spans="1:14" s="2" customFormat="1">
      <c r="A6988" s="83"/>
      <c r="H6988" s="83"/>
      <c r="K6988" s="82"/>
      <c r="M6988" s="112"/>
      <c r="N6988" s="84"/>
    </row>
    <row r="6989" spans="1:14" s="2" customFormat="1">
      <c r="A6989" s="83"/>
      <c r="H6989" s="83"/>
      <c r="K6989" s="82"/>
      <c r="M6989" s="112"/>
      <c r="N6989" s="84"/>
    </row>
    <row r="6990" spans="1:14" s="2" customFormat="1">
      <c r="A6990" s="83"/>
      <c r="H6990" s="83"/>
      <c r="K6990" s="82"/>
      <c r="M6990" s="112"/>
      <c r="N6990" s="84"/>
    </row>
    <row r="6991" spans="1:14" s="2" customFormat="1">
      <c r="A6991" s="83"/>
      <c r="H6991" s="83"/>
      <c r="K6991" s="82"/>
      <c r="M6991" s="112"/>
      <c r="N6991" s="84"/>
    </row>
    <row r="6992" spans="1:14" s="2" customFormat="1">
      <c r="A6992" s="83"/>
      <c r="H6992" s="83"/>
      <c r="K6992" s="82"/>
      <c r="M6992" s="112"/>
      <c r="N6992" s="84"/>
    </row>
    <row r="6993" spans="1:14" s="2" customFormat="1">
      <c r="A6993" s="83"/>
      <c r="H6993" s="83"/>
      <c r="K6993" s="82"/>
      <c r="M6993" s="112"/>
      <c r="N6993" s="84"/>
    </row>
    <row r="6994" spans="1:14" s="2" customFormat="1">
      <c r="A6994" s="83"/>
      <c r="H6994" s="83"/>
      <c r="K6994" s="82"/>
      <c r="M6994" s="112"/>
      <c r="N6994" s="84"/>
    </row>
    <row r="6995" spans="1:14" s="2" customFormat="1">
      <c r="A6995" s="83"/>
      <c r="H6995" s="83"/>
      <c r="K6995" s="82"/>
      <c r="M6995" s="112"/>
      <c r="N6995" s="84"/>
    </row>
    <row r="6996" spans="1:14" s="2" customFormat="1">
      <c r="A6996" s="83"/>
      <c r="H6996" s="83"/>
      <c r="K6996" s="82"/>
      <c r="M6996" s="112"/>
      <c r="N6996" s="84"/>
    </row>
    <row r="6997" spans="1:14" s="2" customFormat="1">
      <c r="A6997" s="83"/>
      <c r="H6997" s="83"/>
      <c r="K6997" s="82"/>
      <c r="M6997" s="112"/>
      <c r="N6997" s="84"/>
    </row>
    <row r="6998" spans="1:14" s="2" customFormat="1">
      <c r="A6998" s="83"/>
      <c r="H6998" s="83"/>
      <c r="K6998" s="82"/>
      <c r="M6998" s="112"/>
      <c r="N6998" s="84"/>
    </row>
    <row r="6999" spans="1:14" s="2" customFormat="1">
      <c r="A6999" s="83"/>
      <c r="H6999" s="83"/>
      <c r="K6999" s="82"/>
      <c r="M6999" s="112"/>
      <c r="N6999" s="84"/>
    </row>
    <row r="7000" spans="1:14" s="2" customFormat="1">
      <c r="A7000" s="83"/>
      <c r="H7000" s="83"/>
      <c r="K7000" s="82"/>
      <c r="M7000" s="112"/>
      <c r="N7000" s="84"/>
    </row>
    <row r="7001" spans="1:14" s="2" customFormat="1">
      <c r="A7001" s="83"/>
      <c r="H7001" s="83"/>
      <c r="K7001" s="82"/>
      <c r="M7001" s="112"/>
      <c r="N7001" s="84"/>
    </row>
    <row r="7002" spans="1:14" s="2" customFormat="1">
      <c r="A7002" s="83"/>
      <c r="H7002" s="83"/>
      <c r="K7002" s="82"/>
      <c r="M7002" s="112"/>
      <c r="N7002" s="84"/>
    </row>
    <row r="7003" spans="1:14" s="2" customFormat="1">
      <c r="A7003" s="83"/>
      <c r="H7003" s="83"/>
      <c r="K7003" s="82"/>
      <c r="M7003" s="112"/>
      <c r="N7003" s="84"/>
    </row>
    <row r="7004" spans="1:14" s="2" customFormat="1">
      <c r="A7004" s="83"/>
      <c r="H7004" s="83"/>
      <c r="K7004" s="82"/>
      <c r="M7004" s="112"/>
      <c r="N7004" s="84"/>
    </row>
    <row r="7005" spans="1:14" s="2" customFormat="1">
      <c r="A7005" s="83"/>
      <c r="H7005" s="83"/>
      <c r="K7005" s="82"/>
      <c r="M7005" s="112"/>
      <c r="N7005" s="84"/>
    </row>
    <row r="7006" spans="1:14" s="2" customFormat="1">
      <c r="A7006" s="83"/>
      <c r="H7006" s="83"/>
      <c r="K7006" s="82"/>
      <c r="M7006" s="112"/>
      <c r="N7006" s="84"/>
    </row>
    <row r="7007" spans="1:14" s="2" customFormat="1">
      <c r="A7007" s="83"/>
      <c r="H7007" s="83"/>
      <c r="K7007" s="82"/>
      <c r="M7007" s="112"/>
      <c r="N7007" s="84"/>
    </row>
    <row r="7008" spans="1:14" s="2" customFormat="1">
      <c r="A7008" s="83"/>
      <c r="H7008" s="83"/>
      <c r="K7008" s="82"/>
      <c r="M7008" s="112"/>
      <c r="N7008" s="84"/>
    </row>
    <row r="7009" spans="1:14" s="2" customFormat="1">
      <c r="A7009" s="83"/>
      <c r="H7009" s="83"/>
      <c r="K7009" s="82"/>
      <c r="M7009" s="112"/>
      <c r="N7009" s="84"/>
    </row>
    <row r="7010" spans="1:14" s="2" customFormat="1">
      <c r="A7010" s="83"/>
      <c r="H7010" s="83"/>
      <c r="K7010" s="82"/>
      <c r="M7010" s="112"/>
      <c r="N7010" s="84"/>
    </row>
    <row r="7011" spans="1:14" s="2" customFormat="1">
      <c r="A7011" s="83"/>
      <c r="H7011" s="83"/>
      <c r="K7011" s="82"/>
      <c r="M7011" s="112"/>
      <c r="N7011" s="84"/>
    </row>
    <row r="7012" spans="1:14" s="2" customFormat="1">
      <c r="A7012" s="83"/>
      <c r="H7012" s="83"/>
      <c r="K7012" s="82"/>
      <c r="M7012" s="112"/>
      <c r="N7012" s="84"/>
    </row>
    <row r="7013" spans="1:14" s="2" customFormat="1">
      <c r="A7013" s="83"/>
      <c r="H7013" s="83"/>
      <c r="K7013" s="82"/>
      <c r="M7013" s="112"/>
      <c r="N7013" s="84"/>
    </row>
    <row r="7014" spans="1:14" s="2" customFormat="1">
      <c r="A7014" s="83"/>
      <c r="H7014" s="83"/>
      <c r="K7014" s="82"/>
      <c r="M7014" s="112"/>
      <c r="N7014" s="84"/>
    </row>
    <row r="7015" spans="1:14" s="2" customFormat="1">
      <c r="A7015" s="83"/>
      <c r="H7015" s="83"/>
      <c r="K7015" s="82"/>
      <c r="M7015" s="112"/>
      <c r="N7015" s="84"/>
    </row>
    <row r="7016" spans="1:14" s="2" customFormat="1">
      <c r="A7016" s="83"/>
      <c r="H7016" s="83"/>
      <c r="K7016" s="82"/>
      <c r="M7016" s="112"/>
      <c r="N7016" s="84"/>
    </row>
    <row r="7017" spans="1:14" s="2" customFormat="1">
      <c r="A7017" s="83"/>
      <c r="H7017" s="83"/>
      <c r="K7017" s="82"/>
      <c r="M7017" s="112"/>
      <c r="N7017" s="84"/>
    </row>
    <row r="7018" spans="1:14" s="2" customFormat="1">
      <c r="A7018" s="83"/>
      <c r="H7018" s="83"/>
      <c r="K7018" s="82"/>
      <c r="M7018" s="112"/>
      <c r="N7018" s="84"/>
    </row>
    <row r="7019" spans="1:14" s="2" customFormat="1">
      <c r="A7019" s="83"/>
      <c r="H7019" s="83"/>
      <c r="K7019" s="82"/>
      <c r="M7019" s="112"/>
      <c r="N7019" s="84"/>
    </row>
    <row r="7020" spans="1:14" s="2" customFormat="1">
      <c r="A7020" s="83"/>
      <c r="H7020" s="83"/>
      <c r="K7020" s="82"/>
      <c r="M7020" s="112"/>
      <c r="N7020" s="84"/>
    </row>
    <row r="7021" spans="1:14" s="2" customFormat="1">
      <c r="A7021" s="83"/>
      <c r="H7021" s="83"/>
      <c r="K7021" s="82"/>
      <c r="M7021" s="112"/>
      <c r="N7021" s="84"/>
    </row>
    <row r="7022" spans="1:14" s="2" customFormat="1">
      <c r="A7022" s="83"/>
      <c r="H7022" s="83"/>
      <c r="K7022" s="82"/>
      <c r="M7022" s="112"/>
      <c r="N7022" s="84"/>
    </row>
    <row r="7023" spans="1:14" s="2" customFormat="1">
      <c r="A7023" s="83"/>
      <c r="H7023" s="83"/>
      <c r="K7023" s="82"/>
      <c r="M7023" s="112"/>
      <c r="N7023" s="84"/>
    </row>
    <row r="7024" spans="1:14" s="2" customFormat="1">
      <c r="A7024" s="83"/>
      <c r="H7024" s="83"/>
      <c r="K7024" s="82"/>
      <c r="M7024" s="112"/>
      <c r="N7024" s="84"/>
    </row>
    <row r="7025" spans="1:14" s="2" customFormat="1">
      <c r="A7025" s="83"/>
      <c r="H7025" s="83"/>
      <c r="K7025" s="82"/>
      <c r="M7025" s="112"/>
      <c r="N7025" s="84"/>
    </row>
    <row r="7026" spans="1:14" s="2" customFormat="1">
      <c r="A7026" s="83"/>
      <c r="H7026" s="83"/>
      <c r="K7026" s="82"/>
      <c r="M7026" s="112"/>
      <c r="N7026" s="84"/>
    </row>
    <row r="7027" spans="1:14" s="2" customFormat="1">
      <c r="A7027" s="83"/>
      <c r="H7027" s="83"/>
      <c r="K7027" s="82"/>
      <c r="M7027" s="112"/>
      <c r="N7027" s="84"/>
    </row>
    <row r="7028" spans="1:14" s="2" customFormat="1">
      <c r="A7028" s="83"/>
      <c r="H7028" s="83"/>
      <c r="K7028" s="82"/>
      <c r="M7028" s="112"/>
      <c r="N7028" s="84"/>
    </row>
    <row r="7029" spans="1:14" s="2" customFormat="1">
      <c r="A7029" s="83"/>
      <c r="H7029" s="83"/>
      <c r="K7029" s="82"/>
      <c r="M7029" s="112"/>
      <c r="N7029" s="84"/>
    </row>
    <row r="7030" spans="1:14" s="2" customFormat="1">
      <c r="A7030" s="83"/>
      <c r="H7030" s="83"/>
      <c r="K7030" s="82"/>
      <c r="M7030" s="112"/>
      <c r="N7030" s="84"/>
    </row>
    <row r="7031" spans="1:14" s="2" customFormat="1">
      <c r="A7031" s="83"/>
      <c r="H7031" s="83"/>
      <c r="K7031" s="82"/>
      <c r="M7031" s="112"/>
      <c r="N7031" s="84"/>
    </row>
    <row r="7032" spans="1:14" s="2" customFormat="1">
      <c r="A7032" s="83"/>
      <c r="H7032" s="83"/>
      <c r="K7032" s="82"/>
      <c r="M7032" s="112"/>
      <c r="N7032" s="84"/>
    </row>
    <row r="7033" spans="1:14" s="2" customFormat="1">
      <c r="A7033" s="83"/>
      <c r="H7033" s="83"/>
      <c r="K7033" s="82"/>
      <c r="M7033" s="112"/>
      <c r="N7033" s="84"/>
    </row>
    <row r="7034" spans="1:14" s="2" customFormat="1">
      <c r="A7034" s="83"/>
      <c r="H7034" s="83"/>
      <c r="K7034" s="82"/>
      <c r="M7034" s="112"/>
      <c r="N7034" s="84"/>
    </row>
    <row r="7035" spans="1:14" s="2" customFormat="1">
      <c r="A7035" s="83"/>
      <c r="H7035" s="83"/>
      <c r="K7035" s="82"/>
      <c r="M7035" s="112"/>
      <c r="N7035" s="84"/>
    </row>
    <row r="7036" spans="1:14" s="2" customFormat="1">
      <c r="A7036" s="83"/>
      <c r="H7036" s="83"/>
      <c r="K7036" s="82"/>
      <c r="M7036" s="112"/>
      <c r="N7036" s="84"/>
    </row>
    <row r="7037" spans="1:14" s="2" customFormat="1">
      <c r="A7037" s="83"/>
      <c r="H7037" s="83"/>
      <c r="K7037" s="82"/>
      <c r="M7037" s="112"/>
      <c r="N7037" s="84"/>
    </row>
    <row r="7038" spans="1:14" s="2" customFormat="1">
      <c r="A7038" s="83"/>
      <c r="H7038" s="83"/>
      <c r="K7038" s="82"/>
      <c r="M7038" s="112"/>
      <c r="N7038" s="84"/>
    </row>
    <row r="7039" spans="1:14" s="2" customFormat="1">
      <c r="A7039" s="83"/>
      <c r="H7039" s="83"/>
      <c r="K7039" s="82"/>
      <c r="M7039" s="112"/>
      <c r="N7039" s="84"/>
    </row>
    <row r="7040" spans="1:14" s="2" customFormat="1">
      <c r="A7040" s="83"/>
      <c r="H7040" s="83"/>
      <c r="K7040" s="82"/>
      <c r="M7040" s="112"/>
      <c r="N7040" s="84"/>
    </row>
    <row r="7041" spans="1:14" s="2" customFormat="1">
      <c r="A7041" s="83"/>
      <c r="H7041" s="83"/>
      <c r="K7041" s="82"/>
      <c r="M7041" s="112"/>
      <c r="N7041" s="84"/>
    </row>
    <row r="7042" spans="1:14" s="2" customFormat="1">
      <c r="A7042" s="83"/>
      <c r="H7042" s="83"/>
      <c r="K7042" s="82"/>
      <c r="M7042" s="112"/>
      <c r="N7042" s="84"/>
    </row>
    <row r="7043" spans="1:14" s="2" customFormat="1">
      <c r="A7043" s="83"/>
      <c r="H7043" s="83"/>
      <c r="K7043" s="82"/>
      <c r="M7043" s="112"/>
      <c r="N7043" s="84"/>
    </row>
    <row r="7044" spans="1:14" s="2" customFormat="1">
      <c r="A7044" s="83"/>
      <c r="H7044" s="83"/>
      <c r="K7044" s="82"/>
      <c r="M7044" s="112"/>
      <c r="N7044" s="84"/>
    </row>
    <row r="7045" spans="1:14" s="2" customFormat="1">
      <c r="A7045" s="83"/>
      <c r="H7045" s="83"/>
      <c r="K7045" s="82"/>
      <c r="M7045" s="112"/>
      <c r="N7045" s="84"/>
    </row>
    <row r="7046" spans="1:14" s="2" customFormat="1">
      <c r="A7046" s="83"/>
      <c r="H7046" s="83"/>
      <c r="K7046" s="82"/>
      <c r="M7046" s="112"/>
      <c r="N7046" s="84"/>
    </row>
    <row r="7047" spans="1:14" s="2" customFormat="1">
      <c r="A7047" s="83"/>
      <c r="H7047" s="83"/>
      <c r="K7047" s="82"/>
      <c r="M7047" s="112"/>
      <c r="N7047" s="84"/>
    </row>
    <row r="7048" spans="1:14" s="2" customFormat="1">
      <c r="A7048" s="83"/>
      <c r="H7048" s="83"/>
      <c r="K7048" s="82"/>
      <c r="M7048" s="112"/>
      <c r="N7048" s="84"/>
    </row>
    <row r="7049" spans="1:14" s="2" customFormat="1">
      <c r="A7049" s="83"/>
      <c r="H7049" s="83"/>
      <c r="K7049" s="82"/>
      <c r="M7049" s="112"/>
      <c r="N7049" s="84"/>
    </row>
    <row r="7050" spans="1:14" s="2" customFormat="1">
      <c r="A7050" s="83"/>
      <c r="H7050" s="83"/>
      <c r="K7050" s="82"/>
      <c r="M7050" s="112"/>
      <c r="N7050" s="84"/>
    </row>
    <row r="7051" spans="1:14" s="2" customFormat="1">
      <c r="A7051" s="83"/>
      <c r="H7051" s="83"/>
      <c r="K7051" s="82"/>
      <c r="M7051" s="112"/>
      <c r="N7051" s="84"/>
    </row>
    <row r="7052" spans="1:14" s="2" customFormat="1">
      <c r="A7052" s="83"/>
      <c r="H7052" s="83"/>
      <c r="K7052" s="82"/>
      <c r="M7052" s="112"/>
      <c r="N7052" s="84"/>
    </row>
    <row r="7053" spans="1:14" s="2" customFormat="1">
      <c r="A7053" s="83"/>
      <c r="H7053" s="83"/>
      <c r="K7053" s="82"/>
      <c r="M7053" s="112"/>
      <c r="N7053" s="84"/>
    </row>
    <row r="7054" spans="1:14" s="2" customFormat="1">
      <c r="A7054" s="83"/>
      <c r="H7054" s="83"/>
      <c r="K7054" s="82"/>
      <c r="M7054" s="112"/>
      <c r="N7054" s="84"/>
    </row>
    <row r="7055" spans="1:14" s="2" customFormat="1">
      <c r="A7055" s="83"/>
      <c r="H7055" s="83"/>
      <c r="K7055" s="82"/>
      <c r="M7055" s="112"/>
      <c r="N7055" s="84"/>
    </row>
    <row r="7056" spans="1:14" s="2" customFormat="1">
      <c r="A7056" s="83"/>
      <c r="H7056" s="83"/>
      <c r="K7056" s="82"/>
      <c r="M7056" s="112"/>
      <c r="N7056" s="84"/>
    </row>
    <row r="7057" spans="1:14" s="2" customFormat="1">
      <c r="A7057" s="83"/>
      <c r="H7057" s="83"/>
      <c r="K7057" s="82"/>
      <c r="M7057" s="112"/>
      <c r="N7057" s="84"/>
    </row>
    <row r="7058" spans="1:14" s="2" customFormat="1">
      <c r="A7058" s="83"/>
      <c r="H7058" s="83"/>
      <c r="K7058" s="82"/>
      <c r="M7058" s="112"/>
      <c r="N7058" s="84"/>
    </row>
    <row r="7059" spans="1:14" s="2" customFormat="1">
      <c r="A7059" s="83"/>
      <c r="H7059" s="83"/>
      <c r="K7059" s="82"/>
      <c r="M7059" s="112"/>
      <c r="N7059" s="84"/>
    </row>
    <row r="7060" spans="1:14" s="2" customFormat="1">
      <c r="A7060" s="83"/>
      <c r="H7060" s="83"/>
      <c r="K7060" s="82"/>
      <c r="M7060" s="112"/>
      <c r="N7060" s="84"/>
    </row>
    <row r="7061" spans="1:14" s="2" customFormat="1">
      <c r="A7061" s="83"/>
      <c r="H7061" s="83"/>
      <c r="K7061" s="82"/>
      <c r="M7061" s="112"/>
      <c r="N7061" s="84"/>
    </row>
    <row r="7062" spans="1:14" s="2" customFormat="1">
      <c r="A7062" s="83"/>
      <c r="H7062" s="83"/>
      <c r="K7062" s="82"/>
      <c r="M7062" s="112"/>
      <c r="N7062" s="84"/>
    </row>
    <row r="7063" spans="1:14" s="2" customFormat="1">
      <c r="A7063" s="83"/>
      <c r="H7063" s="83"/>
      <c r="K7063" s="82"/>
      <c r="M7063" s="112"/>
      <c r="N7063" s="84"/>
    </row>
    <row r="7064" spans="1:14" s="2" customFormat="1">
      <c r="A7064" s="83"/>
      <c r="H7064" s="83"/>
      <c r="K7064" s="82"/>
      <c r="M7064" s="112"/>
      <c r="N7064" s="84"/>
    </row>
    <row r="7065" spans="1:14" s="2" customFormat="1">
      <c r="A7065" s="83"/>
      <c r="H7065" s="83"/>
      <c r="K7065" s="82"/>
      <c r="M7065" s="112"/>
      <c r="N7065" s="84"/>
    </row>
    <row r="7066" spans="1:14" s="2" customFormat="1">
      <c r="A7066" s="83"/>
      <c r="H7066" s="83"/>
      <c r="K7066" s="82"/>
      <c r="M7066" s="112"/>
      <c r="N7066" s="84"/>
    </row>
    <row r="7067" spans="1:14" s="2" customFormat="1">
      <c r="A7067" s="83"/>
      <c r="H7067" s="83"/>
      <c r="K7067" s="82"/>
      <c r="M7067" s="112"/>
      <c r="N7067" s="84"/>
    </row>
    <row r="7068" spans="1:14" s="2" customFormat="1">
      <c r="A7068" s="83"/>
      <c r="H7068" s="83"/>
      <c r="K7068" s="82"/>
      <c r="M7068" s="112"/>
      <c r="N7068" s="84"/>
    </row>
    <row r="7069" spans="1:14" s="2" customFormat="1">
      <c r="A7069" s="83"/>
      <c r="H7069" s="83"/>
      <c r="K7069" s="82"/>
      <c r="M7069" s="112"/>
      <c r="N7069" s="84"/>
    </row>
    <row r="7070" spans="1:14" s="2" customFormat="1">
      <c r="A7070" s="83"/>
      <c r="H7070" s="83"/>
      <c r="K7070" s="82"/>
      <c r="M7070" s="112"/>
      <c r="N7070" s="84"/>
    </row>
    <row r="7071" spans="1:14" s="2" customFormat="1">
      <c r="A7071" s="83"/>
      <c r="H7071" s="83"/>
      <c r="K7071" s="82"/>
      <c r="M7071" s="112"/>
      <c r="N7071" s="84"/>
    </row>
    <row r="7072" spans="1:14" s="2" customFormat="1">
      <c r="A7072" s="83"/>
      <c r="H7072" s="83"/>
      <c r="K7072" s="82"/>
      <c r="M7072" s="112"/>
      <c r="N7072" s="84"/>
    </row>
    <row r="7073" spans="1:14" s="2" customFormat="1">
      <c r="A7073" s="83"/>
      <c r="H7073" s="83"/>
      <c r="K7073" s="82"/>
      <c r="M7073" s="112"/>
      <c r="N7073" s="84"/>
    </row>
    <row r="7074" spans="1:14" s="2" customFormat="1">
      <c r="A7074" s="83"/>
      <c r="H7074" s="83"/>
      <c r="K7074" s="82"/>
      <c r="M7074" s="112"/>
      <c r="N7074" s="84"/>
    </row>
    <row r="7075" spans="1:14" s="2" customFormat="1">
      <c r="A7075" s="83"/>
      <c r="H7075" s="83"/>
      <c r="K7075" s="82"/>
      <c r="M7075" s="112"/>
      <c r="N7075" s="84"/>
    </row>
    <row r="7076" spans="1:14" s="2" customFormat="1">
      <c r="A7076" s="83"/>
      <c r="H7076" s="83"/>
      <c r="K7076" s="82"/>
      <c r="M7076" s="112"/>
      <c r="N7076" s="84"/>
    </row>
    <row r="7077" spans="1:14" s="2" customFormat="1">
      <c r="A7077" s="83"/>
      <c r="H7077" s="83"/>
      <c r="K7077" s="82"/>
      <c r="M7077" s="112"/>
      <c r="N7077" s="84"/>
    </row>
    <row r="7078" spans="1:14" s="2" customFormat="1">
      <c r="A7078" s="83"/>
      <c r="H7078" s="83"/>
      <c r="K7078" s="82"/>
      <c r="M7078" s="112"/>
      <c r="N7078" s="84"/>
    </row>
    <row r="7079" spans="1:14" s="2" customFormat="1">
      <c r="A7079" s="83"/>
      <c r="H7079" s="83"/>
      <c r="K7079" s="82"/>
      <c r="M7079" s="112"/>
      <c r="N7079" s="84"/>
    </row>
    <row r="7080" spans="1:14" s="2" customFormat="1">
      <c r="A7080" s="83"/>
      <c r="H7080" s="83"/>
      <c r="K7080" s="82"/>
      <c r="M7080" s="112"/>
      <c r="N7080" s="84"/>
    </row>
    <row r="7081" spans="1:14" s="2" customFormat="1">
      <c r="A7081" s="83"/>
      <c r="H7081" s="83"/>
      <c r="K7081" s="82"/>
      <c r="M7081" s="112"/>
      <c r="N7081" s="84"/>
    </row>
    <row r="7082" spans="1:14" s="2" customFormat="1">
      <c r="A7082" s="83"/>
      <c r="H7082" s="83"/>
      <c r="K7082" s="82"/>
      <c r="M7082" s="112"/>
      <c r="N7082" s="84"/>
    </row>
    <row r="7083" spans="1:14" s="2" customFormat="1">
      <c r="A7083" s="83"/>
      <c r="H7083" s="83"/>
      <c r="K7083" s="82"/>
      <c r="M7083" s="112"/>
      <c r="N7083" s="84"/>
    </row>
    <row r="7084" spans="1:14" s="2" customFormat="1">
      <c r="A7084" s="83"/>
      <c r="H7084" s="83"/>
      <c r="K7084" s="82"/>
      <c r="M7084" s="112"/>
      <c r="N7084" s="84"/>
    </row>
    <row r="7085" spans="1:14" s="2" customFormat="1">
      <c r="A7085" s="83"/>
      <c r="H7085" s="83"/>
      <c r="K7085" s="82"/>
      <c r="M7085" s="112"/>
      <c r="N7085" s="84"/>
    </row>
    <row r="7086" spans="1:14" s="2" customFormat="1">
      <c r="A7086" s="83"/>
      <c r="H7086" s="83"/>
      <c r="K7086" s="82"/>
      <c r="M7086" s="112"/>
      <c r="N7086" s="84"/>
    </row>
    <row r="7087" spans="1:14" s="2" customFormat="1">
      <c r="A7087" s="83"/>
      <c r="H7087" s="83"/>
      <c r="K7087" s="82"/>
      <c r="M7087" s="112"/>
      <c r="N7087" s="84"/>
    </row>
    <row r="7088" spans="1:14" s="2" customFormat="1">
      <c r="A7088" s="83"/>
      <c r="H7088" s="83"/>
      <c r="K7088" s="82"/>
      <c r="M7088" s="112"/>
      <c r="N7088" s="84"/>
    </row>
    <row r="7089" spans="1:14" s="2" customFormat="1">
      <c r="A7089" s="83"/>
      <c r="H7089" s="83"/>
      <c r="K7089" s="82"/>
      <c r="M7089" s="112"/>
      <c r="N7089" s="84"/>
    </row>
    <row r="7090" spans="1:14" s="2" customFormat="1">
      <c r="A7090" s="83"/>
      <c r="H7090" s="83"/>
      <c r="K7090" s="82"/>
      <c r="M7090" s="112"/>
      <c r="N7090" s="84"/>
    </row>
    <row r="7091" spans="1:14" s="2" customFormat="1">
      <c r="A7091" s="83"/>
      <c r="H7091" s="83"/>
      <c r="K7091" s="82"/>
      <c r="M7091" s="112"/>
      <c r="N7091" s="84"/>
    </row>
    <row r="7092" spans="1:14" s="2" customFormat="1">
      <c r="A7092" s="83"/>
      <c r="H7092" s="83"/>
      <c r="K7092" s="82"/>
      <c r="M7092" s="112"/>
      <c r="N7092" s="84"/>
    </row>
    <row r="7093" spans="1:14" s="2" customFormat="1">
      <c r="A7093" s="83"/>
      <c r="H7093" s="83"/>
      <c r="K7093" s="82"/>
      <c r="M7093" s="112"/>
      <c r="N7093" s="84"/>
    </row>
    <row r="7094" spans="1:14" s="2" customFormat="1">
      <c r="A7094" s="83"/>
      <c r="H7094" s="83"/>
      <c r="K7094" s="82"/>
      <c r="M7094" s="112"/>
      <c r="N7094" s="84"/>
    </row>
    <row r="7095" spans="1:14" s="2" customFormat="1">
      <c r="A7095" s="83"/>
      <c r="H7095" s="83"/>
      <c r="K7095" s="82"/>
      <c r="M7095" s="112"/>
      <c r="N7095" s="84"/>
    </row>
    <row r="7096" spans="1:14" s="2" customFormat="1">
      <c r="A7096" s="83"/>
      <c r="H7096" s="83"/>
      <c r="K7096" s="82"/>
      <c r="M7096" s="112"/>
      <c r="N7096" s="84"/>
    </row>
    <row r="7097" spans="1:14" s="2" customFormat="1">
      <c r="A7097" s="83"/>
      <c r="H7097" s="83"/>
      <c r="K7097" s="82"/>
      <c r="M7097" s="112"/>
      <c r="N7097" s="84"/>
    </row>
    <row r="7098" spans="1:14" s="2" customFormat="1">
      <c r="A7098" s="83"/>
      <c r="H7098" s="83"/>
      <c r="K7098" s="82"/>
      <c r="M7098" s="112"/>
      <c r="N7098" s="84"/>
    </row>
    <row r="7099" spans="1:14" s="2" customFormat="1">
      <c r="A7099" s="83"/>
      <c r="H7099" s="83"/>
      <c r="K7099" s="82"/>
      <c r="M7099" s="112"/>
      <c r="N7099" s="84"/>
    </row>
    <row r="7100" spans="1:14" s="2" customFormat="1">
      <c r="A7100" s="83"/>
      <c r="H7100" s="83"/>
      <c r="K7100" s="82"/>
      <c r="M7100" s="112"/>
      <c r="N7100" s="84"/>
    </row>
    <row r="7101" spans="1:14" s="2" customFormat="1">
      <c r="A7101" s="83"/>
      <c r="H7101" s="83"/>
      <c r="K7101" s="82"/>
      <c r="M7101" s="112"/>
      <c r="N7101" s="84"/>
    </row>
    <row r="7102" spans="1:14" s="2" customFormat="1">
      <c r="A7102" s="83"/>
      <c r="H7102" s="83"/>
      <c r="K7102" s="82"/>
      <c r="M7102" s="112"/>
      <c r="N7102" s="84"/>
    </row>
    <row r="7103" spans="1:14" s="2" customFormat="1">
      <c r="A7103" s="83"/>
      <c r="H7103" s="83"/>
      <c r="K7103" s="82"/>
      <c r="M7103" s="112"/>
      <c r="N7103" s="84"/>
    </row>
    <row r="7104" spans="1:14" s="2" customFormat="1">
      <c r="A7104" s="83"/>
      <c r="H7104" s="83"/>
      <c r="K7104" s="82"/>
      <c r="M7104" s="112"/>
      <c r="N7104" s="84"/>
    </row>
    <row r="7105" spans="1:14" s="2" customFormat="1">
      <c r="A7105" s="83"/>
      <c r="H7105" s="83"/>
      <c r="K7105" s="82"/>
      <c r="M7105" s="112"/>
      <c r="N7105" s="84"/>
    </row>
    <row r="7106" spans="1:14" s="2" customFormat="1">
      <c r="A7106" s="83"/>
      <c r="H7106" s="83"/>
      <c r="K7106" s="82"/>
      <c r="M7106" s="112"/>
      <c r="N7106" s="84"/>
    </row>
    <row r="7107" spans="1:14" s="2" customFormat="1">
      <c r="A7107" s="83"/>
      <c r="H7107" s="83"/>
      <c r="K7107" s="82"/>
      <c r="M7107" s="112"/>
      <c r="N7107" s="84"/>
    </row>
    <row r="7108" spans="1:14" s="2" customFormat="1">
      <c r="A7108" s="83"/>
      <c r="H7108" s="83"/>
      <c r="K7108" s="82"/>
      <c r="M7108" s="112"/>
      <c r="N7108" s="84"/>
    </row>
    <row r="7109" spans="1:14" s="2" customFormat="1">
      <c r="A7109" s="83"/>
      <c r="H7109" s="83"/>
      <c r="K7109" s="82"/>
      <c r="M7109" s="112"/>
      <c r="N7109" s="84"/>
    </row>
    <row r="7110" spans="1:14" s="2" customFormat="1">
      <c r="A7110" s="83"/>
      <c r="H7110" s="83"/>
      <c r="K7110" s="82"/>
      <c r="M7110" s="112"/>
      <c r="N7110" s="84"/>
    </row>
    <row r="7111" spans="1:14" s="2" customFormat="1">
      <c r="A7111" s="83"/>
      <c r="H7111" s="83"/>
      <c r="K7111" s="82"/>
      <c r="M7111" s="112"/>
      <c r="N7111" s="84"/>
    </row>
    <row r="7112" spans="1:14" s="2" customFormat="1">
      <c r="A7112" s="83"/>
      <c r="H7112" s="83"/>
      <c r="K7112" s="82"/>
      <c r="M7112" s="112"/>
      <c r="N7112" s="84"/>
    </row>
    <row r="7113" spans="1:14" s="2" customFormat="1">
      <c r="A7113" s="83"/>
      <c r="H7113" s="83"/>
      <c r="K7113" s="82"/>
      <c r="M7113" s="112"/>
      <c r="N7113" s="84"/>
    </row>
    <row r="7114" spans="1:14" s="2" customFormat="1">
      <c r="A7114" s="83"/>
      <c r="H7114" s="83"/>
      <c r="K7114" s="82"/>
      <c r="M7114" s="112"/>
      <c r="N7114" s="84"/>
    </row>
    <row r="7115" spans="1:14" s="2" customFormat="1">
      <c r="A7115" s="83"/>
      <c r="H7115" s="83"/>
      <c r="K7115" s="82"/>
      <c r="M7115" s="112"/>
      <c r="N7115" s="84"/>
    </row>
    <row r="7116" spans="1:14" s="2" customFormat="1">
      <c r="A7116" s="83"/>
      <c r="H7116" s="83"/>
      <c r="K7116" s="82"/>
      <c r="M7116" s="112"/>
      <c r="N7116" s="84"/>
    </row>
    <row r="7117" spans="1:14" s="2" customFormat="1">
      <c r="A7117" s="83"/>
      <c r="H7117" s="83"/>
      <c r="K7117" s="82"/>
      <c r="M7117" s="112"/>
      <c r="N7117" s="84"/>
    </row>
    <row r="7118" spans="1:14" s="2" customFormat="1">
      <c r="A7118" s="83"/>
      <c r="H7118" s="83"/>
      <c r="K7118" s="82"/>
      <c r="M7118" s="112"/>
      <c r="N7118" s="84"/>
    </row>
    <row r="7119" spans="1:14" s="2" customFormat="1">
      <c r="A7119" s="83"/>
      <c r="H7119" s="83"/>
      <c r="K7119" s="82"/>
      <c r="M7119" s="112"/>
      <c r="N7119" s="84"/>
    </row>
    <row r="7120" spans="1:14" s="2" customFormat="1">
      <c r="A7120" s="83"/>
      <c r="H7120" s="83"/>
      <c r="K7120" s="82"/>
      <c r="M7120" s="112"/>
      <c r="N7120" s="84"/>
    </row>
    <row r="7121" spans="1:14" s="2" customFormat="1">
      <c r="A7121" s="83"/>
      <c r="H7121" s="83"/>
      <c r="K7121" s="82"/>
      <c r="M7121" s="112"/>
      <c r="N7121" s="84"/>
    </row>
    <row r="7122" spans="1:14" s="2" customFormat="1">
      <c r="A7122" s="83"/>
      <c r="H7122" s="83"/>
      <c r="K7122" s="82"/>
      <c r="M7122" s="112"/>
      <c r="N7122" s="84"/>
    </row>
    <row r="7123" spans="1:14" s="2" customFormat="1">
      <c r="A7123" s="83"/>
      <c r="H7123" s="83"/>
      <c r="K7123" s="82"/>
      <c r="M7123" s="112"/>
      <c r="N7123" s="84"/>
    </row>
    <row r="7124" spans="1:14" s="2" customFormat="1">
      <c r="A7124" s="83"/>
      <c r="H7124" s="83"/>
      <c r="K7124" s="82"/>
      <c r="M7124" s="112"/>
      <c r="N7124" s="84"/>
    </row>
    <row r="7125" spans="1:14" s="2" customFormat="1">
      <c r="A7125" s="83"/>
      <c r="H7125" s="83"/>
      <c r="K7125" s="82"/>
      <c r="M7125" s="112"/>
      <c r="N7125" s="84"/>
    </row>
    <row r="7126" spans="1:14" s="2" customFormat="1">
      <c r="A7126" s="83"/>
      <c r="H7126" s="83"/>
      <c r="K7126" s="82"/>
      <c r="M7126" s="112"/>
      <c r="N7126" s="84"/>
    </row>
    <row r="7127" spans="1:14" s="2" customFormat="1">
      <c r="A7127" s="83"/>
      <c r="H7127" s="83"/>
      <c r="K7127" s="82"/>
      <c r="M7127" s="112"/>
      <c r="N7127" s="84"/>
    </row>
    <row r="7128" spans="1:14" s="2" customFormat="1">
      <c r="A7128" s="83"/>
      <c r="H7128" s="83"/>
      <c r="K7128" s="82"/>
      <c r="M7128" s="112"/>
      <c r="N7128" s="84"/>
    </row>
    <row r="7129" spans="1:14" s="2" customFormat="1">
      <c r="A7129" s="83"/>
      <c r="H7129" s="83"/>
      <c r="K7129" s="82"/>
      <c r="M7129" s="112"/>
      <c r="N7129" s="84"/>
    </row>
    <row r="7130" spans="1:14" s="2" customFormat="1">
      <c r="A7130" s="83"/>
      <c r="H7130" s="83"/>
      <c r="K7130" s="82"/>
      <c r="M7130" s="112"/>
      <c r="N7130" s="84"/>
    </row>
    <row r="7131" spans="1:14" s="2" customFormat="1">
      <c r="A7131" s="83"/>
      <c r="H7131" s="83"/>
      <c r="K7131" s="82"/>
      <c r="M7131" s="112"/>
      <c r="N7131" s="84"/>
    </row>
    <row r="7132" spans="1:14" s="2" customFormat="1">
      <c r="A7132" s="83"/>
      <c r="H7132" s="83"/>
      <c r="K7132" s="82"/>
      <c r="M7132" s="112"/>
      <c r="N7132" s="84"/>
    </row>
    <row r="7133" spans="1:14" s="2" customFormat="1">
      <c r="A7133" s="83"/>
      <c r="H7133" s="83"/>
      <c r="K7133" s="82"/>
      <c r="M7133" s="112"/>
      <c r="N7133" s="84"/>
    </row>
    <row r="7134" spans="1:14" s="2" customFormat="1">
      <c r="A7134" s="83"/>
      <c r="H7134" s="83"/>
      <c r="K7134" s="82"/>
      <c r="M7134" s="112"/>
      <c r="N7134" s="84"/>
    </row>
    <row r="7135" spans="1:14" s="2" customFormat="1">
      <c r="A7135" s="83"/>
      <c r="H7135" s="83"/>
      <c r="K7135" s="82"/>
      <c r="M7135" s="112"/>
      <c r="N7135" s="84"/>
    </row>
    <row r="7136" spans="1:14" s="2" customFormat="1">
      <c r="A7136" s="83"/>
      <c r="H7136" s="83"/>
      <c r="K7136" s="82"/>
      <c r="M7136" s="112"/>
      <c r="N7136" s="84"/>
    </row>
    <row r="7137" spans="1:14" s="2" customFormat="1">
      <c r="A7137" s="83"/>
      <c r="H7137" s="83"/>
      <c r="K7137" s="82"/>
      <c r="M7137" s="112"/>
      <c r="N7137" s="84"/>
    </row>
    <row r="7138" spans="1:14" s="2" customFormat="1">
      <c r="A7138" s="83"/>
      <c r="H7138" s="83"/>
      <c r="K7138" s="82"/>
      <c r="M7138" s="112"/>
      <c r="N7138" s="84"/>
    </row>
    <row r="7139" spans="1:14" s="2" customFormat="1">
      <c r="A7139" s="83"/>
      <c r="H7139" s="83"/>
      <c r="K7139" s="82"/>
      <c r="M7139" s="112"/>
      <c r="N7139" s="84"/>
    </row>
    <row r="7140" spans="1:14" s="2" customFormat="1">
      <c r="A7140" s="83"/>
      <c r="H7140" s="83"/>
      <c r="K7140" s="82"/>
      <c r="M7140" s="112"/>
      <c r="N7140" s="84"/>
    </row>
    <row r="7141" spans="1:14" s="2" customFormat="1">
      <c r="A7141" s="83"/>
      <c r="H7141" s="83"/>
      <c r="K7141" s="82"/>
      <c r="M7141" s="112"/>
      <c r="N7141" s="84"/>
    </row>
    <row r="7142" spans="1:14" s="2" customFormat="1">
      <c r="A7142" s="83"/>
      <c r="H7142" s="83"/>
      <c r="K7142" s="82"/>
      <c r="M7142" s="112"/>
      <c r="N7142" s="84"/>
    </row>
    <row r="7143" spans="1:14" s="2" customFormat="1">
      <c r="A7143" s="83"/>
      <c r="H7143" s="83"/>
      <c r="K7143" s="82"/>
      <c r="M7143" s="112"/>
      <c r="N7143" s="84"/>
    </row>
    <row r="7144" spans="1:14" s="2" customFormat="1">
      <c r="A7144" s="83"/>
      <c r="H7144" s="83"/>
      <c r="K7144" s="82"/>
      <c r="M7144" s="112"/>
      <c r="N7144" s="84"/>
    </row>
    <row r="7145" spans="1:14" s="2" customFormat="1">
      <c r="A7145" s="83"/>
      <c r="H7145" s="83"/>
      <c r="K7145" s="82"/>
      <c r="M7145" s="112"/>
      <c r="N7145" s="84"/>
    </row>
    <row r="7146" spans="1:14" s="2" customFormat="1">
      <c r="A7146" s="83"/>
      <c r="H7146" s="83"/>
      <c r="K7146" s="82"/>
      <c r="M7146" s="112"/>
      <c r="N7146" s="84"/>
    </row>
    <row r="7147" spans="1:14" s="2" customFormat="1">
      <c r="A7147" s="83"/>
      <c r="H7147" s="83"/>
      <c r="K7147" s="82"/>
      <c r="M7147" s="112"/>
      <c r="N7147" s="84"/>
    </row>
    <row r="7148" spans="1:14" s="2" customFormat="1">
      <c r="A7148" s="83"/>
      <c r="H7148" s="83"/>
      <c r="K7148" s="82"/>
      <c r="M7148" s="112"/>
      <c r="N7148" s="84"/>
    </row>
    <row r="7149" spans="1:14" s="2" customFormat="1">
      <c r="A7149" s="83"/>
      <c r="H7149" s="83"/>
      <c r="K7149" s="82"/>
      <c r="M7149" s="112"/>
      <c r="N7149" s="84"/>
    </row>
    <row r="7150" spans="1:14" s="2" customFormat="1">
      <c r="A7150" s="83"/>
      <c r="H7150" s="83"/>
      <c r="K7150" s="82"/>
      <c r="M7150" s="112"/>
      <c r="N7150" s="84"/>
    </row>
    <row r="7151" spans="1:14" s="2" customFormat="1">
      <c r="A7151" s="83"/>
      <c r="H7151" s="83"/>
      <c r="K7151" s="82"/>
      <c r="M7151" s="112"/>
      <c r="N7151" s="84"/>
    </row>
    <row r="7152" spans="1:14" s="2" customFormat="1">
      <c r="A7152" s="83"/>
      <c r="H7152" s="83"/>
      <c r="K7152" s="82"/>
      <c r="M7152" s="112"/>
      <c r="N7152" s="84"/>
    </row>
    <row r="7153" spans="1:14" s="2" customFormat="1">
      <c r="A7153" s="83"/>
      <c r="H7153" s="83"/>
      <c r="K7153" s="82"/>
      <c r="M7153" s="112"/>
      <c r="N7153" s="84"/>
    </row>
    <row r="7154" spans="1:14" s="2" customFormat="1">
      <c r="A7154" s="83"/>
      <c r="H7154" s="83"/>
      <c r="K7154" s="82"/>
      <c r="M7154" s="112"/>
      <c r="N7154" s="84"/>
    </row>
    <row r="7155" spans="1:14" s="2" customFormat="1">
      <c r="A7155" s="83"/>
      <c r="H7155" s="83"/>
      <c r="K7155" s="82"/>
      <c r="M7155" s="112"/>
      <c r="N7155" s="84"/>
    </row>
    <row r="7156" spans="1:14" s="2" customFormat="1">
      <c r="A7156" s="83"/>
      <c r="H7156" s="83"/>
      <c r="K7156" s="82"/>
      <c r="M7156" s="112"/>
      <c r="N7156" s="84"/>
    </row>
    <row r="7157" spans="1:14" s="2" customFormat="1">
      <c r="A7157" s="83"/>
      <c r="H7157" s="83"/>
      <c r="K7157" s="82"/>
      <c r="M7157" s="112"/>
      <c r="N7157" s="84"/>
    </row>
    <row r="7158" spans="1:14" s="2" customFormat="1">
      <c r="A7158" s="83"/>
      <c r="H7158" s="83"/>
      <c r="K7158" s="82"/>
      <c r="M7158" s="112"/>
      <c r="N7158" s="84"/>
    </row>
    <row r="7159" spans="1:14" s="2" customFormat="1">
      <c r="A7159" s="83"/>
      <c r="H7159" s="83"/>
      <c r="K7159" s="82"/>
      <c r="M7159" s="112"/>
      <c r="N7159" s="84"/>
    </row>
    <row r="7160" spans="1:14" s="2" customFormat="1">
      <c r="A7160" s="83"/>
      <c r="H7160" s="83"/>
      <c r="K7160" s="82"/>
      <c r="M7160" s="112"/>
      <c r="N7160" s="84"/>
    </row>
    <row r="7161" spans="1:14" s="2" customFormat="1">
      <c r="A7161" s="83"/>
      <c r="H7161" s="83"/>
      <c r="K7161" s="82"/>
      <c r="M7161" s="112"/>
      <c r="N7161" s="84"/>
    </row>
    <row r="7162" spans="1:14" s="2" customFormat="1">
      <c r="A7162" s="83"/>
      <c r="H7162" s="83"/>
      <c r="K7162" s="82"/>
      <c r="M7162" s="112"/>
      <c r="N7162" s="84"/>
    </row>
    <row r="7163" spans="1:14" s="2" customFormat="1">
      <c r="A7163" s="83"/>
      <c r="H7163" s="83"/>
      <c r="K7163" s="82"/>
      <c r="M7163" s="112"/>
      <c r="N7163" s="84"/>
    </row>
    <row r="7164" spans="1:14" s="2" customFormat="1">
      <c r="A7164" s="83"/>
      <c r="H7164" s="83"/>
      <c r="K7164" s="82"/>
      <c r="M7164" s="112"/>
      <c r="N7164" s="84"/>
    </row>
    <row r="7165" spans="1:14" s="2" customFormat="1">
      <c r="A7165" s="83"/>
      <c r="H7165" s="83"/>
      <c r="K7165" s="82"/>
      <c r="M7165" s="112"/>
      <c r="N7165" s="84"/>
    </row>
    <row r="7166" spans="1:14" s="2" customFormat="1">
      <c r="A7166" s="83"/>
      <c r="H7166" s="83"/>
      <c r="K7166" s="82"/>
      <c r="M7166" s="112"/>
      <c r="N7166" s="84"/>
    </row>
    <row r="7167" spans="1:14" s="2" customFormat="1">
      <c r="A7167" s="83"/>
      <c r="H7167" s="83"/>
      <c r="K7167" s="82"/>
      <c r="M7167" s="112"/>
      <c r="N7167" s="84"/>
    </row>
    <row r="7168" spans="1:14" s="2" customFormat="1">
      <c r="A7168" s="83"/>
      <c r="H7168" s="83"/>
      <c r="K7168" s="82"/>
      <c r="M7168" s="112"/>
      <c r="N7168" s="84"/>
    </row>
    <row r="7169" spans="1:14" s="2" customFormat="1">
      <c r="A7169" s="83"/>
      <c r="H7169" s="83"/>
      <c r="K7169" s="82"/>
      <c r="M7169" s="112"/>
      <c r="N7169" s="84"/>
    </row>
    <row r="7170" spans="1:14" s="2" customFormat="1">
      <c r="A7170" s="83"/>
      <c r="H7170" s="83"/>
      <c r="K7170" s="82"/>
      <c r="M7170" s="112"/>
      <c r="N7170" s="84"/>
    </row>
    <row r="7171" spans="1:14" s="2" customFormat="1">
      <c r="A7171" s="83"/>
      <c r="H7171" s="83"/>
      <c r="K7171" s="82"/>
      <c r="M7171" s="112"/>
      <c r="N7171" s="84"/>
    </row>
    <row r="7172" spans="1:14" s="2" customFormat="1">
      <c r="A7172" s="83"/>
      <c r="H7172" s="83"/>
      <c r="K7172" s="82"/>
      <c r="M7172" s="112"/>
      <c r="N7172" s="84"/>
    </row>
    <row r="7173" spans="1:14" s="2" customFormat="1">
      <c r="A7173" s="83"/>
      <c r="H7173" s="83"/>
      <c r="K7173" s="82"/>
      <c r="M7173" s="112"/>
      <c r="N7173" s="84"/>
    </row>
    <row r="7174" spans="1:14" s="2" customFormat="1">
      <c r="A7174" s="83"/>
      <c r="H7174" s="83"/>
      <c r="K7174" s="82"/>
      <c r="M7174" s="112"/>
      <c r="N7174" s="84"/>
    </row>
    <row r="7175" spans="1:14" s="2" customFormat="1">
      <c r="A7175" s="83"/>
      <c r="H7175" s="83"/>
      <c r="K7175" s="82"/>
      <c r="M7175" s="112"/>
      <c r="N7175" s="84"/>
    </row>
    <row r="7176" spans="1:14" s="2" customFormat="1">
      <c r="A7176" s="83"/>
      <c r="H7176" s="83"/>
      <c r="K7176" s="82"/>
      <c r="M7176" s="112"/>
      <c r="N7176" s="84"/>
    </row>
    <row r="7177" spans="1:14" s="2" customFormat="1">
      <c r="A7177" s="83"/>
      <c r="H7177" s="83"/>
      <c r="K7177" s="82"/>
      <c r="M7177" s="112"/>
      <c r="N7177" s="84"/>
    </row>
    <row r="7178" spans="1:14" s="2" customFormat="1">
      <c r="A7178" s="83"/>
      <c r="H7178" s="83"/>
      <c r="K7178" s="82"/>
      <c r="M7178" s="112"/>
      <c r="N7178" s="84"/>
    </row>
    <row r="7179" spans="1:14" s="2" customFormat="1">
      <c r="A7179" s="83"/>
      <c r="H7179" s="83"/>
      <c r="K7179" s="82"/>
      <c r="M7179" s="112"/>
      <c r="N7179" s="84"/>
    </row>
    <row r="7180" spans="1:14" s="2" customFormat="1">
      <c r="A7180" s="83"/>
      <c r="H7180" s="83"/>
      <c r="K7180" s="82"/>
      <c r="M7180" s="112"/>
      <c r="N7180" s="84"/>
    </row>
    <row r="7181" spans="1:14" s="2" customFormat="1">
      <c r="A7181" s="83"/>
      <c r="H7181" s="83"/>
      <c r="K7181" s="82"/>
      <c r="M7181" s="112"/>
      <c r="N7181" s="84"/>
    </row>
    <row r="7182" spans="1:14" s="2" customFormat="1">
      <c r="A7182" s="83"/>
      <c r="H7182" s="83"/>
      <c r="K7182" s="82"/>
      <c r="M7182" s="112"/>
      <c r="N7182" s="84"/>
    </row>
    <row r="7183" spans="1:14" s="2" customFormat="1">
      <c r="A7183" s="83"/>
      <c r="H7183" s="83"/>
      <c r="K7183" s="82"/>
      <c r="M7183" s="112"/>
      <c r="N7183" s="84"/>
    </row>
    <row r="7184" spans="1:14" s="2" customFormat="1">
      <c r="A7184" s="83"/>
      <c r="H7184" s="83"/>
      <c r="K7184" s="82"/>
      <c r="M7184" s="112"/>
      <c r="N7184" s="84"/>
    </row>
    <row r="7185" spans="1:14" s="2" customFormat="1">
      <c r="A7185" s="83"/>
      <c r="H7185" s="83"/>
      <c r="K7185" s="82"/>
      <c r="M7185" s="112"/>
      <c r="N7185" s="84"/>
    </row>
    <row r="7186" spans="1:14" s="2" customFormat="1">
      <c r="A7186" s="83"/>
      <c r="H7186" s="83"/>
      <c r="K7186" s="82"/>
      <c r="M7186" s="112"/>
      <c r="N7186" s="84"/>
    </row>
    <row r="7187" spans="1:14" s="2" customFormat="1">
      <c r="A7187" s="83"/>
      <c r="H7187" s="83"/>
      <c r="K7187" s="82"/>
      <c r="M7187" s="112"/>
      <c r="N7187" s="84"/>
    </row>
    <row r="7188" spans="1:14" s="2" customFormat="1">
      <c r="A7188" s="83"/>
      <c r="H7188" s="83"/>
      <c r="K7188" s="82"/>
      <c r="M7188" s="112"/>
      <c r="N7188" s="84"/>
    </row>
    <row r="7189" spans="1:14" s="2" customFormat="1">
      <c r="A7189" s="83"/>
      <c r="H7189" s="83"/>
      <c r="K7189" s="82"/>
      <c r="M7189" s="112"/>
      <c r="N7189" s="84"/>
    </row>
    <row r="7190" spans="1:14" s="2" customFormat="1">
      <c r="A7190" s="83"/>
      <c r="H7190" s="83"/>
      <c r="K7190" s="82"/>
      <c r="M7190" s="112"/>
      <c r="N7190" s="84"/>
    </row>
    <row r="7191" spans="1:14" s="2" customFormat="1">
      <c r="A7191" s="83"/>
      <c r="H7191" s="83"/>
      <c r="K7191" s="82"/>
      <c r="M7191" s="112"/>
      <c r="N7191" s="84"/>
    </row>
    <row r="7192" spans="1:14" s="2" customFormat="1">
      <c r="A7192" s="83"/>
      <c r="H7192" s="83"/>
      <c r="K7192" s="82"/>
      <c r="M7192" s="112"/>
      <c r="N7192" s="84"/>
    </row>
    <row r="7193" spans="1:14" s="2" customFormat="1">
      <c r="A7193" s="83"/>
      <c r="H7193" s="83"/>
      <c r="K7193" s="82"/>
      <c r="M7193" s="112"/>
      <c r="N7193" s="84"/>
    </row>
    <row r="7194" spans="1:14" s="2" customFormat="1">
      <c r="A7194" s="83"/>
      <c r="H7194" s="83"/>
      <c r="K7194" s="82"/>
      <c r="M7194" s="112"/>
      <c r="N7194" s="84"/>
    </row>
    <row r="7195" spans="1:14" s="2" customFormat="1">
      <c r="A7195" s="83"/>
      <c r="H7195" s="83"/>
      <c r="K7195" s="82"/>
      <c r="M7195" s="112"/>
      <c r="N7195" s="84"/>
    </row>
    <row r="7196" spans="1:14" s="2" customFormat="1">
      <c r="A7196" s="83"/>
      <c r="H7196" s="83"/>
      <c r="K7196" s="82"/>
      <c r="M7196" s="112"/>
      <c r="N7196" s="84"/>
    </row>
    <row r="7197" spans="1:14" s="2" customFormat="1">
      <c r="A7197" s="83"/>
      <c r="H7197" s="83"/>
      <c r="K7197" s="82"/>
      <c r="M7197" s="112"/>
      <c r="N7197" s="84"/>
    </row>
    <row r="7198" spans="1:14" s="2" customFormat="1">
      <c r="A7198" s="83"/>
      <c r="H7198" s="83"/>
      <c r="K7198" s="82"/>
      <c r="M7198" s="112"/>
      <c r="N7198" s="84"/>
    </row>
    <row r="7199" spans="1:14" s="2" customFormat="1">
      <c r="A7199" s="83"/>
      <c r="H7199" s="83"/>
      <c r="K7199" s="82"/>
      <c r="M7199" s="112"/>
      <c r="N7199" s="84"/>
    </row>
    <row r="7200" spans="1:14" s="2" customFormat="1">
      <c r="A7200" s="83"/>
      <c r="H7200" s="83"/>
      <c r="K7200" s="82"/>
      <c r="M7200" s="112"/>
      <c r="N7200" s="84"/>
    </row>
    <row r="7201" spans="1:14" s="2" customFormat="1">
      <c r="A7201" s="83"/>
      <c r="H7201" s="83"/>
      <c r="K7201" s="82"/>
      <c r="M7201" s="112"/>
      <c r="N7201" s="84"/>
    </row>
    <row r="7202" spans="1:14" s="2" customFormat="1">
      <c r="A7202" s="83"/>
      <c r="H7202" s="83"/>
      <c r="K7202" s="82"/>
      <c r="M7202" s="112"/>
      <c r="N7202" s="84"/>
    </row>
    <row r="7203" spans="1:14" s="2" customFormat="1">
      <c r="A7203" s="83"/>
      <c r="H7203" s="83"/>
      <c r="K7203" s="82"/>
      <c r="M7203" s="112"/>
      <c r="N7203" s="84"/>
    </row>
    <row r="7204" spans="1:14" s="2" customFormat="1">
      <c r="A7204" s="83"/>
      <c r="H7204" s="83"/>
      <c r="K7204" s="82"/>
      <c r="M7204" s="112"/>
      <c r="N7204" s="84"/>
    </row>
    <row r="7205" spans="1:14" s="2" customFormat="1">
      <c r="A7205" s="83"/>
      <c r="H7205" s="83"/>
      <c r="K7205" s="82"/>
      <c r="M7205" s="112"/>
      <c r="N7205" s="84"/>
    </row>
    <row r="7206" spans="1:14" s="2" customFormat="1">
      <c r="A7206" s="83"/>
      <c r="H7206" s="83"/>
      <c r="K7206" s="82"/>
      <c r="M7206" s="112"/>
      <c r="N7206" s="84"/>
    </row>
    <row r="7207" spans="1:14" s="2" customFormat="1">
      <c r="A7207" s="83"/>
      <c r="H7207" s="83"/>
      <c r="K7207" s="82"/>
      <c r="M7207" s="112"/>
      <c r="N7207" s="84"/>
    </row>
    <row r="7208" spans="1:14" s="2" customFormat="1">
      <c r="A7208" s="83"/>
      <c r="H7208" s="83"/>
      <c r="K7208" s="82"/>
      <c r="M7208" s="112"/>
      <c r="N7208" s="84"/>
    </row>
    <row r="7209" spans="1:14" s="2" customFormat="1">
      <c r="A7209" s="83"/>
      <c r="H7209" s="83"/>
      <c r="K7209" s="82"/>
      <c r="M7209" s="112"/>
      <c r="N7209" s="84"/>
    </row>
    <row r="7210" spans="1:14" s="2" customFormat="1">
      <c r="A7210" s="83"/>
      <c r="H7210" s="83"/>
      <c r="K7210" s="82"/>
      <c r="M7210" s="112"/>
      <c r="N7210" s="84"/>
    </row>
    <row r="7211" spans="1:14" s="2" customFormat="1">
      <c r="A7211" s="83"/>
      <c r="H7211" s="83"/>
      <c r="K7211" s="82"/>
      <c r="M7211" s="112"/>
      <c r="N7211" s="84"/>
    </row>
    <row r="7212" spans="1:14" s="2" customFormat="1">
      <c r="A7212" s="83"/>
      <c r="H7212" s="83"/>
      <c r="K7212" s="82"/>
      <c r="M7212" s="112"/>
      <c r="N7212" s="84"/>
    </row>
    <row r="7213" spans="1:14" s="2" customFormat="1">
      <c r="A7213" s="83"/>
      <c r="H7213" s="83"/>
      <c r="K7213" s="82"/>
      <c r="M7213" s="112"/>
      <c r="N7213" s="84"/>
    </row>
    <row r="7214" spans="1:14" s="2" customFormat="1">
      <c r="A7214" s="83"/>
      <c r="H7214" s="83"/>
      <c r="K7214" s="82"/>
      <c r="M7214" s="112"/>
      <c r="N7214" s="84"/>
    </row>
    <row r="7215" spans="1:14" s="2" customFormat="1">
      <c r="A7215" s="83"/>
      <c r="H7215" s="83"/>
      <c r="K7215" s="82"/>
      <c r="M7215" s="112"/>
      <c r="N7215" s="84"/>
    </row>
    <row r="7216" spans="1:14" s="2" customFormat="1">
      <c r="A7216" s="83"/>
      <c r="H7216" s="83"/>
      <c r="K7216" s="82"/>
      <c r="M7216" s="112"/>
      <c r="N7216" s="84"/>
    </row>
    <row r="7217" spans="1:14" s="2" customFormat="1">
      <c r="A7217" s="83"/>
      <c r="H7217" s="83"/>
      <c r="K7217" s="82"/>
      <c r="M7217" s="112"/>
      <c r="N7217" s="84"/>
    </row>
    <row r="7218" spans="1:14" s="2" customFormat="1">
      <c r="A7218" s="83"/>
      <c r="H7218" s="83"/>
      <c r="K7218" s="82"/>
      <c r="M7218" s="112"/>
      <c r="N7218" s="84"/>
    </row>
    <row r="7219" spans="1:14" s="2" customFormat="1">
      <c r="A7219" s="83"/>
      <c r="H7219" s="83"/>
      <c r="K7219" s="82"/>
      <c r="M7219" s="112"/>
      <c r="N7219" s="84"/>
    </row>
    <row r="7220" spans="1:14" s="2" customFormat="1">
      <c r="A7220" s="83"/>
      <c r="H7220" s="83"/>
      <c r="K7220" s="82"/>
      <c r="M7220" s="112"/>
      <c r="N7220" s="84"/>
    </row>
    <row r="7221" spans="1:14" s="2" customFormat="1">
      <c r="A7221" s="83"/>
      <c r="H7221" s="83"/>
      <c r="K7221" s="82"/>
      <c r="M7221" s="112"/>
      <c r="N7221" s="84"/>
    </row>
    <row r="7222" spans="1:14" s="2" customFormat="1">
      <c r="A7222" s="83"/>
      <c r="H7222" s="83"/>
      <c r="K7222" s="82"/>
      <c r="M7222" s="112"/>
      <c r="N7222" s="84"/>
    </row>
    <row r="7223" spans="1:14" s="2" customFormat="1">
      <c r="A7223" s="83"/>
      <c r="H7223" s="83"/>
      <c r="K7223" s="82"/>
      <c r="M7223" s="112"/>
      <c r="N7223" s="84"/>
    </row>
    <row r="7224" spans="1:14" s="2" customFormat="1">
      <c r="A7224" s="83"/>
      <c r="H7224" s="83"/>
      <c r="K7224" s="82"/>
      <c r="M7224" s="112"/>
      <c r="N7224" s="84"/>
    </row>
    <row r="7225" spans="1:14" s="2" customFormat="1">
      <c r="A7225" s="83"/>
      <c r="H7225" s="83"/>
      <c r="K7225" s="82"/>
      <c r="M7225" s="112"/>
      <c r="N7225" s="84"/>
    </row>
    <row r="7226" spans="1:14" s="2" customFormat="1">
      <c r="A7226" s="83"/>
      <c r="H7226" s="83"/>
      <c r="K7226" s="82"/>
      <c r="M7226" s="112"/>
      <c r="N7226" s="84"/>
    </row>
    <row r="7227" spans="1:14" s="2" customFormat="1">
      <c r="A7227" s="83"/>
      <c r="H7227" s="83"/>
      <c r="K7227" s="82"/>
      <c r="M7227" s="112"/>
      <c r="N7227" s="84"/>
    </row>
    <row r="7228" spans="1:14" s="2" customFormat="1">
      <c r="A7228" s="83"/>
      <c r="H7228" s="83"/>
      <c r="K7228" s="82"/>
      <c r="M7228" s="112"/>
      <c r="N7228" s="84"/>
    </row>
    <row r="7229" spans="1:14" s="2" customFormat="1">
      <c r="A7229" s="83"/>
      <c r="H7229" s="83"/>
      <c r="K7229" s="82"/>
      <c r="M7229" s="112"/>
      <c r="N7229" s="84"/>
    </row>
    <row r="7230" spans="1:14" s="2" customFormat="1">
      <c r="A7230" s="83"/>
      <c r="H7230" s="83"/>
      <c r="K7230" s="82"/>
      <c r="M7230" s="112"/>
      <c r="N7230" s="84"/>
    </row>
    <row r="7231" spans="1:14" s="2" customFormat="1">
      <c r="A7231" s="83"/>
      <c r="H7231" s="83"/>
      <c r="K7231" s="82"/>
      <c r="M7231" s="112"/>
      <c r="N7231" s="84"/>
    </row>
    <row r="7232" spans="1:14" s="2" customFormat="1">
      <c r="A7232" s="83"/>
      <c r="H7232" s="83"/>
      <c r="K7232" s="82"/>
      <c r="M7232" s="112"/>
      <c r="N7232" s="84"/>
    </row>
    <row r="7233" spans="1:14" s="2" customFormat="1">
      <c r="A7233" s="83"/>
      <c r="H7233" s="83"/>
      <c r="K7233" s="82"/>
      <c r="M7233" s="112"/>
      <c r="N7233" s="84"/>
    </row>
    <row r="7234" spans="1:14" s="2" customFormat="1">
      <c r="A7234" s="83"/>
      <c r="H7234" s="83"/>
      <c r="K7234" s="82"/>
      <c r="M7234" s="112"/>
      <c r="N7234" s="84"/>
    </row>
    <row r="7235" spans="1:14" s="2" customFormat="1">
      <c r="A7235" s="83"/>
      <c r="H7235" s="83"/>
      <c r="K7235" s="82"/>
      <c r="M7235" s="112"/>
      <c r="N7235" s="84"/>
    </row>
    <row r="7236" spans="1:14" s="2" customFormat="1">
      <c r="A7236" s="83"/>
      <c r="H7236" s="83"/>
      <c r="K7236" s="82"/>
      <c r="M7236" s="112"/>
      <c r="N7236" s="84"/>
    </row>
    <row r="7237" spans="1:14" s="2" customFormat="1">
      <c r="A7237" s="83"/>
      <c r="H7237" s="83"/>
      <c r="K7237" s="82"/>
      <c r="M7237" s="112"/>
      <c r="N7237" s="84"/>
    </row>
    <row r="7238" spans="1:14" s="2" customFormat="1">
      <c r="A7238" s="83"/>
      <c r="H7238" s="83"/>
      <c r="K7238" s="82"/>
      <c r="M7238" s="112"/>
      <c r="N7238" s="84"/>
    </row>
    <row r="7239" spans="1:14" s="2" customFormat="1">
      <c r="A7239" s="83"/>
      <c r="H7239" s="83"/>
      <c r="K7239" s="82"/>
      <c r="M7239" s="112"/>
      <c r="N7239" s="84"/>
    </row>
    <row r="7240" spans="1:14" s="2" customFormat="1">
      <c r="A7240" s="83"/>
      <c r="H7240" s="83"/>
      <c r="K7240" s="82"/>
      <c r="M7240" s="112"/>
      <c r="N7240" s="84"/>
    </row>
    <row r="7241" spans="1:14" s="2" customFormat="1">
      <c r="A7241" s="83"/>
      <c r="H7241" s="83"/>
      <c r="K7241" s="82"/>
      <c r="M7241" s="112"/>
      <c r="N7241" s="84"/>
    </row>
    <row r="7242" spans="1:14" s="2" customFormat="1">
      <c r="A7242" s="83"/>
      <c r="H7242" s="83"/>
      <c r="K7242" s="82"/>
      <c r="M7242" s="112"/>
      <c r="N7242" s="84"/>
    </row>
    <row r="7243" spans="1:14" s="2" customFormat="1">
      <c r="A7243" s="83"/>
      <c r="H7243" s="83"/>
      <c r="K7243" s="82"/>
      <c r="M7243" s="112"/>
      <c r="N7243" s="84"/>
    </row>
    <row r="7244" spans="1:14" s="2" customFormat="1">
      <c r="A7244" s="83"/>
      <c r="H7244" s="83"/>
      <c r="K7244" s="82"/>
      <c r="M7244" s="112"/>
      <c r="N7244" s="84"/>
    </row>
    <row r="7245" spans="1:14" s="2" customFormat="1">
      <c r="A7245" s="83"/>
      <c r="H7245" s="83"/>
      <c r="K7245" s="82"/>
      <c r="M7245" s="112"/>
      <c r="N7245" s="84"/>
    </row>
    <row r="7246" spans="1:14" s="2" customFormat="1">
      <c r="A7246" s="83"/>
      <c r="H7246" s="83"/>
      <c r="K7246" s="82"/>
      <c r="M7246" s="112"/>
      <c r="N7246" s="84"/>
    </row>
    <row r="7247" spans="1:14" s="2" customFormat="1">
      <c r="A7247" s="83"/>
      <c r="H7247" s="83"/>
      <c r="K7247" s="82"/>
      <c r="M7247" s="112"/>
      <c r="N7247" s="84"/>
    </row>
    <row r="7248" spans="1:14" s="2" customFormat="1">
      <c r="A7248" s="83"/>
      <c r="H7248" s="83"/>
      <c r="K7248" s="82"/>
      <c r="M7248" s="112"/>
      <c r="N7248" s="84"/>
    </row>
    <row r="7249" spans="1:14" s="2" customFormat="1">
      <c r="A7249" s="83"/>
      <c r="H7249" s="83"/>
      <c r="K7249" s="82"/>
      <c r="M7249" s="112"/>
      <c r="N7249" s="84"/>
    </row>
    <row r="7250" spans="1:14" s="2" customFormat="1">
      <c r="A7250" s="83"/>
      <c r="H7250" s="83"/>
      <c r="K7250" s="82"/>
      <c r="M7250" s="112"/>
      <c r="N7250" s="84"/>
    </row>
    <row r="7251" spans="1:14" s="2" customFormat="1">
      <c r="A7251" s="83"/>
      <c r="H7251" s="83"/>
      <c r="K7251" s="82"/>
      <c r="M7251" s="112"/>
      <c r="N7251" s="84"/>
    </row>
    <row r="7252" spans="1:14" s="2" customFormat="1">
      <c r="A7252" s="83"/>
      <c r="H7252" s="83"/>
      <c r="K7252" s="82"/>
      <c r="M7252" s="112"/>
      <c r="N7252" s="84"/>
    </row>
    <row r="7253" spans="1:14" s="2" customFormat="1">
      <c r="A7253" s="83"/>
      <c r="H7253" s="83"/>
      <c r="K7253" s="82"/>
      <c r="M7253" s="112"/>
      <c r="N7253" s="84"/>
    </row>
    <row r="7254" spans="1:14" s="2" customFormat="1">
      <c r="A7254" s="83"/>
      <c r="H7254" s="83"/>
      <c r="K7254" s="82"/>
      <c r="M7254" s="112"/>
      <c r="N7254" s="84"/>
    </row>
    <row r="7255" spans="1:14" s="2" customFormat="1">
      <c r="A7255" s="83"/>
      <c r="H7255" s="83"/>
      <c r="K7255" s="82"/>
      <c r="M7255" s="112"/>
      <c r="N7255" s="84"/>
    </row>
    <row r="7256" spans="1:14" s="2" customFormat="1">
      <c r="A7256" s="83"/>
      <c r="H7256" s="83"/>
      <c r="K7256" s="82"/>
      <c r="M7256" s="112"/>
      <c r="N7256" s="84"/>
    </row>
    <row r="7257" spans="1:14" s="2" customFormat="1">
      <c r="A7257" s="83"/>
      <c r="H7257" s="83"/>
      <c r="K7257" s="82"/>
      <c r="M7257" s="112"/>
      <c r="N7257" s="84"/>
    </row>
    <row r="7258" spans="1:14" s="2" customFormat="1">
      <c r="A7258" s="83"/>
      <c r="H7258" s="83"/>
      <c r="K7258" s="82"/>
      <c r="M7258" s="112"/>
      <c r="N7258" s="84"/>
    </row>
    <row r="7259" spans="1:14" s="2" customFormat="1">
      <c r="A7259" s="83"/>
      <c r="H7259" s="83"/>
      <c r="K7259" s="82"/>
      <c r="M7259" s="112"/>
      <c r="N7259" s="84"/>
    </row>
    <row r="7260" spans="1:14" s="2" customFormat="1">
      <c r="A7260" s="83"/>
      <c r="H7260" s="83"/>
      <c r="K7260" s="82"/>
      <c r="M7260" s="112"/>
      <c r="N7260" s="84"/>
    </row>
    <row r="7261" spans="1:14" s="2" customFormat="1">
      <c r="A7261" s="83"/>
      <c r="H7261" s="83"/>
      <c r="K7261" s="82"/>
      <c r="M7261" s="112"/>
      <c r="N7261" s="84"/>
    </row>
    <row r="7262" spans="1:14" s="2" customFormat="1">
      <c r="A7262" s="83"/>
      <c r="H7262" s="83"/>
      <c r="K7262" s="82"/>
      <c r="M7262" s="112"/>
      <c r="N7262" s="84"/>
    </row>
    <row r="7263" spans="1:14" s="2" customFormat="1">
      <c r="A7263" s="83"/>
      <c r="H7263" s="83"/>
      <c r="K7263" s="82"/>
      <c r="M7263" s="112"/>
      <c r="N7263" s="84"/>
    </row>
    <row r="7264" spans="1:14" s="2" customFormat="1">
      <c r="A7264" s="83"/>
      <c r="H7264" s="83"/>
      <c r="K7264" s="82"/>
      <c r="M7264" s="112"/>
      <c r="N7264" s="84"/>
    </row>
    <row r="7265" spans="1:14" s="2" customFormat="1">
      <c r="A7265" s="83"/>
      <c r="H7265" s="83"/>
      <c r="K7265" s="82"/>
      <c r="M7265" s="112"/>
      <c r="N7265" s="84"/>
    </row>
    <row r="7266" spans="1:14" s="2" customFormat="1">
      <c r="A7266" s="83"/>
      <c r="H7266" s="83"/>
      <c r="K7266" s="82"/>
      <c r="M7266" s="112"/>
      <c r="N7266" s="84"/>
    </row>
    <row r="7267" spans="1:14" s="2" customFormat="1">
      <c r="A7267" s="83"/>
      <c r="H7267" s="83"/>
      <c r="K7267" s="82"/>
      <c r="M7267" s="112"/>
      <c r="N7267" s="84"/>
    </row>
    <row r="7268" spans="1:14" s="2" customFormat="1">
      <c r="A7268" s="83"/>
      <c r="H7268" s="83"/>
      <c r="K7268" s="82"/>
      <c r="M7268" s="112"/>
      <c r="N7268" s="84"/>
    </row>
    <row r="7269" spans="1:14" s="2" customFormat="1">
      <c r="A7269" s="83"/>
      <c r="H7269" s="83"/>
      <c r="K7269" s="82"/>
      <c r="M7269" s="112"/>
      <c r="N7269" s="84"/>
    </row>
    <row r="7270" spans="1:14" s="2" customFormat="1">
      <c r="A7270" s="83"/>
      <c r="H7270" s="83"/>
      <c r="K7270" s="82"/>
      <c r="M7270" s="112"/>
      <c r="N7270" s="84"/>
    </row>
    <row r="7271" spans="1:14" s="2" customFormat="1">
      <c r="A7271" s="83"/>
      <c r="H7271" s="83"/>
      <c r="K7271" s="82"/>
      <c r="M7271" s="112"/>
      <c r="N7271" s="84"/>
    </row>
    <row r="7272" spans="1:14" s="2" customFormat="1">
      <c r="A7272" s="83"/>
      <c r="H7272" s="83"/>
      <c r="K7272" s="82"/>
      <c r="M7272" s="112"/>
      <c r="N7272" s="84"/>
    </row>
    <row r="7273" spans="1:14" s="2" customFormat="1">
      <c r="A7273" s="83"/>
      <c r="H7273" s="83"/>
      <c r="K7273" s="82"/>
      <c r="M7273" s="112"/>
      <c r="N7273" s="84"/>
    </row>
    <row r="7274" spans="1:14" s="2" customFormat="1">
      <c r="A7274" s="83"/>
      <c r="H7274" s="83"/>
      <c r="K7274" s="82"/>
      <c r="M7274" s="112"/>
      <c r="N7274" s="84"/>
    </row>
    <row r="7275" spans="1:14" s="2" customFormat="1">
      <c r="A7275" s="83"/>
      <c r="H7275" s="83"/>
      <c r="K7275" s="82"/>
      <c r="M7275" s="112"/>
      <c r="N7275" s="84"/>
    </row>
    <row r="7276" spans="1:14" s="2" customFormat="1">
      <c r="A7276" s="83"/>
      <c r="H7276" s="83"/>
      <c r="K7276" s="82"/>
      <c r="M7276" s="112"/>
      <c r="N7276" s="84"/>
    </row>
    <row r="7277" spans="1:14" s="2" customFormat="1">
      <c r="A7277" s="83"/>
      <c r="H7277" s="83"/>
      <c r="K7277" s="82"/>
      <c r="M7277" s="112"/>
      <c r="N7277" s="84"/>
    </row>
    <row r="7278" spans="1:14" s="2" customFormat="1">
      <c r="A7278" s="83"/>
      <c r="H7278" s="83"/>
      <c r="K7278" s="82"/>
      <c r="M7278" s="112"/>
      <c r="N7278" s="84"/>
    </row>
    <row r="7279" spans="1:14" s="2" customFormat="1">
      <c r="A7279" s="83"/>
      <c r="H7279" s="83"/>
      <c r="K7279" s="82"/>
      <c r="M7279" s="112"/>
      <c r="N7279" s="84"/>
    </row>
    <row r="7280" spans="1:14" s="2" customFormat="1">
      <c r="A7280" s="83"/>
      <c r="H7280" s="83"/>
      <c r="K7280" s="82"/>
      <c r="M7280" s="112"/>
      <c r="N7280" s="84"/>
    </row>
    <row r="7281" spans="1:14" s="2" customFormat="1">
      <c r="A7281" s="83"/>
      <c r="H7281" s="83"/>
      <c r="K7281" s="82"/>
      <c r="M7281" s="112"/>
      <c r="N7281" s="84"/>
    </row>
    <row r="7282" spans="1:14" s="2" customFormat="1">
      <c r="A7282" s="83"/>
      <c r="H7282" s="83"/>
      <c r="K7282" s="82"/>
      <c r="M7282" s="112"/>
      <c r="N7282" s="84"/>
    </row>
    <row r="7283" spans="1:14" s="2" customFormat="1">
      <c r="A7283" s="83"/>
      <c r="H7283" s="83"/>
      <c r="K7283" s="82"/>
      <c r="M7283" s="112"/>
      <c r="N7283" s="84"/>
    </row>
    <row r="7284" spans="1:14" s="2" customFormat="1">
      <c r="A7284" s="83"/>
      <c r="H7284" s="83"/>
      <c r="K7284" s="82"/>
      <c r="M7284" s="112"/>
      <c r="N7284" s="84"/>
    </row>
    <row r="7285" spans="1:14" s="2" customFormat="1">
      <c r="A7285" s="83"/>
      <c r="H7285" s="83"/>
      <c r="K7285" s="82"/>
      <c r="M7285" s="112"/>
      <c r="N7285" s="84"/>
    </row>
    <row r="7286" spans="1:14" s="2" customFormat="1">
      <c r="A7286" s="83"/>
      <c r="H7286" s="83"/>
      <c r="K7286" s="82"/>
      <c r="M7286" s="112"/>
      <c r="N7286" s="84"/>
    </row>
    <row r="7287" spans="1:14" s="2" customFormat="1">
      <c r="A7287" s="83"/>
      <c r="H7287" s="83"/>
      <c r="K7287" s="82"/>
      <c r="M7287" s="112"/>
      <c r="N7287" s="84"/>
    </row>
    <row r="7288" spans="1:14" s="2" customFormat="1">
      <c r="A7288" s="83"/>
      <c r="H7288" s="83"/>
      <c r="K7288" s="82"/>
      <c r="M7288" s="112"/>
      <c r="N7288" s="84"/>
    </row>
    <row r="7289" spans="1:14" s="2" customFormat="1">
      <c r="A7289" s="83"/>
      <c r="H7289" s="83"/>
      <c r="K7289" s="82"/>
      <c r="M7289" s="112"/>
      <c r="N7289" s="84"/>
    </row>
    <row r="7290" spans="1:14" s="2" customFormat="1">
      <c r="A7290" s="83"/>
      <c r="H7290" s="83"/>
      <c r="K7290" s="82"/>
      <c r="M7290" s="112"/>
      <c r="N7290" s="84"/>
    </row>
    <row r="7291" spans="1:14" s="2" customFormat="1">
      <c r="A7291" s="83"/>
      <c r="H7291" s="83"/>
      <c r="K7291" s="82"/>
      <c r="M7291" s="112"/>
      <c r="N7291" s="84"/>
    </row>
    <row r="7292" spans="1:14" s="2" customFormat="1">
      <c r="A7292" s="83"/>
      <c r="H7292" s="83"/>
      <c r="K7292" s="82"/>
      <c r="M7292" s="112"/>
      <c r="N7292" s="84"/>
    </row>
    <row r="7293" spans="1:14" s="2" customFormat="1">
      <c r="A7293" s="83"/>
      <c r="H7293" s="83"/>
      <c r="K7293" s="82"/>
      <c r="M7293" s="112"/>
      <c r="N7293" s="84"/>
    </row>
    <row r="7294" spans="1:14" s="2" customFormat="1">
      <c r="A7294" s="83"/>
      <c r="H7294" s="83"/>
      <c r="K7294" s="82"/>
      <c r="M7294" s="112"/>
      <c r="N7294" s="84"/>
    </row>
    <row r="7295" spans="1:14" s="2" customFormat="1">
      <c r="A7295" s="83"/>
      <c r="H7295" s="83"/>
      <c r="K7295" s="82"/>
      <c r="M7295" s="112"/>
      <c r="N7295" s="84"/>
    </row>
    <row r="7296" spans="1:14" s="2" customFormat="1">
      <c r="A7296" s="83"/>
      <c r="H7296" s="83"/>
      <c r="K7296" s="82"/>
      <c r="M7296" s="112"/>
      <c r="N7296" s="84"/>
    </row>
    <row r="7297" spans="1:14" s="2" customFormat="1">
      <c r="A7297" s="83"/>
      <c r="H7297" s="83"/>
      <c r="K7297" s="82"/>
      <c r="M7297" s="112"/>
      <c r="N7297" s="84"/>
    </row>
    <row r="7298" spans="1:14" s="2" customFormat="1">
      <c r="A7298" s="83"/>
      <c r="H7298" s="83"/>
      <c r="K7298" s="82"/>
      <c r="M7298" s="112"/>
      <c r="N7298" s="84"/>
    </row>
    <row r="7299" spans="1:14" s="2" customFormat="1">
      <c r="A7299" s="83"/>
      <c r="H7299" s="83"/>
      <c r="K7299" s="82"/>
      <c r="M7299" s="112"/>
      <c r="N7299" s="84"/>
    </row>
    <row r="7300" spans="1:14" s="2" customFormat="1">
      <c r="A7300" s="83"/>
      <c r="H7300" s="83"/>
      <c r="K7300" s="82"/>
      <c r="M7300" s="112"/>
      <c r="N7300" s="84"/>
    </row>
    <row r="7301" spans="1:14" s="2" customFormat="1">
      <c r="A7301" s="83"/>
      <c r="H7301" s="83"/>
      <c r="K7301" s="82"/>
      <c r="M7301" s="112"/>
      <c r="N7301" s="84"/>
    </row>
    <row r="7302" spans="1:14" s="2" customFormat="1">
      <c r="A7302" s="83"/>
      <c r="H7302" s="83"/>
      <c r="K7302" s="82"/>
      <c r="M7302" s="112"/>
      <c r="N7302" s="84"/>
    </row>
    <row r="7303" spans="1:14" s="2" customFormat="1">
      <c r="A7303" s="83"/>
      <c r="H7303" s="83"/>
      <c r="K7303" s="82"/>
      <c r="M7303" s="112"/>
      <c r="N7303" s="84"/>
    </row>
    <row r="7304" spans="1:14" s="2" customFormat="1">
      <c r="A7304" s="83"/>
      <c r="H7304" s="83"/>
      <c r="K7304" s="82"/>
      <c r="M7304" s="112"/>
      <c r="N7304" s="84"/>
    </row>
    <row r="7305" spans="1:14" s="2" customFormat="1">
      <c r="A7305" s="83"/>
      <c r="H7305" s="83"/>
      <c r="K7305" s="82"/>
      <c r="M7305" s="112"/>
      <c r="N7305" s="84"/>
    </row>
    <row r="7306" spans="1:14" s="2" customFormat="1">
      <c r="A7306" s="83"/>
      <c r="H7306" s="83"/>
      <c r="K7306" s="82"/>
      <c r="M7306" s="112"/>
      <c r="N7306" s="84"/>
    </row>
    <row r="7307" spans="1:14" s="2" customFormat="1">
      <c r="A7307" s="83"/>
      <c r="H7307" s="83"/>
      <c r="K7307" s="82"/>
      <c r="M7307" s="112"/>
      <c r="N7307" s="84"/>
    </row>
    <row r="7308" spans="1:14" s="2" customFormat="1">
      <c r="A7308" s="83"/>
      <c r="H7308" s="83"/>
      <c r="K7308" s="82"/>
      <c r="M7308" s="112"/>
      <c r="N7308" s="84"/>
    </row>
    <row r="7309" spans="1:14" s="2" customFormat="1">
      <c r="A7309" s="83"/>
      <c r="H7309" s="83"/>
      <c r="K7309" s="82"/>
      <c r="M7309" s="112"/>
      <c r="N7309" s="84"/>
    </row>
    <row r="7310" spans="1:14" s="2" customFormat="1">
      <c r="A7310" s="83"/>
      <c r="H7310" s="83"/>
      <c r="K7310" s="82"/>
      <c r="M7310" s="112"/>
      <c r="N7310" s="84"/>
    </row>
    <row r="7311" spans="1:14" s="2" customFormat="1">
      <c r="A7311" s="83"/>
      <c r="H7311" s="83"/>
      <c r="K7311" s="82"/>
      <c r="M7311" s="112"/>
      <c r="N7311" s="84"/>
    </row>
    <row r="7312" spans="1:14" s="2" customFormat="1">
      <c r="A7312" s="83"/>
      <c r="H7312" s="83"/>
      <c r="K7312" s="82"/>
      <c r="M7312" s="112"/>
      <c r="N7312" s="84"/>
    </row>
    <row r="7313" spans="1:14" s="2" customFormat="1">
      <c r="A7313" s="83"/>
      <c r="H7313" s="83"/>
      <c r="K7313" s="82"/>
      <c r="M7313" s="112"/>
      <c r="N7313" s="84"/>
    </row>
    <row r="7314" spans="1:14" s="2" customFormat="1">
      <c r="A7314" s="83"/>
      <c r="H7314" s="83"/>
      <c r="K7314" s="82"/>
      <c r="M7314" s="112"/>
      <c r="N7314" s="84"/>
    </row>
    <row r="7315" spans="1:14" s="2" customFormat="1">
      <c r="A7315" s="83"/>
      <c r="H7315" s="83"/>
      <c r="K7315" s="82"/>
      <c r="M7315" s="112"/>
      <c r="N7315" s="84"/>
    </row>
    <row r="7316" spans="1:14" s="2" customFormat="1">
      <c r="A7316" s="83"/>
      <c r="H7316" s="83"/>
      <c r="K7316" s="82"/>
      <c r="M7316" s="112"/>
      <c r="N7316" s="84"/>
    </row>
    <row r="7317" spans="1:14" s="2" customFormat="1">
      <c r="A7317" s="83"/>
      <c r="H7317" s="83"/>
      <c r="K7317" s="82"/>
      <c r="M7317" s="112"/>
      <c r="N7317" s="84"/>
    </row>
    <row r="7318" spans="1:14" s="2" customFormat="1">
      <c r="A7318" s="83"/>
      <c r="H7318" s="83"/>
      <c r="K7318" s="82"/>
      <c r="M7318" s="112"/>
      <c r="N7318" s="84"/>
    </row>
    <row r="7319" spans="1:14" s="2" customFormat="1">
      <c r="A7319" s="83"/>
      <c r="H7319" s="83"/>
      <c r="K7319" s="82"/>
      <c r="M7319" s="112"/>
      <c r="N7319" s="84"/>
    </row>
    <row r="7320" spans="1:14" s="2" customFormat="1">
      <c r="A7320" s="83"/>
      <c r="H7320" s="83"/>
      <c r="K7320" s="82"/>
      <c r="M7320" s="112"/>
      <c r="N7320" s="84"/>
    </row>
    <row r="7321" spans="1:14" s="2" customFormat="1">
      <c r="A7321" s="83"/>
      <c r="H7321" s="83"/>
      <c r="K7321" s="82"/>
      <c r="M7321" s="112"/>
      <c r="N7321" s="84"/>
    </row>
    <row r="7322" spans="1:14" s="2" customFormat="1">
      <c r="A7322" s="83"/>
      <c r="H7322" s="83"/>
      <c r="K7322" s="82"/>
      <c r="M7322" s="112"/>
      <c r="N7322" s="84"/>
    </row>
    <row r="7323" spans="1:14" s="2" customFormat="1">
      <c r="A7323" s="83"/>
      <c r="H7323" s="83"/>
      <c r="K7323" s="82"/>
      <c r="M7323" s="112"/>
      <c r="N7323" s="84"/>
    </row>
    <row r="7324" spans="1:14" s="2" customFormat="1">
      <c r="A7324" s="83"/>
      <c r="H7324" s="83"/>
      <c r="K7324" s="82"/>
      <c r="M7324" s="112"/>
      <c r="N7324" s="84"/>
    </row>
    <row r="7325" spans="1:14" s="2" customFormat="1">
      <c r="A7325" s="83"/>
      <c r="H7325" s="83"/>
      <c r="K7325" s="82"/>
      <c r="M7325" s="112"/>
      <c r="N7325" s="84"/>
    </row>
    <row r="7326" spans="1:14" s="2" customFormat="1">
      <c r="A7326" s="83"/>
      <c r="H7326" s="83"/>
      <c r="K7326" s="82"/>
      <c r="M7326" s="112"/>
      <c r="N7326" s="84"/>
    </row>
    <row r="7327" spans="1:14" s="2" customFormat="1">
      <c r="A7327" s="83"/>
      <c r="H7327" s="83"/>
      <c r="K7327" s="82"/>
      <c r="M7327" s="112"/>
      <c r="N7327" s="84"/>
    </row>
    <row r="7328" spans="1:14" s="2" customFormat="1">
      <c r="A7328" s="83"/>
      <c r="H7328" s="83"/>
      <c r="K7328" s="82"/>
      <c r="M7328" s="112"/>
      <c r="N7328" s="84"/>
    </row>
    <row r="7329" spans="1:14" s="2" customFormat="1">
      <c r="A7329" s="83"/>
      <c r="H7329" s="83"/>
      <c r="K7329" s="82"/>
      <c r="M7329" s="112"/>
      <c r="N7329" s="84"/>
    </row>
    <row r="7330" spans="1:14" s="2" customFormat="1">
      <c r="A7330" s="83"/>
      <c r="H7330" s="83"/>
      <c r="K7330" s="82"/>
      <c r="M7330" s="112"/>
      <c r="N7330" s="84"/>
    </row>
    <row r="7331" spans="1:14" s="2" customFormat="1">
      <c r="A7331" s="83"/>
      <c r="H7331" s="83"/>
      <c r="K7331" s="82"/>
      <c r="M7331" s="112"/>
      <c r="N7331" s="84"/>
    </row>
    <row r="7332" spans="1:14" s="2" customFormat="1">
      <c r="A7332" s="83"/>
      <c r="H7332" s="83"/>
      <c r="K7332" s="82"/>
      <c r="M7332" s="112"/>
      <c r="N7332" s="84"/>
    </row>
    <row r="7333" spans="1:14" s="2" customFormat="1">
      <c r="A7333" s="83"/>
      <c r="H7333" s="83"/>
      <c r="K7333" s="82"/>
      <c r="M7333" s="112"/>
      <c r="N7333" s="84"/>
    </row>
    <row r="7334" spans="1:14" s="2" customFormat="1">
      <c r="A7334" s="83"/>
      <c r="H7334" s="83"/>
      <c r="K7334" s="82"/>
      <c r="M7334" s="112"/>
      <c r="N7334" s="84"/>
    </row>
    <row r="7335" spans="1:14" s="2" customFormat="1">
      <c r="A7335" s="83"/>
      <c r="H7335" s="83"/>
      <c r="K7335" s="82"/>
      <c r="M7335" s="112"/>
      <c r="N7335" s="84"/>
    </row>
    <row r="7336" spans="1:14" s="2" customFormat="1">
      <c r="A7336" s="83"/>
      <c r="H7336" s="83"/>
      <c r="K7336" s="82"/>
      <c r="M7336" s="112"/>
      <c r="N7336" s="84"/>
    </row>
    <row r="7337" spans="1:14" s="2" customFormat="1">
      <c r="A7337" s="83"/>
      <c r="H7337" s="83"/>
      <c r="K7337" s="82"/>
      <c r="M7337" s="112"/>
      <c r="N7337" s="84"/>
    </row>
    <row r="7338" spans="1:14" s="2" customFormat="1">
      <c r="A7338" s="83"/>
      <c r="H7338" s="83"/>
      <c r="K7338" s="82"/>
      <c r="M7338" s="112"/>
      <c r="N7338" s="84"/>
    </row>
    <row r="7339" spans="1:14" s="2" customFormat="1">
      <c r="A7339" s="83"/>
      <c r="H7339" s="83"/>
      <c r="K7339" s="82"/>
      <c r="M7339" s="112"/>
      <c r="N7339" s="84"/>
    </row>
    <row r="7340" spans="1:14" s="2" customFormat="1">
      <c r="A7340" s="83"/>
      <c r="H7340" s="83"/>
      <c r="K7340" s="82"/>
      <c r="M7340" s="112"/>
      <c r="N7340" s="84"/>
    </row>
    <row r="7341" spans="1:14" s="2" customFormat="1">
      <c r="A7341" s="83"/>
      <c r="H7341" s="83"/>
      <c r="K7341" s="82"/>
      <c r="M7341" s="112"/>
      <c r="N7341" s="84"/>
    </row>
    <row r="7342" spans="1:14" s="2" customFormat="1">
      <c r="A7342" s="83"/>
      <c r="H7342" s="83"/>
      <c r="K7342" s="82"/>
      <c r="M7342" s="112"/>
      <c r="N7342" s="84"/>
    </row>
    <row r="7343" spans="1:14" s="2" customFormat="1">
      <c r="A7343" s="83"/>
      <c r="H7343" s="83"/>
      <c r="K7343" s="82"/>
      <c r="M7343" s="112"/>
      <c r="N7343" s="84"/>
    </row>
    <row r="7344" spans="1:14" s="2" customFormat="1">
      <c r="A7344" s="83"/>
      <c r="H7344" s="83"/>
      <c r="K7344" s="82"/>
      <c r="M7344" s="112"/>
      <c r="N7344" s="84"/>
    </row>
    <row r="7345" spans="1:14" s="2" customFormat="1">
      <c r="A7345" s="83"/>
      <c r="H7345" s="83"/>
      <c r="K7345" s="82"/>
      <c r="M7345" s="112"/>
      <c r="N7345" s="84"/>
    </row>
    <row r="7346" spans="1:14" s="2" customFormat="1">
      <c r="A7346" s="83"/>
      <c r="H7346" s="83"/>
      <c r="K7346" s="82"/>
      <c r="M7346" s="112"/>
      <c r="N7346" s="84"/>
    </row>
    <row r="7347" spans="1:14" s="2" customFormat="1">
      <c r="A7347" s="83"/>
      <c r="H7347" s="83"/>
      <c r="K7347" s="82"/>
      <c r="M7347" s="112"/>
      <c r="N7347" s="84"/>
    </row>
    <row r="7348" spans="1:14" s="2" customFormat="1">
      <c r="A7348" s="83"/>
      <c r="H7348" s="83"/>
      <c r="K7348" s="82"/>
      <c r="M7348" s="112"/>
      <c r="N7348" s="84"/>
    </row>
    <row r="7349" spans="1:14" s="2" customFormat="1">
      <c r="A7349" s="83"/>
      <c r="H7349" s="83"/>
      <c r="K7349" s="82"/>
      <c r="M7349" s="112"/>
      <c r="N7349" s="84"/>
    </row>
    <row r="7350" spans="1:14" s="2" customFormat="1">
      <c r="A7350" s="83"/>
      <c r="H7350" s="83"/>
      <c r="K7350" s="82"/>
      <c r="M7350" s="112"/>
      <c r="N7350" s="84"/>
    </row>
    <row r="7351" spans="1:14" s="2" customFormat="1">
      <c r="A7351" s="83"/>
      <c r="H7351" s="83"/>
      <c r="K7351" s="82"/>
      <c r="M7351" s="112"/>
      <c r="N7351" s="84"/>
    </row>
    <row r="7352" spans="1:14" s="2" customFormat="1">
      <c r="A7352" s="83"/>
      <c r="H7352" s="83"/>
      <c r="K7352" s="82"/>
      <c r="M7352" s="112"/>
      <c r="N7352" s="84"/>
    </row>
    <row r="7353" spans="1:14" s="2" customFormat="1">
      <c r="A7353" s="83"/>
      <c r="H7353" s="83"/>
      <c r="K7353" s="82"/>
      <c r="M7353" s="112"/>
      <c r="N7353" s="84"/>
    </row>
    <row r="7354" spans="1:14" s="2" customFormat="1">
      <c r="A7354" s="83"/>
      <c r="H7354" s="83"/>
      <c r="K7354" s="82"/>
      <c r="M7354" s="112"/>
      <c r="N7354" s="84"/>
    </row>
    <row r="7355" spans="1:14" s="2" customFormat="1">
      <c r="A7355" s="83"/>
      <c r="H7355" s="83"/>
      <c r="K7355" s="82"/>
      <c r="M7355" s="112"/>
      <c r="N7355" s="84"/>
    </row>
    <row r="7356" spans="1:14" s="2" customFormat="1">
      <c r="A7356" s="83"/>
      <c r="H7356" s="83"/>
      <c r="K7356" s="82"/>
      <c r="M7356" s="112"/>
      <c r="N7356" s="84"/>
    </row>
    <row r="7357" spans="1:14" s="2" customFormat="1">
      <c r="A7357" s="83"/>
      <c r="H7357" s="83"/>
      <c r="K7357" s="82"/>
      <c r="M7357" s="112"/>
      <c r="N7357" s="84"/>
    </row>
    <row r="7358" spans="1:14" s="2" customFormat="1">
      <c r="A7358" s="83"/>
      <c r="H7358" s="83"/>
      <c r="K7358" s="82"/>
      <c r="M7358" s="112"/>
      <c r="N7358" s="84"/>
    </row>
    <row r="7359" spans="1:14" s="2" customFormat="1">
      <c r="A7359" s="83"/>
      <c r="H7359" s="83"/>
      <c r="K7359" s="82"/>
      <c r="M7359" s="112"/>
      <c r="N7359" s="84"/>
    </row>
    <row r="7360" spans="1:14" s="2" customFormat="1">
      <c r="A7360" s="83"/>
      <c r="H7360" s="83"/>
      <c r="K7360" s="82"/>
      <c r="M7360" s="112"/>
      <c r="N7360" s="84"/>
    </row>
    <row r="7361" spans="1:14" s="2" customFormat="1">
      <c r="A7361" s="83"/>
      <c r="H7361" s="83"/>
      <c r="K7361" s="82"/>
      <c r="M7361" s="112"/>
      <c r="N7361" s="84"/>
    </row>
    <row r="7362" spans="1:14" s="2" customFormat="1">
      <c r="A7362" s="83"/>
      <c r="H7362" s="83"/>
      <c r="K7362" s="82"/>
      <c r="M7362" s="112"/>
      <c r="N7362" s="84"/>
    </row>
    <row r="7363" spans="1:14" s="2" customFormat="1">
      <c r="A7363" s="83"/>
      <c r="H7363" s="83"/>
      <c r="K7363" s="82"/>
      <c r="M7363" s="112"/>
      <c r="N7363" s="84"/>
    </row>
    <row r="7364" spans="1:14" s="2" customFormat="1">
      <c r="A7364" s="83"/>
      <c r="H7364" s="83"/>
      <c r="K7364" s="82"/>
      <c r="M7364" s="112"/>
      <c r="N7364" s="84"/>
    </row>
    <row r="7365" spans="1:14" s="2" customFormat="1">
      <c r="A7365" s="83"/>
      <c r="H7365" s="83"/>
      <c r="K7365" s="82"/>
      <c r="M7365" s="112"/>
      <c r="N7365" s="84"/>
    </row>
    <row r="7366" spans="1:14" s="2" customFormat="1">
      <c r="A7366" s="83"/>
      <c r="H7366" s="83"/>
      <c r="K7366" s="82"/>
      <c r="M7366" s="112"/>
      <c r="N7366" s="84"/>
    </row>
    <row r="7367" spans="1:14" s="2" customFormat="1">
      <c r="A7367" s="83"/>
      <c r="H7367" s="83"/>
      <c r="K7367" s="82"/>
      <c r="M7367" s="112"/>
      <c r="N7367" s="84"/>
    </row>
    <row r="7368" spans="1:14" s="2" customFormat="1">
      <c r="A7368" s="83"/>
      <c r="H7368" s="83"/>
      <c r="K7368" s="82"/>
      <c r="M7368" s="112"/>
      <c r="N7368" s="84"/>
    </row>
    <row r="7369" spans="1:14" s="2" customFormat="1">
      <c r="A7369" s="83"/>
      <c r="H7369" s="83"/>
      <c r="K7369" s="82"/>
      <c r="M7369" s="112"/>
      <c r="N7369" s="84"/>
    </row>
    <row r="7370" spans="1:14" s="2" customFormat="1">
      <c r="A7370" s="83"/>
      <c r="H7370" s="83"/>
      <c r="K7370" s="82"/>
      <c r="M7370" s="112"/>
      <c r="N7370" s="84"/>
    </row>
    <row r="7371" spans="1:14" s="2" customFormat="1">
      <c r="A7371" s="83"/>
      <c r="H7371" s="83"/>
      <c r="K7371" s="82"/>
      <c r="M7371" s="112"/>
      <c r="N7371" s="84"/>
    </row>
    <row r="7372" spans="1:14" s="2" customFormat="1">
      <c r="A7372" s="83"/>
      <c r="H7372" s="83"/>
      <c r="K7372" s="82"/>
      <c r="M7372" s="112"/>
      <c r="N7372" s="84"/>
    </row>
    <row r="7373" spans="1:14" s="2" customFormat="1">
      <c r="A7373" s="83"/>
      <c r="H7373" s="83"/>
      <c r="K7373" s="82"/>
      <c r="M7373" s="112"/>
      <c r="N7373" s="84"/>
    </row>
    <row r="7374" spans="1:14" s="2" customFormat="1">
      <c r="A7374" s="83"/>
      <c r="H7374" s="83"/>
      <c r="K7374" s="82"/>
      <c r="M7374" s="112"/>
      <c r="N7374" s="84"/>
    </row>
    <row r="7375" spans="1:14" s="2" customFormat="1">
      <c r="A7375" s="83"/>
      <c r="H7375" s="83"/>
      <c r="K7375" s="82"/>
      <c r="M7375" s="112"/>
      <c r="N7375" s="84"/>
    </row>
    <row r="7376" spans="1:14" s="2" customFormat="1">
      <c r="A7376" s="83"/>
      <c r="H7376" s="83"/>
      <c r="K7376" s="82"/>
      <c r="M7376" s="112"/>
      <c r="N7376" s="84"/>
    </row>
    <row r="7377" spans="1:14" s="2" customFormat="1">
      <c r="A7377" s="83"/>
      <c r="H7377" s="83"/>
      <c r="K7377" s="82"/>
      <c r="M7377" s="112"/>
      <c r="N7377" s="84"/>
    </row>
    <row r="7378" spans="1:14" s="2" customFormat="1">
      <c r="A7378" s="83"/>
      <c r="H7378" s="83"/>
      <c r="K7378" s="82"/>
      <c r="M7378" s="112"/>
      <c r="N7378" s="84"/>
    </row>
    <row r="7379" spans="1:14" s="2" customFormat="1">
      <c r="A7379" s="83"/>
      <c r="H7379" s="83"/>
      <c r="K7379" s="82"/>
      <c r="M7379" s="112"/>
      <c r="N7379" s="84"/>
    </row>
    <row r="7380" spans="1:14" s="2" customFormat="1">
      <c r="A7380" s="83"/>
      <c r="H7380" s="83"/>
      <c r="K7380" s="82"/>
      <c r="M7380" s="112"/>
      <c r="N7380" s="84"/>
    </row>
    <row r="7381" spans="1:14" s="2" customFormat="1">
      <c r="A7381" s="83"/>
      <c r="H7381" s="83"/>
      <c r="K7381" s="82"/>
      <c r="M7381" s="112"/>
      <c r="N7381" s="84"/>
    </row>
    <row r="7382" spans="1:14" s="2" customFormat="1">
      <c r="A7382" s="83"/>
      <c r="H7382" s="83"/>
      <c r="K7382" s="82"/>
      <c r="M7382" s="112"/>
      <c r="N7382" s="84"/>
    </row>
    <row r="7383" spans="1:14" s="2" customFormat="1">
      <c r="A7383" s="83"/>
      <c r="H7383" s="83"/>
      <c r="K7383" s="82"/>
      <c r="M7383" s="112"/>
      <c r="N7383" s="84"/>
    </row>
    <row r="7384" spans="1:14" s="2" customFormat="1">
      <c r="A7384" s="83"/>
      <c r="H7384" s="83"/>
      <c r="K7384" s="82"/>
      <c r="M7384" s="112"/>
      <c r="N7384" s="84"/>
    </row>
    <row r="7385" spans="1:14" s="2" customFormat="1">
      <c r="A7385" s="83"/>
      <c r="H7385" s="83"/>
      <c r="K7385" s="82"/>
      <c r="M7385" s="112"/>
      <c r="N7385" s="84"/>
    </row>
    <row r="7386" spans="1:14" s="2" customFormat="1">
      <c r="A7386" s="83"/>
      <c r="H7386" s="83"/>
      <c r="K7386" s="82"/>
      <c r="M7386" s="112"/>
      <c r="N7386" s="84"/>
    </row>
    <row r="7387" spans="1:14" s="2" customFormat="1">
      <c r="A7387" s="83"/>
      <c r="H7387" s="83"/>
      <c r="K7387" s="82"/>
      <c r="M7387" s="112"/>
      <c r="N7387" s="84"/>
    </row>
    <row r="7388" spans="1:14" s="2" customFormat="1">
      <c r="A7388" s="83"/>
      <c r="H7388" s="83"/>
      <c r="K7388" s="82"/>
      <c r="M7388" s="112"/>
      <c r="N7388" s="84"/>
    </row>
    <row r="7389" spans="1:14" s="2" customFormat="1">
      <c r="A7389" s="83"/>
      <c r="H7389" s="83"/>
      <c r="K7389" s="82"/>
      <c r="M7389" s="112"/>
      <c r="N7389" s="84"/>
    </row>
    <row r="7390" spans="1:14" s="2" customFormat="1">
      <c r="A7390" s="83"/>
      <c r="H7390" s="83"/>
      <c r="K7390" s="82"/>
      <c r="M7390" s="112"/>
      <c r="N7390" s="84"/>
    </row>
    <row r="7391" spans="1:14" s="2" customFormat="1">
      <c r="A7391" s="83"/>
      <c r="H7391" s="83"/>
      <c r="K7391" s="82"/>
      <c r="M7391" s="112"/>
      <c r="N7391" s="84"/>
    </row>
    <row r="7392" spans="1:14" s="2" customFormat="1">
      <c r="A7392" s="83"/>
      <c r="H7392" s="83"/>
      <c r="K7392" s="82"/>
      <c r="M7392" s="112"/>
      <c r="N7392" s="84"/>
    </row>
    <row r="7393" spans="1:14" s="2" customFormat="1">
      <c r="A7393" s="83"/>
      <c r="H7393" s="83"/>
      <c r="K7393" s="82"/>
      <c r="M7393" s="112"/>
      <c r="N7393" s="84"/>
    </row>
    <row r="7394" spans="1:14" s="2" customFormat="1">
      <c r="A7394" s="83"/>
      <c r="H7394" s="83"/>
      <c r="K7394" s="82"/>
      <c r="M7394" s="112"/>
      <c r="N7394" s="84"/>
    </row>
    <row r="7395" spans="1:14" s="2" customFormat="1">
      <c r="A7395" s="83"/>
      <c r="H7395" s="83"/>
      <c r="K7395" s="82"/>
      <c r="M7395" s="112"/>
      <c r="N7395" s="84"/>
    </row>
    <row r="7396" spans="1:14" s="2" customFormat="1">
      <c r="A7396" s="83"/>
      <c r="H7396" s="83"/>
      <c r="K7396" s="82"/>
      <c r="M7396" s="112"/>
      <c r="N7396" s="84"/>
    </row>
    <row r="7397" spans="1:14" s="2" customFormat="1">
      <c r="A7397" s="83"/>
      <c r="H7397" s="83"/>
      <c r="K7397" s="82"/>
      <c r="M7397" s="112"/>
      <c r="N7397" s="84"/>
    </row>
    <row r="7398" spans="1:14" s="2" customFormat="1">
      <c r="A7398" s="83"/>
      <c r="H7398" s="83"/>
      <c r="K7398" s="82"/>
      <c r="M7398" s="112"/>
      <c r="N7398" s="84"/>
    </row>
    <row r="7399" spans="1:14" s="2" customFormat="1">
      <c r="A7399" s="83"/>
      <c r="H7399" s="83"/>
      <c r="K7399" s="82"/>
      <c r="M7399" s="112"/>
      <c r="N7399" s="84"/>
    </row>
    <row r="7400" spans="1:14" s="2" customFormat="1">
      <c r="A7400" s="83"/>
      <c r="H7400" s="83"/>
      <c r="K7400" s="82"/>
      <c r="M7400" s="112"/>
      <c r="N7400" s="84"/>
    </row>
    <row r="7401" spans="1:14" s="2" customFormat="1">
      <c r="A7401" s="83"/>
      <c r="H7401" s="83"/>
      <c r="K7401" s="82"/>
      <c r="M7401" s="112"/>
      <c r="N7401" s="84"/>
    </row>
    <row r="7402" spans="1:14" s="2" customFormat="1">
      <c r="A7402" s="83"/>
      <c r="H7402" s="83"/>
      <c r="K7402" s="82"/>
      <c r="M7402" s="112"/>
      <c r="N7402" s="84"/>
    </row>
    <row r="7403" spans="1:14" s="2" customFormat="1">
      <c r="A7403" s="83"/>
      <c r="H7403" s="83"/>
      <c r="K7403" s="82"/>
      <c r="M7403" s="112"/>
      <c r="N7403" s="84"/>
    </row>
    <row r="7404" spans="1:14" s="2" customFormat="1">
      <c r="A7404" s="83"/>
      <c r="H7404" s="83"/>
      <c r="K7404" s="82"/>
      <c r="M7404" s="112"/>
      <c r="N7404" s="84"/>
    </row>
    <row r="7405" spans="1:14" s="2" customFormat="1">
      <c r="A7405" s="83"/>
      <c r="H7405" s="83"/>
      <c r="K7405" s="82"/>
      <c r="M7405" s="112"/>
      <c r="N7405" s="84"/>
    </row>
    <row r="7406" spans="1:14" s="2" customFormat="1">
      <c r="A7406" s="83"/>
      <c r="H7406" s="83"/>
      <c r="K7406" s="82"/>
      <c r="M7406" s="112"/>
      <c r="N7406" s="84"/>
    </row>
    <row r="7407" spans="1:14" s="2" customFormat="1">
      <c r="A7407" s="83"/>
      <c r="H7407" s="83"/>
      <c r="K7407" s="82"/>
      <c r="M7407" s="112"/>
      <c r="N7407" s="84"/>
    </row>
    <row r="7408" spans="1:14" s="2" customFormat="1">
      <c r="A7408" s="83"/>
      <c r="H7408" s="83"/>
      <c r="K7408" s="82"/>
      <c r="M7408" s="112"/>
      <c r="N7408" s="84"/>
    </row>
    <row r="7409" spans="1:14" s="2" customFormat="1">
      <c r="A7409" s="83"/>
      <c r="H7409" s="83"/>
      <c r="K7409" s="82"/>
      <c r="M7409" s="112"/>
      <c r="N7409" s="84"/>
    </row>
    <row r="7410" spans="1:14" s="2" customFormat="1">
      <c r="A7410" s="83"/>
      <c r="H7410" s="83"/>
      <c r="K7410" s="82"/>
      <c r="M7410" s="112"/>
      <c r="N7410" s="84"/>
    </row>
    <row r="7411" spans="1:14" s="2" customFormat="1">
      <c r="A7411" s="83"/>
      <c r="H7411" s="83"/>
      <c r="K7411" s="82"/>
      <c r="M7411" s="112"/>
      <c r="N7411" s="84"/>
    </row>
    <row r="7412" spans="1:14" s="2" customFormat="1">
      <c r="A7412" s="83"/>
      <c r="H7412" s="83"/>
      <c r="K7412" s="82"/>
      <c r="M7412" s="112"/>
      <c r="N7412" s="84"/>
    </row>
    <row r="7413" spans="1:14" s="2" customFormat="1">
      <c r="A7413" s="83"/>
      <c r="H7413" s="83"/>
      <c r="K7413" s="82"/>
      <c r="M7413" s="112"/>
      <c r="N7413" s="84"/>
    </row>
    <row r="7414" spans="1:14" s="2" customFormat="1">
      <c r="A7414" s="83"/>
      <c r="H7414" s="83"/>
      <c r="K7414" s="82"/>
      <c r="M7414" s="112"/>
      <c r="N7414" s="84"/>
    </row>
    <row r="7415" spans="1:14" s="2" customFormat="1">
      <c r="A7415" s="83"/>
      <c r="H7415" s="83"/>
      <c r="K7415" s="82"/>
      <c r="M7415" s="112"/>
      <c r="N7415" s="84"/>
    </row>
    <row r="7416" spans="1:14" s="2" customFormat="1">
      <c r="A7416" s="83"/>
      <c r="H7416" s="83"/>
      <c r="K7416" s="82"/>
      <c r="M7416" s="112"/>
      <c r="N7416" s="84"/>
    </row>
    <row r="7417" spans="1:14" s="2" customFormat="1">
      <c r="A7417" s="83"/>
      <c r="H7417" s="83"/>
      <c r="K7417" s="82"/>
      <c r="M7417" s="112"/>
      <c r="N7417" s="84"/>
    </row>
    <row r="7418" spans="1:14" s="2" customFormat="1">
      <c r="A7418" s="83"/>
      <c r="H7418" s="83"/>
      <c r="K7418" s="82"/>
      <c r="M7418" s="112"/>
      <c r="N7418" s="84"/>
    </row>
    <row r="7419" spans="1:14" s="2" customFormat="1">
      <c r="A7419" s="83"/>
      <c r="H7419" s="83"/>
      <c r="K7419" s="82"/>
      <c r="M7419" s="112"/>
      <c r="N7419" s="84"/>
    </row>
    <row r="7420" spans="1:14" s="2" customFormat="1">
      <c r="A7420" s="83"/>
      <c r="H7420" s="83"/>
      <c r="K7420" s="82"/>
      <c r="M7420" s="112"/>
      <c r="N7420" s="84"/>
    </row>
    <row r="7421" spans="1:14" s="2" customFormat="1">
      <c r="A7421" s="83"/>
      <c r="H7421" s="83"/>
      <c r="K7421" s="82"/>
      <c r="M7421" s="112"/>
      <c r="N7421" s="84"/>
    </row>
    <row r="7422" spans="1:14" s="2" customFormat="1">
      <c r="A7422" s="83"/>
      <c r="H7422" s="83"/>
      <c r="K7422" s="82"/>
      <c r="M7422" s="112"/>
      <c r="N7422" s="84"/>
    </row>
    <row r="7423" spans="1:14" s="2" customFormat="1">
      <c r="A7423" s="83"/>
      <c r="H7423" s="83"/>
      <c r="K7423" s="82"/>
      <c r="M7423" s="112"/>
      <c r="N7423" s="84"/>
    </row>
    <row r="7424" spans="1:14" s="2" customFormat="1">
      <c r="A7424" s="83"/>
      <c r="H7424" s="83"/>
      <c r="K7424" s="82"/>
      <c r="M7424" s="112"/>
      <c r="N7424" s="84"/>
    </row>
    <row r="7425" spans="1:14" s="2" customFormat="1">
      <c r="A7425" s="83"/>
      <c r="H7425" s="83"/>
      <c r="K7425" s="82"/>
      <c r="M7425" s="112"/>
      <c r="N7425" s="84"/>
    </row>
    <row r="7426" spans="1:14" s="2" customFormat="1">
      <c r="A7426" s="83"/>
      <c r="H7426" s="83"/>
      <c r="K7426" s="82"/>
      <c r="M7426" s="112"/>
      <c r="N7426" s="84"/>
    </row>
    <row r="7427" spans="1:14" s="2" customFormat="1">
      <c r="A7427" s="83"/>
      <c r="H7427" s="83"/>
      <c r="K7427" s="82"/>
      <c r="M7427" s="112"/>
      <c r="N7427" s="84"/>
    </row>
    <row r="7428" spans="1:14" s="2" customFormat="1">
      <c r="A7428" s="83"/>
      <c r="H7428" s="83"/>
      <c r="K7428" s="82"/>
      <c r="M7428" s="112"/>
      <c r="N7428" s="84"/>
    </row>
    <row r="7429" spans="1:14" s="2" customFormat="1">
      <c r="A7429" s="83"/>
      <c r="H7429" s="83"/>
      <c r="K7429" s="82"/>
      <c r="M7429" s="112"/>
      <c r="N7429" s="84"/>
    </row>
    <row r="7430" spans="1:14" s="2" customFormat="1">
      <c r="A7430" s="83"/>
      <c r="H7430" s="83"/>
      <c r="K7430" s="82"/>
      <c r="M7430" s="112"/>
      <c r="N7430" s="84"/>
    </row>
    <row r="7431" spans="1:14" s="2" customFormat="1">
      <c r="A7431" s="83"/>
      <c r="H7431" s="83"/>
      <c r="K7431" s="82"/>
      <c r="M7431" s="112"/>
      <c r="N7431" s="84"/>
    </row>
    <row r="7432" spans="1:14" s="2" customFormat="1">
      <c r="A7432" s="83"/>
      <c r="H7432" s="83"/>
      <c r="K7432" s="82"/>
      <c r="M7432" s="112"/>
      <c r="N7432" s="84"/>
    </row>
    <row r="7433" spans="1:14" s="2" customFormat="1">
      <c r="A7433" s="83"/>
      <c r="H7433" s="83"/>
      <c r="K7433" s="82"/>
      <c r="M7433" s="112"/>
      <c r="N7433" s="84"/>
    </row>
    <row r="7434" spans="1:14" s="2" customFormat="1">
      <c r="A7434" s="83"/>
      <c r="H7434" s="83"/>
      <c r="K7434" s="82"/>
      <c r="M7434" s="112"/>
      <c r="N7434" s="84"/>
    </row>
    <row r="7435" spans="1:14" s="2" customFormat="1">
      <c r="A7435" s="83"/>
      <c r="H7435" s="83"/>
      <c r="K7435" s="82"/>
      <c r="M7435" s="112"/>
      <c r="N7435" s="84"/>
    </row>
    <row r="7436" spans="1:14" s="2" customFormat="1">
      <c r="A7436" s="83"/>
      <c r="H7436" s="83"/>
      <c r="K7436" s="82"/>
      <c r="M7436" s="112"/>
      <c r="N7436" s="84"/>
    </row>
    <row r="7437" spans="1:14" s="2" customFormat="1">
      <c r="A7437" s="83"/>
      <c r="H7437" s="83"/>
      <c r="K7437" s="82"/>
      <c r="M7437" s="112"/>
      <c r="N7437" s="84"/>
    </row>
    <row r="7438" spans="1:14" s="2" customFormat="1">
      <c r="A7438" s="83"/>
      <c r="H7438" s="83"/>
      <c r="K7438" s="82"/>
      <c r="M7438" s="112"/>
      <c r="N7438" s="84"/>
    </row>
    <row r="7439" spans="1:14" s="2" customFormat="1">
      <c r="A7439" s="83"/>
      <c r="H7439" s="83"/>
      <c r="K7439" s="82"/>
      <c r="M7439" s="112"/>
      <c r="N7439" s="84"/>
    </row>
    <row r="7440" spans="1:14" s="2" customFormat="1">
      <c r="A7440" s="83"/>
      <c r="H7440" s="83"/>
      <c r="K7440" s="82"/>
      <c r="M7440" s="112"/>
      <c r="N7440" s="84"/>
    </row>
    <row r="7441" spans="1:14" s="2" customFormat="1">
      <c r="A7441" s="83"/>
      <c r="H7441" s="83"/>
      <c r="K7441" s="82"/>
      <c r="M7441" s="112"/>
      <c r="N7441" s="84"/>
    </row>
    <row r="7442" spans="1:14" s="2" customFormat="1">
      <c r="A7442" s="83"/>
      <c r="H7442" s="83"/>
      <c r="K7442" s="82"/>
      <c r="M7442" s="112"/>
      <c r="N7442" s="84"/>
    </row>
    <row r="7443" spans="1:14" s="2" customFormat="1">
      <c r="A7443" s="83"/>
      <c r="H7443" s="83"/>
      <c r="K7443" s="82"/>
      <c r="M7443" s="112"/>
      <c r="N7443" s="84"/>
    </row>
    <row r="7444" spans="1:14" s="2" customFormat="1">
      <c r="A7444" s="83"/>
      <c r="H7444" s="83"/>
      <c r="K7444" s="82"/>
      <c r="M7444" s="112"/>
      <c r="N7444" s="84"/>
    </row>
    <row r="7445" spans="1:14" s="2" customFormat="1">
      <c r="A7445" s="83"/>
      <c r="H7445" s="83"/>
      <c r="K7445" s="82"/>
      <c r="M7445" s="112"/>
      <c r="N7445" s="84"/>
    </row>
    <row r="7446" spans="1:14" s="2" customFormat="1">
      <c r="A7446" s="83"/>
      <c r="H7446" s="83"/>
      <c r="K7446" s="82"/>
      <c r="M7446" s="112"/>
      <c r="N7446" s="84"/>
    </row>
    <row r="7447" spans="1:14" s="2" customFormat="1">
      <c r="A7447" s="83"/>
      <c r="H7447" s="83"/>
      <c r="K7447" s="82"/>
      <c r="M7447" s="112"/>
      <c r="N7447" s="84"/>
    </row>
    <row r="7448" spans="1:14" s="2" customFormat="1">
      <c r="A7448" s="83"/>
      <c r="H7448" s="83"/>
      <c r="K7448" s="82"/>
      <c r="M7448" s="112"/>
      <c r="N7448" s="84"/>
    </row>
    <row r="7449" spans="1:14" s="2" customFormat="1">
      <c r="A7449" s="83"/>
      <c r="H7449" s="83"/>
      <c r="K7449" s="82"/>
      <c r="M7449" s="112"/>
      <c r="N7449" s="84"/>
    </row>
    <row r="7450" spans="1:14" s="2" customFormat="1">
      <c r="A7450" s="83"/>
      <c r="H7450" s="83"/>
      <c r="K7450" s="82"/>
      <c r="M7450" s="112"/>
      <c r="N7450" s="84"/>
    </row>
    <row r="7451" spans="1:14" s="2" customFormat="1">
      <c r="A7451" s="83"/>
      <c r="H7451" s="83"/>
      <c r="K7451" s="82"/>
      <c r="M7451" s="112"/>
      <c r="N7451" s="84"/>
    </row>
    <row r="7452" spans="1:14" s="2" customFormat="1">
      <c r="A7452" s="83"/>
      <c r="H7452" s="83"/>
      <c r="K7452" s="82"/>
      <c r="M7452" s="112"/>
      <c r="N7452" s="84"/>
    </row>
    <row r="7453" spans="1:14" s="2" customFormat="1">
      <c r="A7453" s="83"/>
      <c r="H7453" s="83"/>
      <c r="K7453" s="82"/>
      <c r="M7453" s="112"/>
      <c r="N7453" s="84"/>
    </row>
    <row r="7454" spans="1:14" s="2" customFormat="1">
      <c r="A7454" s="83"/>
      <c r="H7454" s="83"/>
      <c r="K7454" s="82"/>
      <c r="M7454" s="112"/>
      <c r="N7454" s="84"/>
    </row>
    <row r="7455" spans="1:14" s="2" customFormat="1">
      <c r="A7455" s="83"/>
      <c r="H7455" s="83"/>
      <c r="K7455" s="82"/>
      <c r="M7455" s="112"/>
      <c r="N7455" s="84"/>
    </row>
    <row r="7456" spans="1:14" s="2" customFormat="1">
      <c r="A7456" s="83"/>
      <c r="H7456" s="83"/>
      <c r="K7456" s="82"/>
      <c r="M7456" s="112"/>
      <c r="N7456" s="84"/>
    </row>
    <row r="7457" spans="1:14" s="2" customFormat="1">
      <c r="A7457" s="83"/>
      <c r="H7457" s="83"/>
      <c r="K7457" s="82"/>
      <c r="M7457" s="112"/>
      <c r="N7457" s="84"/>
    </row>
    <row r="7458" spans="1:14" s="2" customFormat="1">
      <c r="A7458" s="83"/>
      <c r="H7458" s="83"/>
      <c r="K7458" s="82"/>
      <c r="M7458" s="112"/>
      <c r="N7458" s="84"/>
    </row>
    <row r="7459" spans="1:14" s="2" customFormat="1">
      <c r="A7459" s="83"/>
      <c r="H7459" s="83"/>
      <c r="K7459" s="82"/>
      <c r="M7459" s="112"/>
      <c r="N7459" s="84"/>
    </row>
    <row r="7460" spans="1:14" s="2" customFormat="1">
      <c r="A7460" s="83"/>
      <c r="H7460" s="83"/>
      <c r="K7460" s="82"/>
      <c r="M7460" s="112"/>
      <c r="N7460" s="84"/>
    </row>
    <row r="7461" spans="1:14" s="2" customFormat="1">
      <c r="A7461" s="83"/>
      <c r="H7461" s="83"/>
      <c r="K7461" s="82"/>
      <c r="M7461" s="112"/>
      <c r="N7461" s="84"/>
    </row>
    <row r="7462" spans="1:14" s="2" customFormat="1">
      <c r="A7462" s="83"/>
      <c r="H7462" s="83"/>
      <c r="K7462" s="82"/>
      <c r="M7462" s="112"/>
      <c r="N7462" s="84"/>
    </row>
    <row r="7463" spans="1:14" s="2" customFormat="1">
      <c r="A7463" s="83"/>
      <c r="H7463" s="83"/>
      <c r="K7463" s="82"/>
      <c r="M7463" s="112"/>
      <c r="N7463" s="84"/>
    </row>
    <row r="7464" spans="1:14" s="2" customFormat="1">
      <c r="A7464" s="83"/>
      <c r="H7464" s="83"/>
      <c r="K7464" s="82"/>
      <c r="M7464" s="112"/>
      <c r="N7464" s="84"/>
    </row>
    <row r="7465" spans="1:14" s="2" customFormat="1">
      <c r="A7465" s="83"/>
      <c r="H7465" s="83"/>
      <c r="K7465" s="82"/>
      <c r="M7465" s="112"/>
      <c r="N7465" s="84"/>
    </row>
    <row r="7466" spans="1:14" s="2" customFormat="1">
      <c r="A7466" s="83"/>
      <c r="H7466" s="83"/>
      <c r="K7466" s="82"/>
      <c r="M7466" s="112"/>
      <c r="N7466" s="84"/>
    </row>
    <row r="7467" spans="1:14" s="2" customFormat="1">
      <c r="A7467" s="83"/>
      <c r="H7467" s="83"/>
      <c r="K7467" s="82"/>
      <c r="M7467" s="112"/>
      <c r="N7467" s="84"/>
    </row>
    <row r="7468" spans="1:14" s="2" customFormat="1">
      <c r="A7468" s="83"/>
      <c r="H7468" s="83"/>
      <c r="K7468" s="82"/>
      <c r="M7468" s="112"/>
      <c r="N7468" s="84"/>
    </row>
    <row r="7469" spans="1:14" s="2" customFormat="1">
      <c r="A7469" s="83"/>
      <c r="H7469" s="83"/>
      <c r="K7469" s="82"/>
      <c r="M7469" s="112"/>
      <c r="N7469" s="84"/>
    </row>
    <row r="7470" spans="1:14" s="2" customFormat="1">
      <c r="A7470" s="83"/>
      <c r="H7470" s="83"/>
      <c r="K7470" s="82"/>
      <c r="M7470" s="112"/>
      <c r="N7470" s="84"/>
    </row>
    <row r="7471" spans="1:14" s="2" customFormat="1">
      <c r="A7471" s="83"/>
      <c r="H7471" s="83"/>
      <c r="K7471" s="82"/>
      <c r="M7471" s="112"/>
      <c r="N7471" s="84"/>
    </row>
    <row r="7472" spans="1:14" s="2" customFormat="1">
      <c r="A7472" s="83"/>
      <c r="H7472" s="83"/>
      <c r="K7472" s="82"/>
      <c r="M7472" s="112"/>
      <c r="N7472" s="84"/>
    </row>
    <row r="7473" spans="1:14" s="2" customFormat="1">
      <c r="A7473" s="83"/>
      <c r="H7473" s="83"/>
      <c r="K7473" s="82"/>
      <c r="M7473" s="112"/>
      <c r="N7473" s="84"/>
    </row>
    <row r="7474" spans="1:14" s="2" customFormat="1">
      <c r="A7474" s="83"/>
      <c r="H7474" s="83"/>
      <c r="K7474" s="82"/>
      <c r="M7474" s="112"/>
      <c r="N7474" s="84"/>
    </row>
    <row r="7475" spans="1:14" s="2" customFormat="1">
      <c r="A7475" s="83"/>
      <c r="H7475" s="83"/>
      <c r="K7475" s="82"/>
      <c r="M7475" s="112"/>
      <c r="N7475" s="84"/>
    </row>
    <row r="7476" spans="1:14" s="2" customFormat="1">
      <c r="A7476" s="83"/>
      <c r="H7476" s="83"/>
      <c r="K7476" s="82"/>
      <c r="M7476" s="112"/>
      <c r="N7476" s="84"/>
    </row>
    <row r="7477" spans="1:14" s="2" customFormat="1">
      <c r="A7477" s="83"/>
      <c r="H7477" s="83"/>
      <c r="K7477" s="82"/>
      <c r="M7477" s="112"/>
      <c r="N7477" s="84"/>
    </row>
    <row r="7478" spans="1:14" s="2" customFormat="1">
      <c r="A7478" s="83"/>
      <c r="H7478" s="83"/>
      <c r="K7478" s="82"/>
      <c r="M7478" s="112"/>
      <c r="N7478" s="84"/>
    </row>
    <row r="7479" spans="1:14" s="2" customFormat="1">
      <c r="A7479" s="83"/>
      <c r="H7479" s="83"/>
      <c r="K7479" s="82"/>
      <c r="M7479" s="112"/>
      <c r="N7479" s="84"/>
    </row>
    <row r="7480" spans="1:14" s="2" customFormat="1">
      <c r="A7480" s="83"/>
      <c r="H7480" s="83"/>
      <c r="K7480" s="82"/>
      <c r="M7480" s="112"/>
      <c r="N7480" s="84"/>
    </row>
    <row r="7481" spans="1:14" s="2" customFormat="1">
      <c r="A7481" s="83"/>
      <c r="H7481" s="83"/>
      <c r="K7481" s="82"/>
      <c r="M7481" s="112"/>
      <c r="N7481" s="84"/>
    </row>
    <row r="7482" spans="1:14" s="2" customFormat="1">
      <c r="A7482" s="83"/>
      <c r="H7482" s="83"/>
      <c r="K7482" s="82"/>
      <c r="M7482" s="112"/>
      <c r="N7482" s="84"/>
    </row>
    <row r="7483" spans="1:14" s="2" customFormat="1">
      <c r="A7483" s="83"/>
      <c r="H7483" s="83"/>
      <c r="K7483" s="82"/>
      <c r="M7483" s="112"/>
      <c r="N7483" s="84"/>
    </row>
    <row r="7484" spans="1:14" s="2" customFormat="1">
      <c r="A7484" s="83"/>
      <c r="H7484" s="83"/>
      <c r="K7484" s="82"/>
      <c r="M7484" s="112"/>
      <c r="N7484" s="84"/>
    </row>
    <row r="7485" spans="1:14" s="2" customFormat="1">
      <c r="A7485" s="83"/>
      <c r="H7485" s="83"/>
      <c r="K7485" s="82"/>
      <c r="M7485" s="112"/>
      <c r="N7485" s="84"/>
    </row>
    <row r="7486" spans="1:14" s="2" customFormat="1">
      <c r="A7486" s="83"/>
      <c r="H7486" s="83"/>
      <c r="K7486" s="82"/>
      <c r="M7486" s="112"/>
      <c r="N7486" s="84"/>
    </row>
    <row r="7487" spans="1:14" s="2" customFormat="1">
      <c r="A7487" s="83"/>
      <c r="H7487" s="83"/>
      <c r="K7487" s="82"/>
      <c r="M7487" s="112"/>
      <c r="N7487" s="84"/>
    </row>
    <row r="7488" spans="1:14" s="2" customFormat="1">
      <c r="A7488" s="83"/>
      <c r="H7488" s="83"/>
      <c r="K7488" s="82"/>
      <c r="M7488" s="112"/>
      <c r="N7488" s="84"/>
    </row>
    <row r="7489" spans="1:14" s="2" customFormat="1">
      <c r="A7489" s="83"/>
      <c r="H7489" s="83"/>
      <c r="K7489" s="82"/>
      <c r="M7489" s="112"/>
      <c r="N7489" s="84"/>
    </row>
    <row r="7490" spans="1:14" s="2" customFormat="1">
      <c r="A7490" s="83"/>
      <c r="H7490" s="83"/>
      <c r="K7490" s="82"/>
      <c r="M7490" s="112"/>
      <c r="N7490" s="84"/>
    </row>
    <row r="7491" spans="1:14" s="2" customFormat="1">
      <c r="A7491" s="83"/>
      <c r="H7491" s="83"/>
      <c r="K7491" s="82"/>
      <c r="M7491" s="112"/>
      <c r="N7491" s="84"/>
    </row>
    <row r="7492" spans="1:14" s="2" customFormat="1">
      <c r="A7492" s="83"/>
      <c r="H7492" s="83"/>
      <c r="K7492" s="82"/>
      <c r="M7492" s="112"/>
      <c r="N7492" s="84"/>
    </row>
    <row r="7493" spans="1:14" s="2" customFormat="1">
      <c r="A7493" s="83"/>
      <c r="H7493" s="83"/>
      <c r="K7493" s="82"/>
      <c r="M7493" s="112"/>
      <c r="N7493" s="84"/>
    </row>
    <row r="7494" spans="1:14" s="2" customFormat="1">
      <c r="A7494" s="83"/>
      <c r="H7494" s="83"/>
      <c r="K7494" s="82"/>
      <c r="M7494" s="112"/>
      <c r="N7494" s="84"/>
    </row>
    <row r="7495" spans="1:14" s="2" customFormat="1">
      <c r="A7495" s="83"/>
      <c r="H7495" s="83"/>
      <c r="K7495" s="82"/>
      <c r="M7495" s="112"/>
      <c r="N7495" s="84"/>
    </row>
    <row r="7496" spans="1:14" s="2" customFormat="1">
      <c r="A7496" s="83"/>
      <c r="H7496" s="83"/>
      <c r="K7496" s="82"/>
      <c r="M7496" s="112"/>
      <c r="N7496" s="84"/>
    </row>
    <row r="7497" spans="1:14" s="2" customFormat="1">
      <c r="A7497" s="83"/>
      <c r="H7497" s="83"/>
      <c r="K7497" s="82"/>
      <c r="M7497" s="112"/>
      <c r="N7497" s="84"/>
    </row>
    <row r="7498" spans="1:14" s="2" customFormat="1">
      <c r="A7498" s="83"/>
      <c r="H7498" s="83"/>
      <c r="K7498" s="82"/>
      <c r="M7498" s="112"/>
      <c r="N7498" s="84"/>
    </row>
    <row r="7499" spans="1:14" s="2" customFormat="1">
      <c r="A7499" s="83"/>
      <c r="H7499" s="83"/>
      <c r="K7499" s="82"/>
      <c r="M7499" s="112"/>
      <c r="N7499" s="84"/>
    </row>
    <row r="7500" spans="1:14" s="2" customFormat="1">
      <c r="A7500" s="83"/>
      <c r="H7500" s="83"/>
      <c r="K7500" s="82"/>
      <c r="M7500" s="112"/>
      <c r="N7500" s="84"/>
    </row>
    <row r="7501" spans="1:14" s="2" customFormat="1">
      <c r="A7501" s="83"/>
      <c r="H7501" s="83"/>
      <c r="K7501" s="82"/>
      <c r="M7501" s="112"/>
      <c r="N7501" s="84"/>
    </row>
    <row r="7502" spans="1:14" s="2" customFormat="1">
      <c r="A7502" s="83"/>
      <c r="H7502" s="83"/>
      <c r="K7502" s="82"/>
      <c r="M7502" s="112"/>
      <c r="N7502" s="84"/>
    </row>
    <row r="7503" spans="1:14" s="2" customFormat="1">
      <c r="A7503" s="83"/>
      <c r="H7503" s="83"/>
      <c r="K7503" s="82"/>
      <c r="M7503" s="112"/>
      <c r="N7503" s="84"/>
    </row>
    <row r="7504" spans="1:14" s="2" customFormat="1">
      <c r="A7504" s="83"/>
      <c r="H7504" s="83"/>
      <c r="K7504" s="82"/>
      <c r="M7504" s="112"/>
      <c r="N7504" s="84"/>
    </row>
    <row r="7505" spans="1:14" s="2" customFormat="1">
      <c r="A7505" s="83"/>
      <c r="H7505" s="83"/>
      <c r="K7505" s="82"/>
      <c r="M7505" s="112"/>
      <c r="N7505" s="84"/>
    </row>
    <row r="7506" spans="1:14" s="2" customFormat="1">
      <c r="A7506" s="83"/>
      <c r="H7506" s="83"/>
      <c r="K7506" s="82"/>
      <c r="M7506" s="112"/>
      <c r="N7506" s="84"/>
    </row>
    <row r="7507" spans="1:14" s="2" customFormat="1">
      <c r="A7507" s="83"/>
      <c r="H7507" s="83"/>
      <c r="K7507" s="82"/>
      <c r="M7507" s="112"/>
      <c r="N7507" s="84"/>
    </row>
    <row r="7508" spans="1:14" s="2" customFormat="1">
      <c r="A7508" s="83"/>
      <c r="H7508" s="83"/>
      <c r="K7508" s="82"/>
      <c r="M7508" s="112"/>
      <c r="N7508" s="84"/>
    </row>
    <row r="7509" spans="1:14" s="2" customFormat="1">
      <c r="A7509" s="83"/>
      <c r="H7509" s="83"/>
      <c r="K7509" s="82"/>
      <c r="M7509" s="112"/>
      <c r="N7509" s="84"/>
    </row>
    <row r="7510" spans="1:14" s="2" customFormat="1">
      <c r="A7510" s="83"/>
      <c r="H7510" s="83"/>
      <c r="K7510" s="82"/>
      <c r="M7510" s="112"/>
      <c r="N7510" s="84"/>
    </row>
    <row r="7511" spans="1:14" s="2" customFormat="1">
      <c r="A7511" s="83"/>
      <c r="H7511" s="83"/>
      <c r="K7511" s="82"/>
      <c r="M7511" s="112"/>
      <c r="N7511" s="84"/>
    </row>
    <row r="7512" spans="1:14" s="2" customFormat="1">
      <c r="A7512" s="83"/>
      <c r="H7512" s="83"/>
      <c r="K7512" s="82"/>
      <c r="M7512" s="112"/>
      <c r="N7512" s="84"/>
    </row>
    <row r="7513" spans="1:14" s="2" customFormat="1">
      <c r="A7513" s="83"/>
      <c r="H7513" s="83"/>
      <c r="K7513" s="82"/>
      <c r="M7513" s="112"/>
      <c r="N7513" s="84"/>
    </row>
    <row r="7514" spans="1:14" s="2" customFormat="1">
      <c r="A7514" s="83"/>
      <c r="H7514" s="83"/>
      <c r="K7514" s="82"/>
      <c r="M7514" s="112"/>
      <c r="N7514" s="84"/>
    </row>
    <row r="7515" spans="1:14" s="2" customFormat="1">
      <c r="A7515" s="83"/>
      <c r="H7515" s="83"/>
      <c r="K7515" s="82"/>
      <c r="M7515" s="112"/>
      <c r="N7515" s="84"/>
    </row>
    <row r="7516" spans="1:14" s="2" customFormat="1">
      <c r="A7516" s="83"/>
      <c r="H7516" s="83"/>
      <c r="K7516" s="82"/>
      <c r="M7516" s="112"/>
      <c r="N7516" s="84"/>
    </row>
    <row r="7517" spans="1:14" s="2" customFormat="1">
      <c r="A7517" s="83"/>
      <c r="H7517" s="83"/>
      <c r="K7517" s="82"/>
      <c r="M7517" s="112"/>
      <c r="N7517" s="84"/>
    </row>
    <row r="7518" spans="1:14" s="2" customFormat="1">
      <c r="A7518" s="83"/>
      <c r="H7518" s="83"/>
      <c r="K7518" s="82"/>
      <c r="M7518" s="112"/>
      <c r="N7518" s="84"/>
    </row>
    <row r="7519" spans="1:14" s="2" customFormat="1">
      <c r="A7519" s="83"/>
      <c r="H7519" s="83"/>
      <c r="K7519" s="82"/>
      <c r="M7519" s="112"/>
      <c r="N7519" s="84"/>
    </row>
    <row r="7520" spans="1:14" s="2" customFormat="1">
      <c r="A7520" s="83"/>
      <c r="H7520" s="83"/>
      <c r="K7520" s="82"/>
      <c r="M7520" s="112"/>
      <c r="N7520" s="84"/>
    </row>
    <row r="7521" spans="1:14" s="2" customFormat="1">
      <c r="A7521" s="83"/>
      <c r="H7521" s="83"/>
      <c r="K7521" s="82"/>
      <c r="M7521" s="112"/>
      <c r="N7521" s="84"/>
    </row>
    <row r="7522" spans="1:14" s="2" customFormat="1">
      <c r="A7522" s="83"/>
      <c r="H7522" s="83"/>
      <c r="K7522" s="82"/>
      <c r="M7522" s="112"/>
      <c r="N7522" s="84"/>
    </row>
    <row r="7523" spans="1:14" s="2" customFormat="1">
      <c r="A7523" s="83"/>
      <c r="H7523" s="83"/>
      <c r="K7523" s="82"/>
      <c r="M7523" s="112"/>
      <c r="N7523" s="84"/>
    </row>
    <row r="7524" spans="1:14" s="2" customFormat="1">
      <c r="A7524" s="83"/>
      <c r="H7524" s="83"/>
      <c r="K7524" s="82"/>
      <c r="M7524" s="112"/>
      <c r="N7524" s="84"/>
    </row>
    <row r="7525" spans="1:14" s="2" customFormat="1">
      <c r="A7525" s="83"/>
      <c r="H7525" s="83"/>
      <c r="K7525" s="82"/>
      <c r="M7525" s="112"/>
      <c r="N7525" s="84"/>
    </row>
    <row r="7526" spans="1:14" s="2" customFormat="1">
      <c r="A7526" s="83"/>
      <c r="H7526" s="83"/>
      <c r="K7526" s="82"/>
      <c r="M7526" s="112"/>
      <c r="N7526" s="84"/>
    </row>
    <row r="7527" spans="1:14" s="2" customFormat="1">
      <c r="A7527" s="83"/>
      <c r="H7527" s="83"/>
      <c r="K7527" s="82"/>
      <c r="M7527" s="112"/>
      <c r="N7527" s="84"/>
    </row>
    <row r="7528" spans="1:14" s="2" customFormat="1">
      <c r="A7528" s="83"/>
      <c r="H7528" s="83"/>
      <c r="K7528" s="82"/>
      <c r="M7528" s="112"/>
      <c r="N7528" s="84"/>
    </row>
    <row r="7529" spans="1:14" s="2" customFormat="1">
      <c r="A7529" s="83"/>
      <c r="H7529" s="83"/>
      <c r="K7529" s="82"/>
      <c r="M7529" s="112"/>
      <c r="N7529" s="84"/>
    </row>
    <row r="7530" spans="1:14" s="2" customFormat="1">
      <c r="A7530" s="83"/>
      <c r="H7530" s="83"/>
      <c r="K7530" s="82"/>
      <c r="M7530" s="112"/>
      <c r="N7530" s="84"/>
    </row>
    <row r="7531" spans="1:14" s="2" customFormat="1">
      <c r="A7531" s="83"/>
      <c r="H7531" s="83"/>
      <c r="K7531" s="82"/>
      <c r="M7531" s="112"/>
      <c r="N7531" s="84"/>
    </row>
    <row r="7532" spans="1:14" s="2" customFormat="1">
      <c r="A7532" s="83"/>
      <c r="H7532" s="83"/>
      <c r="K7532" s="82"/>
      <c r="M7532" s="112"/>
      <c r="N7532" s="84"/>
    </row>
    <row r="7533" spans="1:14" s="2" customFormat="1">
      <c r="A7533" s="83"/>
      <c r="H7533" s="83"/>
      <c r="K7533" s="82"/>
      <c r="M7533" s="112"/>
      <c r="N7533" s="84"/>
    </row>
    <row r="7534" spans="1:14" s="2" customFormat="1">
      <c r="A7534" s="83"/>
      <c r="H7534" s="83"/>
      <c r="K7534" s="82"/>
      <c r="M7534" s="112"/>
      <c r="N7534" s="84"/>
    </row>
    <row r="7535" spans="1:14" s="2" customFormat="1">
      <c r="A7535" s="83"/>
      <c r="H7535" s="83"/>
      <c r="K7535" s="82"/>
      <c r="M7535" s="112"/>
      <c r="N7535" s="84"/>
    </row>
    <row r="7536" spans="1:14" s="2" customFormat="1">
      <c r="A7536" s="83"/>
      <c r="H7536" s="83"/>
      <c r="K7536" s="82"/>
      <c r="M7536" s="112"/>
      <c r="N7536" s="84"/>
    </row>
    <row r="7537" spans="1:14" s="2" customFormat="1">
      <c r="A7537" s="83"/>
      <c r="H7537" s="83"/>
      <c r="K7537" s="82"/>
      <c r="M7537" s="112"/>
      <c r="N7537" s="84"/>
    </row>
    <row r="7538" spans="1:14" s="2" customFormat="1">
      <c r="A7538" s="83"/>
      <c r="H7538" s="83"/>
      <c r="K7538" s="82"/>
      <c r="M7538" s="112"/>
      <c r="N7538" s="84"/>
    </row>
    <row r="7539" spans="1:14" s="2" customFormat="1">
      <c r="A7539" s="83"/>
      <c r="H7539" s="83"/>
      <c r="K7539" s="82"/>
      <c r="M7539" s="112"/>
      <c r="N7539" s="84"/>
    </row>
    <row r="7540" spans="1:14" s="2" customFormat="1">
      <c r="A7540" s="83"/>
      <c r="H7540" s="83"/>
      <c r="K7540" s="82"/>
      <c r="M7540" s="112"/>
      <c r="N7540" s="84"/>
    </row>
    <row r="7541" spans="1:14" s="2" customFormat="1">
      <c r="A7541" s="83"/>
      <c r="H7541" s="83"/>
      <c r="K7541" s="82"/>
      <c r="M7541" s="112"/>
      <c r="N7541" s="84"/>
    </row>
    <row r="7542" spans="1:14" s="2" customFormat="1">
      <c r="A7542" s="83"/>
      <c r="H7542" s="83"/>
      <c r="K7542" s="82"/>
      <c r="M7542" s="112"/>
      <c r="N7542" s="84"/>
    </row>
    <row r="7543" spans="1:14" s="2" customFormat="1">
      <c r="A7543" s="83"/>
      <c r="H7543" s="83"/>
      <c r="K7543" s="82"/>
      <c r="M7543" s="112"/>
      <c r="N7543" s="84"/>
    </row>
    <row r="7544" spans="1:14" s="2" customFormat="1">
      <c r="A7544" s="83"/>
      <c r="H7544" s="83"/>
      <c r="K7544" s="82"/>
      <c r="M7544" s="112"/>
      <c r="N7544" s="84"/>
    </row>
    <row r="7545" spans="1:14" s="2" customFormat="1">
      <c r="A7545" s="83"/>
      <c r="H7545" s="83"/>
      <c r="K7545" s="82"/>
      <c r="M7545" s="112"/>
      <c r="N7545" s="84"/>
    </row>
    <row r="7546" spans="1:14" s="2" customFormat="1">
      <c r="A7546" s="83"/>
      <c r="H7546" s="83"/>
      <c r="K7546" s="82"/>
      <c r="M7546" s="112"/>
      <c r="N7546" s="84"/>
    </row>
    <row r="7547" spans="1:14" s="2" customFormat="1">
      <c r="A7547" s="83"/>
      <c r="H7547" s="83"/>
      <c r="K7547" s="82"/>
      <c r="M7547" s="112"/>
      <c r="N7547" s="84"/>
    </row>
    <row r="7548" spans="1:14" s="2" customFormat="1">
      <c r="A7548" s="83"/>
      <c r="H7548" s="83"/>
      <c r="K7548" s="82"/>
      <c r="M7548" s="112"/>
      <c r="N7548" s="84"/>
    </row>
    <row r="7549" spans="1:14" s="2" customFormat="1">
      <c r="A7549" s="83"/>
      <c r="H7549" s="83"/>
      <c r="K7549" s="82"/>
      <c r="M7549" s="112"/>
      <c r="N7549" s="84"/>
    </row>
    <row r="7550" spans="1:14" s="2" customFormat="1">
      <c r="A7550" s="83"/>
      <c r="H7550" s="83"/>
      <c r="K7550" s="82"/>
      <c r="M7550" s="112"/>
      <c r="N7550" s="84"/>
    </row>
    <row r="7551" spans="1:14" s="2" customFormat="1">
      <c r="A7551" s="83"/>
      <c r="H7551" s="83"/>
      <c r="K7551" s="82"/>
      <c r="M7551" s="112"/>
      <c r="N7551" s="84"/>
    </row>
    <row r="7552" spans="1:14" s="2" customFormat="1">
      <c r="A7552" s="83"/>
      <c r="H7552" s="83"/>
      <c r="K7552" s="82"/>
      <c r="M7552" s="112"/>
      <c r="N7552" s="84"/>
    </row>
    <row r="7553" spans="1:14" s="2" customFormat="1">
      <c r="A7553" s="83"/>
      <c r="H7553" s="83"/>
      <c r="K7553" s="82"/>
      <c r="M7553" s="112"/>
      <c r="N7553" s="84"/>
    </row>
    <row r="7554" spans="1:14" s="2" customFormat="1">
      <c r="A7554" s="83"/>
      <c r="H7554" s="83"/>
      <c r="K7554" s="82"/>
      <c r="M7554" s="112"/>
      <c r="N7554" s="84"/>
    </row>
    <row r="7555" spans="1:14" s="2" customFormat="1">
      <c r="A7555" s="83"/>
      <c r="H7555" s="83"/>
      <c r="K7555" s="82"/>
      <c r="M7555" s="112"/>
      <c r="N7555" s="84"/>
    </row>
    <row r="7556" spans="1:14" s="2" customFormat="1">
      <c r="A7556" s="83"/>
      <c r="H7556" s="83"/>
      <c r="K7556" s="82"/>
      <c r="M7556" s="112"/>
      <c r="N7556" s="84"/>
    </row>
    <row r="7557" spans="1:14" s="2" customFormat="1">
      <c r="A7557" s="83"/>
      <c r="H7557" s="83"/>
      <c r="K7557" s="82"/>
      <c r="M7557" s="112"/>
      <c r="N7557" s="84"/>
    </row>
    <row r="7558" spans="1:14" s="2" customFormat="1">
      <c r="A7558" s="83"/>
      <c r="H7558" s="83"/>
      <c r="K7558" s="82"/>
      <c r="M7558" s="112"/>
      <c r="N7558" s="84"/>
    </row>
    <row r="7559" spans="1:14" s="2" customFormat="1">
      <c r="A7559" s="83"/>
      <c r="H7559" s="83"/>
      <c r="K7559" s="82"/>
      <c r="M7559" s="112"/>
      <c r="N7559" s="84"/>
    </row>
    <row r="7560" spans="1:14" s="2" customFormat="1">
      <c r="A7560" s="83"/>
      <c r="H7560" s="83"/>
      <c r="K7560" s="82"/>
      <c r="M7560" s="112"/>
      <c r="N7560" s="84"/>
    </row>
    <row r="7561" spans="1:14" s="2" customFormat="1">
      <c r="A7561" s="83"/>
      <c r="H7561" s="83"/>
      <c r="K7561" s="82"/>
      <c r="M7561" s="112"/>
      <c r="N7561" s="84"/>
    </row>
    <row r="7562" spans="1:14" s="2" customFormat="1">
      <c r="A7562" s="83"/>
      <c r="H7562" s="83"/>
      <c r="K7562" s="82"/>
      <c r="M7562" s="112"/>
      <c r="N7562" s="84"/>
    </row>
    <row r="7563" spans="1:14" s="2" customFormat="1">
      <c r="A7563" s="83"/>
      <c r="H7563" s="83"/>
      <c r="K7563" s="82"/>
      <c r="M7563" s="112"/>
      <c r="N7563" s="84"/>
    </row>
    <row r="7564" spans="1:14" s="2" customFormat="1">
      <c r="A7564" s="83"/>
      <c r="H7564" s="83"/>
      <c r="K7564" s="82"/>
      <c r="M7564" s="112"/>
      <c r="N7564" s="84"/>
    </row>
    <row r="7565" spans="1:14" s="2" customFormat="1">
      <c r="A7565" s="83"/>
      <c r="H7565" s="83"/>
      <c r="K7565" s="82"/>
      <c r="M7565" s="112"/>
      <c r="N7565" s="84"/>
    </row>
    <row r="7566" spans="1:14" s="2" customFormat="1">
      <c r="A7566" s="83"/>
      <c r="H7566" s="83"/>
      <c r="K7566" s="82"/>
      <c r="M7566" s="112"/>
      <c r="N7566" s="84"/>
    </row>
    <row r="7567" spans="1:14" s="2" customFormat="1">
      <c r="A7567" s="83"/>
      <c r="H7567" s="83"/>
      <c r="K7567" s="82"/>
      <c r="M7567" s="112"/>
      <c r="N7567" s="84"/>
    </row>
    <row r="7568" spans="1:14" s="2" customFormat="1">
      <c r="A7568" s="83"/>
      <c r="H7568" s="83"/>
      <c r="K7568" s="82"/>
      <c r="M7568" s="112"/>
      <c r="N7568" s="84"/>
    </row>
    <row r="7569" spans="1:14" s="2" customFormat="1">
      <c r="A7569" s="83"/>
      <c r="H7569" s="83"/>
      <c r="K7569" s="82"/>
      <c r="M7569" s="112"/>
      <c r="N7569" s="84"/>
    </row>
    <row r="7570" spans="1:14" s="2" customFormat="1">
      <c r="A7570" s="83"/>
      <c r="H7570" s="83"/>
      <c r="K7570" s="82"/>
      <c r="M7570" s="112"/>
      <c r="N7570" s="84"/>
    </row>
    <row r="7571" spans="1:14" s="2" customFormat="1">
      <c r="A7571" s="83"/>
      <c r="H7571" s="83"/>
      <c r="K7571" s="82"/>
      <c r="M7571" s="112"/>
      <c r="N7571" s="84"/>
    </row>
    <row r="7572" spans="1:14" s="2" customFormat="1">
      <c r="A7572" s="83"/>
      <c r="H7572" s="83"/>
      <c r="K7572" s="82"/>
      <c r="M7572" s="112"/>
      <c r="N7572" s="84"/>
    </row>
    <row r="7573" spans="1:14" s="2" customFormat="1">
      <c r="A7573" s="83"/>
      <c r="H7573" s="83"/>
      <c r="K7573" s="82"/>
      <c r="M7573" s="112"/>
      <c r="N7573" s="84"/>
    </row>
    <row r="7574" spans="1:14" s="2" customFormat="1">
      <c r="A7574" s="83"/>
      <c r="H7574" s="83"/>
      <c r="K7574" s="82"/>
      <c r="M7574" s="112"/>
      <c r="N7574" s="84"/>
    </row>
    <row r="7575" spans="1:14" s="2" customFormat="1">
      <c r="A7575" s="83"/>
      <c r="H7575" s="83"/>
      <c r="K7575" s="82"/>
      <c r="M7575" s="112"/>
      <c r="N7575" s="84"/>
    </row>
    <row r="7576" spans="1:14" s="2" customFormat="1">
      <c r="A7576" s="83"/>
      <c r="H7576" s="83"/>
      <c r="K7576" s="82"/>
      <c r="M7576" s="112"/>
      <c r="N7576" s="84"/>
    </row>
    <row r="7577" spans="1:14" s="2" customFormat="1">
      <c r="A7577" s="83"/>
      <c r="H7577" s="83"/>
      <c r="K7577" s="82"/>
      <c r="M7577" s="112"/>
      <c r="N7577" s="84"/>
    </row>
    <row r="7578" spans="1:14" s="2" customFormat="1">
      <c r="A7578" s="83"/>
      <c r="H7578" s="83"/>
      <c r="K7578" s="82"/>
      <c r="M7578" s="112"/>
      <c r="N7578" s="84"/>
    </row>
    <row r="7579" spans="1:14" s="2" customFormat="1">
      <c r="A7579" s="83"/>
      <c r="H7579" s="83"/>
      <c r="K7579" s="82"/>
      <c r="M7579" s="112"/>
      <c r="N7579" s="84"/>
    </row>
    <row r="7580" spans="1:14" s="2" customFormat="1">
      <c r="A7580" s="83"/>
      <c r="H7580" s="83"/>
      <c r="K7580" s="82"/>
      <c r="M7580" s="112"/>
      <c r="N7580" s="84"/>
    </row>
    <row r="7581" spans="1:14" s="2" customFormat="1">
      <c r="A7581" s="83"/>
      <c r="H7581" s="83"/>
      <c r="K7581" s="82"/>
      <c r="M7581" s="112"/>
      <c r="N7581" s="84"/>
    </row>
    <row r="7582" spans="1:14" s="2" customFormat="1">
      <c r="A7582" s="83"/>
      <c r="H7582" s="83"/>
      <c r="K7582" s="82"/>
      <c r="M7582" s="112"/>
      <c r="N7582" s="84"/>
    </row>
    <row r="7583" spans="1:14" s="2" customFormat="1">
      <c r="A7583" s="83"/>
      <c r="H7583" s="83"/>
      <c r="K7583" s="82"/>
      <c r="M7583" s="112"/>
      <c r="N7583" s="84"/>
    </row>
    <row r="7584" spans="1:14" s="2" customFormat="1">
      <c r="A7584" s="83"/>
      <c r="H7584" s="83"/>
      <c r="K7584" s="82"/>
      <c r="M7584" s="112"/>
      <c r="N7584" s="84"/>
    </row>
    <row r="7585" spans="1:14" s="2" customFormat="1">
      <c r="A7585" s="83"/>
      <c r="H7585" s="83"/>
      <c r="K7585" s="82"/>
      <c r="M7585" s="112"/>
      <c r="N7585" s="84"/>
    </row>
    <row r="7586" spans="1:14" s="2" customFormat="1">
      <c r="A7586" s="83"/>
      <c r="H7586" s="83"/>
      <c r="K7586" s="82"/>
      <c r="M7586" s="112"/>
      <c r="N7586" s="84"/>
    </row>
    <row r="7587" spans="1:14" s="2" customFormat="1">
      <c r="A7587" s="83"/>
      <c r="H7587" s="83"/>
      <c r="K7587" s="82"/>
      <c r="M7587" s="112"/>
      <c r="N7587" s="84"/>
    </row>
    <row r="7588" spans="1:14" s="2" customFormat="1">
      <c r="A7588" s="83"/>
      <c r="H7588" s="83"/>
      <c r="K7588" s="82"/>
      <c r="M7588" s="112"/>
      <c r="N7588" s="84"/>
    </row>
    <row r="7589" spans="1:14" s="2" customFormat="1">
      <c r="A7589" s="83"/>
      <c r="H7589" s="83"/>
      <c r="K7589" s="82"/>
      <c r="M7589" s="112"/>
      <c r="N7589" s="84"/>
    </row>
    <row r="7590" spans="1:14" s="2" customFormat="1">
      <c r="A7590" s="83"/>
      <c r="H7590" s="83"/>
      <c r="K7590" s="82"/>
      <c r="M7590" s="112"/>
      <c r="N7590" s="84"/>
    </row>
    <row r="7591" spans="1:14" s="2" customFormat="1">
      <c r="A7591" s="83"/>
      <c r="H7591" s="83"/>
      <c r="K7591" s="82"/>
      <c r="M7591" s="112"/>
      <c r="N7591" s="84"/>
    </row>
    <row r="7592" spans="1:14" s="2" customFormat="1">
      <c r="A7592" s="83"/>
      <c r="H7592" s="83"/>
      <c r="K7592" s="82"/>
      <c r="M7592" s="112"/>
      <c r="N7592" s="84"/>
    </row>
    <row r="7593" spans="1:14" s="2" customFormat="1">
      <c r="A7593" s="83"/>
      <c r="H7593" s="83"/>
      <c r="K7593" s="82"/>
      <c r="M7593" s="112"/>
      <c r="N7593" s="84"/>
    </row>
    <row r="7594" spans="1:14" s="2" customFormat="1">
      <c r="A7594" s="83"/>
      <c r="H7594" s="83"/>
      <c r="K7594" s="82"/>
      <c r="M7594" s="112"/>
      <c r="N7594" s="84"/>
    </row>
    <row r="7595" spans="1:14" s="2" customFormat="1">
      <c r="A7595" s="83"/>
      <c r="H7595" s="83"/>
      <c r="K7595" s="82"/>
      <c r="M7595" s="112"/>
      <c r="N7595" s="84"/>
    </row>
    <row r="7596" spans="1:14" s="2" customFormat="1">
      <c r="A7596" s="83"/>
      <c r="H7596" s="83"/>
      <c r="K7596" s="82"/>
      <c r="M7596" s="112"/>
      <c r="N7596" s="84"/>
    </row>
    <row r="7597" spans="1:14" s="2" customFormat="1">
      <c r="A7597" s="83"/>
      <c r="H7597" s="83"/>
      <c r="K7597" s="82"/>
      <c r="M7597" s="112"/>
      <c r="N7597" s="84"/>
    </row>
    <row r="7598" spans="1:14" s="2" customFormat="1">
      <c r="A7598" s="83"/>
      <c r="H7598" s="83"/>
      <c r="K7598" s="82"/>
      <c r="M7598" s="112"/>
      <c r="N7598" s="84"/>
    </row>
    <row r="7599" spans="1:14" s="2" customFormat="1">
      <c r="A7599" s="83"/>
      <c r="H7599" s="83"/>
      <c r="K7599" s="82"/>
      <c r="M7599" s="112"/>
      <c r="N7599" s="84"/>
    </row>
    <row r="7600" spans="1:14" s="2" customFormat="1">
      <c r="A7600" s="83"/>
      <c r="H7600" s="83"/>
      <c r="K7600" s="82"/>
      <c r="M7600" s="112"/>
      <c r="N7600" s="84"/>
    </row>
    <row r="7601" spans="1:14" s="2" customFormat="1">
      <c r="A7601" s="83"/>
      <c r="H7601" s="83"/>
      <c r="K7601" s="82"/>
      <c r="M7601" s="112"/>
      <c r="N7601" s="84"/>
    </row>
    <row r="7602" spans="1:14" s="2" customFormat="1">
      <c r="A7602" s="83"/>
      <c r="H7602" s="83"/>
      <c r="K7602" s="82"/>
      <c r="M7602" s="112"/>
      <c r="N7602" s="84"/>
    </row>
    <row r="7603" spans="1:14" s="2" customFormat="1">
      <c r="A7603" s="83"/>
      <c r="H7603" s="83"/>
      <c r="K7603" s="82"/>
      <c r="M7603" s="112"/>
      <c r="N7603" s="84"/>
    </row>
    <row r="7604" spans="1:14" s="2" customFormat="1">
      <c r="A7604" s="83"/>
      <c r="H7604" s="83"/>
      <c r="K7604" s="82"/>
      <c r="M7604" s="112"/>
      <c r="N7604" s="84"/>
    </row>
    <row r="7605" spans="1:14" s="2" customFormat="1">
      <c r="A7605" s="83"/>
      <c r="H7605" s="83"/>
      <c r="K7605" s="82"/>
      <c r="M7605" s="112"/>
      <c r="N7605" s="84"/>
    </row>
    <row r="7606" spans="1:14" s="2" customFormat="1">
      <c r="A7606" s="83"/>
      <c r="H7606" s="83"/>
      <c r="K7606" s="82"/>
      <c r="M7606" s="112"/>
      <c r="N7606" s="84"/>
    </row>
    <row r="7607" spans="1:14" s="2" customFormat="1">
      <c r="A7607" s="83"/>
      <c r="H7607" s="83"/>
      <c r="K7607" s="82"/>
      <c r="M7607" s="112"/>
      <c r="N7607" s="84"/>
    </row>
    <row r="7608" spans="1:14" s="2" customFormat="1">
      <c r="A7608" s="83"/>
      <c r="H7608" s="83"/>
      <c r="K7608" s="82"/>
      <c r="M7608" s="112"/>
      <c r="N7608" s="84"/>
    </row>
    <row r="7609" spans="1:14" s="2" customFormat="1">
      <c r="A7609" s="83"/>
      <c r="H7609" s="83"/>
      <c r="K7609" s="82"/>
      <c r="M7609" s="112"/>
      <c r="N7609" s="84"/>
    </row>
    <row r="7610" spans="1:14" s="2" customFormat="1">
      <c r="A7610" s="83"/>
      <c r="H7610" s="83"/>
      <c r="K7610" s="82"/>
      <c r="M7610" s="112"/>
      <c r="N7610" s="84"/>
    </row>
    <row r="7611" spans="1:14" s="2" customFormat="1">
      <c r="A7611" s="83"/>
      <c r="H7611" s="83"/>
      <c r="K7611" s="82"/>
      <c r="M7611" s="112"/>
      <c r="N7611" s="84"/>
    </row>
    <row r="7612" spans="1:14" s="2" customFormat="1">
      <c r="A7612" s="83"/>
      <c r="H7612" s="83"/>
      <c r="K7612" s="82"/>
      <c r="M7612" s="112"/>
      <c r="N7612" s="84"/>
    </row>
    <row r="7613" spans="1:14" s="2" customFormat="1">
      <c r="A7613" s="83"/>
      <c r="H7613" s="83"/>
      <c r="K7613" s="82"/>
      <c r="M7613" s="112"/>
      <c r="N7613" s="84"/>
    </row>
    <row r="7614" spans="1:14" s="2" customFormat="1">
      <c r="A7614" s="83"/>
      <c r="H7614" s="83"/>
      <c r="K7614" s="82"/>
      <c r="M7614" s="112"/>
      <c r="N7614" s="84"/>
    </row>
    <row r="7615" spans="1:14" s="2" customFormat="1">
      <c r="A7615" s="83"/>
      <c r="H7615" s="83"/>
      <c r="K7615" s="82"/>
      <c r="M7615" s="112"/>
      <c r="N7615" s="84"/>
    </row>
    <row r="7616" spans="1:14" s="2" customFormat="1">
      <c r="A7616" s="83"/>
      <c r="H7616" s="83"/>
      <c r="K7616" s="82"/>
      <c r="M7616" s="112"/>
      <c r="N7616" s="84"/>
    </row>
    <row r="7617" spans="1:14" s="2" customFormat="1">
      <c r="A7617" s="83"/>
      <c r="H7617" s="83"/>
      <c r="K7617" s="82"/>
      <c r="M7617" s="112"/>
      <c r="N7617" s="84"/>
    </row>
    <row r="7618" spans="1:14" s="2" customFormat="1">
      <c r="A7618" s="83"/>
      <c r="H7618" s="83"/>
      <c r="K7618" s="82"/>
      <c r="M7618" s="112"/>
      <c r="N7618" s="84"/>
    </row>
    <row r="7619" spans="1:14" s="2" customFormat="1">
      <c r="A7619" s="83"/>
      <c r="H7619" s="83"/>
      <c r="K7619" s="82"/>
      <c r="M7619" s="112"/>
      <c r="N7619" s="84"/>
    </row>
    <row r="7620" spans="1:14" s="2" customFormat="1">
      <c r="A7620" s="83"/>
      <c r="H7620" s="83"/>
      <c r="K7620" s="82"/>
      <c r="M7620" s="112"/>
      <c r="N7620" s="84"/>
    </row>
    <row r="7621" spans="1:14" s="2" customFormat="1">
      <c r="A7621" s="83"/>
      <c r="H7621" s="83"/>
      <c r="K7621" s="82"/>
      <c r="M7621" s="112"/>
      <c r="N7621" s="84"/>
    </row>
    <row r="7622" spans="1:14" s="2" customFormat="1">
      <c r="A7622" s="83"/>
      <c r="H7622" s="83"/>
      <c r="K7622" s="82"/>
      <c r="M7622" s="112"/>
      <c r="N7622" s="84"/>
    </row>
    <row r="7623" spans="1:14" s="2" customFormat="1">
      <c r="A7623" s="83"/>
      <c r="H7623" s="83"/>
      <c r="K7623" s="82"/>
      <c r="M7623" s="112"/>
      <c r="N7623" s="84"/>
    </row>
    <row r="7624" spans="1:14" s="2" customFormat="1">
      <c r="A7624" s="83"/>
      <c r="H7624" s="83"/>
      <c r="K7624" s="82"/>
      <c r="M7624" s="112"/>
      <c r="N7624" s="84"/>
    </row>
    <row r="7625" spans="1:14" s="2" customFormat="1">
      <c r="A7625" s="83"/>
      <c r="H7625" s="83"/>
      <c r="K7625" s="82"/>
      <c r="M7625" s="112"/>
      <c r="N7625" s="84"/>
    </row>
    <row r="7626" spans="1:14" s="2" customFormat="1">
      <c r="A7626" s="83"/>
      <c r="H7626" s="83"/>
      <c r="K7626" s="82"/>
      <c r="M7626" s="112"/>
      <c r="N7626" s="84"/>
    </row>
    <row r="7627" spans="1:14" s="2" customFormat="1">
      <c r="A7627" s="83"/>
      <c r="H7627" s="83"/>
      <c r="K7627" s="82"/>
      <c r="M7627" s="112"/>
      <c r="N7627" s="84"/>
    </row>
    <row r="7628" spans="1:14" s="2" customFormat="1">
      <c r="A7628" s="83"/>
      <c r="H7628" s="83"/>
      <c r="K7628" s="82"/>
      <c r="M7628" s="112"/>
      <c r="N7628" s="84"/>
    </row>
    <row r="7629" spans="1:14" s="2" customFormat="1">
      <c r="A7629" s="83"/>
      <c r="H7629" s="83"/>
      <c r="K7629" s="82"/>
      <c r="M7629" s="112"/>
      <c r="N7629" s="84"/>
    </row>
    <row r="7630" spans="1:14" s="2" customFormat="1">
      <c r="A7630" s="83"/>
      <c r="H7630" s="83"/>
      <c r="K7630" s="82"/>
      <c r="M7630" s="112"/>
      <c r="N7630" s="84"/>
    </row>
    <row r="7631" spans="1:14" s="2" customFormat="1">
      <c r="A7631" s="83"/>
      <c r="H7631" s="83"/>
      <c r="K7631" s="82"/>
      <c r="M7631" s="112"/>
      <c r="N7631" s="84"/>
    </row>
    <row r="7632" spans="1:14" s="2" customFormat="1">
      <c r="A7632" s="83"/>
      <c r="H7632" s="83"/>
      <c r="K7632" s="82"/>
      <c r="M7632" s="112"/>
      <c r="N7632" s="84"/>
    </row>
    <row r="7633" spans="1:14" s="2" customFormat="1">
      <c r="A7633" s="83"/>
      <c r="H7633" s="83"/>
      <c r="K7633" s="82"/>
      <c r="M7633" s="112"/>
      <c r="N7633" s="84"/>
    </row>
    <row r="7634" spans="1:14" s="2" customFormat="1">
      <c r="A7634" s="83"/>
      <c r="H7634" s="83"/>
      <c r="K7634" s="82"/>
      <c r="M7634" s="112"/>
      <c r="N7634" s="84"/>
    </row>
    <row r="7635" spans="1:14" s="2" customFormat="1">
      <c r="A7635" s="83"/>
      <c r="H7635" s="83"/>
      <c r="K7635" s="82"/>
      <c r="M7635" s="112"/>
      <c r="N7635" s="84"/>
    </row>
    <row r="7636" spans="1:14" s="2" customFormat="1">
      <c r="A7636" s="83"/>
      <c r="H7636" s="83"/>
      <c r="K7636" s="82"/>
      <c r="M7636" s="112"/>
      <c r="N7636" s="84"/>
    </row>
    <row r="7637" spans="1:14" s="2" customFormat="1">
      <c r="A7637" s="83"/>
      <c r="H7637" s="83"/>
      <c r="K7637" s="82"/>
      <c r="M7637" s="112"/>
      <c r="N7637" s="84"/>
    </row>
    <row r="7638" spans="1:14" s="2" customFormat="1">
      <c r="A7638" s="83"/>
      <c r="H7638" s="83"/>
      <c r="K7638" s="82"/>
      <c r="M7638" s="112"/>
      <c r="N7638" s="84"/>
    </row>
    <row r="7639" spans="1:14" s="2" customFormat="1">
      <c r="A7639" s="83"/>
      <c r="H7639" s="83"/>
      <c r="K7639" s="82"/>
      <c r="M7639" s="112"/>
      <c r="N7639" s="84"/>
    </row>
    <row r="7640" spans="1:14" s="2" customFormat="1">
      <c r="A7640" s="83"/>
      <c r="H7640" s="83"/>
      <c r="K7640" s="82"/>
      <c r="M7640" s="112"/>
      <c r="N7640" s="84"/>
    </row>
    <row r="7641" spans="1:14" s="2" customFormat="1">
      <c r="A7641" s="83"/>
      <c r="H7641" s="83"/>
      <c r="K7641" s="82"/>
      <c r="M7641" s="112"/>
      <c r="N7641" s="84"/>
    </row>
    <row r="7642" spans="1:14" s="2" customFormat="1">
      <c r="A7642" s="83"/>
      <c r="H7642" s="83"/>
      <c r="K7642" s="82"/>
      <c r="M7642" s="112"/>
      <c r="N7642" s="84"/>
    </row>
    <row r="7643" spans="1:14" s="2" customFormat="1">
      <c r="A7643" s="83"/>
      <c r="H7643" s="83"/>
      <c r="K7643" s="82"/>
      <c r="M7643" s="112"/>
      <c r="N7643" s="84"/>
    </row>
    <row r="7644" spans="1:14" s="2" customFormat="1">
      <c r="A7644" s="83"/>
      <c r="H7644" s="83"/>
      <c r="K7644" s="82"/>
      <c r="M7644" s="112"/>
      <c r="N7644" s="84"/>
    </row>
    <row r="7645" spans="1:14" s="2" customFormat="1">
      <c r="A7645" s="83"/>
      <c r="H7645" s="83"/>
      <c r="K7645" s="82"/>
      <c r="M7645" s="112"/>
      <c r="N7645" s="84"/>
    </row>
    <row r="7646" spans="1:14" s="2" customFormat="1">
      <c r="A7646" s="83"/>
      <c r="H7646" s="83"/>
      <c r="K7646" s="82"/>
      <c r="M7646" s="112"/>
      <c r="N7646" s="84"/>
    </row>
    <row r="7647" spans="1:14" s="2" customFormat="1">
      <c r="A7647" s="83"/>
      <c r="H7647" s="83"/>
      <c r="K7647" s="82"/>
      <c r="M7647" s="112"/>
      <c r="N7647" s="84"/>
    </row>
    <row r="7648" spans="1:14" s="2" customFormat="1">
      <c r="A7648" s="83"/>
      <c r="H7648" s="83"/>
      <c r="K7648" s="82"/>
      <c r="M7648" s="112"/>
      <c r="N7648" s="84"/>
    </row>
    <row r="7649" spans="1:14" s="2" customFormat="1">
      <c r="A7649" s="83"/>
      <c r="H7649" s="83"/>
      <c r="K7649" s="82"/>
      <c r="M7649" s="112"/>
      <c r="N7649" s="84"/>
    </row>
    <row r="7650" spans="1:14" s="2" customFormat="1">
      <c r="A7650" s="83"/>
      <c r="H7650" s="83"/>
      <c r="K7650" s="82"/>
      <c r="M7650" s="112"/>
      <c r="N7650" s="84"/>
    </row>
    <row r="7651" spans="1:14" s="2" customFormat="1">
      <c r="A7651" s="83"/>
      <c r="H7651" s="83"/>
      <c r="K7651" s="82"/>
      <c r="M7651" s="112"/>
      <c r="N7651" s="84"/>
    </row>
    <row r="7652" spans="1:14" s="2" customFormat="1">
      <c r="A7652" s="83"/>
      <c r="H7652" s="83"/>
      <c r="K7652" s="82"/>
      <c r="M7652" s="112"/>
      <c r="N7652" s="84"/>
    </row>
    <row r="7653" spans="1:14" s="2" customFormat="1">
      <c r="A7653" s="83"/>
      <c r="H7653" s="83"/>
      <c r="K7653" s="82"/>
      <c r="M7653" s="112"/>
      <c r="N7653" s="84"/>
    </row>
    <row r="7654" spans="1:14" s="2" customFormat="1">
      <c r="A7654" s="83"/>
      <c r="H7654" s="83"/>
      <c r="K7654" s="82"/>
      <c r="M7654" s="112"/>
      <c r="N7654" s="84"/>
    </row>
    <row r="7655" spans="1:14" s="2" customFormat="1">
      <c r="A7655" s="83"/>
      <c r="H7655" s="83"/>
      <c r="K7655" s="82"/>
      <c r="M7655" s="112"/>
      <c r="N7655" s="84"/>
    </row>
    <row r="7656" spans="1:14" s="2" customFormat="1">
      <c r="A7656" s="83"/>
      <c r="H7656" s="83"/>
      <c r="K7656" s="82"/>
      <c r="M7656" s="112"/>
      <c r="N7656" s="84"/>
    </row>
    <row r="7657" spans="1:14" s="2" customFormat="1">
      <c r="A7657" s="83"/>
      <c r="H7657" s="83"/>
      <c r="K7657" s="82"/>
      <c r="M7657" s="112"/>
      <c r="N7657" s="84"/>
    </row>
    <row r="7658" spans="1:14" s="2" customFormat="1">
      <c r="A7658" s="83"/>
      <c r="H7658" s="83"/>
      <c r="K7658" s="82"/>
      <c r="M7658" s="112"/>
      <c r="N7658" s="84"/>
    </row>
    <row r="7659" spans="1:14" s="2" customFormat="1">
      <c r="A7659" s="83"/>
      <c r="H7659" s="83"/>
      <c r="K7659" s="82"/>
      <c r="M7659" s="112"/>
      <c r="N7659" s="84"/>
    </row>
    <row r="7660" spans="1:14" s="2" customFormat="1">
      <c r="A7660" s="83"/>
      <c r="H7660" s="83"/>
      <c r="K7660" s="82"/>
      <c r="M7660" s="112"/>
      <c r="N7660" s="84"/>
    </row>
    <row r="7661" spans="1:14" s="2" customFormat="1">
      <c r="A7661" s="83"/>
      <c r="H7661" s="83"/>
      <c r="K7661" s="82"/>
      <c r="M7661" s="112"/>
      <c r="N7661" s="84"/>
    </row>
    <row r="7662" spans="1:14" s="2" customFormat="1">
      <c r="A7662" s="83"/>
      <c r="H7662" s="83"/>
      <c r="K7662" s="82"/>
      <c r="M7662" s="112"/>
      <c r="N7662" s="84"/>
    </row>
    <row r="7663" spans="1:14" s="2" customFormat="1">
      <c r="A7663" s="83"/>
      <c r="H7663" s="83"/>
      <c r="K7663" s="82"/>
      <c r="M7663" s="112"/>
      <c r="N7663" s="84"/>
    </row>
    <row r="7664" spans="1:14" s="2" customFormat="1">
      <c r="A7664" s="83"/>
      <c r="H7664" s="83"/>
      <c r="K7664" s="82"/>
      <c r="M7664" s="112"/>
      <c r="N7664" s="84"/>
    </row>
    <row r="7665" spans="1:14" s="2" customFormat="1">
      <c r="A7665" s="83"/>
      <c r="H7665" s="83"/>
      <c r="K7665" s="82"/>
      <c r="M7665" s="112"/>
      <c r="N7665" s="84"/>
    </row>
    <row r="7666" spans="1:14" s="2" customFormat="1">
      <c r="A7666" s="83"/>
      <c r="H7666" s="83"/>
      <c r="K7666" s="82"/>
      <c r="M7666" s="112"/>
      <c r="N7666" s="84"/>
    </row>
    <row r="7667" spans="1:14" s="2" customFormat="1">
      <c r="A7667" s="83"/>
      <c r="H7667" s="83"/>
      <c r="K7667" s="82"/>
      <c r="M7667" s="112"/>
      <c r="N7667" s="84"/>
    </row>
    <row r="7668" spans="1:14" s="2" customFormat="1">
      <c r="A7668" s="83"/>
      <c r="H7668" s="83"/>
      <c r="K7668" s="82"/>
      <c r="M7668" s="112"/>
      <c r="N7668" s="84"/>
    </row>
    <row r="7669" spans="1:14" s="2" customFormat="1">
      <c r="A7669" s="83"/>
      <c r="H7669" s="83"/>
      <c r="K7669" s="82"/>
      <c r="M7669" s="112"/>
      <c r="N7669" s="84"/>
    </row>
    <row r="7670" spans="1:14" s="2" customFormat="1">
      <c r="A7670" s="83"/>
      <c r="H7670" s="83"/>
      <c r="K7670" s="82"/>
      <c r="M7670" s="112"/>
      <c r="N7670" s="84"/>
    </row>
    <row r="7671" spans="1:14" s="2" customFormat="1">
      <c r="A7671" s="83"/>
      <c r="H7671" s="83"/>
      <c r="K7671" s="82"/>
      <c r="M7671" s="112"/>
      <c r="N7671" s="84"/>
    </row>
    <row r="7672" spans="1:14" s="2" customFormat="1">
      <c r="A7672" s="83"/>
      <c r="H7672" s="83"/>
      <c r="K7672" s="82"/>
      <c r="M7672" s="112"/>
      <c r="N7672" s="84"/>
    </row>
    <row r="7673" spans="1:14" s="2" customFormat="1">
      <c r="A7673" s="83"/>
      <c r="H7673" s="83"/>
      <c r="K7673" s="82"/>
      <c r="M7673" s="112"/>
      <c r="N7673" s="84"/>
    </row>
    <row r="7674" spans="1:14" s="2" customFormat="1">
      <c r="A7674" s="83"/>
      <c r="H7674" s="83"/>
      <c r="K7674" s="82"/>
      <c r="M7674" s="112"/>
      <c r="N7674" s="84"/>
    </row>
    <row r="7675" spans="1:14" s="2" customFormat="1">
      <c r="A7675" s="83"/>
      <c r="H7675" s="83"/>
      <c r="K7675" s="82"/>
      <c r="M7675" s="112"/>
      <c r="N7675" s="84"/>
    </row>
    <row r="7676" spans="1:14" s="2" customFormat="1">
      <c r="A7676" s="83"/>
      <c r="H7676" s="83"/>
      <c r="K7676" s="82"/>
      <c r="M7676" s="112"/>
      <c r="N7676" s="84"/>
    </row>
    <row r="7677" spans="1:14" s="2" customFormat="1">
      <c r="A7677" s="83"/>
      <c r="H7677" s="83"/>
      <c r="K7677" s="82"/>
      <c r="M7677" s="112"/>
      <c r="N7677" s="84"/>
    </row>
    <row r="7678" spans="1:14" s="2" customFormat="1">
      <c r="A7678" s="83"/>
      <c r="H7678" s="83"/>
      <c r="K7678" s="82"/>
      <c r="M7678" s="112"/>
      <c r="N7678" s="84"/>
    </row>
    <row r="7679" spans="1:14" s="2" customFormat="1">
      <c r="A7679" s="83"/>
      <c r="H7679" s="83"/>
      <c r="K7679" s="82"/>
      <c r="M7679" s="112"/>
      <c r="N7679" s="84"/>
    </row>
    <row r="7680" spans="1:14" s="2" customFormat="1">
      <c r="A7680" s="83"/>
      <c r="H7680" s="83"/>
      <c r="K7680" s="82"/>
      <c r="M7680" s="112"/>
      <c r="N7680" s="84"/>
    </row>
    <row r="7681" spans="1:14" s="2" customFormat="1">
      <c r="A7681" s="83"/>
      <c r="H7681" s="83"/>
      <c r="K7681" s="82"/>
      <c r="M7681" s="112"/>
      <c r="N7681" s="84"/>
    </row>
    <row r="7682" spans="1:14" s="2" customFormat="1">
      <c r="A7682" s="83"/>
      <c r="H7682" s="83"/>
      <c r="K7682" s="82"/>
      <c r="M7682" s="112"/>
      <c r="N7682" s="84"/>
    </row>
    <row r="7683" spans="1:14" s="2" customFormat="1">
      <c r="A7683" s="83"/>
      <c r="H7683" s="83"/>
      <c r="K7683" s="82"/>
      <c r="M7683" s="112"/>
      <c r="N7683" s="84"/>
    </row>
    <row r="7684" spans="1:14" s="2" customFormat="1">
      <c r="A7684" s="83"/>
      <c r="H7684" s="83"/>
      <c r="K7684" s="82"/>
      <c r="M7684" s="112"/>
      <c r="N7684" s="84"/>
    </row>
    <row r="7685" spans="1:14" s="2" customFormat="1">
      <c r="A7685" s="83"/>
      <c r="H7685" s="83"/>
      <c r="K7685" s="82"/>
      <c r="M7685" s="112"/>
      <c r="N7685" s="84"/>
    </row>
    <row r="7686" spans="1:14" s="2" customFormat="1">
      <c r="A7686" s="83"/>
      <c r="H7686" s="83"/>
      <c r="K7686" s="82"/>
      <c r="M7686" s="112"/>
      <c r="N7686" s="84"/>
    </row>
    <row r="7687" spans="1:14" s="2" customFormat="1">
      <c r="A7687" s="83"/>
      <c r="H7687" s="83"/>
      <c r="K7687" s="82"/>
      <c r="M7687" s="112"/>
      <c r="N7687" s="84"/>
    </row>
    <row r="7688" spans="1:14" s="2" customFormat="1">
      <c r="A7688" s="83"/>
      <c r="H7688" s="83"/>
      <c r="K7688" s="82"/>
      <c r="M7688" s="112"/>
      <c r="N7688" s="84"/>
    </row>
    <row r="7689" spans="1:14" s="2" customFormat="1">
      <c r="A7689" s="83"/>
      <c r="H7689" s="83"/>
      <c r="K7689" s="82"/>
      <c r="M7689" s="112"/>
      <c r="N7689" s="84"/>
    </row>
    <row r="7690" spans="1:14" s="2" customFormat="1">
      <c r="A7690" s="83"/>
      <c r="H7690" s="83"/>
      <c r="K7690" s="82"/>
      <c r="M7690" s="112"/>
      <c r="N7690" s="84"/>
    </row>
    <row r="7691" spans="1:14" s="2" customFormat="1">
      <c r="A7691" s="83"/>
      <c r="H7691" s="83"/>
      <c r="K7691" s="82"/>
      <c r="M7691" s="112"/>
      <c r="N7691" s="84"/>
    </row>
    <row r="7692" spans="1:14" s="2" customFormat="1">
      <c r="A7692" s="83"/>
      <c r="H7692" s="83"/>
      <c r="K7692" s="82"/>
      <c r="M7692" s="112"/>
      <c r="N7692" s="84"/>
    </row>
    <row r="7693" spans="1:14" s="2" customFormat="1">
      <c r="A7693" s="83"/>
      <c r="H7693" s="83"/>
      <c r="K7693" s="82"/>
      <c r="M7693" s="112"/>
      <c r="N7693" s="84"/>
    </row>
    <row r="7694" spans="1:14" s="2" customFormat="1">
      <c r="A7694" s="83"/>
      <c r="H7694" s="83"/>
      <c r="K7694" s="82"/>
      <c r="M7694" s="112"/>
      <c r="N7694" s="84"/>
    </row>
    <row r="7695" spans="1:14" s="2" customFormat="1">
      <c r="A7695" s="83"/>
      <c r="H7695" s="83"/>
      <c r="K7695" s="82"/>
      <c r="M7695" s="112"/>
      <c r="N7695" s="84"/>
    </row>
    <row r="7696" spans="1:14" s="2" customFormat="1">
      <c r="A7696" s="83"/>
      <c r="H7696" s="83"/>
      <c r="K7696" s="82"/>
      <c r="M7696" s="112"/>
      <c r="N7696" s="84"/>
    </row>
    <row r="7697" spans="1:14" s="2" customFormat="1">
      <c r="A7697" s="83"/>
      <c r="H7697" s="83"/>
      <c r="K7697" s="82"/>
      <c r="M7697" s="112"/>
      <c r="N7697" s="84"/>
    </row>
    <row r="7698" spans="1:14" s="2" customFormat="1">
      <c r="A7698" s="83"/>
      <c r="H7698" s="83"/>
      <c r="K7698" s="82"/>
      <c r="M7698" s="112"/>
      <c r="N7698" s="84"/>
    </row>
    <row r="7699" spans="1:14" s="2" customFormat="1">
      <c r="A7699" s="83"/>
      <c r="H7699" s="83"/>
      <c r="K7699" s="82"/>
      <c r="M7699" s="112"/>
      <c r="N7699" s="84"/>
    </row>
    <row r="7700" spans="1:14" s="2" customFormat="1">
      <c r="A7700" s="83"/>
      <c r="H7700" s="83"/>
      <c r="K7700" s="82"/>
      <c r="M7700" s="112"/>
      <c r="N7700" s="84"/>
    </row>
    <row r="7701" spans="1:14" s="2" customFormat="1">
      <c r="A7701" s="83"/>
      <c r="H7701" s="83"/>
      <c r="K7701" s="82"/>
      <c r="M7701" s="112"/>
      <c r="N7701" s="84"/>
    </row>
    <row r="7702" spans="1:14" s="2" customFormat="1">
      <c r="A7702" s="83"/>
      <c r="H7702" s="83"/>
      <c r="K7702" s="82"/>
      <c r="M7702" s="112"/>
      <c r="N7702" s="84"/>
    </row>
    <row r="7703" spans="1:14" s="2" customFormat="1">
      <c r="A7703" s="83"/>
      <c r="H7703" s="83"/>
      <c r="K7703" s="82"/>
      <c r="M7703" s="112"/>
      <c r="N7703" s="84"/>
    </row>
    <row r="7704" spans="1:14" s="2" customFormat="1">
      <c r="A7704" s="83"/>
      <c r="H7704" s="83"/>
      <c r="K7704" s="82"/>
      <c r="M7704" s="112"/>
      <c r="N7704" s="84"/>
    </row>
    <row r="7705" spans="1:14" s="2" customFormat="1">
      <c r="A7705" s="83"/>
      <c r="H7705" s="83"/>
      <c r="K7705" s="82"/>
      <c r="M7705" s="112"/>
      <c r="N7705" s="84"/>
    </row>
    <row r="7706" spans="1:14" s="2" customFormat="1">
      <c r="A7706" s="83"/>
      <c r="H7706" s="83"/>
      <c r="K7706" s="82"/>
      <c r="M7706" s="112"/>
      <c r="N7706" s="84"/>
    </row>
    <row r="7707" spans="1:14" s="2" customFormat="1">
      <c r="A7707" s="83"/>
      <c r="H7707" s="83"/>
      <c r="K7707" s="82"/>
      <c r="M7707" s="112"/>
      <c r="N7707" s="84"/>
    </row>
    <row r="7708" spans="1:14" s="2" customFormat="1">
      <c r="A7708" s="83"/>
      <c r="H7708" s="83"/>
      <c r="K7708" s="82"/>
      <c r="M7708" s="112"/>
      <c r="N7708" s="84"/>
    </row>
    <row r="7709" spans="1:14" s="2" customFormat="1">
      <c r="A7709" s="83"/>
      <c r="H7709" s="83"/>
      <c r="K7709" s="82"/>
      <c r="M7709" s="112"/>
      <c r="N7709" s="84"/>
    </row>
    <row r="7710" spans="1:14" s="2" customFormat="1">
      <c r="A7710" s="83"/>
      <c r="H7710" s="83"/>
      <c r="K7710" s="82"/>
      <c r="M7710" s="112"/>
      <c r="N7710" s="84"/>
    </row>
    <row r="7711" spans="1:14" s="2" customFormat="1">
      <c r="A7711" s="83"/>
      <c r="H7711" s="83"/>
      <c r="K7711" s="82"/>
      <c r="M7711" s="112"/>
      <c r="N7711" s="84"/>
    </row>
    <row r="7712" spans="1:14" s="2" customFormat="1">
      <c r="A7712" s="83"/>
      <c r="H7712" s="83"/>
      <c r="K7712" s="82"/>
      <c r="M7712" s="112"/>
      <c r="N7712" s="84"/>
    </row>
    <row r="7713" spans="1:14" s="2" customFormat="1">
      <c r="A7713" s="83"/>
      <c r="H7713" s="83"/>
      <c r="K7713" s="82"/>
      <c r="M7713" s="112"/>
      <c r="N7713" s="84"/>
    </row>
    <row r="7714" spans="1:14" s="2" customFormat="1">
      <c r="A7714" s="83"/>
      <c r="H7714" s="83"/>
      <c r="K7714" s="82"/>
      <c r="M7714" s="112"/>
      <c r="N7714" s="84"/>
    </row>
    <row r="7715" spans="1:14" s="2" customFormat="1">
      <c r="A7715" s="83"/>
      <c r="H7715" s="83"/>
      <c r="K7715" s="82"/>
      <c r="M7715" s="112"/>
      <c r="N7715" s="84"/>
    </row>
    <row r="7716" spans="1:14" s="2" customFormat="1">
      <c r="A7716" s="83"/>
      <c r="H7716" s="83"/>
      <c r="K7716" s="82"/>
      <c r="M7716" s="112"/>
      <c r="N7716" s="84"/>
    </row>
    <row r="7717" spans="1:14" s="2" customFormat="1">
      <c r="A7717" s="83"/>
      <c r="H7717" s="83"/>
      <c r="K7717" s="82"/>
      <c r="M7717" s="112"/>
      <c r="N7717" s="84"/>
    </row>
    <row r="7718" spans="1:14" s="2" customFormat="1">
      <c r="A7718" s="83"/>
      <c r="H7718" s="83"/>
      <c r="K7718" s="82"/>
      <c r="M7718" s="112"/>
      <c r="N7718" s="84"/>
    </row>
    <row r="7719" spans="1:14" s="2" customFormat="1">
      <c r="A7719" s="83"/>
      <c r="H7719" s="83"/>
      <c r="K7719" s="82"/>
      <c r="M7719" s="112"/>
      <c r="N7719" s="84"/>
    </row>
    <row r="7720" spans="1:14" s="2" customFormat="1">
      <c r="A7720" s="83"/>
      <c r="H7720" s="83"/>
      <c r="K7720" s="82"/>
      <c r="M7720" s="112"/>
      <c r="N7720" s="84"/>
    </row>
    <row r="7721" spans="1:14" s="2" customFormat="1">
      <c r="A7721" s="83"/>
      <c r="H7721" s="83"/>
      <c r="K7721" s="82"/>
      <c r="M7721" s="112"/>
      <c r="N7721" s="84"/>
    </row>
    <row r="7722" spans="1:14" s="2" customFormat="1">
      <c r="A7722" s="83"/>
      <c r="H7722" s="83"/>
      <c r="K7722" s="82"/>
      <c r="M7722" s="112"/>
      <c r="N7722" s="84"/>
    </row>
    <row r="7723" spans="1:14" s="2" customFormat="1">
      <c r="A7723" s="83"/>
      <c r="H7723" s="83"/>
      <c r="K7723" s="82"/>
      <c r="M7723" s="112"/>
      <c r="N7723" s="84"/>
    </row>
    <row r="7724" spans="1:14" s="2" customFormat="1">
      <c r="A7724" s="83"/>
      <c r="H7724" s="83"/>
      <c r="K7724" s="82"/>
      <c r="M7724" s="112"/>
      <c r="N7724" s="84"/>
    </row>
    <row r="7725" spans="1:14" s="2" customFormat="1">
      <c r="A7725" s="83"/>
      <c r="H7725" s="83"/>
      <c r="K7725" s="82"/>
      <c r="M7725" s="112"/>
      <c r="N7725" s="84"/>
    </row>
    <row r="7726" spans="1:14" s="2" customFormat="1">
      <c r="A7726" s="83"/>
      <c r="H7726" s="83"/>
      <c r="K7726" s="82"/>
      <c r="M7726" s="112"/>
      <c r="N7726" s="84"/>
    </row>
    <row r="7727" spans="1:14" s="2" customFormat="1">
      <c r="A7727" s="83"/>
      <c r="H7727" s="83"/>
      <c r="K7727" s="82"/>
      <c r="M7727" s="112"/>
      <c r="N7727" s="84"/>
    </row>
    <row r="7728" spans="1:14" s="2" customFormat="1">
      <c r="A7728" s="83"/>
      <c r="H7728" s="83"/>
      <c r="K7728" s="82"/>
      <c r="M7728" s="112"/>
      <c r="N7728" s="84"/>
    </row>
    <row r="7729" spans="1:14" s="2" customFormat="1">
      <c r="A7729" s="83"/>
      <c r="H7729" s="83"/>
      <c r="K7729" s="82"/>
      <c r="M7729" s="112"/>
      <c r="N7729" s="84"/>
    </row>
    <row r="7730" spans="1:14" s="2" customFormat="1">
      <c r="A7730" s="83"/>
      <c r="H7730" s="83"/>
      <c r="K7730" s="82"/>
      <c r="M7730" s="112"/>
      <c r="N7730" s="84"/>
    </row>
    <row r="7731" spans="1:14" s="2" customFormat="1">
      <c r="A7731" s="83"/>
      <c r="H7731" s="83"/>
      <c r="K7731" s="82"/>
      <c r="M7731" s="112"/>
      <c r="N7731" s="84"/>
    </row>
    <row r="7732" spans="1:14" s="2" customFormat="1">
      <c r="A7732" s="83"/>
      <c r="H7732" s="83"/>
      <c r="K7732" s="82"/>
      <c r="M7732" s="112"/>
      <c r="N7732" s="84"/>
    </row>
    <row r="7733" spans="1:14" s="2" customFormat="1">
      <c r="A7733" s="83"/>
      <c r="H7733" s="83"/>
      <c r="K7733" s="82"/>
      <c r="M7733" s="112"/>
      <c r="N7733" s="84"/>
    </row>
    <row r="7734" spans="1:14" s="2" customFormat="1">
      <c r="A7734" s="83"/>
      <c r="H7734" s="83"/>
      <c r="K7734" s="82"/>
      <c r="M7734" s="112"/>
      <c r="N7734" s="84"/>
    </row>
    <row r="7735" spans="1:14" s="2" customFormat="1">
      <c r="A7735" s="83"/>
      <c r="H7735" s="83"/>
      <c r="K7735" s="82"/>
      <c r="M7735" s="112"/>
      <c r="N7735" s="84"/>
    </row>
    <row r="7736" spans="1:14" s="2" customFormat="1">
      <c r="A7736" s="83"/>
      <c r="H7736" s="83"/>
      <c r="K7736" s="82"/>
      <c r="M7736" s="112"/>
      <c r="N7736" s="84"/>
    </row>
    <row r="7737" spans="1:14" s="2" customFormat="1">
      <c r="A7737" s="83"/>
      <c r="H7737" s="83"/>
      <c r="K7737" s="82"/>
      <c r="M7737" s="112"/>
      <c r="N7737" s="84"/>
    </row>
    <row r="7738" spans="1:14" s="2" customFormat="1">
      <c r="A7738" s="83"/>
      <c r="H7738" s="83"/>
      <c r="K7738" s="82"/>
      <c r="M7738" s="112"/>
      <c r="N7738" s="84"/>
    </row>
    <row r="7739" spans="1:14" s="2" customFormat="1">
      <c r="A7739" s="83"/>
      <c r="H7739" s="83"/>
      <c r="K7739" s="82"/>
      <c r="M7739" s="112"/>
      <c r="N7739" s="84"/>
    </row>
    <row r="7740" spans="1:14" s="2" customFormat="1">
      <c r="A7740" s="83"/>
      <c r="H7740" s="83"/>
      <c r="K7740" s="82"/>
      <c r="M7740" s="112"/>
      <c r="N7740" s="84"/>
    </row>
    <row r="7741" spans="1:14" s="2" customFormat="1">
      <c r="A7741" s="83"/>
      <c r="H7741" s="83"/>
      <c r="K7741" s="82"/>
      <c r="M7741" s="112"/>
      <c r="N7741" s="84"/>
    </row>
    <row r="7742" spans="1:14" s="2" customFormat="1">
      <c r="A7742" s="83"/>
      <c r="H7742" s="83"/>
      <c r="K7742" s="82"/>
      <c r="M7742" s="112"/>
      <c r="N7742" s="84"/>
    </row>
    <row r="7743" spans="1:14" s="2" customFormat="1">
      <c r="A7743" s="83"/>
      <c r="H7743" s="83"/>
      <c r="K7743" s="82"/>
      <c r="M7743" s="112"/>
      <c r="N7743" s="84"/>
    </row>
    <row r="7744" spans="1:14" s="2" customFormat="1">
      <c r="A7744" s="83"/>
      <c r="H7744" s="83"/>
      <c r="K7744" s="82"/>
      <c r="M7744" s="112"/>
      <c r="N7744" s="84"/>
    </row>
    <row r="7745" spans="1:14" s="2" customFormat="1">
      <c r="A7745" s="83"/>
      <c r="H7745" s="83"/>
      <c r="K7745" s="82"/>
      <c r="M7745" s="112"/>
      <c r="N7745" s="84"/>
    </row>
    <row r="7746" spans="1:14" s="2" customFormat="1">
      <c r="A7746" s="83"/>
      <c r="H7746" s="83"/>
      <c r="K7746" s="82"/>
      <c r="M7746" s="112"/>
      <c r="N7746" s="84"/>
    </row>
    <row r="7747" spans="1:14" s="2" customFormat="1">
      <c r="A7747" s="83"/>
      <c r="H7747" s="83"/>
      <c r="K7747" s="82"/>
      <c r="M7747" s="112"/>
      <c r="N7747" s="84"/>
    </row>
    <row r="7748" spans="1:14" s="2" customFormat="1">
      <c r="A7748" s="83"/>
      <c r="H7748" s="83"/>
      <c r="K7748" s="82"/>
      <c r="M7748" s="112"/>
      <c r="N7748" s="84"/>
    </row>
    <row r="7749" spans="1:14" s="2" customFormat="1">
      <c r="A7749" s="83"/>
      <c r="H7749" s="83"/>
      <c r="K7749" s="82"/>
      <c r="M7749" s="112"/>
      <c r="N7749" s="84"/>
    </row>
    <row r="7750" spans="1:14" s="2" customFormat="1">
      <c r="A7750" s="83"/>
      <c r="H7750" s="83"/>
      <c r="K7750" s="82"/>
      <c r="M7750" s="112"/>
      <c r="N7750" s="84"/>
    </row>
    <row r="7751" spans="1:14" s="2" customFormat="1">
      <c r="A7751" s="83"/>
      <c r="H7751" s="83"/>
      <c r="K7751" s="82"/>
      <c r="M7751" s="112"/>
      <c r="N7751" s="84"/>
    </row>
    <row r="7752" spans="1:14" s="2" customFormat="1">
      <c r="A7752" s="83"/>
      <c r="H7752" s="83"/>
      <c r="K7752" s="82"/>
      <c r="M7752" s="112"/>
      <c r="N7752" s="84"/>
    </row>
    <row r="7753" spans="1:14" s="2" customFormat="1">
      <c r="A7753" s="83"/>
      <c r="H7753" s="83"/>
      <c r="K7753" s="82"/>
      <c r="M7753" s="112"/>
      <c r="N7753" s="84"/>
    </row>
    <row r="7754" spans="1:14" s="2" customFormat="1">
      <c r="A7754" s="83"/>
      <c r="H7754" s="83"/>
      <c r="K7754" s="82"/>
      <c r="M7754" s="112"/>
      <c r="N7754" s="84"/>
    </row>
    <row r="7755" spans="1:14" s="2" customFormat="1">
      <c r="A7755" s="83"/>
      <c r="H7755" s="83"/>
      <c r="K7755" s="82"/>
      <c r="M7755" s="112"/>
      <c r="N7755" s="84"/>
    </row>
    <row r="7756" spans="1:14" s="2" customFormat="1">
      <c r="A7756" s="83"/>
      <c r="H7756" s="83"/>
      <c r="K7756" s="82"/>
      <c r="M7756" s="112"/>
      <c r="N7756" s="84"/>
    </row>
    <row r="7757" spans="1:14" s="2" customFormat="1">
      <c r="A7757" s="83"/>
      <c r="H7757" s="83"/>
      <c r="K7757" s="82"/>
      <c r="M7757" s="112"/>
      <c r="N7757" s="84"/>
    </row>
    <row r="7758" spans="1:14" s="2" customFormat="1">
      <c r="A7758" s="83"/>
      <c r="H7758" s="83"/>
      <c r="K7758" s="82"/>
      <c r="M7758" s="112"/>
      <c r="N7758" s="84"/>
    </row>
    <row r="7759" spans="1:14" s="2" customFormat="1">
      <c r="A7759" s="83"/>
      <c r="H7759" s="83"/>
      <c r="K7759" s="82"/>
      <c r="M7759" s="112"/>
      <c r="N7759" s="84"/>
    </row>
    <row r="7760" spans="1:14" s="2" customFormat="1">
      <c r="A7760" s="83"/>
      <c r="H7760" s="83"/>
      <c r="K7760" s="82"/>
      <c r="M7760" s="112"/>
      <c r="N7760" s="84"/>
    </row>
    <row r="7761" spans="1:14" s="2" customFormat="1">
      <c r="A7761" s="83"/>
      <c r="H7761" s="83"/>
      <c r="K7761" s="82"/>
      <c r="M7761" s="112"/>
      <c r="N7761" s="84"/>
    </row>
    <row r="7762" spans="1:14" s="2" customFormat="1">
      <c r="A7762" s="83"/>
      <c r="H7762" s="83"/>
      <c r="K7762" s="82"/>
      <c r="M7762" s="112"/>
      <c r="N7762" s="84"/>
    </row>
    <row r="7763" spans="1:14" s="2" customFormat="1">
      <c r="A7763" s="83"/>
      <c r="H7763" s="83"/>
      <c r="K7763" s="82"/>
      <c r="M7763" s="112"/>
      <c r="N7763" s="84"/>
    </row>
    <row r="7764" spans="1:14" s="2" customFormat="1">
      <c r="A7764" s="83"/>
      <c r="H7764" s="83"/>
      <c r="K7764" s="82"/>
      <c r="M7764" s="112"/>
      <c r="N7764" s="84"/>
    </row>
    <row r="7765" spans="1:14" s="2" customFormat="1">
      <c r="A7765" s="83"/>
      <c r="H7765" s="83"/>
      <c r="K7765" s="82"/>
      <c r="M7765" s="112"/>
      <c r="N7765" s="84"/>
    </row>
    <row r="7766" spans="1:14" s="2" customFormat="1">
      <c r="A7766" s="83"/>
      <c r="H7766" s="83"/>
      <c r="K7766" s="82"/>
      <c r="M7766" s="112"/>
      <c r="N7766" s="84"/>
    </row>
    <row r="7767" spans="1:14" s="2" customFormat="1">
      <c r="A7767" s="83"/>
      <c r="H7767" s="83"/>
      <c r="K7767" s="82"/>
      <c r="M7767" s="112"/>
      <c r="N7767" s="84"/>
    </row>
    <row r="7768" spans="1:14" s="2" customFormat="1">
      <c r="A7768" s="83"/>
      <c r="H7768" s="83"/>
      <c r="K7768" s="82"/>
      <c r="M7768" s="112"/>
      <c r="N7768" s="84"/>
    </row>
    <row r="7769" spans="1:14" s="2" customFormat="1">
      <c r="A7769" s="83"/>
      <c r="H7769" s="83"/>
      <c r="K7769" s="82"/>
      <c r="M7769" s="112"/>
      <c r="N7769" s="84"/>
    </row>
    <row r="7770" spans="1:14" s="2" customFormat="1">
      <c r="A7770" s="83"/>
      <c r="H7770" s="83"/>
      <c r="K7770" s="82"/>
      <c r="M7770" s="112"/>
      <c r="N7770" s="84"/>
    </row>
    <row r="7771" spans="1:14" s="2" customFormat="1">
      <c r="A7771" s="83"/>
      <c r="H7771" s="83"/>
      <c r="K7771" s="82"/>
      <c r="M7771" s="112"/>
      <c r="N7771" s="84"/>
    </row>
    <row r="7772" spans="1:14" s="2" customFormat="1">
      <c r="A7772" s="83"/>
      <c r="H7772" s="83"/>
      <c r="K7772" s="82"/>
      <c r="M7772" s="112"/>
      <c r="N7772" s="84"/>
    </row>
    <row r="7773" spans="1:14" s="2" customFormat="1">
      <c r="A7773" s="83"/>
      <c r="H7773" s="83"/>
      <c r="K7773" s="82"/>
      <c r="M7773" s="112"/>
      <c r="N7773" s="84"/>
    </row>
    <row r="7774" spans="1:14" s="2" customFormat="1">
      <c r="A7774" s="83"/>
      <c r="H7774" s="83"/>
      <c r="K7774" s="82"/>
      <c r="M7774" s="112"/>
      <c r="N7774" s="84"/>
    </row>
    <row r="7775" spans="1:14" s="2" customFormat="1">
      <c r="A7775" s="83"/>
      <c r="H7775" s="83"/>
      <c r="K7775" s="82"/>
      <c r="M7775" s="112"/>
      <c r="N7775" s="84"/>
    </row>
    <row r="7776" spans="1:14" s="2" customFormat="1">
      <c r="A7776" s="83"/>
      <c r="H7776" s="83"/>
      <c r="K7776" s="82"/>
      <c r="M7776" s="112"/>
      <c r="N7776" s="84"/>
    </row>
    <row r="7777" spans="1:14" s="2" customFormat="1">
      <c r="A7777" s="83"/>
      <c r="H7777" s="83"/>
      <c r="K7777" s="82"/>
      <c r="M7777" s="112"/>
      <c r="N7777" s="84"/>
    </row>
    <row r="7778" spans="1:14" s="2" customFormat="1">
      <c r="A7778" s="83"/>
      <c r="H7778" s="83"/>
      <c r="K7778" s="82"/>
      <c r="M7778" s="112"/>
      <c r="N7778" s="84"/>
    </row>
    <row r="7779" spans="1:14" s="2" customFormat="1">
      <c r="A7779" s="83"/>
      <c r="H7779" s="83"/>
      <c r="K7779" s="82"/>
      <c r="M7779" s="112"/>
      <c r="N7779" s="84"/>
    </row>
    <row r="7780" spans="1:14" s="2" customFormat="1">
      <c r="A7780" s="83"/>
      <c r="H7780" s="83"/>
      <c r="K7780" s="82"/>
      <c r="M7780" s="112"/>
      <c r="N7780" s="84"/>
    </row>
    <row r="7781" spans="1:14" s="2" customFormat="1">
      <c r="A7781" s="83"/>
      <c r="H7781" s="83"/>
      <c r="K7781" s="82"/>
      <c r="M7781" s="112"/>
      <c r="N7781" s="84"/>
    </row>
    <row r="7782" spans="1:14" s="2" customFormat="1">
      <c r="A7782" s="83"/>
      <c r="H7782" s="83"/>
      <c r="K7782" s="82"/>
      <c r="M7782" s="112"/>
      <c r="N7782" s="84"/>
    </row>
    <row r="7783" spans="1:14" s="2" customFormat="1">
      <c r="A7783" s="83"/>
      <c r="H7783" s="83"/>
      <c r="K7783" s="82"/>
      <c r="M7783" s="112"/>
      <c r="N7783" s="84"/>
    </row>
    <row r="7784" spans="1:14" s="2" customFormat="1">
      <c r="A7784" s="83"/>
      <c r="H7784" s="83"/>
      <c r="K7784" s="82"/>
      <c r="M7784" s="112"/>
      <c r="N7784" s="84"/>
    </row>
    <row r="7785" spans="1:14" s="2" customFormat="1">
      <c r="A7785" s="83"/>
      <c r="H7785" s="83"/>
      <c r="K7785" s="82"/>
      <c r="M7785" s="112"/>
      <c r="N7785" s="84"/>
    </row>
    <row r="7786" spans="1:14" s="2" customFormat="1">
      <c r="A7786" s="83"/>
      <c r="H7786" s="83"/>
      <c r="K7786" s="82"/>
      <c r="M7786" s="112"/>
      <c r="N7786" s="84"/>
    </row>
    <row r="7787" spans="1:14" s="2" customFormat="1">
      <c r="A7787" s="83"/>
      <c r="H7787" s="83"/>
      <c r="K7787" s="82"/>
      <c r="M7787" s="112"/>
      <c r="N7787" s="84"/>
    </row>
    <row r="7788" spans="1:14" s="2" customFormat="1">
      <c r="A7788" s="83"/>
      <c r="H7788" s="83"/>
      <c r="K7788" s="82"/>
      <c r="M7788" s="112"/>
      <c r="N7788" s="84"/>
    </row>
    <row r="7789" spans="1:14" s="2" customFormat="1">
      <c r="A7789" s="83"/>
      <c r="H7789" s="83"/>
      <c r="K7789" s="82"/>
      <c r="M7789" s="112"/>
      <c r="N7789" s="84"/>
    </row>
    <row r="7790" spans="1:14" s="2" customFormat="1">
      <c r="A7790" s="83"/>
      <c r="H7790" s="83"/>
      <c r="K7790" s="82"/>
      <c r="M7790" s="112"/>
      <c r="N7790" s="84"/>
    </row>
    <row r="7791" spans="1:14" s="2" customFormat="1">
      <c r="A7791" s="83"/>
      <c r="H7791" s="83"/>
      <c r="K7791" s="82"/>
      <c r="M7791" s="112"/>
      <c r="N7791" s="84"/>
    </row>
    <row r="7792" spans="1:14" s="2" customFormat="1">
      <c r="A7792" s="83"/>
      <c r="H7792" s="83"/>
      <c r="K7792" s="82"/>
      <c r="M7792" s="112"/>
      <c r="N7792" s="84"/>
    </row>
    <row r="7793" spans="1:14" s="2" customFormat="1">
      <c r="A7793" s="83"/>
      <c r="H7793" s="83"/>
      <c r="K7793" s="82"/>
      <c r="M7793" s="112"/>
      <c r="N7793" s="84"/>
    </row>
    <row r="7794" spans="1:14" s="2" customFormat="1">
      <c r="A7794" s="83"/>
      <c r="H7794" s="83"/>
      <c r="K7794" s="82"/>
      <c r="M7794" s="112"/>
      <c r="N7794" s="84"/>
    </row>
    <row r="7795" spans="1:14" s="2" customFormat="1">
      <c r="A7795" s="83"/>
      <c r="H7795" s="83"/>
      <c r="K7795" s="82"/>
      <c r="M7795" s="112"/>
      <c r="N7795" s="84"/>
    </row>
    <row r="7796" spans="1:14" s="2" customFormat="1">
      <c r="A7796" s="83"/>
      <c r="H7796" s="83"/>
      <c r="K7796" s="82"/>
      <c r="M7796" s="112"/>
      <c r="N7796" s="84"/>
    </row>
    <row r="7797" spans="1:14" s="2" customFormat="1">
      <c r="A7797" s="83"/>
      <c r="H7797" s="83"/>
      <c r="K7797" s="82"/>
      <c r="M7797" s="112"/>
      <c r="N7797" s="84"/>
    </row>
    <row r="7798" spans="1:14" s="2" customFormat="1">
      <c r="A7798" s="83"/>
      <c r="H7798" s="83"/>
      <c r="K7798" s="82"/>
      <c r="M7798" s="112"/>
      <c r="N7798" s="84"/>
    </row>
    <row r="7799" spans="1:14" s="2" customFormat="1">
      <c r="A7799" s="83"/>
      <c r="H7799" s="83"/>
      <c r="K7799" s="82"/>
      <c r="M7799" s="112"/>
      <c r="N7799" s="84"/>
    </row>
    <row r="7800" spans="1:14" s="2" customFormat="1">
      <c r="A7800" s="83"/>
      <c r="H7800" s="83"/>
      <c r="K7800" s="82"/>
      <c r="M7800" s="112"/>
      <c r="N7800" s="84"/>
    </row>
    <row r="7801" spans="1:14" s="2" customFormat="1">
      <c r="A7801" s="83"/>
      <c r="H7801" s="83"/>
      <c r="K7801" s="82"/>
      <c r="M7801" s="112"/>
      <c r="N7801" s="84"/>
    </row>
    <row r="7802" spans="1:14" s="2" customFormat="1">
      <c r="A7802" s="83"/>
      <c r="H7802" s="83"/>
      <c r="K7802" s="82"/>
      <c r="M7802" s="112"/>
      <c r="N7802" s="84"/>
    </row>
    <row r="7803" spans="1:14" s="2" customFormat="1">
      <c r="A7803" s="83"/>
      <c r="H7803" s="83"/>
      <c r="K7803" s="82"/>
      <c r="M7803" s="112"/>
      <c r="N7803" s="84"/>
    </row>
    <row r="7804" spans="1:14" s="2" customFormat="1">
      <c r="A7804" s="83"/>
      <c r="H7804" s="83"/>
      <c r="K7804" s="82"/>
      <c r="M7804" s="112"/>
      <c r="N7804" s="84"/>
    </row>
    <row r="7805" spans="1:14" s="2" customFormat="1">
      <c r="A7805" s="83"/>
      <c r="H7805" s="83"/>
      <c r="K7805" s="82"/>
      <c r="M7805" s="112"/>
      <c r="N7805" s="84"/>
    </row>
    <row r="7806" spans="1:14" s="2" customFormat="1">
      <c r="A7806" s="83"/>
      <c r="H7806" s="83"/>
      <c r="K7806" s="82"/>
      <c r="M7806" s="112"/>
      <c r="N7806" s="84"/>
    </row>
    <row r="7807" spans="1:14" s="2" customFormat="1">
      <c r="A7807" s="83"/>
      <c r="H7807" s="83"/>
      <c r="K7807" s="82"/>
      <c r="M7807" s="112"/>
      <c r="N7807" s="84"/>
    </row>
    <row r="7808" spans="1:14" s="2" customFormat="1">
      <c r="A7808" s="83"/>
      <c r="H7808" s="83"/>
      <c r="K7808" s="82"/>
      <c r="M7808" s="112"/>
      <c r="N7808" s="84"/>
    </row>
    <row r="7809" spans="1:14" s="2" customFormat="1">
      <c r="A7809" s="83"/>
      <c r="H7809" s="83"/>
      <c r="K7809" s="82"/>
      <c r="M7809" s="112"/>
      <c r="N7809" s="84"/>
    </row>
    <row r="7810" spans="1:14" s="2" customFormat="1">
      <c r="A7810" s="83"/>
      <c r="H7810" s="83"/>
      <c r="K7810" s="82"/>
      <c r="M7810" s="112"/>
      <c r="N7810" s="84"/>
    </row>
    <row r="7811" spans="1:14" s="2" customFormat="1">
      <c r="A7811" s="83"/>
      <c r="H7811" s="83"/>
      <c r="K7811" s="82"/>
      <c r="M7811" s="112"/>
      <c r="N7811" s="84"/>
    </row>
    <row r="7812" spans="1:14" s="2" customFormat="1">
      <c r="A7812" s="83"/>
      <c r="H7812" s="83"/>
      <c r="K7812" s="82"/>
      <c r="M7812" s="112"/>
      <c r="N7812" s="84"/>
    </row>
    <row r="7813" spans="1:14" s="2" customFormat="1">
      <c r="A7813" s="83"/>
      <c r="H7813" s="83"/>
      <c r="K7813" s="82"/>
      <c r="M7813" s="112"/>
      <c r="N7813" s="84"/>
    </row>
    <row r="7814" spans="1:14" s="2" customFormat="1">
      <c r="A7814" s="83"/>
      <c r="H7814" s="83"/>
      <c r="K7814" s="82"/>
      <c r="M7814" s="112"/>
      <c r="N7814" s="84"/>
    </row>
    <row r="7815" spans="1:14" s="2" customFormat="1">
      <c r="A7815" s="83"/>
      <c r="H7815" s="83"/>
      <c r="K7815" s="82"/>
      <c r="M7815" s="112"/>
      <c r="N7815" s="84"/>
    </row>
    <row r="7816" spans="1:14" s="2" customFormat="1">
      <c r="A7816" s="83"/>
      <c r="H7816" s="83"/>
      <c r="K7816" s="82"/>
      <c r="M7816" s="112"/>
      <c r="N7816" s="84"/>
    </row>
    <row r="7817" spans="1:14" s="2" customFormat="1">
      <c r="A7817" s="83"/>
      <c r="H7817" s="83"/>
      <c r="K7817" s="82"/>
      <c r="M7817" s="112"/>
      <c r="N7817" s="84"/>
    </row>
    <row r="7818" spans="1:14" s="2" customFormat="1">
      <c r="A7818" s="83"/>
      <c r="H7818" s="83"/>
      <c r="K7818" s="82"/>
      <c r="M7818" s="112"/>
      <c r="N7818" s="84"/>
    </row>
    <row r="7819" spans="1:14" s="2" customFormat="1">
      <c r="A7819" s="83"/>
      <c r="H7819" s="83"/>
      <c r="K7819" s="82"/>
      <c r="M7819" s="112"/>
      <c r="N7819" s="84"/>
    </row>
    <row r="7820" spans="1:14" s="2" customFormat="1">
      <c r="A7820" s="83"/>
      <c r="H7820" s="83"/>
      <c r="K7820" s="82"/>
      <c r="M7820" s="112"/>
      <c r="N7820" s="84"/>
    </row>
    <row r="7821" spans="1:14" s="2" customFormat="1">
      <c r="A7821" s="83"/>
      <c r="H7821" s="83"/>
      <c r="K7821" s="82"/>
      <c r="M7821" s="112"/>
      <c r="N7821" s="84"/>
    </row>
    <row r="7822" spans="1:14" s="2" customFormat="1">
      <c r="A7822" s="83"/>
      <c r="H7822" s="83"/>
      <c r="K7822" s="82"/>
      <c r="M7822" s="112"/>
      <c r="N7822" s="84"/>
    </row>
    <row r="7823" spans="1:14" s="2" customFormat="1">
      <c r="A7823" s="83"/>
      <c r="H7823" s="83"/>
      <c r="K7823" s="82"/>
      <c r="M7823" s="112"/>
      <c r="N7823" s="84"/>
    </row>
    <row r="7824" spans="1:14" s="2" customFormat="1">
      <c r="A7824" s="83"/>
      <c r="H7824" s="83"/>
      <c r="K7824" s="82"/>
      <c r="M7824" s="112"/>
      <c r="N7824" s="84"/>
    </row>
    <row r="7825" spans="1:14" s="2" customFormat="1">
      <c r="A7825" s="83"/>
      <c r="H7825" s="83"/>
      <c r="K7825" s="82"/>
      <c r="M7825" s="112"/>
      <c r="N7825" s="84"/>
    </row>
    <row r="7826" spans="1:14" s="2" customFormat="1">
      <c r="A7826" s="83"/>
      <c r="H7826" s="83"/>
      <c r="K7826" s="82"/>
      <c r="M7826" s="112"/>
      <c r="N7826" s="84"/>
    </row>
    <row r="7827" spans="1:14" s="2" customFormat="1">
      <c r="A7827" s="83"/>
      <c r="H7827" s="83"/>
      <c r="K7827" s="82"/>
      <c r="M7827" s="112"/>
      <c r="N7827" s="84"/>
    </row>
    <row r="7828" spans="1:14" s="2" customFormat="1">
      <c r="A7828" s="83"/>
      <c r="H7828" s="83"/>
      <c r="K7828" s="82"/>
      <c r="M7828" s="112"/>
      <c r="N7828" s="84"/>
    </row>
    <row r="7829" spans="1:14" s="2" customFormat="1">
      <c r="A7829" s="83"/>
      <c r="H7829" s="83"/>
      <c r="K7829" s="82"/>
      <c r="M7829" s="112"/>
      <c r="N7829" s="84"/>
    </row>
    <row r="7830" spans="1:14" s="2" customFormat="1">
      <c r="A7830" s="83"/>
      <c r="H7830" s="83"/>
      <c r="K7830" s="82"/>
      <c r="M7830" s="112"/>
      <c r="N7830" s="84"/>
    </row>
    <row r="7831" spans="1:14" s="2" customFormat="1">
      <c r="A7831" s="83"/>
      <c r="H7831" s="83"/>
      <c r="K7831" s="82"/>
      <c r="M7831" s="112"/>
      <c r="N7831" s="84"/>
    </row>
    <row r="7832" spans="1:14" s="2" customFormat="1">
      <c r="A7832" s="83"/>
      <c r="H7832" s="83"/>
      <c r="K7832" s="82"/>
      <c r="M7832" s="112"/>
      <c r="N7832" s="84"/>
    </row>
    <row r="7833" spans="1:14" s="2" customFormat="1">
      <c r="A7833" s="83"/>
      <c r="H7833" s="83"/>
      <c r="K7833" s="82"/>
      <c r="M7833" s="112"/>
      <c r="N7833" s="84"/>
    </row>
    <row r="7834" spans="1:14" s="2" customFormat="1">
      <c r="A7834" s="83"/>
      <c r="H7834" s="83"/>
      <c r="K7834" s="82"/>
      <c r="M7834" s="112"/>
      <c r="N7834" s="84"/>
    </row>
    <row r="7835" spans="1:14" s="2" customFormat="1">
      <c r="A7835" s="83"/>
      <c r="H7835" s="83"/>
      <c r="K7835" s="82"/>
      <c r="M7835" s="112"/>
      <c r="N7835" s="84"/>
    </row>
    <row r="7836" spans="1:14" s="2" customFormat="1">
      <c r="A7836" s="83"/>
      <c r="H7836" s="83"/>
      <c r="K7836" s="82"/>
      <c r="M7836" s="112"/>
      <c r="N7836" s="84"/>
    </row>
    <row r="7837" spans="1:14" s="2" customFormat="1">
      <c r="A7837" s="83"/>
      <c r="H7837" s="83"/>
      <c r="K7837" s="82"/>
      <c r="M7837" s="112"/>
      <c r="N7837" s="84"/>
    </row>
    <row r="7838" spans="1:14" s="2" customFormat="1">
      <c r="A7838" s="83"/>
      <c r="H7838" s="83"/>
      <c r="K7838" s="82"/>
      <c r="M7838" s="112"/>
      <c r="N7838" s="84"/>
    </row>
    <row r="7839" spans="1:14" s="2" customFormat="1">
      <c r="A7839" s="83"/>
      <c r="H7839" s="83"/>
      <c r="K7839" s="82"/>
      <c r="M7839" s="112"/>
      <c r="N7839" s="84"/>
    </row>
    <row r="7840" spans="1:14" s="2" customFormat="1">
      <c r="A7840" s="83"/>
      <c r="H7840" s="83"/>
      <c r="K7840" s="82"/>
      <c r="M7840" s="112"/>
      <c r="N7840" s="84"/>
    </row>
    <row r="7841" spans="1:14" s="2" customFormat="1">
      <c r="A7841" s="83"/>
      <c r="H7841" s="83"/>
      <c r="K7841" s="82"/>
      <c r="M7841" s="112"/>
      <c r="N7841" s="84"/>
    </row>
    <row r="7842" spans="1:14" s="2" customFormat="1">
      <c r="A7842" s="83"/>
      <c r="H7842" s="83"/>
      <c r="K7842" s="82"/>
      <c r="M7842" s="112"/>
      <c r="N7842" s="84"/>
    </row>
    <row r="7843" spans="1:14" s="2" customFormat="1">
      <c r="A7843" s="83"/>
      <c r="H7843" s="83"/>
      <c r="K7843" s="82"/>
      <c r="M7843" s="112"/>
      <c r="N7843" s="84"/>
    </row>
    <row r="7844" spans="1:14" s="2" customFormat="1">
      <c r="A7844" s="83"/>
      <c r="H7844" s="83"/>
      <c r="K7844" s="82"/>
      <c r="M7844" s="112"/>
      <c r="N7844" s="84"/>
    </row>
    <row r="7845" spans="1:14" s="2" customFormat="1">
      <c r="A7845" s="83"/>
      <c r="H7845" s="83"/>
      <c r="K7845" s="82"/>
      <c r="M7845" s="112"/>
      <c r="N7845" s="84"/>
    </row>
    <row r="7846" spans="1:14" s="2" customFormat="1">
      <c r="A7846" s="83"/>
      <c r="H7846" s="83"/>
      <c r="K7846" s="82"/>
      <c r="M7846" s="112"/>
      <c r="N7846" s="84"/>
    </row>
    <row r="7847" spans="1:14" s="2" customFormat="1">
      <c r="A7847" s="83"/>
      <c r="H7847" s="83"/>
      <c r="K7847" s="82"/>
      <c r="M7847" s="112"/>
      <c r="N7847" s="84"/>
    </row>
    <row r="7848" spans="1:14" s="2" customFormat="1">
      <c r="A7848" s="83"/>
      <c r="H7848" s="83"/>
      <c r="K7848" s="82"/>
      <c r="M7848" s="112"/>
      <c r="N7848" s="84"/>
    </row>
    <row r="7849" spans="1:14" s="2" customFormat="1">
      <c r="A7849" s="83"/>
      <c r="H7849" s="83"/>
      <c r="K7849" s="82"/>
      <c r="M7849" s="112"/>
      <c r="N7849" s="84"/>
    </row>
    <row r="7850" spans="1:14" s="2" customFormat="1">
      <c r="A7850" s="83"/>
      <c r="H7850" s="83"/>
      <c r="K7850" s="82"/>
      <c r="M7850" s="112"/>
      <c r="N7850" s="84"/>
    </row>
    <row r="7851" spans="1:14" s="2" customFormat="1">
      <c r="A7851" s="83"/>
      <c r="H7851" s="83"/>
      <c r="K7851" s="82"/>
      <c r="M7851" s="112"/>
      <c r="N7851" s="84"/>
    </row>
    <row r="7852" spans="1:14" s="2" customFormat="1">
      <c r="A7852" s="83"/>
      <c r="H7852" s="83"/>
      <c r="K7852" s="82"/>
      <c r="M7852" s="112"/>
      <c r="N7852" s="84"/>
    </row>
    <row r="7853" spans="1:14" s="2" customFormat="1">
      <c r="A7853" s="83"/>
      <c r="H7853" s="83"/>
      <c r="K7853" s="82"/>
      <c r="M7853" s="112"/>
      <c r="N7853" s="84"/>
    </row>
    <row r="7854" spans="1:14" s="2" customFormat="1">
      <c r="A7854" s="83"/>
      <c r="H7854" s="83"/>
      <c r="K7854" s="82"/>
      <c r="M7854" s="112"/>
      <c r="N7854" s="84"/>
    </row>
    <row r="7855" spans="1:14" s="2" customFormat="1">
      <c r="A7855" s="83"/>
      <c r="H7855" s="83"/>
      <c r="K7855" s="82"/>
      <c r="M7855" s="112"/>
      <c r="N7855" s="84"/>
    </row>
    <row r="7856" spans="1:14" s="2" customFormat="1">
      <c r="A7856" s="83"/>
      <c r="H7856" s="83"/>
      <c r="K7856" s="82"/>
      <c r="M7856" s="112"/>
      <c r="N7856" s="84"/>
    </row>
    <row r="7857" spans="1:14" s="2" customFormat="1">
      <c r="A7857" s="83"/>
      <c r="H7857" s="83"/>
      <c r="K7857" s="82"/>
      <c r="M7857" s="112"/>
      <c r="N7857" s="84"/>
    </row>
    <row r="7858" spans="1:14" s="2" customFormat="1">
      <c r="A7858" s="83"/>
      <c r="H7858" s="83"/>
      <c r="K7858" s="82"/>
      <c r="M7858" s="112"/>
      <c r="N7858" s="84"/>
    </row>
    <row r="7859" spans="1:14" s="2" customFormat="1">
      <c r="A7859" s="83"/>
      <c r="H7859" s="83"/>
      <c r="K7859" s="82"/>
      <c r="M7859" s="112"/>
      <c r="N7859" s="84"/>
    </row>
    <row r="7860" spans="1:14" s="2" customFormat="1">
      <c r="A7860" s="83"/>
      <c r="H7860" s="83"/>
      <c r="K7860" s="82"/>
      <c r="M7860" s="112"/>
      <c r="N7860" s="84"/>
    </row>
    <row r="7861" spans="1:14" s="2" customFormat="1">
      <c r="A7861" s="83"/>
      <c r="H7861" s="83"/>
      <c r="K7861" s="82"/>
      <c r="M7861" s="112"/>
      <c r="N7861" s="84"/>
    </row>
    <row r="7862" spans="1:14" s="2" customFormat="1">
      <c r="A7862" s="83"/>
      <c r="H7862" s="83"/>
      <c r="K7862" s="82"/>
      <c r="M7862" s="112"/>
      <c r="N7862" s="84"/>
    </row>
    <row r="7863" spans="1:14" s="2" customFormat="1">
      <c r="A7863" s="83"/>
      <c r="H7863" s="83"/>
      <c r="K7863" s="82"/>
      <c r="M7863" s="112"/>
      <c r="N7863" s="84"/>
    </row>
    <row r="7864" spans="1:14" s="2" customFormat="1">
      <c r="A7864" s="83"/>
      <c r="H7864" s="83"/>
      <c r="K7864" s="82"/>
      <c r="M7864" s="112"/>
      <c r="N7864" s="84"/>
    </row>
    <row r="7865" spans="1:14" s="2" customFormat="1">
      <c r="A7865" s="83"/>
      <c r="H7865" s="83"/>
      <c r="K7865" s="82"/>
      <c r="M7865" s="112"/>
      <c r="N7865" s="84"/>
    </row>
    <row r="7866" spans="1:14" s="2" customFormat="1">
      <c r="A7866" s="83"/>
      <c r="H7866" s="83"/>
      <c r="K7866" s="82"/>
      <c r="M7866" s="112"/>
      <c r="N7866" s="84"/>
    </row>
    <row r="7867" spans="1:14" s="2" customFormat="1">
      <c r="A7867" s="83"/>
      <c r="H7867" s="83"/>
      <c r="K7867" s="82"/>
      <c r="M7867" s="112"/>
      <c r="N7867" s="84"/>
    </row>
    <row r="7868" spans="1:14" s="2" customFormat="1">
      <c r="A7868" s="83"/>
      <c r="H7868" s="83"/>
      <c r="K7868" s="82"/>
      <c r="M7868" s="112"/>
      <c r="N7868" s="84"/>
    </row>
    <row r="7869" spans="1:14" s="2" customFormat="1">
      <c r="A7869" s="83"/>
      <c r="H7869" s="83"/>
      <c r="K7869" s="82"/>
      <c r="M7869" s="112"/>
      <c r="N7869" s="84"/>
    </row>
    <row r="7870" spans="1:14" s="2" customFormat="1">
      <c r="A7870" s="83"/>
      <c r="H7870" s="83"/>
      <c r="K7870" s="82"/>
      <c r="M7870" s="112"/>
      <c r="N7870" s="84"/>
    </row>
    <row r="7871" spans="1:14" s="2" customFormat="1">
      <c r="A7871" s="83"/>
      <c r="H7871" s="83"/>
      <c r="K7871" s="82"/>
      <c r="M7871" s="112"/>
      <c r="N7871" s="84"/>
    </row>
    <row r="7872" spans="1:14" s="2" customFormat="1">
      <c r="A7872" s="83"/>
      <c r="H7872" s="83"/>
      <c r="K7872" s="82"/>
      <c r="M7872" s="112"/>
      <c r="N7872" s="84"/>
    </row>
    <row r="7873" spans="1:14" s="2" customFormat="1">
      <c r="A7873" s="83"/>
      <c r="H7873" s="83"/>
      <c r="K7873" s="82"/>
      <c r="M7873" s="112"/>
      <c r="N7873" s="84"/>
    </row>
    <row r="7874" spans="1:14" s="2" customFormat="1">
      <c r="A7874" s="83"/>
      <c r="H7874" s="83"/>
      <c r="K7874" s="82"/>
      <c r="M7874" s="112"/>
      <c r="N7874" s="84"/>
    </row>
    <row r="7875" spans="1:14" s="2" customFormat="1">
      <c r="A7875" s="83"/>
      <c r="H7875" s="83"/>
      <c r="K7875" s="82"/>
      <c r="M7875" s="112"/>
      <c r="N7875" s="84"/>
    </row>
    <row r="7876" spans="1:14" s="2" customFormat="1">
      <c r="A7876" s="83"/>
      <c r="H7876" s="83"/>
      <c r="K7876" s="82"/>
      <c r="M7876" s="112"/>
      <c r="N7876" s="84"/>
    </row>
    <row r="7877" spans="1:14" s="2" customFormat="1">
      <c r="A7877" s="83"/>
      <c r="H7877" s="83"/>
      <c r="K7877" s="82"/>
      <c r="M7877" s="112"/>
      <c r="N7877" s="84"/>
    </row>
    <row r="7878" spans="1:14" s="2" customFormat="1">
      <c r="A7878" s="83"/>
      <c r="H7878" s="83"/>
      <c r="K7878" s="82"/>
      <c r="M7878" s="112"/>
      <c r="N7878" s="84"/>
    </row>
    <row r="7879" spans="1:14" s="2" customFormat="1">
      <c r="A7879" s="83"/>
      <c r="H7879" s="83"/>
      <c r="K7879" s="82"/>
      <c r="M7879" s="112"/>
      <c r="N7879" s="84"/>
    </row>
    <row r="7880" spans="1:14" s="2" customFormat="1">
      <c r="A7880" s="83"/>
      <c r="H7880" s="83"/>
      <c r="K7880" s="82"/>
      <c r="M7880" s="112"/>
      <c r="N7880" s="84"/>
    </row>
    <row r="7881" spans="1:14" s="2" customFormat="1">
      <c r="A7881" s="83"/>
      <c r="H7881" s="83"/>
      <c r="K7881" s="82"/>
      <c r="M7881" s="112"/>
      <c r="N7881" s="84"/>
    </row>
    <row r="7882" spans="1:14" s="2" customFormat="1">
      <c r="A7882" s="83"/>
      <c r="H7882" s="83"/>
      <c r="K7882" s="82"/>
      <c r="M7882" s="112"/>
      <c r="N7882" s="84"/>
    </row>
    <row r="7883" spans="1:14" s="2" customFormat="1">
      <c r="A7883" s="83"/>
      <c r="H7883" s="83"/>
      <c r="K7883" s="82"/>
      <c r="M7883" s="112"/>
      <c r="N7883" s="84"/>
    </row>
    <row r="7884" spans="1:14" s="2" customFormat="1">
      <c r="A7884" s="83"/>
      <c r="H7884" s="83"/>
      <c r="K7884" s="82"/>
      <c r="M7884" s="112"/>
      <c r="N7884" s="84"/>
    </row>
    <row r="7885" spans="1:14" s="2" customFormat="1">
      <c r="A7885" s="83"/>
      <c r="H7885" s="83"/>
      <c r="K7885" s="82"/>
      <c r="M7885" s="112"/>
      <c r="N7885" s="84"/>
    </row>
    <row r="7886" spans="1:14" s="2" customFormat="1">
      <c r="A7886" s="83"/>
      <c r="H7886" s="83"/>
      <c r="K7886" s="82"/>
      <c r="M7886" s="112"/>
      <c r="N7886" s="84"/>
    </row>
    <row r="7887" spans="1:14" s="2" customFormat="1">
      <c r="A7887" s="83"/>
      <c r="H7887" s="83"/>
      <c r="K7887" s="82"/>
      <c r="M7887" s="112"/>
      <c r="N7887" s="84"/>
    </row>
    <row r="7888" spans="1:14" s="2" customFormat="1">
      <c r="A7888" s="83"/>
      <c r="H7888" s="83"/>
      <c r="K7888" s="82"/>
      <c r="M7888" s="112"/>
      <c r="N7888" s="84"/>
    </row>
    <row r="7889" spans="1:14" s="2" customFormat="1">
      <c r="A7889" s="83"/>
      <c r="H7889" s="83"/>
      <c r="K7889" s="82"/>
      <c r="M7889" s="112"/>
      <c r="N7889" s="84"/>
    </row>
    <row r="7890" spans="1:14" s="2" customFormat="1">
      <c r="A7890" s="83"/>
      <c r="H7890" s="83"/>
      <c r="K7890" s="82"/>
      <c r="M7890" s="112"/>
      <c r="N7890" s="84"/>
    </row>
    <row r="7891" spans="1:14" s="2" customFormat="1">
      <c r="A7891" s="83"/>
      <c r="H7891" s="83"/>
      <c r="K7891" s="82"/>
      <c r="M7891" s="112"/>
      <c r="N7891" s="84"/>
    </row>
    <row r="7892" spans="1:14" s="2" customFormat="1">
      <c r="A7892" s="83"/>
      <c r="H7892" s="83"/>
      <c r="K7892" s="82"/>
      <c r="M7892" s="112"/>
      <c r="N7892" s="84"/>
    </row>
    <row r="7893" spans="1:14" s="2" customFormat="1">
      <c r="A7893" s="83"/>
      <c r="H7893" s="83"/>
      <c r="K7893" s="82"/>
      <c r="M7893" s="112"/>
      <c r="N7893" s="84"/>
    </row>
    <row r="7894" spans="1:14" s="2" customFormat="1">
      <c r="A7894" s="83"/>
      <c r="H7894" s="83"/>
      <c r="K7894" s="82"/>
      <c r="M7894" s="112"/>
      <c r="N7894" s="84"/>
    </row>
    <row r="7895" spans="1:14" s="2" customFormat="1">
      <c r="A7895" s="83"/>
      <c r="H7895" s="83"/>
      <c r="K7895" s="82"/>
      <c r="M7895" s="112"/>
      <c r="N7895" s="84"/>
    </row>
    <row r="7896" spans="1:14" s="2" customFormat="1">
      <c r="A7896" s="83"/>
      <c r="H7896" s="83"/>
      <c r="K7896" s="82"/>
      <c r="M7896" s="112"/>
      <c r="N7896" s="84"/>
    </row>
    <row r="7897" spans="1:14" s="2" customFormat="1">
      <c r="A7897" s="83"/>
      <c r="H7897" s="83"/>
      <c r="K7897" s="82"/>
      <c r="M7897" s="112"/>
      <c r="N7897" s="84"/>
    </row>
    <row r="7898" spans="1:14" s="2" customFormat="1">
      <c r="A7898" s="83"/>
      <c r="H7898" s="83"/>
      <c r="K7898" s="82"/>
      <c r="M7898" s="112"/>
      <c r="N7898" s="84"/>
    </row>
    <row r="7899" spans="1:14" s="2" customFormat="1">
      <c r="A7899" s="83"/>
      <c r="H7899" s="83"/>
      <c r="K7899" s="82"/>
      <c r="M7899" s="112"/>
      <c r="N7899" s="84"/>
    </row>
    <row r="7900" spans="1:14" s="2" customFormat="1">
      <c r="A7900" s="83"/>
      <c r="H7900" s="83"/>
      <c r="K7900" s="82"/>
      <c r="M7900" s="112"/>
      <c r="N7900" s="84"/>
    </row>
    <row r="7901" spans="1:14" s="2" customFormat="1">
      <c r="A7901" s="83"/>
      <c r="H7901" s="83"/>
      <c r="K7901" s="82"/>
      <c r="M7901" s="112"/>
      <c r="N7901" s="84"/>
    </row>
    <row r="7902" spans="1:14" s="2" customFormat="1">
      <c r="A7902" s="83"/>
      <c r="H7902" s="83"/>
      <c r="K7902" s="82"/>
      <c r="M7902" s="112"/>
      <c r="N7902" s="84"/>
    </row>
    <row r="7903" spans="1:14" s="2" customFormat="1">
      <c r="A7903" s="83"/>
      <c r="H7903" s="83"/>
      <c r="K7903" s="82"/>
      <c r="M7903" s="112"/>
      <c r="N7903" s="84"/>
    </row>
    <row r="7904" spans="1:14" s="2" customFormat="1">
      <c r="A7904" s="83"/>
      <c r="H7904" s="83"/>
      <c r="K7904" s="82"/>
      <c r="M7904" s="112"/>
      <c r="N7904" s="84"/>
    </row>
    <row r="7905" spans="1:14" s="2" customFormat="1">
      <c r="A7905" s="83"/>
      <c r="H7905" s="83"/>
      <c r="K7905" s="82"/>
      <c r="M7905" s="112"/>
      <c r="N7905" s="84"/>
    </row>
    <row r="7906" spans="1:14" s="2" customFormat="1">
      <c r="A7906" s="83"/>
      <c r="H7906" s="83"/>
      <c r="K7906" s="82"/>
      <c r="M7906" s="112"/>
      <c r="N7906" s="84"/>
    </row>
    <row r="7907" spans="1:14" s="2" customFormat="1">
      <c r="A7907" s="83"/>
      <c r="H7907" s="83"/>
      <c r="K7907" s="82"/>
      <c r="M7907" s="112"/>
      <c r="N7907" s="84"/>
    </row>
    <row r="7908" spans="1:14" s="2" customFormat="1">
      <c r="A7908" s="83"/>
      <c r="H7908" s="83"/>
      <c r="K7908" s="82"/>
      <c r="M7908" s="112"/>
      <c r="N7908" s="84"/>
    </row>
    <row r="7909" spans="1:14" s="2" customFormat="1">
      <c r="A7909" s="83"/>
      <c r="H7909" s="83"/>
      <c r="K7909" s="82"/>
      <c r="M7909" s="112"/>
      <c r="N7909" s="84"/>
    </row>
    <row r="7910" spans="1:14" s="2" customFormat="1">
      <c r="A7910" s="83"/>
      <c r="H7910" s="83"/>
      <c r="K7910" s="82"/>
      <c r="M7910" s="112"/>
      <c r="N7910" s="84"/>
    </row>
    <row r="7911" spans="1:14" s="2" customFormat="1">
      <c r="A7911" s="83"/>
      <c r="H7911" s="83"/>
      <c r="K7911" s="82"/>
      <c r="M7911" s="112"/>
      <c r="N7911" s="84"/>
    </row>
    <row r="7912" spans="1:14" s="2" customFormat="1">
      <c r="A7912" s="83"/>
      <c r="H7912" s="83"/>
      <c r="K7912" s="82"/>
      <c r="M7912" s="112"/>
      <c r="N7912" s="84"/>
    </row>
    <row r="7913" spans="1:14" s="2" customFormat="1">
      <c r="A7913" s="83"/>
      <c r="H7913" s="83"/>
      <c r="K7913" s="82"/>
      <c r="M7913" s="112"/>
      <c r="N7913" s="84"/>
    </row>
    <row r="7914" spans="1:14" s="2" customFormat="1">
      <c r="A7914" s="83"/>
      <c r="H7914" s="83"/>
      <c r="K7914" s="82"/>
      <c r="M7914" s="112"/>
      <c r="N7914" s="84"/>
    </row>
    <row r="7915" spans="1:14" s="2" customFormat="1">
      <c r="A7915" s="83"/>
      <c r="H7915" s="83"/>
      <c r="K7915" s="82"/>
      <c r="M7915" s="112"/>
      <c r="N7915" s="84"/>
    </row>
    <row r="7916" spans="1:14" s="2" customFormat="1">
      <c r="A7916" s="83"/>
      <c r="H7916" s="83"/>
      <c r="K7916" s="82"/>
      <c r="M7916" s="112"/>
      <c r="N7916" s="84"/>
    </row>
    <row r="7917" spans="1:14" s="2" customFormat="1">
      <c r="A7917" s="83"/>
      <c r="H7917" s="83"/>
      <c r="K7917" s="82"/>
      <c r="M7917" s="112"/>
      <c r="N7917" s="84"/>
    </row>
    <row r="7918" spans="1:14" s="2" customFormat="1">
      <c r="A7918" s="83"/>
      <c r="H7918" s="83"/>
      <c r="K7918" s="82"/>
      <c r="M7918" s="112"/>
      <c r="N7918" s="84"/>
    </row>
    <row r="7919" spans="1:14" s="2" customFormat="1">
      <c r="A7919" s="83"/>
      <c r="H7919" s="83"/>
      <c r="K7919" s="82"/>
      <c r="M7919" s="112"/>
      <c r="N7919" s="84"/>
    </row>
    <row r="7920" spans="1:14" s="2" customFormat="1">
      <c r="A7920" s="83"/>
      <c r="H7920" s="83"/>
      <c r="K7920" s="82"/>
      <c r="M7920" s="112"/>
      <c r="N7920" s="84"/>
    </row>
    <row r="7921" spans="1:14" s="2" customFormat="1">
      <c r="A7921" s="83"/>
      <c r="H7921" s="83"/>
      <c r="K7921" s="82"/>
      <c r="M7921" s="112"/>
      <c r="N7921" s="84"/>
    </row>
    <row r="7922" spans="1:14" s="2" customFormat="1">
      <c r="A7922" s="83"/>
      <c r="H7922" s="83"/>
      <c r="K7922" s="82"/>
      <c r="M7922" s="112"/>
      <c r="N7922" s="84"/>
    </row>
    <row r="7923" spans="1:14" s="2" customFormat="1">
      <c r="A7923" s="83"/>
      <c r="H7923" s="83"/>
      <c r="K7923" s="82"/>
      <c r="M7923" s="112"/>
      <c r="N7923" s="84"/>
    </row>
    <row r="7924" spans="1:14" s="2" customFormat="1">
      <c r="A7924" s="83"/>
      <c r="H7924" s="83"/>
      <c r="K7924" s="82"/>
      <c r="M7924" s="112"/>
      <c r="N7924" s="84"/>
    </row>
    <row r="7925" spans="1:14" s="2" customFormat="1">
      <c r="A7925" s="83"/>
      <c r="H7925" s="83"/>
      <c r="K7925" s="82"/>
      <c r="M7925" s="112"/>
      <c r="N7925" s="84"/>
    </row>
    <row r="7926" spans="1:14" s="2" customFormat="1">
      <c r="A7926" s="83"/>
      <c r="H7926" s="83"/>
      <c r="K7926" s="82"/>
      <c r="M7926" s="112"/>
      <c r="N7926" s="84"/>
    </row>
    <row r="7927" spans="1:14" s="2" customFormat="1">
      <c r="A7927" s="83"/>
      <c r="H7927" s="83"/>
      <c r="K7927" s="82"/>
      <c r="M7927" s="112"/>
      <c r="N7927" s="84"/>
    </row>
    <row r="7928" spans="1:14" s="2" customFormat="1">
      <c r="A7928" s="83"/>
      <c r="H7928" s="83"/>
      <c r="K7928" s="82"/>
      <c r="M7928" s="112"/>
      <c r="N7928" s="84"/>
    </row>
    <row r="7929" spans="1:14" s="2" customFormat="1">
      <c r="A7929" s="83"/>
      <c r="H7929" s="83"/>
      <c r="K7929" s="82"/>
      <c r="M7929" s="112"/>
      <c r="N7929" s="84"/>
    </row>
    <row r="7930" spans="1:14" s="2" customFormat="1">
      <c r="A7930" s="83"/>
      <c r="H7930" s="83"/>
      <c r="K7930" s="82"/>
      <c r="M7930" s="112"/>
      <c r="N7930" s="84"/>
    </row>
    <row r="7931" spans="1:14" s="2" customFormat="1">
      <c r="A7931" s="83"/>
      <c r="H7931" s="83"/>
      <c r="K7931" s="82"/>
      <c r="M7931" s="112"/>
      <c r="N7931" s="84"/>
    </row>
    <row r="7932" spans="1:14" s="2" customFormat="1">
      <c r="A7932" s="83"/>
      <c r="H7932" s="83"/>
      <c r="K7932" s="82"/>
      <c r="M7932" s="112"/>
      <c r="N7932" s="84"/>
    </row>
    <row r="7933" spans="1:14" s="2" customFormat="1">
      <c r="A7933" s="83"/>
      <c r="H7933" s="83"/>
      <c r="K7933" s="82"/>
      <c r="M7933" s="112"/>
      <c r="N7933" s="84"/>
    </row>
    <row r="7934" spans="1:14" s="2" customFormat="1">
      <c r="A7934" s="83"/>
      <c r="H7934" s="83"/>
      <c r="K7934" s="82"/>
      <c r="M7934" s="112"/>
      <c r="N7934" s="84"/>
    </row>
    <row r="7935" spans="1:14" s="2" customFormat="1">
      <c r="A7935" s="83"/>
      <c r="H7935" s="83"/>
      <c r="K7935" s="82"/>
      <c r="M7935" s="112"/>
      <c r="N7935" s="84"/>
    </row>
    <row r="7936" spans="1:14" s="2" customFormat="1">
      <c r="A7936" s="83"/>
      <c r="H7936" s="83"/>
      <c r="K7936" s="82"/>
      <c r="M7936" s="112"/>
      <c r="N7936" s="84"/>
    </row>
    <row r="7937" spans="1:14" s="2" customFormat="1">
      <c r="A7937" s="83"/>
      <c r="H7937" s="83"/>
      <c r="K7937" s="82"/>
      <c r="M7937" s="112"/>
      <c r="N7937" s="84"/>
    </row>
    <row r="7938" spans="1:14" s="2" customFormat="1">
      <c r="A7938" s="83"/>
      <c r="H7938" s="83"/>
      <c r="K7938" s="82"/>
      <c r="M7938" s="112"/>
      <c r="N7938" s="84"/>
    </row>
    <row r="7939" spans="1:14" s="2" customFormat="1">
      <c r="A7939" s="83"/>
      <c r="H7939" s="83"/>
      <c r="K7939" s="82"/>
      <c r="M7939" s="112"/>
      <c r="N7939" s="84"/>
    </row>
    <row r="7940" spans="1:14" s="2" customFormat="1">
      <c r="A7940" s="83"/>
      <c r="H7940" s="83"/>
      <c r="K7940" s="82"/>
      <c r="M7940" s="112"/>
      <c r="N7940" s="84"/>
    </row>
    <row r="7941" spans="1:14" s="2" customFormat="1">
      <c r="A7941" s="83"/>
      <c r="H7941" s="83"/>
      <c r="K7941" s="82"/>
      <c r="M7941" s="112"/>
      <c r="N7941" s="84"/>
    </row>
    <row r="7942" spans="1:14" s="2" customFormat="1">
      <c r="A7942" s="83"/>
      <c r="H7942" s="83"/>
      <c r="K7942" s="82"/>
      <c r="M7942" s="112"/>
      <c r="N7942" s="84"/>
    </row>
    <row r="7943" spans="1:14" s="2" customFormat="1">
      <c r="A7943" s="83"/>
      <c r="H7943" s="83"/>
      <c r="K7943" s="82"/>
      <c r="M7943" s="112"/>
      <c r="N7943" s="84"/>
    </row>
    <row r="7944" spans="1:14" s="2" customFormat="1">
      <c r="A7944" s="83"/>
      <c r="H7944" s="83"/>
      <c r="K7944" s="82"/>
      <c r="M7944" s="112"/>
      <c r="N7944" s="84"/>
    </row>
    <row r="7945" spans="1:14" s="2" customFormat="1">
      <c r="A7945" s="83"/>
      <c r="H7945" s="83"/>
      <c r="K7945" s="82"/>
      <c r="M7945" s="112"/>
      <c r="N7945" s="84"/>
    </row>
    <row r="7946" spans="1:14" s="2" customFormat="1">
      <c r="A7946" s="83"/>
      <c r="H7946" s="83"/>
      <c r="K7946" s="82"/>
      <c r="M7946" s="112"/>
      <c r="N7946" s="84"/>
    </row>
    <row r="7947" spans="1:14" s="2" customFormat="1">
      <c r="A7947" s="83"/>
      <c r="H7947" s="83"/>
      <c r="K7947" s="82"/>
      <c r="M7947" s="112"/>
      <c r="N7947" s="84"/>
    </row>
    <row r="7948" spans="1:14" s="2" customFormat="1">
      <c r="A7948" s="83"/>
      <c r="H7948" s="83"/>
      <c r="K7948" s="82"/>
      <c r="M7948" s="112"/>
      <c r="N7948" s="84"/>
    </row>
    <row r="7949" spans="1:14" s="2" customFormat="1">
      <c r="A7949" s="83"/>
      <c r="H7949" s="83"/>
      <c r="K7949" s="82"/>
      <c r="M7949" s="112"/>
      <c r="N7949" s="84"/>
    </row>
    <row r="7950" spans="1:14" s="2" customFormat="1">
      <c r="A7950" s="83"/>
      <c r="H7950" s="83"/>
      <c r="K7950" s="82"/>
      <c r="M7950" s="112"/>
      <c r="N7950" s="84"/>
    </row>
    <row r="7951" spans="1:14" s="2" customFormat="1">
      <c r="A7951" s="83"/>
      <c r="H7951" s="83"/>
      <c r="K7951" s="82"/>
      <c r="M7951" s="112"/>
      <c r="N7951" s="84"/>
    </row>
    <row r="7952" spans="1:14" s="2" customFormat="1">
      <c r="A7952" s="83"/>
      <c r="H7952" s="83"/>
      <c r="K7952" s="82"/>
      <c r="M7952" s="112"/>
      <c r="N7952" s="84"/>
    </row>
    <row r="7953" spans="1:14" s="2" customFormat="1">
      <c r="A7953" s="83"/>
      <c r="H7953" s="83"/>
      <c r="K7953" s="82"/>
      <c r="M7953" s="112"/>
      <c r="N7953" s="84"/>
    </row>
    <row r="7954" spans="1:14" s="2" customFormat="1">
      <c r="A7954" s="83"/>
      <c r="H7954" s="83"/>
      <c r="K7954" s="82"/>
      <c r="M7954" s="112"/>
      <c r="N7954" s="84"/>
    </row>
    <row r="7955" spans="1:14" s="2" customFormat="1">
      <c r="A7955" s="83"/>
      <c r="H7955" s="83"/>
      <c r="K7955" s="82"/>
      <c r="M7955" s="112"/>
      <c r="N7955" s="84"/>
    </row>
    <row r="7956" spans="1:14" s="2" customFormat="1">
      <c r="A7956" s="83"/>
      <c r="H7956" s="83"/>
      <c r="K7956" s="82"/>
      <c r="M7956" s="112"/>
      <c r="N7956" s="84"/>
    </row>
    <row r="7957" spans="1:14" s="2" customFormat="1">
      <c r="A7957" s="83"/>
      <c r="H7957" s="83"/>
      <c r="K7957" s="82"/>
      <c r="M7957" s="112"/>
      <c r="N7957" s="84"/>
    </row>
    <row r="7958" spans="1:14" s="2" customFormat="1">
      <c r="A7958" s="83"/>
      <c r="H7958" s="83"/>
      <c r="K7958" s="82"/>
      <c r="M7958" s="112"/>
      <c r="N7958" s="84"/>
    </row>
    <row r="7959" spans="1:14" s="2" customFormat="1">
      <c r="A7959" s="83"/>
      <c r="H7959" s="83"/>
      <c r="K7959" s="82"/>
      <c r="M7959" s="112"/>
      <c r="N7959" s="84"/>
    </row>
    <row r="7960" spans="1:14" s="2" customFormat="1">
      <c r="A7960" s="83"/>
      <c r="H7960" s="83"/>
      <c r="K7960" s="82"/>
      <c r="M7960" s="112"/>
      <c r="N7960" s="84"/>
    </row>
    <row r="7961" spans="1:14" s="2" customFormat="1">
      <c r="A7961" s="83"/>
      <c r="H7961" s="83"/>
      <c r="K7961" s="82"/>
      <c r="M7961" s="112"/>
      <c r="N7961" s="84"/>
    </row>
    <row r="7962" spans="1:14" s="2" customFormat="1">
      <c r="A7962" s="83"/>
      <c r="H7962" s="83"/>
      <c r="K7962" s="82"/>
      <c r="M7962" s="112"/>
      <c r="N7962" s="84"/>
    </row>
    <row r="7963" spans="1:14" s="2" customFormat="1">
      <c r="A7963" s="83"/>
      <c r="H7963" s="83"/>
      <c r="K7963" s="82"/>
      <c r="M7963" s="112"/>
      <c r="N7963" s="84"/>
    </row>
    <row r="7964" spans="1:14" s="2" customFormat="1">
      <c r="A7964" s="83"/>
      <c r="H7964" s="83"/>
      <c r="K7964" s="82"/>
      <c r="M7964" s="112"/>
      <c r="N7964" s="84"/>
    </row>
    <row r="7965" spans="1:14" s="2" customFormat="1">
      <c r="A7965" s="83"/>
      <c r="H7965" s="83"/>
      <c r="K7965" s="82"/>
      <c r="M7965" s="112"/>
      <c r="N7965" s="84"/>
    </row>
    <row r="7966" spans="1:14" s="2" customFormat="1">
      <c r="A7966" s="83"/>
      <c r="H7966" s="83"/>
      <c r="K7966" s="82"/>
      <c r="M7966" s="112"/>
      <c r="N7966" s="84"/>
    </row>
    <row r="7967" spans="1:14" s="2" customFormat="1">
      <c r="A7967" s="83"/>
      <c r="H7967" s="83"/>
      <c r="K7967" s="82"/>
      <c r="M7967" s="112"/>
      <c r="N7967" s="84"/>
    </row>
    <row r="7968" spans="1:14" s="2" customFormat="1">
      <c r="A7968" s="83"/>
      <c r="H7968" s="83"/>
      <c r="K7968" s="82"/>
      <c r="M7968" s="112"/>
      <c r="N7968" s="84"/>
    </row>
    <row r="7969" spans="1:14" s="2" customFormat="1">
      <c r="A7969" s="83"/>
      <c r="H7969" s="83"/>
      <c r="K7969" s="82"/>
      <c r="M7969" s="112"/>
      <c r="N7969" s="84"/>
    </row>
    <row r="7970" spans="1:14" s="2" customFormat="1">
      <c r="A7970" s="83"/>
      <c r="H7970" s="83"/>
      <c r="K7970" s="82"/>
      <c r="M7970" s="112"/>
      <c r="N7970" s="84"/>
    </row>
    <row r="7971" spans="1:14" s="2" customFormat="1">
      <c r="A7971" s="83"/>
      <c r="H7971" s="83"/>
      <c r="K7971" s="82"/>
      <c r="M7971" s="112"/>
      <c r="N7971" s="84"/>
    </row>
    <row r="7972" spans="1:14" s="2" customFormat="1">
      <c r="A7972" s="83"/>
      <c r="H7972" s="83"/>
      <c r="K7972" s="82"/>
      <c r="M7972" s="112"/>
      <c r="N7972" s="84"/>
    </row>
    <row r="7973" spans="1:14" s="2" customFormat="1">
      <c r="A7973" s="83"/>
      <c r="H7973" s="83"/>
      <c r="K7973" s="82"/>
      <c r="M7973" s="112"/>
      <c r="N7973" s="84"/>
    </row>
    <row r="7974" spans="1:14" s="2" customFormat="1">
      <c r="A7974" s="83"/>
      <c r="H7974" s="83"/>
      <c r="K7974" s="82"/>
      <c r="M7974" s="112"/>
      <c r="N7974" s="84"/>
    </row>
    <row r="7975" spans="1:14" s="2" customFormat="1">
      <c r="A7975" s="83"/>
      <c r="H7975" s="83"/>
      <c r="K7975" s="82"/>
      <c r="M7975" s="112"/>
      <c r="N7975" s="84"/>
    </row>
    <row r="7976" spans="1:14" s="2" customFormat="1">
      <c r="A7976" s="83"/>
      <c r="H7976" s="83"/>
      <c r="K7976" s="82"/>
      <c r="M7976" s="112"/>
      <c r="N7976" s="84"/>
    </row>
    <row r="7977" spans="1:14" s="2" customFormat="1">
      <c r="A7977" s="83"/>
      <c r="H7977" s="83"/>
      <c r="K7977" s="82"/>
      <c r="M7977" s="112"/>
      <c r="N7977" s="84"/>
    </row>
    <row r="7978" spans="1:14" s="2" customFormat="1">
      <c r="A7978" s="83"/>
      <c r="H7978" s="83"/>
      <c r="K7978" s="82"/>
      <c r="M7978" s="112"/>
      <c r="N7978" s="84"/>
    </row>
    <row r="7979" spans="1:14" s="2" customFormat="1">
      <c r="A7979" s="83"/>
      <c r="H7979" s="83"/>
      <c r="K7979" s="82"/>
      <c r="M7979" s="112"/>
      <c r="N7979" s="84"/>
    </row>
    <row r="7980" spans="1:14" s="2" customFormat="1">
      <c r="A7980" s="83"/>
      <c r="H7980" s="83"/>
      <c r="K7980" s="82"/>
      <c r="M7980" s="112"/>
      <c r="N7980" s="84"/>
    </row>
    <row r="7981" spans="1:14" s="2" customFormat="1">
      <c r="A7981" s="83"/>
      <c r="H7981" s="83"/>
      <c r="K7981" s="82"/>
      <c r="M7981" s="112"/>
      <c r="N7981" s="84"/>
    </row>
    <row r="7982" spans="1:14" s="2" customFormat="1">
      <c r="A7982" s="83"/>
      <c r="H7982" s="83"/>
      <c r="K7982" s="82"/>
      <c r="M7982" s="112"/>
      <c r="N7982" s="84"/>
    </row>
    <row r="7983" spans="1:14" s="2" customFormat="1">
      <c r="A7983" s="83"/>
      <c r="H7983" s="83"/>
      <c r="K7983" s="82"/>
      <c r="M7983" s="112"/>
      <c r="N7983" s="84"/>
    </row>
    <row r="7984" spans="1:14" s="2" customFormat="1">
      <c r="A7984" s="83"/>
      <c r="H7984" s="83"/>
      <c r="K7984" s="82"/>
      <c r="M7984" s="112"/>
      <c r="N7984" s="84"/>
    </row>
    <row r="7985" spans="1:14" s="2" customFormat="1">
      <c r="A7985" s="83"/>
      <c r="H7985" s="83"/>
      <c r="K7985" s="82"/>
      <c r="M7985" s="112"/>
      <c r="N7985" s="84"/>
    </row>
    <row r="7986" spans="1:14" s="2" customFormat="1">
      <c r="A7986" s="83"/>
      <c r="H7986" s="83"/>
      <c r="K7986" s="82"/>
      <c r="M7986" s="112"/>
      <c r="N7986" s="84"/>
    </row>
    <row r="7987" spans="1:14" s="2" customFormat="1">
      <c r="A7987" s="83"/>
      <c r="H7987" s="83"/>
      <c r="K7987" s="82"/>
      <c r="M7987" s="112"/>
      <c r="N7987" s="84"/>
    </row>
    <row r="7988" spans="1:14" s="2" customFormat="1">
      <c r="A7988" s="83"/>
      <c r="H7988" s="83"/>
      <c r="K7988" s="82"/>
      <c r="M7988" s="112"/>
      <c r="N7988" s="84"/>
    </row>
    <row r="7989" spans="1:14" s="2" customFormat="1">
      <c r="A7989" s="83"/>
      <c r="H7989" s="83"/>
      <c r="K7989" s="82"/>
      <c r="M7989" s="112"/>
      <c r="N7989" s="84"/>
    </row>
    <row r="7990" spans="1:14" s="2" customFormat="1">
      <c r="A7990" s="83"/>
      <c r="H7990" s="83"/>
      <c r="K7990" s="82"/>
      <c r="M7990" s="112"/>
      <c r="N7990" s="84"/>
    </row>
    <row r="7991" spans="1:14" s="2" customFormat="1">
      <c r="A7991" s="83"/>
      <c r="H7991" s="83"/>
      <c r="K7991" s="82"/>
      <c r="M7991" s="112"/>
      <c r="N7991" s="84"/>
    </row>
    <row r="7992" spans="1:14" s="2" customFormat="1">
      <c r="A7992" s="83"/>
      <c r="H7992" s="83"/>
      <c r="K7992" s="82"/>
      <c r="M7992" s="112"/>
      <c r="N7992" s="84"/>
    </row>
    <row r="7993" spans="1:14" s="2" customFormat="1">
      <c r="A7993" s="83"/>
      <c r="H7993" s="83"/>
      <c r="K7993" s="82"/>
      <c r="M7993" s="112"/>
      <c r="N7993" s="84"/>
    </row>
    <row r="7994" spans="1:14" s="2" customFormat="1">
      <c r="A7994" s="83"/>
      <c r="H7994" s="83"/>
      <c r="K7994" s="82"/>
      <c r="M7994" s="112"/>
      <c r="N7994" s="84"/>
    </row>
    <row r="7995" spans="1:14" s="2" customFormat="1">
      <c r="A7995" s="83"/>
      <c r="H7995" s="83"/>
      <c r="K7995" s="82"/>
      <c r="M7995" s="112"/>
      <c r="N7995" s="84"/>
    </row>
    <row r="7996" spans="1:14" s="2" customFormat="1">
      <c r="A7996" s="83"/>
      <c r="H7996" s="83"/>
      <c r="K7996" s="82"/>
      <c r="M7996" s="112"/>
      <c r="N7996" s="84"/>
    </row>
    <row r="7997" spans="1:14" s="2" customFormat="1">
      <c r="A7997" s="83"/>
      <c r="H7997" s="83"/>
      <c r="K7997" s="82"/>
      <c r="M7997" s="112"/>
      <c r="N7997" s="84"/>
    </row>
    <row r="7998" spans="1:14" s="2" customFormat="1">
      <c r="A7998" s="83"/>
      <c r="H7998" s="83"/>
      <c r="K7998" s="82"/>
      <c r="M7998" s="112"/>
      <c r="N7998" s="84"/>
    </row>
    <row r="7999" spans="1:14" s="2" customFormat="1">
      <c r="A7999" s="83"/>
      <c r="H7999" s="83"/>
      <c r="K7999" s="82"/>
      <c r="M7999" s="112"/>
      <c r="N7999" s="84"/>
    </row>
    <row r="8000" spans="1:14" s="2" customFormat="1">
      <c r="A8000" s="83"/>
      <c r="H8000" s="83"/>
      <c r="K8000" s="82"/>
      <c r="M8000" s="112"/>
      <c r="N8000" s="84"/>
    </row>
    <row r="8001" spans="1:14" s="2" customFormat="1">
      <c r="A8001" s="83"/>
      <c r="H8001" s="83"/>
      <c r="K8001" s="82"/>
      <c r="M8001" s="112"/>
      <c r="N8001" s="84"/>
    </row>
    <row r="8002" spans="1:14" s="2" customFormat="1">
      <c r="A8002" s="83"/>
      <c r="H8002" s="83"/>
      <c r="K8002" s="82"/>
      <c r="M8002" s="112"/>
      <c r="N8002" s="84"/>
    </row>
    <row r="8003" spans="1:14" s="2" customFormat="1">
      <c r="A8003" s="83"/>
      <c r="H8003" s="83"/>
      <c r="K8003" s="82"/>
      <c r="M8003" s="112"/>
      <c r="N8003" s="84"/>
    </row>
    <row r="8004" spans="1:14" s="2" customFormat="1">
      <c r="A8004" s="83"/>
      <c r="H8004" s="83"/>
      <c r="K8004" s="82"/>
      <c r="M8004" s="112"/>
      <c r="N8004" s="84"/>
    </row>
    <row r="8005" spans="1:14" s="2" customFormat="1">
      <c r="A8005" s="83"/>
      <c r="H8005" s="83"/>
      <c r="K8005" s="82"/>
      <c r="M8005" s="112"/>
      <c r="N8005" s="84"/>
    </row>
    <row r="8006" spans="1:14" s="2" customFormat="1">
      <c r="A8006" s="83"/>
      <c r="H8006" s="83"/>
      <c r="K8006" s="82"/>
      <c r="M8006" s="112"/>
      <c r="N8006" s="84"/>
    </row>
    <row r="8007" spans="1:14" s="2" customFormat="1">
      <c r="A8007" s="83"/>
      <c r="H8007" s="83"/>
      <c r="K8007" s="82"/>
      <c r="M8007" s="112"/>
      <c r="N8007" s="84"/>
    </row>
    <row r="8008" spans="1:14" s="2" customFormat="1">
      <c r="A8008" s="83"/>
      <c r="H8008" s="83"/>
      <c r="K8008" s="82"/>
      <c r="M8008" s="112"/>
      <c r="N8008" s="84"/>
    </row>
    <row r="8009" spans="1:14" s="2" customFormat="1">
      <c r="A8009" s="83"/>
      <c r="H8009" s="83"/>
      <c r="K8009" s="82"/>
      <c r="M8009" s="112"/>
      <c r="N8009" s="84"/>
    </row>
    <row r="8010" spans="1:14" s="2" customFormat="1">
      <c r="A8010" s="83"/>
      <c r="H8010" s="83"/>
      <c r="K8010" s="82"/>
      <c r="M8010" s="112"/>
      <c r="N8010" s="84"/>
    </row>
    <row r="8011" spans="1:14" s="2" customFormat="1">
      <c r="A8011" s="83"/>
      <c r="H8011" s="83"/>
      <c r="K8011" s="82"/>
      <c r="M8011" s="112"/>
      <c r="N8011" s="84"/>
    </row>
    <row r="8012" spans="1:14" s="2" customFormat="1">
      <c r="A8012" s="83"/>
      <c r="H8012" s="83"/>
      <c r="K8012" s="82"/>
      <c r="M8012" s="112"/>
      <c r="N8012" s="84"/>
    </row>
    <row r="8013" spans="1:14" s="2" customFormat="1">
      <c r="A8013" s="83"/>
      <c r="H8013" s="83"/>
      <c r="K8013" s="82"/>
      <c r="M8013" s="112"/>
      <c r="N8013" s="84"/>
    </row>
    <row r="8014" spans="1:14" s="2" customFormat="1">
      <c r="A8014" s="83"/>
      <c r="H8014" s="83"/>
      <c r="K8014" s="82"/>
      <c r="M8014" s="112"/>
      <c r="N8014" s="84"/>
    </row>
    <row r="8015" spans="1:14" s="2" customFormat="1">
      <c r="A8015" s="83"/>
      <c r="H8015" s="83"/>
      <c r="K8015" s="82"/>
      <c r="M8015" s="112"/>
      <c r="N8015" s="84"/>
    </row>
    <row r="8016" spans="1:14" s="2" customFormat="1">
      <c r="A8016" s="83"/>
      <c r="H8016" s="83"/>
      <c r="K8016" s="82"/>
      <c r="M8016" s="112"/>
      <c r="N8016" s="84"/>
    </row>
    <row r="8017" spans="1:14" s="2" customFormat="1">
      <c r="A8017" s="83"/>
      <c r="H8017" s="83"/>
      <c r="K8017" s="82"/>
      <c r="M8017" s="112"/>
      <c r="N8017" s="84"/>
    </row>
    <row r="8018" spans="1:14" s="2" customFormat="1">
      <c r="A8018" s="83"/>
      <c r="H8018" s="83"/>
      <c r="K8018" s="82"/>
      <c r="M8018" s="112"/>
      <c r="N8018" s="84"/>
    </row>
    <row r="8019" spans="1:14" s="2" customFormat="1">
      <c r="A8019" s="83"/>
      <c r="H8019" s="83"/>
      <c r="K8019" s="82"/>
      <c r="M8019" s="112"/>
      <c r="N8019" s="84"/>
    </row>
    <row r="8020" spans="1:14" s="2" customFormat="1">
      <c r="A8020" s="83"/>
      <c r="H8020" s="83"/>
      <c r="K8020" s="82"/>
      <c r="M8020" s="112"/>
      <c r="N8020" s="84"/>
    </row>
    <row r="8021" spans="1:14" s="2" customFormat="1">
      <c r="A8021" s="83"/>
      <c r="H8021" s="83"/>
      <c r="K8021" s="82"/>
      <c r="M8021" s="112"/>
      <c r="N8021" s="84"/>
    </row>
    <row r="8022" spans="1:14" s="2" customFormat="1">
      <c r="A8022" s="83"/>
      <c r="H8022" s="83"/>
      <c r="K8022" s="82"/>
      <c r="M8022" s="112"/>
      <c r="N8022" s="84"/>
    </row>
    <row r="8023" spans="1:14" s="2" customFormat="1">
      <c r="A8023" s="83"/>
      <c r="H8023" s="83"/>
      <c r="K8023" s="82"/>
      <c r="M8023" s="112"/>
      <c r="N8023" s="84"/>
    </row>
    <row r="8024" spans="1:14" s="2" customFormat="1">
      <c r="A8024" s="83"/>
      <c r="H8024" s="83"/>
      <c r="K8024" s="82"/>
      <c r="M8024" s="112"/>
      <c r="N8024" s="84"/>
    </row>
    <row r="8025" spans="1:14" s="2" customFormat="1">
      <c r="A8025" s="83"/>
      <c r="H8025" s="83"/>
      <c r="K8025" s="82"/>
      <c r="M8025" s="112"/>
      <c r="N8025" s="84"/>
    </row>
    <row r="8026" spans="1:14" s="2" customFormat="1">
      <c r="A8026" s="83"/>
      <c r="H8026" s="83"/>
      <c r="K8026" s="82"/>
      <c r="M8026" s="112"/>
      <c r="N8026" s="84"/>
    </row>
    <row r="8027" spans="1:14" s="2" customFormat="1">
      <c r="A8027" s="83"/>
      <c r="H8027" s="83"/>
      <c r="K8027" s="82"/>
      <c r="M8027" s="112"/>
      <c r="N8027" s="84"/>
    </row>
    <row r="8028" spans="1:14" s="2" customFormat="1">
      <c r="A8028" s="83"/>
      <c r="H8028" s="83"/>
      <c r="K8028" s="82"/>
      <c r="M8028" s="112"/>
      <c r="N8028" s="84"/>
    </row>
    <row r="8029" spans="1:14" s="2" customFormat="1">
      <c r="A8029" s="83"/>
      <c r="H8029" s="83"/>
      <c r="K8029" s="82"/>
      <c r="M8029" s="112"/>
      <c r="N8029" s="84"/>
    </row>
    <row r="8030" spans="1:14" s="2" customFormat="1">
      <c r="A8030" s="83"/>
      <c r="H8030" s="83"/>
      <c r="K8030" s="82"/>
      <c r="M8030" s="112"/>
      <c r="N8030" s="84"/>
    </row>
    <row r="8031" spans="1:14" s="2" customFormat="1">
      <c r="A8031" s="83"/>
      <c r="H8031" s="83"/>
      <c r="K8031" s="82"/>
      <c r="M8031" s="112"/>
      <c r="N8031" s="84"/>
    </row>
    <row r="8032" spans="1:14" s="2" customFormat="1">
      <c r="A8032" s="83"/>
      <c r="H8032" s="83"/>
      <c r="K8032" s="82"/>
      <c r="M8032" s="112"/>
      <c r="N8032" s="84"/>
    </row>
    <row r="8033" spans="1:14" s="2" customFormat="1">
      <c r="A8033" s="83"/>
      <c r="H8033" s="83"/>
      <c r="K8033" s="82"/>
      <c r="M8033" s="112"/>
      <c r="N8033" s="84"/>
    </row>
    <row r="8034" spans="1:14" s="2" customFormat="1">
      <c r="A8034" s="83"/>
      <c r="H8034" s="83"/>
      <c r="K8034" s="82"/>
      <c r="M8034" s="112"/>
      <c r="N8034" s="84"/>
    </row>
    <row r="8035" spans="1:14" s="2" customFormat="1">
      <c r="A8035" s="83"/>
      <c r="H8035" s="83"/>
      <c r="K8035" s="82"/>
      <c r="M8035" s="112"/>
      <c r="N8035" s="84"/>
    </row>
    <row r="8036" spans="1:14" s="2" customFormat="1">
      <c r="A8036" s="83"/>
      <c r="H8036" s="83"/>
      <c r="K8036" s="82"/>
      <c r="M8036" s="112"/>
      <c r="N8036" s="84"/>
    </row>
    <row r="8037" spans="1:14" s="2" customFormat="1">
      <c r="A8037" s="83"/>
      <c r="H8037" s="83"/>
      <c r="K8037" s="82"/>
      <c r="M8037" s="112"/>
      <c r="N8037" s="84"/>
    </row>
    <row r="8038" spans="1:14" s="2" customFormat="1">
      <c r="A8038" s="83"/>
      <c r="H8038" s="83"/>
      <c r="K8038" s="82"/>
      <c r="M8038" s="112"/>
      <c r="N8038" s="84"/>
    </row>
    <row r="8039" spans="1:14" s="2" customFormat="1">
      <c r="A8039" s="83"/>
      <c r="H8039" s="83"/>
      <c r="K8039" s="82"/>
      <c r="M8039" s="112"/>
      <c r="N8039" s="84"/>
    </row>
    <row r="8040" spans="1:14" s="2" customFormat="1">
      <c r="A8040" s="83"/>
      <c r="H8040" s="83"/>
      <c r="K8040" s="82"/>
      <c r="M8040" s="112"/>
      <c r="N8040" s="84"/>
    </row>
    <row r="8041" spans="1:14" s="2" customFormat="1">
      <c r="A8041" s="83"/>
      <c r="H8041" s="83"/>
      <c r="K8041" s="82"/>
      <c r="M8041" s="112"/>
      <c r="N8041" s="84"/>
    </row>
    <row r="8042" spans="1:14" s="2" customFormat="1">
      <c r="A8042" s="83"/>
      <c r="H8042" s="83"/>
      <c r="K8042" s="82"/>
      <c r="M8042" s="112"/>
      <c r="N8042" s="84"/>
    </row>
    <row r="8043" spans="1:14" s="2" customFormat="1">
      <c r="A8043" s="83"/>
      <c r="H8043" s="83"/>
      <c r="K8043" s="82"/>
      <c r="M8043" s="112"/>
      <c r="N8043" s="84"/>
    </row>
    <row r="8044" spans="1:14" s="2" customFormat="1">
      <c r="A8044" s="83"/>
      <c r="H8044" s="83"/>
      <c r="K8044" s="82"/>
      <c r="M8044" s="112"/>
      <c r="N8044" s="84"/>
    </row>
    <row r="8045" spans="1:14" s="2" customFormat="1">
      <c r="A8045" s="83"/>
      <c r="H8045" s="83"/>
      <c r="K8045" s="82"/>
      <c r="M8045" s="112"/>
      <c r="N8045" s="84"/>
    </row>
    <row r="8046" spans="1:14" s="2" customFormat="1">
      <c r="A8046" s="83"/>
      <c r="H8046" s="83"/>
      <c r="K8046" s="82"/>
      <c r="M8046" s="112"/>
      <c r="N8046" s="84"/>
    </row>
    <row r="8047" spans="1:14" s="2" customFormat="1">
      <c r="A8047" s="83"/>
      <c r="H8047" s="83"/>
      <c r="K8047" s="82"/>
      <c r="M8047" s="112"/>
      <c r="N8047" s="84"/>
    </row>
    <row r="8048" spans="1:14" s="2" customFormat="1">
      <c r="A8048" s="83"/>
      <c r="H8048" s="83"/>
      <c r="K8048" s="82"/>
      <c r="M8048" s="112"/>
      <c r="N8048" s="84"/>
    </row>
    <row r="8049" spans="1:14" s="2" customFormat="1">
      <c r="A8049" s="83"/>
      <c r="H8049" s="83"/>
      <c r="K8049" s="82"/>
      <c r="M8049" s="112"/>
      <c r="N8049" s="84"/>
    </row>
    <row r="8050" spans="1:14" s="2" customFormat="1">
      <c r="A8050" s="83"/>
      <c r="H8050" s="83"/>
      <c r="K8050" s="82"/>
      <c r="M8050" s="112"/>
      <c r="N8050" s="84"/>
    </row>
    <row r="8051" spans="1:14" s="2" customFormat="1">
      <c r="A8051" s="83"/>
      <c r="H8051" s="83"/>
      <c r="K8051" s="82"/>
      <c r="M8051" s="112"/>
      <c r="N8051" s="84"/>
    </row>
    <row r="8052" spans="1:14" s="2" customFormat="1">
      <c r="A8052" s="83"/>
      <c r="H8052" s="83"/>
      <c r="K8052" s="82"/>
      <c r="M8052" s="112"/>
      <c r="N8052" s="84"/>
    </row>
    <row r="8053" spans="1:14" s="2" customFormat="1">
      <c r="A8053" s="83"/>
      <c r="H8053" s="83"/>
      <c r="K8053" s="82"/>
      <c r="M8053" s="112"/>
      <c r="N8053" s="84"/>
    </row>
    <row r="8054" spans="1:14" s="2" customFormat="1">
      <c r="A8054" s="83"/>
      <c r="H8054" s="83"/>
      <c r="K8054" s="82"/>
      <c r="M8054" s="112"/>
      <c r="N8054" s="84"/>
    </row>
    <row r="8055" spans="1:14" s="2" customFormat="1">
      <c r="A8055" s="83"/>
      <c r="H8055" s="83"/>
      <c r="K8055" s="82"/>
      <c r="M8055" s="112"/>
      <c r="N8055" s="84"/>
    </row>
    <row r="8056" spans="1:14" s="2" customFormat="1">
      <c r="A8056" s="83"/>
      <c r="H8056" s="83"/>
      <c r="K8056" s="82"/>
      <c r="M8056" s="112"/>
      <c r="N8056" s="84"/>
    </row>
    <row r="8057" spans="1:14" s="2" customFormat="1">
      <c r="A8057" s="83"/>
      <c r="H8057" s="83"/>
      <c r="K8057" s="82"/>
      <c r="M8057" s="112"/>
      <c r="N8057" s="84"/>
    </row>
    <row r="8058" spans="1:14" s="2" customFormat="1">
      <c r="A8058" s="83"/>
      <c r="H8058" s="83"/>
      <c r="K8058" s="82"/>
      <c r="M8058" s="112"/>
      <c r="N8058" s="84"/>
    </row>
    <row r="8059" spans="1:14" s="2" customFormat="1">
      <c r="A8059" s="83"/>
      <c r="H8059" s="83"/>
      <c r="K8059" s="82"/>
      <c r="M8059" s="112"/>
      <c r="N8059" s="84"/>
    </row>
    <row r="8060" spans="1:14" s="2" customFormat="1">
      <c r="A8060" s="83"/>
      <c r="H8060" s="83"/>
      <c r="K8060" s="82"/>
      <c r="M8060" s="112"/>
      <c r="N8060" s="84"/>
    </row>
    <row r="8061" spans="1:14" s="2" customFormat="1">
      <c r="A8061" s="83"/>
      <c r="H8061" s="83"/>
      <c r="K8061" s="82"/>
      <c r="M8061" s="112"/>
      <c r="N8061" s="84"/>
    </row>
    <row r="8062" spans="1:14" s="2" customFormat="1">
      <c r="A8062" s="83"/>
      <c r="H8062" s="83"/>
      <c r="K8062" s="82"/>
      <c r="M8062" s="112"/>
      <c r="N8062" s="84"/>
    </row>
    <row r="8063" spans="1:14" s="2" customFormat="1">
      <c r="A8063" s="83"/>
      <c r="H8063" s="83"/>
      <c r="K8063" s="82"/>
      <c r="M8063" s="112"/>
      <c r="N8063" s="84"/>
    </row>
    <row r="8064" spans="1:14" s="2" customFormat="1">
      <c r="A8064" s="83"/>
      <c r="H8064" s="83"/>
      <c r="K8064" s="82"/>
      <c r="M8064" s="112"/>
      <c r="N8064" s="84"/>
    </row>
    <row r="8065" spans="1:14" s="2" customFormat="1">
      <c r="A8065" s="83"/>
      <c r="H8065" s="83"/>
      <c r="K8065" s="82"/>
      <c r="M8065" s="112"/>
      <c r="N8065" s="84"/>
    </row>
    <row r="8066" spans="1:14" s="2" customFormat="1">
      <c r="A8066" s="83"/>
      <c r="H8066" s="83"/>
      <c r="K8066" s="82"/>
      <c r="M8066" s="112"/>
      <c r="N8066" s="84"/>
    </row>
    <row r="8067" spans="1:14" s="2" customFormat="1">
      <c r="A8067" s="83"/>
      <c r="H8067" s="83"/>
      <c r="K8067" s="82"/>
      <c r="M8067" s="112"/>
      <c r="N8067" s="84"/>
    </row>
    <row r="8068" spans="1:14" s="2" customFormat="1">
      <c r="A8068" s="83"/>
      <c r="H8068" s="83"/>
      <c r="K8068" s="82"/>
      <c r="M8068" s="112"/>
      <c r="N8068" s="84"/>
    </row>
    <row r="8069" spans="1:14" s="2" customFormat="1">
      <c r="A8069" s="83"/>
      <c r="H8069" s="83"/>
      <c r="K8069" s="82"/>
      <c r="M8069" s="112"/>
      <c r="N8069" s="84"/>
    </row>
    <row r="8070" spans="1:14" s="2" customFormat="1">
      <c r="A8070" s="83"/>
      <c r="H8070" s="83"/>
      <c r="K8070" s="82"/>
      <c r="M8070" s="112"/>
      <c r="N8070" s="84"/>
    </row>
    <row r="8071" spans="1:14" s="2" customFormat="1">
      <c r="A8071" s="83"/>
      <c r="H8071" s="83"/>
      <c r="K8071" s="82"/>
      <c r="M8071" s="112"/>
      <c r="N8071" s="84"/>
    </row>
    <row r="8072" spans="1:14" s="2" customFormat="1">
      <c r="A8072" s="83"/>
      <c r="H8072" s="83"/>
      <c r="K8072" s="82"/>
      <c r="M8072" s="112"/>
      <c r="N8072" s="84"/>
    </row>
    <row r="8073" spans="1:14" s="2" customFormat="1">
      <c r="A8073" s="83"/>
      <c r="H8073" s="83"/>
      <c r="K8073" s="82"/>
      <c r="M8073" s="112"/>
      <c r="N8073" s="84"/>
    </row>
    <row r="8074" spans="1:14" s="2" customFormat="1">
      <c r="A8074" s="83"/>
      <c r="H8074" s="83"/>
      <c r="K8074" s="82"/>
      <c r="M8074" s="112"/>
      <c r="N8074" s="84"/>
    </row>
    <row r="8075" spans="1:14" s="2" customFormat="1">
      <c r="A8075" s="83"/>
      <c r="H8075" s="83"/>
      <c r="K8075" s="82"/>
      <c r="M8075" s="112"/>
      <c r="N8075" s="84"/>
    </row>
    <row r="8076" spans="1:14" s="2" customFormat="1">
      <c r="A8076" s="83"/>
      <c r="H8076" s="83"/>
      <c r="K8076" s="82"/>
      <c r="M8076" s="112"/>
      <c r="N8076" s="84"/>
    </row>
    <row r="8077" spans="1:14" s="2" customFormat="1">
      <c r="A8077" s="83"/>
      <c r="H8077" s="83"/>
      <c r="K8077" s="82"/>
      <c r="M8077" s="112"/>
      <c r="N8077" s="84"/>
    </row>
    <row r="8078" spans="1:14" s="2" customFormat="1">
      <c r="A8078" s="83"/>
      <c r="H8078" s="83"/>
      <c r="K8078" s="82"/>
      <c r="M8078" s="112"/>
      <c r="N8078" s="84"/>
    </row>
    <row r="8079" spans="1:14" s="2" customFormat="1">
      <c r="A8079" s="83"/>
      <c r="H8079" s="83"/>
      <c r="K8079" s="82"/>
      <c r="M8079" s="112"/>
      <c r="N8079" s="84"/>
    </row>
    <row r="8080" spans="1:14" s="2" customFormat="1">
      <c r="A8080" s="83"/>
      <c r="H8080" s="83"/>
      <c r="K8080" s="82"/>
      <c r="M8080" s="112"/>
      <c r="N8080" s="84"/>
    </row>
    <row r="8081" spans="1:14" s="2" customFormat="1">
      <c r="A8081" s="83"/>
      <c r="H8081" s="83"/>
      <c r="K8081" s="82"/>
      <c r="M8081" s="112"/>
      <c r="N8081" s="84"/>
    </row>
    <row r="8082" spans="1:14" s="2" customFormat="1">
      <c r="A8082" s="83"/>
      <c r="H8082" s="83"/>
      <c r="K8082" s="82"/>
      <c r="M8082" s="112"/>
      <c r="N8082" s="84"/>
    </row>
    <row r="8083" spans="1:14" s="2" customFormat="1">
      <c r="A8083" s="83"/>
      <c r="H8083" s="83"/>
      <c r="K8083" s="82"/>
      <c r="M8083" s="112"/>
      <c r="N8083" s="84"/>
    </row>
    <row r="8084" spans="1:14" s="2" customFormat="1">
      <c r="A8084" s="83"/>
      <c r="H8084" s="83"/>
      <c r="K8084" s="82"/>
      <c r="M8084" s="112"/>
      <c r="N8084" s="84"/>
    </row>
    <row r="8085" spans="1:14" s="2" customFormat="1">
      <c r="A8085" s="83"/>
      <c r="H8085" s="83"/>
      <c r="K8085" s="82"/>
      <c r="M8085" s="112"/>
      <c r="N8085" s="84"/>
    </row>
    <row r="8086" spans="1:14" s="2" customFormat="1">
      <c r="A8086" s="83"/>
      <c r="H8086" s="83"/>
      <c r="K8086" s="82"/>
      <c r="M8086" s="112"/>
      <c r="N8086" s="84"/>
    </row>
    <row r="8087" spans="1:14" s="2" customFormat="1">
      <c r="A8087" s="83"/>
      <c r="H8087" s="83"/>
      <c r="K8087" s="82"/>
      <c r="M8087" s="112"/>
      <c r="N8087" s="84"/>
    </row>
    <row r="8088" spans="1:14" s="2" customFormat="1">
      <c r="A8088" s="83"/>
      <c r="H8088" s="83"/>
      <c r="K8088" s="82"/>
      <c r="M8088" s="112"/>
      <c r="N8088" s="84"/>
    </row>
    <row r="8089" spans="1:14" s="2" customFormat="1">
      <c r="A8089" s="83"/>
      <c r="H8089" s="83"/>
      <c r="K8089" s="82"/>
      <c r="M8089" s="112"/>
      <c r="N8089" s="84"/>
    </row>
    <row r="8090" spans="1:14" s="2" customFormat="1">
      <c r="A8090" s="83"/>
      <c r="H8090" s="83"/>
      <c r="K8090" s="82"/>
      <c r="M8090" s="112"/>
      <c r="N8090" s="84"/>
    </row>
    <row r="8091" spans="1:14" s="2" customFormat="1">
      <c r="A8091" s="83"/>
      <c r="H8091" s="83"/>
      <c r="K8091" s="82"/>
      <c r="M8091" s="112"/>
      <c r="N8091" s="84"/>
    </row>
    <row r="8092" spans="1:14" s="2" customFormat="1">
      <c r="A8092" s="83"/>
      <c r="H8092" s="83"/>
      <c r="K8092" s="82"/>
      <c r="M8092" s="112"/>
      <c r="N8092" s="84"/>
    </row>
    <row r="8093" spans="1:14" s="2" customFormat="1">
      <c r="A8093" s="83"/>
      <c r="H8093" s="83"/>
      <c r="K8093" s="82"/>
      <c r="M8093" s="112"/>
      <c r="N8093" s="84"/>
    </row>
    <row r="8094" spans="1:14" s="2" customFormat="1">
      <c r="A8094" s="83"/>
      <c r="H8094" s="83"/>
      <c r="K8094" s="82"/>
      <c r="M8094" s="112"/>
      <c r="N8094" s="84"/>
    </row>
    <row r="8095" spans="1:14" s="2" customFormat="1">
      <c r="A8095" s="83"/>
      <c r="H8095" s="83"/>
      <c r="K8095" s="82"/>
      <c r="M8095" s="112"/>
      <c r="N8095" s="84"/>
    </row>
    <row r="8096" spans="1:14" s="2" customFormat="1">
      <c r="A8096" s="83"/>
      <c r="H8096" s="83"/>
      <c r="K8096" s="82"/>
      <c r="M8096" s="112"/>
      <c r="N8096" s="84"/>
    </row>
    <row r="8097" spans="1:14" s="2" customFormat="1">
      <c r="A8097" s="83"/>
      <c r="H8097" s="83"/>
      <c r="K8097" s="82"/>
      <c r="M8097" s="112"/>
      <c r="N8097" s="84"/>
    </row>
    <row r="8098" spans="1:14" s="2" customFormat="1">
      <c r="A8098" s="83"/>
      <c r="H8098" s="83"/>
      <c r="K8098" s="82"/>
      <c r="M8098" s="112"/>
      <c r="N8098" s="84"/>
    </row>
    <row r="8099" spans="1:14" s="2" customFormat="1">
      <c r="A8099" s="83"/>
      <c r="H8099" s="83"/>
      <c r="K8099" s="82"/>
      <c r="M8099" s="112"/>
      <c r="N8099" s="84"/>
    </row>
    <row r="8100" spans="1:14" s="2" customFormat="1">
      <c r="A8100" s="83"/>
      <c r="H8100" s="83"/>
      <c r="K8100" s="82"/>
      <c r="M8100" s="112"/>
      <c r="N8100" s="84"/>
    </row>
    <row r="8101" spans="1:14" s="2" customFormat="1">
      <c r="A8101" s="83"/>
      <c r="H8101" s="83"/>
      <c r="K8101" s="82"/>
      <c r="M8101" s="112"/>
      <c r="N8101" s="84"/>
    </row>
    <row r="8102" spans="1:14" s="2" customFormat="1">
      <c r="A8102" s="83"/>
      <c r="H8102" s="83"/>
      <c r="K8102" s="82"/>
      <c r="M8102" s="112"/>
      <c r="N8102" s="84"/>
    </row>
    <row r="8103" spans="1:14" s="2" customFormat="1">
      <c r="A8103" s="83"/>
      <c r="H8103" s="83"/>
      <c r="K8103" s="82"/>
      <c r="M8103" s="112"/>
      <c r="N8103" s="84"/>
    </row>
    <row r="8104" spans="1:14" s="2" customFormat="1">
      <c r="A8104" s="83"/>
      <c r="H8104" s="83"/>
      <c r="K8104" s="82"/>
      <c r="M8104" s="112"/>
      <c r="N8104" s="84"/>
    </row>
    <row r="8105" spans="1:14" s="2" customFormat="1">
      <c r="A8105" s="83"/>
      <c r="H8105" s="83"/>
      <c r="K8105" s="82"/>
      <c r="M8105" s="112"/>
      <c r="N8105" s="84"/>
    </row>
    <row r="8106" spans="1:14" s="2" customFormat="1">
      <c r="A8106" s="83"/>
      <c r="H8106" s="83"/>
      <c r="K8106" s="82"/>
      <c r="M8106" s="112"/>
      <c r="N8106" s="84"/>
    </row>
    <row r="8107" spans="1:14" s="2" customFormat="1">
      <c r="A8107" s="83"/>
      <c r="H8107" s="83"/>
      <c r="K8107" s="82"/>
      <c r="M8107" s="112"/>
      <c r="N8107" s="84"/>
    </row>
    <row r="8108" spans="1:14" s="2" customFormat="1">
      <c r="A8108" s="83"/>
      <c r="H8108" s="83"/>
      <c r="K8108" s="82"/>
      <c r="M8108" s="112"/>
      <c r="N8108" s="84"/>
    </row>
    <row r="8109" spans="1:14" s="2" customFormat="1">
      <c r="A8109" s="83"/>
      <c r="H8109" s="83"/>
      <c r="K8109" s="82"/>
      <c r="M8109" s="112"/>
      <c r="N8109" s="84"/>
    </row>
    <row r="8110" spans="1:14" s="2" customFormat="1">
      <c r="A8110" s="83"/>
      <c r="H8110" s="83"/>
      <c r="K8110" s="82"/>
      <c r="M8110" s="112"/>
      <c r="N8110" s="84"/>
    </row>
    <row r="8111" spans="1:14" s="2" customFormat="1">
      <c r="A8111" s="83"/>
      <c r="H8111" s="83"/>
      <c r="K8111" s="82"/>
      <c r="M8111" s="112"/>
      <c r="N8111" s="84"/>
    </row>
    <row r="8112" spans="1:14" s="2" customFormat="1">
      <c r="A8112" s="83"/>
      <c r="H8112" s="83"/>
      <c r="K8112" s="82"/>
      <c r="M8112" s="112"/>
      <c r="N8112" s="84"/>
    </row>
    <row r="8113" spans="1:14" s="2" customFormat="1">
      <c r="A8113" s="83"/>
      <c r="H8113" s="83"/>
      <c r="K8113" s="82"/>
      <c r="M8113" s="112"/>
      <c r="N8113" s="84"/>
    </row>
    <row r="8114" spans="1:14" s="2" customFormat="1">
      <c r="A8114" s="83"/>
      <c r="H8114" s="83"/>
      <c r="K8114" s="82"/>
      <c r="M8114" s="112"/>
      <c r="N8114" s="84"/>
    </row>
    <row r="8115" spans="1:14" s="2" customFormat="1">
      <c r="A8115" s="83"/>
      <c r="H8115" s="83"/>
      <c r="K8115" s="82"/>
      <c r="M8115" s="112"/>
      <c r="N8115" s="84"/>
    </row>
    <row r="8116" spans="1:14" s="2" customFormat="1">
      <c r="A8116" s="83"/>
      <c r="H8116" s="83"/>
      <c r="K8116" s="82"/>
      <c r="M8116" s="112"/>
      <c r="N8116" s="84"/>
    </row>
    <row r="8117" spans="1:14" s="2" customFormat="1">
      <c r="A8117" s="83"/>
      <c r="H8117" s="83"/>
      <c r="K8117" s="82"/>
      <c r="M8117" s="112"/>
      <c r="N8117" s="84"/>
    </row>
    <row r="8118" spans="1:14" s="2" customFormat="1">
      <c r="A8118" s="83"/>
      <c r="H8118" s="83"/>
      <c r="K8118" s="82"/>
      <c r="M8118" s="112"/>
      <c r="N8118" s="84"/>
    </row>
    <row r="8119" spans="1:14" s="2" customFormat="1">
      <c r="A8119" s="83"/>
      <c r="H8119" s="83"/>
      <c r="K8119" s="82"/>
      <c r="M8119" s="112"/>
      <c r="N8119" s="84"/>
    </row>
    <row r="8120" spans="1:14" s="2" customFormat="1">
      <c r="A8120" s="83"/>
      <c r="H8120" s="83"/>
      <c r="K8120" s="82"/>
      <c r="M8120" s="112"/>
      <c r="N8120" s="84"/>
    </row>
    <row r="8121" spans="1:14" s="2" customFormat="1">
      <c r="A8121" s="83"/>
      <c r="H8121" s="83"/>
      <c r="K8121" s="82"/>
      <c r="M8121" s="112"/>
      <c r="N8121" s="84"/>
    </row>
    <row r="8122" spans="1:14" s="2" customFormat="1">
      <c r="A8122" s="83"/>
      <c r="H8122" s="83"/>
      <c r="K8122" s="82"/>
      <c r="M8122" s="112"/>
      <c r="N8122" s="84"/>
    </row>
    <row r="8123" spans="1:14" s="2" customFormat="1">
      <c r="A8123" s="83"/>
      <c r="H8123" s="83"/>
      <c r="K8123" s="82"/>
      <c r="M8123" s="112"/>
      <c r="N8123" s="84"/>
    </row>
    <row r="8124" spans="1:14" s="2" customFormat="1">
      <c r="A8124" s="83"/>
      <c r="H8124" s="83"/>
      <c r="K8124" s="82"/>
      <c r="M8124" s="112"/>
      <c r="N8124" s="84"/>
    </row>
    <row r="8125" spans="1:14" s="2" customFormat="1">
      <c r="A8125" s="83"/>
      <c r="H8125" s="83"/>
      <c r="K8125" s="82"/>
      <c r="M8125" s="112"/>
      <c r="N8125" s="84"/>
    </row>
    <row r="8126" spans="1:14" s="2" customFormat="1">
      <c r="A8126" s="83"/>
      <c r="H8126" s="83"/>
      <c r="K8126" s="82"/>
      <c r="M8126" s="112"/>
      <c r="N8126" s="84"/>
    </row>
    <row r="8127" spans="1:14" s="2" customFormat="1">
      <c r="A8127" s="83"/>
      <c r="H8127" s="83"/>
      <c r="K8127" s="82"/>
      <c r="M8127" s="112"/>
      <c r="N8127" s="84"/>
    </row>
    <row r="8128" spans="1:14" s="2" customFormat="1">
      <c r="A8128" s="83"/>
      <c r="H8128" s="83"/>
      <c r="K8128" s="82"/>
      <c r="M8128" s="112"/>
      <c r="N8128" s="84"/>
    </row>
    <row r="8129" spans="1:14" s="2" customFormat="1">
      <c r="A8129" s="83"/>
      <c r="H8129" s="83"/>
      <c r="K8129" s="82"/>
      <c r="M8129" s="112"/>
      <c r="N8129" s="84"/>
    </row>
    <row r="8130" spans="1:14" s="2" customFormat="1">
      <c r="A8130" s="83"/>
      <c r="H8130" s="83"/>
      <c r="K8130" s="82"/>
      <c r="M8130" s="112"/>
      <c r="N8130" s="84"/>
    </row>
    <row r="8131" spans="1:14" s="2" customFormat="1">
      <c r="A8131" s="83"/>
      <c r="H8131" s="83"/>
      <c r="K8131" s="82"/>
      <c r="M8131" s="112"/>
      <c r="N8131" s="84"/>
    </row>
    <row r="8132" spans="1:14" s="2" customFormat="1">
      <c r="A8132" s="83"/>
      <c r="H8132" s="83"/>
      <c r="K8132" s="82"/>
      <c r="M8132" s="112"/>
      <c r="N8132" s="84"/>
    </row>
    <row r="8133" spans="1:14" s="2" customFormat="1">
      <c r="A8133" s="83"/>
      <c r="H8133" s="83"/>
      <c r="K8133" s="82"/>
      <c r="M8133" s="112"/>
      <c r="N8133" s="84"/>
    </row>
    <row r="8134" spans="1:14" s="2" customFormat="1">
      <c r="A8134" s="83"/>
      <c r="H8134" s="83"/>
      <c r="K8134" s="82"/>
      <c r="M8134" s="112"/>
      <c r="N8134" s="84"/>
    </row>
    <row r="8135" spans="1:14" s="2" customFormat="1">
      <c r="A8135" s="83"/>
      <c r="H8135" s="83"/>
      <c r="K8135" s="82"/>
      <c r="M8135" s="112"/>
      <c r="N8135" s="84"/>
    </row>
    <row r="8136" spans="1:14" s="2" customFormat="1">
      <c r="A8136" s="83"/>
      <c r="H8136" s="83"/>
      <c r="K8136" s="82"/>
      <c r="M8136" s="112"/>
      <c r="N8136" s="84"/>
    </row>
    <row r="8137" spans="1:14" s="2" customFormat="1">
      <c r="A8137" s="83"/>
      <c r="H8137" s="83"/>
      <c r="K8137" s="82"/>
      <c r="M8137" s="112"/>
      <c r="N8137" s="84"/>
    </row>
    <row r="8138" spans="1:14" s="2" customFormat="1">
      <c r="A8138" s="83"/>
      <c r="H8138" s="83"/>
      <c r="K8138" s="82"/>
      <c r="M8138" s="112"/>
      <c r="N8138" s="84"/>
    </row>
    <row r="8139" spans="1:14" s="2" customFormat="1">
      <c r="A8139" s="83"/>
      <c r="H8139" s="83"/>
      <c r="K8139" s="82"/>
      <c r="M8139" s="112"/>
      <c r="N8139" s="84"/>
    </row>
    <row r="8140" spans="1:14" s="2" customFormat="1">
      <c r="A8140" s="83"/>
      <c r="H8140" s="83"/>
      <c r="K8140" s="82"/>
      <c r="M8140" s="112"/>
      <c r="N8140" s="84"/>
    </row>
    <row r="8141" spans="1:14" s="2" customFormat="1">
      <c r="A8141" s="83"/>
      <c r="H8141" s="83"/>
      <c r="K8141" s="82"/>
      <c r="M8141" s="112"/>
      <c r="N8141" s="84"/>
    </row>
    <row r="8142" spans="1:14" s="2" customFormat="1">
      <c r="A8142" s="83"/>
      <c r="H8142" s="83"/>
      <c r="K8142" s="82"/>
      <c r="M8142" s="112"/>
      <c r="N8142" s="84"/>
    </row>
    <row r="8143" spans="1:14" s="2" customFormat="1">
      <c r="A8143" s="83"/>
      <c r="H8143" s="83"/>
      <c r="K8143" s="82"/>
      <c r="M8143" s="112"/>
      <c r="N8143" s="84"/>
    </row>
    <row r="8144" spans="1:14" s="2" customFormat="1">
      <c r="A8144" s="83"/>
      <c r="H8144" s="83"/>
      <c r="K8144" s="82"/>
      <c r="M8144" s="112"/>
      <c r="N8144" s="84"/>
    </row>
    <row r="8145" spans="1:14" s="2" customFormat="1">
      <c r="A8145" s="83"/>
      <c r="H8145" s="83"/>
      <c r="K8145" s="82"/>
      <c r="M8145" s="112"/>
      <c r="N8145" s="84"/>
    </row>
    <row r="8146" spans="1:14" s="2" customFormat="1">
      <c r="A8146" s="83"/>
      <c r="H8146" s="83"/>
      <c r="K8146" s="82"/>
      <c r="M8146" s="112"/>
      <c r="N8146" s="84"/>
    </row>
    <row r="8147" spans="1:14" s="2" customFormat="1">
      <c r="A8147" s="83"/>
      <c r="H8147" s="83"/>
      <c r="K8147" s="82"/>
      <c r="M8147" s="112"/>
      <c r="N8147" s="84"/>
    </row>
    <row r="8148" spans="1:14" s="2" customFormat="1">
      <c r="A8148" s="83"/>
      <c r="H8148" s="83"/>
      <c r="K8148" s="82"/>
      <c r="M8148" s="112"/>
      <c r="N8148" s="84"/>
    </row>
    <row r="8149" spans="1:14" s="2" customFormat="1">
      <c r="A8149" s="83"/>
      <c r="H8149" s="83"/>
      <c r="K8149" s="82"/>
      <c r="M8149" s="112"/>
      <c r="N8149" s="84"/>
    </row>
    <row r="8150" spans="1:14" s="2" customFormat="1">
      <c r="A8150" s="83"/>
      <c r="H8150" s="83"/>
      <c r="K8150" s="82"/>
      <c r="M8150" s="112"/>
      <c r="N8150" s="84"/>
    </row>
    <row r="8151" spans="1:14" s="2" customFormat="1">
      <c r="A8151" s="83"/>
      <c r="H8151" s="83"/>
      <c r="K8151" s="82"/>
      <c r="M8151" s="112"/>
      <c r="N8151" s="84"/>
    </row>
    <row r="8152" spans="1:14" s="2" customFormat="1">
      <c r="A8152" s="83"/>
      <c r="H8152" s="83"/>
      <c r="K8152" s="82"/>
      <c r="M8152" s="112"/>
      <c r="N8152" s="84"/>
    </row>
    <row r="8153" spans="1:14" s="2" customFormat="1">
      <c r="A8153" s="83"/>
      <c r="H8153" s="83"/>
      <c r="K8153" s="82"/>
      <c r="M8153" s="112"/>
      <c r="N8153" s="84"/>
    </row>
    <row r="8154" spans="1:14" s="2" customFormat="1">
      <c r="A8154" s="83"/>
      <c r="H8154" s="83"/>
      <c r="K8154" s="82"/>
      <c r="M8154" s="112"/>
      <c r="N8154" s="84"/>
    </row>
    <row r="8155" spans="1:14" s="2" customFormat="1">
      <c r="A8155" s="83"/>
      <c r="H8155" s="83"/>
      <c r="K8155" s="82"/>
      <c r="M8155" s="112"/>
      <c r="N8155" s="84"/>
    </row>
    <row r="8156" spans="1:14" s="2" customFormat="1">
      <c r="A8156" s="83"/>
      <c r="H8156" s="83"/>
      <c r="K8156" s="82"/>
      <c r="M8156" s="112"/>
      <c r="N8156" s="84"/>
    </row>
    <row r="8157" spans="1:14" s="2" customFormat="1">
      <c r="A8157" s="83"/>
      <c r="H8157" s="83"/>
      <c r="K8157" s="82"/>
      <c r="M8157" s="112"/>
      <c r="N8157" s="84"/>
    </row>
    <row r="8158" spans="1:14" s="2" customFormat="1">
      <c r="A8158" s="83"/>
      <c r="H8158" s="83"/>
      <c r="K8158" s="82"/>
      <c r="M8158" s="112"/>
      <c r="N8158" s="84"/>
    </row>
    <row r="8159" spans="1:14" s="2" customFormat="1">
      <c r="A8159" s="83"/>
      <c r="H8159" s="83"/>
      <c r="K8159" s="82"/>
      <c r="M8159" s="112"/>
      <c r="N8159" s="84"/>
    </row>
    <row r="8160" spans="1:14" s="2" customFormat="1">
      <c r="A8160" s="83"/>
      <c r="H8160" s="83"/>
      <c r="K8160" s="82"/>
      <c r="M8160" s="112"/>
      <c r="N8160" s="84"/>
    </row>
    <row r="8161" spans="1:14" s="2" customFormat="1">
      <c r="A8161" s="83"/>
      <c r="H8161" s="83"/>
      <c r="K8161" s="82"/>
      <c r="M8161" s="112"/>
      <c r="N8161" s="84"/>
    </row>
    <row r="8162" spans="1:14" s="2" customFormat="1">
      <c r="A8162" s="83"/>
      <c r="H8162" s="83"/>
      <c r="K8162" s="82"/>
      <c r="M8162" s="112"/>
      <c r="N8162" s="84"/>
    </row>
    <row r="8163" spans="1:14" s="2" customFormat="1">
      <c r="A8163" s="83"/>
      <c r="H8163" s="83"/>
      <c r="K8163" s="82"/>
      <c r="M8163" s="112"/>
      <c r="N8163" s="84"/>
    </row>
    <row r="8164" spans="1:14" s="2" customFormat="1">
      <c r="A8164" s="83"/>
      <c r="H8164" s="83"/>
      <c r="K8164" s="82"/>
      <c r="M8164" s="112"/>
      <c r="N8164" s="84"/>
    </row>
    <row r="8165" spans="1:14" s="2" customFormat="1">
      <c r="A8165" s="83"/>
      <c r="H8165" s="83"/>
      <c r="K8165" s="82"/>
      <c r="M8165" s="112"/>
      <c r="N8165" s="84"/>
    </row>
    <row r="8166" spans="1:14" s="2" customFormat="1">
      <c r="A8166" s="83"/>
      <c r="H8166" s="83"/>
      <c r="K8166" s="82"/>
      <c r="M8166" s="112"/>
      <c r="N8166" s="84"/>
    </row>
    <row r="8167" spans="1:14" s="2" customFormat="1">
      <c r="A8167" s="83"/>
      <c r="H8167" s="83"/>
      <c r="K8167" s="82"/>
      <c r="M8167" s="112"/>
      <c r="N8167" s="84"/>
    </row>
    <row r="8168" spans="1:14" s="2" customFormat="1">
      <c r="A8168" s="83"/>
      <c r="H8168" s="83"/>
      <c r="K8168" s="82"/>
      <c r="M8168" s="112"/>
      <c r="N8168" s="84"/>
    </row>
    <row r="8169" spans="1:14" s="2" customFormat="1">
      <c r="A8169" s="83"/>
      <c r="H8169" s="83"/>
      <c r="K8169" s="82"/>
      <c r="M8169" s="112"/>
      <c r="N8169" s="84"/>
    </row>
    <row r="8170" spans="1:14" s="2" customFormat="1">
      <c r="A8170" s="83"/>
      <c r="H8170" s="83"/>
      <c r="K8170" s="82"/>
      <c r="M8170" s="112"/>
      <c r="N8170" s="84"/>
    </row>
    <row r="8171" spans="1:14" s="2" customFormat="1">
      <c r="A8171" s="83"/>
      <c r="H8171" s="83"/>
      <c r="K8171" s="82"/>
      <c r="M8171" s="112"/>
      <c r="N8171" s="84"/>
    </row>
    <row r="8172" spans="1:14" s="2" customFormat="1">
      <c r="A8172" s="83"/>
      <c r="H8172" s="83"/>
      <c r="K8172" s="82"/>
      <c r="M8172" s="112"/>
      <c r="N8172" s="84"/>
    </row>
    <row r="8173" spans="1:14" s="2" customFormat="1">
      <c r="A8173" s="83"/>
      <c r="H8173" s="83"/>
      <c r="K8173" s="82"/>
      <c r="M8173" s="112"/>
      <c r="N8173" s="84"/>
    </row>
    <row r="8174" spans="1:14" s="2" customFormat="1">
      <c r="A8174" s="83"/>
      <c r="H8174" s="83"/>
      <c r="K8174" s="82"/>
      <c r="M8174" s="112"/>
      <c r="N8174" s="84"/>
    </row>
    <row r="8175" spans="1:14" s="2" customFormat="1">
      <c r="A8175" s="83"/>
      <c r="H8175" s="83"/>
      <c r="K8175" s="82"/>
      <c r="M8175" s="112"/>
      <c r="N8175" s="84"/>
    </row>
    <row r="8176" spans="1:14" s="2" customFormat="1">
      <c r="A8176" s="83"/>
      <c r="H8176" s="83"/>
      <c r="K8176" s="82"/>
      <c r="M8176" s="112"/>
      <c r="N8176" s="84"/>
    </row>
    <row r="8177" spans="1:14" s="2" customFormat="1">
      <c r="A8177" s="83"/>
      <c r="H8177" s="83"/>
      <c r="K8177" s="82"/>
      <c r="M8177" s="112"/>
      <c r="N8177" s="84"/>
    </row>
    <row r="8178" spans="1:14" s="2" customFormat="1">
      <c r="A8178" s="83"/>
      <c r="H8178" s="83"/>
      <c r="K8178" s="82"/>
      <c r="M8178" s="112"/>
      <c r="N8178" s="84"/>
    </row>
    <row r="8179" spans="1:14" s="2" customFormat="1">
      <c r="A8179" s="83"/>
      <c r="H8179" s="83"/>
      <c r="K8179" s="82"/>
      <c r="M8179" s="112"/>
      <c r="N8179" s="84"/>
    </row>
    <row r="8180" spans="1:14" s="2" customFormat="1">
      <c r="A8180" s="83"/>
      <c r="H8180" s="83"/>
      <c r="K8180" s="82"/>
      <c r="M8180" s="112"/>
      <c r="N8180" s="84"/>
    </row>
    <row r="8181" spans="1:14" s="2" customFormat="1">
      <c r="A8181" s="83"/>
      <c r="H8181" s="83"/>
      <c r="K8181" s="82"/>
      <c r="M8181" s="112"/>
      <c r="N8181" s="84"/>
    </row>
    <row r="8182" spans="1:14" s="2" customFormat="1">
      <c r="A8182" s="83"/>
      <c r="H8182" s="83"/>
      <c r="K8182" s="82"/>
      <c r="M8182" s="112"/>
      <c r="N8182" s="84"/>
    </row>
    <row r="8183" spans="1:14" s="2" customFormat="1">
      <c r="A8183" s="83"/>
      <c r="H8183" s="83"/>
      <c r="K8183" s="82"/>
      <c r="M8183" s="112"/>
      <c r="N8183" s="84"/>
    </row>
    <row r="8184" spans="1:14" s="2" customFormat="1">
      <c r="A8184" s="83"/>
      <c r="H8184" s="83"/>
      <c r="K8184" s="82"/>
      <c r="M8184" s="112"/>
      <c r="N8184" s="84"/>
    </row>
    <row r="8185" spans="1:14" s="2" customFormat="1">
      <c r="A8185" s="83"/>
      <c r="H8185" s="83"/>
      <c r="K8185" s="82"/>
      <c r="M8185" s="112"/>
      <c r="N8185" s="84"/>
    </row>
    <row r="8186" spans="1:14" s="2" customFormat="1">
      <c r="A8186" s="83"/>
      <c r="H8186" s="83"/>
      <c r="K8186" s="82"/>
      <c r="M8186" s="112"/>
      <c r="N8186" s="84"/>
    </row>
    <row r="8187" spans="1:14" s="2" customFormat="1">
      <c r="A8187" s="83"/>
      <c r="H8187" s="83"/>
      <c r="K8187" s="82"/>
      <c r="M8187" s="112"/>
      <c r="N8187" s="84"/>
    </row>
    <row r="8188" spans="1:14" s="2" customFormat="1">
      <c r="A8188" s="83"/>
      <c r="H8188" s="83"/>
      <c r="K8188" s="82"/>
      <c r="M8188" s="112"/>
      <c r="N8188" s="84"/>
    </row>
    <row r="8189" spans="1:14" s="2" customFormat="1">
      <c r="A8189" s="83"/>
      <c r="H8189" s="83"/>
      <c r="K8189" s="82"/>
      <c r="M8189" s="112"/>
      <c r="N8189" s="84"/>
    </row>
    <row r="8190" spans="1:14" s="2" customFormat="1">
      <c r="A8190" s="83"/>
      <c r="H8190" s="83"/>
      <c r="K8190" s="82"/>
      <c r="M8190" s="112"/>
      <c r="N8190" s="84"/>
    </row>
    <row r="8191" spans="1:14" s="2" customFormat="1">
      <c r="A8191" s="83"/>
      <c r="H8191" s="83"/>
      <c r="K8191" s="82"/>
      <c r="M8191" s="112"/>
      <c r="N8191" s="84"/>
    </row>
    <row r="8192" spans="1:14" s="2" customFormat="1">
      <c r="A8192" s="83"/>
      <c r="H8192" s="83"/>
      <c r="K8192" s="82"/>
      <c r="M8192" s="112"/>
      <c r="N8192" s="84"/>
    </row>
    <row r="8193" spans="1:14" s="2" customFormat="1">
      <c r="A8193" s="83"/>
      <c r="H8193" s="83"/>
      <c r="K8193" s="82"/>
      <c r="M8193" s="112"/>
      <c r="N8193" s="84"/>
    </row>
    <row r="8194" spans="1:14" s="2" customFormat="1">
      <c r="A8194" s="83"/>
      <c r="H8194" s="83"/>
      <c r="K8194" s="82"/>
      <c r="M8194" s="112"/>
      <c r="N8194" s="84"/>
    </row>
    <row r="8195" spans="1:14" s="2" customFormat="1">
      <c r="A8195" s="83"/>
      <c r="H8195" s="83"/>
      <c r="K8195" s="82"/>
      <c r="M8195" s="112"/>
      <c r="N8195" s="84"/>
    </row>
    <row r="8196" spans="1:14" s="2" customFormat="1">
      <c r="A8196" s="83"/>
      <c r="H8196" s="83"/>
      <c r="K8196" s="82"/>
      <c r="M8196" s="112"/>
      <c r="N8196" s="84"/>
    </row>
    <row r="8197" spans="1:14" s="2" customFormat="1">
      <c r="A8197" s="83"/>
      <c r="H8197" s="83"/>
      <c r="K8197" s="82"/>
      <c r="M8197" s="112"/>
      <c r="N8197" s="84"/>
    </row>
    <row r="8198" spans="1:14" s="2" customFormat="1">
      <c r="A8198" s="83"/>
      <c r="H8198" s="83"/>
      <c r="K8198" s="82"/>
      <c r="M8198" s="112"/>
      <c r="N8198" s="84"/>
    </row>
    <row r="8199" spans="1:14" s="2" customFormat="1">
      <c r="A8199" s="83"/>
      <c r="H8199" s="83"/>
      <c r="K8199" s="82"/>
      <c r="M8199" s="112"/>
      <c r="N8199" s="84"/>
    </row>
    <row r="8200" spans="1:14" s="2" customFormat="1">
      <c r="A8200" s="83"/>
      <c r="H8200" s="83"/>
      <c r="K8200" s="82"/>
      <c r="M8200" s="112"/>
      <c r="N8200" s="84"/>
    </row>
    <row r="8201" spans="1:14" s="2" customFormat="1">
      <c r="A8201" s="83"/>
      <c r="H8201" s="83"/>
      <c r="K8201" s="82"/>
      <c r="M8201" s="112"/>
      <c r="N8201" s="84"/>
    </row>
    <row r="8202" spans="1:14" s="2" customFormat="1">
      <c r="A8202" s="83"/>
      <c r="H8202" s="83"/>
      <c r="K8202" s="82"/>
      <c r="M8202" s="112"/>
      <c r="N8202" s="84"/>
    </row>
    <row r="8203" spans="1:14" s="2" customFormat="1">
      <c r="A8203" s="83"/>
      <c r="H8203" s="83"/>
      <c r="K8203" s="82"/>
      <c r="M8203" s="112"/>
      <c r="N8203" s="84"/>
    </row>
    <row r="8204" spans="1:14" s="2" customFormat="1">
      <c r="A8204" s="83"/>
      <c r="H8204" s="83"/>
      <c r="K8204" s="82"/>
      <c r="M8204" s="112"/>
      <c r="N8204" s="84"/>
    </row>
    <row r="8205" spans="1:14" s="2" customFormat="1">
      <c r="A8205" s="83"/>
      <c r="H8205" s="83"/>
      <c r="K8205" s="82"/>
      <c r="M8205" s="112"/>
      <c r="N8205" s="84"/>
    </row>
    <row r="8206" spans="1:14" s="2" customFormat="1">
      <c r="A8206" s="83"/>
      <c r="H8206" s="83"/>
      <c r="K8206" s="82"/>
      <c r="M8206" s="112"/>
      <c r="N8206" s="84"/>
    </row>
    <row r="8207" spans="1:14" s="2" customFormat="1">
      <c r="A8207" s="83"/>
      <c r="H8207" s="83"/>
      <c r="K8207" s="82"/>
      <c r="M8207" s="112"/>
      <c r="N8207" s="84"/>
    </row>
    <row r="8208" spans="1:14" s="2" customFormat="1">
      <c r="A8208" s="83"/>
      <c r="H8208" s="83"/>
      <c r="K8208" s="82"/>
      <c r="M8208" s="112"/>
      <c r="N8208" s="84"/>
    </row>
    <row r="8209" spans="1:14" s="2" customFormat="1">
      <c r="A8209" s="83"/>
      <c r="H8209" s="83"/>
      <c r="K8209" s="82"/>
      <c r="M8209" s="112"/>
      <c r="N8209" s="84"/>
    </row>
    <row r="8210" spans="1:14" s="2" customFormat="1">
      <c r="A8210" s="83"/>
      <c r="H8210" s="83"/>
      <c r="K8210" s="82"/>
      <c r="M8210" s="112"/>
      <c r="N8210" s="84"/>
    </row>
    <row r="8211" spans="1:14" s="2" customFormat="1">
      <c r="A8211" s="83"/>
      <c r="H8211" s="83"/>
      <c r="K8211" s="82"/>
      <c r="M8211" s="112"/>
      <c r="N8211" s="84"/>
    </row>
    <row r="8212" spans="1:14" s="2" customFormat="1">
      <c r="A8212" s="83"/>
      <c r="H8212" s="83"/>
      <c r="K8212" s="82"/>
      <c r="M8212" s="112"/>
      <c r="N8212" s="84"/>
    </row>
    <row r="8213" spans="1:14" s="2" customFormat="1">
      <c r="A8213" s="83"/>
      <c r="H8213" s="83"/>
      <c r="K8213" s="82"/>
      <c r="M8213" s="112"/>
      <c r="N8213" s="84"/>
    </row>
    <row r="8214" spans="1:14" s="2" customFormat="1">
      <c r="A8214" s="83"/>
      <c r="H8214" s="83"/>
      <c r="K8214" s="82"/>
      <c r="M8214" s="112"/>
      <c r="N8214" s="84"/>
    </row>
    <row r="8215" spans="1:14" s="2" customFormat="1">
      <c r="A8215" s="83"/>
      <c r="H8215" s="83"/>
      <c r="K8215" s="82"/>
      <c r="M8215" s="112"/>
      <c r="N8215" s="84"/>
    </row>
    <row r="8216" spans="1:14" s="2" customFormat="1">
      <c r="A8216" s="83"/>
      <c r="H8216" s="83"/>
      <c r="K8216" s="82"/>
      <c r="M8216" s="112"/>
      <c r="N8216" s="84"/>
    </row>
    <row r="8217" spans="1:14" s="2" customFormat="1">
      <c r="A8217" s="83"/>
      <c r="H8217" s="83"/>
      <c r="K8217" s="82"/>
      <c r="M8217" s="112"/>
      <c r="N8217" s="84"/>
    </row>
    <row r="8218" spans="1:14" s="2" customFormat="1">
      <c r="A8218" s="83"/>
      <c r="H8218" s="83"/>
      <c r="K8218" s="82"/>
      <c r="M8218" s="112"/>
      <c r="N8218" s="84"/>
    </row>
    <row r="8219" spans="1:14" s="2" customFormat="1">
      <c r="A8219" s="83"/>
      <c r="H8219" s="83"/>
      <c r="K8219" s="82"/>
      <c r="M8219" s="112"/>
      <c r="N8219" s="84"/>
    </row>
    <row r="8220" spans="1:14" s="2" customFormat="1">
      <c r="A8220" s="83"/>
      <c r="H8220" s="83"/>
      <c r="K8220" s="82"/>
      <c r="M8220" s="112"/>
      <c r="N8220" s="84"/>
    </row>
    <row r="8221" spans="1:14" s="2" customFormat="1">
      <c r="A8221" s="83"/>
      <c r="H8221" s="83"/>
      <c r="K8221" s="82"/>
      <c r="M8221" s="112"/>
      <c r="N8221" s="84"/>
    </row>
    <row r="8222" spans="1:14" s="2" customFormat="1">
      <c r="A8222" s="83"/>
      <c r="H8222" s="83"/>
      <c r="K8222" s="82"/>
      <c r="M8222" s="112"/>
      <c r="N8222" s="84"/>
    </row>
    <row r="8223" spans="1:14" s="2" customFormat="1">
      <c r="A8223" s="83"/>
      <c r="H8223" s="83"/>
      <c r="K8223" s="82"/>
      <c r="M8223" s="112"/>
      <c r="N8223" s="84"/>
    </row>
    <row r="8224" spans="1:14" s="2" customFormat="1">
      <c r="A8224" s="83"/>
      <c r="H8224" s="83"/>
      <c r="K8224" s="82"/>
      <c r="M8224" s="112"/>
      <c r="N8224" s="84"/>
    </row>
    <row r="8225" spans="1:14" s="2" customFormat="1">
      <c r="A8225" s="83"/>
      <c r="H8225" s="83"/>
      <c r="K8225" s="82"/>
      <c r="M8225" s="112"/>
      <c r="N8225" s="84"/>
    </row>
    <row r="8226" spans="1:14" s="2" customFormat="1">
      <c r="A8226" s="83"/>
      <c r="H8226" s="83"/>
      <c r="K8226" s="82"/>
      <c r="M8226" s="112"/>
      <c r="N8226" s="84"/>
    </row>
    <row r="8227" spans="1:14" s="2" customFormat="1">
      <c r="A8227" s="83"/>
      <c r="H8227" s="83"/>
      <c r="K8227" s="82"/>
      <c r="M8227" s="112"/>
      <c r="N8227" s="84"/>
    </row>
    <row r="8228" spans="1:14" s="2" customFormat="1">
      <c r="A8228" s="83"/>
      <c r="H8228" s="83"/>
      <c r="K8228" s="82"/>
      <c r="M8228" s="112"/>
      <c r="N8228" s="84"/>
    </row>
    <row r="8229" spans="1:14" s="2" customFormat="1">
      <c r="A8229" s="83"/>
      <c r="H8229" s="83"/>
      <c r="K8229" s="82"/>
      <c r="M8229" s="112"/>
      <c r="N8229" s="84"/>
    </row>
    <row r="8230" spans="1:14" s="2" customFormat="1">
      <c r="A8230" s="83"/>
      <c r="H8230" s="83"/>
      <c r="K8230" s="82"/>
      <c r="M8230" s="112"/>
      <c r="N8230" s="84"/>
    </row>
    <row r="8231" spans="1:14" s="2" customFormat="1">
      <c r="A8231" s="83"/>
      <c r="H8231" s="83"/>
      <c r="K8231" s="82"/>
      <c r="M8231" s="112"/>
      <c r="N8231" s="84"/>
    </row>
    <row r="8232" spans="1:14" s="2" customFormat="1">
      <c r="A8232" s="83"/>
      <c r="H8232" s="83"/>
      <c r="K8232" s="82"/>
      <c r="M8232" s="112"/>
      <c r="N8232" s="84"/>
    </row>
    <row r="8233" spans="1:14" s="2" customFormat="1">
      <c r="A8233" s="83"/>
      <c r="H8233" s="83"/>
      <c r="K8233" s="82"/>
      <c r="M8233" s="112"/>
      <c r="N8233" s="84"/>
    </row>
    <row r="8234" spans="1:14" s="2" customFormat="1">
      <c r="A8234" s="83"/>
      <c r="H8234" s="83"/>
      <c r="K8234" s="82"/>
      <c r="M8234" s="112"/>
      <c r="N8234" s="84"/>
    </row>
    <row r="8235" spans="1:14" s="2" customFormat="1">
      <c r="A8235" s="83"/>
      <c r="H8235" s="83"/>
      <c r="K8235" s="82"/>
      <c r="M8235" s="112"/>
      <c r="N8235" s="84"/>
    </row>
    <row r="8236" spans="1:14" s="2" customFormat="1">
      <c r="A8236" s="83"/>
      <c r="H8236" s="83"/>
      <c r="K8236" s="82"/>
      <c r="M8236" s="112"/>
      <c r="N8236" s="84"/>
    </row>
    <row r="8237" spans="1:14" s="2" customFormat="1">
      <c r="A8237" s="83"/>
      <c r="H8237" s="83"/>
      <c r="K8237" s="82"/>
      <c r="M8237" s="112"/>
      <c r="N8237" s="84"/>
    </row>
    <row r="8238" spans="1:14" s="2" customFormat="1">
      <c r="A8238" s="83"/>
      <c r="H8238" s="83"/>
      <c r="K8238" s="82"/>
      <c r="M8238" s="112"/>
      <c r="N8238" s="84"/>
    </row>
    <row r="8239" spans="1:14" s="2" customFormat="1">
      <c r="A8239" s="83"/>
      <c r="H8239" s="83"/>
      <c r="K8239" s="82"/>
      <c r="M8239" s="112"/>
      <c r="N8239" s="84"/>
    </row>
    <row r="8240" spans="1:14" s="2" customFormat="1">
      <c r="A8240" s="83"/>
      <c r="H8240" s="83"/>
      <c r="K8240" s="82"/>
      <c r="M8240" s="112"/>
      <c r="N8240" s="84"/>
    </row>
    <row r="8241" spans="1:14" s="2" customFormat="1">
      <c r="A8241" s="83"/>
      <c r="H8241" s="83"/>
      <c r="K8241" s="82"/>
      <c r="M8241" s="112"/>
      <c r="N8241" s="84"/>
    </row>
    <row r="8242" spans="1:14" s="2" customFormat="1">
      <c r="A8242" s="83"/>
      <c r="H8242" s="83"/>
      <c r="K8242" s="82"/>
      <c r="M8242" s="112"/>
      <c r="N8242" s="84"/>
    </row>
    <row r="8243" spans="1:14" s="2" customFormat="1">
      <c r="A8243" s="83"/>
      <c r="H8243" s="83"/>
      <c r="K8243" s="82"/>
      <c r="M8243" s="112"/>
      <c r="N8243" s="84"/>
    </row>
    <row r="8244" spans="1:14" s="2" customFormat="1">
      <c r="A8244" s="83"/>
      <c r="H8244" s="83"/>
      <c r="K8244" s="82"/>
      <c r="M8244" s="112"/>
      <c r="N8244" s="84"/>
    </row>
    <row r="8245" spans="1:14" s="2" customFormat="1">
      <c r="A8245" s="83"/>
      <c r="H8245" s="83"/>
      <c r="K8245" s="82"/>
      <c r="M8245" s="112"/>
      <c r="N8245" s="84"/>
    </row>
    <row r="8246" spans="1:14" s="2" customFormat="1">
      <c r="A8246" s="83"/>
      <c r="H8246" s="83"/>
      <c r="K8246" s="82"/>
      <c r="M8246" s="112"/>
      <c r="N8246" s="84"/>
    </row>
    <row r="8247" spans="1:14" s="2" customFormat="1">
      <c r="A8247" s="83"/>
      <c r="H8247" s="83"/>
      <c r="K8247" s="82"/>
      <c r="M8247" s="112"/>
      <c r="N8247" s="84"/>
    </row>
    <row r="8248" spans="1:14" s="2" customFormat="1">
      <c r="A8248" s="83"/>
      <c r="H8248" s="83"/>
      <c r="K8248" s="82"/>
      <c r="M8248" s="112"/>
      <c r="N8248" s="84"/>
    </row>
    <row r="8249" spans="1:14" s="2" customFormat="1">
      <c r="A8249" s="83"/>
      <c r="H8249" s="83"/>
      <c r="K8249" s="82"/>
      <c r="M8249" s="112"/>
      <c r="N8249" s="84"/>
    </row>
    <row r="8250" spans="1:14" s="2" customFormat="1">
      <c r="A8250" s="83"/>
      <c r="H8250" s="83"/>
      <c r="K8250" s="82"/>
      <c r="M8250" s="112"/>
      <c r="N8250" s="84"/>
    </row>
    <row r="8251" spans="1:14" s="2" customFormat="1">
      <c r="A8251" s="83"/>
      <c r="H8251" s="83"/>
      <c r="K8251" s="82"/>
      <c r="M8251" s="112"/>
      <c r="N8251" s="84"/>
    </row>
    <row r="8252" spans="1:14" s="2" customFormat="1">
      <c r="A8252" s="83"/>
      <c r="H8252" s="83"/>
      <c r="K8252" s="82"/>
      <c r="M8252" s="112"/>
      <c r="N8252" s="84"/>
    </row>
    <row r="8253" spans="1:14" s="2" customFormat="1">
      <c r="A8253" s="83"/>
      <c r="H8253" s="83"/>
      <c r="K8253" s="82"/>
      <c r="M8253" s="112"/>
      <c r="N8253" s="84"/>
    </row>
    <row r="8254" spans="1:14" s="2" customFormat="1">
      <c r="A8254" s="83"/>
      <c r="H8254" s="83"/>
      <c r="K8254" s="82"/>
      <c r="M8254" s="112"/>
      <c r="N8254" s="84"/>
    </row>
    <row r="8255" spans="1:14" s="2" customFormat="1">
      <c r="A8255" s="83"/>
      <c r="H8255" s="83"/>
      <c r="K8255" s="82"/>
      <c r="M8255" s="112"/>
      <c r="N8255" s="84"/>
    </row>
    <row r="8256" spans="1:14" s="2" customFormat="1">
      <c r="A8256" s="83"/>
      <c r="H8256" s="83"/>
      <c r="K8256" s="82"/>
      <c r="M8256" s="112"/>
      <c r="N8256" s="84"/>
    </row>
    <row r="8257" spans="1:14" s="2" customFormat="1">
      <c r="A8257" s="83"/>
      <c r="H8257" s="83"/>
      <c r="K8257" s="82"/>
      <c r="M8257" s="112"/>
      <c r="N8257" s="84"/>
    </row>
    <row r="8258" spans="1:14" s="2" customFormat="1">
      <c r="A8258" s="83"/>
      <c r="H8258" s="83"/>
      <c r="K8258" s="82"/>
      <c r="M8258" s="112"/>
      <c r="N8258" s="84"/>
    </row>
    <row r="8259" spans="1:14" s="2" customFormat="1">
      <c r="A8259" s="83"/>
      <c r="H8259" s="83"/>
      <c r="K8259" s="82"/>
      <c r="M8259" s="112"/>
      <c r="N8259" s="84"/>
    </row>
    <row r="8260" spans="1:14" s="2" customFormat="1">
      <c r="A8260" s="83"/>
      <c r="H8260" s="83"/>
      <c r="K8260" s="82"/>
      <c r="M8260" s="112"/>
      <c r="N8260" s="84"/>
    </row>
    <row r="8261" spans="1:14" s="2" customFormat="1">
      <c r="A8261" s="83"/>
      <c r="H8261" s="83"/>
      <c r="K8261" s="82"/>
      <c r="M8261" s="112"/>
      <c r="N8261" s="84"/>
    </row>
    <row r="8262" spans="1:14" s="2" customFormat="1">
      <c r="A8262" s="83"/>
      <c r="H8262" s="83"/>
      <c r="K8262" s="82"/>
      <c r="M8262" s="112"/>
      <c r="N8262" s="84"/>
    </row>
    <row r="8263" spans="1:14" s="2" customFormat="1">
      <c r="A8263" s="83"/>
      <c r="H8263" s="83"/>
      <c r="K8263" s="82"/>
      <c r="M8263" s="112"/>
      <c r="N8263" s="84"/>
    </row>
    <row r="8264" spans="1:14" s="2" customFormat="1">
      <c r="A8264" s="83"/>
      <c r="H8264" s="83"/>
      <c r="K8264" s="82"/>
      <c r="M8264" s="112"/>
      <c r="N8264" s="84"/>
    </row>
    <row r="8265" spans="1:14" s="2" customFormat="1">
      <c r="A8265" s="83"/>
      <c r="H8265" s="83"/>
      <c r="K8265" s="82"/>
      <c r="M8265" s="112"/>
      <c r="N8265" s="84"/>
    </row>
    <row r="8266" spans="1:14" s="2" customFormat="1">
      <c r="A8266" s="83"/>
      <c r="H8266" s="83"/>
      <c r="K8266" s="82"/>
      <c r="M8266" s="112"/>
      <c r="N8266" s="84"/>
    </row>
    <row r="8267" spans="1:14" s="2" customFormat="1">
      <c r="A8267" s="83"/>
      <c r="H8267" s="83"/>
      <c r="K8267" s="82"/>
      <c r="M8267" s="112"/>
      <c r="N8267" s="84"/>
    </row>
    <row r="8268" spans="1:14" s="2" customFormat="1">
      <c r="A8268" s="83"/>
      <c r="H8268" s="83"/>
      <c r="K8268" s="82"/>
      <c r="M8268" s="112"/>
      <c r="N8268" s="84"/>
    </row>
    <row r="8269" spans="1:14" s="2" customFormat="1">
      <c r="A8269" s="83"/>
      <c r="H8269" s="83"/>
      <c r="K8269" s="82"/>
      <c r="M8269" s="112"/>
      <c r="N8269" s="84"/>
    </row>
    <row r="8270" spans="1:14" s="2" customFormat="1">
      <c r="A8270" s="83"/>
      <c r="H8270" s="83"/>
      <c r="K8270" s="82"/>
      <c r="M8270" s="112"/>
      <c r="N8270" s="84"/>
    </row>
    <row r="8271" spans="1:14" s="2" customFormat="1">
      <c r="A8271" s="83"/>
      <c r="H8271" s="83"/>
      <c r="K8271" s="82"/>
      <c r="M8271" s="112"/>
      <c r="N8271" s="84"/>
    </row>
    <row r="8272" spans="1:14" s="2" customFormat="1">
      <c r="A8272" s="83"/>
      <c r="H8272" s="83"/>
      <c r="K8272" s="82"/>
      <c r="M8272" s="112"/>
      <c r="N8272" s="84"/>
    </row>
    <row r="8273" spans="1:14" s="2" customFormat="1">
      <c r="A8273" s="83"/>
      <c r="H8273" s="83"/>
      <c r="K8273" s="82"/>
      <c r="M8273" s="112"/>
      <c r="N8273" s="84"/>
    </row>
    <row r="8274" spans="1:14" s="2" customFormat="1">
      <c r="A8274" s="83"/>
      <c r="H8274" s="83"/>
      <c r="K8274" s="82"/>
      <c r="M8274" s="112"/>
      <c r="N8274" s="84"/>
    </row>
    <row r="8275" spans="1:14" s="2" customFormat="1">
      <c r="A8275" s="83"/>
      <c r="H8275" s="83"/>
      <c r="K8275" s="82"/>
      <c r="M8275" s="112"/>
      <c r="N8275" s="84"/>
    </row>
    <row r="8276" spans="1:14" s="2" customFormat="1">
      <c r="A8276" s="83"/>
      <c r="H8276" s="83"/>
      <c r="K8276" s="82"/>
      <c r="M8276" s="112"/>
      <c r="N8276" s="84"/>
    </row>
    <row r="8277" spans="1:14" s="2" customFormat="1">
      <c r="A8277" s="83"/>
      <c r="H8277" s="83"/>
      <c r="K8277" s="82"/>
      <c r="M8277" s="112"/>
      <c r="N8277" s="84"/>
    </row>
    <row r="8278" spans="1:14" s="2" customFormat="1">
      <c r="A8278" s="83"/>
      <c r="H8278" s="83"/>
      <c r="K8278" s="82"/>
      <c r="M8278" s="112"/>
      <c r="N8278" s="84"/>
    </row>
    <row r="8279" spans="1:14" s="2" customFormat="1">
      <c r="A8279" s="83"/>
      <c r="H8279" s="83"/>
      <c r="K8279" s="82"/>
      <c r="M8279" s="112"/>
      <c r="N8279" s="84"/>
    </row>
    <row r="8280" spans="1:14" s="2" customFormat="1">
      <c r="A8280" s="83"/>
      <c r="H8280" s="83"/>
      <c r="K8280" s="82"/>
      <c r="M8280" s="112"/>
      <c r="N8280" s="84"/>
    </row>
    <row r="8281" spans="1:14" s="2" customFormat="1">
      <c r="A8281" s="83"/>
      <c r="H8281" s="83"/>
      <c r="K8281" s="82"/>
      <c r="M8281" s="112"/>
      <c r="N8281" s="84"/>
    </row>
    <row r="8282" spans="1:14" s="2" customFormat="1">
      <c r="A8282" s="83"/>
      <c r="H8282" s="83"/>
      <c r="K8282" s="82"/>
      <c r="M8282" s="112"/>
      <c r="N8282" s="84"/>
    </row>
    <row r="8283" spans="1:14" s="2" customFormat="1">
      <c r="A8283" s="83"/>
      <c r="H8283" s="83"/>
      <c r="K8283" s="82"/>
      <c r="M8283" s="112"/>
      <c r="N8283" s="84"/>
    </row>
    <row r="8284" spans="1:14" s="2" customFormat="1">
      <c r="A8284" s="83"/>
      <c r="H8284" s="83"/>
      <c r="K8284" s="82"/>
      <c r="M8284" s="112"/>
      <c r="N8284" s="84"/>
    </row>
    <row r="8285" spans="1:14" s="2" customFormat="1">
      <c r="A8285" s="83"/>
      <c r="H8285" s="83"/>
      <c r="K8285" s="82"/>
      <c r="M8285" s="112"/>
      <c r="N8285" s="84"/>
    </row>
    <row r="8286" spans="1:14" s="2" customFormat="1">
      <c r="A8286" s="83"/>
      <c r="H8286" s="83"/>
      <c r="K8286" s="82"/>
      <c r="M8286" s="112"/>
      <c r="N8286" s="84"/>
    </row>
    <row r="8287" spans="1:14" s="2" customFormat="1">
      <c r="A8287" s="83"/>
      <c r="H8287" s="83"/>
      <c r="K8287" s="82"/>
      <c r="M8287" s="112"/>
      <c r="N8287" s="84"/>
    </row>
    <row r="8288" spans="1:14" s="2" customFormat="1">
      <c r="A8288" s="83"/>
      <c r="H8288" s="83"/>
      <c r="K8288" s="82"/>
      <c r="M8288" s="112"/>
      <c r="N8288" s="84"/>
    </row>
    <row r="8289" spans="1:14" s="2" customFormat="1">
      <c r="A8289" s="83"/>
      <c r="H8289" s="83"/>
      <c r="K8289" s="82"/>
      <c r="M8289" s="112"/>
      <c r="N8289" s="84"/>
    </row>
    <row r="8290" spans="1:14" s="2" customFormat="1">
      <c r="A8290" s="83"/>
      <c r="H8290" s="83"/>
      <c r="K8290" s="82"/>
      <c r="M8290" s="112"/>
      <c r="N8290" s="84"/>
    </row>
    <row r="8291" spans="1:14" s="2" customFormat="1">
      <c r="A8291" s="83"/>
      <c r="H8291" s="83"/>
      <c r="K8291" s="82"/>
      <c r="M8291" s="112"/>
      <c r="N8291" s="84"/>
    </row>
    <row r="8292" spans="1:14" s="2" customFormat="1">
      <c r="A8292" s="83"/>
      <c r="H8292" s="83"/>
      <c r="K8292" s="82"/>
      <c r="M8292" s="112"/>
      <c r="N8292" s="84"/>
    </row>
    <row r="8293" spans="1:14" s="2" customFormat="1">
      <c r="A8293" s="83"/>
      <c r="H8293" s="83"/>
      <c r="K8293" s="82"/>
      <c r="M8293" s="112"/>
      <c r="N8293" s="84"/>
    </row>
    <row r="8294" spans="1:14" s="2" customFormat="1">
      <c r="A8294" s="83"/>
      <c r="H8294" s="83"/>
      <c r="K8294" s="82"/>
      <c r="M8294" s="112"/>
      <c r="N8294" s="84"/>
    </row>
    <row r="8295" spans="1:14" s="2" customFormat="1">
      <c r="A8295" s="83"/>
      <c r="H8295" s="83"/>
      <c r="K8295" s="82"/>
      <c r="M8295" s="112"/>
      <c r="N8295" s="84"/>
    </row>
    <row r="8296" spans="1:14" s="2" customFormat="1">
      <c r="A8296" s="83"/>
      <c r="H8296" s="83"/>
      <c r="K8296" s="82"/>
      <c r="M8296" s="112"/>
      <c r="N8296" s="84"/>
    </row>
    <row r="8297" spans="1:14" s="2" customFormat="1">
      <c r="A8297" s="83"/>
      <c r="H8297" s="83"/>
      <c r="K8297" s="82"/>
      <c r="M8297" s="112"/>
      <c r="N8297" s="84"/>
    </row>
    <row r="8298" spans="1:14" s="2" customFormat="1">
      <c r="A8298" s="83"/>
      <c r="H8298" s="83"/>
      <c r="K8298" s="82"/>
      <c r="M8298" s="112"/>
      <c r="N8298" s="84"/>
    </row>
    <row r="8299" spans="1:14" s="2" customFormat="1">
      <c r="A8299" s="83"/>
      <c r="H8299" s="83"/>
      <c r="K8299" s="82"/>
      <c r="M8299" s="112"/>
      <c r="N8299" s="84"/>
    </row>
    <row r="8300" spans="1:14" s="2" customFormat="1">
      <c r="A8300" s="83"/>
      <c r="H8300" s="83"/>
      <c r="K8300" s="82"/>
      <c r="M8300" s="112"/>
      <c r="N8300" s="84"/>
    </row>
    <row r="8301" spans="1:14" s="2" customFormat="1">
      <c r="A8301" s="83"/>
      <c r="H8301" s="83"/>
      <c r="K8301" s="82"/>
      <c r="M8301" s="112"/>
      <c r="N8301" s="84"/>
    </row>
    <row r="8302" spans="1:14" s="2" customFormat="1">
      <c r="A8302" s="83"/>
      <c r="H8302" s="83"/>
      <c r="K8302" s="82"/>
      <c r="M8302" s="112"/>
      <c r="N8302" s="84"/>
    </row>
    <row r="8303" spans="1:14" s="2" customFormat="1">
      <c r="A8303" s="83"/>
      <c r="H8303" s="83"/>
      <c r="K8303" s="82"/>
      <c r="M8303" s="112"/>
      <c r="N8303" s="84"/>
    </row>
    <row r="8304" spans="1:14" s="2" customFormat="1">
      <c r="A8304" s="83"/>
      <c r="H8304" s="83"/>
      <c r="K8304" s="82"/>
      <c r="M8304" s="112"/>
      <c r="N8304" s="84"/>
    </row>
    <row r="8305" spans="1:14" s="2" customFormat="1">
      <c r="A8305" s="83"/>
      <c r="H8305" s="83"/>
      <c r="K8305" s="82"/>
      <c r="M8305" s="112"/>
      <c r="N8305" s="84"/>
    </row>
    <row r="8306" spans="1:14" s="2" customFormat="1">
      <c r="A8306" s="83"/>
      <c r="H8306" s="83"/>
      <c r="K8306" s="82"/>
      <c r="M8306" s="112"/>
      <c r="N8306" s="84"/>
    </row>
    <row r="8307" spans="1:14" s="2" customFormat="1">
      <c r="A8307" s="83"/>
      <c r="H8307" s="83"/>
      <c r="K8307" s="82"/>
      <c r="M8307" s="112"/>
      <c r="N8307" s="84"/>
    </row>
    <row r="8308" spans="1:14" s="2" customFormat="1">
      <c r="A8308" s="83"/>
      <c r="H8308" s="83"/>
      <c r="K8308" s="82"/>
      <c r="M8308" s="112"/>
      <c r="N8308" s="84"/>
    </row>
    <row r="8309" spans="1:14" s="2" customFormat="1">
      <c r="A8309" s="83"/>
      <c r="H8309" s="83"/>
      <c r="K8309" s="82"/>
      <c r="M8309" s="112"/>
      <c r="N8309" s="84"/>
    </row>
    <row r="8310" spans="1:14" s="2" customFormat="1">
      <c r="A8310" s="83"/>
      <c r="H8310" s="83"/>
      <c r="K8310" s="82"/>
      <c r="M8310" s="112"/>
      <c r="N8310" s="84"/>
    </row>
    <row r="8311" spans="1:14" s="2" customFormat="1">
      <c r="A8311" s="83"/>
      <c r="H8311" s="83"/>
      <c r="K8311" s="82"/>
      <c r="M8311" s="112"/>
      <c r="N8311" s="84"/>
    </row>
    <row r="8312" spans="1:14" s="2" customFormat="1">
      <c r="A8312" s="83"/>
      <c r="H8312" s="83"/>
      <c r="K8312" s="82"/>
      <c r="M8312" s="112"/>
      <c r="N8312" s="84"/>
    </row>
    <row r="8313" spans="1:14" s="2" customFormat="1">
      <c r="A8313" s="83"/>
      <c r="H8313" s="83"/>
      <c r="K8313" s="82"/>
      <c r="M8313" s="112"/>
      <c r="N8313" s="84"/>
    </row>
    <row r="8314" spans="1:14" s="2" customFormat="1">
      <c r="A8314" s="83"/>
      <c r="H8314" s="83"/>
      <c r="K8314" s="82"/>
      <c r="M8314" s="112"/>
      <c r="N8314" s="84"/>
    </row>
    <row r="8315" spans="1:14" s="2" customFormat="1">
      <c r="A8315" s="83"/>
      <c r="H8315" s="83"/>
      <c r="K8315" s="82"/>
      <c r="M8315" s="112"/>
      <c r="N8315" s="84"/>
    </row>
    <row r="8316" spans="1:14" s="2" customFormat="1">
      <c r="A8316" s="83"/>
      <c r="H8316" s="83"/>
      <c r="K8316" s="82"/>
      <c r="M8316" s="112"/>
      <c r="N8316" s="84"/>
    </row>
    <row r="8317" spans="1:14" s="2" customFormat="1">
      <c r="A8317" s="83"/>
      <c r="H8317" s="83"/>
      <c r="K8317" s="82"/>
      <c r="M8317" s="112"/>
      <c r="N8317" s="84"/>
    </row>
    <row r="8318" spans="1:14" s="2" customFormat="1">
      <c r="A8318" s="83"/>
      <c r="H8318" s="83"/>
      <c r="K8318" s="82"/>
      <c r="M8318" s="112"/>
      <c r="N8318" s="84"/>
    </row>
    <row r="8319" spans="1:14" s="2" customFormat="1">
      <c r="A8319" s="83"/>
      <c r="H8319" s="83"/>
      <c r="K8319" s="82"/>
      <c r="M8319" s="112"/>
      <c r="N8319" s="84"/>
    </row>
    <row r="8320" spans="1:14" s="2" customFormat="1">
      <c r="A8320" s="83"/>
      <c r="H8320" s="83"/>
      <c r="K8320" s="82"/>
      <c r="M8320" s="112"/>
      <c r="N8320" s="84"/>
    </row>
    <row r="8321" spans="1:14" s="2" customFormat="1">
      <c r="A8321" s="83"/>
      <c r="H8321" s="83"/>
      <c r="K8321" s="82"/>
      <c r="M8321" s="112"/>
      <c r="N8321" s="84"/>
    </row>
    <row r="8322" spans="1:14" s="2" customFormat="1">
      <c r="A8322" s="83"/>
      <c r="H8322" s="83"/>
      <c r="K8322" s="82"/>
      <c r="M8322" s="112"/>
      <c r="N8322" s="84"/>
    </row>
    <row r="8323" spans="1:14" s="2" customFormat="1">
      <c r="A8323" s="83"/>
      <c r="H8323" s="83"/>
      <c r="K8323" s="82"/>
      <c r="M8323" s="112"/>
      <c r="N8323" s="84"/>
    </row>
    <row r="8324" spans="1:14" s="2" customFormat="1">
      <c r="A8324" s="83"/>
      <c r="H8324" s="83"/>
      <c r="K8324" s="82"/>
      <c r="M8324" s="112"/>
      <c r="N8324" s="84"/>
    </row>
    <row r="8325" spans="1:14" s="2" customFormat="1">
      <c r="A8325" s="83"/>
      <c r="H8325" s="83"/>
      <c r="K8325" s="82"/>
      <c r="M8325" s="112"/>
      <c r="N8325" s="84"/>
    </row>
    <row r="8326" spans="1:14" s="2" customFormat="1">
      <c r="A8326" s="83"/>
      <c r="H8326" s="83"/>
      <c r="K8326" s="82"/>
      <c r="M8326" s="112"/>
      <c r="N8326" s="84"/>
    </row>
    <row r="8327" spans="1:14" s="2" customFormat="1">
      <c r="A8327" s="83"/>
      <c r="H8327" s="83"/>
      <c r="K8327" s="82"/>
      <c r="M8327" s="112"/>
      <c r="N8327" s="84"/>
    </row>
    <row r="8328" spans="1:14" s="2" customFormat="1">
      <c r="A8328" s="83"/>
      <c r="H8328" s="83"/>
      <c r="K8328" s="82"/>
      <c r="M8328" s="112"/>
      <c r="N8328" s="84"/>
    </row>
    <row r="8329" spans="1:14" s="2" customFormat="1">
      <c r="A8329" s="83"/>
      <c r="H8329" s="83"/>
      <c r="K8329" s="82"/>
      <c r="M8329" s="112"/>
      <c r="N8329" s="84"/>
    </row>
    <row r="8330" spans="1:14" s="2" customFormat="1">
      <c r="A8330" s="83"/>
      <c r="H8330" s="83"/>
      <c r="K8330" s="82"/>
      <c r="M8330" s="112"/>
      <c r="N8330" s="84"/>
    </row>
    <row r="8331" spans="1:14" s="2" customFormat="1">
      <c r="A8331" s="83"/>
      <c r="H8331" s="83"/>
      <c r="K8331" s="82"/>
      <c r="M8331" s="112"/>
      <c r="N8331" s="84"/>
    </row>
    <row r="8332" spans="1:14" s="2" customFormat="1">
      <c r="A8332" s="83"/>
      <c r="H8332" s="83"/>
      <c r="K8332" s="82"/>
      <c r="M8332" s="112"/>
      <c r="N8332" s="84"/>
    </row>
    <row r="8333" spans="1:14" s="2" customFormat="1">
      <c r="A8333" s="83"/>
      <c r="H8333" s="83"/>
      <c r="K8333" s="82"/>
      <c r="M8333" s="112"/>
      <c r="N8333" s="84"/>
    </row>
    <row r="8334" spans="1:14" s="2" customFormat="1">
      <c r="A8334" s="83"/>
      <c r="H8334" s="83"/>
      <c r="K8334" s="82"/>
      <c r="M8334" s="112"/>
      <c r="N8334" s="84"/>
    </row>
    <row r="8335" spans="1:14" s="2" customFormat="1">
      <c r="A8335" s="83"/>
      <c r="H8335" s="83"/>
      <c r="K8335" s="82"/>
      <c r="M8335" s="112"/>
      <c r="N8335" s="84"/>
    </row>
    <row r="8336" spans="1:14" s="2" customFormat="1">
      <c r="A8336" s="83"/>
      <c r="H8336" s="83"/>
      <c r="K8336" s="82"/>
      <c r="M8336" s="112"/>
      <c r="N8336" s="84"/>
    </row>
    <row r="8337" spans="1:14" s="2" customFormat="1">
      <c r="A8337" s="83"/>
      <c r="H8337" s="83"/>
      <c r="K8337" s="82"/>
      <c r="M8337" s="112"/>
      <c r="N8337" s="84"/>
    </row>
    <row r="8338" spans="1:14" s="2" customFormat="1">
      <c r="A8338" s="83"/>
      <c r="H8338" s="83"/>
      <c r="K8338" s="82"/>
      <c r="M8338" s="112"/>
      <c r="N8338" s="84"/>
    </row>
    <row r="8339" spans="1:14" s="2" customFormat="1">
      <c r="A8339" s="83"/>
      <c r="H8339" s="83"/>
      <c r="K8339" s="82"/>
      <c r="M8339" s="112"/>
      <c r="N8339" s="84"/>
    </row>
    <row r="8340" spans="1:14" s="2" customFormat="1">
      <c r="A8340" s="83"/>
      <c r="H8340" s="83"/>
      <c r="K8340" s="82"/>
      <c r="M8340" s="112"/>
      <c r="N8340" s="84"/>
    </row>
    <row r="8341" spans="1:14" s="2" customFormat="1">
      <c r="A8341" s="83"/>
      <c r="H8341" s="83"/>
      <c r="K8341" s="82"/>
      <c r="M8341" s="112"/>
      <c r="N8341" s="84"/>
    </row>
    <row r="8342" spans="1:14" s="2" customFormat="1">
      <c r="A8342" s="83"/>
      <c r="H8342" s="83"/>
      <c r="K8342" s="82"/>
      <c r="M8342" s="112"/>
      <c r="N8342" s="84"/>
    </row>
    <row r="8343" spans="1:14" s="2" customFormat="1">
      <c r="A8343" s="83"/>
      <c r="H8343" s="83"/>
      <c r="K8343" s="82"/>
      <c r="M8343" s="112"/>
      <c r="N8343" s="84"/>
    </row>
    <row r="8344" spans="1:14" s="2" customFormat="1">
      <c r="A8344" s="83"/>
      <c r="H8344" s="83"/>
      <c r="K8344" s="82"/>
      <c r="M8344" s="112"/>
      <c r="N8344" s="84"/>
    </row>
    <row r="8345" spans="1:14" s="2" customFormat="1">
      <c r="A8345" s="83"/>
      <c r="H8345" s="83"/>
      <c r="K8345" s="82"/>
      <c r="M8345" s="112"/>
      <c r="N8345" s="84"/>
    </row>
    <row r="8346" spans="1:14" s="2" customFormat="1">
      <c r="A8346" s="83"/>
      <c r="H8346" s="83"/>
      <c r="K8346" s="82"/>
      <c r="M8346" s="112"/>
      <c r="N8346" s="84"/>
    </row>
    <row r="8347" spans="1:14" s="2" customFormat="1">
      <c r="A8347" s="83"/>
      <c r="H8347" s="83"/>
      <c r="K8347" s="82"/>
      <c r="M8347" s="112"/>
      <c r="N8347" s="84"/>
    </row>
    <row r="8348" spans="1:14" s="2" customFormat="1">
      <c r="A8348" s="83"/>
      <c r="H8348" s="83"/>
      <c r="K8348" s="82"/>
      <c r="M8348" s="112"/>
      <c r="N8348" s="84"/>
    </row>
    <row r="8349" spans="1:14" s="2" customFormat="1">
      <c r="A8349" s="83"/>
      <c r="H8349" s="83"/>
      <c r="K8349" s="82"/>
      <c r="M8349" s="112"/>
      <c r="N8349" s="84"/>
    </row>
    <row r="8350" spans="1:14" s="2" customFormat="1">
      <c r="A8350" s="83"/>
      <c r="H8350" s="83"/>
      <c r="K8350" s="82"/>
      <c r="M8350" s="112"/>
      <c r="N8350" s="84"/>
    </row>
    <row r="8351" spans="1:14" s="2" customFormat="1">
      <c r="A8351" s="83"/>
      <c r="H8351" s="83"/>
      <c r="K8351" s="82"/>
      <c r="M8351" s="112"/>
      <c r="N8351" s="84"/>
    </row>
    <row r="8352" spans="1:14" s="2" customFormat="1">
      <c r="A8352" s="83"/>
      <c r="H8352" s="83"/>
      <c r="K8352" s="82"/>
      <c r="M8352" s="112"/>
      <c r="N8352" s="84"/>
    </row>
    <row r="8353" spans="1:14" s="2" customFormat="1">
      <c r="A8353" s="83"/>
      <c r="H8353" s="83"/>
      <c r="K8353" s="82"/>
      <c r="M8353" s="112"/>
      <c r="N8353" s="84"/>
    </row>
    <row r="8354" spans="1:14" s="2" customFormat="1">
      <c r="A8354" s="83"/>
      <c r="H8354" s="83"/>
      <c r="K8354" s="82"/>
      <c r="M8354" s="112"/>
      <c r="N8354" s="84"/>
    </row>
    <row r="8355" spans="1:14" s="2" customFormat="1">
      <c r="A8355" s="83"/>
      <c r="H8355" s="83"/>
      <c r="K8355" s="82"/>
      <c r="M8355" s="112"/>
      <c r="N8355" s="84"/>
    </row>
    <row r="8356" spans="1:14" s="2" customFormat="1">
      <c r="A8356" s="83"/>
      <c r="H8356" s="83"/>
      <c r="K8356" s="82"/>
      <c r="M8356" s="112"/>
      <c r="N8356" s="84"/>
    </row>
    <row r="8357" spans="1:14" s="2" customFormat="1">
      <c r="A8357" s="83"/>
      <c r="H8357" s="83"/>
      <c r="K8357" s="82"/>
      <c r="M8357" s="112"/>
      <c r="N8357" s="84"/>
    </row>
    <row r="8358" spans="1:14" s="2" customFormat="1">
      <c r="A8358" s="83"/>
      <c r="H8358" s="83"/>
      <c r="K8358" s="82"/>
      <c r="M8358" s="112"/>
      <c r="N8358" s="84"/>
    </row>
    <row r="8359" spans="1:14" s="2" customFormat="1">
      <c r="A8359" s="83"/>
      <c r="H8359" s="83"/>
      <c r="K8359" s="82"/>
      <c r="M8359" s="112"/>
      <c r="N8359" s="84"/>
    </row>
    <row r="8360" spans="1:14" s="2" customFormat="1">
      <c r="A8360" s="83"/>
      <c r="H8360" s="83"/>
      <c r="K8360" s="82"/>
      <c r="M8360" s="112"/>
      <c r="N8360" s="84"/>
    </row>
    <row r="8361" spans="1:14" s="2" customFormat="1">
      <c r="A8361" s="83"/>
      <c r="H8361" s="83"/>
      <c r="K8361" s="82"/>
      <c r="M8361" s="112"/>
      <c r="N8361" s="84"/>
    </row>
    <row r="8362" spans="1:14" s="2" customFormat="1">
      <c r="A8362" s="83"/>
      <c r="H8362" s="83"/>
      <c r="K8362" s="82"/>
      <c r="M8362" s="112"/>
      <c r="N8362" s="84"/>
    </row>
    <row r="8363" spans="1:14" s="2" customFormat="1">
      <c r="A8363" s="83"/>
      <c r="H8363" s="83"/>
      <c r="K8363" s="82"/>
      <c r="M8363" s="112"/>
      <c r="N8363" s="84"/>
    </row>
    <row r="8364" spans="1:14" s="2" customFormat="1">
      <c r="A8364" s="83"/>
      <c r="H8364" s="83"/>
      <c r="K8364" s="82"/>
      <c r="M8364" s="112"/>
      <c r="N8364" s="84"/>
    </row>
    <row r="8365" spans="1:14" s="2" customFormat="1">
      <c r="A8365" s="83"/>
      <c r="H8365" s="83"/>
      <c r="K8365" s="82"/>
      <c r="M8365" s="112"/>
      <c r="N8365" s="84"/>
    </row>
    <row r="8366" spans="1:14" s="2" customFormat="1">
      <c r="A8366" s="83"/>
      <c r="H8366" s="83"/>
      <c r="K8366" s="82"/>
      <c r="M8366" s="112"/>
      <c r="N8366" s="84"/>
    </row>
    <row r="8367" spans="1:14" s="2" customFormat="1">
      <c r="A8367" s="83"/>
      <c r="H8367" s="83"/>
      <c r="K8367" s="82"/>
      <c r="M8367" s="112"/>
      <c r="N8367" s="84"/>
    </row>
    <row r="8368" spans="1:14" s="2" customFormat="1">
      <c r="A8368" s="83"/>
      <c r="H8368" s="83"/>
      <c r="K8368" s="82"/>
      <c r="M8368" s="112"/>
      <c r="N8368" s="84"/>
    </row>
    <row r="8369" spans="1:14" s="2" customFormat="1">
      <c r="A8369" s="83"/>
      <c r="H8369" s="83"/>
      <c r="K8369" s="82"/>
      <c r="M8369" s="112"/>
      <c r="N8369" s="84"/>
    </row>
    <row r="8370" spans="1:14" s="2" customFormat="1">
      <c r="A8370" s="83"/>
      <c r="H8370" s="83"/>
      <c r="K8370" s="82"/>
      <c r="M8370" s="112"/>
      <c r="N8370" s="84"/>
    </row>
    <row r="8371" spans="1:14" s="2" customFormat="1">
      <c r="A8371" s="83"/>
      <c r="H8371" s="83"/>
      <c r="K8371" s="82"/>
      <c r="M8371" s="112"/>
      <c r="N8371" s="84"/>
    </row>
    <row r="8372" spans="1:14" s="2" customFormat="1">
      <c r="A8372" s="83"/>
      <c r="H8372" s="83"/>
      <c r="K8372" s="82"/>
      <c r="M8372" s="112"/>
      <c r="N8372" s="84"/>
    </row>
    <row r="8373" spans="1:14" s="2" customFormat="1">
      <c r="A8373" s="83"/>
      <c r="H8373" s="83"/>
      <c r="K8373" s="82"/>
      <c r="M8373" s="112"/>
      <c r="N8373" s="84"/>
    </row>
    <row r="8374" spans="1:14" s="2" customFormat="1">
      <c r="A8374" s="83"/>
      <c r="H8374" s="83"/>
      <c r="K8374" s="82"/>
      <c r="M8374" s="112"/>
      <c r="N8374" s="84"/>
    </row>
    <row r="8375" spans="1:14" s="2" customFormat="1">
      <c r="A8375" s="83"/>
      <c r="H8375" s="83"/>
      <c r="K8375" s="82"/>
      <c r="M8375" s="112"/>
      <c r="N8375" s="84"/>
    </row>
    <row r="8376" spans="1:14" s="2" customFormat="1">
      <c r="A8376" s="83"/>
      <c r="H8376" s="83"/>
      <c r="K8376" s="82"/>
      <c r="M8376" s="112"/>
      <c r="N8376" s="84"/>
    </row>
    <row r="8377" spans="1:14" s="2" customFormat="1">
      <c r="A8377" s="83"/>
      <c r="H8377" s="83"/>
      <c r="K8377" s="82"/>
      <c r="M8377" s="112"/>
      <c r="N8377" s="84"/>
    </row>
    <row r="8378" spans="1:14" s="2" customFormat="1">
      <c r="A8378" s="83"/>
      <c r="H8378" s="83"/>
      <c r="K8378" s="82"/>
      <c r="M8378" s="112"/>
      <c r="N8378" s="84"/>
    </row>
    <row r="8379" spans="1:14" s="2" customFormat="1">
      <c r="A8379" s="83"/>
      <c r="H8379" s="83"/>
      <c r="K8379" s="82"/>
      <c r="M8379" s="112"/>
      <c r="N8379" s="84"/>
    </row>
    <row r="8380" spans="1:14" s="2" customFormat="1">
      <c r="A8380" s="83"/>
      <c r="H8380" s="83"/>
      <c r="K8380" s="82"/>
      <c r="M8380" s="112"/>
      <c r="N8380" s="84"/>
    </row>
    <row r="8381" spans="1:14" s="2" customFormat="1">
      <c r="A8381" s="83"/>
      <c r="H8381" s="83"/>
      <c r="K8381" s="82"/>
      <c r="M8381" s="112"/>
      <c r="N8381" s="84"/>
    </row>
    <row r="8382" spans="1:14" s="2" customFormat="1">
      <c r="A8382" s="83"/>
      <c r="H8382" s="83"/>
      <c r="K8382" s="82"/>
      <c r="M8382" s="112"/>
      <c r="N8382" s="84"/>
    </row>
    <row r="8383" spans="1:14" s="2" customFormat="1">
      <c r="A8383" s="83"/>
      <c r="H8383" s="83"/>
      <c r="K8383" s="82"/>
      <c r="M8383" s="112"/>
      <c r="N8383" s="84"/>
    </row>
    <row r="8384" spans="1:14" s="2" customFormat="1">
      <c r="A8384" s="83"/>
      <c r="H8384" s="83"/>
      <c r="K8384" s="82"/>
      <c r="M8384" s="112"/>
      <c r="N8384" s="84"/>
    </row>
    <row r="8385" spans="1:14" s="2" customFormat="1">
      <c r="A8385" s="83"/>
      <c r="H8385" s="83"/>
      <c r="K8385" s="82"/>
      <c r="M8385" s="112"/>
      <c r="N8385" s="84"/>
    </row>
    <row r="8386" spans="1:14" s="2" customFormat="1">
      <c r="A8386" s="83"/>
      <c r="H8386" s="83"/>
      <c r="K8386" s="82"/>
      <c r="M8386" s="112"/>
      <c r="N8386" s="84"/>
    </row>
    <row r="8387" spans="1:14" s="2" customFormat="1">
      <c r="A8387" s="83"/>
      <c r="H8387" s="83"/>
      <c r="K8387" s="82"/>
      <c r="M8387" s="112"/>
      <c r="N8387" s="84"/>
    </row>
    <row r="8388" spans="1:14" s="2" customFormat="1">
      <c r="A8388" s="83"/>
      <c r="H8388" s="83"/>
      <c r="K8388" s="82"/>
      <c r="M8388" s="112"/>
      <c r="N8388" s="84"/>
    </row>
    <row r="8389" spans="1:14" s="2" customFormat="1">
      <c r="A8389" s="83"/>
      <c r="H8389" s="83"/>
      <c r="K8389" s="82"/>
      <c r="M8389" s="112"/>
      <c r="N8389" s="84"/>
    </row>
    <row r="8390" spans="1:14" s="2" customFormat="1">
      <c r="A8390" s="83"/>
      <c r="H8390" s="83"/>
      <c r="K8390" s="82"/>
      <c r="M8390" s="112"/>
      <c r="N8390" s="84"/>
    </row>
    <row r="8391" spans="1:14" s="2" customFormat="1">
      <c r="A8391" s="83"/>
      <c r="H8391" s="83"/>
      <c r="K8391" s="82"/>
      <c r="M8391" s="112"/>
      <c r="N8391" s="84"/>
    </row>
    <row r="8392" spans="1:14" s="2" customFormat="1">
      <c r="A8392" s="83"/>
      <c r="H8392" s="83"/>
      <c r="K8392" s="82"/>
      <c r="M8392" s="112"/>
      <c r="N8392" s="84"/>
    </row>
    <row r="8393" spans="1:14" s="2" customFormat="1">
      <c r="A8393" s="83"/>
      <c r="H8393" s="83"/>
      <c r="K8393" s="82"/>
      <c r="M8393" s="112"/>
      <c r="N8393" s="84"/>
    </row>
    <row r="8394" spans="1:14" s="2" customFormat="1">
      <c r="A8394" s="83"/>
      <c r="H8394" s="83"/>
      <c r="K8394" s="82"/>
      <c r="M8394" s="112"/>
      <c r="N8394" s="84"/>
    </row>
    <row r="8395" spans="1:14" s="2" customFormat="1">
      <c r="A8395" s="83"/>
      <c r="H8395" s="83"/>
      <c r="K8395" s="82"/>
      <c r="M8395" s="112"/>
      <c r="N8395" s="84"/>
    </row>
    <row r="8396" spans="1:14" s="2" customFormat="1">
      <c r="A8396" s="83"/>
      <c r="H8396" s="83"/>
      <c r="K8396" s="82"/>
      <c r="M8396" s="112"/>
      <c r="N8396" s="84"/>
    </row>
    <row r="8397" spans="1:14" s="2" customFormat="1">
      <c r="A8397" s="83"/>
      <c r="H8397" s="83"/>
      <c r="K8397" s="82"/>
      <c r="M8397" s="112"/>
      <c r="N8397" s="84"/>
    </row>
    <row r="8398" spans="1:14" s="2" customFormat="1">
      <c r="A8398" s="83"/>
      <c r="H8398" s="83"/>
      <c r="K8398" s="82"/>
      <c r="M8398" s="112"/>
      <c r="N8398" s="84"/>
    </row>
    <row r="8399" spans="1:14" s="2" customFormat="1">
      <c r="A8399" s="83"/>
      <c r="H8399" s="83"/>
      <c r="K8399" s="82"/>
      <c r="M8399" s="112"/>
      <c r="N8399" s="84"/>
    </row>
    <row r="8400" spans="1:14" s="2" customFormat="1">
      <c r="A8400" s="83"/>
      <c r="H8400" s="83"/>
      <c r="K8400" s="82"/>
      <c r="M8400" s="112"/>
      <c r="N8400" s="84"/>
    </row>
    <row r="8401" spans="1:14" s="2" customFormat="1">
      <c r="A8401" s="83"/>
      <c r="H8401" s="83"/>
      <c r="K8401" s="82"/>
      <c r="M8401" s="112"/>
      <c r="N8401" s="84"/>
    </row>
    <row r="8402" spans="1:14" s="2" customFormat="1">
      <c r="A8402" s="83"/>
      <c r="H8402" s="83"/>
      <c r="K8402" s="82"/>
      <c r="M8402" s="112"/>
      <c r="N8402" s="84"/>
    </row>
    <row r="8403" spans="1:14" s="2" customFormat="1">
      <c r="A8403" s="83"/>
      <c r="H8403" s="83"/>
      <c r="K8403" s="82"/>
      <c r="M8403" s="112"/>
      <c r="N8403" s="84"/>
    </row>
    <row r="8404" spans="1:14" s="2" customFormat="1">
      <c r="A8404" s="83"/>
      <c r="H8404" s="83"/>
      <c r="K8404" s="82"/>
      <c r="M8404" s="112"/>
      <c r="N8404" s="84"/>
    </row>
    <row r="8405" spans="1:14" s="2" customFormat="1">
      <c r="A8405" s="83"/>
      <c r="H8405" s="83"/>
      <c r="K8405" s="82"/>
      <c r="M8405" s="112"/>
      <c r="N8405" s="84"/>
    </row>
    <row r="8406" spans="1:14" s="2" customFormat="1">
      <c r="A8406" s="83"/>
      <c r="H8406" s="83"/>
      <c r="K8406" s="82"/>
      <c r="M8406" s="112"/>
      <c r="N8406" s="84"/>
    </row>
    <row r="8407" spans="1:14" s="2" customFormat="1">
      <c r="A8407" s="83"/>
      <c r="H8407" s="83"/>
      <c r="K8407" s="82"/>
      <c r="M8407" s="112"/>
      <c r="N8407" s="84"/>
    </row>
    <row r="8408" spans="1:14" s="2" customFormat="1">
      <c r="A8408" s="83"/>
      <c r="H8408" s="83"/>
      <c r="K8408" s="82"/>
      <c r="M8408" s="112"/>
      <c r="N8408" s="84"/>
    </row>
    <row r="8409" spans="1:14" s="2" customFormat="1">
      <c r="A8409" s="83"/>
      <c r="H8409" s="83"/>
      <c r="K8409" s="82"/>
      <c r="M8409" s="112"/>
      <c r="N8409" s="84"/>
    </row>
    <row r="8410" spans="1:14" s="2" customFormat="1">
      <c r="A8410" s="83"/>
      <c r="H8410" s="83"/>
      <c r="K8410" s="82"/>
      <c r="M8410" s="112"/>
      <c r="N8410" s="84"/>
    </row>
    <row r="8411" spans="1:14" s="2" customFormat="1">
      <c r="A8411" s="83"/>
      <c r="H8411" s="83"/>
      <c r="K8411" s="82"/>
      <c r="M8411" s="112"/>
      <c r="N8411" s="84"/>
    </row>
    <row r="8412" spans="1:14" s="2" customFormat="1">
      <c r="A8412" s="83"/>
      <c r="H8412" s="83"/>
      <c r="K8412" s="82"/>
      <c r="M8412" s="112"/>
      <c r="N8412" s="84"/>
    </row>
    <row r="8413" spans="1:14" s="2" customFormat="1">
      <c r="A8413" s="83"/>
      <c r="H8413" s="83"/>
      <c r="K8413" s="82"/>
      <c r="M8413" s="112"/>
      <c r="N8413" s="84"/>
    </row>
    <row r="8414" spans="1:14" s="2" customFormat="1">
      <c r="A8414" s="83"/>
      <c r="H8414" s="83"/>
      <c r="K8414" s="82"/>
      <c r="M8414" s="112"/>
      <c r="N8414" s="84"/>
    </row>
    <row r="8415" spans="1:14" s="2" customFormat="1">
      <c r="A8415" s="83"/>
      <c r="H8415" s="83"/>
      <c r="K8415" s="82"/>
      <c r="M8415" s="112"/>
      <c r="N8415" s="84"/>
    </row>
    <row r="8416" spans="1:14" s="2" customFormat="1">
      <c r="A8416" s="83"/>
      <c r="H8416" s="83"/>
      <c r="K8416" s="82"/>
      <c r="M8416" s="112"/>
      <c r="N8416" s="84"/>
    </row>
    <row r="8417" spans="1:14" s="2" customFormat="1">
      <c r="A8417" s="83"/>
      <c r="H8417" s="83"/>
      <c r="K8417" s="82"/>
      <c r="M8417" s="112"/>
      <c r="N8417" s="84"/>
    </row>
    <row r="8418" spans="1:14" s="2" customFormat="1">
      <c r="A8418" s="83"/>
      <c r="H8418" s="83"/>
      <c r="K8418" s="82"/>
      <c r="M8418" s="112"/>
      <c r="N8418" s="84"/>
    </row>
    <row r="8419" spans="1:14" s="2" customFormat="1">
      <c r="A8419" s="83"/>
      <c r="H8419" s="83"/>
      <c r="K8419" s="82"/>
      <c r="M8419" s="112"/>
      <c r="N8419" s="84"/>
    </row>
    <row r="8420" spans="1:14" s="2" customFormat="1">
      <c r="A8420" s="83"/>
      <c r="H8420" s="83"/>
      <c r="K8420" s="82"/>
      <c r="M8420" s="112"/>
      <c r="N8420" s="84"/>
    </row>
    <row r="8421" spans="1:14" s="2" customFormat="1">
      <c r="A8421" s="83"/>
      <c r="H8421" s="83"/>
      <c r="K8421" s="82"/>
      <c r="M8421" s="112"/>
      <c r="N8421" s="84"/>
    </row>
    <row r="8422" spans="1:14" s="2" customFormat="1">
      <c r="A8422" s="83"/>
      <c r="H8422" s="83"/>
      <c r="K8422" s="82"/>
      <c r="M8422" s="112"/>
      <c r="N8422" s="84"/>
    </row>
    <row r="8423" spans="1:14" s="2" customFormat="1">
      <c r="A8423" s="83"/>
      <c r="H8423" s="83"/>
      <c r="K8423" s="82"/>
      <c r="M8423" s="112"/>
      <c r="N8423" s="84"/>
    </row>
    <row r="8424" spans="1:14" s="2" customFormat="1">
      <c r="A8424" s="83"/>
      <c r="H8424" s="83"/>
      <c r="K8424" s="82"/>
      <c r="M8424" s="112"/>
      <c r="N8424" s="84"/>
    </row>
    <row r="8425" spans="1:14" s="2" customFormat="1">
      <c r="A8425" s="83"/>
      <c r="H8425" s="83"/>
      <c r="K8425" s="82"/>
      <c r="M8425" s="112"/>
      <c r="N8425" s="84"/>
    </row>
    <row r="8426" spans="1:14" s="2" customFormat="1">
      <c r="A8426" s="83"/>
      <c r="H8426" s="83"/>
      <c r="K8426" s="82"/>
      <c r="M8426" s="112"/>
      <c r="N8426" s="84"/>
    </row>
    <row r="8427" spans="1:14" s="2" customFormat="1">
      <c r="A8427" s="83"/>
      <c r="H8427" s="83"/>
      <c r="K8427" s="82"/>
      <c r="M8427" s="112"/>
      <c r="N8427" s="84"/>
    </row>
    <row r="8428" spans="1:14" s="2" customFormat="1">
      <c r="A8428" s="83"/>
      <c r="H8428" s="83"/>
      <c r="K8428" s="82"/>
      <c r="M8428" s="112"/>
      <c r="N8428" s="84"/>
    </row>
    <row r="8429" spans="1:14" s="2" customFormat="1">
      <c r="A8429" s="83"/>
      <c r="H8429" s="83"/>
      <c r="K8429" s="82"/>
      <c r="M8429" s="112"/>
      <c r="N8429" s="84"/>
    </row>
    <row r="8430" spans="1:14" s="2" customFormat="1">
      <c r="A8430" s="83"/>
      <c r="H8430" s="83"/>
      <c r="K8430" s="82"/>
      <c r="M8430" s="112"/>
      <c r="N8430" s="84"/>
    </row>
    <row r="8431" spans="1:14" s="2" customFormat="1">
      <c r="A8431" s="83"/>
      <c r="H8431" s="83"/>
      <c r="K8431" s="82"/>
      <c r="M8431" s="112"/>
      <c r="N8431" s="84"/>
    </row>
    <row r="8432" spans="1:14" s="2" customFormat="1">
      <c r="A8432" s="83"/>
      <c r="H8432" s="83"/>
      <c r="K8432" s="82"/>
      <c r="M8432" s="112"/>
      <c r="N8432" s="84"/>
    </row>
    <row r="8433" spans="1:14" s="2" customFormat="1">
      <c r="A8433" s="83"/>
      <c r="H8433" s="83"/>
      <c r="K8433" s="82"/>
      <c r="M8433" s="112"/>
      <c r="N8433" s="84"/>
    </row>
    <row r="8434" spans="1:14" s="2" customFormat="1">
      <c r="A8434" s="83"/>
      <c r="H8434" s="83"/>
      <c r="K8434" s="82"/>
      <c r="M8434" s="112"/>
      <c r="N8434" s="84"/>
    </row>
    <row r="8435" spans="1:14" s="2" customFormat="1">
      <c r="A8435" s="83"/>
      <c r="H8435" s="83"/>
      <c r="K8435" s="82"/>
      <c r="M8435" s="112"/>
      <c r="N8435" s="84"/>
    </row>
    <row r="8436" spans="1:14" s="2" customFormat="1">
      <c r="A8436" s="83"/>
      <c r="H8436" s="83"/>
      <c r="K8436" s="82"/>
      <c r="M8436" s="112"/>
      <c r="N8436" s="84"/>
    </row>
    <row r="8437" spans="1:14" s="2" customFormat="1">
      <c r="A8437" s="83"/>
      <c r="H8437" s="83"/>
      <c r="K8437" s="82"/>
      <c r="M8437" s="112"/>
      <c r="N8437" s="84"/>
    </row>
    <row r="8438" spans="1:14" s="2" customFormat="1">
      <c r="A8438" s="83"/>
      <c r="H8438" s="83"/>
      <c r="K8438" s="82"/>
      <c r="M8438" s="112"/>
      <c r="N8438" s="84"/>
    </row>
    <row r="8439" spans="1:14" s="2" customFormat="1">
      <c r="A8439" s="83"/>
      <c r="H8439" s="83"/>
      <c r="K8439" s="82"/>
      <c r="M8439" s="112"/>
      <c r="N8439" s="84"/>
    </row>
    <row r="8440" spans="1:14" s="2" customFormat="1">
      <c r="A8440" s="83"/>
      <c r="H8440" s="83"/>
      <c r="K8440" s="82"/>
      <c r="M8440" s="112"/>
      <c r="N8440" s="84"/>
    </row>
    <row r="8441" spans="1:14" s="2" customFormat="1">
      <c r="A8441" s="83"/>
      <c r="H8441" s="83"/>
      <c r="K8441" s="82"/>
      <c r="M8441" s="112"/>
      <c r="N8441" s="84"/>
    </row>
    <row r="8442" spans="1:14" s="2" customFormat="1">
      <c r="A8442" s="83"/>
      <c r="H8442" s="83"/>
      <c r="K8442" s="82"/>
      <c r="M8442" s="112"/>
      <c r="N8442" s="84"/>
    </row>
    <row r="8443" spans="1:14" s="2" customFormat="1">
      <c r="A8443" s="83"/>
      <c r="H8443" s="83"/>
      <c r="K8443" s="82"/>
      <c r="M8443" s="112"/>
      <c r="N8443" s="84"/>
    </row>
    <row r="8444" spans="1:14" s="2" customFormat="1">
      <c r="A8444" s="83"/>
      <c r="H8444" s="83"/>
      <c r="K8444" s="82"/>
      <c r="M8444" s="112"/>
      <c r="N8444" s="84"/>
    </row>
    <row r="8445" spans="1:14" s="2" customFormat="1">
      <c r="A8445" s="83"/>
      <c r="H8445" s="83"/>
      <c r="K8445" s="82"/>
      <c r="M8445" s="112"/>
      <c r="N8445" s="84"/>
    </row>
    <row r="8446" spans="1:14" s="2" customFormat="1">
      <c r="A8446" s="83"/>
      <c r="H8446" s="83"/>
      <c r="K8446" s="82"/>
      <c r="M8446" s="112"/>
      <c r="N8446" s="84"/>
    </row>
    <row r="8447" spans="1:14" s="2" customFormat="1">
      <c r="A8447" s="83"/>
      <c r="H8447" s="83"/>
      <c r="K8447" s="82"/>
      <c r="M8447" s="112"/>
      <c r="N8447" s="84"/>
    </row>
    <row r="8448" spans="1:14" s="2" customFormat="1">
      <c r="A8448" s="83"/>
      <c r="H8448" s="83"/>
      <c r="K8448" s="82"/>
      <c r="M8448" s="112"/>
      <c r="N8448" s="84"/>
    </row>
    <row r="8449" spans="1:14" s="2" customFormat="1">
      <c r="A8449" s="83"/>
      <c r="H8449" s="83"/>
      <c r="K8449" s="82"/>
      <c r="M8449" s="112"/>
      <c r="N8449" s="84"/>
    </row>
    <row r="8450" spans="1:14" s="2" customFormat="1">
      <c r="A8450" s="83"/>
      <c r="H8450" s="83"/>
      <c r="K8450" s="82"/>
      <c r="M8450" s="112"/>
      <c r="N8450" s="84"/>
    </row>
    <row r="8451" spans="1:14" s="2" customFormat="1">
      <c r="A8451" s="83"/>
      <c r="H8451" s="83"/>
      <c r="K8451" s="82"/>
      <c r="M8451" s="112"/>
      <c r="N8451" s="84"/>
    </row>
    <row r="8452" spans="1:14" s="2" customFormat="1">
      <c r="A8452" s="83"/>
      <c r="H8452" s="83"/>
      <c r="K8452" s="82"/>
      <c r="M8452" s="112"/>
      <c r="N8452" s="84"/>
    </row>
    <row r="8453" spans="1:14" s="2" customFormat="1">
      <c r="A8453" s="83"/>
      <c r="H8453" s="83"/>
      <c r="K8453" s="82"/>
      <c r="M8453" s="112"/>
      <c r="N8453" s="84"/>
    </row>
    <row r="8454" spans="1:14" s="2" customFormat="1">
      <c r="A8454" s="83"/>
      <c r="H8454" s="83"/>
      <c r="K8454" s="82"/>
      <c r="M8454" s="112"/>
      <c r="N8454" s="84"/>
    </row>
    <row r="8455" spans="1:14" s="2" customFormat="1">
      <c r="A8455" s="83"/>
      <c r="H8455" s="83"/>
      <c r="K8455" s="82"/>
      <c r="M8455" s="112"/>
      <c r="N8455" s="84"/>
    </row>
    <row r="8456" spans="1:14" s="2" customFormat="1">
      <c r="A8456" s="83"/>
      <c r="H8456" s="83"/>
      <c r="K8456" s="82"/>
      <c r="M8456" s="112"/>
      <c r="N8456" s="84"/>
    </row>
    <row r="8457" spans="1:14" s="2" customFormat="1">
      <c r="A8457" s="83"/>
      <c r="H8457" s="83"/>
      <c r="K8457" s="82"/>
      <c r="M8457" s="112"/>
      <c r="N8457" s="84"/>
    </row>
    <row r="8458" spans="1:14" s="2" customFormat="1">
      <c r="A8458" s="83"/>
      <c r="H8458" s="83"/>
      <c r="K8458" s="82"/>
      <c r="M8458" s="112"/>
      <c r="N8458" s="84"/>
    </row>
    <row r="8459" spans="1:14" s="2" customFormat="1">
      <c r="A8459" s="83"/>
      <c r="H8459" s="83"/>
      <c r="K8459" s="82"/>
      <c r="M8459" s="112"/>
      <c r="N8459" s="84"/>
    </row>
    <row r="8460" spans="1:14" s="2" customFormat="1">
      <c r="A8460" s="83"/>
      <c r="H8460" s="83"/>
      <c r="K8460" s="82"/>
      <c r="M8460" s="112"/>
      <c r="N8460" s="84"/>
    </row>
    <row r="8461" spans="1:14" s="2" customFormat="1">
      <c r="A8461" s="83"/>
      <c r="H8461" s="83"/>
      <c r="K8461" s="82"/>
      <c r="M8461" s="112"/>
      <c r="N8461" s="84"/>
    </row>
    <row r="8462" spans="1:14" s="2" customFormat="1">
      <c r="A8462" s="83"/>
      <c r="H8462" s="83"/>
      <c r="K8462" s="82"/>
      <c r="M8462" s="112"/>
      <c r="N8462" s="84"/>
    </row>
    <row r="8463" spans="1:14" s="2" customFormat="1">
      <c r="A8463" s="83"/>
      <c r="H8463" s="83"/>
      <c r="K8463" s="82"/>
      <c r="M8463" s="112"/>
      <c r="N8463" s="84"/>
    </row>
    <row r="8464" spans="1:14" s="2" customFormat="1">
      <c r="A8464" s="83"/>
      <c r="H8464" s="83"/>
      <c r="K8464" s="82"/>
      <c r="M8464" s="112"/>
      <c r="N8464" s="84"/>
    </row>
    <row r="8465" spans="1:14" s="2" customFormat="1">
      <c r="A8465" s="83"/>
      <c r="H8465" s="83"/>
      <c r="K8465" s="82"/>
      <c r="M8465" s="112"/>
      <c r="N8465" s="84"/>
    </row>
    <row r="8466" spans="1:14" s="2" customFormat="1">
      <c r="A8466" s="83"/>
      <c r="H8466" s="83"/>
      <c r="K8466" s="82"/>
      <c r="M8466" s="112"/>
      <c r="N8466" s="84"/>
    </row>
    <row r="8467" spans="1:14" s="2" customFormat="1">
      <c r="A8467" s="83"/>
      <c r="H8467" s="83"/>
      <c r="K8467" s="82"/>
      <c r="M8467" s="112"/>
      <c r="N8467" s="84"/>
    </row>
    <row r="8468" spans="1:14" s="2" customFormat="1">
      <c r="A8468" s="83"/>
      <c r="H8468" s="83"/>
      <c r="K8468" s="82"/>
      <c r="M8468" s="112"/>
      <c r="N8468" s="84"/>
    </row>
    <row r="8469" spans="1:14" s="2" customFormat="1">
      <c r="A8469" s="83"/>
      <c r="H8469" s="83"/>
      <c r="K8469" s="82"/>
      <c r="M8469" s="112"/>
      <c r="N8469" s="84"/>
    </row>
    <row r="8470" spans="1:14" s="2" customFormat="1">
      <c r="A8470" s="83"/>
      <c r="H8470" s="83"/>
      <c r="K8470" s="82"/>
      <c r="M8470" s="112"/>
      <c r="N8470" s="84"/>
    </row>
    <row r="8471" spans="1:14" s="2" customFormat="1">
      <c r="A8471" s="83"/>
      <c r="H8471" s="83"/>
      <c r="K8471" s="82"/>
      <c r="M8471" s="112"/>
      <c r="N8471" s="84"/>
    </row>
    <row r="8472" spans="1:14" s="2" customFormat="1">
      <c r="A8472" s="83"/>
      <c r="H8472" s="83"/>
      <c r="K8472" s="82"/>
      <c r="M8472" s="112"/>
      <c r="N8472" s="84"/>
    </row>
    <row r="8473" spans="1:14" s="2" customFormat="1">
      <c r="A8473" s="83"/>
      <c r="H8473" s="83"/>
      <c r="K8473" s="82"/>
      <c r="M8473" s="112"/>
      <c r="N8473" s="84"/>
    </row>
    <row r="8474" spans="1:14" s="2" customFormat="1">
      <c r="A8474" s="83"/>
      <c r="H8474" s="83"/>
      <c r="K8474" s="82"/>
      <c r="M8474" s="112"/>
      <c r="N8474" s="84"/>
    </row>
    <row r="8475" spans="1:14" s="2" customFormat="1">
      <c r="A8475" s="83"/>
      <c r="H8475" s="83"/>
      <c r="K8475" s="82"/>
      <c r="M8475" s="112"/>
      <c r="N8475" s="84"/>
    </row>
    <row r="8476" spans="1:14" s="2" customFormat="1">
      <c r="A8476" s="83"/>
      <c r="H8476" s="83"/>
      <c r="K8476" s="82"/>
      <c r="M8476" s="112"/>
      <c r="N8476" s="84"/>
    </row>
    <row r="8477" spans="1:14" s="2" customFormat="1">
      <c r="A8477" s="83"/>
      <c r="H8477" s="83"/>
      <c r="K8477" s="82"/>
      <c r="M8477" s="112"/>
      <c r="N8477" s="84"/>
    </row>
    <row r="8478" spans="1:14" s="2" customFormat="1">
      <c r="A8478" s="83"/>
      <c r="H8478" s="83"/>
      <c r="K8478" s="82"/>
      <c r="M8478" s="112"/>
      <c r="N8478" s="84"/>
    </row>
    <row r="8479" spans="1:14" s="2" customFormat="1">
      <c r="A8479" s="83"/>
      <c r="H8479" s="83"/>
      <c r="K8479" s="82"/>
      <c r="M8479" s="112"/>
      <c r="N8479" s="84"/>
    </row>
    <row r="8480" spans="1:14" s="2" customFormat="1">
      <c r="A8480" s="83"/>
      <c r="H8480" s="83"/>
      <c r="K8480" s="82"/>
      <c r="M8480" s="112"/>
      <c r="N8480" s="84"/>
    </row>
    <row r="8481" spans="1:14" s="2" customFormat="1">
      <c r="A8481" s="83"/>
      <c r="H8481" s="83"/>
      <c r="K8481" s="82"/>
      <c r="M8481" s="112"/>
      <c r="N8481" s="84"/>
    </row>
    <row r="8482" spans="1:14" s="2" customFormat="1">
      <c r="A8482" s="83"/>
      <c r="H8482" s="83"/>
      <c r="K8482" s="82"/>
      <c r="M8482" s="112"/>
      <c r="N8482" s="84"/>
    </row>
    <row r="8483" spans="1:14" s="2" customFormat="1">
      <c r="A8483" s="83"/>
      <c r="H8483" s="83"/>
      <c r="K8483" s="82"/>
      <c r="M8483" s="112"/>
      <c r="N8483" s="84"/>
    </row>
    <row r="8484" spans="1:14" s="2" customFormat="1">
      <c r="A8484" s="83"/>
      <c r="H8484" s="83"/>
      <c r="K8484" s="82"/>
      <c r="M8484" s="112"/>
      <c r="N8484" s="84"/>
    </row>
    <row r="8485" spans="1:14" s="2" customFormat="1">
      <c r="A8485" s="83"/>
      <c r="H8485" s="83"/>
      <c r="K8485" s="82"/>
      <c r="M8485" s="112"/>
      <c r="N8485" s="84"/>
    </row>
    <row r="8486" spans="1:14" s="2" customFormat="1">
      <c r="A8486" s="83"/>
      <c r="H8486" s="83"/>
      <c r="K8486" s="82"/>
      <c r="M8486" s="112"/>
      <c r="N8486" s="84"/>
    </row>
    <row r="8487" spans="1:14" s="2" customFormat="1">
      <c r="A8487" s="83"/>
      <c r="H8487" s="83"/>
      <c r="K8487" s="82"/>
      <c r="M8487" s="112"/>
      <c r="N8487" s="84"/>
    </row>
    <row r="8488" spans="1:14" s="2" customFormat="1">
      <c r="A8488" s="83"/>
      <c r="H8488" s="83"/>
      <c r="K8488" s="82"/>
      <c r="M8488" s="112"/>
      <c r="N8488" s="84"/>
    </row>
    <row r="8489" spans="1:14" s="2" customFormat="1">
      <c r="A8489" s="83"/>
      <c r="H8489" s="83"/>
      <c r="K8489" s="82"/>
      <c r="M8489" s="112"/>
      <c r="N8489" s="84"/>
    </row>
    <row r="8490" spans="1:14" s="2" customFormat="1">
      <c r="A8490" s="83"/>
      <c r="H8490" s="83"/>
      <c r="K8490" s="82"/>
      <c r="M8490" s="112"/>
      <c r="N8490" s="84"/>
    </row>
    <row r="8491" spans="1:14" s="2" customFormat="1">
      <c r="A8491" s="83"/>
      <c r="H8491" s="83"/>
      <c r="K8491" s="82"/>
      <c r="M8491" s="112"/>
      <c r="N8491" s="84"/>
    </row>
    <row r="8492" spans="1:14" s="2" customFormat="1">
      <c r="A8492" s="83"/>
      <c r="H8492" s="83"/>
      <c r="K8492" s="82"/>
      <c r="M8492" s="112"/>
      <c r="N8492" s="84"/>
    </row>
    <row r="8493" spans="1:14" s="2" customFormat="1">
      <c r="A8493" s="83"/>
      <c r="H8493" s="83"/>
      <c r="K8493" s="82"/>
      <c r="M8493" s="112"/>
      <c r="N8493" s="84"/>
    </row>
    <row r="8494" spans="1:14" s="2" customFormat="1">
      <c r="A8494" s="83"/>
      <c r="H8494" s="83"/>
      <c r="K8494" s="82"/>
      <c r="M8494" s="112"/>
      <c r="N8494" s="84"/>
    </row>
    <row r="8495" spans="1:14" s="2" customFormat="1">
      <c r="A8495" s="83"/>
      <c r="H8495" s="83"/>
      <c r="K8495" s="82"/>
      <c r="M8495" s="112"/>
      <c r="N8495" s="84"/>
    </row>
    <row r="8496" spans="1:14" s="2" customFormat="1">
      <c r="A8496" s="83"/>
      <c r="H8496" s="83"/>
      <c r="K8496" s="82"/>
      <c r="M8496" s="112"/>
      <c r="N8496" s="84"/>
    </row>
    <row r="8497" spans="1:14" s="2" customFormat="1">
      <c r="A8497" s="83"/>
      <c r="H8497" s="83"/>
      <c r="K8497" s="82"/>
      <c r="M8497" s="112"/>
      <c r="N8497" s="84"/>
    </row>
    <row r="8498" spans="1:14" s="2" customFormat="1">
      <c r="A8498" s="83"/>
      <c r="H8498" s="83"/>
      <c r="K8498" s="82"/>
      <c r="M8498" s="112"/>
      <c r="N8498" s="84"/>
    </row>
    <row r="8499" spans="1:14" s="2" customFormat="1">
      <c r="A8499" s="83"/>
      <c r="H8499" s="83"/>
      <c r="K8499" s="82"/>
      <c r="M8499" s="112"/>
      <c r="N8499" s="84"/>
    </row>
    <row r="8500" spans="1:14" s="2" customFormat="1">
      <c r="A8500" s="83"/>
      <c r="H8500" s="83"/>
      <c r="K8500" s="82"/>
      <c r="M8500" s="112"/>
      <c r="N8500" s="84"/>
    </row>
    <row r="8501" spans="1:14" s="2" customFormat="1">
      <c r="A8501" s="83"/>
      <c r="H8501" s="83"/>
      <c r="K8501" s="82"/>
      <c r="M8501" s="112"/>
      <c r="N8501" s="84"/>
    </row>
    <row r="8502" spans="1:14" s="2" customFormat="1">
      <c r="A8502" s="83"/>
      <c r="H8502" s="83"/>
      <c r="K8502" s="82"/>
      <c r="M8502" s="112"/>
      <c r="N8502" s="84"/>
    </row>
    <row r="8503" spans="1:14" s="2" customFormat="1">
      <c r="A8503" s="83"/>
      <c r="H8503" s="83"/>
      <c r="K8503" s="82"/>
      <c r="M8503" s="112"/>
      <c r="N8503" s="84"/>
    </row>
    <row r="8504" spans="1:14" s="2" customFormat="1">
      <c r="A8504" s="83"/>
      <c r="H8504" s="83"/>
      <c r="K8504" s="82"/>
      <c r="M8504" s="112"/>
      <c r="N8504" s="84"/>
    </row>
    <row r="8505" spans="1:14" s="2" customFormat="1">
      <c r="A8505" s="83"/>
      <c r="H8505" s="83"/>
      <c r="K8505" s="82"/>
      <c r="M8505" s="112"/>
      <c r="N8505" s="84"/>
    </row>
    <row r="8506" spans="1:14" s="2" customFormat="1">
      <c r="A8506" s="83"/>
      <c r="H8506" s="83"/>
      <c r="K8506" s="82"/>
      <c r="M8506" s="112"/>
      <c r="N8506" s="84"/>
    </row>
    <row r="8507" spans="1:14" s="2" customFormat="1">
      <c r="A8507" s="83"/>
      <c r="H8507" s="83"/>
      <c r="K8507" s="82"/>
      <c r="M8507" s="112"/>
      <c r="N8507" s="84"/>
    </row>
    <row r="8508" spans="1:14" s="2" customFormat="1">
      <c r="A8508" s="83"/>
      <c r="H8508" s="83"/>
      <c r="K8508" s="82"/>
      <c r="M8508" s="112"/>
      <c r="N8508" s="84"/>
    </row>
    <row r="8509" spans="1:14" s="2" customFormat="1">
      <c r="A8509" s="83"/>
      <c r="H8509" s="83"/>
      <c r="K8509" s="82"/>
      <c r="M8509" s="112"/>
      <c r="N8509" s="84"/>
    </row>
    <row r="8510" spans="1:14" s="2" customFormat="1">
      <c r="A8510" s="83"/>
      <c r="H8510" s="83"/>
      <c r="K8510" s="82"/>
      <c r="M8510" s="112"/>
      <c r="N8510" s="84"/>
    </row>
    <row r="8511" spans="1:14" s="2" customFormat="1">
      <c r="A8511" s="83"/>
      <c r="H8511" s="83"/>
      <c r="K8511" s="82"/>
      <c r="M8511" s="112"/>
      <c r="N8511" s="84"/>
    </row>
    <row r="8512" spans="1:14" s="2" customFormat="1">
      <c r="A8512" s="83"/>
      <c r="H8512" s="83"/>
      <c r="K8512" s="82"/>
      <c r="M8512" s="112"/>
      <c r="N8512" s="84"/>
    </row>
    <row r="8513" spans="1:14" s="2" customFormat="1">
      <c r="A8513" s="83"/>
      <c r="H8513" s="83"/>
      <c r="K8513" s="82"/>
      <c r="M8513" s="112"/>
      <c r="N8513" s="84"/>
    </row>
    <row r="8514" spans="1:14" s="2" customFormat="1">
      <c r="A8514" s="83"/>
      <c r="H8514" s="83"/>
      <c r="K8514" s="82"/>
      <c r="M8514" s="112"/>
      <c r="N8514" s="84"/>
    </row>
    <row r="8515" spans="1:14" s="2" customFormat="1">
      <c r="A8515" s="83"/>
      <c r="H8515" s="83"/>
      <c r="K8515" s="82"/>
      <c r="M8515" s="112"/>
      <c r="N8515" s="84"/>
    </row>
    <row r="8516" spans="1:14" s="2" customFormat="1">
      <c r="A8516" s="83"/>
      <c r="H8516" s="83"/>
      <c r="K8516" s="82"/>
      <c r="M8516" s="112"/>
      <c r="N8516" s="84"/>
    </row>
    <row r="8517" spans="1:14" s="2" customFormat="1">
      <c r="A8517" s="83"/>
      <c r="H8517" s="83"/>
      <c r="K8517" s="82"/>
      <c r="M8517" s="112"/>
      <c r="N8517" s="84"/>
    </row>
    <row r="8518" spans="1:14" s="2" customFormat="1">
      <c r="A8518" s="83"/>
      <c r="H8518" s="83"/>
      <c r="K8518" s="82"/>
      <c r="M8518" s="112"/>
      <c r="N8518" s="84"/>
    </row>
    <row r="8519" spans="1:14" s="2" customFormat="1">
      <c r="A8519" s="83"/>
      <c r="H8519" s="83"/>
      <c r="K8519" s="82"/>
      <c r="M8519" s="112"/>
      <c r="N8519" s="84"/>
    </row>
    <row r="8520" spans="1:14" s="2" customFormat="1">
      <c r="A8520" s="83"/>
      <c r="H8520" s="83"/>
      <c r="K8520" s="82"/>
      <c r="M8520" s="112"/>
      <c r="N8520" s="84"/>
    </row>
    <row r="8521" spans="1:14" s="2" customFormat="1">
      <c r="A8521" s="83"/>
      <c r="H8521" s="83"/>
      <c r="K8521" s="82"/>
      <c r="M8521" s="112"/>
      <c r="N8521" s="84"/>
    </row>
    <row r="8522" spans="1:14" s="2" customFormat="1">
      <c r="A8522" s="83"/>
      <c r="H8522" s="83"/>
      <c r="K8522" s="82"/>
      <c r="M8522" s="112"/>
      <c r="N8522" s="84"/>
    </row>
    <row r="8523" spans="1:14" s="2" customFormat="1">
      <c r="A8523" s="83"/>
      <c r="H8523" s="83"/>
      <c r="K8523" s="82"/>
      <c r="M8523" s="112"/>
      <c r="N8523" s="84"/>
    </row>
    <row r="8524" spans="1:14" s="2" customFormat="1">
      <c r="A8524" s="83"/>
      <c r="H8524" s="83"/>
      <c r="K8524" s="82"/>
      <c r="M8524" s="112"/>
      <c r="N8524" s="84"/>
    </row>
    <row r="8525" spans="1:14" s="2" customFormat="1">
      <c r="A8525" s="83"/>
      <c r="H8525" s="83"/>
      <c r="K8525" s="82"/>
      <c r="M8525" s="112"/>
      <c r="N8525" s="84"/>
    </row>
    <row r="8526" spans="1:14" s="2" customFormat="1">
      <c r="A8526" s="83"/>
      <c r="H8526" s="83"/>
      <c r="K8526" s="82"/>
      <c r="M8526" s="112"/>
      <c r="N8526" s="84"/>
    </row>
    <row r="8527" spans="1:14" s="2" customFormat="1">
      <c r="A8527" s="83"/>
      <c r="H8527" s="83"/>
      <c r="K8527" s="82"/>
      <c r="M8527" s="112"/>
      <c r="N8527" s="84"/>
    </row>
    <row r="8528" spans="1:14" s="2" customFormat="1">
      <c r="A8528" s="83"/>
      <c r="H8528" s="83"/>
      <c r="K8528" s="82"/>
      <c r="M8528" s="112"/>
      <c r="N8528" s="84"/>
    </row>
    <row r="8529" spans="1:14" s="2" customFormat="1">
      <c r="A8529" s="83"/>
      <c r="H8529" s="83"/>
      <c r="K8529" s="82"/>
      <c r="M8529" s="112"/>
      <c r="N8529" s="84"/>
    </row>
    <row r="8530" spans="1:14" s="2" customFormat="1">
      <c r="A8530" s="83"/>
      <c r="H8530" s="83"/>
      <c r="K8530" s="82"/>
      <c r="M8530" s="112"/>
      <c r="N8530" s="84"/>
    </row>
    <row r="8531" spans="1:14" s="2" customFormat="1">
      <c r="A8531" s="83"/>
      <c r="H8531" s="83"/>
      <c r="K8531" s="82"/>
      <c r="M8531" s="112"/>
      <c r="N8531" s="84"/>
    </row>
    <row r="8532" spans="1:14" s="2" customFormat="1">
      <c r="A8532" s="83"/>
      <c r="H8532" s="83"/>
      <c r="K8532" s="82"/>
      <c r="M8532" s="112"/>
      <c r="N8532" s="84"/>
    </row>
    <row r="8533" spans="1:14" s="2" customFormat="1">
      <c r="A8533" s="83"/>
      <c r="H8533" s="83"/>
      <c r="K8533" s="82"/>
      <c r="M8533" s="112"/>
      <c r="N8533" s="84"/>
    </row>
    <row r="8534" spans="1:14" s="2" customFormat="1">
      <c r="A8534" s="83"/>
      <c r="H8534" s="83"/>
      <c r="K8534" s="82"/>
      <c r="M8534" s="112"/>
      <c r="N8534" s="84"/>
    </row>
    <row r="8535" spans="1:14" s="2" customFormat="1">
      <c r="A8535" s="83"/>
      <c r="H8535" s="83"/>
      <c r="K8535" s="82"/>
      <c r="M8535" s="112"/>
      <c r="N8535" s="84"/>
    </row>
    <row r="8536" spans="1:14" s="2" customFormat="1">
      <c r="A8536" s="83"/>
      <c r="H8536" s="83"/>
      <c r="K8536" s="82"/>
      <c r="M8536" s="112"/>
      <c r="N8536" s="84"/>
    </row>
    <row r="8537" spans="1:14" s="2" customFormat="1">
      <c r="A8537" s="83"/>
      <c r="H8537" s="83"/>
      <c r="K8537" s="82"/>
      <c r="M8537" s="112"/>
      <c r="N8537" s="84"/>
    </row>
    <row r="8538" spans="1:14" s="2" customFormat="1">
      <c r="A8538" s="83"/>
      <c r="H8538" s="83"/>
      <c r="K8538" s="82"/>
      <c r="M8538" s="112"/>
      <c r="N8538" s="84"/>
    </row>
    <row r="8539" spans="1:14" s="2" customFormat="1">
      <c r="A8539" s="83"/>
      <c r="H8539" s="83"/>
      <c r="K8539" s="82"/>
      <c r="M8539" s="112"/>
      <c r="N8539" s="84"/>
    </row>
    <row r="8540" spans="1:14" s="2" customFormat="1">
      <c r="A8540" s="83"/>
      <c r="H8540" s="83"/>
      <c r="K8540" s="82"/>
      <c r="M8540" s="112"/>
      <c r="N8540" s="84"/>
    </row>
    <row r="8541" spans="1:14" s="2" customFormat="1">
      <c r="A8541" s="83"/>
      <c r="H8541" s="83"/>
      <c r="K8541" s="82"/>
      <c r="M8541" s="112"/>
      <c r="N8541" s="84"/>
    </row>
    <row r="8542" spans="1:14" s="2" customFormat="1">
      <c r="A8542" s="83"/>
      <c r="H8542" s="83"/>
      <c r="K8542" s="82"/>
      <c r="M8542" s="112"/>
      <c r="N8542" s="84"/>
    </row>
    <row r="8543" spans="1:14" s="2" customFormat="1">
      <c r="A8543" s="83"/>
      <c r="H8543" s="83"/>
      <c r="K8543" s="82"/>
      <c r="M8543" s="112"/>
      <c r="N8543" s="84"/>
    </row>
    <row r="8544" spans="1:14" s="2" customFormat="1">
      <c r="A8544" s="83"/>
      <c r="H8544" s="83"/>
      <c r="K8544" s="82"/>
      <c r="M8544" s="112"/>
      <c r="N8544" s="84"/>
    </row>
    <row r="8545" spans="1:14" s="2" customFormat="1">
      <c r="A8545" s="83"/>
      <c r="H8545" s="83"/>
      <c r="K8545" s="82"/>
      <c r="M8545" s="112"/>
      <c r="N8545" s="84"/>
    </row>
    <row r="8546" spans="1:14" s="2" customFormat="1">
      <c r="A8546" s="83"/>
      <c r="H8546" s="83"/>
      <c r="K8546" s="82"/>
      <c r="M8546" s="112"/>
      <c r="N8546" s="84"/>
    </row>
    <row r="8547" spans="1:14" s="2" customFormat="1">
      <c r="A8547" s="83"/>
      <c r="H8547" s="83"/>
      <c r="K8547" s="82"/>
      <c r="M8547" s="112"/>
      <c r="N8547" s="84"/>
    </row>
    <row r="8548" spans="1:14" s="2" customFormat="1">
      <c r="A8548" s="83"/>
      <c r="H8548" s="83"/>
      <c r="K8548" s="82"/>
      <c r="M8548" s="112"/>
      <c r="N8548" s="84"/>
    </row>
    <row r="8549" spans="1:14" s="2" customFormat="1">
      <c r="A8549" s="83"/>
      <c r="H8549" s="83"/>
      <c r="K8549" s="82"/>
      <c r="M8549" s="112"/>
      <c r="N8549" s="84"/>
    </row>
    <row r="8550" spans="1:14" s="2" customFormat="1">
      <c r="A8550" s="83"/>
      <c r="H8550" s="83"/>
      <c r="K8550" s="82"/>
      <c r="M8550" s="112"/>
      <c r="N8550" s="84"/>
    </row>
    <row r="8551" spans="1:14" s="2" customFormat="1">
      <c r="A8551" s="83"/>
      <c r="H8551" s="83"/>
      <c r="K8551" s="82"/>
      <c r="M8551" s="112"/>
      <c r="N8551" s="84"/>
    </row>
    <row r="8552" spans="1:14" s="2" customFormat="1">
      <c r="A8552" s="83"/>
      <c r="H8552" s="83"/>
      <c r="K8552" s="82"/>
      <c r="M8552" s="112"/>
      <c r="N8552" s="84"/>
    </row>
    <row r="8553" spans="1:14" s="2" customFormat="1">
      <c r="A8553" s="83"/>
      <c r="H8553" s="83"/>
      <c r="K8553" s="82"/>
      <c r="M8553" s="112"/>
      <c r="N8553" s="84"/>
    </row>
    <row r="8554" spans="1:14" s="2" customFormat="1">
      <c r="A8554" s="83"/>
      <c r="H8554" s="83"/>
      <c r="K8554" s="82"/>
      <c r="M8554" s="112"/>
      <c r="N8554" s="84"/>
    </row>
    <row r="8555" spans="1:14" s="2" customFormat="1">
      <c r="A8555" s="83"/>
      <c r="H8555" s="83"/>
      <c r="K8555" s="82"/>
      <c r="M8555" s="112"/>
      <c r="N8555" s="84"/>
    </row>
    <row r="8556" spans="1:14" s="2" customFormat="1">
      <c r="A8556" s="83"/>
      <c r="H8556" s="83"/>
      <c r="K8556" s="82"/>
      <c r="M8556" s="112"/>
      <c r="N8556" s="84"/>
    </row>
    <row r="8557" spans="1:14" s="2" customFormat="1">
      <c r="A8557" s="83"/>
      <c r="H8557" s="83"/>
      <c r="K8557" s="82"/>
      <c r="M8557" s="112"/>
      <c r="N8557" s="84"/>
    </row>
    <row r="8558" spans="1:14" s="2" customFormat="1">
      <c r="A8558" s="83"/>
      <c r="H8558" s="83"/>
      <c r="K8558" s="82"/>
      <c r="M8558" s="112"/>
      <c r="N8558" s="84"/>
    </row>
    <row r="8559" spans="1:14" s="2" customFormat="1">
      <c r="A8559" s="83"/>
      <c r="H8559" s="83"/>
      <c r="K8559" s="82"/>
      <c r="M8559" s="112"/>
      <c r="N8559" s="84"/>
    </row>
    <row r="8560" spans="1:14" s="2" customFormat="1">
      <c r="A8560" s="83"/>
      <c r="H8560" s="83"/>
      <c r="K8560" s="82"/>
      <c r="M8560" s="112"/>
      <c r="N8560" s="84"/>
    </row>
    <row r="8561" spans="1:14" s="2" customFormat="1">
      <c r="A8561" s="83"/>
      <c r="H8561" s="83"/>
      <c r="K8561" s="82"/>
      <c r="M8561" s="112"/>
      <c r="N8561" s="84"/>
    </row>
    <row r="8562" spans="1:14" s="2" customFormat="1">
      <c r="A8562" s="83"/>
      <c r="H8562" s="83"/>
      <c r="K8562" s="82"/>
      <c r="M8562" s="112"/>
      <c r="N8562" s="84"/>
    </row>
    <row r="8563" spans="1:14" s="2" customFormat="1">
      <c r="A8563" s="83"/>
      <c r="H8563" s="83"/>
      <c r="K8563" s="82"/>
      <c r="M8563" s="112"/>
      <c r="N8563" s="84"/>
    </row>
    <row r="8564" spans="1:14" s="2" customFormat="1">
      <c r="A8564" s="83"/>
      <c r="H8564" s="83"/>
      <c r="K8564" s="82"/>
      <c r="M8564" s="112"/>
      <c r="N8564" s="84"/>
    </row>
    <row r="8565" spans="1:14" s="2" customFormat="1">
      <c r="A8565" s="83"/>
      <c r="H8565" s="83"/>
      <c r="K8565" s="82"/>
      <c r="M8565" s="112"/>
      <c r="N8565" s="84"/>
    </row>
    <row r="8566" spans="1:14" s="2" customFormat="1">
      <c r="A8566" s="83"/>
      <c r="H8566" s="83"/>
      <c r="K8566" s="82"/>
      <c r="M8566" s="112"/>
      <c r="N8566" s="84"/>
    </row>
    <row r="8567" spans="1:14" s="2" customFormat="1">
      <c r="A8567" s="83"/>
      <c r="H8567" s="83"/>
      <c r="K8567" s="82"/>
      <c r="M8567" s="112"/>
      <c r="N8567" s="84"/>
    </row>
    <row r="8568" spans="1:14" s="2" customFormat="1">
      <c r="A8568" s="83"/>
      <c r="H8568" s="83"/>
      <c r="K8568" s="82"/>
      <c r="M8568" s="112"/>
      <c r="N8568" s="84"/>
    </row>
    <row r="8569" spans="1:14" s="2" customFormat="1">
      <c r="A8569" s="83"/>
      <c r="H8569" s="83"/>
      <c r="K8569" s="82"/>
      <c r="M8569" s="112"/>
      <c r="N8569" s="84"/>
    </row>
    <row r="8570" spans="1:14" s="2" customFormat="1">
      <c r="A8570" s="83"/>
      <c r="H8570" s="83"/>
      <c r="K8570" s="82"/>
      <c r="M8570" s="112"/>
      <c r="N8570" s="84"/>
    </row>
    <row r="8571" spans="1:14" s="2" customFormat="1">
      <c r="A8571" s="83"/>
      <c r="H8571" s="83"/>
      <c r="K8571" s="82"/>
      <c r="M8571" s="112"/>
      <c r="N8571" s="84"/>
    </row>
    <row r="8572" spans="1:14" s="2" customFormat="1">
      <c r="A8572" s="83"/>
      <c r="H8572" s="83"/>
      <c r="K8572" s="82"/>
      <c r="M8572" s="112"/>
      <c r="N8572" s="84"/>
    </row>
    <row r="8573" spans="1:14" s="2" customFormat="1">
      <c r="A8573" s="83"/>
      <c r="H8573" s="83"/>
      <c r="K8573" s="82"/>
      <c r="M8573" s="112"/>
      <c r="N8573" s="84"/>
    </row>
    <row r="8574" spans="1:14" s="2" customFormat="1">
      <c r="A8574" s="83"/>
      <c r="H8574" s="83"/>
      <c r="K8574" s="82"/>
      <c r="M8574" s="112"/>
      <c r="N8574" s="84"/>
    </row>
    <row r="8575" spans="1:14" s="2" customFormat="1">
      <c r="A8575" s="83"/>
      <c r="H8575" s="83"/>
      <c r="K8575" s="82"/>
      <c r="M8575" s="112"/>
      <c r="N8575" s="84"/>
    </row>
    <row r="8576" spans="1:14" s="2" customFormat="1">
      <c r="A8576" s="83"/>
      <c r="H8576" s="83"/>
      <c r="K8576" s="82"/>
      <c r="M8576" s="112"/>
      <c r="N8576" s="84"/>
    </row>
    <row r="8577" spans="1:14" s="2" customFormat="1">
      <c r="A8577" s="83"/>
      <c r="H8577" s="83"/>
      <c r="K8577" s="82"/>
      <c r="M8577" s="112"/>
      <c r="N8577" s="84"/>
    </row>
    <row r="8578" spans="1:14" s="2" customFormat="1">
      <c r="A8578" s="83"/>
      <c r="H8578" s="83"/>
      <c r="K8578" s="82"/>
      <c r="M8578" s="112"/>
      <c r="N8578" s="84"/>
    </row>
    <row r="8579" spans="1:14" s="2" customFormat="1">
      <c r="A8579" s="83"/>
      <c r="H8579" s="83"/>
      <c r="K8579" s="82"/>
      <c r="M8579" s="112"/>
      <c r="N8579" s="84"/>
    </row>
    <row r="8580" spans="1:14" s="2" customFormat="1">
      <c r="A8580" s="83"/>
      <c r="H8580" s="83"/>
      <c r="K8580" s="82"/>
      <c r="M8580" s="112"/>
      <c r="N8580" s="84"/>
    </row>
    <row r="8581" spans="1:14" s="2" customFormat="1">
      <c r="A8581" s="83"/>
      <c r="H8581" s="83"/>
      <c r="K8581" s="82"/>
      <c r="M8581" s="112"/>
      <c r="N8581" s="84"/>
    </row>
    <row r="8582" spans="1:14" s="2" customFormat="1">
      <c r="A8582" s="83"/>
      <c r="H8582" s="83"/>
      <c r="K8582" s="82"/>
      <c r="M8582" s="112"/>
      <c r="N8582" s="84"/>
    </row>
    <row r="8583" spans="1:14" s="2" customFormat="1">
      <c r="A8583" s="83"/>
      <c r="H8583" s="83"/>
      <c r="K8583" s="82"/>
      <c r="M8583" s="112"/>
      <c r="N8583" s="84"/>
    </row>
    <row r="8584" spans="1:14" s="2" customFormat="1">
      <c r="A8584" s="83"/>
      <c r="H8584" s="83"/>
      <c r="K8584" s="82"/>
      <c r="M8584" s="112"/>
      <c r="N8584" s="84"/>
    </row>
    <row r="8585" spans="1:14" s="2" customFormat="1">
      <c r="A8585" s="83"/>
      <c r="H8585" s="83"/>
      <c r="K8585" s="82"/>
      <c r="M8585" s="112"/>
      <c r="N8585" s="84"/>
    </row>
    <row r="8586" spans="1:14" s="2" customFormat="1">
      <c r="A8586" s="83"/>
      <c r="H8586" s="83"/>
      <c r="K8586" s="82"/>
      <c r="M8586" s="112"/>
      <c r="N8586" s="84"/>
    </row>
    <row r="8587" spans="1:14" s="2" customFormat="1">
      <c r="A8587" s="83"/>
      <c r="H8587" s="83"/>
      <c r="K8587" s="82"/>
      <c r="M8587" s="112"/>
      <c r="N8587" s="84"/>
    </row>
    <row r="8588" spans="1:14" s="2" customFormat="1">
      <c r="A8588" s="83"/>
      <c r="H8588" s="83"/>
      <c r="K8588" s="82"/>
      <c r="M8588" s="112"/>
      <c r="N8588" s="84"/>
    </row>
    <row r="8589" spans="1:14" s="2" customFormat="1">
      <c r="A8589" s="83"/>
      <c r="H8589" s="83"/>
      <c r="K8589" s="82"/>
      <c r="M8589" s="112"/>
      <c r="N8589" s="84"/>
    </row>
    <row r="8590" spans="1:14" s="2" customFormat="1">
      <c r="A8590" s="83"/>
      <c r="H8590" s="83"/>
      <c r="K8590" s="82"/>
      <c r="M8590" s="112"/>
      <c r="N8590" s="84"/>
    </row>
    <row r="8591" spans="1:14" s="2" customFormat="1">
      <c r="A8591" s="83"/>
      <c r="H8591" s="83"/>
      <c r="K8591" s="82"/>
      <c r="M8591" s="112"/>
      <c r="N8591" s="84"/>
    </row>
    <row r="8592" spans="1:14" s="2" customFormat="1">
      <c r="A8592" s="83"/>
      <c r="H8592" s="83"/>
      <c r="K8592" s="82"/>
      <c r="M8592" s="112"/>
      <c r="N8592" s="84"/>
    </row>
    <row r="8593" spans="1:14" s="2" customFormat="1">
      <c r="A8593" s="83"/>
      <c r="H8593" s="83"/>
      <c r="K8593" s="82"/>
      <c r="M8593" s="112"/>
      <c r="N8593" s="84"/>
    </row>
    <row r="8594" spans="1:14" s="2" customFormat="1">
      <c r="A8594" s="83"/>
      <c r="H8594" s="83"/>
      <c r="K8594" s="82"/>
      <c r="M8594" s="112"/>
      <c r="N8594" s="84"/>
    </row>
    <row r="8595" spans="1:14" s="2" customFormat="1">
      <c r="A8595" s="83"/>
      <c r="H8595" s="83"/>
      <c r="K8595" s="82"/>
      <c r="M8595" s="112"/>
      <c r="N8595" s="84"/>
    </row>
    <row r="8596" spans="1:14" s="2" customFormat="1">
      <c r="A8596" s="83"/>
      <c r="H8596" s="83"/>
      <c r="K8596" s="82"/>
      <c r="M8596" s="112"/>
      <c r="N8596" s="84"/>
    </row>
    <row r="8597" spans="1:14" s="2" customFormat="1">
      <c r="A8597" s="83"/>
      <c r="H8597" s="83"/>
      <c r="K8597" s="82"/>
      <c r="M8597" s="112"/>
      <c r="N8597" s="84"/>
    </row>
    <row r="8598" spans="1:14" s="2" customFormat="1">
      <c r="A8598" s="83"/>
      <c r="H8598" s="83"/>
      <c r="K8598" s="82"/>
      <c r="M8598" s="112"/>
      <c r="N8598" s="84"/>
    </row>
    <row r="8599" spans="1:14" s="2" customFormat="1">
      <c r="A8599" s="83"/>
      <c r="H8599" s="83"/>
      <c r="K8599" s="82"/>
      <c r="M8599" s="112"/>
      <c r="N8599" s="84"/>
    </row>
    <row r="8600" spans="1:14" s="2" customFormat="1">
      <c r="A8600" s="83"/>
      <c r="H8600" s="83"/>
      <c r="K8600" s="82"/>
      <c r="M8600" s="112"/>
      <c r="N8600" s="84"/>
    </row>
    <row r="8601" spans="1:14" s="2" customFormat="1">
      <c r="A8601" s="83"/>
      <c r="H8601" s="83"/>
      <c r="K8601" s="82"/>
      <c r="M8601" s="112"/>
      <c r="N8601" s="84"/>
    </row>
    <row r="8602" spans="1:14" s="2" customFormat="1">
      <c r="A8602" s="83"/>
      <c r="H8602" s="83"/>
      <c r="K8602" s="82"/>
      <c r="M8602" s="112"/>
      <c r="N8602" s="84"/>
    </row>
    <row r="8603" spans="1:14" s="2" customFormat="1">
      <c r="A8603" s="83"/>
      <c r="H8603" s="83"/>
      <c r="K8603" s="82"/>
      <c r="M8603" s="112"/>
      <c r="N8603" s="84"/>
    </row>
    <row r="8604" spans="1:14" s="2" customFormat="1">
      <c r="A8604" s="83"/>
      <c r="H8604" s="83"/>
      <c r="K8604" s="82"/>
      <c r="M8604" s="112"/>
      <c r="N8604" s="84"/>
    </row>
    <row r="8605" spans="1:14" s="2" customFormat="1">
      <c r="A8605" s="83"/>
      <c r="H8605" s="83"/>
      <c r="K8605" s="82"/>
      <c r="M8605" s="112"/>
      <c r="N8605" s="84"/>
    </row>
    <row r="8606" spans="1:14" s="2" customFormat="1">
      <c r="A8606" s="83"/>
      <c r="H8606" s="83"/>
      <c r="K8606" s="82"/>
      <c r="M8606" s="112"/>
      <c r="N8606" s="84"/>
    </row>
    <row r="8607" spans="1:14" s="2" customFormat="1">
      <c r="A8607" s="83"/>
      <c r="H8607" s="83"/>
      <c r="K8607" s="82"/>
      <c r="M8607" s="112"/>
      <c r="N8607" s="84"/>
    </row>
    <row r="8608" spans="1:14" s="2" customFormat="1">
      <c r="A8608" s="83"/>
      <c r="H8608" s="83"/>
      <c r="K8608" s="82"/>
      <c r="M8608" s="112"/>
      <c r="N8608" s="84"/>
    </row>
    <row r="8609" spans="1:14" s="2" customFormat="1">
      <c r="A8609" s="83"/>
      <c r="H8609" s="83"/>
      <c r="K8609" s="82"/>
      <c r="M8609" s="112"/>
      <c r="N8609" s="84"/>
    </row>
    <row r="8610" spans="1:14" s="2" customFormat="1">
      <c r="A8610" s="83"/>
      <c r="H8610" s="83"/>
      <c r="K8610" s="82"/>
      <c r="M8610" s="112"/>
      <c r="N8610" s="84"/>
    </row>
    <row r="8611" spans="1:14" s="2" customFormat="1">
      <c r="A8611" s="83"/>
      <c r="H8611" s="83"/>
      <c r="K8611" s="82"/>
      <c r="M8611" s="112"/>
      <c r="N8611" s="84"/>
    </row>
    <row r="8612" spans="1:14" s="2" customFormat="1">
      <c r="A8612" s="83"/>
      <c r="H8612" s="83"/>
      <c r="K8612" s="82"/>
      <c r="M8612" s="112"/>
      <c r="N8612" s="84"/>
    </row>
    <row r="8613" spans="1:14" s="2" customFormat="1">
      <c r="A8613" s="83"/>
      <c r="H8613" s="83"/>
      <c r="K8613" s="82"/>
      <c r="M8613" s="112"/>
      <c r="N8613" s="84"/>
    </row>
    <row r="8614" spans="1:14" s="2" customFormat="1">
      <c r="A8614" s="83"/>
      <c r="H8614" s="83"/>
      <c r="K8614" s="82"/>
      <c r="M8614" s="112"/>
      <c r="N8614" s="84"/>
    </row>
    <row r="8615" spans="1:14" s="2" customFormat="1">
      <c r="A8615" s="83"/>
      <c r="H8615" s="83"/>
      <c r="K8615" s="82"/>
      <c r="M8615" s="112"/>
      <c r="N8615" s="84"/>
    </row>
    <row r="8616" spans="1:14" s="2" customFormat="1">
      <c r="A8616" s="83"/>
      <c r="H8616" s="83"/>
      <c r="K8616" s="82"/>
      <c r="M8616" s="112"/>
      <c r="N8616" s="84"/>
    </row>
    <row r="8617" spans="1:14" s="2" customFormat="1">
      <c r="A8617" s="83"/>
      <c r="H8617" s="83"/>
      <c r="K8617" s="82"/>
      <c r="M8617" s="112"/>
      <c r="N8617" s="84"/>
    </row>
    <row r="8618" spans="1:14" s="2" customFormat="1">
      <c r="A8618" s="83"/>
      <c r="H8618" s="83"/>
      <c r="K8618" s="82"/>
      <c r="M8618" s="112"/>
      <c r="N8618" s="84"/>
    </row>
    <row r="8619" spans="1:14" s="2" customFormat="1">
      <c r="A8619" s="83"/>
      <c r="H8619" s="83"/>
      <c r="K8619" s="82"/>
      <c r="M8619" s="112"/>
      <c r="N8619" s="84"/>
    </row>
    <row r="8620" spans="1:14" s="2" customFormat="1">
      <c r="A8620" s="83"/>
      <c r="H8620" s="83"/>
      <c r="K8620" s="82"/>
      <c r="M8620" s="112"/>
      <c r="N8620" s="84"/>
    </row>
    <row r="8621" spans="1:14" s="2" customFormat="1">
      <c r="A8621" s="83"/>
      <c r="H8621" s="83"/>
      <c r="K8621" s="82"/>
      <c r="M8621" s="112"/>
      <c r="N8621" s="84"/>
    </row>
    <row r="8622" spans="1:14" s="2" customFormat="1">
      <c r="A8622" s="83"/>
      <c r="H8622" s="83"/>
      <c r="K8622" s="82"/>
      <c r="M8622" s="112"/>
      <c r="N8622" s="84"/>
    </row>
    <row r="8623" spans="1:14" s="2" customFormat="1">
      <c r="A8623" s="83"/>
      <c r="H8623" s="83"/>
      <c r="K8623" s="82"/>
      <c r="M8623" s="112"/>
      <c r="N8623" s="84"/>
    </row>
    <row r="8624" spans="1:14" s="2" customFormat="1">
      <c r="A8624" s="83"/>
      <c r="H8624" s="83"/>
      <c r="K8624" s="82"/>
      <c r="M8624" s="112"/>
      <c r="N8624" s="84"/>
    </row>
    <row r="8625" spans="1:14" s="2" customFormat="1">
      <c r="A8625" s="83"/>
      <c r="H8625" s="83"/>
      <c r="K8625" s="82"/>
      <c r="M8625" s="112"/>
      <c r="N8625" s="84"/>
    </row>
    <row r="8626" spans="1:14" s="2" customFormat="1">
      <c r="A8626" s="83"/>
      <c r="H8626" s="83"/>
      <c r="K8626" s="82"/>
      <c r="M8626" s="112"/>
      <c r="N8626" s="84"/>
    </row>
    <row r="8627" spans="1:14" s="2" customFormat="1">
      <c r="A8627" s="83"/>
      <c r="H8627" s="83"/>
      <c r="K8627" s="82"/>
      <c r="M8627" s="112"/>
      <c r="N8627" s="84"/>
    </row>
    <row r="8628" spans="1:14" s="2" customFormat="1">
      <c r="A8628" s="83"/>
      <c r="H8628" s="83"/>
      <c r="K8628" s="82"/>
      <c r="M8628" s="112"/>
      <c r="N8628" s="84"/>
    </row>
    <row r="8629" spans="1:14" s="2" customFormat="1">
      <c r="A8629" s="83"/>
      <c r="H8629" s="83"/>
      <c r="K8629" s="82"/>
      <c r="M8629" s="112"/>
      <c r="N8629" s="84"/>
    </row>
    <row r="8630" spans="1:14" s="2" customFormat="1">
      <c r="A8630" s="83"/>
      <c r="H8630" s="83"/>
      <c r="K8630" s="82"/>
      <c r="M8630" s="112"/>
      <c r="N8630" s="84"/>
    </row>
    <row r="8631" spans="1:14" s="2" customFormat="1">
      <c r="A8631" s="83"/>
      <c r="H8631" s="83"/>
      <c r="K8631" s="82"/>
      <c r="M8631" s="112"/>
      <c r="N8631" s="84"/>
    </row>
    <row r="8632" spans="1:14" s="2" customFormat="1">
      <c r="A8632" s="83"/>
      <c r="H8632" s="83"/>
      <c r="K8632" s="82"/>
      <c r="M8632" s="112"/>
      <c r="N8632" s="84"/>
    </row>
    <row r="8633" spans="1:14" s="2" customFormat="1">
      <c r="A8633" s="83"/>
      <c r="H8633" s="83"/>
      <c r="K8633" s="82"/>
      <c r="M8633" s="112"/>
      <c r="N8633" s="84"/>
    </row>
    <row r="8634" spans="1:14" s="2" customFormat="1">
      <c r="A8634" s="83"/>
      <c r="H8634" s="83"/>
      <c r="K8634" s="82"/>
      <c r="M8634" s="112"/>
      <c r="N8634" s="84"/>
    </row>
    <row r="8635" spans="1:14" s="2" customFormat="1">
      <c r="A8635" s="83"/>
      <c r="H8635" s="83"/>
      <c r="K8635" s="82"/>
      <c r="M8635" s="112"/>
      <c r="N8635" s="84"/>
    </row>
    <row r="8636" spans="1:14" s="2" customFormat="1">
      <c r="A8636" s="83"/>
      <c r="H8636" s="83"/>
      <c r="K8636" s="82"/>
      <c r="M8636" s="112"/>
      <c r="N8636" s="84"/>
    </row>
    <row r="8637" spans="1:14" s="2" customFormat="1">
      <c r="A8637" s="83"/>
      <c r="H8637" s="83"/>
      <c r="K8637" s="82"/>
      <c r="M8637" s="112"/>
      <c r="N8637" s="84"/>
    </row>
    <row r="8638" spans="1:14" s="2" customFormat="1">
      <c r="A8638" s="83"/>
      <c r="H8638" s="83"/>
      <c r="K8638" s="82"/>
      <c r="M8638" s="112"/>
      <c r="N8638" s="84"/>
    </row>
    <row r="8639" spans="1:14" s="2" customFormat="1">
      <c r="A8639" s="83"/>
      <c r="H8639" s="83"/>
      <c r="K8639" s="82"/>
      <c r="M8639" s="112"/>
      <c r="N8639" s="84"/>
    </row>
    <row r="8640" spans="1:14" s="2" customFormat="1">
      <c r="A8640" s="83"/>
      <c r="H8640" s="83"/>
      <c r="K8640" s="82"/>
      <c r="M8640" s="112"/>
      <c r="N8640" s="84"/>
    </row>
    <row r="8641" spans="1:14" s="2" customFormat="1">
      <c r="A8641" s="83"/>
      <c r="H8641" s="83"/>
      <c r="K8641" s="82"/>
      <c r="M8641" s="112"/>
      <c r="N8641" s="84"/>
    </row>
    <row r="8642" spans="1:14" s="2" customFormat="1">
      <c r="A8642" s="83"/>
      <c r="H8642" s="83"/>
      <c r="K8642" s="82"/>
      <c r="M8642" s="112"/>
      <c r="N8642" s="84"/>
    </row>
    <row r="8643" spans="1:14" s="2" customFormat="1">
      <c r="A8643" s="83"/>
      <c r="H8643" s="83"/>
      <c r="K8643" s="82"/>
      <c r="M8643" s="112"/>
      <c r="N8643" s="84"/>
    </row>
    <row r="8644" spans="1:14" s="2" customFormat="1">
      <c r="A8644" s="83"/>
      <c r="H8644" s="83"/>
      <c r="K8644" s="82"/>
      <c r="M8644" s="112"/>
      <c r="N8644" s="84"/>
    </row>
    <row r="8645" spans="1:14" s="2" customFormat="1">
      <c r="A8645" s="83"/>
      <c r="H8645" s="83"/>
      <c r="K8645" s="82"/>
      <c r="M8645" s="112"/>
      <c r="N8645" s="84"/>
    </row>
    <row r="8646" spans="1:14" s="2" customFormat="1">
      <c r="A8646" s="83"/>
      <c r="H8646" s="83"/>
      <c r="K8646" s="82"/>
      <c r="M8646" s="112"/>
      <c r="N8646" s="84"/>
    </row>
    <row r="8647" spans="1:14" s="2" customFormat="1">
      <c r="A8647" s="83"/>
      <c r="H8647" s="83"/>
      <c r="K8647" s="82"/>
      <c r="M8647" s="112"/>
      <c r="N8647" s="84"/>
    </row>
    <row r="8648" spans="1:14" s="2" customFormat="1">
      <c r="A8648" s="83"/>
      <c r="H8648" s="83"/>
      <c r="K8648" s="82"/>
      <c r="M8648" s="112"/>
      <c r="N8648" s="84"/>
    </row>
    <row r="8649" spans="1:14" s="2" customFormat="1">
      <c r="A8649" s="83"/>
      <c r="H8649" s="83"/>
      <c r="K8649" s="82"/>
      <c r="M8649" s="112"/>
      <c r="N8649" s="84"/>
    </row>
    <row r="8650" spans="1:14" s="2" customFormat="1">
      <c r="A8650" s="83"/>
      <c r="H8650" s="83"/>
      <c r="K8650" s="82"/>
      <c r="M8650" s="112"/>
      <c r="N8650" s="84"/>
    </row>
    <row r="8651" spans="1:14" s="2" customFormat="1">
      <c r="A8651" s="83"/>
      <c r="H8651" s="83"/>
      <c r="K8651" s="82"/>
      <c r="M8651" s="112"/>
      <c r="N8651" s="84"/>
    </row>
    <row r="8652" spans="1:14" s="2" customFormat="1">
      <c r="A8652" s="83"/>
      <c r="H8652" s="83"/>
      <c r="K8652" s="82"/>
      <c r="M8652" s="112"/>
      <c r="N8652" s="84"/>
    </row>
    <row r="8653" spans="1:14" s="2" customFormat="1">
      <c r="A8653" s="83"/>
      <c r="H8653" s="83"/>
      <c r="K8653" s="82"/>
      <c r="M8653" s="112"/>
      <c r="N8653" s="84"/>
    </row>
    <row r="8654" spans="1:14" s="2" customFormat="1">
      <c r="A8654" s="83"/>
      <c r="H8654" s="83"/>
      <c r="K8654" s="82"/>
      <c r="M8654" s="112"/>
      <c r="N8654" s="84"/>
    </row>
    <row r="8655" spans="1:14" s="2" customFormat="1">
      <c r="A8655" s="83"/>
      <c r="H8655" s="83"/>
      <c r="K8655" s="82"/>
      <c r="M8655" s="112"/>
      <c r="N8655" s="84"/>
    </row>
    <row r="8656" spans="1:14" s="2" customFormat="1">
      <c r="A8656" s="83"/>
      <c r="H8656" s="83"/>
      <c r="K8656" s="82"/>
      <c r="M8656" s="112"/>
      <c r="N8656" s="84"/>
    </row>
    <row r="8657" spans="1:14" s="2" customFormat="1">
      <c r="A8657" s="83"/>
      <c r="H8657" s="83"/>
      <c r="K8657" s="82"/>
      <c r="M8657" s="112"/>
      <c r="N8657" s="84"/>
    </row>
    <row r="8658" spans="1:14" s="2" customFormat="1">
      <c r="A8658" s="83"/>
      <c r="H8658" s="83"/>
      <c r="K8658" s="82"/>
      <c r="M8658" s="112"/>
      <c r="N8658" s="84"/>
    </row>
    <row r="8659" spans="1:14" s="2" customFormat="1">
      <c r="A8659" s="83"/>
      <c r="H8659" s="83"/>
      <c r="K8659" s="82"/>
      <c r="M8659" s="112"/>
      <c r="N8659" s="84"/>
    </row>
    <row r="8660" spans="1:14" s="2" customFormat="1">
      <c r="A8660" s="83"/>
      <c r="H8660" s="83"/>
      <c r="K8660" s="82"/>
      <c r="M8660" s="112"/>
      <c r="N8660" s="84"/>
    </row>
    <row r="8661" spans="1:14" s="2" customFormat="1">
      <c r="A8661" s="83"/>
      <c r="H8661" s="83"/>
      <c r="K8661" s="82"/>
      <c r="M8661" s="112"/>
      <c r="N8661" s="84"/>
    </row>
    <row r="8662" spans="1:14" s="2" customFormat="1">
      <c r="A8662" s="83"/>
      <c r="H8662" s="83"/>
      <c r="K8662" s="82"/>
      <c r="M8662" s="112"/>
      <c r="N8662" s="84"/>
    </row>
    <row r="8663" spans="1:14" s="2" customFormat="1">
      <c r="A8663" s="83"/>
      <c r="H8663" s="83"/>
      <c r="K8663" s="82"/>
      <c r="M8663" s="112"/>
      <c r="N8663" s="84"/>
    </row>
    <row r="8664" spans="1:14" s="2" customFormat="1">
      <c r="A8664" s="83"/>
      <c r="H8664" s="83"/>
      <c r="K8664" s="82"/>
      <c r="M8664" s="112"/>
      <c r="N8664" s="84"/>
    </row>
    <row r="8665" spans="1:14" s="2" customFormat="1">
      <c r="A8665" s="83"/>
      <c r="H8665" s="83"/>
      <c r="K8665" s="82"/>
      <c r="M8665" s="112"/>
      <c r="N8665" s="84"/>
    </row>
    <row r="8666" spans="1:14" s="2" customFormat="1">
      <c r="A8666" s="83"/>
      <c r="H8666" s="83"/>
      <c r="K8666" s="82"/>
      <c r="M8666" s="112"/>
      <c r="N8666" s="84"/>
    </row>
    <row r="8667" spans="1:14" s="2" customFormat="1">
      <c r="A8667" s="83"/>
      <c r="H8667" s="83"/>
      <c r="K8667" s="82"/>
      <c r="M8667" s="112"/>
      <c r="N8667" s="84"/>
    </row>
    <row r="8668" spans="1:14" s="2" customFormat="1">
      <c r="A8668" s="83"/>
      <c r="H8668" s="83"/>
      <c r="K8668" s="82"/>
      <c r="M8668" s="112"/>
      <c r="N8668" s="84"/>
    </row>
    <row r="8669" spans="1:14" s="2" customFormat="1">
      <c r="A8669" s="83"/>
      <c r="H8669" s="83"/>
      <c r="K8669" s="82"/>
      <c r="M8669" s="112"/>
      <c r="N8669" s="84"/>
    </row>
    <row r="8670" spans="1:14" s="2" customFormat="1">
      <c r="A8670" s="83"/>
      <c r="H8670" s="83"/>
      <c r="K8670" s="82"/>
      <c r="M8670" s="112"/>
      <c r="N8670" s="84"/>
    </row>
    <row r="8671" spans="1:14" s="2" customFormat="1">
      <c r="A8671" s="83"/>
      <c r="H8671" s="83"/>
      <c r="K8671" s="82"/>
      <c r="M8671" s="112"/>
      <c r="N8671" s="84"/>
    </row>
    <row r="8672" spans="1:14" s="2" customFormat="1">
      <c r="A8672" s="83"/>
      <c r="H8672" s="83"/>
      <c r="K8672" s="82"/>
      <c r="M8672" s="112"/>
      <c r="N8672" s="84"/>
    </row>
    <row r="8673" spans="1:14" s="2" customFormat="1">
      <c r="A8673" s="83"/>
      <c r="H8673" s="83"/>
      <c r="K8673" s="82"/>
      <c r="M8673" s="112"/>
      <c r="N8673" s="84"/>
    </row>
    <row r="8674" spans="1:14" s="2" customFormat="1">
      <c r="A8674" s="83"/>
      <c r="H8674" s="83"/>
      <c r="K8674" s="82"/>
      <c r="M8674" s="112"/>
      <c r="N8674" s="84"/>
    </row>
    <row r="8675" spans="1:14" s="2" customFormat="1">
      <c r="A8675" s="83"/>
      <c r="H8675" s="83"/>
      <c r="K8675" s="82"/>
      <c r="M8675" s="112"/>
      <c r="N8675" s="84"/>
    </row>
    <row r="8676" spans="1:14" s="2" customFormat="1">
      <c r="A8676" s="83"/>
      <c r="H8676" s="83"/>
      <c r="K8676" s="82"/>
      <c r="M8676" s="112"/>
      <c r="N8676" s="84"/>
    </row>
    <row r="8677" spans="1:14" s="2" customFormat="1">
      <c r="A8677" s="83"/>
      <c r="H8677" s="83"/>
      <c r="K8677" s="82"/>
      <c r="M8677" s="112"/>
      <c r="N8677" s="84"/>
    </row>
    <row r="8678" spans="1:14" s="2" customFormat="1">
      <c r="A8678" s="83"/>
      <c r="H8678" s="83"/>
      <c r="K8678" s="82"/>
      <c r="M8678" s="112"/>
      <c r="N8678" s="84"/>
    </row>
    <row r="8679" spans="1:14" s="2" customFormat="1">
      <c r="A8679" s="83"/>
      <c r="H8679" s="83"/>
      <c r="K8679" s="82"/>
      <c r="M8679" s="112"/>
      <c r="N8679" s="84"/>
    </row>
    <row r="8680" spans="1:14" s="2" customFormat="1">
      <c r="A8680" s="83"/>
      <c r="H8680" s="83"/>
      <c r="K8680" s="82"/>
      <c r="M8680" s="112"/>
      <c r="N8680" s="84"/>
    </row>
    <row r="8681" spans="1:14" s="2" customFormat="1">
      <c r="A8681" s="83"/>
      <c r="H8681" s="83"/>
      <c r="K8681" s="82"/>
      <c r="M8681" s="112"/>
      <c r="N8681" s="84"/>
    </row>
    <row r="8682" spans="1:14" s="2" customFormat="1">
      <c r="A8682" s="83"/>
      <c r="H8682" s="83"/>
      <c r="K8682" s="82"/>
      <c r="M8682" s="112"/>
      <c r="N8682" s="84"/>
    </row>
    <row r="8683" spans="1:14" s="2" customFormat="1">
      <c r="A8683" s="83"/>
      <c r="H8683" s="83"/>
      <c r="K8683" s="82"/>
      <c r="M8683" s="112"/>
      <c r="N8683" s="84"/>
    </row>
    <row r="8684" spans="1:14" s="2" customFormat="1">
      <c r="A8684" s="83"/>
      <c r="H8684" s="83"/>
      <c r="K8684" s="82"/>
      <c r="M8684" s="112"/>
      <c r="N8684" s="84"/>
    </row>
    <row r="8685" spans="1:14" s="2" customFormat="1">
      <c r="A8685" s="83"/>
      <c r="H8685" s="83"/>
      <c r="K8685" s="82"/>
      <c r="M8685" s="112"/>
      <c r="N8685" s="84"/>
    </row>
    <row r="8686" spans="1:14" s="2" customFormat="1">
      <c r="A8686" s="83"/>
      <c r="H8686" s="83"/>
      <c r="K8686" s="82"/>
      <c r="M8686" s="112"/>
      <c r="N8686" s="84"/>
    </row>
    <row r="8687" spans="1:14" s="2" customFormat="1">
      <c r="A8687" s="83"/>
      <c r="H8687" s="83"/>
      <c r="K8687" s="82"/>
      <c r="M8687" s="112"/>
      <c r="N8687" s="84"/>
    </row>
    <row r="8688" spans="1:14" s="2" customFormat="1">
      <c r="A8688" s="83"/>
      <c r="H8688" s="83"/>
      <c r="K8688" s="82"/>
      <c r="M8688" s="112"/>
      <c r="N8688" s="84"/>
    </row>
    <row r="8689" spans="1:14" s="2" customFormat="1">
      <c r="A8689" s="83"/>
      <c r="H8689" s="83"/>
      <c r="K8689" s="82"/>
      <c r="M8689" s="112"/>
      <c r="N8689" s="84"/>
    </row>
    <row r="8690" spans="1:14" s="2" customFormat="1">
      <c r="A8690" s="83"/>
      <c r="H8690" s="83"/>
      <c r="K8690" s="82"/>
      <c r="M8690" s="112"/>
      <c r="N8690" s="84"/>
    </row>
    <row r="8691" spans="1:14" s="2" customFormat="1">
      <c r="A8691" s="83"/>
      <c r="H8691" s="83"/>
      <c r="K8691" s="82"/>
      <c r="M8691" s="112"/>
      <c r="N8691" s="84"/>
    </row>
    <row r="8692" spans="1:14" s="2" customFormat="1">
      <c r="A8692" s="83"/>
      <c r="H8692" s="83"/>
      <c r="K8692" s="82"/>
      <c r="M8692" s="112"/>
      <c r="N8692" s="84"/>
    </row>
    <row r="8693" spans="1:14" s="2" customFormat="1">
      <c r="A8693" s="83"/>
      <c r="H8693" s="83"/>
      <c r="K8693" s="82"/>
      <c r="M8693" s="112"/>
      <c r="N8693" s="84"/>
    </row>
    <row r="8694" spans="1:14" s="2" customFormat="1">
      <c r="A8694" s="83"/>
      <c r="H8694" s="83"/>
      <c r="K8694" s="82"/>
      <c r="M8694" s="112"/>
      <c r="N8694" s="84"/>
    </row>
    <row r="8695" spans="1:14" s="2" customFormat="1">
      <c r="A8695" s="83"/>
      <c r="H8695" s="83"/>
      <c r="K8695" s="82"/>
      <c r="M8695" s="112"/>
      <c r="N8695" s="84"/>
    </row>
    <row r="8696" spans="1:14" s="2" customFormat="1">
      <c r="A8696" s="83"/>
      <c r="H8696" s="83"/>
      <c r="K8696" s="82"/>
      <c r="M8696" s="112"/>
      <c r="N8696" s="84"/>
    </row>
    <row r="8697" spans="1:14" s="2" customFormat="1">
      <c r="A8697" s="83"/>
      <c r="H8697" s="83"/>
      <c r="K8697" s="82"/>
      <c r="M8697" s="112"/>
      <c r="N8697" s="84"/>
    </row>
    <row r="8698" spans="1:14" s="2" customFormat="1">
      <c r="A8698" s="83"/>
      <c r="H8698" s="83"/>
      <c r="K8698" s="82"/>
      <c r="M8698" s="112"/>
      <c r="N8698" s="84"/>
    </row>
    <row r="8699" spans="1:14" s="2" customFormat="1">
      <c r="A8699" s="83"/>
      <c r="H8699" s="83"/>
      <c r="K8699" s="82"/>
      <c r="M8699" s="112"/>
      <c r="N8699" s="84"/>
    </row>
    <row r="8700" spans="1:14" s="2" customFormat="1">
      <c r="A8700" s="83"/>
      <c r="H8700" s="83"/>
      <c r="K8700" s="82"/>
      <c r="M8700" s="112"/>
      <c r="N8700" s="84"/>
    </row>
    <row r="8701" spans="1:14" s="2" customFormat="1">
      <c r="A8701" s="83"/>
      <c r="H8701" s="83"/>
      <c r="K8701" s="82"/>
      <c r="M8701" s="112"/>
      <c r="N8701" s="84"/>
    </row>
    <row r="8702" spans="1:14" s="2" customFormat="1">
      <c r="A8702" s="83"/>
      <c r="H8702" s="83"/>
      <c r="K8702" s="82"/>
      <c r="M8702" s="112"/>
      <c r="N8702" s="84"/>
    </row>
    <row r="8703" spans="1:14" s="2" customFormat="1">
      <c r="A8703" s="83"/>
      <c r="H8703" s="83"/>
      <c r="K8703" s="82"/>
      <c r="M8703" s="112"/>
      <c r="N8703" s="84"/>
    </row>
    <row r="8704" spans="1:14" s="2" customFormat="1">
      <c r="A8704" s="83"/>
      <c r="H8704" s="83"/>
      <c r="K8704" s="82"/>
      <c r="M8704" s="112"/>
      <c r="N8704" s="84"/>
    </row>
    <row r="8705" spans="1:14" s="2" customFormat="1">
      <c r="A8705" s="83"/>
      <c r="H8705" s="83"/>
      <c r="K8705" s="82"/>
      <c r="M8705" s="112"/>
      <c r="N8705" s="84"/>
    </row>
    <row r="8706" spans="1:14" s="2" customFormat="1">
      <c r="A8706" s="83"/>
      <c r="H8706" s="83"/>
      <c r="K8706" s="82"/>
      <c r="M8706" s="112"/>
      <c r="N8706" s="84"/>
    </row>
    <row r="8707" spans="1:14" s="2" customFormat="1">
      <c r="A8707" s="83"/>
      <c r="H8707" s="83"/>
      <c r="K8707" s="82"/>
      <c r="M8707" s="112"/>
      <c r="N8707" s="84"/>
    </row>
    <row r="8708" spans="1:14" s="2" customFormat="1">
      <c r="A8708" s="83"/>
      <c r="H8708" s="83"/>
      <c r="K8708" s="82"/>
      <c r="M8708" s="112"/>
      <c r="N8708" s="84"/>
    </row>
    <row r="8709" spans="1:14" s="2" customFormat="1">
      <c r="A8709" s="83"/>
      <c r="H8709" s="83"/>
      <c r="K8709" s="82"/>
      <c r="M8709" s="112"/>
      <c r="N8709" s="84"/>
    </row>
    <row r="8710" spans="1:14" s="2" customFormat="1">
      <c r="A8710" s="83"/>
      <c r="H8710" s="83"/>
      <c r="K8710" s="82"/>
      <c r="M8710" s="112"/>
      <c r="N8710" s="84"/>
    </row>
    <row r="8711" spans="1:14" s="2" customFormat="1">
      <c r="A8711" s="83"/>
      <c r="H8711" s="83"/>
      <c r="K8711" s="82"/>
      <c r="M8711" s="112"/>
      <c r="N8711" s="84"/>
    </row>
    <row r="8712" spans="1:14" s="2" customFormat="1">
      <c r="A8712" s="83"/>
      <c r="H8712" s="83"/>
      <c r="K8712" s="82"/>
      <c r="M8712" s="112"/>
      <c r="N8712" s="84"/>
    </row>
    <row r="8713" spans="1:14" s="2" customFormat="1">
      <c r="A8713" s="83"/>
      <c r="H8713" s="83"/>
      <c r="K8713" s="82"/>
      <c r="M8713" s="112"/>
      <c r="N8713" s="84"/>
    </row>
    <row r="8714" spans="1:14" s="2" customFormat="1">
      <c r="A8714" s="83"/>
      <c r="H8714" s="83"/>
      <c r="K8714" s="82"/>
      <c r="M8714" s="112"/>
      <c r="N8714" s="84"/>
    </row>
    <row r="8715" spans="1:14" s="2" customFormat="1">
      <c r="A8715" s="83"/>
      <c r="H8715" s="83"/>
      <c r="K8715" s="82"/>
      <c r="M8715" s="112"/>
      <c r="N8715" s="84"/>
    </row>
    <row r="8716" spans="1:14" s="2" customFormat="1">
      <c r="A8716" s="83"/>
      <c r="H8716" s="83"/>
      <c r="K8716" s="82"/>
      <c r="M8716" s="112"/>
      <c r="N8716" s="84"/>
    </row>
    <row r="8717" spans="1:14" s="2" customFormat="1">
      <c r="A8717" s="83"/>
      <c r="H8717" s="83"/>
      <c r="K8717" s="82"/>
      <c r="M8717" s="112"/>
      <c r="N8717" s="84"/>
    </row>
    <row r="8718" spans="1:14" s="2" customFormat="1">
      <c r="A8718" s="83"/>
      <c r="H8718" s="83"/>
      <c r="K8718" s="82"/>
      <c r="M8718" s="112"/>
      <c r="N8718" s="84"/>
    </row>
    <row r="8719" spans="1:14" s="2" customFormat="1">
      <c r="A8719" s="83"/>
      <c r="H8719" s="83"/>
      <c r="K8719" s="82"/>
      <c r="M8719" s="112"/>
      <c r="N8719" s="84"/>
    </row>
    <row r="8720" spans="1:14" s="2" customFormat="1">
      <c r="A8720" s="83"/>
      <c r="H8720" s="83"/>
      <c r="K8720" s="82"/>
      <c r="M8720" s="112"/>
      <c r="N8720" s="84"/>
    </row>
    <row r="8721" spans="1:14" s="2" customFormat="1">
      <c r="A8721" s="83"/>
      <c r="H8721" s="83"/>
      <c r="K8721" s="82"/>
      <c r="M8721" s="112"/>
      <c r="N8721" s="84"/>
    </row>
    <row r="8722" spans="1:14" s="2" customFormat="1">
      <c r="A8722" s="83"/>
      <c r="H8722" s="83"/>
      <c r="K8722" s="82"/>
      <c r="M8722" s="112"/>
      <c r="N8722" s="84"/>
    </row>
    <row r="8723" spans="1:14" s="2" customFormat="1">
      <c r="A8723" s="83"/>
      <c r="H8723" s="83"/>
      <c r="K8723" s="82"/>
      <c r="M8723" s="112"/>
      <c r="N8723" s="84"/>
    </row>
    <row r="8724" spans="1:14" s="2" customFormat="1">
      <c r="A8724" s="83"/>
      <c r="H8724" s="83"/>
      <c r="K8724" s="82"/>
      <c r="M8724" s="112"/>
      <c r="N8724" s="84"/>
    </row>
    <row r="8725" spans="1:14" s="2" customFormat="1">
      <c r="A8725" s="83"/>
      <c r="H8725" s="83"/>
      <c r="K8725" s="82"/>
      <c r="M8725" s="112"/>
      <c r="N8725" s="84"/>
    </row>
    <row r="8726" spans="1:14" s="2" customFormat="1">
      <c r="A8726" s="83"/>
      <c r="H8726" s="83"/>
      <c r="K8726" s="82"/>
      <c r="M8726" s="112"/>
      <c r="N8726" s="84"/>
    </row>
    <row r="8727" spans="1:14" s="2" customFormat="1">
      <c r="A8727" s="83"/>
      <c r="H8727" s="83"/>
      <c r="K8727" s="82"/>
      <c r="M8727" s="112"/>
      <c r="N8727" s="84"/>
    </row>
    <row r="8728" spans="1:14" s="2" customFormat="1">
      <c r="A8728" s="83"/>
      <c r="H8728" s="83"/>
      <c r="K8728" s="82"/>
      <c r="M8728" s="112"/>
      <c r="N8728" s="84"/>
    </row>
    <row r="8729" spans="1:14" s="2" customFormat="1">
      <c r="A8729" s="83"/>
      <c r="H8729" s="83"/>
      <c r="K8729" s="82"/>
      <c r="M8729" s="112"/>
      <c r="N8729" s="84"/>
    </row>
    <row r="8730" spans="1:14" s="2" customFormat="1">
      <c r="A8730" s="83"/>
      <c r="H8730" s="83"/>
      <c r="K8730" s="82"/>
      <c r="M8730" s="112"/>
      <c r="N8730" s="84"/>
    </row>
    <row r="8731" spans="1:14" s="2" customFormat="1">
      <c r="A8731" s="83"/>
      <c r="H8731" s="83"/>
      <c r="K8731" s="82"/>
      <c r="M8731" s="112"/>
      <c r="N8731" s="84"/>
    </row>
    <row r="8732" spans="1:14" s="2" customFormat="1">
      <c r="A8732" s="83"/>
      <c r="H8732" s="83"/>
      <c r="K8732" s="82"/>
      <c r="M8732" s="112"/>
      <c r="N8732" s="84"/>
    </row>
    <row r="8733" spans="1:14" s="2" customFormat="1">
      <c r="A8733" s="83"/>
      <c r="H8733" s="83"/>
      <c r="K8733" s="82"/>
      <c r="M8733" s="112"/>
      <c r="N8733" s="84"/>
    </row>
    <row r="8734" spans="1:14" s="2" customFormat="1">
      <c r="A8734" s="83"/>
      <c r="H8734" s="83"/>
      <c r="K8734" s="82"/>
      <c r="M8734" s="112"/>
      <c r="N8734" s="84"/>
    </row>
    <row r="8735" spans="1:14" s="2" customFormat="1">
      <c r="A8735" s="83"/>
      <c r="H8735" s="83"/>
      <c r="K8735" s="82"/>
      <c r="M8735" s="112"/>
      <c r="N8735" s="84"/>
    </row>
    <row r="8736" spans="1:14" s="2" customFormat="1">
      <c r="A8736" s="83"/>
      <c r="H8736" s="83"/>
      <c r="K8736" s="82"/>
      <c r="M8736" s="112"/>
      <c r="N8736" s="84"/>
    </row>
    <row r="8737" spans="1:14" s="2" customFormat="1">
      <c r="A8737" s="83"/>
      <c r="H8737" s="83"/>
      <c r="K8737" s="82"/>
      <c r="M8737" s="112"/>
      <c r="N8737" s="84"/>
    </row>
    <row r="8738" spans="1:14" s="2" customFormat="1">
      <c r="A8738" s="83"/>
      <c r="H8738" s="83"/>
      <c r="K8738" s="82"/>
      <c r="M8738" s="112"/>
      <c r="N8738" s="84"/>
    </row>
    <row r="8739" spans="1:14" s="2" customFormat="1">
      <c r="A8739" s="83"/>
      <c r="H8739" s="83"/>
      <c r="K8739" s="82"/>
      <c r="M8739" s="112"/>
      <c r="N8739" s="84"/>
    </row>
    <row r="8740" spans="1:14" s="2" customFormat="1">
      <c r="A8740" s="83"/>
      <c r="H8740" s="83"/>
      <c r="K8740" s="82"/>
      <c r="M8740" s="112"/>
      <c r="N8740" s="84"/>
    </row>
    <row r="8741" spans="1:14" s="2" customFormat="1">
      <c r="A8741" s="83"/>
      <c r="H8741" s="83"/>
      <c r="K8741" s="82"/>
      <c r="M8741" s="112"/>
      <c r="N8741" s="84"/>
    </row>
    <row r="8742" spans="1:14" s="2" customFormat="1">
      <c r="A8742" s="83"/>
      <c r="H8742" s="83"/>
      <c r="K8742" s="82"/>
      <c r="M8742" s="112"/>
      <c r="N8742" s="84"/>
    </row>
    <row r="8743" spans="1:14" s="2" customFormat="1">
      <c r="A8743" s="83"/>
      <c r="H8743" s="83"/>
      <c r="K8743" s="82"/>
      <c r="M8743" s="112"/>
      <c r="N8743" s="84"/>
    </row>
    <row r="8744" spans="1:14" s="2" customFormat="1">
      <c r="A8744" s="83"/>
      <c r="H8744" s="83"/>
      <c r="K8744" s="82"/>
      <c r="M8744" s="112"/>
      <c r="N8744" s="84"/>
    </row>
    <row r="8745" spans="1:14" s="2" customFormat="1">
      <c r="A8745" s="83"/>
      <c r="H8745" s="83"/>
      <c r="K8745" s="82"/>
      <c r="M8745" s="112"/>
      <c r="N8745" s="84"/>
    </row>
    <row r="8746" spans="1:14" s="2" customFormat="1">
      <c r="A8746" s="83"/>
      <c r="H8746" s="83"/>
      <c r="K8746" s="82"/>
      <c r="M8746" s="112"/>
      <c r="N8746" s="84"/>
    </row>
    <row r="8747" spans="1:14" s="2" customFormat="1">
      <c r="A8747" s="83"/>
      <c r="H8747" s="83"/>
      <c r="K8747" s="82"/>
      <c r="M8747" s="112"/>
      <c r="N8747" s="84"/>
    </row>
    <row r="8748" spans="1:14" s="2" customFormat="1">
      <c r="A8748" s="83"/>
      <c r="H8748" s="83"/>
      <c r="K8748" s="82"/>
      <c r="M8748" s="112"/>
      <c r="N8748" s="84"/>
    </row>
    <row r="8749" spans="1:14" s="2" customFormat="1">
      <c r="A8749" s="83"/>
      <c r="H8749" s="83"/>
      <c r="K8749" s="82"/>
      <c r="M8749" s="112"/>
      <c r="N8749" s="84"/>
    </row>
    <row r="8750" spans="1:14" s="2" customFormat="1">
      <c r="A8750" s="83"/>
      <c r="H8750" s="83"/>
      <c r="K8750" s="82"/>
      <c r="M8750" s="112"/>
      <c r="N8750" s="84"/>
    </row>
    <row r="8751" spans="1:14" s="2" customFormat="1">
      <c r="A8751" s="83"/>
      <c r="H8751" s="83"/>
      <c r="K8751" s="82"/>
      <c r="M8751" s="112"/>
      <c r="N8751" s="84"/>
    </row>
    <row r="8752" spans="1:14" s="2" customFormat="1">
      <c r="A8752" s="83"/>
      <c r="H8752" s="83"/>
      <c r="K8752" s="82"/>
      <c r="M8752" s="112"/>
      <c r="N8752" s="84"/>
    </row>
    <row r="8753" spans="1:14" s="2" customFormat="1">
      <c r="A8753" s="83"/>
      <c r="H8753" s="83"/>
      <c r="K8753" s="82"/>
      <c r="M8753" s="112"/>
      <c r="N8753" s="84"/>
    </row>
    <row r="8754" spans="1:14" s="2" customFormat="1">
      <c r="A8754" s="83"/>
      <c r="H8754" s="83"/>
      <c r="K8754" s="82"/>
      <c r="M8754" s="112"/>
      <c r="N8754" s="84"/>
    </row>
    <row r="8755" spans="1:14" s="2" customFormat="1">
      <c r="A8755" s="83"/>
      <c r="H8755" s="83"/>
      <c r="K8755" s="82"/>
      <c r="M8755" s="112"/>
      <c r="N8755" s="84"/>
    </row>
    <row r="8756" spans="1:14" s="2" customFormat="1">
      <c r="A8756" s="83"/>
      <c r="H8756" s="83"/>
      <c r="K8756" s="82"/>
      <c r="M8756" s="112"/>
      <c r="N8756" s="84"/>
    </row>
    <row r="8757" spans="1:14" s="2" customFormat="1">
      <c r="A8757" s="83"/>
      <c r="H8757" s="83"/>
      <c r="K8757" s="82"/>
      <c r="M8757" s="112"/>
      <c r="N8757" s="84"/>
    </row>
    <row r="8758" spans="1:14" s="2" customFormat="1">
      <c r="A8758" s="83"/>
      <c r="H8758" s="83"/>
      <c r="K8758" s="82"/>
      <c r="M8758" s="112"/>
      <c r="N8758" s="84"/>
    </row>
    <row r="8759" spans="1:14" s="2" customFormat="1">
      <c r="A8759" s="83"/>
      <c r="H8759" s="83"/>
      <c r="K8759" s="82"/>
      <c r="M8759" s="112"/>
      <c r="N8759" s="84"/>
    </row>
    <row r="8760" spans="1:14" s="2" customFormat="1">
      <c r="A8760" s="83"/>
      <c r="H8760" s="83"/>
      <c r="K8760" s="82"/>
      <c r="M8760" s="112"/>
      <c r="N8760" s="84"/>
    </row>
    <row r="8761" spans="1:14" s="2" customFormat="1">
      <c r="A8761" s="83"/>
      <c r="H8761" s="83"/>
      <c r="K8761" s="82"/>
      <c r="M8761" s="112"/>
      <c r="N8761" s="84"/>
    </row>
    <row r="8762" spans="1:14" s="2" customFormat="1">
      <c r="A8762" s="83"/>
      <c r="H8762" s="83"/>
      <c r="K8762" s="82"/>
      <c r="M8762" s="112"/>
      <c r="N8762" s="84"/>
    </row>
    <row r="8763" spans="1:14" s="2" customFormat="1">
      <c r="A8763" s="83"/>
      <c r="H8763" s="83"/>
      <c r="K8763" s="82"/>
      <c r="M8763" s="112"/>
      <c r="N8763" s="84"/>
    </row>
    <row r="8764" spans="1:14" s="2" customFormat="1">
      <c r="A8764" s="83"/>
      <c r="H8764" s="83"/>
      <c r="K8764" s="82"/>
      <c r="M8764" s="112"/>
      <c r="N8764" s="84"/>
    </row>
    <row r="8765" spans="1:14" s="2" customFormat="1">
      <c r="A8765" s="83"/>
      <c r="H8765" s="83"/>
      <c r="K8765" s="82"/>
      <c r="M8765" s="112"/>
      <c r="N8765" s="84"/>
    </row>
    <row r="8766" spans="1:14" s="2" customFormat="1">
      <c r="A8766" s="83"/>
      <c r="H8766" s="83"/>
      <c r="K8766" s="82"/>
      <c r="M8766" s="112"/>
      <c r="N8766" s="84"/>
    </row>
    <row r="8767" spans="1:14" s="2" customFormat="1">
      <c r="A8767" s="83"/>
      <c r="H8767" s="83"/>
      <c r="K8767" s="82"/>
      <c r="M8767" s="112"/>
      <c r="N8767" s="84"/>
    </row>
    <row r="8768" spans="1:14" s="2" customFormat="1">
      <c r="A8768" s="83"/>
      <c r="H8768" s="83"/>
      <c r="K8768" s="82"/>
      <c r="M8768" s="112"/>
      <c r="N8768" s="84"/>
    </row>
    <row r="8769" spans="1:14" s="2" customFormat="1">
      <c r="A8769" s="83"/>
      <c r="H8769" s="83"/>
      <c r="K8769" s="82"/>
      <c r="M8769" s="112"/>
      <c r="N8769" s="84"/>
    </row>
    <row r="8770" spans="1:14" s="2" customFormat="1">
      <c r="A8770" s="83"/>
      <c r="H8770" s="83"/>
      <c r="K8770" s="82"/>
      <c r="M8770" s="112"/>
      <c r="N8770" s="84"/>
    </row>
    <row r="8771" spans="1:14" s="2" customFormat="1">
      <c r="A8771" s="83"/>
      <c r="H8771" s="83"/>
      <c r="K8771" s="82"/>
      <c r="M8771" s="112"/>
      <c r="N8771" s="84"/>
    </row>
    <row r="8772" spans="1:14" s="2" customFormat="1">
      <c r="A8772" s="83"/>
      <c r="H8772" s="83"/>
      <c r="K8772" s="82"/>
      <c r="M8772" s="112"/>
      <c r="N8772" s="84"/>
    </row>
    <row r="8773" spans="1:14" s="2" customFormat="1">
      <c r="A8773" s="83"/>
      <c r="H8773" s="83"/>
      <c r="K8773" s="82"/>
      <c r="M8773" s="112"/>
      <c r="N8773" s="84"/>
    </row>
    <row r="8774" spans="1:14" s="2" customFormat="1">
      <c r="A8774" s="83"/>
      <c r="H8774" s="83"/>
      <c r="K8774" s="82"/>
      <c r="M8774" s="112"/>
      <c r="N8774" s="84"/>
    </row>
    <row r="8775" spans="1:14" s="2" customFormat="1">
      <c r="A8775" s="83"/>
      <c r="H8775" s="83"/>
      <c r="K8775" s="82"/>
      <c r="M8775" s="112"/>
      <c r="N8775" s="84"/>
    </row>
    <row r="8776" spans="1:14" s="2" customFormat="1">
      <c r="A8776" s="83"/>
      <c r="H8776" s="83"/>
      <c r="K8776" s="82"/>
      <c r="M8776" s="112"/>
      <c r="N8776" s="84"/>
    </row>
    <row r="8777" spans="1:14" s="2" customFormat="1">
      <c r="A8777" s="83"/>
      <c r="H8777" s="83"/>
      <c r="K8777" s="82"/>
      <c r="M8777" s="112"/>
      <c r="N8777" s="84"/>
    </row>
    <row r="8778" spans="1:14" s="2" customFormat="1">
      <c r="A8778" s="83"/>
      <c r="H8778" s="83"/>
      <c r="K8778" s="82"/>
      <c r="M8778" s="112"/>
      <c r="N8778" s="84"/>
    </row>
    <row r="8779" spans="1:14" s="2" customFormat="1">
      <c r="A8779" s="83"/>
      <c r="H8779" s="83"/>
      <c r="K8779" s="82"/>
      <c r="M8779" s="112"/>
      <c r="N8779" s="84"/>
    </row>
    <row r="8780" spans="1:14" s="2" customFormat="1">
      <c r="A8780" s="83"/>
      <c r="H8780" s="83"/>
      <c r="K8780" s="82"/>
      <c r="M8780" s="112"/>
      <c r="N8780" s="84"/>
    </row>
    <row r="8781" spans="1:14" s="2" customFormat="1">
      <c r="A8781" s="83"/>
      <c r="H8781" s="83"/>
      <c r="K8781" s="82"/>
      <c r="M8781" s="112"/>
      <c r="N8781" s="84"/>
    </row>
    <row r="8782" spans="1:14" s="2" customFormat="1">
      <c r="A8782" s="83"/>
      <c r="H8782" s="83"/>
      <c r="K8782" s="82"/>
      <c r="M8782" s="112"/>
      <c r="N8782" s="84"/>
    </row>
    <row r="8783" spans="1:14" s="2" customFormat="1">
      <c r="A8783" s="83"/>
      <c r="H8783" s="83"/>
      <c r="K8783" s="82"/>
      <c r="M8783" s="112"/>
      <c r="N8783" s="84"/>
    </row>
    <row r="8784" spans="1:14" s="2" customFormat="1">
      <c r="A8784" s="83"/>
      <c r="H8784" s="83"/>
      <c r="K8784" s="82"/>
      <c r="M8784" s="112"/>
      <c r="N8784" s="84"/>
    </row>
    <row r="8785" spans="1:14" s="2" customFormat="1">
      <c r="A8785" s="83"/>
      <c r="H8785" s="83"/>
      <c r="K8785" s="82"/>
      <c r="M8785" s="112"/>
      <c r="N8785" s="84"/>
    </row>
    <row r="8786" spans="1:14" s="2" customFormat="1">
      <c r="A8786" s="83"/>
      <c r="H8786" s="83"/>
      <c r="K8786" s="82"/>
      <c r="M8786" s="112"/>
      <c r="N8786" s="84"/>
    </row>
    <row r="8787" spans="1:14" s="2" customFormat="1">
      <c r="A8787" s="83"/>
      <c r="H8787" s="83"/>
      <c r="K8787" s="82"/>
      <c r="M8787" s="112"/>
      <c r="N8787" s="84"/>
    </row>
    <row r="8788" spans="1:14" s="2" customFormat="1">
      <c r="A8788" s="83"/>
      <c r="H8788" s="83"/>
      <c r="K8788" s="82"/>
      <c r="M8788" s="112"/>
      <c r="N8788" s="84"/>
    </row>
    <row r="8789" spans="1:14" s="2" customFormat="1">
      <c r="A8789" s="83"/>
      <c r="H8789" s="83"/>
      <c r="K8789" s="82"/>
      <c r="M8789" s="112"/>
      <c r="N8789" s="84"/>
    </row>
    <row r="8790" spans="1:14" s="2" customFormat="1">
      <c r="A8790" s="83"/>
      <c r="H8790" s="83"/>
      <c r="K8790" s="82"/>
      <c r="M8790" s="112"/>
      <c r="N8790" s="84"/>
    </row>
    <row r="8791" spans="1:14" s="2" customFormat="1">
      <c r="A8791" s="83"/>
      <c r="H8791" s="83"/>
      <c r="K8791" s="82"/>
      <c r="M8791" s="112"/>
      <c r="N8791" s="84"/>
    </row>
    <row r="8792" spans="1:14" s="2" customFormat="1">
      <c r="A8792" s="83"/>
      <c r="H8792" s="83"/>
      <c r="K8792" s="82"/>
      <c r="M8792" s="112"/>
      <c r="N8792" s="84"/>
    </row>
    <row r="8793" spans="1:14" s="2" customFormat="1">
      <c r="A8793" s="83"/>
      <c r="H8793" s="83"/>
      <c r="K8793" s="82"/>
      <c r="M8793" s="112"/>
      <c r="N8793" s="84"/>
    </row>
    <row r="8794" spans="1:14" s="2" customFormat="1">
      <c r="A8794" s="83"/>
      <c r="H8794" s="83"/>
      <c r="K8794" s="82"/>
      <c r="M8794" s="112"/>
      <c r="N8794" s="84"/>
    </row>
    <row r="8795" spans="1:14" s="2" customFormat="1">
      <c r="A8795" s="83"/>
      <c r="H8795" s="83"/>
      <c r="K8795" s="82"/>
      <c r="M8795" s="112"/>
      <c r="N8795" s="84"/>
    </row>
    <row r="8796" spans="1:14" s="2" customFormat="1">
      <c r="A8796" s="83"/>
      <c r="H8796" s="83"/>
      <c r="K8796" s="82"/>
      <c r="M8796" s="112"/>
      <c r="N8796" s="84"/>
    </row>
    <row r="8797" spans="1:14" s="2" customFormat="1">
      <c r="A8797" s="83"/>
      <c r="H8797" s="83"/>
      <c r="K8797" s="82"/>
      <c r="M8797" s="112"/>
      <c r="N8797" s="84"/>
    </row>
    <row r="8798" spans="1:14" s="2" customFormat="1">
      <c r="A8798" s="83"/>
      <c r="H8798" s="83"/>
      <c r="K8798" s="82"/>
      <c r="M8798" s="112"/>
      <c r="N8798" s="84"/>
    </row>
    <row r="8799" spans="1:14" s="2" customFormat="1">
      <c r="A8799" s="83"/>
      <c r="H8799" s="83"/>
      <c r="K8799" s="82"/>
      <c r="M8799" s="112"/>
      <c r="N8799" s="84"/>
    </row>
    <row r="8800" spans="1:14" s="2" customFormat="1">
      <c r="A8800" s="83"/>
      <c r="H8800" s="83"/>
      <c r="K8800" s="82"/>
      <c r="M8800" s="112"/>
      <c r="N8800" s="84"/>
    </row>
    <row r="8801" spans="1:14" s="2" customFormat="1">
      <c r="A8801" s="83"/>
      <c r="H8801" s="83"/>
      <c r="K8801" s="82"/>
      <c r="M8801" s="112"/>
      <c r="N8801" s="84"/>
    </row>
    <row r="8802" spans="1:14" s="2" customFormat="1">
      <c r="A8802" s="83"/>
      <c r="H8802" s="83"/>
      <c r="K8802" s="82"/>
      <c r="M8802" s="112"/>
      <c r="N8802" s="84"/>
    </row>
    <row r="8803" spans="1:14" s="2" customFormat="1">
      <c r="A8803" s="83"/>
      <c r="H8803" s="83"/>
      <c r="K8803" s="82"/>
      <c r="M8803" s="112"/>
      <c r="N8803" s="84"/>
    </row>
    <row r="8804" spans="1:14" s="2" customFormat="1">
      <c r="A8804" s="83"/>
      <c r="H8804" s="83"/>
      <c r="K8804" s="82"/>
      <c r="M8804" s="112"/>
      <c r="N8804" s="84"/>
    </row>
    <row r="8805" spans="1:14" s="2" customFormat="1">
      <c r="A8805" s="83"/>
      <c r="H8805" s="83"/>
      <c r="K8805" s="82"/>
      <c r="M8805" s="112"/>
      <c r="N8805" s="84"/>
    </row>
    <row r="8806" spans="1:14" s="2" customFormat="1">
      <c r="A8806" s="83"/>
      <c r="H8806" s="83"/>
      <c r="K8806" s="82"/>
      <c r="M8806" s="112"/>
      <c r="N8806" s="84"/>
    </row>
    <row r="8807" spans="1:14" s="2" customFormat="1">
      <c r="A8807" s="83"/>
      <c r="H8807" s="83"/>
      <c r="K8807" s="82"/>
      <c r="M8807" s="112"/>
      <c r="N8807" s="84"/>
    </row>
    <row r="8808" spans="1:14" s="2" customFormat="1">
      <c r="A8808" s="83"/>
      <c r="H8808" s="83"/>
      <c r="K8808" s="82"/>
      <c r="M8808" s="112"/>
      <c r="N8808" s="84"/>
    </row>
    <row r="8809" spans="1:14" s="2" customFormat="1">
      <c r="A8809" s="83"/>
      <c r="H8809" s="83"/>
      <c r="K8809" s="82"/>
      <c r="M8809" s="112"/>
      <c r="N8809" s="84"/>
    </row>
    <row r="8810" spans="1:14" s="2" customFormat="1">
      <c r="A8810" s="83"/>
      <c r="H8810" s="83"/>
      <c r="K8810" s="82"/>
      <c r="M8810" s="112"/>
      <c r="N8810" s="84"/>
    </row>
    <row r="8811" spans="1:14" s="2" customFormat="1">
      <c r="A8811" s="83"/>
      <c r="H8811" s="83"/>
      <c r="K8811" s="82"/>
      <c r="M8811" s="112"/>
      <c r="N8811" s="84"/>
    </row>
    <row r="8812" spans="1:14" s="2" customFormat="1">
      <c r="A8812" s="83"/>
      <c r="H8812" s="83"/>
      <c r="K8812" s="82"/>
      <c r="M8812" s="112"/>
      <c r="N8812" s="84"/>
    </row>
    <row r="8813" spans="1:14" s="2" customFormat="1">
      <c r="A8813" s="83"/>
      <c r="H8813" s="83"/>
      <c r="K8813" s="82"/>
      <c r="M8813" s="112"/>
      <c r="N8813" s="84"/>
    </row>
    <row r="8814" spans="1:14" s="2" customFormat="1">
      <c r="A8814" s="83"/>
      <c r="H8814" s="83"/>
      <c r="K8814" s="82"/>
      <c r="M8814" s="112"/>
      <c r="N8814" s="84"/>
    </row>
    <row r="8815" spans="1:14" s="2" customFormat="1">
      <c r="A8815" s="83"/>
      <c r="H8815" s="83"/>
      <c r="K8815" s="82"/>
      <c r="M8815" s="112"/>
      <c r="N8815" s="84"/>
    </row>
    <row r="8816" spans="1:14" s="2" customFormat="1">
      <c r="A8816" s="83"/>
      <c r="H8816" s="83"/>
      <c r="K8816" s="82"/>
      <c r="M8816" s="112"/>
      <c r="N8816" s="84"/>
    </row>
    <row r="8817" spans="1:14" s="2" customFormat="1">
      <c r="A8817" s="83"/>
      <c r="H8817" s="83"/>
      <c r="K8817" s="82"/>
      <c r="M8817" s="112"/>
      <c r="N8817" s="84"/>
    </row>
    <row r="8818" spans="1:14" s="2" customFormat="1">
      <c r="A8818" s="83"/>
      <c r="H8818" s="83"/>
      <c r="K8818" s="82"/>
      <c r="M8818" s="112"/>
      <c r="N8818" s="84"/>
    </row>
    <row r="8819" spans="1:14" s="2" customFormat="1">
      <c r="A8819" s="83"/>
      <c r="H8819" s="83"/>
      <c r="K8819" s="82"/>
      <c r="M8819" s="112"/>
      <c r="N8819" s="84"/>
    </row>
    <row r="8820" spans="1:14" s="2" customFormat="1">
      <c r="A8820" s="83"/>
      <c r="H8820" s="83"/>
      <c r="K8820" s="82"/>
      <c r="M8820" s="112"/>
      <c r="N8820" s="84"/>
    </row>
    <row r="8821" spans="1:14" s="2" customFormat="1">
      <c r="A8821" s="83"/>
      <c r="H8821" s="83"/>
      <c r="K8821" s="82"/>
      <c r="M8821" s="112"/>
      <c r="N8821" s="84"/>
    </row>
    <row r="8822" spans="1:14" s="2" customFormat="1">
      <c r="A8822" s="83"/>
      <c r="H8822" s="83"/>
      <c r="K8822" s="82"/>
      <c r="M8822" s="112"/>
      <c r="N8822" s="84"/>
    </row>
    <row r="8823" spans="1:14" s="2" customFormat="1">
      <c r="A8823" s="83"/>
      <c r="H8823" s="83"/>
      <c r="K8823" s="82"/>
      <c r="M8823" s="112"/>
      <c r="N8823" s="84"/>
    </row>
    <row r="8824" spans="1:14" s="2" customFormat="1">
      <c r="A8824" s="83"/>
      <c r="H8824" s="83"/>
      <c r="K8824" s="82"/>
      <c r="M8824" s="112"/>
      <c r="N8824" s="84"/>
    </row>
    <row r="8825" spans="1:14" s="2" customFormat="1">
      <c r="A8825" s="83"/>
      <c r="H8825" s="83"/>
      <c r="K8825" s="82"/>
      <c r="M8825" s="112"/>
      <c r="N8825" s="84"/>
    </row>
    <row r="8826" spans="1:14" s="2" customFormat="1">
      <c r="A8826" s="83"/>
      <c r="H8826" s="83"/>
      <c r="K8826" s="82"/>
      <c r="M8826" s="112"/>
      <c r="N8826" s="84"/>
    </row>
    <row r="8827" spans="1:14" s="2" customFormat="1">
      <c r="A8827" s="83"/>
      <c r="H8827" s="83"/>
      <c r="K8827" s="82"/>
      <c r="M8827" s="112"/>
      <c r="N8827" s="84"/>
    </row>
    <row r="8828" spans="1:14" s="2" customFormat="1">
      <c r="A8828" s="83"/>
      <c r="H8828" s="83"/>
      <c r="K8828" s="82"/>
      <c r="M8828" s="112"/>
      <c r="N8828" s="84"/>
    </row>
    <row r="8829" spans="1:14" s="2" customFormat="1">
      <c r="A8829" s="83"/>
      <c r="H8829" s="83"/>
      <c r="K8829" s="82"/>
      <c r="M8829" s="112"/>
      <c r="N8829" s="84"/>
    </row>
    <row r="8830" spans="1:14" s="2" customFormat="1">
      <c r="A8830" s="83"/>
      <c r="H8830" s="83"/>
      <c r="K8830" s="82"/>
      <c r="M8830" s="112"/>
      <c r="N8830" s="84"/>
    </row>
    <row r="8831" spans="1:14" s="2" customFormat="1">
      <c r="A8831" s="83"/>
      <c r="H8831" s="83"/>
      <c r="K8831" s="82"/>
      <c r="M8831" s="112"/>
      <c r="N8831" s="84"/>
    </row>
    <row r="8832" spans="1:14" s="2" customFormat="1">
      <c r="A8832" s="83"/>
      <c r="H8832" s="83"/>
      <c r="K8832" s="82"/>
      <c r="M8832" s="112"/>
      <c r="N8832" s="84"/>
    </row>
    <row r="8833" spans="1:14" s="2" customFormat="1">
      <c r="A8833" s="83"/>
      <c r="H8833" s="83"/>
      <c r="K8833" s="82"/>
      <c r="M8833" s="112"/>
      <c r="N8833" s="84"/>
    </row>
    <row r="8834" spans="1:14" s="2" customFormat="1">
      <c r="A8834" s="83"/>
      <c r="H8834" s="83"/>
      <c r="K8834" s="82"/>
      <c r="M8834" s="112"/>
      <c r="N8834" s="84"/>
    </row>
    <row r="8835" spans="1:14" s="2" customFormat="1">
      <c r="A8835" s="83"/>
      <c r="H8835" s="83"/>
      <c r="K8835" s="82"/>
      <c r="M8835" s="112"/>
      <c r="N8835" s="84"/>
    </row>
    <row r="8836" spans="1:14" s="2" customFormat="1">
      <c r="A8836" s="83"/>
      <c r="H8836" s="83"/>
      <c r="K8836" s="82"/>
      <c r="M8836" s="112"/>
      <c r="N8836" s="84"/>
    </row>
    <row r="8837" spans="1:14" s="2" customFormat="1">
      <c r="A8837" s="83"/>
      <c r="H8837" s="83"/>
      <c r="K8837" s="82"/>
      <c r="M8837" s="112"/>
      <c r="N8837" s="84"/>
    </row>
    <row r="8838" spans="1:14" s="2" customFormat="1">
      <c r="A8838" s="83"/>
      <c r="H8838" s="83"/>
      <c r="K8838" s="82"/>
      <c r="M8838" s="112"/>
      <c r="N8838" s="84"/>
    </row>
    <row r="8839" spans="1:14" s="2" customFormat="1">
      <c r="A8839" s="83"/>
      <c r="H8839" s="83"/>
      <c r="K8839" s="82"/>
      <c r="M8839" s="112"/>
      <c r="N8839" s="84"/>
    </row>
    <row r="8840" spans="1:14" s="2" customFormat="1">
      <c r="A8840" s="83"/>
      <c r="H8840" s="83"/>
      <c r="K8840" s="82"/>
      <c r="M8840" s="112"/>
      <c r="N8840" s="84"/>
    </row>
    <row r="8841" spans="1:14" s="2" customFormat="1">
      <c r="A8841" s="83"/>
      <c r="H8841" s="83"/>
      <c r="K8841" s="82"/>
      <c r="M8841" s="112"/>
      <c r="N8841" s="84"/>
    </row>
    <row r="8842" spans="1:14" s="2" customFormat="1">
      <c r="A8842" s="83"/>
      <c r="H8842" s="83"/>
      <c r="K8842" s="82"/>
      <c r="M8842" s="112"/>
      <c r="N8842" s="84"/>
    </row>
    <row r="8843" spans="1:14" s="2" customFormat="1">
      <c r="A8843" s="83"/>
      <c r="H8843" s="83"/>
      <c r="K8843" s="82"/>
      <c r="M8843" s="112"/>
      <c r="N8843" s="84"/>
    </row>
    <row r="8844" spans="1:14" s="2" customFormat="1">
      <c r="A8844" s="83"/>
      <c r="H8844" s="83"/>
      <c r="K8844" s="82"/>
      <c r="M8844" s="112"/>
      <c r="N8844" s="84"/>
    </row>
    <row r="8845" spans="1:14" s="2" customFormat="1">
      <c r="A8845" s="83"/>
      <c r="H8845" s="83"/>
      <c r="K8845" s="82"/>
      <c r="M8845" s="112"/>
      <c r="N8845" s="84"/>
    </row>
    <row r="8846" spans="1:14" s="2" customFormat="1">
      <c r="A8846" s="83"/>
      <c r="H8846" s="83"/>
      <c r="K8846" s="82"/>
      <c r="M8846" s="112"/>
      <c r="N8846" s="84"/>
    </row>
    <row r="8847" spans="1:14" s="2" customFormat="1">
      <c r="A8847" s="83"/>
      <c r="H8847" s="83"/>
      <c r="K8847" s="82"/>
      <c r="M8847" s="112"/>
      <c r="N8847" s="84"/>
    </row>
    <row r="8848" spans="1:14" s="2" customFormat="1">
      <c r="A8848" s="83"/>
      <c r="H8848" s="83"/>
      <c r="K8848" s="82"/>
      <c r="M8848" s="112"/>
      <c r="N8848" s="84"/>
    </row>
    <row r="8849" spans="1:14" s="2" customFormat="1">
      <c r="A8849" s="83"/>
      <c r="H8849" s="83"/>
      <c r="K8849" s="82"/>
      <c r="M8849" s="112"/>
      <c r="N8849" s="84"/>
    </row>
    <row r="8850" spans="1:14" s="2" customFormat="1">
      <c r="A8850" s="83"/>
      <c r="H8850" s="83"/>
      <c r="K8850" s="82"/>
      <c r="M8850" s="112"/>
      <c r="N8850" s="84"/>
    </row>
    <row r="8851" spans="1:14" s="2" customFormat="1">
      <c r="A8851" s="83"/>
      <c r="H8851" s="83"/>
      <c r="K8851" s="82"/>
      <c r="M8851" s="112"/>
      <c r="N8851" s="84"/>
    </row>
    <row r="8852" spans="1:14" s="2" customFormat="1">
      <c r="A8852" s="83"/>
      <c r="H8852" s="83"/>
      <c r="K8852" s="82"/>
      <c r="M8852" s="112"/>
      <c r="N8852" s="84"/>
    </row>
    <row r="8853" spans="1:14" s="2" customFormat="1">
      <c r="A8853" s="83"/>
      <c r="H8853" s="83"/>
      <c r="K8853" s="82"/>
      <c r="M8853" s="112"/>
      <c r="N8853" s="84"/>
    </row>
    <row r="8854" spans="1:14" s="2" customFormat="1">
      <c r="A8854" s="83"/>
      <c r="H8854" s="83"/>
      <c r="K8854" s="82"/>
      <c r="M8854" s="112"/>
      <c r="N8854" s="84"/>
    </row>
    <row r="8855" spans="1:14" s="2" customFormat="1">
      <c r="A8855" s="83"/>
      <c r="H8855" s="83"/>
      <c r="K8855" s="82"/>
      <c r="M8855" s="112"/>
      <c r="N8855" s="84"/>
    </row>
    <row r="8856" spans="1:14" s="2" customFormat="1">
      <c r="A8856" s="83"/>
      <c r="H8856" s="83"/>
      <c r="K8856" s="82"/>
      <c r="M8856" s="112"/>
      <c r="N8856" s="84"/>
    </row>
    <row r="8857" spans="1:14" s="2" customFormat="1">
      <c r="A8857" s="83"/>
      <c r="H8857" s="83"/>
      <c r="K8857" s="82"/>
      <c r="M8857" s="112"/>
      <c r="N8857" s="84"/>
    </row>
    <row r="8858" spans="1:14" s="2" customFormat="1">
      <c r="A8858" s="83"/>
      <c r="H8858" s="83"/>
      <c r="K8858" s="82"/>
      <c r="M8858" s="112"/>
      <c r="N8858" s="84"/>
    </row>
    <row r="8859" spans="1:14" s="2" customFormat="1">
      <c r="A8859" s="83"/>
      <c r="H8859" s="83"/>
      <c r="K8859" s="82"/>
      <c r="M8859" s="112"/>
      <c r="N8859" s="84"/>
    </row>
    <row r="8860" spans="1:14" s="2" customFormat="1">
      <c r="A8860" s="83"/>
      <c r="H8860" s="83"/>
      <c r="K8860" s="82"/>
      <c r="M8860" s="112"/>
      <c r="N8860" s="84"/>
    </row>
    <row r="8861" spans="1:14" s="2" customFormat="1">
      <c r="A8861" s="83"/>
      <c r="H8861" s="83"/>
      <c r="K8861" s="82"/>
      <c r="M8861" s="112"/>
      <c r="N8861" s="84"/>
    </row>
    <row r="8862" spans="1:14" s="2" customFormat="1">
      <c r="A8862" s="83"/>
      <c r="H8862" s="83"/>
      <c r="K8862" s="82"/>
      <c r="M8862" s="112"/>
      <c r="N8862" s="84"/>
    </row>
    <row r="8863" spans="1:14" s="2" customFormat="1">
      <c r="A8863" s="83"/>
      <c r="H8863" s="83"/>
      <c r="K8863" s="82"/>
      <c r="M8863" s="112"/>
      <c r="N8863" s="84"/>
    </row>
    <row r="8864" spans="1:14" s="2" customFormat="1">
      <c r="A8864" s="83"/>
      <c r="H8864" s="83"/>
      <c r="K8864" s="82"/>
      <c r="M8864" s="112"/>
      <c r="N8864" s="84"/>
    </row>
    <row r="8865" spans="1:14" s="2" customFormat="1">
      <c r="A8865" s="83"/>
      <c r="H8865" s="83"/>
      <c r="K8865" s="82"/>
      <c r="M8865" s="112"/>
      <c r="N8865" s="84"/>
    </row>
    <row r="8866" spans="1:14" s="2" customFormat="1">
      <c r="A8866" s="83"/>
      <c r="H8866" s="83"/>
      <c r="K8866" s="82"/>
      <c r="M8866" s="112"/>
      <c r="N8866" s="84"/>
    </row>
    <row r="8867" spans="1:14" s="2" customFormat="1">
      <c r="A8867" s="83"/>
      <c r="H8867" s="83"/>
      <c r="K8867" s="82"/>
      <c r="M8867" s="112"/>
      <c r="N8867" s="84"/>
    </row>
    <row r="8868" spans="1:14" s="2" customFormat="1">
      <c r="A8868" s="83"/>
      <c r="H8868" s="83"/>
      <c r="K8868" s="82"/>
      <c r="M8868" s="112"/>
      <c r="N8868" s="84"/>
    </row>
    <row r="8869" spans="1:14" s="2" customFormat="1">
      <c r="A8869" s="83"/>
      <c r="H8869" s="83"/>
      <c r="K8869" s="82"/>
      <c r="M8869" s="112"/>
      <c r="N8869" s="84"/>
    </row>
    <row r="8870" spans="1:14" s="2" customFormat="1">
      <c r="A8870" s="83"/>
      <c r="H8870" s="83"/>
      <c r="K8870" s="82"/>
      <c r="M8870" s="112"/>
      <c r="N8870" s="84"/>
    </row>
    <row r="8871" spans="1:14" s="2" customFormat="1">
      <c r="A8871" s="83"/>
      <c r="H8871" s="83"/>
      <c r="K8871" s="82"/>
      <c r="M8871" s="112"/>
      <c r="N8871" s="84"/>
    </row>
    <row r="8872" spans="1:14" s="2" customFormat="1">
      <c r="A8872" s="83"/>
      <c r="H8872" s="83"/>
      <c r="K8872" s="82"/>
      <c r="M8872" s="112"/>
      <c r="N8872" s="84"/>
    </row>
    <row r="8873" spans="1:14" s="2" customFormat="1">
      <c r="A8873" s="83"/>
      <c r="H8873" s="83"/>
      <c r="K8873" s="82"/>
      <c r="M8873" s="112"/>
      <c r="N8873" s="84"/>
    </row>
    <row r="8874" spans="1:14" s="2" customFormat="1">
      <c r="A8874" s="83"/>
      <c r="H8874" s="83"/>
      <c r="K8874" s="82"/>
      <c r="M8874" s="112"/>
      <c r="N8874" s="84"/>
    </row>
    <row r="8875" spans="1:14" s="2" customFormat="1">
      <c r="A8875" s="83"/>
      <c r="H8875" s="83"/>
      <c r="K8875" s="82"/>
      <c r="M8875" s="112"/>
      <c r="N8875" s="84"/>
    </row>
    <row r="8876" spans="1:14" s="2" customFormat="1">
      <c r="A8876" s="83"/>
      <c r="H8876" s="83"/>
      <c r="K8876" s="82"/>
      <c r="M8876" s="112"/>
      <c r="N8876" s="84"/>
    </row>
    <row r="8877" spans="1:14" s="2" customFormat="1">
      <c r="A8877" s="83"/>
      <c r="H8877" s="83"/>
      <c r="K8877" s="82"/>
      <c r="M8877" s="112"/>
      <c r="N8877" s="84"/>
    </row>
    <row r="8878" spans="1:14" s="2" customFormat="1">
      <c r="A8878" s="83"/>
      <c r="H8878" s="83"/>
      <c r="K8878" s="82"/>
      <c r="M8878" s="112"/>
      <c r="N8878" s="84"/>
    </row>
    <row r="8879" spans="1:14" s="2" customFormat="1">
      <c r="A8879" s="83"/>
      <c r="H8879" s="83"/>
      <c r="K8879" s="82"/>
      <c r="M8879" s="112"/>
      <c r="N8879" s="84"/>
    </row>
    <row r="8880" spans="1:14" s="2" customFormat="1">
      <c r="A8880" s="83"/>
      <c r="H8880" s="83"/>
      <c r="K8880" s="82"/>
      <c r="M8880" s="112"/>
      <c r="N8880" s="84"/>
    </row>
    <row r="8881" spans="1:14" s="2" customFormat="1">
      <c r="A8881" s="83"/>
      <c r="H8881" s="83"/>
      <c r="K8881" s="82"/>
      <c r="M8881" s="112"/>
      <c r="N8881" s="84"/>
    </row>
    <row r="8882" spans="1:14" s="2" customFormat="1">
      <c r="A8882" s="83"/>
      <c r="H8882" s="83"/>
      <c r="K8882" s="82"/>
      <c r="M8882" s="112"/>
      <c r="N8882" s="84"/>
    </row>
    <row r="8883" spans="1:14" s="2" customFormat="1">
      <c r="A8883" s="83"/>
      <c r="H8883" s="83"/>
      <c r="K8883" s="82"/>
      <c r="M8883" s="112"/>
      <c r="N8883" s="84"/>
    </row>
    <row r="8884" spans="1:14" s="2" customFormat="1">
      <c r="A8884" s="83"/>
      <c r="H8884" s="83"/>
      <c r="K8884" s="82"/>
      <c r="M8884" s="112"/>
      <c r="N8884" s="84"/>
    </row>
    <row r="8885" spans="1:14" s="2" customFormat="1">
      <c r="A8885" s="83"/>
      <c r="H8885" s="83"/>
      <c r="K8885" s="82"/>
      <c r="M8885" s="112"/>
      <c r="N8885" s="84"/>
    </row>
    <row r="8886" spans="1:14" s="2" customFormat="1">
      <c r="A8886" s="83"/>
      <c r="H8886" s="83"/>
      <c r="K8886" s="82"/>
      <c r="M8886" s="112"/>
      <c r="N8886" s="84"/>
    </row>
    <row r="8887" spans="1:14" s="2" customFormat="1">
      <c r="A8887" s="83"/>
      <c r="H8887" s="83"/>
      <c r="K8887" s="82"/>
      <c r="M8887" s="112"/>
      <c r="N8887" s="84"/>
    </row>
    <row r="8888" spans="1:14" s="2" customFormat="1">
      <c r="A8888" s="83"/>
      <c r="H8888" s="83"/>
      <c r="K8888" s="82"/>
      <c r="M8888" s="112"/>
      <c r="N8888" s="84"/>
    </row>
    <row r="8889" spans="1:14" s="2" customFormat="1">
      <c r="A8889" s="83"/>
      <c r="H8889" s="83"/>
      <c r="K8889" s="82"/>
      <c r="M8889" s="112"/>
      <c r="N8889" s="84"/>
    </row>
    <row r="8890" spans="1:14" s="2" customFormat="1">
      <c r="A8890" s="83"/>
      <c r="H8890" s="83"/>
      <c r="K8890" s="82"/>
      <c r="M8890" s="112"/>
      <c r="N8890" s="84"/>
    </row>
    <row r="8891" spans="1:14" s="2" customFormat="1">
      <c r="A8891" s="83"/>
      <c r="H8891" s="83"/>
      <c r="K8891" s="82"/>
      <c r="M8891" s="112"/>
      <c r="N8891" s="84"/>
    </row>
    <row r="8892" spans="1:14" s="2" customFormat="1">
      <c r="A8892" s="83"/>
      <c r="H8892" s="83"/>
      <c r="K8892" s="82"/>
      <c r="M8892" s="112"/>
      <c r="N8892" s="84"/>
    </row>
    <row r="8893" spans="1:14" s="2" customFormat="1">
      <c r="A8893" s="83"/>
      <c r="H8893" s="83"/>
      <c r="K8893" s="82"/>
      <c r="M8893" s="112"/>
      <c r="N8893" s="84"/>
    </row>
    <row r="8894" spans="1:14" s="2" customFormat="1">
      <c r="A8894" s="83"/>
      <c r="H8894" s="83"/>
      <c r="K8894" s="82"/>
      <c r="M8894" s="112"/>
      <c r="N8894" s="84"/>
    </row>
    <row r="8895" spans="1:14" s="2" customFormat="1">
      <c r="A8895" s="83"/>
      <c r="H8895" s="83"/>
      <c r="K8895" s="82"/>
      <c r="M8895" s="112"/>
      <c r="N8895" s="84"/>
    </row>
    <row r="8896" spans="1:14" s="2" customFormat="1">
      <c r="A8896" s="83"/>
      <c r="H8896" s="83"/>
      <c r="K8896" s="82"/>
      <c r="M8896" s="112"/>
      <c r="N8896" s="84"/>
    </row>
    <row r="8897" spans="1:14" s="2" customFormat="1">
      <c r="A8897" s="83"/>
      <c r="H8897" s="83"/>
      <c r="K8897" s="82"/>
      <c r="M8897" s="112"/>
      <c r="N8897" s="84"/>
    </row>
    <row r="8898" spans="1:14" s="2" customFormat="1">
      <c r="A8898" s="83"/>
      <c r="H8898" s="83"/>
      <c r="K8898" s="82"/>
      <c r="M8898" s="112"/>
      <c r="N8898" s="84"/>
    </row>
    <row r="8899" spans="1:14" s="2" customFormat="1">
      <c r="A8899" s="83"/>
      <c r="H8899" s="83"/>
      <c r="K8899" s="82"/>
      <c r="M8899" s="112"/>
      <c r="N8899" s="84"/>
    </row>
    <row r="8900" spans="1:14" s="2" customFormat="1">
      <c r="A8900" s="83"/>
      <c r="H8900" s="83"/>
      <c r="K8900" s="82"/>
      <c r="M8900" s="112"/>
      <c r="N8900" s="84"/>
    </row>
    <row r="8901" spans="1:14" s="2" customFormat="1">
      <c r="A8901" s="83"/>
      <c r="H8901" s="83"/>
      <c r="K8901" s="82"/>
      <c r="M8901" s="112"/>
      <c r="N8901" s="84"/>
    </row>
    <row r="8902" spans="1:14" s="2" customFormat="1">
      <c r="A8902" s="83"/>
      <c r="H8902" s="83"/>
      <c r="K8902" s="82"/>
      <c r="M8902" s="112"/>
      <c r="N8902" s="84"/>
    </row>
    <row r="8903" spans="1:14" s="2" customFormat="1">
      <c r="A8903" s="83"/>
      <c r="H8903" s="83"/>
      <c r="K8903" s="82"/>
      <c r="M8903" s="112"/>
      <c r="N8903" s="84"/>
    </row>
    <row r="8904" spans="1:14" s="2" customFormat="1">
      <c r="A8904" s="83"/>
      <c r="H8904" s="83"/>
      <c r="K8904" s="82"/>
      <c r="M8904" s="112"/>
      <c r="N8904" s="84"/>
    </row>
    <row r="8905" spans="1:14" s="2" customFormat="1">
      <c r="A8905" s="83"/>
      <c r="H8905" s="83"/>
      <c r="K8905" s="82"/>
      <c r="M8905" s="112"/>
      <c r="N8905" s="84"/>
    </row>
    <row r="8906" spans="1:14" s="2" customFormat="1">
      <c r="A8906" s="83"/>
      <c r="H8906" s="83"/>
      <c r="K8906" s="82"/>
      <c r="M8906" s="112"/>
      <c r="N8906" s="84"/>
    </row>
    <row r="8907" spans="1:14" s="2" customFormat="1">
      <c r="A8907" s="83"/>
      <c r="H8907" s="83"/>
      <c r="K8907" s="82"/>
      <c r="M8907" s="112"/>
      <c r="N8907" s="84"/>
    </row>
    <row r="8908" spans="1:14" s="2" customFormat="1">
      <c r="A8908" s="83"/>
      <c r="H8908" s="83"/>
      <c r="K8908" s="82"/>
      <c r="M8908" s="112"/>
      <c r="N8908" s="84"/>
    </row>
    <row r="8909" spans="1:14" s="2" customFormat="1">
      <c r="A8909" s="83"/>
      <c r="H8909" s="83"/>
      <c r="K8909" s="82"/>
      <c r="M8909" s="112"/>
      <c r="N8909" s="84"/>
    </row>
    <row r="8910" spans="1:14" s="2" customFormat="1">
      <c r="A8910" s="83"/>
      <c r="H8910" s="83"/>
      <c r="K8910" s="82"/>
      <c r="M8910" s="112"/>
      <c r="N8910" s="84"/>
    </row>
    <row r="8911" spans="1:14" s="2" customFormat="1">
      <c r="A8911" s="83"/>
      <c r="H8911" s="83"/>
      <c r="K8911" s="82"/>
      <c r="M8911" s="112"/>
      <c r="N8911" s="84"/>
    </row>
    <row r="8912" spans="1:14" s="2" customFormat="1">
      <c r="A8912" s="83"/>
      <c r="H8912" s="83"/>
      <c r="K8912" s="82"/>
      <c r="M8912" s="112"/>
      <c r="N8912" s="84"/>
    </row>
    <row r="8913" spans="1:14" s="2" customFormat="1">
      <c r="A8913" s="83"/>
      <c r="H8913" s="83"/>
      <c r="K8913" s="82"/>
      <c r="M8913" s="112"/>
      <c r="N8913" s="84"/>
    </row>
    <row r="8914" spans="1:14" s="2" customFormat="1">
      <c r="A8914" s="83"/>
      <c r="H8914" s="83"/>
      <c r="K8914" s="82"/>
      <c r="M8914" s="112"/>
      <c r="N8914" s="84"/>
    </row>
    <row r="8915" spans="1:14" s="2" customFormat="1">
      <c r="A8915" s="83"/>
      <c r="H8915" s="83"/>
      <c r="K8915" s="82"/>
      <c r="M8915" s="112"/>
      <c r="N8915" s="84"/>
    </row>
    <row r="8916" spans="1:14" s="2" customFormat="1">
      <c r="A8916" s="83"/>
      <c r="H8916" s="83"/>
      <c r="K8916" s="82"/>
      <c r="M8916" s="112"/>
      <c r="N8916" s="84"/>
    </row>
    <row r="8917" spans="1:14" s="2" customFormat="1">
      <c r="A8917" s="83"/>
      <c r="H8917" s="83"/>
      <c r="K8917" s="82"/>
      <c r="M8917" s="112"/>
      <c r="N8917" s="84"/>
    </row>
    <row r="8918" spans="1:14" s="2" customFormat="1">
      <c r="A8918" s="83"/>
      <c r="H8918" s="83"/>
      <c r="K8918" s="82"/>
      <c r="M8918" s="112"/>
      <c r="N8918" s="84"/>
    </row>
    <row r="8919" spans="1:14" s="2" customFormat="1">
      <c r="A8919" s="83"/>
      <c r="H8919" s="83"/>
      <c r="K8919" s="82"/>
      <c r="M8919" s="112"/>
      <c r="N8919" s="84"/>
    </row>
    <row r="8920" spans="1:14" s="2" customFormat="1">
      <c r="A8920" s="83"/>
      <c r="H8920" s="83"/>
      <c r="K8920" s="82"/>
      <c r="M8920" s="112"/>
      <c r="N8920" s="84"/>
    </row>
    <row r="8921" spans="1:14" s="2" customFormat="1">
      <c r="A8921" s="83"/>
      <c r="H8921" s="83"/>
      <c r="K8921" s="82"/>
      <c r="M8921" s="112"/>
      <c r="N8921" s="84"/>
    </row>
    <row r="8922" spans="1:14" s="2" customFormat="1">
      <c r="A8922" s="83"/>
      <c r="H8922" s="83"/>
      <c r="K8922" s="82"/>
      <c r="M8922" s="112"/>
      <c r="N8922" s="84"/>
    </row>
    <row r="8923" spans="1:14" s="2" customFormat="1">
      <c r="A8923" s="83"/>
      <c r="H8923" s="83"/>
      <c r="K8923" s="82"/>
      <c r="M8923" s="112"/>
      <c r="N8923" s="84"/>
    </row>
    <row r="8924" spans="1:14" s="2" customFormat="1">
      <c r="A8924" s="83"/>
      <c r="H8924" s="83"/>
      <c r="K8924" s="82"/>
      <c r="M8924" s="112"/>
      <c r="N8924" s="84"/>
    </row>
    <row r="8925" spans="1:14" s="2" customFormat="1">
      <c r="A8925" s="83"/>
      <c r="H8925" s="83"/>
      <c r="K8925" s="82"/>
      <c r="M8925" s="112"/>
      <c r="N8925" s="84"/>
    </row>
    <row r="8926" spans="1:14" s="2" customFormat="1">
      <c r="A8926" s="83"/>
      <c r="H8926" s="83"/>
      <c r="K8926" s="82"/>
      <c r="M8926" s="112"/>
      <c r="N8926" s="84"/>
    </row>
    <row r="8927" spans="1:14" s="2" customFormat="1">
      <c r="A8927" s="83"/>
      <c r="H8927" s="83"/>
      <c r="K8927" s="82"/>
      <c r="M8927" s="112"/>
      <c r="N8927" s="84"/>
    </row>
    <row r="8928" spans="1:14" s="2" customFormat="1">
      <c r="A8928" s="83"/>
      <c r="H8928" s="83"/>
      <c r="K8928" s="82"/>
      <c r="M8928" s="112"/>
      <c r="N8928" s="84"/>
    </row>
    <row r="8929" spans="1:14" s="2" customFormat="1">
      <c r="A8929" s="83"/>
      <c r="H8929" s="83"/>
      <c r="K8929" s="82"/>
      <c r="M8929" s="112"/>
      <c r="N8929" s="84"/>
    </row>
    <row r="8930" spans="1:14" s="2" customFormat="1">
      <c r="A8930" s="83"/>
      <c r="H8930" s="83"/>
      <c r="K8930" s="82"/>
      <c r="M8930" s="112"/>
      <c r="N8930" s="84"/>
    </row>
    <row r="8931" spans="1:14" s="2" customFormat="1">
      <c r="A8931" s="83"/>
      <c r="H8931" s="83"/>
      <c r="K8931" s="82"/>
      <c r="M8931" s="112"/>
      <c r="N8931" s="84"/>
    </row>
    <row r="8932" spans="1:14" s="2" customFormat="1">
      <c r="A8932" s="83"/>
      <c r="H8932" s="83"/>
      <c r="K8932" s="82"/>
      <c r="M8932" s="112"/>
      <c r="N8932" s="84"/>
    </row>
    <row r="8933" spans="1:14" s="2" customFormat="1">
      <c r="A8933" s="83"/>
      <c r="H8933" s="83"/>
      <c r="K8933" s="82"/>
      <c r="M8933" s="112"/>
      <c r="N8933" s="84"/>
    </row>
    <row r="8934" spans="1:14" s="2" customFormat="1">
      <c r="A8934" s="83"/>
      <c r="H8934" s="83"/>
      <c r="K8934" s="82"/>
      <c r="M8934" s="112"/>
      <c r="N8934" s="84"/>
    </row>
    <row r="8935" spans="1:14" s="2" customFormat="1">
      <c r="A8935" s="83"/>
      <c r="H8935" s="83"/>
      <c r="K8935" s="82"/>
      <c r="M8935" s="112"/>
      <c r="N8935" s="84"/>
    </row>
    <row r="8936" spans="1:14" s="2" customFormat="1">
      <c r="A8936" s="83"/>
      <c r="H8936" s="83"/>
      <c r="K8936" s="82"/>
      <c r="M8936" s="112"/>
      <c r="N8936" s="84"/>
    </row>
    <row r="8937" spans="1:14" s="2" customFormat="1">
      <c r="A8937" s="83"/>
      <c r="H8937" s="83"/>
      <c r="K8937" s="82"/>
      <c r="M8937" s="112"/>
      <c r="N8937" s="84"/>
    </row>
    <row r="8938" spans="1:14" s="2" customFormat="1">
      <c r="A8938" s="83"/>
      <c r="H8938" s="83"/>
      <c r="K8938" s="82"/>
      <c r="M8938" s="112"/>
      <c r="N8938" s="84"/>
    </row>
    <row r="8939" spans="1:14" s="2" customFormat="1">
      <c r="A8939" s="83"/>
      <c r="H8939" s="83"/>
      <c r="K8939" s="82"/>
      <c r="M8939" s="112"/>
      <c r="N8939" s="84"/>
    </row>
    <row r="8940" spans="1:14" s="2" customFormat="1">
      <c r="A8940" s="83"/>
      <c r="H8940" s="83"/>
      <c r="K8940" s="82"/>
      <c r="M8940" s="112"/>
      <c r="N8940" s="84"/>
    </row>
    <row r="8941" spans="1:14" s="2" customFormat="1">
      <c r="A8941" s="83"/>
      <c r="H8941" s="83"/>
      <c r="K8941" s="82"/>
      <c r="M8941" s="112"/>
      <c r="N8941" s="84"/>
    </row>
    <row r="8942" spans="1:14" s="2" customFormat="1">
      <c r="A8942" s="83"/>
      <c r="H8942" s="83"/>
      <c r="K8942" s="82"/>
      <c r="M8942" s="112"/>
      <c r="N8942" s="84"/>
    </row>
    <row r="8943" spans="1:14" s="2" customFormat="1">
      <c r="A8943" s="83"/>
      <c r="H8943" s="83"/>
      <c r="K8943" s="82"/>
      <c r="M8943" s="112"/>
      <c r="N8943" s="84"/>
    </row>
    <row r="8944" spans="1:14" s="2" customFormat="1">
      <c r="A8944" s="83"/>
      <c r="H8944" s="83"/>
      <c r="K8944" s="82"/>
      <c r="M8944" s="112"/>
      <c r="N8944" s="84"/>
    </row>
    <row r="8945" spans="1:14" s="2" customFormat="1">
      <c r="A8945" s="83"/>
      <c r="H8945" s="83"/>
      <c r="K8945" s="82"/>
      <c r="M8945" s="112"/>
      <c r="N8945" s="84"/>
    </row>
    <row r="8946" spans="1:14" s="2" customFormat="1">
      <c r="A8946" s="83"/>
      <c r="H8946" s="83"/>
      <c r="K8946" s="82"/>
      <c r="M8946" s="112"/>
      <c r="N8946" s="84"/>
    </row>
    <row r="8947" spans="1:14" s="2" customFormat="1">
      <c r="A8947" s="83"/>
      <c r="H8947" s="83"/>
      <c r="K8947" s="82"/>
      <c r="M8947" s="112"/>
      <c r="N8947" s="84"/>
    </row>
    <row r="8948" spans="1:14" s="2" customFormat="1">
      <c r="A8948" s="83"/>
      <c r="H8948" s="83"/>
      <c r="K8948" s="82"/>
      <c r="M8948" s="112"/>
      <c r="N8948" s="84"/>
    </row>
    <row r="8949" spans="1:14" s="2" customFormat="1">
      <c r="A8949" s="83"/>
      <c r="H8949" s="83"/>
      <c r="K8949" s="82"/>
      <c r="M8949" s="112"/>
      <c r="N8949" s="84"/>
    </row>
    <row r="8950" spans="1:14" s="2" customFormat="1">
      <c r="A8950" s="83"/>
      <c r="H8950" s="83"/>
      <c r="K8950" s="82"/>
      <c r="M8950" s="112"/>
      <c r="N8950" s="84"/>
    </row>
    <row r="8951" spans="1:14" s="2" customFormat="1">
      <c r="A8951" s="83"/>
      <c r="H8951" s="83"/>
      <c r="K8951" s="82"/>
      <c r="M8951" s="112"/>
      <c r="N8951" s="84"/>
    </row>
    <row r="8952" spans="1:14" s="2" customFormat="1">
      <c r="A8952" s="83"/>
      <c r="H8952" s="83"/>
      <c r="K8952" s="82"/>
      <c r="M8952" s="112"/>
      <c r="N8952" s="84"/>
    </row>
    <row r="8953" spans="1:14" s="2" customFormat="1">
      <c r="A8953" s="83"/>
      <c r="H8953" s="83"/>
      <c r="K8953" s="82"/>
      <c r="M8953" s="112"/>
      <c r="N8953" s="84"/>
    </row>
    <row r="8954" spans="1:14" s="2" customFormat="1">
      <c r="A8954" s="83"/>
      <c r="H8954" s="83"/>
      <c r="K8954" s="82"/>
      <c r="M8954" s="112"/>
      <c r="N8954" s="84"/>
    </row>
    <row r="8955" spans="1:14" s="2" customFormat="1">
      <c r="A8955" s="83"/>
      <c r="H8955" s="83"/>
      <c r="K8955" s="82"/>
      <c r="M8955" s="112"/>
      <c r="N8955" s="84"/>
    </row>
    <row r="8956" spans="1:14" s="2" customFormat="1">
      <c r="A8956" s="83"/>
      <c r="H8956" s="83"/>
      <c r="K8956" s="82"/>
      <c r="M8956" s="112"/>
      <c r="N8956" s="84"/>
    </row>
    <row r="8957" spans="1:14" s="2" customFormat="1">
      <c r="A8957" s="83"/>
      <c r="H8957" s="83"/>
      <c r="K8957" s="82"/>
      <c r="M8957" s="112"/>
      <c r="N8957" s="84"/>
    </row>
    <row r="8958" spans="1:14" s="2" customFormat="1">
      <c r="A8958" s="83"/>
      <c r="H8958" s="83"/>
      <c r="K8958" s="82"/>
      <c r="M8958" s="112"/>
      <c r="N8958" s="84"/>
    </row>
    <row r="8959" spans="1:14" s="2" customFormat="1">
      <c r="A8959" s="83"/>
      <c r="H8959" s="83"/>
      <c r="K8959" s="82"/>
      <c r="M8959" s="112"/>
      <c r="N8959" s="84"/>
    </row>
    <row r="8960" spans="1:14" s="2" customFormat="1">
      <c r="A8960" s="83"/>
      <c r="H8960" s="83"/>
      <c r="K8960" s="82"/>
      <c r="M8960" s="112"/>
      <c r="N8960" s="84"/>
    </row>
    <row r="8961" spans="1:14" s="2" customFormat="1">
      <c r="A8961" s="83"/>
      <c r="H8961" s="83"/>
      <c r="K8961" s="82"/>
      <c r="M8961" s="112"/>
      <c r="N8961" s="84"/>
    </row>
    <row r="8962" spans="1:14" s="2" customFormat="1">
      <c r="A8962" s="83"/>
      <c r="H8962" s="83"/>
      <c r="K8962" s="82"/>
      <c r="M8962" s="112"/>
      <c r="N8962" s="84"/>
    </row>
    <row r="8963" spans="1:14" s="2" customFormat="1">
      <c r="A8963" s="83"/>
      <c r="H8963" s="83"/>
      <c r="K8963" s="82"/>
      <c r="M8963" s="112"/>
      <c r="N8963" s="84"/>
    </row>
    <row r="8964" spans="1:14" s="2" customFormat="1">
      <c r="A8964" s="83"/>
      <c r="H8964" s="83"/>
      <c r="K8964" s="82"/>
      <c r="M8964" s="112"/>
      <c r="N8964" s="84"/>
    </row>
    <row r="8965" spans="1:14" s="2" customFormat="1">
      <c r="A8965" s="83"/>
      <c r="H8965" s="83"/>
      <c r="K8965" s="82"/>
      <c r="M8965" s="112"/>
      <c r="N8965" s="84"/>
    </row>
    <row r="8966" spans="1:14" s="2" customFormat="1">
      <c r="A8966" s="83"/>
      <c r="H8966" s="83"/>
      <c r="K8966" s="82"/>
      <c r="M8966" s="112"/>
      <c r="N8966" s="84"/>
    </row>
    <row r="8967" spans="1:14" s="2" customFormat="1">
      <c r="A8967" s="83"/>
      <c r="H8967" s="83"/>
      <c r="K8967" s="82"/>
      <c r="M8967" s="112"/>
      <c r="N8967" s="84"/>
    </row>
    <row r="8968" spans="1:14" s="2" customFormat="1">
      <c r="A8968" s="83"/>
      <c r="H8968" s="83"/>
      <c r="K8968" s="82"/>
      <c r="M8968" s="112"/>
      <c r="N8968" s="84"/>
    </row>
    <row r="8969" spans="1:14" s="2" customFormat="1">
      <c r="A8969" s="83"/>
      <c r="H8969" s="83"/>
      <c r="K8969" s="82"/>
      <c r="M8969" s="112"/>
      <c r="N8969" s="84"/>
    </row>
    <row r="8970" spans="1:14" s="2" customFormat="1">
      <c r="A8970" s="83"/>
      <c r="H8970" s="83"/>
      <c r="K8970" s="82"/>
      <c r="M8970" s="112"/>
      <c r="N8970" s="84"/>
    </row>
    <row r="8971" spans="1:14" s="2" customFormat="1">
      <c r="A8971" s="83"/>
      <c r="H8971" s="83"/>
      <c r="K8971" s="82"/>
      <c r="M8971" s="112"/>
      <c r="N8971" s="84"/>
    </row>
    <row r="8972" spans="1:14" s="2" customFormat="1">
      <c r="A8972" s="83"/>
      <c r="H8972" s="83"/>
      <c r="K8972" s="82"/>
      <c r="M8972" s="112"/>
      <c r="N8972" s="84"/>
    </row>
    <row r="8973" spans="1:14" s="2" customFormat="1">
      <c r="A8973" s="83"/>
      <c r="H8973" s="83"/>
      <c r="K8973" s="82"/>
      <c r="M8973" s="112"/>
      <c r="N8973" s="84"/>
    </row>
    <row r="8974" spans="1:14" s="2" customFormat="1">
      <c r="A8974" s="83"/>
      <c r="H8974" s="83"/>
      <c r="K8974" s="82"/>
      <c r="M8974" s="112"/>
      <c r="N8974" s="84"/>
    </row>
    <row r="8975" spans="1:14" s="2" customFormat="1">
      <c r="A8975" s="83"/>
      <c r="H8975" s="83"/>
      <c r="K8975" s="82"/>
      <c r="M8975" s="112"/>
      <c r="N8975" s="84"/>
    </row>
    <row r="8976" spans="1:14" s="2" customFormat="1">
      <c r="A8976" s="83"/>
      <c r="H8976" s="83"/>
      <c r="K8976" s="82"/>
      <c r="M8976" s="112"/>
      <c r="N8976" s="84"/>
    </row>
    <row r="8977" spans="1:14" s="2" customFormat="1">
      <c r="A8977" s="83"/>
      <c r="H8977" s="83"/>
      <c r="K8977" s="82"/>
      <c r="M8977" s="112"/>
      <c r="N8977" s="84"/>
    </row>
    <row r="8978" spans="1:14" s="2" customFormat="1">
      <c r="A8978" s="83"/>
      <c r="H8978" s="83"/>
      <c r="K8978" s="82"/>
      <c r="M8978" s="112"/>
      <c r="N8978" s="84"/>
    </row>
    <row r="8979" spans="1:14" s="2" customFormat="1">
      <c r="A8979" s="83"/>
      <c r="H8979" s="83"/>
      <c r="K8979" s="82"/>
      <c r="M8979" s="112"/>
      <c r="N8979" s="84"/>
    </row>
    <row r="8980" spans="1:14" s="2" customFormat="1">
      <c r="A8980" s="83"/>
      <c r="H8980" s="83"/>
      <c r="K8980" s="82"/>
      <c r="M8980" s="112"/>
      <c r="N8980" s="84"/>
    </row>
    <row r="8981" spans="1:14" s="2" customFormat="1">
      <c r="A8981" s="83"/>
      <c r="H8981" s="83"/>
      <c r="K8981" s="82"/>
      <c r="M8981" s="112"/>
      <c r="N8981" s="84"/>
    </row>
    <row r="8982" spans="1:14" s="2" customFormat="1">
      <c r="A8982" s="83"/>
      <c r="H8982" s="83"/>
      <c r="K8982" s="82"/>
      <c r="M8982" s="112"/>
      <c r="N8982" s="84"/>
    </row>
    <row r="8983" spans="1:14" s="2" customFormat="1">
      <c r="A8983" s="83"/>
      <c r="H8983" s="83"/>
      <c r="K8983" s="82"/>
      <c r="M8983" s="112"/>
      <c r="N8983" s="84"/>
    </row>
    <row r="8984" spans="1:14" s="2" customFormat="1">
      <c r="A8984" s="83"/>
      <c r="H8984" s="83"/>
      <c r="K8984" s="82"/>
      <c r="M8984" s="112"/>
      <c r="N8984" s="84"/>
    </row>
    <row r="8985" spans="1:14" s="2" customFormat="1">
      <c r="A8985" s="83"/>
      <c r="H8985" s="83"/>
      <c r="K8985" s="82"/>
      <c r="M8985" s="112"/>
      <c r="N8985" s="84"/>
    </row>
    <row r="8986" spans="1:14" s="2" customFormat="1">
      <c r="A8986" s="83"/>
      <c r="H8986" s="83"/>
      <c r="K8986" s="82"/>
      <c r="M8986" s="112"/>
      <c r="N8986" s="84"/>
    </row>
    <row r="8987" spans="1:14" s="2" customFormat="1">
      <c r="A8987" s="83"/>
      <c r="H8987" s="83"/>
      <c r="K8987" s="82"/>
      <c r="M8987" s="112"/>
      <c r="N8987" s="84"/>
    </row>
    <row r="8988" spans="1:14" s="2" customFormat="1">
      <c r="A8988" s="83"/>
      <c r="H8988" s="83"/>
      <c r="K8988" s="82"/>
      <c r="M8988" s="112"/>
      <c r="N8988" s="84"/>
    </row>
    <row r="8989" spans="1:14" s="2" customFormat="1">
      <c r="A8989" s="83"/>
      <c r="H8989" s="83"/>
      <c r="K8989" s="82"/>
      <c r="M8989" s="112"/>
      <c r="N8989" s="84"/>
    </row>
    <row r="8990" spans="1:14" s="2" customFormat="1">
      <c r="A8990" s="83"/>
      <c r="H8990" s="83"/>
      <c r="K8990" s="82"/>
      <c r="M8990" s="112"/>
      <c r="N8990" s="84"/>
    </row>
    <row r="8991" spans="1:14" s="2" customFormat="1">
      <c r="A8991" s="83"/>
      <c r="H8991" s="83"/>
      <c r="K8991" s="82"/>
      <c r="M8991" s="112"/>
      <c r="N8991" s="84"/>
    </row>
    <row r="8992" spans="1:14" s="2" customFormat="1">
      <c r="A8992" s="83"/>
      <c r="H8992" s="83"/>
      <c r="K8992" s="82"/>
      <c r="M8992" s="112"/>
      <c r="N8992" s="84"/>
    </row>
    <row r="8993" spans="1:14" s="2" customFormat="1">
      <c r="A8993" s="83"/>
      <c r="H8993" s="83"/>
      <c r="K8993" s="82"/>
      <c r="M8993" s="112"/>
      <c r="N8993" s="84"/>
    </row>
    <row r="8994" spans="1:14" s="2" customFormat="1">
      <c r="A8994" s="83"/>
      <c r="H8994" s="83"/>
      <c r="K8994" s="82"/>
      <c r="M8994" s="112"/>
      <c r="N8994" s="84"/>
    </row>
    <row r="8995" spans="1:14" s="2" customFormat="1">
      <c r="A8995" s="83"/>
      <c r="H8995" s="83"/>
      <c r="K8995" s="82"/>
      <c r="M8995" s="112"/>
      <c r="N8995" s="84"/>
    </row>
    <row r="8996" spans="1:14" s="2" customFormat="1">
      <c r="A8996" s="83"/>
      <c r="H8996" s="83"/>
      <c r="K8996" s="82"/>
      <c r="M8996" s="112"/>
      <c r="N8996" s="84"/>
    </row>
    <row r="8997" spans="1:14" s="2" customFormat="1">
      <c r="A8997" s="83"/>
      <c r="H8997" s="83"/>
      <c r="K8997" s="82"/>
      <c r="M8997" s="112"/>
      <c r="N8997" s="84"/>
    </row>
    <row r="8998" spans="1:14" s="2" customFormat="1">
      <c r="A8998" s="83"/>
      <c r="H8998" s="83"/>
      <c r="K8998" s="82"/>
      <c r="M8998" s="112"/>
      <c r="N8998" s="84"/>
    </row>
    <row r="8999" spans="1:14" s="2" customFormat="1">
      <c r="A8999" s="83"/>
      <c r="H8999" s="83"/>
      <c r="K8999" s="82"/>
      <c r="M8999" s="112"/>
      <c r="N8999" s="84"/>
    </row>
    <row r="9000" spans="1:14" s="2" customFormat="1">
      <c r="A9000" s="83"/>
      <c r="H9000" s="83"/>
      <c r="K9000" s="82"/>
      <c r="M9000" s="112"/>
      <c r="N9000" s="84"/>
    </row>
    <row r="9001" spans="1:14" s="2" customFormat="1">
      <c r="A9001" s="83"/>
      <c r="H9001" s="83"/>
      <c r="K9001" s="82"/>
      <c r="M9001" s="112"/>
      <c r="N9001" s="84"/>
    </row>
    <row r="9002" spans="1:14" s="2" customFormat="1">
      <c r="A9002" s="83"/>
      <c r="H9002" s="83"/>
      <c r="K9002" s="82"/>
      <c r="M9002" s="112"/>
      <c r="N9002" s="84"/>
    </row>
    <row r="9003" spans="1:14" s="2" customFormat="1">
      <c r="A9003" s="83"/>
      <c r="H9003" s="83"/>
      <c r="K9003" s="82"/>
      <c r="M9003" s="112"/>
      <c r="N9003" s="84"/>
    </row>
    <row r="9004" spans="1:14" s="2" customFormat="1">
      <c r="A9004" s="83"/>
      <c r="H9004" s="83"/>
      <c r="K9004" s="82"/>
      <c r="M9004" s="112"/>
      <c r="N9004" s="84"/>
    </row>
    <row r="9005" spans="1:14" s="2" customFormat="1">
      <c r="A9005" s="83"/>
      <c r="H9005" s="83"/>
      <c r="K9005" s="82"/>
      <c r="M9005" s="112"/>
      <c r="N9005" s="84"/>
    </row>
    <row r="9006" spans="1:14" s="2" customFormat="1">
      <c r="A9006" s="83"/>
      <c r="H9006" s="83"/>
      <c r="K9006" s="82"/>
      <c r="M9006" s="112"/>
      <c r="N9006" s="84"/>
    </row>
    <row r="9007" spans="1:14" s="2" customFormat="1">
      <c r="A9007" s="83"/>
      <c r="H9007" s="83"/>
      <c r="K9007" s="82"/>
      <c r="M9007" s="112"/>
      <c r="N9007" s="84"/>
    </row>
    <row r="9008" spans="1:14" s="2" customFormat="1">
      <c r="A9008" s="83"/>
      <c r="H9008" s="83"/>
      <c r="K9008" s="82"/>
      <c r="M9008" s="112"/>
      <c r="N9008" s="84"/>
    </row>
    <row r="9009" spans="1:14" s="2" customFormat="1">
      <c r="A9009" s="83"/>
      <c r="H9009" s="83"/>
      <c r="K9009" s="82"/>
      <c r="M9009" s="112"/>
      <c r="N9009" s="84"/>
    </row>
    <row r="9010" spans="1:14" s="2" customFormat="1">
      <c r="A9010" s="83"/>
      <c r="H9010" s="83"/>
      <c r="K9010" s="82"/>
      <c r="M9010" s="112"/>
      <c r="N9010" s="84"/>
    </row>
    <row r="9011" spans="1:14" s="2" customFormat="1">
      <c r="A9011" s="83"/>
      <c r="H9011" s="83"/>
      <c r="K9011" s="82"/>
      <c r="M9011" s="112"/>
      <c r="N9011" s="84"/>
    </row>
    <row r="9012" spans="1:14" s="2" customFormat="1">
      <c r="A9012" s="83"/>
      <c r="H9012" s="83"/>
      <c r="K9012" s="82"/>
      <c r="M9012" s="112"/>
      <c r="N9012" s="84"/>
    </row>
    <row r="9013" spans="1:14" s="2" customFormat="1">
      <c r="A9013" s="83"/>
      <c r="H9013" s="83"/>
      <c r="K9013" s="82"/>
      <c r="M9013" s="112"/>
      <c r="N9013" s="84"/>
    </row>
    <row r="9014" spans="1:14" s="2" customFormat="1">
      <c r="A9014" s="83"/>
      <c r="H9014" s="83"/>
      <c r="K9014" s="82"/>
      <c r="M9014" s="112"/>
      <c r="N9014" s="84"/>
    </row>
    <row r="9015" spans="1:14" s="2" customFormat="1">
      <c r="A9015" s="83"/>
      <c r="H9015" s="83"/>
      <c r="K9015" s="82"/>
      <c r="M9015" s="112"/>
      <c r="N9015" s="84"/>
    </row>
    <row r="9016" spans="1:14" s="2" customFormat="1">
      <c r="A9016" s="83"/>
      <c r="H9016" s="83"/>
      <c r="K9016" s="82"/>
      <c r="M9016" s="112"/>
      <c r="N9016" s="84"/>
    </row>
    <row r="9017" spans="1:14" s="2" customFormat="1">
      <c r="A9017" s="83"/>
      <c r="H9017" s="83"/>
      <c r="K9017" s="82"/>
      <c r="M9017" s="112"/>
      <c r="N9017" s="84"/>
    </row>
    <row r="9018" spans="1:14" s="2" customFormat="1">
      <c r="A9018" s="83"/>
      <c r="H9018" s="83"/>
      <c r="K9018" s="82"/>
      <c r="M9018" s="112"/>
      <c r="N9018" s="84"/>
    </row>
    <row r="9019" spans="1:14" s="2" customFormat="1">
      <c r="A9019" s="83"/>
      <c r="H9019" s="83"/>
      <c r="K9019" s="82"/>
      <c r="M9019" s="112"/>
      <c r="N9019" s="84"/>
    </row>
    <row r="9020" spans="1:14" s="2" customFormat="1">
      <c r="A9020" s="83"/>
      <c r="H9020" s="83"/>
      <c r="K9020" s="82"/>
      <c r="M9020" s="112"/>
      <c r="N9020" s="84"/>
    </row>
    <row r="9021" spans="1:14" s="2" customFormat="1">
      <c r="A9021" s="83"/>
      <c r="H9021" s="83"/>
      <c r="K9021" s="82"/>
      <c r="M9021" s="112"/>
      <c r="N9021" s="84"/>
    </row>
    <row r="9022" spans="1:14" s="2" customFormat="1">
      <c r="A9022" s="83"/>
      <c r="H9022" s="83"/>
      <c r="K9022" s="82"/>
      <c r="M9022" s="112"/>
      <c r="N9022" s="84"/>
    </row>
    <row r="9023" spans="1:14" s="2" customFormat="1">
      <c r="A9023" s="83"/>
      <c r="H9023" s="83"/>
      <c r="K9023" s="82"/>
      <c r="M9023" s="112"/>
      <c r="N9023" s="84"/>
    </row>
    <row r="9024" spans="1:14" s="2" customFormat="1">
      <c r="A9024" s="83"/>
      <c r="H9024" s="83"/>
      <c r="K9024" s="82"/>
      <c r="M9024" s="112"/>
      <c r="N9024" s="84"/>
    </row>
    <row r="9025" spans="1:14" s="2" customFormat="1">
      <c r="A9025" s="83"/>
      <c r="H9025" s="83"/>
      <c r="K9025" s="82"/>
      <c r="M9025" s="112"/>
      <c r="N9025" s="84"/>
    </row>
    <row r="9026" spans="1:14" s="2" customFormat="1">
      <c r="A9026" s="83"/>
      <c r="H9026" s="83"/>
      <c r="K9026" s="82"/>
      <c r="M9026" s="112"/>
      <c r="N9026" s="84"/>
    </row>
    <row r="9027" spans="1:14" s="2" customFormat="1">
      <c r="A9027" s="83"/>
      <c r="H9027" s="83"/>
      <c r="K9027" s="82"/>
      <c r="M9027" s="112"/>
      <c r="N9027" s="84"/>
    </row>
    <row r="9028" spans="1:14" s="2" customFormat="1">
      <c r="A9028" s="83"/>
      <c r="H9028" s="83"/>
      <c r="K9028" s="82"/>
      <c r="M9028" s="112"/>
      <c r="N9028" s="84"/>
    </row>
    <row r="9029" spans="1:14" s="2" customFormat="1">
      <c r="A9029" s="83"/>
      <c r="H9029" s="83"/>
      <c r="K9029" s="82"/>
      <c r="M9029" s="112"/>
      <c r="N9029" s="84"/>
    </row>
    <row r="9030" spans="1:14" s="2" customFormat="1">
      <c r="A9030" s="83"/>
      <c r="H9030" s="83"/>
      <c r="K9030" s="82"/>
      <c r="M9030" s="112"/>
      <c r="N9030" s="84"/>
    </row>
    <row r="9031" spans="1:14" s="2" customFormat="1">
      <c r="A9031" s="83"/>
      <c r="H9031" s="83"/>
      <c r="K9031" s="82"/>
      <c r="M9031" s="112"/>
      <c r="N9031" s="84"/>
    </row>
    <row r="9032" spans="1:14" s="2" customFormat="1">
      <c r="A9032" s="83"/>
      <c r="H9032" s="83"/>
      <c r="K9032" s="82"/>
      <c r="M9032" s="112"/>
      <c r="N9032" s="84"/>
    </row>
    <row r="9033" spans="1:14" s="2" customFormat="1">
      <c r="A9033" s="83"/>
      <c r="H9033" s="83"/>
      <c r="K9033" s="82"/>
      <c r="M9033" s="112"/>
      <c r="N9033" s="84"/>
    </row>
    <row r="9034" spans="1:14" s="2" customFormat="1">
      <c r="A9034" s="83"/>
      <c r="H9034" s="83"/>
      <c r="K9034" s="82"/>
      <c r="M9034" s="112"/>
      <c r="N9034" s="84"/>
    </row>
    <row r="9035" spans="1:14" s="2" customFormat="1">
      <c r="A9035" s="83"/>
      <c r="H9035" s="83"/>
      <c r="K9035" s="82"/>
      <c r="M9035" s="112"/>
      <c r="N9035" s="84"/>
    </row>
    <row r="9036" spans="1:14" s="2" customFormat="1">
      <c r="A9036" s="83"/>
      <c r="H9036" s="83"/>
      <c r="K9036" s="82"/>
      <c r="M9036" s="112"/>
      <c r="N9036" s="84"/>
    </row>
    <row r="9037" spans="1:14" s="2" customFormat="1">
      <c r="A9037" s="83"/>
      <c r="H9037" s="83"/>
      <c r="K9037" s="82"/>
      <c r="M9037" s="112"/>
      <c r="N9037" s="84"/>
    </row>
    <row r="9038" spans="1:14" s="2" customFormat="1">
      <c r="A9038" s="83"/>
      <c r="H9038" s="83"/>
      <c r="K9038" s="82"/>
      <c r="M9038" s="112"/>
      <c r="N9038" s="84"/>
    </row>
    <row r="9039" spans="1:14" s="2" customFormat="1">
      <c r="A9039" s="83"/>
      <c r="H9039" s="83"/>
      <c r="K9039" s="82"/>
      <c r="M9039" s="112"/>
      <c r="N9039" s="84"/>
    </row>
    <row r="9040" spans="1:14" s="2" customFormat="1">
      <c r="A9040" s="83"/>
      <c r="H9040" s="83"/>
      <c r="K9040" s="82"/>
      <c r="M9040" s="112"/>
      <c r="N9040" s="84"/>
    </row>
    <row r="9041" spans="1:14" s="2" customFormat="1">
      <c r="A9041" s="83"/>
      <c r="H9041" s="83"/>
      <c r="K9041" s="82"/>
      <c r="M9041" s="112"/>
      <c r="N9041" s="84"/>
    </row>
    <row r="9042" spans="1:14" s="2" customFormat="1">
      <c r="A9042" s="83"/>
      <c r="H9042" s="83"/>
      <c r="K9042" s="82"/>
      <c r="M9042" s="112"/>
      <c r="N9042" s="84"/>
    </row>
    <row r="9043" spans="1:14" s="2" customFormat="1">
      <c r="A9043" s="83"/>
      <c r="H9043" s="83"/>
      <c r="K9043" s="82"/>
      <c r="M9043" s="112"/>
      <c r="N9043" s="84"/>
    </row>
    <row r="9044" spans="1:14" s="2" customFormat="1">
      <c r="A9044" s="83"/>
      <c r="H9044" s="83"/>
      <c r="K9044" s="82"/>
      <c r="M9044" s="112"/>
      <c r="N9044" s="84"/>
    </row>
    <row r="9045" spans="1:14" s="2" customFormat="1">
      <c r="A9045" s="83"/>
      <c r="H9045" s="83"/>
      <c r="K9045" s="82"/>
      <c r="M9045" s="112"/>
      <c r="N9045" s="84"/>
    </row>
    <row r="9046" spans="1:14" s="2" customFormat="1">
      <c r="A9046" s="83"/>
      <c r="H9046" s="83"/>
      <c r="K9046" s="82"/>
      <c r="M9046" s="112"/>
      <c r="N9046" s="84"/>
    </row>
    <row r="9047" spans="1:14" s="2" customFormat="1">
      <c r="A9047" s="83"/>
      <c r="H9047" s="83"/>
      <c r="K9047" s="82"/>
      <c r="M9047" s="112"/>
      <c r="N9047" s="84"/>
    </row>
    <row r="9048" spans="1:14" s="2" customFormat="1">
      <c r="A9048" s="83"/>
      <c r="H9048" s="83"/>
      <c r="K9048" s="82"/>
      <c r="M9048" s="112"/>
      <c r="N9048" s="84"/>
    </row>
    <row r="9049" spans="1:14" s="2" customFormat="1">
      <c r="A9049" s="83"/>
      <c r="H9049" s="83"/>
      <c r="K9049" s="82"/>
      <c r="M9049" s="112"/>
      <c r="N9049" s="84"/>
    </row>
    <row r="9050" spans="1:14" s="2" customFormat="1">
      <c r="A9050" s="83"/>
      <c r="H9050" s="83"/>
      <c r="K9050" s="82"/>
      <c r="M9050" s="112"/>
      <c r="N9050" s="84"/>
    </row>
    <row r="9051" spans="1:14" s="2" customFormat="1">
      <c r="A9051" s="83"/>
      <c r="H9051" s="83"/>
      <c r="K9051" s="82"/>
      <c r="M9051" s="112"/>
      <c r="N9051" s="84"/>
    </row>
    <row r="9052" spans="1:14" s="2" customFormat="1">
      <c r="A9052" s="83"/>
      <c r="H9052" s="83"/>
      <c r="K9052" s="82"/>
      <c r="M9052" s="112"/>
      <c r="N9052" s="84"/>
    </row>
    <row r="9053" spans="1:14" s="2" customFormat="1">
      <c r="A9053" s="83"/>
      <c r="H9053" s="83"/>
      <c r="K9053" s="82"/>
      <c r="M9053" s="112"/>
      <c r="N9053" s="84"/>
    </row>
    <row r="9054" spans="1:14" s="2" customFormat="1">
      <c r="A9054" s="83"/>
      <c r="H9054" s="83"/>
      <c r="K9054" s="82"/>
      <c r="M9054" s="112"/>
      <c r="N9054" s="84"/>
    </row>
    <row r="9055" spans="1:14" s="2" customFormat="1">
      <c r="A9055" s="83"/>
      <c r="H9055" s="83"/>
      <c r="K9055" s="82"/>
      <c r="M9055" s="112"/>
      <c r="N9055" s="84"/>
    </row>
    <row r="9056" spans="1:14" s="2" customFormat="1">
      <c r="A9056" s="83"/>
      <c r="H9056" s="83"/>
      <c r="K9056" s="82"/>
      <c r="M9056" s="112"/>
      <c r="N9056" s="84"/>
    </row>
    <row r="9057" spans="1:14" s="2" customFormat="1">
      <c r="A9057" s="83"/>
      <c r="H9057" s="83"/>
      <c r="K9057" s="82"/>
      <c r="M9057" s="112"/>
      <c r="N9057" s="84"/>
    </row>
    <row r="9058" spans="1:14" s="2" customFormat="1">
      <c r="A9058" s="83"/>
      <c r="H9058" s="83"/>
      <c r="K9058" s="82"/>
      <c r="M9058" s="112"/>
      <c r="N9058" s="84"/>
    </row>
    <row r="9059" spans="1:14" s="2" customFormat="1">
      <c r="A9059" s="83"/>
      <c r="H9059" s="83"/>
      <c r="K9059" s="82"/>
      <c r="M9059" s="112"/>
      <c r="N9059" s="84"/>
    </row>
    <row r="9060" spans="1:14" s="2" customFormat="1">
      <c r="A9060" s="83"/>
      <c r="H9060" s="83"/>
      <c r="K9060" s="82"/>
      <c r="M9060" s="112"/>
      <c r="N9060" s="84"/>
    </row>
    <row r="9061" spans="1:14" s="2" customFormat="1">
      <c r="A9061" s="83"/>
      <c r="H9061" s="83"/>
      <c r="K9061" s="82"/>
      <c r="M9061" s="112"/>
      <c r="N9061" s="84"/>
    </row>
    <row r="9062" spans="1:14" s="2" customFormat="1">
      <c r="A9062" s="83"/>
      <c r="H9062" s="83"/>
      <c r="K9062" s="82"/>
      <c r="M9062" s="112"/>
      <c r="N9062" s="84"/>
    </row>
    <row r="9063" spans="1:14" s="2" customFormat="1">
      <c r="A9063" s="83"/>
      <c r="H9063" s="83"/>
      <c r="K9063" s="82"/>
      <c r="M9063" s="112"/>
      <c r="N9063" s="84"/>
    </row>
    <row r="9064" spans="1:14" s="2" customFormat="1">
      <c r="A9064" s="83"/>
      <c r="H9064" s="83"/>
      <c r="K9064" s="82"/>
      <c r="M9064" s="112"/>
      <c r="N9064" s="84"/>
    </row>
    <row r="9065" spans="1:14" s="2" customFormat="1">
      <c r="A9065" s="83"/>
      <c r="H9065" s="83"/>
      <c r="K9065" s="82"/>
      <c r="M9065" s="112"/>
      <c r="N9065" s="84"/>
    </row>
    <row r="9066" spans="1:14" s="2" customFormat="1">
      <c r="A9066" s="83"/>
      <c r="H9066" s="83"/>
      <c r="K9066" s="82"/>
      <c r="M9066" s="112"/>
      <c r="N9066" s="84"/>
    </row>
    <row r="9067" spans="1:14" s="2" customFormat="1">
      <c r="A9067" s="83"/>
      <c r="H9067" s="83"/>
      <c r="K9067" s="82"/>
      <c r="M9067" s="112"/>
      <c r="N9067" s="84"/>
    </row>
    <row r="9068" spans="1:14" s="2" customFormat="1">
      <c r="A9068" s="83"/>
      <c r="H9068" s="83"/>
      <c r="K9068" s="82"/>
      <c r="M9068" s="112"/>
      <c r="N9068" s="84"/>
    </row>
    <row r="9069" spans="1:14" s="2" customFormat="1">
      <c r="A9069" s="83"/>
      <c r="H9069" s="83"/>
      <c r="K9069" s="82"/>
      <c r="M9069" s="112"/>
      <c r="N9069" s="84"/>
    </row>
    <row r="9070" spans="1:14" s="2" customFormat="1">
      <c r="A9070" s="83"/>
      <c r="H9070" s="83"/>
      <c r="K9070" s="82"/>
      <c r="M9070" s="112"/>
      <c r="N9070" s="84"/>
    </row>
    <row r="9071" spans="1:14" s="2" customFormat="1">
      <c r="A9071" s="83"/>
      <c r="H9071" s="83"/>
      <c r="K9071" s="82"/>
      <c r="M9071" s="112"/>
      <c r="N9071" s="84"/>
    </row>
    <row r="9072" spans="1:14" s="2" customFormat="1">
      <c r="A9072" s="83"/>
      <c r="H9072" s="83"/>
      <c r="K9072" s="82"/>
      <c r="M9072" s="112"/>
      <c r="N9072" s="84"/>
    </row>
    <row r="9073" spans="1:14" s="2" customFormat="1">
      <c r="A9073" s="83"/>
      <c r="H9073" s="83"/>
      <c r="K9073" s="82"/>
      <c r="M9073" s="112"/>
      <c r="N9073" s="84"/>
    </row>
    <row r="9074" spans="1:14" s="2" customFormat="1">
      <c r="A9074" s="83"/>
      <c r="H9074" s="83"/>
      <c r="K9074" s="82"/>
      <c r="M9074" s="112"/>
      <c r="N9074" s="84"/>
    </row>
    <row r="9075" spans="1:14" s="2" customFormat="1">
      <c r="A9075" s="83"/>
      <c r="H9075" s="83"/>
      <c r="K9075" s="82"/>
      <c r="M9075" s="112"/>
      <c r="N9075" s="84"/>
    </row>
    <row r="9076" spans="1:14" s="2" customFormat="1">
      <c r="A9076" s="83"/>
      <c r="H9076" s="83"/>
      <c r="K9076" s="82"/>
      <c r="M9076" s="112"/>
      <c r="N9076" s="84"/>
    </row>
    <row r="9077" spans="1:14" s="2" customFormat="1">
      <c r="A9077" s="83"/>
      <c r="H9077" s="83"/>
      <c r="K9077" s="82"/>
      <c r="M9077" s="112"/>
      <c r="N9077" s="84"/>
    </row>
    <row r="9078" spans="1:14" s="2" customFormat="1">
      <c r="A9078" s="83"/>
      <c r="H9078" s="83"/>
      <c r="K9078" s="82"/>
      <c r="M9078" s="112"/>
      <c r="N9078" s="84"/>
    </row>
    <row r="9079" spans="1:14" s="2" customFormat="1">
      <c r="A9079" s="83"/>
      <c r="H9079" s="83"/>
      <c r="K9079" s="82"/>
      <c r="M9079" s="112"/>
      <c r="N9079" s="84"/>
    </row>
    <row r="9080" spans="1:14" s="2" customFormat="1">
      <c r="A9080" s="83"/>
      <c r="H9080" s="83"/>
      <c r="K9080" s="82"/>
      <c r="M9080" s="112"/>
      <c r="N9080" s="84"/>
    </row>
    <row r="9081" spans="1:14" s="2" customFormat="1">
      <c r="A9081" s="83"/>
      <c r="H9081" s="83"/>
      <c r="K9081" s="82"/>
      <c r="M9081" s="112"/>
      <c r="N9081" s="84"/>
    </row>
    <row r="9082" spans="1:14" s="2" customFormat="1">
      <c r="A9082" s="83"/>
      <c r="H9082" s="83"/>
      <c r="K9082" s="82"/>
      <c r="M9082" s="112"/>
      <c r="N9082" s="84"/>
    </row>
    <row r="9083" spans="1:14" s="2" customFormat="1">
      <c r="A9083" s="83"/>
      <c r="H9083" s="83"/>
      <c r="K9083" s="82"/>
      <c r="M9083" s="112"/>
      <c r="N9083" s="84"/>
    </row>
    <row r="9084" spans="1:14" s="2" customFormat="1">
      <c r="A9084" s="83"/>
      <c r="H9084" s="83"/>
      <c r="K9084" s="82"/>
      <c r="M9084" s="112"/>
      <c r="N9084" s="84"/>
    </row>
    <row r="9085" spans="1:14" s="2" customFormat="1">
      <c r="A9085" s="83"/>
      <c r="H9085" s="83"/>
      <c r="K9085" s="82"/>
      <c r="M9085" s="112"/>
      <c r="N9085" s="84"/>
    </row>
    <row r="9086" spans="1:14" s="2" customFormat="1">
      <c r="A9086" s="83"/>
      <c r="H9086" s="83"/>
      <c r="K9086" s="82"/>
      <c r="M9086" s="112"/>
      <c r="N9086" s="84"/>
    </row>
    <row r="9087" spans="1:14" s="2" customFormat="1">
      <c r="A9087" s="83"/>
      <c r="H9087" s="83"/>
      <c r="K9087" s="82"/>
      <c r="M9087" s="112"/>
      <c r="N9087" s="84"/>
    </row>
    <row r="9088" spans="1:14" s="2" customFormat="1">
      <c r="A9088" s="83"/>
      <c r="H9088" s="83"/>
      <c r="K9088" s="82"/>
      <c r="M9088" s="112"/>
      <c r="N9088" s="84"/>
    </row>
    <row r="9089" spans="1:14" s="2" customFormat="1">
      <c r="A9089" s="83"/>
      <c r="H9089" s="83"/>
      <c r="K9089" s="82"/>
      <c r="M9089" s="112"/>
      <c r="N9089" s="84"/>
    </row>
    <row r="9090" spans="1:14" s="2" customFormat="1">
      <c r="A9090" s="83"/>
      <c r="H9090" s="83"/>
      <c r="K9090" s="82"/>
      <c r="M9090" s="112"/>
      <c r="N9090" s="84"/>
    </row>
    <row r="9091" spans="1:14" s="2" customFormat="1">
      <c r="A9091" s="83"/>
      <c r="H9091" s="83"/>
      <c r="K9091" s="82"/>
      <c r="M9091" s="112"/>
      <c r="N9091" s="84"/>
    </row>
    <row r="9092" spans="1:14" s="2" customFormat="1">
      <c r="A9092" s="83"/>
      <c r="H9092" s="83"/>
      <c r="K9092" s="82"/>
      <c r="M9092" s="112"/>
      <c r="N9092" s="84"/>
    </row>
    <row r="9093" spans="1:14" s="2" customFormat="1">
      <c r="A9093" s="83"/>
      <c r="H9093" s="83"/>
      <c r="K9093" s="82"/>
      <c r="M9093" s="112"/>
      <c r="N9093" s="84"/>
    </row>
    <row r="9094" spans="1:14" s="2" customFormat="1">
      <c r="A9094" s="83"/>
      <c r="H9094" s="83"/>
      <c r="K9094" s="82"/>
      <c r="M9094" s="112"/>
      <c r="N9094" s="84"/>
    </row>
    <row r="9095" spans="1:14" s="2" customFormat="1">
      <c r="A9095" s="83"/>
      <c r="H9095" s="83"/>
      <c r="K9095" s="82"/>
      <c r="M9095" s="112"/>
      <c r="N9095" s="84"/>
    </row>
    <row r="9096" spans="1:14" s="2" customFormat="1">
      <c r="A9096" s="83"/>
      <c r="H9096" s="83"/>
      <c r="K9096" s="82"/>
      <c r="M9096" s="112"/>
      <c r="N9096" s="84"/>
    </row>
    <row r="9097" spans="1:14" s="2" customFormat="1">
      <c r="A9097" s="83"/>
      <c r="H9097" s="83"/>
      <c r="K9097" s="82"/>
      <c r="M9097" s="112"/>
      <c r="N9097" s="84"/>
    </row>
    <row r="9098" spans="1:14" s="2" customFormat="1">
      <c r="A9098" s="83"/>
      <c r="H9098" s="83"/>
      <c r="K9098" s="82"/>
      <c r="M9098" s="112"/>
      <c r="N9098" s="84"/>
    </row>
    <row r="9099" spans="1:14" s="2" customFormat="1">
      <c r="A9099" s="83"/>
      <c r="H9099" s="83"/>
      <c r="K9099" s="82"/>
      <c r="M9099" s="112"/>
      <c r="N9099" s="84"/>
    </row>
    <row r="9100" spans="1:14" s="2" customFormat="1">
      <c r="A9100" s="83"/>
      <c r="H9100" s="83"/>
      <c r="K9100" s="82"/>
      <c r="M9100" s="112"/>
      <c r="N9100" s="84"/>
    </row>
    <row r="9101" spans="1:14" s="2" customFormat="1">
      <c r="A9101" s="83"/>
      <c r="H9101" s="83"/>
      <c r="K9101" s="82"/>
      <c r="M9101" s="112"/>
      <c r="N9101" s="84"/>
    </row>
    <row r="9102" spans="1:14" s="2" customFormat="1">
      <c r="A9102" s="83"/>
      <c r="H9102" s="83"/>
      <c r="K9102" s="82"/>
      <c r="M9102" s="112"/>
      <c r="N9102" s="84"/>
    </row>
    <row r="9103" spans="1:14" s="2" customFormat="1">
      <c r="A9103" s="83"/>
      <c r="H9103" s="83"/>
      <c r="K9103" s="82"/>
      <c r="M9103" s="112"/>
      <c r="N9103" s="84"/>
    </row>
    <row r="9104" spans="1:14" s="2" customFormat="1">
      <c r="A9104" s="83"/>
      <c r="H9104" s="83"/>
      <c r="K9104" s="82"/>
      <c r="M9104" s="112"/>
      <c r="N9104" s="84"/>
    </row>
    <row r="9105" spans="1:14" s="2" customFormat="1">
      <c r="A9105" s="83"/>
      <c r="H9105" s="83"/>
      <c r="K9105" s="82"/>
      <c r="M9105" s="112"/>
      <c r="N9105" s="84"/>
    </row>
    <row r="9106" spans="1:14" s="2" customFormat="1">
      <c r="A9106" s="83"/>
      <c r="H9106" s="83"/>
      <c r="K9106" s="82"/>
      <c r="M9106" s="112"/>
      <c r="N9106" s="84"/>
    </row>
    <row r="9107" spans="1:14" s="2" customFormat="1">
      <c r="A9107" s="83"/>
      <c r="H9107" s="83"/>
      <c r="K9107" s="82"/>
      <c r="M9107" s="112"/>
      <c r="N9107" s="84"/>
    </row>
    <row r="9108" spans="1:14" s="2" customFormat="1">
      <c r="A9108" s="83"/>
      <c r="H9108" s="83"/>
      <c r="K9108" s="82"/>
      <c r="M9108" s="112"/>
      <c r="N9108" s="84"/>
    </row>
    <row r="9109" spans="1:14" s="2" customFormat="1">
      <c r="A9109" s="83"/>
      <c r="H9109" s="83"/>
      <c r="K9109" s="82"/>
      <c r="M9109" s="112"/>
      <c r="N9109" s="84"/>
    </row>
    <row r="9110" spans="1:14" s="2" customFormat="1">
      <c r="A9110" s="83"/>
      <c r="H9110" s="83"/>
      <c r="K9110" s="82"/>
      <c r="M9110" s="112"/>
      <c r="N9110" s="84"/>
    </row>
    <row r="9111" spans="1:14" s="2" customFormat="1">
      <c r="A9111" s="83"/>
      <c r="H9111" s="83"/>
      <c r="K9111" s="82"/>
      <c r="M9111" s="112"/>
      <c r="N9111" s="84"/>
    </row>
    <row r="9112" spans="1:14" s="2" customFormat="1">
      <c r="A9112" s="83"/>
      <c r="H9112" s="83"/>
      <c r="K9112" s="82"/>
      <c r="M9112" s="112"/>
      <c r="N9112" s="84"/>
    </row>
    <row r="9113" spans="1:14" s="2" customFormat="1">
      <c r="A9113" s="83"/>
      <c r="H9113" s="83"/>
      <c r="K9113" s="82"/>
      <c r="M9113" s="112"/>
      <c r="N9113" s="84"/>
    </row>
    <row r="9114" spans="1:14" s="2" customFormat="1">
      <c r="A9114" s="83"/>
      <c r="H9114" s="83"/>
      <c r="K9114" s="82"/>
      <c r="M9114" s="112"/>
      <c r="N9114" s="84"/>
    </row>
    <row r="9115" spans="1:14" s="2" customFormat="1">
      <c r="A9115" s="83"/>
      <c r="H9115" s="83"/>
      <c r="K9115" s="82"/>
      <c r="M9115" s="112"/>
      <c r="N9115" s="84"/>
    </row>
    <row r="9116" spans="1:14" s="2" customFormat="1">
      <c r="A9116" s="83"/>
      <c r="H9116" s="83"/>
      <c r="K9116" s="82"/>
      <c r="M9116" s="112"/>
      <c r="N9116" s="84"/>
    </row>
    <row r="9117" spans="1:14" s="2" customFormat="1">
      <c r="A9117" s="83"/>
      <c r="H9117" s="83"/>
      <c r="K9117" s="82"/>
      <c r="M9117" s="112"/>
      <c r="N9117" s="84"/>
    </row>
    <row r="9118" spans="1:14" s="2" customFormat="1">
      <c r="A9118" s="83"/>
      <c r="H9118" s="83"/>
      <c r="K9118" s="82"/>
      <c r="M9118" s="112"/>
      <c r="N9118" s="84"/>
    </row>
    <row r="9119" spans="1:14" s="2" customFormat="1">
      <c r="A9119" s="83"/>
      <c r="H9119" s="83"/>
      <c r="K9119" s="82"/>
      <c r="M9119" s="112"/>
      <c r="N9119" s="84"/>
    </row>
    <row r="9120" spans="1:14" s="2" customFormat="1">
      <c r="A9120" s="83"/>
      <c r="H9120" s="83"/>
      <c r="K9120" s="82"/>
      <c r="M9120" s="112"/>
      <c r="N9120" s="84"/>
    </row>
    <row r="9121" spans="1:14" s="2" customFormat="1">
      <c r="A9121" s="83"/>
      <c r="H9121" s="83"/>
      <c r="K9121" s="82"/>
      <c r="M9121" s="112"/>
      <c r="N9121" s="84"/>
    </row>
    <row r="9122" spans="1:14" s="2" customFormat="1">
      <c r="A9122" s="83"/>
      <c r="H9122" s="83"/>
      <c r="K9122" s="82"/>
      <c r="M9122" s="112"/>
      <c r="N9122" s="84"/>
    </row>
    <row r="9123" spans="1:14" s="2" customFormat="1">
      <c r="A9123" s="83"/>
      <c r="H9123" s="83"/>
      <c r="K9123" s="82"/>
      <c r="M9123" s="112"/>
      <c r="N9123" s="84"/>
    </row>
    <row r="9124" spans="1:14" s="2" customFormat="1">
      <c r="A9124" s="83"/>
      <c r="H9124" s="83"/>
      <c r="K9124" s="82"/>
      <c r="M9124" s="112"/>
      <c r="N9124" s="84"/>
    </row>
    <row r="9125" spans="1:14" s="2" customFormat="1">
      <c r="A9125" s="83"/>
      <c r="H9125" s="83"/>
      <c r="K9125" s="82"/>
      <c r="M9125" s="112"/>
      <c r="N9125" s="84"/>
    </row>
    <row r="9126" spans="1:14" s="2" customFormat="1">
      <c r="A9126" s="83"/>
      <c r="H9126" s="83"/>
      <c r="K9126" s="82"/>
      <c r="M9126" s="112"/>
      <c r="N9126" s="84"/>
    </row>
    <row r="9127" spans="1:14" s="2" customFormat="1">
      <c r="A9127" s="83"/>
      <c r="H9127" s="83"/>
      <c r="K9127" s="82"/>
      <c r="M9127" s="112"/>
      <c r="N9127" s="84"/>
    </row>
    <row r="9128" spans="1:14" s="2" customFormat="1">
      <c r="A9128" s="83"/>
      <c r="H9128" s="83"/>
      <c r="K9128" s="82"/>
      <c r="M9128" s="112"/>
      <c r="N9128" s="84"/>
    </row>
    <row r="9129" spans="1:14" s="2" customFormat="1">
      <c r="A9129" s="83"/>
      <c r="H9129" s="83"/>
      <c r="K9129" s="82"/>
      <c r="M9129" s="112"/>
      <c r="N9129" s="84"/>
    </row>
    <row r="9130" spans="1:14" s="2" customFormat="1">
      <c r="A9130" s="83"/>
      <c r="H9130" s="83"/>
      <c r="K9130" s="82"/>
      <c r="M9130" s="112"/>
      <c r="N9130" s="84"/>
    </row>
    <row r="9131" spans="1:14" s="2" customFormat="1">
      <c r="A9131" s="83"/>
      <c r="H9131" s="83"/>
      <c r="K9131" s="82"/>
      <c r="M9131" s="112"/>
      <c r="N9131" s="84"/>
    </row>
    <row r="9132" spans="1:14" s="2" customFormat="1">
      <c r="A9132" s="83"/>
      <c r="H9132" s="83"/>
      <c r="K9132" s="82"/>
      <c r="M9132" s="112"/>
      <c r="N9132" s="84"/>
    </row>
    <row r="9133" spans="1:14" s="2" customFormat="1">
      <c r="A9133" s="83"/>
      <c r="H9133" s="83"/>
      <c r="K9133" s="82"/>
      <c r="M9133" s="112"/>
      <c r="N9133" s="84"/>
    </row>
    <row r="9134" spans="1:14" s="2" customFormat="1">
      <c r="A9134" s="83"/>
      <c r="H9134" s="83"/>
      <c r="K9134" s="82"/>
      <c r="M9134" s="112"/>
      <c r="N9134" s="84"/>
    </row>
    <row r="9135" spans="1:14" s="2" customFormat="1">
      <c r="A9135" s="83"/>
      <c r="H9135" s="83"/>
      <c r="K9135" s="82"/>
      <c r="M9135" s="112"/>
      <c r="N9135" s="84"/>
    </row>
    <row r="9136" spans="1:14" s="2" customFormat="1">
      <c r="A9136" s="83"/>
      <c r="H9136" s="83"/>
      <c r="K9136" s="82"/>
      <c r="M9136" s="112"/>
      <c r="N9136" s="84"/>
    </row>
    <row r="9137" spans="1:14" s="2" customFormat="1">
      <c r="A9137" s="83"/>
      <c r="H9137" s="83"/>
      <c r="K9137" s="82"/>
      <c r="M9137" s="112"/>
      <c r="N9137" s="84"/>
    </row>
    <row r="9138" spans="1:14" s="2" customFormat="1">
      <c r="A9138" s="83"/>
      <c r="H9138" s="83"/>
      <c r="K9138" s="82"/>
      <c r="M9138" s="112"/>
      <c r="N9138" s="84"/>
    </row>
    <row r="9139" spans="1:14" s="2" customFormat="1">
      <c r="A9139" s="83"/>
      <c r="H9139" s="83"/>
      <c r="K9139" s="82"/>
      <c r="M9139" s="112"/>
      <c r="N9139" s="84"/>
    </row>
    <row r="9140" spans="1:14" s="2" customFormat="1">
      <c r="A9140" s="83"/>
      <c r="H9140" s="83"/>
      <c r="K9140" s="82"/>
      <c r="M9140" s="112"/>
      <c r="N9140" s="84"/>
    </row>
    <row r="9141" spans="1:14" s="2" customFormat="1">
      <c r="A9141" s="83"/>
      <c r="H9141" s="83"/>
      <c r="K9141" s="82"/>
      <c r="M9141" s="112"/>
      <c r="N9141" s="84"/>
    </row>
    <row r="9142" spans="1:14" s="2" customFormat="1">
      <c r="A9142" s="83"/>
      <c r="H9142" s="83"/>
      <c r="K9142" s="82"/>
      <c r="M9142" s="112"/>
      <c r="N9142" s="84"/>
    </row>
    <row r="9143" spans="1:14" s="2" customFormat="1">
      <c r="A9143" s="83"/>
      <c r="H9143" s="83"/>
      <c r="K9143" s="82"/>
      <c r="M9143" s="112"/>
      <c r="N9143" s="84"/>
    </row>
    <row r="9144" spans="1:14" s="2" customFormat="1">
      <c r="A9144" s="83"/>
      <c r="H9144" s="83"/>
      <c r="K9144" s="82"/>
      <c r="M9144" s="112"/>
      <c r="N9144" s="84"/>
    </row>
    <row r="9145" spans="1:14" s="2" customFormat="1">
      <c r="A9145" s="83"/>
      <c r="H9145" s="83"/>
      <c r="K9145" s="82"/>
      <c r="M9145" s="112"/>
      <c r="N9145" s="84"/>
    </row>
    <row r="9146" spans="1:14" s="2" customFormat="1">
      <c r="A9146" s="83"/>
      <c r="H9146" s="83"/>
      <c r="K9146" s="82"/>
      <c r="M9146" s="112"/>
      <c r="N9146" s="84"/>
    </row>
    <row r="9147" spans="1:14" s="2" customFormat="1">
      <c r="A9147" s="83"/>
      <c r="H9147" s="83"/>
      <c r="K9147" s="82"/>
      <c r="M9147" s="112"/>
      <c r="N9147" s="84"/>
    </row>
    <row r="9148" spans="1:14" s="2" customFormat="1">
      <c r="A9148" s="83"/>
      <c r="H9148" s="83"/>
      <c r="K9148" s="82"/>
      <c r="M9148" s="112"/>
      <c r="N9148" s="84"/>
    </row>
    <row r="9149" spans="1:14" s="2" customFormat="1">
      <c r="A9149" s="83"/>
      <c r="H9149" s="83"/>
      <c r="K9149" s="82"/>
      <c r="M9149" s="112"/>
      <c r="N9149" s="84"/>
    </row>
    <row r="9150" spans="1:14" s="2" customFormat="1">
      <c r="A9150" s="83"/>
      <c r="H9150" s="83"/>
      <c r="K9150" s="82"/>
      <c r="M9150" s="112"/>
      <c r="N9150" s="84"/>
    </row>
    <row r="9151" spans="1:14" s="2" customFormat="1">
      <c r="A9151" s="83"/>
      <c r="H9151" s="83"/>
      <c r="K9151" s="82"/>
      <c r="M9151" s="112"/>
      <c r="N9151" s="84"/>
    </row>
    <row r="9152" spans="1:14" s="2" customFormat="1">
      <c r="A9152" s="83"/>
      <c r="H9152" s="83"/>
      <c r="K9152" s="82"/>
      <c r="M9152" s="112"/>
      <c r="N9152" s="84"/>
    </row>
    <row r="9153" spans="1:14" s="2" customFormat="1">
      <c r="A9153" s="83"/>
      <c r="H9153" s="83"/>
      <c r="K9153" s="82"/>
      <c r="M9153" s="112"/>
      <c r="N9153" s="84"/>
    </row>
    <row r="9154" spans="1:14" s="2" customFormat="1">
      <c r="A9154" s="83"/>
      <c r="H9154" s="83"/>
      <c r="K9154" s="82"/>
      <c r="M9154" s="112"/>
      <c r="N9154" s="84"/>
    </row>
    <row r="9155" spans="1:14" s="2" customFormat="1">
      <c r="A9155" s="83"/>
      <c r="H9155" s="83"/>
      <c r="K9155" s="82"/>
      <c r="M9155" s="112"/>
      <c r="N9155" s="84"/>
    </row>
    <row r="9156" spans="1:14" s="2" customFormat="1">
      <c r="A9156" s="83"/>
      <c r="H9156" s="83"/>
      <c r="K9156" s="82"/>
      <c r="M9156" s="112"/>
      <c r="N9156" s="84"/>
    </row>
    <row r="9157" spans="1:14" s="2" customFormat="1">
      <c r="A9157" s="83"/>
      <c r="H9157" s="83"/>
      <c r="K9157" s="82"/>
      <c r="M9157" s="112"/>
      <c r="N9157" s="84"/>
    </row>
    <row r="9158" spans="1:14" s="2" customFormat="1">
      <c r="A9158" s="83"/>
      <c r="H9158" s="83"/>
      <c r="K9158" s="82"/>
      <c r="M9158" s="112"/>
      <c r="N9158" s="84"/>
    </row>
    <row r="9159" spans="1:14" s="2" customFormat="1">
      <c r="A9159" s="83"/>
      <c r="H9159" s="83"/>
      <c r="K9159" s="82"/>
      <c r="M9159" s="112"/>
      <c r="N9159" s="84"/>
    </row>
    <row r="9160" spans="1:14" s="2" customFormat="1">
      <c r="A9160" s="83"/>
      <c r="H9160" s="83"/>
      <c r="K9160" s="82"/>
      <c r="M9160" s="112"/>
      <c r="N9160" s="84"/>
    </row>
    <row r="9161" spans="1:14" s="2" customFormat="1">
      <c r="A9161" s="83"/>
      <c r="H9161" s="83"/>
      <c r="K9161" s="82"/>
      <c r="M9161" s="112"/>
      <c r="N9161" s="84"/>
    </row>
    <row r="9162" spans="1:14" s="2" customFormat="1">
      <c r="A9162" s="83"/>
      <c r="H9162" s="83"/>
      <c r="K9162" s="82"/>
      <c r="M9162" s="112"/>
      <c r="N9162" s="84"/>
    </row>
    <row r="9163" spans="1:14" s="2" customFormat="1">
      <c r="A9163" s="83"/>
      <c r="H9163" s="83"/>
      <c r="K9163" s="82"/>
      <c r="M9163" s="112"/>
      <c r="N9163" s="84"/>
    </row>
    <row r="9164" spans="1:14" s="2" customFormat="1">
      <c r="A9164" s="83"/>
      <c r="H9164" s="83"/>
      <c r="K9164" s="82"/>
      <c r="M9164" s="112"/>
      <c r="N9164" s="84"/>
    </row>
    <row r="9165" spans="1:14" s="2" customFormat="1">
      <c r="A9165" s="83"/>
      <c r="H9165" s="83"/>
      <c r="K9165" s="82"/>
      <c r="M9165" s="112"/>
      <c r="N9165" s="84"/>
    </row>
    <row r="9166" spans="1:14" s="2" customFormat="1">
      <c r="A9166" s="83"/>
      <c r="H9166" s="83"/>
      <c r="K9166" s="82"/>
      <c r="M9166" s="112"/>
      <c r="N9166" s="84"/>
    </row>
    <row r="9167" spans="1:14" s="2" customFormat="1">
      <c r="A9167" s="83"/>
      <c r="H9167" s="83"/>
      <c r="K9167" s="82"/>
      <c r="M9167" s="112"/>
      <c r="N9167" s="84"/>
    </row>
    <row r="9168" spans="1:14" s="2" customFormat="1">
      <c r="A9168" s="83"/>
      <c r="H9168" s="83"/>
      <c r="K9168" s="82"/>
      <c r="M9168" s="112"/>
      <c r="N9168" s="84"/>
    </row>
    <row r="9169" spans="1:14" s="2" customFormat="1">
      <c r="A9169" s="83"/>
      <c r="H9169" s="83"/>
      <c r="K9169" s="82"/>
      <c r="M9169" s="112"/>
      <c r="N9169" s="84"/>
    </row>
    <row r="9170" spans="1:14" s="2" customFormat="1">
      <c r="A9170" s="83"/>
      <c r="H9170" s="83"/>
      <c r="K9170" s="82"/>
      <c r="M9170" s="112"/>
      <c r="N9170" s="84"/>
    </row>
    <row r="9171" spans="1:14" s="2" customFormat="1">
      <c r="A9171" s="83"/>
      <c r="H9171" s="83"/>
      <c r="K9171" s="82"/>
      <c r="M9171" s="112"/>
      <c r="N9171" s="84"/>
    </row>
    <row r="9172" spans="1:14" s="2" customFormat="1">
      <c r="A9172" s="83"/>
      <c r="H9172" s="83"/>
      <c r="K9172" s="82"/>
      <c r="M9172" s="112"/>
      <c r="N9172" s="84"/>
    </row>
    <row r="9173" spans="1:14" s="2" customFormat="1">
      <c r="A9173" s="83"/>
      <c r="H9173" s="83"/>
      <c r="K9173" s="82"/>
      <c r="M9173" s="112"/>
      <c r="N9173" s="84"/>
    </row>
    <row r="9174" spans="1:14" s="2" customFormat="1">
      <c r="A9174" s="83"/>
      <c r="H9174" s="83"/>
      <c r="K9174" s="82"/>
      <c r="M9174" s="112"/>
      <c r="N9174" s="84"/>
    </row>
    <row r="9175" spans="1:14" s="2" customFormat="1">
      <c r="A9175" s="83"/>
      <c r="H9175" s="83"/>
      <c r="K9175" s="82"/>
      <c r="M9175" s="112"/>
      <c r="N9175" s="84"/>
    </row>
    <row r="9176" spans="1:14" s="2" customFormat="1">
      <c r="A9176" s="83"/>
      <c r="H9176" s="83"/>
      <c r="K9176" s="82"/>
      <c r="M9176" s="112"/>
      <c r="N9176" s="84"/>
    </row>
    <row r="9177" spans="1:14" s="2" customFormat="1">
      <c r="A9177" s="83"/>
      <c r="H9177" s="83"/>
      <c r="K9177" s="82"/>
      <c r="M9177" s="112"/>
      <c r="N9177" s="84"/>
    </row>
    <row r="9178" spans="1:14" s="2" customFormat="1">
      <c r="A9178" s="83"/>
      <c r="H9178" s="83"/>
      <c r="K9178" s="82"/>
      <c r="M9178" s="112"/>
      <c r="N9178" s="84"/>
    </row>
    <row r="9179" spans="1:14" s="2" customFormat="1">
      <c r="A9179" s="83"/>
      <c r="H9179" s="83"/>
      <c r="K9179" s="82"/>
      <c r="M9179" s="112"/>
      <c r="N9179" s="84"/>
    </row>
    <row r="9180" spans="1:14" s="2" customFormat="1">
      <c r="A9180" s="83"/>
      <c r="H9180" s="83"/>
      <c r="K9180" s="82"/>
      <c r="M9180" s="112"/>
      <c r="N9180" s="84"/>
    </row>
    <row r="9181" spans="1:14" s="2" customFormat="1">
      <c r="A9181" s="83"/>
      <c r="H9181" s="83"/>
      <c r="K9181" s="82"/>
      <c r="M9181" s="112"/>
      <c r="N9181" s="84"/>
    </row>
    <row r="9182" spans="1:14" s="2" customFormat="1">
      <c r="A9182" s="83"/>
      <c r="H9182" s="83"/>
      <c r="K9182" s="82"/>
      <c r="M9182" s="112"/>
      <c r="N9182" s="84"/>
    </row>
    <row r="9183" spans="1:14" s="2" customFormat="1">
      <c r="A9183" s="83"/>
      <c r="H9183" s="83"/>
      <c r="K9183" s="82"/>
      <c r="M9183" s="112"/>
      <c r="N9183" s="84"/>
    </row>
    <row r="9184" spans="1:14" s="2" customFormat="1">
      <c r="A9184" s="83"/>
      <c r="H9184" s="83"/>
      <c r="K9184" s="82"/>
      <c r="M9184" s="112"/>
      <c r="N9184" s="84"/>
    </row>
    <row r="9185" spans="1:14" s="2" customFormat="1">
      <c r="A9185" s="83"/>
      <c r="H9185" s="83"/>
      <c r="K9185" s="82"/>
      <c r="M9185" s="112"/>
      <c r="N9185" s="84"/>
    </row>
    <row r="9186" spans="1:14" s="2" customFormat="1">
      <c r="A9186" s="83"/>
      <c r="H9186" s="83"/>
      <c r="K9186" s="82"/>
      <c r="M9186" s="112"/>
      <c r="N9186" s="84"/>
    </row>
    <row r="9187" spans="1:14" s="2" customFormat="1">
      <c r="A9187" s="83"/>
      <c r="H9187" s="83"/>
      <c r="K9187" s="82"/>
      <c r="M9187" s="112"/>
      <c r="N9187" s="84"/>
    </row>
    <row r="9188" spans="1:14" s="2" customFormat="1">
      <c r="A9188" s="83"/>
      <c r="H9188" s="83"/>
      <c r="K9188" s="82"/>
      <c r="M9188" s="112"/>
      <c r="N9188" s="84"/>
    </row>
    <row r="9189" spans="1:14" s="2" customFormat="1">
      <c r="A9189" s="83"/>
      <c r="H9189" s="83"/>
      <c r="K9189" s="82"/>
      <c r="M9189" s="112"/>
      <c r="N9189" s="84"/>
    </row>
    <row r="9190" spans="1:14" s="2" customFormat="1">
      <c r="A9190" s="83"/>
      <c r="H9190" s="83"/>
      <c r="K9190" s="82"/>
      <c r="M9190" s="112"/>
      <c r="N9190" s="84"/>
    </row>
    <row r="9191" spans="1:14" s="2" customFormat="1">
      <c r="A9191" s="83"/>
      <c r="H9191" s="83"/>
      <c r="K9191" s="82"/>
      <c r="M9191" s="112"/>
      <c r="N9191" s="84"/>
    </row>
    <row r="9192" spans="1:14" s="2" customFormat="1">
      <c r="A9192" s="83"/>
      <c r="H9192" s="83"/>
      <c r="K9192" s="82"/>
      <c r="M9192" s="112"/>
      <c r="N9192" s="84"/>
    </row>
    <row r="9193" spans="1:14" s="2" customFormat="1">
      <c r="A9193" s="83"/>
      <c r="H9193" s="83"/>
      <c r="K9193" s="82"/>
      <c r="M9193" s="112"/>
      <c r="N9193" s="84"/>
    </row>
    <row r="9194" spans="1:14" s="2" customFormat="1">
      <c r="A9194" s="83"/>
      <c r="H9194" s="83"/>
      <c r="K9194" s="82"/>
      <c r="M9194" s="112"/>
      <c r="N9194" s="84"/>
    </row>
    <row r="9195" spans="1:14" s="2" customFormat="1">
      <c r="A9195" s="83"/>
      <c r="H9195" s="83"/>
      <c r="K9195" s="82"/>
      <c r="M9195" s="112"/>
      <c r="N9195" s="84"/>
    </row>
    <row r="9196" spans="1:14" s="2" customFormat="1">
      <c r="A9196" s="83"/>
      <c r="H9196" s="83"/>
      <c r="K9196" s="82"/>
      <c r="M9196" s="112"/>
      <c r="N9196" s="84"/>
    </row>
    <row r="9197" spans="1:14" s="2" customFormat="1">
      <c r="A9197" s="83"/>
      <c r="H9197" s="83"/>
      <c r="K9197" s="82"/>
      <c r="M9197" s="112"/>
      <c r="N9197" s="84"/>
    </row>
    <row r="9198" spans="1:14" s="2" customFormat="1">
      <c r="A9198" s="83"/>
      <c r="H9198" s="83"/>
      <c r="K9198" s="82"/>
      <c r="M9198" s="112"/>
      <c r="N9198" s="84"/>
    </row>
    <row r="9199" spans="1:14" s="2" customFormat="1">
      <c r="A9199" s="83"/>
      <c r="H9199" s="83"/>
      <c r="K9199" s="82"/>
      <c r="M9199" s="112"/>
      <c r="N9199" s="84"/>
    </row>
    <row r="9200" spans="1:14" s="2" customFormat="1">
      <c r="A9200" s="83"/>
      <c r="H9200" s="83"/>
      <c r="K9200" s="82"/>
      <c r="M9200" s="112"/>
      <c r="N9200" s="84"/>
    </row>
    <row r="9201" spans="1:14" s="2" customFormat="1">
      <c r="A9201" s="83"/>
      <c r="H9201" s="83"/>
      <c r="K9201" s="82"/>
      <c r="M9201" s="112"/>
      <c r="N9201" s="84"/>
    </row>
    <row r="9202" spans="1:14" s="2" customFormat="1">
      <c r="A9202" s="83"/>
      <c r="H9202" s="83"/>
      <c r="K9202" s="82"/>
      <c r="M9202" s="112"/>
      <c r="N9202" s="84"/>
    </row>
    <row r="9203" spans="1:14" s="2" customFormat="1">
      <c r="A9203" s="83"/>
      <c r="H9203" s="83"/>
      <c r="K9203" s="82"/>
      <c r="M9203" s="112"/>
      <c r="N9203" s="84"/>
    </row>
    <row r="9204" spans="1:14" s="2" customFormat="1">
      <c r="A9204" s="83"/>
      <c r="H9204" s="83"/>
      <c r="K9204" s="82"/>
      <c r="M9204" s="112"/>
      <c r="N9204" s="84"/>
    </row>
    <row r="9205" spans="1:14" s="2" customFormat="1">
      <c r="A9205" s="83"/>
      <c r="H9205" s="83"/>
      <c r="K9205" s="82"/>
      <c r="M9205" s="112"/>
      <c r="N9205" s="84"/>
    </row>
    <row r="9206" spans="1:14" s="2" customFormat="1">
      <c r="A9206" s="83"/>
      <c r="H9206" s="83"/>
      <c r="K9206" s="82"/>
      <c r="M9206" s="112"/>
      <c r="N9206" s="84"/>
    </row>
    <row r="9207" spans="1:14" s="2" customFormat="1">
      <c r="A9207" s="83"/>
      <c r="H9207" s="83"/>
      <c r="K9207" s="82"/>
      <c r="M9207" s="112"/>
      <c r="N9207" s="84"/>
    </row>
    <row r="9208" spans="1:14" s="2" customFormat="1">
      <c r="A9208" s="83"/>
      <c r="H9208" s="83"/>
      <c r="K9208" s="82"/>
      <c r="M9208" s="112"/>
      <c r="N9208" s="84"/>
    </row>
    <row r="9209" spans="1:14" s="2" customFormat="1">
      <c r="A9209" s="83"/>
      <c r="H9209" s="83"/>
      <c r="K9209" s="82"/>
      <c r="M9209" s="112"/>
      <c r="N9209" s="84"/>
    </row>
    <row r="9210" spans="1:14" s="2" customFormat="1">
      <c r="A9210" s="83"/>
      <c r="H9210" s="83"/>
      <c r="K9210" s="82"/>
      <c r="M9210" s="112"/>
      <c r="N9210" s="84"/>
    </row>
    <row r="9211" spans="1:14" s="2" customFormat="1">
      <c r="A9211" s="83"/>
      <c r="H9211" s="83"/>
      <c r="K9211" s="82"/>
      <c r="M9211" s="112"/>
      <c r="N9211" s="84"/>
    </row>
    <row r="9212" spans="1:14" s="2" customFormat="1">
      <c r="A9212" s="83"/>
      <c r="H9212" s="83"/>
      <c r="K9212" s="82"/>
      <c r="M9212" s="112"/>
      <c r="N9212" s="84"/>
    </row>
    <row r="9213" spans="1:14" s="2" customFormat="1">
      <c r="A9213" s="83"/>
      <c r="H9213" s="83"/>
      <c r="K9213" s="82"/>
      <c r="M9213" s="112"/>
      <c r="N9213" s="84"/>
    </row>
    <row r="9214" spans="1:14" s="2" customFormat="1">
      <c r="A9214" s="83"/>
      <c r="H9214" s="83"/>
      <c r="K9214" s="82"/>
      <c r="M9214" s="112"/>
      <c r="N9214" s="84"/>
    </row>
    <row r="9215" spans="1:14" s="2" customFormat="1">
      <c r="A9215" s="83"/>
      <c r="H9215" s="83"/>
      <c r="K9215" s="82"/>
      <c r="M9215" s="112"/>
      <c r="N9215" s="84"/>
    </row>
    <row r="9216" spans="1:14" s="2" customFormat="1">
      <c r="A9216" s="83"/>
      <c r="H9216" s="83"/>
      <c r="K9216" s="82"/>
      <c r="M9216" s="112"/>
      <c r="N9216" s="84"/>
    </row>
    <row r="9217" spans="1:14" s="2" customFormat="1">
      <c r="A9217" s="83"/>
      <c r="H9217" s="83"/>
      <c r="K9217" s="82"/>
      <c r="M9217" s="112"/>
      <c r="N9217" s="84"/>
    </row>
    <row r="9218" spans="1:14" s="2" customFormat="1">
      <c r="A9218" s="83"/>
      <c r="H9218" s="83"/>
      <c r="K9218" s="82"/>
      <c r="M9218" s="112"/>
      <c r="N9218" s="84"/>
    </row>
    <row r="9219" spans="1:14" s="2" customFormat="1">
      <c r="A9219" s="83"/>
      <c r="H9219" s="83"/>
      <c r="K9219" s="82"/>
      <c r="M9219" s="112"/>
      <c r="N9219" s="84"/>
    </row>
    <row r="9220" spans="1:14" s="2" customFormat="1">
      <c r="A9220" s="83"/>
      <c r="H9220" s="83"/>
      <c r="K9220" s="82"/>
      <c r="M9220" s="112"/>
      <c r="N9220" s="84"/>
    </row>
    <row r="9221" spans="1:14" s="2" customFormat="1">
      <c r="A9221" s="83"/>
      <c r="H9221" s="83"/>
      <c r="K9221" s="82"/>
      <c r="M9221" s="112"/>
      <c r="N9221" s="84"/>
    </row>
    <row r="9222" spans="1:14" s="2" customFormat="1">
      <c r="A9222" s="83"/>
      <c r="H9222" s="83"/>
      <c r="K9222" s="82"/>
      <c r="M9222" s="112"/>
      <c r="N9222" s="84"/>
    </row>
    <row r="9223" spans="1:14" s="2" customFormat="1">
      <c r="A9223" s="83"/>
      <c r="H9223" s="83"/>
      <c r="K9223" s="82"/>
      <c r="M9223" s="112"/>
      <c r="N9223" s="84"/>
    </row>
    <row r="9224" spans="1:14" s="2" customFormat="1">
      <c r="A9224" s="83"/>
      <c r="H9224" s="83"/>
      <c r="K9224" s="82"/>
      <c r="M9224" s="112"/>
      <c r="N9224" s="84"/>
    </row>
    <row r="9225" spans="1:14" s="2" customFormat="1">
      <c r="A9225" s="83"/>
      <c r="H9225" s="83"/>
      <c r="K9225" s="82"/>
      <c r="M9225" s="112"/>
      <c r="N9225" s="84"/>
    </row>
    <row r="9226" spans="1:14" s="2" customFormat="1">
      <c r="A9226" s="83"/>
      <c r="H9226" s="83"/>
      <c r="K9226" s="82"/>
      <c r="M9226" s="112"/>
      <c r="N9226" s="84"/>
    </row>
    <row r="9227" spans="1:14" s="2" customFormat="1">
      <c r="A9227" s="83"/>
      <c r="H9227" s="83"/>
      <c r="K9227" s="82"/>
      <c r="M9227" s="112"/>
      <c r="N9227" s="84"/>
    </row>
    <row r="9228" spans="1:14" s="2" customFormat="1">
      <c r="A9228" s="83"/>
      <c r="H9228" s="83"/>
      <c r="K9228" s="82"/>
      <c r="M9228" s="112"/>
      <c r="N9228" s="84"/>
    </row>
    <row r="9229" spans="1:14" s="2" customFormat="1">
      <c r="A9229" s="83"/>
      <c r="H9229" s="83"/>
      <c r="K9229" s="82"/>
      <c r="M9229" s="112"/>
      <c r="N9229" s="84"/>
    </row>
    <row r="9230" spans="1:14" s="2" customFormat="1">
      <c r="A9230" s="83"/>
      <c r="H9230" s="83"/>
      <c r="K9230" s="82"/>
      <c r="M9230" s="112"/>
      <c r="N9230" s="84"/>
    </row>
    <row r="9231" spans="1:14" s="2" customFormat="1">
      <c r="A9231" s="83"/>
      <c r="H9231" s="83"/>
      <c r="K9231" s="82"/>
      <c r="M9231" s="112"/>
      <c r="N9231" s="84"/>
    </row>
    <row r="9232" spans="1:14" s="2" customFormat="1">
      <c r="A9232" s="83"/>
      <c r="H9232" s="83"/>
      <c r="K9232" s="82"/>
      <c r="M9232" s="112"/>
      <c r="N9232" s="84"/>
    </row>
    <row r="9233" spans="1:14" s="2" customFormat="1">
      <c r="A9233" s="83"/>
      <c r="H9233" s="83"/>
      <c r="K9233" s="82"/>
      <c r="M9233" s="112"/>
      <c r="N9233" s="84"/>
    </row>
    <row r="9234" spans="1:14" s="2" customFormat="1">
      <c r="A9234" s="83"/>
      <c r="H9234" s="83"/>
      <c r="K9234" s="82"/>
      <c r="M9234" s="112"/>
      <c r="N9234" s="84"/>
    </row>
    <row r="9235" spans="1:14" s="2" customFormat="1">
      <c r="A9235" s="83"/>
      <c r="H9235" s="83"/>
      <c r="K9235" s="82"/>
      <c r="M9235" s="112"/>
      <c r="N9235" s="84"/>
    </row>
    <row r="9236" spans="1:14" s="2" customFormat="1">
      <c r="A9236" s="83"/>
      <c r="H9236" s="83"/>
      <c r="K9236" s="82"/>
      <c r="M9236" s="112"/>
      <c r="N9236" s="84"/>
    </row>
    <row r="9237" spans="1:14" s="2" customFormat="1">
      <c r="A9237" s="83"/>
      <c r="H9237" s="83"/>
      <c r="K9237" s="82"/>
      <c r="M9237" s="112"/>
      <c r="N9237" s="84"/>
    </row>
    <row r="9238" spans="1:14" s="2" customFormat="1">
      <c r="A9238" s="83"/>
      <c r="H9238" s="83"/>
      <c r="K9238" s="82"/>
      <c r="M9238" s="112"/>
      <c r="N9238" s="84"/>
    </row>
    <row r="9239" spans="1:14" s="2" customFormat="1">
      <c r="A9239" s="83"/>
      <c r="H9239" s="83"/>
      <c r="K9239" s="82"/>
      <c r="M9239" s="112"/>
      <c r="N9239" s="84"/>
    </row>
    <row r="9240" spans="1:14" s="2" customFormat="1">
      <c r="A9240" s="83"/>
      <c r="H9240" s="83"/>
      <c r="K9240" s="82"/>
      <c r="M9240" s="112"/>
      <c r="N9240" s="84"/>
    </row>
    <row r="9241" spans="1:14" s="2" customFormat="1">
      <c r="A9241" s="83"/>
      <c r="H9241" s="83"/>
      <c r="K9241" s="82"/>
      <c r="M9241" s="112"/>
      <c r="N9241" s="84"/>
    </row>
    <row r="9242" spans="1:14" s="2" customFormat="1">
      <c r="A9242" s="83"/>
      <c r="H9242" s="83"/>
      <c r="K9242" s="82"/>
      <c r="M9242" s="112"/>
      <c r="N9242" s="84"/>
    </row>
    <row r="9243" spans="1:14" s="2" customFormat="1">
      <c r="A9243" s="83"/>
      <c r="H9243" s="83"/>
      <c r="K9243" s="82"/>
      <c r="M9243" s="112"/>
      <c r="N9243" s="84"/>
    </row>
    <row r="9244" spans="1:14" s="2" customFormat="1">
      <c r="A9244" s="83"/>
      <c r="H9244" s="83"/>
      <c r="K9244" s="82"/>
      <c r="M9244" s="112"/>
      <c r="N9244" s="84"/>
    </row>
    <row r="9245" spans="1:14" s="2" customFormat="1">
      <c r="A9245" s="83"/>
      <c r="H9245" s="83"/>
      <c r="K9245" s="82"/>
      <c r="M9245" s="112"/>
      <c r="N9245" s="84"/>
    </row>
    <row r="9246" spans="1:14" s="2" customFormat="1">
      <c r="A9246" s="83"/>
      <c r="H9246" s="83"/>
      <c r="K9246" s="82"/>
      <c r="M9246" s="112"/>
      <c r="N9246" s="84"/>
    </row>
    <row r="9247" spans="1:14" s="2" customFormat="1">
      <c r="A9247" s="83"/>
      <c r="H9247" s="83"/>
      <c r="K9247" s="82"/>
      <c r="M9247" s="112"/>
      <c r="N9247" s="84"/>
    </row>
    <row r="9248" spans="1:14" s="2" customFormat="1">
      <c r="A9248" s="83"/>
      <c r="H9248" s="83"/>
      <c r="K9248" s="82"/>
      <c r="M9248" s="112"/>
      <c r="N9248" s="84"/>
    </row>
    <row r="9249" spans="1:14" s="2" customFormat="1">
      <c r="A9249" s="83"/>
      <c r="H9249" s="83"/>
      <c r="K9249" s="82"/>
      <c r="M9249" s="112"/>
      <c r="N9249" s="84"/>
    </row>
    <row r="9250" spans="1:14" s="2" customFormat="1">
      <c r="A9250" s="83"/>
      <c r="H9250" s="83"/>
      <c r="K9250" s="82"/>
      <c r="M9250" s="112"/>
      <c r="N9250" s="84"/>
    </row>
    <row r="9251" spans="1:14" s="2" customFormat="1">
      <c r="A9251" s="83"/>
      <c r="H9251" s="83"/>
      <c r="K9251" s="82"/>
      <c r="M9251" s="112"/>
      <c r="N9251" s="84"/>
    </row>
    <row r="9252" spans="1:14" s="2" customFormat="1">
      <c r="A9252" s="83"/>
      <c r="H9252" s="83"/>
      <c r="K9252" s="82"/>
      <c r="M9252" s="112"/>
      <c r="N9252" s="84"/>
    </row>
    <row r="9253" spans="1:14" s="2" customFormat="1">
      <c r="A9253" s="83"/>
      <c r="H9253" s="83"/>
      <c r="K9253" s="82"/>
      <c r="M9253" s="112"/>
      <c r="N9253" s="84"/>
    </row>
    <row r="9254" spans="1:14" s="2" customFormat="1">
      <c r="A9254" s="83"/>
      <c r="H9254" s="83"/>
      <c r="K9254" s="82"/>
      <c r="M9254" s="112"/>
      <c r="N9254" s="84"/>
    </row>
    <row r="9255" spans="1:14" s="2" customFormat="1">
      <c r="A9255" s="83"/>
      <c r="H9255" s="83"/>
      <c r="K9255" s="82"/>
      <c r="M9255" s="112"/>
      <c r="N9255" s="84"/>
    </row>
    <row r="9256" spans="1:14" s="2" customFormat="1">
      <c r="A9256" s="83"/>
      <c r="H9256" s="83"/>
      <c r="K9256" s="82"/>
      <c r="M9256" s="112"/>
      <c r="N9256" s="84"/>
    </row>
    <row r="9257" spans="1:14" s="2" customFormat="1">
      <c r="A9257" s="83"/>
      <c r="H9257" s="83"/>
      <c r="K9257" s="82"/>
      <c r="M9257" s="112"/>
      <c r="N9257" s="84"/>
    </row>
    <row r="9258" spans="1:14" s="2" customFormat="1">
      <c r="A9258" s="83"/>
      <c r="H9258" s="83"/>
      <c r="K9258" s="82"/>
      <c r="M9258" s="112"/>
      <c r="N9258" s="84"/>
    </row>
    <row r="9259" spans="1:14" s="2" customFormat="1">
      <c r="A9259" s="83"/>
      <c r="H9259" s="83"/>
      <c r="K9259" s="82"/>
      <c r="M9259" s="112"/>
      <c r="N9259" s="84"/>
    </row>
    <row r="9260" spans="1:14" s="2" customFormat="1">
      <c r="A9260" s="83"/>
      <c r="H9260" s="83"/>
      <c r="K9260" s="82"/>
      <c r="M9260" s="112"/>
      <c r="N9260" s="84"/>
    </row>
    <row r="9261" spans="1:14" s="2" customFormat="1">
      <c r="A9261" s="83"/>
      <c r="H9261" s="83"/>
      <c r="K9261" s="82"/>
      <c r="M9261" s="112"/>
      <c r="N9261" s="84"/>
    </row>
    <row r="9262" spans="1:14" s="2" customFormat="1">
      <c r="A9262" s="83"/>
      <c r="H9262" s="83"/>
      <c r="K9262" s="82"/>
      <c r="M9262" s="112"/>
      <c r="N9262" s="84"/>
    </row>
    <row r="9263" spans="1:14" s="2" customFormat="1">
      <c r="A9263" s="83"/>
      <c r="H9263" s="83"/>
      <c r="K9263" s="82"/>
      <c r="M9263" s="112"/>
      <c r="N9263" s="84"/>
    </row>
    <row r="9264" spans="1:14" s="2" customFormat="1">
      <c r="A9264" s="83"/>
      <c r="H9264" s="83"/>
      <c r="K9264" s="82"/>
      <c r="M9264" s="112"/>
      <c r="N9264" s="84"/>
    </row>
    <row r="9265" spans="1:14" s="2" customFormat="1">
      <c r="A9265" s="83"/>
      <c r="H9265" s="83"/>
      <c r="K9265" s="82"/>
      <c r="M9265" s="112"/>
      <c r="N9265" s="84"/>
    </row>
    <row r="9266" spans="1:14" s="2" customFormat="1">
      <c r="A9266" s="83"/>
      <c r="H9266" s="83"/>
      <c r="K9266" s="82"/>
      <c r="M9266" s="112"/>
      <c r="N9266" s="84"/>
    </row>
    <row r="9267" spans="1:14" s="2" customFormat="1">
      <c r="A9267" s="83"/>
      <c r="H9267" s="83"/>
      <c r="K9267" s="82"/>
      <c r="M9267" s="112"/>
      <c r="N9267" s="84"/>
    </row>
    <row r="9268" spans="1:14" s="2" customFormat="1">
      <c r="A9268" s="83"/>
      <c r="H9268" s="83"/>
      <c r="K9268" s="82"/>
      <c r="M9268" s="112"/>
      <c r="N9268" s="84"/>
    </row>
    <row r="9269" spans="1:14" s="2" customFormat="1">
      <c r="A9269" s="83"/>
      <c r="H9269" s="83"/>
      <c r="K9269" s="82"/>
      <c r="M9269" s="112"/>
      <c r="N9269" s="84"/>
    </row>
    <row r="9270" spans="1:14" s="2" customFormat="1">
      <c r="A9270" s="83"/>
      <c r="H9270" s="83"/>
      <c r="K9270" s="82"/>
      <c r="M9270" s="112"/>
      <c r="N9270" s="84"/>
    </row>
    <row r="9271" spans="1:14" s="2" customFormat="1">
      <c r="A9271" s="83"/>
      <c r="H9271" s="83"/>
      <c r="K9271" s="82"/>
      <c r="M9271" s="112"/>
      <c r="N9271" s="84"/>
    </row>
    <row r="9272" spans="1:14" s="2" customFormat="1">
      <c r="A9272" s="83"/>
      <c r="H9272" s="83"/>
      <c r="K9272" s="82"/>
      <c r="M9272" s="112"/>
      <c r="N9272" s="84"/>
    </row>
    <row r="9273" spans="1:14" s="2" customFormat="1">
      <c r="A9273" s="83"/>
      <c r="H9273" s="83"/>
      <c r="K9273" s="82"/>
      <c r="M9273" s="112"/>
      <c r="N9273" s="84"/>
    </row>
    <row r="9274" spans="1:14" s="2" customFormat="1">
      <c r="A9274" s="83"/>
      <c r="H9274" s="83"/>
      <c r="K9274" s="82"/>
      <c r="M9274" s="112"/>
      <c r="N9274" s="84"/>
    </row>
    <row r="9275" spans="1:14" s="2" customFormat="1">
      <c r="A9275" s="83"/>
      <c r="H9275" s="83"/>
      <c r="K9275" s="82"/>
      <c r="M9275" s="112"/>
      <c r="N9275" s="84"/>
    </row>
    <row r="9276" spans="1:14" s="2" customFormat="1">
      <c r="A9276" s="83"/>
      <c r="H9276" s="83"/>
      <c r="K9276" s="82"/>
      <c r="M9276" s="112"/>
      <c r="N9276" s="84"/>
    </row>
    <row r="9277" spans="1:14" s="2" customFormat="1">
      <c r="A9277" s="83"/>
      <c r="H9277" s="83"/>
      <c r="K9277" s="82"/>
      <c r="M9277" s="112"/>
      <c r="N9277" s="84"/>
    </row>
    <row r="9278" spans="1:14" s="2" customFormat="1">
      <c r="A9278" s="83"/>
      <c r="H9278" s="83"/>
      <c r="K9278" s="82"/>
      <c r="M9278" s="112"/>
      <c r="N9278" s="84"/>
    </row>
    <row r="9279" spans="1:14" s="2" customFormat="1">
      <c r="A9279" s="83"/>
      <c r="H9279" s="83"/>
      <c r="K9279" s="82"/>
      <c r="M9279" s="112"/>
      <c r="N9279" s="84"/>
    </row>
    <row r="9280" spans="1:14" s="2" customFormat="1">
      <c r="A9280" s="83"/>
      <c r="H9280" s="83"/>
      <c r="K9280" s="82"/>
      <c r="M9280" s="112"/>
      <c r="N9280" s="84"/>
    </row>
    <row r="9281" spans="1:14" s="2" customFormat="1">
      <c r="A9281" s="83"/>
      <c r="H9281" s="83"/>
      <c r="K9281" s="82"/>
      <c r="M9281" s="112"/>
      <c r="N9281" s="84"/>
    </row>
    <row r="9282" spans="1:14" s="2" customFormat="1">
      <c r="A9282" s="83"/>
      <c r="H9282" s="83"/>
      <c r="K9282" s="82"/>
      <c r="M9282" s="112"/>
      <c r="N9282" s="84"/>
    </row>
    <row r="9283" spans="1:14" s="2" customFormat="1">
      <c r="A9283" s="83"/>
      <c r="H9283" s="83"/>
      <c r="K9283" s="82"/>
      <c r="M9283" s="112"/>
      <c r="N9283" s="84"/>
    </row>
    <row r="9284" spans="1:14" s="2" customFormat="1">
      <c r="A9284" s="83"/>
      <c r="H9284" s="83"/>
      <c r="K9284" s="82"/>
      <c r="M9284" s="112"/>
      <c r="N9284" s="84"/>
    </row>
    <row r="9285" spans="1:14" s="2" customFormat="1">
      <c r="A9285" s="83"/>
      <c r="H9285" s="83"/>
      <c r="K9285" s="82"/>
      <c r="M9285" s="112"/>
      <c r="N9285" s="84"/>
    </row>
    <row r="9286" spans="1:14" s="2" customFormat="1">
      <c r="A9286" s="83"/>
      <c r="H9286" s="83"/>
      <c r="K9286" s="82"/>
      <c r="M9286" s="112"/>
      <c r="N9286" s="84"/>
    </row>
    <row r="9287" spans="1:14" s="2" customFormat="1">
      <c r="A9287" s="83"/>
      <c r="H9287" s="83"/>
      <c r="K9287" s="82"/>
      <c r="M9287" s="112"/>
      <c r="N9287" s="84"/>
    </row>
    <row r="9288" spans="1:14" s="2" customFormat="1">
      <c r="A9288" s="83"/>
      <c r="H9288" s="83"/>
      <c r="K9288" s="82"/>
      <c r="M9288" s="112"/>
      <c r="N9288" s="84"/>
    </row>
    <row r="9289" spans="1:14" s="2" customFormat="1">
      <c r="A9289" s="83"/>
      <c r="H9289" s="83"/>
      <c r="K9289" s="82"/>
      <c r="M9289" s="112"/>
      <c r="N9289" s="84"/>
    </row>
    <row r="9290" spans="1:14" s="2" customFormat="1">
      <c r="A9290" s="83"/>
      <c r="H9290" s="83"/>
      <c r="K9290" s="82"/>
      <c r="M9290" s="112"/>
      <c r="N9290" s="84"/>
    </row>
    <row r="9291" spans="1:14" s="2" customFormat="1">
      <c r="A9291" s="83"/>
      <c r="H9291" s="83"/>
      <c r="K9291" s="82"/>
      <c r="M9291" s="112"/>
      <c r="N9291" s="84"/>
    </row>
    <row r="9292" spans="1:14" s="2" customFormat="1">
      <c r="A9292" s="83"/>
      <c r="H9292" s="83"/>
      <c r="K9292" s="82"/>
      <c r="M9292" s="112"/>
      <c r="N9292" s="84"/>
    </row>
    <row r="9293" spans="1:14" s="2" customFormat="1">
      <c r="A9293" s="83"/>
      <c r="H9293" s="83"/>
      <c r="K9293" s="82"/>
      <c r="M9293" s="112"/>
      <c r="N9293" s="84"/>
    </row>
    <row r="9294" spans="1:14" s="2" customFormat="1">
      <c r="A9294" s="83"/>
      <c r="H9294" s="83"/>
      <c r="K9294" s="82"/>
      <c r="M9294" s="112"/>
      <c r="N9294" s="84"/>
    </row>
    <row r="9295" spans="1:14" s="2" customFormat="1">
      <c r="A9295" s="83"/>
      <c r="H9295" s="83"/>
      <c r="K9295" s="82"/>
      <c r="M9295" s="112"/>
      <c r="N9295" s="84"/>
    </row>
    <row r="9296" spans="1:14" s="2" customFormat="1">
      <c r="A9296" s="83"/>
      <c r="H9296" s="83"/>
      <c r="K9296" s="82"/>
      <c r="M9296" s="112"/>
      <c r="N9296" s="84"/>
    </row>
    <row r="9297" spans="1:14" s="2" customFormat="1">
      <c r="A9297" s="83"/>
      <c r="H9297" s="83"/>
      <c r="K9297" s="82"/>
      <c r="M9297" s="112"/>
      <c r="N9297" s="84"/>
    </row>
    <row r="9298" spans="1:14" s="2" customFormat="1">
      <c r="A9298" s="83"/>
      <c r="H9298" s="83"/>
      <c r="K9298" s="82"/>
      <c r="M9298" s="112"/>
      <c r="N9298" s="84"/>
    </row>
    <row r="9299" spans="1:14" s="2" customFormat="1">
      <c r="A9299" s="83"/>
      <c r="H9299" s="83"/>
      <c r="K9299" s="82"/>
      <c r="M9299" s="112"/>
      <c r="N9299" s="84"/>
    </row>
    <row r="9300" spans="1:14" s="2" customFormat="1">
      <c r="A9300" s="83"/>
      <c r="H9300" s="83"/>
      <c r="K9300" s="82"/>
      <c r="M9300" s="112"/>
      <c r="N9300" s="84"/>
    </row>
    <row r="9301" spans="1:14" s="2" customFormat="1">
      <c r="A9301" s="83"/>
      <c r="H9301" s="83"/>
      <c r="K9301" s="82"/>
      <c r="M9301" s="112"/>
      <c r="N9301" s="84"/>
    </row>
    <row r="9302" spans="1:14" s="2" customFormat="1">
      <c r="A9302" s="83"/>
      <c r="H9302" s="83"/>
      <c r="K9302" s="82"/>
      <c r="M9302" s="112"/>
      <c r="N9302" s="84"/>
    </row>
    <row r="9303" spans="1:14" s="2" customFormat="1">
      <c r="A9303" s="83"/>
      <c r="H9303" s="83"/>
      <c r="K9303" s="82"/>
      <c r="M9303" s="112"/>
      <c r="N9303" s="84"/>
    </row>
    <row r="9304" spans="1:14" s="2" customFormat="1">
      <c r="A9304" s="83"/>
      <c r="H9304" s="83"/>
      <c r="K9304" s="82"/>
      <c r="M9304" s="112"/>
      <c r="N9304" s="84"/>
    </row>
    <row r="9305" spans="1:14" s="2" customFormat="1">
      <c r="A9305" s="83"/>
      <c r="H9305" s="83"/>
      <c r="K9305" s="82"/>
      <c r="M9305" s="112"/>
      <c r="N9305" s="84"/>
    </row>
    <row r="9306" spans="1:14" s="2" customFormat="1">
      <c r="A9306" s="83"/>
      <c r="H9306" s="83"/>
      <c r="K9306" s="82"/>
      <c r="M9306" s="112"/>
      <c r="N9306" s="84"/>
    </row>
    <row r="9307" spans="1:14" s="2" customFormat="1">
      <c r="A9307" s="83"/>
      <c r="H9307" s="83"/>
      <c r="K9307" s="82"/>
      <c r="M9307" s="112"/>
      <c r="N9307" s="84"/>
    </row>
    <row r="9308" spans="1:14" s="2" customFormat="1">
      <c r="A9308" s="83"/>
      <c r="H9308" s="83"/>
      <c r="K9308" s="82"/>
      <c r="M9308" s="112"/>
      <c r="N9308" s="84"/>
    </row>
    <row r="9309" spans="1:14" s="2" customFormat="1">
      <c r="A9309" s="83"/>
      <c r="H9309" s="83"/>
      <c r="K9309" s="82"/>
      <c r="M9309" s="112"/>
      <c r="N9309" s="84"/>
    </row>
    <row r="9310" spans="1:14" s="2" customFormat="1">
      <c r="A9310" s="83"/>
      <c r="H9310" s="83"/>
      <c r="K9310" s="82"/>
      <c r="M9310" s="112"/>
      <c r="N9310" s="84"/>
    </row>
    <row r="9311" spans="1:14" s="2" customFormat="1">
      <c r="A9311" s="83"/>
      <c r="H9311" s="83"/>
      <c r="K9311" s="82"/>
      <c r="M9311" s="112"/>
      <c r="N9311" s="84"/>
    </row>
    <row r="9312" spans="1:14" s="2" customFormat="1">
      <c r="A9312" s="83"/>
      <c r="H9312" s="83"/>
      <c r="K9312" s="82"/>
      <c r="M9312" s="112"/>
      <c r="N9312" s="84"/>
    </row>
    <row r="9313" spans="1:14" s="2" customFormat="1">
      <c r="A9313" s="83"/>
      <c r="H9313" s="83"/>
      <c r="K9313" s="82"/>
      <c r="M9313" s="112"/>
      <c r="N9313" s="84"/>
    </row>
    <row r="9314" spans="1:14" s="2" customFormat="1">
      <c r="A9314" s="83"/>
      <c r="H9314" s="83"/>
      <c r="K9314" s="82"/>
      <c r="M9314" s="112"/>
      <c r="N9314" s="84"/>
    </row>
    <row r="9315" spans="1:14" s="2" customFormat="1">
      <c r="A9315" s="83"/>
      <c r="H9315" s="83"/>
      <c r="K9315" s="82"/>
      <c r="M9315" s="112"/>
      <c r="N9315" s="84"/>
    </row>
    <row r="9316" spans="1:14" s="2" customFormat="1">
      <c r="A9316" s="83"/>
      <c r="H9316" s="83"/>
      <c r="K9316" s="82"/>
      <c r="M9316" s="112"/>
      <c r="N9316" s="84"/>
    </row>
    <row r="9317" spans="1:14" s="2" customFormat="1">
      <c r="A9317" s="83"/>
      <c r="H9317" s="83"/>
      <c r="K9317" s="82"/>
      <c r="M9317" s="112"/>
      <c r="N9317" s="84"/>
    </row>
    <row r="9318" spans="1:14" s="2" customFormat="1">
      <c r="A9318" s="83"/>
      <c r="H9318" s="83"/>
      <c r="K9318" s="82"/>
      <c r="M9318" s="112"/>
      <c r="N9318" s="84"/>
    </row>
    <row r="9319" spans="1:14" s="2" customFormat="1">
      <c r="A9319" s="83"/>
      <c r="H9319" s="83"/>
      <c r="K9319" s="82"/>
      <c r="M9319" s="112"/>
      <c r="N9319" s="84"/>
    </row>
    <row r="9320" spans="1:14" s="2" customFormat="1">
      <c r="A9320" s="83"/>
      <c r="H9320" s="83"/>
      <c r="K9320" s="82"/>
      <c r="M9320" s="112"/>
      <c r="N9320" s="84"/>
    </row>
    <row r="9321" spans="1:14" s="2" customFormat="1">
      <c r="A9321" s="83"/>
      <c r="H9321" s="83"/>
      <c r="K9321" s="82"/>
      <c r="M9321" s="112"/>
      <c r="N9321" s="84"/>
    </row>
    <row r="9322" spans="1:14" s="2" customFormat="1">
      <c r="A9322" s="83"/>
      <c r="H9322" s="83"/>
      <c r="K9322" s="82"/>
      <c r="M9322" s="112"/>
      <c r="N9322" s="84"/>
    </row>
    <row r="9323" spans="1:14" s="2" customFormat="1">
      <c r="A9323" s="83"/>
      <c r="H9323" s="83"/>
      <c r="K9323" s="82"/>
      <c r="M9323" s="112"/>
      <c r="N9323" s="84"/>
    </row>
    <row r="9324" spans="1:14" s="2" customFormat="1">
      <c r="A9324" s="83"/>
      <c r="H9324" s="83"/>
      <c r="K9324" s="82"/>
      <c r="M9324" s="112"/>
      <c r="N9324" s="84"/>
    </row>
    <row r="9325" spans="1:14" s="2" customFormat="1">
      <c r="A9325" s="83"/>
      <c r="H9325" s="83"/>
      <c r="K9325" s="82"/>
      <c r="M9325" s="112"/>
      <c r="N9325" s="84"/>
    </row>
    <row r="9326" spans="1:14" s="2" customFormat="1">
      <c r="A9326" s="83"/>
      <c r="H9326" s="83"/>
      <c r="K9326" s="82"/>
      <c r="M9326" s="112"/>
      <c r="N9326" s="84"/>
    </row>
    <row r="9327" spans="1:14" s="2" customFormat="1">
      <c r="A9327" s="83"/>
      <c r="H9327" s="83"/>
      <c r="K9327" s="82"/>
      <c r="M9327" s="112"/>
      <c r="N9327" s="84"/>
    </row>
    <row r="9328" spans="1:14" s="2" customFormat="1">
      <c r="A9328" s="83"/>
      <c r="H9328" s="83"/>
      <c r="K9328" s="82"/>
      <c r="M9328" s="112"/>
      <c r="N9328" s="84"/>
    </row>
    <row r="9329" spans="1:14" s="2" customFormat="1">
      <c r="A9329" s="83"/>
      <c r="H9329" s="83"/>
      <c r="K9329" s="82"/>
      <c r="M9329" s="112"/>
      <c r="N9329" s="84"/>
    </row>
    <row r="9330" spans="1:14" s="2" customFormat="1">
      <c r="A9330" s="83"/>
      <c r="H9330" s="83"/>
      <c r="K9330" s="82"/>
      <c r="M9330" s="112"/>
      <c r="N9330" s="84"/>
    </row>
    <row r="9331" spans="1:14" s="2" customFormat="1">
      <c r="A9331" s="83"/>
      <c r="H9331" s="83"/>
      <c r="K9331" s="82"/>
      <c r="M9331" s="112"/>
      <c r="N9331" s="84"/>
    </row>
    <row r="9332" spans="1:14" s="2" customFormat="1">
      <c r="A9332" s="83"/>
      <c r="H9332" s="83"/>
      <c r="K9332" s="82"/>
      <c r="M9332" s="112"/>
      <c r="N9332" s="84"/>
    </row>
    <row r="9333" spans="1:14" s="2" customFormat="1">
      <c r="A9333" s="83"/>
      <c r="H9333" s="83"/>
      <c r="K9333" s="82"/>
      <c r="M9333" s="112"/>
      <c r="N9333" s="84"/>
    </row>
    <row r="9334" spans="1:14" s="2" customFormat="1">
      <c r="A9334" s="83"/>
      <c r="H9334" s="83"/>
      <c r="K9334" s="82"/>
      <c r="M9334" s="112"/>
      <c r="N9334" s="84"/>
    </row>
    <row r="9335" spans="1:14" s="2" customFormat="1">
      <c r="A9335" s="83"/>
      <c r="H9335" s="83"/>
      <c r="K9335" s="82"/>
      <c r="M9335" s="112"/>
      <c r="N9335" s="84"/>
    </row>
    <row r="9336" spans="1:14" s="2" customFormat="1">
      <c r="A9336" s="83"/>
      <c r="H9336" s="83"/>
      <c r="K9336" s="82"/>
      <c r="M9336" s="112"/>
      <c r="N9336" s="84"/>
    </row>
    <row r="9337" spans="1:14" s="2" customFormat="1">
      <c r="A9337" s="83"/>
      <c r="H9337" s="83"/>
      <c r="K9337" s="82"/>
      <c r="M9337" s="112"/>
      <c r="N9337" s="84"/>
    </row>
    <row r="9338" spans="1:14" s="2" customFormat="1">
      <c r="A9338" s="83"/>
      <c r="H9338" s="83"/>
      <c r="K9338" s="82"/>
      <c r="M9338" s="112"/>
      <c r="N9338" s="84"/>
    </row>
    <row r="9339" spans="1:14" s="2" customFormat="1">
      <c r="A9339" s="83"/>
      <c r="H9339" s="83"/>
      <c r="K9339" s="82"/>
      <c r="M9339" s="112"/>
      <c r="N9339" s="84"/>
    </row>
    <row r="9340" spans="1:14" s="2" customFormat="1">
      <c r="A9340" s="83"/>
      <c r="H9340" s="83"/>
      <c r="K9340" s="82"/>
      <c r="M9340" s="112"/>
      <c r="N9340" s="84"/>
    </row>
    <row r="9341" spans="1:14" s="2" customFormat="1">
      <c r="A9341" s="83"/>
      <c r="H9341" s="83"/>
      <c r="K9341" s="82"/>
      <c r="M9341" s="112"/>
      <c r="N9341" s="84"/>
    </row>
    <row r="9342" spans="1:14" s="2" customFormat="1">
      <c r="A9342" s="83"/>
      <c r="H9342" s="83"/>
      <c r="K9342" s="82"/>
      <c r="M9342" s="112"/>
      <c r="N9342" s="84"/>
    </row>
    <row r="9343" spans="1:14" s="2" customFormat="1">
      <c r="A9343" s="83"/>
      <c r="H9343" s="83"/>
      <c r="K9343" s="82"/>
      <c r="M9343" s="112"/>
      <c r="N9343" s="84"/>
    </row>
    <row r="9344" spans="1:14" s="2" customFormat="1">
      <c r="A9344" s="83"/>
      <c r="H9344" s="83"/>
      <c r="K9344" s="82"/>
      <c r="M9344" s="112"/>
      <c r="N9344" s="84"/>
    </row>
    <row r="9345" spans="1:14" s="2" customFormat="1">
      <c r="A9345" s="83"/>
      <c r="H9345" s="83"/>
      <c r="K9345" s="82"/>
      <c r="M9345" s="112"/>
      <c r="N9345" s="84"/>
    </row>
    <row r="9346" spans="1:14" s="2" customFormat="1">
      <c r="A9346" s="83"/>
      <c r="H9346" s="83"/>
      <c r="K9346" s="82"/>
      <c r="M9346" s="112"/>
      <c r="N9346" s="84"/>
    </row>
    <row r="9347" spans="1:14" s="2" customFormat="1">
      <c r="A9347" s="83"/>
      <c r="H9347" s="83"/>
      <c r="K9347" s="82"/>
      <c r="M9347" s="112"/>
      <c r="N9347" s="84"/>
    </row>
    <row r="9348" spans="1:14" s="2" customFormat="1">
      <c r="A9348" s="83"/>
      <c r="H9348" s="83"/>
      <c r="K9348" s="82"/>
      <c r="M9348" s="112"/>
      <c r="N9348" s="84"/>
    </row>
    <row r="9349" spans="1:14" s="2" customFormat="1">
      <c r="A9349" s="83"/>
      <c r="H9349" s="83"/>
      <c r="K9349" s="82"/>
      <c r="M9349" s="112"/>
      <c r="N9349" s="84"/>
    </row>
    <row r="9350" spans="1:14" s="2" customFormat="1">
      <c r="A9350" s="83"/>
      <c r="H9350" s="83"/>
      <c r="K9350" s="82"/>
      <c r="M9350" s="112"/>
      <c r="N9350" s="84"/>
    </row>
    <row r="9351" spans="1:14" s="2" customFormat="1">
      <c r="A9351" s="83"/>
      <c r="H9351" s="83"/>
      <c r="K9351" s="82"/>
      <c r="M9351" s="112"/>
      <c r="N9351" s="84"/>
    </row>
    <row r="9352" spans="1:14" s="2" customFormat="1">
      <c r="A9352" s="83"/>
      <c r="H9352" s="83"/>
      <c r="K9352" s="82"/>
      <c r="M9352" s="112"/>
      <c r="N9352" s="84"/>
    </row>
    <row r="9353" spans="1:14" s="2" customFormat="1">
      <c r="A9353" s="83"/>
      <c r="H9353" s="83"/>
      <c r="K9353" s="82"/>
      <c r="M9353" s="112"/>
      <c r="N9353" s="84"/>
    </row>
    <row r="9354" spans="1:14" s="2" customFormat="1">
      <c r="A9354" s="83"/>
      <c r="H9354" s="83"/>
      <c r="K9354" s="82"/>
      <c r="M9354" s="112"/>
      <c r="N9354" s="84"/>
    </row>
    <row r="9355" spans="1:14" s="2" customFormat="1">
      <c r="A9355" s="83"/>
      <c r="H9355" s="83"/>
      <c r="K9355" s="82"/>
      <c r="M9355" s="112"/>
      <c r="N9355" s="84"/>
    </row>
    <row r="9356" spans="1:14" s="2" customFormat="1">
      <c r="A9356" s="83"/>
      <c r="H9356" s="83"/>
      <c r="K9356" s="82"/>
      <c r="M9356" s="112"/>
      <c r="N9356" s="84"/>
    </row>
    <row r="9357" spans="1:14" s="2" customFormat="1">
      <c r="A9357" s="83"/>
      <c r="H9357" s="83"/>
      <c r="K9357" s="82"/>
      <c r="M9357" s="112"/>
      <c r="N9357" s="84"/>
    </row>
    <row r="9358" spans="1:14" s="2" customFormat="1">
      <c r="A9358" s="83"/>
      <c r="H9358" s="83"/>
      <c r="K9358" s="82"/>
      <c r="M9358" s="112"/>
      <c r="N9358" s="84"/>
    </row>
    <row r="9359" spans="1:14" s="2" customFormat="1">
      <c r="A9359" s="83"/>
      <c r="H9359" s="83"/>
      <c r="K9359" s="82"/>
      <c r="M9359" s="112"/>
      <c r="N9359" s="84"/>
    </row>
    <row r="9360" spans="1:14" s="2" customFormat="1">
      <c r="A9360" s="83"/>
      <c r="H9360" s="83"/>
      <c r="K9360" s="82"/>
      <c r="M9360" s="112"/>
      <c r="N9360" s="84"/>
    </row>
    <row r="9361" spans="1:14" s="2" customFormat="1">
      <c r="A9361" s="83"/>
      <c r="H9361" s="83"/>
      <c r="K9361" s="82"/>
      <c r="M9361" s="112"/>
      <c r="N9361" s="84"/>
    </row>
    <row r="9362" spans="1:14" s="2" customFormat="1">
      <c r="A9362" s="83"/>
      <c r="H9362" s="83"/>
      <c r="K9362" s="82"/>
      <c r="M9362" s="112"/>
      <c r="N9362" s="84"/>
    </row>
    <row r="9363" spans="1:14" s="2" customFormat="1">
      <c r="A9363" s="83"/>
      <c r="H9363" s="83"/>
      <c r="K9363" s="82"/>
      <c r="M9363" s="112"/>
      <c r="N9363" s="84"/>
    </row>
    <row r="9364" spans="1:14" s="2" customFormat="1">
      <c r="A9364" s="83"/>
      <c r="H9364" s="83"/>
      <c r="K9364" s="82"/>
      <c r="M9364" s="112"/>
      <c r="N9364" s="84"/>
    </row>
    <row r="9365" spans="1:14" s="2" customFormat="1">
      <c r="A9365" s="83"/>
      <c r="H9365" s="83"/>
      <c r="K9365" s="82"/>
      <c r="M9365" s="112"/>
      <c r="N9365" s="84"/>
    </row>
    <row r="9366" spans="1:14" s="2" customFormat="1">
      <c r="A9366" s="83"/>
      <c r="H9366" s="83"/>
      <c r="K9366" s="82"/>
      <c r="M9366" s="112"/>
      <c r="N9366" s="84"/>
    </row>
    <row r="9367" spans="1:14" s="2" customFormat="1">
      <c r="A9367" s="83"/>
      <c r="H9367" s="83"/>
      <c r="K9367" s="82"/>
      <c r="M9367" s="112"/>
      <c r="N9367" s="84"/>
    </row>
    <row r="9368" spans="1:14" s="2" customFormat="1">
      <c r="A9368" s="83"/>
      <c r="H9368" s="83"/>
      <c r="K9368" s="82"/>
      <c r="M9368" s="112"/>
      <c r="N9368" s="84"/>
    </row>
    <row r="9369" spans="1:14" s="2" customFormat="1">
      <c r="A9369" s="83"/>
      <c r="H9369" s="83"/>
      <c r="K9369" s="82"/>
      <c r="M9369" s="112"/>
      <c r="N9369" s="84"/>
    </row>
    <row r="9370" spans="1:14" s="2" customFormat="1">
      <c r="A9370" s="83"/>
      <c r="H9370" s="83"/>
      <c r="K9370" s="82"/>
      <c r="M9370" s="112"/>
      <c r="N9370" s="84"/>
    </row>
    <row r="9371" spans="1:14" s="2" customFormat="1">
      <c r="A9371" s="83"/>
      <c r="H9371" s="83"/>
      <c r="K9371" s="82"/>
      <c r="M9371" s="112"/>
      <c r="N9371" s="84"/>
    </row>
    <row r="9372" spans="1:14" s="2" customFormat="1">
      <c r="A9372" s="83"/>
      <c r="H9372" s="83"/>
      <c r="K9372" s="82"/>
      <c r="M9372" s="112"/>
      <c r="N9372" s="84"/>
    </row>
    <row r="9373" spans="1:14" s="2" customFormat="1">
      <c r="A9373" s="83"/>
      <c r="H9373" s="83"/>
      <c r="K9373" s="82"/>
      <c r="M9373" s="112"/>
      <c r="N9373" s="84"/>
    </row>
    <row r="9374" spans="1:14" s="2" customFormat="1">
      <c r="A9374" s="83"/>
      <c r="H9374" s="83"/>
      <c r="K9374" s="82"/>
      <c r="M9374" s="112"/>
      <c r="N9374" s="84"/>
    </row>
    <row r="9375" spans="1:14" s="2" customFormat="1">
      <c r="A9375" s="83"/>
      <c r="H9375" s="83"/>
      <c r="K9375" s="82"/>
      <c r="M9375" s="112"/>
      <c r="N9375" s="84"/>
    </row>
    <row r="9376" spans="1:14" s="2" customFormat="1">
      <c r="A9376" s="83"/>
      <c r="H9376" s="83"/>
      <c r="K9376" s="82"/>
      <c r="M9376" s="112"/>
      <c r="N9376" s="84"/>
    </row>
    <row r="9377" spans="1:14" s="2" customFormat="1">
      <c r="A9377" s="83"/>
      <c r="H9377" s="83"/>
      <c r="K9377" s="82"/>
      <c r="M9377" s="112"/>
      <c r="N9377" s="84"/>
    </row>
    <row r="9378" spans="1:14" s="2" customFormat="1">
      <c r="A9378" s="83"/>
      <c r="H9378" s="83"/>
      <c r="K9378" s="82"/>
      <c r="M9378" s="112"/>
      <c r="N9378" s="84"/>
    </row>
    <row r="9379" spans="1:14" s="2" customFormat="1">
      <c r="A9379" s="83"/>
      <c r="H9379" s="83"/>
      <c r="K9379" s="82"/>
      <c r="M9379" s="112"/>
      <c r="N9379" s="84"/>
    </row>
    <row r="9380" spans="1:14" s="2" customFormat="1">
      <c r="A9380" s="83"/>
      <c r="H9380" s="83"/>
      <c r="K9380" s="82"/>
      <c r="M9380" s="112"/>
      <c r="N9380" s="84"/>
    </row>
    <row r="9381" spans="1:14" s="2" customFormat="1">
      <c r="A9381" s="83"/>
      <c r="H9381" s="83"/>
      <c r="K9381" s="82"/>
      <c r="M9381" s="112"/>
      <c r="N9381" s="84"/>
    </row>
    <row r="9382" spans="1:14" s="2" customFormat="1">
      <c r="A9382" s="83"/>
      <c r="H9382" s="83"/>
      <c r="K9382" s="82"/>
      <c r="M9382" s="112"/>
      <c r="N9382" s="84"/>
    </row>
    <row r="9383" spans="1:14" s="2" customFormat="1">
      <c r="A9383" s="83"/>
      <c r="H9383" s="83"/>
      <c r="K9383" s="82"/>
      <c r="M9383" s="112"/>
      <c r="N9383" s="84"/>
    </row>
    <row r="9384" spans="1:14" s="2" customFormat="1">
      <c r="A9384" s="83"/>
      <c r="H9384" s="83"/>
      <c r="K9384" s="82"/>
      <c r="M9384" s="112"/>
      <c r="N9384" s="84"/>
    </row>
    <row r="9385" spans="1:14" s="2" customFormat="1">
      <c r="A9385" s="83"/>
      <c r="H9385" s="83"/>
      <c r="K9385" s="82"/>
      <c r="M9385" s="112"/>
      <c r="N9385" s="84"/>
    </row>
    <row r="9386" spans="1:14" s="2" customFormat="1">
      <c r="A9386" s="83"/>
      <c r="H9386" s="83"/>
      <c r="K9386" s="82"/>
      <c r="M9386" s="112"/>
      <c r="N9386" s="84"/>
    </row>
    <row r="9387" spans="1:14" s="2" customFormat="1">
      <c r="A9387" s="83"/>
      <c r="H9387" s="83"/>
      <c r="K9387" s="82"/>
      <c r="M9387" s="112"/>
      <c r="N9387" s="84"/>
    </row>
    <row r="9388" spans="1:14" s="2" customFormat="1">
      <c r="A9388" s="83"/>
      <c r="H9388" s="83"/>
      <c r="K9388" s="82"/>
      <c r="M9388" s="112"/>
      <c r="N9388" s="84"/>
    </row>
    <row r="9389" spans="1:14" s="2" customFormat="1">
      <c r="A9389" s="83"/>
      <c r="H9389" s="83"/>
      <c r="K9389" s="82"/>
      <c r="M9389" s="112"/>
      <c r="N9389" s="84"/>
    </row>
    <row r="9390" spans="1:14" s="2" customFormat="1">
      <c r="A9390" s="83"/>
      <c r="H9390" s="83"/>
      <c r="K9390" s="82"/>
      <c r="M9390" s="112"/>
      <c r="N9390" s="84"/>
    </row>
    <row r="9391" spans="1:14" s="2" customFormat="1">
      <c r="A9391" s="83"/>
      <c r="H9391" s="83"/>
      <c r="K9391" s="82"/>
      <c r="M9391" s="112"/>
      <c r="N9391" s="84"/>
    </row>
    <row r="9392" spans="1:14" s="2" customFormat="1">
      <c r="A9392" s="83"/>
      <c r="H9392" s="83"/>
      <c r="K9392" s="82"/>
      <c r="M9392" s="112"/>
      <c r="N9392" s="84"/>
    </row>
    <row r="9393" spans="1:14" s="2" customFormat="1">
      <c r="A9393" s="83"/>
      <c r="H9393" s="83"/>
      <c r="K9393" s="82"/>
      <c r="M9393" s="112"/>
      <c r="N9393" s="84"/>
    </row>
    <row r="9394" spans="1:14" s="2" customFormat="1">
      <c r="A9394" s="83"/>
      <c r="H9394" s="83"/>
      <c r="K9394" s="82"/>
      <c r="M9394" s="112"/>
      <c r="N9394" s="84"/>
    </row>
    <row r="9395" spans="1:14" s="2" customFormat="1">
      <c r="A9395" s="83"/>
      <c r="H9395" s="83"/>
      <c r="K9395" s="82"/>
      <c r="M9395" s="112"/>
      <c r="N9395" s="84"/>
    </row>
    <row r="9396" spans="1:14" s="2" customFormat="1">
      <c r="A9396" s="83"/>
      <c r="H9396" s="83"/>
      <c r="K9396" s="82"/>
      <c r="M9396" s="112"/>
      <c r="N9396" s="84"/>
    </row>
    <row r="9397" spans="1:14" s="2" customFormat="1">
      <c r="A9397" s="83"/>
      <c r="H9397" s="83"/>
      <c r="K9397" s="82"/>
      <c r="M9397" s="112"/>
      <c r="N9397" s="84"/>
    </row>
    <row r="9398" spans="1:14" s="2" customFormat="1">
      <c r="A9398" s="83"/>
      <c r="H9398" s="83"/>
      <c r="K9398" s="82"/>
      <c r="M9398" s="112"/>
      <c r="N9398" s="84"/>
    </row>
    <row r="9399" spans="1:14" s="2" customFormat="1">
      <c r="A9399" s="83"/>
      <c r="H9399" s="83"/>
      <c r="K9399" s="82"/>
      <c r="M9399" s="112"/>
      <c r="N9399" s="84"/>
    </row>
    <row r="9400" spans="1:14" s="2" customFormat="1">
      <c r="A9400" s="83"/>
      <c r="H9400" s="83"/>
      <c r="K9400" s="82"/>
      <c r="M9400" s="112"/>
      <c r="N9400" s="84"/>
    </row>
    <row r="9401" spans="1:14" s="2" customFormat="1">
      <c r="A9401" s="83"/>
      <c r="H9401" s="83"/>
      <c r="K9401" s="82"/>
      <c r="M9401" s="112"/>
      <c r="N9401" s="84"/>
    </row>
    <row r="9402" spans="1:14" s="2" customFormat="1">
      <c r="A9402" s="83"/>
      <c r="H9402" s="83"/>
      <c r="K9402" s="82"/>
      <c r="M9402" s="112"/>
      <c r="N9402" s="84"/>
    </row>
    <row r="9403" spans="1:14" s="2" customFormat="1">
      <c r="A9403" s="83"/>
      <c r="H9403" s="83"/>
      <c r="K9403" s="82"/>
      <c r="M9403" s="112"/>
      <c r="N9403" s="84"/>
    </row>
    <row r="9404" spans="1:14" s="2" customFormat="1">
      <c r="A9404" s="83"/>
      <c r="H9404" s="83"/>
      <c r="K9404" s="82"/>
      <c r="M9404" s="112"/>
      <c r="N9404" s="84"/>
    </row>
    <row r="9405" spans="1:14" s="2" customFormat="1">
      <c r="A9405" s="83"/>
      <c r="H9405" s="83"/>
      <c r="K9405" s="82"/>
      <c r="M9405" s="112"/>
      <c r="N9405" s="84"/>
    </row>
    <row r="9406" spans="1:14" s="2" customFormat="1">
      <c r="A9406" s="83"/>
      <c r="H9406" s="83"/>
      <c r="K9406" s="82"/>
      <c r="M9406" s="112"/>
      <c r="N9406" s="84"/>
    </row>
    <row r="9407" spans="1:14" s="2" customFormat="1">
      <c r="A9407" s="83"/>
      <c r="H9407" s="83"/>
      <c r="K9407" s="82"/>
      <c r="M9407" s="112"/>
      <c r="N9407" s="84"/>
    </row>
    <row r="9408" spans="1:14" s="2" customFormat="1">
      <c r="A9408" s="83"/>
      <c r="H9408" s="83"/>
      <c r="K9408" s="82"/>
      <c r="M9408" s="112"/>
      <c r="N9408" s="84"/>
    </row>
    <row r="9409" spans="1:14" s="2" customFormat="1">
      <c r="A9409" s="83"/>
      <c r="H9409" s="83"/>
      <c r="K9409" s="82"/>
      <c r="M9409" s="112"/>
      <c r="N9409" s="84"/>
    </row>
    <row r="9410" spans="1:14" s="2" customFormat="1">
      <c r="A9410" s="83"/>
      <c r="H9410" s="83"/>
      <c r="K9410" s="82"/>
      <c r="M9410" s="112"/>
      <c r="N9410" s="84"/>
    </row>
    <row r="9411" spans="1:14" s="2" customFormat="1">
      <c r="A9411" s="83"/>
      <c r="H9411" s="83"/>
      <c r="K9411" s="82"/>
      <c r="M9411" s="112"/>
      <c r="N9411" s="84"/>
    </row>
    <row r="9412" spans="1:14" s="2" customFormat="1">
      <c r="A9412" s="83"/>
      <c r="H9412" s="83"/>
      <c r="K9412" s="82"/>
      <c r="M9412" s="112"/>
      <c r="N9412" s="84"/>
    </row>
    <row r="9413" spans="1:14" s="2" customFormat="1">
      <c r="A9413" s="83"/>
      <c r="H9413" s="83"/>
      <c r="K9413" s="82"/>
      <c r="M9413" s="112"/>
      <c r="N9413" s="84"/>
    </row>
    <row r="9414" spans="1:14" s="2" customFormat="1">
      <c r="A9414" s="83"/>
      <c r="H9414" s="83"/>
      <c r="K9414" s="82"/>
      <c r="M9414" s="112"/>
      <c r="N9414" s="84"/>
    </row>
    <row r="9415" spans="1:14" s="2" customFormat="1">
      <c r="A9415" s="83"/>
      <c r="H9415" s="83"/>
      <c r="K9415" s="82"/>
      <c r="M9415" s="112"/>
      <c r="N9415" s="84"/>
    </row>
    <row r="9416" spans="1:14" s="2" customFormat="1">
      <c r="A9416" s="83"/>
      <c r="H9416" s="83"/>
      <c r="K9416" s="82"/>
      <c r="M9416" s="112"/>
      <c r="N9416" s="84"/>
    </row>
    <row r="9417" spans="1:14" s="2" customFormat="1">
      <c r="A9417" s="83"/>
      <c r="H9417" s="83"/>
      <c r="K9417" s="82"/>
      <c r="M9417" s="112"/>
      <c r="N9417" s="84"/>
    </row>
    <row r="9418" spans="1:14" s="2" customFormat="1">
      <c r="A9418" s="83"/>
      <c r="H9418" s="83"/>
      <c r="K9418" s="82"/>
      <c r="M9418" s="112"/>
      <c r="N9418" s="84"/>
    </row>
    <row r="9419" spans="1:14" s="2" customFormat="1">
      <c r="A9419" s="83"/>
      <c r="H9419" s="83"/>
      <c r="K9419" s="82"/>
      <c r="M9419" s="112"/>
      <c r="N9419" s="84"/>
    </row>
    <row r="9420" spans="1:14" s="2" customFormat="1">
      <c r="A9420" s="83"/>
      <c r="H9420" s="83"/>
      <c r="K9420" s="82"/>
      <c r="M9420" s="112"/>
      <c r="N9420" s="84"/>
    </row>
    <row r="9421" spans="1:14" s="2" customFormat="1">
      <c r="A9421" s="83"/>
      <c r="H9421" s="83"/>
      <c r="K9421" s="82"/>
      <c r="M9421" s="112"/>
      <c r="N9421" s="84"/>
    </row>
    <row r="9422" spans="1:14" s="2" customFormat="1">
      <c r="A9422" s="83"/>
      <c r="H9422" s="83"/>
      <c r="K9422" s="82"/>
      <c r="M9422" s="112"/>
      <c r="N9422" s="84"/>
    </row>
    <row r="9423" spans="1:14" s="2" customFormat="1">
      <c r="A9423" s="83"/>
      <c r="H9423" s="83"/>
      <c r="K9423" s="82"/>
      <c r="M9423" s="112"/>
      <c r="N9423" s="84"/>
    </row>
    <row r="9424" spans="1:14" s="2" customFormat="1">
      <c r="A9424" s="83"/>
      <c r="H9424" s="83"/>
      <c r="K9424" s="82"/>
      <c r="M9424" s="112"/>
      <c r="N9424" s="84"/>
    </row>
    <row r="9425" spans="1:14" s="2" customFormat="1">
      <c r="A9425" s="83"/>
      <c r="H9425" s="83"/>
      <c r="K9425" s="82"/>
      <c r="M9425" s="112"/>
      <c r="N9425" s="84"/>
    </row>
    <row r="9426" spans="1:14" s="2" customFormat="1">
      <c r="A9426" s="83"/>
      <c r="H9426" s="83"/>
      <c r="K9426" s="82"/>
      <c r="M9426" s="112"/>
      <c r="N9426" s="84"/>
    </row>
    <row r="9427" spans="1:14" s="2" customFormat="1">
      <c r="A9427" s="83"/>
      <c r="H9427" s="83"/>
      <c r="K9427" s="82"/>
      <c r="M9427" s="112"/>
      <c r="N9427" s="84"/>
    </row>
    <row r="9428" spans="1:14" s="2" customFormat="1">
      <c r="A9428" s="83"/>
      <c r="H9428" s="83"/>
      <c r="K9428" s="82"/>
      <c r="M9428" s="112"/>
      <c r="N9428" s="84"/>
    </row>
    <row r="9429" spans="1:14" s="2" customFormat="1">
      <c r="A9429" s="83"/>
      <c r="H9429" s="83"/>
      <c r="K9429" s="82"/>
      <c r="M9429" s="112"/>
      <c r="N9429" s="84"/>
    </row>
    <row r="9430" spans="1:14" s="2" customFormat="1">
      <c r="A9430" s="83"/>
      <c r="H9430" s="83"/>
      <c r="K9430" s="82"/>
      <c r="M9430" s="112"/>
      <c r="N9430" s="84"/>
    </row>
    <row r="9431" spans="1:14" s="2" customFormat="1">
      <c r="A9431" s="83"/>
      <c r="H9431" s="83"/>
      <c r="K9431" s="82"/>
      <c r="M9431" s="112"/>
      <c r="N9431" s="84"/>
    </row>
    <row r="9432" spans="1:14" s="2" customFormat="1">
      <c r="A9432" s="83"/>
      <c r="H9432" s="83"/>
      <c r="K9432" s="82"/>
      <c r="M9432" s="112"/>
      <c r="N9432" s="84"/>
    </row>
    <row r="9433" spans="1:14" s="2" customFormat="1">
      <c r="A9433" s="83"/>
      <c r="H9433" s="83"/>
      <c r="K9433" s="82"/>
      <c r="M9433" s="112"/>
      <c r="N9433" s="84"/>
    </row>
    <row r="9434" spans="1:14" s="2" customFormat="1">
      <c r="A9434" s="83"/>
      <c r="H9434" s="83"/>
      <c r="K9434" s="82"/>
      <c r="M9434" s="112"/>
      <c r="N9434" s="84"/>
    </row>
    <row r="9435" spans="1:14" s="2" customFormat="1">
      <c r="A9435" s="83"/>
      <c r="H9435" s="83"/>
      <c r="K9435" s="82"/>
      <c r="M9435" s="112"/>
      <c r="N9435" s="84"/>
    </row>
    <row r="9436" spans="1:14" s="2" customFormat="1">
      <c r="A9436" s="83"/>
      <c r="H9436" s="83"/>
      <c r="K9436" s="82"/>
      <c r="M9436" s="112"/>
      <c r="N9436" s="84"/>
    </row>
    <row r="9437" spans="1:14" s="2" customFormat="1">
      <c r="A9437" s="83"/>
      <c r="H9437" s="83"/>
      <c r="K9437" s="82"/>
      <c r="M9437" s="112"/>
      <c r="N9437" s="84"/>
    </row>
    <row r="9438" spans="1:14" s="2" customFormat="1">
      <c r="A9438" s="83"/>
      <c r="H9438" s="83"/>
      <c r="K9438" s="82"/>
      <c r="M9438" s="112"/>
      <c r="N9438" s="84"/>
    </row>
    <row r="9439" spans="1:14" s="2" customFormat="1">
      <c r="A9439" s="83"/>
      <c r="H9439" s="83"/>
      <c r="K9439" s="82"/>
      <c r="M9439" s="112"/>
      <c r="N9439" s="84"/>
    </row>
    <row r="9440" spans="1:14" s="2" customFormat="1">
      <c r="A9440" s="83"/>
      <c r="H9440" s="83"/>
      <c r="K9440" s="82"/>
      <c r="M9440" s="112"/>
      <c r="N9440" s="84"/>
    </row>
    <row r="9441" spans="1:14" s="2" customFormat="1">
      <c r="A9441" s="83"/>
      <c r="H9441" s="83"/>
      <c r="K9441" s="82"/>
      <c r="M9441" s="112"/>
      <c r="N9441" s="84"/>
    </row>
    <row r="9442" spans="1:14" s="2" customFormat="1">
      <c r="A9442" s="83"/>
      <c r="H9442" s="83"/>
      <c r="K9442" s="82"/>
      <c r="M9442" s="112"/>
      <c r="N9442" s="84"/>
    </row>
    <row r="9443" spans="1:14" s="2" customFormat="1">
      <c r="A9443" s="83"/>
      <c r="H9443" s="83"/>
      <c r="K9443" s="82"/>
      <c r="M9443" s="112"/>
      <c r="N9443" s="84"/>
    </row>
    <row r="9444" spans="1:14" s="2" customFormat="1">
      <c r="A9444" s="83"/>
      <c r="H9444" s="83"/>
      <c r="K9444" s="82"/>
      <c r="M9444" s="112"/>
      <c r="N9444" s="84"/>
    </row>
    <row r="9445" spans="1:14" s="2" customFormat="1">
      <c r="A9445" s="83"/>
      <c r="H9445" s="83"/>
      <c r="K9445" s="82"/>
      <c r="M9445" s="112"/>
      <c r="N9445" s="84"/>
    </row>
    <row r="9446" spans="1:14" s="2" customFormat="1">
      <c r="A9446" s="83"/>
      <c r="H9446" s="83"/>
      <c r="K9446" s="82"/>
      <c r="M9446" s="112"/>
      <c r="N9446" s="84"/>
    </row>
    <row r="9447" spans="1:14" s="2" customFormat="1">
      <c r="A9447" s="83"/>
      <c r="H9447" s="83"/>
      <c r="K9447" s="82"/>
      <c r="M9447" s="112"/>
      <c r="N9447" s="84"/>
    </row>
    <row r="9448" spans="1:14" s="2" customFormat="1">
      <c r="A9448" s="83"/>
      <c r="H9448" s="83"/>
      <c r="K9448" s="82"/>
      <c r="M9448" s="112"/>
      <c r="N9448" s="84"/>
    </row>
    <row r="9449" spans="1:14" s="2" customFormat="1">
      <c r="A9449" s="83"/>
      <c r="H9449" s="83"/>
      <c r="K9449" s="82"/>
      <c r="M9449" s="112"/>
      <c r="N9449" s="84"/>
    </row>
    <row r="9450" spans="1:14" s="2" customFormat="1">
      <c r="A9450" s="83"/>
      <c r="H9450" s="83"/>
      <c r="K9450" s="82"/>
      <c r="M9450" s="112"/>
      <c r="N9450" s="84"/>
    </row>
    <row r="9451" spans="1:14" s="2" customFormat="1">
      <c r="A9451" s="83"/>
      <c r="H9451" s="83"/>
      <c r="K9451" s="82"/>
      <c r="M9451" s="112"/>
      <c r="N9451" s="84"/>
    </row>
    <row r="9452" spans="1:14" s="2" customFormat="1">
      <c r="A9452" s="83"/>
      <c r="H9452" s="83"/>
      <c r="K9452" s="82"/>
      <c r="M9452" s="112"/>
      <c r="N9452" s="84"/>
    </row>
    <row r="9453" spans="1:14" s="2" customFormat="1">
      <c r="A9453" s="83"/>
      <c r="H9453" s="83"/>
      <c r="K9453" s="82"/>
      <c r="M9453" s="112"/>
      <c r="N9453" s="84"/>
    </row>
    <row r="9454" spans="1:14" s="2" customFormat="1">
      <c r="A9454" s="83"/>
      <c r="H9454" s="83"/>
      <c r="K9454" s="82"/>
      <c r="M9454" s="112"/>
      <c r="N9454" s="84"/>
    </row>
    <row r="9455" spans="1:14" s="2" customFormat="1">
      <c r="A9455" s="83"/>
      <c r="H9455" s="83"/>
      <c r="K9455" s="82"/>
      <c r="M9455" s="112"/>
      <c r="N9455" s="84"/>
    </row>
    <row r="9456" spans="1:14" s="2" customFormat="1">
      <c r="A9456" s="83"/>
      <c r="H9456" s="83"/>
      <c r="K9456" s="82"/>
      <c r="M9456" s="112"/>
      <c r="N9456" s="84"/>
    </row>
    <row r="9457" spans="1:14" s="2" customFormat="1">
      <c r="A9457" s="83"/>
      <c r="H9457" s="83"/>
      <c r="K9457" s="82"/>
      <c r="M9457" s="112"/>
      <c r="N9457" s="84"/>
    </row>
    <row r="9458" spans="1:14" s="2" customFormat="1">
      <c r="A9458" s="83"/>
      <c r="H9458" s="83"/>
      <c r="K9458" s="82"/>
      <c r="M9458" s="112"/>
      <c r="N9458" s="84"/>
    </row>
    <row r="9459" spans="1:14" s="2" customFormat="1">
      <c r="A9459" s="83"/>
      <c r="H9459" s="83"/>
      <c r="K9459" s="82"/>
      <c r="M9459" s="112"/>
      <c r="N9459" s="84"/>
    </row>
    <row r="9460" spans="1:14" s="2" customFormat="1">
      <c r="A9460" s="83"/>
      <c r="H9460" s="83"/>
      <c r="K9460" s="82"/>
      <c r="M9460" s="112"/>
      <c r="N9460" s="84"/>
    </row>
    <row r="9461" spans="1:14" s="2" customFormat="1">
      <c r="A9461" s="83"/>
      <c r="H9461" s="83"/>
      <c r="K9461" s="82"/>
      <c r="M9461" s="112"/>
      <c r="N9461" s="84"/>
    </row>
    <row r="9462" spans="1:14" s="2" customFormat="1">
      <c r="A9462" s="83"/>
      <c r="H9462" s="83"/>
      <c r="K9462" s="82"/>
      <c r="M9462" s="112"/>
      <c r="N9462" s="84"/>
    </row>
    <row r="9463" spans="1:14" s="2" customFormat="1">
      <c r="A9463" s="83"/>
      <c r="H9463" s="83"/>
      <c r="K9463" s="82"/>
      <c r="M9463" s="112"/>
      <c r="N9463" s="84"/>
    </row>
    <row r="9464" spans="1:14" s="2" customFormat="1">
      <c r="A9464" s="83"/>
      <c r="H9464" s="83"/>
      <c r="K9464" s="82"/>
      <c r="M9464" s="112"/>
      <c r="N9464" s="84"/>
    </row>
    <row r="9465" spans="1:14" s="2" customFormat="1">
      <c r="A9465" s="83"/>
      <c r="H9465" s="83"/>
      <c r="K9465" s="82"/>
      <c r="M9465" s="112"/>
      <c r="N9465" s="84"/>
    </row>
    <row r="9466" spans="1:14" s="2" customFormat="1">
      <c r="A9466" s="83"/>
      <c r="H9466" s="83"/>
      <c r="K9466" s="82"/>
      <c r="M9466" s="112"/>
      <c r="N9466" s="84"/>
    </row>
    <row r="9467" spans="1:14" s="2" customFormat="1">
      <c r="A9467" s="83"/>
      <c r="H9467" s="83"/>
      <c r="K9467" s="82"/>
      <c r="M9467" s="112"/>
      <c r="N9467" s="84"/>
    </row>
    <row r="9468" spans="1:14" s="2" customFormat="1">
      <c r="A9468" s="83"/>
      <c r="H9468" s="83"/>
      <c r="K9468" s="82"/>
      <c r="M9468" s="112"/>
      <c r="N9468" s="84"/>
    </row>
    <row r="9469" spans="1:14" s="2" customFormat="1">
      <c r="A9469" s="83"/>
      <c r="H9469" s="83"/>
      <c r="K9469" s="82"/>
      <c r="M9469" s="112"/>
      <c r="N9469" s="84"/>
    </row>
    <row r="9470" spans="1:14" s="2" customFormat="1">
      <c r="A9470" s="83"/>
      <c r="H9470" s="83"/>
      <c r="K9470" s="82"/>
      <c r="M9470" s="112"/>
      <c r="N9470" s="84"/>
    </row>
    <row r="9471" spans="1:14" s="2" customFormat="1">
      <c r="A9471" s="83"/>
      <c r="H9471" s="83"/>
      <c r="K9471" s="82"/>
      <c r="M9471" s="112"/>
      <c r="N9471" s="84"/>
    </row>
    <row r="9472" spans="1:14" s="2" customFormat="1">
      <c r="A9472" s="83"/>
      <c r="H9472" s="83"/>
      <c r="K9472" s="82"/>
      <c r="M9472" s="112"/>
      <c r="N9472" s="84"/>
    </row>
    <row r="9473" spans="1:14" s="2" customFormat="1">
      <c r="A9473" s="83"/>
      <c r="H9473" s="83"/>
      <c r="K9473" s="82"/>
      <c r="M9473" s="112"/>
      <c r="N9473" s="84"/>
    </row>
    <row r="9474" spans="1:14" s="2" customFormat="1">
      <c r="A9474" s="83"/>
      <c r="H9474" s="83"/>
      <c r="K9474" s="82"/>
      <c r="M9474" s="112"/>
      <c r="N9474" s="84"/>
    </row>
    <row r="9475" spans="1:14" s="2" customFormat="1">
      <c r="A9475" s="83"/>
      <c r="H9475" s="83"/>
      <c r="K9475" s="82"/>
      <c r="M9475" s="112"/>
      <c r="N9475" s="84"/>
    </row>
    <row r="9476" spans="1:14" s="2" customFormat="1">
      <c r="A9476" s="83"/>
      <c r="H9476" s="83"/>
      <c r="K9476" s="82"/>
      <c r="M9476" s="112"/>
      <c r="N9476" s="84"/>
    </row>
    <row r="9477" spans="1:14" s="2" customFormat="1">
      <c r="A9477" s="83"/>
      <c r="H9477" s="83"/>
      <c r="K9477" s="82"/>
      <c r="M9477" s="112"/>
      <c r="N9477" s="84"/>
    </row>
    <row r="9478" spans="1:14" s="2" customFormat="1">
      <c r="A9478" s="83"/>
      <c r="H9478" s="83"/>
      <c r="K9478" s="82"/>
      <c r="M9478" s="112"/>
      <c r="N9478" s="84"/>
    </row>
    <row r="9479" spans="1:14" s="2" customFormat="1">
      <c r="A9479" s="83"/>
      <c r="H9479" s="83"/>
      <c r="K9479" s="82"/>
      <c r="M9479" s="112"/>
      <c r="N9479" s="84"/>
    </row>
    <row r="9480" spans="1:14" s="2" customFormat="1">
      <c r="A9480" s="83"/>
      <c r="H9480" s="83"/>
      <c r="K9480" s="82"/>
      <c r="M9480" s="112"/>
      <c r="N9480" s="84"/>
    </row>
    <row r="9481" spans="1:14" s="2" customFormat="1">
      <c r="A9481" s="83"/>
      <c r="H9481" s="83"/>
      <c r="K9481" s="82"/>
      <c r="M9481" s="112"/>
      <c r="N9481" s="84"/>
    </row>
    <row r="9482" spans="1:14" s="2" customFormat="1">
      <c r="A9482" s="83"/>
      <c r="H9482" s="83"/>
      <c r="K9482" s="82"/>
      <c r="M9482" s="112"/>
      <c r="N9482" s="84"/>
    </row>
    <row r="9483" spans="1:14" s="2" customFormat="1">
      <c r="A9483" s="83"/>
      <c r="H9483" s="83"/>
      <c r="K9483" s="82"/>
      <c r="M9483" s="112"/>
      <c r="N9483" s="84"/>
    </row>
    <row r="9484" spans="1:14" s="2" customFormat="1">
      <c r="A9484" s="83"/>
      <c r="H9484" s="83"/>
      <c r="K9484" s="82"/>
      <c r="M9484" s="112"/>
      <c r="N9484" s="84"/>
    </row>
    <row r="9485" spans="1:14" s="2" customFormat="1">
      <c r="A9485" s="83"/>
      <c r="H9485" s="83"/>
      <c r="K9485" s="82"/>
      <c r="M9485" s="112"/>
      <c r="N9485" s="84"/>
    </row>
    <row r="9486" spans="1:14" s="2" customFormat="1">
      <c r="A9486" s="83"/>
      <c r="H9486" s="83"/>
      <c r="K9486" s="82"/>
      <c r="M9486" s="112"/>
      <c r="N9486" s="84"/>
    </row>
    <row r="9487" spans="1:14" s="2" customFormat="1">
      <c r="A9487" s="83"/>
      <c r="H9487" s="83"/>
      <c r="K9487" s="82"/>
      <c r="M9487" s="112"/>
      <c r="N9487" s="84"/>
    </row>
    <row r="9488" spans="1:14" s="2" customFormat="1">
      <c r="A9488" s="83"/>
      <c r="H9488" s="83"/>
      <c r="K9488" s="82"/>
      <c r="M9488" s="112"/>
      <c r="N9488" s="84"/>
    </row>
    <row r="9489" spans="1:14" s="2" customFormat="1">
      <c r="A9489" s="83"/>
      <c r="H9489" s="83"/>
      <c r="K9489" s="82"/>
      <c r="M9489" s="112"/>
      <c r="N9489" s="84"/>
    </row>
    <row r="9490" spans="1:14" s="2" customFormat="1">
      <c r="A9490" s="83"/>
      <c r="H9490" s="83"/>
      <c r="K9490" s="82"/>
      <c r="M9490" s="112"/>
      <c r="N9490" s="84"/>
    </row>
    <row r="9491" spans="1:14" s="2" customFormat="1">
      <c r="A9491" s="83"/>
      <c r="H9491" s="83"/>
      <c r="K9491" s="82"/>
      <c r="M9491" s="112"/>
      <c r="N9491" s="84"/>
    </row>
    <row r="9492" spans="1:14" s="2" customFormat="1">
      <c r="A9492" s="83"/>
      <c r="H9492" s="83"/>
      <c r="K9492" s="82"/>
      <c r="M9492" s="112"/>
      <c r="N9492" s="84"/>
    </row>
    <row r="9493" spans="1:14" s="2" customFormat="1">
      <c r="A9493" s="83"/>
      <c r="H9493" s="83"/>
      <c r="K9493" s="82"/>
      <c r="M9493" s="112"/>
      <c r="N9493" s="84"/>
    </row>
    <row r="9494" spans="1:14" s="2" customFormat="1">
      <c r="A9494" s="83"/>
      <c r="H9494" s="83"/>
      <c r="K9494" s="82"/>
      <c r="M9494" s="112"/>
      <c r="N9494" s="84"/>
    </row>
    <row r="9495" spans="1:14" s="2" customFormat="1">
      <c r="A9495" s="83"/>
      <c r="H9495" s="83"/>
      <c r="K9495" s="82"/>
      <c r="M9495" s="112"/>
      <c r="N9495" s="84"/>
    </row>
    <row r="9496" spans="1:14" s="2" customFormat="1">
      <c r="A9496" s="83"/>
      <c r="H9496" s="83"/>
      <c r="K9496" s="82"/>
      <c r="M9496" s="112"/>
      <c r="N9496" s="84"/>
    </row>
    <row r="9497" spans="1:14" s="2" customFormat="1">
      <c r="A9497" s="83"/>
      <c r="H9497" s="83"/>
      <c r="K9497" s="82"/>
      <c r="M9497" s="112"/>
      <c r="N9497" s="84"/>
    </row>
    <row r="9498" spans="1:14" s="2" customFormat="1">
      <c r="A9498" s="83"/>
      <c r="H9498" s="83"/>
      <c r="K9498" s="82"/>
      <c r="M9498" s="112"/>
      <c r="N9498" s="84"/>
    </row>
    <row r="9499" spans="1:14" s="2" customFormat="1">
      <c r="A9499" s="83"/>
      <c r="H9499" s="83"/>
      <c r="K9499" s="82"/>
      <c r="M9499" s="112"/>
      <c r="N9499" s="84"/>
    </row>
    <row r="9500" spans="1:14" s="2" customFormat="1">
      <c r="A9500" s="83"/>
      <c r="H9500" s="83"/>
      <c r="K9500" s="82"/>
      <c r="M9500" s="112"/>
      <c r="N9500" s="84"/>
    </row>
    <row r="9501" spans="1:14" s="2" customFormat="1">
      <c r="A9501" s="83"/>
      <c r="H9501" s="83"/>
      <c r="K9501" s="82"/>
      <c r="M9501" s="112"/>
      <c r="N9501" s="84"/>
    </row>
    <row r="9502" spans="1:14" s="2" customFormat="1">
      <c r="A9502" s="83"/>
      <c r="H9502" s="83"/>
      <c r="K9502" s="82"/>
      <c r="M9502" s="112"/>
      <c r="N9502" s="84"/>
    </row>
    <row r="9503" spans="1:14" s="2" customFormat="1">
      <c r="A9503" s="83"/>
      <c r="H9503" s="83"/>
      <c r="K9503" s="82"/>
      <c r="M9503" s="112"/>
      <c r="N9503" s="84"/>
    </row>
    <row r="9504" spans="1:14" s="2" customFormat="1">
      <c r="A9504" s="83"/>
      <c r="H9504" s="83"/>
      <c r="K9504" s="82"/>
      <c r="M9504" s="112"/>
      <c r="N9504" s="84"/>
    </row>
    <row r="9505" spans="1:14" s="2" customFormat="1">
      <c r="A9505" s="83"/>
      <c r="H9505" s="83"/>
      <c r="K9505" s="82"/>
      <c r="M9505" s="112"/>
      <c r="N9505" s="84"/>
    </row>
    <row r="9506" spans="1:14" s="2" customFormat="1">
      <c r="A9506" s="83"/>
      <c r="H9506" s="83"/>
      <c r="K9506" s="82"/>
      <c r="M9506" s="112"/>
      <c r="N9506" s="84"/>
    </row>
    <row r="9507" spans="1:14" s="2" customFormat="1">
      <c r="A9507" s="83"/>
      <c r="H9507" s="83"/>
      <c r="K9507" s="82"/>
      <c r="M9507" s="112"/>
      <c r="N9507" s="84"/>
    </row>
    <row r="9508" spans="1:14" s="2" customFormat="1">
      <c r="A9508" s="83"/>
      <c r="H9508" s="83"/>
      <c r="K9508" s="82"/>
      <c r="M9508" s="112"/>
      <c r="N9508" s="84"/>
    </row>
    <row r="9509" spans="1:14" s="2" customFormat="1">
      <c r="A9509" s="83"/>
      <c r="H9509" s="83"/>
      <c r="K9509" s="82"/>
      <c r="M9509" s="112"/>
      <c r="N9509" s="84"/>
    </row>
    <row r="9510" spans="1:14" s="2" customFormat="1">
      <c r="A9510" s="83"/>
      <c r="H9510" s="83"/>
      <c r="K9510" s="82"/>
      <c r="M9510" s="112"/>
      <c r="N9510" s="84"/>
    </row>
    <row r="9511" spans="1:14" s="2" customFormat="1">
      <c r="A9511" s="83"/>
      <c r="H9511" s="83"/>
      <c r="K9511" s="82"/>
      <c r="M9511" s="112"/>
      <c r="N9511" s="84"/>
    </row>
    <row r="9512" spans="1:14" s="2" customFormat="1">
      <c r="A9512" s="83"/>
      <c r="H9512" s="83"/>
      <c r="K9512" s="82"/>
      <c r="M9512" s="112"/>
      <c r="N9512" s="84"/>
    </row>
    <row r="9513" spans="1:14" s="2" customFormat="1">
      <c r="A9513" s="83"/>
      <c r="H9513" s="83"/>
      <c r="K9513" s="82"/>
      <c r="M9513" s="112"/>
      <c r="N9513" s="84"/>
    </row>
    <row r="9514" spans="1:14" s="2" customFormat="1">
      <c r="A9514" s="83"/>
      <c r="H9514" s="83"/>
      <c r="K9514" s="82"/>
      <c r="M9514" s="112"/>
      <c r="N9514" s="84"/>
    </row>
    <row r="9515" spans="1:14" s="2" customFormat="1">
      <c r="A9515" s="83"/>
      <c r="H9515" s="83"/>
      <c r="K9515" s="82"/>
      <c r="M9515" s="112"/>
      <c r="N9515" s="84"/>
    </row>
    <row r="9516" spans="1:14" s="2" customFormat="1">
      <c r="A9516" s="83"/>
      <c r="H9516" s="83"/>
      <c r="K9516" s="82"/>
      <c r="M9516" s="112"/>
      <c r="N9516" s="84"/>
    </row>
    <row r="9517" spans="1:14" s="2" customFormat="1">
      <c r="A9517" s="83"/>
      <c r="H9517" s="83"/>
      <c r="K9517" s="82"/>
      <c r="M9517" s="112"/>
      <c r="N9517" s="84"/>
    </row>
    <row r="9518" spans="1:14" s="2" customFormat="1">
      <c r="A9518" s="83"/>
      <c r="H9518" s="83"/>
      <c r="K9518" s="82"/>
      <c r="M9518" s="112"/>
      <c r="N9518" s="84"/>
    </row>
    <row r="9519" spans="1:14" s="2" customFormat="1">
      <c r="A9519" s="83"/>
      <c r="H9519" s="83"/>
      <c r="K9519" s="82"/>
      <c r="M9519" s="112"/>
      <c r="N9519" s="84"/>
    </row>
    <row r="9520" spans="1:14" s="2" customFormat="1">
      <c r="A9520" s="83"/>
      <c r="H9520" s="83"/>
      <c r="K9520" s="82"/>
      <c r="M9520" s="112"/>
      <c r="N9520" s="84"/>
    </row>
    <row r="9521" spans="1:14" s="2" customFormat="1">
      <c r="A9521" s="83"/>
      <c r="H9521" s="83"/>
      <c r="K9521" s="82"/>
      <c r="M9521" s="112"/>
      <c r="N9521" s="84"/>
    </row>
    <row r="9522" spans="1:14" s="2" customFormat="1">
      <c r="A9522" s="83"/>
      <c r="H9522" s="83"/>
      <c r="K9522" s="82"/>
      <c r="M9522" s="112"/>
      <c r="N9522" s="84"/>
    </row>
    <row r="9523" spans="1:14" s="2" customFormat="1">
      <c r="A9523" s="83"/>
      <c r="H9523" s="83"/>
      <c r="K9523" s="82"/>
      <c r="M9523" s="112"/>
      <c r="N9523" s="84"/>
    </row>
    <row r="9524" spans="1:14" s="2" customFormat="1">
      <c r="A9524" s="83"/>
      <c r="H9524" s="83"/>
      <c r="K9524" s="82"/>
      <c r="M9524" s="112"/>
      <c r="N9524" s="84"/>
    </row>
    <row r="9525" spans="1:14" s="2" customFormat="1">
      <c r="A9525" s="83"/>
      <c r="H9525" s="83"/>
      <c r="K9525" s="82"/>
      <c r="M9525" s="112"/>
      <c r="N9525" s="84"/>
    </row>
    <row r="9526" spans="1:14" s="2" customFormat="1">
      <c r="A9526" s="83"/>
      <c r="H9526" s="83"/>
      <c r="K9526" s="82"/>
      <c r="M9526" s="112"/>
      <c r="N9526" s="84"/>
    </row>
    <row r="9527" spans="1:14" s="2" customFormat="1">
      <c r="A9527" s="83"/>
      <c r="H9527" s="83"/>
      <c r="K9527" s="82"/>
      <c r="M9527" s="112"/>
      <c r="N9527" s="84"/>
    </row>
    <row r="9528" spans="1:14" s="2" customFormat="1">
      <c r="A9528" s="83"/>
      <c r="H9528" s="83"/>
      <c r="K9528" s="82"/>
      <c r="M9528" s="112"/>
      <c r="N9528" s="84"/>
    </row>
    <row r="9529" spans="1:14" s="2" customFormat="1">
      <c r="A9529" s="83"/>
      <c r="H9529" s="83"/>
      <c r="K9529" s="82"/>
      <c r="M9529" s="112"/>
      <c r="N9529" s="84"/>
    </row>
    <row r="9530" spans="1:14" s="2" customFormat="1">
      <c r="A9530" s="83"/>
      <c r="H9530" s="83"/>
      <c r="K9530" s="82"/>
      <c r="M9530" s="112"/>
      <c r="N9530" s="84"/>
    </row>
    <row r="9531" spans="1:14" s="2" customFormat="1">
      <c r="A9531" s="83"/>
      <c r="H9531" s="83"/>
      <c r="K9531" s="82"/>
      <c r="M9531" s="112"/>
      <c r="N9531" s="84"/>
    </row>
    <row r="9532" spans="1:14" s="2" customFormat="1">
      <c r="A9532" s="83"/>
      <c r="H9532" s="83"/>
      <c r="K9532" s="82"/>
      <c r="M9532" s="112"/>
      <c r="N9532" s="84"/>
    </row>
    <row r="9533" spans="1:14" s="2" customFormat="1">
      <c r="A9533" s="83"/>
      <c r="H9533" s="83"/>
      <c r="K9533" s="82"/>
      <c r="M9533" s="112"/>
      <c r="N9533" s="84"/>
    </row>
    <row r="9534" spans="1:14" s="2" customFormat="1">
      <c r="A9534" s="83"/>
      <c r="H9534" s="83"/>
      <c r="K9534" s="82"/>
      <c r="M9534" s="112"/>
      <c r="N9534" s="84"/>
    </row>
    <row r="9535" spans="1:14" s="2" customFormat="1">
      <c r="A9535" s="83"/>
      <c r="H9535" s="83"/>
      <c r="K9535" s="82"/>
      <c r="M9535" s="112"/>
      <c r="N9535" s="84"/>
    </row>
    <row r="9536" spans="1:14" s="2" customFormat="1">
      <c r="A9536" s="83"/>
      <c r="H9536" s="83"/>
      <c r="K9536" s="82"/>
      <c r="M9536" s="112"/>
      <c r="N9536" s="84"/>
    </row>
    <row r="9537" spans="1:14" s="2" customFormat="1">
      <c r="A9537" s="83"/>
      <c r="H9537" s="83"/>
      <c r="K9537" s="82"/>
      <c r="M9537" s="112"/>
      <c r="N9537" s="84"/>
    </row>
    <row r="9538" spans="1:14" s="2" customFormat="1">
      <c r="A9538" s="83"/>
      <c r="H9538" s="83"/>
      <c r="K9538" s="82"/>
      <c r="M9538" s="112"/>
      <c r="N9538" s="84"/>
    </row>
    <row r="9539" spans="1:14" s="2" customFormat="1">
      <c r="A9539" s="83"/>
      <c r="H9539" s="83"/>
      <c r="K9539" s="82"/>
      <c r="M9539" s="112"/>
      <c r="N9539" s="84"/>
    </row>
    <row r="9540" spans="1:14" s="2" customFormat="1">
      <c r="A9540" s="83"/>
      <c r="H9540" s="83"/>
      <c r="K9540" s="82"/>
      <c r="M9540" s="112"/>
      <c r="N9540" s="84"/>
    </row>
    <row r="9541" spans="1:14" s="2" customFormat="1">
      <c r="A9541" s="83"/>
      <c r="H9541" s="83"/>
      <c r="K9541" s="82"/>
      <c r="M9541" s="112"/>
      <c r="N9541" s="84"/>
    </row>
    <row r="9542" spans="1:14" s="2" customFormat="1">
      <c r="A9542" s="83"/>
      <c r="H9542" s="83"/>
      <c r="K9542" s="82"/>
      <c r="M9542" s="112"/>
      <c r="N9542" s="84"/>
    </row>
    <row r="9543" spans="1:14" s="2" customFormat="1">
      <c r="A9543" s="83"/>
      <c r="H9543" s="83"/>
      <c r="K9543" s="82"/>
      <c r="M9543" s="112"/>
      <c r="N9543" s="84"/>
    </row>
    <row r="9544" spans="1:14" s="2" customFormat="1">
      <c r="A9544" s="83"/>
      <c r="H9544" s="83"/>
      <c r="K9544" s="82"/>
      <c r="M9544" s="112"/>
      <c r="N9544" s="84"/>
    </row>
    <row r="9545" spans="1:14" s="2" customFormat="1">
      <c r="A9545" s="83"/>
      <c r="H9545" s="83"/>
      <c r="K9545" s="82"/>
      <c r="M9545" s="112"/>
      <c r="N9545" s="84"/>
    </row>
    <row r="9546" spans="1:14" s="2" customFormat="1">
      <c r="A9546" s="83"/>
      <c r="H9546" s="83"/>
      <c r="K9546" s="82"/>
      <c r="M9546" s="112"/>
      <c r="N9546" s="84"/>
    </row>
    <row r="9547" spans="1:14" s="2" customFormat="1">
      <c r="A9547" s="83"/>
      <c r="H9547" s="83"/>
      <c r="K9547" s="82"/>
      <c r="M9547" s="112"/>
      <c r="N9547" s="84"/>
    </row>
    <row r="9548" spans="1:14" s="2" customFormat="1">
      <c r="A9548" s="83"/>
      <c r="H9548" s="83"/>
      <c r="K9548" s="82"/>
      <c r="M9548" s="112"/>
      <c r="N9548" s="84"/>
    </row>
    <row r="9549" spans="1:14" s="2" customFormat="1">
      <c r="A9549" s="83"/>
      <c r="H9549" s="83"/>
      <c r="K9549" s="82"/>
      <c r="M9549" s="112"/>
      <c r="N9549" s="84"/>
    </row>
    <row r="9550" spans="1:14" s="2" customFormat="1">
      <c r="A9550" s="83"/>
      <c r="H9550" s="83"/>
      <c r="K9550" s="82"/>
      <c r="M9550" s="112"/>
      <c r="N9550" s="84"/>
    </row>
    <row r="9551" spans="1:14" s="2" customFormat="1">
      <c r="A9551" s="83"/>
      <c r="H9551" s="83"/>
      <c r="K9551" s="82"/>
      <c r="M9551" s="112"/>
      <c r="N9551" s="84"/>
    </row>
    <row r="9552" spans="1:14" s="2" customFormat="1">
      <c r="A9552" s="83"/>
      <c r="H9552" s="83"/>
      <c r="K9552" s="82"/>
      <c r="M9552" s="112"/>
      <c r="N9552" s="84"/>
    </row>
    <row r="9553" spans="1:14" s="2" customFormat="1">
      <c r="A9553" s="83"/>
      <c r="H9553" s="83"/>
      <c r="K9553" s="82"/>
      <c r="M9553" s="112"/>
      <c r="N9553" s="84"/>
    </row>
    <row r="9554" spans="1:14" s="2" customFormat="1">
      <c r="A9554" s="83"/>
      <c r="H9554" s="83"/>
      <c r="K9554" s="82"/>
      <c r="M9554" s="112"/>
      <c r="N9554" s="84"/>
    </row>
    <row r="9555" spans="1:14" s="2" customFormat="1">
      <c r="A9555" s="83"/>
      <c r="H9555" s="83"/>
      <c r="K9555" s="82"/>
      <c r="M9555" s="112"/>
      <c r="N9555" s="84"/>
    </row>
    <row r="9556" spans="1:14" s="2" customFormat="1">
      <c r="A9556" s="83"/>
      <c r="H9556" s="83"/>
      <c r="K9556" s="82"/>
      <c r="M9556" s="112"/>
      <c r="N9556" s="84"/>
    </row>
    <row r="9557" spans="1:14" s="2" customFormat="1">
      <c r="A9557" s="83"/>
      <c r="H9557" s="83"/>
      <c r="K9557" s="82"/>
      <c r="M9557" s="112"/>
      <c r="N9557" s="84"/>
    </row>
    <row r="9558" spans="1:14" s="2" customFormat="1">
      <c r="A9558" s="83"/>
      <c r="H9558" s="83"/>
      <c r="K9558" s="82"/>
      <c r="M9558" s="112"/>
      <c r="N9558" s="84"/>
    </row>
    <row r="9559" spans="1:14" s="2" customFormat="1">
      <c r="A9559" s="83"/>
      <c r="H9559" s="83"/>
      <c r="K9559" s="82"/>
      <c r="M9559" s="112"/>
      <c r="N9559" s="84"/>
    </row>
    <row r="9560" spans="1:14" s="2" customFormat="1">
      <c r="A9560" s="83"/>
      <c r="H9560" s="83"/>
      <c r="K9560" s="82"/>
      <c r="M9560" s="112"/>
      <c r="N9560" s="84"/>
    </row>
    <row r="9561" spans="1:14" s="2" customFormat="1">
      <c r="A9561" s="83"/>
      <c r="H9561" s="83"/>
      <c r="K9561" s="82"/>
      <c r="M9561" s="112"/>
      <c r="N9561" s="84"/>
    </row>
    <row r="9562" spans="1:14" s="2" customFormat="1">
      <c r="A9562" s="83"/>
      <c r="H9562" s="83"/>
      <c r="K9562" s="82"/>
      <c r="M9562" s="112"/>
      <c r="N9562" s="84"/>
    </row>
    <row r="9563" spans="1:14" s="2" customFormat="1">
      <c r="A9563" s="83"/>
      <c r="H9563" s="83"/>
      <c r="K9563" s="82"/>
      <c r="M9563" s="112"/>
      <c r="N9563" s="84"/>
    </row>
    <row r="9564" spans="1:14" s="2" customFormat="1">
      <c r="A9564" s="83"/>
      <c r="H9564" s="83"/>
      <c r="K9564" s="82"/>
      <c r="M9564" s="112"/>
      <c r="N9564" s="84"/>
    </row>
    <row r="9565" spans="1:14" s="2" customFormat="1">
      <c r="A9565" s="83"/>
      <c r="H9565" s="83"/>
      <c r="K9565" s="82"/>
      <c r="M9565" s="112"/>
      <c r="N9565" s="84"/>
    </row>
    <row r="9566" spans="1:14" s="2" customFormat="1">
      <c r="A9566" s="83"/>
      <c r="H9566" s="83"/>
      <c r="K9566" s="82"/>
      <c r="M9566" s="112"/>
      <c r="N9566" s="84"/>
    </row>
    <row r="9567" spans="1:14" s="2" customFormat="1">
      <c r="A9567" s="83"/>
      <c r="H9567" s="83"/>
      <c r="K9567" s="82"/>
      <c r="M9567" s="112"/>
      <c r="N9567" s="84"/>
    </row>
    <row r="9568" spans="1:14" s="2" customFormat="1">
      <c r="A9568" s="83"/>
      <c r="H9568" s="83"/>
      <c r="K9568" s="82"/>
      <c r="M9568" s="112"/>
      <c r="N9568" s="84"/>
    </row>
    <row r="9569" spans="1:14" s="2" customFormat="1">
      <c r="A9569" s="83"/>
      <c r="H9569" s="83"/>
      <c r="K9569" s="82"/>
      <c r="M9569" s="112"/>
      <c r="N9569" s="84"/>
    </row>
    <row r="9570" spans="1:14" s="2" customFormat="1">
      <c r="A9570" s="83"/>
      <c r="H9570" s="83"/>
      <c r="K9570" s="82"/>
      <c r="M9570" s="112"/>
      <c r="N9570" s="84"/>
    </row>
    <row r="9571" spans="1:14" s="2" customFormat="1">
      <c r="A9571" s="83"/>
      <c r="H9571" s="83"/>
      <c r="K9571" s="82"/>
      <c r="M9571" s="112"/>
      <c r="N9571" s="84"/>
    </row>
    <row r="9572" spans="1:14" s="2" customFormat="1">
      <c r="A9572" s="83"/>
      <c r="H9572" s="83"/>
      <c r="K9572" s="82"/>
      <c r="M9572" s="112"/>
      <c r="N9572" s="84"/>
    </row>
    <row r="9573" spans="1:14" s="2" customFormat="1">
      <c r="A9573" s="83"/>
      <c r="H9573" s="83"/>
      <c r="K9573" s="82"/>
      <c r="M9573" s="112"/>
      <c r="N9573" s="84"/>
    </row>
    <row r="9574" spans="1:14" s="2" customFormat="1">
      <c r="A9574" s="83"/>
      <c r="H9574" s="83"/>
      <c r="K9574" s="82"/>
      <c r="M9574" s="112"/>
      <c r="N9574" s="84"/>
    </row>
    <row r="9575" spans="1:14" s="2" customFormat="1">
      <c r="A9575" s="83"/>
      <c r="H9575" s="83"/>
      <c r="K9575" s="82"/>
      <c r="M9575" s="112"/>
      <c r="N9575" s="84"/>
    </row>
    <row r="9576" spans="1:14" s="2" customFormat="1">
      <c r="A9576" s="83"/>
      <c r="H9576" s="83"/>
      <c r="K9576" s="82"/>
      <c r="M9576" s="112"/>
      <c r="N9576" s="84"/>
    </row>
    <row r="9577" spans="1:14" s="2" customFormat="1">
      <c r="A9577" s="83"/>
      <c r="H9577" s="83"/>
      <c r="K9577" s="82"/>
      <c r="M9577" s="112"/>
      <c r="N9577" s="84"/>
    </row>
    <row r="9578" spans="1:14" s="2" customFormat="1">
      <c r="A9578" s="83"/>
      <c r="H9578" s="83"/>
      <c r="K9578" s="82"/>
      <c r="M9578" s="112"/>
      <c r="N9578" s="84"/>
    </row>
    <row r="9579" spans="1:14" s="2" customFormat="1">
      <c r="A9579" s="83"/>
      <c r="H9579" s="83"/>
      <c r="K9579" s="82"/>
      <c r="M9579" s="112"/>
      <c r="N9579" s="84"/>
    </row>
    <row r="9580" spans="1:14" s="2" customFormat="1">
      <c r="A9580" s="83"/>
      <c r="H9580" s="83"/>
      <c r="K9580" s="82"/>
      <c r="M9580" s="112"/>
      <c r="N9580" s="84"/>
    </row>
    <row r="9581" spans="1:14" s="2" customFormat="1">
      <c r="A9581" s="83"/>
      <c r="H9581" s="83"/>
      <c r="K9581" s="82"/>
      <c r="M9581" s="112"/>
      <c r="N9581" s="84"/>
    </row>
    <row r="9582" spans="1:14" s="2" customFormat="1">
      <c r="A9582" s="83"/>
      <c r="H9582" s="83"/>
      <c r="K9582" s="82"/>
      <c r="M9582" s="112"/>
      <c r="N9582" s="84"/>
    </row>
    <row r="9583" spans="1:14" s="2" customFormat="1">
      <c r="A9583" s="83"/>
      <c r="H9583" s="83"/>
      <c r="K9583" s="82"/>
      <c r="M9583" s="112"/>
      <c r="N9583" s="84"/>
    </row>
    <row r="9584" spans="1:14" s="2" customFormat="1">
      <c r="A9584" s="83"/>
      <c r="H9584" s="83"/>
      <c r="K9584" s="82"/>
      <c r="M9584" s="112"/>
      <c r="N9584" s="84"/>
    </row>
    <row r="9585" spans="1:14" s="2" customFormat="1">
      <c r="A9585" s="83"/>
      <c r="H9585" s="83"/>
      <c r="K9585" s="82"/>
      <c r="M9585" s="112"/>
      <c r="N9585" s="84"/>
    </row>
    <row r="9586" spans="1:14" s="2" customFormat="1">
      <c r="A9586" s="83"/>
      <c r="H9586" s="83"/>
      <c r="K9586" s="82"/>
      <c r="M9586" s="112"/>
      <c r="N9586" s="84"/>
    </row>
    <row r="9587" spans="1:14" s="2" customFormat="1">
      <c r="A9587" s="83"/>
      <c r="H9587" s="83"/>
      <c r="K9587" s="82"/>
      <c r="M9587" s="112"/>
      <c r="N9587" s="84"/>
    </row>
    <row r="9588" spans="1:14" s="2" customFormat="1">
      <c r="A9588" s="83"/>
      <c r="H9588" s="83"/>
      <c r="K9588" s="82"/>
      <c r="M9588" s="112"/>
      <c r="N9588" s="84"/>
    </row>
    <row r="9589" spans="1:14" s="2" customFormat="1">
      <c r="A9589" s="83"/>
      <c r="H9589" s="83"/>
      <c r="K9589" s="82"/>
      <c r="M9589" s="112"/>
      <c r="N9589" s="84"/>
    </row>
    <row r="9590" spans="1:14" s="2" customFormat="1">
      <c r="A9590" s="83"/>
      <c r="H9590" s="83"/>
      <c r="K9590" s="82"/>
      <c r="M9590" s="112"/>
      <c r="N9590" s="84"/>
    </row>
    <row r="9591" spans="1:14" s="2" customFormat="1">
      <c r="A9591" s="83"/>
      <c r="H9591" s="83"/>
      <c r="K9591" s="82"/>
      <c r="M9591" s="112"/>
      <c r="N9591" s="84"/>
    </row>
    <row r="9592" spans="1:14" s="2" customFormat="1">
      <c r="A9592" s="83"/>
      <c r="H9592" s="83"/>
      <c r="K9592" s="82"/>
      <c r="M9592" s="112"/>
      <c r="N9592" s="84"/>
    </row>
    <row r="9593" spans="1:14" s="2" customFormat="1">
      <c r="A9593" s="83"/>
      <c r="H9593" s="83"/>
      <c r="K9593" s="82"/>
      <c r="M9593" s="112"/>
      <c r="N9593" s="84"/>
    </row>
    <row r="9594" spans="1:14" s="2" customFormat="1">
      <c r="A9594" s="83"/>
      <c r="H9594" s="83"/>
      <c r="K9594" s="82"/>
      <c r="M9594" s="112"/>
      <c r="N9594" s="84"/>
    </row>
    <row r="9595" spans="1:14" s="2" customFormat="1">
      <c r="A9595" s="83"/>
      <c r="H9595" s="83"/>
      <c r="K9595" s="82"/>
      <c r="M9595" s="112"/>
      <c r="N9595" s="84"/>
    </row>
    <row r="9596" spans="1:14" s="2" customFormat="1">
      <c r="A9596" s="83"/>
      <c r="H9596" s="83"/>
      <c r="K9596" s="82"/>
      <c r="M9596" s="112"/>
      <c r="N9596" s="84"/>
    </row>
    <row r="9597" spans="1:14" s="2" customFormat="1">
      <c r="A9597" s="83"/>
      <c r="H9597" s="83"/>
      <c r="K9597" s="82"/>
      <c r="M9597" s="112"/>
      <c r="N9597" s="84"/>
    </row>
    <row r="9598" spans="1:14" s="2" customFormat="1">
      <c r="A9598" s="83"/>
      <c r="H9598" s="83"/>
      <c r="K9598" s="82"/>
      <c r="M9598" s="112"/>
      <c r="N9598" s="84"/>
    </row>
    <row r="9599" spans="1:14" s="2" customFormat="1">
      <c r="A9599" s="83"/>
      <c r="H9599" s="83"/>
      <c r="K9599" s="82"/>
      <c r="M9599" s="112"/>
      <c r="N9599" s="84"/>
    </row>
    <row r="9600" spans="1:14" s="2" customFormat="1">
      <c r="A9600" s="83"/>
      <c r="H9600" s="83"/>
      <c r="K9600" s="82"/>
      <c r="M9600" s="112"/>
      <c r="N9600" s="84"/>
    </row>
    <row r="9601" spans="1:14" s="2" customFormat="1">
      <c r="A9601" s="83"/>
      <c r="H9601" s="83"/>
      <c r="K9601" s="82"/>
      <c r="M9601" s="112"/>
      <c r="N9601" s="84"/>
    </row>
    <row r="9602" spans="1:14" s="2" customFormat="1">
      <c r="A9602" s="83"/>
      <c r="H9602" s="83"/>
      <c r="K9602" s="82"/>
      <c r="M9602" s="112"/>
      <c r="N9602" s="84"/>
    </row>
    <row r="9603" spans="1:14" s="2" customFormat="1">
      <c r="A9603" s="83"/>
      <c r="H9603" s="83"/>
      <c r="K9603" s="82"/>
      <c r="M9603" s="112"/>
      <c r="N9603" s="84"/>
    </row>
    <row r="9604" spans="1:14" s="2" customFormat="1">
      <c r="A9604" s="83"/>
      <c r="H9604" s="83"/>
      <c r="K9604" s="82"/>
      <c r="M9604" s="112"/>
      <c r="N9604" s="84"/>
    </row>
    <row r="9605" spans="1:14" s="2" customFormat="1">
      <c r="A9605" s="83"/>
      <c r="H9605" s="83"/>
      <c r="K9605" s="82"/>
      <c r="M9605" s="112"/>
      <c r="N9605" s="84"/>
    </row>
    <row r="9606" spans="1:14" s="2" customFormat="1">
      <c r="A9606" s="83"/>
      <c r="H9606" s="83"/>
      <c r="K9606" s="82"/>
      <c r="M9606" s="112"/>
      <c r="N9606" s="84"/>
    </row>
    <row r="9607" spans="1:14" s="2" customFormat="1">
      <c r="A9607" s="83"/>
      <c r="H9607" s="83"/>
      <c r="K9607" s="82"/>
      <c r="M9607" s="112"/>
      <c r="N9607" s="84"/>
    </row>
    <row r="9608" spans="1:14" s="2" customFormat="1">
      <c r="A9608" s="83"/>
      <c r="H9608" s="83"/>
      <c r="K9608" s="82"/>
      <c r="M9608" s="112"/>
      <c r="N9608" s="84"/>
    </row>
    <row r="9609" spans="1:14" s="2" customFormat="1">
      <c r="A9609" s="83"/>
      <c r="H9609" s="83"/>
      <c r="K9609" s="82"/>
      <c r="M9609" s="112"/>
      <c r="N9609" s="84"/>
    </row>
    <row r="9610" spans="1:14" s="2" customFormat="1">
      <c r="A9610" s="83"/>
      <c r="H9610" s="83"/>
      <c r="K9610" s="82"/>
      <c r="M9610" s="112"/>
      <c r="N9610" s="84"/>
    </row>
    <row r="9611" spans="1:14" s="2" customFormat="1">
      <c r="A9611" s="83"/>
      <c r="H9611" s="83"/>
      <c r="K9611" s="82"/>
      <c r="M9611" s="112"/>
      <c r="N9611" s="84"/>
    </row>
    <row r="9612" spans="1:14" s="2" customFormat="1">
      <c r="A9612" s="83"/>
      <c r="H9612" s="83"/>
      <c r="K9612" s="82"/>
      <c r="M9612" s="112"/>
      <c r="N9612" s="84"/>
    </row>
    <row r="9613" spans="1:14" s="2" customFormat="1">
      <c r="A9613" s="83"/>
      <c r="H9613" s="83"/>
      <c r="K9613" s="82"/>
      <c r="M9613" s="112"/>
      <c r="N9613" s="84"/>
    </row>
    <row r="9614" spans="1:14" s="2" customFormat="1">
      <c r="A9614" s="83"/>
      <c r="H9614" s="83"/>
      <c r="K9614" s="82"/>
      <c r="M9614" s="112"/>
      <c r="N9614" s="84"/>
    </row>
    <row r="9615" spans="1:14" s="2" customFormat="1">
      <c r="A9615" s="83"/>
      <c r="H9615" s="83"/>
      <c r="K9615" s="82"/>
      <c r="M9615" s="112"/>
      <c r="N9615" s="84"/>
    </row>
    <row r="9616" spans="1:14" s="2" customFormat="1">
      <c r="A9616" s="83"/>
      <c r="H9616" s="83"/>
      <c r="K9616" s="82"/>
      <c r="M9616" s="112"/>
      <c r="N9616" s="84"/>
    </row>
    <row r="9617" spans="1:14" s="2" customFormat="1">
      <c r="A9617" s="83"/>
      <c r="H9617" s="83"/>
      <c r="K9617" s="82"/>
      <c r="M9617" s="112"/>
      <c r="N9617" s="84"/>
    </row>
    <row r="9618" spans="1:14" s="2" customFormat="1">
      <c r="A9618" s="83"/>
      <c r="H9618" s="83"/>
      <c r="K9618" s="82"/>
      <c r="M9618" s="112"/>
      <c r="N9618" s="84"/>
    </row>
    <row r="9619" spans="1:14" s="2" customFormat="1">
      <c r="A9619" s="83"/>
      <c r="H9619" s="83"/>
      <c r="K9619" s="82"/>
      <c r="M9619" s="112"/>
      <c r="N9619" s="84"/>
    </row>
    <row r="9620" spans="1:14" s="2" customFormat="1">
      <c r="A9620" s="83"/>
      <c r="H9620" s="83"/>
      <c r="K9620" s="82"/>
      <c r="M9620" s="112"/>
      <c r="N9620" s="84"/>
    </row>
    <row r="9621" spans="1:14" s="2" customFormat="1">
      <c r="A9621" s="83"/>
      <c r="H9621" s="83"/>
      <c r="K9621" s="82"/>
      <c r="M9621" s="112"/>
      <c r="N9621" s="84"/>
    </row>
    <row r="9622" spans="1:14" s="2" customFormat="1">
      <c r="A9622" s="83"/>
      <c r="H9622" s="83"/>
      <c r="K9622" s="82"/>
      <c r="M9622" s="112"/>
      <c r="N9622" s="84"/>
    </row>
    <row r="9623" spans="1:14" s="2" customFormat="1">
      <c r="A9623" s="83"/>
      <c r="H9623" s="83"/>
      <c r="K9623" s="82"/>
      <c r="M9623" s="112"/>
      <c r="N9623" s="84"/>
    </row>
    <row r="9624" spans="1:14" s="2" customFormat="1">
      <c r="A9624" s="83"/>
      <c r="H9624" s="83"/>
      <c r="K9624" s="82"/>
      <c r="M9624" s="112"/>
      <c r="N9624" s="84"/>
    </row>
    <row r="9625" spans="1:14" s="2" customFormat="1">
      <c r="A9625" s="83"/>
      <c r="H9625" s="83"/>
      <c r="K9625" s="82"/>
      <c r="M9625" s="112"/>
      <c r="N9625" s="84"/>
    </row>
    <row r="9626" spans="1:14" s="2" customFormat="1">
      <c r="A9626" s="83"/>
      <c r="H9626" s="83"/>
      <c r="K9626" s="82"/>
      <c r="M9626" s="112"/>
      <c r="N9626" s="84"/>
    </row>
    <row r="9627" spans="1:14" s="2" customFormat="1">
      <c r="A9627" s="83"/>
      <c r="H9627" s="83"/>
      <c r="K9627" s="82"/>
      <c r="M9627" s="112"/>
      <c r="N9627" s="84"/>
    </row>
    <row r="9628" spans="1:14" s="2" customFormat="1">
      <c r="A9628" s="83"/>
      <c r="H9628" s="83"/>
      <c r="K9628" s="82"/>
      <c r="M9628" s="112"/>
      <c r="N9628" s="84"/>
    </row>
    <row r="9629" spans="1:14" s="2" customFormat="1">
      <c r="A9629" s="83"/>
      <c r="H9629" s="83"/>
      <c r="K9629" s="82"/>
      <c r="M9629" s="112"/>
      <c r="N9629" s="84"/>
    </row>
    <row r="9630" spans="1:14" s="2" customFormat="1">
      <c r="A9630" s="83"/>
      <c r="H9630" s="83"/>
      <c r="K9630" s="82"/>
      <c r="M9630" s="112"/>
      <c r="N9630" s="84"/>
    </row>
    <row r="9631" spans="1:14" s="2" customFormat="1">
      <c r="A9631" s="83"/>
      <c r="H9631" s="83"/>
      <c r="K9631" s="82"/>
      <c r="M9631" s="112"/>
      <c r="N9631" s="84"/>
    </row>
    <row r="9632" spans="1:14" s="2" customFormat="1">
      <c r="A9632" s="83"/>
      <c r="H9632" s="83"/>
      <c r="K9632" s="82"/>
      <c r="M9632" s="112"/>
      <c r="N9632" s="84"/>
    </row>
    <row r="9633" spans="1:14" s="2" customFormat="1">
      <c r="A9633" s="83"/>
      <c r="H9633" s="83"/>
      <c r="K9633" s="82"/>
      <c r="M9633" s="112"/>
      <c r="N9633" s="84"/>
    </row>
    <row r="9634" spans="1:14" s="2" customFormat="1">
      <c r="A9634" s="83"/>
      <c r="H9634" s="83"/>
      <c r="K9634" s="82"/>
      <c r="M9634" s="112"/>
      <c r="N9634" s="84"/>
    </row>
    <row r="9635" spans="1:14" s="2" customFormat="1">
      <c r="A9635" s="83"/>
      <c r="H9635" s="83"/>
      <c r="K9635" s="82"/>
      <c r="M9635" s="112"/>
      <c r="N9635" s="84"/>
    </row>
    <row r="9636" spans="1:14" s="2" customFormat="1">
      <c r="A9636" s="83"/>
      <c r="H9636" s="83"/>
      <c r="K9636" s="82"/>
      <c r="M9636" s="112"/>
      <c r="N9636" s="84"/>
    </row>
    <row r="9637" spans="1:14" s="2" customFormat="1">
      <c r="A9637" s="83"/>
      <c r="H9637" s="83"/>
      <c r="K9637" s="82"/>
      <c r="M9637" s="112"/>
      <c r="N9637" s="84"/>
    </row>
    <row r="9638" spans="1:14" s="2" customFormat="1">
      <c r="A9638" s="83"/>
      <c r="H9638" s="83"/>
      <c r="K9638" s="82"/>
      <c r="M9638" s="112"/>
      <c r="N9638" s="84"/>
    </row>
    <row r="9639" spans="1:14" s="2" customFormat="1">
      <c r="A9639" s="83"/>
      <c r="H9639" s="83"/>
      <c r="K9639" s="82"/>
      <c r="M9639" s="112"/>
      <c r="N9639" s="84"/>
    </row>
    <row r="9640" spans="1:14" s="2" customFormat="1">
      <c r="A9640" s="83"/>
      <c r="H9640" s="83"/>
      <c r="K9640" s="82"/>
      <c r="M9640" s="112"/>
      <c r="N9640" s="84"/>
    </row>
    <row r="9641" spans="1:14" s="2" customFormat="1">
      <c r="A9641" s="83"/>
      <c r="H9641" s="83"/>
      <c r="K9641" s="82"/>
      <c r="M9641" s="112"/>
      <c r="N9641" s="84"/>
    </row>
    <row r="9642" spans="1:14" s="2" customFormat="1">
      <c r="A9642" s="83"/>
      <c r="H9642" s="83"/>
      <c r="K9642" s="82"/>
      <c r="M9642" s="112"/>
      <c r="N9642" s="84"/>
    </row>
    <row r="9643" spans="1:14" s="2" customFormat="1">
      <c r="A9643" s="83"/>
      <c r="H9643" s="83"/>
      <c r="K9643" s="82"/>
      <c r="M9643" s="112"/>
      <c r="N9643" s="84"/>
    </row>
    <row r="9644" spans="1:14" s="2" customFormat="1">
      <c r="A9644" s="83"/>
      <c r="H9644" s="83"/>
      <c r="K9644" s="82"/>
      <c r="M9644" s="112"/>
      <c r="N9644" s="84"/>
    </row>
    <row r="9645" spans="1:14" s="2" customFormat="1">
      <c r="A9645" s="83"/>
      <c r="H9645" s="83"/>
      <c r="K9645" s="82"/>
      <c r="M9645" s="112"/>
      <c r="N9645" s="84"/>
    </row>
    <row r="9646" spans="1:14" s="2" customFormat="1">
      <c r="A9646" s="83"/>
      <c r="H9646" s="83"/>
      <c r="K9646" s="82"/>
      <c r="M9646" s="112"/>
      <c r="N9646" s="84"/>
    </row>
    <row r="9647" spans="1:14" s="2" customFormat="1">
      <c r="A9647" s="83"/>
      <c r="H9647" s="83"/>
      <c r="K9647" s="82"/>
      <c r="M9647" s="112"/>
      <c r="N9647" s="84"/>
    </row>
    <row r="9648" spans="1:14" s="2" customFormat="1">
      <c r="A9648" s="83"/>
      <c r="H9648" s="83"/>
      <c r="K9648" s="82"/>
      <c r="M9648" s="112"/>
      <c r="N9648" s="84"/>
    </row>
    <row r="9649" spans="1:14" s="2" customFormat="1">
      <c r="A9649" s="83"/>
      <c r="H9649" s="83"/>
      <c r="K9649" s="82"/>
      <c r="M9649" s="112"/>
      <c r="N9649" s="84"/>
    </row>
    <row r="9650" spans="1:14" s="2" customFormat="1">
      <c r="A9650" s="83"/>
      <c r="H9650" s="83"/>
      <c r="K9650" s="82"/>
      <c r="M9650" s="112"/>
      <c r="N9650" s="84"/>
    </row>
    <row r="9651" spans="1:14" s="2" customFormat="1">
      <c r="A9651" s="83"/>
      <c r="H9651" s="83"/>
      <c r="K9651" s="82"/>
      <c r="M9651" s="112"/>
      <c r="N9651" s="84"/>
    </row>
    <row r="9652" spans="1:14" s="2" customFormat="1">
      <c r="A9652" s="83"/>
      <c r="H9652" s="83"/>
      <c r="K9652" s="82"/>
      <c r="M9652" s="112"/>
      <c r="N9652" s="84"/>
    </row>
    <row r="9653" spans="1:14" s="2" customFormat="1">
      <c r="A9653" s="83"/>
      <c r="H9653" s="83"/>
      <c r="K9653" s="82"/>
      <c r="M9653" s="112"/>
      <c r="N9653" s="84"/>
    </row>
    <row r="9654" spans="1:14" s="2" customFormat="1">
      <c r="A9654" s="83"/>
      <c r="H9654" s="83"/>
      <c r="K9654" s="82"/>
      <c r="M9654" s="112"/>
      <c r="N9654" s="84"/>
    </row>
    <row r="9655" spans="1:14" s="2" customFormat="1">
      <c r="A9655" s="83"/>
      <c r="H9655" s="83"/>
      <c r="K9655" s="82"/>
      <c r="M9655" s="112"/>
      <c r="N9655" s="84"/>
    </row>
    <row r="9656" spans="1:14" s="2" customFormat="1">
      <c r="A9656" s="83"/>
      <c r="H9656" s="83"/>
      <c r="K9656" s="82"/>
      <c r="M9656" s="112"/>
      <c r="N9656" s="84"/>
    </row>
    <row r="9657" spans="1:14" s="2" customFormat="1">
      <c r="A9657" s="83"/>
      <c r="H9657" s="83"/>
      <c r="K9657" s="82"/>
      <c r="M9657" s="112"/>
      <c r="N9657" s="84"/>
    </row>
    <row r="9658" spans="1:14" s="2" customFormat="1">
      <c r="A9658" s="83"/>
      <c r="H9658" s="83"/>
      <c r="K9658" s="82"/>
      <c r="M9658" s="112"/>
      <c r="N9658" s="84"/>
    </row>
    <row r="9659" spans="1:14" s="2" customFormat="1">
      <c r="A9659" s="83"/>
      <c r="H9659" s="83"/>
      <c r="K9659" s="82"/>
      <c r="M9659" s="112"/>
      <c r="N9659" s="84"/>
    </row>
    <row r="9660" spans="1:14" s="2" customFormat="1">
      <c r="A9660" s="83"/>
      <c r="H9660" s="83"/>
      <c r="K9660" s="82"/>
      <c r="M9660" s="112"/>
      <c r="N9660" s="84"/>
    </row>
    <row r="9661" spans="1:14" s="2" customFormat="1">
      <c r="A9661" s="83"/>
      <c r="H9661" s="83"/>
      <c r="K9661" s="82"/>
      <c r="M9661" s="112"/>
      <c r="N9661" s="84"/>
    </row>
    <row r="9662" spans="1:14" s="2" customFormat="1">
      <c r="A9662" s="83"/>
      <c r="H9662" s="83"/>
      <c r="K9662" s="82"/>
      <c r="M9662" s="112"/>
      <c r="N9662" s="84"/>
    </row>
    <row r="9663" spans="1:14" s="2" customFormat="1">
      <c r="A9663" s="83"/>
      <c r="H9663" s="83"/>
      <c r="K9663" s="82"/>
      <c r="M9663" s="112"/>
      <c r="N9663" s="84"/>
    </row>
    <row r="9664" spans="1:14" s="2" customFormat="1">
      <c r="A9664" s="83"/>
      <c r="H9664" s="83"/>
      <c r="K9664" s="82"/>
      <c r="M9664" s="112"/>
      <c r="N9664" s="84"/>
    </row>
    <row r="9665" spans="1:14" s="2" customFormat="1">
      <c r="A9665" s="83"/>
      <c r="H9665" s="83"/>
      <c r="K9665" s="82"/>
      <c r="M9665" s="112"/>
      <c r="N9665" s="84"/>
    </row>
    <row r="9666" spans="1:14" s="2" customFormat="1">
      <c r="A9666" s="83"/>
      <c r="H9666" s="83"/>
      <c r="K9666" s="82"/>
      <c r="M9666" s="112"/>
      <c r="N9666" s="84"/>
    </row>
    <row r="9667" spans="1:14" s="2" customFormat="1">
      <c r="A9667" s="83"/>
      <c r="H9667" s="83"/>
      <c r="K9667" s="82"/>
      <c r="M9667" s="112"/>
      <c r="N9667" s="84"/>
    </row>
    <row r="9668" spans="1:14" s="2" customFormat="1">
      <c r="A9668" s="83"/>
      <c r="H9668" s="83"/>
      <c r="K9668" s="82"/>
      <c r="M9668" s="112"/>
      <c r="N9668" s="84"/>
    </row>
    <row r="9669" spans="1:14" s="2" customFormat="1">
      <c r="A9669" s="83"/>
      <c r="H9669" s="83"/>
      <c r="K9669" s="82"/>
      <c r="M9669" s="112"/>
      <c r="N9669" s="84"/>
    </row>
    <row r="9670" spans="1:14" s="2" customFormat="1">
      <c r="A9670" s="83"/>
      <c r="H9670" s="83"/>
      <c r="K9670" s="82"/>
      <c r="M9670" s="112"/>
      <c r="N9670" s="84"/>
    </row>
    <row r="9671" spans="1:14" s="2" customFormat="1">
      <c r="A9671" s="83"/>
      <c r="H9671" s="83"/>
      <c r="K9671" s="82"/>
      <c r="M9671" s="112"/>
      <c r="N9671" s="84"/>
    </row>
    <row r="9672" spans="1:14" s="2" customFormat="1">
      <c r="A9672" s="83"/>
      <c r="H9672" s="83"/>
      <c r="K9672" s="82"/>
      <c r="M9672" s="112"/>
      <c r="N9672" s="84"/>
    </row>
    <row r="9673" spans="1:14" s="2" customFormat="1">
      <c r="A9673" s="83"/>
      <c r="H9673" s="83"/>
      <c r="K9673" s="82"/>
      <c r="M9673" s="112"/>
      <c r="N9673" s="84"/>
    </row>
    <row r="9674" spans="1:14" s="2" customFormat="1">
      <c r="A9674" s="83"/>
      <c r="H9674" s="83"/>
      <c r="K9674" s="82"/>
      <c r="M9674" s="112"/>
      <c r="N9674" s="84"/>
    </row>
    <row r="9675" spans="1:14" s="2" customFormat="1">
      <c r="A9675" s="83"/>
      <c r="H9675" s="83"/>
      <c r="K9675" s="82"/>
      <c r="M9675" s="112"/>
      <c r="N9675" s="84"/>
    </row>
    <row r="9676" spans="1:14" s="2" customFormat="1">
      <c r="A9676" s="83"/>
      <c r="H9676" s="83"/>
      <c r="K9676" s="82"/>
      <c r="M9676" s="112"/>
      <c r="N9676" s="84"/>
    </row>
    <row r="9677" spans="1:14" s="2" customFormat="1">
      <c r="A9677" s="83"/>
      <c r="H9677" s="83"/>
      <c r="K9677" s="82"/>
      <c r="M9677" s="112"/>
      <c r="N9677" s="84"/>
    </row>
    <row r="9678" spans="1:14" s="2" customFormat="1">
      <c r="A9678" s="83"/>
      <c r="H9678" s="83"/>
      <c r="K9678" s="82"/>
      <c r="M9678" s="112"/>
      <c r="N9678" s="84"/>
    </row>
    <row r="9679" spans="1:14" s="2" customFormat="1">
      <c r="A9679" s="83"/>
      <c r="H9679" s="83"/>
      <c r="K9679" s="82"/>
      <c r="M9679" s="112"/>
      <c r="N9679" s="84"/>
    </row>
    <row r="9680" spans="1:14" s="2" customFormat="1">
      <c r="A9680" s="83"/>
      <c r="H9680" s="83"/>
      <c r="K9680" s="82"/>
      <c r="M9680" s="112"/>
      <c r="N9680" s="84"/>
    </row>
    <row r="9681" spans="1:14" s="2" customFormat="1">
      <c r="A9681" s="83"/>
      <c r="H9681" s="83"/>
      <c r="K9681" s="82"/>
      <c r="M9681" s="112"/>
      <c r="N9681" s="84"/>
    </row>
    <row r="9682" spans="1:14" s="2" customFormat="1">
      <c r="A9682" s="83"/>
      <c r="H9682" s="83"/>
      <c r="K9682" s="82"/>
      <c r="M9682" s="112"/>
      <c r="N9682" s="84"/>
    </row>
    <row r="9683" spans="1:14" s="2" customFormat="1">
      <c r="A9683" s="83"/>
      <c r="H9683" s="83"/>
      <c r="K9683" s="82"/>
      <c r="M9683" s="112"/>
      <c r="N9683" s="84"/>
    </row>
    <row r="9684" spans="1:14" s="2" customFormat="1">
      <c r="A9684" s="83"/>
      <c r="H9684" s="83"/>
      <c r="K9684" s="82"/>
      <c r="M9684" s="112"/>
      <c r="N9684" s="84"/>
    </row>
    <row r="9685" spans="1:14" s="2" customFormat="1">
      <c r="A9685" s="83"/>
      <c r="H9685" s="83"/>
      <c r="K9685" s="82"/>
      <c r="M9685" s="112"/>
      <c r="N9685" s="84"/>
    </row>
    <row r="9686" spans="1:14" s="2" customFormat="1">
      <c r="A9686" s="83"/>
      <c r="H9686" s="83"/>
      <c r="K9686" s="82"/>
      <c r="M9686" s="112"/>
      <c r="N9686" s="84"/>
    </row>
    <row r="9687" spans="1:14" s="2" customFormat="1">
      <c r="A9687" s="83"/>
      <c r="H9687" s="83"/>
      <c r="K9687" s="82"/>
      <c r="M9687" s="112"/>
      <c r="N9687" s="84"/>
    </row>
    <row r="9688" spans="1:14" s="2" customFormat="1">
      <c r="A9688" s="83"/>
      <c r="H9688" s="83"/>
      <c r="K9688" s="82"/>
      <c r="M9688" s="112"/>
      <c r="N9688" s="84"/>
    </row>
    <row r="9689" spans="1:14" s="2" customFormat="1">
      <c r="A9689" s="83"/>
      <c r="H9689" s="83"/>
      <c r="K9689" s="82"/>
      <c r="M9689" s="112"/>
      <c r="N9689" s="84"/>
    </row>
    <row r="9690" spans="1:14" s="2" customFormat="1">
      <c r="A9690" s="83"/>
      <c r="H9690" s="83"/>
      <c r="K9690" s="82"/>
      <c r="M9690" s="112"/>
      <c r="N9690" s="84"/>
    </row>
    <row r="9691" spans="1:14" s="2" customFormat="1">
      <c r="A9691" s="83"/>
      <c r="H9691" s="83"/>
      <c r="K9691" s="82"/>
      <c r="M9691" s="112"/>
      <c r="N9691" s="84"/>
    </row>
    <row r="9692" spans="1:14" s="2" customFormat="1">
      <c r="A9692" s="83"/>
      <c r="H9692" s="83"/>
      <c r="K9692" s="82"/>
      <c r="M9692" s="112"/>
      <c r="N9692" s="84"/>
    </row>
    <row r="9693" spans="1:14" s="2" customFormat="1">
      <c r="A9693" s="83"/>
      <c r="H9693" s="83"/>
      <c r="K9693" s="82"/>
      <c r="M9693" s="112"/>
      <c r="N9693" s="84"/>
    </row>
    <row r="9694" spans="1:14" s="2" customFormat="1">
      <c r="A9694" s="83"/>
      <c r="H9694" s="83"/>
      <c r="K9694" s="82"/>
      <c r="M9694" s="112"/>
      <c r="N9694" s="84"/>
    </row>
    <row r="9695" spans="1:14" s="2" customFormat="1">
      <c r="A9695" s="83"/>
      <c r="H9695" s="83"/>
      <c r="K9695" s="82"/>
      <c r="M9695" s="112"/>
      <c r="N9695" s="84"/>
    </row>
    <row r="9696" spans="1:14" s="2" customFormat="1">
      <c r="A9696" s="83"/>
      <c r="H9696" s="83"/>
      <c r="K9696" s="82"/>
      <c r="M9696" s="112"/>
      <c r="N9696" s="84"/>
    </row>
    <row r="9697" spans="1:14" s="2" customFormat="1">
      <c r="A9697" s="83"/>
      <c r="H9697" s="83"/>
      <c r="K9697" s="82"/>
      <c r="M9697" s="112"/>
      <c r="N9697" s="84"/>
    </row>
    <row r="9698" spans="1:14" s="2" customFormat="1">
      <c r="A9698" s="83"/>
      <c r="H9698" s="83"/>
      <c r="K9698" s="82"/>
      <c r="M9698" s="112"/>
      <c r="N9698" s="84"/>
    </row>
    <row r="9699" spans="1:14" s="2" customFormat="1">
      <c r="A9699" s="83"/>
      <c r="H9699" s="83"/>
      <c r="K9699" s="82"/>
      <c r="M9699" s="112"/>
      <c r="N9699" s="84"/>
    </row>
    <row r="9700" spans="1:14" s="2" customFormat="1">
      <c r="A9700" s="83"/>
      <c r="H9700" s="83"/>
      <c r="K9700" s="82"/>
      <c r="M9700" s="112"/>
      <c r="N9700" s="84"/>
    </row>
    <row r="9701" spans="1:14" s="2" customFormat="1">
      <c r="A9701" s="83"/>
      <c r="H9701" s="83"/>
      <c r="K9701" s="82"/>
      <c r="M9701" s="112"/>
      <c r="N9701" s="84"/>
    </row>
    <row r="9702" spans="1:14" s="2" customFormat="1">
      <c r="A9702" s="83"/>
      <c r="H9702" s="83"/>
      <c r="K9702" s="82"/>
      <c r="M9702" s="112"/>
      <c r="N9702" s="84"/>
    </row>
    <row r="9703" spans="1:14" s="2" customFormat="1">
      <c r="A9703" s="83"/>
      <c r="H9703" s="83"/>
      <c r="K9703" s="82"/>
      <c r="M9703" s="112"/>
      <c r="N9703" s="84"/>
    </row>
    <row r="9704" spans="1:14" s="2" customFormat="1">
      <c r="A9704" s="83"/>
      <c r="H9704" s="83"/>
      <c r="K9704" s="82"/>
      <c r="M9704" s="112"/>
      <c r="N9704" s="84"/>
    </row>
    <row r="9705" spans="1:14" s="2" customFormat="1">
      <c r="A9705" s="83"/>
      <c r="H9705" s="83"/>
      <c r="K9705" s="82"/>
      <c r="M9705" s="112"/>
      <c r="N9705" s="84"/>
    </row>
    <row r="9706" spans="1:14" s="2" customFormat="1">
      <c r="A9706" s="83"/>
      <c r="H9706" s="83"/>
      <c r="K9706" s="82"/>
      <c r="M9706" s="112"/>
      <c r="N9706" s="84"/>
    </row>
    <row r="9707" spans="1:14" s="2" customFormat="1">
      <c r="A9707" s="83"/>
      <c r="H9707" s="83"/>
      <c r="K9707" s="82"/>
      <c r="M9707" s="112"/>
      <c r="N9707" s="84"/>
    </row>
    <row r="9708" spans="1:14" s="2" customFormat="1">
      <c r="A9708" s="83"/>
      <c r="H9708" s="83"/>
      <c r="K9708" s="82"/>
      <c r="M9708" s="112"/>
      <c r="N9708" s="84"/>
    </row>
    <row r="9709" spans="1:14" s="2" customFormat="1">
      <c r="A9709" s="83"/>
      <c r="H9709" s="83"/>
      <c r="K9709" s="82"/>
      <c r="M9709" s="112"/>
      <c r="N9709" s="84"/>
    </row>
    <row r="9710" spans="1:14" s="2" customFormat="1">
      <c r="A9710" s="83"/>
      <c r="H9710" s="83"/>
      <c r="K9710" s="82"/>
      <c r="M9710" s="112"/>
      <c r="N9710" s="84"/>
    </row>
    <row r="9711" spans="1:14" s="2" customFormat="1">
      <c r="A9711" s="83"/>
      <c r="H9711" s="83"/>
      <c r="K9711" s="82"/>
      <c r="M9711" s="112"/>
      <c r="N9711" s="84"/>
    </row>
    <row r="9712" spans="1:14" s="2" customFormat="1">
      <c r="A9712" s="83"/>
      <c r="H9712" s="83"/>
      <c r="K9712" s="82"/>
      <c r="M9712" s="112"/>
      <c r="N9712" s="84"/>
    </row>
    <row r="9713" spans="1:14" s="2" customFormat="1">
      <c r="A9713" s="83"/>
      <c r="H9713" s="83"/>
      <c r="K9713" s="82"/>
      <c r="M9713" s="112"/>
      <c r="N9713" s="84"/>
    </row>
    <row r="9714" spans="1:14" s="2" customFormat="1">
      <c r="A9714" s="83"/>
      <c r="H9714" s="83"/>
      <c r="K9714" s="82"/>
      <c r="M9714" s="112"/>
      <c r="N9714" s="84"/>
    </row>
    <row r="9715" spans="1:14" s="2" customFormat="1">
      <c r="A9715" s="83"/>
      <c r="H9715" s="83"/>
      <c r="K9715" s="82"/>
      <c r="M9715" s="112"/>
      <c r="N9715" s="84"/>
    </row>
    <row r="9716" spans="1:14" s="2" customFormat="1">
      <c r="A9716" s="83"/>
      <c r="H9716" s="83"/>
      <c r="K9716" s="82"/>
      <c r="M9716" s="112"/>
      <c r="N9716" s="84"/>
    </row>
    <row r="9717" spans="1:14" s="2" customFormat="1">
      <c r="A9717" s="83"/>
      <c r="H9717" s="83"/>
      <c r="K9717" s="82"/>
      <c r="M9717" s="112"/>
      <c r="N9717" s="84"/>
    </row>
    <row r="9718" spans="1:14" s="2" customFormat="1">
      <c r="A9718" s="83"/>
      <c r="H9718" s="83"/>
      <c r="K9718" s="82"/>
      <c r="M9718" s="112"/>
      <c r="N9718" s="84"/>
    </row>
    <row r="9719" spans="1:14" s="2" customFormat="1">
      <c r="A9719" s="83"/>
      <c r="H9719" s="83"/>
      <c r="K9719" s="82"/>
      <c r="M9719" s="112"/>
      <c r="N9719" s="84"/>
    </row>
    <row r="9720" spans="1:14" s="2" customFormat="1">
      <c r="A9720" s="83"/>
      <c r="H9720" s="83"/>
      <c r="K9720" s="82"/>
      <c r="M9720" s="112"/>
      <c r="N9720" s="84"/>
    </row>
    <row r="9721" spans="1:14" s="2" customFormat="1">
      <c r="A9721" s="83"/>
      <c r="H9721" s="83"/>
      <c r="K9721" s="82"/>
      <c r="M9721" s="112"/>
      <c r="N9721" s="84"/>
    </row>
    <row r="9722" spans="1:14" s="2" customFormat="1">
      <c r="A9722" s="83"/>
      <c r="H9722" s="83"/>
      <c r="K9722" s="82"/>
      <c r="M9722" s="112"/>
      <c r="N9722" s="84"/>
    </row>
    <row r="9723" spans="1:14" s="2" customFormat="1">
      <c r="A9723" s="83"/>
      <c r="H9723" s="83"/>
      <c r="K9723" s="82"/>
      <c r="M9723" s="112"/>
      <c r="N9723" s="84"/>
    </row>
    <row r="9724" spans="1:14" s="2" customFormat="1">
      <c r="A9724" s="83"/>
      <c r="H9724" s="83"/>
      <c r="K9724" s="82"/>
      <c r="M9724" s="112"/>
      <c r="N9724" s="84"/>
    </row>
    <row r="9725" spans="1:14" s="2" customFormat="1">
      <c r="A9725" s="83"/>
      <c r="H9725" s="83"/>
      <c r="K9725" s="82"/>
      <c r="M9725" s="112"/>
      <c r="N9725" s="84"/>
    </row>
    <row r="9726" spans="1:14" s="2" customFormat="1">
      <c r="A9726" s="83"/>
      <c r="H9726" s="83"/>
      <c r="K9726" s="82"/>
      <c r="M9726" s="112"/>
      <c r="N9726" s="84"/>
    </row>
    <row r="9727" spans="1:14" s="2" customFormat="1">
      <c r="A9727" s="83"/>
      <c r="H9727" s="83"/>
      <c r="K9727" s="82"/>
      <c r="M9727" s="112"/>
      <c r="N9727" s="84"/>
    </row>
    <row r="9728" spans="1:14" s="2" customFormat="1">
      <c r="A9728" s="83"/>
      <c r="H9728" s="83"/>
      <c r="K9728" s="82"/>
      <c r="M9728" s="112"/>
      <c r="N9728" s="84"/>
    </row>
    <row r="9729" spans="1:14" s="2" customFormat="1">
      <c r="A9729" s="83"/>
      <c r="H9729" s="83"/>
      <c r="K9729" s="82"/>
      <c r="M9729" s="112"/>
      <c r="N9729" s="84"/>
    </row>
    <row r="9730" spans="1:14" s="2" customFormat="1">
      <c r="A9730" s="83"/>
      <c r="H9730" s="83"/>
      <c r="K9730" s="82"/>
      <c r="M9730" s="112"/>
      <c r="N9730" s="84"/>
    </row>
    <row r="9731" spans="1:14" s="2" customFormat="1">
      <c r="A9731" s="83"/>
      <c r="H9731" s="83"/>
      <c r="K9731" s="82"/>
      <c r="M9731" s="112"/>
      <c r="N9731" s="84"/>
    </row>
    <row r="9732" spans="1:14" s="2" customFormat="1">
      <c r="A9732" s="83"/>
      <c r="H9732" s="83"/>
      <c r="K9732" s="82"/>
      <c r="M9732" s="112"/>
      <c r="N9732" s="84"/>
    </row>
    <row r="9733" spans="1:14" s="2" customFormat="1">
      <c r="A9733" s="83"/>
      <c r="H9733" s="83"/>
      <c r="K9733" s="82"/>
      <c r="M9733" s="112"/>
      <c r="N9733" s="84"/>
    </row>
    <row r="9734" spans="1:14" s="2" customFormat="1">
      <c r="A9734" s="83"/>
      <c r="H9734" s="83"/>
      <c r="K9734" s="82"/>
      <c r="M9734" s="112"/>
      <c r="N9734" s="84"/>
    </row>
    <row r="9735" spans="1:14" s="2" customFormat="1">
      <c r="A9735" s="83"/>
      <c r="H9735" s="83"/>
      <c r="K9735" s="82"/>
      <c r="M9735" s="112"/>
      <c r="N9735" s="84"/>
    </row>
    <row r="9736" spans="1:14" s="2" customFormat="1">
      <c r="A9736" s="83"/>
      <c r="H9736" s="83"/>
      <c r="K9736" s="82"/>
      <c r="M9736" s="112"/>
      <c r="N9736" s="84"/>
    </row>
    <row r="9737" spans="1:14" s="2" customFormat="1">
      <c r="A9737" s="83"/>
      <c r="H9737" s="83"/>
      <c r="K9737" s="82"/>
      <c r="M9737" s="112"/>
      <c r="N9737" s="84"/>
    </row>
    <row r="9738" spans="1:14" s="2" customFormat="1">
      <c r="A9738" s="83"/>
      <c r="H9738" s="83"/>
      <c r="K9738" s="82"/>
      <c r="M9738" s="112"/>
      <c r="N9738" s="84"/>
    </row>
    <row r="9739" spans="1:14" s="2" customFormat="1">
      <c r="A9739" s="83"/>
      <c r="H9739" s="83"/>
      <c r="K9739" s="82"/>
      <c r="M9739" s="112"/>
      <c r="N9739" s="84"/>
    </row>
    <row r="9740" spans="1:14" s="2" customFormat="1">
      <c r="A9740" s="83"/>
      <c r="H9740" s="83"/>
      <c r="K9740" s="82"/>
      <c r="M9740" s="112"/>
      <c r="N9740" s="84"/>
    </row>
    <row r="9741" spans="1:14" s="2" customFormat="1">
      <c r="A9741" s="83"/>
      <c r="H9741" s="83"/>
      <c r="K9741" s="82"/>
      <c r="M9741" s="112"/>
      <c r="N9741" s="84"/>
    </row>
    <row r="9742" spans="1:14" s="2" customFormat="1">
      <c r="A9742" s="83"/>
      <c r="H9742" s="83"/>
      <c r="K9742" s="82"/>
      <c r="M9742" s="112"/>
      <c r="N9742" s="84"/>
    </row>
    <row r="9743" spans="1:14" s="2" customFormat="1">
      <c r="A9743" s="83"/>
      <c r="H9743" s="83"/>
      <c r="K9743" s="82"/>
      <c r="M9743" s="112"/>
      <c r="N9743" s="84"/>
    </row>
    <row r="9744" spans="1:14" s="2" customFormat="1">
      <c r="A9744" s="83"/>
      <c r="H9744" s="83"/>
      <c r="K9744" s="82"/>
      <c r="M9744" s="112"/>
      <c r="N9744" s="84"/>
    </row>
    <row r="9745" spans="1:14" s="2" customFormat="1">
      <c r="A9745" s="83"/>
      <c r="H9745" s="83"/>
      <c r="K9745" s="82"/>
      <c r="M9745" s="112"/>
      <c r="N9745" s="84"/>
    </row>
    <row r="9746" spans="1:14" s="2" customFormat="1">
      <c r="A9746" s="83"/>
      <c r="H9746" s="83"/>
      <c r="K9746" s="82"/>
      <c r="M9746" s="112"/>
      <c r="N9746" s="84"/>
    </row>
    <row r="9747" spans="1:14" s="2" customFormat="1">
      <c r="A9747" s="83"/>
      <c r="H9747" s="83"/>
      <c r="K9747" s="82"/>
      <c r="M9747" s="112"/>
      <c r="N9747" s="84"/>
    </row>
    <row r="9748" spans="1:14" s="2" customFormat="1">
      <c r="A9748" s="83"/>
      <c r="H9748" s="83"/>
      <c r="K9748" s="82"/>
      <c r="M9748" s="112"/>
      <c r="N9748" s="84"/>
    </row>
    <row r="9749" spans="1:14" s="2" customFormat="1">
      <c r="A9749" s="83"/>
      <c r="H9749" s="83"/>
      <c r="K9749" s="82"/>
      <c r="M9749" s="112"/>
      <c r="N9749" s="84"/>
    </row>
    <row r="9750" spans="1:14" s="2" customFormat="1">
      <c r="A9750" s="83"/>
      <c r="H9750" s="83"/>
      <c r="K9750" s="82"/>
      <c r="M9750" s="112"/>
      <c r="N9750" s="84"/>
    </row>
    <row r="9751" spans="1:14" s="2" customFormat="1">
      <c r="A9751" s="83"/>
      <c r="H9751" s="83"/>
      <c r="K9751" s="82"/>
      <c r="M9751" s="112"/>
      <c r="N9751" s="84"/>
    </row>
    <row r="9752" spans="1:14" s="2" customFormat="1">
      <c r="A9752" s="83"/>
      <c r="H9752" s="83"/>
      <c r="K9752" s="82"/>
      <c r="M9752" s="112"/>
      <c r="N9752" s="84"/>
    </row>
    <row r="9753" spans="1:14" s="2" customFormat="1">
      <c r="A9753" s="83"/>
      <c r="H9753" s="83"/>
      <c r="K9753" s="82"/>
      <c r="M9753" s="112"/>
      <c r="N9753" s="84"/>
    </row>
    <row r="9754" spans="1:14" s="2" customFormat="1">
      <c r="A9754" s="83"/>
      <c r="H9754" s="83"/>
      <c r="K9754" s="82"/>
      <c r="M9754" s="112"/>
      <c r="N9754" s="84"/>
    </row>
    <row r="9755" spans="1:14" s="2" customFormat="1">
      <c r="A9755" s="83"/>
      <c r="H9755" s="83"/>
      <c r="K9755" s="82"/>
      <c r="M9755" s="112"/>
      <c r="N9755" s="84"/>
    </row>
    <row r="9756" spans="1:14" s="2" customFormat="1">
      <c r="A9756" s="83"/>
      <c r="H9756" s="83"/>
      <c r="K9756" s="82"/>
      <c r="M9756" s="112"/>
      <c r="N9756" s="84"/>
    </row>
    <row r="9757" spans="1:14" s="2" customFormat="1">
      <c r="A9757" s="83"/>
      <c r="H9757" s="83"/>
      <c r="K9757" s="82"/>
      <c r="M9757" s="112"/>
      <c r="N9757" s="84"/>
    </row>
    <row r="9758" spans="1:14" s="2" customFormat="1">
      <c r="A9758" s="83"/>
      <c r="H9758" s="83"/>
      <c r="K9758" s="82"/>
      <c r="M9758" s="112"/>
      <c r="N9758" s="84"/>
    </row>
    <row r="9759" spans="1:14" s="2" customFormat="1">
      <c r="A9759" s="83"/>
      <c r="H9759" s="83"/>
      <c r="K9759" s="82"/>
      <c r="M9759" s="112"/>
      <c r="N9759" s="84"/>
    </row>
    <row r="9760" spans="1:14" s="2" customFormat="1">
      <c r="A9760" s="83"/>
      <c r="H9760" s="83"/>
      <c r="K9760" s="82"/>
      <c r="M9760" s="112"/>
      <c r="N9760" s="84"/>
    </row>
    <row r="9761" spans="1:14" s="2" customFormat="1">
      <c r="A9761" s="83"/>
      <c r="H9761" s="83"/>
      <c r="K9761" s="82"/>
      <c r="M9761" s="112"/>
      <c r="N9761" s="84"/>
    </row>
    <row r="9762" spans="1:14" s="2" customFormat="1">
      <c r="A9762" s="83"/>
      <c r="H9762" s="83"/>
      <c r="K9762" s="82"/>
      <c r="M9762" s="112"/>
      <c r="N9762" s="84"/>
    </row>
    <row r="9763" spans="1:14" s="2" customFormat="1">
      <c r="A9763" s="83"/>
      <c r="H9763" s="83"/>
      <c r="K9763" s="82"/>
      <c r="M9763" s="112"/>
      <c r="N9763" s="84"/>
    </row>
    <row r="9764" spans="1:14" s="2" customFormat="1">
      <c r="A9764" s="83"/>
      <c r="H9764" s="83"/>
      <c r="K9764" s="82"/>
      <c r="M9764" s="112"/>
      <c r="N9764" s="84"/>
    </row>
    <row r="9765" spans="1:14" s="2" customFormat="1">
      <c r="A9765" s="83"/>
      <c r="H9765" s="83"/>
      <c r="K9765" s="82"/>
      <c r="M9765" s="112"/>
      <c r="N9765" s="84"/>
    </row>
    <row r="9766" spans="1:14" s="2" customFormat="1">
      <c r="A9766" s="83"/>
      <c r="H9766" s="83"/>
      <c r="K9766" s="82"/>
      <c r="M9766" s="112"/>
      <c r="N9766" s="84"/>
    </row>
    <row r="9767" spans="1:14" s="2" customFormat="1">
      <c r="A9767" s="83"/>
      <c r="H9767" s="83"/>
      <c r="K9767" s="82"/>
      <c r="M9767" s="112"/>
      <c r="N9767" s="84"/>
    </row>
    <row r="9768" spans="1:14" s="2" customFormat="1">
      <c r="A9768" s="83"/>
      <c r="H9768" s="83"/>
      <c r="K9768" s="82"/>
      <c r="M9768" s="112"/>
      <c r="N9768" s="84"/>
    </row>
    <row r="9769" spans="1:14" s="2" customFormat="1">
      <c r="A9769" s="83"/>
      <c r="H9769" s="83"/>
      <c r="K9769" s="82"/>
      <c r="M9769" s="112"/>
      <c r="N9769" s="84"/>
    </row>
    <row r="9770" spans="1:14" s="2" customFormat="1">
      <c r="A9770" s="83"/>
      <c r="H9770" s="83"/>
      <c r="K9770" s="82"/>
      <c r="M9770" s="112"/>
      <c r="N9770" s="84"/>
    </row>
    <row r="9771" spans="1:14" s="2" customFormat="1">
      <c r="A9771" s="83"/>
      <c r="H9771" s="83"/>
      <c r="K9771" s="82"/>
      <c r="M9771" s="112"/>
      <c r="N9771" s="84"/>
    </row>
    <row r="9772" spans="1:14" s="2" customFormat="1">
      <c r="A9772" s="83"/>
      <c r="H9772" s="83"/>
      <c r="K9772" s="82"/>
      <c r="M9772" s="112"/>
      <c r="N9772" s="84"/>
    </row>
    <row r="9773" spans="1:14" s="2" customFormat="1">
      <c r="A9773" s="83"/>
      <c r="H9773" s="83"/>
      <c r="K9773" s="82"/>
      <c r="M9773" s="112"/>
      <c r="N9773" s="84"/>
    </row>
    <row r="9774" spans="1:14" s="2" customFormat="1">
      <c r="A9774" s="83"/>
      <c r="H9774" s="83"/>
      <c r="K9774" s="82"/>
      <c r="M9774" s="112"/>
      <c r="N9774" s="84"/>
    </row>
    <row r="9775" spans="1:14" s="2" customFormat="1">
      <c r="A9775" s="83"/>
      <c r="H9775" s="83"/>
      <c r="K9775" s="82"/>
      <c r="M9775" s="112"/>
      <c r="N9775" s="84"/>
    </row>
    <row r="9776" spans="1:14" s="2" customFormat="1">
      <c r="A9776" s="83"/>
      <c r="H9776" s="83"/>
      <c r="K9776" s="82"/>
      <c r="M9776" s="112"/>
      <c r="N9776" s="84"/>
    </row>
    <row r="9777" spans="1:14" s="2" customFormat="1">
      <c r="A9777" s="83"/>
      <c r="H9777" s="83"/>
      <c r="K9777" s="82"/>
      <c r="M9777" s="112"/>
      <c r="N9777" s="84"/>
    </row>
    <row r="9778" spans="1:14" s="2" customFormat="1">
      <c r="A9778" s="83"/>
      <c r="H9778" s="83"/>
      <c r="K9778" s="82"/>
      <c r="M9778" s="112"/>
      <c r="N9778" s="84"/>
    </row>
    <row r="9779" spans="1:14" s="2" customFormat="1">
      <c r="A9779" s="83"/>
      <c r="H9779" s="83"/>
      <c r="K9779" s="82"/>
      <c r="M9779" s="112"/>
      <c r="N9779" s="84"/>
    </row>
    <row r="9780" spans="1:14" s="2" customFormat="1">
      <c r="A9780" s="83"/>
      <c r="H9780" s="83"/>
      <c r="K9780" s="82"/>
      <c r="M9780" s="112"/>
      <c r="N9780" s="84"/>
    </row>
    <row r="9781" spans="1:14" s="2" customFormat="1">
      <c r="A9781" s="83"/>
      <c r="H9781" s="83"/>
      <c r="K9781" s="82"/>
      <c r="M9781" s="112"/>
      <c r="N9781" s="84"/>
    </row>
    <row r="9782" spans="1:14" s="2" customFormat="1">
      <c r="A9782" s="83"/>
      <c r="H9782" s="83"/>
      <c r="K9782" s="82"/>
      <c r="M9782" s="112"/>
      <c r="N9782" s="84"/>
    </row>
    <row r="9783" spans="1:14" s="2" customFormat="1">
      <c r="A9783" s="83"/>
      <c r="H9783" s="83"/>
      <c r="K9783" s="82"/>
      <c r="M9783" s="112"/>
      <c r="N9783" s="84"/>
    </row>
    <row r="9784" spans="1:14" s="2" customFormat="1">
      <c r="A9784" s="83"/>
      <c r="H9784" s="83"/>
      <c r="K9784" s="82"/>
      <c r="M9784" s="112"/>
      <c r="N9784" s="84"/>
    </row>
    <row r="9785" spans="1:14" s="2" customFormat="1">
      <c r="A9785" s="83"/>
      <c r="H9785" s="83"/>
      <c r="K9785" s="82"/>
      <c r="M9785" s="112"/>
      <c r="N9785" s="84"/>
    </row>
    <row r="9786" spans="1:14" s="2" customFormat="1">
      <c r="A9786" s="83"/>
      <c r="H9786" s="83"/>
      <c r="K9786" s="82"/>
      <c r="M9786" s="112"/>
      <c r="N9786" s="84"/>
    </row>
    <row r="9787" spans="1:14" s="2" customFormat="1">
      <c r="A9787" s="83"/>
      <c r="H9787" s="83"/>
      <c r="K9787" s="82"/>
      <c r="M9787" s="112"/>
      <c r="N9787" s="84"/>
    </row>
    <row r="9788" spans="1:14" s="2" customFormat="1">
      <c r="A9788" s="83"/>
      <c r="H9788" s="83"/>
      <c r="K9788" s="82"/>
      <c r="M9788" s="112"/>
      <c r="N9788" s="84"/>
    </row>
    <row r="9789" spans="1:14" s="2" customFormat="1">
      <c r="A9789" s="83"/>
      <c r="H9789" s="83"/>
      <c r="K9789" s="82"/>
      <c r="M9789" s="112"/>
      <c r="N9789" s="84"/>
    </row>
    <row r="9790" spans="1:14" s="2" customFormat="1">
      <c r="A9790" s="83"/>
      <c r="H9790" s="83"/>
      <c r="K9790" s="82"/>
      <c r="M9790" s="112"/>
      <c r="N9790" s="84"/>
    </row>
    <row r="9791" spans="1:14" s="2" customFormat="1">
      <c r="A9791" s="83"/>
      <c r="H9791" s="83"/>
      <c r="K9791" s="82"/>
      <c r="M9791" s="112"/>
      <c r="N9791" s="84"/>
    </row>
    <row r="9792" spans="1:14" s="2" customFormat="1">
      <c r="A9792" s="83"/>
      <c r="H9792" s="83"/>
      <c r="K9792" s="82"/>
      <c r="M9792" s="112"/>
      <c r="N9792" s="84"/>
    </row>
    <row r="9793" spans="1:14" s="2" customFormat="1">
      <c r="A9793" s="83"/>
      <c r="H9793" s="83"/>
      <c r="K9793" s="82"/>
      <c r="M9793" s="112"/>
      <c r="N9793" s="84"/>
    </row>
    <row r="9794" spans="1:14" s="2" customFormat="1">
      <c r="A9794" s="83"/>
      <c r="H9794" s="83"/>
      <c r="K9794" s="82"/>
      <c r="M9794" s="112"/>
      <c r="N9794" s="84"/>
    </row>
    <row r="9795" spans="1:14" s="2" customFormat="1">
      <c r="A9795" s="83"/>
      <c r="H9795" s="83"/>
      <c r="K9795" s="82"/>
      <c r="M9795" s="112"/>
      <c r="N9795" s="84"/>
    </row>
    <row r="9796" spans="1:14" s="2" customFormat="1">
      <c r="A9796" s="83"/>
      <c r="H9796" s="83"/>
      <c r="K9796" s="82"/>
      <c r="M9796" s="112"/>
      <c r="N9796" s="84"/>
    </row>
    <row r="9797" spans="1:14" s="2" customFormat="1">
      <c r="A9797" s="83"/>
      <c r="H9797" s="83"/>
      <c r="K9797" s="82"/>
      <c r="M9797" s="112"/>
      <c r="N9797" s="84"/>
    </row>
    <row r="9798" spans="1:14" s="2" customFormat="1">
      <c r="A9798" s="83"/>
      <c r="H9798" s="83"/>
      <c r="K9798" s="82"/>
      <c r="M9798" s="112"/>
      <c r="N9798" s="84"/>
    </row>
    <row r="9799" spans="1:14" s="2" customFormat="1">
      <c r="A9799" s="83"/>
      <c r="H9799" s="83"/>
      <c r="K9799" s="82"/>
      <c r="M9799" s="112"/>
      <c r="N9799" s="84"/>
    </row>
    <row r="9800" spans="1:14" s="2" customFormat="1">
      <c r="A9800" s="83"/>
      <c r="H9800" s="83"/>
      <c r="K9800" s="82"/>
      <c r="M9800" s="112"/>
      <c r="N9800" s="84"/>
    </row>
    <row r="9801" spans="1:14" s="2" customFormat="1">
      <c r="A9801" s="83"/>
      <c r="H9801" s="83"/>
      <c r="K9801" s="82"/>
      <c r="M9801" s="112"/>
      <c r="N9801" s="84"/>
    </row>
    <row r="9802" spans="1:14" s="2" customFormat="1">
      <c r="A9802" s="83"/>
      <c r="H9802" s="83"/>
      <c r="K9802" s="82"/>
      <c r="M9802" s="112"/>
      <c r="N9802" s="84"/>
    </row>
    <row r="9803" spans="1:14" s="2" customFormat="1">
      <c r="A9803" s="83"/>
      <c r="H9803" s="83"/>
      <c r="K9803" s="82"/>
      <c r="M9803" s="112"/>
      <c r="N9803" s="84"/>
    </row>
    <row r="9804" spans="1:14" s="2" customFormat="1">
      <c r="A9804" s="83"/>
      <c r="H9804" s="83"/>
      <c r="K9804" s="82"/>
      <c r="M9804" s="112"/>
      <c r="N9804" s="84"/>
    </row>
    <row r="9805" spans="1:14" s="2" customFormat="1">
      <c r="A9805" s="83"/>
      <c r="H9805" s="83"/>
      <c r="K9805" s="82"/>
      <c r="M9805" s="112"/>
      <c r="N9805" s="84"/>
    </row>
    <row r="9806" spans="1:14" s="2" customFormat="1">
      <c r="A9806" s="83"/>
      <c r="H9806" s="83"/>
      <c r="K9806" s="82"/>
      <c r="M9806" s="112"/>
      <c r="N9806" s="84"/>
    </row>
    <row r="9807" spans="1:14" s="2" customFormat="1">
      <c r="A9807" s="83"/>
      <c r="H9807" s="83"/>
      <c r="K9807" s="82"/>
      <c r="M9807" s="112"/>
      <c r="N9807" s="84"/>
    </row>
    <row r="9808" spans="1:14" s="2" customFormat="1">
      <c r="A9808" s="83"/>
      <c r="H9808" s="83"/>
      <c r="K9808" s="82"/>
      <c r="M9808" s="112"/>
      <c r="N9808" s="84"/>
    </row>
    <row r="9809" spans="1:14" s="2" customFormat="1">
      <c r="A9809" s="83"/>
      <c r="H9809" s="83"/>
      <c r="K9809" s="82"/>
      <c r="M9809" s="112"/>
      <c r="N9809" s="84"/>
    </row>
    <row r="9810" spans="1:14" s="2" customFormat="1">
      <c r="A9810" s="83"/>
      <c r="H9810" s="83"/>
      <c r="K9810" s="82"/>
      <c r="M9810" s="112"/>
      <c r="N9810" s="84"/>
    </row>
    <row r="9811" spans="1:14" s="2" customFormat="1">
      <c r="A9811" s="83"/>
      <c r="H9811" s="83"/>
      <c r="K9811" s="82"/>
      <c r="M9811" s="112"/>
      <c r="N9811" s="84"/>
    </row>
    <row r="9812" spans="1:14" s="2" customFormat="1">
      <c r="A9812" s="83"/>
      <c r="H9812" s="83"/>
      <c r="K9812" s="82"/>
      <c r="M9812" s="112"/>
      <c r="N9812" s="84"/>
    </row>
    <row r="9813" spans="1:14" s="2" customFormat="1">
      <c r="A9813" s="83"/>
      <c r="H9813" s="83"/>
      <c r="K9813" s="82"/>
      <c r="M9813" s="112"/>
      <c r="N9813" s="84"/>
    </row>
    <row r="9814" spans="1:14" s="2" customFormat="1">
      <c r="A9814" s="83"/>
      <c r="H9814" s="83"/>
      <c r="K9814" s="82"/>
      <c r="M9814" s="112"/>
      <c r="N9814" s="84"/>
    </row>
    <row r="9815" spans="1:14" s="2" customFormat="1">
      <c r="A9815" s="83"/>
      <c r="H9815" s="83"/>
      <c r="K9815" s="82"/>
      <c r="M9815" s="112"/>
      <c r="N9815" s="84"/>
    </row>
    <row r="9816" spans="1:14" s="2" customFormat="1">
      <c r="A9816" s="83"/>
      <c r="H9816" s="83"/>
      <c r="K9816" s="82"/>
      <c r="M9816" s="112"/>
      <c r="N9816" s="84"/>
    </row>
    <row r="9817" spans="1:14" s="2" customFormat="1">
      <c r="A9817" s="83"/>
      <c r="H9817" s="83"/>
      <c r="K9817" s="82"/>
      <c r="M9817" s="112"/>
      <c r="N9817" s="84"/>
    </row>
    <row r="9818" spans="1:14" s="2" customFormat="1">
      <c r="A9818" s="83"/>
      <c r="H9818" s="83"/>
      <c r="K9818" s="82"/>
      <c r="M9818" s="112"/>
      <c r="N9818" s="84"/>
    </row>
    <row r="9819" spans="1:14" s="2" customFormat="1">
      <c r="A9819" s="83"/>
      <c r="H9819" s="83"/>
      <c r="K9819" s="82"/>
      <c r="M9819" s="112"/>
      <c r="N9819" s="84"/>
    </row>
    <row r="9820" spans="1:14" s="2" customFormat="1">
      <c r="A9820" s="83"/>
      <c r="H9820" s="83"/>
      <c r="K9820" s="82"/>
      <c r="M9820" s="112"/>
      <c r="N9820" s="84"/>
    </row>
    <row r="9821" spans="1:14" s="2" customFormat="1">
      <c r="A9821" s="83"/>
      <c r="H9821" s="83"/>
      <c r="K9821" s="82"/>
      <c r="M9821" s="112"/>
      <c r="N9821" s="84"/>
    </row>
    <row r="9822" spans="1:14" s="2" customFormat="1">
      <c r="A9822" s="83"/>
      <c r="H9822" s="83"/>
      <c r="K9822" s="82"/>
      <c r="M9822" s="112"/>
      <c r="N9822" s="84"/>
    </row>
    <row r="9823" spans="1:14" s="2" customFormat="1">
      <c r="A9823" s="83"/>
      <c r="H9823" s="83"/>
      <c r="K9823" s="82"/>
      <c r="M9823" s="112"/>
      <c r="N9823" s="84"/>
    </row>
    <row r="9824" spans="1:14" s="2" customFormat="1">
      <c r="A9824" s="83"/>
      <c r="H9824" s="83"/>
      <c r="K9824" s="82"/>
      <c r="M9824" s="112"/>
      <c r="N9824" s="84"/>
    </row>
    <row r="9825" spans="1:14" s="2" customFormat="1">
      <c r="A9825" s="83"/>
      <c r="H9825" s="83"/>
      <c r="K9825" s="82"/>
      <c r="M9825" s="112"/>
      <c r="N9825" s="84"/>
    </row>
    <row r="9826" spans="1:14" s="2" customFormat="1">
      <c r="A9826" s="83"/>
      <c r="H9826" s="83"/>
      <c r="K9826" s="82"/>
      <c r="M9826" s="112"/>
      <c r="N9826" s="84"/>
    </row>
    <row r="9827" spans="1:14" s="2" customFormat="1">
      <c r="A9827" s="83"/>
      <c r="H9827" s="83"/>
      <c r="K9827" s="82"/>
      <c r="M9827" s="112"/>
      <c r="N9827" s="84"/>
    </row>
    <row r="9828" spans="1:14" s="2" customFormat="1">
      <c r="A9828" s="83"/>
      <c r="H9828" s="83"/>
      <c r="K9828" s="82"/>
      <c r="M9828" s="112"/>
      <c r="N9828" s="84"/>
    </row>
    <row r="9829" spans="1:14" s="2" customFormat="1">
      <c r="A9829" s="83"/>
      <c r="H9829" s="83"/>
      <c r="K9829" s="82"/>
      <c r="M9829" s="112"/>
      <c r="N9829" s="84"/>
    </row>
    <row r="9830" spans="1:14" s="2" customFormat="1">
      <c r="A9830" s="83"/>
      <c r="H9830" s="83"/>
      <c r="K9830" s="82"/>
      <c r="M9830" s="112"/>
      <c r="N9830" s="84"/>
    </row>
    <row r="9831" spans="1:14" s="2" customFormat="1">
      <c r="A9831" s="83"/>
      <c r="H9831" s="83"/>
      <c r="K9831" s="82"/>
      <c r="M9831" s="112"/>
      <c r="N9831" s="84"/>
    </row>
    <row r="9832" spans="1:14" s="2" customFormat="1">
      <c r="A9832" s="83"/>
      <c r="H9832" s="83"/>
      <c r="K9832" s="82"/>
      <c r="M9832" s="112"/>
      <c r="N9832" s="84"/>
    </row>
    <row r="9833" spans="1:14" s="2" customFormat="1">
      <c r="A9833" s="83"/>
      <c r="H9833" s="83"/>
      <c r="K9833" s="82"/>
      <c r="M9833" s="112"/>
      <c r="N9833" s="84"/>
    </row>
    <row r="9834" spans="1:14" s="2" customFormat="1">
      <c r="A9834" s="83"/>
      <c r="H9834" s="83"/>
      <c r="K9834" s="82"/>
      <c r="M9834" s="112"/>
      <c r="N9834" s="84"/>
    </row>
    <row r="9835" spans="1:14" s="2" customFormat="1">
      <c r="A9835" s="83"/>
      <c r="H9835" s="83"/>
      <c r="K9835" s="82"/>
      <c r="M9835" s="112"/>
      <c r="N9835" s="84"/>
    </row>
    <row r="9836" spans="1:14" s="2" customFormat="1">
      <c r="A9836" s="83"/>
      <c r="H9836" s="83"/>
      <c r="K9836" s="82"/>
      <c r="M9836" s="112"/>
      <c r="N9836" s="84"/>
    </row>
    <row r="9837" spans="1:14" s="2" customFormat="1">
      <c r="A9837" s="83"/>
      <c r="H9837" s="83"/>
      <c r="K9837" s="82"/>
      <c r="M9837" s="112"/>
      <c r="N9837" s="84"/>
    </row>
    <row r="9838" spans="1:14" s="2" customFormat="1">
      <c r="A9838" s="83"/>
      <c r="H9838" s="83"/>
      <c r="K9838" s="82"/>
      <c r="M9838" s="112"/>
      <c r="N9838" s="84"/>
    </row>
    <row r="9839" spans="1:14" s="2" customFormat="1">
      <c r="A9839" s="83"/>
      <c r="H9839" s="83"/>
      <c r="K9839" s="82"/>
      <c r="M9839" s="112"/>
      <c r="N9839" s="84"/>
    </row>
    <row r="9840" spans="1:14" s="2" customFormat="1">
      <c r="A9840" s="83"/>
      <c r="H9840" s="83"/>
      <c r="K9840" s="82"/>
      <c r="M9840" s="112"/>
      <c r="N9840" s="84"/>
    </row>
    <row r="9841" spans="1:14" s="2" customFormat="1">
      <c r="A9841" s="83"/>
      <c r="H9841" s="83"/>
      <c r="K9841" s="82"/>
      <c r="M9841" s="112"/>
      <c r="N9841" s="84"/>
    </row>
    <row r="9842" spans="1:14" s="2" customFormat="1">
      <c r="A9842" s="83"/>
      <c r="H9842" s="83"/>
      <c r="K9842" s="82"/>
      <c r="M9842" s="112"/>
      <c r="N9842" s="84"/>
    </row>
    <row r="9843" spans="1:14" s="2" customFormat="1">
      <c r="A9843" s="83"/>
      <c r="H9843" s="83"/>
      <c r="K9843" s="82"/>
      <c r="M9843" s="112"/>
      <c r="N9843" s="84"/>
    </row>
    <row r="9844" spans="1:14" s="2" customFormat="1">
      <c r="A9844" s="83"/>
      <c r="H9844" s="83"/>
      <c r="K9844" s="82"/>
      <c r="M9844" s="112"/>
      <c r="N9844" s="84"/>
    </row>
    <row r="9845" spans="1:14" s="2" customFormat="1">
      <c r="A9845" s="83"/>
      <c r="H9845" s="83"/>
      <c r="K9845" s="82"/>
      <c r="M9845" s="112"/>
      <c r="N9845" s="84"/>
    </row>
    <row r="9846" spans="1:14" s="2" customFormat="1">
      <c r="A9846" s="83"/>
      <c r="H9846" s="83"/>
      <c r="K9846" s="82"/>
      <c r="M9846" s="112"/>
      <c r="N9846" s="84"/>
    </row>
    <row r="9847" spans="1:14" s="2" customFormat="1">
      <c r="A9847" s="83"/>
      <c r="H9847" s="83"/>
      <c r="K9847" s="82"/>
      <c r="M9847" s="112"/>
      <c r="N9847" s="84"/>
    </row>
    <row r="9848" spans="1:14" s="2" customFormat="1">
      <c r="A9848" s="83"/>
      <c r="H9848" s="83"/>
      <c r="K9848" s="82"/>
      <c r="M9848" s="112"/>
      <c r="N9848" s="84"/>
    </row>
    <row r="9849" spans="1:14" s="2" customFormat="1">
      <c r="A9849" s="83"/>
      <c r="H9849" s="83"/>
      <c r="K9849" s="82"/>
      <c r="M9849" s="112"/>
      <c r="N9849" s="84"/>
    </row>
    <row r="9850" spans="1:14" s="2" customFormat="1">
      <c r="A9850" s="83"/>
      <c r="H9850" s="83"/>
      <c r="K9850" s="82"/>
      <c r="M9850" s="112"/>
      <c r="N9850" s="84"/>
    </row>
    <row r="9851" spans="1:14" s="2" customFormat="1">
      <c r="A9851" s="83"/>
      <c r="H9851" s="83"/>
      <c r="K9851" s="82"/>
      <c r="M9851" s="112"/>
      <c r="N9851" s="84"/>
    </row>
    <row r="9852" spans="1:14" s="2" customFormat="1">
      <c r="A9852" s="83"/>
      <c r="H9852" s="83"/>
      <c r="K9852" s="82"/>
      <c r="M9852" s="112"/>
      <c r="N9852" s="84"/>
    </row>
    <row r="9853" spans="1:14" s="2" customFormat="1">
      <c r="A9853" s="83"/>
      <c r="H9853" s="83"/>
      <c r="K9853" s="82"/>
      <c r="M9853" s="112"/>
      <c r="N9853" s="84"/>
    </row>
    <row r="9854" spans="1:14" s="2" customFormat="1">
      <c r="A9854" s="83"/>
      <c r="H9854" s="83"/>
      <c r="K9854" s="82"/>
      <c r="M9854" s="112"/>
      <c r="N9854" s="84"/>
    </row>
    <row r="9855" spans="1:14" s="2" customFormat="1">
      <c r="A9855" s="83"/>
      <c r="H9855" s="83"/>
      <c r="K9855" s="82"/>
      <c r="M9855" s="112"/>
      <c r="N9855" s="84"/>
    </row>
    <row r="9856" spans="1:14" s="2" customFormat="1">
      <c r="A9856" s="83"/>
      <c r="H9856" s="83"/>
      <c r="K9856" s="82"/>
      <c r="M9856" s="112"/>
      <c r="N9856" s="84"/>
    </row>
    <row r="9857" spans="1:14" s="2" customFormat="1">
      <c r="A9857" s="83"/>
      <c r="H9857" s="83"/>
      <c r="K9857" s="82"/>
      <c r="M9857" s="112"/>
      <c r="N9857" s="84"/>
    </row>
    <row r="9858" spans="1:14" s="2" customFormat="1">
      <c r="A9858" s="83"/>
      <c r="H9858" s="83"/>
      <c r="K9858" s="82"/>
      <c r="M9858" s="112"/>
      <c r="N9858" s="84"/>
    </row>
    <row r="9859" spans="1:14" s="2" customFormat="1">
      <c r="A9859" s="83"/>
      <c r="H9859" s="83"/>
      <c r="K9859" s="82"/>
      <c r="M9859" s="112"/>
      <c r="N9859" s="84"/>
    </row>
    <row r="9860" spans="1:14" s="2" customFormat="1">
      <c r="A9860" s="83"/>
      <c r="H9860" s="83"/>
      <c r="K9860" s="82"/>
      <c r="M9860" s="112"/>
      <c r="N9860" s="84"/>
    </row>
    <row r="9861" spans="1:14" s="2" customFormat="1">
      <c r="A9861" s="83"/>
      <c r="H9861" s="83"/>
      <c r="K9861" s="82"/>
      <c r="M9861" s="112"/>
      <c r="N9861" s="84"/>
    </row>
    <row r="9862" spans="1:14" s="2" customFormat="1">
      <c r="A9862" s="83"/>
      <c r="H9862" s="83"/>
      <c r="K9862" s="82"/>
      <c r="M9862" s="112"/>
      <c r="N9862" s="84"/>
    </row>
    <row r="9863" spans="1:14" s="2" customFormat="1">
      <c r="A9863" s="83"/>
      <c r="H9863" s="83"/>
      <c r="K9863" s="82"/>
      <c r="M9863" s="112"/>
      <c r="N9863" s="84"/>
    </row>
    <row r="9864" spans="1:14" s="2" customFormat="1">
      <c r="A9864" s="83"/>
      <c r="H9864" s="83"/>
      <c r="K9864" s="82"/>
      <c r="M9864" s="112"/>
      <c r="N9864" s="84"/>
    </row>
    <row r="9865" spans="1:14" s="2" customFormat="1">
      <c r="A9865" s="83"/>
      <c r="H9865" s="83"/>
      <c r="K9865" s="82"/>
      <c r="M9865" s="112"/>
      <c r="N9865" s="84"/>
    </row>
    <row r="9866" spans="1:14" s="2" customFormat="1">
      <c r="A9866" s="83"/>
      <c r="H9866" s="83"/>
      <c r="K9866" s="82"/>
      <c r="M9866" s="112"/>
      <c r="N9866" s="84"/>
    </row>
    <row r="9867" spans="1:14" s="2" customFormat="1">
      <c r="A9867" s="83"/>
      <c r="H9867" s="83"/>
      <c r="K9867" s="82"/>
      <c r="M9867" s="112"/>
      <c r="N9867" s="84"/>
    </row>
    <row r="9868" spans="1:14" s="2" customFormat="1">
      <c r="A9868" s="83"/>
      <c r="H9868" s="83"/>
      <c r="K9868" s="82"/>
      <c r="M9868" s="112"/>
      <c r="N9868" s="84"/>
    </row>
    <row r="9869" spans="1:14" s="2" customFormat="1">
      <c r="A9869" s="83"/>
      <c r="H9869" s="83"/>
      <c r="K9869" s="82"/>
      <c r="M9869" s="112"/>
      <c r="N9869" s="84"/>
    </row>
    <row r="9870" spans="1:14" s="2" customFormat="1">
      <c r="A9870" s="83"/>
      <c r="H9870" s="83"/>
      <c r="K9870" s="82"/>
      <c r="M9870" s="112"/>
      <c r="N9870" s="84"/>
    </row>
    <row r="9871" spans="1:14" s="2" customFormat="1">
      <c r="A9871" s="83"/>
      <c r="H9871" s="83"/>
      <c r="K9871" s="82"/>
      <c r="M9871" s="112"/>
      <c r="N9871" s="84"/>
    </row>
    <row r="9872" spans="1:14" s="2" customFormat="1">
      <c r="A9872" s="83"/>
      <c r="H9872" s="83"/>
      <c r="K9872" s="82"/>
      <c r="M9872" s="112"/>
      <c r="N9872" s="84"/>
    </row>
    <row r="9873" spans="1:14" s="2" customFormat="1">
      <c r="A9873" s="83"/>
      <c r="H9873" s="83"/>
      <c r="K9873" s="82"/>
      <c r="M9873" s="112"/>
      <c r="N9873" s="84"/>
    </row>
    <row r="9874" spans="1:14" s="2" customFormat="1">
      <c r="A9874" s="83"/>
      <c r="H9874" s="83"/>
      <c r="K9874" s="82"/>
      <c r="M9874" s="112"/>
      <c r="N9874" s="84"/>
    </row>
    <row r="9875" spans="1:14" s="2" customFormat="1">
      <c r="A9875" s="83"/>
      <c r="H9875" s="83"/>
      <c r="K9875" s="82"/>
      <c r="M9875" s="112"/>
      <c r="N9875" s="84"/>
    </row>
    <row r="9876" spans="1:14" s="2" customFormat="1">
      <c r="A9876" s="83"/>
      <c r="H9876" s="83"/>
      <c r="K9876" s="82"/>
      <c r="M9876" s="112"/>
      <c r="N9876" s="84"/>
    </row>
    <row r="9877" spans="1:14" s="2" customFormat="1">
      <c r="A9877" s="83"/>
      <c r="H9877" s="83"/>
      <c r="K9877" s="82"/>
      <c r="M9877" s="112"/>
      <c r="N9877" s="84"/>
    </row>
    <row r="9878" spans="1:14" s="2" customFormat="1">
      <c r="A9878" s="83"/>
      <c r="H9878" s="83"/>
      <c r="K9878" s="82"/>
      <c r="M9878" s="112"/>
      <c r="N9878" s="84"/>
    </row>
    <row r="9879" spans="1:14" s="2" customFormat="1">
      <c r="A9879" s="83"/>
      <c r="H9879" s="83"/>
      <c r="K9879" s="82"/>
      <c r="M9879" s="112"/>
      <c r="N9879" s="84"/>
    </row>
    <row r="9880" spans="1:14" s="2" customFormat="1">
      <c r="A9880" s="83"/>
      <c r="H9880" s="83"/>
      <c r="K9880" s="82"/>
      <c r="M9880" s="112"/>
      <c r="N9880" s="84"/>
    </row>
    <row r="9881" spans="1:14" s="2" customFormat="1">
      <c r="A9881" s="83"/>
      <c r="H9881" s="83"/>
      <c r="K9881" s="82"/>
      <c r="M9881" s="112"/>
      <c r="N9881" s="84"/>
    </row>
    <row r="9882" spans="1:14" s="2" customFormat="1">
      <c r="A9882" s="83"/>
      <c r="H9882" s="83"/>
      <c r="K9882" s="82"/>
      <c r="M9882" s="112"/>
      <c r="N9882" s="84"/>
    </row>
    <row r="9883" spans="1:14" s="2" customFormat="1">
      <c r="A9883" s="83"/>
      <c r="H9883" s="83"/>
      <c r="K9883" s="82"/>
      <c r="M9883" s="112"/>
      <c r="N9883" s="84"/>
    </row>
    <row r="9884" spans="1:14" s="2" customFormat="1">
      <c r="A9884" s="83"/>
      <c r="H9884" s="83"/>
      <c r="K9884" s="82"/>
      <c r="M9884" s="112"/>
      <c r="N9884" s="84"/>
    </row>
    <row r="9885" spans="1:14" s="2" customFormat="1">
      <c r="A9885" s="83"/>
      <c r="H9885" s="83"/>
      <c r="K9885" s="82"/>
      <c r="M9885" s="112"/>
      <c r="N9885" s="84"/>
    </row>
    <row r="9886" spans="1:14" s="2" customFormat="1">
      <c r="A9886" s="83"/>
      <c r="H9886" s="83"/>
      <c r="K9886" s="82"/>
      <c r="M9886" s="112"/>
      <c r="N9886" s="84"/>
    </row>
    <row r="9887" spans="1:14" s="2" customFormat="1">
      <c r="A9887" s="83"/>
      <c r="H9887" s="83"/>
      <c r="K9887" s="82"/>
      <c r="M9887" s="112"/>
      <c r="N9887" s="84"/>
    </row>
    <row r="9888" spans="1:14" s="2" customFormat="1">
      <c r="A9888" s="83"/>
      <c r="H9888" s="83"/>
      <c r="K9888" s="82"/>
      <c r="M9888" s="112"/>
      <c r="N9888" s="84"/>
    </row>
    <row r="9889" spans="1:14" s="2" customFormat="1">
      <c r="A9889" s="83"/>
      <c r="H9889" s="83"/>
      <c r="K9889" s="82"/>
      <c r="M9889" s="112"/>
      <c r="N9889" s="84"/>
    </row>
    <row r="9890" spans="1:14" s="2" customFormat="1">
      <c r="A9890" s="83"/>
      <c r="H9890" s="83"/>
      <c r="K9890" s="82"/>
      <c r="M9890" s="112"/>
      <c r="N9890" s="84"/>
    </row>
    <row r="9891" spans="1:14" s="2" customFormat="1">
      <c r="A9891" s="83"/>
      <c r="H9891" s="83"/>
      <c r="K9891" s="82"/>
      <c r="M9891" s="112"/>
      <c r="N9891" s="84"/>
    </row>
    <row r="9892" spans="1:14" s="2" customFormat="1">
      <c r="A9892" s="83"/>
      <c r="H9892" s="83"/>
      <c r="K9892" s="82"/>
      <c r="M9892" s="112"/>
      <c r="N9892" s="84"/>
    </row>
    <row r="9893" spans="1:14" s="2" customFormat="1">
      <c r="A9893" s="83"/>
      <c r="H9893" s="83"/>
      <c r="K9893" s="82"/>
      <c r="M9893" s="112"/>
      <c r="N9893" s="84"/>
    </row>
    <row r="9894" spans="1:14" s="2" customFormat="1">
      <c r="A9894" s="83"/>
      <c r="H9894" s="83"/>
      <c r="K9894" s="82"/>
      <c r="M9894" s="112"/>
      <c r="N9894" s="84"/>
    </row>
    <row r="9895" spans="1:14" s="2" customFormat="1">
      <c r="A9895" s="83"/>
      <c r="H9895" s="83"/>
      <c r="K9895" s="82"/>
      <c r="M9895" s="112"/>
      <c r="N9895" s="84"/>
    </row>
    <row r="9896" spans="1:14" s="2" customFormat="1">
      <c r="A9896" s="83"/>
      <c r="H9896" s="83"/>
      <c r="K9896" s="82"/>
      <c r="M9896" s="112"/>
      <c r="N9896" s="84"/>
    </row>
    <row r="9897" spans="1:14" s="2" customFormat="1">
      <c r="A9897" s="83"/>
      <c r="H9897" s="83"/>
      <c r="K9897" s="82"/>
      <c r="M9897" s="112"/>
      <c r="N9897" s="84"/>
    </row>
    <row r="9898" spans="1:14" s="2" customFormat="1">
      <c r="A9898" s="83"/>
      <c r="H9898" s="83"/>
      <c r="K9898" s="82"/>
      <c r="M9898" s="112"/>
      <c r="N9898" s="84"/>
    </row>
    <row r="9899" spans="1:14" s="2" customFormat="1">
      <c r="A9899" s="83"/>
      <c r="H9899" s="83"/>
      <c r="K9899" s="82"/>
      <c r="M9899" s="112"/>
      <c r="N9899" s="84"/>
    </row>
    <row r="9900" spans="1:14" s="2" customFormat="1">
      <c r="A9900" s="83"/>
      <c r="H9900" s="83"/>
      <c r="K9900" s="82"/>
      <c r="M9900" s="112"/>
      <c r="N9900" s="84"/>
    </row>
    <row r="9901" spans="1:14" s="2" customFormat="1">
      <c r="A9901" s="83"/>
      <c r="H9901" s="83"/>
      <c r="K9901" s="82"/>
      <c r="M9901" s="112"/>
      <c r="N9901" s="84"/>
    </row>
    <row r="9902" spans="1:14" s="2" customFormat="1">
      <c r="A9902" s="83"/>
      <c r="H9902" s="83"/>
      <c r="K9902" s="82"/>
      <c r="M9902" s="112"/>
      <c r="N9902" s="84"/>
    </row>
    <row r="9903" spans="1:14" s="2" customFormat="1">
      <c r="A9903" s="83"/>
      <c r="H9903" s="83"/>
      <c r="K9903" s="82"/>
      <c r="M9903" s="112"/>
      <c r="N9903" s="84"/>
    </row>
    <row r="9904" spans="1:14" s="2" customFormat="1">
      <c r="A9904" s="83"/>
      <c r="H9904" s="83"/>
      <c r="K9904" s="82"/>
      <c r="M9904" s="112"/>
      <c r="N9904" s="84"/>
    </row>
    <row r="9905" spans="1:14" s="2" customFormat="1">
      <c r="A9905" s="83"/>
      <c r="H9905" s="83"/>
      <c r="K9905" s="82"/>
      <c r="M9905" s="112"/>
      <c r="N9905" s="84"/>
    </row>
    <row r="9906" spans="1:14" s="2" customFormat="1">
      <c r="A9906" s="83"/>
      <c r="H9906" s="83"/>
      <c r="K9906" s="82"/>
      <c r="M9906" s="112"/>
      <c r="N9906" s="84"/>
    </row>
    <row r="9907" spans="1:14" s="2" customFormat="1">
      <c r="A9907" s="83"/>
      <c r="H9907" s="83"/>
      <c r="K9907" s="82"/>
      <c r="M9907" s="112"/>
      <c r="N9907" s="84"/>
    </row>
    <row r="9908" spans="1:14" s="2" customFormat="1">
      <c r="A9908" s="83"/>
      <c r="H9908" s="83"/>
      <c r="K9908" s="82"/>
      <c r="M9908" s="112"/>
      <c r="N9908" s="84"/>
    </row>
    <row r="9909" spans="1:14" s="2" customFormat="1">
      <c r="A9909" s="83"/>
      <c r="H9909" s="83"/>
      <c r="K9909" s="82"/>
      <c r="M9909" s="112"/>
      <c r="N9909" s="84"/>
    </row>
    <row r="9910" spans="1:14" s="2" customFormat="1">
      <c r="A9910" s="83"/>
      <c r="H9910" s="83"/>
      <c r="K9910" s="82"/>
      <c r="M9910" s="112"/>
      <c r="N9910" s="84"/>
    </row>
    <row r="9911" spans="1:14" s="2" customFormat="1">
      <c r="A9911" s="83"/>
      <c r="H9911" s="83"/>
      <c r="K9911" s="82"/>
      <c r="M9911" s="112"/>
      <c r="N9911" s="84"/>
    </row>
    <row r="9912" spans="1:14" s="2" customFormat="1">
      <c r="A9912" s="83"/>
      <c r="H9912" s="83"/>
      <c r="K9912" s="82"/>
      <c r="M9912" s="112"/>
      <c r="N9912" s="84"/>
    </row>
    <row r="9913" spans="1:14" s="2" customFormat="1">
      <c r="A9913" s="83"/>
      <c r="H9913" s="83"/>
      <c r="K9913" s="82"/>
      <c r="M9913" s="112"/>
      <c r="N9913" s="84"/>
    </row>
    <row r="9914" spans="1:14" s="2" customFormat="1">
      <c r="A9914" s="83"/>
      <c r="H9914" s="83"/>
      <c r="K9914" s="82"/>
      <c r="M9914" s="112"/>
      <c r="N9914" s="84"/>
    </row>
    <row r="9915" spans="1:14" s="2" customFormat="1">
      <c r="A9915" s="83"/>
      <c r="H9915" s="83"/>
      <c r="K9915" s="82"/>
      <c r="M9915" s="112"/>
      <c r="N9915" s="84"/>
    </row>
    <row r="9916" spans="1:14" s="2" customFormat="1">
      <c r="A9916" s="83"/>
      <c r="H9916" s="83"/>
      <c r="K9916" s="82"/>
      <c r="M9916" s="112"/>
      <c r="N9916" s="84"/>
    </row>
    <row r="9917" spans="1:14" s="2" customFormat="1">
      <c r="A9917" s="83"/>
      <c r="H9917" s="83"/>
      <c r="K9917" s="82"/>
      <c r="M9917" s="112"/>
      <c r="N9917" s="84"/>
    </row>
    <row r="9918" spans="1:14" s="2" customFormat="1">
      <c r="A9918" s="83"/>
      <c r="H9918" s="83"/>
      <c r="K9918" s="82"/>
      <c r="M9918" s="112"/>
      <c r="N9918" s="84"/>
    </row>
    <row r="9919" spans="1:14" s="2" customFormat="1">
      <c r="A9919" s="83"/>
      <c r="H9919" s="83"/>
      <c r="K9919" s="82"/>
      <c r="M9919" s="112"/>
      <c r="N9919" s="84"/>
    </row>
    <row r="9920" spans="1:14" s="2" customFormat="1">
      <c r="A9920" s="83"/>
      <c r="H9920" s="83"/>
      <c r="K9920" s="82"/>
      <c r="M9920" s="112"/>
      <c r="N9920" s="84"/>
    </row>
    <row r="9921" spans="1:14" s="2" customFormat="1">
      <c r="A9921" s="83"/>
      <c r="H9921" s="83"/>
      <c r="K9921" s="82"/>
      <c r="M9921" s="112"/>
      <c r="N9921" s="84"/>
    </row>
    <row r="9922" spans="1:14" s="2" customFormat="1">
      <c r="A9922" s="83"/>
      <c r="H9922" s="83"/>
      <c r="K9922" s="82"/>
      <c r="M9922" s="112"/>
      <c r="N9922" s="84"/>
    </row>
    <row r="9923" spans="1:14" s="2" customFormat="1">
      <c r="A9923" s="83"/>
      <c r="H9923" s="83"/>
      <c r="K9923" s="82"/>
      <c r="M9923" s="112"/>
      <c r="N9923" s="84"/>
    </row>
    <row r="9924" spans="1:14" s="2" customFormat="1">
      <c r="A9924" s="83"/>
      <c r="H9924" s="83"/>
      <c r="K9924" s="82"/>
      <c r="M9924" s="112"/>
      <c r="N9924" s="84"/>
    </row>
    <row r="9925" spans="1:14" s="2" customFormat="1">
      <c r="A9925" s="83"/>
      <c r="H9925" s="83"/>
      <c r="K9925" s="82"/>
      <c r="M9925" s="112"/>
      <c r="N9925" s="84"/>
    </row>
    <row r="9926" spans="1:14" s="2" customFormat="1">
      <c r="A9926" s="83"/>
      <c r="H9926" s="83"/>
      <c r="K9926" s="82"/>
      <c r="M9926" s="112"/>
      <c r="N9926" s="84"/>
    </row>
    <row r="9927" spans="1:14" s="2" customFormat="1">
      <c r="A9927" s="83"/>
      <c r="H9927" s="83"/>
      <c r="K9927" s="82"/>
      <c r="M9927" s="112"/>
      <c r="N9927" s="84"/>
    </row>
    <row r="9928" spans="1:14" s="2" customFormat="1">
      <c r="A9928" s="83"/>
      <c r="H9928" s="83"/>
      <c r="K9928" s="82"/>
      <c r="M9928" s="112"/>
      <c r="N9928" s="84"/>
    </row>
    <row r="9929" spans="1:14" s="2" customFormat="1">
      <c r="A9929" s="83"/>
      <c r="H9929" s="83"/>
      <c r="K9929" s="82"/>
      <c r="M9929" s="112"/>
      <c r="N9929" s="84"/>
    </row>
    <row r="9930" spans="1:14" s="2" customFormat="1">
      <c r="A9930" s="83"/>
      <c r="H9930" s="83"/>
      <c r="K9930" s="82"/>
      <c r="M9930" s="112"/>
      <c r="N9930" s="84"/>
    </row>
    <row r="9931" spans="1:14" s="2" customFormat="1">
      <c r="A9931" s="83"/>
      <c r="H9931" s="83"/>
      <c r="K9931" s="82"/>
      <c r="M9931" s="112"/>
      <c r="N9931" s="84"/>
    </row>
    <row r="9932" spans="1:14" s="2" customFormat="1">
      <c r="A9932" s="83"/>
      <c r="H9932" s="83"/>
      <c r="K9932" s="82"/>
      <c r="M9932" s="112"/>
      <c r="N9932" s="84"/>
    </row>
    <row r="9933" spans="1:14" s="2" customFormat="1">
      <c r="A9933" s="83"/>
      <c r="H9933" s="83"/>
      <c r="K9933" s="82"/>
      <c r="M9933" s="112"/>
      <c r="N9933" s="84"/>
    </row>
    <row r="9934" spans="1:14" s="2" customFormat="1">
      <c r="A9934" s="83"/>
      <c r="H9934" s="83"/>
      <c r="K9934" s="82"/>
      <c r="M9934" s="112"/>
      <c r="N9934" s="84"/>
    </row>
    <row r="9935" spans="1:14" s="2" customFormat="1">
      <c r="A9935" s="83"/>
      <c r="H9935" s="83"/>
      <c r="K9935" s="82"/>
      <c r="M9935" s="112"/>
      <c r="N9935" s="84"/>
    </row>
    <row r="9936" spans="1:14" s="2" customFormat="1">
      <c r="A9936" s="83"/>
      <c r="H9936" s="83"/>
      <c r="K9936" s="82"/>
      <c r="M9936" s="112"/>
      <c r="N9936" s="84"/>
    </row>
    <row r="9937" spans="1:14" s="2" customFormat="1">
      <c r="A9937" s="83"/>
      <c r="H9937" s="83"/>
      <c r="K9937" s="82"/>
      <c r="M9937" s="112"/>
      <c r="N9937" s="84"/>
    </row>
    <row r="9938" spans="1:14" s="2" customFormat="1">
      <c r="A9938" s="83"/>
      <c r="H9938" s="83"/>
      <c r="K9938" s="82"/>
      <c r="M9938" s="112"/>
      <c r="N9938" s="84"/>
    </row>
    <row r="9939" spans="1:14" s="2" customFormat="1">
      <c r="A9939" s="83"/>
      <c r="H9939" s="83"/>
      <c r="K9939" s="82"/>
      <c r="M9939" s="112"/>
      <c r="N9939" s="84"/>
    </row>
    <row r="9940" spans="1:14" s="2" customFormat="1">
      <c r="A9940" s="83"/>
      <c r="H9940" s="83"/>
      <c r="K9940" s="82"/>
      <c r="M9940" s="112"/>
      <c r="N9940" s="84"/>
    </row>
    <row r="9941" spans="1:14" s="2" customFormat="1">
      <c r="A9941" s="83"/>
      <c r="H9941" s="83"/>
      <c r="K9941" s="82"/>
      <c r="M9941" s="112"/>
      <c r="N9941" s="84"/>
    </row>
    <row r="9942" spans="1:14" s="2" customFormat="1">
      <c r="A9942" s="83"/>
      <c r="H9942" s="83"/>
      <c r="K9942" s="82"/>
      <c r="M9942" s="112"/>
      <c r="N9942" s="84"/>
    </row>
    <row r="9943" spans="1:14" s="2" customFormat="1">
      <c r="A9943" s="83"/>
      <c r="H9943" s="83"/>
      <c r="K9943" s="82"/>
      <c r="M9943" s="112"/>
      <c r="N9943" s="84"/>
    </row>
    <row r="9944" spans="1:14" s="2" customFormat="1">
      <c r="A9944" s="83"/>
      <c r="H9944" s="83"/>
      <c r="K9944" s="82"/>
      <c r="M9944" s="112"/>
      <c r="N9944" s="84"/>
    </row>
    <row r="9945" spans="1:14" s="2" customFormat="1">
      <c r="A9945" s="83"/>
      <c r="H9945" s="83"/>
      <c r="K9945" s="82"/>
      <c r="M9945" s="112"/>
      <c r="N9945" s="84"/>
    </row>
    <row r="9946" spans="1:14" s="2" customFormat="1">
      <c r="A9946" s="83"/>
      <c r="H9946" s="83"/>
      <c r="K9946" s="82"/>
      <c r="M9946" s="112"/>
      <c r="N9946" s="84"/>
    </row>
    <row r="9947" spans="1:14" s="2" customFormat="1">
      <c r="A9947" s="83"/>
      <c r="H9947" s="83"/>
      <c r="K9947" s="82"/>
      <c r="M9947" s="112"/>
      <c r="N9947" s="84"/>
    </row>
    <row r="9948" spans="1:14" s="2" customFormat="1">
      <c r="A9948" s="83"/>
      <c r="H9948" s="83"/>
      <c r="K9948" s="82"/>
      <c r="M9948" s="112"/>
      <c r="N9948" s="84"/>
    </row>
    <row r="9949" spans="1:14" s="2" customFormat="1">
      <c r="A9949" s="83"/>
      <c r="H9949" s="83"/>
      <c r="K9949" s="82"/>
      <c r="M9949" s="112"/>
      <c r="N9949" s="84"/>
    </row>
    <row r="9950" spans="1:14" s="2" customFormat="1">
      <c r="A9950" s="83"/>
      <c r="H9950" s="83"/>
      <c r="K9950" s="82"/>
      <c r="M9950" s="112"/>
      <c r="N9950" s="84"/>
    </row>
    <row r="9951" spans="1:14" s="2" customFormat="1">
      <c r="A9951" s="83"/>
      <c r="H9951" s="83"/>
      <c r="K9951" s="82"/>
      <c r="M9951" s="112"/>
      <c r="N9951" s="84"/>
    </row>
    <row r="9952" spans="1:14" s="2" customFormat="1">
      <c r="A9952" s="83"/>
      <c r="H9952" s="83"/>
      <c r="K9952" s="82"/>
      <c r="M9952" s="112"/>
      <c r="N9952" s="84"/>
    </row>
    <row r="9953" spans="1:14" s="2" customFormat="1">
      <c r="A9953" s="83"/>
      <c r="H9953" s="83"/>
      <c r="K9953" s="82"/>
      <c r="M9953" s="112"/>
      <c r="N9953" s="84"/>
    </row>
    <row r="9954" spans="1:14" s="2" customFormat="1">
      <c r="A9954" s="83"/>
      <c r="H9954" s="83"/>
      <c r="K9954" s="82"/>
      <c r="M9954" s="112"/>
      <c r="N9954" s="84"/>
    </row>
    <row r="9955" spans="1:14" s="2" customFormat="1">
      <c r="A9955" s="83"/>
      <c r="H9955" s="83"/>
      <c r="K9955" s="82"/>
      <c r="M9955" s="112"/>
      <c r="N9955" s="84"/>
    </row>
    <row r="9956" spans="1:14" s="2" customFormat="1">
      <c r="A9956" s="83"/>
      <c r="H9956" s="83"/>
      <c r="K9956" s="82"/>
      <c r="M9956" s="112"/>
      <c r="N9956" s="84"/>
    </row>
    <row r="9957" spans="1:14" s="2" customFormat="1">
      <c r="A9957" s="83"/>
      <c r="H9957" s="83"/>
      <c r="K9957" s="82"/>
      <c r="M9957" s="112"/>
      <c r="N9957" s="84"/>
    </row>
    <row r="9958" spans="1:14" s="2" customFormat="1">
      <c r="A9958" s="83"/>
      <c r="H9958" s="83"/>
      <c r="K9958" s="82"/>
      <c r="M9958" s="112"/>
      <c r="N9958" s="84"/>
    </row>
    <row r="9959" spans="1:14" s="2" customFormat="1">
      <c r="A9959" s="83"/>
      <c r="H9959" s="83"/>
      <c r="K9959" s="82"/>
      <c r="M9959" s="112"/>
      <c r="N9959" s="84"/>
    </row>
    <row r="9960" spans="1:14" s="2" customFormat="1">
      <c r="A9960" s="83"/>
      <c r="H9960" s="83"/>
      <c r="K9960" s="82"/>
      <c r="M9960" s="112"/>
      <c r="N9960" s="84"/>
    </row>
    <row r="9961" spans="1:14" s="2" customFormat="1">
      <c r="A9961" s="83"/>
      <c r="H9961" s="83"/>
      <c r="K9961" s="82"/>
      <c r="M9961" s="112"/>
      <c r="N9961" s="84"/>
    </row>
    <row r="9962" spans="1:14" s="2" customFormat="1">
      <c r="A9962" s="83"/>
      <c r="H9962" s="83"/>
      <c r="K9962" s="82"/>
      <c r="M9962" s="112"/>
      <c r="N9962" s="84"/>
    </row>
    <row r="9963" spans="1:14" s="2" customFormat="1">
      <c r="A9963" s="83"/>
      <c r="H9963" s="83"/>
      <c r="K9963" s="82"/>
      <c r="M9963" s="112"/>
      <c r="N9963" s="84"/>
    </row>
    <row r="9964" spans="1:14" s="2" customFormat="1">
      <c r="A9964" s="83"/>
      <c r="H9964" s="83"/>
      <c r="K9964" s="82"/>
      <c r="M9964" s="112"/>
      <c r="N9964" s="84"/>
    </row>
    <row r="9965" spans="1:14" s="2" customFormat="1">
      <c r="A9965" s="83"/>
      <c r="H9965" s="83"/>
      <c r="K9965" s="82"/>
      <c r="M9965" s="112"/>
      <c r="N9965" s="84"/>
    </row>
    <row r="9966" spans="1:14" s="2" customFormat="1">
      <c r="A9966" s="83"/>
      <c r="H9966" s="83"/>
      <c r="K9966" s="82"/>
      <c r="M9966" s="112"/>
      <c r="N9966" s="84"/>
    </row>
    <row r="9967" spans="1:14" s="2" customFormat="1">
      <c r="A9967" s="83"/>
      <c r="H9967" s="83"/>
      <c r="K9967" s="82"/>
      <c r="M9967" s="112"/>
      <c r="N9967" s="84"/>
    </row>
    <row r="9968" spans="1:14" s="2" customFormat="1">
      <c r="A9968" s="83"/>
      <c r="H9968" s="83"/>
      <c r="K9968" s="82"/>
      <c r="M9968" s="112"/>
      <c r="N9968" s="84"/>
    </row>
    <row r="9969" spans="1:14" s="2" customFormat="1">
      <c r="A9969" s="83"/>
      <c r="H9969" s="83"/>
      <c r="K9969" s="82"/>
      <c r="M9969" s="112"/>
      <c r="N9969" s="84"/>
    </row>
    <row r="9970" spans="1:14" s="2" customFormat="1">
      <c r="A9970" s="83"/>
      <c r="H9970" s="83"/>
      <c r="K9970" s="82"/>
      <c r="M9970" s="112"/>
      <c r="N9970" s="84"/>
    </row>
    <row r="9971" spans="1:14" s="2" customFormat="1">
      <c r="A9971" s="83"/>
      <c r="H9971" s="83"/>
      <c r="K9971" s="82"/>
      <c r="M9971" s="112"/>
      <c r="N9971" s="84"/>
    </row>
    <row r="9972" spans="1:14" s="2" customFormat="1">
      <c r="A9972" s="83"/>
      <c r="H9972" s="83"/>
      <c r="K9972" s="82"/>
      <c r="M9972" s="112"/>
      <c r="N9972" s="84"/>
    </row>
    <row r="9973" spans="1:14" s="2" customFormat="1">
      <c r="A9973" s="83"/>
      <c r="H9973" s="83"/>
      <c r="K9973" s="82"/>
      <c r="M9973" s="112"/>
      <c r="N9973" s="84"/>
    </row>
    <row r="9974" spans="1:14" s="2" customFormat="1">
      <c r="A9974" s="83"/>
      <c r="H9974" s="83"/>
      <c r="K9974" s="82"/>
      <c r="M9974" s="112"/>
      <c r="N9974" s="84"/>
    </row>
    <row r="9975" spans="1:14" s="2" customFormat="1">
      <c r="A9975" s="83"/>
      <c r="H9975" s="83"/>
      <c r="K9975" s="82"/>
      <c r="M9975" s="112"/>
      <c r="N9975" s="84"/>
    </row>
    <row r="9976" spans="1:14" s="2" customFormat="1">
      <c r="A9976" s="83"/>
      <c r="H9976" s="83"/>
      <c r="K9976" s="82"/>
      <c r="M9976" s="112"/>
      <c r="N9976" s="84"/>
    </row>
    <row r="9977" spans="1:14" s="2" customFormat="1">
      <c r="A9977" s="83"/>
      <c r="H9977" s="83"/>
      <c r="K9977" s="82"/>
      <c r="M9977" s="112"/>
      <c r="N9977" s="84"/>
    </row>
    <row r="9978" spans="1:14" s="2" customFormat="1">
      <c r="A9978" s="83"/>
      <c r="H9978" s="83"/>
      <c r="K9978" s="82"/>
      <c r="M9978" s="112"/>
      <c r="N9978" s="84"/>
    </row>
    <row r="9979" spans="1:14" s="2" customFormat="1">
      <c r="A9979" s="83"/>
      <c r="H9979" s="83"/>
      <c r="K9979" s="82"/>
      <c r="M9979" s="112"/>
      <c r="N9979" s="84"/>
    </row>
    <row r="9980" spans="1:14" s="2" customFormat="1">
      <c r="A9980" s="83"/>
      <c r="H9980" s="83"/>
      <c r="K9980" s="82"/>
      <c r="M9980" s="112"/>
      <c r="N9980" s="84"/>
    </row>
    <row r="9981" spans="1:14" s="2" customFormat="1">
      <c r="A9981" s="83"/>
      <c r="H9981" s="83"/>
      <c r="K9981" s="82"/>
      <c r="M9981" s="112"/>
      <c r="N9981" s="84"/>
    </row>
    <row r="9982" spans="1:14" s="2" customFormat="1">
      <c r="A9982" s="83"/>
      <c r="H9982" s="83"/>
      <c r="K9982" s="82"/>
      <c r="M9982" s="112"/>
      <c r="N9982" s="84"/>
    </row>
    <row r="9983" spans="1:14" s="2" customFormat="1">
      <c r="A9983" s="83"/>
      <c r="H9983" s="83"/>
      <c r="K9983" s="82"/>
      <c r="M9983" s="112"/>
      <c r="N9983" s="84"/>
    </row>
    <row r="9984" spans="1:14" s="2" customFormat="1">
      <c r="A9984" s="83"/>
      <c r="H9984" s="83"/>
      <c r="K9984" s="82"/>
      <c r="M9984" s="112"/>
      <c r="N9984" s="84"/>
    </row>
    <row r="9985" spans="1:14" s="2" customFormat="1">
      <c r="A9985" s="83"/>
      <c r="H9985" s="83"/>
      <c r="K9985" s="82"/>
      <c r="M9985" s="112"/>
      <c r="N9985" s="84"/>
    </row>
    <row r="9986" spans="1:14" s="2" customFormat="1">
      <c r="A9986" s="83"/>
      <c r="H9986" s="83"/>
      <c r="K9986" s="82"/>
      <c r="M9986" s="112"/>
      <c r="N9986" s="84"/>
    </row>
    <row r="9987" spans="1:14" s="2" customFormat="1">
      <c r="A9987" s="83"/>
      <c r="H9987" s="83"/>
      <c r="K9987" s="82"/>
      <c r="M9987" s="112"/>
      <c r="N9987" s="84"/>
    </row>
    <row r="9988" spans="1:14" s="2" customFormat="1">
      <c r="A9988" s="83"/>
      <c r="H9988" s="83"/>
      <c r="K9988" s="82"/>
      <c r="M9988" s="112"/>
      <c r="N9988" s="84"/>
    </row>
    <row r="9989" spans="1:14" s="2" customFormat="1">
      <c r="A9989" s="83"/>
      <c r="H9989" s="83"/>
      <c r="K9989" s="82"/>
      <c r="M9989" s="112"/>
      <c r="N9989" s="84"/>
    </row>
    <row r="9990" spans="1:14" s="2" customFormat="1">
      <c r="A9990" s="83"/>
      <c r="H9990" s="83"/>
      <c r="K9990" s="82"/>
      <c r="M9990" s="112"/>
      <c r="N9990" s="84"/>
    </row>
    <row r="9991" spans="1:14" s="2" customFormat="1">
      <c r="A9991" s="83"/>
      <c r="H9991" s="83"/>
      <c r="K9991" s="82"/>
      <c r="M9991" s="112"/>
      <c r="N9991" s="84"/>
    </row>
    <row r="9992" spans="1:14" s="2" customFormat="1">
      <c r="A9992" s="83"/>
      <c r="H9992" s="83"/>
      <c r="K9992" s="82"/>
      <c r="M9992" s="112"/>
      <c r="N9992" s="84"/>
    </row>
    <row r="9993" spans="1:14" s="2" customFormat="1">
      <c r="A9993" s="83"/>
      <c r="H9993" s="83"/>
      <c r="K9993" s="82"/>
      <c r="M9993" s="112"/>
      <c r="N9993" s="84"/>
    </row>
    <row r="9994" spans="1:14" s="2" customFormat="1">
      <c r="A9994" s="83"/>
      <c r="H9994" s="83"/>
      <c r="K9994" s="82"/>
      <c r="M9994" s="112"/>
      <c r="N9994" s="84"/>
    </row>
    <row r="9995" spans="1:14" s="2" customFormat="1">
      <c r="A9995" s="83"/>
      <c r="H9995" s="83"/>
      <c r="K9995" s="82"/>
      <c r="M9995" s="112"/>
      <c r="N9995" s="84"/>
    </row>
    <row r="9996" spans="1:14" s="2" customFormat="1">
      <c r="A9996" s="83"/>
      <c r="H9996" s="83"/>
      <c r="K9996" s="82"/>
      <c r="M9996" s="112"/>
      <c r="N9996" s="84"/>
    </row>
    <row r="9997" spans="1:14" s="2" customFormat="1">
      <c r="A9997" s="83"/>
      <c r="H9997" s="83"/>
      <c r="K9997" s="82"/>
      <c r="M9997" s="112"/>
      <c r="N9997" s="84"/>
    </row>
    <row r="9998" spans="1:14" s="2" customFormat="1">
      <c r="A9998" s="83"/>
      <c r="H9998" s="83"/>
      <c r="K9998" s="82"/>
      <c r="M9998" s="112"/>
      <c r="N9998" s="84"/>
    </row>
    <row r="9999" spans="1:14" s="2" customFormat="1">
      <c r="A9999" s="83"/>
      <c r="H9999" s="83"/>
      <c r="K9999" s="82"/>
      <c r="M9999" s="112"/>
      <c r="N9999" s="84"/>
    </row>
    <row r="10000" spans="1:14" s="2" customFormat="1">
      <c r="A10000" s="83"/>
      <c r="H10000" s="83"/>
      <c r="K10000" s="82"/>
      <c r="M10000" s="112"/>
      <c r="N10000" s="84"/>
    </row>
    <row r="10001" spans="1:14" s="2" customFormat="1">
      <c r="A10001" s="83"/>
      <c r="H10001" s="83"/>
      <c r="K10001" s="82"/>
      <c r="M10001" s="112"/>
      <c r="N10001" s="84"/>
    </row>
    <row r="10002" spans="1:14" s="2" customFormat="1">
      <c r="A10002" s="83"/>
      <c r="H10002" s="83"/>
      <c r="K10002" s="82"/>
      <c r="M10002" s="112"/>
      <c r="N10002" s="84"/>
    </row>
    <row r="10003" spans="1:14" s="2" customFormat="1">
      <c r="A10003" s="83"/>
      <c r="H10003" s="83"/>
      <c r="K10003" s="82"/>
      <c r="M10003" s="112"/>
      <c r="N10003" s="84"/>
    </row>
    <row r="10004" spans="1:14" s="2" customFormat="1">
      <c r="A10004" s="83"/>
      <c r="H10004" s="83"/>
      <c r="K10004" s="82"/>
      <c r="M10004" s="112"/>
      <c r="N10004" s="84"/>
    </row>
    <row r="10005" spans="1:14" s="2" customFormat="1">
      <c r="A10005" s="83"/>
      <c r="H10005" s="83"/>
      <c r="K10005" s="82"/>
      <c r="M10005" s="112"/>
      <c r="N10005" s="84"/>
    </row>
    <row r="10006" spans="1:14" s="2" customFormat="1">
      <c r="A10006" s="83"/>
      <c r="H10006" s="83"/>
      <c r="K10006" s="82"/>
      <c r="M10006" s="112"/>
      <c r="N10006" s="84"/>
    </row>
    <row r="10007" spans="1:14" s="2" customFormat="1">
      <c r="A10007" s="83"/>
      <c r="H10007" s="83"/>
      <c r="K10007" s="82"/>
      <c r="M10007" s="112"/>
      <c r="N10007" s="84"/>
    </row>
    <row r="10008" spans="1:14" s="2" customFormat="1">
      <c r="A10008" s="83"/>
      <c r="H10008" s="83"/>
      <c r="K10008" s="82"/>
      <c r="M10008" s="112"/>
      <c r="N10008" s="84"/>
    </row>
    <row r="10009" spans="1:14" s="2" customFormat="1">
      <c r="A10009" s="83"/>
      <c r="H10009" s="83"/>
      <c r="K10009" s="82"/>
      <c r="M10009" s="112"/>
      <c r="N10009" s="84"/>
    </row>
    <row r="10010" spans="1:14" s="2" customFormat="1">
      <c r="A10010" s="83"/>
      <c r="H10010" s="83"/>
      <c r="K10010" s="82"/>
      <c r="M10010" s="112"/>
      <c r="N10010" s="84"/>
    </row>
    <row r="10011" spans="1:14" s="2" customFormat="1">
      <c r="A10011" s="83"/>
      <c r="H10011" s="83"/>
      <c r="K10011" s="82"/>
      <c r="M10011" s="112"/>
      <c r="N10011" s="84"/>
    </row>
    <row r="10012" spans="1:14" s="2" customFormat="1">
      <c r="A10012" s="83"/>
      <c r="H10012" s="83"/>
      <c r="K10012" s="82"/>
      <c r="M10012" s="112"/>
      <c r="N10012" s="84"/>
    </row>
    <row r="10013" spans="1:14" s="2" customFormat="1">
      <c r="A10013" s="83"/>
      <c r="H10013" s="83"/>
      <c r="K10013" s="82"/>
      <c r="M10013" s="112"/>
      <c r="N10013" s="84"/>
    </row>
    <row r="10014" spans="1:14" s="2" customFormat="1">
      <c r="A10014" s="83"/>
      <c r="H10014" s="83"/>
      <c r="K10014" s="82"/>
      <c r="M10014" s="112"/>
      <c r="N10014" s="84"/>
    </row>
    <row r="10015" spans="1:14" s="2" customFormat="1">
      <c r="A10015" s="83"/>
      <c r="H10015" s="83"/>
      <c r="K10015" s="82"/>
      <c r="M10015" s="112"/>
      <c r="N10015" s="84"/>
    </row>
    <row r="10016" spans="1:14" s="2" customFormat="1">
      <c r="A10016" s="83"/>
      <c r="H10016" s="83"/>
      <c r="K10016" s="82"/>
      <c r="M10016" s="112"/>
      <c r="N10016" s="84"/>
    </row>
    <row r="10017" spans="1:14" s="2" customFormat="1">
      <c r="A10017" s="83"/>
      <c r="H10017" s="83"/>
      <c r="K10017" s="82"/>
      <c r="M10017" s="112"/>
      <c r="N10017" s="84"/>
    </row>
    <row r="10018" spans="1:14" s="2" customFormat="1">
      <c r="A10018" s="83"/>
      <c r="H10018" s="83"/>
      <c r="K10018" s="82"/>
      <c r="M10018" s="112"/>
      <c r="N10018" s="84"/>
    </row>
    <row r="10019" spans="1:14" s="2" customFormat="1">
      <c r="A10019" s="83"/>
      <c r="H10019" s="83"/>
      <c r="K10019" s="82"/>
      <c r="M10019" s="112"/>
      <c r="N10019" s="84"/>
    </row>
    <row r="10020" spans="1:14" s="2" customFormat="1">
      <c r="A10020" s="83"/>
      <c r="H10020" s="83"/>
      <c r="K10020" s="82"/>
      <c r="M10020" s="112"/>
      <c r="N10020" s="84"/>
    </row>
    <row r="10021" spans="1:14" s="2" customFormat="1">
      <c r="A10021" s="83"/>
      <c r="H10021" s="83"/>
      <c r="K10021" s="82"/>
      <c r="M10021" s="112"/>
      <c r="N10021" s="84"/>
    </row>
    <row r="10022" spans="1:14" s="2" customFormat="1">
      <c r="A10022" s="83"/>
      <c r="H10022" s="83"/>
      <c r="K10022" s="82"/>
      <c r="M10022" s="112"/>
      <c r="N10022" s="84"/>
    </row>
    <row r="10023" spans="1:14" s="2" customFormat="1">
      <c r="A10023" s="83"/>
      <c r="H10023" s="83"/>
      <c r="K10023" s="82"/>
      <c r="M10023" s="112"/>
      <c r="N10023" s="84"/>
    </row>
    <row r="10024" spans="1:14" s="2" customFormat="1">
      <c r="A10024" s="83"/>
      <c r="H10024" s="83"/>
      <c r="K10024" s="82"/>
      <c r="M10024" s="112"/>
      <c r="N10024" s="84"/>
    </row>
    <row r="10025" spans="1:14" s="2" customFormat="1">
      <c r="A10025" s="83"/>
      <c r="H10025" s="83"/>
      <c r="K10025" s="82"/>
      <c r="M10025" s="112"/>
      <c r="N10025" s="84"/>
    </row>
    <row r="10026" spans="1:14" s="2" customFormat="1">
      <c r="A10026" s="83"/>
      <c r="H10026" s="83"/>
      <c r="K10026" s="82"/>
      <c r="M10026" s="112"/>
      <c r="N10026" s="84"/>
    </row>
    <row r="10027" spans="1:14" s="2" customFormat="1">
      <c r="A10027" s="83"/>
      <c r="H10027" s="83"/>
      <c r="K10027" s="82"/>
      <c r="M10027" s="112"/>
      <c r="N10027" s="84"/>
    </row>
    <row r="10028" spans="1:14" s="2" customFormat="1">
      <c r="A10028" s="83"/>
      <c r="H10028" s="83"/>
      <c r="K10028" s="82"/>
      <c r="M10028" s="112"/>
      <c r="N10028" s="84"/>
    </row>
    <row r="10029" spans="1:14" s="2" customFormat="1">
      <c r="A10029" s="83"/>
      <c r="H10029" s="83"/>
      <c r="K10029" s="82"/>
      <c r="M10029" s="112"/>
      <c r="N10029" s="84"/>
    </row>
    <row r="10030" spans="1:14" s="2" customFormat="1">
      <c r="A10030" s="83"/>
      <c r="H10030" s="83"/>
      <c r="K10030" s="82"/>
      <c r="M10030" s="112"/>
      <c r="N10030" s="84"/>
    </row>
    <row r="10031" spans="1:14" s="2" customFormat="1">
      <c r="A10031" s="83"/>
      <c r="H10031" s="83"/>
      <c r="K10031" s="82"/>
      <c r="M10031" s="112"/>
      <c r="N10031" s="84"/>
    </row>
    <row r="10032" spans="1:14" s="2" customFormat="1">
      <c r="A10032" s="83"/>
      <c r="H10032" s="83"/>
      <c r="K10032" s="82"/>
      <c r="M10032" s="112"/>
      <c r="N10032" s="84"/>
    </row>
    <row r="10033" spans="1:14" s="2" customFormat="1">
      <c r="A10033" s="83"/>
      <c r="H10033" s="83"/>
      <c r="K10033" s="82"/>
      <c r="M10033" s="112"/>
      <c r="N10033" s="84"/>
    </row>
    <row r="10034" spans="1:14" s="2" customFormat="1">
      <c r="A10034" s="83"/>
      <c r="H10034" s="83"/>
      <c r="K10034" s="82"/>
      <c r="M10034" s="112"/>
      <c r="N10034" s="84"/>
    </row>
    <row r="10035" spans="1:14" s="2" customFormat="1">
      <c r="A10035" s="83"/>
      <c r="H10035" s="83"/>
      <c r="K10035" s="82"/>
      <c r="M10035" s="112"/>
      <c r="N10035" s="84"/>
    </row>
    <row r="10036" spans="1:14" s="2" customFormat="1">
      <c r="A10036" s="83"/>
      <c r="H10036" s="83"/>
      <c r="K10036" s="82"/>
      <c r="M10036" s="112"/>
      <c r="N10036" s="84"/>
    </row>
    <row r="10037" spans="1:14" s="2" customFormat="1">
      <c r="A10037" s="83"/>
      <c r="H10037" s="83"/>
      <c r="K10037" s="82"/>
      <c r="M10037" s="112"/>
      <c r="N10037" s="84"/>
    </row>
    <row r="10038" spans="1:14" s="2" customFormat="1">
      <c r="A10038" s="83"/>
      <c r="H10038" s="83"/>
      <c r="K10038" s="82"/>
      <c r="M10038" s="112"/>
      <c r="N10038" s="84"/>
    </row>
    <row r="10039" spans="1:14" s="2" customFormat="1">
      <c r="A10039" s="83"/>
      <c r="H10039" s="83"/>
      <c r="K10039" s="82"/>
      <c r="M10039" s="112"/>
      <c r="N10039" s="84"/>
    </row>
    <row r="10040" spans="1:14" s="2" customFormat="1">
      <c r="A10040" s="83"/>
      <c r="H10040" s="83"/>
      <c r="K10040" s="82"/>
      <c r="M10040" s="112"/>
      <c r="N10040" s="84"/>
    </row>
    <row r="10041" spans="1:14" s="2" customFormat="1">
      <c r="A10041" s="83"/>
      <c r="H10041" s="83"/>
      <c r="K10041" s="82"/>
      <c r="M10041" s="112"/>
      <c r="N10041" s="84"/>
    </row>
    <row r="10042" spans="1:14" s="2" customFormat="1">
      <c r="A10042" s="83"/>
      <c r="H10042" s="83"/>
      <c r="K10042" s="82"/>
      <c r="M10042" s="112"/>
      <c r="N10042" s="84"/>
    </row>
    <row r="10043" spans="1:14" s="2" customFormat="1">
      <c r="A10043" s="83"/>
      <c r="H10043" s="83"/>
      <c r="K10043" s="82"/>
      <c r="M10043" s="112"/>
      <c r="N10043" s="84"/>
    </row>
    <row r="10044" spans="1:14" s="2" customFormat="1">
      <c r="A10044" s="83"/>
      <c r="H10044" s="83"/>
      <c r="K10044" s="82"/>
      <c r="M10044" s="112"/>
      <c r="N10044" s="84"/>
    </row>
    <row r="10045" spans="1:14" s="2" customFormat="1">
      <c r="A10045" s="83"/>
      <c r="H10045" s="83"/>
      <c r="K10045" s="82"/>
      <c r="M10045" s="112"/>
      <c r="N10045" s="84"/>
    </row>
    <row r="10046" spans="1:14" s="2" customFormat="1">
      <c r="A10046" s="83"/>
      <c r="H10046" s="83"/>
      <c r="K10046" s="82"/>
      <c r="M10046" s="112"/>
      <c r="N10046" s="84"/>
    </row>
    <row r="10047" spans="1:14" s="2" customFormat="1">
      <c r="A10047" s="83"/>
      <c r="H10047" s="83"/>
      <c r="K10047" s="82"/>
      <c r="M10047" s="112"/>
      <c r="N10047" s="84"/>
    </row>
    <row r="10048" spans="1:14" s="2" customFormat="1">
      <c r="A10048" s="83"/>
      <c r="H10048" s="83"/>
      <c r="K10048" s="82"/>
      <c r="M10048" s="112"/>
      <c r="N10048" s="84"/>
    </row>
    <row r="10049" spans="1:14" s="2" customFormat="1">
      <c r="A10049" s="83"/>
      <c r="H10049" s="83"/>
      <c r="K10049" s="82"/>
      <c r="M10049" s="112"/>
      <c r="N10049" s="84"/>
    </row>
    <row r="10050" spans="1:14" s="2" customFormat="1">
      <c r="A10050" s="83"/>
      <c r="H10050" s="83"/>
      <c r="K10050" s="82"/>
      <c r="M10050" s="112"/>
      <c r="N10050" s="84"/>
    </row>
    <row r="10051" spans="1:14" s="2" customFormat="1">
      <c r="A10051" s="83"/>
      <c r="H10051" s="83"/>
      <c r="K10051" s="82"/>
      <c r="M10051" s="112"/>
      <c r="N10051" s="84"/>
    </row>
    <row r="10052" spans="1:14" s="2" customFormat="1">
      <c r="A10052" s="83"/>
      <c r="H10052" s="83"/>
      <c r="K10052" s="82"/>
      <c r="M10052" s="112"/>
      <c r="N10052" s="84"/>
    </row>
    <row r="10053" spans="1:14" s="2" customFormat="1">
      <c r="A10053" s="83"/>
      <c r="H10053" s="83"/>
      <c r="K10053" s="82"/>
      <c r="M10053" s="112"/>
      <c r="N10053" s="84"/>
    </row>
    <row r="10054" spans="1:14" s="2" customFormat="1">
      <c r="A10054" s="83"/>
      <c r="H10054" s="83"/>
      <c r="K10054" s="82"/>
      <c r="M10054" s="112"/>
      <c r="N10054" s="84"/>
    </row>
    <row r="10055" spans="1:14" s="2" customFormat="1">
      <c r="A10055" s="83"/>
      <c r="H10055" s="83"/>
      <c r="K10055" s="82"/>
      <c r="M10055" s="112"/>
      <c r="N10055" s="84"/>
    </row>
    <row r="10056" spans="1:14" s="2" customFormat="1">
      <c r="A10056" s="83"/>
      <c r="H10056" s="83"/>
      <c r="K10056" s="82"/>
      <c r="M10056" s="112"/>
      <c r="N10056" s="84"/>
    </row>
    <row r="10057" spans="1:14" s="2" customFormat="1">
      <c r="A10057" s="83"/>
      <c r="H10057" s="83"/>
      <c r="K10057" s="82"/>
      <c r="M10057" s="112"/>
      <c r="N10057" s="84"/>
    </row>
    <row r="10058" spans="1:14" s="2" customFormat="1">
      <c r="A10058" s="83"/>
      <c r="H10058" s="83"/>
      <c r="K10058" s="82"/>
      <c r="M10058" s="112"/>
      <c r="N10058" s="84"/>
    </row>
    <row r="10059" spans="1:14" s="2" customFormat="1">
      <c r="A10059" s="83"/>
      <c r="H10059" s="83"/>
      <c r="K10059" s="82"/>
      <c r="M10059" s="112"/>
      <c r="N10059" s="84"/>
    </row>
    <row r="10060" spans="1:14" s="2" customFormat="1">
      <c r="A10060" s="83"/>
      <c r="H10060" s="83"/>
      <c r="K10060" s="82"/>
      <c r="M10060" s="112"/>
      <c r="N10060" s="84"/>
    </row>
    <row r="10061" spans="1:14" s="2" customFormat="1">
      <c r="A10061" s="83"/>
      <c r="H10061" s="83"/>
      <c r="K10061" s="82"/>
      <c r="M10061" s="112"/>
      <c r="N10061" s="84"/>
    </row>
    <row r="10062" spans="1:14" s="2" customFormat="1">
      <c r="A10062" s="83"/>
      <c r="H10062" s="83"/>
      <c r="K10062" s="82"/>
      <c r="M10062" s="112"/>
      <c r="N10062" s="84"/>
    </row>
    <row r="10063" spans="1:14" s="2" customFormat="1">
      <c r="A10063" s="83"/>
      <c r="H10063" s="83"/>
      <c r="K10063" s="82"/>
      <c r="M10063" s="112"/>
      <c r="N10063" s="84"/>
    </row>
    <row r="10064" spans="1:14" s="2" customFormat="1">
      <c r="A10064" s="83"/>
      <c r="H10064" s="83"/>
      <c r="K10064" s="82"/>
      <c r="M10064" s="112"/>
      <c r="N10064" s="84"/>
    </row>
    <row r="10065" spans="1:14" s="2" customFormat="1">
      <c r="A10065" s="83"/>
      <c r="H10065" s="83"/>
      <c r="K10065" s="82"/>
      <c r="M10065" s="112"/>
      <c r="N10065" s="84"/>
    </row>
    <row r="10066" spans="1:14" s="2" customFormat="1">
      <c r="A10066" s="83"/>
      <c r="H10066" s="83"/>
      <c r="K10066" s="82"/>
      <c r="M10066" s="112"/>
      <c r="N10066" s="84"/>
    </row>
    <row r="10067" spans="1:14" s="2" customFormat="1">
      <c r="A10067" s="83"/>
      <c r="H10067" s="83"/>
      <c r="K10067" s="82"/>
      <c r="M10067" s="112"/>
      <c r="N10067" s="84"/>
    </row>
    <row r="10068" spans="1:14" s="2" customFormat="1">
      <c r="A10068" s="83"/>
      <c r="H10068" s="83"/>
      <c r="K10068" s="82"/>
      <c r="M10068" s="112"/>
      <c r="N10068" s="84"/>
    </row>
    <row r="10069" spans="1:14" s="2" customFormat="1">
      <c r="A10069" s="83"/>
      <c r="H10069" s="83"/>
      <c r="K10069" s="82"/>
      <c r="M10069" s="112"/>
      <c r="N10069" s="84"/>
    </row>
    <row r="10070" spans="1:14" s="2" customFormat="1">
      <c r="A10070" s="83"/>
      <c r="H10070" s="83"/>
      <c r="K10070" s="82"/>
      <c r="M10070" s="112"/>
      <c r="N10070" s="84"/>
    </row>
    <row r="10071" spans="1:14" s="2" customFormat="1">
      <c r="A10071" s="83"/>
      <c r="H10071" s="83"/>
      <c r="K10071" s="82"/>
      <c r="M10071" s="112"/>
      <c r="N10071" s="84"/>
    </row>
    <row r="10072" spans="1:14" s="2" customFormat="1">
      <c r="A10072" s="83"/>
      <c r="H10072" s="83"/>
      <c r="K10072" s="82"/>
      <c r="M10072" s="112"/>
      <c r="N10072" s="84"/>
    </row>
    <row r="10073" spans="1:14" s="2" customFormat="1">
      <c r="A10073" s="83"/>
      <c r="H10073" s="83"/>
      <c r="K10073" s="82"/>
      <c r="M10073" s="112"/>
      <c r="N10073" s="84"/>
    </row>
    <row r="10074" spans="1:14" s="2" customFormat="1">
      <c r="A10074" s="83"/>
      <c r="H10074" s="83"/>
      <c r="K10074" s="82"/>
      <c r="M10074" s="112"/>
      <c r="N10074" s="84"/>
    </row>
    <row r="10075" spans="1:14" s="2" customFormat="1">
      <c r="A10075" s="83"/>
      <c r="H10075" s="83"/>
      <c r="K10075" s="82"/>
      <c r="M10075" s="112"/>
      <c r="N10075" s="84"/>
    </row>
    <row r="10076" spans="1:14" s="2" customFormat="1">
      <c r="A10076" s="83"/>
      <c r="H10076" s="83"/>
      <c r="K10076" s="82"/>
      <c r="M10076" s="112"/>
      <c r="N10076" s="84"/>
    </row>
    <row r="10077" spans="1:14" s="2" customFormat="1">
      <c r="A10077" s="83"/>
      <c r="H10077" s="83"/>
      <c r="K10077" s="82"/>
      <c r="M10077" s="112"/>
      <c r="N10077" s="84"/>
    </row>
    <row r="10078" spans="1:14" s="2" customFormat="1">
      <c r="A10078" s="83"/>
      <c r="H10078" s="83"/>
      <c r="K10078" s="82"/>
      <c r="M10078" s="112"/>
      <c r="N10078" s="84"/>
    </row>
    <row r="10079" spans="1:14" s="2" customFormat="1">
      <c r="A10079" s="83"/>
      <c r="H10079" s="83"/>
      <c r="K10079" s="82"/>
      <c r="M10079" s="112"/>
      <c r="N10079" s="84"/>
    </row>
    <row r="10080" spans="1:14" s="2" customFormat="1">
      <c r="A10080" s="83"/>
      <c r="H10080" s="83"/>
      <c r="K10080" s="82"/>
      <c r="M10080" s="112"/>
      <c r="N10080" s="84"/>
    </row>
    <row r="10081" spans="1:14" s="2" customFormat="1">
      <c r="A10081" s="83"/>
      <c r="H10081" s="83"/>
      <c r="K10081" s="82"/>
      <c r="M10081" s="112"/>
      <c r="N10081" s="84"/>
    </row>
    <row r="10082" spans="1:14" s="2" customFormat="1">
      <c r="A10082" s="83"/>
      <c r="H10082" s="83"/>
      <c r="K10082" s="82"/>
      <c r="M10082" s="112"/>
      <c r="N10082" s="84"/>
    </row>
    <row r="10083" spans="1:14" s="2" customFormat="1">
      <c r="A10083" s="83"/>
      <c r="H10083" s="83"/>
      <c r="K10083" s="82"/>
      <c r="M10083" s="112"/>
      <c r="N10083" s="84"/>
    </row>
    <row r="10084" spans="1:14" s="2" customFormat="1">
      <c r="A10084" s="83"/>
      <c r="H10084" s="83"/>
      <c r="K10084" s="82"/>
      <c r="M10084" s="112"/>
      <c r="N10084" s="84"/>
    </row>
    <row r="10085" spans="1:14" s="2" customFormat="1">
      <c r="A10085" s="83"/>
      <c r="H10085" s="83"/>
      <c r="K10085" s="82"/>
      <c r="M10085" s="112"/>
      <c r="N10085" s="84"/>
    </row>
    <row r="10086" spans="1:14" s="2" customFormat="1">
      <c r="A10086" s="83"/>
      <c r="H10086" s="83"/>
      <c r="K10086" s="82"/>
      <c r="M10086" s="112"/>
      <c r="N10086" s="84"/>
    </row>
    <row r="10087" spans="1:14" s="2" customFormat="1">
      <c r="A10087" s="83"/>
      <c r="H10087" s="83"/>
      <c r="K10087" s="82"/>
      <c r="M10087" s="112"/>
      <c r="N10087" s="84"/>
    </row>
    <row r="10088" spans="1:14" s="2" customFormat="1">
      <c r="A10088" s="83"/>
      <c r="H10088" s="83"/>
      <c r="K10088" s="82"/>
      <c r="M10088" s="112"/>
      <c r="N10088" s="84"/>
    </row>
    <row r="10089" spans="1:14" s="2" customFormat="1">
      <c r="A10089" s="83"/>
      <c r="H10089" s="83"/>
      <c r="K10089" s="82"/>
      <c r="M10089" s="112"/>
      <c r="N10089" s="84"/>
    </row>
    <row r="10090" spans="1:14" s="2" customFormat="1">
      <c r="A10090" s="83"/>
      <c r="H10090" s="83"/>
      <c r="K10090" s="82"/>
      <c r="M10090" s="112"/>
      <c r="N10090" s="84"/>
    </row>
    <row r="10091" spans="1:14" s="2" customFormat="1">
      <c r="A10091" s="83"/>
      <c r="H10091" s="83"/>
      <c r="K10091" s="82"/>
      <c r="M10091" s="112"/>
      <c r="N10091" s="84"/>
    </row>
    <row r="10092" spans="1:14" s="2" customFormat="1">
      <c r="A10092" s="83"/>
      <c r="H10092" s="83"/>
      <c r="K10092" s="82"/>
      <c r="M10092" s="112"/>
      <c r="N10092" s="84"/>
    </row>
    <row r="10093" spans="1:14" s="2" customFormat="1">
      <c r="A10093" s="83"/>
      <c r="H10093" s="83"/>
      <c r="K10093" s="82"/>
      <c r="M10093" s="112"/>
      <c r="N10093" s="84"/>
    </row>
    <row r="10094" spans="1:14" s="2" customFormat="1">
      <c r="A10094" s="83"/>
      <c r="H10094" s="83"/>
      <c r="K10094" s="82"/>
      <c r="M10094" s="112"/>
      <c r="N10094" s="84"/>
    </row>
    <row r="10095" spans="1:14" s="2" customFormat="1">
      <c r="A10095" s="83"/>
      <c r="H10095" s="83"/>
      <c r="K10095" s="82"/>
      <c r="M10095" s="112"/>
      <c r="N10095" s="84"/>
    </row>
    <row r="10096" spans="1:14" s="2" customFormat="1">
      <c r="A10096" s="83"/>
      <c r="H10096" s="83"/>
      <c r="K10096" s="82"/>
      <c r="M10096" s="112"/>
      <c r="N10096" s="84"/>
    </row>
    <row r="10097" spans="1:14" s="2" customFormat="1">
      <c r="A10097" s="83"/>
      <c r="H10097" s="83"/>
      <c r="K10097" s="82"/>
      <c r="M10097" s="112"/>
      <c r="N10097" s="84"/>
    </row>
    <row r="10098" spans="1:14" s="2" customFormat="1">
      <c r="A10098" s="83"/>
      <c r="H10098" s="83"/>
      <c r="K10098" s="82"/>
      <c r="M10098" s="112"/>
      <c r="N10098" s="84"/>
    </row>
    <row r="10099" spans="1:14" s="2" customFormat="1">
      <c r="A10099" s="83"/>
      <c r="H10099" s="83"/>
      <c r="K10099" s="82"/>
      <c r="M10099" s="112"/>
      <c r="N10099" s="84"/>
    </row>
    <row r="10100" spans="1:14" s="2" customFormat="1">
      <c r="A10100" s="83"/>
      <c r="H10100" s="83"/>
      <c r="K10100" s="82"/>
      <c r="M10100" s="112"/>
      <c r="N10100" s="84"/>
    </row>
    <row r="10101" spans="1:14" s="2" customFormat="1">
      <c r="A10101" s="83"/>
      <c r="H10101" s="83"/>
      <c r="K10101" s="82"/>
      <c r="M10101" s="112"/>
      <c r="N10101" s="84"/>
    </row>
    <row r="10102" spans="1:14" s="2" customFormat="1">
      <c r="A10102" s="83"/>
      <c r="H10102" s="83"/>
      <c r="K10102" s="82"/>
      <c r="M10102" s="112"/>
      <c r="N10102" s="84"/>
    </row>
    <row r="10103" spans="1:14" s="2" customFormat="1">
      <c r="A10103" s="83"/>
      <c r="H10103" s="83"/>
      <c r="K10103" s="82"/>
      <c r="M10103" s="112"/>
      <c r="N10103" s="84"/>
    </row>
    <row r="10104" spans="1:14" s="2" customFormat="1">
      <c r="A10104" s="83"/>
      <c r="H10104" s="83"/>
      <c r="K10104" s="82"/>
      <c r="M10104" s="112"/>
      <c r="N10104" s="84"/>
    </row>
    <row r="10105" spans="1:14" s="2" customFormat="1">
      <c r="A10105" s="83"/>
      <c r="H10105" s="83"/>
      <c r="K10105" s="82"/>
      <c r="M10105" s="112"/>
      <c r="N10105" s="84"/>
    </row>
    <row r="10106" spans="1:14" s="2" customFormat="1">
      <c r="A10106" s="83"/>
      <c r="H10106" s="83"/>
      <c r="K10106" s="82"/>
      <c r="M10106" s="112"/>
      <c r="N10106" s="84"/>
    </row>
    <row r="10107" spans="1:14" s="2" customFormat="1">
      <c r="A10107" s="83"/>
      <c r="H10107" s="83"/>
      <c r="K10107" s="82"/>
      <c r="M10107" s="112"/>
      <c r="N10107" s="84"/>
    </row>
    <row r="10108" spans="1:14" s="2" customFormat="1">
      <c r="A10108" s="83"/>
      <c r="H10108" s="83"/>
      <c r="K10108" s="82"/>
      <c r="M10108" s="112"/>
      <c r="N10108" s="84"/>
    </row>
    <row r="10109" spans="1:14" s="2" customFormat="1">
      <c r="A10109" s="83"/>
      <c r="H10109" s="83"/>
      <c r="K10109" s="82"/>
      <c r="M10109" s="112"/>
      <c r="N10109" s="84"/>
    </row>
    <row r="10110" spans="1:14" s="2" customFormat="1">
      <c r="A10110" s="83"/>
      <c r="H10110" s="83"/>
      <c r="K10110" s="82"/>
      <c r="M10110" s="112"/>
      <c r="N10110" s="84"/>
    </row>
    <row r="10111" spans="1:14" s="2" customFormat="1">
      <c r="A10111" s="83"/>
      <c r="H10111" s="83"/>
      <c r="K10111" s="82"/>
      <c r="M10111" s="112"/>
      <c r="N10111" s="84"/>
    </row>
    <row r="10112" spans="1:14" s="2" customFormat="1">
      <c r="A10112" s="83"/>
      <c r="H10112" s="83"/>
      <c r="K10112" s="82"/>
      <c r="M10112" s="112"/>
      <c r="N10112" s="84"/>
    </row>
    <row r="10113" spans="1:14" s="2" customFormat="1">
      <c r="A10113" s="83"/>
      <c r="H10113" s="83"/>
      <c r="K10113" s="82"/>
      <c r="M10113" s="112"/>
      <c r="N10113" s="84"/>
    </row>
    <row r="10114" spans="1:14" s="2" customFormat="1">
      <c r="A10114" s="83"/>
      <c r="H10114" s="83"/>
      <c r="K10114" s="82"/>
      <c r="M10114" s="112"/>
      <c r="N10114" s="84"/>
    </row>
    <row r="10115" spans="1:14" s="2" customFormat="1">
      <c r="A10115" s="83"/>
      <c r="H10115" s="83"/>
      <c r="K10115" s="82"/>
      <c r="M10115" s="112"/>
      <c r="N10115" s="84"/>
    </row>
    <row r="10116" spans="1:14" s="2" customFormat="1">
      <c r="A10116" s="83"/>
      <c r="H10116" s="83"/>
      <c r="K10116" s="82"/>
      <c r="M10116" s="112"/>
      <c r="N10116" s="84"/>
    </row>
    <row r="10117" spans="1:14" s="2" customFormat="1">
      <c r="A10117" s="83"/>
      <c r="H10117" s="83"/>
      <c r="K10117" s="82"/>
      <c r="M10117" s="112"/>
      <c r="N10117" s="84"/>
    </row>
    <row r="10118" spans="1:14" s="2" customFormat="1">
      <c r="A10118" s="83"/>
      <c r="H10118" s="83"/>
      <c r="K10118" s="82"/>
      <c r="M10118" s="112"/>
      <c r="N10118" s="84"/>
    </row>
    <row r="10119" spans="1:14" s="2" customFormat="1">
      <c r="A10119" s="83"/>
      <c r="H10119" s="83"/>
      <c r="K10119" s="82"/>
      <c r="M10119" s="112"/>
      <c r="N10119" s="84"/>
    </row>
    <row r="10120" spans="1:14" s="2" customFormat="1">
      <c r="A10120" s="83"/>
      <c r="H10120" s="83"/>
      <c r="K10120" s="82"/>
      <c r="M10120" s="112"/>
      <c r="N10120" s="84"/>
    </row>
    <row r="10121" spans="1:14" s="2" customFormat="1">
      <c r="A10121" s="83"/>
      <c r="H10121" s="83"/>
      <c r="K10121" s="82"/>
      <c r="M10121" s="112"/>
      <c r="N10121" s="84"/>
    </row>
    <row r="10122" spans="1:14" s="2" customFormat="1">
      <c r="A10122" s="83"/>
      <c r="H10122" s="83"/>
      <c r="K10122" s="82"/>
      <c r="M10122" s="112"/>
      <c r="N10122" s="84"/>
    </row>
    <row r="10123" spans="1:14" s="2" customFormat="1">
      <c r="A10123" s="83"/>
      <c r="H10123" s="83"/>
      <c r="K10123" s="82"/>
      <c r="M10123" s="112"/>
      <c r="N10123" s="84"/>
    </row>
    <row r="10124" spans="1:14" s="2" customFormat="1">
      <c r="A10124" s="83"/>
      <c r="H10124" s="83"/>
      <c r="K10124" s="82"/>
      <c r="M10124" s="112"/>
      <c r="N10124" s="84"/>
    </row>
    <row r="10125" spans="1:14" s="2" customFormat="1">
      <c r="A10125" s="83"/>
      <c r="H10125" s="83"/>
      <c r="K10125" s="82"/>
      <c r="M10125" s="112"/>
      <c r="N10125" s="84"/>
    </row>
    <row r="10126" spans="1:14" s="2" customFormat="1">
      <c r="A10126" s="83"/>
      <c r="H10126" s="83"/>
      <c r="K10126" s="82"/>
      <c r="M10126" s="112"/>
      <c r="N10126" s="84"/>
    </row>
    <row r="10127" spans="1:14" s="2" customFormat="1">
      <c r="A10127" s="83"/>
      <c r="H10127" s="83"/>
      <c r="K10127" s="82"/>
      <c r="M10127" s="112"/>
      <c r="N10127" s="84"/>
    </row>
    <row r="10128" spans="1:14" s="2" customFormat="1">
      <c r="A10128" s="83"/>
      <c r="H10128" s="83"/>
      <c r="K10128" s="82"/>
      <c r="M10128" s="112"/>
      <c r="N10128" s="84"/>
    </row>
    <row r="10129" spans="1:14" s="2" customFormat="1">
      <c r="A10129" s="83"/>
      <c r="H10129" s="83"/>
      <c r="K10129" s="82"/>
      <c r="M10129" s="112"/>
      <c r="N10129" s="84"/>
    </row>
    <row r="10130" spans="1:14" s="2" customFormat="1">
      <c r="A10130" s="83"/>
      <c r="H10130" s="83"/>
      <c r="K10130" s="82"/>
      <c r="M10130" s="112"/>
      <c r="N10130" s="84"/>
    </row>
    <row r="10131" spans="1:14" s="2" customFormat="1">
      <c r="A10131" s="83"/>
      <c r="H10131" s="83"/>
      <c r="K10131" s="82"/>
      <c r="M10131" s="112"/>
      <c r="N10131" s="84"/>
    </row>
    <row r="10132" spans="1:14" s="2" customFormat="1">
      <c r="A10132" s="83"/>
      <c r="H10132" s="83"/>
      <c r="K10132" s="82"/>
      <c r="M10132" s="112"/>
      <c r="N10132" s="84"/>
    </row>
    <row r="10133" spans="1:14" s="2" customFormat="1">
      <c r="A10133" s="83"/>
      <c r="H10133" s="83"/>
      <c r="K10133" s="82"/>
      <c r="M10133" s="112"/>
      <c r="N10133" s="84"/>
    </row>
    <row r="10134" spans="1:14" s="2" customFormat="1">
      <c r="A10134" s="83"/>
      <c r="H10134" s="83"/>
      <c r="K10134" s="82"/>
      <c r="M10134" s="112"/>
      <c r="N10134" s="84"/>
    </row>
    <row r="10135" spans="1:14" s="2" customFormat="1">
      <c r="A10135" s="83"/>
      <c r="H10135" s="83"/>
      <c r="K10135" s="82"/>
      <c r="M10135" s="112"/>
      <c r="N10135" s="84"/>
    </row>
    <row r="10136" spans="1:14" s="2" customFormat="1">
      <c r="A10136" s="83"/>
      <c r="H10136" s="83"/>
      <c r="K10136" s="82"/>
      <c r="M10136" s="112"/>
      <c r="N10136" s="84"/>
    </row>
    <row r="10137" spans="1:14" s="2" customFormat="1">
      <c r="A10137" s="83"/>
      <c r="H10137" s="83"/>
      <c r="K10137" s="82"/>
      <c r="M10137" s="112"/>
      <c r="N10137" s="84"/>
    </row>
    <row r="10138" spans="1:14" s="2" customFormat="1">
      <c r="A10138" s="83"/>
      <c r="H10138" s="83"/>
      <c r="K10138" s="82"/>
      <c r="M10138" s="112"/>
      <c r="N10138" s="84"/>
    </row>
    <row r="10139" spans="1:14" s="2" customFormat="1">
      <c r="A10139" s="83"/>
      <c r="H10139" s="83"/>
      <c r="K10139" s="82"/>
      <c r="M10139" s="112"/>
      <c r="N10139" s="84"/>
    </row>
    <row r="10140" spans="1:14" s="2" customFormat="1">
      <c r="A10140" s="83"/>
      <c r="H10140" s="83"/>
      <c r="K10140" s="82"/>
      <c r="M10140" s="112"/>
      <c r="N10140" s="84"/>
    </row>
    <row r="10141" spans="1:14" s="2" customFormat="1">
      <c r="A10141" s="83"/>
      <c r="H10141" s="83"/>
      <c r="K10141" s="82"/>
      <c r="M10141" s="112"/>
      <c r="N10141" s="84"/>
    </row>
    <row r="10142" spans="1:14" s="2" customFormat="1">
      <c r="A10142" s="83"/>
      <c r="H10142" s="83"/>
      <c r="K10142" s="82"/>
      <c r="M10142" s="112"/>
      <c r="N10142" s="84"/>
    </row>
    <row r="10143" spans="1:14" s="2" customFormat="1">
      <c r="A10143" s="83"/>
      <c r="H10143" s="83"/>
      <c r="K10143" s="82"/>
      <c r="M10143" s="112"/>
      <c r="N10143" s="84"/>
    </row>
    <row r="10144" spans="1:14" s="2" customFormat="1">
      <c r="A10144" s="83"/>
      <c r="H10144" s="83"/>
      <c r="K10144" s="82"/>
      <c r="M10144" s="112"/>
      <c r="N10144" s="84"/>
    </row>
    <row r="10145" spans="1:14" s="2" customFormat="1">
      <c r="A10145" s="83"/>
      <c r="H10145" s="83"/>
      <c r="K10145" s="82"/>
      <c r="M10145" s="112"/>
      <c r="N10145" s="84"/>
    </row>
    <row r="10146" spans="1:14" s="2" customFormat="1">
      <c r="A10146" s="83"/>
      <c r="H10146" s="83"/>
      <c r="K10146" s="82"/>
      <c r="M10146" s="112"/>
      <c r="N10146" s="84"/>
    </row>
    <row r="10147" spans="1:14" s="2" customFormat="1">
      <c r="A10147" s="83"/>
      <c r="H10147" s="83"/>
      <c r="K10147" s="82"/>
      <c r="M10147" s="112"/>
      <c r="N10147" s="84"/>
    </row>
    <row r="10148" spans="1:14" s="2" customFormat="1">
      <c r="A10148" s="83"/>
      <c r="H10148" s="83"/>
      <c r="K10148" s="82"/>
      <c r="M10148" s="112"/>
      <c r="N10148" s="84"/>
    </row>
    <row r="10149" spans="1:14" s="2" customFormat="1">
      <c r="A10149" s="83"/>
      <c r="H10149" s="83"/>
      <c r="K10149" s="82"/>
      <c r="M10149" s="112"/>
      <c r="N10149" s="84"/>
    </row>
    <row r="10150" spans="1:14" s="2" customFormat="1">
      <c r="A10150" s="83"/>
      <c r="H10150" s="83"/>
      <c r="K10150" s="82"/>
      <c r="M10150" s="112"/>
      <c r="N10150" s="84"/>
    </row>
    <row r="10151" spans="1:14" s="2" customFormat="1">
      <c r="A10151" s="83"/>
      <c r="H10151" s="83"/>
      <c r="K10151" s="82"/>
      <c r="M10151" s="112"/>
      <c r="N10151" s="84"/>
    </row>
    <row r="10152" spans="1:14" s="2" customFormat="1">
      <c r="A10152" s="83"/>
      <c r="H10152" s="83"/>
      <c r="K10152" s="82"/>
      <c r="M10152" s="112"/>
      <c r="N10152" s="84"/>
    </row>
    <row r="10153" spans="1:14" s="2" customFormat="1">
      <c r="A10153" s="83"/>
      <c r="H10153" s="83"/>
      <c r="K10153" s="82"/>
      <c r="M10153" s="112"/>
      <c r="N10153" s="84"/>
    </row>
    <row r="10154" spans="1:14" s="2" customFormat="1">
      <c r="A10154" s="83"/>
      <c r="H10154" s="83"/>
      <c r="K10154" s="82"/>
      <c r="M10154" s="112"/>
      <c r="N10154" s="84"/>
    </row>
    <row r="10155" spans="1:14" s="2" customFormat="1">
      <c r="A10155" s="83"/>
      <c r="H10155" s="83"/>
      <c r="K10155" s="82"/>
      <c r="M10155" s="112"/>
      <c r="N10155" s="84"/>
    </row>
    <row r="10156" spans="1:14" s="2" customFormat="1">
      <c r="A10156" s="83"/>
      <c r="H10156" s="83"/>
      <c r="K10156" s="82"/>
      <c r="M10156" s="112"/>
      <c r="N10156" s="84"/>
    </row>
    <row r="10157" spans="1:14" s="2" customFormat="1">
      <c r="A10157" s="83"/>
      <c r="H10157" s="83"/>
      <c r="K10157" s="82"/>
      <c r="M10157" s="112"/>
      <c r="N10157" s="84"/>
    </row>
    <row r="10158" spans="1:14" s="2" customFormat="1">
      <c r="A10158" s="83"/>
      <c r="H10158" s="83"/>
      <c r="K10158" s="82"/>
      <c r="M10158" s="112"/>
      <c r="N10158" s="84"/>
    </row>
    <row r="10159" spans="1:14" s="2" customFormat="1">
      <c r="A10159" s="83"/>
      <c r="H10159" s="83"/>
      <c r="K10159" s="82"/>
      <c r="M10159" s="112"/>
      <c r="N10159" s="84"/>
    </row>
    <row r="10160" spans="1:14" s="2" customFormat="1">
      <c r="A10160" s="83"/>
      <c r="H10160" s="83"/>
      <c r="K10160" s="82"/>
      <c r="M10160" s="112"/>
      <c r="N10160" s="84"/>
    </row>
    <row r="10161" spans="1:14" s="2" customFormat="1">
      <c r="A10161" s="83"/>
      <c r="H10161" s="83"/>
      <c r="K10161" s="82"/>
      <c r="M10161" s="112"/>
      <c r="N10161" s="84"/>
    </row>
    <row r="10162" spans="1:14" s="2" customFormat="1">
      <c r="A10162" s="83"/>
      <c r="H10162" s="83"/>
      <c r="K10162" s="82"/>
      <c r="M10162" s="112"/>
      <c r="N10162" s="84"/>
    </row>
    <row r="10163" spans="1:14" s="2" customFormat="1">
      <c r="A10163" s="83"/>
      <c r="H10163" s="83"/>
      <c r="K10163" s="82"/>
      <c r="M10163" s="112"/>
      <c r="N10163" s="84"/>
    </row>
    <row r="10164" spans="1:14" s="2" customFormat="1">
      <c r="A10164" s="83"/>
      <c r="H10164" s="83"/>
      <c r="K10164" s="82"/>
      <c r="M10164" s="112"/>
      <c r="N10164" s="84"/>
    </row>
    <row r="10165" spans="1:14" s="2" customFormat="1">
      <c r="A10165" s="83"/>
      <c r="H10165" s="83"/>
      <c r="K10165" s="82"/>
      <c r="M10165" s="112"/>
      <c r="N10165" s="84"/>
    </row>
    <row r="10166" spans="1:14" s="2" customFormat="1">
      <c r="A10166" s="83"/>
      <c r="H10166" s="83"/>
      <c r="K10166" s="82"/>
      <c r="M10166" s="112"/>
      <c r="N10166" s="84"/>
    </row>
    <row r="10167" spans="1:14" s="2" customFormat="1">
      <c r="A10167" s="83"/>
      <c r="H10167" s="83"/>
      <c r="K10167" s="82"/>
      <c r="M10167" s="112"/>
      <c r="N10167" s="84"/>
    </row>
    <row r="10168" spans="1:14" s="2" customFormat="1">
      <c r="A10168" s="83"/>
      <c r="H10168" s="83"/>
      <c r="K10168" s="82"/>
      <c r="M10168" s="112"/>
      <c r="N10168" s="84"/>
    </row>
    <row r="10169" spans="1:14" s="2" customFormat="1">
      <c r="A10169" s="83"/>
      <c r="H10169" s="83"/>
      <c r="K10169" s="82"/>
      <c r="M10169" s="112"/>
      <c r="N10169" s="84"/>
    </row>
    <row r="10170" spans="1:14" s="2" customFormat="1">
      <c r="A10170" s="83"/>
      <c r="H10170" s="83"/>
      <c r="K10170" s="82"/>
      <c r="M10170" s="112"/>
      <c r="N10170" s="84"/>
    </row>
    <row r="10171" spans="1:14" s="2" customFormat="1">
      <c r="A10171" s="83"/>
      <c r="H10171" s="83"/>
      <c r="K10171" s="82"/>
      <c r="M10171" s="112"/>
      <c r="N10171" s="84"/>
    </row>
    <row r="10172" spans="1:14" s="2" customFormat="1">
      <c r="A10172" s="83"/>
      <c r="H10172" s="83"/>
      <c r="K10172" s="82"/>
      <c r="M10172" s="112"/>
      <c r="N10172" s="84"/>
    </row>
    <row r="10173" spans="1:14" s="2" customFormat="1">
      <c r="A10173" s="83"/>
      <c r="H10173" s="83"/>
      <c r="K10173" s="82"/>
      <c r="M10173" s="112"/>
      <c r="N10173" s="84"/>
    </row>
    <row r="10174" spans="1:14" s="2" customFormat="1">
      <c r="A10174" s="83"/>
      <c r="H10174" s="83"/>
      <c r="K10174" s="82"/>
      <c r="M10174" s="112"/>
      <c r="N10174" s="84"/>
    </row>
    <row r="10175" spans="1:14" s="2" customFormat="1">
      <c r="A10175" s="83"/>
      <c r="H10175" s="83"/>
      <c r="K10175" s="82"/>
      <c r="M10175" s="112"/>
      <c r="N10175" s="84"/>
    </row>
    <row r="10176" spans="1:14" s="2" customFormat="1">
      <c r="A10176" s="83"/>
      <c r="H10176" s="83"/>
      <c r="K10176" s="82"/>
      <c r="M10176" s="112"/>
      <c r="N10176" s="84"/>
    </row>
    <row r="10177" spans="1:14" s="2" customFormat="1">
      <c r="A10177" s="83"/>
      <c r="H10177" s="83"/>
      <c r="K10177" s="82"/>
      <c r="M10177" s="112"/>
      <c r="N10177" s="84"/>
    </row>
    <row r="10178" spans="1:14" s="2" customFormat="1">
      <c r="A10178" s="83"/>
      <c r="H10178" s="83"/>
      <c r="K10178" s="82"/>
      <c r="M10178" s="112"/>
      <c r="N10178" s="84"/>
    </row>
    <row r="10179" spans="1:14" s="2" customFormat="1">
      <c r="A10179" s="83"/>
      <c r="H10179" s="83"/>
      <c r="K10179" s="82"/>
      <c r="M10179" s="112"/>
      <c r="N10179" s="84"/>
    </row>
    <row r="10180" spans="1:14" s="2" customFormat="1">
      <c r="A10180" s="83"/>
      <c r="H10180" s="83"/>
      <c r="K10180" s="82"/>
      <c r="M10180" s="112"/>
      <c r="N10180" s="84"/>
    </row>
    <row r="10181" spans="1:14" s="2" customFormat="1">
      <c r="A10181" s="83"/>
      <c r="H10181" s="83"/>
      <c r="K10181" s="82"/>
      <c r="M10181" s="112"/>
      <c r="N10181" s="84"/>
    </row>
    <row r="10182" spans="1:14" s="2" customFormat="1">
      <c r="A10182" s="83"/>
      <c r="H10182" s="83"/>
      <c r="K10182" s="82"/>
      <c r="M10182" s="112"/>
      <c r="N10182" s="84"/>
    </row>
    <row r="10183" spans="1:14" s="2" customFormat="1">
      <c r="A10183" s="83"/>
      <c r="H10183" s="83"/>
      <c r="K10183" s="82"/>
      <c r="M10183" s="112"/>
      <c r="N10183" s="84"/>
    </row>
    <row r="10184" spans="1:14" s="2" customFormat="1">
      <c r="A10184" s="83"/>
      <c r="H10184" s="83"/>
      <c r="K10184" s="82"/>
      <c r="M10184" s="112"/>
      <c r="N10184" s="84"/>
    </row>
    <row r="10185" spans="1:14" s="2" customFormat="1">
      <c r="A10185" s="83"/>
      <c r="H10185" s="83"/>
      <c r="K10185" s="82"/>
      <c r="M10185" s="112"/>
      <c r="N10185" s="84"/>
    </row>
    <row r="10186" spans="1:14" s="2" customFormat="1">
      <c r="A10186" s="83"/>
      <c r="H10186" s="83"/>
      <c r="K10186" s="82"/>
      <c r="M10186" s="112"/>
      <c r="N10186" s="84"/>
    </row>
    <row r="10187" spans="1:14" s="2" customFormat="1">
      <c r="A10187" s="83"/>
      <c r="H10187" s="83"/>
      <c r="K10187" s="82"/>
      <c r="M10187" s="112"/>
      <c r="N10187" s="84"/>
    </row>
    <row r="10188" spans="1:14" s="2" customFormat="1">
      <c r="A10188" s="83"/>
      <c r="H10188" s="83"/>
      <c r="K10188" s="82"/>
      <c r="M10188" s="112"/>
      <c r="N10188" s="84"/>
    </row>
    <row r="10189" spans="1:14" s="2" customFormat="1">
      <c r="A10189" s="83"/>
      <c r="H10189" s="83"/>
      <c r="K10189" s="82"/>
      <c r="M10189" s="112"/>
      <c r="N10189" s="84"/>
    </row>
    <row r="10190" spans="1:14" s="2" customFormat="1">
      <c r="A10190" s="83"/>
      <c r="H10190" s="83"/>
      <c r="K10190" s="82"/>
      <c r="M10190" s="112"/>
      <c r="N10190" s="84"/>
    </row>
    <row r="10191" spans="1:14" s="2" customFormat="1">
      <c r="A10191" s="83"/>
      <c r="H10191" s="83"/>
      <c r="K10191" s="82"/>
      <c r="M10191" s="112"/>
      <c r="N10191" s="84"/>
    </row>
    <row r="10192" spans="1:14" s="2" customFormat="1">
      <c r="A10192" s="83"/>
      <c r="H10192" s="83"/>
      <c r="K10192" s="82"/>
      <c r="M10192" s="112"/>
      <c r="N10192" s="84"/>
    </row>
    <row r="10193" spans="1:14" s="2" customFormat="1">
      <c r="A10193" s="83"/>
      <c r="H10193" s="83"/>
      <c r="K10193" s="82"/>
      <c r="M10193" s="112"/>
      <c r="N10193" s="84"/>
    </row>
    <row r="10194" spans="1:14" s="2" customFormat="1">
      <c r="A10194" s="83"/>
      <c r="H10194" s="83"/>
      <c r="K10194" s="82"/>
      <c r="M10194" s="112"/>
      <c r="N10194" s="84"/>
    </row>
    <row r="10195" spans="1:14" s="2" customFormat="1">
      <c r="A10195" s="83"/>
      <c r="H10195" s="83"/>
      <c r="K10195" s="82"/>
      <c r="M10195" s="112"/>
      <c r="N10195" s="84"/>
    </row>
    <row r="10196" spans="1:14" s="2" customFormat="1">
      <c r="A10196" s="83"/>
      <c r="H10196" s="83"/>
      <c r="K10196" s="82"/>
      <c r="M10196" s="112"/>
      <c r="N10196" s="84"/>
    </row>
    <row r="10197" spans="1:14" s="2" customFormat="1">
      <c r="A10197" s="83"/>
      <c r="H10197" s="83"/>
      <c r="K10197" s="82"/>
      <c r="M10197" s="112"/>
      <c r="N10197" s="84"/>
    </row>
    <row r="10198" spans="1:14" s="2" customFormat="1">
      <c r="A10198" s="83"/>
      <c r="H10198" s="83"/>
      <c r="K10198" s="82"/>
      <c r="M10198" s="112"/>
      <c r="N10198" s="84"/>
    </row>
    <row r="10199" spans="1:14" s="2" customFormat="1">
      <c r="A10199" s="83"/>
      <c r="H10199" s="83"/>
      <c r="K10199" s="82"/>
      <c r="M10199" s="112"/>
      <c r="N10199" s="84"/>
    </row>
    <row r="10200" spans="1:14" s="2" customFormat="1">
      <c r="A10200" s="83"/>
      <c r="H10200" s="83"/>
      <c r="K10200" s="82"/>
      <c r="M10200" s="112"/>
      <c r="N10200" s="84"/>
    </row>
    <row r="10201" spans="1:14" s="2" customFormat="1">
      <c r="A10201" s="83"/>
      <c r="H10201" s="83"/>
      <c r="K10201" s="82"/>
      <c r="M10201" s="112"/>
      <c r="N10201" s="84"/>
    </row>
    <row r="10202" spans="1:14" s="2" customFormat="1">
      <c r="A10202" s="83"/>
      <c r="H10202" s="83"/>
      <c r="K10202" s="82"/>
      <c r="M10202" s="112"/>
      <c r="N10202" s="84"/>
    </row>
    <row r="10203" spans="1:14" s="2" customFormat="1">
      <c r="A10203" s="83"/>
      <c r="H10203" s="83"/>
      <c r="K10203" s="82"/>
      <c r="M10203" s="112"/>
      <c r="N10203" s="84"/>
    </row>
    <row r="10204" spans="1:14" s="2" customFormat="1">
      <c r="A10204" s="83"/>
      <c r="H10204" s="83"/>
      <c r="K10204" s="82"/>
      <c r="M10204" s="112"/>
      <c r="N10204" s="84"/>
    </row>
    <row r="10205" spans="1:14" s="2" customFormat="1">
      <c r="A10205" s="83"/>
      <c r="H10205" s="83"/>
      <c r="K10205" s="82"/>
      <c r="M10205" s="112"/>
      <c r="N10205" s="84"/>
    </row>
    <row r="10206" spans="1:14" s="2" customFormat="1">
      <c r="A10206" s="83"/>
      <c r="H10206" s="83"/>
      <c r="K10206" s="82"/>
      <c r="M10206" s="112"/>
      <c r="N10206" s="84"/>
    </row>
    <row r="10207" spans="1:14" s="2" customFormat="1">
      <c r="A10207" s="83"/>
      <c r="H10207" s="83"/>
      <c r="K10207" s="82"/>
      <c r="M10207" s="112"/>
      <c r="N10207" s="84"/>
    </row>
    <row r="10208" spans="1:14" s="2" customFormat="1">
      <c r="A10208" s="83"/>
      <c r="H10208" s="83"/>
      <c r="K10208" s="82"/>
      <c r="M10208" s="112"/>
      <c r="N10208" s="84"/>
    </row>
    <row r="10209" spans="1:14" s="2" customFormat="1">
      <c r="A10209" s="83"/>
      <c r="H10209" s="83"/>
      <c r="K10209" s="82"/>
      <c r="M10209" s="112"/>
      <c r="N10209" s="84"/>
    </row>
    <row r="10210" spans="1:14" s="2" customFormat="1">
      <c r="A10210" s="83"/>
      <c r="H10210" s="83"/>
      <c r="K10210" s="82"/>
      <c r="M10210" s="112"/>
      <c r="N10210" s="84"/>
    </row>
    <row r="10211" spans="1:14" s="2" customFormat="1">
      <c r="A10211" s="83"/>
      <c r="H10211" s="83"/>
      <c r="K10211" s="82"/>
      <c r="M10211" s="112"/>
      <c r="N10211" s="84"/>
    </row>
    <row r="10212" spans="1:14" s="2" customFormat="1">
      <c r="A10212" s="83"/>
      <c r="H10212" s="83"/>
      <c r="K10212" s="82"/>
      <c r="M10212" s="112"/>
      <c r="N10212" s="84"/>
    </row>
    <row r="10213" spans="1:14" s="2" customFormat="1">
      <c r="A10213" s="83"/>
      <c r="H10213" s="83"/>
      <c r="K10213" s="82"/>
      <c r="M10213" s="112"/>
      <c r="N10213" s="84"/>
    </row>
    <row r="10214" spans="1:14" s="2" customFormat="1">
      <c r="A10214" s="83"/>
      <c r="H10214" s="83"/>
      <c r="K10214" s="82"/>
      <c r="M10214" s="112"/>
      <c r="N10214" s="84"/>
    </row>
    <row r="10215" spans="1:14" s="2" customFormat="1">
      <c r="A10215" s="83"/>
      <c r="H10215" s="83"/>
      <c r="K10215" s="82"/>
      <c r="M10215" s="112"/>
      <c r="N10215" s="84"/>
    </row>
    <row r="10216" spans="1:14" s="2" customFormat="1">
      <c r="A10216" s="83"/>
      <c r="H10216" s="83"/>
      <c r="K10216" s="82"/>
      <c r="M10216" s="112"/>
      <c r="N10216" s="84"/>
    </row>
    <row r="10217" spans="1:14" s="2" customFormat="1">
      <c r="A10217" s="83"/>
      <c r="H10217" s="83"/>
      <c r="K10217" s="82"/>
      <c r="M10217" s="112"/>
      <c r="N10217" s="84"/>
    </row>
    <row r="10218" spans="1:14" s="2" customFormat="1">
      <c r="A10218" s="83"/>
      <c r="H10218" s="83"/>
      <c r="K10218" s="82"/>
      <c r="M10218" s="112"/>
      <c r="N10218" s="84"/>
    </row>
    <row r="10219" spans="1:14" s="2" customFormat="1">
      <c r="A10219" s="83"/>
      <c r="H10219" s="83"/>
      <c r="K10219" s="82"/>
      <c r="M10219" s="112"/>
      <c r="N10219" s="84"/>
    </row>
    <row r="10220" spans="1:14" s="2" customFormat="1">
      <c r="A10220" s="83"/>
      <c r="H10220" s="83"/>
      <c r="K10220" s="82"/>
      <c r="M10220" s="112"/>
      <c r="N10220" s="84"/>
    </row>
    <row r="10221" spans="1:14" s="2" customFormat="1">
      <c r="A10221" s="83"/>
      <c r="H10221" s="83"/>
      <c r="K10221" s="82"/>
      <c r="M10221" s="112"/>
      <c r="N10221" s="84"/>
    </row>
    <row r="10222" spans="1:14" s="2" customFormat="1">
      <c r="A10222" s="83"/>
      <c r="H10222" s="83"/>
      <c r="K10222" s="82"/>
      <c r="M10222" s="112"/>
      <c r="N10222" s="84"/>
    </row>
    <row r="10223" spans="1:14" s="2" customFormat="1">
      <c r="A10223" s="83"/>
      <c r="H10223" s="83"/>
      <c r="K10223" s="82"/>
      <c r="M10223" s="112"/>
      <c r="N10223" s="84"/>
    </row>
    <row r="10224" spans="1:14" s="2" customFormat="1">
      <c r="A10224" s="83"/>
      <c r="H10224" s="83"/>
      <c r="K10224" s="82"/>
      <c r="M10224" s="112"/>
      <c r="N10224" s="84"/>
    </row>
    <row r="10225" spans="1:14" s="2" customFormat="1">
      <c r="A10225" s="83"/>
      <c r="H10225" s="83"/>
      <c r="K10225" s="82"/>
      <c r="M10225" s="112"/>
      <c r="N10225" s="84"/>
    </row>
    <row r="10226" spans="1:14" s="2" customFormat="1">
      <c r="A10226" s="83"/>
      <c r="H10226" s="83"/>
      <c r="K10226" s="82"/>
      <c r="M10226" s="112"/>
      <c r="N10226" s="84"/>
    </row>
    <row r="10227" spans="1:14" s="2" customFormat="1">
      <c r="A10227" s="83"/>
      <c r="H10227" s="83"/>
      <c r="K10227" s="82"/>
      <c r="M10227" s="112"/>
      <c r="N10227" s="84"/>
    </row>
    <row r="10228" spans="1:14" s="2" customFormat="1">
      <c r="A10228" s="83"/>
      <c r="H10228" s="83"/>
      <c r="K10228" s="82"/>
      <c r="M10228" s="112"/>
      <c r="N10228" s="84"/>
    </row>
    <row r="10229" spans="1:14" s="2" customFormat="1">
      <c r="A10229" s="83"/>
      <c r="H10229" s="83"/>
      <c r="K10229" s="82"/>
      <c r="M10229" s="112"/>
      <c r="N10229" s="84"/>
    </row>
    <row r="10230" spans="1:14" s="2" customFormat="1">
      <c r="A10230" s="83"/>
      <c r="H10230" s="83"/>
      <c r="K10230" s="82"/>
      <c r="M10230" s="112"/>
      <c r="N10230" s="84"/>
    </row>
    <row r="10231" spans="1:14" s="2" customFormat="1">
      <c r="A10231" s="83"/>
      <c r="H10231" s="83"/>
      <c r="K10231" s="82"/>
      <c r="M10231" s="112"/>
      <c r="N10231" s="84"/>
    </row>
    <row r="10232" spans="1:14" s="2" customFormat="1">
      <c r="A10232" s="83"/>
      <c r="H10232" s="83"/>
      <c r="K10232" s="82"/>
      <c r="M10232" s="112"/>
      <c r="N10232" s="84"/>
    </row>
    <row r="10233" spans="1:14" s="2" customFormat="1">
      <c r="A10233" s="83"/>
      <c r="H10233" s="83"/>
      <c r="K10233" s="82"/>
      <c r="M10233" s="112"/>
      <c r="N10233" s="84"/>
    </row>
    <row r="10234" spans="1:14" s="2" customFormat="1">
      <c r="A10234" s="83"/>
      <c r="H10234" s="83"/>
      <c r="K10234" s="82"/>
      <c r="M10234" s="112"/>
      <c r="N10234" s="84"/>
    </row>
    <row r="10235" spans="1:14" s="2" customFormat="1">
      <c r="A10235" s="83"/>
      <c r="H10235" s="83"/>
      <c r="K10235" s="82"/>
      <c r="M10235" s="112"/>
      <c r="N10235" s="84"/>
    </row>
    <row r="10236" spans="1:14" s="2" customFormat="1">
      <c r="A10236" s="83"/>
      <c r="H10236" s="83"/>
      <c r="K10236" s="82"/>
      <c r="M10236" s="112"/>
      <c r="N10236" s="84"/>
    </row>
    <row r="10237" spans="1:14" s="2" customFormat="1">
      <c r="A10237" s="83"/>
      <c r="H10237" s="83"/>
      <c r="K10237" s="82"/>
      <c r="M10237" s="112"/>
      <c r="N10237" s="84"/>
    </row>
    <row r="10238" spans="1:14" s="2" customFormat="1">
      <c r="A10238" s="83"/>
      <c r="H10238" s="83"/>
      <c r="K10238" s="82"/>
      <c r="M10238" s="112"/>
      <c r="N10238" s="84"/>
    </row>
    <row r="10239" spans="1:14" s="2" customFormat="1">
      <c r="A10239" s="83"/>
      <c r="H10239" s="83"/>
      <c r="K10239" s="82"/>
      <c r="M10239" s="112"/>
      <c r="N10239" s="84"/>
    </row>
    <row r="10240" spans="1:14" s="2" customFormat="1">
      <c r="A10240" s="83"/>
      <c r="H10240" s="83"/>
      <c r="K10240" s="82"/>
      <c r="M10240" s="112"/>
      <c r="N10240" s="84"/>
    </row>
    <row r="10241" spans="1:14" s="2" customFormat="1">
      <c r="A10241" s="83"/>
      <c r="H10241" s="83"/>
      <c r="K10241" s="82"/>
      <c r="M10241" s="112"/>
      <c r="N10241" s="84"/>
    </row>
    <row r="10242" spans="1:14" s="2" customFormat="1">
      <c r="A10242" s="83"/>
      <c r="H10242" s="83"/>
      <c r="K10242" s="82"/>
      <c r="M10242" s="112"/>
      <c r="N10242" s="84"/>
    </row>
    <row r="10243" spans="1:14" s="2" customFormat="1">
      <c r="A10243" s="83"/>
      <c r="H10243" s="83"/>
      <c r="K10243" s="82"/>
      <c r="M10243" s="112"/>
      <c r="N10243" s="84"/>
    </row>
    <row r="10244" spans="1:14" s="2" customFormat="1">
      <c r="A10244" s="83"/>
      <c r="H10244" s="83"/>
      <c r="K10244" s="82"/>
      <c r="M10244" s="112"/>
      <c r="N10244" s="84"/>
    </row>
    <row r="10245" spans="1:14" s="2" customFormat="1">
      <c r="A10245" s="83"/>
      <c r="H10245" s="83"/>
      <c r="K10245" s="82"/>
      <c r="M10245" s="112"/>
      <c r="N10245" s="84"/>
    </row>
    <row r="10246" spans="1:14" s="2" customFormat="1">
      <c r="A10246" s="83"/>
      <c r="H10246" s="83"/>
      <c r="K10246" s="82"/>
      <c r="M10246" s="112"/>
      <c r="N10246" s="84"/>
    </row>
    <row r="10247" spans="1:14" s="2" customFormat="1">
      <c r="A10247" s="83"/>
      <c r="H10247" s="83"/>
      <c r="K10247" s="82"/>
      <c r="M10247" s="112"/>
      <c r="N10247" s="84"/>
    </row>
    <row r="10248" spans="1:14" s="2" customFormat="1">
      <c r="A10248" s="83"/>
      <c r="H10248" s="83"/>
      <c r="K10248" s="82"/>
      <c r="M10248" s="112"/>
      <c r="N10248" s="84"/>
    </row>
    <row r="10249" spans="1:14" s="2" customFormat="1">
      <c r="A10249" s="83"/>
      <c r="H10249" s="83"/>
      <c r="K10249" s="82"/>
      <c r="M10249" s="112"/>
      <c r="N10249" s="84"/>
    </row>
    <row r="10250" spans="1:14" s="2" customFormat="1">
      <c r="A10250" s="83"/>
      <c r="H10250" s="83"/>
      <c r="K10250" s="82"/>
      <c r="M10250" s="112"/>
      <c r="N10250" s="84"/>
    </row>
    <row r="10251" spans="1:14" s="2" customFormat="1">
      <c r="A10251" s="83"/>
      <c r="H10251" s="83"/>
      <c r="K10251" s="82"/>
      <c r="M10251" s="112"/>
      <c r="N10251" s="84"/>
    </row>
    <row r="10252" spans="1:14" s="2" customFormat="1">
      <c r="A10252" s="83"/>
      <c r="H10252" s="83"/>
      <c r="K10252" s="82"/>
      <c r="M10252" s="112"/>
      <c r="N10252" s="84"/>
    </row>
    <row r="10253" spans="1:14" s="2" customFormat="1">
      <c r="A10253" s="83"/>
      <c r="H10253" s="83"/>
      <c r="K10253" s="82"/>
      <c r="M10253" s="112"/>
      <c r="N10253" s="84"/>
    </row>
    <row r="10254" spans="1:14" s="2" customFormat="1">
      <c r="A10254" s="83"/>
      <c r="H10254" s="83"/>
      <c r="K10254" s="82"/>
      <c r="M10254" s="112"/>
      <c r="N10254" s="84"/>
    </row>
    <row r="10255" spans="1:14" s="2" customFormat="1">
      <c r="A10255" s="83"/>
      <c r="H10255" s="83"/>
      <c r="K10255" s="82"/>
      <c r="M10255" s="112"/>
      <c r="N10255" s="84"/>
    </row>
    <row r="10256" spans="1:14" s="2" customFormat="1">
      <c r="A10256" s="83"/>
      <c r="H10256" s="83"/>
      <c r="K10256" s="82"/>
      <c r="M10256" s="112"/>
      <c r="N10256" s="84"/>
    </row>
    <row r="10257" spans="1:14" s="2" customFormat="1">
      <c r="A10257" s="83"/>
      <c r="H10257" s="83"/>
      <c r="K10257" s="82"/>
      <c r="M10257" s="112"/>
      <c r="N10257" s="84"/>
    </row>
    <row r="10258" spans="1:14" s="2" customFormat="1">
      <c r="A10258" s="83"/>
      <c r="H10258" s="83"/>
      <c r="K10258" s="82"/>
      <c r="M10258" s="112"/>
      <c r="N10258" s="84"/>
    </row>
    <row r="10259" spans="1:14" s="2" customFormat="1">
      <c r="A10259" s="83"/>
      <c r="H10259" s="83"/>
      <c r="K10259" s="82"/>
      <c r="M10259" s="112"/>
      <c r="N10259" s="84"/>
    </row>
    <row r="10260" spans="1:14" s="2" customFormat="1">
      <c r="A10260" s="83"/>
      <c r="H10260" s="83"/>
      <c r="K10260" s="82"/>
      <c r="M10260" s="112"/>
      <c r="N10260" s="84"/>
    </row>
    <row r="10261" spans="1:14" s="2" customFormat="1">
      <c r="A10261" s="83"/>
      <c r="H10261" s="83"/>
      <c r="K10261" s="82"/>
      <c r="M10261" s="112"/>
      <c r="N10261" s="84"/>
    </row>
    <row r="10262" spans="1:14" s="2" customFormat="1">
      <c r="A10262" s="83"/>
      <c r="H10262" s="83"/>
      <c r="K10262" s="82"/>
      <c r="M10262" s="112"/>
      <c r="N10262" s="84"/>
    </row>
    <row r="10263" spans="1:14" s="2" customFormat="1">
      <c r="A10263" s="83"/>
      <c r="H10263" s="83"/>
      <c r="K10263" s="82"/>
      <c r="M10263" s="112"/>
      <c r="N10263" s="84"/>
    </row>
    <row r="10264" spans="1:14" s="2" customFormat="1">
      <c r="A10264" s="83"/>
      <c r="H10264" s="83"/>
      <c r="K10264" s="82"/>
      <c r="M10264" s="112"/>
      <c r="N10264" s="84"/>
    </row>
    <row r="10265" spans="1:14" s="2" customFormat="1">
      <c r="A10265" s="83"/>
      <c r="H10265" s="83"/>
      <c r="K10265" s="82"/>
      <c r="M10265" s="112"/>
      <c r="N10265" s="84"/>
    </row>
    <row r="10266" spans="1:14" s="2" customFormat="1">
      <c r="A10266" s="83"/>
      <c r="H10266" s="83"/>
      <c r="K10266" s="82"/>
      <c r="M10266" s="112"/>
      <c r="N10266" s="84"/>
    </row>
    <row r="10267" spans="1:14" s="2" customFormat="1">
      <c r="A10267" s="83"/>
      <c r="H10267" s="83"/>
      <c r="K10267" s="82"/>
      <c r="M10267" s="112"/>
      <c r="N10267" s="84"/>
    </row>
    <row r="10268" spans="1:14" s="2" customFormat="1">
      <c r="A10268" s="83"/>
      <c r="H10268" s="83"/>
      <c r="K10268" s="82"/>
      <c r="M10268" s="112"/>
      <c r="N10268" s="84"/>
    </row>
    <row r="10269" spans="1:14" s="2" customFormat="1">
      <c r="A10269" s="83"/>
      <c r="H10269" s="83"/>
      <c r="K10269" s="82"/>
      <c r="M10269" s="112"/>
      <c r="N10269" s="84"/>
    </row>
    <row r="10270" spans="1:14" s="2" customFormat="1">
      <c r="A10270" s="83"/>
      <c r="H10270" s="83"/>
      <c r="K10270" s="82"/>
      <c r="M10270" s="112"/>
      <c r="N10270" s="84"/>
    </row>
    <row r="10271" spans="1:14" s="2" customFormat="1">
      <c r="A10271" s="83"/>
      <c r="H10271" s="83"/>
      <c r="K10271" s="82"/>
      <c r="M10271" s="112"/>
      <c r="N10271" s="84"/>
    </row>
    <row r="10272" spans="1:14" s="2" customFormat="1">
      <c r="A10272" s="83"/>
      <c r="H10272" s="83"/>
      <c r="K10272" s="82"/>
      <c r="M10272" s="112"/>
      <c r="N10272" s="84"/>
    </row>
    <row r="10273" spans="1:14" s="2" customFormat="1">
      <c r="A10273" s="83"/>
      <c r="H10273" s="83"/>
      <c r="K10273" s="82"/>
      <c r="M10273" s="112"/>
      <c r="N10273" s="84"/>
    </row>
    <row r="10274" spans="1:14" s="2" customFormat="1">
      <c r="A10274" s="83"/>
      <c r="H10274" s="83"/>
      <c r="K10274" s="82"/>
      <c r="M10274" s="112"/>
      <c r="N10274" s="84"/>
    </row>
    <row r="10275" spans="1:14" s="2" customFormat="1">
      <c r="A10275" s="83"/>
      <c r="H10275" s="83"/>
      <c r="K10275" s="82"/>
      <c r="M10275" s="112"/>
      <c r="N10275" s="84"/>
    </row>
    <row r="10276" spans="1:14" s="2" customFormat="1">
      <c r="A10276" s="83"/>
      <c r="H10276" s="83"/>
      <c r="K10276" s="82"/>
      <c r="M10276" s="112"/>
      <c r="N10276" s="84"/>
    </row>
    <row r="10277" spans="1:14" s="2" customFormat="1">
      <c r="A10277" s="83"/>
      <c r="H10277" s="83"/>
      <c r="K10277" s="82"/>
      <c r="M10277" s="112"/>
      <c r="N10277" s="84"/>
    </row>
    <row r="10278" spans="1:14" s="2" customFormat="1">
      <c r="A10278" s="83"/>
      <c r="H10278" s="83"/>
      <c r="K10278" s="82"/>
      <c r="M10278" s="112"/>
      <c r="N10278" s="84"/>
    </row>
    <row r="10279" spans="1:14" s="2" customFormat="1">
      <c r="A10279" s="83"/>
      <c r="H10279" s="83"/>
      <c r="K10279" s="82"/>
      <c r="M10279" s="112"/>
      <c r="N10279" s="84"/>
    </row>
    <row r="10280" spans="1:14" s="2" customFormat="1">
      <c r="A10280" s="83"/>
      <c r="H10280" s="83"/>
      <c r="K10280" s="82"/>
      <c r="M10280" s="112"/>
      <c r="N10280" s="84"/>
    </row>
    <row r="10281" spans="1:14" s="2" customFormat="1">
      <c r="A10281" s="83"/>
      <c r="H10281" s="83"/>
      <c r="K10281" s="82"/>
      <c r="M10281" s="112"/>
      <c r="N10281" s="84"/>
    </row>
    <row r="10282" spans="1:14" s="2" customFormat="1">
      <c r="A10282" s="83"/>
      <c r="H10282" s="83"/>
      <c r="K10282" s="82"/>
      <c r="M10282" s="112"/>
      <c r="N10282" s="84"/>
    </row>
    <row r="10283" spans="1:14" s="2" customFormat="1">
      <c r="A10283" s="83"/>
      <c r="H10283" s="83"/>
      <c r="K10283" s="82"/>
      <c r="M10283" s="112"/>
      <c r="N10283" s="84"/>
    </row>
    <row r="10284" spans="1:14" s="2" customFormat="1">
      <c r="A10284" s="83"/>
      <c r="H10284" s="83"/>
      <c r="K10284" s="82"/>
      <c r="M10284" s="112"/>
      <c r="N10284" s="84"/>
    </row>
    <row r="10285" spans="1:14" s="2" customFormat="1">
      <c r="A10285" s="83"/>
      <c r="H10285" s="83"/>
      <c r="K10285" s="82"/>
      <c r="M10285" s="112"/>
      <c r="N10285" s="84"/>
    </row>
    <row r="10286" spans="1:14" s="2" customFormat="1">
      <c r="A10286" s="83"/>
      <c r="H10286" s="83"/>
      <c r="K10286" s="82"/>
      <c r="M10286" s="112"/>
      <c r="N10286" s="84"/>
    </row>
    <row r="10287" spans="1:14" s="2" customFormat="1">
      <c r="A10287" s="83"/>
      <c r="H10287" s="83"/>
      <c r="K10287" s="82"/>
      <c r="M10287" s="112"/>
      <c r="N10287" s="84"/>
    </row>
    <row r="10288" spans="1:14" s="2" customFormat="1">
      <c r="A10288" s="83"/>
      <c r="H10288" s="83"/>
      <c r="K10288" s="82"/>
      <c r="M10288" s="112"/>
      <c r="N10288" s="84"/>
    </row>
    <row r="10289" spans="1:14" s="2" customFormat="1">
      <c r="A10289" s="83"/>
      <c r="H10289" s="83"/>
      <c r="K10289" s="82"/>
      <c r="M10289" s="112"/>
      <c r="N10289" s="84"/>
    </row>
    <row r="10290" spans="1:14" s="2" customFormat="1">
      <c r="A10290" s="83"/>
      <c r="H10290" s="83"/>
      <c r="K10290" s="82"/>
      <c r="M10290" s="112"/>
      <c r="N10290" s="84"/>
    </row>
    <row r="10291" spans="1:14" s="2" customFormat="1">
      <c r="A10291" s="83"/>
      <c r="H10291" s="83"/>
      <c r="K10291" s="82"/>
      <c r="M10291" s="112"/>
      <c r="N10291" s="84"/>
    </row>
    <row r="10292" spans="1:14" s="2" customFormat="1">
      <c r="A10292" s="83"/>
      <c r="H10292" s="83"/>
      <c r="K10292" s="82"/>
      <c r="M10292" s="112"/>
      <c r="N10292" s="84"/>
    </row>
    <row r="10293" spans="1:14" s="2" customFormat="1">
      <c r="A10293" s="83"/>
      <c r="H10293" s="83"/>
      <c r="K10293" s="82"/>
      <c r="M10293" s="112"/>
      <c r="N10293" s="84"/>
    </row>
    <row r="10294" spans="1:14" s="2" customFormat="1">
      <c r="A10294" s="83"/>
      <c r="H10294" s="83"/>
      <c r="K10294" s="82"/>
      <c r="M10294" s="112"/>
      <c r="N10294" s="84"/>
    </row>
    <row r="10295" spans="1:14" s="2" customFormat="1">
      <c r="A10295" s="83"/>
      <c r="H10295" s="83"/>
      <c r="K10295" s="82"/>
      <c r="M10295" s="112"/>
      <c r="N10295" s="84"/>
    </row>
    <row r="10296" spans="1:14" s="2" customFormat="1">
      <c r="A10296" s="83"/>
      <c r="H10296" s="83"/>
      <c r="K10296" s="82"/>
      <c r="M10296" s="112"/>
      <c r="N10296" s="84"/>
    </row>
    <row r="10297" spans="1:14" s="2" customFormat="1">
      <c r="A10297" s="83"/>
      <c r="H10297" s="83"/>
      <c r="K10297" s="82"/>
      <c r="M10297" s="112"/>
      <c r="N10297" s="84"/>
    </row>
    <row r="10298" spans="1:14" s="2" customFormat="1">
      <c r="A10298" s="83"/>
      <c r="H10298" s="83"/>
      <c r="K10298" s="82"/>
      <c r="M10298" s="112"/>
      <c r="N10298" s="84"/>
    </row>
    <row r="10299" spans="1:14" s="2" customFormat="1">
      <c r="A10299" s="83"/>
      <c r="H10299" s="83"/>
      <c r="K10299" s="82"/>
      <c r="M10299" s="112"/>
      <c r="N10299" s="84"/>
    </row>
    <row r="10300" spans="1:14" s="2" customFormat="1">
      <c r="A10300" s="83"/>
      <c r="H10300" s="83"/>
      <c r="K10300" s="82"/>
      <c r="M10300" s="112"/>
      <c r="N10300" s="84"/>
    </row>
    <row r="10301" spans="1:14" s="2" customFormat="1">
      <c r="A10301" s="83"/>
      <c r="H10301" s="83"/>
      <c r="K10301" s="82"/>
      <c r="M10301" s="112"/>
      <c r="N10301" s="84"/>
    </row>
    <row r="10302" spans="1:14" s="2" customFormat="1">
      <c r="A10302" s="83"/>
      <c r="H10302" s="83"/>
      <c r="K10302" s="82"/>
      <c r="M10302" s="112"/>
      <c r="N10302" s="84"/>
    </row>
    <row r="10303" spans="1:14" s="2" customFormat="1">
      <c r="A10303" s="83"/>
      <c r="H10303" s="83"/>
      <c r="K10303" s="82"/>
      <c r="M10303" s="112"/>
      <c r="N10303" s="84"/>
    </row>
    <row r="10304" spans="1:14" s="2" customFormat="1">
      <c r="A10304" s="83"/>
      <c r="H10304" s="83"/>
      <c r="K10304" s="82"/>
      <c r="M10304" s="112"/>
      <c r="N10304" s="84"/>
    </row>
    <row r="10305" spans="1:14" s="2" customFormat="1">
      <c r="A10305" s="83"/>
      <c r="H10305" s="83"/>
      <c r="K10305" s="82"/>
      <c r="M10305" s="112"/>
      <c r="N10305" s="84"/>
    </row>
    <row r="10306" spans="1:14" s="2" customFormat="1">
      <c r="A10306" s="83"/>
      <c r="H10306" s="83"/>
      <c r="K10306" s="82"/>
      <c r="M10306" s="112"/>
      <c r="N10306" s="84"/>
    </row>
    <row r="10307" spans="1:14" s="2" customFormat="1">
      <c r="A10307" s="83"/>
      <c r="H10307" s="83"/>
      <c r="K10307" s="82"/>
      <c r="M10307" s="112"/>
      <c r="N10307" s="84"/>
    </row>
    <row r="10308" spans="1:14" s="2" customFormat="1">
      <c r="A10308" s="83"/>
      <c r="H10308" s="83"/>
      <c r="K10308" s="82"/>
      <c r="M10308" s="112"/>
      <c r="N10308" s="84"/>
    </row>
    <row r="10309" spans="1:14" s="2" customFormat="1">
      <c r="A10309" s="83"/>
      <c r="H10309" s="83"/>
      <c r="K10309" s="82"/>
      <c r="M10309" s="112"/>
      <c r="N10309" s="84"/>
    </row>
    <row r="10310" spans="1:14" s="2" customFormat="1">
      <c r="A10310" s="83"/>
      <c r="H10310" s="83"/>
      <c r="K10310" s="82"/>
      <c r="M10310" s="112"/>
      <c r="N10310" s="84"/>
    </row>
    <row r="10311" spans="1:14" s="2" customFormat="1">
      <c r="A10311" s="83"/>
      <c r="H10311" s="83"/>
      <c r="K10311" s="82"/>
      <c r="M10311" s="112"/>
      <c r="N10311" s="84"/>
    </row>
    <row r="10312" spans="1:14" s="2" customFormat="1">
      <c r="A10312" s="83"/>
      <c r="H10312" s="83"/>
      <c r="K10312" s="82"/>
      <c r="M10312" s="112"/>
      <c r="N10312" s="84"/>
    </row>
    <row r="10313" spans="1:14" s="2" customFormat="1">
      <c r="A10313" s="83"/>
      <c r="H10313" s="83"/>
      <c r="K10313" s="82"/>
      <c r="M10313" s="112"/>
      <c r="N10313" s="84"/>
    </row>
    <row r="10314" spans="1:14" s="2" customFormat="1">
      <c r="A10314" s="83"/>
      <c r="H10314" s="83"/>
      <c r="K10314" s="82"/>
      <c r="M10314" s="112"/>
      <c r="N10314" s="84"/>
    </row>
    <row r="10315" spans="1:14" s="2" customFormat="1">
      <c r="A10315" s="83"/>
      <c r="H10315" s="83"/>
      <c r="K10315" s="82"/>
      <c r="M10315" s="112"/>
      <c r="N10315" s="84"/>
    </row>
    <row r="10316" spans="1:14" s="2" customFormat="1">
      <c r="A10316" s="83"/>
      <c r="H10316" s="83"/>
      <c r="K10316" s="82"/>
      <c r="M10316" s="112"/>
      <c r="N10316" s="84"/>
    </row>
    <row r="10317" spans="1:14" s="2" customFormat="1">
      <c r="A10317" s="83"/>
      <c r="H10317" s="83"/>
      <c r="K10317" s="82"/>
      <c r="M10317" s="112"/>
      <c r="N10317" s="84"/>
    </row>
    <row r="10318" spans="1:14" s="2" customFormat="1">
      <c r="A10318" s="83"/>
      <c r="H10318" s="83"/>
      <c r="K10318" s="82"/>
      <c r="M10318" s="112"/>
      <c r="N10318" s="84"/>
    </row>
    <row r="10319" spans="1:14" s="2" customFormat="1">
      <c r="A10319" s="83"/>
      <c r="H10319" s="83"/>
      <c r="K10319" s="82"/>
      <c r="M10319" s="112"/>
      <c r="N10319" s="84"/>
    </row>
    <row r="10320" spans="1:14" s="2" customFormat="1">
      <c r="A10320" s="83"/>
      <c r="H10320" s="83"/>
      <c r="K10320" s="82"/>
      <c r="M10320" s="112"/>
      <c r="N10320" s="84"/>
    </row>
    <row r="10321" spans="1:14" s="2" customFormat="1">
      <c r="A10321" s="83"/>
      <c r="H10321" s="83"/>
      <c r="K10321" s="82"/>
      <c r="M10321" s="112"/>
      <c r="N10321" s="84"/>
    </row>
    <row r="10322" spans="1:14" s="2" customFormat="1">
      <c r="A10322" s="83"/>
      <c r="H10322" s="83"/>
      <c r="K10322" s="82"/>
      <c r="M10322" s="112"/>
      <c r="N10322" s="84"/>
    </row>
    <row r="10323" spans="1:14" s="2" customFormat="1">
      <c r="A10323" s="83"/>
      <c r="H10323" s="83"/>
      <c r="K10323" s="82"/>
      <c r="M10323" s="112"/>
      <c r="N10323" s="84"/>
    </row>
    <row r="10324" spans="1:14" s="2" customFormat="1">
      <c r="A10324" s="83"/>
      <c r="H10324" s="83"/>
      <c r="K10324" s="82"/>
      <c r="M10324" s="112"/>
      <c r="N10324" s="84"/>
    </row>
    <row r="10325" spans="1:14" s="2" customFormat="1">
      <c r="A10325" s="83"/>
      <c r="H10325" s="83"/>
      <c r="K10325" s="82"/>
      <c r="M10325" s="112"/>
      <c r="N10325" s="84"/>
    </row>
    <row r="10326" spans="1:14" s="2" customFormat="1">
      <c r="A10326" s="83"/>
      <c r="H10326" s="83"/>
      <c r="K10326" s="82"/>
      <c r="M10326" s="112"/>
      <c r="N10326" s="84"/>
    </row>
    <row r="10327" spans="1:14" s="2" customFormat="1">
      <c r="A10327" s="83"/>
      <c r="H10327" s="83"/>
      <c r="K10327" s="82"/>
      <c r="M10327" s="112"/>
      <c r="N10327" s="84"/>
    </row>
    <row r="10328" spans="1:14" s="2" customFormat="1">
      <c r="A10328" s="83"/>
      <c r="H10328" s="83"/>
      <c r="K10328" s="82"/>
      <c r="M10328" s="112"/>
      <c r="N10328" s="84"/>
    </row>
    <row r="10329" spans="1:14" s="2" customFormat="1">
      <c r="A10329" s="83"/>
      <c r="H10329" s="83"/>
      <c r="K10329" s="82"/>
      <c r="M10329" s="112"/>
      <c r="N10329" s="84"/>
    </row>
    <row r="10330" spans="1:14" s="2" customFormat="1">
      <c r="A10330" s="83"/>
      <c r="H10330" s="83"/>
      <c r="K10330" s="82"/>
      <c r="M10330" s="112"/>
      <c r="N10330" s="84"/>
    </row>
    <row r="10331" spans="1:14" s="2" customFormat="1">
      <c r="A10331" s="83"/>
      <c r="H10331" s="83"/>
      <c r="K10331" s="82"/>
      <c r="M10331" s="112"/>
      <c r="N10331" s="84"/>
    </row>
    <row r="10332" spans="1:14" s="2" customFormat="1">
      <c r="A10332" s="83"/>
      <c r="H10332" s="83"/>
      <c r="K10332" s="82"/>
      <c r="M10332" s="112"/>
      <c r="N10332" s="84"/>
    </row>
    <row r="10333" spans="1:14" s="2" customFormat="1">
      <c r="A10333" s="83"/>
      <c r="H10333" s="83"/>
      <c r="K10333" s="82"/>
      <c r="M10333" s="112"/>
      <c r="N10333" s="84"/>
    </row>
    <row r="10334" spans="1:14" s="2" customFormat="1">
      <c r="A10334" s="83"/>
      <c r="H10334" s="83"/>
      <c r="K10334" s="82"/>
      <c r="M10334" s="112"/>
      <c r="N10334" s="84"/>
    </row>
    <row r="10335" spans="1:14" s="2" customFormat="1">
      <c r="A10335" s="83"/>
      <c r="H10335" s="83"/>
      <c r="K10335" s="82"/>
      <c r="M10335" s="112"/>
      <c r="N10335" s="84"/>
    </row>
    <row r="10336" spans="1:14" s="2" customFormat="1">
      <c r="A10336" s="83"/>
      <c r="H10336" s="83"/>
      <c r="K10336" s="82"/>
      <c r="M10336" s="112"/>
      <c r="N10336" s="84"/>
    </row>
    <row r="10337" spans="1:14" s="2" customFormat="1">
      <c r="A10337" s="83"/>
      <c r="H10337" s="83"/>
      <c r="K10337" s="82"/>
      <c r="M10337" s="112"/>
      <c r="N10337" s="84"/>
    </row>
    <row r="10338" spans="1:14" s="2" customFormat="1">
      <c r="A10338" s="83"/>
      <c r="H10338" s="83"/>
      <c r="K10338" s="82"/>
      <c r="M10338" s="112"/>
      <c r="N10338" s="84"/>
    </row>
    <row r="10339" spans="1:14" s="2" customFormat="1">
      <c r="A10339" s="83"/>
      <c r="H10339" s="83"/>
      <c r="K10339" s="82"/>
      <c r="M10339" s="112"/>
      <c r="N10339" s="84"/>
    </row>
    <row r="10340" spans="1:14" s="2" customFormat="1">
      <c r="A10340" s="83"/>
      <c r="H10340" s="83"/>
      <c r="K10340" s="82"/>
      <c r="M10340" s="112"/>
      <c r="N10340" s="84"/>
    </row>
    <row r="10341" spans="1:14" s="2" customFormat="1">
      <c r="A10341" s="83"/>
      <c r="H10341" s="83"/>
      <c r="K10341" s="82"/>
      <c r="M10341" s="112"/>
      <c r="N10341" s="84"/>
    </row>
    <row r="10342" spans="1:14" s="2" customFormat="1">
      <c r="A10342" s="83"/>
      <c r="H10342" s="83"/>
      <c r="K10342" s="82"/>
      <c r="M10342" s="112"/>
      <c r="N10342" s="84"/>
    </row>
    <row r="10343" spans="1:14" s="2" customFormat="1">
      <c r="A10343" s="83"/>
      <c r="H10343" s="83"/>
      <c r="K10343" s="82"/>
      <c r="M10343" s="112"/>
      <c r="N10343" s="84"/>
    </row>
    <row r="10344" spans="1:14" s="2" customFormat="1">
      <c r="A10344" s="83"/>
      <c r="H10344" s="83"/>
      <c r="K10344" s="82"/>
      <c r="M10344" s="112"/>
      <c r="N10344" s="84"/>
    </row>
    <row r="10345" spans="1:14" s="2" customFormat="1">
      <c r="A10345" s="83"/>
      <c r="H10345" s="83"/>
      <c r="K10345" s="82"/>
      <c r="M10345" s="112"/>
      <c r="N10345" s="84"/>
    </row>
    <row r="10346" spans="1:14" s="2" customFormat="1">
      <c r="A10346" s="83"/>
      <c r="H10346" s="83"/>
      <c r="K10346" s="82"/>
      <c r="M10346" s="112"/>
      <c r="N10346" s="84"/>
    </row>
    <row r="10347" spans="1:14" s="2" customFormat="1">
      <c r="A10347" s="83"/>
      <c r="H10347" s="83"/>
      <c r="K10347" s="82"/>
      <c r="M10347" s="112"/>
      <c r="N10347" s="84"/>
    </row>
    <row r="10348" spans="1:14" s="2" customFormat="1">
      <c r="A10348" s="83"/>
      <c r="H10348" s="83"/>
      <c r="K10348" s="82"/>
      <c r="M10348" s="112"/>
      <c r="N10348" s="84"/>
    </row>
    <row r="10349" spans="1:14" s="2" customFormat="1">
      <c r="A10349" s="83"/>
      <c r="H10349" s="83"/>
      <c r="K10349" s="82"/>
      <c r="M10349" s="112"/>
      <c r="N10349" s="84"/>
    </row>
    <row r="10350" spans="1:14" s="2" customFormat="1">
      <c r="A10350" s="83"/>
      <c r="H10350" s="83"/>
      <c r="K10350" s="82"/>
      <c r="M10350" s="112"/>
      <c r="N10350" s="84"/>
    </row>
    <row r="10351" spans="1:14" s="2" customFormat="1">
      <c r="A10351" s="83"/>
      <c r="H10351" s="83"/>
      <c r="K10351" s="82"/>
      <c r="M10351" s="112"/>
      <c r="N10351" s="84"/>
    </row>
    <row r="10352" spans="1:14" s="2" customFormat="1">
      <c r="A10352" s="83"/>
      <c r="H10352" s="83"/>
      <c r="K10352" s="82"/>
      <c r="M10352" s="112"/>
      <c r="N10352" s="84"/>
    </row>
    <row r="10353" spans="1:14" s="2" customFormat="1">
      <c r="A10353" s="83"/>
      <c r="H10353" s="83"/>
      <c r="K10353" s="82"/>
      <c r="M10353" s="112"/>
      <c r="N10353" s="84"/>
    </row>
    <row r="10354" spans="1:14" s="2" customFormat="1">
      <c r="A10354" s="83"/>
      <c r="H10354" s="83"/>
      <c r="K10354" s="82"/>
      <c r="M10354" s="112"/>
      <c r="N10354" s="84"/>
    </row>
    <row r="10355" spans="1:14" s="2" customFormat="1">
      <c r="A10355" s="83"/>
      <c r="H10355" s="83"/>
      <c r="K10355" s="82"/>
      <c r="M10355" s="112"/>
      <c r="N10355" s="84"/>
    </row>
    <row r="10356" spans="1:14" s="2" customFormat="1">
      <c r="A10356" s="83"/>
      <c r="H10356" s="83"/>
      <c r="K10356" s="82"/>
      <c r="M10356" s="112"/>
      <c r="N10356" s="84"/>
    </row>
    <row r="10357" spans="1:14" s="2" customFormat="1">
      <c r="A10357" s="83"/>
      <c r="H10357" s="83"/>
      <c r="K10357" s="82"/>
      <c r="M10357" s="112"/>
      <c r="N10357" s="84"/>
    </row>
    <row r="10358" spans="1:14" s="2" customFormat="1">
      <c r="A10358" s="83"/>
      <c r="H10358" s="83"/>
      <c r="K10358" s="82"/>
      <c r="M10358" s="112"/>
      <c r="N10358" s="84"/>
    </row>
    <row r="10359" spans="1:14" s="2" customFormat="1">
      <c r="A10359" s="83"/>
      <c r="H10359" s="83"/>
      <c r="K10359" s="82"/>
      <c r="M10359" s="112"/>
      <c r="N10359" s="84"/>
    </row>
    <row r="10360" spans="1:14" s="2" customFormat="1">
      <c r="A10360" s="83"/>
      <c r="H10360" s="83"/>
      <c r="K10360" s="82"/>
      <c r="M10360" s="112"/>
      <c r="N10360" s="84"/>
    </row>
    <row r="10361" spans="1:14" s="2" customFormat="1">
      <c r="A10361" s="83"/>
      <c r="H10361" s="83"/>
      <c r="K10361" s="82"/>
      <c r="M10361" s="112"/>
      <c r="N10361" s="84"/>
    </row>
    <row r="10362" spans="1:14" s="2" customFormat="1">
      <c r="A10362" s="83"/>
      <c r="H10362" s="83"/>
      <c r="K10362" s="82"/>
      <c r="M10362" s="112"/>
      <c r="N10362" s="84"/>
    </row>
    <row r="10363" spans="1:14" s="2" customFormat="1">
      <c r="A10363" s="83"/>
      <c r="H10363" s="83"/>
      <c r="K10363" s="82"/>
      <c r="M10363" s="112"/>
      <c r="N10363" s="84"/>
    </row>
    <row r="10364" spans="1:14" s="2" customFormat="1">
      <c r="A10364" s="83"/>
      <c r="H10364" s="83"/>
      <c r="K10364" s="82"/>
      <c r="M10364" s="112"/>
      <c r="N10364" s="84"/>
    </row>
    <row r="10365" spans="1:14" s="2" customFormat="1">
      <c r="A10365" s="83"/>
      <c r="H10365" s="83"/>
      <c r="K10365" s="82"/>
      <c r="M10365" s="112"/>
      <c r="N10365" s="84"/>
    </row>
    <row r="10366" spans="1:14" s="2" customFormat="1">
      <c r="A10366" s="83"/>
      <c r="H10366" s="83"/>
      <c r="K10366" s="82"/>
      <c r="M10366" s="112"/>
      <c r="N10366" s="84"/>
    </row>
    <row r="10367" spans="1:14" s="2" customFormat="1">
      <c r="A10367" s="83"/>
      <c r="H10367" s="83"/>
      <c r="K10367" s="82"/>
      <c r="M10367" s="112"/>
      <c r="N10367" s="84"/>
    </row>
    <row r="10368" spans="1:14" s="2" customFormat="1">
      <c r="A10368" s="83"/>
      <c r="H10368" s="83"/>
      <c r="K10368" s="82"/>
      <c r="M10368" s="112"/>
      <c r="N10368" s="84"/>
    </row>
    <row r="10369" spans="1:14" s="2" customFormat="1">
      <c r="A10369" s="83"/>
      <c r="H10369" s="83"/>
      <c r="K10369" s="82"/>
      <c r="M10369" s="112"/>
      <c r="N10369" s="84"/>
    </row>
    <row r="10370" spans="1:14" s="2" customFormat="1">
      <c r="A10370" s="83"/>
      <c r="H10370" s="83"/>
      <c r="K10370" s="82"/>
      <c r="M10370" s="112"/>
      <c r="N10370" s="84"/>
    </row>
    <row r="10371" spans="1:14" s="2" customFormat="1">
      <c r="A10371" s="83"/>
      <c r="H10371" s="83"/>
      <c r="K10371" s="82"/>
      <c r="M10371" s="112"/>
      <c r="N10371" s="84"/>
    </row>
    <row r="10372" spans="1:14" s="2" customFormat="1">
      <c r="A10372" s="83"/>
      <c r="H10372" s="83"/>
      <c r="K10372" s="82"/>
      <c r="M10372" s="112"/>
      <c r="N10372" s="84"/>
    </row>
    <row r="10373" spans="1:14" s="2" customFormat="1">
      <c r="A10373" s="83"/>
      <c r="H10373" s="83"/>
      <c r="K10373" s="82"/>
      <c r="M10373" s="112"/>
      <c r="N10373" s="84"/>
    </row>
    <row r="10374" spans="1:14" s="2" customFormat="1">
      <c r="A10374" s="83"/>
      <c r="H10374" s="83"/>
      <c r="K10374" s="82"/>
      <c r="M10374" s="112"/>
      <c r="N10374" s="84"/>
    </row>
    <row r="10375" spans="1:14" s="2" customFormat="1">
      <c r="A10375" s="83"/>
      <c r="H10375" s="83"/>
      <c r="K10375" s="82"/>
      <c r="M10375" s="112"/>
      <c r="N10375" s="84"/>
    </row>
    <row r="10376" spans="1:14" s="2" customFormat="1">
      <c r="A10376" s="83"/>
      <c r="H10376" s="83"/>
      <c r="K10376" s="82"/>
      <c r="M10376" s="112"/>
      <c r="N10376" s="84"/>
    </row>
    <row r="10377" spans="1:14" s="2" customFormat="1">
      <c r="A10377" s="83"/>
      <c r="H10377" s="83"/>
      <c r="K10377" s="82"/>
      <c r="M10377" s="112"/>
      <c r="N10377" s="84"/>
    </row>
    <row r="10378" spans="1:14" s="2" customFormat="1">
      <c r="A10378" s="83"/>
      <c r="H10378" s="83"/>
      <c r="K10378" s="82"/>
      <c r="M10378" s="112"/>
      <c r="N10378" s="84"/>
    </row>
    <row r="10379" spans="1:14" s="2" customFormat="1">
      <c r="A10379" s="83"/>
      <c r="H10379" s="83"/>
      <c r="K10379" s="82"/>
      <c r="M10379" s="112"/>
      <c r="N10379" s="84"/>
    </row>
    <row r="10380" spans="1:14" s="2" customFormat="1">
      <c r="A10380" s="83"/>
      <c r="H10380" s="83"/>
      <c r="K10380" s="82"/>
      <c r="M10380" s="112"/>
      <c r="N10380" s="84"/>
    </row>
    <row r="10381" spans="1:14" s="2" customFormat="1">
      <c r="A10381" s="83"/>
      <c r="H10381" s="83"/>
      <c r="K10381" s="82"/>
      <c r="M10381" s="112"/>
      <c r="N10381" s="84"/>
    </row>
    <row r="10382" spans="1:14" s="2" customFormat="1">
      <c r="A10382" s="83"/>
      <c r="H10382" s="83"/>
      <c r="K10382" s="82"/>
      <c r="M10382" s="112"/>
      <c r="N10382" s="84"/>
    </row>
    <row r="10383" spans="1:14" s="2" customFormat="1">
      <c r="A10383" s="83"/>
      <c r="H10383" s="83"/>
      <c r="K10383" s="82"/>
      <c r="M10383" s="112"/>
      <c r="N10383" s="84"/>
    </row>
    <row r="10384" spans="1:14" s="2" customFormat="1">
      <c r="A10384" s="83"/>
      <c r="H10384" s="83"/>
      <c r="K10384" s="82"/>
      <c r="M10384" s="112"/>
      <c r="N10384" s="84"/>
    </row>
    <row r="10385" spans="1:14" s="2" customFormat="1">
      <c r="A10385" s="83"/>
      <c r="H10385" s="83"/>
      <c r="K10385" s="82"/>
      <c r="M10385" s="112"/>
      <c r="N10385" s="84"/>
    </row>
    <row r="10386" spans="1:14" s="2" customFormat="1">
      <c r="A10386" s="83"/>
      <c r="H10386" s="83"/>
      <c r="K10386" s="82"/>
      <c r="M10386" s="112"/>
      <c r="N10386" s="84"/>
    </row>
    <row r="10387" spans="1:14" s="2" customFormat="1">
      <c r="A10387" s="83"/>
      <c r="H10387" s="83"/>
      <c r="K10387" s="82"/>
      <c r="M10387" s="112"/>
      <c r="N10387" s="84"/>
    </row>
    <row r="10388" spans="1:14" s="2" customFormat="1">
      <c r="A10388" s="83"/>
      <c r="H10388" s="83"/>
      <c r="K10388" s="82"/>
      <c r="M10388" s="112"/>
      <c r="N10388" s="84"/>
    </row>
    <row r="10389" spans="1:14" s="2" customFormat="1">
      <c r="A10389" s="83"/>
      <c r="H10389" s="83"/>
      <c r="K10389" s="82"/>
      <c r="M10389" s="112"/>
      <c r="N10389" s="84"/>
    </row>
    <row r="10390" spans="1:14" s="2" customFormat="1">
      <c r="A10390" s="83"/>
      <c r="H10390" s="83"/>
      <c r="K10390" s="82"/>
      <c r="M10390" s="112"/>
      <c r="N10390" s="84"/>
    </row>
    <row r="10391" spans="1:14" s="2" customFormat="1">
      <c r="A10391" s="83"/>
      <c r="H10391" s="83"/>
      <c r="K10391" s="82"/>
      <c r="M10391" s="112"/>
      <c r="N10391" s="84"/>
    </row>
    <row r="10392" spans="1:14" s="2" customFormat="1">
      <c r="A10392" s="83"/>
      <c r="H10392" s="83"/>
      <c r="K10392" s="82"/>
      <c r="M10392" s="112"/>
      <c r="N10392" s="84"/>
    </row>
    <row r="10393" spans="1:14" s="2" customFormat="1">
      <c r="A10393" s="83"/>
      <c r="H10393" s="83"/>
      <c r="K10393" s="82"/>
      <c r="M10393" s="112"/>
      <c r="N10393" s="84"/>
    </row>
    <row r="10394" spans="1:14" s="2" customFormat="1">
      <c r="A10394" s="83"/>
      <c r="H10394" s="83"/>
      <c r="K10394" s="82"/>
      <c r="M10394" s="112"/>
      <c r="N10394" s="84"/>
    </row>
    <row r="10395" spans="1:14" s="2" customFormat="1">
      <c r="A10395" s="83"/>
      <c r="H10395" s="83"/>
      <c r="K10395" s="82"/>
      <c r="M10395" s="112"/>
      <c r="N10395" s="84"/>
    </row>
    <row r="10396" spans="1:14" s="2" customFormat="1">
      <c r="A10396" s="83"/>
      <c r="H10396" s="83"/>
      <c r="K10396" s="82"/>
      <c r="M10396" s="112"/>
      <c r="N10396" s="84"/>
    </row>
    <row r="10397" spans="1:14" s="2" customFormat="1">
      <c r="A10397" s="83"/>
      <c r="H10397" s="83"/>
      <c r="K10397" s="82"/>
      <c r="M10397" s="112"/>
      <c r="N10397" s="84"/>
    </row>
    <row r="10398" spans="1:14" s="2" customFormat="1">
      <c r="A10398" s="83"/>
      <c r="H10398" s="83"/>
      <c r="K10398" s="82"/>
      <c r="M10398" s="112"/>
      <c r="N10398" s="84"/>
    </row>
    <row r="10399" spans="1:14" s="2" customFormat="1">
      <c r="A10399" s="83"/>
      <c r="H10399" s="83"/>
      <c r="K10399" s="82"/>
      <c r="M10399" s="112"/>
      <c r="N10399" s="84"/>
    </row>
    <row r="10400" spans="1:14" s="2" customFormat="1">
      <c r="A10400" s="83"/>
      <c r="H10400" s="83"/>
      <c r="K10400" s="82"/>
      <c r="M10400" s="112"/>
      <c r="N10400" s="84"/>
    </row>
    <row r="10401" spans="1:14" s="2" customFormat="1">
      <c r="A10401" s="83"/>
      <c r="H10401" s="83"/>
      <c r="K10401" s="82"/>
      <c r="M10401" s="112"/>
      <c r="N10401" s="84"/>
    </row>
    <row r="10402" spans="1:14" s="2" customFormat="1">
      <c r="A10402" s="83"/>
      <c r="H10402" s="83"/>
      <c r="K10402" s="82"/>
      <c r="M10402" s="112"/>
      <c r="N10402" s="84"/>
    </row>
    <row r="10403" spans="1:14" s="2" customFormat="1">
      <c r="A10403" s="83"/>
      <c r="H10403" s="83"/>
      <c r="K10403" s="82"/>
      <c r="M10403" s="112"/>
      <c r="N10403" s="84"/>
    </row>
    <row r="10404" spans="1:14" s="2" customFormat="1">
      <c r="A10404" s="83"/>
      <c r="H10404" s="83"/>
      <c r="K10404" s="82"/>
      <c r="M10404" s="112"/>
      <c r="N10404" s="84"/>
    </row>
    <row r="10405" spans="1:14" s="2" customFormat="1">
      <c r="A10405" s="83"/>
      <c r="H10405" s="83"/>
      <c r="K10405" s="82"/>
      <c r="M10405" s="112"/>
      <c r="N10405" s="84"/>
    </row>
    <row r="10406" spans="1:14" s="2" customFormat="1">
      <c r="A10406" s="83"/>
      <c r="H10406" s="83"/>
      <c r="K10406" s="82"/>
      <c r="M10406" s="112"/>
      <c r="N10406" s="84"/>
    </row>
    <row r="10407" spans="1:14" s="2" customFormat="1">
      <c r="A10407" s="83"/>
      <c r="H10407" s="83"/>
      <c r="K10407" s="82"/>
      <c r="M10407" s="112"/>
      <c r="N10407" s="84"/>
    </row>
    <row r="10408" spans="1:14" s="2" customFormat="1">
      <c r="A10408" s="83"/>
      <c r="H10408" s="83"/>
      <c r="K10408" s="82"/>
      <c r="M10408" s="112"/>
      <c r="N10408" s="84"/>
    </row>
    <row r="10409" spans="1:14" s="2" customFormat="1">
      <c r="A10409" s="83"/>
      <c r="H10409" s="83"/>
      <c r="K10409" s="82"/>
      <c r="M10409" s="112"/>
      <c r="N10409" s="84"/>
    </row>
    <row r="10410" spans="1:14" s="2" customFormat="1">
      <c r="A10410" s="83"/>
      <c r="H10410" s="83"/>
      <c r="K10410" s="82"/>
      <c r="M10410" s="112"/>
      <c r="N10410" s="84"/>
    </row>
    <row r="10411" spans="1:14" s="2" customFormat="1">
      <c r="A10411" s="83"/>
      <c r="H10411" s="83"/>
      <c r="K10411" s="82"/>
      <c r="M10411" s="112"/>
      <c r="N10411" s="84"/>
    </row>
    <row r="10412" spans="1:14" s="2" customFormat="1">
      <c r="A10412" s="83"/>
      <c r="H10412" s="83"/>
      <c r="K10412" s="82"/>
      <c r="M10412" s="112"/>
      <c r="N10412" s="84"/>
    </row>
    <row r="10413" spans="1:14" s="2" customFormat="1">
      <c r="A10413" s="83"/>
      <c r="H10413" s="83"/>
      <c r="K10413" s="82"/>
      <c r="M10413" s="112"/>
      <c r="N10413" s="84"/>
    </row>
    <row r="10414" spans="1:14" s="2" customFormat="1">
      <c r="A10414" s="83"/>
      <c r="H10414" s="83"/>
      <c r="K10414" s="82"/>
      <c r="M10414" s="112"/>
      <c r="N10414" s="84"/>
    </row>
    <row r="10415" spans="1:14" s="2" customFormat="1">
      <c r="A10415" s="83"/>
      <c r="H10415" s="83"/>
      <c r="K10415" s="82"/>
      <c r="M10415" s="112"/>
      <c r="N10415" s="84"/>
    </row>
    <row r="10416" spans="1:14" s="2" customFormat="1">
      <c r="A10416" s="83"/>
      <c r="H10416" s="83"/>
      <c r="K10416" s="82"/>
      <c r="M10416" s="112"/>
      <c r="N10416" s="84"/>
    </row>
    <row r="10417" spans="1:14" s="2" customFormat="1">
      <c r="A10417" s="83"/>
      <c r="H10417" s="83"/>
      <c r="K10417" s="82"/>
      <c r="M10417" s="112"/>
      <c r="N10417" s="84"/>
    </row>
    <row r="10418" spans="1:14" s="2" customFormat="1">
      <c r="A10418" s="83"/>
      <c r="H10418" s="83"/>
      <c r="K10418" s="82"/>
      <c r="M10418" s="112"/>
      <c r="N10418" s="84"/>
    </row>
    <row r="10419" spans="1:14" s="2" customFormat="1">
      <c r="A10419" s="83"/>
      <c r="H10419" s="83"/>
      <c r="K10419" s="82"/>
      <c r="M10419" s="112"/>
      <c r="N10419" s="84"/>
    </row>
    <row r="10420" spans="1:14" s="2" customFormat="1">
      <c r="A10420" s="83"/>
      <c r="H10420" s="83"/>
      <c r="K10420" s="82"/>
      <c r="M10420" s="112"/>
      <c r="N10420" s="84"/>
    </row>
    <row r="10421" spans="1:14" s="2" customFormat="1">
      <c r="A10421" s="83"/>
      <c r="H10421" s="83"/>
      <c r="K10421" s="82"/>
      <c r="M10421" s="112"/>
      <c r="N10421" s="84"/>
    </row>
    <row r="10422" spans="1:14" s="2" customFormat="1">
      <c r="A10422" s="83"/>
      <c r="H10422" s="83"/>
      <c r="K10422" s="82"/>
      <c r="M10422" s="112"/>
      <c r="N10422" s="84"/>
    </row>
    <row r="10423" spans="1:14" s="2" customFormat="1">
      <c r="A10423" s="83"/>
      <c r="H10423" s="83"/>
      <c r="K10423" s="82"/>
      <c r="M10423" s="112"/>
      <c r="N10423" s="84"/>
    </row>
    <row r="10424" spans="1:14" s="2" customFormat="1">
      <c r="A10424" s="83"/>
      <c r="H10424" s="83"/>
      <c r="K10424" s="82"/>
      <c r="M10424" s="112"/>
      <c r="N10424" s="84"/>
    </row>
    <row r="10425" spans="1:14" s="2" customFormat="1">
      <c r="A10425" s="83"/>
      <c r="H10425" s="83"/>
      <c r="K10425" s="82"/>
      <c r="M10425" s="112"/>
      <c r="N10425" s="84"/>
    </row>
    <row r="10426" spans="1:14" s="2" customFormat="1">
      <c r="A10426" s="83"/>
      <c r="H10426" s="83"/>
      <c r="K10426" s="82"/>
      <c r="M10426" s="112"/>
      <c r="N10426" s="84"/>
    </row>
    <row r="10427" spans="1:14" s="2" customFormat="1">
      <c r="A10427" s="83"/>
      <c r="H10427" s="83"/>
      <c r="K10427" s="82"/>
      <c r="M10427" s="112"/>
      <c r="N10427" s="84"/>
    </row>
    <row r="10428" spans="1:14" s="2" customFormat="1">
      <c r="A10428" s="83"/>
      <c r="H10428" s="83"/>
      <c r="K10428" s="82"/>
      <c r="M10428" s="112"/>
      <c r="N10428" s="84"/>
    </row>
    <row r="10429" spans="1:14" s="2" customFormat="1">
      <c r="A10429" s="83"/>
      <c r="H10429" s="83"/>
      <c r="K10429" s="82"/>
      <c r="M10429" s="112"/>
      <c r="N10429" s="84"/>
    </row>
    <row r="10430" spans="1:14" s="2" customFormat="1">
      <c r="A10430" s="83"/>
      <c r="H10430" s="83"/>
      <c r="K10430" s="82"/>
      <c r="M10430" s="112"/>
      <c r="N10430" s="84"/>
    </row>
    <row r="10431" spans="1:14" s="2" customFormat="1">
      <c r="A10431" s="83"/>
      <c r="H10431" s="83"/>
      <c r="K10431" s="82"/>
      <c r="M10431" s="112"/>
      <c r="N10431" s="84"/>
    </row>
    <row r="10432" spans="1:14" s="2" customFormat="1">
      <c r="A10432" s="83"/>
      <c r="H10432" s="83"/>
      <c r="K10432" s="82"/>
      <c r="M10432" s="112"/>
      <c r="N10432" s="84"/>
    </row>
    <row r="10433" spans="1:14" s="2" customFormat="1">
      <c r="A10433" s="83"/>
      <c r="H10433" s="83"/>
      <c r="K10433" s="82"/>
      <c r="M10433" s="112"/>
      <c r="N10433" s="84"/>
    </row>
    <row r="10434" spans="1:14" s="2" customFormat="1">
      <c r="A10434" s="83"/>
      <c r="H10434" s="83"/>
      <c r="K10434" s="82"/>
      <c r="M10434" s="112"/>
      <c r="N10434" s="84"/>
    </row>
    <row r="10435" spans="1:14" s="2" customFormat="1">
      <c r="A10435" s="83"/>
      <c r="H10435" s="83"/>
      <c r="K10435" s="82"/>
      <c r="M10435" s="112"/>
      <c r="N10435" s="84"/>
    </row>
    <row r="10436" spans="1:14" s="2" customFormat="1">
      <c r="A10436" s="83"/>
      <c r="H10436" s="83"/>
      <c r="K10436" s="82"/>
      <c r="M10436" s="112"/>
      <c r="N10436" s="84"/>
    </row>
    <row r="10437" spans="1:14" s="2" customFormat="1">
      <c r="A10437" s="83"/>
      <c r="H10437" s="83"/>
      <c r="K10437" s="82"/>
      <c r="M10437" s="112"/>
      <c r="N10437" s="84"/>
    </row>
    <row r="10438" spans="1:14" s="2" customFormat="1">
      <c r="A10438" s="83"/>
      <c r="H10438" s="83"/>
      <c r="K10438" s="82"/>
      <c r="M10438" s="112"/>
      <c r="N10438" s="84"/>
    </row>
    <row r="10439" spans="1:14" s="2" customFormat="1">
      <c r="A10439" s="83"/>
      <c r="H10439" s="83"/>
      <c r="K10439" s="82"/>
      <c r="M10439" s="112"/>
      <c r="N10439" s="84"/>
    </row>
    <row r="10440" spans="1:14" s="2" customFormat="1">
      <c r="A10440" s="83"/>
      <c r="H10440" s="83"/>
      <c r="K10440" s="82"/>
      <c r="M10440" s="112"/>
      <c r="N10440" s="84"/>
    </row>
    <row r="10441" spans="1:14" s="2" customFormat="1">
      <c r="A10441" s="83"/>
      <c r="H10441" s="83"/>
      <c r="K10441" s="82"/>
      <c r="M10441" s="112"/>
      <c r="N10441" s="84"/>
    </row>
    <row r="10442" spans="1:14" s="2" customFormat="1">
      <c r="A10442" s="83"/>
      <c r="H10442" s="83"/>
      <c r="K10442" s="82"/>
      <c r="M10442" s="112"/>
      <c r="N10442" s="84"/>
    </row>
    <row r="10443" spans="1:14" s="2" customFormat="1">
      <c r="A10443" s="83"/>
      <c r="H10443" s="83"/>
      <c r="K10443" s="82"/>
      <c r="M10443" s="112"/>
      <c r="N10443" s="84"/>
    </row>
    <row r="10444" spans="1:14" s="2" customFormat="1">
      <c r="A10444" s="83"/>
      <c r="H10444" s="83"/>
      <c r="K10444" s="82"/>
      <c r="M10444" s="112"/>
      <c r="N10444" s="84"/>
    </row>
    <row r="10445" spans="1:14" s="2" customFormat="1">
      <c r="A10445" s="83"/>
      <c r="H10445" s="83"/>
      <c r="K10445" s="82"/>
      <c r="M10445" s="112"/>
      <c r="N10445" s="84"/>
    </row>
    <row r="10446" spans="1:14" s="2" customFormat="1">
      <c r="A10446" s="83"/>
      <c r="H10446" s="83"/>
      <c r="K10446" s="82"/>
      <c r="M10446" s="112"/>
      <c r="N10446" s="84"/>
    </row>
    <row r="10447" spans="1:14" s="2" customFormat="1">
      <c r="A10447" s="83"/>
      <c r="H10447" s="83"/>
      <c r="K10447" s="82"/>
      <c r="M10447" s="112"/>
      <c r="N10447" s="84"/>
    </row>
    <row r="10448" spans="1:14" s="2" customFormat="1">
      <c r="A10448" s="83"/>
      <c r="H10448" s="83"/>
      <c r="K10448" s="82"/>
      <c r="M10448" s="112"/>
      <c r="N10448" s="84"/>
    </row>
    <row r="10449" spans="1:14" s="2" customFormat="1">
      <c r="A10449" s="83"/>
      <c r="H10449" s="83"/>
      <c r="K10449" s="82"/>
      <c r="M10449" s="112"/>
      <c r="N10449" s="84"/>
    </row>
    <row r="10450" spans="1:14" s="2" customFormat="1">
      <c r="A10450" s="83"/>
      <c r="H10450" s="83"/>
      <c r="K10450" s="82"/>
      <c r="M10450" s="112"/>
      <c r="N10450" s="84"/>
    </row>
    <row r="10451" spans="1:14" s="2" customFormat="1">
      <c r="A10451" s="83"/>
      <c r="H10451" s="83"/>
      <c r="K10451" s="82"/>
      <c r="M10451" s="112"/>
      <c r="N10451" s="84"/>
    </row>
    <row r="10452" spans="1:14" s="2" customFormat="1">
      <c r="A10452" s="83"/>
      <c r="H10452" s="83"/>
      <c r="K10452" s="82"/>
      <c r="M10452" s="112"/>
      <c r="N10452" s="84"/>
    </row>
    <row r="10453" spans="1:14" s="2" customFormat="1">
      <c r="A10453" s="83"/>
      <c r="H10453" s="83"/>
      <c r="K10453" s="82"/>
      <c r="M10453" s="112"/>
      <c r="N10453" s="84"/>
    </row>
    <row r="10454" spans="1:14" s="2" customFormat="1">
      <c r="A10454" s="83"/>
      <c r="H10454" s="83"/>
      <c r="K10454" s="82"/>
      <c r="M10454" s="112"/>
      <c r="N10454" s="84"/>
    </row>
    <row r="10455" spans="1:14" s="2" customFormat="1">
      <c r="A10455" s="83"/>
      <c r="H10455" s="83"/>
      <c r="K10455" s="82"/>
      <c r="M10455" s="112"/>
      <c r="N10455" s="84"/>
    </row>
    <row r="10456" spans="1:14" s="2" customFormat="1">
      <c r="A10456" s="83"/>
      <c r="H10456" s="83"/>
      <c r="K10456" s="82"/>
      <c r="M10456" s="112"/>
      <c r="N10456" s="84"/>
    </row>
    <row r="10457" spans="1:14" s="2" customFormat="1">
      <c r="A10457" s="83"/>
      <c r="H10457" s="83"/>
      <c r="K10457" s="82"/>
      <c r="M10457" s="112"/>
      <c r="N10457" s="84"/>
    </row>
    <row r="10458" spans="1:14" s="2" customFormat="1">
      <c r="A10458" s="83"/>
      <c r="H10458" s="83"/>
      <c r="K10458" s="82"/>
      <c r="M10458" s="112"/>
      <c r="N10458" s="84"/>
    </row>
    <row r="10459" spans="1:14" s="2" customFormat="1">
      <c r="A10459" s="83"/>
      <c r="H10459" s="83"/>
      <c r="K10459" s="82"/>
      <c r="M10459" s="112"/>
      <c r="N10459" s="84"/>
    </row>
    <row r="10460" spans="1:14" s="2" customFormat="1">
      <c r="A10460" s="83"/>
      <c r="H10460" s="83"/>
      <c r="K10460" s="82"/>
      <c r="M10460" s="112"/>
      <c r="N10460" s="84"/>
    </row>
    <row r="10461" spans="1:14" s="2" customFormat="1">
      <c r="A10461" s="83"/>
      <c r="H10461" s="83"/>
      <c r="K10461" s="82"/>
      <c r="M10461" s="112"/>
      <c r="N10461" s="84"/>
    </row>
    <row r="10462" spans="1:14" s="2" customFormat="1">
      <c r="A10462" s="83"/>
      <c r="H10462" s="83"/>
      <c r="K10462" s="82"/>
      <c r="M10462" s="112"/>
      <c r="N10462" s="84"/>
    </row>
    <row r="10463" spans="1:14" s="2" customFormat="1">
      <c r="A10463" s="83"/>
      <c r="H10463" s="83"/>
      <c r="K10463" s="82"/>
      <c r="M10463" s="112"/>
      <c r="N10463" s="84"/>
    </row>
    <row r="10464" spans="1:14" s="2" customFormat="1">
      <c r="A10464" s="83"/>
      <c r="H10464" s="83"/>
      <c r="K10464" s="82"/>
      <c r="M10464" s="112"/>
      <c r="N10464" s="84"/>
    </row>
    <row r="10465" spans="1:14" s="2" customFormat="1">
      <c r="A10465" s="83"/>
      <c r="H10465" s="83"/>
      <c r="K10465" s="82"/>
      <c r="M10465" s="112"/>
      <c r="N10465" s="84"/>
    </row>
    <row r="10466" spans="1:14" s="2" customFormat="1">
      <c r="A10466" s="83"/>
      <c r="H10466" s="83"/>
      <c r="K10466" s="82"/>
      <c r="M10466" s="112"/>
      <c r="N10466" s="84"/>
    </row>
    <row r="10467" spans="1:14" s="2" customFormat="1">
      <c r="A10467" s="83"/>
      <c r="H10467" s="83"/>
      <c r="K10467" s="82"/>
      <c r="M10467" s="112"/>
      <c r="N10467" s="84"/>
    </row>
    <row r="10468" spans="1:14" s="2" customFormat="1">
      <c r="A10468" s="83"/>
      <c r="H10468" s="83"/>
      <c r="K10468" s="82"/>
      <c r="M10468" s="112"/>
      <c r="N10468" s="84"/>
    </row>
    <row r="10469" spans="1:14" s="2" customFormat="1">
      <c r="A10469" s="83"/>
      <c r="H10469" s="83"/>
      <c r="K10469" s="82"/>
      <c r="M10469" s="112"/>
      <c r="N10469" s="84"/>
    </row>
    <row r="10470" spans="1:14" s="2" customFormat="1">
      <c r="A10470" s="83"/>
      <c r="H10470" s="83"/>
      <c r="K10470" s="82"/>
      <c r="M10470" s="112"/>
      <c r="N10470" s="84"/>
    </row>
    <row r="10471" spans="1:14" s="2" customFormat="1">
      <c r="A10471" s="83"/>
      <c r="H10471" s="83"/>
      <c r="K10471" s="82"/>
      <c r="M10471" s="112"/>
      <c r="N10471" s="84"/>
    </row>
    <row r="10472" spans="1:14" s="2" customFormat="1">
      <c r="A10472" s="83"/>
      <c r="H10472" s="83"/>
      <c r="K10472" s="82"/>
      <c r="M10472" s="112"/>
      <c r="N10472" s="84"/>
    </row>
    <row r="10473" spans="1:14" s="2" customFormat="1">
      <c r="A10473" s="83"/>
      <c r="H10473" s="83"/>
      <c r="K10473" s="82"/>
      <c r="M10473" s="112"/>
      <c r="N10473" s="84"/>
    </row>
    <row r="10474" spans="1:14" s="2" customFormat="1">
      <c r="A10474" s="83"/>
      <c r="H10474" s="83"/>
      <c r="K10474" s="82"/>
      <c r="M10474" s="112"/>
      <c r="N10474" s="84"/>
    </row>
    <row r="10475" spans="1:14" s="2" customFormat="1">
      <c r="A10475" s="83"/>
      <c r="H10475" s="83"/>
      <c r="K10475" s="82"/>
      <c r="M10475" s="112"/>
      <c r="N10475" s="84"/>
    </row>
    <row r="10476" spans="1:14" s="2" customFormat="1">
      <c r="A10476" s="83"/>
      <c r="H10476" s="83"/>
      <c r="K10476" s="82"/>
      <c r="M10476" s="112"/>
      <c r="N10476" s="84"/>
    </row>
    <row r="10477" spans="1:14" s="2" customFormat="1">
      <c r="A10477" s="83"/>
      <c r="H10477" s="83"/>
      <c r="K10477" s="82"/>
      <c r="M10477" s="112"/>
      <c r="N10477" s="84"/>
    </row>
    <row r="10478" spans="1:14" s="2" customFormat="1">
      <c r="A10478" s="83"/>
      <c r="H10478" s="83"/>
      <c r="K10478" s="82"/>
      <c r="M10478" s="112"/>
      <c r="N10478" s="84"/>
    </row>
    <row r="10479" spans="1:14" s="2" customFormat="1">
      <c r="A10479" s="83"/>
      <c r="H10479" s="83"/>
      <c r="K10479" s="82"/>
      <c r="M10479" s="112"/>
      <c r="N10479" s="84"/>
    </row>
    <row r="10480" spans="1:14" s="2" customFormat="1">
      <c r="A10480" s="83"/>
      <c r="H10480" s="83"/>
      <c r="K10480" s="82"/>
      <c r="M10480" s="112"/>
      <c r="N10480" s="84"/>
    </row>
    <row r="10481" spans="1:14" s="2" customFormat="1">
      <c r="A10481" s="83"/>
      <c r="H10481" s="83"/>
      <c r="K10481" s="82"/>
      <c r="M10481" s="112"/>
      <c r="N10481" s="84"/>
    </row>
    <row r="10482" spans="1:14" s="2" customFormat="1">
      <c r="A10482" s="83"/>
      <c r="H10482" s="83"/>
      <c r="K10482" s="82"/>
      <c r="M10482" s="112"/>
      <c r="N10482" s="84"/>
    </row>
    <row r="10483" spans="1:14" s="2" customFormat="1">
      <c r="A10483" s="83"/>
      <c r="H10483" s="83"/>
      <c r="K10483" s="82"/>
      <c r="M10483" s="112"/>
      <c r="N10483" s="84"/>
    </row>
    <row r="10484" spans="1:14" s="2" customFormat="1">
      <c r="A10484" s="83"/>
      <c r="H10484" s="83"/>
      <c r="K10484" s="82"/>
      <c r="M10484" s="112"/>
      <c r="N10484" s="84"/>
    </row>
    <row r="10485" spans="1:14" s="2" customFormat="1">
      <c r="A10485" s="83"/>
      <c r="H10485" s="83"/>
      <c r="K10485" s="82"/>
      <c r="M10485" s="112"/>
      <c r="N10485" s="84"/>
    </row>
    <row r="10486" spans="1:14" s="2" customFormat="1">
      <c r="A10486" s="83"/>
      <c r="H10486" s="83"/>
      <c r="K10486" s="82"/>
      <c r="M10486" s="112"/>
      <c r="N10486" s="84"/>
    </row>
    <row r="10487" spans="1:14" s="2" customFormat="1">
      <c r="A10487" s="83"/>
      <c r="H10487" s="83"/>
      <c r="K10487" s="82"/>
      <c r="M10487" s="112"/>
      <c r="N10487" s="84"/>
    </row>
    <row r="10488" spans="1:14" s="2" customFormat="1">
      <c r="A10488" s="83"/>
      <c r="H10488" s="83"/>
      <c r="K10488" s="82"/>
      <c r="M10488" s="112"/>
      <c r="N10488" s="84"/>
    </row>
    <row r="10489" spans="1:14" s="2" customFormat="1">
      <c r="A10489" s="83"/>
      <c r="H10489" s="83"/>
      <c r="K10489" s="82"/>
      <c r="M10489" s="112"/>
      <c r="N10489" s="84"/>
    </row>
    <row r="10490" spans="1:14" s="2" customFormat="1">
      <c r="A10490" s="83"/>
      <c r="H10490" s="83"/>
      <c r="K10490" s="82"/>
      <c r="M10490" s="112"/>
      <c r="N10490" s="84"/>
    </row>
    <row r="10491" spans="1:14" s="2" customFormat="1">
      <c r="A10491" s="83"/>
      <c r="H10491" s="83"/>
      <c r="K10491" s="82"/>
      <c r="M10491" s="112"/>
      <c r="N10491" s="84"/>
    </row>
    <row r="10492" spans="1:14" s="2" customFormat="1">
      <c r="A10492" s="83"/>
      <c r="H10492" s="83"/>
      <c r="K10492" s="82"/>
      <c r="M10492" s="112"/>
      <c r="N10492" s="84"/>
    </row>
    <row r="10493" spans="1:14" s="2" customFormat="1">
      <c r="A10493" s="83"/>
      <c r="H10493" s="83"/>
      <c r="K10493" s="82"/>
      <c r="M10493" s="112"/>
      <c r="N10493" s="84"/>
    </row>
    <row r="10494" spans="1:14" s="2" customFormat="1">
      <c r="A10494" s="83"/>
      <c r="H10494" s="83"/>
      <c r="K10494" s="82"/>
      <c r="M10494" s="112"/>
      <c r="N10494" s="84"/>
    </row>
    <row r="10495" spans="1:14" s="2" customFormat="1">
      <c r="A10495" s="83"/>
      <c r="H10495" s="83"/>
      <c r="K10495" s="82"/>
      <c r="M10495" s="112"/>
      <c r="N10495" s="84"/>
    </row>
    <row r="10496" spans="1:14" s="2" customFormat="1">
      <c r="A10496" s="83"/>
      <c r="H10496" s="83"/>
      <c r="K10496" s="82"/>
      <c r="M10496" s="112"/>
      <c r="N10496" s="84"/>
    </row>
    <row r="10497" spans="1:14" s="2" customFormat="1">
      <c r="A10497" s="83"/>
      <c r="H10497" s="83"/>
      <c r="K10497" s="82"/>
      <c r="M10497" s="112"/>
      <c r="N10497" s="84"/>
    </row>
    <row r="10498" spans="1:14" s="2" customFormat="1">
      <c r="A10498" s="83"/>
      <c r="H10498" s="83"/>
      <c r="K10498" s="82"/>
      <c r="M10498" s="112"/>
      <c r="N10498" s="84"/>
    </row>
    <row r="10499" spans="1:14" s="2" customFormat="1">
      <c r="A10499" s="83"/>
      <c r="H10499" s="83"/>
      <c r="K10499" s="82"/>
      <c r="M10499" s="112"/>
      <c r="N10499" s="84"/>
    </row>
    <row r="10500" spans="1:14" s="2" customFormat="1">
      <c r="A10500" s="83"/>
      <c r="H10500" s="83"/>
      <c r="K10500" s="82"/>
      <c r="M10500" s="112"/>
      <c r="N10500" s="84"/>
    </row>
    <row r="10501" spans="1:14" s="2" customFormat="1">
      <c r="A10501" s="83"/>
      <c r="H10501" s="83"/>
      <c r="K10501" s="82"/>
      <c r="M10501" s="112"/>
      <c r="N10501" s="84"/>
    </row>
    <row r="10502" spans="1:14" s="2" customFormat="1">
      <c r="A10502" s="83"/>
      <c r="H10502" s="83"/>
      <c r="K10502" s="82"/>
      <c r="M10502" s="112"/>
      <c r="N10502" s="84"/>
    </row>
    <row r="10503" spans="1:14" s="2" customFormat="1">
      <c r="A10503" s="83"/>
      <c r="H10503" s="83"/>
      <c r="K10503" s="82"/>
      <c r="M10503" s="112"/>
      <c r="N10503" s="84"/>
    </row>
    <row r="10504" spans="1:14" s="2" customFormat="1">
      <c r="A10504" s="83"/>
      <c r="H10504" s="83"/>
      <c r="K10504" s="82"/>
      <c r="M10504" s="112"/>
      <c r="N10504" s="84"/>
    </row>
    <row r="10505" spans="1:14" s="2" customFormat="1">
      <c r="A10505" s="83"/>
      <c r="H10505" s="83"/>
      <c r="K10505" s="82"/>
      <c r="M10505" s="112"/>
      <c r="N10505" s="84"/>
    </row>
    <row r="10506" spans="1:14" s="2" customFormat="1">
      <c r="A10506" s="83"/>
      <c r="H10506" s="83"/>
      <c r="K10506" s="82"/>
      <c r="M10506" s="112"/>
      <c r="N10506" s="84"/>
    </row>
    <row r="10507" spans="1:14" s="2" customFormat="1">
      <c r="A10507" s="83"/>
      <c r="H10507" s="83"/>
      <c r="K10507" s="82"/>
      <c r="M10507" s="112"/>
      <c r="N10507" s="84"/>
    </row>
    <row r="10508" spans="1:14" s="2" customFormat="1">
      <c r="A10508" s="83"/>
      <c r="H10508" s="83"/>
      <c r="K10508" s="82"/>
      <c r="M10508" s="112"/>
      <c r="N10508" s="84"/>
    </row>
    <row r="10509" spans="1:14" s="2" customFormat="1">
      <c r="A10509" s="83"/>
      <c r="H10509" s="83"/>
      <c r="K10509" s="82"/>
      <c r="M10509" s="112"/>
      <c r="N10509" s="84"/>
    </row>
    <row r="10510" spans="1:14" s="2" customFormat="1">
      <c r="A10510" s="83"/>
      <c r="H10510" s="83"/>
      <c r="K10510" s="82"/>
      <c r="M10510" s="112"/>
      <c r="N10510" s="84"/>
    </row>
    <row r="10511" spans="1:14" s="2" customFormat="1">
      <c r="A10511" s="83"/>
      <c r="H10511" s="83"/>
      <c r="K10511" s="82"/>
      <c r="M10511" s="112"/>
      <c r="N10511" s="84"/>
    </row>
    <row r="10512" spans="1:14" s="2" customFormat="1">
      <c r="A10512" s="83"/>
      <c r="H10512" s="83"/>
      <c r="K10512" s="82"/>
      <c r="M10512" s="112"/>
      <c r="N10512" s="84"/>
    </row>
    <row r="10513" spans="1:14" s="2" customFormat="1">
      <c r="A10513" s="83"/>
      <c r="H10513" s="83"/>
      <c r="K10513" s="82"/>
      <c r="M10513" s="112"/>
      <c r="N10513" s="84"/>
    </row>
    <row r="10514" spans="1:14" s="2" customFormat="1">
      <c r="A10514" s="83"/>
      <c r="H10514" s="83"/>
      <c r="K10514" s="82"/>
      <c r="M10514" s="112"/>
      <c r="N10514" s="84"/>
    </row>
    <row r="10515" spans="1:14" s="2" customFormat="1">
      <c r="A10515" s="83"/>
      <c r="H10515" s="83"/>
      <c r="K10515" s="82"/>
      <c r="M10515" s="112"/>
      <c r="N10515" s="84"/>
    </row>
    <row r="10516" spans="1:14" s="2" customFormat="1">
      <c r="A10516" s="83"/>
      <c r="H10516" s="83"/>
      <c r="K10516" s="82"/>
      <c r="M10516" s="112"/>
      <c r="N10516" s="84"/>
    </row>
    <row r="10517" spans="1:14" s="2" customFormat="1">
      <c r="A10517" s="83"/>
      <c r="H10517" s="83"/>
      <c r="K10517" s="82"/>
      <c r="M10517" s="112"/>
      <c r="N10517" s="84"/>
    </row>
    <row r="10518" spans="1:14" s="2" customFormat="1">
      <c r="A10518" s="83"/>
      <c r="H10518" s="83"/>
      <c r="K10518" s="82"/>
      <c r="M10518" s="112"/>
      <c r="N10518" s="84"/>
    </row>
    <row r="10519" spans="1:14" s="2" customFormat="1">
      <c r="A10519" s="83"/>
      <c r="H10519" s="83"/>
      <c r="K10519" s="82"/>
      <c r="M10519" s="112"/>
      <c r="N10519" s="84"/>
    </row>
    <row r="10520" spans="1:14" s="2" customFormat="1">
      <c r="A10520" s="83"/>
      <c r="H10520" s="83"/>
      <c r="K10520" s="82"/>
      <c r="M10520" s="112"/>
      <c r="N10520" s="84"/>
    </row>
    <row r="10521" spans="1:14" s="2" customFormat="1">
      <c r="A10521" s="83"/>
      <c r="H10521" s="83"/>
      <c r="K10521" s="82"/>
      <c r="M10521" s="112"/>
      <c r="N10521" s="84"/>
    </row>
    <row r="10522" spans="1:14" s="2" customFormat="1">
      <c r="A10522" s="83"/>
      <c r="H10522" s="83"/>
      <c r="K10522" s="82"/>
      <c r="M10522" s="112"/>
      <c r="N10522" s="84"/>
    </row>
    <row r="10523" spans="1:14" s="2" customFormat="1">
      <c r="A10523" s="83"/>
      <c r="H10523" s="83"/>
      <c r="K10523" s="82"/>
      <c r="M10523" s="112"/>
      <c r="N10523" s="84"/>
    </row>
    <row r="10524" spans="1:14" s="2" customFormat="1">
      <c r="A10524" s="83"/>
      <c r="H10524" s="83"/>
      <c r="K10524" s="82"/>
      <c r="M10524" s="112"/>
      <c r="N10524" s="84"/>
    </row>
    <row r="10525" spans="1:14" s="2" customFormat="1">
      <c r="A10525" s="83"/>
      <c r="H10525" s="83"/>
      <c r="K10525" s="82"/>
      <c r="M10525" s="112"/>
      <c r="N10525" s="84"/>
    </row>
    <row r="10526" spans="1:14" s="2" customFormat="1">
      <c r="A10526" s="83"/>
      <c r="H10526" s="83"/>
      <c r="K10526" s="82"/>
      <c r="M10526" s="112"/>
      <c r="N10526" s="84"/>
    </row>
    <row r="10527" spans="1:14" s="2" customFormat="1">
      <c r="A10527" s="83"/>
      <c r="H10527" s="83"/>
      <c r="K10527" s="82"/>
      <c r="M10527" s="112"/>
      <c r="N10527" s="84"/>
    </row>
    <row r="10528" spans="1:14" s="2" customFormat="1">
      <c r="A10528" s="83"/>
      <c r="H10528" s="83"/>
      <c r="K10528" s="82"/>
      <c r="M10528" s="112"/>
      <c r="N10528" s="84"/>
    </row>
    <row r="10529" spans="1:14" s="2" customFormat="1">
      <c r="A10529" s="83"/>
      <c r="H10529" s="83"/>
      <c r="K10529" s="82"/>
      <c r="M10529" s="112"/>
      <c r="N10529" s="84"/>
    </row>
    <row r="10530" spans="1:14" s="2" customFormat="1">
      <c r="A10530" s="83"/>
      <c r="H10530" s="83"/>
      <c r="K10530" s="82"/>
      <c r="M10530" s="112"/>
      <c r="N10530" s="84"/>
    </row>
    <row r="10531" spans="1:14" s="2" customFormat="1">
      <c r="A10531" s="83"/>
      <c r="H10531" s="83"/>
      <c r="K10531" s="82"/>
      <c r="M10531" s="112"/>
      <c r="N10531" s="84"/>
    </row>
    <row r="10532" spans="1:14" s="2" customFormat="1">
      <c r="A10532" s="83"/>
      <c r="H10532" s="83"/>
      <c r="K10532" s="82"/>
      <c r="M10532" s="112"/>
      <c r="N10532" s="84"/>
    </row>
    <row r="10533" spans="1:14" s="2" customFormat="1">
      <c r="A10533" s="83"/>
      <c r="H10533" s="83"/>
      <c r="K10533" s="82"/>
      <c r="M10533" s="112"/>
      <c r="N10533" s="84"/>
    </row>
    <row r="10534" spans="1:14" s="2" customFormat="1">
      <c r="A10534" s="83"/>
      <c r="H10534" s="83"/>
      <c r="K10534" s="82"/>
      <c r="M10534" s="112"/>
      <c r="N10534" s="84"/>
    </row>
    <row r="10535" spans="1:14" s="2" customFormat="1">
      <c r="A10535" s="83"/>
      <c r="H10535" s="83"/>
      <c r="K10535" s="82"/>
      <c r="M10535" s="112"/>
      <c r="N10535" s="84"/>
    </row>
    <row r="10536" spans="1:14" s="2" customFormat="1">
      <c r="A10536" s="83"/>
      <c r="H10536" s="83"/>
      <c r="K10536" s="82"/>
      <c r="M10536" s="112"/>
      <c r="N10536" s="84"/>
    </row>
    <row r="10537" spans="1:14" s="2" customFormat="1">
      <c r="A10537" s="83"/>
      <c r="H10537" s="83"/>
      <c r="K10537" s="82"/>
      <c r="M10537" s="112"/>
      <c r="N10537" s="84"/>
    </row>
    <row r="10538" spans="1:14" s="2" customFormat="1">
      <c r="A10538" s="83"/>
      <c r="H10538" s="83"/>
      <c r="K10538" s="82"/>
      <c r="M10538" s="112"/>
      <c r="N10538" s="84"/>
    </row>
    <row r="10539" spans="1:14" s="2" customFormat="1">
      <c r="A10539" s="83"/>
      <c r="H10539" s="83"/>
      <c r="K10539" s="82"/>
      <c r="M10539" s="112"/>
      <c r="N10539" s="84"/>
    </row>
    <row r="10540" spans="1:14" s="2" customFormat="1">
      <c r="A10540" s="83"/>
      <c r="H10540" s="83"/>
      <c r="K10540" s="82"/>
      <c r="M10540" s="112"/>
      <c r="N10540" s="84"/>
    </row>
    <row r="10541" spans="1:14" s="2" customFormat="1">
      <c r="A10541" s="83"/>
      <c r="H10541" s="83"/>
      <c r="K10541" s="82"/>
      <c r="M10541" s="112"/>
      <c r="N10541" s="84"/>
    </row>
    <row r="10542" spans="1:14" s="2" customFormat="1">
      <c r="A10542" s="83"/>
      <c r="H10542" s="83"/>
      <c r="K10542" s="82"/>
      <c r="M10542" s="112"/>
      <c r="N10542" s="84"/>
    </row>
    <row r="10543" spans="1:14" s="2" customFormat="1">
      <c r="A10543" s="83"/>
      <c r="H10543" s="83"/>
      <c r="K10543" s="82"/>
      <c r="M10543" s="112"/>
      <c r="N10543" s="84"/>
    </row>
    <row r="10544" spans="1:14" s="2" customFormat="1">
      <c r="A10544" s="83"/>
      <c r="H10544" s="83"/>
      <c r="K10544" s="82"/>
      <c r="M10544" s="112"/>
      <c r="N10544" s="84"/>
    </row>
    <row r="10545" spans="1:14" s="2" customFormat="1">
      <c r="A10545" s="83"/>
      <c r="H10545" s="83"/>
      <c r="K10545" s="82"/>
      <c r="M10545" s="112"/>
      <c r="N10545" s="84"/>
    </row>
    <row r="10546" spans="1:14" s="2" customFormat="1">
      <c r="A10546" s="83"/>
      <c r="H10546" s="83"/>
      <c r="K10546" s="82"/>
      <c r="M10546" s="112"/>
      <c r="N10546" s="84"/>
    </row>
    <row r="10547" spans="1:14" s="2" customFormat="1">
      <c r="A10547" s="83"/>
      <c r="H10547" s="83"/>
      <c r="K10547" s="82"/>
      <c r="M10547" s="112"/>
      <c r="N10547" s="84"/>
    </row>
    <row r="10548" spans="1:14" s="2" customFormat="1">
      <c r="A10548" s="83"/>
      <c r="H10548" s="83"/>
      <c r="K10548" s="82"/>
      <c r="M10548" s="112"/>
      <c r="N10548" s="84"/>
    </row>
    <row r="10549" spans="1:14" s="2" customFormat="1">
      <c r="A10549" s="83"/>
      <c r="H10549" s="83"/>
      <c r="K10549" s="82"/>
      <c r="M10549" s="112"/>
      <c r="N10549" s="84"/>
    </row>
    <row r="10550" spans="1:14" s="2" customFormat="1">
      <c r="A10550" s="83"/>
      <c r="H10550" s="83"/>
      <c r="K10550" s="82"/>
      <c r="M10550" s="112"/>
      <c r="N10550" s="84"/>
    </row>
    <row r="10551" spans="1:14" s="2" customFormat="1">
      <c r="A10551" s="83"/>
      <c r="H10551" s="83"/>
      <c r="K10551" s="82"/>
      <c r="M10551" s="112"/>
      <c r="N10551" s="84"/>
    </row>
    <row r="10552" spans="1:14" s="2" customFormat="1">
      <c r="A10552" s="83"/>
      <c r="H10552" s="83"/>
      <c r="K10552" s="82"/>
      <c r="M10552" s="112"/>
      <c r="N10552" s="84"/>
    </row>
    <row r="10553" spans="1:14" s="2" customFormat="1">
      <c r="A10553" s="83"/>
      <c r="H10553" s="83"/>
      <c r="K10553" s="82"/>
      <c r="M10553" s="112"/>
      <c r="N10553" s="84"/>
    </row>
    <row r="10554" spans="1:14" s="2" customFormat="1">
      <c r="A10554" s="83"/>
      <c r="H10554" s="83"/>
      <c r="K10554" s="82"/>
      <c r="M10554" s="112"/>
      <c r="N10554" s="84"/>
    </row>
    <row r="10555" spans="1:14" s="2" customFormat="1">
      <c r="A10555" s="83"/>
      <c r="H10555" s="83"/>
      <c r="K10555" s="82"/>
      <c r="M10555" s="112"/>
      <c r="N10555" s="84"/>
    </row>
    <row r="10556" spans="1:14" s="2" customFormat="1">
      <c r="A10556" s="83"/>
      <c r="H10556" s="83"/>
      <c r="K10556" s="82"/>
      <c r="M10556" s="112"/>
      <c r="N10556" s="84"/>
    </row>
    <row r="10557" spans="1:14" s="2" customFormat="1">
      <c r="A10557" s="83"/>
      <c r="H10557" s="83"/>
      <c r="K10557" s="82"/>
      <c r="M10557" s="112"/>
      <c r="N10557" s="84"/>
    </row>
    <row r="10558" spans="1:14" s="2" customFormat="1">
      <c r="A10558" s="83"/>
      <c r="H10558" s="83"/>
      <c r="K10558" s="82"/>
      <c r="M10558" s="112"/>
      <c r="N10558" s="84"/>
    </row>
    <row r="10559" spans="1:14" s="2" customFormat="1">
      <c r="A10559" s="83"/>
      <c r="H10559" s="83"/>
      <c r="K10559" s="82"/>
      <c r="M10559" s="112"/>
      <c r="N10559" s="84"/>
    </row>
    <row r="10560" spans="1:14" s="2" customFormat="1">
      <c r="A10560" s="83"/>
      <c r="H10560" s="83"/>
      <c r="K10560" s="82"/>
      <c r="M10560" s="112"/>
      <c r="N10560" s="84"/>
    </row>
    <row r="10561" spans="1:14" s="2" customFormat="1">
      <c r="A10561" s="83"/>
      <c r="H10561" s="83"/>
      <c r="K10561" s="82"/>
      <c r="M10561" s="112"/>
      <c r="N10561" s="84"/>
    </row>
    <row r="10562" spans="1:14" s="2" customFormat="1">
      <c r="A10562" s="83"/>
      <c r="H10562" s="83"/>
      <c r="K10562" s="82"/>
      <c r="M10562" s="112"/>
      <c r="N10562" s="84"/>
    </row>
    <row r="10563" spans="1:14" s="2" customFormat="1">
      <c r="A10563" s="83"/>
      <c r="H10563" s="83"/>
      <c r="K10563" s="82"/>
      <c r="M10563" s="112"/>
      <c r="N10563" s="84"/>
    </row>
    <row r="10564" spans="1:14" s="2" customFormat="1">
      <c r="A10564" s="83"/>
      <c r="H10564" s="83"/>
      <c r="K10564" s="82"/>
      <c r="M10564" s="112"/>
      <c r="N10564" s="84"/>
    </row>
    <row r="10565" spans="1:14" s="2" customFormat="1">
      <c r="A10565" s="83"/>
      <c r="H10565" s="83"/>
      <c r="K10565" s="82"/>
      <c r="M10565" s="112"/>
      <c r="N10565" s="84"/>
    </row>
    <row r="10566" spans="1:14" s="2" customFormat="1">
      <c r="A10566" s="83"/>
      <c r="H10566" s="83"/>
      <c r="K10566" s="82"/>
      <c r="M10566" s="112"/>
      <c r="N10566" s="84"/>
    </row>
    <row r="10567" spans="1:14" s="2" customFormat="1">
      <c r="A10567" s="83"/>
      <c r="H10567" s="83"/>
      <c r="K10567" s="82"/>
      <c r="M10567" s="112"/>
      <c r="N10567" s="84"/>
    </row>
    <row r="10568" spans="1:14" s="2" customFormat="1">
      <c r="A10568" s="83"/>
      <c r="H10568" s="83"/>
      <c r="K10568" s="82"/>
      <c r="M10568" s="112"/>
      <c r="N10568" s="84"/>
    </row>
    <row r="10569" spans="1:14" s="2" customFormat="1">
      <c r="A10569" s="83"/>
      <c r="H10569" s="83"/>
      <c r="K10569" s="82"/>
      <c r="M10569" s="112"/>
      <c r="N10569" s="84"/>
    </row>
    <row r="10570" spans="1:14" s="2" customFormat="1">
      <c r="A10570" s="83"/>
      <c r="H10570" s="83"/>
      <c r="K10570" s="82"/>
      <c r="M10570" s="112"/>
      <c r="N10570" s="84"/>
    </row>
    <row r="10571" spans="1:14" s="2" customFormat="1">
      <c r="A10571" s="83"/>
      <c r="H10571" s="83"/>
      <c r="K10571" s="82"/>
      <c r="M10571" s="112"/>
      <c r="N10571" s="84"/>
    </row>
    <row r="10572" spans="1:14" s="2" customFormat="1">
      <c r="A10572" s="83"/>
      <c r="H10572" s="83"/>
      <c r="K10572" s="82"/>
      <c r="M10572" s="112"/>
      <c r="N10572" s="84"/>
    </row>
    <row r="10573" spans="1:14" s="2" customFormat="1">
      <c r="A10573" s="83"/>
      <c r="H10573" s="83"/>
      <c r="K10573" s="82"/>
      <c r="M10573" s="112"/>
      <c r="N10573" s="84"/>
    </row>
    <row r="10574" spans="1:14" s="2" customFormat="1">
      <c r="A10574" s="83"/>
      <c r="H10574" s="83"/>
      <c r="K10574" s="82"/>
      <c r="M10574" s="112"/>
      <c r="N10574" s="84"/>
    </row>
    <row r="10575" spans="1:14" s="2" customFormat="1">
      <c r="A10575" s="83"/>
      <c r="H10575" s="83"/>
      <c r="K10575" s="82"/>
      <c r="M10575" s="112"/>
      <c r="N10575" s="84"/>
    </row>
    <row r="10576" spans="1:14" s="2" customFormat="1">
      <c r="A10576" s="83"/>
      <c r="H10576" s="83"/>
      <c r="K10576" s="82"/>
      <c r="M10576" s="112"/>
      <c r="N10576" s="84"/>
    </row>
    <row r="10577" spans="1:14" s="2" customFormat="1">
      <c r="A10577" s="83"/>
      <c r="H10577" s="83"/>
      <c r="K10577" s="82"/>
      <c r="M10577" s="112"/>
      <c r="N10577" s="84"/>
    </row>
    <row r="10578" spans="1:14" s="2" customFormat="1">
      <c r="A10578" s="83"/>
      <c r="H10578" s="83"/>
      <c r="K10578" s="82"/>
      <c r="M10578" s="112"/>
      <c r="N10578" s="84"/>
    </row>
    <row r="10579" spans="1:14" s="2" customFormat="1">
      <c r="A10579" s="83"/>
      <c r="H10579" s="83"/>
      <c r="K10579" s="82"/>
      <c r="M10579" s="112"/>
      <c r="N10579" s="84"/>
    </row>
    <row r="10580" spans="1:14" s="2" customFormat="1">
      <c r="A10580" s="83"/>
      <c r="H10580" s="83"/>
      <c r="K10580" s="82"/>
      <c r="M10580" s="112"/>
      <c r="N10580" s="84"/>
    </row>
    <row r="10581" spans="1:14" s="2" customFormat="1">
      <c r="A10581" s="83"/>
      <c r="H10581" s="83"/>
      <c r="K10581" s="82"/>
      <c r="M10581" s="112"/>
      <c r="N10581" s="84"/>
    </row>
    <row r="10582" spans="1:14" s="2" customFormat="1">
      <c r="A10582" s="83"/>
      <c r="H10582" s="83"/>
      <c r="K10582" s="82"/>
      <c r="M10582" s="112"/>
      <c r="N10582" s="84"/>
    </row>
    <row r="10583" spans="1:14" s="2" customFormat="1">
      <c r="A10583" s="83"/>
      <c r="H10583" s="83"/>
      <c r="K10583" s="82"/>
      <c r="M10583" s="112"/>
      <c r="N10583" s="84"/>
    </row>
    <row r="10584" spans="1:14" s="2" customFormat="1">
      <c r="A10584" s="83"/>
      <c r="H10584" s="83"/>
      <c r="K10584" s="82"/>
      <c r="M10584" s="112"/>
      <c r="N10584" s="84"/>
    </row>
    <row r="10585" spans="1:14" s="2" customFormat="1">
      <c r="A10585" s="83"/>
      <c r="H10585" s="83"/>
      <c r="K10585" s="82"/>
      <c r="M10585" s="112"/>
      <c r="N10585" s="84"/>
    </row>
    <row r="10586" spans="1:14" s="2" customFormat="1">
      <c r="A10586" s="83"/>
      <c r="H10586" s="83"/>
      <c r="K10586" s="82"/>
      <c r="M10586" s="112"/>
      <c r="N10586" s="84"/>
    </row>
    <row r="10587" spans="1:14" s="2" customFormat="1">
      <c r="A10587" s="83"/>
      <c r="H10587" s="83"/>
      <c r="K10587" s="82"/>
      <c r="M10587" s="112"/>
      <c r="N10587" s="84"/>
    </row>
    <row r="10588" spans="1:14" s="2" customFormat="1">
      <c r="A10588" s="83"/>
      <c r="H10588" s="83"/>
      <c r="K10588" s="82"/>
      <c r="M10588" s="112"/>
      <c r="N10588" s="84"/>
    </row>
    <row r="10589" spans="1:14" s="2" customFormat="1">
      <c r="A10589" s="83"/>
      <c r="H10589" s="83"/>
      <c r="K10589" s="82"/>
      <c r="M10589" s="112"/>
      <c r="N10589" s="84"/>
    </row>
    <row r="10590" spans="1:14" s="2" customFormat="1">
      <c r="A10590" s="83"/>
      <c r="H10590" s="83"/>
      <c r="K10590" s="82"/>
      <c r="M10590" s="112"/>
      <c r="N10590" s="84"/>
    </row>
    <row r="10591" spans="1:14" s="2" customFormat="1">
      <c r="A10591" s="83"/>
      <c r="H10591" s="83"/>
      <c r="K10591" s="82"/>
      <c r="M10591" s="112"/>
      <c r="N10591" s="84"/>
    </row>
    <row r="10592" spans="1:14" s="2" customFormat="1">
      <c r="A10592" s="83"/>
      <c r="H10592" s="83"/>
      <c r="K10592" s="82"/>
      <c r="M10592" s="112"/>
      <c r="N10592" s="84"/>
    </row>
    <row r="10593" spans="1:14" s="2" customFormat="1">
      <c r="A10593" s="83"/>
      <c r="H10593" s="83"/>
      <c r="K10593" s="82"/>
      <c r="M10593" s="112"/>
      <c r="N10593" s="84"/>
    </row>
    <row r="10594" spans="1:14" s="2" customFormat="1">
      <c r="A10594" s="83"/>
      <c r="H10594" s="83"/>
      <c r="K10594" s="82"/>
      <c r="M10594" s="112"/>
      <c r="N10594" s="84"/>
    </row>
    <row r="10595" spans="1:14" s="2" customFormat="1">
      <c r="A10595" s="83"/>
      <c r="H10595" s="83"/>
      <c r="K10595" s="82"/>
      <c r="M10595" s="112"/>
      <c r="N10595" s="84"/>
    </row>
    <row r="10596" spans="1:14" s="2" customFormat="1">
      <c r="A10596" s="83"/>
      <c r="H10596" s="83"/>
      <c r="K10596" s="82"/>
      <c r="M10596" s="112"/>
      <c r="N10596" s="84"/>
    </row>
    <row r="10597" spans="1:14" s="2" customFormat="1">
      <c r="A10597" s="83"/>
      <c r="H10597" s="83"/>
      <c r="K10597" s="82"/>
      <c r="M10597" s="112"/>
      <c r="N10597" s="84"/>
    </row>
    <row r="10598" spans="1:14" s="2" customFormat="1">
      <c r="A10598" s="83"/>
      <c r="H10598" s="83"/>
      <c r="K10598" s="82"/>
      <c r="M10598" s="112"/>
      <c r="N10598" s="84"/>
    </row>
    <row r="10599" spans="1:14" s="2" customFormat="1">
      <c r="A10599" s="83"/>
      <c r="H10599" s="83"/>
      <c r="K10599" s="82"/>
      <c r="M10599" s="112"/>
      <c r="N10599" s="84"/>
    </row>
    <row r="10600" spans="1:14" s="2" customFormat="1">
      <c r="A10600" s="83"/>
      <c r="H10600" s="83"/>
      <c r="K10600" s="82"/>
      <c r="M10600" s="112"/>
      <c r="N10600" s="84"/>
    </row>
    <row r="10601" spans="1:14" s="2" customFormat="1">
      <c r="A10601" s="83"/>
      <c r="H10601" s="83"/>
      <c r="K10601" s="82"/>
      <c r="M10601" s="112"/>
      <c r="N10601" s="84"/>
    </row>
    <row r="10602" spans="1:14" s="2" customFormat="1">
      <c r="A10602" s="83"/>
      <c r="H10602" s="83"/>
      <c r="K10602" s="82"/>
      <c r="M10602" s="112"/>
      <c r="N10602" s="84"/>
    </row>
    <row r="10603" spans="1:14" s="2" customFormat="1">
      <c r="A10603" s="83"/>
      <c r="H10603" s="83"/>
      <c r="K10603" s="82"/>
      <c r="M10603" s="112"/>
      <c r="N10603" s="84"/>
    </row>
    <row r="10604" spans="1:14" s="2" customFormat="1">
      <c r="A10604" s="83"/>
      <c r="H10604" s="83"/>
      <c r="K10604" s="82"/>
      <c r="M10604" s="112"/>
      <c r="N10604" s="84"/>
    </row>
    <row r="10605" spans="1:14" s="2" customFormat="1">
      <c r="A10605" s="83"/>
      <c r="H10605" s="83"/>
      <c r="K10605" s="82"/>
      <c r="M10605" s="112"/>
      <c r="N10605" s="84"/>
    </row>
    <row r="10606" spans="1:14" s="2" customFormat="1">
      <c r="A10606" s="83"/>
      <c r="H10606" s="83"/>
      <c r="K10606" s="82"/>
      <c r="M10606" s="112"/>
      <c r="N10606" s="84"/>
    </row>
    <row r="10607" spans="1:14" s="2" customFormat="1">
      <c r="A10607" s="83"/>
      <c r="H10607" s="83"/>
      <c r="K10607" s="82"/>
      <c r="M10607" s="112"/>
      <c r="N10607" s="84"/>
    </row>
    <row r="10608" spans="1:14" s="2" customFormat="1">
      <c r="A10608" s="83"/>
      <c r="H10608" s="83"/>
      <c r="K10608" s="82"/>
      <c r="M10608" s="112"/>
      <c r="N10608" s="84"/>
    </row>
    <row r="10609" spans="1:14" s="2" customFormat="1">
      <c r="A10609" s="83"/>
      <c r="H10609" s="83"/>
      <c r="K10609" s="82"/>
      <c r="M10609" s="112"/>
      <c r="N10609" s="84"/>
    </row>
    <row r="10610" spans="1:14" s="2" customFormat="1">
      <c r="A10610" s="83"/>
      <c r="H10610" s="83"/>
      <c r="K10610" s="82"/>
      <c r="M10610" s="112"/>
      <c r="N10610" s="84"/>
    </row>
    <row r="10611" spans="1:14" s="2" customFormat="1">
      <c r="A10611" s="83"/>
      <c r="H10611" s="83"/>
      <c r="K10611" s="82"/>
      <c r="M10611" s="112"/>
      <c r="N10611" s="84"/>
    </row>
    <row r="10612" spans="1:14" s="2" customFormat="1">
      <c r="A10612" s="83"/>
      <c r="H10612" s="83"/>
      <c r="K10612" s="82"/>
      <c r="M10612" s="112"/>
      <c r="N10612" s="84"/>
    </row>
    <row r="10613" spans="1:14" s="2" customFormat="1">
      <c r="A10613" s="83"/>
      <c r="H10613" s="83"/>
      <c r="K10613" s="82"/>
      <c r="M10613" s="112"/>
      <c r="N10613" s="84"/>
    </row>
    <row r="10614" spans="1:14" s="2" customFormat="1">
      <c r="A10614" s="83"/>
      <c r="H10614" s="83"/>
      <c r="K10614" s="82"/>
      <c r="M10614" s="112"/>
      <c r="N10614" s="84"/>
    </row>
    <row r="10615" spans="1:14" s="2" customFormat="1">
      <c r="A10615" s="83"/>
      <c r="H10615" s="83"/>
      <c r="K10615" s="82"/>
      <c r="M10615" s="112"/>
      <c r="N10615" s="84"/>
    </row>
    <row r="10616" spans="1:14" s="2" customFormat="1">
      <c r="A10616" s="83"/>
      <c r="H10616" s="83"/>
      <c r="K10616" s="82"/>
      <c r="M10616" s="112"/>
      <c r="N10616" s="84"/>
    </row>
    <row r="10617" spans="1:14" s="2" customFormat="1">
      <c r="A10617" s="83"/>
      <c r="H10617" s="83"/>
      <c r="K10617" s="82"/>
      <c r="M10617" s="112"/>
      <c r="N10617" s="84"/>
    </row>
    <row r="10618" spans="1:14" s="2" customFormat="1">
      <c r="A10618" s="83"/>
      <c r="H10618" s="83"/>
      <c r="K10618" s="82"/>
      <c r="M10618" s="112"/>
      <c r="N10618" s="84"/>
    </row>
    <row r="10619" spans="1:14" s="2" customFormat="1">
      <c r="A10619" s="83"/>
      <c r="H10619" s="83"/>
      <c r="K10619" s="82"/>
      <c r="M10619" s="112"/>
      <c r="N10619" s="84"/>
    </row>
    <row r="10620" spans="1:14" s="2" customFormat="1">
      <c r="A10620" s="83"/>
      <c r="H10620" s="83"/>
      <c r="K10620" s="82"/>
      <c r="M10620" s="112"/>
      <c r="N10620" s="84"/>
    </row>
    <row r="10621" spans="1:14" s="2" customFormat="1">
      <c r="A10621" s="83"/>
      <c r="H10621" s="83"/>
      <c r="K10621" s="82"/>
      <c r="M10621" s="112"/>
      <c r="N10621" s="84"/>
    </row>
    <row r="10622" spans="1:14" s="2" customFormat="1">
      <c r="A10622" s="83"/>
      <c r="H10622" s="83"/>
      <c r="K10622" s="82"/>
      <c r="M10622" s="112"/>
      <c r="N10622" s="84"/>
    </row>
    <row r="10623" spans="1:14" s="2" customFormat="1">
      <c r="A10623" s="83"/>
      <c r="H10623" s="83"/>
      <c r="K10623" s="82"/>
      <c r="M10623" s="112"/>
      <c r="N10623" s="84"/>
    </row>
    <row r="10624" spans="1:14" s="2" customFormat="1">
      <c r="A10624" s="83"/>
      <c r="H10624" s="83"/>
      <c r="K10624" s="82"/>
      <c r="M10624" s="112"/>
      <c r="N10624" s="84"/>
    </row>
    <row r="10625" spans="1:14" s="2" customFormat="1">
      <c r="A10625" s="83"/>
      <c r="H10625" s="83"/>
      <c r="K10625" s="82"/>
      <c r="M10625" s="112"/>
      <c r="N10625" s="84"/>
    </row>
    <row r="10626" spans="1:14" s="2" customFormat="1">
      <c r="A10626" s="83"/>
      <c r="H10626" s="83"/>
      <c r="K10626" s="82"/>
      <c r="M10626" s="112"/>
      <c r="N10626" s="84"/>
    </row>
    <row r="10627" spans="1:14" s="2" customFormat="1">
      <c r="A10627" s="83"/>
      <c r="H10627" s="83"/>
      <c r="K10627" s="82"/>
      <c r="M10627" s="112"/>
      <c r="N10627" s="84"/>
    </row>
    <row r="10628" spans="1:14" s="2" customFormat="1">
      <c r="A10628" s="83"/>
      <c r="H10628" s="83"/>
      <c r="K10628" s="82"/>
      <c r="M10628" s="112"/>
      <c r="N10628" s="84"/>
    </row>
    <row r="10629" spans="1:14" s="2" customFormat="1">
      <c r="A10629" s="83"/>
      <c r="H10629" s="83"/>
      <c r="K10629" s="82"/>
      <c r="M10629" s="112"/>
      <c r="N10629" s="84"/>
    </row>
    <row r="10630" spans="1:14" s="2" customFormat="1">
      <c r="A10630" s="83"/>
      <c r="H10630" s="83"/>
      <c r="K10630" s="82"/>
      <c r="M10630" s="112"/>
      <c r="N10630" s="84"/>
    </row>
    <row r="10631" spans="1:14" s="2" customFormat="1">
      <c r="A10631" s="83"/>
      <c r="H10631" s="83"/>
      <c r="K10631" s="82"/>
      <c r="M10631" s="112"/>
      <c r="N10631" s="84"/>
    </row>
    <row r="10632" spans="1:14" s="2" customFormat="1">
      <c r="A10632" s="83"/>
      <c r="H10632" s="83"/>
      <c r="K10632" s="82"/>
      <c r="M10632" s="112"/>
      <c r="N10632" s="84"/>
    </row>
    <row r="10633" spans="1:14" s="2" customFormat="1">
      <c r="A10633" s="83"/>
      <c r="H10633" s="83"/>
      <c r="K10633" s="82"/>
      <c r="M10633" s="112"/>
      <c r="N10633" s="84"/>
    </row>
    <row r="10634" spans="1:14" s="2" customFormat="1">
      <c r="A10634" s="83"/>
      <c r="H10634" s="83"/>
      <c r="K10634" s="82"/>
      <c r="M10634" s="112"/>
      <c r="N10634" s="84"/>
    </row>
    <row r="10635" spans="1:14" s="2" customFormat="1">
      <c r="A10635" s="83"/>
      <c r="H10635" s="83"/>
      <c r="K10635" s="82"/>
      <c r="M10635" s="112"/>
      <c r="N10635" s="84"/>
    </row>
    <row r="10636" spans="1:14" s="2" customFormat="1">
      <c r="A10636" s="83"/>
      <c r="H10636" s="83"/>
      <c r="K10636" s="82"/>
      <c r="M10636" s="112"/>
      <c r="N10636" s="84"/>
    </row>
    <row r="10637" spans="1:14" s="2" customFormat="1">
      <c r="A10637" s="83"/>
      <c r="H10637" s="83"/>
      <c r="K10637" s="82"/>
      <c r="M10637" s="112"/>
      <c r="N10637" s="84"/>
    </row>
    <row r="10638" spans="1:14" s="2" customFormat="1">
      <c r="A10638" s="83"/>
      <c r="H10638" s="83"/>
      <c r="K10638" s="82"/>
      <c r="M10638" s="112"/>
      <c r="N10638" s="84"/>
    </row>
    <row r="10639" spans="1:14" s="2" customFormat="1">
      <c r="A10639" s="83"/>
      <c r="H10639" s="83"/>
      <c r="K10639" s="82"/>
      <c r="M10639" s="112"/>
      <c r="N10639" s="84"/>
    </row>
    <row r="10640" spans="1:14" s="2" customFormat="1">
      <c r="A10640" s="83"/>
      <c r="H10640" s="83"/>
      <c r="K10640" s="82"/>
      <c r="M10640" s="112"/>
      <c r="N10640" s="84"/>
    </row>
    <row r="10641" spans="1:14" s="2" customFormat="1">
      <c r="A10641" s="83"/>
      <c r="H10641" s="83"/>
      <c r="K10641" s="82"/>
      <c r="M10641" s="112"/>
      <c r="N10641" s="84"/>
    </row>
    <row r="10642" spans="1:14" s="2" customFormat="1">
      <c r="A10642" s="83"/>
      <c r="H10642" s="83"/>
      <c r="K10642" s="82"/>
      <c r="M10642" s="112"/>
      <c r="N10642" s="84"/>
    </row>
    <row r="10643" spans="1:14" s="2" customFormat="1">
      <c r="A10643" s="83"/>
      <c r="H10643" s="83"/>
      <c r="K10643" s="82"/>
      <c r="M10643" s="112"/>
      <c r="N10643" s="84"/>
    </row>
    <row r="10644" spans="1:14" s="2" customFormat="1">
      <c r="A10644" s="83"/>
      <c r="H10644" s="83"/>
      <c r="K10644" s="82"/>
      <c r="M10644" s="112"/>
      <c r="N10644" s="84"/>
    </row>
    <row r="10645" spans="1:14" s="2" customFormat="1">
      <c r="A10645" s="83"/>
      <c r="H10645" s="83"/>
      <c r="K10645" s="82"/>
      <c r="M10645" s="112"/>
      <c r="N10645" s="84"/>
    </row>
    <row r="10646" spans="1:14" s="2" customFormat="1">
      <c r="A10646" s="83"/>
      <c r="H10646" s="83"/>
      <c r="K10646" s="82"/>
      <c r="M10646" s="112"/>
      <c r="N10646" s="84"/>
    </row>
    <row r="10647" spans="1:14" s="2" customFormat="1">
      <c r="A10647" s="83"/>
      <c r="H10647" s="83"/>
      <c r="K10647" s="82"/>
      <c r="M10647" s="112"/>
      <c r="N10647" s="84"/>
    </row>
    <row r="10648" spans="1:14" s="2" customFormat="1">
      <c r="A10648" s="83"/>
      <c r="H10648" s="83"/>
      <c r="K10648" s="82"/>
      <c r="M10648" s="112"/>
      <c r="N10648" s="84"/>
    </row>
    <row r="10649" spans="1:14" s="2" customFormat="1">
      <c r="A10649" s="83"/>
      <c r="H10649" s="83"/>
      <c r="K10649" s="82"/>
      <c r="M10649" s="112"/>
      <c r="N10649" s="84"/>
    </row>
    <row r="10650" spans="1:14" s="2" customFormat="1">
      <c r="A10650" s="83"/>
      <c r="H10650" s="83"/>
      <c r="K10650" s="82"/>
      <c r="M10650" s="112"/>
      <c r="N10650" s="84"/>
    </row>
    <row r="10651" spans="1:14" s="2" customFormat="1">
      <c r="A10651" s="83"/>
      <c r="H10651" s="83"/>
      <c r="K10651" s="82"/>
      <c r="M10651" s="112"/>
      <c r="N10651" s="84"/>
    </row>
    <row r="10652" spans="1:14" s="2" customFormat="1">
      <c r="A10652" s="83"/>
      <c r="H10652" s="83"/>
      <c r="K10652" s="82"/>
      <c r="M10652" s="112"/>
      <c r="N10652" s="84"/>
    </row>
    <row r="10653" spans="1:14" s="2" customFormat="1">
      <c r="A10653" s="83"/>
      <c r="H10653" s="83"/>
      <c r="K10653" s="82"/>
      <c r="M10653" s="112"/>
      <c r="N10653" s="84"/>
    </row>
    <row r="10654" spans="1:14" s="2" customFormat="1">
      <c r="A10654" s="83"/>
      <c r="H10654" s="83"/>
      <c r="K10654" s="82"/>
      <c r="M10654" s="112"/>
      <c r="N10654" s="84"/>
    </row>
    <row r="10655" spans="1:14" s="2" customFormat="1">
      <c r="A10655" s="83"/>
      <c r="H10655" s="83"/>
      <c r="K10655" s="82"/>
      <c r="M10655" s="112"/>
      <c r="N10655" s="84"/>
    </row>
    <row r="10656" spans="1:14" s="2" customFormat="1">
      <c r="A10656" s="83"/>
      <c r="H10656" s="83"/>
      <c r="K10656" s="82"/>
      <c r="M10656" s="112"/>
      <c r="N10656" s="84"/>
    </row>
    <row r="10657" spans="1:14" s="2" customFormat="1">
      <c r="A10657" s="83"/>
      <c r="H10657" s="83"/>
      <c r="K10657" s="82"/>
      <c r="M10657" s="112"/>
      <c r="N10657" s="84"/>
    </row>
    <row r="10658" spans="1:14" s="2" customFormat="1">
      <c r="A10658" s="83"/>
      <c r="H10658" s="83"/>
      <c r="K10658" s="82"/>
      <c r="M10658" s="112"/>
      <c r="N10658" s="84"/>
    </row>
    <row r="10659" spans="1:14" s="2" customFormat="1">
      <c r="A10659" s="83"/>
      <c r="H10659" s="83"/>
      <c r="K10659" s="82"/>
      <c r="M10659" s="112"/>
      <c r="N10659" s="84"/>
    </row>
    <row r="10660" spans="1:14" s="2" customFormat="1">
      <c r="A10660" s="83"/>
      <c r="H10660" s="83"/>
      <c r="K10660" s="82"/>
      <c r="M10660" s="112"/>
      <c r="N10660" s="84"/>
    </row>
    <row r="10661" spans="1:14" s="2" customFormat="1">
      <c r="A10661" s="83"/>
      <c r="H10661" s="83"/>
      <c r="K10661" s="82"/>
      <c r="M10661" s="112"/>
      <c r="N10661" s="84"/>
    </row>
    <row r="10662" spans="1:14" s="2" customFormat="1">
      <c r="A10662" s="83"/>
      <c r="H10662" s="83"/>
      <c r="K10662" s="82"/>
      <c r="M10662" s="112"/>
      <c r="N10662" s="84"/>
    </row>
    <row r="10663" spans="1:14" s="2" customFormat="1">
      <c r="A10663" s="83"/>
      <c r="H10663" s="83"/>
      <c r="K10663" s="82"/>
      <c r="M10663" s="112"/>
      <c r="N10663" s="84"/>
    </row>
    <row r="10664" spans="1:14" s="2" customFormat="1">
      <c r="A10664" s="83"/>
      <c r="H10664" s="83"/>
      <c r="K10664" s="82"/>
      <c r="M10664" s="112"/>
      <c r="N10664" s="84"/>
    </row>
    <row r="10665" spans="1:14" s="2" customFormat="1">
      <c r="A10665" s="83"/>
      <c r="H10665" s="83"/>
      <c r="K10665" s="82"/>
      <c r="M10665" s="112"/>
      <c r="N10665" s="84"/>
    </row>
    <row r="10666" spans="1:14" s="2" customFormat="1">
      <c r="A10666" s="83"/>
      <c r="H10666" s="83"/>
      <c r="K10666" s="82"/>
      <c r="M10666" s="112"/>
      <c r="N10666" s="84"/>
    </row>
    <row r="10667" spans="1:14" s="2" customFormat="1">
      <c r="A10667" s="83"/>
      <c r="H10667" s="83"/>
      <c r="K10667" s="82"/>
      <c r="M10667" s="112"/>
      <c r="N10667" s="84"/>
    </row>
    <row r="10668" spans="1:14" s="2" customFormat="1">
      <c r="A10668" s="83"/>
      <c r="H10668" s="83"/>
      <c r="K10668" s="82"/>
      <c r="M10668" s="112"/>
      <c r="N10668" s="84"/>
    </row>
    <row r="10669" spans="1:14" s="2" customFormat="1">
      <c r="A10669" s="83"/>
      <c r="H10669" s="83"/>
      <c r="K10669" s="82"/>
      <c r="M10669" s="112"/>
      <c r="N10669" s="84"/>
    </row>
    <row r="10670" spans="1:14" s="2" customFormat="1">
      <c r="A10670" s="83"/>
      <c r="H10670" s="83"/>
      <c r="K10670" s="82"/>
      <c r="M10670" s="112"/>
      <c r="N10670" s="84"/>
    </row>
    <row r="10671" spans="1:14" s="2" customFormat="1">
      <c r="A10671" s="83"/>
      <c r="H10671" s="83"/>
      <c r="K10671" s="82"/>
      <c r="M10671" s="112"/>
      <c r="N10671" s="84"/>
    </row>
    <row r="10672" spans="1:14" s="2" customFormat="1">
      <c r="A10672" s="83"/>
      <c r="H10672" s="83"/>
      <c r="K10672" s="82"/>
      <c r="M10672" s="112"/>
      <c r="N10672" s="84"/>
    </row>
    <row r="10673" spans="1:14" s="2" customFormat="1">
      <c r="A10673" s="83"/>
      <c r="H10673" s="83"/>
      <c r="K10673" s="82"/>
      <c r="M10673" s="112"/>
      <c r="N10673" s="84"/>
    </row>
    <row r="10674" spans="1:14" s="2" customFormat="1">
      <c r="A10674" s="83"/>
      <c r="H10674" s="83"/>
      <c r="K10674" s="82"/>
      <c r="M10674" s="112"/>
      <c r="N10674" s="84"/>
    </row>
    <row r="10675" spans="1:14" s="2" customFormat="1">
      <c r="A10675" s="83"/>
      <c r="H10675" s="83"/>
      <c r="K10675" s="82"/>
      <c r="M10675" s="112"/>
      <c r="N10675" s="84"/>
    </row>
    <row r="10676" spans="1:14" s="2" customFormat="1">
      <c r="A10676" s="83"/>
      <c r="H10676" s="83"/>
      <c r="K10676" s="82"/>
      <c r="M10676" s="112"/>
      <c r="N10676" s="84"/>
    </row>
    <row r="10677" spans="1:14" s="2" customFormat="1">
      <c r="A10677" s="83"/>
      <c r="H10677" s="83"/>
      <c r="K10677" s="82"/>
      <c r="M10677" s="112"/>
      <c r="N10677" s="84"/>
    </row>
    <row r="10678" spans="1:14" s="2" customFormat="1">
      <c r="A10678" s="83"/>
      <c r="H10678" s="83"/>
      <c r="K10678" s="82"/>
      <c r="M10678" s="112"/>
      <c r="N10678" s="84"/>
    </row>
    <row r="10679" spans="1:14" s="2" customFormat="1">
      <c r="A10679" s="83"/>
      <c r="H10679" s="83"/>
      <c r="K10679" s="82"/>
      <c r="M10679" s="112"/>
      <c r="N10679" s="84"/>
    </row>
    <row r="10680" spans="1:14" s="2" customFormat="1">
      <c r="A10680" s="83"/>
      <c r="H10680" s="83"/>
      <c r="K10680" s="82"/>
      <c r="M10680" s="112"/>
      <c r="N10680" s="84"/>
    </row>
    <row r="10681" spans="1:14" s="2" customFormat="1">
      <c r="A10681" s="83"/>
      <c r="H10681" s="83"/>
      <c r="K10681" s="82"/>
      <c r="M10681" s="112"/>
      <c r="N10681" s="84"/>
    </row>
    <row r="10682" spans="1:14" s="2" customFormat="1">
      <c r="A10682" s="83"/>
      <c r="H10682" s="83"/>
      <c r="K10682" s="82"/>
      <c r="M10682" s="112"/>
      <c r="N10682" s="84"/>
    </row>
    <row r="10683" spans="1:14" s="2" customFormat="1">
      <c r="A10683" s="83"/>
      <c r="H10683" s="83"/>
      <c r="K10683" s="82"/>
      <c r="M10683" s="112"/>
      <c r="N10683" s="84"/>
    </row>
    <row r="10684" spans="1:14" s="2" customFormat="1">
      <c r="A10684" s="83"/>
      <c r="H10684" s="83"/>
      <c r="K10684" s="82"/>
      <c r="M10684" s="112"/>
      <c r="N10684" s="84"/>
    </row>
    <row r="10685" spans="1:14" s="2" customFormat="1">
      <c r="A10685" s="83"/>
      <c r="H10685" s="83"/>
      <c r="K10685" s="82"/>
      <c r="M10685" s="112"/>
      <c r="N10685" s="84"/>
    </row>
    <row r="10686" spans="1:14" s="2" customFormat="1">
      <c r="A10686" s="83"/>
      <c r="H10686" s="83"/>
      <c r="K10686" s="82"/>
      <c r="M10686" s="112"/>
      <c r="N10686" s="84"/>
    </row>
    <row r="10687" spans="1:14" s="2" customFormat="1">
      <c r="A10687" s="83"/>
      <c r="H10687" s="83"/>
      <c r="K10687" s="82"/>
      <c r="M10687" s="112"/>
      <c r="N10687" s="84"/>
    </row>
    <row r="10688" spans="1:14" s="2" customFormat="1">
      <c r="A10688" s="83"/>
      <c r="H10688" s="83"/>
      <c r="K10688" s="82"/>
      <c r="M10688" s="112"/>
      <c r="N10688" s="84"/>
    </row>
    <row r="10689" spans="1:14" s="2" customFormat="1">
      <c r="A10689" s="83"/>
      <c r="H10689" s="83"/>
      <c r="K10689" s="82"/>
      <c r="M10689" s="112"/>
      <c r="N10689" s="84"/>
    </row>
    <row r="10690" spans="1:14" s="2" customFormat="1">
      <c r="A10690" s="83"/>
      <c r="H10690" s="83"/>
      <c r="K10690" s="82"/>
      <c r="M10690" s="112"/>
      <c r="N10690" s="84"/>
    </row>
    <row r="10691" spans="1:14" s="2" customFormat="1">
      <c r="A10691" s="83"/>
      <c r="H10691" s="83"/>
      <c r="K10691" s="82"/>
      <c r="M10691" s="112"/>
      <c r="N10691" s="84"/>
    </row>
    <row r="10692" spans="1:14" s="2" customFormat="1">
      <c r="A10692" s="83"/>
      <c r="H10692" s="83"/>
      <c r="K10692" s="82"/>
      <c r="M10692" s="112"/>
      <c r="N10692" s="84"/>
    </row>
    <row r="10693" spans="1:14" s="2" customFormat="1">
      <c r="A10693" s="83"/>
      <c r="H10693" s="83"/>
      <c r="K10693" s="82"/>
      <c r="M10693" s="112"/>
      <c r="N10693" s="84"/>
    </row>
    <row r="10694" spans="1:14" s="2" customFormat="1">
      <c r="A10694" s="83"/>
      <c r="H10694" s="83"/>
      <c r="K10694" s="82"/>
      <c r="M10694" s="112"/>
      <c r="N10694" s="84"/>
    </row>
    <row r="10695" spans="1:14" s="2" customFormat="1">
      <c r="A10695" s="83"/>
      <c r="H10695" s="83"/>
      <c r="K10695" s="82"/>
      <c r="M10695" s="112"/>
      <c r="N10695" s="84"/>
    </row>
    <row r="10696" spans="1:14" s="2" customFormat="1">
      <c r="A10696" s="83"/>
      <c r="H10696" s="83"/>
      <c r="K10696" s="82"/>
      <c r="M10696" s="112"/>
      <c r="N10696" s="84"/>
    </row>
    <row r="10697" spans="1:14" s="2" customFormat="1">
      <c r="A10697" s="83"/>
      <c r="H10697" s="83"/>
      <c r="K10697" s="82"/>
      <c r="M10697" s="112"/>
      <c r="N10697" s="84"/>
    </row>
    <row r="10698" spans="1:14" s="2" customFormat="1">
      <c r="A10698" s="83"/>
      <c r="H10698" s="83"/>
      <c r="K10698" s="82"/>
      <c r="M10698" s="112"/>
      <c r="N10698" s="84"/>
    </row>
    <row r="10699" spans="1:14" s="2" customFormat="1">
      <c r="A10699" s="83"/>
      <c r="H10699" s="83"/>
      <c r="K10699" s="82"/>
      <c r="M10699" s="112"/>
      <c r="N10699" s="84"/>
    </row>
    <row r="10700" spans="1:14" s="2" customFormat="1">
      <c r="A10700" s="83"/>
      <c r="H10700" s="83"/>
      <c r="K10700" s="82"/>
      <c r="M10700" s="112"/>
      <c r="N10700" s="84"/>
    </row>
    <row r="10701" spans="1:14" s="2" customFormat="1">
      <c r="A10701" s="83"/>
      <c r="H10701" s="83"/>
      <c r="K10701" s="82"/>
      <c r="M10701" s="112"/>
      <c r="N10701" s="84"/>
    </row>
    <row r="10702" spans="1:14" s="2" customFormat="1">
      <c r="A10702" s="83"/>
      <c r="H10702" s="83"/>
      <c r="K10702" s="82"/>
      <c r="M10702" s="112"/>
      <c r="N10702" s="84"/>
    </row>
    <row r="10703" spans="1:14" s="2" customFormat="1">
      <c r="A10703" s="83"/>
      <c r="H10703" s="83"/>
      <c r="K10703" s="82"/>
      <c r="M10703" s="112"/>
      <c r="N10703" s="84"/>
    </row>
    <row r="10704" spans="1:14" s="2" customFormat="1">
      <c r="A10704" s="83"/>
      <c r="H10704" s="83"/>
      <c r="K10704" s="82"/>
      <c r="M10704" s="112"/>
      <c r="N10704" s="84"/>
    </row>
    <row r="10705" spans="1:14" s="2" customFormat="1">
      <c r="A10705" s="83"/>
      <c r="H10705" s="83"/>
      <c r="K10705" s="82"/>
      <c r="M10705" s="112"/>
      <c r="N10705" s="84"/>
    </row>
    <row r="10706" spans="1:14" s="2" customFormat="1">
      <c r="A10706" s="83"/>
      <c r="H10706" s="83"/>
      <c r="K10706" s="82"/>
      <c r="M10706" s="112"/>
      <c r="N10706" s="84"/>
    </row>
    <row r="10707" spans="1:14" s="2" customFormat="1">
      <c r="A10707" s="83"/>
      <c r="H10707" s="83"/>
      <c r="K10707" s="82"/>
      <c r="M10707" s="112"/>
      <c r="N10707" s="84"/>
    </row>
    <row r="10708" spans="1:14" s="2" customFormat="1">
      <c r="A10708" s="83"/>
      <c r="H10708" s="83"/>
      <c r="K10708" s="82"/>
      <c r="M10708" s="112"/>
      <c r="N10708" s="84"/>
    </row>
    <row r="10709" spans="1:14" s="2" customFormat="1">
      <c r="A10709" s="83"/>
      <c r="H10709" s="83"/>
      <c r="K10709" s="82"/>
      <c r="M10709" s="112"/>
      <c r="N10709" s="84"/>
    </row>
    <row r="10710" spans="1:14" s="2" customFormat="1">
      <c r="A10710" s="83"/>
      <c r="H10710" s="83"/>
      <c r="K10710" s="82"/>
      <c r="M10710" s="112"/>
      <c r="N10710" s="84"/>
    </row>
    <row r="10711" spans="1:14" s="2" customFormat="1">
      <c r="A10711" s="83"/>
      <c r="H10711" s="83"/>
      <c r="K10711" s="82"/>
      <c r="M10711" s="112"/>
      <c r="N10711" s="84"/>
    </row>
    <row r="10712" spans="1:14" s="2" customFormat="1">
      <c r="A10712" s="83"/>
      <c r="H10712" s="83"/>
      <c r="K10712" s="82"/>
      <c r="M10712" s="112"/>
      <c r="N10712" s="84"/>
    </row>
    <row r="10713" spans="1:14" s="2" customFormat="1">
      <c r="A10713" s="83"/>
      <c r="H10713" s="83"/>
      <c r="K10713" s="82"/>
      <c r="M10713" s="112"/>
      <c r="N10713" s="84"/>
    </row>
    <row r="10714" spans="1:14" s="2" customFormat="1">
      <c r="A10714" s="83"/>
      <c r="H10714" s="83"/>
      <c r="K10714" s="82"/>
      <c r="M10714" s="112"/>
      <c r="N10714" s="84"/>
    </row>
    <row r="10715" spans="1:14" s="2" customFormat="1">
      <c r="A10715" s="83"/>
      <c r="H10715" s="83"/>
      <c r="K10715" s="82"/>
      <c r="M10715" s="112"/>
      <c r="N10715" s="84"/>
    </row>
    <row r="10716" spans="1:14" s="2" customFormat="1">
      <c r="A10716" s="83"/>
      <c r="H10716" s="83"/>
      <c r="K10716" s="82"/>
      <c r="M10716" s="112"/>
      <c r="N10716" s="84"/>
    </row>
    <row r="10717" spans="1:14" s="2" customFormat="1">
      <c r="A10717" s="83"/>
      <c r="H10717" s="83"/>
      <c r="K10717" s="82"/>
      <c r="M10717" s="112"/>
      <c r="N10717" s="84"/>
    </row>
    <row r="10718" spans="1:14" s="2" customFormat="1">
      <c r="A10718" s="83"/>
      <c r="H10718" s="83"/>
      <c r="K10718" s="82"/>
      <c r="M10718" s="112"/>
      <c r="N10718" s="84"/>
    </row>
    <row r="10719" spans="1:14" s="2" customFormat="1">
      <c r="A10719" s="83"/>
      <c r="H10719" s="83"/>
      <c r="K10719" s="82"/>
      <c r="M10719" s="112"/>
      <c r="N10719" s="84"/>
    </row>
    <row r="10720" spans="1:14" s="2" customFormat="1">
      <c r="A10720" s="83"/>
      <c r="H10720" s="83"/>
      <c r="K10720" s="82"/>
      <c r="M10720" s="112"/>
      <c r="N10720" s="84"/>
    </row>
    <row r="10721" spans="1:14" s="2" customFormat="1">
      <c r="A10721" s="83"/>
      <c r="H10721" s="83"/>
      <c r="K10721" s="82"/>
      <c r="M10721" s="112"/>
      <c r="N10721" s="84"/>
    </row>
    <row r="10722" spans="1:14" s="2" customFormat="1">
      <c r="A10722" s="83"/>
      <c r="H10722" s="83"/>
      <c r="K10722" s="82"/>
      <c r="M10722" s="112"/>
      <c r="N10722" s="84"/>
    </row>
    <row r="10723" spans="1:14" s="2" customFormat="1">
      <c r="A10723" s="83"/>
      <c r="H10723" s="83"/>
      <c r="K10723" s="82"/>
      <c r="M10723" s="112"/>
      <c r="N10723" s="84"/>
    </row>
    <row r="10724" spans="1:14" s="2" customFormat="1">
      <c r="A10724" s="83"/>
      <c r="H10724" s="83"/>
      <c r="K10724" s="82"/>
      <c r="M10724" s="112"/>
      <c r="N10724" s="84"/>
    </row>
    <row r="10725" spans="1:14" s="2" customFormat="1">
      <c r="A10725" s="83"/>
      <c r="H10725" s="83"/>
      <c r="K10725" s="82"/>
      <c r="M10725" s="112"/>
      <c r="N10725" s="84"/>
    </row>
    <row r="10726" spans="1:14" s="2" customFormat="1">
      <c r="A10726" s="83"/>
      <c r="H10726" s="83"/>
      <c r="K10726" s="82"/>
      <c r="M10726" s="112"/>
      <c r="N10726" s="84"/>
    </row>
    <row r="10727" spans="1:14" s="2" customFormat="1">
      <c r="A10727" s="83"/>
      <c r="H10727" s="83"/>
      <c r="K10727" s="82"/>
      <c r="M10727" s="112"/>
      <c r="N10727" s="84"/>
    </row>
    <row r="10728" spans="1:14" s="2" customFormat="1">
      <c r="A10728" s="83"/>
      <c r="H10728" s="83"/>
      <c r="K10728" s="82"/>
      <c r="M10728" s="112"/>
      <c r="N10728" s="84"/>
    </row>
    <row r="10729" spans="1:14" s="2" customFormat="1">
      <c r="A10729" s="83"/>
      <c r="H10729" s="83"/>
      <c r="K10729" s="82"/>
      <c r="M10729" s="112"/>
      <c r="N10729" s="84"/>
    </row>
    <row r="10730" spans="1:14" s="2" customFormat="1">
      <c r="A10730" s="83"/>
      <c r="H10730" s="83"/>
      <c r="K10730" s="82"/>
      <c r="M10730" s="112"/>
      <c r="N10730" s="84"/>
    </row>
    <row r="10731" spans="1:14" s="2" customFormat="1">
      <c r="A10731" s="83"/>
      <c r="H10731" s="83"/>
      <c r="K10731" s="82"/>
      <c r="M10731" s="112"/>
      <c r="N10731" s="84"/>
    </row>
    <row r="10732" spans="1:14" s="2" customFormat="1">
      <c r="A10732" s="83"/>
      <c r="H10732" s="83"/>
      <c r="K10732" s="82"/>
      <c r="M10732" s="112"/>
      <c r="N10732" s="84"/>
    </row>
    <row r="10733" spans="1:14" s="2" customFormat="1">
      <c r="A10733" s="83"/>
      <c r="H10733" s="83"/>
      <c r="K10733" s="82"/>
      <c r="M10733" s="112"/>
      <c r="N10733" s="84"/>
    </row>
    <row r="10734" spans="1:14" s="2" customFormat="1">
      <c r="A10734" s="83"/>
      <c r="H10734" s="83"/>
      <c r="K10734" s="82"/>
      <c r="M10734" s="112"/>
      <c r="N10734" s="84"/>
    </row>
    <row r="10735" spans="1:14" s="2" customFormat="1">
      <c r="A10735" s="83"/>
      <c r="H10735" s="83"/>
      <c r="K10735" s="82"/>
      <c r="M10735" s="112"/>
      <c r="N10735" s="84"/>
    </row>
    <row r="10736" spans="1:14" s="2" customFormat="1">
      <c r="A10736" s="83"/>
      <c r="H10736" s="83"/>
      <c r="K10736" s="82"/>
      <c r="M10736" s="112"/>
      <c r="N10736" s="84"/>
    </row>
    <row r="10737" spans="1:14" s="2" customFormat="1">
      <c r="A10737" s="83"/>
      <c r="H10737" s="83"/>
      <c r="K10737" s="82"/>
      <c r="M10737" s="112"/>
      <c r="N10737" s="84"/>
    </row>
    <row r="10738" spans="1:14" s="2" customFormat="1">
      <c r="A10738" s="83"/>
      <c r="H10738" s="83"/>
      <c r="K10738" s="82"/>
      <c r="M10738" s="112"/>
      <c r="N10738" s="84"/>
    </row>
    <row r="10739" spans="1:14" s="2" customFormat="1">
      <c r="A10739" s="83"/>
      <c r="H10739" s="83"/>
      <c r="K10739" s="82"/>
      <c r="M10739" s="112"/>
      <c r="N10739" s="84"/>
    </row>
    <row r="10740" spans="1:14" s="2" customFormat="1">
      <c r="A10740" s="83"/>
      <c r="H10740" s="83"/>
      <c r="K10740" s="82"/>
      <c r="M10740" s="112"/>
      <c r="N10740" s="84"/>
    </row>
    <row r="10741" spans="1:14" s="2" customFormat="1">
      <c r="A10741" s="83"/>
      <c r="H10741" s="83"/>
      <c r="K10741" s="82"/>
      <c r="M10741" s="112"/>
      <c r="N10741" s="84"/>
    </row>
    <row r="10742" spans="1:14" s="2" customFormat="1">
      <c r="A10742" s="83"/>
      <c r="H10742" s="83"/>
      <c r="K10742" s="82"/>
      <c r="M10742" s="112"/>
      <c r="N10742" s="84"/>
    </row>
    <row r="10743" spans="1:14" s="2" customFormat="1">
      <c r="A10743" s="83"/>
      <c r="H10743" s="83"/>
      <c r="K10743" s="82"/>
      <c r="M10743" s="112"/>
      <c r="N10743" s="84"/>
    </row>
    <row r="10744" spans="1:14" s="2" customFormat="1">
      <c r="A10744" s="83"/>
      <c r="H10744" s="83"/>
      <c r="K10744" s="82"/>
      <c r="M10744" s="112"/>
      <c r="N10744" s="84"/>
    </row>
    <row r="10745" spans="1:14" s="2" customFormat="1">
      <c r="A10745" s="83"/>
      <c r="H10745" s="83"/>
      <c r="K10745" s="82"/>
      <c r="M10745" s="112"/>
      <c r="N10745" s="84"/>
    </row>
    <row r="10746" spans="1:14" s="2" customFormat="1">
      <c r="A10746" s="83"/>
      <c r="H10746" s="83"/>
      <c r="K10746" s="82"/>
      <c r="M10746" s="112"/>
      <c r="N10746" s="84"/>
    </row>
    <row r="10747" spans="1:14" s="2" customFormat="1">
      <c r="A10747" s="83"/>
      <c r="H10747" s="83"/>
      <c r="K10747" s="82"/>
      <c r="M10747" s="112"/>
      <c r="N10747" s="84"/>
    </row>
    <row r="10748" spans="1:14" s="2" customFormat="1">
      <c r="A10748" s="83"/>
      <c r="H10748" s="83"/>
      <c r="K10748" s="82"/>
      <c r="M10748" s="112"/>
      <c r="N10748" s="84"/>
    </row>
    <row r="10749" spans="1:14" s="2" customFormat="1">
      <c r="A10749" s="83"/>
      <c r="H10749" s="83"/>
      <c r="K10749" s="82"/>
      <c r="M10749" s="112"/>
      <c r="N10749" s="84"/>
    </row>
    <row r="10750" spans="1:14" s="2" customFormat="1">
      <c r="A10750" s="83"/>
      <c r="H10750" s="83"/>
      <c r="K10750" s="82"/>
      <c r="M10750" s="112"/>
      <c r="N10750" s="84"/>
    </row>
    <row r="10751" spans="1:14" s="2" customFormat="1">
      <c r="A10751" s="83"/>
      <c r="H10751" s="83"/>
      <c r="K10751" s="82"/>
      <c r="M10751" s="112"/>
      <c r="N10751" s="84"/>
    </row>
    <row r="10752" spans="1:14" s="2" customFormat="1">
      <c r="A10752" s="83"/>
      <c r="H10752" s="83"/>
      <c r="K10752" s="82"/>
      <c r="M10752" s="112"/>
      <c r="N10752" s="84"/>
    </row>
    <row r="10753" spans="1:14" s="2" customFormat="1">
      <c r="A10753" s="83"/>
      <c r="H10753" s="83"/>
      <c r="K10753" s="82"/>
      <c r="M10753" s="112"/>
      <c r="N10753" s="84"/>
    </row>
    <row r="10754" spans="1:14" s="2" customFormat="1">
      <c r="A10754" s="83"/>
      <c r="H10754" s="83"/>
      <c r="K10754" s="82"/>
      <c r="M10754" s="112"/>
      <c r="N10754" s="84"/>
    </row>
    <row r="10755" spans="1:14" s="2" customFormat="1">
      <c r="A10755" s="83"/>
      <c r="H10755" s="83"/>
      <c r="K10755" s="82"/>
      <c r="M10755" s="112"/>
      <c r="N10755" s="84"/>
    </row>
    <row r="10756" spans="1:14" s="2" customFormat="1">
      <c r="A10756" s="83"/>
      <c r="H10756" s="83"/>
      <c r="K10756" s="82"/>
      <c r="M10756" s="112"/>
      <c r="N10756" s="84"/>
    </row>
    <row r="10757" spans="1:14" s="2" customFormat="1">
      <c r="A10757" s="83"/>
      <c r="H10757" s="83"/>
      <c r="K10757" s="82"/>
      <c r="M10757" s="112"/>
      <c r="N10757" s="84"/>
    </row>
    <row r="10758" spans="1:14" s="2" customFormat="1">
      <c r="A10758" s="83"/>
      <c r="H10758" s="83"/>
      <c r="K10758" s="82"/>
      <c r="M10758" s="112"/>
      <c r="N10758" s="84"/>
    </row>
    <row r="10759" spans="1:14" s="2" customFormat="1">
      <c r="A10759" s="83"/>
      <c r="H10759" s="83"/>
      <c r="K10759" s="82"/>
      <c r="M10759" s="112"/>
      <c r="N10759" s="84"/>
    </row>
    <row r="10760" spans="1:14" s="2" customFormat="1">
      <c r="A10760" s="83"/>
      <c r="H10760" s="83"/>
      <c r="K10760" s="82"/>
      <c r="M10760" s="112"/>
      <c r="N10760" s="84"/>
    </row>
    <row r="10761" spans="1:14" s="2" customFormat="1">
      <c r="A10761" s="83"/>
      <c r="H10761" s="83"/>
      <c r="K10761" s="82"/>
      <c r="M10761" s="112"/>
      <c r="N10761" s="84"/>
    </row>
    <row r="10762" spans="1:14" s="2" customFormat="1">
      <c r="A10762" s="83"/>
      <c r="H10762" s="83"/>
      <c r="K10762" s="82"/>
      <c r="M10762" s="112"/>
      <c r="N10762" s="84"/>
    </row>
    <row r="10763" spans="1:14" s="2" customFormat="1">
      <c r="A10763" s="83"/>
      <c r="H10763" s="83"/>
      <c r="K10763" s="82"/>
      <c r="M10763" s="112"/>
      <c r="N10763" s="84"/>
    </row>
    <row r="10764" spans="1:14" s="2" customFormat="1">
      <c r="A10764" s="83"/>
      <c r="H10764" s="83"/>
      <c r="K10764" s="82"/>
      <c r="M10764" s="112"/>
      <c r="N10764" s="84"/>
    </row>
    <row r="10765" spans="1:14" s="2" customFormat="1">
      <c r="A10765" s="83"/>
      <c r="H10765" s="83"/>
      <c r="K10765" s="82"/>
      <c r="M10765" s="112"/>
      <c r="N10765" s="84"/>
    </row>
    <row r="10766" spans="1:14" s="2" customFormat="1">
      <c r="A10766" s="83"/>
      <c r="H10766" s="83"/>
      <c r="K10766" s="82"/>
      <c r="M10766" s="112"/>
      <c r="N10766" s="84"/>
    </row>
    <row r="10767" spans="1:14" s="2" customFormat="1">
      <c r="A10767" s="83"/>
      <c r="H10767" s="83"/>
      <c r="K10767" s="82"/>
      <c r="M10767" s="112"/>
      <c r="N10767" s="84"/>
    </row>
    <row r="10768" spans="1:14" s="2" customFormat="1">
      <c r="A10768" s="83"/>
      <c r="H10768" s="83"/>
      <c r="K10768" s="82"/>
      <c r="M10768" s="112"/>
      <c r="N10768" s="84"/>
    </row>
    <row r="10769" spans="1:14" s="2" customFormat="1">
      <c r="A10769" s="83"/>
      <c r="H10769" s="83"/>
      <c r="K10769" s="82"/>
      <c r="M10769" s="112"/>
      <c r="N10769" s="84"/>
    </row>
    <row r="10770" spans="1:14" s="2" customFormat="1">
      <c r="A10770" s="83"/>
      <c r="H10770" s="83"/>
      <c r="K10770" s="82"/>
      <c r="M10770" s="112"/>
      <c r="N10770" s="84"/>
    </row>
    <row r="10771" spans="1:14" s="2" customFormat="1">
      <c r="A10771" s="83"/>
      <c r="H10771" s="83"/>
      <c r="K10771" s="82"/>
      <c r="M10771" s="112"/>
      <c r="N10771" s="84"/>
    </row>
    <row r="10772" spans="1:14" s="2" customFormat="1">
      <c r="A10772" s="83"/>
      <c r="H10772" s="83"/>
      <c r="K10772" s="82"/>
      <c r="M10772" s="112"/>
      <c r="N10772" s="84"/>
    </row>
    <row r="10773" spans="1:14" s="2" customFormat="1">
      <c r="A10773" s="83"/>
      <c r="H10773" s="83"/>
      <c r="K10773" s="82"/>
      <c r="M10773" s="112"/>
      <c r="N10773" s="84"/>
    </row>
    <row r="10774" spans="1:14" s="2" customFormat="1">
      <c r="A10774" s="83"/>
      <c r="H10774" s="83"/>
      <c r="K10774" s="82"/>
      <c r="M10774" s="112"/>
      <c r="N10774" s="84"/>
    </row>
    <row r="10775" spans="1:14" s="2" customFormat="1">
      <c r="A10775" s="83"/>
      <c r="H10775" s="83"/>
      <c r="K10775" s="82"/>
      <c r="M10775" s="112"/>
      <c r="N10775" s="84"/>
    </row>
    <row r="10776" spans="1:14" s="2" customFormat="1">
      <c r="A10776" s="83"/>
      <c r="H10776" s="83"/>
      <c r="K10776" s="82"/>
      <c r="M10776" s="112"/>
      <c r="N10776" s="84"/>
    </row>
    <row r="10777" spans="1:14" s="2" customFormat="1">
      <c r="A10777" s="83"/>
      <c r="H10777" s="83"/>
      <c r="K10777" s="82"/>
      <c r="M10777" s="112"/>
      <c r="N10777" s="84"/>
    </row>
    <row r="10778" spans="1:14" s="2" customFormat="1">
      <c r="A10778" s="83"/>
      <c r="H10778" s="83"/>
      <c r="K10778" s="82"/>
      <c r="M10778" s="112"/>
      <c r="N10778" s="84"/>
    </row>
    <row r="10779" spans="1:14" s="2" customFormat="1">
      <c r="A10779" s="83"/>
      <c r="H10779" s="83"/>
      <c r="K10779" s="82"/>
      <c r="M10779" s="112"/>
      <c r="N10779" s="84"/>
    </row>
    <row r="10780" spans="1:14" s="2" customFormat="1">
      <c r="A10780" s="83"/>
      <c r="H10780" s="83"/>
      <c r="K10780" s="82"/>
      <c r="M10780" s="112"/>
      <c r="N10780" s="84"/>
    </row>
    <row r="10781" spans="1:14" s="2" customFormat="1">
      <c r="A10781" s="83"/>
      <c r="H10781" s="83"/>
      <c r="K10781" s="82"/>
      <c r="M10781" s="112"/>
      <c r="N10781" s="84"/>
    </row>
    <row r="10782" spans="1:14" s="2" customFormat="1">
      <c r="A10782" s="83"/>
      <c r="H10782" s="83"/>
      <c r="K10782" s="82"/>
      <c r="M10782" s="112"/>
      <c r="N10782" s="84"/>
    </row>
    <row r="10783" spans="1:14" s="2" customFormat="1">
      <c r="A10783" s="83"/>
      <c r="H10783" s="83"/>
      <c r="K10783" s="82"/>
      <c r="M10783" s="112"/>
      <c r="N10783" s="84"/>
    </row>
    <row r="10784" spans="1:14" s="2" customFormat="1">
      <c r="A10784" s="83"/>
      <c r="H10784" s="83"/>
      <c r="K10784" s="82"/>
      <c r="M10784" s="112"/>
      <c r="N10784" s="84"/>
    </row>
    <row r="10785" spans="1:14" s="2" customFormat="1">
      <c r="A10785" s="83"/>
      <c r="H10785" s="83"/>
      <c r="K10785" s="82"/>
      <c r="M10785" s="112"/>
      <c r="N10785" s="84"/>
    </row>
    <row r="10786" spans="1:14" s="2" customFormat="1">
      <c r="A10786" s="83"/>
      <c r="H10786" s="83"/>
      <c r="K10786" s="82"/>
      <c r="M10786" s="112"/>
      <c r="N10786" s="84"/>
    </row>
    <row r="10787" spans="1:14" s="2" customFormat="1">
      <c r="A10787" s="83"/>
      <c r="H10787" s="83"/>
      <c r="K10787" s="82"/>
      <c r="M10787" s="112"/>
      <c r="N10787" s="84"/>
    </row>
    <row r="10788" spans="1:14" s="2" customFormat="1">
      <c r="A10788" s="83"/>
      <c r="H10788" s="83"/>
      <c r="K10788" s="82"/>
      <c r="M10788" s="112"/>
      <c r="N10788" s="84"/>
    </row>
    <row r="10789" spans="1:14" s="2" customFormat="1">
      <c r="A10789" s="83"/>
      <c r="H10789" s="83"/>
      <c r="K10789" s="82"/>
      <c r="M10789" s="112"/>
      <c r="N10789" s="84"/>
    </row>
    <row r="10790" spans="1:14" s="2" customFormat="1">
      <c r="A10790" s="83"/>
      <c r="H10790" s="83"/>
      <c r="K10790" s="82"/>
      <c r="M10790" s="112"/>
      <c r="N10790" s="84"/>
    </row>
    <row r="10791" spans="1:14" s="2" customFormat="1">
      <c r="A10791" s="83"/>
      <c r="H10791" s="83"/>
      <c r="K10791" s="82"/>
      <c r="M10791" s="112"/>
      <c r="N10791" s="84"/>
    </row>
    <row r="10792" spans="1:14" s="2" customFormat="1">
      <c r="A10792" s="83"/>
      <c r="H10792" s="83"/>
      <c r="K10792" s="82"/>
      <c r="M10792" s="112"/>
      <c r="N10792" s="84"/>
    </row>
    <row r="10793" spans="1:14" s="2" customFormat="1">
      <c r="A10793" s="83"/>
      <c r="H10793" s="83"/>
      <c r="K10793" s="82"/>
      <c r="M10793" s="112"/>
      <c r="N10793" s="84"/>
    </row>
    <row r="10794" spans="1:14" s="2" customFormat="1">
      <c r="A10794" s="83"/>
      <c r="H10794" s="83"/>
      <c r="K10794" s="82"/>
      <c r="M10794" s="112"/>
      <c r="N10794" s="84"/>
    </row>
    <row r="10795" spans="1:14" s="2" customFormat="1">
      <c r="A10795" s="83"/>
      <c r="H10795" s="83"/>
      <c r="K10795" s="82"/>
      <c r="M10795" s="112"/>
      <c r="N10795" s="84"/>
    </row>
    <row r="10796" spans="1:14" s="2" customFormat="1">
      <c r="A10796" s="83"/>
      <c r="H10796" s="83"/>
      <c r="K10796" s="82"/>
      <c r="M10796" s="112"/>
      <c r="N10796" s="84"/>
    </row>
    <row r="10797" spans="1:14" s="2" customFormat="1">
      <c r="A10797" s="83"/>
      <c r="H10797" s="83"/>
      <c r="K10797" s="82"/>
      <c r="M10797" s="112"/>
      <c r="N10797" s="84"/>
    </row>
    <row r="10798" spans="1:14" s="2" customFormat="1">
      <c r="A10798" s="83"/>
      <c r="H10798" s="83"/>
      <c r="K10798" s="82"/>
      <c r="M10798" s="112"/>
      <c r="N10798" s="84"/>
    </row>
    <row r="10799" spans="1:14" s="2" customFormat="1">
      <c r="A10799" s="83"/>
      <c r="H10799" s="83"/>
      <c r="K10799" s="82"/>
      <c r="M10799" s="112"/>
      <c r="N10799" s="84"/>
    </row>
    <row r="10800" spans="1:14" s="2" customFormat="1">
      <c r="A10800" s="83"/>
      <c r="H10800" s="83"/>
      <c r="K10800" s="82"/>
      <c r="M10800" s="112"/>
      <c r="N10800" s="84"/>
    </row>
    <row r="10801" spans="1:14" s="2" customFormat="1">
      <c r="A10801" s="83"/>
      <c r="H10801" s="83"/>
      <c r="K10801" s="82"/>
      <c r="M10801" s="112"/>
      <c r="N10801" s="84"/>
    </row>
    <row r="10802" spans="1:14" s="2" customFormat="1">
      <c r="A10802" s="83"/>
      <c r="H10802" s="83"/>
      <c r="K10802" s="82"/>
      <c r="M10802" s="112"/>
      <c r="N10802" s="84"/>
    </row>
    <row r="10803" spans="1:14" s="2" customFormat="1">
      <c r="A10803" s="83"/>
      <c r="H10803" s="83"/>
      <c r="K10803" s="82"/>
      <c r="M10803" s="112"/>
      <c r="N10803" s="84"/>
    </row>
    <row r="10804" spans="1:14" s="2" customFormat="1">
      <c r="A10804" s="83"/>
      <c r="H10804" s="83"/>
      <c r="K10804" s="82"/>
      <c r="M10804" s="112"/>
      <c r="N10804" s="84"/>
    </row>
    <row r="10805" spans="1:14" s="2" customFormat="1">
      <c r="A10805" s="83"/>
      <c r="H10805" s="83"/>
      <c r="K10805" s="82"/>
      <c r="M10805" s="112"/>
      <c r="N10805" s="84"/>
    </row>
    <row r="10806" spans="1:14" s="2" customFormat="1">
      <c r="A10806" s="83"/>
      <c r="H10806" s="83"/>
      <c r="K10806" s="82"/>
      <c r="M10806" s="112"/>
      <c r="N10806" s="84"/>
    </row>
    <row r="10807" spans="1:14" s="2" customFormat="1">
      <c r="A10807" s="83"/>
      <c r="H10807" s="83"/>
      <c r="K10807" s="82"/>
      <c r="M10807" s="112"/>
      <c r="N10807" s="84"/>
    </row>
    <row r="10808" spans="1:14" s="2" customFormat="1">
      <c r="A10808" s="83"/>
      <c r="H10808" s="83"/>
      <c r="K10808" s="82"/>
      <c r="M10808" s="112"/>
      <c r="N10808" s="84"/>
    </row>
    <row r="10809" spans="1:14" s="2" customFormat="1">
      <c r="A10809" s="83"/>
      <c r="H10809" s="83"/>
      <c r="K10809" s="82"/>
      <c r="M10809" s="112"/>
      <c r="N10809" s="84"/>
    </row>
    <row r="10810" spans="1:14" s="2" customFormat="1">
      <c r="A10810" s="83"/>
      <c r="H10810" s="83"/>
      <c r="K10810" s="82"/>
      <c r="M10810" s="112"/>
      <c r="N10810" s="84"/>
    </row>
    <row r="10811" spans="1:14" s="2" customFormat="1">
      <c r="A10811" s="83"/>
      <c r="H10811" s="83"/>
      <c r="K10811" s="82"/>
      <c r="M10811" s="112"/>
      <c r="N10811" s="84"/>
    </row>
    <row r="10812" spans="1:14" s="2" customFormat="1">
      <c r="A10812" s="83"/>
      <c r="H10812" s="83"/>
      <c r="K10812" s="82"/>
      <c r="M10812" s="112"/>
      <c r="N10812" s="84"/>
    </row>
    <row r="10813" spans="1:14" s="2" customFormat="1">
      <c r="A10813" s="83"/>
      <c r="H10813" s="83"/>
      <c r="K10813" s="82"/>
      <c r="M10813" s="112"/>
      <c r="N10813" s="84"/>
    </row>
    <row r="10814" spans="1:14" s="2" customFormat="1">
      <c r="A10814" s="83"/>
      <c r="H10814" s="83"/>
      <c r="K10814" s="82"/>
      <c r="M10814" s="112"/>
      <c r="N10814" s="84"/>
    </row>
    <row r="10815" spans="1:14" s="2" customFormat="1">
      <c r="A10815" s="83"/>
      <c r="H10815" s="83"/>
      <c r="K10815" s="82"/>
      <c r="M10815" s="112"/>
      <c r="N10815" s="84"/>
    </row>
    <row r="10816" spans="1:14" s="2" customFormat="1">
      <c r="A10816" s="83"/>
      <c r="H10816" s="83"/>
      <c r="K10816" s="82"/>
      <c r="M10816" s="112"/>
      <c r="N10816" s="84"/>
    </row>
    <row r="10817" spans="1:14" s="2" customFormat="1">
      <c r="A10817" s="83"/>
      <c r="H10817" s="83"/>
      <c r="K10817" s="82"/>
      <c r="M10817" s="112"/>
      <c r="N10817" s="84"/>
    </row>
    <row r="10818" spans="1:14" s="2" customFormat="1">
      <c r="A10818" s="83"/>
      <c r="H10818" s="83"/>
      <c r="K10818" s="82"/>
      <c r="M10818" s="112"/>
      <c r="N10818" s="84"/>
    </row>
    <row r="10819" spans="1:14" s="2" customFormat="1">
      <c r="A10819" s="83"/>
      <c r="H10819" s="83"/>
      <c r="K10819" s="82"/>
      <c r="M10819" s="112"/>
      <c r="N10819" s="84"/>
    </row>
    <row r="10820" spans="1:14" s="2" customFormat="1">
      <c r="A10820" s="83"/>
      <c r="H10820" s="83"/>
      <c r="K10820" s="82"/>
      <c r="M10820" s="112"/>
      <c r="N10820" s="84"/>
    </row>
    <row r="10821" spans="1:14" s="2" customFormat="1">
      <c r="A10821" s="83"/>
      <c r="H10821" s="83"/>
      <c r="K10821" s="82"/>
      <c r="M10821" s="112"/>
      <c r="N10821" s="84"/>
    </row>
    <row r="10822" spans="1:14" s="2" customFormat="1">
      <c r="A10822" s="83"/>
      <c r="H10822" s="83"/>
      <c r="K10822" s="82"/>
      <c r="M10822" s="112"/>
      <c r="N10822" s="84"/>
    </row>
    <row r="10823" spans="1:14" s="2" customFormat="1">
      <c r="A10823" s="83"/>
      <c r="H10823" s="83"/>
      <c r="K10823" s="82"/>
      <c r="M10823" s="112"/>
      <c r="N10823" s="84"/>
    </row>
    <row r="10824" spans="1:14" s="2" customFormat="1">
      <c r="A10824" s="83"/>
      <c r="H10824" s="83"/>
      <c r="K10824" s="82"/>
      <c r="M10824" s="112"/>
      <c r="N10824" s="84"/>
    </row>
    <row r="10825" spans="1:14" s="2" customFormat="1">
      <c r="A10825" s="83"/>
      <c r="H10825" s="83"/>
      <c r="K10825" s="82"/>
      <c r="M10825" s="112"/>
      <c r="N10825" s="84"/>
    </row>
    <row r="10826" spans="1:14" s="2" customFormat="1">
      <c r="A10826" s="83"/>
      <c r="H10826" s="83"/>
      <c r="K10826" s="82"/>
      <c r="M10826" s="112"/>
      <c r="N10826" s="84"/>
    </row>
    <row r="10827" spans="1:14" s="2" customFormat="1">
      <c r="A10827" s="83"/>
      <c r="H10827" s="83"/>
      <c r="K10827" s="82"/>
      <c r="M10827" s="112"/>
      <c r="N10827" s="84"/>
    </row>
    <row r="10828" spans="1:14" s="2" customFormat="1">
      <c r="A10828" s="83"/>
      <c r="H10828" s="83"/>
      <c r="K10828" s="82"/>
      <c r="M10828" s="112"/>
      <c r="N10828" s="84"/>
    </row>
    <row r="10829" spans="1:14" s="2" customFormat="1">
      <c r="A10829" s="83"/>
      <c r="H10829" s="83"/>
      <c r="K10829" s="82"/>
      <c r="M10829" s="112"/>
      <c r="N10829" s="84"/>
    </row>
    <row r="10830" spans="1:14" s="2" customFormat="1">
      <c r="A10830" s="83"/>
      <c r="H10830" s="83"/>
      <c r="K10830" s="82"/>
      <c r="M10830" s="112"/>
      <c r="N10830" s="84"/>
    </row>
    <row r="10831" spans="1:14" s="2" customFormat="1">
      <c r="A10831" s="83"/>
      <c r="H10831" s="83"/>
      <c r="K10831" s="82"/>
      <c r="M10831" s="112"/>
      <c r="N10831" s="84"/>
    </row>
    <row r="10832" spans="1:14" s="2" customFormat="1">
      <c r="A10832" s="83"/>
      <c r="H10832" s="83"/>
      <c r="K10832" s="82"/>
      <c r="M10832" s="112"/>
      <c r="N10832" s="84"/>
    </row>
    <row r="10833" spans="1:14" s="2" customFormat="1">
      <c r="A10833" s="83"/>
      <c r="H10833" s="83"/>
      <c r="K10833" s="82"/>
      <c r="M10833" s="112"/>
      <c r="N10833" s="84"/>
    </row>
    <row r="10834" spans="1:14" s="2" customFormat="1">
      <c r="A10834" s="83"/>
      <c r="H10834" s="83"/>
      <c r="K10834" s="82"/>
      <c r="M10834" s="112"/>
      <c r="N10834" s="84"/>
    </row>
    <row r="10835" spans="1:14" s="2" customFormat="1">
      <c r="A10835" s="83"/>
      <c r="H10835" s="83"/>
      <c r="K10835" s="82"/>
      <c r="M10835" s="112"/>
      <c r="N10835" s="84"/>
    </row>
    <row r="10836" spans="1:14" s="2" customFormat="1">
      <c r="A10836" s="83"/>
      <c r="H10836" s="83"/>
      <c r="K10836" s="82"/>
      <c r="M10836" s="112"/>
      <c r="N10836" s="84"/>
    </row>
    <row r="10837" spans="1:14" s="2" customFormat="1">
      <c r="A10837" s="83"/>
      <c r="H10837" s="83"/>
      <c r="K10837" s="82"/>
      <c r="M10837" s="112"/>
      <c r="N10837" s="84"/>
    </row>
    <row r="10838" spans="1:14" s="2" customFormat="1">
      <c r="A10838" s="83"/>
      <c r="H10838" s="83"/>
      <c r="K10838" s="82"/>
      <c r="M10838" s="112"/>
      <c r="N10838" s="84"/>
    </row>
    <row r="10839" spans="1:14" s="2" customFormat="1">
      <c r="A10839" s="83"/>
      <c r="H10839" s="83"/>
      <c r="K10839" s="82"/>
      <c r="M10839" s="112"/>
      <c r="N10839" s="84"/>
    </row>
    <row r="10840" spans="1:14" s="2" customFormat="1">
      <c r="A10840" s="83"/>
      <c r="H10840" s="83"/>
      <c r="K10840" s="82"/>
      <c r="M10840" s="112"/>
      <c r="N10840" s="84"/>
    </row>
    <row r="10841" spans="1:14" s="2" customFormat="1">
      <c r="A10841" s="83"/>
      <c r="H10841" s="83"/>
      <c r="K10841" s="82"/>
      <c r="M10841" s="112"/>
      <c r="N10841" s="84"/>
    </row>
    <row r="10842" spans="1:14" s="2" customFormat="1">
      <c r="A10842" s="83"/>
      <c r="H10842" s="83"/>
      <c r="K10842" s="82"/>
      <c r="M10842" s="112"/>
      <c r="N10842" s="84"/>
    </row>
    <row r="10843" spans="1:14" s="2" customFormat="1">
      <c r="A10843" s="83"/>
      <c r="H10843" s="83"/>
      <c r="K10843" s="82"/>
      <c r="M10843" s="112"/>
      <c r="N10843" s="84"/>
    </row>
    <row r="10844" spans="1:14" s="2" customFormat="1">
      <c r="A10844" s="83"/>
      <c r="H10844" s="83"/>
      <c r="K10844" s="82"/>
      <c r="M10844" s="112"/>
      <c r="N10844" s="84"/>
    </row>
    <row r="10845" spans="1:14" s="2" customFormat="1">
      <c r="A10845" s="83"/>
      <c r="H10845" s="83"/>
      <c r="K10845" s="82"/>
      <c r="M10845" s="112"/>
      <c r="N10845" s="84"/>
    </row>
    <row r="10846" spans="1:14" s="2" customFormat="1">
      <c r="A10846" s="83"/>
      <c r="H10846" s="83"/>
      <c r="K10846" s="82"/>
      <c r="M10846" s="112"/>
      <c r="N10846" s="84"/>
    </row>
    <row r="10847" spans="1:14" s="2" customFormat="1">
      <c r="A10847" s="83"/>
      <c r="H10847" s="83"/>
      <c r="K10847" s="82"/>
      <c r="M10847" s="112"/>
      <c r="N10847" s="84"/>
    </row>
    <row r="10848" spans="1:14" s="2" customFormat="1">
      <c r="A10848" s="83"/>
      <c r="H10848" s="83"/>
      <c r="K10848" s="82"/>
      <c r="M10848" s="112"/>
      <c r="N10848" s="84"/>
    </row>
    <row r="10849" spans="1:14" s="2" customFormat="1">
      <c r="A10849" s="83"/>
      <c r="H10849" s="83"/>
      <c r="K10849" s="82"/>
      <c r="M10849" s="112"/>
      <c r="N10849" s="84"/>
    </row>
    <row r="10850" spans="1:14" s="2" customFormat="1">
      <c r="A10850" s="83"/>
      <c r="H10850" s="83"/>
      <c r="K10850" s="82"/>
      <c r="M10850" s="112"/>
      <c r="N10850" s="84"/>
    </row>
    <row r="10851" spans="1:14" s="2" customFormat="1">
      <c r="A10851" s="83"/>
      <c r="H10851" s="83"/>
      <c r="K10851" s="82"/>
      <c r="M10851" s="112"/>
      <c r="N10851" s="84"/>
    </row>
    <row r="10852" spans="1:14" s="2" customFormat="1">
      <c r="A10852" s="83"/>
      <c r="H10852" s="83"/>
      <c r="K10852" s="82"/>
      <c r="M10852" s="112"/>
      <c r="N10852" s="84"/>
    </row>
    <row r="10853" spans="1:14" s="2" customFormat="1">
      <c r="A10853" s="83"/>
      <c r="H10853" s="83"/>
      <c r="K10853" s="82"/>
      <c r="M10853" s="112"/>
      <c r="N10853" s="84"/>
    </row>
    <row r="10854" spans="1:14" s="2" customFormat="1">
      <c r="A10854" s="83"/>
      <c r="H10854" s="83"/>
      <c r="K10854" s="82"/>
      <c r="M10854" s="112"/>
      <c r="N10854" s="84"/>
    </row>
    <row r="10855" spans="1:14" s="2" customFormat="1">
      <c r="A10855" s="83"/>
      <c r="H10855" s="83"/>
      <c r="K10855" s="82"/>
      <c r="M10855" s="112"/>
      <c r="N10855" s="84"/>
    </row>
    <row r="10856" spans="1:14" s="2" customFormat="1">
      <c r="A10856" s="83"/>
      <c r="H10856" s="83"/>
      <c r="K10856" s="82"/>
      <c r="M10856" s="112"/>
      <c r="N10856" s="84"/>
    </row>
    <row r="10857" spans="1:14" s="2" customFormat="1">
      <c r="A10857" s="83"/>
      <c r="H10857" s="83"/>
      <c r="K10857" s="82"/>
      <c r="M10857" s="112"/>
      <c r="N10857" s="84"/>
    </row>
    <row r="10858" spans="1:14" s="2" customFormat="1">
      <c r="A10858" s="83"/>
      <c r="H10858" s="83"/>
      <c r="K10858" s="82"/>
      <c r="M10858" s="112"/>
      <c r="N10858" s="84"/>
    </row>
    <row r="10859" spans="1:14" s="2" customFormat="1">
      <c r="A10859" s="83"/>
      <c r="H10859" s="83"/>
      <c r="K10859" s="82"/>
      <c r="M10859" s="112"/>
      <c r="N10859" s="84"/>
    </row>
    <row r="10860" spans="1:14" s="2" customFormat="1">
      <c r="A10860" s="83"/>
      <c r="H10860" s="83"/>
      <c r="K10860" s="82"/>
      <c r="M10860" s="112"/>
      <c r="N10860" s="84"/>
    </row>
    <row r="10861" spans="1:14" s="2" customFormat="1">
      <c r="A10861" s="83"/>
      <c r="H10861" s="83"/>
      <c r="K10861" s="82"/>
      <c r="M10861" s="112"/>
      <c r="N10861" s="84"/>
    </row>
    <row r="10862" spans="1:14" s="2" customFormat="1">
      <c r="A10862" s="83"/>
      <c r="H10862" s="83"/>
      <c r="K10862" s="82"/>
      <c r="M10862" s="112"/>
      <c r="N10862" s="84"/>
    </row>
    <row r="10863" spans="1:14" s="2" customFormat="1">
      <c r="A10863" s="83"/>
      <c r="H10863" s="83"/>
      <c r="K10863" s="82"/>
      <c r="M10863" s="112"/>
      <c r="N10863" s="84"/>
    </row>
    <row r="10864" spans="1:14" s="2" customFormat="1">
      <c r="A10864" s="83"/>
      <c r="H10864" s="83"/>
      <c r="K10864" s="82"/>
      <c r="M10864" s="112"/>
      <c r="N10864" s="84"/>
    </row>
    <row r="10865" spans="1:14" s="2" customFormat="1">
      <c r="A10865" s="83"/>
      <c r="H10865" s="83"/>
      <c r="K10865" s="82"/>
      <c r="M10865" s="112"/>
      <c r="N10865" s="84"/>
    </row>
    <row r="10866" spans="1:14" s="2" customFormat="1">
      <c r="A10866" s="83"/>
      <c r="H10866" s="83"/>
      <c r="K10866" s="82"/>
      <c r="M10866" s="112"/>
      <c r="N10866" s="84"/>
    </row>
    <row r="10867" spans="1:14" s="2" customFormat="1">
      <c r="A10867" s="83"/>
      <c r="H10867" s="83"/>
      <c r="K10867" s="82"/>
      <c r="M10867" s="112"/>
      <c r="N10867" s="84"/>
    </row>
    <row r="10868" spans="1:14" s="2" customFormat="1">
      <c r="A10868" s="83"/>
      <c r="H10868" s="83"/>
      <c r="K10868" s="82"/>
      <c r="M10868" s="112"/>
      <c r="N10868" s="84"/>
    </row>
    <row r="10869" spans="1:14" s="2" customFormat="1">
      <c r="A10869" s="83"/>
      <c r="H10869" s="83"/>
      <c r="K10869" s="82"/>
      <c r="M10869" s="112"/>
      <c r="N10869" s="84"/>
    </row>
    <row r="10870" spans="1:14" s="2" customFormat="1">
      <c r="A10870" s="83"/>
      <c r="H10870" s="83"/>
      <c r="K10870" s="82"/>
      <c r="M10870" s="112"/>
      <c r="N10870" s="84"/>
    </row>
    <row r="10871" spans="1:14" s="2" customFormat="1">
      <c r="A10871" s="83"/>
      <c r="H10871" s="83"/>
      <c r="K10871" s="82"/>
      <c r="M10871" s="112"/>
      <c r="N10871" s="84"/>
    </row>
    <row r="10872" spans="1:14" s="2" customFormat="1">
      <c r="A10872" s="83"/>
      <c r="H10872" s="83"/>
      <c r="K10872" s="82"/>
      <c r="M10872" s="112"/>
      <c r="N10872" s="84"/>
    </row>
    <row r="10873" spans="1:14" s="2" customFormat="1">
      <c r="A10873" s="83"/>
      <c r="H10873" s="83"/>
      <c r="K10873" s="82"/>
      <c r="M10873" s="112"/>
      <c r="N10873" s="84"/>
    </row>
    <row r="10874" spans="1:14" s="2" customFormat="1">
      <c r="A10874" s="83"/>
      <c r="H10874" s="83"/>
      <c r="K10874" s="82"/>
      <c r="M10874" s="112"/>
      <c r="N10874" s="84"/>
    </row>
    <row r="10875" spans="1:14" s="2" customFormat="1">
      <c r="A10875" s="83"/>
      <c r="H10875" s="83"/>
      <c r="K10875" s="82"/>
      <c r="M10875" s="112"/>
      <c r="N10875" s="84"/>
    </row>
    <row r="10876" spans="1:14" s="2" customFormat="1">
      <c r="A10876" s="83"/>
      <c r="H10876" s="83"/>
      <c r="K10876" s="82"/>
      <c r="M10876" s="112"/>
      <c r="N10876" s="84"/>
    </row>
    <row r="10877" spans="1:14" s="2" customFormat="1">
      <c r="A10877" s="83"/>
      <c r="H10877" s="83"/>
      <c r="K10877" s="82"/>
      <c r="M10877" s="112"/>
      <c r="N10877" s="84"/>
    </row>
    <row r="10878" spans="1:14" s="2" customFormat="1">
      <c r="A10878" s="83"/>
      <c r="H10878" s="83"/>
      <c r="K10878" s="82"/>
      <c r="M10878" s="112"/>
      <c r="N10878" s="84"/>
    </row>
    <row r="10879" spans="1:14" s="2" customFormat="1">
      <c r="A10879" s="83"/>
      <c r="H10879" s="83"/>
      <c r="K10879" s="82"/>
      <c r="M10879" s="112"/>
      <c r="N10879" s="84"/>
    </row>
    <row r="10880" spans="1:14" s="2" customFormat="1">
      <c r="A10880" s="83"/>
      <c r="H10880" s="83"/>
      <c r="K10880" s="82"/>
      <c r="M10880" s="112"/>
      <c r="N10880" s="84"/>
    </row>
    <row r="10881" spans="1:14" s="2" customFormat="1">
      <c r="A10881" s="83"/>
      <c r="H10881" s="83"/>
      <c r="K10881" s="82"/>
      <c r="M10881" s="112"/>
      <c r="N10881" s="84"/>
    </row>
    <row r="10882" spans="1:14" s="2" customFormat="1">
      <c r="A10882" s="83"/>
      <c r="H10882" s="83"/>
      <c r="K10882" s="82"/>
      <c r="M10882" s="112"/>
      <c r="N10882" s="84"/>
    </row>
    <row r="10883" spans="1:14" s="2" customFormat="1">
      <c r="A10883" s="83"/>
      <c r="H10883" s="83"/>
      <c r="K10883" s="82"/>
      <c r="M10883" s="112"/>
      <c r="N10883" s="84"/>
    </row>
    <row r="10884" spans="1:14" s="2" customFormat="1">
      <c r="A10884" s="83"/>
      <c r="H10884" s="83"/>
      <c r="K10884" s="82"/>
      <c r="M10884" s="112"/>
      <c r="N10884" s="84"/>
    </row>
    <row r="10885" spans="1:14" s="2" customFormat="1">
      <c r="A10885" s="83"/>
      <c r="H10885" s="83"/>
      <c r="K10885" s="82"/>
      <c r="M10885" s="112"/>
      <c r="N10885" s="84"/>
    </row>
    <row r="10886" spans="1:14" s="2" customFormat="1">
      <c r="A10886" s="83"/>
      <c r="H10886" s="83"/>
      <c r="K10886" s="82"/>
      <c r="M10886" s="112"/>
      <c r="N10886" s="84"/>
    </row>
    <row r="10887" spans="1:14" s="2" customFormat="1">
      <c r="A10887" s="83"/>
      <c r="H10887" s="83"/>
      <c r="K10887" s="82"/>
      <c r="M10887" s="112"/>
      <c r="N10887" s="84"/>
    </row>
    <row r="10888" spans="1:14" s="2" customFormat="1">
      <c r="A10888" s="83"/>
      <c r="H10888" s="83"/>
      <c r="K10888" s="82"/>
      <c r="M10888" s="112"/>
      <c r="N10888" s="84"/>
    </row>
    <row r="10889" spans="1:14" s="2" customFormat="1">
      <c r="A10889" s="83"/>
      <c r="H10889" s="83"/>
      <c r="K10889" s="82"/>
      <c r="M10889" s="112"/>
      <c r="N10889" s="84"/>
    </row>
    <row r="10890" spans="1:14" s="2" customFormat="1">
      <c r="A10890" s="83"/>
      <c r="H10890" s="83"/>
      <c r="K10890" s="82"/>
      <c r="M10890" s="112"/>
      <c r="N10890" s="84"/>
    </row>
    <row r="10891" spans="1:14" s="2" customFormat="1">
      <c r="A10891" s="83"/>
      <c r="H10891" s="83"/>
      <c r="K10891" s="82"/>
      <c r="M10891" s="112"/>
      <c r="N10891" s="84"/>
    </row>
    <row r="10892" spans="1:14" s="2" customFormat="1">
      <c r="A10892" s="83"/>
      <c r="H10892" s="83"/>
      <c r="K10892" s="82"/>
      <c r="M10892" s="112"/>
      <c r="N10892" s="84"/>
    </row>
    <row r="10893" spans="1:14" s="2" customFormat="1">
      <c r="A10893" s="83"/>
      <c r="H10893" s="83"/>
      <c r="K10893" s="82"/>
      <c r="M10893" s="112"/>
      <c r="N10893" s="84"/>
    </row>
    <row r="10894" spans="1:14" s="2" customFormat="1">
      <c r="A10894" s="83"/>
      <c r="H10894" s="83"/>
      <c r="K10894" s="82"/>
      <c r="M10894" s="112"/>
      <c r="N10894" s="84"/>
    </row>
    <row r="10895" spans="1:14" s="2" customFormat="1">
      <c r="A10895" s="83"/>
      <c r="H10895" s="83"/>
      <c r="K10895" s="82"/>
      <c r="M10895" s="112"/>
      <c r="N10895" s="84"/>
    </row>
    <row r="10896" spans="1:14" s="2" customFormat="1">
      <c r="A10896" s="83"/>
      <c r="H10896" s="83"/>
      <c r="K10896" s="82"/>
      <c r="M10896" s="112"/>
      <c r="N10896" s="84"/>
    </row>
    <row r="10897" spans="1:14" s="2" customFormat="1">
      <c r="A10897" s="83"/>
      <c r="H10897" s="83"/>
      <c r="K10897" s="82"/>
      <c r="M10897" s="112"/>
      <c r="N10897" s="84"/>
    </row>
    <row r="10898" spans="1:14" s="2" customFormat="1">
      <c r="A10898" s="83"/>
      <c r="H10898" s="83"/>
      <c r="K10898" s="82"/>
      <c r="M10898" s="112"/>
      <c r="N10898" s="84"/>
    </row>
    <row r="10899" spans="1:14" s="2" customFormat="1">
      <c r="A10899" s="83"/>
      <c r="H10899" s="83"/>
      <c r="K10899" s="82"/>
      <c r="M10899" s="112"/>
      <c r="N10899" s="84"/>
    </row>
    <row r="10900" spans="1:14" s="2" customFormat="1">
      <c r="A10900" s="83"/>
      <c r="H10900" s="83"/>
      <c r="K10900" s="82"/>
      <c r="M10900" s="112"/>
      <c r="N10900" s="84"/>
    </row>
    <row r="10901" spans="1:14" s="2" customFormat="1">
      <c r="A10901" s="83"/>
      <c r="H10901" s="83"/>
      <c r="K10901" s="82"/>
      <c r="M10901" s="112"/>
      <c r="N10901" s="84"/>
    </row>
    <row r="10902" spans="1:14" s="2" customFormat="1">
      <c r="A10902" s="83"/>
      <c r="H10902" s="83"/>
      <c r="K10902" s="82"/>
      <c r="M10902" s="112"/>
      <c r="N10902" s="84"/>
    </row>
    <row r="10903" spans="1:14" s="2" customFormat="1">
      <c r="A10903" s="83"/>
      <c r="H10903" s="83"/>
      <c r="K10903" s="82"/>
      <c r="M10903" s="112"/>
      <c r="N10903" s="84"/>
    </row>
    <row r="10904" spans="1:14" s="2" customFormat="1">
      <c r="A10904" s="83"/>
      <c r="H10904" s="83"/>
      <c r="K10904" s="82"/>
      <c r="M10904" s="112"/>
      <c r="N10904" s="84"/>
    </row>
    <row r="10905" spans="1:14" s="2" customFormat="1">
      <c r="A10905" s="83"/>
      <c r="H10905" s="83"/>
      <c r="K10905" s="82"/>
      <c r="M10905" s="112"/>
      <c r="N10905" s="84"/>
    </row>
    <row r="10906" spans="1:14" s="2" customFormat="1">
      <c r="A10906" s="83"/>
      <c r="H10906" s="83"/>
      <c r="K10906" s="82"/>
      <c r="M10906" s="112"/>
      <c r="N10906" s="84"/>
    </row>
    <row r="10907" spans="1:14" s="2" customFormat="1">
      <c r="A10907" s="83"/>
      <c r="H10907" s="83"/>
      <c r="K10907" s="82"/>
      <c r="M10907" s="112"/>
      <c r="N10907" s="84"/>
    </row>
    <row r="10908" spans="1:14" s="2" customFormat="1">
      <c r="A10908" s="83"/>
      <c r="H10908" s="83"/>
      <c r="K10908" s="82"/>
      <c r="M10908" s="112"/>
      <c r="N10908" s="84"/>
    </row>
    <row r="10909" spans="1:14" s="2" customFormat="1">
      <c r="A10909" s="83"/>
      <c r="H10909" s="83"/>
      <c r="K10909" s="82"/>
      <c r="M10909" s="112"/>
      <c r="N10909" s="84"/>
    </row>
    <row r="10910" spans="1:14" s="2" customFormat="1">
      <c r="A10910" s="83"/>
      <c r="H10910" s="83"/>
      <c r="K10910" s="82"/>
      <c r="M10910" s="112"/>
      <c r="N10910" s="84"/>
    </row>
    <row r="10911" spans="1:14" s="2" customFormat="1">
      <c r="A10911" s="83"/>
      <c r="H10911" s="83"/>
      <c r="K10911" s="82"/>
      <c r="M10911" s="112"/>
      <c r="N10911" s="84"/>
    </row>
    <row r="10912" spans="1:14" s="2" customFormat="1">
      <c r="A10912" s="83"/>
      <c r="H10912" s="83"/>
      <c r="K10912" s="82"/>
      <c r="M10912" s="112"/>
      <c r="N10912" s="84"/>
    </row>
    <row r="10913" spans="1:14" s="2" customFormat="1">
      <c r="A10913" s="83"/>
      <c r="H10913" s="83"/>
      <c r="K10913" s="82"/>
      <c r="M10913" s="112"/>
      <c r="N10913" s="84"/>
    </row>
    <row r="10914" spans="1:14" s="2" customFormat="1">
      <c r="A10914" s="83"/>
      <c r="H10914" s="83"/>
      <c r="K10914" s="82"/>
      <c r="M10914" s="112"/>
      <c r="N10914" s="84"/>
    </row>
    <row r="10915" spans="1:14" s="2" customFormat="1">
      <c r="A10915" s="83"/>
      <c r="H10915" s="83"/>
      <c r="K10915" s="82"/>
      <c r="M10915" s="112"/>
      <c r="N10915" s="84"/>
    </row>
    <row r="10916" spans="1:14" s="2" customFormat="1">
      <c r="A10916" s="83"/>
      <c r="H10916" s="83"/>
      <c r="K10916" s="82"/>
      <c r="M10916" s="112"/>
      <c r="N10916" s="84"/>
    </row>
    <row r="10917" spans="1:14" s="2" customFormat="1">
      <c r="A10917" s="83"/>
      <c r="H10917" s="83"/>
      <c r="K10917" s="82"/>
      <c r="M10917" s="112"/>
      <c r="N10917" s="84"/>
    </row>
    <row r="10918" spans="1:14" s="2" customFormat="1">
      <c r="A10918" s="83"/>
      <c r="H10918" s="83"/>
      <c r="K10918" s="82"/>
      <c r="M10918" s="112"/>
      <c r="N10918" s="84"/>
    </row>
    <row r="10919" spans="1:14" s="2" customFormat="1">
      <c r="A10919" s="83"/>
      <c r="H10919" s="83"/>
      <c r="K10919" s="82"/>
      <c r="M10919" s="112"/>
      <c r="N10919" s="84"/>
    </row>
    <row r="10920" spans="1:14" s="2" customFormat="1">
      <c r="A10920" s="83"/>
      <c r="H10920" s="83"/>
      <c r="K10920" s="82"/>
      <c r="M10920" s="112"/>
      <c r="N10920" s="84"/>
    </row>
    <row r="10921" spans="1:14" s="2" customFormat="1">
      <c r="A10921" s="83"/>
      <c r="H10921" s="83"/>
      <c r="K10921" s="82"/>
      <c r="M10921" s="112"/>
      <c r="N10921" s="84"/>
    </row>
    <row r="10922" spans="1:14" s="2" customFormat="1">
      <c r="A10922" s="83"/>
      <c r="H10922" s="83"/>
      <c r="K10922" s="82"/>
      <c r="M10922" s="112"/>
      <c r="N10922" s="84"/>
    </row>
    <row r="10923" spans="1:14" s="2" customFormat="1">
      <c r="A10923" s="83"/>
      <c r="H10923" s="83"/>
      <c r="K10923" s="82"/>
      <c r="M10923" s="112"/>
      <c r="N10923" s="84"/>
    </row>
    <row r="10924" spans="1:14" s="2" customFormat="1">
      <c r="A10924" s="83"/>
      <c r="H10924" s="83"/>
      <c r="K10924" s="82"/>
      <c r="M10924" s="112"/>
      <c r="N10924" s="84"/>
    </row>
    <row r="10925" spans="1:14" s="2" customFormat="1">
      <c r="A10925" s="83"/>
      <c r="H10925" s="83"/>
      <c r="K10925" s="82"/>
      <c r="M10925" s="112"/>
      <c r="N10925" s="84"/>
    </row>
    <row r="10926" spans="1:14" s="2" customFormat="1">
      <c r="A10926" s="83"/>
      <c r="H10926" s="83"/>
      <c r="K10926" s="82"/>
      <c r="M10926" s="112"/>
      <c r="N10926" s="84"/>
    </row>
    <row r="10927" spans="1:14" s="2" customFormat="1">
      <c r="A10927" s="83"/>
      <c r="H10927" s="83"/>
      <c r="K10927" s="82"/>
      <c r="M10927" s="112"/>
      <c r="N10927" s="84"/>
    </row>
    <row r="10928" spans="1:14" s="2" customFormat="1">
      <c r="A10928" s="83"/>
      <c r="H10928" s="83"/>
      <c r="K10928" s="82"/>
      <c r="M10928" s="112"/>
      <c r="N10928" s="84"/>
    </row>
    <row r="10929" spans="1:14" s="2" customFormat="1">
      <c r="A10929" s="83"/>
      <c r="H10929" s="83"/>
      <c r="K10929" s="82"/>
      <c r="M10929" s="112"/>
      <c r="N10929" s="84"/>
    </row>
    <row r="10930" spans="1:14" s="2" customFormat="1">
      <c r="A10930" s="83"/>
      <c r="H10930" s="83"/>
      <c r="K10930" s="82"/>
      <c r="M10930" s="112"/>
      <c r="N10930" s="84"/>
    </row>
    <row r="10931" spans="1:14" s="2" customFormat="1">
      <c r="A10931" s="83"/>
      <c r="H10931" s="83"/>
      <c r="K10931" s="82"/>
      <c r="M10931" s="112"/>
      <c r="N10931" s="84"/>
    </row>
    <row r="10932" spans="1:14" s="2" customFormat="1">
      <c r="A10932" s="83"/>
      <c r="H10932" s="83"/>
      <c r="K10932" s="82"/>
      <c r="M10932" s="112"/>
      <c r="N10932" s="84"/>
    </row>
    <row r="10933" spans="1:14" s="2" customFormat="1">
      <c r="A10933" s="83"/>
      <c r="H10933" s="83"/>
      <c r="K10933" s="82"/>
      <c r="M10933" s="112"/>
      <c r="N10933" s="84"/>
    </row>
    <row r="10934" spans="1:14" s="2" customFormat="1">
      <c r="A10934" s="83"/>
      <c r="H10934" s="83"/>
      <c r="K10934" s="82"/>
      <c r="M10934" s="112"/>
      <c r="N10934" s="84"/>
    </row>
    <row r="10935" spans="1:14" s="2" customFormat="1">
      <c r="A10935" s="83"/>
      <c r="H10935" s="83"/>
      <c r="K10935" s="82"/>
      <c r="M10935" s="112"/>
      <c r="N10935" s="84"/>
    </row>
    <row r="10936" spans="1:14" s="2" customFormat="1">
      <c r="A10936" s="83"/>
      <c r="H10936" s="83"/>
      <c r="K10936" s="82"/>
      <c r="M10936" s="112"/>
      <c r="N10936" s="84"/>
    </row>
    <row r="10937" spans="1:14" s="2" customFormat="1">
      <c r="A10937" s="83"/>
      <c r="H10937" s="83"/>
      <c r="K10937" s="82"/>
      <c r="M10937" s="112"/>
      <c r="N10937" s="84"/>
    </row>
    <row r="10938" spans="1:14" s="2" customFormat="1">
      <c r="A10938" s="83"/>
      <c r="H10938" s="83"/>
      <c r="K10938" s="82"/>
      <c r="M10938" s="112"/>
      <c r="N10938" s="84"/>
    </row>
    <row r="10939" spans="1:14" s="2" customFormat="1">
      <c r="A10939" s="83"/>
      <c r="H10939" s="83"/>
      <c r="K10939" s="82"/>
      <c r="M10939" s="112"/>
      <c r="N10939" s="84"/>
    </row>
    <row r="10940" spans="1:14" s="2" customFormat="1">
      <c r="A10940" s="83"/>
      <c r="H10940" s="83"/>
      <c r="K10940" s="82"/>
      <c r="M10940" s="112"/>
      <c r="N10940" s="84"/>
    </row>
    <row r="10941" spans="1:14" s="2" customFormat="1">
      <c r="A10941" s="83"/>
      <c r="H10941" s="83"/>
      <c r="K10941" s="82"/>
      <c r="M10941" s="112"/>
      <c r="N10941" s="84"/>
    </row>
    <row r="10942" spans="1:14" s="2" customFormat="1">
      <c r="A10942" s="83"/>
      <c r="H10942" s="83"/>
      <c r="K10942" s="82"/>
      <c r="M10942" s="112"/>
      <c r="N10942" s="84"/>
    </row>
    <row r="10943" spans="1:14" s="2" customFormat="1">
      <c r="A10943" s="83"/>
      <c r="H10943" s="83"/>
      <c r="K10943" s="82"/>
      <c r="M10943" s="112"/>
      <c r="N10943" s="84"/>
    </row>
    <row r="10944" spans="1:14" s="2" customFormat="1">
      <c r="A10944" s="83"/>
      <c r="H10944" s="83"/>
      <c r="K10944" s="82"/>
      <c r="M10944" s="112"/>
      <c r="N10944" s="84"/>
    </row>
    <row r="10945" spans="1:14" s="2" customFormat="1">
      <c r="A10945" s="83"/>
      <c r="H10945" s="83"/>
      <c r="K10945" s="82"/>
      <c r="M10945" s="112"/>
      <c r="N10945" s="84"/>
    </row>
    <row r="10946" spans="1:14" s="2" customFormat="1">
      <c r="A10946" s="83"/>
      <c r="H10946" s="83"/>
      <c r="K10946" s="82"/>
      <c r="M10946" s="112"/>
      <c r="N10946" s="84"/>
    </row>
    <row r="10947" spans="1:14" s="2" customFormat="1">
      <c r="A10947" s="83"/>
      <c r="H10947" s="83"/>
      <c r="K10947" s="82"/>
      <c r="M10947" s="112"/>
      <c r="N10947" s="84"/>
    </row>
    <row r="10948" spans="1:14" s="2" customFormat="1">
      <c r="A10948" s="83"/>
      <c r="H10948" s="83"/>
      <c r="K10948" s="82"/>
      <c r="M10948" s="112"/>
      <c r="N10948" s="84"/>
    </row>
    <row r="10949" spans="1:14" s="2" customFormat="1">
      <c r="A10949" s="83"/>
      <c r="H10949" s="83"/>
      <c r="K10949" s="82"/>
      <c r="M10949" s="112"/>
      <c r="N10949" s="84"/>
    </row>
    <row r="10950" spans="1:14" s="2" customFormat="1">
      <c r="A10950" s="83"/>
      <c r="H10950" s="83"/>
      <c r="K10950" s="82"/>
      <c r="M10950" s="112"/>
      <c r="N10950" s="84"/>
    </row>
    <row r="10951" spans="1:14" s="2" customFormat="1">
      <c r="A10951" s="83"/>
      <c r="H10951" s="83"/>
      <c r="K10951" s="82"/>
      <c r="M10951" s="112"/>
      <c r="N10951" s="84"/>
    </row>
    <row r="10952" spans="1:14" s="2" customFormat="1">
      <c r="A10952" s="83"/>
      <c r="H10952" s="83"/>
      <c r="K10952" s="82"/>
      <c r="M10952" s="112"/>
      <c r="N10952" s="84"/>
    </row>
    <row r="10953" spans="1:14" s="2" customFormat="1">
      <c r="A10953" s="83"/>
      <c r="H10953" s="83"/>
      <c r="K10953" s="82"/>
      <c r="M10953" s="112"/>
      <c r="N10953" s="84"/>
    </row>
    <row r="10954" spans="1:14" s="2" customFormat="1">
      <c r="A10954" s="83"/>
      <c r="H10954" s="83"/>
      <c r="K10954" s="82"/>
      <c r="M10954" s="112"/>
      <c r="N10954" s="84"/>
    </row>
    <row r="10955" spans="1:14" s="2" customFormat="1">
      <c r="A10955" s="83"/>
      <c r="H10955" s="83"/>
      <c r="K10955" s="82"/>
      <c r="M10955" s="112"/>
      <c r="N10955" s="84"/>
    </row>
    <row r="10956" spans="1:14" s="2" customFormat="1">
      <c r="A10956" s="83"/>
      <c r="H10956" s="83"/>
      <c r="K10956" s="82"/>
      <c r="M10956" s="112"/>
      <c r="N10956" s="84"/>
    </row>
    <row r="10957" spans="1:14" s="2" customFormat="1">
      <c r="A10957" s="83"/>
      <c r="H10957" s="83"/>
      <c r="K10957" s="82"/>
      <c r="M10957" s="112"/>
      <c r="N10957" s="84"/>
    </row>
    <row r="10958" spans="1:14" s="2" customFormat="1">
      <c r="A10958" s="83"/>
      <c r="H10958" s="83"/>
      <c r="K10958" s="82"/>
      <c r="M10958" s="112"/>
      <c r="N10958" s="84"/>
    </row>
    <row r="10959" spans="1:14" s="2" customFormat="1">
      <c r="A10959" s="83"/>
      <c r="H10959" s="83"/>
      <c r="K10959" s="82"/>
      <c r="M10959" s="112"/>
      <c r="N10959" s="84"/>
    </row>
    <row r="10960" spans="1:14" s="2" customFormat="1">
      <c r="A10960" s="83"/>
      <c r="H10960" s="83"/>
      <c r="K10960" s="82"/>
      <c r="M10960" s="112"/>
      <c r="N10960" s="84"/>
    </row>
    <row r="10961" spans="1:14" s="2" customFormat="1">
      <c r="A10961" s="83"/>
      <c r="H10961" s="83"/>
      <c r="K10961" s="82"/>
      <c r="M10961" s="112"/>
      <c r="N10961" s="84"/>
    </row>
    <row r="10962" spans="1:14" s="2" customFormat="1">
      <c r="A10962" s="83"/>
      <c r="H10962" s="83"/>
      <c r="K10962" s="82"/>
      <c r="M10962" s="112"/>
      <c r="N10962" s="84"/>
    </row>
    <row r="10963" spans="1:14" s="2" customFormat="1">
      <c r="A10963" s="83"/>
      <c r="H10963" s="83"/>
      <c r="K10963" s="82"/>
      <c r="M10963" s="112"/>
      <c r="N10963" s="84"/>
    </row>
    <row r="10964" spans="1:14" s="2" customFormat="1">
      <c r="A10964" s="83"/>
      <c r="H10964" s="83"/>
      <c r="K10964" s="82"/>
      <c r="M10964" s="112"/>
      <c r="N10964" s="84"/>
    </row>
    <row r="10965" spans="1:14" s="2" customFormat="1">
      <c r="A10965" s="83"/>
      <c r="H10965" s="83"/>
      <c r="K10965" s="82"/>
      <c r="M10965" s="112"/>
      <c r="N10965" s="84"/>
    </row>
    <row r="10966" spans="1:14" s="2" customFormat="1">
      <c r="A10966" s="83"/>
      <c r="H10966" s="83"/>
      <c r="K10966" s="82"/>
      <c r="M10966" s="112"/>
      <c r="N10966" s="84"/>
    </row>
    <row r="10967" spans="1:14" s="2" customFormat="1">
      <c r="A10967" s="83"/>
      <c r="H10967" s="83"/>
      <c r="K10967" s="82"/>
      <c r="M10967" s="112"/>
      <c r="N10967" s="84"/>
    </row>
    <row r="10968" spans="1:14" s="2" customFormat="1">
      <c r="A10968" s="83"/>
      <c r="H10968" s="83"/>
      <c r="K10968" s="82"/>
      <c r="M10968" s="112"/>
      <c r="N10968" s="84"/>
    </row>
    <row r="10969" spans="1:14" s="2" customFormat="1">
      <c r="A10969" s="83"/>
      <c r="H10969" s="83"/>
      <c r="K10969" s="82"/>
      <c r="M10969" s="112"/>
      <c r="N10969" s="84"/>
    </row>
    <row r="10970" spans="1:14" s="2" customFormat="1">
      <c r="A10970" s="83"/>
      <c r="H10970" s="83"/>
      <c r="K10970" s="82"/>
      <c r="M10970" s="112"/>
      <c r="N10970" s="84"/>
    </row>
    <row r="10971" spans="1:14" s="2" customFormat="1">
      <c r="A10971" s="83"/>
      <c r="H10971" s="83"/>
      <c r="K10971" s="82"/>
      <c r="M10971" s="112"/>
      <c r="N10971" s="84"/>
    </row>
    <row r="10972" spans="1:14" s="2" customFormat="1">
      <c r="A10972" s="83"/>
      <c r="H10972" s="83"/>
      <c r="K10972" s="82"/>
      <c r="M10972" s="112"/>
      <c r="N10972" s="84"/>
    </row>
    <row r="10973" spans="1:14" s="2" customFormat="1">
      <c r="A10973" s="83"/>
      <c r="H10973" s="83"/>
      <c r="K10973" s="82"/>
      <c r="M10973" s="112"/>
      <c r="N10973" s="84"/>
    </row>
    <row r="10974" spans="1:14" s="2" customFormat="1">
      <c r="A10974" s="83"/>
      <c r="H10974" s="83"/>
      <c r="K10974" s="82"/>
      <c r="M10974" s="112"/>
      <c r="N10974" s="84"/>
    </row>
    <row r="10975" spans="1:14" s="2" customFormat="1">
      <c r="A10975" s="83"/>
      <c r="H10975" s="83"/>
      <c r="K10975" s="82"/>
      <c r="M10975" s="112"/>
      <c r="N10975" s="84"/>
    </row>
    <row r="10976" spans="1:14" s="2" customFormat="1">
      <c r="A10976" s="83"/>
      <c r="H10976" s="83"/>
      <c r="K10976" s="82"/>
      <c r="M10976" s="112"/>
      <c r="N10976" s="84"/>
    </row>
    <row r="10977" spans="1:14" s="2" customFormat="1">
      <c r="A10977" s="83"/>
      <c r="H10977" s="83"/>
      <c r="K10977" s="82"/>
      <c r="M10977" s="112"/>
      <c r="N10977" s="84"/>
    </row>
    <row r="10978" spans="1:14" s="2" customFormat="1">
      <c r="A10978" s="83"/>
      <c r="H10978" s="83"/>
      <c r="K10978" s="82"/>
      <c r="M10978" s="112"/>
      <c r="N10978" s="84"/>
    </row>
    <row r="10979" spans="1:14" s="2" customFormat="1">
      <c r="A10979" s="83"/>
      <c r="H10979" s="83"/>
      <c r="K10979" s="82"/>
      <c r="M10979" s="112"/>
      <c r="N10979" s="84"/>
    </row>
    <row r="10980" spans="1:14" s="2" customFormat="1">
      <c r="A10980" s="83"/>
      <c r="H10980" s="83"/>
      <c r="K10980" s="82"/>
      <c r="M10980" s="112"/>
      <c r="N10980" s="84"/>
    </row>
    <row r="10981" spans="1:14" s="2" customFormat="1">
      <c r="A10981" s="83"/>
      <c r="H10981" s="83"/>
      <c r="K10981" s="82"/>
      <c r="M10981" s="112"/>
      <c r="N10981" s="84"/>
    </row>
    <row r="10982" spans="1:14" s="2" customFormat="1">
      <c r="A10982" s="83"/>
      <c r="H10982" s="83"/>
      <c r="K10982" s="82"/>
      <c r="M10982" s="112"/>
      <c r="N10982" s="84"/>
    </row>
    <row r="10983" spans="1:14" s="2" customFormat="1">
      <c r="A10983" s="83"/>
      <c r="H10983" s="83"/>
      <c r="K10983" s="82"/>
      <c r="M10983" s="112"/>
      <c r="N10983" s="84"/>
    </row>
    <row r="10984" spans="1:14" s="2" customFormat="1">
      <c r="A10984" s="83"/>
      <c r="H10984" s="83"/>
      <c r="K10984" s="82"/>
      <c r="M10984" s="112"/>
      <c r="N10984" s="84"/>
    </row>
    <row r="10985" spans="1:14" s="2" customFormat="1">
      <c r="A10985" s="83"/>
      <c r="H10985" s="83"/>
      <c r="K10985" s="82"/>
      <c r="M10985" s="112"/>
      <c r="N10985" s="84"/>
    </row>
    <row r="10986" spans="1:14" s="2" customFormat="1">
      <c r="A10986" s="83"/>
      <c r="H10986" s="83"/>
      <c r="K10986" s="82"/>
      <c r="M10986" s="112"/>
      <c r="N10986" s="84"/>
    </row>
    <row r="10987" spans="1:14" s="2" customFormat="1">
      <c r="A10987" s="83"/>
      <c r="H10987" s="83"/>
      <c r="K10987" s="82"/>
      <c r="M10987" s="112"/>
      <c r="N10987" s="84"/>
    </row>
    <row r="10988" spans="1:14" s="2" customFormat="1">
      <c r="A10988" s="83"/>
      <c r="H10988" s="83"/>
      <c r="K10988" s="82"/>
      <c r="M10988" s="112"/>
      <c r="N10988" s="84"/>
    </row>
    <row r="10989" spans="1:14" s="2" customFormat="1">
      <c r="A10989" s="83"/>
      <c r="H10989" s="83"/>
      <c r="K10989" s="82"/>
      <c r="M10989" s="112"/>
      <c r="N10989" s="84"/>
    </row>
    <row r="10990" spans="1:14" s="2" customFormat="1">
      <c r="A10990" s="83"/>
      <c r="H10990" s="83"/>
      <c r="K10990" s="82"/>
      <c r="M10990" s="112"/>
      <c r="N10990" s="84"/>
    </row>
    <row r="10991" spans="1:14" s="2" customFormat="1">
      <c r="A10991" s="83"/>
      <c r="H10991" s="83"/>
      <c r="K10991" s="82"/>
      <c r="M10991" s="112"/>
      <c r="N10991" s="84"/>
    </row>
    <row r="10992" spans="1:14" s="2" customFormat="1">
      <c r="A10992" s="83"/>
      <c r="H10992" s="83"/>
      <c r="K10992" s="82"/>
      <c r="M10992" s="112"/>
      <c r="N10992" s="84"/>
    </row>
    <row r="10993" spans="1:14" s="2" customFormat="1">
      <c r="A10993" s="83"/>
      <c r="H10993" s="83"/>
      <c r="K10993" s="82"/>
      <c r="M10993" s="112"/>
      <c r="N10993" s="84"/>
    </row>
    <row r="10994" spans="1:14" s="2" customFormat="1">
      <c r="A10994" s="83"/>
      <c r="H10994" s="83"/>
      <c r="K10994" s="82"/>
      <c r="M10994" s="112"/>
      <c r="N10994" s="84"/>
    </row>
    <row r="10995" spans="1:14" s="2" customFormat="1">
      <c r="A10995" s="83"/>
      <c r="H10995" s="83"/>
      <c r="K10995" s="82"/>
      <c r="M10995" s="112"/>
      <c r="N10995" s="84"/>
    </row>
    <row r="10996" spans="1:14" s="2" customFormat="1">
      <c r="A10996" s="83"/>
      <c r="H10996" s="83"/>
      <c r="K10996" s="82"/>
      <c r="M10996" s="112"/>
      <c r="N10996" s="84"/>
    </row>
    <row r="10997" spans="1:14" s="2" customFormat="1">
      <c r="A10997" s="83"/>
      <c r="H10997" s="83"/>
      <c r="K10997" s="82"/>
      <c r="M10997" s="112"/>
      <c r="N10997" s="84"/>
    </row>
    <row r="10998" spans="1:14" s="2" customFormat="1">
      <c r="A10998" s="83"/>
      <c r="H10998" s="83"/>
      <c r="K10998" s="82"/>
      <c r="M10998" s="112"/>
      <c r="N10998" s="84"/>
    </row>
    <row r="10999" spans="1:14" s="2" customFormat="1">
      <c r="A10999" s="83"/>
      <c r="H10999" s="83"/>
      <c r="K10999" s="82"/>
      <c r="M10999" s="112"/>
      <c r="N10999" s="84"/>
    </row>
    <row r="11000" spans="1:14" s="2" customFormat="1">
      <c r="A11000" s="83"/>
      <c r="H11000" s="83"/>
      <c r="K11000" s="82"/>
      <c r="M11000" s="112"/>
      <c r="N11000" s="84"/>
    </row>
    <row r="11001" spans="1:14" s="2" customFormat="1">
      <c r="A11001" s="83"/>
      <c r="H11001" s="83"/>
      <c r="K11001" s="82"/>
      <c r="M11001" s="112"/>
      <c r="N11001" s="84"/>
    </row>
    <row r="11002" spans="1:14" s="2" customFormat="1">
      <c r="A11002" s="83"/>
      <c r="H11002" s="83"/>
      <c r="K11002" s="82"/>
      <c r="M11002" s="112"/>
      <c r="N11002" s="84"/>
    </row>
    <row r="11003" spans="1:14" s="2" customFormat="1">
      <c r="A11003" s="83"/>
      <c r="H11003" s="83"/>
      <c r="K11003" s="82"/>
      <c r="M11003" s="112"/>
      <c r="N11003" s="84"/>
    </row>
    <row r="11004" spans="1:14" s="2" customFormat="1">
      <c r="A11004" s="83"/>
      <c r="H11004" s="83"/>
      <c r="K11004" s="82"/>
      <c r="M11004" s="112"/>
      <c r="N11004" s="84"/>
    </row>
    <row r="11005" spans="1:14" s="2" customFormat="1">
      <c r="A11005" s="83"/>
      <c r="H11005" s="83"/>
      <c r="K11005" s="82"/>
      <c r="M11005" s="112"/>
      <c r="N11005" s="84"/>
    </row>
    <row r="11006" spans="1:14" s="2" customFormat="1">
      <c r="A11006" s="83"/>
      <c r="H11006" s="83"/>
      <c r="K11006" s="82"/>
      <c r="M11006" s="112"/>
      <c r="N11006" s="84"/>
    </row>
    <row r="11007" spans="1:14" s="2" customFormat="1">
      <c r="A11007" s="83"/>
      <c r="H11007" s="83"/>
      <c r="K11007" s="82"/>
      <c r="M11007" s="112"/>
      <c r="N11007" s="84"/>
    </row>
    <row r="11008" spans="1:14" s="2" customFormat="1">
      <c r="A11008" s="83"/>
      <c r="H11008" s="83"/>
      <c r="K11008" s="82"/>
      <c r="M11008" s="112"/>
      <c r="N11008" s="84"/>
    </row>
    <row r="11009" spans="1:14" s="2" customFormat="1">
      <c r="A11009" s="83"/>
      <c r="H11009" s="83"/>
      <c r="K11009" s="82"/>
      <c r="M11009" s="112"/>
      <c r="N11009" s="84"/>
    </row>
    <row r="11010" spans="1:14" s="2" customFormat="1">
      <c r="A11010" s="83"/>
      <c r="H11010" s="83"/>
      <c r="K11010" s="82"/>
      <c r="M11010" s="112"/>
      <c r="N11010" s="84"/>
    </row>
    <row r="11011" spans="1:14" s="2" customFormat="1">
      <c r="A11011" s="83"/>
      <c r="H11011" s="83"/>
      <c r="K11011" s="82"/>
      <c r="M11011" s="112"/>
      <c r="N11011" s="84"/>
    </row>
    <row r="11012" spans="1:14" s="2" customFormat="1">
      <c r="A11012" s="83"/>
      <c r="H11012" s="83"/>
      <c r="K11012" s="82"/>
      <c r="M11012" s="112"/>
      <c r="N11012" s="84"/>
    </row>
    <row r="11013" spans="1:14" s="2" customFormat="1">
      <c r="A11013" s="83"/>
      <c r="H11013" s="83"/>
      <c r="K11013" s="82"/>
      <c r="M11013" s="112"/>
      <c r="N11013" s="84"/>
    </row>
    <row r="11014" spans="1:14" s="2" customFormat="1">
      <c r="A11014" s="83"/>
      <c r="H11014" s="83"/>
      <c r="K11014" s="82"/>
      <c r="M11014" s="112"/>
      <c r="N11014" s="84"/>
    </row>
    <row r="11015" spans="1:14" s="2" customFormat="1">
      <c r="A11015" s="83"/>
      <c r="H11015" s="83"/>
      <c r="K11015" s="82"/>
      <c r="M11015" s="112"/>
      <c r="N11015" s="84"/>
    </row>
    <row r="11016" spans="1:14" s="2" customFormat="1">
      <c r="A11016" s="83"/>
      <c r="H11016" s="83"/>
      <c r="K11016" s="82"/>
      <c r="M11016" s="112"/>
      <c r="N11016" s="84"/>
    </row>
    <row r="11017" spans="1:14" s="2" customFormat="1">
      <c r="A11017" s="83"/>
      <c r="H11017" s="83"/>
      <c r="K11017" s="82"/>
      <c r="M11017" s="112"/>
      <c r="N11017" s="84"/>
    </row>
    <row r="11018" spans="1:14" s="2" customFormat="1">
      <c r="A11018" s="83"/>
      <c r="H11018" s="83"/>
      <c r="K11018" s="82"/>
      <c r="M11018" s="112"/>
      <c r="N11018" s="84"/>
    </row>
    <row r="11019" spans="1:14" s="2" customFormat="1">
      <c r="A11019" s="83"/>
      <c r="H11019" s="83"/>
      <c r="K11019" s="82"/>
      <c r="M11019" s="112"/>
      <c r="N11019" s="84"/>
    </row>
    <row r="11020" spans="1:14" s="2" customFormat="1">
      <c r="A11020" s="83"/>
      <c r="H11020" s="83"/>
      <c r="K11020" s="82"/>
      <c r="M11020" s="112"/>
      <c r="N11020" s="84"/>
    </row>
    <row r="11021" spans="1:14" s="2" customFormat="1">
      <c r="A11021" s="83"/>
      <c r="H11021" s="83"/>
      <c r="K11021" s="82"/>
      <c r="M11021" s="112"/>
      <c r="N11021" s="84"/>
    </row>
    <row r="11022" spans="1:14" s="2" customFormat="1">
      <c r="A11022" s="83"/>
      <c r="H11022" s="83"/>
      <c r="K11022" s="82"/>
      <c r="M11022" s="112"/>
      <c r="N11022" s="84"/>
    </row>
    <row r="11023" spans="1:14" s="2" customFormat="1">
      <c r="A11023" s="83"/>
      <c r="H11023" s="83"/>
      <c r="K11023" s="82"/>
      <c r="M11023" s="112"/>
      <c r="N11023" s="84"/>
    </row>
    <row r="11024" spans="1:14" s="2" customFormat="1">
      <c r="A11024" s="83"/>
      <c r="H11024" s="83"/>
      <c r="K11024" s="82"/>
      <c r="M11024" s="112"/>
      <c r="N11024" s="84"/>
    </row>
    <row r="11025" spans="1:14" s="2" customFormat="1">
      <c r="A11025" s="83"/>
      <c r="H11025" s="83"/>
      <c r="K11025" s="82"/>
      <c r="M11025" s="112"/>
      <c r="N11025" s="84"/>
    </row>
    <row r="11026" spans="1:14" s="2" customFormat="1">
      <c r="A11026" s="83"/>
      <c r="H11026" s="83"/>
      <c r="K11026" s="82"/>
      <c r="M11026" s="112"/>
      <c r="N11026" s="84"/>
    </row>
    <row r="11027" spans="1:14" s="2" customFormat="1">
      <c r="A11027" s="83"/>
      <c r="H11027" s="83"/>
      <c r="K11027" s="82"/>
      <c r="M11027" s="112"/>
      <c r="N11027" s="84"/>
    </row>
    <row r="11028" spans="1:14" s="2" customFormat="1">
      <c r="A11028" s="83"/>
      <c r="H11028" s="83"/>
      <c r="K11028" s="82"/>
      <c r="M11028" s="112"/>
      <c r="N11028" s="84"/>
    </row>
    <row r="11029" spans="1:14" s="2" customFormat="1">
      <c r="A11029" s="83"/>
      <c r="H11029" s="83"/>
      <c r="K11029" s="82"/>
      <c r="M11029" s="112"/>
      <c r="N11029" s="84"/>
    </row>
    <row r="11030" spans="1:14" s="2" customFormat="1">
      <c r="A11030" s="83"/>
      <c r="H11030" s="83"/>
      <c r="K11030" s="82"/>
      <c r="M11030" s="112"/>
      <c r="N11030" s="84"/>
    </row>
    <row r="11031" spans="1:14" s="2" customFormat="1">
      <c r="A11031" s="83"/>
      <c r="H11031" s="83"/>
      <c r="K11031" s="82"/>
      <c r="M11031" s="112"/>
      <c r="N11031" s="84"/>
    </row>
    <row r="11032" spans="1:14" s="2" customFormat="1">
      <c r="A11032" s="83"/>
      <c r="H11032" s="83"/>
      <c r="K11032" s="82"/>
      <c r="M11032" s="112"/>
      <c r="N11032" s="84"/>
    </row>
    <row r="11033" spans="1:14" s="2" customFormat="1">
      <c r="A11033" s="83"/>
      <c r="H11033" s="83"/>
      <c r="K11033" s="82"/>
      <c r="M11033" s="112"/>
      <c r="N11033" s="84"/>
    </row>
    <row r="11034" spans="1:14" s="2" customFormat="1">
      <c r="A11034" s="83"/>
      <c r="H11034" s="83"/>
      <c r="K11034" s="82"/>
      <c r="M11034" s="112"/>
      <c r="N11034" s="84"/>
    </row>
    <row r="11035" spans="1:14" s="2" customFormat="1">
      <c r="A11035" s="83"/>
      <c r="H11035" s="83"/>
      <c r="K11035" s="82"/>
      <c r="M11035" s="112"/>
      <c r="N11035" s="84"/>
    </row>
    <row r="11036" spans="1:14" s="2" customFormat="1">
      <c r="A11036" s="83"/>
      <c r="H11036" s="83"/>
      <c r="K11036" s="82"/>
      <c r="M11036" s="112"/>
      <c r="N11036" s="84"/>
    </row>
    <row r="11037" spans="1:14" s="2" customFormat="1">
      <c r="A11037" s="83"/>
      <c r="H11037" s="83"/>
      <c r="K11037" s="82"/>
      <c r="M11037" s="112"/>
      <c r="N11037" s="84"/>
    </row>
    <row r="11038" spans="1:14" s="2" customFormat="1">
      <c r="A11038" s="83"/>
      <c r="H11038" s="83"/>
      <c r="K11038" s="82"/>
      <c r="M11038" s="112"/>
      <c r="N11038" s="84"/>
    </row>
    <row r="11039" spans="1:14" s="2" customFormat="1">
      <c r="A11039" s="83"/>
      <c r="H11039" s="83"/>
      <c r="K11039" s="82"/>
      <c r="M11039" s="112"/>
      <c r="N11039" s="84"/>
    </row>
    <row r="11040" spans="1:14" s="2" customFormat="1">
      <c r="A11040" s="83"/>
      <c r="H11040" s="83"/>
      <c r="K11040" s="82"/>
      <c r="M11040" s="112"/>
      <c r="N11040" s="84"/>
    </row>
    <row r="11041" spans="1:14" s="2" customFormat="1">
      <c r="A11041" s="83"/>
      <c r="H11041" s="83"/>
      <c r="K11041" s="82"/>
      <c r="M11041" s="112"/>
      <c r="N11041" s="84"/>
    </row>
    <row r="11042" spans="1:14" s="2" customFormat="1">
      <c r="A11042" s="83"/>
      <c r="H11042" s="83"/>
      <c r="K11042" s="82"/>
      <c r="M11042" s="112"/>
      <c r="N11042" s="84"/>
    </row>
    <row r="11043" spans="1:14" s="2" customFormat="1">
      <c r="A11043" s="83"/>
      <c r="H11043" s="83"/>
      <c r="K11043" s="82"/>
      <c r="M11043" s="112"/>
      <c r="N11043" s="84"/>
    </row>
    <row r="11044" spans="1:14" s="2" customFormat="1">
      <c r="A11044" s="83"/>
      <c r="H11044" s="83"/>
      <c r="K11044" s="82"/>
      <c r="M11044" s="112"/>
      <c r="N11044" s="84"/>
    </row>
    <row r="11045" spans="1:14" s="2" customFormat="1">
      <c r="A11045" s="83"/>
      <c r="H11045" s="83"/>
      <c r="K11045" s="82"/>
      <c r="M11045" s="112"/>
      <c r="N11045" s="84"/>
    </row>
    <row r="11046" spans="1:14" s="2" customFormat="1">
      <c r="A11046" s="83"/>
      <c r="H11046" s="83"/>
      <c r="K11046" s="82"/>
      <c r="M11046" s="112"/>
      <c r="N11046" s="84"/>
    </row>
    <row r="11047" spans="1:14" s="2" customFormat="1">
      <c r="A11047" s="83"/>
      <c r="H11047" s="83"/>
      <c r="K11047" s="82"/>
      <c r="M11047" s="112"/>
      <c r="N11047" s="84"/>
    </row>
    <row r="11048" spans="1:14" s="2" customFormat="1">
      <c r="A11048" s="83"/>
      <c r="H11048" s="83"/>
      <c r="K11048" s="82"/>
      <c r="M11048" s="112"/>
      <c r="N11048" s="84"/>
    </row>
    <row r="11049" spans="1:14" s="2" customFormat="1">
      <c r="A11049" s="83"/>
      <c r="H11049" s="83"/>
      <c r="K11049" s="82"/>
      <c r="M11049" s="112"/>
      <c r="N11049" s="84"/>
    </row>
    <row r="11050" spans="1:14" s="2" customFormat="1">
      <c r="A11050" s="83"/>
      <c r="H11050" s="83"/>
      <c r="K11050" s="82"/>
      <c r="M11050" s="112"/>
      <c r="N11050" s="84"/>
    </row>
    <row r="11051" spans="1:14" s="2" customFormat="1">
      <c r="A11051" s="83"/>
      <c r="H11051" s="83"/>
      <c r="K11051" s="82"/>
      <c r="M11051" s="112"/>
      <c r="N11051" s="84"/>
    </row>
    <row r="11052" spans="1:14" s="2" customFormat="1">
      <c r="A11052" s="83"/>
      <c r="H11052" s="83"/>
      <c r="K11052" s="82"/>
      <c r="M11052" s="112"/>
      <c r="N11052" s="84"/>
    </row>
    <row r="11053" spans="1:14" s="2" customFormat="1">
      <c r="A11053" s="83"/>
      <c r="H11053" s="83"/>
      <c r="K11053" s="82"/>
      <c r="M11053" s="112"/>
      <c r="N11053" s="84"/>
    </row>
    <row r="11054" spans="1:14" s="2" customFormat="1">
      <c r="A11054" s="83"/>
      <c r="H11054" s="83"/>
      <c r="K11054" s="82"/>
      <c r="M11054" s="112"/>
      <c r="N11054" s="84"/>
    </row>
    <row r="11055" spans="1:14" s="2" customFormat="1">
      <c r="A11055" s="83"/>
      <c r="H11055" s="83"/>
      <c r="K11055" s="82"/>
      <c r="M11055" s="112"/>
      <c r="N11055" s="84"/>
    </row>
    <row r="11056" spans="1:14" s="2" customFormat="1">
      <c r="A11056" s="83"/>
      <c r="H11056" s="83"/>
      <c r="K11056" s="82"/>
      <c r="M11056" s="112"/>
      <c r="N11056" s="84"/>
    </row>
    <row r="11057" spans="1:14" s="2" customFormat="1">
      <c r="A11057" s="83"/>
      <c r="H11057" s="83"/>
      <c r="K11057" s="82"/>
      <c r="M11057" s="112"/>
      <c r="N11057" s="84"/>
    </row>
    <row r="11058" spans="1:14" s="2" customFormat="1">
      <c r="A11058" s="83"/>
      <c r="H11058" s="83"/>
      <c r="K11058" s="82"/>
      <c r="M11058" s="112"/>
      <c r="N11058" s="84"/>
    </row>
    <row r="11059" spans="1:14" s="2" customFormat="1">
      <c r="A11059" s="83"/>
      <c r="H11059" s="83"/>
      <c r="K11059" s="82"/>
      <c r="M11059" s="112"/>
      <c r="N11059" s="84"/>
    </row>
    <row r="11060" spans="1:14" s="2" customFormat="1">
      <c r="A11060" s="83"/>
      <c r="H11060" s="83"/>
      <c r="K11060" s="82"/>
      <c r="M11060" s="112"/>
      <c r="N11060" s="84"/>
    </row>
    <row r="11061" spans="1:14" s="2" customFormat="1">
      <c r="A11061" s="83"/>
      <c r="H11061" s="83"/>
      <c r="K11061" s="82"/>
      <c r="M11061" s="112"/>
      <c r="N11061" s="84"/>
    </row>
    <row r="11062" spans="1:14" s="2" customFormat="1">
      <c r="A11062" s="83"/>
      <c r="H11062" s="83"/>
      <c r="K11062" s="82"/>
      <c r="M11062" s="112"/>
      <c r="N11062" s="84"/>
    </row>
    <row r="11063" spans="1:14" s="2" customFormat="1">
      <c r="A11063" s="83"/>
      <c r="H11063" s="83"/>
      <c r="K11063" s="82"/>
      <c r="M11063" s="112"/>
      <c r="N11063" s="84"/>
    </row>
    <row r="11064" spans="1:14" s="2" customFormat="1">
      <c r="A11064" s="83"/>
      <c r="H11064" s="83"/>
      <c r="K11064" s="82"/>
      <c r="M11064" s="112"/>
      <c r="N11064" s="84"/>
    </row>
    <row r="11065" spans="1:14" s="2" customFormat="1">
      <c r="A11065" s="83"/>
      <c r="H11065" s="83"/>
      <c r="K11065" s="82"/>
      <c r="M11065" s="112"/>
      <c r="N11065" s="84"/>
    </row>
    <row r="11066" spans="1:14" s="2" customFormat="1">
      <c r="A11066" s="83"/>
      <c r="H11066" s="83"/>
      <c r="K11066" s="82"/>
      <c r="M11066" s="112"/>
      <c r="N11066" s="84"/>
    </row>
    <row r="11067" spans="1:14" s="2" customFormat="1">
      <c r="A11067" s="83"/>
      <c r="H11067" s="83"/>
      <c r="K11067" s="82"/>
      <c r="M11067" s="112"/>
      <c r="N11067" s="84"/>
    </row>
    <row r="11068" spans="1:14" s="2" customFormat="1">
      <c r="A11068" s="83"/>
      <c r="H11068" s="83"/>
      <c r="K11068" s="82"/>
      <c r="M11068" s="112"/>
      <c r="N11068" s="84"/>
    </row>
    <row r="11069" spans="1:14" s="2" customFormat="1">
      <c r="A11069" s="83"/>
      <c r="H11069" s="83"/>
      <c r="K11069" s="82"/>
      <c r="M11069" s="112"/>
      <c r="N11069" s="84"/>
    </row>
    <row r="11070" spans="1:14" s="2" customFormat="1">
      <c r="A11070" s="83"/>
      <c r="H11070" s="83"/>
      <c r="K11070" s="82"/>
      <c r="M11070" s="112"/>
      <c r="N11070" s="84"/>
    </row>
    <row r="11071" spans="1:14" s="2" customFormat="1">
      <c r="A11071" s="83"/>
      <c r="H11071" s="83"/>
      <c r="K11071" s="82"/>
      <c r="M11071" s="112"/>
      <c r="N11071" s="84"/>
    </row>
    <row r="11072" spans="1:14" s="2" customFormat="1">
      <c r="A11072" s="83"/>
      <c r="H11072" s="83"/>
      <c r="K11072" s="82"/>
      <c r="M11072" s="112"/>
      <c r="N11072" s="84"/>
    </row>
    <row r="11073" spans="1:14" s="2" customFormat="1">
      <c r="A11073" s="83"/>
      <c r="H11073" s="83"/>
      <c r="K11073" s="82"/>
      <c r="M11073" s="112"/>
      <c r="N11073" s="84"/>
    </row>
    <row r="11074" spans="1:14" s="2" customFormat="1">
      <c r="A11074" s="83"/>
      <c r="H11074" s="83"/>
      <c r="K11074" s="82"/>
      <c r="M11074" s="112"/>
      <c r="N11074" s="84"/>
    </row>
    <row r="11075" spans="1:14" s="2" customFormat="1">
      <c r="A11075" s="83"/>
      <c r="H11075" s="83"/>
      <c r="K11075" s="82"/>
      <c r="M11075" s="112"/>
      <c r="N11075" s="84"/>
    </row>
    <row r="11076" spans="1:14" s="2" customFormat="1">
      <c r="A11076" s="83"/>
      <c r="H11076" s="83"/>
      <c r="K11076" s="82"/>
      <c r="M11076" s="112"/>
      <c r="N11076" s="84"/>
    </row>
    <row r="11077" spans="1:14" s="2" customFormat="1">
      <c r="A11077" s="83"/>
      <c r="H11077" s="83"/>
      <c r="K11077" s="82"/>
      <c r="M11077" s="112"/>
      <c r="N11077" s="84"/>
    </row>
    <row r="11078" spans="1:14" s="2" customFormat="1">
      <c r="A11078" s="83"/>
      <c r="H11078" s="83"/>
      <c r="K11078" s="82"/>
      <c r="M11078" s="112"/>
      <c r="N11078" s="84"/>
    </row>
    <row r="11079" spans="1:14" s="2" customFormat="1">
      <c r="A11079" s="83"/>
      <c r="H11079" s="83"/>
      <c r="K11079" s="82"/>
      <c r="M11079" s="112"/>
      <c r="N11079" s="84"/>
    </row>
    <row r="11080" spans="1:14" s="2" customFormat="1">
      <c r="A11080" s="83"/>
      <c r="H11080" s="83"/>
      <c r="K11080" s="82"/>
      <c r="M11080" s="112"/>
      <c r="N11080" s="84"/>
    </row>
    <row r="11081" spans="1:14" s="2" customFormat="1">
      <c r="A11081" s="83"/>
      <c r="H11081" s="83"/>
      <c r="K11081" s="82"/>
      <c r="M11081" s="112"/>
      <c r="N11081" s="84"/>
    </row>
    <row r="11082" spans="1:14" s="2" customFormat="1">
      <c r="A11082" s="83"/>
      <c r="H11082" s="83"/>
      <c r="K11082" s="82"/>
      <c r="M11082" s="112"/>
      <c r="N11082" s="84"/>
    </row>
    <row r="11083" spans="1:14" s="2" customFormat="1">
      <c r="A11083" s="83"/>
      <c r="H11083" s="83"/>
      <c r="K11083" s="82"/>
      <c r="M11083" s="112"/>
      <c r="N11083" s="84"/>
    </row>
    <row r="11084" spans="1:14" s="2" customFormat="1">
      <c r="A11084" s="83"/>
      <c r="H11084" s="83"/>
      <c r="K11084" s="82"/>
      <c r="M11084" s="112"/>
      <c r="N11084" s="84"/>
    </row>
    <row r="11085" spans="1:14" s="2" customFormat="1">
      <c r="A11085" s="83"/>
      <c r="H11085" s="83"/>
      <c r="K11085" s="82"/>
      <c r="M11085" s="112"/>
      <c r="N11085" s="84"/>
    </row>
    <row r="11086" spans="1:14" s="2" customFormat="1">
      <c r="A11086" s="83"/>
      <c r="H11086" s="83"/>
      <c r="K11086" s="82"/>
      <c r="M11086" s="112"/>
      <c r="N11086" s="84"/>
    </row>
    <row r="11087" spans="1:14" s="2" customFormat="1">
      <c r="A11087" s="83"/>
      <c r="H11087" s="83"/>
      <c r="K11087" s="82"/>
      <c r="M11087" s="112"/>
      <c r="N11087" s="84"/>
    </row>
    <row r="11088" spans="1:14" s="2" customFormat="1">
      <c r="A11088" s="83"/>
      <c r="H11088" s="83"/>
      <c r="K11088" s="82"/>
      <c r="M11088" s="112"/>
      <c r="N11088" s="84"/>
    </row>
    <row r="11089" spans="1:14" s="2" customFormat="1">
      <c r="A11089" s="83"/>
      <c r="H11089" s="83"/>
      <c r="K11089" s="82"/>
      <c r="M11089" s="112"/>
      <c r="N11089" s="84"/>
    </row>
    <row r="11090" spans="1:14" s="2" customFormat="1">
      <c r="A11090" s="83"/>
      <c r="H11090" s="83"/>
      <c r="K11090" s="82"/>
      <c r="M11090" s="112"/>
      <c r="N11090" s="84"/>
    </row>
    <row r="11091" spans="1:14" s="2" customFormat="1">
      <c r="A11091" s="83"/>
      <c r="H11091" s="83"/>
      <c r="K11091" s="82"/>
      <c r="M11091" s="112"/>
      <c r="N11091" s="84"/>
    </row>
    <row r="11092" spans="1:14" s="2" customFormat="1">
      <c r="A11092" s="83"/>
      <c r="H11092" s="83"/>
      <c r="K11092" s="82"/>
      <c r="M11092" s="112"/>
      <c r="N11092" s="84"/>
    </row>
    <row r="11093" spans="1:14" s="2" customFormat="1">
      <c r="A11093" s="83"/>
      <c r="H11093" s="83"/>
      <c r="K11093" s="82"/>
      <c r="M11093" s="112"/>
      <c r="N11093" s="84"/>
    </row>
    <row r="11094" spans="1:14" s="2" customFormat="1">
      <c r="A11094" s="83"/>
      <c r="H11094" s="83"/>
      <c r="K11094" s="82"/>
      <c r="M11094" s="112"/>
      <c r="N11094" s="84"/>
    </row>
    <row r="11095" spans="1:14" s="2" customFormat="1">
      <c r="A11095" s="83"/>
      <c r="H11095" s="83"/>
      <c r="K11095" s="82"/>
      <c r="M11095" s="112"/>
      <c r="N11095" s="84"/>
    </row>
    <row r="11096" spans="1:14" s="2" customFormat="1">
      <c r="A11096" s="83"/>
      <c r="H11096" s="83"/>
      <c r="K11096" s="82"/>
      <c r="M11096" s="112"/>
      <c r="N11096" s="84"/>
    </row>
    <row r="11097" spans="1:14" s="2" customFormat="1">
      <c r="A11097" s="83"/>
      <c r="H11097" s="83"/>
      <c r="K11097" s="82"/>
      <c r="M11097" s="112"/>
      <c r="N11097" s="84"/>
    </row>
    <row r="11098" spans="1:14" s="2" customFormat="1">
      <c r="A11098" s="83"/>
      <c r="H11098" s="83"/>
      <c r="K11098" s="82"/>
      <c r="M11098" s="112"/>
      <c r="N11098" s="84"/>
    </row>
    <row r="11099" spans="1:14" s="2" customFormat="1">
      <c r="A11099" s="83"/>
      <c r="H11099" s="83"/>
      <c r="K11099" s="82"/>
      <c r="M11099" s="112"/>
      <c r="N11099" s="84"/>
    </row>
    <row r="11100" spans="1:14" s="2" customFormat="1">
      <c r="A11100" s="83"/>
      <c r="H11100" s="83"/>
      <c r="K11100" s="82"/>
      <c r="M11100" s="112"/>
      <c r="N11100" s="84"/>
    </row>
    <row r="11101" spans="1:14" s="2" customFormat="1">
      <c r="A11101" s="83"/>
      <c r="H11101" s="83"/>
      <c r="K11101" s="82"/>
      <c r="M11101" s="112"/>
      <c r="N11101" s="84"/>
    </row>
    <row r="11102" spans="1:14" s="2" customFormat="1">
      <c r="A11102" s="83"/>
      <c r="H11102" s="83"/>
      <c r="K11102" s="82"/>
      <c r="M11102" s="112"/>
      <c r="N11102" s="84"/>
    </row>
    <row r="11103" spans="1:14" s="2" customFormat="1">
      <c r="A11103" s="83"/>
      <c r="H11103" s="83"/>
      <c r="K11103" s="82"/>
      <c r="M11103" s="112"/>
      <c r="N11103" s="84"/>
    </row>
    <row r="11104" spans="1:14" s="2" customFormat="1">
      <c r="A11104" s="83"/>
      <c r="H11104" s="83"/>
      <c r="K11104" s="82"/>
      <c r="M11104" s="112"/>
      <c r="N11104" s="84"/>
    </row>
    <row r="11105" spans="1:14" s="2" customFormat="1">
      <c r="A11105" s="83"/>
      <c r="H11105" s="83"/>
      <c r="K11105" s="82"/>
      <c r="M11105" s="112"/>
      <c r="N11105" s="84"/>
    </row>
    <row r="11106" spans="1:14" s="2" customFormat="1">
      <c r="A11106" s="83"/>
      <c r="H11106" s="83"/>
      <c r="K11106" s="82"/>
      <c r="M11106" s="112"/>
      <c r="N11106" s="84"/>
    </row>
    <row r="11107" spans="1:14" s="2" customFormat="1">
      <c r="A11107" s="83"/>
      <c r="H11107" s="83"/>
      <c r="K11107" s="82"/>
      <c r="M11107" s="112"/>
      <c r="N11107" s="84"/>
    </row>
    <row r="11108" spans="1:14" s="2" customFormat="1">
      <c r="A11108" s="83"/>
      <c r="H11108" s="83"/>
      <c r="K11108" s="82"/>
      <c r="M11108" s="112"/>
      <c r="N11108" s="84"/>
    </row>
    <row r="11109" spans="1:14" s="2" customFormat="1">
      <c r="A11109" s="83"/>
      <c r="H11109" s="83"/>
      <c r="K11109" s="82"/>
      <c r="M11109" s="112"/>
      <c r="N11109" s="84"/>
    </row>
    <row r="11110" spans="1:14" s="2" customFormat="1">
      <c r="A11110" s="83"/>
      <c r="H11110" s="83"/>
      <c r="K11110" s="82"/>
      <c r="M11110" s="112"/>
      <c r="N11110" s="84"/>
    </row>
    <row r="11111" spans="1:14" s="2" customFormat="1">
      <c r="A11111" s="83"/>
      <c r="H11111" s="83"/>
      <c r="K11111" s="82"/>
      <c r="M11111" s="112"/>
      <c r="N11111" s="84"/>
    </row>
    <row r="11112" spans="1:14" s="2" customFormat="1">
      <c r="A11112" s="83"/>
      <c r="H11112" s="83"/>
      <c r="K11112" s="82"/>
      <c r="M11112" s="112"/>
      <c r="N11112" s="84"/>
    </row>
    <row r="11113" spans="1:14" s="2" customFormat="1">
      <c r="A11113" s="83"/>
      <c r="H11113" s="83"/>
      <c r="K11113" s="82"/>
      <c r="M11113" s="112"/>
      <c r="N11113" s="84"/>
    </row>
    <row r="11114" spans="1:14" s="2" customFormat="1">
      <c r="A11114" s="83"/>
      <c r="H11114" s="83"/>
      <c r="K11114" s="82"/>
      <c r="M11114" s="112"/>
      <c r="N11114" s="84"/>
    </row>
    <row r="11115" spans="1:14" s="2" customFormat="1">
      <c r="A11115" s="83"/>
      <c r="H11115" s="83"/>
      <c r="K11115" s="82"/>
      <c r="M11115" s="112"/>
      <c r="N11115" s="84"/>
    </row>
    <row r="11116" spans="1:14" s="2" customFormat="1">
      <c r="A11116" s="83"/>
      <c r="H11116" s="83"/>
      <c r="K11116" s="82"/>
      <c r="M11116" s="112"/>
      <c r="N11116" s="84"/>
    </row>
    <row r="11117" spans="1:14" s="2" customFormat="1">
      <c r="A11117" s="83"/>
      <c r="H11117" s="83"/>
      <c r="K11117" s="82"/>
      <c r="M11117" s="112"/>
      <c r="N11117" s="84"/>
    </row>
    <row r="11118" spans="1:14" s="2" customFormat="1">
      <c r="A11118" s="83"/>
      <c r="H11118" s="83"/>
      <c r="K11118" s="82"/>
      <c r="M11118" s="112"/>
      <c r="N11118" s="84"/>
    </row>
    <row r="11119" spans="1:14" s="2" customFormat="1">
      <c r="A11119" s="83"/>
      <c r="H11119" s="83"/>
      <c r="K11119" s="82"/>
      <c r="M11119" s="112"/>
      <c r="N11119" s="84"/>
    </row>
    <row r="11120" spans="1:14" s="2" customFormat="1">
      <c r="A11120" s="83"/>
      <c r="H11120" s="83"/>
      <c r="K11120" s="82"/>
      <c r="M11120" s="112"/>
      <c r="N11120" s="84"/>
    </row>
    <row r="11121" spans="1:14" s="2" customFormat="1">
      <c r="A11121" s="83"/>
      <c r="H11121" s="83"/>
      <c r="K11121" s="82"/>
      <c r="M11121" s="112"/>
      <c r="N11121" s="84"/>
    </row>
    <row r="11122" spans="1:14" s="2" customFormat="1">
      <c r="A11122" s="83"/>
      <c r="H11122" s="83"/>
      <c r="K11122" s="82"/>
      <c r="M11122" s="112"/>
      <c r="N11122" s="84"/>
    </row>
    <row r="11123" spans="1:14" s="2" customFormat="1">
      <c r="A11123" s="83"/>
      <c r="H11123" s="83"/>
      <c r="K11123" s="82"/>
      <c r="M11123" s="112"/>
      <c r="N11123" s="84"/>
    </row>
    <row r="11124" spans="1:14" s="2" customFormat="1">
      <c r="A11124" s="83"/>
      <c r="H11124" s="83"/>
      <c r="K11124" s="82"/>
      <c r="M11124" s="112"/>
      <c r="N11124" s="84"/>
    </row>
    <row r="11125" spans="1:14" s="2" customFormat="1">
      <c r="A11125" s="83"/>
      <c r="H11125" s="83"/>
      <c r="K11125" s="82"/>
      <c r="M11125" s="112"/>
      <c r="N11125" s="84"/>
    </row>
    <row r="11126" spans="1:14" s="2" customFormat="1">
      <c r="A11126" s="83"/>
      <c r="H11126" s="83"/>
      <c r="K11126" s="82"/>
      <c r="M11126" s="112"/>
      <c r="N11126" s="84"/>
    </row>
    <row r="11127" spans="1:14" s="2" customFormat="1">
      <c r="A11127" s="83"/>
      <c r="H11127" s="83"/>
      <c r="K11127" s="82"/>
      <c r="M11127" s="112"/>
      <c r="N11127" s="84"/>
    </row>
    <row r="11128" spans="1:14" s="2" customFormat="1">
      <c r="A11128" s="83"/>
      <c r="H11128" s="83"/>
      <c r="K11128" s="82"/>
      <c r="M11128" s="112"/>
      <c r="N11128" s="84"/>
    </row>
    <row r="11129" spans="1:14" s="2" customFormat="1">
      <c r="A11129" s="83"/>
      <c r="H11129" s="83"/>
      <c r="K11129" s="82"/>
      <c r="M11129" s="112"/>
      <c r="N11129" s="84"/>
    </row>
    <row r="11130" spans="1:14" s="2" customFormat="1">
      <c r="A11130" s="83"/>
      <c r="H11130" s="83"/>
      <c r="K11130" s="82"/>
      <c r="M11130" s="112"/>
      <c r="N11130" s="84"/>
    </row>
    <row r="11131" spans="1:14" s="2" customFormat="1">
      <c r="A11131" s="83"/>
      <c r="H11131" s="83"/>
      <c r="K11131" s="82"/>
      <c r="M11131" s="112"/>
      <c r="N11131" s="84"/>
    </row>
    <row r="11132" spans="1:14" s="2" customFormat="1">
      <c r="A11132" s="83"/>
      <c r="H11132" s="83"/>
      <c r="K11132" s="82"/>
      <c r="M11132" s="112"/>
      <c r="N11132" s="84"/>
    </row>
    <row r="11133" spans="1:14" s="2" customFormat="1">
      <c r="A11133" s="83"/>
      <c r="H11133" s="83"/>
      <c r="K11133" s="82"/>
      <c r="M11133" s="112"/>
      <c r="N11133" s="84"/>
    </row>
    <row r="11134" spans="1:14" s="2" customFormat="1">
      <c r="A11134" s="83"/>
      <c r="H11134" s="83"/>
      <c r="K11134" s="82"/>
      <c r="M11134" s="112"/>
      <c r="N11134" s="84"/>
    </row>
    <row r="11135" spans="1:14" s="2" customFormat="1">
      <c r="A11135" s="83"/>
      <c r="H11135" s="83"/>
      <c r="K11135" s="82"/>
      <c r="M11135" s="112"/>
      <c r="N11135" s="84"/>
    </row>
    <row r="11136" spans="1:14" s="2" customFormat="1">
      <c r="A11136" s="83"/>
      <c r="H11136" s="83"/>
      <c r="K11136" s="82"/>
      <c r="M11136" s="112"/>
      <c r="N11136" s="84"/>
    </row>
    <row r="11137" spans="1:14" s="2" customFormat="1">
      <c r="A11137" s="83"/>
      <c r="H11137" s="83"/>
      <c r="K11137" s="82"/>
      <c r="M11137" s="112"/>
      <c r="N11137" s="84"/>
    </row>
    <row r="11138" spans="1:14" s="2" customFormat="1">
      <c r="A11138" s="83"/>
      <c r="H11138" s="83"/>
      <c r="K11138" s="82"/>
      <c r="M11138" s="112"/>
      <c r="N11138" s="84"/>
    </row>
    <row r="11139" spans="1:14" s="2" customFormat="1">
      <c r="A11139" s="83"/>
      <c r="H11139" s="83"/>
      <c r="K11139" s="82"/>
      <c r="M11139" s="112"/>
      <c r="N11139" s="84"/>
    </row>
    <row r="11140" spans="1:14" s="2" customFormat="1">
      <c r="A11140" s="83"/>
      <c r="H11140" s="83"/>
      <c r="K11140" s="82"/>
      <c r="M11140" s="112"/>
      <c r="N11140" s="84"/>
    </row>
    <row r="11141" spans="1:14" s="2" customFormat="1">
      <c r="A11141" s="83"/>
      <c r="H11141" s="83"/>
      <c r="K11141" s="82"/>
      <c r="M11141" s="112"/>
      <c r="N11141" s="84"/>
    </row>
    <row r="11142" spans="1:14" s="2" customFormat="1">
      <c r="A11142" s="83"/>
      <c r="H11142" s="83"/>
      <c r="K11142" s="82"/>
      <c r="M11142" s="112"/>
      <c r="N11142" s="84"/>
    </row>
    <row r="11143" spans="1:14" s="2" customFormat="1">
      <c r="A11143" s="83"/>
      <c r="H11143" s="83"/>
      <c r="K11143" s="82"/>
      <c r="M11143" s="112"/>
      <c r="N11143" s="84"/>
    </row>
    <row r="11144" spans="1:14" s="2" customFormat="1">
      <c r="A11144" s="83"/>
      <c r="H11144" s="83"/>
      <c r="K11144" s="82"/>
      <c r="M11144" s="112"/>
      <c r="N11144" s="84"/>
    </row>
    <row r="11145" spans="1:14" s="2" customFormat="1">
      <c r="A11145" s="83"/>
      <c r="H11145" s="83"/>
      <c r="K11145" s="82"/>
      <c r="M11145" s="112"/>
      <c r="N11145" s="84"/>
    </row>
    <row r="11146" spans="1:14" s="2" customFormat="1">
      <c r="A11146" s="83"/>
      <c r="H11146" s="83"/>
      <c r="K11146" s="82"/>
      <c r="M11146" s="112"/>
      <c r="N11146" s="84"/>
    </row>
    <row r="11147" spans="1:14" s="2" customFormat="1">
      <c r="A11147" s="83"/>
      <c r="H11147" s="83"/>
      <c r="K11147" s="82"/>
      <c r="M11147" s="112"/>
      <c r="N11147" s="84"/>
    </row>
    <row r="11148" spans="1:14" s="2" customFormat="1">
      <c r="A11148" s="83"/>
      <c r="H11148" s="83"/>
      <c r="K11148" s="82"/>
      <c r="M11148" s="112"/>
      <c r="N11148" s="84"/>
    </row>
    <row r="11149" spans="1:14" s="2" customFormat="1">
      <c r="A11149" s="83"/>
      <c r="H11149" s="83"/>
      <c r="K11149" s="82"/>
      <c r="M11149" s="112"/>
      <c r="N11149" s="84"/>
    </row>
    <row r="11150" spans="1:14" s="2" customFormat="1">
      <c r="A11150" s="83"/>
      <c r="H11150" s="83"/>
      <c r="K11150" s="82"/>
      <c r="M11150" s="112"/>
      <c r="N11150" s="84"/>
    </row>
    <row r="11151" spans="1:14" s="2" customFormat="1">
      <c r="A11151" s="83"/>
      <c r="H11151" s="83"/>
      <c r="K11151" s="82"/>
      <c r="M11151" s="112"/>
      <c r="N11151" s="84"/>
    </row>
    <row r="11152" spans="1:14" s="2" customFormat="1">
      <c r="A11152" s="83"/>
      <c r="H11152" s="83"/>
      <c r="K11152" s="82"/>
      <c r="M11152" s="112"/>
      <c r="N11152" s="84"/>
    </row>
    <row r="11153" spans="1:14" s="2" customFormat="1">
      <c r="A11153" s="83"/>
      <c r="H11153" s="83"/>
      <c r="K11153" s="82"/>
      <c r="M11153" s="112"/>
      <c r="N11153" s="84"/>
    </row>
    <row r="11154" spans="1:14" s="2" customFormat="1">
      <c r="A11154" s="83"/>
      <c r="H11154" s="83"/>
      <c r="K11154" s="82"/>
      <c r="M11154" s="112"/>
      <c r="N11154" s="84"/>
    </row>
    <row r="11155" spans="1:14" s="2" customFormat="1">
      <c r="A11155" s="83"/>
      <c r="H11155" s="83"/>
      <c r="K11155" s="82"/>
      <c r="M11155" s="112"/>
      <c r="N11155" s="84"/>
    </row>
    <row r="11156" spans="1:14" s="2" customFormat="1">
      <c r="A11156" s="83"/>
      <c r="H11156" s="83"/>
      <c r="K11156" s="82"/>
      <c r="M11156" s="112"/>
      <c r="N11156" s="84"/>
    </row>
    <row r="11157" spans="1:14" s="2" customFormat="1">
      <c r="A11157" s="83"/>
      <c r="H11157" s="83"/>
      <c r="K11157" s="82"/>
      <c r="M11157" s="112"/>
      <c r="N11157" s="84"/>
    </row>
    <row r="11158" spans="1:14" s="2" customFormat="1">
      <c r="A11158" s="83"/>
      <c r="H11158" s="83"/>
      <c r="K11158" s="82"/>
      <c r="M11158" s="112"/>
      <c r="N11158" s="84"/>
    </row>
    <row r="11159" spans="1:14" s="2" customFormat="1">
      <c r="A11159" s="83"/>
      <c r="H11159" s="83"/>
      <c r="K11159" s="82"/>
      <c r="M11159" s="112"/>
      <c r="N11159" s="84"/>
    </row>
    <row r="11160" spans="1:14" s="2" customFormat="1">
      <c r="A11160" s="83"/>
      <c r="H11160" s="83"/>
      <c r="K11160" s="82"/>
      <c r="M11160" s="112"/>
      <c r="N11160" s="84"/>
    </row>
    <row r="11161" spans="1:14" s="2" customFormat="1">
      <c r="A11161" s="83"/>
      <c r="H11161" s="83"/>
      <c r="K11161" s="82"/>
      <c r="M11161" s="112"/>
      <c r="N11161" s="84"/>
    </row>
    <row r="11162" spans="1:14" s="2" customFormat="1">
      <c r="A11162" s="83"/>
      <c r="H11162" s="83"/>
      <c r="K11162" s="82"/>
      <c r="M11162" s="112"/>
      <c r="N11162" s="84"/>
    </row>
    <row r="11163" spans="1:14" s="2" customFormat="1">
      <c r="A11163" s="83"/>
      <c r="H11163" s="83"/>
      <c r="K11163" s="82"/>
      <c r="M11163" s="112"/>
      <c r="N11163" s="84"/>
    </row>
    <row r="11164" spans="1:14" s="2" customFormat="1">
      <c r="A11164" s="83"/>
      <c r="H11164" s="83"/>
      <c r="K11164" s="82"/>
      <c r="M11164" s="112"/>
      <c r="N11164" s="84"/>
    </row>
    <row r="11165" spans="1:14" s="2" customFormat="1">
      <c r="A11165" s="83"/>
      <c r="H11165" s="83"/>
      <c r="K11165" s="82"/>
      <c r="M11165" s="112"/>
      <c r="N11165" s="84"/>
    </row>
    <row r="11166" spans="1:14" s="2" customFormat="1">
      <c r="A11166" s="83"/>
      <c r="H11166" s="83"/>
      <c r="K11166" s="82"/>
      <c r="M11166" s="112"/>
      <c r="N11166" s="84"/>
    </row>
    <row r="11167" spans="1:14" s="2" customFormat="1">
      <c r="A11167" s="83"/>
      <c r="H11167" s="83"/>
      <c r="K11167" s="82"/>
      <c r="M11167" s="112"/>
      <c r="N11167" s="84"/>
    </row>
    <row r="11168" spans="1:14" s="2" customFormat="1">
      <c r="A11168" s="83"/>
      <c r="H11168" s="83"/>
      <c r="K11168" s="82"/>
      <c r="M11168" s="112"/>
      <c r="N11168" s="84"/>
    </row>
    <row r="11169" spans="1:14" s="2" customFormat="1">
      <c r="A11169" s="83"/>
      <c r="H11169" s="83"/>
      <c r="K11169" s="82"/>
      <c r="M11169" s="112"/>
      <c r="N11169" s="84"/>
    </row>
    <row r="11170" spans="1:14" s="2" customFormat="1">
      <c r="A11170" s="83"/>
      <c r="H11170" s="83"/>
      <c r="K11170" s="82"/>
      <c r="M11170" s="112"/>
      <c r="N11170" s="84"/>
    </row>
    <row r="11171" spans="1:14" s="2" customFormat="1">
      <c r="A11171" s="83"/>
      <c r="H11171" s="83"/>
      <c r="K11171" s="82"/>
      <c r="M11171" s="112"/>
      <c r="N11171" s="84"/>
    </row>
    <row r="11172" spans="1:14" s="2" customFormat="1">
      <c r="A11172" s="83"/>
      <c r="H11172" s="83"/>
      <c r="K11172" s="82"/>
      <c r="M11172" s="112"/>
      <c r="N11172" s="84"/>
    </row>
    <row r="11173" spans="1:14" s="2" customFormat="1">
      <c r="A11173" s="83"/>
      <c r="H11173" s="83"/>
      <c r="K11173" s="82"/>
      <c r="M11173" s="112"/>
      <c r="N11173" s="84"/>
    </row>
    <row r="11174" spans="1:14" s="2" customFormat="1">
      <c r="A11174" s="83"/>
      <c r="H11174" s="83"/>
      <c r="K11174" s="82"/>
      <c r="M11174" s="112"/>
      <c r="N11174" s="84"/>
    </row>
    <row r="11175" spans="1:14" s="2" customFormat="1">
      <c r="A11175" s="83"/>
      <c r="H11175" s="83"/>
      <c r="K11175" s="82"/>
      <c r="M11175" s="112"/>
      <c r="N11175" s="84"/>
    </row>
    <row r="11176" spans="1:14" s="2" customFormat="1">
      <c r="A11176" s="83"/>
      <c r="H11176" s="83"/>
      <c r="K11176" s="82"/>
      <c r="M11176" s="112"/>
      <c r="N11176" s="84"/>
    </row>
    <row r="11177" spans="1:14" s="2" customFormat="1">
      <c r="A11177" s="83"/>
      <c r="H11177" s="83"/>
      <c r="K11177" s="82"/>
      <c r="M11177" s="112"/>
      <c r="N11177" s="84"/>
    </row>
    <row r="11178" spans="1:14" s="2" customFormat="1">
      <c r="A11178" s="83"/>
      <c r="H11178" s="83"/>
      <c r="K11178" s="82"/>
      <c r="M11178" s="112"/>
      <c r="N11178" s="84"/>
    </row>
    <row r="11179" spans="1:14" s="2" customFormat="1">
      <c r="A11179" s="83"/>
      <c r="H11179" s="83"/>
      <c r="K11179" s="82"/>
      <c r="M11179" s="112"/>
      <c r="N11179" s="84"/>
    </row>
    <row r="11180" spans="1:14" s="2" customFormat="1">
      <c r="A11180" s="83"/>
      <c r="H11180" s="83"/>
      <c r="K11180" s="82"/>
      <c r="M11180" s="112"/>
      <c r="N11180" s="84"/>
    </row>
    <row r="11181" spans="1:14" s="2" customFormat="1">
      <c r="A11181" s="83"/>
      <c r="H11181" s="83"/>
      <c r="K11181" s="82"/>
      <c r="M11181" s="112"/>
      <c r="N11181" s="84"/>
    </row>
    <row r="11182" spans="1:14" s="2" customFormat="1">
      <c r="A11182" s="83"/>
      <c r="H11182" s="83"/>
      <c r="K11182" s="82"/>
      <c r="M11182" s="112"/>
      <c r="N11182" s="84"/>
    </row>
    <row r="11183" spans="1:14" s="2" customFormat="1">
      <c r="A11183" s="83"/>
      <c r="H11183" s="83"/>
      <c r="K11183" s="82"/>
      <c r="M11183" s="112"/>
      <c r="N11183" s="84"/>
    </row>
    <row r="11184" spans="1:14" s="2" customFormat="1">
      <c r="A11184" s="83"/>
      <c r="H11184" s="83"/>
      <c r="K11184" s="82"/>
      <c r="M11184" s="112"/>
      <c r="N11184" s="84"/>
    </row>
    <row r="11185" spans="1:14" s="2" customFormat="1">
      <c r="A11185" s="83"/>
      <c r="H11185" s="83"/>
      <c r="K11185" s="82"/>
      <c r="M11185" s="112"/>
      <c r="N11185" s="84"/>
    </row>
    <row r="11186" spans="1:14" s="2" customFormat="1">
      <c r="A11186" s="83"/>
      <c r="H11186" s="83"/>
      <c r="K11186" s="82"/>
      <c r="M11186" s="112"/>
      <c r="N11186" s="84"/>
    </row>
    <row r="11187" spans="1:14" s="2" customFormat="1">
      <c r="A11187" s="83"/>
      <c r="H11187" s="83"/>
      <c r="K11187" s="82"/>
      <c r="M11187" s="112"/>
      <c r="N11187" s="84"/>
    </row>
    <row r="11188" spans="1:14" s="2" customFormat="1">
      <c r="A11188" s="83"/>
      <c r="H11188" s="83"/>
      <c r="K11188" s="82"/>
      <c r="M11188" s="112"/>
      <c r="N11188" s="84"/>
    </row>
    <row r="11189" spans="1:14" s="2" customFormat="1">
      <c r="A11189" s="83"/>
      <c r="H11189" s="83"/>
      <c r="K11189" s="82"/>
      <c r="M11189" s="112"/>
      <c r="N11189" s="84"/>
    </row>
    <row r="11190" spans="1:14" s="2" customFormat="1">
      <c r="A11190" s="83"/>
      <c r="H11190" s="83"/>
      <c r="K11190" s="82"/>
      <c r="M11190" s="112"/>
      <c r="N11190" s="84"/>
    </row>
    <row r="11191" spans="1:14" s="2" customFormat="1">
      <c r="A11191" s="83"/>
      <c r="H11191" s="83"/>
      <c r="K11191" s="82"/>
      <c r="M11191" s="112"/>
      <c r="N11191" s="84"/>
    </row>
    <row r="11192" spans="1:14" s="2" customFormat="1">
      <c r="A11192" s="83"/>
      <c r="H11192" s="83"/>
      <c r="K11192" s="82"/>
      <c r="M11192" s="112"/>
      <c r="N11192" s="84"/>
    </row>
    <row r="11193" spans="1:14" s="2" customFormat="1">
      <c r="A11193" s="83"/>
      <c r="H11193" s="83"/>
      <c r="K11193" s="82"/>
      <c r="M11193" s="112"/>
      <c r="N11193" s="84"/>
    </row>
    <row r="11194" spans="1:14" s="2" customFormat="1">
      <c r="A11194" s="83"/>
      <c r="H11194" s="83"/>
      <c r="K11194" s="82"/>
      <c r="M11194" s="112"/>
      <c r="N11194" s="84"/>
    </row>
    <row r="11195" spans="1:14" s="2" customFormat="1">
      <c r="A11195" s="83"/>
      <c r="H11195" s="83"/>
      <c r="K11195" s="82"/>
      <c r="M11195" s="112"/>
      <c r="N11195" s="84"/>
    </row>
    <row r="11196" spans="1:14" s="2" customFormat="1">
      <c r="A11196" s="83"/>
      <c r="H11196" s="83"/>
      <c r="K11196" s="82"/>
      <c r="M11196" s="112"/>
      <c r="N11196" s="84"/>
    </row>
    <row r="11197" spans="1:14" s="2" customFormat="1">
      <c r="A11197" s="83"/>
      <c r="H11197" s="83"/>
      <c r="K11197" s="82"/>
      <c r="M11197" s="112"/>
      <c r="N11197" s="84"/>
    </row>
    <row r="11198" spans="1:14" s="2" customFormat="1">
      <c r="A11198" s="83"/>
      <c r="H11198" s="83"/>
      <c r="K11198" s="82"/>
      <c r="M11198" s="112"/>
      <c r="N11198" s="84"/>
    </row>
    <row r="11199" spans="1:14" s="2" customFormat="1">
      <c r="A11199" s="83"/>
      <c r="H11199" s="83"/>
      <c r="K11199" s="82"/>
      <c r="M11199" s="112"/>
      <c r="N11199" s="84"/>
    </row>
    <row r="11200" spans="1:14" s="2" customFormat="1">
      <c r="A11200" s="83"/>
      <c r="H11200" s="83"/>
      <c r="K11200" s="82"/>
      <c r="M11200" s="112"/>
      <c r="N11200" s="84"/>
    </row>
    <row r="11201" spans="1:14" s="2" customFormat="1">
      <c r="A11201" s="83"/>
      <c r="H11201" s="83"/>
      <c r="K11201" s="82"/>
      <c r="M11201" s="112"/>
      <c r="N11201" s="84"/>
    </row>
    <row r="11202" spans="1:14" s="2" customFormat="1">
      <c r="A11202" s="83"/>
      <c r="H11202" s="83"/>
      <c r="K11202" s="82"/>
      <c r="M11202" s="112"/>
      <c r="N11202" s="84"/>
    </row>
    <row r="11203" spans="1:14" s="2" customFormat="1">
      <c r="A11203" s="83"/>
      <c r="H11203" s="83"/>
      <c r="K11203" s="82"/>
      <c r="M11203" s="112"/>
      <c r="N11203" s="84"/>
    </row>
    <row r="11204" spans="1:14" s="2" customFormat="1">
      <c r="A11204" s="83"/>
      <c r="H11204" s="83"/>
      <c r="K11204" s="82"/>
      <c r="M11204" s="112"/>
      <c r="N11204" s="84"/>
    </row>
    <row r="11205" spans="1:14" s="2" customFormat="1">
      <c r="A11205" s="83"/>
      <c r="H11205" s="83"/>
      <c r="K11205" s="82"/>
      <c r="M11205" s="112"/>
      <c r="N11205" s="84"/>
    </row>
    <row r="11206" spans="1:14" s="2" customFormat="1">
      <c r="A11206" s="83"/>
      <c r="H11206" s="83"/>
      <c r="K11206" s="82"/>
      <c r="M11206" s="112"/>
      <c r="N11206" s="84"/>
    </row>
    <row r="11207" spans="1:14" s="2" customFormat="1">
      <c r="A11207" s="83"/>
      <c r="H11207" s="83"/>
      <c r="K11207" s="82"/>
      <c r="M11207" s="112"/>
      <c r="N11207" s="84"/>
    </row>
    <row r="11208" spans="1:14" s="2" customFormat="1">
      <c r="A11208" s="83"/>
      <c r="H11208" s="83"/>
      <c r="K11208" s="82"/>
      <c r="M11208" s="112"/>
      <c r="N11208" s="84"/>
    </row>
    <row r="11209" spans="1:14" s="2" customFormat="1">
      <c r="A11209" s="83"/>
      <c r="H11209" s="83"/>
      <c r="K11209" s="82"/>
      <c r="M11209" s="112"/>
      <c r="N11209" s="84"/>
    </row>
    <row r="11210" spans="1:14" s="2" customFormat="1">
      <c r="A11210" s="83"/>
      <c r="H11210" s="83"/>
      <c r="K11210" s="82"/>
      <c r="M11210" s="112"/>
      <c r="N11210" s="84"/>
    </row>
    <row r="11211" spans="1:14" s="2" customFormat="1">
      <c r="A11211" s="83"/>
      <c r="H11211" s="83"/>
      <c r="K11211" s="82"/>
      <c r="M11211" s="112"/>
      <c r="N11211" s="84"/>
    </row>
    <row r="11212" spans="1:14" s="2" customFormat="1">
      <c r="A11212" s="83"/>
      <c r="H11212" s="83"/>
      <c r="K11212" s="82"/>
      <c r="M11212" s="112"/>
      <c r="N11212" s="84"/>
    </row>
    <row r="11213" spans="1:14" s="2" customFormat="1">
      <c r="A11213" s="83"/>
      <c r="H11213" s="83"/>
      <c r="K11213" s="82"/>
      <c r="M11213" s="112"/>
      <c r="N11213" s="84"/>
    </row>
    <row r="11214" spans="1:14" s="2" customFormat="1">
      <c r="A11214" s="83"/>
      <c r="H11214" s="83"/>
      <c r="K11214" s="82"/>
      <c r="M11214" s="112"/>
      <c r="N11214" s="84"/>
    </row>
    <row r="11215" spans="1:14" s="2" customFormat="1">
      <c r="A11215" s="83"/>
      <c r="H11215" s="83"/>
      <c r="K11215" s="82"/>
      <c r="M11215" s="112"/>
      <c r="N11215" s="84"/>
    </row>
    <row r="11216" spans="1:14" s="2" customFormat="1">
      <c r="A11216" s="83"/>
      <c r="H11216" s="83"/>
      <c r="K11216" s="82"/>
      <c r="M11216" s="112"/>
      <c r="N11216" s="84"/>
    </row>
    <row r="11217" spans="1:14" s="2" customFormat="1">
      <c r="A11217" s="83"/>
      <c r="H11217" s="83"/>
      <c r="K11217" s="82"/>
      <c r="M11217" s="112"/>
      <c r="N11217" s="84"/>
    </row>
    <row r="11218" spans="1:14" s="2" customFormat="1">
      <c r="A11218" s="83"/>
      <c r="H11218" s="83"/>
      <c r="K11218" s="82"/>
      <c r="M11218" s="112"/>
      <c r="N11218" s="84"/>
    </row>
    <row r="11219" spans="1:14" s="2" customFormat="1">
      <c r="A11219" s="83"/>
      <c r="H11219" s="83"/>
      <c r="K11219" s="82"/>
      <c r="M11219" s="112"/>
      <c r="N11219" s="84"/>
    </row>
    <row r="11220" spans="1:14" s="2" customFormat="1">
      <c r="A11220" s="83"/>
      <c r="H11220" s="83"/>
      <c r="K11220" s="82"/>
      <c r="M11220" s="112"/>
      <c r="N11220" s="84"/>
    </row>
    <row r="11221" spans="1:14" s="2" customFormat="1">
      <c r="A11221" s="83"/>
      <c r="H11221" s="83"/>
      <c r="K11221" s="82"/>
      <c r="M11221" s="112"/>
      <c r="N11221" s="84"/>
    </row>
    <row r="11222" spans="1:14" s="2" customFormat="1">
      <c r="A11222" s="83"/>
      <c r="H11222" s="83"/>
      <c r="K11222" s="82"/>
      <c r="M11222" s="112"/>
      <c r="N11222" s="84"/>
    </row>
    <row r="11223" spans="1:14" s="2" customFormat="1">
      <c r="A11223" s="83"/>
      <c r="H11223" s="83"/>
      <c r="K11223" s="82"/>
      <c r="M11223" s="112"/>
      <c r="N11223" s="84"/>
    </row>
    <row r="11224" spans="1:14" s="2" customFormat="1">
      <c r="A11224" s="83"/>
      <c r="H11224" s="83"/>
      <c r="K11224" s="82"/>
      <c r="M11224" s="112"/>
      <c r="N11224" s="84"/>
    </row>
    <row r="11225" spans="1:14" s="2" customFormat="1">
      <c r="A11225" s="83"/>
      <c r="H11225" s="83"/>
      <c r="K11225" s="82"/>
      <c r="M11225" s="112"/>
      <c r="N11225" s="84"/>
    </row>
    <row r="11226" spans="1:14" s="2" customFormat="1">
      <c r="A11226" s="83"/>
      <c r="H11226" s="83"/>
      <c r="K11226" s="82"/>
      <c r="M11226" s="112"/>
      <c r="N11226" s="84"/>
    </row>
    <row r="11227" spans="1:14" s="2" customFormat="1">
      <c r="A11227" s="83"/>
      <c r="H11227" s="83"/>
      <c r="K11227" s="82"/>
      <c r="M11227" s="112"/>
      <c r="N11227" s="84"/>
    </row>
    <row r="11228" spans="1:14" s="2" customFormat="1">
      <c r="A11228" s="83"/>
      <c r="H11228" s="83"/>
      <c r="K11228" s="82"/>
      <c r="M11228" s="112"/>
      <c r="N11228" s="84"/>
    </row>
    <row r="11229" spans="1:14" s="2" customFormat="1">
      <c r="A11229" s="83"/>
      <c r="H11229" s="83"/>
      <c r="K11229" s="82"/>
      <c r="M11229" s="112"/>
      <c r="N11229" s="84"/>
    </row>
    <row r="11230" spans="1:14" s="2" customFormat="1">
      <c r="A11230" s="83"/>
      <c r="H11230" s="83"/>
      <c r="K11230" s="82"/>
      <c r="M11230" s="112"/>
      <c r="N11230" s="84"/>
    </row>
    <row r="11231" spans="1:14" s="2" customFormat="1">
      <c r="A11231" s="83"/>
      <c r="H11231" s="83"/>
      <c r="K11231" s="82"/>
      <c r="M11231" s="112"/>
      <c r="N11231" s="84"/>
    </row>
    <row r="11232" spans="1:14" s="2" customFormat="1">
      <c r="A11232" s="83"/>
      <c r="H11232" s="83"/>
      <c r="K11232" s="82"/>
      <c r="M11232" s="112"/>
      <c r="N11232" s="84"/>
    </row>
    <row r="11233" spans="1:14" s="2" customFormat="1">
      <c r="A11233" s="83"/>
      <c r="H11233" s="83"/>
      <c r="K11233" s="82"/>
      <c r="M11233" s="112"/>
      <c r="N11233" s="84"/>
    </row>
    <row r="11234" spans="1:14" s="2" customFormat="1">
      <c r="A11234" s="83"/>
      <c r="H11234" s="83"/>
      <c r="K11234" s="82"/>
      <c r="M11234" s="112"/>
      <c r="N11234" s="84"/>
    </row>
    <row r="11235" spans="1:14" s="2" customFormat="1">
      <c r="A11235" s="83"/>
      <c r="H11235" s="83"/>
      <c r="K11235" s="82"/>
      <c r="M11235" s="112"/>
      <c r="N11235" s="84"/>
    </row>
    <row r="11236" spans="1:14" s="2" customFormat="1">
      <c r="A11236" s="83"/>
      <c r="H11236" s="83"/>
      <c r="K11236" s="82"/>
      <c r="M11236" s="112"/>
      <c r="N11236" s="84"/>
    </row>
    <row r="11237" spans="1:14" s="2" customFormat="1">
      <c r="A11237" s="83"/>
      <c r="H11237" s="83"/>
      <c r="K11237" s="82"/>
      <c r="M11237" s="112"/>
      <c r="N11237" s="84"/>
    </row>
    <row r="11238" spans="1:14" s="2" customFormat="1">
      <c r="A11238" s="83"/>
      <c r="H11238" s="83"/>
      <c r="K11238" s="82"/>
      <c r="M11238" s="112"/>
      <c r="N11238" s="84"/>
    </row>
    <row r="11239" spans="1:14" s="2" customFormat="1">
      <c r="A11239" s="83"/>
      <c r="H11239" s="83"/>
      <c r="K11239" s="82"/>
      <c r="M11239" s="112"/>
      <c r="N11239" s="84"/>
    </row>
    <row r="11240" spans="1:14" s="2" customFormat="1">
      <c r="A11240" s="83"/>
      <c r="H11240" s="83"/>
      <c r="K11240" s="82"/>
      <c r="M11240" s="112"/>
      <c r="N11240" s="84"/>
    </row>
    <row r="11241" spans="1:14" s="2" customFormat="1">
      <c r="A11241" s="83"/>
      <c r="H11241" s="83"/>
      <c r="K11241" s="82"/>
      <c r="M11241" s="112"/>
      <c r="N11241" s="84"/>
    </row>
    <row r="11242" spans="1:14" s="2" customFormat="1">
      <c r="A11242" s="83"/>
      <c r="H11242" s="83"/>
      <c r="K11242" s="82"/>
      <c r="M11242" s="112"/>
      <c r="N11242" s="84"/>
    </row>
    <row r="11243" spans="1:14" s="2" customFormat="1">
      <c r="A11243" s="83"/>
      <c r="H11243" s="83"/>
      <c r="K11243" s="82"/>
      <c r="M11243" s="112"/>
      <c r="N11243" s="84"/>
    </row>
    <row r="11244" spans="1:14" s="2" customFormat="1">
      <c r="A11244" s="83"/>
      <c r="H11244" s="83"/>
      <c r="K11244" s="82"/>
      <c r="M11244" s="112"/>
      <c r="N11244" s="84"/>
    </row>
    <row r="11245" spans="1:14" s="2" customFormat="1">
      <c r="A11245" s="83"/>
      <c r="H11245" s="83"/>
      <c r="K11245" s="82"/>
      <c r="M11245" s="112"/>
      <c r="N11245" s="84"/>
    </row>
    <row r="11246" spans="1:14" s="2" customFormat="1">
      <c r="A11246" s="83"/>
      <c r="H11246" s="83"/>
      <c r="K11246" s="82"/>
      <c r="M11246" s="112"/>
      <c r="N11246" s="84"/>
    </row>
    <row r="11247" spans="1:14" s="2" customFormat="1">
      <c r="A11247" s="83"/>
      <c r="H11247" s="83"/>
      <c r="K11247" s="82"/>
      <c r="M11247" s="112"/>
      <c r="N11247" s="84"/>
    </row>
    <row r="11248" spans="1:14" s="2" customFormat="1">
      <c r="A11248" s="83"/>
      <c r="H11248" s="83"/>
      <c r="K11248" s="82"/>
      <c r="M11248" s="112"/>
      <c r="N11248" s="84"/>
    </row>
    <row r="11249" spans="1:14" s="2" customFormat="1">
      <c r="A11249" s="83"/>
      <c r="H11249" s="83"/>
      <c r="K11249" s="82"/>
      <c r="M11249" s="112"/>
      <c r="N11249" s="84"/>
    </row>
    <row r="11250" spans="1:14" s="2" customFormat="1">
      <c r="A11250" s="83"/>
      <c r="H11250" s="83"/>
      <c r="K11250" s="82"/>
      <c r="M11250" s="112"/>
      <c r="N11250" s="84"/>
    </row>
    <row r="11251" spans="1:14" s="2" customFormat="1">
      <c r="A11251" s="83"/>
      <c r="H11251" s="83"/>
      <c r="K11251" s="82"/>
      <c r="M11251" s="112"/>
      <c r="N11251" s="84"/>
    </row>
    <row r="11252" spans="1:14" s="2" customFormat="1">
      <c r="A11252" s="83"/>
      <c r="H11252" s="83"/>
      <c r="K11252" s="82"/>
      <c r="M11252" s="112"/>
      <c r="N11252" s="84"/>
    </row>
    <row r="11253" spans="1:14" s="2" customFormat="1">
      <c r="A11253" s="83"/>
      <c r="H11253" s="83"/>
      <c r="K11253" s="82"/>
      <c r="M11253" s="112"/>
      <c r="N11253" s="84"/>
    </row>
    <row r="11254" spans="1:14" s="2" customFormat="1">
      <c r="A11254" s="83"/>
      <c r="H11254" s="83"/>
      <c r="K11254" s="82"/>
      <c r="M11254" s="112"/>
      <c r="N11254" s="84"/>
    </row>
    <row r="11255" spans="1:14" s="2" customFormat="1">
      <c r="A11255" s="83"/>
      <c r="H11255" s="83"/>
      <c r="K11255" s="82"/>
      <c r="M11255" s="112"/>
      <c r="N11255" s="84"/>
    </row>
    <row r="11256" spans="1:14" s="2" customFormat="1">
      <c r="A11256" s="83"/>
      <c r="H11256" s="83"/>
      <c r="K11256" s="82"/>
      <c r="M11256" s="112"/>
      <c r="N11256" s="84"/>
    </row>
    <row r="11257" spans="1:14" s="2" customFormat="1">
      <c r="A11257" s="83"/>
      <c r="H11257" s="83"/>
      <c r="K11257" s="82"/>
      <c r="M11257" s="112"/>
      <c r="N11257" s="84"/>
    </row>
    <row r="11258" spans="1:14" s="2" customFormat="1">
      <c r="A11258" s="83"/>
      <c r="H11258" s="83"/>
      <c r="K11258" s="82"/>
      <c r="M11258" s="112"/>
      <c r="N11258" s="84"/>
    </row>
    <row r="11259" spans="1:14" s="2" customFormat="1">
      <c r="A11259" s="83"/>
      <c r="H11259" s="83"/>
      <c r="K11259" s="82"/>
      <c r="M11259" s="112"/>
      <c r="N11259" s="84"/>
    </row>
    <row r="11260" spans="1:14" s="2" customFormat="1">
      <c r="A11260" s="83"/>
      <c r="H11260" s="83"/>
      <c r="K11260" s="82"/>
      <c r="M11260" s="112"/>
      <c r="N11260" s="84"/>
    </row>
    <row r="11261" spans="1:14" s="2" customFormat="1">
      <c r="A11261" s="83"/>
      <c r="H11261" s="83"/>
      <c r="K11261" s="82"/>
      <c r="M11261" s="112"/>
      <c r="N11261" s="84"/>
    </row>
    <row r="11262" spans="1:14" s="2" customFormat="1">
      <c r="A11262" s="83"/>
      <c r="H11262" s="83"/>
      <c r="K11262" s="82"/>
      <c r="M11262" s="112"/>
      <c r="N11262" s="84"/>
    </row>
    <row r="11263" spans="1:14" s="2" customFormat="1">
      <c r="A11263" s="83"/>
      <c r="H11263" s="83"/>
      <c r="K11263" s="82"/>
      <c r="M11263" s="112"/>
      <c r="N11263" s="84"/>
    </row>
    <row r="11264" spans="1:14" s="2" customFormat="1">
      <c r="A11264" s="83"/>
      <c r="H11264" s="83"/>
      <c r="K11264" s="82"/>
      <c r="M11264" s="112"/>
      <c r="N11264" s="84"/>
    </row>
    <row r="11265" spans="1:14" s="2" customFormat="1">
      <c r="A11265" s="83"/>
      <c r="H11265" s="83"/>
      <c r="K11265" s="82"/>
      <c r="M11265" s="112"/>
      <c r="N11265" s="84"/>
    </row>
    <row r="11266" spans="1:14" s="2" customFormat="1">
      <c r="A11266" s="83"/>
      <c r="H11266" s="83"/>
      <c r="K11266" s="82"/>
      <c r="M11266" s="112"/>
      <c r="N11266" s="84"/>
    </row>
    <row r="11267" spans="1:14" s="2" customFormat="1">
      <c r="A11267" s="83"/>
      <c r="H11267" s="83"/>
      <c r="K11267" s="82"/>
      <c r="M11267" s="112"/>
      <c r="N11267" s="84"/>
    </row>
    <row r="11268" spans="1:14" s="2" customFormat="1">
      <c r="A11268" s="83"/>
      <c r="H11268" s="83"/>
      <c r="K11268" s="82"/>
      <c r="M11268" s="112"/>
      <c r="N11268" s="84"/>
    </row>
    <row r="11269" spans="1:14" s="2" customFormat="1">
      <c r="A11269" s="83"/>
      <c r="H11269" s="83"/>
      <c r="K11269" s="82"/>
      <c r="M11269" s="112"/>
      <c r="N11269" s="84"/>
    </row>
    <row r="11270" spans="1:14" s="2" customFormat="1">
      <c r="A11270" s="83"/>
      <c r="H11270" s="83"/>
      <c r="K11270" s="82"/>
      <c r="M11270" s="112"/>
      <c r="N11270" s="84"/>
    </row>
    <row r="11271" spans="1:14" s="2" customFormat="1">
      <c r="A11271" s="83"/>
      <c r="H11271" s="83"/>
      <c r="K11271" s="82"/>
      <c r="M11271" s="112"/>
      <c r="N11271" s="84"/>
    </row>
    <row r="11272" spans="1:14" s="2" customFormat="1">
      <c r="A11272" s="83"/>
      <c r="H11272" s="83"/>
      <c r="K11272" s="82"/>
      <c r="M11272" s="112"/>
      <c r="N11272" s="84"/>
    </row>
    <row r="11273" spans="1:14" s="2" customFormat="1">
      <c r="A11273" s="83"/>
      <c r="H11273" s="83"/>
      <c r="K11273" s="82"/>
      <c r="M11273" s="112"/>
      <c r="N11273" s="84"/>
    </row>
    <row r="11274" spans="1:14" s="2" customFormat="1">
      <c r="A11274" s="83"/>
      <c r="H11274" s="83"/>
      <c r="K11274" s="82"/>
      <c r="M11274" s="112"/>
      <c r="N11274" s="84"/>
    </row>
    <row r="11275" spans="1:14" s="2" customFormat="1">
      <c r="A11275" s="83"/>
      <c r="H11275" s="83"/>
      <c r="K11275" s="82"/>
      <c r="M11275" s="112"/>
      <c r="N11275" s="84"/>
    </row>
    <row r="11276" spans="1:14" s="2" customFormat="1">
      <c r="A11276" s="83"/>
      <c r="H11276" s="83"/>
      <c r="K11276" s="82"/>
      <c r="M11276" s="112"/>
      <c r="N11276" s="84"/>
    </row>
    <row r="11277" spans="1:14" s="2" customFormat="1">
      <c r="A11277" s="83"/>
      <c r="H11277" s="83"/>
      <c r="K11277" s="82"/>
      <c r="M11277" s="112"/>
      <c r="N11277" s="84"/>
    </row>
    <row r="11278" spans="1:14" s="2" customFormat="1">
      <c r="A11278" s="83"/>
      <c r="H11278" s="83"/>
      <c r="K11278" s="82"/>
      <c r="M11278" s="112"/>
      <c r="N11278" s="84"/>
    </row>
    <row r="11279" spans="1:14" s="2" customFormat="1">
      <c r="A11279" s="83"/>
      <c r="H11279" s="83"/>
      <c r="K11279" s="82"/>
      <c r="M11279" s="112"/>
      <c r="N11279" s="84"/>
    </row>
    <row r="11280" spans="1:14" s="2" customFormat="1">
      <c r="A11280" s="83"/>
      <c r="H11280" s="83"/>
      <c r="K11280" s="82"/>
      <c r="M11280" s="112"/>
      <c r="N11280" s="84"/>
    </row>
    <row r="11281" spans="1:14" s="2" customFormat="1">
      <c r="A11281" s="83"/>
      <c r="H11281" s="83"/>
      <c r="K11281" s="82"/>
      <c r="M11281" s="112"/>
      <c r="N11281" s="84"/>
    </row>
    <row r="11282" spans="1:14" s="2" customFormat="1">
      <c r="A11282" s="83"/>
      <c r="H11282" s="83"/>
      <c r="K11282" s="82"/>
      <c r="M11282" s="112"/>
      <c r="N11282" s="84"/>
    </row>
    <row r="11283" spans="1:14" s="2" customFormat="1">
      <c r="A11283" s="83"/>
      <c r="H11283" s="83"/>
      <c r="K11283" s="82"/>
      <c r="M11283" s="112"/>
      <c r="N11283" s="84"/>
    </row>
    <row r="11284" spans="1:14" s="2" customFormat="1">
      <c r="A11284" s="83"/>
      <c r="H11284" s="83"/>
      <c r="K11284" s="82"/>
      <c r="M11284" s="112"/>
      <c r="N11284" s="84"/>
    </row>
    <row r="11285" spans="1:14" s="2" customFormat="1">
      <c r="A11285" s="83"/>
      <c r="H11285" s="83"/>
      <c r="K11285" s="82"/>
      <c r="M11285" s="112"/>
      <c r="N11285" s="84"/>
    </row>
    <row r="11286" spans="1:14" s="2" customFormat="1">
      <c r="A11286" s="83"/>
      <c r="H11286" s="83"/>
      <c r="K11286" s="82"/>
      <c r="M11286" s="112"/>
      <c r="N11286" s="84"/>
    </row>
    <row r="11287" spans="1:14" s="2" customFormat="1">
      <c r="A11287" s="83"/>
      <c r="H11287" s="83"/>
      <c r="K11287" s="82"/>
      <c r="M11287" s="112"/>
      <c r="N11287" s="84"/>
    </row>
    <row r="11288" spans="1:14" s="2" customFormat="1">
      <c r="A11288" s="83"/>
      <c r="H11288" s="83"/>
      <c r="K11288" s="82"/>
      <c r="M11288" s="112"/>
      <c r="N11288" s="84"/>
    </row>
    <row r="11289" spans="1:14" s="2" customFormat="1">
      <c r="A11289" s="83"/>
      <c r="H11289" s="83"/>
      <c r="K11289" s="82"/>
      <c r="M11289" s="112"/>
      <c r="N11289" s="84"/>
    </row>
    <row r="11290" spans="1:14" s="2" customFormat="1">
      <c r="A11290" s="83"/>
      <c r="H11290" s="83"/>
      <c r="K11290" s="82"/>
      <c r="M11290" s="112"/>
      <c r="N11290" s="84"/>
    </row>
    <row r="11291" spans="1:14" s="2" customFormat="1">
      <c r="A11291" s="83"/>
      <c r="H11291" s="83"/>
      <c r="K11291" s="82"/>
      <c r="M11291" s="112"/>
      <c r="N11291" s="84"/>
    </row>
    <row r="11292" spans="1:14" s="2" customFormat="1">
      <c r="A11292" s="83"/>
      <c r="H11292" s="83"/>
      <c r="K11292" s="82"/>
      <c r="M11292" s="112"/>
      <c r="N11292" s="84"/>
    </row>
    <row r="11293" spans="1:14" s="2" customFormat="1">
      <c r="A11293" s="83"/>
      <c r="H11293" s="83"/>
      <c r="K11293" s="82"/>
      <c r="M11293" s="112"/>
      <c r="N11293" s="84"/>
    </row>
    <row r="11294" spans="1:14" s="2" customFormat="1">
      <c r="A11294" s="83"/>
      <c r="H11294" s="83"/>
      <c r="K11294" s="82"/>
      <c r="M11294" s="112"/>
      <c r="N11294" s="84"/>
    </row>
    <row r="11295" spans="1:14" s="2" customFormat="1">
      <c r="A11295" s="83"/>
      <c r="H11295" s="83"/>
      <c r="K11295" s="82"/>
      <c r="M11295" s="112"/>
      <c r="N11295" s="84"/>
    </row>
    <row r="11296" spans="1:14" s="2" customFormat="1">
      <c r="A11296" s="83"/>
      <c r="H11296" s="83"/>
      <c r="K11296" s="82"/>
      <c r="M11296" s="112"/>
      <c r="N11296" s="84"/>
    </row>
    <row r="11297" spans="1:14" s="2" customFormat="1">
      <c r="A11297" s="83"/>
      <c r="H11297" s="83"/>
      <c r="K11297" s="82"/>
      <c r="M11297" s="112"/>
      <c r="N11297" s="84"/>
    </row>
    <row r="11298" spans="1:14" s="2" customFormat="1">
      <c r="A11298" s="83"/>
      <c r="H11298" s="83"/>
      <c r="K11298" s="82"/>
      <c r="M11298" s="112"/>
      <c r="N11298" s="84"/>
    </row>
    <row r="11299" spans="1:14" s="2" customFormat="1">
      <c r="A11299" s="83"/>
      <c r="H11299" s="83"/>
      <c r="K11299" s="82"/>
      <c r="M11299" s="112"/>
      <c r="N11299" s="84"/>
    </row>
    <row r="11300" spans="1:14" s="2" customFormat="1">
      <c r="A11300" s="83"/>
      <c r="H11300" s="83"/>
      <c r="K11300" s="82"/>
      <c r="M11300" s="112"/>
      <c r="N11300" s="84"/>
    </row>
    <row r="11301" spans="1:14" s="2" customFormat="1">
      <c r="A11301" s="83"/>
      <c r="H11301" s="83"/>
      <c r="K11301" s="82"/>
      <c r="M11301" s="112"/>
      <c r="N11301" s="84"/>
    </row>
    <row r="11302" spans="1:14" s="2" customFormat="1">
      <c r="A11302" s="83"/>
      <c r="H11302" s="83"/>
      <c r="K11302" s="82"/>
      <c r="M11302" s="112"/>
      <c r="N11302" s="84"/>
    </row>
    <row r="11303" spans="1:14" s="2" customFormat="1">
      <c r="A11303" s="83"/>
      <c r="H11303" s="83"/>
      <c r="K11303" s="82"/>
      <c r="M11303" s="112"/>
      <c r="N11303" s="84"/>
    </row>
    <row r="11304" spans="1:14" s="2" customFormat="1">
      <c r="A11304" s="83"/>
      <c r="H11304" s="83"/>
      <c r="K11304" s="82"/>
      <c r="M11304" s="112"/>
      <c r="N11304" s="84"/>
    </row>
    <row r="11305" spans="1:14" s="2" customFormat="1">
      <c r="A11305" s="83"/>
      <c r="H11305" s="83"/>
      <c r="K11305" s="82"/>
      <c r="M11305" s="112"/>
      <c r="N11305" s="84"/>
    </row>
    <row r="11306" spans="1:14" s="2" customFormat="1">
      <c r="A11306" s="83"/>
      <c r="H11306" s="83"/>
      <c r="K11306" s="82"/>
      <c r="M11306" s="112"/>
      <c r="N11306" s="84"/>
    </row>
    <row r="11307" spans="1:14" s="2" customFormat="1">
      <c r="A11307" s="83"/>
      <c r="H11307" s="83"/>
      <c r="K11307" s="82"/>
      <c r="M11307" s="112"/>
      <c r="N11307" s="84"/>
    </row>
    <row r="11308" spans="1:14" s="2" customFormat="1">
      <c r="A11308" s="83"/>
      <c r="H11308" s="83"/>
      <c r="K11308" s="82"/>
      <c r="M11308" s="112"/>
      <c r="N11308" s="84"/>
    </row>
    <row r="11309" spans="1:14" s="2" customFormat="1">
      <c r="A11309" s="83"/>
      <c r="H11309" s="83"/>
      <c r="K11309" s="82"/>
      <c r="M11309" s="112"/>
      <c r="N11309" s="84"/>
    </row>
    <row r="11310" spans="1:14" s="2" customFormat="1">
      <c r="A11310" s="83"/>
      <c r="H11310" s="83"/>
      <c r="K11310" s="82"/>
      <c r="M11310" s="112"/>
      <c r="N11310" s="84"/>
    </row>
    <row r="11311" spans="1:14" s="2" customFormat="1">
      <c r="A11311" s="83"/>
      <c r="H11311" s="83"/>
      <c r="K11311" s="82"/>
      <c r="M11311" s="112"/>
      <c r="N11311" s="84"/>
    </row>
    <row r="11312" spans="1:14" s="2" customFormat="1">
      <c r="A11312" s="83"/>
      <c r="H11312" s="83"/>
      <c r="K11312" s="82"/>
      <c r="M11312" s="112"/>
      <c r="N11312" s="84"/>
    </row>
    <row r="11313" spans="1:14" s="2" customFormat="1">
      <c r="A11313" s="83"/>
      <c r="H11313" s="83"/>
      <c r="K11313" s="82"/>
      <c r="M11313" s="112"/>
      <c r="N11313" s="84"/>
    </row>
    <row r="11314" spans="1:14" s="2" customFormat="1">
      <c r="A11314" s="83"/>
      <c r="H11314" s="83"/>
      <c r="K11314" s="82"/>
      <c r="M11314" s="112"/>
      <c r="N11314" s="84"/>
    </row>
    <row r="11315" spans="1:14" s="2" customFormat="1">
      <c r="A11315" s="83"/>
      <c r="H11315" s="83"/>
      <c r="K11315" s="82"/>
      <c r="M11315" s="112"/>
      <c r="N11315" s="84"/>
    </row>
    <row r="11316" spans="1:14" s="2" customFormat="1">
      <c r="A11316" s="83"/>
      <c r="H11316" s="83"/>
      <c r="K11316" s="82"/>
      <c r="M11316" s="112"/>
      <c r="N11316" s="84"/>
    </row>
    <row r="11317" spans="1:14" s="2" customFormat="1">
      <c r="A11317" s="83"/>
      <c r="H11317" s="83"/>
      <c r="K11317" s="82"/>
      <c r="M11317" s="112"/>
      <c r="N11317" s="84"/>
    </row>
    <row r="11318" spans="1:14" s="2" customFormat="1">
      <c r="A11318" s="83"/>
      <c r="H11318" s="83"/>
      <c r="K11318" s="82"/>
      <c r="M11318" s="112"/>
      <c r="N11318" s="84"/>
    </row>
    <row r="11319" spans="1:14" s="2" customFormat="1">
      <c r="A11319" s="83"/>
      <c r="H11319" s="83"/>
      <c r="K11319" s="82"/>
      <c r="M11319" s="112"/>
      <c r="N11319" s="84"/>
    </row>
    <row r="11320" spans="1:14" s="2" customFormat="1">
      <c r="A11320" s="83"/>
      <c r="H11320" s="83"/>
      <c r="K11320" s="82"/>
      <c r="M11320" s="112"/>
      <c r="N11320" s="84"/>
    </row>
    <row r="11321" spans="1:14" s="2" customFormat="1">
      <c r="A11321" s="83"/>
      <c r="H11321" s="83"/>
      <c r="K11321" s="82"/>
      <c r="M11321" s="112"/>
      <c r="N11321" s="84"/>
    </row>
    <row r="11322" spans="1:14" s="2" customFormat="1">
      <c r="A11322" s="83"/>
      <c r="H11322" s="83"/>
      <c r="K11322" s="82"/>
      <c r="M11322" s="112"/>
      <c r="N11322" s="84"/>
    </row>
    <row r="11323" spans="1:14" s="2" customFormat="1">
      <c r="A11323" s="83"/>
      <c r="H11323" s="83"/>
      <c r="K11323" s="82"/>
      <c r="M11323" s="112"/>
      <c r="N11323" s="84"/>
    </row>
    <row r="11324" spans="1:14" s="2" customFormat="1">
      <c r="A11324" s="83"/>
      <c r="H11324" s="83"/>
      <c r="K11324" s="82"/>
      <c r="M11324" s="112"/>
      <c r="N11324" s="84"/>
    </row>
    <row r="11325" spans="1:14" s="2" customFormat="1">
      <c r="A11325" s="83"/>
      <c r="H11325" s="83"/>
      <c r="K11325" s="82"/>
      <c r="M11325" s="112"/>
      <c r="N11325" s="84"/>
    </row>
    <row r="11326" spans="1:14" s="2" customFormat="1">
      <c r="A11326" s="83"/>
      <c r="H11326" s="83"/>
      <c r="K11326" s="82"/>
      <c r="M11326" s="112"/>
      <c r="N11326" s="84"/>
    </row>
    <row r="11327" spans="1:14" s="2" customFormat="1">
      <c r="A11327" s="83"/>
      <c r="H11327" s="83"/>
      <c r="K11327" s="82"/>
      <c r="M11327" s="112"/>
      <c r="N11327" s="84"/>
    </row>
    <row r="11328" spans="1:14" s="2" customFormat="1">
      <c r="A11328" s="83"/>
      <c r="H11328" s="83"/>
      <c r="K11328" s="82"/>
      <c r="M11328" s="112"/>
      <c r="N11328" s="84"/>
    </row>
    <row r="11329" spans="1:14" s="2" customFormat="1">
      <c r="A11329" s="83"/>
      <c r="H11329" s="83"/>
      <c r="K11329" s="82"/>
      <c r="M11329" s="112"/>
      <c r="N11329" s="84"/>
    </row>
    <row r="11330" spans="1:14" s="2" customFormat="1">
      <c r="A11330" s="83"/>
      <c r="H11330" s="83"/>
      <c r="K11330" s="82"/>
      <c r="M11330" s="112"/>
      <c r="N11330" s="84"/>
    </row>
    <row r="11331" spans="1:14" s="2" customFormat="1">
      <c r="A11331" s="83"/>
      <c r="H11331" s="83"/>
      <c r="K11331" s="82"/>
      <c r="M11331" s="112"/>
      <c r="N11331" s="84"/>
    </row>
    <row r="11332" spans="1:14" s="2" customFormat="1">
      <c r="A11332" s="83"/>
      <c r="H11332" s="83"/>
      <c r="K11332" s="82"/>
      <c r="M11332" s="112"/>
      <c r="N11332" s="84"/>
    </row>
    <row r="11333" spans="1:14" s="2" customFormat="1">
      <c r="A11333" s="83"/>
      <c r="H11333" s="83"/>
      <c r="K11333" s="82"/>
      <c r="M11333" s="112"/>
      <c r="N11333" s="84"/>
    </row>
    <row r="11334" spans="1:14" s="2" customFormat="1">
      <c r="A11334" s="83"/>
      <c r="H11334" s="83"/>
      <c r="K11334" s="82"/>
      <c r="M11334" s="112"/>
      <c r="N11334" s="84"/>
    </row>
    <row r="11335" spans="1:14" s="2" customFormat="1">
      <c r="A11335" s="83"/>
      <c r="H11335" s="83"/>
      <c r="K11335" s="82"/>
      <c r="M11335" s="112"/>
      <c r="N11335" s="84"/>
    </row>
    <row r="11336" spans="1:14" s="2" customFormat="1">
      <c r="A11336" s="83"/>
      <c r="H11336" s="83"/>
      <c r="K11336" s="82"/>
      <c r="M11336" s="112"/>
      <c r="N11336" s="84"/>
    </row>
    <row r="11337" spans="1:14" s="2" customFormat="1">
      <c r="A11337" s="83"/>
      <c r="H11337" s="83"/>
      <c r="K11337" s="82"/>
      <c r="M11337" s="112"/>
      <c r="N11337" s="84"/>
    </row>
    <row r="11338" spans="1:14" s="2" customFormat="1">
      <c r="A11338" s="83"/>
      <c r="H11338" s="83"/>
      <c r="K11338" s="82"/>
      <c r="M11338" s="112"/>
      <c r="N11338" s="84"/>
    </row>
    <row r="11339" spans="1:14" s="2" customFormat="1">
      <c r="A11339" s="83"/>
      <c r="H11339" s="83"/>
      <c r="K11339" s="82"/>
      <c r="M11339" s="112"/>
      <c r="N11339" s="84"/>
    </row>
    <row r="11340" spans="1:14" s="2" customFormat="1">
      <c r="A11340" s="83"/>
      <c r="H11340" s="83"/>
      <c r="K11340" s="82"/>
      <c r="M11340" s="112"/>
      <c r="N11340" s="84"/>
    </row>
    <row r="11341" spans="1:14" s="2" customFormat="1">
      <c r="A11341" s="83"/>
      <c r="H11341" s="83"/>
      <c r="K11341" s="82"/>
      <c r="M11341" s="112"/>
      <c r="N11341" s="84"/>
    </row>
    <row r="11342" spans="1:14" s="2" customFormat="1">
      <c r="A11342" s="83"/>
      <c r="H11342" s="83"/>
      <c r="K11342" s="82"/>
      <c r="M11342" s="112"/>
      <c r="N11342" s="84"/>
    </row>
    <row r="11343" spans="1:14" s="2" customFormat="1">
      <c r="A11343" s="83"/>
      <c r="H11343" s="83"/>
      <c r="K11343" s="82"/>
      <c r="M11343" s="112"/>
      <c r="N11343" s="84"/>
    </row>
    <row r="11344" spans="1:14" s="2" customFormat="1">
      <c r="A11344" s="83"/>
      <c r="H11344" s="83"/>
      <c r="K11344" s="82"/>
      <c r="M11344" s="112"/>
      <c r="N11344" s="84"/>
    </row>
    <row r="11345" spans="1:14" s="2" customFormat="1">
      <c r="A11345" s="83"/>
      <c r="H11345" s="83"/>
      <c r="K11345" s="82"/>
      <c r="M11345" s="112"/>
      <c r="N11345" s="84"/>
    </row>
    <row r="11346" spans="1:14" s="2" customFormat="1">
      <c r="A11346" s="83"/>
      <c r="H11346" s="83"/>
      <c r="K11346" s="82"/>
      <c r="M11346" s="112"/>
      <c r="N11346" s="84"/>
    </row>
    <row r="11347" spans="1:14" s="2" customFormat="1">
      <c r="A11347" s="83"/>
      <c r="H11347" s="83"/>
      <c r="K11347" s="82"/>
      <c r="M11347" s="112"/>
      <c r="N11347" s="84"/>
    </row>
    <row r="11348" spans="1:14" s="2" customFormat="1">
      <c r="A11348" s="83"/>
      <c r="H11348" s="83"/>
      <c r="K11348" s="82"/>
      <c r="M11348" s="112"/>
      <c r="N11348" s="84"/>
    </row>
    <row r="11349" spans="1:14" s="2" customFormat="1">
      <c r="A11349" s="83"/>
      <c r="H11349" s="83"/>
      <c r="K11349" s="82"/>
      <c r="M11349" s="112"/>
      <c r="N11349" s="84"/>
    </row>
    <row r="11350" spans="1:14" s="2" customFormat="1">
      <c r="A11350" s="83"/>
      <c r="H11350" s="83"/>
      <c r="K11350" s="82"/>
      <c r="M11350" s="112"/>
      <c r="N11350" s="84"/>
    </row>
    <row r="11351" spans="1:14" s="2" customFormat="1">
      <c r="A11351" s="83"/>
      <c r="H11351" s="83"/>
      <c r="K11351" s="82"/>
      <c r="M11351" s="112"/>
      <c r="N11351" s="84"/>
    </row>
    <row r="11352" spans="1:14" s="2" customFormat="1">
      <c r="A11352" s="83"/>
      <c r="H11352" s="83"/>
      <c r="K11352" s="82"/>
      <c r="M11352" s="112"/>
      <c r="N11352" s="84"/>
    </row>
    <row r="11353" spans="1:14" s="2" customFormat="1">
      <c r="A11353" s="83"/>
      <c r="H11353" s="83"/>
      <c r="K11353" s="82"/>
      <c r="M11353" s="112"/>
      <c r="N11353" s="84"/>
    </row>
    <row r="11354" spans="1:14" s="2" customFormat="1">
      <c r="A11354" s="83"/>
      <c r="H11354" s="83"/>
      <c r="K11354" s="82"/>
      <c r="M11354" s="112"/>
      <c r="N11354" s="84"/>
    </row>
    <row r="11355" spans="1:14" s="2" customFormat="1">
      <c r="A11355" s="83"/>
      <c r="H11355" s="83"/>
      <c r="K11355" s="82"/>
      <c r="M11355" s="112"/>
      <c r="N11355" s="84"/>
    </row>
    <row r="11356" spans="1:14" s="2" customFormat="1">
      <c r="A11356" s="83"/>
      <c r="H11356" s="83"/>
      <c r="K11356" s="82"/>
      <c r="M11356" s="112"/>
      <c r="N11356" s="84"/>
    </row>
    <row r="11357" spans="1:14" s="2" customFormat="1">
      <c r="A11357" s="83"/>
      <c r="H11357" s="83"/>
      <c r="K11357" s="82"/>
      <c r="M11357" s="112"/>
      <c r="N11357" s="84"/>
    </row>
    <row r="11358" spans="1:14" s="2" customFormat="1">
      <c r="A11358" s="83"/>
      <c r="H11358" s="83"/>
      <c r="K11358" s="82"/>
      <c r="M11358" s="112"/>
      <c r="N11358" s="84"/>
    </row>
    <row r="11359" spans="1:14" s="2" customFormat="1">
      <c r="A11359" s="83"/>
      <c r="H11359" s="83"/>
      <c r="K11359" s="82"/>
      <c r="M11359" s="112"/>
      <c r="N11359" s="84"/>
    </row>
    <row r="11360" spans="1:14" s="2" customFormat="1">
      <c r="A11360" s="83"/>
      <c r="H11360" s="83"/>
      <c r="K11360" s="82"/>
      <c r="M11360" s="112"/>
      <c r="N11360" s="84"/>
    </row>
    <row r="11361" spans="1:14" s="2" customFormat="1">
      <c r="A11361" s="83"/>
      <c r="H11361" s="83"/>
      <c r="K11361" s="82"/>
      <c r="M11361" s="112"/>
      <c r="N11361" s="84"/>
    </row>
    <row r="11362" spans="1:14" s="2" customFormat="1">
      <c r="A11362" s="83"/>
      <c r="H11362" s="83"/>
      <c r="K11362" s="82"/>
      <c r="M11362" s="112"/>
      <c r="N11362" s="84"/>
    </row>
    <row r="11363" spans="1:14" s="2" customFormat="1">
      <c r="A11363" s="83"/>
      <c r="H11363" s="83"/>
      <c r="K11363" s="82"/>
      <c r="M11363" s="112"/>
      <c r="N11363" s="84"/>
    </row>
    <row r="11364" spans="1:14" s="2" customFormat="1">
      <c r="A11364" s="83"/>
      <c r="H11364" s="83"/>
      <c r="K11364" s="82"/>
      <c r="M11364" s="112"/>
      <c r="N11364" s="84"/>
    </row>
    <row r="11365" spans="1:14" s="2" customFormat="1">
      <c r="A11365" s="83"/>
      <c r="H11365" s="83"/>
      <c r="K11365" s="82"/>
      <c r="M11365" s="112"/>
      <c r="N11365" s="84"/>
    </row>
    <row r="11366" spans="1:14" s="2" customFormat="1">
      <c r="A11366" s="83"/>
      <c r="H11366" s="83"/>
      <c r="K11366" s="82"/>
      <c r="M11366" s="112"/>
      <c r="N11366" s="84"/>
    </row>
    <row r="11367" spans="1:14" s="2" customFormat="1">
      <c r="A11367" s="83"/>
      <c r="H11367" s="83"/>
      <c r="K11367" s="82"/>
      <c r="M11367" s="112"/>
      <c r="N11367" s="84"/>
    </row>
    <row r="11368" spans="1:14" s="2" customFormat="1">
      <c r="A11368" s="83"/>
      <c r="H11368" s="83"/>
      <c r="K11368" s="82"/>
      <c r="M11368" s="112"/>
      <c r="N11368" s="84"/>
    </row>
    <row r="11369" spans="1:14" s="2" customFormat="1">
      <c r="A11369" s="83"/>
      <c r="H11369" s="83"/>
      <c r="K11369" s="82"/>
      <c r="M11369" s="112"/>
      <c r="N11369" s="84"/>
    </row>
    <row r="11370" spans="1:14" s="2" customFormat="1">
      <c r="A11370" s="83"/>
      <c r="H11370" s="83"/>
      <c r="K11370" s="82"/>
      <c r="M11370" s="112"/>
      <c r="N11370" s="84"/>
    </row>
    <row r="11371" spans="1:14" s="2" customFormat="1">
      <c r="A11371" s="83"/>
      <c r="H11371" s="83"/>
      <c r="K11371" s="82"/>
      <c r="M11371" s="112"/>
      <c r="N11371" s="84"/>
    </row>
    <row r="11372" spans="1:14" s="2" customFormat="1">
      <c r="A11372" s="83"/>
      <c r="H11372" s="83"/>
      <c r="K11372" s="82"/>
      <c r="M11372" s="112"/>
      <c r="N11372" s="84"/>
    </row>
    <row r="11373" spans="1:14" s="2" customFormat="1">
      <c r="A11373" s="83"/>
      <c r="H11373" s="83"/>
      <c r="K11373" s="82"/>
      <c r="M11373" s="112"/>
      <c r="N11373" s="84"/>
    </row>
    <row r="11374" spans="1:14" s="2" customFormat="1">
      <c r="A11374" s="83"/>
      <c r="H11374" s="83"/>
      <c r="K11374" s="82"/>
      <c r="M11374" s="112"/>
      <c r="N11374" s="84"/>
    </row>
    <row r="11375" spans="1:14" s="2" customFormat="1">
      <c r="A11375" s="83"/>
      <c r="H11375" s="83"/>
      <c r="K11375" s="82"/>
      <c r="M11375" s="112"/>
      <c r="N11375" s="84"/>
    </row>
    <row r="11376" spans="1:14" s="2" customFormat="1">
      <c r="A11376" s="83"/>
      <c r="H11376" s="83"/>
      <c r="K11376" s="82"/>
      <c r="M11376" s="112"/>
      <c r="N11376" s="84"/>
    </row>
    <row r="11377" spans="1:14" s="2" customFormat="1">
      <c r="A11377" s="83"/>
      <c r="H11377" s="83"/>
      <c r="K11377" s="82"/>
      <c r="M11377" s="112"/>
      <c r="N11377" s="84"/>
    </row>
    <row r="11378" spans="1:14" s="2" customFormat="1">
      <c r="A11378" s="83"/>
      <c r="H11378" s="83"/>
      <c r="K11378" s="82"/>
      <c r="M11378" s="112"/>
      <c r="N11378" s="84"/>
    </row>
    <row r="11379" spans="1:14" s="2" customFormat="1">
      <c r="A11379" s="83"/>
      <c r="H11379" s="83"/>
      <c r="K11379" s="82"/>
      <c r="M11379" s="112"/>
      <c r="N11379" s="84"/>
    </row>
    <row r="11380" spans="1:14" s="2" customFormat="1">
      <c r="A11380" s="83"/>
      <c r="H11380" s="83"/>
      <c r="K11380" s="82"/>
      <c r="M11380" s="112"/>
      <c r="N11380" s="84"/>
    </row>
    <row r="11381" spans="1:14" s="2" customFormat="1">
      <c r="A11381" s="83"/>
      <c r="H11381" s="83"/>
      <c r="K11381" s="82"/>
      <c r="M11381" s="112"/>
      <c r="N11381" s="84"/>
    </row>
    <row r="11382" spans="1:14" s="2" customFormat="1">
      <c r="A11382" s="83"/>
      <c r="H11382" s="83"/>
      <c r="K11382" s="82"/>
      <c r="M11382" s="112"/>
      <c r="N11382" s="84"/>
    </row>
    <row r="11383" spans="1:14" s="2" customFormat="1">
      <c r="A11383" s="83"/>
      <c r="H11383" s="83"/>
      <c r="K11383" s="82"/>
      <c r="M11383" s="112"/>
      <c r="N11383" s="84"/>
    </row>
    <row r="11384" spans="1:14" s="2" customFormat="1">
      <c r="A11384" s="83"/>
      <c r="H11384" s="83"/>
      <c r="K11384" s="82"/>
      <c r="M11384" s="112"/>
      <c r="N11384" s="84"/>
    </row>
    <row r="11385" spans="1:14" s="2" customFormat="1">
      <c r="A11385" s="83"/>
      <c r="H11385" s="83"/>
      <c r="K11385" s="82"/>
      <c r="M11385" s="112"/>
      <c r="N11385" s="84"/>
    </row>
    <row r="11386" spans="1:14" s="2" customFormat="1">
      <c r="A11386" s="83"/>
      <c r="H11386" s="83"/>
      <c r="K11386" s="82"/>
      <c r="M11386" s="112"/>
      <c r="N11386" s="84"/>
    </row>
    <row r="11387" spans="1:14" s="2" customFormat="1">
      <c r="A11387" s="83"/>
      <c r="H11387" s="83"/>
      <c r="K11387" s="82"/>
      <c r="M11387" s="112"/>
      <c r="N11387" s="84"/>
    </row>
    <row r="11388" spans="1:14" s="2" customFormat="1">
      <c r="A11388" s="83"/>
      <c r="H11388" s="83"/>
      <c r="K11388" s="82"/>
      <c r="M11388" s="112"/>
      <c r="N11388" s="84"/>
    </row>
    <row r="11389" spans="1:14" s="2" customFormat="1">
      <c r="A11389" s="83"/>
      <c r="H11389" s="83"/>
      <c r="K11389" s="82"/>
      <c r="M11389" s="112"/>
      <c r="N11389" s="84"/>
    </row>
    <row r="11390" spans="1:14" s="2" customFormat="1">
      <c r="A11390" s="83"/>
      <c r="H11390" s="83"/>
      <c r="K11390" s="82"/>
      <c r="M11390" s="112"/>
      <c r="N11390" s="84"/>
    </row>
    <row r="11391" spans="1:14" s="2" customFormat="1">
      <c r="A11391" s="83"/>
      <c r="H11391" s="83"/>
      <c r="K11391" s="82"/>
      <c r="M11391" s="112"/>
      <c r="N11391" s="84"/>
    </row>
    <row r="11392" spans="1:14" s="2" customFormat="1">
      <c r="A11392" s="83"/>
      <c r="H11392" s="83"/>
      <c r="K11392" s="82"/>
      <c r="M11392" s="112"/>
      <c r="N11392" s="84"/>
    </row>
    <row r="11393" spans="1:14" s="2" customFormat="1">
      <c r="A11393" s="83"/>
      <c r="H11393" s="83"/>
      <c r="K11393" s="82"/>
      <c r="M11393" s="112"/>
      <c r="N11393" s="84"/>
    </row>
    <row r="11394" spans="1:14" s="2" customFormat="1">
      <c r="A11394" s="83"/>
      <c r="H11394" s="83"/>
      <c r="K11394" s="82"/>
      <c r="M11394" s="112"/>
      <c r="N11394" s="84"/>
    </row>
    <row r="11395" spans="1:14" s="2" customFormat="1">
      <c r="A11395" s="83"/>
      <c r="H11395" s="83"/>
      <c r="K11395" s="82"/>
      <c r="M11395" s="112"/>
      <c r="N11395" s="84"/>
    </row>
    <row r="11396" spans="1:14" s="2" customFormat="1">
      <c r="A11396" s="83"/>
      <c r="H11396" s="83"/>
      <c r="K11396" s="82"/>
      <c r="M11396" s="112"/>
      <c r="N11396" s="84"/>
    </row>
    <row r="11397" spans="1:14" s="2" customFormat="1">
      <c r="A11397" s="83"/>
      <c r="H11397" s="83"/>
      <c r="K11397" s="82"/>
      <c r="M11397" s="112"/>
      <c r="N11397" s="84"/>
    </row>
    <row r="11398" spans="1:14" s="2" customFormat="1">
      <c r="A11398" s="83"/>
      <c r="H11398" s="83"/>
      <c r="K11398" s="82"/>
      <c r="M11398" s="112"/>
      <c r="N11398" s="84"/>
    </row>
    <row r="11399" spans="1:14" s="2" customFormat="1">
      <c r="A11399" s="83"/>
      <c r="H11399" s="83"/>
      <c r="K11399" s="82"/>
      <c r="M11399" s="112"/>
      <c r="N11399" s="84"/>
    </row>
    <row r="11400" spans="1:14" s="2" customFormat="1">
      <c r="A11400" s="83"/>
      <c r="H11400" s="83"/>
      <c r="K11400" s="82"/>
      <c r="M11400" s="112"/>
      <c r="N11400" s="84"/>
    </row>
    <row r="11401" spans="1:14" s="2" customFormat="1">
      <c r="A11401" s="83"/>
      <c r="H11401" s="83"/>
      <c r="K11401" s="82"/>
      <c r="M11401" s="112"/>
      <c r="N11401" s="84"/>
    </row>
    <row r="11402" spans="1:14" s="2" customFormat="1">
      <c r="A11402" s="83"/>
      <c r="H11402" s="83"/>
      <c r="K11402" s="82"/>
      <c r="M11402" s="112"/>
      <c r="N11402" s="84"/>
    </row>
    <row r="11403" spans="1:14" s="2" customFormat="1">
      <c r="A11403" s="83"/>
      <c r="H11403" s="83"/>
      <c r="K11403" s="82"/>
      <c r="M11403" s="112"/>
      <c r="N11403" s="84"/>
    </row>
    <row r="11404" spans="1:14" s="2" customFormat="1">
      <c r="A11404" s="83"/>
      <c r="H11404" s="83"/>
      <c r="K11404" s="82"/>
      <c r="M11404" s="112"/>
      <c r="N11404" s="84"/>
    </row>
    <row r="11405" spans="1:14" s="2" customFormat="1">
      <c r="A11405" s="83"/>
      <c r="H11405" s="83"/>
      <c r="K11405" s="82"/>
      <c r="M11405" s="112"/>
      <c r="N11405" s="84"/>
    </row>
    <row r="11406" spans="1:14" s="2" customFormat="1">
      <c r="A11406" s="83"/>
      <c r="H11406" s="83"/>
      <c r="K11406" s="82"/>
      <c r="M11406" s="112"/>
      <c r="N11406" s="84"/>
    </row>
    <row r="11407" spans="1:14" s="2" customFormat="1">
      <c r="A11407" s="83"/>
      <c r="H11407" s="83"/>
      <c r="K11407" s="82"/>
      <c r="M11407" s="112"/>
      <c r="N11407" s="84"/>
    </row>
    <row r="11408" spans="1:14" s="2" customFormat="1">
      <c r="A11408" s="83"/>
      <c r="H11408" s="83"/>
      <c r="K11408" s="82"/>
      <c r="M11408" s="112"/>
      <c r="N11408" s="84"/>
    </row>
    <row r="11409" spans="1:14" s="2" customFormat="1">
      <c r="A11409" s="83"/>
      <c r="H11409" s="83"/>
      <c r="K11409" s="82"/>
      <c r="M11409" s="112"/>
      <c r="N11409" s="84"/>
    </row>
    <row r="11410" spans="1:14" s="2" customFormat="1">
      <c r="A11410" s="83"/>
      <c r="H11410" s="83"/>
      <c r="K11410" s="82"/>
      <c r="M11410" s="112"/>
      <c r="N11410" s="84"/>
    </row>
    <row r="11411" spans="1:14" s="2" customFormat="1">
      <c r="A11411" s="83"/>
      <c r="H11411" s="83"/>
      <c r="K11411" s="82"/>
      <c r="M11411" s="112"/>
      <c r="N11411" s="84"/>
    </row>
    <row r="11412" spans="1:14" s="2" customFormat="1">
      <c r="A11412" s="83"/>
      <c r="H11412" s="83"/>
      <c r="K11412" s="82"/>
      <c r="M11412" s="112"/>
      <c r="N11412" s="84"/>
    </row>
    <row r="11413" spans="1:14" s="2" customFormat="1">
      <c r="A11413" s="83"/>
      <c r="H11413" s="83"/>
      <c r="K11413" s="82"/>
      <c r="M11413" s="112"/>
      <c r="N11413" s="84"/>
    </row>
    <row r="11414" spans="1:14" s="2" customFormat="1">
      <c r="A11414" s="83"/>
      <c r="H11414" s="83"/>
      <c r="K11414" s="82"/>
      <c r="M11414" s="112"/>
      <c r="N11414" s="84"/>
    </row>
    <row r="11415" spans="1:14" s="2" customFormat="1">
      <c r="A11415" s="83"/>
      <c r="H11415" s="83"/>
      <c r="K11415" s="82"/>
      <c r="M11415" s="112"/>
      <c r="N11415" s="84"/>
    </row>
    <row r="11416" spans="1:14" s="2" customFormat="1">
      <c r="A11416" s="83"/>
      <c r="H11416" s="83"/>
      <c r="K11416" s="82"/>
      <c r="M11416" s="112"/>
      <c r="N11416" s="84"/>
    </row>
    <row r="11417" spans="1:14" s="2" customFormat="1">
      <c r="A11417" s="83"/>
      <c r="H11417" s="83"/>
      <c r="K11417" s="82"/>
      <c r="M11417" s="112"/>
      <c r="N11417" s="84"/>
    </row>
    <row r="11418" spans="1:14" s="2" customFormat="1">
      <c r="A11418" s="83"/>
      <c r="H11418" s="83"/>
      <c r="K11418" s="82"/>
      <c r="M11418" s="112"/>
      <c r="N11418" s="84"/>
    </row>
    <row r="11419" spans="1:14" s="2" customFormat="1">
      <c r="A11419" s="83"/>
      <c r="H11419" s="83"/>
      <c r="K11419" s="82"/>
      <c r="M11419" s="112"/>
      <c r="N11419" s="84"/>
    </row>
    <row r="11420" spans="1:14" s="2" customFormat="1">
      <c r="A11420" s="83"/>
      <c r="H11420" s="83"/>
      <c r="K11420" s="82"/>
      <c r="M11420" s="112"/>
      <c r="N11420" s="84"/>
    </row>
    <row r="11421" spans="1:14" s="2" customFormat="1">
      <c r="A11421" s="83"/>
      <c r="H11421" s="83"/>
      <c r="K11421" s="82"/>
      <c r="M11421" s="112"/>
      <c r="N11421" s="84"/>
    </row>
    <row r="11422" spans="1:14" s="2" customFormat="1">
      <c r="A11422" s="83"/>
      <c r="H11422" s="83"/>
      <c r="K11422" s="82"/>
      <c r="M11422" s="112"/>
      <c r="N11422" s="84"/>
    </row>
    <row r="11423" spans="1:14" s="2" customFormat="1">
      <c r="A11423" s="83"/>
      <c r="H11423" s="83"/>
      <c r="K11423" s="82"/>
      <c r="M11423" s="112"/>
      <c r="N11423" s="84"/>
    </row>
    <row r="11424" spans="1:14" s="2" customFormat="1">
      <c r="A11424" s="83"/>
      <c r="H11424" s="83"/>
      <c r="K11424" s="82"/>
      <c r="M11424" s="112"/>
      <c r="N11424" s="84"/>
    </row>
    <row r="11425" spans="1:14" s="2" customFormat="1">
      <c r="A11425" s="83"/>
      <c r="H11425" s="83"/>
      <c r="K11425" s="82"/>
      <c r="M11425" s="112"/>
      <c r="N11425" s="84"/>
    </row>
    <row r="11426" spans="1:14" s="2" customFormat="1">
      <c r="A11426" s="83"/>
      <c r="H11426" s="83"/>
      <c r="K11426" s="82"/>
      <c r="M11426" s="112"/>
      <c r="N11426" s="84"/>
    </row>
    <row r="11427" spans="1:14" s="2" customFormat="1">
      <c r="A11427" s="83"/>
      <c r="H11427" s="83"/>
      <c r="K11427" s="82"/>
      <c r="M11427" s="112"/>
      <c r="N11427" s="84"/>
    </row>
    <row r="11428" spans="1:14" s="2" customFormat="1">
      <c r="A11428" s="83"/>
      <c r="H11428" s="83"/>
      <c r="K11428" s="82"/>
      <c r="M11428" s="112"/>
      <c r="N11428" s="84"/>
    </row>
    <row r="11429" spans="1:14" s="2" customFormat="1">
      <c r="A11429" s="83"/>
      <c r="H11429" s="83"/>
      <c r="K11429" s="82"/>
      <c r="M11429" s="112"/>
      <c r="N11429" s="84"/>
    </row>
    <row r="11430" spans="1:14" s="2" customFormat="1">
      <c r="A11430" s="83"/>
      <c r="H11430" s="83"/>
      <c r="K11430" s="82"/>
      <c r="M11430" s="112"/>
      <c r="N11430" s="84"/>
    </row>
    <row r="11431" spans="1:14" s="2" customFormat="1">
      <c r="A11431" s="83"/>
      <c r="H11431" s="83"/>
      <c r="K11431" s="82"/>
      <c r="M11431" s="112"/>
      <c r="N11431" s="84"/>
    </row>
    <row r="11432" spans="1:14" s="2" customFormat="1">
      <c r="A11432" s="83"/>
      <c r="H11432" s="83"/>
      <c r="K11432" s="82"/>
      <c r="M11432" s="112"/>
      <c r="N11432" s="84"/>
    </row>
    <row r="11433" spans="1:14" s="2" customFormat="1">
      <c r="A11433" s="83"/>
      <c r="H11433" s="83"/>
      <c r="K11433" s="82"/>
      <c r="M11433" s="112"/>
      <c r="N11433" s="84"/>
    </row>
    <row r="11434" spans="1:14" s="2" customFormat="1">
      <c r="A11434" s="83"/>
      <c r="H11434" s="83"/>
      <c r="K11434" s="82"/>
      <c r="M11434" s="112"/>
      <c r="N11434" s="84"/>
    </row>
    <row r="11435" spans="1:14" s="2" customFormat="1">
      <c r="A11435" s="83"/>
      <c r="H11435" s="83"/>
      <c r="K11435" s="82"/>
      <c r="M11435" s="112"/>
      <c r="N11435" s="84"/>
    </row>
    <row r="11436" spans="1:14" s="2" customFormat="1">
      <c r="A11436" s="83"/>
      <c r="H11436" s="83"/>
      <c r="K11436" s="82"/>
      <c r="M11436" s="112"/>
      <c r="N11436" s="84"/>
    </row>
    <row r="11437" spans="1:14" s="2" customFormat="1">
      <c r="A11437" s="83"/>
      <c r="H11437" s="83"/>
      <c r="K11437" s="82"/>
      <c r="M11437" s="112"/>
      <c r="N11437" s="84"/>
    </row>
    <row r="11438" spans="1:14" s="2" customFormat="1">
      <c r="A11438" s="83"/>
      <c r="H11438" s="83"/>
      <c r="K11438" s="82"/>
      <c r="M11438" s="112"/>
      <c r="N11438" s="84"/>
    </row>
    <row r="11439" spans="1:14" s="2" customFormat="1">
      <c r="A11439" s="83"/>
      <c r="H11439" s="83"/>
      <c r="K11439" s="82"/>
      <c r="M11439" s="112"/>
      <c r="N11439" s="84"/>
    </row>
    <row r="11440" spans="1:14" s="2" customFormat="1">
      <c r="A11440" s="83"/>
      <c r="H11440" s="83"/>
      <c r="K11440" s="82"/>
      <c r="M11440" s="112"/>
      <c r="N11440" s="84"/>
    </row>
    <row r="11441" spans="1:14" s="2" customFormat="1">
      <c r="A11441" s="83"/>
      <c r="H11441" s="83"/>
      <c r="K11441" s="82"/>
      <c r="M11441" s="112"/>
      <c r="N11441" s="84"/>
    </row>
    <row r="11442" spans="1:14" s="2" customFormat="1">
      <c r="A11442" s="83"/>
      <c r="H11442" s="83"/>
      <c r="K11442" s="82"/>
      <c r="M11442" s="112"/>
      <c r="N11442" s="84"/>
    </row>
    <row r="11443" spans="1:14" s="2" customFormat="1">
      <c r="A11443" s="83"/>
      <c r="H11443" s="83"/>
      <c r="K11443" s="82"/>
      <c r="M11443" s="112"/>
      <c r="N11443" s="84"/>
    </row>
    <row r="11444" spans="1:14" s="2" customFormat="1">
      <c r="A11444" s="83"/>
      <c r="H11444" s="83"/>
      <c r="K11444" s="82"/>
      <c r="M11444" s="112"/>
      <c r="N11444" s="84"/>
    </row>
    <row r="11445" spans="1:14" s="2" customFormat="1">
      <c r="A11445" s="83"/>
      <c r="H11445" s="83"/>
      <c r="K11445" s="82"/>
      <c r="M11445" s="112"/>
      <c r="N11445" s="84"/>
    </row>
    <row r="11446" spans="1:14" s="2" customFormat="1">
      <c r="A11446" s="83"/>
      <c r="H11446" s="83"/>
      <c r="K11446" s="82"/>
      <c r="M11446" s="112"/>
      <c r="N11446" s="84"/>
    </row>
    <row r="11447" spans="1:14" s="2" customFormat="1">
      <c r="A11447" s="83"/>
      <c r="H11447" s="83"/>
      <c r="K11447" s="82"/>
      <c r="M11447" s="112"/>
      <c r="N11447" s="84"/>
    </row>
    <row r="11448" spans="1:14" s="2" customFormat="1">
      <c r="A11448" s="83"/>
      <c r="H11448" s="83"/>
      <c r="K11448" s="82"/>
      <c r="M11448" s="112"/>
      <c r="N11448" s="84"/>
    </row>
    <row r="11449" spans="1:14" s="2" customFormat="1">
      <c r="A11449" s="83"/>
      <c r="H11449" s="83"/>
      <c r="K11449" s="82"/>
      <c r="M11449" s="112"/>
      <c r="N11449" s="84"/>
    </row>
    <row r="11450" spans="1:14" s="2" customFormat="1">
      <c r="A11450" s="83"/>
      <c r="H11450" s="83"/>
      <c r="K11450" s="82"/>
      <c r="M11450" s="112"/>
      <c r="N11450" s="84"/>
    </row>
    <row r="11451" spans="1:14" s="2" customFormat="1">
      <c r="A11451" s="83"/>
      <c r="H11451" s="83"/>
      <c r="K11451" s="82"/>
      <c r="M11451" s="112"/>
      <c r="N11451" s="84"/>
    </row>
    <row r="11452" spans="1:14" s="2" customFormat="1">
      <c r="A11452" s="83"/>
      <c r="H11452" s="83"/>
      <c r="K11452" s="82"/>
      <c r="M11452" s="112"/>
      <c r="N11452" s="84"/>
    </row>
    <row r="11453" spans="1:14" s="2" customFormat="1">
      <c r="A11453" s="83"/>
      <c r="H11453" s="83"/>
      <c r="K11453" s="82"/>
      <c r="M11453" s="112"/>
      <c r="N11453" s="84"/>
    </row>
    <row r="11454" spans="1:14" s="2" customFormat="1">
      <c r="A11454" s="83"/>
      <c r="H11454" s="83"/>
      <c r="K11454" s="82"/>
      <c r="M11454" s="112"/>
      <c r="N11454" s="84"/>
    </row>
    <row r="11455" spans="1:14" s="2" customFormat="1">
      <c r="A11455" s="83"/>
      <c r="H11455" s="83"/>
      <c r="K11455" s="82"/>
      <c r="M11455" s="112"/>
      <c r="N11455" s="84"/>
    </row>
    <row r="11456" spans="1:14" s="2" customFormat="1">
      <c r="A11456" s="83"/>
      <c r="H11456" s="83"/>
      <c r="K11456" s="82"/>
      <c r="M11456" s="112"/>
      <c r="N11456" s="84"/>
    </row>
    <row r="11457" spans="1:14" s="2" customFormat="1">
      <c r="A11457" s="83"/>
      <c r="H11457" s="83"/>
      <c r="K11457" s="82"/>
      <c r="M11457" s="112"/>
      <c r="N11457" s="84"/>
    </row>
    <row r="11458" spans="1:14" s="2" customFormat="1">
      <c r="A11458" s="83"/>
      <c r="H11458" s="83"/>
      <c r="K11458" s="82"/>
      <c r="M11458" s="112"/>
      <c r="N11458" s="84"/>
    </row>
    <row r="11459" spans="1:14" s="2" customFormat="1">
      <c r="A11459" s="83"/>
      <c r="H11459" s="83"/>
      <c r="K11459" s="82"/>
      <c r="M11459" s="112"/>
      <c r="N11459" s="84"/>
    </row>
    <row r="11460" spans="1:14" s="2" customFormat="1">
      <c r="A11460" s="83"/>
      <c r="H11460" s="83"/>
      <c r="K11460" s="82"/>
      <c r="M11460" s="112"/>
      <c r="N11460" s="84"/>
    </row>
    <row r="11461" spans="1:14" s="2" customFormat="1">
      <c r="A11461" s="83"/>
      <c r="H11461" s="83"/>
      <c r="K11461" s="82"/>
      <c r="M11461" s="112"/>
      <c r="N11461" s="84"/>
    </row>
    <row r="11462" spans="1:14" s="2" customFormat="1">
      <c r="A11462" s="83"/>
      <c r="H11462" s="83"/>
      <c r="K11462" s="82"/>
      <c r="M11462" s="112"/>
      <c r="N11462" s="84"/>
    </row>
    <row r="11463" spans="1:14" s="2" customFormat="1">
      <c r="A11463" s="83"/>
      <c r="H11463" s="83"/>
      <c r="K11463" s="82"/>
      <c r="M11463" s="112"/>
      <c r="N11463" s="84"/>
    </row>
    <row r="11464" spans="1:14" s="2" customFormat="1">
      <c r="A11464" s="83"/>
      <c r="H11464" s="83"/>
      <c r="K11464" s="82"/>
      <c r="M11464" s="112"/>
      <c r="N11464" s="84"/>
    </row>
    <row r="11465" spans="1:14" s="2" customFormat="1">
      <c r="A11465" s="83"/>
      <c r="H11465" s="83"/>
      <c r="K11465" s="82"/>
      <c r="M11465" s="112"/>
      <c r="N11465" s="84"/>
    </row>
    <row r="11466" spans="1:14" s="2" customFormat="1">
      <c r="A11466" s="83"/>
      <c r="H11466" s="83"/>
      <c r="K11466" s="82"/>
      <c r="M11466" s="112"/>
      <c r="N11466" s="84"/>
    </row>
    <row r="11467" spans="1:14" s="2" customFormat="1">
      <c r="A11467" s="83"/>
      <c r="H11467" s="83"/>
      <c r="K11467" s="82"/>
      <c r="M11467" s="112"/>
      <c r="N11467" s="84"/>
    </row>
    <row r="11468" spans="1:14" s="2" customFormat="1">
      <c r="A11468" s="83"/>
      <c r="H11468" s="83"/>
      <c r="K11468" s="82"/>
      <c r="M11468" s="112"/>
      <c r="N11468" s="84"/>
    </row>
    <row r="11469" spans="1:14" s="2" customFormat="1">
      <c r="A11469" s="83"/>
      <c r="H11469" s="83"/>
      <c r="K11469" s="82"/>
      <c r="M11469" s="112"/>
      <c r="N11469" s="84"/>
    </row>
    <row r="11470" spans="1:14" s="2" customFormat="1">
      <c r="A11470" s="83"/>
      <c r="H11470" s="83"/>
      <c r="K11470" s="82"/>
      <c r="M11470" s="112"/>
      <c r="N11470" s="84"/>
    </row>
    <row r="11471" spans="1:14" s="2" customFormat="1">
      <c r="A11471" s="83"/>
      <c r="H11471" s="83"/>
      <c r="K11471" s="82"/>
      <c r="M11471" s="112"/>
      <c r="N11471" s="84"/>
    </row>
    <row r="11472" spans="1:14" s="2" customFormat="1">
      <c r="A11472" s="83"/>
      <c r="H11472" s="83"/>
      <c r="K11472" s="82"/>
      <c r="M11472" s="112"/>
      <c r="N11472" s="84"/>
    </row>
    <row r="11473" spans="1:14" s="2" customFormat="1">
      <c r="A11473" s="83"/>
      <c r="H11473" s="83"/>
      <c r="K11473" s="82"/>
      <c r="M11473" s="112"/>
      <c r="N11473" s="84"/>
    </row>
    <row r="11474" spans="1:14" s="2" customFormat="1">
      <c r="A11474" s="83"/>
      <c r="H11474" s="83"/>
      <c r="K11474" s="82"/>
      <c r="M11474" s="112"/>
      <c r="N11474" s="84"/>
    </row>
    <row r="11475" spans="1:14" s="2" customFormat="1">
      <c r="A11475" s="83"/>
      <c r="H11475" s="83"/>
      <c r="K11475" s="82"/>
      <c r="M11475" s="112"/>
      <c r="N11475" s="84"/>
    </row>
    <row r="11476" spans="1:14" s="2" customFormat="1">
      <c r="A11476" s="83"/>
      <c r="H11476" s="83"/>
      <c r="K11476" s="82"/>
      <c r="M11476" s="112"/>
      <c r="N11476" s="84"/>
    </row>
    <row r="11477" spans="1:14" s="2" customFormat="1">
      <c r="A11477" s="83"/>
      <c r="H11477" s="83"/>
      <c r="K11477" s="82"/>
      <c r="M11477" s="112"/>
      <c r="N11477" s="84"/>
    </row>
    <row r="11478" spans="1:14" s="2" customFormat="1">
      <c r="A11478" s="83"/>
      <c r="H11478" s="83"/>
      <c r="K11478" s="82"/>
      <c r="M11478" s="112"/>
      <c r="N11478" s="84"/>
    </row>
    <row r="11479" spans="1:14" s="2" customFormat="1">
      <c r="A11479" s="83"/>
      <c r="H11479" s="83"/>
      <c r="K11479" s="82"/>
      <c r="M11479" s="112"/>
      <c r="N11479" s="84"/>
    </row>
    <row r="11480" spans="1:14" s="2" customFormat="1">
      <c r="A11480" s="83"/>
      <c r="H11480" s="83"/>
      <c r="K11480" s="82"/>
      <c r="M11480" s="112"/>
      <c r="N11480" s="84"/>
    </row>
    <row r="11481" spans="1:14" s="2" customFormat="1">
      <c r="A11481" s="83"/>
      <c r="H11481" s="83"/>
      <c r="K11481" s="82"/>
      <c r="M11481" s="112"/>
      <c r="N11481" s="84"/>
    </row>
    <row r="11482" spans="1:14" s="2" customFormat="1">
      <c r="A11482" s="83"/>
      <c r="H11482" s="83"/>
      <c r="K11482" s="82"/>
      <c r="M11482" s="112"/>
      <c r="N11482" s="84"/>
    </row>
    <row r="11483" spans="1:14" s="2" customFormat="1">
      <c r="A11483" s="83"/>
      <c r="H11483" s="83"/>
      <c r="K11483" s="82"/>
      <c r="M11483" s="112"/>
      <c r="N11483" s="84"/>
    </row>
    <row r="11484" spans="1:14" s="2" customFormat="1">
      <c r="A11484" s="83"/>
      <c r="H11484" s="83"/>
      <c r="K11484" s="82"/>
      <c r="M11484" s="112"/>
      <c r="N11484" s="84"/>
    </row>
    <row r="11485" spans="1:14" s="2" customFormat="1">
      <c r="A11485" s="83"/>
      <c r="H11485" s="83"/>
      <c r="K11485" s="82"/>
      <c r="M11485" s="112"/>
      <c r="N11485" s="84"/>
    </row>
    <row r="11486" spans="1:14" s="2" customFormat="1">
      <c r="A11486" s="83"/>
      <c r="H11486" s="83"/>
      <c r="K11486" s="82"/>
      <c r="M11486" s="112"/>
      <c r="N11486" s="84"/>
    </row>
    <row r="11487" spans="1:14" s="2" customFormat="1">
      <c r="A11487" s="83"/>
      <c r="H11487" s="83"/>
      <c r="K11487" s="82"/>
      <c r="M11487" s="112"/>
      <c r="N11487" s="84"/>
    </row>
    <row r="11488" spans="1:14" s="2" customFormat="1">
      <c r="A11488" s="83"/>
      <c r="H11488" s="83"/>
      <c r="K11488" s="82"/>
      <c r="M11488" s="112"/>
      <c r="N11488" s="84"/>
    </row>
    <row r="11489" spans="1:14" s="2" customFormat="1">
      <c r="A11489" s="83"/>
      <c r="H11489" s="83"/>
      <c r="K11489" s="82"/>
      <c r="M11489" s="112"/>
      <c r="N11489" s="84"/>
    </row>
    <row r="11490" spans="1:14" s="2" customFormat="1">
      <c r="A11490" s="83"/>
      <c r="H11490" s="83"/>
      <c r="K11490" s="82"/>
      <c r="M11490" s="112"/>
      <c r="N11490" s="84"/>
    </row>
    <row r="11491" spans="1:14" s="2" customFormat="1">
      <c r="A11491" s="83"/>
      <c r="H11491" s="83"/>
      <c r="K11491" s="82"/>
      <c r="M11491" s="112"/>
      <c r="N11491" s="84"/>
    </row>
    <row r="11492" spans="1:14" s="2" customFormat="1">
      <c r="A11492" s="83"/>
      <c r="H11492" s="83"/>
      <c r="K11492" s="82"/>
      <c r="M11492" s="112"/>
      <c r="N11492" s="84"/>
    </row>
    <row r="11493" spans="1:14" s="2" customFormat="1">
      <c r="A11493" s="83"/>
      <c r="H11493" s="83"/>
      <c r="K11493" s="82"/>
      <c r="M11493" s="112"/>
      <c r="N11493" s="84"/>
    </row>
    <row r="11494" spans="1:14" s="2" customFormat="1">
      <c r="A11494" s="83"/>
      <c r="H11494" s="83"/>
      <c r="K11494" s="82"/>
      <c r="M11494" s="112"/>
      <c r="N11494" s="84"/>
    </row>
    <row r="11495" spans="1:14" s="2" customFormat="1">
      <c r="A11495" s="83"/>
      <c r="H11495" s="83"/>
      <c r="K11495" s="82"/>
      <c r="M11495" s="112"/>
      <c r="N11495" s="84"/>
    </row>
    <row r="11496" spans="1:14" s="2" customFormat="1">
      <c r="A11496" s="83"/>
      <c r="H11496" s="83"/>
      <c r="K11496" s="82"/>
      <c r="M11496" s="112"/>
      <c r="N11496" s="84"/>
    </row>
    <row r="11497" spans="1:14" s="2" customFormat="1">
      <c r="A11497" s="83"/>
      <c r="H11497" s="83"/>
      <c r="K11497" s="82"/>
      <c r="M11497" s="112"/>
      <c r="N11497" s="84"/>
    </row>
    <row r="11498" spans="1:14" s="2" customFormat="1">
      <c r="A11498" s="83"/>
      <c r="H11498" s="83"/>
      <c r="K11498" s="82"/>
      <c r="M11498" s="112"/>
      <c r="N11498" s="84"/>
    </row>
    <row r="11499" spans="1:14" s="2" customFormat="1">
      <c r="A11499" s="83"/>
      <c r="H11499" s="83"/>
      <c r="K11499" s="82"/>
      <c r="M11499" s="112"/>
      <c r="N11499" s="84"/>
    </row>
    <row r="11500" spans="1:14" s="2" customFormat="1">
      <c r="A11500" s="83"/>
      <c r="H11500" s="83"/>
      <c r="K11500" s="82"/>
      <c r="M11500" s="112"/>
      <c r="N11500" s="84"/>
    </row>
    <row r="11501" spans="1:14" s="2" customFormat="1">
      <c r="A11501" s="83"/>
      <c r="H11501" s="83"/>
      <c r="K11501" s="82"/>
      <c r="M11501" s="112"/>
      <c r="N11501" s="84"/>
    </row>
    <row r="11502" spans="1:14" s="2" customFormat="1">
      <c r="A11502" s="83"/>
      <c r="H11502" s="83"/>
      <c r="K11502" s="82"/>
      <c r="M11502" s="112"/>
      <c r="N11502" s="84"/>
    </row>
    <row r="11503" spans="1:14" s="2" customFormat="1">
      <c r="A11503" s="83"/>
      <c r="H11503" s="83"/>
      <c r="K11503" s="82"/>
      <c r="M11503" s="112"/>
      <c r="N11503" s="84"/>
    </row>
    <row r="11504" spans="1:14" s="2" customFormat="1">
      <c r="A11504" s="83"/>
      <c r="H11504" s="83"/>
      <c r="K11504" s="82"/>
      <c r="M11504" s="112"/>
      <c r="N11504" s="84"/>
    </row>
    <row r="11505" spans="1:14" s="2" customFormat="1">
      <c r="A11505" s="83"/>
      <c r="H11505" s="83"/>
      <c r="K11505" s="82"/>
      <c r="M11505" s="112"/>
      <c r="N11505" s="84"/>
    </row>
    <row r="11506" spans="1:14" s="2" customFormat="1">
      <c r="A11506" s="83"/>
      <c r="H11506" s="83"/>
      <c r="K11506" s="82"/>
      <c r="M11506" s="112"/>
      <c r="N11506" s="84"/>
    </row>
    <row r="11507" spans="1:14" s="2" customFormat="1">
      <c r="A11507" s="83"/>
      <c r="H11507" s="83"/>
      <c r="K11507" s="82"/>
      <c r="M11507" s="112"/>
      <c r="N11507" s="84"/>
    </row>
    <row r="11508" spans="1:14" s="2" customFormat="1">
      <c r="A11508" s="83"/>
      <c r="H11508" s="83"/>
      <c r="K11508" s="82"/>
      <c r="M11508" s="112"/>
      <c r="N11508" s="84"/>
    </row>
    <row r="11509" spans="1:14" s="2" customFormat="1">
      <c r="A11509" s="83"/>
      <c r="H11509" s="83"/>
      <c r="K11509" s="82"/>
      <c r="M11509" s="112"/>
      <c r="N11509" s="84"/>
    </row>
    <row r="11510" spans="1:14" s="2" customFormat="1">
      <c r="A11510" s="83"/>
      <c r="H11510" s="83"/>
      <c r="K11510" s="82"/>
      <c r="M11510" s="112"/>
      <c r="N11510" s="84"/>
    </row>
    <row r="11511" spans="1:14" s="2" customFormat="1">
      <c r="A11511" s="83"/>
      <c r="H11511" s="83"/>
      <c r="K11511" s="82"/>
      <c r="M11511" s="112"/>
      <c r="N11511" s="84"/>
    </row>
    <row r="11512" spans="1:14" s="2" customFormat="1">
      <c r="A11512" s="83"/>
      <c r="H11512" s="83"/>
      <c r="K11512" s="82"/>
      <c r="M11512" s="112"/>
      <c r="N11512" s="84"/>
    </row>
    <row r="11513" spans="1:14" s="2" customFormat="1">
      <c r="A11513" s="83"/>
      <c r="H11513" s="83"/>
      <c r="K11513" s="82"/>
      <c r="M11513" s="112"/>
      <c r="N11513" s="84"/>
    </row>
    <row r="11514" spans="1:14" s="2" customFormat="1">
      <c r="A11514" s="83"/>
      <c r="H11514" s="83"/>
      <c r="K11514" s="82"/>
      <c r="M11514" s="112"/>
      <c r="N11514" s="84"/>
    </row>
    <row r="11515" spans="1:14" s="2" customFormat="1">
      <c r="A11515" s="83"/>
      <c r="H11515" s="83"/>
      <c r="K11515" s="82"/>
      <c r="M11515" s="112"/>
      <c r="N11515" s="84"/>
    </row>
    <row r="11516" spans="1:14" s="2" customFormat="1">
      <c r="A11516" s="83"/>
      <c r="H11516" s="83"/>
      <c r="K11516" s="82"/>
      <c r="M11516" s="112"/>
      <c r="N11516" s="84"/>
    </row>
    <row r="11517" spans="1:14" s="2" customFormat="1">
      <c r="A11517" s="83"/>
      <c r="H11517" s="83"/>
      <c r="K11517" s="82"/>
      <c r="M11517" s="112"/>
      <c r="N11517" s="84"/>
    </row>
    <row r="11518" spans="1:14" s="2" customFormat="1">
      <c r="A11518" s="83"/>
      <c r="H11518" s="83"/>
      <c r="K11518" s="82"/>
      <c r="M11518" s="112"/>
      <c r="N11518" s="84"/>
    </row>
    <row r="11519" spans="1:14" s="2" customFormat="1">
      <c r="A11519" s="83"/>
      <c r="H11519" s="83"/>
      <c r="K11519" s="82"/>
      <c r="M11519" s="112"/>
      <c r="N11519" s="84"/>
    </row>
    <row r="11520" spans="1:14" s="2" customFormat="1">
      <c r="A11520" s="83"/>
      <c r="H11520" s="83"/>
      <c r="K11520" s="82"/>
      <c r="M11520" s="112"/>
      <c r="N11520" s="84"/>
    </row>
    <row r="11521" spans="1:14" s="2" customFormat="1">
      <c r="A11521" s="83"/>
      <c r="H11521" s="83"/>
      <c r="K11521" s="82"/>
      <c r="M11521" s="112"/>
      <c r="N11521" s="84"/>
    </row>
    <row r="11522" spans="1:14" s="2" customFormat="1">
      <c r="A11522" s="83"/>
      <c r="H11522" s="83"/>
      <c r="K11522" s="82"/>
      <c r="M11522" s="112"/>
      <c r="N11522" s="84"/>
    </row>
    <row r="11523" spans="1:14" s="2" customFormat="1">
      <c r="A11523" s="83"/>
      <c r="H11523" s="83"/>
      <c r="K11523" s="82"/>
      <c r="M11523" s="112"/>
      <c r="N11523" s="84"/>
    </row>
    <row r="11524" spans="1:14" s="2" customFormat="1">
      <c r="A11524" s="83"/>
      <c r="H11524" s="83"/>
      <c r="K11524" s="82"/>
      <c r="M11524" s="112"/>
      <c r="N11524" s="84"/>
    </row>
    <row r="11525" spans="1:14" s="2" customFormat="1">
      <c r="A11525" s="83"/>
      <c r="H11525" s="83"/>
      <c r="K11525" s="82"/>
      <c r="M11525" s="112"/>
      <c r="N11525" s="84"/>
    </row>
    <row r="11526" spans="1:14" s="2" customFormat="1">
      <c r="A11526" s="83"/>
      <c r="H11526" s="83"/>
      <c r="K11526" s="82"/>
      <c r="M11526" s="112"/>
      <c r="N11526" s="84"/>
    </row>
    <row r="11527" spans="1:14" s="2" customFormat="1">
      <c r="A11527" s="83"/>
      <c r="H11527" s="83"/>
      <c r="K11527" s="82"/>
      <c r="M11527" s="112"/>
      <c r="N11527" s="84"/>
    </row>
    <row r="11528" spans="1:14" s="2" customFormat="1">
      <c r="A11528" s="83"/>
      <c r="H11528" s="83"/>
      <c r="K11528" s="82"/>
      <c r="M11528" s="112"/>
      <c r="N11528" s="84"/>
    </row>
    <row r="11529" spans="1:14" s="2" customFormat="1">
      <c r="A11529" s="83"/>
      <c r="H11529" s="83"/>
      <c r="K11529" s="82"/>
      <c r="M11529" s="112"/>
      <c r="N11529" s="84"/>
    </row>
    <row r="11530" spans="1:14" s="2" customFormat="1">
      <c r="A11530" s="83"/>
      <c r="H11530" s="83"/>
      <c r="K11530" s="82"/>
      <c r="M11530" s="112"/>
      <c r="N11530" s="84"/>
    </row>
    <row r="11531" spans="1:14" s="2" customFormat="1">
      <c r="A11531" s="83"/>
      <c r="H11531" s="83"/>
      <c r="K11531" s="82"/>
      <c r="M11531" s="112"/>
      <c r="N11531" s="84"/>
    </row>
    <row r="11532" spans="1:14" s="2" customFormat="1">
      <c r="A11532" s="83"/>
      <c r="H11532" s="83"/>
      <c r="K11532" s="82"/>
      <c r="M11532" s="112"/>
      <c r="N11532" s="84"/>
    </row>
    <row r="11533" spans="1:14" s="2" customFormat="1">
      <c r="A11533" s="83"/>
      <c r="H11533" s="83"/>
      <c r="K11533" s="82"/>
      <c r="M11533" s="112"/>
      <c r="N11533" s="84"/>
    </row>
    <row r="11534" spans="1:14" s="2" customFormat="1">
      <c r="A11534" s="83"/>
      <c r="H11534" s="83"/>
      <c r="K11534" s="82"/>
      <c r="M11534" s="112"/>
      <c r="N11534" s="84"/>
    </row>
    <row r="11535" spans="1:14" s="2" customFormat="1">
      <c r="A11535" s="83"/>
      <c r="H11535" s="83"/>
      <c r="K11535" s="82"/>
      <c r="M11535" s="112"/>
      <c r="N11535" s="84"/>
    </row>
    <row r="11536" spans="1:14" s="2" customFormat="1">
      <c r="A11536" s="83"/>
      <c r="H11536" s="83"/>
      <c r="K11536" s="82"/>
      <c r="M11536" s="112"/>
      <c r="N11536" s="84"/>
    </row>
    <row r="11537" spans="1:14" s="2" customFormat="1">
      <c r="A11537" s="83"/>
      <c r="H11537" s="83"/>
      <c r="K11537" s="82"/>
      <c r="M11537" s="112"/>
      <c r="N11537" s="84"/>
    </row>
    <row r="11538" spans="1:14" s="2" customFormat="1">
      <c r="A11538" s="83"/>
      <c r="H11538" s="83"/>
      <c r="K11538" s="82"/>
      <c r="M11538" s="112"/>
      <c r="N11538" s="84"/>
    </row>
    <row r="11539" spans="1:14" s="2" customFormat="1">
      <c r="A11539" s="83"/>
      <c r="H11539" s="83"/>
      <c r="K11539" s="82"/>
      <c r="M11539" s="112"/>
      <c r="N11539" s="84"/>
    </row>
    <row r="11540" spans="1:14" s="2" customFormat="1">
      <c r="A11540" s="83"/>
      <c r="H11540" s="83"/>
      <c r="K11540" s="82"/>
      <c r="M11540" s="112"/>
      <c r="N11540" s="84"/>
    </row>
    <row r="11541" spans="1:14" s="2" customFormat="1">
      <c r="A11541" s="83"/>
      <c r="H11541" s="83"/>
      <c r="K11541" s="82"/>
      <c r="M11541" s="112"/>
      <c r="N11541" s="84"/>
    </row>
    <row r="11542" spans="1:14" s="2" customFormat="1">
      <c r="A11542" s="83"/>
      <c r="H11542" s="83"/>
      <c r="K11542" s="82"/>
      <c r="M11542" s="112"/>
      <c r="N11542" s="84"/>
    </row>
    <row r="11543" spans="1:14" s="2" customFormat="1">
      <c r="A11543" s="83"/>
      <c r="H11543" s="83"/>
      <c r="K11543" s="82"/>
      <c r="M11543" s="112"/>
      <c r="N11543" s="84"/>
    </row>
    <row r="11544" spans="1:14" s="2" customFormat="1">
      <c r="A11544" s="83"/>
      <c r="H11544" s="83"/>
      <c r="K11544" s="82"/>
      <c r="M11544" s="112"/>
      <c r="N11544" s="84"/>
    </row>
    <row r="11545" spans="1:14" s="2" customFormat="1">
      <c r="A11545" s="83"/>
      <c r="H11545" s="83"/>
      <c r="K11545" s="82"/>
      <c r="M11545" s="112"/>
      <c r="N11545" s="84"/>
    </row>
    <row r="11546" spans="1:14" s="2" customFormat="1">
      <c r="A11546" s="83"/>
      <c r="H11546" s="83"/>
      <c r="K11546" s="82"/>
      <c r="M11546" s="112"/>
      <c r="N11546" s="84"/>
    </row>
    <row r="11547" spans="1:14" s="2" customFormat="1">
      <c r="A11547" s="83"/>
      <c r="H11547" s="83"/>
      <c r="K11547" s="82"/>
      <c r="M11547" s="112"/>
      <c r="N11547" s="84"/>
    </row>
    <row r="11548" spans="1:14" s="2" customFormat="1">
      <c r="A11548" s="83"/>
      <c r="H11548" s="83"/>
      <c r="K11548" s="82"/>
      <c r="M11548" s="112"/>
      <c r="N11548" s="84"/>
    </row>
    <row r="11549" spans="1:14" s="2" customFormat="1">
      <c r="A11549" s="83"/>
      <c r="H11549" s="83"/>
      <c r="K11549" s="82"/>
      <c r="M11549" s="112"/>
      <c r="N11549" s="84"/>
    </row>
    <row r="11550" spans="1:14" s="2" customFormat="1">
      <c r="A11550" s="83"/>
      <c r="H11550" s="83"/>
      <c r="K11550" s="82"/>
      <c r="M11550" s="112"/>
      <c r="N11550" s="84"/>
    </row>
    <row r="11551" spans="1:14" s="2" customFormat="1">
      <c r="A11551" s="83"/>
      <c r="H11551" s="83"/>
      <c r="K11551" s="82"/>
      <c r="M11551" s="112"/>
      <c r="N11551" s="84"/>
    </row>
    <row r="11552" spans="1:14" s="2" customFormat="1">
      <c r="A11552" s="83"/>
      <c r="H11552" s="83"/>
      <c r="K11552" s="82"/>
      <c r="M11552" s="112"/>
      <c r="N11552" s="84"/>
    </row>
    <row r="11553" spans="1:14" s="2" customFormat="1">
      <c r="A11553" s="83"/>
      <c r="H11553" s="83"/>
      <c r="K11553" s="82"/>
      <c r="M11553" s="112"/>
      <c r="N11553" s="84"/>
    </row>
    <row r="11554" spans="1:14" s="2" customFormat="1">
      <c r="A11554" s="83"/>
      <c r="H11554" s="83"/>
      <c r="K11554" s="82"/>
      <c r="M11554" s="112"/>
      <c r="N11554" s="84"/>
    </row>
    <row r="11555" spans="1:14" s="2" customFormat="1">
      <c r="A11555" s="83"/>
      <c r="H11555" s="83"/>
      <c r="K11555" s="82"/>
      <c r="M11555" s="112"/>
      <c r="N11555" s="84"/>
    </row>
    <row r="11556" spans="1:14" s="2" customFormat="1">
      <c r="A11556" s="83"/>
      <c r="H11556" s="83"/>
      <c r="K11556" s="82"/>
      <c r="M11556" s="112"/>
      <c r="N11556" s="84"/>
    </row>
    <row r="11557" spans="1:14" s="2" customFormat="1">
      <c r="A11557" s="83"/>
      <c r="H11557" s="83"/>
      <c r="K11557" s="82"/>
      <c r="M11557" s="112"/>
      <c r="N11557" s="84"/>
    </row>
    <row r="11558" spans="1:14" s="2" customFormat="1">
      <c r="A11558" s="83"/>
      <c r="H11558" s="83"/>
      <c r="K11558" s="82"/>
      <c r="M11558" s="112"/>
      <c r="N11558" s="84"/>
    </row>
    <row r="11559" spans="1:14" s="2" customFormat="1">
      <c r="A11559" s="83"/>
      <c r="H11559" s="83"/>
      <c r="K11559" s="82"/>
      <c r="M11559" s="112"/>
      <c r="N11559" s="84"/>
    </row>
    <row r="11560" spans="1:14" s="2" customFormat="1">
      <c r="A11560" s="83"/>
      <c r="H11560" s="83"/>
      <c r="K11560" s="82"/>
      <c r="M11560" s="112"/>
      <c r="N11560" s="84"/>
    </row>
    <row r="11561" spans="1:14" s="2" customFormat="1">
      <c r="A11561" s="83"/>
      <c r="H11561" s="83"/>
      <c r="K11561" s="82"/>
      <c r="M11561" s="112"/>
      <c r="N11561" s="84"/>
    </row>
    <row r="11562" spans="1:14" s="2" customFormat="1">
      <c r="A11562" s="83"/>
      <c r="H11562" s="83"/>
      <c r="K11562" s="82"/>
      <c r="M11562" s="112"/>
      <c r="N11562" s="84"/>
    </row>
    <row r="11563" spans="1:14" s="2" customFormat="1">
      <c r="A11563" s="83"/>
      <c r="H11563" s="83"/>
      <c r="K11563" s="82"/>
      <c r="M11563" s="112"/>
      <c r="N11563" s="84"/>
    </row>
    <row r="11564" spans="1:14" s="2" customFormat="1">
      <c r="A11564" s="83"/>
      <c r="H11564" s="83"/>
      <c r="K11564" s="82"/>
      <c r="M11564" s="112"/>
      <c r="N11564" s="84"/>
    </row>
    <row r="11565" spans="1:14" s="2" customFormat="1">
      <c r="A11565" s="83"/>
      <c r="H11565" s="83"/>
      <c r="K11565" s="82"/>
      <c r="M11565" s="112"/>
      <c r="N11565" s="84"/>
    </row>
    <row r="11566" spans="1:14" s="2" customFormat="1">
      <c r="A11566" s="83"/>
      <c r="H11566" s="83"/>
      <c r="K11566" s="82"/>
      <c r="M11566" s="112"/>
      <c r="N11566" s="84"/>
    </row>
    <row r="11567" spans="1:14" s="2" customFormat="1">
      <c r="A11567" s="83"/>
      <c r="H11567" s="83"/>
      <c r="K11567" s="82"/>
      <c r="M11567" s="112"/>
      <c r="N11567" s="84"/>
    </row>
    <row r="11568" spans="1:14" s="2" customFormat="1">
      <c r="A11568" s="83"/>
      <c r="H11568" s="83"/>
      <c r="K11568" s="82"/>
      <c r="M11568" s="112"/>
      <c r="N11568" s="84"/>
    </row>
    <row r="11569" spans="1:14" s="2" customFormat="1">
      <c r="A11569" s="83"/>
      <c r="H11569" s="83"/>
      <c r="K11569" s="82"/>
      <c r="M11569" s="112"/>
      <c r="N11569" s="84"/>
    </row>
    <row r="11570" spans="1:14" s="2" customFormat="1">
      <c r="A11570" s="83"/>
      <c r="H11570" s="83"/>
      <c r="K11570" s="82"/>
      <c r="M11570" s="112"/>
      <c r="N11570" s="84"/>
    </row>
    <row r="11571" spans="1:14" s="2" customFormat="1">
      <c r="A11571" s="83"/>
      <c r="H11571" s="83"/>
      <c r="K11571" s="82"/>
      <c r="M11571" s="112"/>
      <c r="N11571" s="84"/>
    </row>
    <row r="11572" spans="1:14" s="2" customFormat="1">
      <c r="A11572" s="83"/>
      <c r="H11572" s="83"/>
      <c r="K11572" s="82"/>
      <c r="M11572" s="112"/>
      <c r="N11572" s="84"/>
    </row>
    <row r="11573" spans="1:14" s="2" customFormat="1">
      <c r="A11573" s="83"/>
      <c r="H11573" s="83"/>
      <c r="K11573" s="82"/>
      <c r="M11573" s="112"/>
      <c r="N11573" s="84"/>
    </row>
    <row r="11574" spans="1:14" s="2" customFormat="1">
      <c r="A11574" s="83"/>
      <c r="H11574" s="83"/>
      <c r="K11574" s="82"/>
      <c r="M11574" s="112"/>
      <c r="N11574" s="84"/>
    </row>
    <row r="11575" spans="1:14" s="2" customFormat="1">
      <c r="A11575" s="83"/>
      <c r="H11575" s="83"/>
      <c r="K11575" s="82"/>
      <c r="M11575" s="112"/>
      <c r="N11575" s="84"/>
    </row>
    <row r="11576" spans="1:14" s="2" customFormat="1">
      <c r="A11576" s="83"/>
      <c r="H11576" s="83"/>
      <c r="K11576" s="82"/>
      <c r="M11576" s="112"/>
      <c r="N11576" s="84"/>
    </row>
    <row r="11577" spans="1:14" s="2" customFormat="1">
      <c r="A11577" s="83"/>
      <c r="H11577" s="83"/>
      <c r="K11577" s="82"/>
      <c r="M11577" s="112"/>
      <c r="N11577" s="84"/>
    </row>
    <row r="11578" spans="1:14" s="2" customFormat="1">
      <c r="A11578" s="83"/>
      <c r="H11578" s="83"/>
      <c r="K11578" s="82"/>
      <c r="M11578" s="112"/>
      <c r="N11578" s="84"/>
    </row>
    <row r="11579" spans="1:14" s="2" customFormat="1">
      <c r="A11579" s="83"/>
      <c r="H11579" s="83"/>
      <c r="K11579" s="82"/>
      <c r="M11579" s="112"/>
      <c r="N11579" s="84"/>
    </row>
    <row r="11580" spans="1:14" s="2" customFormat="1">
      <c r="A11580" s="83"/>
      <c r="H11580" s="83"/>
      <c r="K11580" s="82"/>
      <c r="M11580" s="112"/>
      <c r="N11580" s="84"/>
    </row>
    <row r="11581" spans="1:14" s="2" customFormat="1">
      <c r="A11581" s="83"/>
      <c r="H11581" s="83"/>
      <c r="K11581" s="82"/>
      <c r="M11581" s="112"/>
      <c r="N11581" s="84"/>
    </row>
    <row r="11582" spans="1:14" s="2" customFormat="1">
      <c r="A11582" s="83"/>
      <c r="H11582" s="83"/>
      <c r="K11582" s="82"/>
      <c r="M11582" s="112"/>
      <c r="N11582" s="84"/>
    </row>
    <row r="11583" spans="1:14" s="2" customFormat="1">
      <c r="A11583" s="83"/>
      <c r="H11583" s="83"/>
      <c r="K11583" s="82"/>
      <c r="M11583" s="112"/>
      <c r="N11583" s="84"/>
    </row>
    <row r="11584" spans="1:14" s="2" customFormat="1">
      <c r="A11584" s="83"/>
      <c r="H11584" s="83"/>
      <c r="K11584" s="82"/>
      <c r="M11584" s="112"/>
      <c r="N11584" s="84"/>
    </row>
    <row r="11585" spans="1:14" s="2" customFormat="1">
      <c r="A11585" s="83"/>
      <c r="H11585" s="83"/>
      <c r="K11585" s="82"/>
      <c r="M11585" s="112"/>
      <c r="N11585" s="84"/>
    </row>
    <row r="11586" spans="1:14" s="2" customFormat="1">
      <c r="A11586" s="83"/>
      <c r="H11586" s="83"/>
      <c r="K11586" s="82"/>
      <c r="M11586" s="112"/>
      <c r="N11586" s="84"/>
    </row>
    <row r="11587" spans="1:14" s="2" customFormat="1">
      <c r="A11587" s="83"/>
      <c r="H11587" s="83"/>
      <c r="K11587" s="82"/>
      <c r="M11587" s="112"/>
      <c r="N11587" s="84"/>
    </row>
    <row r="11588" spans="1:14" s="2" customFormat="1">
      <c r="A11588" s="83"/>
      <c r="H11588" s="83"/>
      <c r="K11588" s="82"/>
      <c r="M11588" s="112"/>
      <c r="N11588" s="84"/>
    </row>
    <row r="11589" spans="1:14" s="2" customFormat="1">
      <c r="A11589" s="83"/>
      <c r="H11589" s="83"/>
      <c r="K11589" s="82"/>
      <c r="M11589" s="112"/>
      <c r="N11589" s="84"/>
    </row>
    <row r="11590" spans="1:14" s="2" customFormat="1">
      <c r="A11590" s="83"/>
      <c r="H11590" s="83"/>
      <c r="K11590" s="82"/>
      <c r="M11590" s="112"/>
      <c r="N11590" s="84"/>
    </row>
    <row r="11591" spans="1:14" s="2" customFormat="1">
      <c r="A11591" s="83"/>
      <c r="H11591" s="83"/>
      <c r="K11591" s="82"/>
      <c r="M11591" s="112"/>
      <c r="N11591" s="84"/>
    </row>
    <row r="11592" spans="1:14" s="2" customFormat="1">
      <c r="A11592" s="83"/>
      <c r="H11592" s="83"/>
      <c r="K11592" s="82"/>
      <c r="M11592" s="112"/>
      <c r="N11592" s="84"/>
    </row>
    <row r="11593" spans="1:14" s="2" customFormat="1">
      <c r="A11593" s="83"/>
      <c r="H11593" s="83"/>
      <c r="K11593" s="82"/>
      <c r="M11593" s="112"/>
      <c r="N11593" s="84"/>
    </row>
    <row r="11594" spans="1:14" s="2" customFormat="1">
      <c r="A11594" s="83"/>
      <c r="H11594" s="83"/>
      <c r="K11594" s="82"/>
      <c r="M11594" s="112"/>
      <c r="N11594" s="84"/>
    </row>
    <row r="11595" spans="1:14" s="2" customFormat="1">
      <c r="A11595" s="83"/>
      <c r="H11595" s="83"/>
      <c r="K11595" s="82"/>
      <c r="M11595" s="112"/>
      <c r="N11595" s="84"/>
    </row>
    <row r="11596" spans="1:14" s="2" customFormat="1">
      <c r="A11596" s="83"/>
      <c r="H11596" s="83"/>
      <c r="K11596" s="82"/>
      <c r="M11596" s="112"/>
      <c r="N11596" s="84"/>
    </row>
    <row r="11597" spans="1:14" s="2" customFormat="1">
      <c r="A11597" s="83"/>
      <c r="H11597" s="83"/>
      <c r="K11597" s="82"/>
      <c r="M11597" s="112"/>
      <c r="N11597" s="84"/>
    </row>
    <row r="11598" spans="1:14" s="2" customFormat="1">
      <c r="A11598" s="83"/>
      <c r="H11598" s="83"/>
      <c r="K11598" s="82"/>
      <c r="M11598" s="112"/>
      <c r="N11598" s="84"/>
    </row>
    <row r="11599" spans="1:14" s="2" customFormat="1">
      <c r="A11599" s="83"/>
      <c r="H11599" s="83"/>
      <c r="K11599" s="82"/>
      <c r="M11599" s="112"/>
      <c r="N11599" s="84"/>
    </row>
    <row r="11600" spans="1:14" s="2" customFormat="1">
      <c r="A11600" s="83"/>
      <c r="H11600" s="83"/>
      <c r="K11600" s="82"/>
      <c r="M11600" s="112"/>
      <c r="N11600" s="84"/>
    </row>
    <row r="11601" spans="1:14" s="2" customFormat="1">
      <c r="A11601" s="83"/>
      <c r="H11601" s="83"/>
      <c r="K11601" s="82"/>
      <c r="M11601" s="112"/>
      <c r="N11601" s="84"/>
    </row>
    <row r="11602" spans="1:14" s="2" customFormat="1">
      <c r="A11602" s="83"/>
      <c r="H11602" s="83"/>
      <c r="K11602" s="82"/>
      <c r="M11602" s="112"/>
      <c r="N11602" s="84"/>
    </row>
    <row r="11603" spans="1:14" s="2" customFormat="1">
      <c r="A11603" s="83"/>
      <c r="H11603" s="83"/>
      <c r="K11603" s="82"/>
      <c r="M11603" s="112"/>
      <c r="N11603" s="84"/>
    </row>
    <row r="11604" spans="1:14" s="2" customFormat="1">
      <c r="A11604" s="83"/>
      <c r="H11604" s="83"/>
      <c r="K11604" s="82"/>
      <c r="M11604" s="112"/>
      <c r="N11604" s="84"/>
    </row>
    <row r="11605" spans="1:14" s="2" customFormat="1">
      <c r="A11605" s="83"/>
      <c r="H11605" s="83"/>
      <c r="K11605" s="82"/>
      <c r="M11605" s="112"/>
      <c r="N11605" s="84"/>
    </row>
    <row r="11606" spans="1:14" s="2" customFormat="1">
      <c r="A11606" s="83"/>
      <c r="H11606" s="83"/>
      <c r="K11606" s="82"/>
      <c r="M11606" s="112"/>
      <c r="N11606" s="84"/>
    </row>
    <row r="11607" spans="1:14" s="2" customFormat="1">
      <c r="A11607" s="83"/>
      <c r="H11607" s="83"/>
      <c r="K11607" s="82"/>
      <c r="M11607" s="112"/>
      <c r="N11607" s="84"/>
    </row>
    <row r="11608" spans="1:14" s="2" customFormat="1">
      <c r="A11608" s="83"/>
      <c r="H11608" s="83"/>
      <c r="K11608" s="82"/>
      <c r="M11608" s="112"/>
      <c r="N11608" s="84"/>
    </row>
    <row r="11609" spans="1:14" s="2" customFormat="1">
      <c r="A11609" s="83"/>
      <c r="H11609" s="83"/>
      <c r="K11609" s="82"/>
      <c r="M11609" s="112"/>
      <c r="N11609" s="84"/>
    </row>
    <row r="11610" spans="1:14" s="2" customFormat="1">
      <c r="A11610" s="83"/>
      <c r="H11610" s="83"/>
      <c r="K11610" s="82"/>
      <c r="M11610" s="112"/>
      <c r="N11610" s="84"/>
    </row>
    <row r="11611" spans="1:14" s="2" customFormat="1">
      <c r="A11611" s="83"/>
      <c r="H11611" s="83"/>
      <c r="K11611" s="82"/>
      <c r="M11611" s="112"/>
      <c r="N11611" s="84"/>
    </row>
    <row r="11612" spans="1:14" s="2" customFormat="1">
      <c r="A11612" s="83"/>
      <c r="H11612" s="83"/>
      <c r="K11612" s="82"/>
      <c r="M11612" s="112"/>
      <c r="N11612" s="84"/>
    </row>
    <row r="11613" spans="1:14" s="2" customFormat="1">
      <c r="A11613" s="83"/>
      <c r="H11613" s="83"/>
      <c r="K11613" s="82"/>
      <c r="M11613" s="112"/>
      <c r="N11613" s="84"/>
    </row>
    <row r="11614" spans="1:14" s="2" customFormat="1">
      <c r="A11614" s="83"/>
      <c r="H11614" s="83"/>
      <c r="K11614" s="82"/>
      <c r="M11614" s="112"/>
      <c r="N11614" s="84"/>
    </row>
    <row r="11615" spans="1:14" s="2" customFormat="1">
      <c r="A11615" s="83"/>
      <c r="H11615" s="83"/>
      <c r="K11615" s="82"/>
      <c r="M11615" s="112"/>
      <c r="N11615" s="84"/>
    </row>
    <row r="11616" spans="1:14" s="2" customFormat="1">
      <c r="A11616" s="83"/>
      <c r="H11616" s="83"/>
      <c r="K11616" s="82"/>
      <c r="M11616" s="112"/>
      <c r="N11616" s="84"/>
    </row>
    <row r="11617" spans="1:14" s="2" customFormat="1">
      <c r="A11617" s="83"/>
      <c r="H11617" s="83"/>
      <c r="K11617" s="82"/>
      <c r="M11617" s="112"/>
      <c r="N11617" s="84"/>
    </row>
    <row r="11618" spans="1:14" s="2" customFormat="1">
      <c r="A11618" s="83"/>
      <c r="H11618" s="83"/>
      <c r="K11618" s="82"/>
      <c r="M11618" s="112"/>
      <c r="N11618" s="84"/>
    </row>
    <row r="11619" spans="1:14" s="2" customFormat="1">
      <c r="A11619" s="83"/>
      <c r="H11619" s="83"/>
      <c r="K11619" s="82"/>
      <c r="M11619" s="112"/>
      <c r="N11619" s="84"/>
    </row>
    <row r="11620" spans="1:14" s="2" customFormat="1">
      <c r="A11620" s="83"/>
      <c r="H11620" s="83"/>
      <c r="K11620" s="82"/>
      <c r="M11620" s="112"/>
      <c r="N11620" s="84"/>
    </row>
    <row r="11621" spans="1:14" s="2" customFormat="1">
      <c r="A11621" s="83"/>
      <c r="H11621" s="83"/>
      <c r="K11621" s="82"/>
      <c r="M11621" s="112"/>
      <c r="N11621" s="84"/>
    </row>
    <row r="11622" spans="1:14" s="2" customFormat="1">
      <c r="A11622" s="83"/>
      <c r="H11622" s="83"/>
      <c r="K11622" s="82"/>
      <c r="M11622" s="112"/>
      <c r="N11622" s="84"/>
    </row>
    <row r="11623" spans="1:14" s="2" customFormat="1">
      <c r="A11623" s="83"/>
      <c r="H11623" s="83"/>
      <c r="K11623" s="82"/>
      <c r="M11623" s="112"/>
      <c r="N11623" s="84"/>
    </row>
    <row r="11624" spans="1:14" s="2" customFormat="1">
      <c r="A11624" s="83"/>
      <c r="H11624" s="83"/>
      <c r="K11624" s="82"/>
      <c r="M11624" s="112"/>
      <c r="N11624" s="84"/>
    </row>
    <row r="11625" spans="1:14" s="2" customFormat="1">
      <c r="A11625" s="83"/>
      <c r="H11625" s="83"/>
      <c r="K11625" s="82"/>
      <c r="M11625" s="112"/>
      <c r="N11625" s="84"/>
    </row>
    <row r="11626" spans="1:14" s="2" customFormat="1">
      <c r="A11626" s="83"/>
      <c r="H11626" s="83"/>
      <c r="K11626" s="82"/>
      <c r="M11626" s="112"/>
      <c r="N11626" s="84"/>
    </row>
    <row r="11627" spans="1:14" s="2" customFormat="1">
      <c r="A11627" s="83"/>
      <c r="H11627" s="83"/>
      <c r="K11627" s="82"/>
      <c r="M11627" s="112"/>
      <c r="N11627" s="84"/>
    </row>
    <row r="11628" spans="1:14" s="2" customFormat="1">
      <c r="A11628" s="83"/>
      <c r="H11628" s="83"/>
      <c r="K11628" s="82"/>
      <c r="M11628" s="112"/>
      <c r="N11628" s="84"/>
    </row>
    <row r="11629" spans="1:14" s="2" customFormat="1">
      <c r="A11629" s="83"/>
      <c r="H11629" s="83"/>
      <c r="K11629" s="82"/>
      <c r="M11629" s="112"/>
      <c r="N11629" s="84"/>
    </row>
    <row r="11630" spans="1:14" s="2" customFormat="1">
      <c r="A11630" s="83"/>
      <c r="H11630" s="83"/>
      <c r="K11630" s="82"/>
      <c r="M11630" s="112"/>
      <c r="N11630" s="84"/>
    </row>
    <row r="11631" spans="1:14" s="2" customFormat="1">
      <c r="A11631" s="83"/>
      <c r="H11631" s="83"/>
      <c r="K11631" s="82"/>
      <c r="M11631" s="112"/>
      <c r="N11631" s="84"/>
    </row>
    <row r="11632" spans="1:14" s="2" customFormat="1">
      <c r="A11632" s="83"/>
      <c r="H11632" s="83"/>
      <c r="K11632" s="82"/>
      <c r="M11632" s="112"/>
      <c r="N11632" s="84"/>
    </row>
    <row r="11633" spans="1:14" s="2" customFormat="1">
      <c r="A11633" s="83"/>
      <c r="H11633" s="83"/>
      <c r="K11633" s="82"/>
      <c r="M11633" s="112"/>
      <c r="N11633" s="84"/>
    </row>
    <row r="11634" spans="1:14" s="2" customFormat="1">
      <c r="A11634" s="83"/>
      <c r="H11634" s="83"/>
      <c r="K11634" s="82"/>
      <c r="M11634" s="112"/>
      <c r="N11634" s="84"/>
    </row>
    <row r="11635" spans="1:14" s="2" customFormat="1">
      <c r="A11635" s="83"/>
      <c r="H11635" s="83"/>
      <c r="K11635" s="82"/>
      <c r="M11635" s="112"/>
      <c r="N11635" s="84"/>
    </row>
    <row r="11636" spans="1:14" s="2" customFormat="1">
      <c r="A11636" s="83"/>
      <c r="H11636" s="83"/>
      <c r="K11636" s="82"/>
      <c r="M11636" s="112"/>
      <c r="N11636" s="84"/>
    </row>
    <row r="11637" spans="1:14" s="2" customFormat="1">
      <c r="A11637" s="83"/>
      <c r="H11637" s="83"/>
      <c r="K11637" s="82"/>
      <c r="M11637" s="112"/>
      <c r="N11637" s="84"/>
    </row>
    <row r="11638" spans="1:14" s="2" customFormat="1">
      <c r="A11638" s="83"/>
      <c r="H11638" s="83"/>
      <c r="K11638" s="82"/>
      <c r="M11638" s="112"/>
      <c r="N11638" s="84"/>
    </row>
    <row r="11639" spans="1:14" s="2" customFormat="1">
      <c r="A11639" s="83"/>
      <c r="H11639" s="83"/>
      <c r="K11639" s="82"/>
      <c r="M11639" s="112"/>
      <c r="N11639" s="84"/>
    </row>
    <row r="11640" spans="1:14" s="2" customFormat="1">
      <c r="A11640" s="83"/>
      <c r="H11640" s="83"/>
      <c r="K11640" s="82"/>
      <c r="M11640" s="112"/>
      <c r="N11640" s="84"/>
    </row>
    <row r="11641" spans="1:14" s="2" customFormat="1">
      <c r="A11641" s="83"/>
      <c r="H11641" s="83"/>
      <c r="K11641" s="82"/>
      <c r="M11641" s="112"/>
      <c r="N11641" s="84"/>
    </row>
    <row r="11642" spans="1:14" s="2" customFormat="1">
      <c r="A11642" s="83"/>
      <c r="H11642" s="83"/>
      <c r="K11642" s="82"/>
      <c r="M11642" s="112"/>
      <c r="N11642" s="84"/>
    </row>
    <row r="11643" spans="1:14" s="2" customFormat="1">
      <c r="A11643" s="83"/>
      <c r="H11643" s="83"/>
      <c r="K11643" s="82"/>
      <c r="M11643" s="112"/>
      <c r="N11643" s="84"/>
    </row>
    <row r="11644" spans="1:14" s="2" customFormat="1">
      <c r="A11644" s="83"/>
      <c r="H11644" s="83"/>
      <c r="K11644" s="82"/>
      <c r="M11644" s="112"/>
      <c r="N11644" s="84"/>
    </row>
    <row r="11645" spans="1:14" s="2" customFormat="1">
      <c r="A11645" s="83"/>
      <c r="H11645" s="83"/>
      <c r="K11645" s="82"/>
      <c r="M11645" s="112"/>
      <c r="N11645" s="84"/>
    </row>
    <row r="11646" spans="1:14" s="2" customFormat="1">
      <c r="A11646" s="83"/>
      <c r="H11646" s="83"/>
      <c r="K11646" s="82"/>
      <c r="M11646" s="112"/>
      <c r="N11646" s="84"/>
    </row>
    <row r="11647" spans="1:14" s="2" customFormat="1">
      <c r="A11647" s="83"/>
      <c r="H11647" s="83"/>
      <c r="K11647" s="82"/>
      <c r="M11647" s="112"/>
      <c r="N11647" s="84"/>
    </row>
    <row r="11648" spans="1:14" s="2" customFormat="1">
      <c r="A11648" s="83"/>
      <c r="H11648" s="83"/>
      <c r="K11648" s="82"/>
      <c r="M11648" s="112"/>
      <c r="N11648" s="84"/>
    </row>
    <row r="11649" spans="1:14" s="2" customFormat="1">
      <c r="A11649" s="83"/>
      <c r="H11649" s="83"/>
      <c r="K11649" s="82"/>
      <c r="M11649" s="112"/>
      <c r="N11649" s="84"/>
    </row>
    <row r="11650" spans="1:14" s="2" customFormat="1">
      <c r="A11650" s="83"/>
      <c r="H11650" s="83"/>
      <c r="K11650" s="82"/>
      <c r="M11650" s="112"/>
      <c r="N11650" s="84"/>
    </row>
    <row r="11651" spans="1:14" s="2" customFormat="1">
      <c r="A11651" s="83"/>
      <c r="H11651" s="83"/>
      <c r="K11651" s="82"/>
      <c r="M11651" s="112"/>
      <c r="N11651" s="84"/>
    </row>
    <row r="11652" spans="1:14" s="2" customFormat="1">
      <c r="A11652" s="83"/>
      <c r="H11652" s="83"/>
      <c r="K11652" s="82"/>
      <c r="M11652" s="112"/>
      <c r="N11652" s="84"/>
    </row>
    <row r="11653" spans="1:14" s="2" customFormat="1">
      <c r="A11653" s="83"/>
      <c r="H11653" s="83"/>
      <c r="K11653" s="82"/>
      <c r="M11653" s="112"/>
      <c r="N11653" s="84"/>
    </row>
    <row r="11654" spans="1:14" s="2" customFormat="1">
      <c r="A11654" s="83"/>
      <c r="H11654" s="83"/>
      <c r="K11654" s="82"/>
      <c r="M11654" s="112"/>
      <c r="N11654" s="84"/>
    </row>
    <row r="11655" spans="1:14" s="2" customFormat="1">
      <c r="A11655" s="83"/>
      <c r="H11655" s="83"/>
      <c r="K11655" s="82"/>
      <c r="M11655" s="112"/>
      <c r="N11655" s="84"/>
    </row>
    <row r="11656" spans="1:14" s="2" customFormat="1">
      <c r="A11656" s="83"/>
      <c r="H11656" s="83"/>
      <c r="K11656" s="82"/>
      <c r="M11656" s="112"/>
      <c r="N11656" s="84"/>
    </row>
    <row r="11657" spans="1:14" s="2" customFormat="1">
      <c r="A11657" s="83"/>
      <c r="H11657" s="83"/>
      <c r="K11657" s="82"/>
      <c r="M11657" s="112"/>
      <c r="N11657" s="84"/>
    </row>
    <row r="11658" spans="1:14" s="2" customFormat="1">
      <c r="A11658" s="83"/>
      <c r="H11658" s="83"/>
      <c r="K11658" s="82"/>
      <c r="M11658" s="112"/>
      <c r="N11658" s="84"/>
    </row>
    <row r="11659" spans="1:14" s="2" customFormat="1">
      <c r="A11659" s="83"/>
      <c r="H11659" s="83"/>
      <c r="K11659" s="82"/>
      <c r="M11659" s="112"/>
      <c r="N11659" s="84"/>
    </row>
    <row r="11660" spans="1:14" s="2" customFormat="1">
      <c r="A11660" s="83"/>
      <c r="H11660" s="83"/>
      <c r="K11660" s="82"/>
      <c r="M11660" s="112"/>
      <c r="N11660" s="84"/>
    </row>
    <row r="11661" spans="1:14" s="2" customFormat="1">
      <c r="A11661" s="83"/>
      <c r="H11661" s="83"/>
      <c r="K11661" s="82"/>
      <c r="M11661" s="112"/>
      <c r="N11661" s="84"/>
    </row>
    <row r="11662" spans="1:14" s="2" customFormat="1">
      <c r="A11662" s="83"/>
      <c r="H11662" s="83"/>
      <c r="K11662" s="82"/>
      <c r="M11662" s="112"/>
      <c r="N11662" s="84"/>
    </row>
    <row r="11663" spans="1:14" s="2" customFormat="1">
      <c r="A11663" s="83"/>
      <c r="H11663" s="83"/>
      <c r="K11663" s="82"/>
      <c r="M11663" s="112"/>
      <c r="N11663" s="84"/>
    </row>
    <row r="11664" spans="1:14" s="2" customFormat="1">
      <c r="A11664" s="83"/>
      <c r="H11664" s="83"/>
      <c r="K11664" s="82"/>
      <c r="M11664" s="112"/>
      <c r="N11664" s="84"/>
    </row>
    <row r="11665" spans="1:14" s="2" customFormat="1">
      <c r="A11665" s="83"/>
      <c r="H11665" s="83"/>
      <c r="K11665" s="82"/>
      <c r="M11665" s="112"/>
      <c r="N11665" s="84"/>
    </row>
    <row r="11666" spans="1:14" s="2" customFormat="1">
      <c r="A11666" s="83"/>
      <c r="H11666" s="83"/>
      <c r="K11666" s="82"/>
      <c r="M11666" s="112"/>
      <c r="N11666" s="84"/>
    </row>
    <row r="11667" spans="1:14" s="2" customFormat="1">
      <c r="A11667" s="83"/>
      <c r="H11667" s="83"/>
      <c r="K11667" s="82"/>
      <c r="M11667" s="112"/>
      <c r="N11667" s="84"/>
    </row>
    <row r="11668" spans="1:14" s="2" customFormat="1">
      <c r="A11668" s="83"/>
      <c r="H11668" s="83"/>
      <c r="K11668" s="82"/>
      <c r="M11668" s="112"/>
      <c r="N11668" s="84"/>
    </row>
    <row r="11669" spans="1:14" s="2" customFormat="1">
      <c r="A11669" s="83"/>
      <c r="H11669" s="83"/>
      <c r="K11669" s="82"/>
      <c r="M11669" s="112"/>
      <c r="N11669" s="84"/>
    </row>
    <row r="11670" spans="1:14" s="2" customFormat="1">
      <c r="A11670" s="83"/>
      <c r="H11670" s="83"/>
      <c r="K11670" s="82"/>
      <c r="M11670" s="112"/>
      <c r="N11670" s="84"/>
    </row>
    <row r="11671" spans="1:14" s="2" customFormat="1">
      <c r="A11671" s="83"/>
      <c r="H11671" s="83"/>
      <c r="K11671" s="82"/>
      <c r="M11671" s="112"/>
      <c r="N11671" s="84"/>
    </row>
    <row r="11672" spans="1:14" s="2" customFormat="1">
      <c r="A11672" s="83"/>
      <c r="H11672" s="83"/>
      <c r="K11672" s="82"/>
      <c r="M11672" s="112"/>
      <c r="N11672" s="84"/>
    </row>
    <row r="11673" spans="1:14" s="2" customFormat="1">
      <c r="A11673" s="83"/>
      <c r="H11673" s="83"/>
      <c r="K11673" s="82"/>
      <c r="M11673" s="112"/>
      <c r="N11673" s="84"/>
    </row>
    <row r="11674" spans="1:14" s="2" customFormat="1">
      <c r="A11674" s="83"/>
      <c r="H11674" s="83"/>
      <c r="K11674" s="82"/>
      <c r="M11674" s="112"/>
      <c r="N11674" s="84"/>
    </row>
    <row r="11675" spans="1:14" s="2" customFormat="1">
      <c r="A11675" s="83"/>
      <c r="H11675" s="83"/>
      <c r="K11675" s="82"/>
      <c r="M11675" s="112"/>
      <c r="N11675" s="84"/>
    </row>
    <row r="11676" spans="1:14" s="2" customFormat="1">
      <c r="A11676" s="83"/>
      <c r="H11676" s="83"/>
      <c r="K11676" s="82"/>
      <c r="M11676" s="112"/>
      <c r="N11676" s="84"/>
    </row>
    <row r="11677" spans="1:14" s="2" customFormat="1">
      <c r="A11677" s="83"/>
      <c r="H11677" s="83"/>
      <c r="K11677" s="82"/>
      <c r="M11677" s="112"/>
      <c r="N11677" s="84"/>
    </row>
    <row r="11678" spans="1:14" s="2" customFormat="1">
      <c r="A11678" s="83"/>
      <c r="H11678" s="83"/>
      <c r="K11678" s="82"/>
      <c r="M11678" s="112"/>
      <c r="N11678" s="84"/>
    </row>
    <row r="11679" spans="1:14" s="2" customFormat="1">
      <c r="A11679" s="83"/>
      <c r="H11679" s="83"/>
      <c r="K11679" s="82"/>
      <c r="M11679" s="112"/>
      <c r="N11679" s="84"/>
    </row>
    <row r="11680" spans="1:14" s="2" customFormat="1">
      <c r="A11680" s="83"/>
      <c r="H11680" s="83"/>
      <c r="K11680" s="82"/>
      <c r="M11680" s="112"/>
      <c r="N11680" s="84"/>
    </row>
    <row r="11681" spans="1:14" s="2" customFormat="1">
      <c r="A11681" s="83"/>
      <c r="H11681" s="83"/>
      <c r="K11681" s="82"/>
      <c r="M11681" s="112"/>
      <c r="N11681" s="84"/>
    </row>
    <row r="11682" spans="1:14" s="2" customFormat="1">
      <c r="A11682" s="83"/>
      <c r="H11682" s="83"/>
      <c r="K11682" s="82"/>
      <c r="M11682" s="112"/>
      <c r="N11682" s="84"/>
    </row>
    <row r="11683" spans="1:14" s="2" customFormat="1">
      <c r="A11683" s="83"/>
      <c r="H11683" s="83"/>
      <c r="K11683" s="82"/>
      <c r="M11683" s="112"/>
      <c r="N11683" s="84"/>
    </row>
    <row r="11684" spans="1:14" s="2" customFormat="1">
      <c r="A11684" s="83"/>
      <c r="H11684" s="83"/>
      <c r="K11684" s="82"/>
      <c r="M11684" s="112"/>
      <c r="N11684" s="84"/>
    </row>
    <row r="11685" spans="1:14" s="2" customFormat="1">
      <c r="A11685" s="83"/>
      <c r="H11685" s="83"/>
      <c r="K11685" s="82"/>
      <c r="M11685" s="112"/>
      <c r="N11685" s="84"/>
    </row>
    <row r="11686" spans="1:14" s="2" customFormat="1">
      <c r="A11686" s="83"/>
      <c r="H11686" s="83"/>
      <c r="K11686" s="82"/>
      <c r="M11686" s="112"/>
      <c r="N11686" s="84"/>
    </row>
    <row r="11687" spans="1:14" s="2" customFormat="1">
      <c r="A11687" s="83"/>
      <c r="H11687" s="83"/>
      <c r="K11687" s="82"/>
      <c r="M11687" s="112"/>
      <c r="N11687" s="84"/>
    </row>
    <row r="11688" spans="1:14" s="2" customFormat="1">
      <c r="A11688" s="83"/>
      <c r="H11688" s="83"/>
      <c r="K11688" s="82"/>
      <c r="M11688" s="112"/>
      <c r="N11688" s="84"/>
    </row>
    <row r="11689" spans="1:14" s="2" customFormat="1">
      <c r="A11689" s="83"/>
      <c r="H11689" s="83"/>
      <c r="K11689" s="82"/>
      <c r="M11689" s="112"/>
      <c r="N11689" s="84"/>
    </row>
    <row r="11690" spans="1:14" s="2" customFormat="1">
      <c r="A11690" s="83"/>
      <c r="H11690" s="83"/>
      <c r="K11690" s="82"/>
      <c r="M11690" s="112"/>
      <c r="N11690" s="84"/>
    </row>
    <row r="11691" spans="1:14" s="2" customFormat="1">
      <c r="A11691" s="83"/>
      <c r="H11691" s="83"/>
      <c r="K11691" s="82"/>
      <c r="M11691" s="112"/>
      <c r="N11691" s="84"/>
    </row>
    <row r="11692" spans="1:14" s="2" customFormat="1">
      <c r="A11692" s="83"/>
      <c r="H11692" s="83"/>
      <c r="K11692" s="82"/>
      <c r="M11692" s="112"/>
      <c r="N11692" s="84"/>
    </row>
    <row r="11693" spans="1:14" s="2" customFormat="1">
      <c r="A11693" s="83"/>
      <c r="H11693" s="83"/>
      <c r="K11693" s="82"/>
      <c r="M11693" s="112"/>
      <c r="N11693" s="84"/>
    </row>
    <row r="11694" spans="1:14" s="2" customFormat="1">
      <c r="A11694" s="83"/>
      <c r="H11694" s="83"/>
      <c r="K11694" s="82"/>
      <c r="M11694" s="112"/>
      <c r="N11694" s="84"/>
    </row>
    <row r="11695" spans="1:14" s="2" customFormat="1">
      <c r="A11695" s="83"/>
      <c r="H11695" s="83"/>
      <c r="K11695" s="82"/>
      <c r="M11695" s="112"/>
      <c r="N11695" s="84"/>
    </row>
    <row r="11696" spans="1:14" s="2" customFormat="1">
      <c r="A11696" s="83"/>
      <c r="H11696" s="83"/>
      <c r="K11696" s="82"/>
      <c r="M11696" s="112"/>
      <c r="N11696" s="84"/>
    </row>
    <row r="11697" spans="1:14" s="2" customFormat="1">
      <c r="A11697" s="83"/>
      <c r="H11697" s="83"/>
      <c r="K11697" s="82"/>
      <c r="M11697" s="112"/>
      <c r="N11697" s="84"/>
    </row>
    <row r="11698" spans="1:14" s="2" customFormat="1">
      <c r="A11698" s="83"/>
      <c r="H11698" s="83"/>
      <c r="K11698" s="82"/>
      <c r="M11698" s="112"/>
      <c r="N11698" s="84"/>
    </row>
    <row r="11699" spans="1:14" s="2" customFormat="1">
      <c r="A11699" s="83"/>
      <c r="H11699" s="83"/>
      <c r="K11699" s="82"/>
      <c r="M11699" s="112"/>
      <c r="N11699" s="84"/>
    </row>
    <row r="11700" spans="1:14" s="2" customFormat="1">
      <c r="A11700" s="83"/>
      <c r="H11700" s="83"/>
      <c r="K11700" s="82"/>
      <c r="M11700" s="112"/>
      <c r="N11700" s="84"/>
    </row>
    <row r="11701" spans="1:14" s="2" customFormat="1">
      <c r="A11701" s="83"/>
      <c r="H11701" s="83"/>
      <c r="K11701" s="82"/>
      <c r="M11701" s="112"/>
      <c r="N11701" s="84"/>
    </row>
    <row r="11702" spans="1:14" s="2" customFormat="1">
      <c r="A11702" s="83"/>
      <c r="H11702" s="83"/>
      <c r="K11702" s="82"/>
      <c r="M11702" s="112"/>
      <c r="N11702" s="84"/>
    </row>
    <row r="11703" spans="1:14" s="2" customFormat="1">
      <c r="A11703" s="83"/>
      <c r="H11703" s="83"/>
      <c r="K11703" s="82"/>
      <c r="M11703" s="112"/>
      <c r="N11703" s="84"/>
    </row>
    <row r="11704" spans="1:14" s="2" customFormat="1">
      <c r="A11704" s="83"/>
      <c r="H11704" s="83"/>
      <c r="K11704" s="82"/>
      <c r="M11704" s="112"/>
      <c r="N11704" s="84"/>
    </row>
    <row r="11705" spans="1:14" s="2" customFormat="1">
      <c r="A11705" s="83"/>
      <c r="H11705" s="83"/>
      <c r="K11705" s="82"/>
      <c r="M11705" s="112"/>
      <c r="N11705" s="84"/>
    </row>
    <row r="11706" spans="1:14" s="2" customFormat="1">
      <c r="A11706" s="83"/>
      <c r="H11706" s="83"/>
      <c r="K11706" s="82"/>
      <c r="M11706" s="112"/>
      <c r="N11706" s="84"/>
    </row>
    <row r="11707" spans="1:14" s="2" customFormat="1">
      <c r="A11707" s="83"/>
      <c r="H11707" s="83"/>
      <c r="K11707" s="82"/>
      <c r="M11707" s="112"/>
      <c r="N11707" s="84"/>
    </row>
    <row r="11708" spans="1:14" s="2" customFormat="1">
      <c r="A11708" s="83"/>
      <c r="H11708" s="83"/>
      <c r="K11708" s="82"/>
      <c r="M11708" s="112"/>
      <c r="N11708" s="84"/>
    </row>
    <row r="11709" spans="1:14" s="2" customFormat="1">
      <c r="A11709" s="83"/>
      <c r="H11709" s="83"/>
      <c r="K11709" s="82"/>
      <c r="M11709" s="112"/>
      <c r="N11709" s="84"/>
    </row>
    <row r="11710" spans="1:14" s="2" customFormat="1">
      <c r="A11710" s="83"/>
      <c r="H11710" s="83"/>
      <c r="K11710" s="82"/>
      <c r="M11710" s="112"/>
      <c r="N11710" s="84"/>
    </row>
    <row r="11711" spans="1:14" s="2" customFormat="1">
      <c r="A11711" s="83"/>
      <c r="H11711" s="83"/>
      <c r="K11711" s="82"/>
      <c r="M11711" s="112"/>
      <c r="N11711" s="84"/>
    </row>
    <row r="11712" spans="1:14" s="2" customFormat="1">
      <c r="A11712" s="83"/>
      <c r="H11712" s="83"/>
      <c r="K11712" s="82"/>
      <c r="M11712" s="112"/>
      <c r="N11712" s="84"/>
    </row>
    <row r="11713" spans="1:14" s="2" customFormat="1">
      <c r="A11713" s="83"/>
      <c r="H11713" s="83"/>
      <c r="K11713" s="82"/>
      <c r="M11713" s="112"/>
      <c r="N11713" s="84"/>
    </row>
    <row r="11714" spans="1:14" s="2" customFormat="1">
      <c r="A11714" s="83"/>
      <c r="H11714" s="83"/>
      <c r="K11714" s="82"/>
      <c r="M11714" s="112"/>
      <c r="N11714" s="84"/>
    </row>
    <row r="11715" spans="1:14" s="2" customFormat="1">
      <c r="A11715" s="83"/>
      <c r="H11715" s="83"/>
      <c r="K11715" s="82"/>
      <c r="M11715" s="112"/>
      <c r="N11715" s="84"/>
    </row>
    <row r="11716" spans="1:14" s="2" customFormat="1">
      <c r="A11716" s="83"/>
      <c r="H11716" s="83"/>
      <c r="K11716" s="82"/>
      <c r="M11716" s="112"/>
      <c r="N11716" s="84"/>
    </row>
    <row r="11717" spans="1:14" s="2" customFormat="1">
      <c r="A11717" s="83"/>
      <c r="H11717" s="83"/>
      <c r="K11717" s="82"/>
      <c r="M11717" s="112"/>
      <c r="N11717" s="84"/>
    </row>
    <row r="11718" spans="1:14" s="2" customFormat="1">
      <c r="A11718" s="83"/>
      <c r="H11718" s="83"/>
      <c r="K11718" s="82"/>
      <c r="M11718" s="112"/>
      <c r="N11718" s="84"/>
    </row>
    <row r="11719" spans="1:14" s="2" customFormat="1">
      <c r="A11719" s="83"/>
      <c r="H11719" s="83"/>
      <c r="K11719" s="82"/>
      <c r="M11719" s="112"/>
      <c r="N11719" s="84"/>
    </row>
    <row r="11720" spans="1:14" s="2" customFormat="1">
      <c r="A11720" s="83"/>
      <c r="H11720" s="83"/>
      <c r="K11720" s="82"/>
      <c r="M11720" s="112"/>
      <c r="N11720" s="84"/>
    </row>
    <row r="11721" spans="1:14" s="2" customFormat="1">
      <c r="A11721" s="83"/>
      <c r="H11721" s="83"/>
      <c r="K11721" s="82"/>
      <c r="M11721" s="112"/>
      <c r="N11721" s="84"/>
    </row>
    <row r="11722" spans="1:14" s="2" customFormat="1">
      <c r="A11722" s="83"/>
      <c r="H11722" s="83"/>
      <c r="K11722" s="82"/>
      <c r="M11722" s="112"/>
      <c r="N11722" s="84"/>
    </row>
    <row r="11723" spans="1:14" s="2" customFormat="1">
      <c r="A11723" s="83"/>
      <c r="H11723" s="83"/>
      <c r="K11723" s="82"/>
      <c r="M11723" s="112"/>
      <c r="N11723" s="84"/>
    </row>
    <row r="11724" spans="1:14" s="2" customFormat="1">
      <c r="A11724" s="83"/>
      <c r="H11724" s="83"/>
      <c r="K11724" s="82"/>
      <c r="M11724" s="112"/>
      <c r="N11724" s="84"/>
    </row>
    <row r="11725" spans="1:14" s="2" customFormat="1">
      <c r="A11725" s="83"/>
      <c r="H11725" s="83"/>
      <c r="K11725" s="82"/>
      <c r="M11725" s="112"/>
      <c r="N11725" s="84"/>
    </row>
    <row r="11726" spans="1:14" s="2" customFormat="1">
      <c r="A11726" s="83"/>
      <c r="H11726" s="83"/>
      <c r="K11726" s="82"/>
      <c r="M11726" s="112"/>
      <c r="N11726" s="84"/>
    </row>
    <row r="11727" spans="1:14" s="2" customFormat="1">
      <c r="A11727" s="83"/>
      <c r="H11727" s="83"/>
      <c r="K11727" s="82"/>
      <c r="M11727" s="112"/>
      <c r="N11727" s="84"/>
    </row>
    <row r="11728" spans="1:14" s="2" customFormat="1">
      <c r="A11728" s="83"/>
      <c r="H11728" s="83"/>
      <c r="K11728" s="82"/>
      <c r="M11728" s="112"/>
      <c r="N11728" s="84"/>
    </row>
    <row r="11729" spans="1:14" s="2" customFormat="1">
      <c r="A11729" s="83"/>
      <c r="H11729" s="83"/>
      <c r="K11729" s="82"/>
      <c r="M11729" s="112"/>
      <c r="N11729" s="84"/>
    </row>
    <row r="11730" spans="1:14" s="2" customFormat="1">
      <c r="A11730" s="83"/>
      <c r="H11730" s="83"/>
      <c r="K11730" s="82"/>
      <c r="M11730" s="112"/>
      <c r="N11730" s="84"/>
    </row>
    <row r="11731" spans="1:14" s="2" customFormat="1">
      <c r="A11731" s="83"/>
      <c r="H11731" s="83"/>
      <c r="K11731" s="82"/>
      <c r="M11731" s="112"/>
      <c r="N11731" s="84"/>
    </row>
    <row r="11732" spans="1:14" s="2" customFormat="1">
      <c r="A11732" s="83"/>
      <c r="H11732" s="83"/>
      <c r="K11732" s="82"/>
      <c r="M11732" s="112"/>
      <c r="N11732" s="84"/>
    </row>
    <row r="11733" spans="1:14" s="2" customFormat="1">
      <c r="A11733" s="83"/>
      <c r="H11733" s="83"/>
      <c r="K11733" s="82"/>
      <c r="M11733" s="112"/>
      <c r="N11733" s="84"/>
    </row>
    <row r="11734" spans="1:14" s="2" customFormat="1">
      <c r="A11734" s="83"/>
      <c r="H11734" s="83"/>
      <c r="K11734" s="82"/>
      <c r="M11734" s="112"/>
      <c r="N11734" s="84"/>
    </row>
    <row r="11735" spans="1:14" s="2" customFormat="1">
      <c r="A11735" s="83"/>
      <c r="H11735" s="83"/>
      <c r="K11735" s="82"/>
      <c r="M11735" s="112"/>
      <c r="N11735" s="84"/>
    </row>
    <row r="11736" spans="1:14" s="2" customFormat="1">
      <c r="A11736" s="83"/>
      <c r="H11736" s="83"/>
      <c r="K11736" s="82"/>
      <c r="M11736" s="112"/>
      <c r="N11736" s="84"/>
    </row>
    <row r="11737" spans="1:14" s="2" customFormat="1">
      <c r="A11737" s="83"/>
      <c r="H11737" s="83"/>
      <c r="K11737" s="82"/>
      <c r="M11737" s="112"/>
      <c r="N11737" s="84"/>
    </row>
    <row r="11738" spans="1:14" s="2" customFormat="1">
      <c r="A11738" s="83"/>
      <c r="H11738" s="83"/>
      <c r="K11738" s="82"/>
      <c r="M11738" s="112"/>
      <c r="N11738" s="84"/>
    </row>
    <row r="11739" spans="1:14" s="2" customFormat="1">
      <c r="A11739" s="83"/>
      <c r="H11739" s="83"/>
      <c r="K11739" s="82"/>
      <c r="M11739" s="112"/>
      <c r="N11739" s="84"/>
    </row>
    <row r="11740" spans="1:14" s="2" customFormat="1">
      <c r="A11740" s="83"/>
      <c r="H11740" s="83"/>
      <c r="K11740" s="82"/>
      <c r="M11740" s="112"/>
      <c r="N11740" s="84"/>
    </row>
    <row r="11741" spans="1:14" s="2" customFormat="1">
      <c r="A11741" s="83"/>
      <c r="H11741" s="83"/>
      <c r="K11741" s="82"/>
      <c r="M11741" s="112"/>
      <c r="N11741" s="84"/>
    </row>
    <row r="11742" spans="1:14" s="2" customFormat="1">
      <c r="A11742" s="83"/>
      <c r="H11742" s="83"/>
      <c r="K11742" s="82"/>
      <c r="M11742" s="112"/>
      <c r="N11742" s="84"/>
    </row>
    <row r="11743" spans="1:14" s="2" customFormat="1">
      <c r="A11743" s="83"/>
      <c r="H11743" s="83"/>
      <c r="K11743" s="82"/>
      <c r="M11743" s="112"/>
      <c r="N11743" s="84"/>
    </row>
    <row r="11744" spans="1:14" s="2" customFormat="1">
      <c r="A11744" s="83"/>
      <c r="H11744" s="83"/>
      <c r="K11744" s="82"/>
      <c r="M11744" s="112"/>
      <c r="N11744" s="84"/>
    </row>
    <row r="11745" spans="1:14" s="2" customFormat="1">
      <c r="A11745" s="83"/>
      <c r="H11745" s="83"/>
      <c r="K11745" s="82"/>
      <c r="M11745" s="112"/>
      <c r="N11745" s="84"/>
    </row>
    <row r="11746" spans="1:14" s="2" customFormat="1">
      <c r="A11746" s="83"/>
      <c r="H11746" s="83"/>
      <c r="K11746" s="82"/>
      <c r="M11746" s="112"/>
      <c r="N11746" s="84"/>
    </row>
    <row r="11747" spans="1:14" s="2" customFormat="1">
      <c r="A11747" s="83"/>
      <c r="H11747" s="83"/>
      <c r="K11747" s="82"/>
      <c r="M11747" s="112"/>
      <c r="N11747" s="84"/>
    </row>
    <row r="11748" spans="1:14" s="2" customFormat="1">
      <c r="A11748" s="83"/>
      <c r="H11748" s="83"/>
      <c r="K11748" s="82"/>
      <c r="M11748" s="112"/>
      <c r="N11748" s="84"/>
    </row>
    <row r="11749" spans="1:14" s="2" customFormat="1">
      <c r="A11749" s="83"/>
      <c r="H11749" s="83"/>
      <c r="K11749" s="82"/>
      <c r="M11749" s="112"/>
      <c r="N11749" s="84"/>
    </row>
    <row r="11750" spans="1:14" s="2" customFormat="1">
      <c r="A11750" s="83"/>
      <c r="H11750" s="83"/>
      <c r="K11750" s="82"/>
      <c r="M11750" s="112"/>
      <c r="N11750" s="84"/>
    </row>
    <row r="11751" spans="1:14" s="2" customFormat="1">
      <c r="A11751" s="83"/>
      <c r="H11751" s="83"/>
      <c r="K11751" s="82"/>
      <c r="M11751" s="112"/>
      <c r="N11751" s="84"/>
    </row>
    <row r="11752" spans="1:14" s="2" customFormat="1">
      <c r="A11752" s="83"/>
      <c r="H11752" s="83"/>
      <c r="K11752" s="82"/>
      <c r="M11752" s="112"/>
      <c r="N11752" s="84"/>
    </row>
    <row r="11753" spans="1:14" s="2" customFormat="1">
      <c r="A11753" s="83"/>
      <c r="H11753" s="83"/>
      <c r="K11753" s="82"/>
      <c r="M11753" s="112"/>
      <c r="N11753" s="84"/>
    </row>
    <row r="11754" spans="1:14" s="2" customFormat="1">
      <c r="A11754" s="83"/>
      <c r="H11754" s="83"/>
      <c r="K11754" s="82"/>
      <c r="M11754" s="112"/>
      <c r="N11754" s="84"/>
    </row>
    <row r="11755" spans="1:14" s="2" customFormat="1">
      <c r="A11755" s="83"/>
      <c r="H11755" s="83"/>
      <c r="K11755" s="82"/>
      <c r="M11755" s="112"/>
      <c r="N11755" s="84"/>
    </row>
    <row r="11756" spans="1:14" s="2" customFormat="1">
      <c r="A11756" s="83"/>
      <c r="H11756" s="83"/>
      <c r="K11756" s="82"/>
      <c r="M11756" s="112"/>
      <c r="N11756" s="84"/>
    </row>
    <row r="11757" spans="1:14" s="2" customFormat="1">
      <c r="A11757" s="83"/>
      <c r="H11757" s="83"/>
      <c r="K11757" s="82"/>
      <c r="M11757" s="112"/>
      <c r="N11757" s="84"/>
    </row>
    <row r="11758" spans="1:14" s="2" customFormat="1">
      <c r="A11758" s="83"/>
      <c r="H11758" s="83"/>
      <c r="K11758" s="82"/>
      <c r="M11758" s="112"/>
      <c r="N11758" s="84"/>
    </row>
    <row r="11759" spans="1:14" s="2" customFormat="1">
      <c r="A11759" s="83"/>
      <c r="H11759" s="83"/>
      <c r="K11759" s="82"/>
      <c r="M11759" s="112"/>
      <c r="N11759" s="84"/>
    </row>
    <row r="11760" spans="1:14" s="2" customFormat="1">
      <c r="A11760" s="83"/>
      <c r="H11760" s="83"/>
      <c r="K11760" s="82"/>
      <c r="M11760" s="112"/>
      <c r="N11760" s="84"/>
    </row>
    <row r="11761" spans="1:14" s="2" customFormat="1">
      <c r="A11761" s="83"/>
      <c r="H11761" s="83"/>
      <c r="K11761" s="82"/>
      <c r="M11761" s="112"/>
      <c r="N11761" s="84"/>
    </row>
    <row r="11762" spans="1:14" s="2" customFormat="1">
      <c r="A11762" s="83"/>
      <c r="H11762" s="83"/>
      <c r="K11762" s="82"/>
      <c r="M11762" s="112"/>
      <c r="N11762" s="84"/>
    </row>
    <row r="11763" spans="1:14" s="2" customFormat="1">
      <c r="A11763" s="83"/>
      <c r="H11763" s="83"/>
      <c r="K11763" s="82"/>
      <c r="M11763" s="112"/>
      <c r="N11763" s="84"/>
    </row>
    <row r="11764" spans="1:14" s="2" customFormat="1">
      <c r="A11764" s="83"/>
      <c r="H11764" s="83"/>
      <c r="K11764" s="82"/>
      <c r="M11764" s="112"/>
      <c r="N11764" s="84"/>
    </row>
    <row r="11765" spans="1:14" s="2" customFormat="1">
      <c r="A11765" s="83"/>
      <c r="H11765" s="83"/>
      <c r="K11765" s="82"/>
      <c r="M11765" s="112"/>
      <c r="N11765" s="84"/>
    </row>
    <row r="11766" spans="1:14" s="2" customFormat="1">
      <c r="A11766" s="83"/>
      <c r="H11766" s="83"/>
      <c r="K11766" s="82"/>
      <c r="M11766" s="112"/>
      <c r="N11766" s="84"/>
    </row>
    <row r="11767" spans="1:14" s="2" customFormat="1">
      <c r="A11767" s="83"/>
      <c r="H11767" s="83"/>
      <c r="K11767" s="82"/>
      <c r="M11767" s="112"/>
      <c r="N11767" s="84"/>
    </row>
    <row r="11768" spans="1:14" s="2" customFormat="1">
      <c r="A11768" s="83"/>
      <c r="H11768" s="83"/>
      <c r="K11768" s="82"/>
      <c r="M11768" s="112"/>
      <c r="N11768" s="84"/>
    </row>
    <row r="11769" spans="1:14" s="2" customFormat="1">
      <c r="A11769" s="83"/>
      <c r="H11769" s="83"/>
      <c r="K11769" s="82"/>
      <c r="M11769" s="112"/>
      <c r="N11769" s="84"/>
    </row>
    <row r="11770" spans="1:14" s="2" customFormat="1">
      <c r="A11770" s="83"/>
      <c r="H11770" s="83"/>
      <c r="K11770" s="82"/>
      <c r="M11770" s="112"/>
      <c r="N11770" s="84"/>
    </row>
    <row r="11771" spans="1:14" s="2" customFormat="1">
      <c r="A11771" s="83"/>
      <c r="H11771" s="83"/>
      <c r="K11771" s="82"/>
      <c r="M11771" s="112"/>
      <c r="N11771" s="84"/>
    </row>
    <row r="11772" spans="1:14" s="2" customFormat="1">
      <c r="A11772" s="83"/>
      <c r="H11772" s="83"/>
      <c r="K11772" s="82"/>
      <c r="M11772" s="112"/>
      <c r="N11772" s="84"/>
    </row>
    <row r="11773" spans="1:14" s="2" customFormat="1">
      <c r="A11773" s="83"/>
      <c r="H11773" s="83"/>
      <c r="K11773" s="82"/>
      <c r="M11773" s="112"/>
      <c r="N11773" s="84"/>
    </row>
    <row r="11774" spans="1:14" s="2" customFormat="1">
      <c r="A11774" s="83"/>
      <c r="H11774" s="83"/>
      <c r="K11774" s="82"/>
      <c r="M11774" s="112"/>
      <c r="N11774" s="84"/>
    </row>
    <row r="11775" spans="1:14" s="2" customFormat="1">
      <c r="A11775" s="83"/>
      <c r="H11775" s="83"/>
      <c r="K11775" s="82"/>
      <c r="M11775" s="112"/>
      <c r="N11775" s="84"/>
    </row>
    <row r="11776" spans="1:14" s="2" customFormat="1">
      <c r="A11776" s="83"/>
      <c r="H11776" s="83"/>
      <c r="K11776" s="82"/>
      <c r="M11776" s="112"/>
      <c r="N11776" s="84"/>
    </row>
    <row r="11777" spans="1:14" s="2" customFormat="1">
      <c r="A11777" s="83"/>
      <c r="H11777" s="83"/>
      <c r="K11777" s="82"/>
      <c r="M11777" s="112"/>
      <c r="N11777" s="84"/>
    </row>
    <row r="11778" spans="1:14" s="2" customFormat="1">
      <c r="A11778" s="83"/>
      <c r="H11778" s="83"/>
      <c r="K11778" s="82"/>
      <c r="M11778" s="112"/>
      <c r="N11778" s="84"/>
    </row>
    <row r="11779" spans="1:14" s="2" customFormat="1">
      <c r="A11779" s="83"/>
      <c r="H11779" s="83"/>
      <c r="K11779" s="82"/>
      <c r="M11779" s="112"/>
      <c r="N11779" s="84"/>
    </row>
    <row r="11780" spans="1:14" s="2" customFormat="1">
      <c r="A11780" s="83"/>
      <c r="H11780" s="83"/>
      <c r="K11780" s="82"/>
      <c r="M11780" s="112"/>
      <c r="N11780" s="84"/>
    </row>
    <row r="11781" spans="1:14" s="2" customFormat="1">
      <c r="A11781" s="83"/>
      <c r="H11781" s="83"/>
      <c r="K11781" s="82"/>
      <c r="M11781" s="112"/>
      <c r="N11781" s="84"/>
    </row>
    <row r="11782" spans="1:14" s="2" customFormat="1">
      <c r="A11782" s="83"/>
      <c r="H11782" s="83"/>
      <c r="K11782" s="82"/>
      <c r="M11782" s="112"/>
      <c r="N11782" s="84"/>
    </row>
    <row r="11783" spans="1:14" s="2" customFormat="1">
      <c r="A11783" s="83"/>
      <c r="H11783" s="83"/>
      <c r="K11783" s="82"/>
      <c r="M11783" s="112"/>
      <c r="N11783" s="84"/>
    </row>
    <row r="11784" spans="1:14" s="2" customFormat="1">
      <c r="A11784" s="83"/>
      <c r="H11784" s="83"/>
      <c r="K11784" s="82"/>
      <c r="M11784" s="112"/>
      <c r="N11784" s="84"/>
    </row>
    <row r="11785" spans="1:14" s="2" customFormat="1">
      <c r="A11785" s="83"/>
      <c r="H11785" s="83"/>
      <c r="K11785" s="82"/>
      <c r="M11785" s="112"/>
      <c r="N11785" s="84"/>
    </row>
    <row r="11786" spans="1:14" s="2" customFormat="1">
      <c r="A11786" s="83"/>
      <c r="H11786" s="83"/>
      <c r="K11786" s="82"/>
      <c r="M11786" s="112"/>
      <c r="N11786" s="84"/>
    </row>
    <row r="11787" spans="1:14" s="2" customFormat="1">
      <c r="A11787" s="83"/>
      <c r="H11787" s="83"/>
      <c r="K11787" s="82"/>
      <c r="M11787" s="112"/>
      <c r="N11787" s="84"/>
    </row>
    <row r="11788" spans="1:14" s="2" customFormat="1">
      <c r="A11788" s="83"/>
      <c r="H11788" s="83"/>
      <c r="K11788" s="82"/>
      <c r="M11788" s="112"/>
      <c r="N11788" s="84"/>
    </row>
    <row r="11789" spans="1:14" s="2" customFormat="1">
      <c r="A11789" s="83"/>
      <c r="H11789" s="83"/>
      <c r="K11789" s="82"/>
      <c r="M11789" s="112"/>
      <c r="N11789" s="84"/>
    </row>
    <row r="11790" spans="1:14" s="2" customFormat="1">
      <c r="A11790" s="83"/>
      <c r="H11790" s="83"/>
      <c r="K11790" s="82"/>
      <c r="M11790" s="112"/>
      <c r="N11790" s="84"/>
    </row>
    <row r="11791" spans="1:14" s="2" customFormat="1">
      <c r="A11791" s="83"/>
      <c r="H11791" s="83"/>
      <c r="K11791" s="82"/>
      <c r="M11791" s="112"/>
      <c r="N11791" s="84"/>
    </row>
    <row r="11792" spans="1:14" s="2" customFormat="1">
      <c r="A11792" s="83"/>
      <c r="H11792" s="83"/>
      <c r="K11792" s="82"/>
      <c r="M11792" s="112"/>
      <c r="N11792" s="84"/>
    </row>
    <row r="11793" spans="1:14" s="2" customFormat="1">
      <c r="A11793" s="83"/>
      <c r="H11793" s="83"/>
      <c r="K11793" s="82"/>
      <c r="M11793" s="112"/>
      <c r="N11793" s="84"/>
    </row>
    <row r="11794" spans="1:14" s="2" customFormat="1">
      <c r="A11794" s="83"/>
      <c r="H11794" s="83"/>
      <c r="K11794" s="82"/>
      <c r="M11794" s="112"/>
      <c r="N11794" s="84"/>
    </row>
    <row r="11795" spans="1:14" s="2" customFormat="1">
      <c r="A11795" s="83"/>
      <c r="H11795" s="83"/>
      <c r="K11795" s="82"/>
      <c r="M11795" s="112"/>
      <c r="N11795" s="84"/>
    </row>
    <row r="11796" spans="1:14" s="2" customFormat="1">
      <c r="A11796" s="83"/>
      <c r="H11796" s="83"/>
      <c r="K11796" s="82"/>
      <c r="M11796" s="112"/>
      <c r="N11796" s="84"/>
    </row>
    <row r="11797" spans="1:14" s="2" customFormat="1">
      <c r="A11797" s="83"/>
      <c r="H11797" s="83"/>
      <c r="K11797" s="82"/>
      <c r="M11797" s="112"/>
      <c r="N11797" s="84"/>
    </row>
    <row r="11798" spans="1:14" s="2" customFormat="1">
      <c r="A11798" s="83"/>
      <c r="H11798" s="83"/>
      <c r="K11798" s="82"/>
      <c r="M11798" s="112"/>
      <c r="N11798" s="84"/>
    </row>
    <row r="11799" spans="1:14" s="2" customFormat="1">
      <c r="A11799" s="83"/>
      <c r="H11799" s="83"/>
      <c r="K11799" s="82"/>
      <c r="M11799" s="112"/>
      <c r="N11799" s="84"/>
    </row>
    <row r="11800" spans="1:14" s="2" customFormat="1">
      <c r="A11800" s="83"/>
      <c r="H11800" s="83"/>
      <c r="K11800" s="82"/>
      <c r="M11800" s="112"/>
      <c r="N11800" s="84"/>
    </row>
    <row r="11801" spans="1:14" s="2" customFormat="1">
      <c r="A11801" s="83"/>
      <c r="H11801" s="83"/>
      <c r="K11801" s="82"/>
      <c r="M11801" s="112"/>
      <c r="N11801" s="84"/>
    </row>
    <row r="11802" spans="1:14" s="2" customFormat="1">
      <c r="A11802" s="83"/>
      <c r="H11802" s="83"/>
      <c r="K11802" s="82"/>
      <c r="M11802" s="112"/>
      <c r="N11802" s="84"/>
    </row>
    <row r="11803" spans="1:14" s="2" customFormat="1">
      <c r="A11803" s="83"/>
      <c r="H11803" s="83"/>
      <c r="K11803" s="82"/>
      <c r="M11803" s="112"/>
      <c r="N11803" s="84"/>
    </row>
    <row r="11804" spans="1:14" s="2" customFormat="1">
      <c r="A11804" s="83"/>
      <c r="H11804" s="83"/>
      <c r="K11804" s="82"/>
      <c r="M11804" s="112"/>
      <c r="N11804" s="84"/>
    </row>
    <row r="11805" spans="1:14" s="2" customFormat="1">
      <c r="A11805" s="83"/>
      <c r="H11805" s="83"/>
      <c r="K11805" s="82"/>
      <c r="M11805" s="112"/>
      <c r="N11805" s="84"/>
    </row>
    <row r="11806" spans="1:14" s="2" customFormat="1">
      <c r="A11806" s="83"/>
      <c r="H11806" s="83"/>
      <c r="K11806" s="82"/>
      <c r="M11806" s="112"/>
      <c r="N11806" s="84"/>
    </row>
    <row r="11807" spans="1:14" s="2" customFormat="1">
      <c r="A11807" s="83"/>
      <c r="H11807" s="83"/>
      <c r="K11807" s="82"/>
      <c r="M11807" s="112"/>
      <c r="N11807" s="84"/>
    </row>
    <row r="11808" spans="1:14" s="2" customFormat="1">
      <c r="A11808" s="83"/>
      <c r="H11808" s="83"/>
      <c r="K11808" s="82"/>
      <c r="M11808" s="112"/>
      <c r="N11808" s="84"/>
    </row>
    <row r="11809" spans="1:14" s="2" customFormat="1">
      <c r="A11809" s="83"/>
      <c r="H11809" s="83"/>
      <c r="K11809" s="82"/>
      <c r="M11809" s="112"/>
      <c r="N11809" s="84"/>
    </row>
    <row r="11810" spans="1:14" s="2" customFormat="1">
      <c r="A11810" s="83"/>
      <c r="H11810" s="83"/>
      <c r="K11810" s="82"/>
      <c r="M11810" s="112"/>
      <c r="N11810" s="84"/>
    </row>
    <row r="11811" spans="1:14" s="2" customFormat="1">
      <c r="A11811" s="83"/>
      <c r="H11811" s="83"/>
      <c r="K11811" s="82"/>
      <c r="M11811" s="112"/>
      <c r="N11811" s="84"/>
    </row>
    <row r="11812" spans="1:14" s="2" customFormat="1">
      <c r="A11812" s="83"/>
      <c r="H11812" s="83"/>
      <c r="K11812" s="82"/>
      <c r="M11812" s="112"/>
      <c r="N11812" s="84"/>
    </row>
    <row r="11813" spans="1:14" s="2" customFormat="1">
      <c r="A11813" s="83"/>
      <c r="H11813" s="83"/>
      <c r="K11813" s="82"/>
      <c r="M11813" s="112"/>
      <c r="N11813" s="84"/>
    </row>
    <row r="11814" spans="1:14" s="2" customFormat="1">
      <c r="A11814" s="83"/>
      <c r="H11814" s="83"/>
      <c r="K11814" s="82"/>
      <c r="M11814" s="112"/>
      <c r="N11814" s="84"/>
    </row>
    <row r="11815" spans="1:14" s="2" customFormat="1">
      <c r="A11815" s="83"/>
      <c r="H11815" s="83"/>
      <c r="K11815" s="82"/>
      <c r="M11815" s="112"/>
      <c r="N11815" s="84"/>
    </row>
    <row r="11816" spans="1:14" s="2" customFormat="1">
      <c r="A11816" s="83"/>
      <c r="H11816" s="83"/>
      <c r="K11816" s="82"/>
      <c r="M11816" s="112"/>
      <c r="N11816" s="84"/>
    </row>
    <row r="11817" spans="1:14" s="2" customFormat="1">
      <c r="A11817" s="83"/>
      <c r="H11817" s="83"/>
      <c r="K11817" s="82"/>
      <c r="M11817" s="112"/>
      <c r="N11817" s="84"/>
    </row>
    <row r="11818" spans="1:14" s="2" customFormat="1">
      <c r="A11818" s="83"/>
      <c r="H11818" s="83"/>
      <c r="K11818" s="82"/>
      <c r="M11818" s="112"/>
      <c r="N11818" s="84"/>
    </row>
    <row r="11819" spans="1:14" s="2" customFormat="1">
      <c r="A11819" s="83"/>
      <c r="H11819" s="83"/>
      <c r="K11819" s="82"/>
      <c r="M11819" s="112"/>
      <c r="N11819" s="84"/>
    </row>
    <row r="11820" spans="1:14" s="2" customFormat="1">
      <c r="A11820" s="83"/>
      <c r="H11820" s="83"/>
      <c r="K11820" s="82"/>
      <c r="M11820" s="112"/>
      <c r="N11820" s="84"/>
    </row>
    <row r="11821" spans="1:14" s="2" customFormat="1">
      <c r="A11821" s="83"/>
      <c r="H11821" s="83"/>
      <c r="K11821" s="82"/>
      <c r="M11821" s="112"/>
      <c r="N11821" s="84"/>
    </row>
    <row r="11822" spans="1:14" s="2" customFormat="1">
      <c r="A11822" s="83"/>
      <c r="H11822" s="83"/>
      <c r="K11822" s="82"/>
      <c r="M11822" s="112"/>
      <c r="N11822" s="84"/>
    </row>
    <row r="11823" spans="1:14" s="2" customFormat="1">
      <c r="A11823" s="83"/>
      <c r="H11823" s="83"/>
      <c r="K11823" s="82"/>
      <c r="M11823" s="112"/>
      <c r="N11823" s="84"/>
    </row>
    <row r="11824" spans="1:14" s="2" customFormat="1">
      <c r="A11824" s="83"/>
      <c r="H11824" s="83"/>
      <c r="K11824" s="82"/>
      <c r="M11824" s="112"/>
      <c r="N11824" s="84"/>
    </row>
    <row r="11825" spans="1:14" s="2" customFormat="1">
      <c r="A11825" s="83"/>
      <c r="H11825" s="83"/>
      <c r="K11825" s="82"/>
      <c r="M11825" s="112"/>
      <c r="N11825" s="84"/>
    </row>
    <row r="11826" spans="1:14" s="2" customFormat="1">
      <c r="A11826" s="83"/>
      <c r="H11826" s="83"/>
      <c r="K11826" s="82"/>
      <c r="M11826" s="112"/>
      <c r="N11826" s="84"/>
    </row>
    <row r="11827" spans="1:14" s="2" customFormat="1">
      <c r="A11827" s="83"/>
      <c r="H11827" s="83"/>
      <c r="K11827" s="82"/>
      <c r="M11827" s="112"/>
      <c r="N11827" s="84"/>
    </row>
    <row r="11828" spans="1:14" s="2" customFormat="1">
      <c r="A11828" s="83"/>
      <c r="H11828" s="83"/>
      <c r="K11828" s="82"/>
      <c r="M11828" s="112"/>
      <c r="N11828" s="84"/>
    </row>
    <row r="11829" spans="1:14" s="2" customFormat="1">
      <c r="A11829" s="83"/>
      <c r="H11829" s="83"/>
      <c r="K11829" s="82"/>
      <c r="M11829" s="112"/>
      <c r="N11829" s="84"/>
    </row>
    <row r="11830" spans="1:14" s="2" customFormat="1">
      <c r="A11830" s="83"/>
      <c r="H11830" s="83"/>
      <c r="K11830" s="82"/>
      <c r="M11830" s="112"/>
      <c r="N11830" s="84"/>
    </row>
    <row r="11831" spans="1:14" s="2" customFormat="1">
      <c r="A11831" s="83"/>
      <c r="H11831" s="83"/>
      <c r="K11831" s="82"/>
      <c r="M11831" s="112"/>
      <c r="N11831" s="84"/>
    </row>
    <row r="11832" spans="1:14" s="2" customFormat="1">
      <c r="A11832" s="83"/>
      <c r="H11832" s="83"/>
      <c r="K11832" s="82"/>
      <c r="M11832" s="112"/>
      <c r="N11832" s="84"/>
    </row>
    <row r="11833" spans="1:14" s="2" customFormat="1">
      <c r="A11833" s="83"/>
      <c r="H11833" s="83"/>
      <c r="K11833" s="82"/>
      <c r="M11833" s="112"/>
      <c r="N11833" s="84"/>
    </row>
    <row r="11834" spans="1:14" s="2" customFormat="1">
      <c r="A11834" s="83"/>
      <c r="H11834" s="83"/>
      <c r="K11834" s="82"/>
      <c r="M11834" s="112"/>
      <c r="N11834" s="84"/>
    </row>
    <row r="11835" spans="1:14" s="2" customFormat="1">
      <c r="A11835" s="83"/>
      <c r="H11835" s="83"/>
      <c r="K11835" s="82"/>
      <c r="M11835" s="112"/>
      <c r="N11835" s="84"/>
    </row>
    <row r="11836" spans="1:14" s="2" customFormat="1">
      <c r="A11836" s="83"/>
      <c r="H11836" s="83"/>
      <c r="K11836" s="82"/>
      <c r="M11836" s="112"/>
      <c r="N11836" s="84"/>
    </row>
    <row r="11837" spans="1:14" s="2" customFormat="1">
      <c r="A11837" s="83"/>
      <c r="H11837" s="83"/>
      <c r="K11837" s="82"/>
      <c r="M11837" s="112"/>
      <c r="N11837" s="84"/>
    </row>
    <row r="11838" spans="1:14" s="2" customFormat="1">
      <c r="A11838" s="83"/>
      <c r="H11838" s="83"/>
      <c r="K11838" s="82"/>
      <c r="M11838" s="112"/>
      <c r="N11838" s="84"/>
    </row>
    <row r="11839" spans="1:14" s="2" customFormat="1">
      <c r="A11839" s="83"/>
      <c r="H11839" s="83"/>
      <c r="K11839" s="82"/>
      <c r="M11839" s="112"/>
      <c r="N11839" s="84"/>
    </row>
    <row r="11840" spans="1:14" s="2" customFormat="1">
      <c r="A11840" s="83"/>
      <c r="H11840" s="83"/>
      <c r="K11840" s="82"/>
      <c r="M11840" s="112"/>
      <c r="N11840" s="84"/>
    </row>
    <row r="11841" spans="1:14" s="2" customFormat="1">
      <c r="A11841" s="83"/>
      <c r="H11841" s="83"/>
      <c r="K11841" s="82"/>
      <c r="M11841" s="112"/>
      <c r="N11841" s="84"/>
    </row>
    <row r="11842" spans="1:14" s="2" customFormat="1">
      <c r="A11842" s="83"/>
      <c r="H11842" s="83"/>
      <c r="K11842" s="82"/>
      <c r="M11842" s="112"/>
      <c r="N11842" s="84"/>
    </row>
    <row r="11843" spans="1:14" s="2" customFormat="1">
      <c r="A11843" s="83"/>
      <c r="H11843" s="83"/>
      <c r="K11843" s="82"/>
      <c r="M11843" s="112"/>
      <c r="N11843" s="84"/>
    </row>
    <row r="11844" spans="1:14" s="2" customFormat="1">
      <c r="A11844" s="83"/>
      <c r="H11844" s="83"/>
      <c r="K11844" s="82"/>
      <c r="M11844" s="112"/>
      <c r="N11844" s="84"/>
    </row>
    <row r="11845" spans="1:14" s="2" customFormat="1">
      <c r="A11845" s="83"/>
      <c r="H11845" s="83"/>
      <c r="K11845" s="82"/>
      <c r="M11845" s="112"/>
      <c r="N11845" s="84"/>
    </row>
    <row r="11846" spans="1:14" s="2" customFormat="1">
      <c r="A11846" s="83"/>
      <c r="H11846" s="83"/>
      <c r="K11846" s="82"/>
      <c r="M11846" s="112"/>
      <c r="N11846" s="84"/>
    </row>
    <row r="11847" spans="1:14" s="2" customFormat="1">
      <c r="A11847" s="83"/>
      <c r="H11847" s="83"/>
      <c r="K11847" s="82"/>
      <c r="M11847" s="112"/>
      <c r="N11847" s="84"/>
    </row>
    <row r="11848" spans="1:14" s="2" customFormat="1">
      <c r="A11848" s="83"/>
      <c r="H11848" s="83"/>
      <c r="K11848" s="82"/>
      <c r="M11848" s="112"/>
      <c r="N11848" s="84"/>
    </row>
    <row r="11849" spans="1:14" s="2" customFormat="1">
      <c r="A11849" s="83"/>
      <c r="H11849" s="83"/>
      <c r="K11849" s="82"/>
      <c r="M11849" s="112"/>
      <c r="N11849" s="84"/>
    </row>
    <row r="11850" spans="1:14" s="2" customFormat="1">
      <c r="A11850" s="83"/>
      <c r="H11850" s="83"/>
      <c r="K11850" s="82"/>
      <c r="M11850" s="112"/>
      <c r="N11850" s="84"/>
    </row>
    <row r="11851" spans="1:14" s="2" customFormat="1">
      <c r="A11851" s="83"/>
      <c r="H11851" s="83"/>
      <c r="K11851" s="82"/>
      <c r="M11851" s="112"/>
      <c r="N11851" s="84"/>
    </row>
    <row r="11852" spans="1:14" s="2" customFormat="1">
      <c r="A11852" s="83"/>
      <c r="H11852" s="83"/>
      <c r="K11852" s="82"/>
      <c r="M11852" s="112"/>
      <c r="N11852" s="84"/>
    </row>
    <row r="11853" spans="1:14" s="2" customFormat="1">
      <c r="A11853" s="83"/>
      <c r="H11853" s="83"/>
      <c r="K11853" s="82"/>
      <c r="M11853" s="112"/>
      <c r="N11853" s="84"/>
    </row>
    <row r="11854" spans="1:14" s="2" customFormat="1">
      <c r="A11854" s="83"/>
      <c r="H11854" s="83"/>
      <c r="K11854" s="82"/>
      <c r="M11854" s="112"/>
      <c r="N11854" s="84"/>
    </row>
    <row r="11855" spans="1:14" s="2" customFormat="1">
      <c r="A11855" s="83"/>
      <c r="H11855" s="83"/>
      <c r="K11855" s="82"/>
      <c r="M11855" s="112"/>
      <c r="N11855" s="84"/>
    </row>
    <row r="11856" spans="1:14" s="2" customFormat="1">
      <c r="A11856" s="83"/>
      <c r="H11856" s="83"/>
      <c r="K11856" s="82"/>
      <c r="M11856" s="112"/>
      <c r="N11856" s="84"/>
    </row>
    <row r="11857" spans="1:14" s="2" customFormat="1">
      <c r="A11857" s="83"/>
      <c r="H11857" s="83"/>
      <c r="K11857" s="82"/>
      <c r="M11857" s="112"/>
      <c r="N11857" s="84"/>
    </row>
    <row r="11858" spans="1:14" s="2" customFormat="1">
      <c r="A11858" s="83"/>
      <c r="H11858" s="83"/>
      <c r="K11858" s="82"/>
      <c r="M11858" s="112"/>
      <c r="N11858" s="84"/>
    </row>
    <row r="11859" spans="1:14" s="2" customFormat="1">
      <c r="A11859" s="83"/>
      <c r="H11859" s="83"/>
      <c r="K11859" s="82"/>
      <c r="M11859" s="112"/>
      <c r="N11859" s="84"/>
    </row>
    <row r="11860" spans="1:14" s="2" customFormat="1">
      <c r="A11860" s="83"/>
      <c r="H11860" s="83"/>
      <c r="K11860" s="82"/>
      <c r="M11860" s="112"/>
      <c r="N11860" s="84"/>
    </row>
    <row r="11861" spans="1:14" s="2" customFormat="1">
      <c r="A11861" s="83"/>
      <c r="H11861" s="83"/>
      <c r="K11861" s="82"/>
      <c r="M11861" s="112"/>
      <c r="N11861" s="84"/>
    </row>
    <row r="11862" spans="1:14" s="2" customFormat="1">
      <c r="A11862" s="83"/>
      <c r="H11862" s="83"/>
      <c r="K11862" s="82"/>
      <c r="M11862" s="112"/>
      <c r="N11862" s="84"/>
    </row>
    <row r="11863" spans="1:14" s="2" customFormat="1">
      <c r="A11863" s="83"/>
      <c r="H11863" s="83"/>
      <c r="K11863" s="82"/>
      <c r="M11863" s="112"/>
      <c r="N11863" s="84"/>
    </row>
    <row r="11864" spans="1:14" s="2" customFormat="1">
      <c r="A11864" s="83"/>
      <c r="H11864" s="83"/>
      <c r="K11864" s="82"/>
      <c r="M11864" s="112"/>
      <c r="N11864" s="84"/>
    </row>
    <row r="11865" spans="1:14" s="2" customFormat="1">
      <c r="A11865" s="83"/>
      <c r="H11865" s="83"/>
      <c r="K11865" s="82"/>
      <c r="M11865" s="112"/>
      <c r="N11865" s="84"/>
    </row>
    <row r="11866" spans="1:14" s="2" customFormat="1">
      <c r="A11866" s="83"/>
      <c r="H11866" s="83"/>
      <c r="K11866" s="82"/>
      <c r="M11866" s="112"/>
      <c r="N11866" s="84"/>
    </row>
    <row r="11867" spans="1:14" s="2" customFormat="1">
      <c r="A11867" s="83"/>
      <c r="H11867" s="83"/>
      <c r="K11867" s="82"/>
      <c r="M11867" s="112"/>
      <c r="N11867" s="84"/>
    </row>
    <row r="11868" spans="1:14" s="2" customFormat="1">
      <c r="A11868" s="83"/>
      <c r="H11868" s="83"/>
      <c r="K11868" s="82"/>
      <c r="M11868" s="112"/>
      <c r="N11868" s="84"/>
    </row>
    <row r="11869" spans="1:14" s="2" customFormat="1">
      <c r="A11869" s="83"/>
      <c r="H11869" s="83"/>
      <c r="K11869" s="82"/>
      <c r="M11869" s="112"/>
      <c r="N11869" s="84"/>
    </row>
    <row r="11870" spans="1:14" s="2" customFormat="1">
      <c r="A11870" s="83"/>
      <c r="H11870" s="83"/>
      <c r="K11870" s="82"/>
      <c r="M11870" s="112"/>
      <c r="N11870" s="84"/>
    </row>
    <row r="11871" spans="1:14" s="2" customFormat="1">
      <c r="A11871" s="83"/>
      <c r="H11871" s="83"/>
      <c r="K11871" s="82"/>
      <c r="M11871" s="112"/>
      <c r="N11871" s="84"/>
    </row>
    <row r="11872" spans="1:14" s="2" customFormat="1">
      <c r="A11872" s="83"/>
      <c r="H11872" s="83"/>
      <c r="K11872" s="82"/>
      <c r="M11872" s="112"/>
      <c r="N11872" s="84"/>
    </row>
    <row r="11873" spans="1:14" s="2" customFormat="1">
      <c r="A11873" s="83"/>
      <c r="H11873" s="83"/>
      <c r="K11873" s="82"/>
      <c r="M11873" s="112"/>
      <c r="N11873" s="84"/>
    </row>
    <row r="11874" spans="1:14" s="2" customFormat="1">
      <c r="A11874" s="83"/>
      <c r="H11874" s="83"/>
      <c r="K11874" s="82"/>
      <c r="M11874" s="112"/>
      <c r="N11874" s="84"/>
    </row>
    <row r="11875" spans="1:14" s="2" customFormat="1">
      <c r="A11875" s="83"/>
      <c r="H11875" s="83"/>
      <c r="K11875" s="82"/>
      <c r="M11875" s="112"/>
      <c r="N11875" s="84"/>
    </row>
    <row r="11876" spans="1:14" s="2" customFormat="1">
      <c r="A11876" s="83"/>
      <c r="H11876" s="83"/>
      <c r="K11876" s="82"/>
      <c r="M11876" s="112"/>
      <c r="N11876" s="84"/>
    </row>
    <row r="11877" spans="1:14" s="2" customFormat="1">
      <c r="A11877" s="83"/>
      <c r="H11877" s="83"/>
      <c r="K11877" s="82"/>
      <c r="M11877" s="112"/>
      <c r="N11877" s="84"/>
    </row>
    <row r="11878" spans="1:14" s="2" customFormat="1">
      <c r="A11878" s="83"/>
      <c r="H11878" s="83"/>
      <c r="K11878" s="82"/>
      <c r="M11878" s="112"/>
      <c r="N11878" s="84"/>
    </row>
    <row r="11879" spans="1:14" s="2" customFormat="1">
      <c r="A11879" s="83"/>
      <c r="H11879" s="83"/>
      <c r="K11879" s="82"/>
      <c r="M11879" s="112"/>
      <c r="N11879" s="84"/>
    </row>
    <row r="11880" spans="1:14" s="2" customFormat="1">
      <c r="A11880" s="83"/>
      <c r="H11880" s="83"/>
      <c r="K11880" s="82"/>
      <c r="M11880" s="112"/>
      <c r="N11880" s="84"/>
    </row>
    <row r="11881" spans="1:14" s="2" customFormat="1">
      <c r="A11881" s="83"/>
      <c r="H11881" s="83"/>
      <c r="K11881" s="82"/>
      <c r="M11881" s="112"/>
      <c r="N11881" s="84"/>
    </row>
    <row r="11882" spans="1:14" s="2" customFormat="1">
      <c r="A11882" s="83"/>
      <c r="H11882" s="83"/>
      <c r="K11882" s="82"/>
      <c r="M11882" s="112"/>
      <c r="N11882" s="84"/>
    </row>
    <row r="11883" spans="1:14" s="2" customFormat="1">
      <c r="A11883" s="83"/>
      <c r="H11883" s="83"/>
      <c r="K11883" s="82"/>
      <c r="M11883" s="112"/>
      <c r="N11883" s="84"/>
    </row>
    <row r="11884" spans="1:14" s="2" customFormat="1">
      <c r="A11884" s="83"/>
      <c r="H11884" s="83"/>
      <c r="K11884" s="82"/>
      <c r="M11884" s="112"/>
      <c r="N11884" s="84"/>
    </row>
    <row r="11885" spans="1:14" s="2" customFormat="1">
      <c r="A11885" s="83"/>
      <c r="H11885" s="83"/>
      <c r="K11885" s="82"/>
      <c r="M11885" s="112"/>
      <c r="N11885" s="84"/>
    </row>
    <row r="11886" spans="1:14" s="2" customFormat="1">
      <c r="A11886" s="83"/>
      <c r="H11886" s="83"/>
      <c r="K11886" s="82"/>
      <c r="M11886" s="112"/>
      <c r="N11886" s="84"/>
    </row>
    <row r="11887" spans="1:14" s="2" customFormat="1">
      <c r="A11887" s="83"/>
      <c r="H11887" s="83"/>
      <c r="K11887" s="82"/>
      <c r="M11887" s="112"/>
      <c r="N11887" s="84"/>
    </row>
    <row r="11888" spans="1:14" s="2" customFormat="1">
      <c r="A11888" s="83"/>
      <c r="H11888" s="83"/>
      <c r="K11888" s="82"/>
      <c r="M11888" s="112"/>
      <c r="N11888" s="84"/>
    </row>
    <row r="11889" spans="1:14" s="2" customFormat="1">
      <c r="A11889" s="83"/>
      <c r="H11889" s="83"/>
      <c r="K11889" s="82"/>
      <c r="M11889" s="112"/>
      <c r="N11889" s="84"/>
    </row>
    <row r="11890" spans="1:14" s="2" customFormat="1">
      <c r="A11890" s="83"/>
      <c r="H11890" s="83"/>
      <c r="K11890" s="82"/>
      <c r="M11890" s="112"/>
      <c r="N11890" s="84"/>
    </row>
    <row r="11891" spans="1:14" s="2" customFormat="1">
      <c r="A11891" s="83"/>
      <c r="H11891" s="83"/>
      <c r="K11891" s="82"/>
      <c r="M11891" s="112"/>
      <c r="N11891" s="84"/>
    </row>
    <row r="11892" spans="1:14" s="2" customFormat="1">
      <c r="A11892" s="83"/>
      <c r="H11892" s="83"/>
      <c r="K11892" s="82"/>
      <c r="M11892" s="112"/>
      <c r="N11892" s="84"/>
    </row>
    <row r="11893" spans="1:14" s="2" customFormat="1">
      <c r="A11893" s="83"/>
      <c r="H11893" s="83"/>
      <c r="K11893" s="82"/>
      <c r="M11893" s="112"/>
      <c r="N11893" s="84"/>
    </row>
    <row r="11894" spans="1:14" s="2" customFormat="1">
      <c r="A11894" s="83"/>
      <c r="H11894" s="83"/>
      <c r="K11894" s="82"/>
      <c r="M11894" s="112"/>
      <c r="N11894" s="84"/>
    </row>
    <row r="11895" spans="1:14" s="2" customFormat="1">
      <c r="A11895" s="83"/>
      <c r="H11895" s="83"/>
      <c r="K11895" s="82"/>
      <c r="M11895" s="112"/>
      <c r="N11895" s="84"/>
    </row>
    <row r="11896" spans="1:14" s="2" customFormat="1">
      <c r="A11896" s="83"/>
      <c r="H11896" s="83"/>
      <c r="K11896" s="82"/>
      <c r="M11896" s="112"/>
      <c r="N11896" s="84"/>
    </row>
    <row r="11897" spans="1:14" s="2" customFormat="1">
      <c r="A11897" s="83"/>
      <c r="H11897" s="83"/>
      <c r="K11897" s="82"/>
      <c r="M11897" s="112"/>
      <c r="N11897" s="84"/>
    </row>
    <row r="11898" spans="1:14" s="2" customFormat="1">
      <c r="A11898" s="83"/>
      <c r="H11898" s="83"/>
      <c r="K11898" s="82"/>
      <c r="M11898" s="112"/>
      <c r="N11898" s="84"/>
    </row>
    <row r="11899" spans="1:14" s="2" customFormat="1">
      <c r="A11899" s="83"/>
      <c r="H11899" s="83"/>
      <c r="K11899" s="82"/>
      <c r="M11899" s="112"/>
      <c r="N11899" s="84"/>
    </row>
    <row r="11900" spans="1:14" s="2" customFormat="1">
      <c r="A11900" s="83"/>
      <c r="H11900" s="83"/>
      <c r="K11900" s="82"/>
      <c r="M11900" s="112"/>
      <c r="N11900" s="84"/>
    </row>
    <row r="11901" spans="1:14" s="2" customFormat="1">
      <c r="A11901" s="83"/>
      <c r="H11901" s="83"/>
      <c r="K11901" s="82"/>
      <c r="M11901" s="112"/>
      <c r="N11901" s="84"/>
    </row>
    <row r="11902" spans="1:14" s="2" customFormat="1">
      <c r="A11902" s="83"/>
      <c r="H11902" s="83"/>
      <c r="K11902" s="82"/>
      <c r="M11902" s="112"/>
      <c r="N11902" s="84"/>
    </row>
    <row r="11903" spans="1:14" s="2" customFormat="1">
      <c r="A11903" s="83"/>
      <c r="H11903" s="83"/>
      <c r="K11903" s="82"/>
      <c r="M11903" s="112"/>
      <c r="N11903" s="84"/>
    </row>
    <row r="11904" spans="1:14" s="2" customFormat="1">
      <c r="A11904" s="83"/>
      <c r="H11904" s="83"/>
      <c r="K11904" s="82"/>
      <c r="M11904" s="112"/>
      <c r="N11904" s="84"/>
    </row>
    <row r="11905" spans="1:14" s="2" customFormat="1">
      <c r="A11905" s="83"/>
      <c r="H11905" s="83"/>
      <c r="K11905" s="82"/>
      <c r="M11905" s="112"/>
      <c r="N11905" s="84"/>
    </row>
    <row r="11906" spans="1:14" s="2" customFormat="1">
      <c r="A11906" s="83"/>
      <c r="H11906" s="83"/>
      <c r="K11906" s="82"/>
      <c r="M11906" s="112"/>
      <c r="N11906" s="84"/>
    </row>
    <row r="11907" spans="1:14" s="2" customFormat="1">
      <c r="A11907" s="83"/>
      <c r="H11907" s="83"/>
      <c r="K11907" s="82"/>
      <c r="M11907" s="112"/>
      <c r="N11907" s="84"/>
    </row>
    <row r="11908" spans="1:14" s="2" customFormat="1">
      <c r="A11908" s="83"/>
      <c r="H11908" s="83"/>
      <c r="K11908" s="82"/>
      <c r="M11908" s="112"/>
      <c r="N11908" s="84"/>
    </row>
    <row r="11909" spans="1:14" s="2" customFormat="1">
      <c r="A11909" s="83"/>
      <c r="H11909" s="83"/>
      <c r="K11909" s="82"/>
      <c r="M11909" s="112"/>
      <c r="N11909" s="84"/>
    </row>
    <row r="11910" spans="1:14" s="2" customFormat="1">
      <c r="A11910" s="83"/>
      <c r="H11910" s="83"/>
      <c r="K11910" s="82"/>
      <c r="M11910" s="112"/>
      <c r="N11910" s="84"/>
    </row>
    <row r="11911" spans="1:14" s="2" customFormat="1">
      <c r="A11911" s="83"/>
      <c r="H11911" s="83"/>
      <c r="K11911" s="82"/>
      <c r="M11911" s="112"/>
      <c r="N11911" s="84"/>
    </row>
    <row r="11912" spans="1:14" s="2" customFormat="1">
      <c r="A11912" s="83"/>
      <c r="H11912" s="83"/>
      <c r="K11912" s="82"/>
      <c r="M11912" s="112"/>
      <c r="N11912" s="84"/>
    </row>
    <row r="11913" spans="1:14" s="2" customFormat="1">
      <c r="A11913" s="83"/>
      <c r="H11913" s="83"/>
      <c r="K11913" s="82"/>
      <c r="M11913" s="112"/>
      <c r="N11913" s="84"/>
    </row>
    <row r="11914" spans="1:14" s="2" customFormat="1">
      <c r="A11914" s="83"/>
      <c r="H11914" s="83"/>
      <c r="K11914" s="82"/>
      <c r="M11914" s="112"/>
      <c r="N11914" s="84"/>
    </row>
    <row r="11915" spans="1:14" s="2" customFormat="1">
      <c r="A11915" s="83"/>
      <c r="H11915" s="83"/>
      <c r="K11915" s="82"/>
      <c r="M11915" s="112"/>
      <c r="N11915" s="84"/>
    </row>
    <row r="11916" spans="1:14" s="2" customFormat="1">
      <c r="A11916" s="83"/>
      <c r="H11916" s="83"/>
      <c r="K11916" s="82"/>
      <c r="M11916" s="112"/>
      <c r="N11916" s="84"/>
    </row>
    <row r="11917" spans="1:14" s="2" customFormat="1">
      <c r="A11917" s="83"/>
      <c r="H11917" s="83"/>
      <c r="K11917" s="82"/>
      <c r="M11917" s="112"/>
      <c r="N11917" s="84"/>
    </row>
    <row r="11918" spans="1:14" s="2" customFormat="1">
      <c r="A11918" s="83"/>
      <c r="H11918" s="83"/>
      <c r="K11918" s="82"/>
      <c r="M11918" s="112"/>
      <c r="N11918" s="84"/>
    </row>
    <row r="11919" spans="1:14" s="2" customFormat="1">
      <c r="A11919" s="83"/>
      <c r="H11919" s="83"/>
      <c r="K11919" s="82"/>
      <c r="M11919" s="112"/>
      <c r="N11919" s="84"/>
    </row>
    <row r="11920" spans="1:14" s="2" customFormat="1">
      <c r="A11920" s="83"/>
      <c r="H11920" s="83"/>
      <c r="K11920" s="82"/>
      <c r="M11920" s="112"/>
      <c r="N11920" s="84"/>
    </row>
    <row r="11921" spans="1:14" s="2" customFormat="1">
      <c r="A11921" s="83"/>
      <c r="H11921" s="83"/>
      <c r="K11921" s="82"/>
      <c r="M11921" s="112"/>
      <c r="N11921" s="84"/>
    </row>
    <row r="11922" spans="1:14" s="2" customFormat="1">
      <c r="A11922" s="83"/>
      <c r="H11922" s="83"/>
      <c r="K11922" s="82"/>
      <c r="M11922" s="112"/>
      <c r="N11922" s="84"/>
    </row>
    <row r="11923" spans="1:14" s="2" customFormat="1">
      <c r="A11923" s="83"/>
      <c r="H11923" s="83"/>
      <c r="K11923" s="82"/>
      <c r="M11923" s="112"/>
      <c r="N11923" s="84"/>
    </row>
    <row r="11924" spans="1:14" s="2" customFormat="1">
      <c r="A11924" s="83"/>
      <c r="H11924" s="83"/>
      <c r="K11924" s="82"/>
      <c r="M11924" s="112"/>
      <c r="N11924" s="84"/>
    </row>
    <row r="11925" spans="1:14" s="2" customFormat="1">
      <c r="A11925" s="83"/>
      <c r="H11925" s="83"/>
      <c r="K11925" s="82"/>
      <c r="M11925" s="112"/>
      <c r="N11925" s="84"/>
    </row>
    <row r="11926" spans="1:14" s="2" customFormat="1">
      <c r="A11926" s="83"/>
      <c r="H11926" s="83"/>
      <c r="K11926" s="82"/>
      <c r="M11926" s="112"/>
      <c r="N11926" s="84"/>
    </row>
    <row r="11927" spans="1:14" s="2" customFormat="1">
      <c r="A11927" s="83"/>
      <c r="H11927" s="83"/>
      <c r="K11927" s="82"/>
      <c r="M11927" s="112"/>
      <c r="N11927" s="84"/>
    </row>
    <row r="11928" spans="1:14" s="2" customFormat="1">
      <c r="A11928" s="83"/>
      <c r="H11928" s="83"/>
      <c r="K11928" s="82"/>
      <c r="M11928" s="112"/>
      <c r="N11928" s="84"/>
    </row>
    <row r="11929" spans="1:14" s="2" customFormat="1">
      <c r="A11929" s="83"/>
      <c r="H11929" s="83"/>
      <c r="K11929" s="82"/>
      <c r="M11929" s="112"/>
      <c r="N11929" s="84"/>
    </row>
    <row r="11930" spans="1:14" s="2" customFormat="1">
      <c r="A11930" s="83"/>
      <c r="H11930" s="83"/>
      <c r="K11930" s="82"/>
      <c r="M11930" s="112"/>
      <c r="N11930" s="84"/>
    </row>
    <row r="11931" spans="1:14" s="2" customFormat="1">
      <c r="A11931" s="83"/>
      <c r="H11931" s="83"/>
      <c r="K11931" s="82"/>
      <c r="M11931" s="112"/>
      <c r="N11931" s="84"/>
    </row>
    <row r="11932" spans="1:14" s="2" customFormat="1">
      <c r="A11932" s="83"/>
      <c r="H11932" s="83"/>
      <c r="K11932" s="82"/>
      <c r="M11932" s="112"/>
      <c r="N11932" s="84"/>
    </row>
    <row r="11933" spans="1:14" s="2" customFormat="1">
      <c r="A11933" s="83"/>
      <c r="H11933" s="83"/>
      <c r="K11933" s="82"/>
      <c r="M11933" s="112"/>
      <c r="N11933" s="84"/>
    </row>
    <row r="11934" spans="1:14" s="2" customFormat="1">
      <c r="A11934" s="83"/>
      <c r="H11934" s="83"/>
      <c r="K11934" s="82"/>
      <c r="M11934" s="112"/>
      <c r="N11934" s="84"/>
    </row>
    <row r="11935" spans="1:14" s="2" customFormat="1">
      <c r="A11935" s="83"/>
      <c r="H11935" s="83"/>
      <c r="K11935" s="82"/>
      <c r="M11935" s="112"/>
      <c r="N11935" s="84"/>
    </row>
    <row r="11936" spans="1:14" s="2" customFormat="1">
      <c r="A11936" s="83"/>
      <c r="H11936" s="83"/>
      <c r="K11936" s="82"/>
      <c r="M11936" s="112"/>
      <c r="N11936" s="84"/>
    </row>
    <row r="11937" spans="1:14" s="2" customFormat="1">
      <c r="A11937" s="83"/>
      <c r="H11937" s="83"/>
      <c r="K11937" s="82"/>
      <c r="M11937" s="112"/>
      <c r="N11937" s="84"/>
    </row>
    <row r="11938" spans="1:14" s="2" customFormat="1">
      <c r="A11938" s="83"/>
      <c r="H11938" s="83"/>
      <c r="K11938" s="82"/>
      <c r="M11938" s="112"/>
      <c r="N11938" s="84"/>
    </row>
    <row r="11939" spans="1:14" s="2" customFormat="1">
      <c r="A11939" s="83"/>
      <c r="H11939" s="83"/>
      <c r="K11939" s="82"/>
      <c r="M11939" s="112"/>
      <c r="N11939" s="84"/>
    </row>
    <row r="11940" spans="1:14" s="2" customFormat="1">
      <c r="A11940" s="83"/>
      <c r="H11940" s="83"/>
      <c r="K11940" s="82"/>
      <c r="M11940" s="112"/>
      <c r="N11940" s="84"/>
    </row>
    <row r="11941" spans="1:14" s="2" customFormat="1">
      <c r="A11941" s="83"/>
      <c r="H11941" s="83"/>
      <c r="K11941" s="82"/>
      <c r="M11941" s="112"/>
      <c r="N11941" s="84"/>
    </row>
    <row r="11942" spans="1:14" s="2" customFormat="1">
      <c r="A11942" s="83"/>
      <c r="H11942" s="83"/>
      <c r="K11942" s="82"/>
      <c r="M11942" s="112"/>
      <c r="N11942" s="84"/>
    </row>
    <row r="11943" spans="1:14" s="2" customFormat="1">
      <c r="A11943" s="83"/>
      <c r="H11943" s="83"/>
      <c r="K11943" s="82"/>
      <c r="M11943" s="112"/>
      <c r="N11943" s="84"/>
    </row>
    <row r="11944" spans="1:14" s="2" customFormat="1">
      <c r="A11944" s="83"/>
      <c r="H11944" s="83"/>
      <c r="K11944" s="82"/>
      <c r="M11944" s="112"/>
      <c r="N11944" s="84"/>
    </row>
    <row r="11945" spans="1:14" s="2" customFormat="1">
      <c r="A11945" s="83"/>
      <c r="H11945" s="83"/>
      <c r="K11945" s="82"/>
      <c r="M11945" s="112"/>
      <c r="N11945" s="84"/>
    </row>
    <row r="11946" spans="1:14" s="2" customFormat="1">
      <c r="A11946" s="83"/>
      <c r="H11946" s="83"/>
      <c r="K11946" s="82"/>
      <c r="M11946" s="112"/>
      <c r="N11946" s="84"/>
    </row>
    <row r="11947" spans="1:14" s="2" customFormat="1">
      <c r="A11947" s="83"/>
      <c r="H11947" s="83"/>
      <c r="K11947" s="82"/>
      <c r="M11947" s="112"/>
      <c r="N11947" s="84"/>
    </row>
    <row r="11948" spans="1:14" s="2" customFormat="1">
      <c r="A11948" s="83"/>
      <c r="H11948" s="83"/>
      <c r="K11948" s="82"/>
      <c r="M11948" s="112"/>
      <c r="N11948" s="84"/>
    </row>
    <row r="11949" spans="1:14" s="2" customFormat="1">
      <c r="A11949" s="83"/>
      <c r="H11949" s="83"/>
      <c r="K11949" s="82"/>
      <c r="M11949" s="112"/>
      <c r="N11949" s="84"/>
    </row>
    <row r="11950" spans="1:14" s="2" customFormat="1">
      <c r="A11950" s="83"/>
      <c r="H11950" s="83"/>
      <c r="K11950" s="82"/>
      <c r="M11950" s="112"/>
      <c r="N11950" s="84"/>
    </row>
    <row r="11951" spans="1:14" s="2" customFormat="1">
      <c r="A11951" s="83"/>
      <c r="H11951" s="83"/>
      <c r="K11951" s="82"/>
      <c r="M11951" s="112"/>
      <c r="N11951" s="84"/>
    </row>
    <row r="11952" spans="1:14" s="2" customFormat="1">
      <c r="A11952" s="83"/>
      <c r="H11952" s="83"/>
      <c r="K11952" s="82"/>
      <c r="M11952" s="112"/>
      <c r="N11952" s="84"/>
    </row>
    <row r="11953" spans="1:14" s="2" customFormat="1">
      <c r="A11953" s="83"/>
      <c r="H11953" s="83"/>
      <c r="K11953" s="82"/>
      <c r="M11953" s="112"/>
      <c r="N11953" s="84"/>
    </row>
    <row r="11954" spans="1:14" s="2" customFormat="1">
      <c r="A11954" s="83"/>
      <c r="H11954" s="83"/>
      <c r="K11954" s="82"/>
      <c r="M11954" s="112"/>
      <c r="N11954" s="84"/>
    </row>
    <row r="11955" spans="1:14" s="2" customFormat="1">
      <c r="A11955" s="83"/>
      <c r="H11955" s="83"/>
      <c r="K11955" s="82"/>
      <c r="M11955" s="112"/>
      <c r="N11955" s="84"/>
    </row>
    <row r="11956" spans="1:14" s="2" customFormat="1">
      <c r="A11956" s="83"/>
      <c r="H11956" s="83"/>
      <c r="K11956" s="82"/>
      <c r="M11956" s="112"/>
      <c r="N11956" s="84"/>
    </row>
    <row r="11957" spans="1:14" s="2" customFormat="1">
      <c r="A11957" s="83"/>
      <c r="H11957" s="83"/>
      <c r="K11957" s="82"/>
      <c r="M11957" s="112"/>
      <c r="N11957" s="84"/>
    </row>
    <row r="11958" spans="1:14" s="2" customFormat="1">
      <c r="A11958" s="83"/>
      <c r="H11958" s="83"/>
      <c r="K11958" s="82"/>
      <c r="M11958" s="112"/>
      <c r="N11958" s="84"/>
    </row>
    <row r="11959" spans="1:14" s="2" customFormat="1">
      <c r="A11959" s="83"/>
      <c r="H11959" s="83"/>
      <c r="K11959" s="82"/>
      <c r="M11959" s="112"/>
      <c r="N11959" s="84"/>
    </row>
    <row r="11960" spans="1:14" s="2" customFormat="1">
      <c r="A11960" s="83"/>
      <c r="H11960" s="83"/>
      <c r="K11960" s="82"/>
      <c r="M11960" s="112"/>
      <c r="N11960" s="84"/>
    </row>
    <row r="11961" spans="1:14" s="2" customFormat="1">
      <c r="A11961" s="83"/>
      <c r="H11961" s="83"/>
      <c r="K11961" s="82"/>
      <c r="M11961" s="112"/>
      <c r="N11961" s="84"/>
    </row>
    <row r="11962" spans="1:14" s="2" customFormat="1">
      <c r="A11962" s="83"/>
      <c r="H11962" s="83"/>
      <c r="K11962" s="82"/>
      <c r="M11962" s="112"/>
      <c r="N11962" s="84"/>
    </row>
    <row r="11963" spans="1:14" s="2" customFormat="1">
      <c r="A11963" s="83"/>
      <c r="H11963" s="83"/>
      <c r="K11963" s="82"/>
      <c r="M11963" s="112"/>
      <c r="N11963" s="84"/>
    </row>
    <row r="11964" spans="1:14" s="2" customFormat="1">
      <c r="A11964" s="83"/>
      <c r="H11964" s="83"/>
      <c r="K11964" s="82"/>
      <c r="M11964" s="112"/>
      <c r="N11964" s="84"/>
    </row>
    <row r="11965" spans="1:14" s="2" customFormat="1">
      <c r="A11965" s="83"/>
      <c r="H11965" s="83"/>
      <c r="K11965" s="82"/>
      <c r="M11965" s="112"/>
      <c r="N11965" s="84"/>
    </row>
    <row r="11966" spans="1:14" s="2" customFormat="1">
      <c r="A11966" s="83"/>
      <c r="H11966" s="83"/>
      <c r="K11966" s="82"/>
      <c r="M11966" s="112"/>
      <c r="N11966" s="84"/>
    </row>
    <row r="11967" spans="1:14" s="2" customFormat="1">
      <c r="A11967" s="83"/>
      <c r="H11967" s="83"/>
      <c r="K11967" s="82"/>
      <c r="M11967" s="112"/>
      <c r="N11967" s="84"/>
    </row>
    <row r="11968" spans="1:14" s="2" customFormat="1">
      <c r="A11968" s="83"/>
      <c r="H11968" s="83"/>
      <c r="K11968" s="82"/>
      <c r="M11968" s="112"/>
      <c r="N11968" s="84"/>
    </row>
    <row r="11969" spans="1:14" s="2" customFormat="1">
      <c r="A11969" s="83"/>
      <c r="H11969" s="83"/>
      <c r="K11969" s="82"/>
      <c r="M11969" s="112"/>
      <c r="N11969" s="84"/>
    </row>
    <row r="11970" spans="1:14" s="2" customFormat="1">
      <c r="A11970" s="83"/>
      <c r="H11970" s="83"/>
      <c r="K11970" s="82"/>
      <c r="M11970" s="112"/>
      <c r="N11970" s="84"/>
    </row>
    <row r="11971" spans="1:14" s="2" customFormat="1">
      <c r="A11971" s="83"/>
      <c r="H11971" s="83"/>
      <c r="K11971" s="82"/>
      <c r="M11971" s="112"/>
      <c r="N11971" s="84"/>
    </row>
    <row r="11972" spans="1:14" s="2" customFormat="1">
      <c r="A11972" s="83"/>
      <c r="H11972" s="83"/>
      <c r="K11972" s="82"/>
      <c r="M11972" s="112"/>
      <c r="N11972" s="84"/>
    </row>
    <row r="11973" spans="1:14" s="2" customFormat="1">
      <c r="A11973" s="83"/>
      <c r="H11973" s="83"/>
      <c r="K11973" s="82"/>
      <c r="M11973" s="112"/>
      <c r="N11973" s="84"/>
    </row>
    <row r="11974" spans="1:14" s="2" customFormat="1">
      <c r="A11974" s="83"/>
      <c r="H11974" s="83"/>
      <c r="K11974" s="82"/>
      <c r="M11974" s="112"/>
      <c r="N11974" s="84"/>
    </row>
    <row r="11975" spans="1:14" s="2" customFormat="1">
      <c r="A11975" s="83"/>
      <c r="H11975" s="83"/>
      <c r="K11975" s="82"/>
      <c r="M11975" s="112"/>
      <c r="N11975" s="84"/>
    </row>
    <row r="11976" spans="1:14" s="2" customFormat="1">
      <c r="A11976" s="83"/>
      <c r="H11976" s="83"/>
      <c r="K11976" s="82"/>
      <c r="M11976" s="112"/>
      <c r="N11976" s="84"/>
    </row>
    <row r="11977" spans="1:14" s="2" customFormat="1">
      <c r="A11977" s="83"/>
      <c r="H11977" s="83"/>
      <c r="K11977" s="82"/>
      <c r="M11977" s="112"/>
      <c r="N11977" s="84"/>
    </row>
    <row r="11978" spans="1:14" s="2" customFormat="1">
      <c r="A11978" s="83"/>
      <c r="H11978" s="83"/>
      <c r="K11978" s="82"/>
      <c r="M11978" s="112"/>
      <c r="N11978" s="84"/>
    </row>
    <row r="11979" spans="1:14" s="2" customFormat="1">
      <c r="A11979" s="83"/>
      <c r="H11979" s="83"/>
      <c r="K11979" s="82"/>
      <c r="M11979" s="112"/>
      <c r="N11979" s="84"/>
    </row>
    <row r="11980" spans="1:14" s="2" customFormat="1">
      <c r="A11980" s="83"/>
      <c r="H11980" s="83"/>
      <c r="K11980" s="82"/>
      <c r="M11980" s="112"/>
      <c r="N11980" s="84"/>
    </row>
    <row r="11981" spans="1:14" s="2" customFormat="1">
      <c r="A11981" s="83"/>
      <c r="H11981" s="83"/>
      <c r="K11981" s="82"/>
      <c r="M11981" s="112"/>
      <c r="N11981" s="84"/>
    </row>
    <row r="11982" spans="1:14" s="2" customFormat="1">
      <c r="A11982" s="83"/>
      <c r="H11982" s="83"/>
      <c r="K11982" s="82"/>
      <c r="M11982" s="112"/>
      <c r="N11982" s="84"/>
    </row>
    <row r="11983" spans="1:14" s="2" customFormat="1">
      <c r="A11983" s="83"/>
      <c r="H11983" s="83"/>
      <c r="K11983" s="82"/>
      <c r="M11983" s="112"/>
      <c r="N11983" s="84"/>
    </row>
    <row r="11984" spans="1:14" s="2" customFormat="1">
      <c r="A11984" s="83"/>
      <c r="H11984" s="83"/>
      <c r="K11984" s="82"/>
      <c r="M11984" s="112"/>
      <c r="N11984" s="84"/>
    </row>
    <row r="11985" spans="1:14" s="2" customFormat="1">
      <c r="A11985" s="83"/>
      <c r="H11985" s="83"/>
      <c r="K11985" s="82"/>
      <c r="M11985" s="112"/>
      <c r="N11985" s="84"/>
    </row>
    <row r="11986" spans="1:14" s="2" customFormat="1">
      <c r="A11986" s="83"/>
      <c r="H11986" s="83"/>
      <c r="K11986" s="82"/>
      <c r="M11986" s="112"/>
      <c r="N11986" s="84"/>
    </row>
    <row r="11987" spans="1:14" s="2" customFormat="1">
      <c r="A11987" s="83"/>
      <c r="H11987" s="83"/>
      <c r="K11987" s="82"/>
      <c r="M11987" s="112"/>
      <c r="N11987" s="84"/>
    </row>
    <row r="11988" spans="1:14" s="2" customFormat="1">
      <c r="A11988" s="83"/>
      <c r="H11988" s="83"/>
      <c r="K11988" s="82"/>
      <c r="M11988" s="112"/>
      <c r="N11988" s="84"/>
    </row>
    <row r="11989" spans="1:14" s="2" customFormat="1">
      <c r="A11989" s="83"/>
      <c r="H11989" s="83"/>
      <c r="K11989" s="82"/>
      <c r="M11989" s="112"/>
      <c r="N11989" s="84"/>
    </row>
    <row r="11990" spans="1:14" s="2" customFormat="1">
      <c r="A11990" s="83"/>
      <c r="H11990" s="83"/>
      <c r="K11990" s="82"/>
      <c r="M11990" s="112"/>
      <c r="N11990" s="84"/>
    </row>
    <row r="11991" spans="1:14" s="2" customFormat="1">
      <c r="A11991" s="83"/>
      <c r="H11991" s="83"/>
      <c r="K11991" s="82"/>
      <c r="M11991" s="112"/>
      <c r="N11991" s="84"/>
    </row>
    <row r="11992" spans="1:14" s="2" customFormat="1">
      <c r="A11992" s="83"/>
      <c r="H11992" s="83"/>
      <c r="K11992" s="82"/>
      <c r="M11992" s="112"/>
      <c r="N11992" s="84"/>
    </row>
    <row r="11993" spans="1:14" s="2" customFormat="1">
      <c r="A11993" s="83"/>
      <c r="H11993" s="83"/>
      <c r="K11993" s="82"/>
      <c r="M11993" s="112"/>
      <c r="N11993" s="84"/>
    </row>
    <row r="11994" spans="1:14" s="2" customFormat="1">
      <c r="A11994" s="83"/>
      <c r="H11994" s="83"/>
      <c r="K11994" s="82"/>
      <c r="M11994" s="112"/>
      <c r="N11994" s="84"/>
    </row>
    <row r="11995" spans="1:14" s="2" customFormat="1">
      <c r="A11995" s="83"/>
      <c r="H11995" s="83"/>
      <c r="K11995" s="82"/>
      <c r="M11995" s="112"/>
      <c r="N11995" s="84"/>
    </row>
    <row r="11996" spans="1:14" s="2" customFormat="1">
      <c r="A11996" s="83"/>
      <c r="H11996" s="83"/>
      <c r="K11996" s="82"/>
      <c r="M11996" s="112"/>
      <c r="N11996" s="84"/>
    </row>
    <row r="11997" spans="1:14" s="2" customFormat="1">
      <c r="A11997" s="83"/>
      <c r="H11997" s="83"/>
      <c r="K11997" s="82"/>
      <c r="M11997" s="112"/>
      <c r="N11997" s="84"/>
    </row>
    <row r="11998" spans="1:14" s="2" customFormat="1">
      <c r="A11998" s="83"/>
      <c r="H11998" s="83"/>
      <c r="K11998" s="82"/>
      <c r="M11998" s="112"/>
      <c r="N11998" s="84"/>
    </row>
    <row r="11999" spans="1:14" s="2" customFormat="1">
      <c r="A11999" s="83"/>
      <c r="H11999" s="83"/>
      <c r="K11999" s="82"/>
      <c r="M11999" s="112"/>
      <c r="N11999" s="84"/>
    </row>
    <row r="12000" spans="1:14" s="2" customFormat="1">
      <c r="A12000" s="83"/>
      <c r="H12000" s="83"/>
      <c r="K12000" s="82"/>
      <c r="M12000" s="112"/>
      <c r="N12000" s="84"/>
    </row>
    <row r="12001" spans="1:14" s="2" customFormat="1">
      <c r="A12001" s="83"/>
      <c r="H12001" s="83"/>
      <c r="K12001" s="82"/>
      <c r="M12001" s="112"/>
      <c r="N12001" s="84"/>
    </row>
    <row r="12002" spans="1:14" s="2" customFormat="1">
      <c r="A12002" s="83"/>
      <c r="H12002" s="83"/>
      <c r="K12002" s="82"/>
      <c r="M12002" s="112"/>
      <c r="N12002" s="84"/>
    </row>
    <row r="12003" spans="1:14" s="2" customFormat="1">
      <c r="A12003" s="83"/>
      <c r="H12003" s="83"/>
      <c r="K12003" s="82"/>
      <c r="M12003" s="112"/>
      <c r="N12003" s="84"/>
    </row>
    <row r="12004" spans="1:14" s="2" customFormat="1">
      <c r="A12004" s="83"/>
      <c r="H12004" s="83"/>
      <c r="K12004" s="82"/>
      <c r="M12004" s="112"/>
      <c r="N12004" s="84"/>
    </row>
    <row r="12005" spans="1:14" s="2" customFormat="1">
      <c r="A12005" s="83"/>
      <c r="H12005" s="83"/>
      <c r="K12005" s="82"/>
      <c r="M12005" s="112"/>
      <c r="N12005" s="84"/>
    </row>
    <row r="12006" spans="1:14" s="2" customFormat="1">
      <c r="A12006" s="83"/>
      <c r="H12006" s="83"/>
      <c r="K12006" s="82"/>
      <c r="M12006" s="112"/>
      <c r="N12006" s="84"/>
    </row>
    <row r="12007" spans="1:14" s="2" customFormat="1">
      <c r="A12007" s="83"/>
      <c r="H12007" s="83"/>
      <c r="K12007" s="82"/>
      <c r="M12007" s="112"/>
      <c r="N12007" s="84"/>
    </row>
    <row r="12008" spans="1:14" s="2" customFormat="1">
      <c r="A12008" s="83"/>
      <c r="H12008" s="83"/>
      <c r="K12008" s="82"/>
      <c r="M12008" s="112"/>
      <c r="N12008" s="84"/>
    </row>
    <row r="12009" spans="1:14" s="2" customFormat="1">
      <c r="A12009" s="83"/>
      <c r="H12009" s="83"/>
      <c r="K12009" s="82"/>
      <c r="M12009" s="112"/>
      <c r="N12009" s="84"/>
    </row>
    <row r="12010" spans="1:14" s="2" customFormat="1">
      <c r="A12010" s="83"/>
      <c r="H12010" s="83"/>
      <c r="K12010" s="82"/>
      <c r="M12010" s="112"/>
      <c r="N12010" s="84"/>
    </row>
    <row r="12011" spans="1:14" s="2" customFormat="1">
      <c r="A12011" s="83"/>
      <c r="H12011" s="83"/>
      <c r="K12011" s="82"/>
      <c r="M12011" s="112"/>
      <c r="N12011" s="84"/>
    </row>
    <row r="12012" spans="1:14" s="2" customFormat="1">
      <c r="A12012" s="83"/>
      <c r="H12012" s="83"/>
      <c r="K12012" s="82"/>
      <c r="M12012" s="112"/>
      <c r="N12012" s="84"/>
    </row>
    <row r="12013" spans="1:14" s="2" customFormat="1">
      <c r="A12013" s="83"/>
      <c r="H12013" s="83"/>
      <c r="K12013" s="82"/>
      <c r="M12013" s="112"/>
      <c r="N12013" s="84"/>
    </row>
    <row r="12014" spans="1:14" s="2" customFormat="1">
      <c r="A12014" s="83"/>
      <c r="H12014" s="83"/>
      <c r="K12014" s="82"/>
      <c r="M12014" s="112"/>
      <c r="N12014" s="84"/>
    </row>
    <row r="12015" spans="1:14" s="2" customFormat="1">
      <c r="A12015" s="83"/>
      <c r="H12015" s="83"/>
      <c r="K12015" s="82"/>
      <c r="M12015" s="112"/>
      <c r="N12015" s="84"/>
    </row>
    <row r="12016" spans="1:14" s="2" customFormat="1">
      <c r="A12016" s="83"/>
      <c r="H12016" s="83"/>
      <c r="K12016" s="82"/>
      <c r="M12016" s="112"/>
      <c r="N12016" s="84"/>
    </row>
    <row r="12017" spans="1:14" s="2" customFormat="1">
      <c r="A12017" s="83"/>
      <c r="H12017" s="83"/>
      <c r="K12017" s="82"/>
      <c r="M12017" s="112"/>
      <c r="N12017" s="84"/>
    </row>
    <row r="12018" spans="1:14" s="2" customFormat="1">
      <c r="A12018" s="83"/>
      <c r="H12018" s="83"/>
      <c r="K12018" s="82"/>
      <c r="M12018" s="112"/>
      <c r="N12018" s="84"/>
    </row>
    <row r="12019" spans="1:14" s="2" customFormat="1">
      <c r="A12019" s="83"/>
      <c r="H12019" s="83"/>
      <c r="K12019" s="82"/>
      <c r="M12019" s="112"/>
      <c r="N12019" s="84"/>
    </row>
    <row r="12020" spans="1:14" s="2" customFormat="1">
      <c r="A12020" s="83"/>
      <c r="H12020" s="83"/>
      <c r="K12020" s="82"/>
      <c r="M12020" s="112"/>
      <c r="N12020" s="84"/>
    </row>
    <row r="12021" spans="1:14" s="2" customFormat="1">
      <c r="A12021" s="83"/>
      <c r="H12021" s="83"/>
      <c r="K12021" s="82"/>
      <c r="M12021" s="112"/>
      <c r="N12021" s="84"/>
    </row>
    <row r="12022" spans="1:14" s="2" customFormat="1">
      <c r="A12022" s="83"/>
      <c r="H12022" s="83"/>
      <c r="K12022" s="82"/>
      <c r="M12022" s="112"/>
      <c r="N12022" s="84"/>
    </row>
    <row r="12023" spans="1:14" s="2" customFormat="1">
      <c r="A12023" s="83"/>
      <c r="H12023" s="83"/>
      <c r="K12023" s="82"/>
      <c r="M12023" s="112"/>
      <c r="N12023" s="84"/>
    </row>
    <row r="12024" spans="1:14" s="2" customFormat="1">
      <c r="A12024" s="83"/>
      <c r="H12024" s="83"/>
      <c r="K12024" s="82"/>
      <c r="M12024" s="112"/>
      <c r="N12024" s="84"/>
    </row>
    <row r="12025" spans="1:14" s="2" customFormat="1">
      <c r="A12025" s="83"/>
      <c r="H12025" s="83"/>
      <c r="K12025" s="82"/>
      <c r="M12025" s="112"/>
      <c r="N12025" s="84"/>
    </row>
    <row r="12026" spans="1:14" s="2" customFormat="1">
      <c r="A12026" s="83"/>
      <c r="H12026" s="83"/>
      <c r="K12026" s="82"/>
      <c r="M12026" s="112"/>
      <c r="N12026" s="84"/>
    </row>
    <row r="12027" spans="1:14" s="2" customFormat="1">
      <c r="A12027" s="83"/>
      <c r="H12027" s="83"/>
      <c r="K12027" s="82"/>
      <c r="M12027" s="112"/>
      <c r="N12027" s="84"/>
    </row>
    <row r="12028" spans="1:14" s="2" customFormat="1">
      <c r="A12028" s="83"/>
      <c r="H12028" s="83"/>
      <c r="K12028" s="82"/>
      <c r="M12028" s="112"/>
      <c r="N12028" s="84"/>
    </row>
    <row r="12029" spans="1:14" s="2" customFormat="1">
      <c r="A12029" s="83"/>
      <c r="H12029" s="83"/>
      <c r="K12029" s="82"/>
      <c r="M12029" s="112"/>
      <c r="N12029" s="84"/>
    </row>
    <row r="12030" spans="1:14" s="2" customFormat="1">
      <c r="A12030" s="83"/>
      <c r="H12030" s="83"/>
      <c r="K12030" s="82"/>
      <c r="M12030" s="112"/>
      <c r="N12030" s="84"/>
    </row>
    <row r="12031" spans="1:14" s="2" customFormat="1">
      <c r="A12031" s="83"/>
      <c r="H12031" s="83"/>
      <c r="K12031" s="82"/>
      <c r="M12031" s="112"/>
      <c r="N12031" s="84"/>
    </row>
    <row r="12032" spans="1:14" s="2" customFormat="1">
      <c r="A12032" s="83"/>
      <c r="H12032" s="83"/>
      <c r="K12032" s="82"/>
      <c r="M12032" s="112"/>
      <c r="N12032" s="84"/>
    </row>
    <row r="12033" spans="1:14" s="2" customFormat="1">
      <c r="A12033" s="83"/>
      <c r="H12033" s="83"/>
      <c r="K12033" s="82"/>
      <c r="M12033" s="112"/>
      <c r="N12033" s="84"/>
    </row>
    <row r="12034" spans="1:14" s="2" customFormat="1">
      <c r="A12034" s="83"/>
      <c r="H12034" s="83"/>
      <c r="K12034" s="82"/>
      <c r="M12034" s="112"/>
      <c r="N12034" s="84"/>
    </row>
    <row r="12035" spans="1:14" s="2" customFormat="1">
      <c r="A12035" s="83"/>
      <c r="H12035" s="83"/>
      <c r="K12035" s="82"/>
      <c r="M12035" s="112"/>
      <c r="N12035" s="84"/>
    </row>
    <row r="12036" spans="1:14" s="2" customFormat="1">
      <c r="A12036" s="83"/>
      <c r="H12036" s="83"/>
      <c r="K12036" s="82"/>
      <c r="M12036" s="112"/>
      <c r="N12036" s="84"/>
    </row>
    <row r="12037" spans="1:14" s="2" customFormat="1">
      <c r="A12037" s="83"/>
      <c r="H12037" s="83"/>
      <c r="K12037" s="82"/>
      <c r="M12037" s="112"/>
      <c r="N12037" s="84"/>
    </row>
    <row r="12038" spans="1:14" s="2" customFormat="1">
      <c r="A12038" s="83"/>
      <c r="H12038" s="83"/>
      <c r="K12038" s="82"/>
      <c r="M12038" s="112"/>
      <c r="N12038" s="84"/>
    </row>
    <row r="12039" spans="1:14" s="2" customFormat="1">
      <c r="A12039" s="83"/>
      <c r="H12039" s="83"/>
      <c r="K12039" s="82"/>
      <c r="M12039" s="112"/>
      <c r="N12039" s="84"/>
    </row>
    <row r="12040" spans="1:14" s="2" customFormat="1">
      <c r="A12040" s="83"/>
      <c r="H12040" s="83"/>
      <c r="K12040" s="82"/>
      <c r="M12040" s="112"/>
      <c r="N12040" s="84"/>
    </row>
    <row r="12041" spans="1:14" s="2" customFormat="1">
      <c r="A12041" s="83"/>
      <c r="H12041" s="83"/>
      <c r="K12041" s="82"/>
      <c r="M12041" s="112"/>
      <c r="N12041" s="84"/>
    </row>
    <row r="12042" spans="1:14" s="2" customFormat="1">
      <c r="A12042" s="83"/>
      <c r="H12042" s="83"/>
      <c r="K12042" s="82"/>
      <c r="M12042" s="112"/>
      <c r="N12042" s="84"/>
    </row>
    <row r="12043" spans="1:14" s="2" customFormat="1">
      <c r="A12043" s="83"/>
      <c r="H12043" s="83"/>
      <c r="K12043" s="82"/>
      <c r="M12043" s="112"/>
      <c r="N12043" s="84"/>
    </row>
    <row r="12044" spans="1:14" s="2" customFormat="1">
      <c r="A12044" s="83"/>
      <c r="H12044" s="83"/>
      <c r="K12044" s="82"/>
      <c r="M12044" s="112"/>
      <c r="N12044" s="84"/>
    </row>
    <row r="12045" spans="1:14" s="2" customFormat="1">
      <c r="A12045" s="83"/>
      <c r="H12045" s="83"/>
      <c r="K12045" s="82"/>
      <c r="M12045" s="112"/>
      <c r="N12045" s="84"/>
    </row>
    <row r="12046" spans="1:14" s="2" customFormat="1">
      <c r="A12046" s="83"/>
      <c r="H12046" s="83"/>
      <c r="K12046" s="82"/>
      <c r="M12046" s="112"/>
      <c r="N12046" s="84"/>
    </row>
    <row r="12047" spans="1:14" s="2" customFormat="1">
      <c r="A12047" s="83"/>
      <c r="H12047" s="83"/>
      <c r="K12047" s="82"/>
      <c r="M12047" s="112"/>
      <c r="N12047" s="84"/>
    </row>
    <row r="12048" spans="1:14" s="2" customFormat="1">
      <c r="A12048" s="83"/>
      <c r="H12048" s="83"/>
      <c r="K12048" s="82"/>
      <c r="M12048" s="112"/>
      <c r="N12048" s="84"/>
    </row>
    <row r="12049" spans="1:14" s="2" customFormat="1">
      <c r="A12049" s="83"/>
      <c r="H12049" s="83"/>
      <c r="K12049" s="82"/>
      <c r="M12049" s="112"/>
      <c r="N12049" s="84"/>
    </row>
    <row r="12050" spans="1:14" s="2" customFormat="1">
      <c r="A12050" s="83"/>
      <c r="H12050" s="83"/>
      <c r="K12050" s="82"/>
      <c r="M12050" s="112"/>
      <c r="N12050" s="84"/>
    </row>
    <row r="12051" spans="1:14" s="2" customFormat="1">
      <c r="A12051" s="83"/>
      <c r="H12051" s="83"/>
      <c r="K12051" s="82"/>
      <c r="M12051" s="112"/>
      <c r="N12051" s="84"/>
    </row>
    <row r="12052" spans="1:14" s="2" customFormat="1">
      <c r="A12052" s="83"/>
      <c r="H12052" s="83"/>
      <c r="K12052" s="82"/>
      <c r="M12052" s="112"/>
      <c r="N12052" s="84"/>
    </row>
    <row r="12053" spans="1:14" s="2" customFormat="1">
      <c r="A12053" s="83"/>
      <c r="H12053" s="83"/>
      <c r="K12053" s="82"/>
      <c r="M12053" s="112"/>
      <c r="N12053" s="84"/>
    </row>
    <row r="12054" spans="1:14" s="2" customFormat="1">
      <c r="A12054" s="83"/>
      <c r="H12054" s="83"/>
      <c r="K12054" s="82"/>
      <c r="M12054" s="112"/>
      <c r="N12054" s="84"/>
    </row>
    <row r="12055" spans="1:14" s="2" customFormat="1">
      <c r="A12055" s="83"/>
      <c r="H12055" s="83"/>
      <c r="K12055" s="82"/>
      <c r="M12055" s="112"/>
      <c r="N12055" s="84"/>
    </row>
    <row r="12056" spans="1:14" s="2" customFormat="1">
      <c r="A12056" s="83"/>
      <c r="H12056" s="83"/>
      <c r="K12056" s="82"/>
      <c r="M12056" s="112"/>
      <c r="N12056" s="84"/>
    </row>
    <row r="12057" spans="1:14" s="2" customFormat="1">
      <c r="A12057" s="83"/>
      <c r="H12057" s="83"/>
      <c r="K12057" s="82"/>
      <c r="M12057" s="112"/>
      <c r="N12057" s="84"/>
    </row>
    <row r="12058" spans="1:14" s="2" customFormat="1">
      <c r="A12058" s="83"/>
      <c r="H12058" s="83"/>
      <c r="K12058" s="82"/>
      <c r="M12058" s="112"/>
      <c r="N12058" s="84"/>
    </row>
    <row r="12059" spans="1:14" s="2" customFormat="1">
      <c r="A12059" s="83"/>
      <c r="H12059" s="83"/>
      <c r="K12059" s="82"/>
      <c r="M12059" s="112"/>
      <c r="N12059" s="84"/>
    </row>
    <row r="12060" spans="1:14" s="2" customFormat="1">
      <c r="A12060" s="83"/>
      <c r="H12060" s="83"/>
      <c r="K12060" s="82"/>
      <c r="M12060" s="112"/>
      <c r="N12060" s="84"/>
    </row>
    <row r="12061" spans="1:14" s="2" customFormat="1">
      <c r="A12061" s="83"/>
      <c r="H12061" s="83"/>
      <c r="K12061" s="82"/>
      <c r="M12061" s="112"/>
      <c r="N12061" s="84"/>
    </row>
    <row r="12062" spans="1:14" s="2" customFormat="1">
      <c r="A12062" s="83"/>
      <c r="H12062" s="83"/>
      <c r="K12062" s="82"/>
      <c r="M12062" s="112"/>
      <c r="N12062" s="84"/>
    </row>
    <row r="12063" spans="1:14" s="2" customFormat="1">
      <c r="A12063" s="83"/>
      <c r="H12063" s="83"/>
      <c r="K12063" s="82"/>
      <c r="M12063" s="112"/>
      <c r="N12063" s="84"/>
    </row>
    <row r="12064" spans="1:14" s="2" customFormat="1">
      <c r="A12064" s="83"/>
      <c r="H12064" s="83"/>
      <c r="K12064" s="82"/>
      <c r="M12064" s="112"/>
      <c r="N12064" s="84"/>
    </row>
    <row r="12065" spans="1:14" s="2" customFormat="1">
      <c r="A12065" s="83"/>
      <c r="H12065" s="83"/>
      <c r="K12065" s="82"/>
      <c r="M12065" s="112"/>
      <c r="N12065" s="84"/>
    </row>
    <row r="12066" spans="1:14" s="2" customFormat="1">
      <c r="A12066" s="83"/>
      <c r="H12066" s="83"/>
      <c r="K12066" s="82"/>
      <c r="M12066" s="112"/>
      <c r="N12066" s="84"/>
    </row>
    <row r="12067" spans="1:14" s="2" customFormat="1">
      <c r="A12067" s="83"/>
      <c r="H12067" s="83"/>
      <c r="K12067" s="82"/>
      <c r="M12067" s="112"/>
      <c r="N12067" s="84"/>
    </row>
    <row r="12068" spans="1:14" s="2" customFormat="1">
      <c r="A12068" s="83"/>
      <c r="H12068" s="83"/>
      <c r="K12068" s="82"/>
      <c r="M12068" s="112"/>
      <c r="N12068" s="84"/>
    </row>
    <row r="12069" spans="1:14" s="2" customFormat="1">
      <c r="A12069" s="83"/>
      <c r="H12069" s="83"/>
      <c r="K12069" s="82"/>
      <c r="M12069" s="112"/>
      <c r="N12069" s="84"/>
    </row>
    <row r="12070" spans="1:14" s="2" customFormat="1">
      <c r="A12070" s="83"/>
      <c r="H12070" s="83"/>
      <c r="K12070" s="82"/>
      <c r="M12070" s="112"/>
      <c r="N12070" s="84"/>
    </row>
    <row r="12071" spans="1:14" s="2" customFormat="1">
      <c r="A12071" s="83"/>
      <c r="H12071" s="83"/>
      <c r="K12071" s="82"/>
      <c r="M12071" s="112"/>
      <c r="N12071" s="84"/>
    </row>
    <row r="12072" spans="1:14" s="2" customFormat="1">
      <c r="A12072" s="83"/>
      <c r="H12072" s="83"/>
      <c r="K12072" s="82"/>
      <c r="M12072" s="112"/>
      <c r="N12072" s="84"/>
    </row>
    <row r="12073" spans="1:14" s="2" customFormat="1">
      <c r="A12073" s="83"/>
      <c r="H12073" s="83"/>
      <c r="K12073" s="82"/>
      <c r="M12073" s="112"/>
      <c r="N12073" s="84"/>
    </row>
    <row r="12074" spans="1:14" s="2" customFormat="1">
      <c r="A12074" s="83"/>
      <c r="H12074" s="83"/>
      <c r="K12074" s="82"/>
      <c r="M12074" s="112"/>
      <c r="N12074" s="84"/>
    </row>
    <row r="12075" spans="1:14" s="2" customFormat="1">
      <c r="A12075" s="83"/>
      <c r="H12075" s="83"/>
      <c r="K12075" s="82"/>
      <c r="M12075" s="112"/>
      <c r="N12075" s="84"/>
    </row>
    <row r="12076" spans="1:14" s="2" customFormat="1">
      <c r="A12076" s="83"/>
      <c r="H12076" s="83"/>
      <c r="K12076" s="82"/>
      <c r="M12076" s="112"/>
      <c r="N12076" s="84"/>
    </row>
    <row r="12077" spans="1:14" s="2" customFormat="1">
      <c r="A12077" s="83"/>
      <c r="H12077" s="83"/>
      <c r="K12077" s="82"/>
      <c r="M12077" s="112"/>
      <c r="N12077" s="84"/>
    </row>
    <row r="12078" spans="1:14" s="2" customFormat="1">
      <c r="A12078" s="83"/>
      <c r="H12078" s="83"/>
      <c r="K12078" s="82"/>
      <c r="M12078" s="112"/>
      <c r="N12078" s="84"/>
    </row>
    <row r="12079" spans="1:14" s="2" customFormat="1">
      <c r="A12079" s="83"/>
      <c r="H12079" s="83"/>
      <c r="K12079" s="82"/>
      <c r="M12079" s="112"/>
      <c r="N12079" s="84"/>
    </row>
    <row r="12080" spans="1:14" s="2" customFormat="1">
      <c r="A12080" s="83"/>
      <c r="H12080" s="83"/>
      <c r="K12080" s="82"/>
      <c r="M12080" s="112"/>
      <c r="N12080" s="84"/>
    </row>
    <row r="12081" spans="1:14" s="2" customFormat="1">
      <c r="A12081" s="83"/>
      <c r="H12081" s="83"/>
      <c r="K12081" s="82"/>
      <c r="M12081" s="112"/>
      <c r="N12081" s="84"/>
    </row>
    <row r="12082" spans="1:14" s="2" customFormat="1">
      <c r="A12082" s="83"/>
      <c r="H12082" s="83"/>
      <c r="K12082" s="82"/>
      <c r="M12082" s="112"/>
      <c r="N12082" s="84"/>
    </row>
    <row r="12083" spans="1:14" s="2" customFormat="1">
      <c r="A12083" s="83"/>
      <c r="H12083" s="83"/>
      <c r="K12083" s="82"/>
      <c r="M12083" s="112"/>
      <c r="N12083" s="84"/>
    </row>
    <row r="12084" spans="1:14" s="2" customFormat="1">
      <c r="A12084" s="83"/>
      <c r="H12084" s="83"/>
      <c r="K12084" s="82"/>
      <c r="M12084" s="112"/>
      <c r="N12084" s="84"/>
    </row>
    <row r="12085" spans="1:14" s="2" customFormat="1">
      <c r="A12085" s="83"/>
      <c r="H12085" s="83"/>
      <c r="K12085" s="82"/>
      <c r="M12085" s="112"/>
      <c r="N12085" s="84"/>
    </row>
    <row r="12086" spans="1:14" s="2" customFormat="1">
      <c r="A12086" s="83"/>
      <c r="H12086" s="83"/>
      <c r="K12086" s="82"/>
      <c r="M12086" s="112"/>
      <c r="N12086" s="84"/>
    </row>
    <row r="12087" spans="1:14" s="2" customFormat="1">
      <c r="A12087" s="83"/>
      <c r="H12087" s="83"/>
      <c r="K12087" s="82"/>
      <c r="M12087" s="112"/>
      <c r="N12087" s="84"/>
    </row>
    <row r="12088" spans="1:14" s="2" customFormat="1">
      <c r="A12088" s="83"/>
      <c r="H12088" s="83"/>
      <c r="K12088" s="82"/>
      <c r="M12088" s="112"/>
      <c r="N12088" s="84"/>
    </row>
    <row r="12089" spans="1:14" s="2" customFormat="1">
      <c r="A12089" s="83"/>
      <c r="H12089" s="83"/>
      <c r="K12089" s="82"/>
      <c r="M12089" s="112"/>
      <c r="N12089" s="84"/>
    </row>
    <row r="12090" spans="1:14" s="2" customFormat="1">
      <c r="A12090" s="83"/>
      <c r="H12090" s="83"/>
      <c r="K12090" s="82"/>
      <c r="M12090" s="112"/>
      <c r="N12090" s="84"/>
    </row>
    <row r="12091" spans="1:14" s="2" customFormat="1">
      <c r="A12091" s="83"/>
      <c r="H12091" s="83"/>
      <c r="K12091" s="82"/>
      <c r="M12091" s="112"/>
      <c r="N12091" s="84"/>
    </row>
    <row r="12092" spans="1:14" s="2" customFormat="1">
      <c r="A12092" s="83"/>
      <c r="H12092" s="83"/>
      <c r="K12092" s="82"/>
      <c r="M12092" s="112"/>
      <c r="N12092" s="84"/>
    </row>
    <row r="12093" spans="1:14" s="2" customFormat="1">
      <c r="A12093" s="83"/>
      <c r="H12093" s="83"/>
      <c r="K12093" s="82"/>
      <c r="M12093" s="112"/>
      <c r="N12093" s="84"/>
    </row>
    <row r="12094" spans="1:14" s="2" customFormat="1">
      <c r="A12094" s="83"/>
      <c r="H12094" s="83"/>
      <c r="K12094" s="82"/>
      <c r="M12094" s="112"/>
      <c r="N12094" s="84"/>
    </row>
    <row r="12095" spans="1:14" s="2" customFormat="1">
      <c r="A12095" s="83"/>
      <c r="H12095" s="83"/>
      <c r="K12095" s="82"/>
      <c r="M12095" s="112"/>
      <c r="N12095" s="84"/>
    </row>
    <row r="12096" spans="1:14" s="2" customFormat="1">
      <c r="A12096" s="83"/>
      <c r="H12096" s="83"/>
      <c r="K12096" s="82"/>
      <c r="M12096" s="112"/>
      <c r="N12096" s="84"/>
    </row>
    <row r="12097" spans="1:14" s="2" customFormat="1">
      <c r="A12097" s="83"/>
      <c r="H12097" s="83"/>
      <c r="K12097" s="82"/>
      <c r="M12097" s="112"/>
      <c r="N12097" s="84"/>
    </row>
    <row r="12098" spans="1:14" s="2" customFormat="1">
      <c r="A12098" s="83"/>
      <c r="H12098" s="83"/>
      <c r="K12098" s="82"/>
      <c r="M12098" s="112"/>
      <c r="N12098" s="84"/>
    </row>
    <row r="12099" spans="1:14" s="2" customFormat="1">
      <c r="A12099" s="83"/>
      <c r="H12099" s="83"/>
      <c r="K12099" s="82"/>
      <c r="M12099" s="112"/>
      <c r="N12099" s="84"/>
    </row>
    <row r="12100" spans="1:14" s="2" customFormat="1">
      <c r="A12100" s="83"/>
      <c r="H12100" s="83"/>
      <c r="K12100" s="82"/>
      <c r="M12100" s="112"/>
      <c r="N12100" s="84"/>
    </row>
    <row r="12101" spans="1:14" s="2" customFormat="1">
      <c r="A12101" s="83"/>
      <c r="H12101" s="83"/>
      <c r="K12101" s="82"/>
      <c r="M12101" s="112"/>
      <c r="N12101" s="84"/>
    </row>
    <row r="12102" spans="1:14" s="2" customFormat="1">
      <c r="A12102" s="83"/>
      <c r="H12102" s="83"/>
      <c r="K12102" s="82"/>
      <c r="M12102" s="112"/>
      <c r="N12102" s="84"/>
    </row>
    <row r="12103" spans="1:14" s="2" customFormat="1">
      <c r="A12103" s="83"/>
      <c r="H12103" s="83"/>
      <c r="K12103" s="82"/>
      <c r="M12103" s="112"/>
      <c r="N12103" s="84"/>
    </row>
    <row r="12104" spans="1:14" s="2" customFormat="1">
      <c r="A12104" s="83"/>
      <c r="H12104" s="83"/>
      <c r="K12104" s="82"/>
      <c r="M12104" s="112"/>
      <c r="N12104" s="84"/>
    </row>
    <row r="12105" spans="1:14" s="2" customFormat="1">
      <c r="A12105" s="83"/>
      <c r="H12105" s="83"/>
      <c r="K12105" s="82"/>
      <c r="M12105" s="112"/>
      <c r="N12105" s="84"/>
    </row>
    <row r="12106" spans="1:14" s="2" customFormat="1">
      <c r="A12106" s="83"/>
      <c r="H12106" s="83"/>
      <c r="K12106" s="82"/>
      <c r="M12106" s="112"/>
      <c r="N12106" s="84"/>
    </row>
    <row r="12107" spans="1:14" s="2" customFormat="1">
      <c r="A12107" s="83"/>
      <c r="H12107" s="83"/>
      <c r="K12107" s="82"/>
      <c r="M12107" s="112"/>
      <c r="N12107" s="84"/>
    </row>
    <row r="12108" spans="1:14" s="2" customFormat="1">
      <c r="A12108" s="83"/>
      <c r="H12108" s="83"/>
      <c r="K12108" s="82"/>
      <c r="M12108" s="112"/>
      <c r="N12108" s="84"/>
    </row>
    <row r="12109" spans="1:14" s="2" customFormat="1">
      <c r="A12109" s="83"/>
      <c r="H12109" s="83"/>
      <c r="K12109" s="82"/>
      <c r="M12109" s="112"/>
      <c r="N12109" s="84"/>
    </row>
    <row r="12110" spans="1:14" s="2" customFormat="1">
      <c r="A12110" s="83"/>
      <c r="H12110" s="83"/>
      <c r="K12110" s="82"/>
      <c r="M12110" s="112"/>
      <c r="N12110" s="84"/>
    </row>
    <row r="12111" spans="1:14" s="2" customFormat="1">
      <c r="A12111" s="83"/>
      <c r="H12111" s="83"/>
      <c r="K12111" s="82"/>
      <c r="M12111" s="112"/>
      <c r="N12111" s="84"/>
    </row>
    <row r="12112" spans="1:14" s="2" customFormat="1">
      <c r="A12112" s="83"/>
      <c r="H12112" s="83"/>
      <c r="K12112" s="82"/>
      <c r="M12112" s="112"/>
      <c r="N12112" s="84"/>
    </row>
    <row r="12113" spans="1:14" s="2" customFormat="1">
      <c r="A12113" s="83"/>
      <c r="H12113" s="83"/>
      <c r="K12113" s="82"/>
      <c r="M12113" s="112"/>
      <c r="N12113" s="84"/>
    </row>
    <row r="12114" spans="1:14" s="2" customFormat="1">
      <c r="A12114" s="83"/>
      <c r="H12114" s="83"/>
      <c r="K12114" s="82"/>
      <c r="M12114" s="112"/>
      <c r="N12114" s="84"/>
    </row>
    <row r="12115" spans="1:14" s="2" customFormat="1">
      <c r="A12115" s="83"/>
      <c r="H12115" s="83"/>
      <c r="K12115" s="82"/>
      <c r="M12115" s="112"/>
      <c r="N12115" s="84"/>
    </row>
    <row r="12116" spans="1:14" s="2" customFormat="1">
      <c r="A12116" s="83"/>
      <c r="H12116" s="83"/>
      <c r="K12116" s="82"/>
      <c r="M12116" s="112"/>
      <c r="N12116" s="84"/>
    </row>
    <row r="12117" spans="1:14" s="2" customFormat="1">
      <c r="A12117" s="83"/>
      <c r="H12117" s="83"/>
      <c r="K12117" s="82"/>
      <c r="M12117" s="112"/>
      <c r="N12117" s="84"/>
    </row>
    <row r="12118" spans="1:14" s="2" customFormat="1">
      <c r="A12118" s="83"/>
      <c r="H12118" s="83"/>
      <c r="K12118" s="82"/>
      <c r="M12118" s="112"/>
      <c r="N12118" s="84"/>
    </row>
    <row r="12119" spans="1:14" s="2" customFormat="1">
      <c r="A12119" s="83"/>
      <c r="H12119" s="83"/>
      <c r="K12119" s="82"/>
      <c r="M12119" s="112"/>
      <c r="N12119" s="84"/>
    </row>
    <row r="12120" spans="1:14" s="2" customFormat="1">
      <c r="A12120" s="83"/>
      <c r="H12120" s="83"/>
      <c r="K12120" s="82"/>
      <c r="M12120" s="112"/>
      <c r="N12120" s="84"/>
    </row>
    <row r="12121" spans="1:14" s="2" customFormat="1">
      <c r="A12121" s="83"/>
      <c r="H12121" s="83"/>
      <c r="K12121" s="82"/>
      <c r="M12121" s="112"/>
      <c r="N12121" s="84"/>
    </row>
    <row r="12122" spans="1:14" s="2" customFormat="1">
      <c r="A12122" s="83"/>
      <c r="H12122" s="83"/>
      <c r="K12122" s="82"/>
      <c r="M12122" s="112"/>
      <c r="N12122" s="84"/>
    </row>
    <row r="12123" spans="1:14" s="2" customFormat="1">
      <c r="A12123" s="83"/>
      <c r="H12123" s="83"/>
      <c r="K12123" s="82"/>
      <c r="M12123" s="112"/>
      <c r="N12123" s="84"/>
    </row>
    <row r="12124" spans="1:14" s="2" customFormat="1">
      <c r="A12124" s="83"/>
      <c r="H12124" s="83"/>
      <c r="K12124" s="82"/>
      <c r="M12124" s="112"/>
      <c r="N12124" s="84"/>
    </row>
    <row r="12125" spans="1:14" s="2" customFormat="1">
      <c r="A12125" s="83"/>
      <c r="H12125" s="83"/>
      <c r="K12125" s="82"/>
      <c r="M12125" s="112"/>
      <c r="N12125" s="84"/>
    </row>
    <row r="12126" spans="1:14" s="2" customFormat="1">
      <c r="A12126" s="83"/>
      <c r="H12126" s="83"/>
      <c r="K12126" s="82"/>
      <c r="M12126" s="112"/>
      <c r="N12126" s="84"/>
    </row>
    <row r="12127" spans="1:14" s="2" customFormat="1">
      <c r="A12127" s="83"/>
      <c r="H12127" s="83"/>
      <c r="K12127" s="82"/>
      <c r="M12127" s="112"/>
      <c r="N12127" s="84"/>
    </row>
    <row r="12128" spans="1:14" s="2" customFormat="1">
      <c r="A12128" s="83"/>
      <c r="H12128" s="83"/>
      <c r="K12128" s="82"/>
      <c r="M12128" s="112"/>
      <c r="N12128" s="84"/>
    </row>
    <row r="12129" spans="1:14" s="2" customFormat="1">
      <c r="A12129" s="83"/>
      <c r="H12129" s="83"/>
      <c r="K12129" s="82"/>
      <c r="M12129" s="112"/>
      <c r="N12129" s="84"/>
    </row>
    <row r="12130" spans="1:14" s="2" customFormat="1">
      <c r="A12130" s="83"/>
      <c r="H12130" s="83"/>
      <c r="K12130" s="82"/>
      <c r="M12130" s="112"/>
      <c r="N12130" s="84"/>
    </row>
    <row r="12131" spans="1:14" s="2" customFormat="1">
      <c r="A12131" s="83"/>
      <c r="H12131" s="83"/>
      <c r="K12131" s="82"/>
      <c r="M12131" s="112"/>
      <c r="N12131" s="84"/>
    </row>
    <row r="12132" spans="1:14" s="2" customFormat="1">
      <c r="A12132" s="83"/>
      <c r="H12132" s="83"/>
      <c r="K12132" s="82"/>
      <c r="M12132" s="112"/>
      <c r="N12132" s="84"/>
    </row>
    <row r="12133" spans="1:14" s="2" customFormat="1">
      <c r="A12133" s="83"/>
      <c r="H12133" s="83"/>
      <c r="K12133" s="82"/>
      <c r="M12133" s="112"/>
      <c r="N12133" s="84"/>
    </row>
    <row r="12134" spans="1:14" s="2" customFormat="1">
      <c r="A12134" s="83"/>
      <c r="H12134" s="83"/>
      <c r="K12134" s="82"/>
      <c r="M12134" s="112"/>
      <c r="N12134" s="84"/>
    </row>
    <row r="12135" spans="1:14" s="2" customFormat="1">
      <c r="A12135" s="83"/>
      <c r="H12135" s="83"/>
      <c r="K12135" s="82"/>
      <c r="M12135" s="112"/>
      <c r="N12135" s="84"/>
    </row>
    <row r="12136" spans="1:14" s="2" customFormat="1">
      <c r="A12136" s="83"/>
      <c r="H12136" s="83"/>
      <c r="K12136" s="82"/>
      <c r="M12136" s="112"/>
      <c r="N12136" s="84"/>
    </row>
    <row r="12137" spans="1:14" s="2" customFormat="1">
      <c r="A12137" s="83"/>
      <c r="H12137" s="83"/>
      <c r="K12137" s="82"/>
      <c r="M12137" s="112"/>
      <c r="N12137" s="84"/>
    </row>
    <row r="12138" spans="1:14" s="2" customFormat="1">
      <c r="A12138" s="83"/>
      <c r="H12138" s="83"/>
      <c r="K12138" s="82"/>
      <c r="M12138" s="112"/>
      <c r="N12138" s="84"/>
    </row>
    <row r="12139" spans="1:14" s="2" customFormat="1">
      <c r="A12139" s="83"/>
      <c r="H12139" s="83"/>
      <c r="K12139" s="82"/>
      <c r="M12139" s="112"/>
      <c r="N12139" s="84"/>
    </row>
    <row r="12140" spans="1:14" s="2" customFormat="1">
      <c r="A12140" s="83"/>
      <c r="H12140" s="83"/>
      <c r="K12140" s="82"/>
      <c r="M12140" s="112"/>
      <c r="N12140" s="84"/>
    </row>
    <row r="12141" spans="1:14" s="2" customFormat="1">
      <c r="A12141" s="83"/>
      <c r="H12141" s="83"/>
      <c r="K12141" s="82"/>
      <c r="M12141" s="112"/>
      <c r="N12141" s="84"/>
    </row>
    <row r="12142" spans="1:14" s="2" customFormat="1">
      <c r="A12142" s="83"/>
      <c r="H12142" s="83"/>
      <c r="K12142" s="82"/>
      <c r="M12142" s="112"/>
      <c r="N12142" s="84"/>
    </row>
    <row r="12143" spans="1:14" s="2" customFormat="1">
      <c r="A12143" s="83"/>
      <c r="H12143" s="83"/>
      <c r="K12143" s="82"/>
      <c r="M12143" s="112"/>
      <c r="N12143" s="84"/>
    </row>
    <row r="12144" spans="1:14" s="2" customFormat="1">
      <c r="A12144" s="83"/>
      <c r="H12144" s="83"/>
      <c r="K12144" s="82"/>
      <c r="M12144" s="112"/>
      <c r="N12144" s="84"/>
    </row>
    <row r="12145" spans="1:14" s="2" customFormat="1">
      <c r="A12145" s="83"/>
      <c r="H12145" s="83"/>
      <c r="K12145" s="82"/>
      <c r="M12145" s="112"/>
      <c r="N12145" s="84"/>
    </row>
    <row r="12146" spans="1:14" s="2" customFormat="1">
      <c r="A12146" s="83"/>
      <c r="H12146" s="83"/>
      <c r="K12146" s="82"/>
      <c r="M12146" s="112"/>
      <c r="N12146" s="84"/>
    </row>
    <row r="12147" spans="1:14" s="2" customFormat="1">
      <c r="A12147" s="83"/>
      <c r="H12147" s="83"/>
      <c r="K12147" s="82"/>
      <c r="M12147" s="112"/>
      <c r="N12147" s="84"/>
    </row>
    <row r="12148" spans="1:14" s="2" customFormat="1">
      <c r="A12148" s="83"/>
      <c r="H12148" s="83"/>
      <c r="K12148" s="82"/>
      <c r="M12148" s="112"/>
      <c r="N12148" s="84"/>
    </row>
    <row r="12149" spans="1:14" s="2" customFormat="1">
      <c r="A12149" s="83"/>
      <c r="H12149" s="83"/>
      <c r="K12149" s="82"/>
      <c r="M12149" s="112"/>
      <c r="N12149" s="84"/>
    </row>
    <row r="12150" spans="1:14" s="2" customFormat="1">
      <c r="A12150" s="83"/>
      <c r="H12150" s="83"/>
      <c r="K12150" s="82"/>
      <c r="M12150" s="112"/>
      <c r="N12150" s="84"/>
    </row>
    <row r="12151" spans="1:14" s="2" customFormat="1">
      <c r="A12151" s="83"/>
      <c r="H12151" s="83"/>
      <c r="K12151" s="82"/>
      <c r="M12151" s="112"/>
      <c r="N12151" s="84"/>
    </row>
    <row r="12152" spans="1:14" s="2" customFormat="1">
      <c r="A12152" s="83"/>
      <c r="H12152" s="83"/>
      <c r="K12152" s="82"/>
      <c r="M12152" s="112"/>
      <c r="N12152" s="84"/>
    </row>
    <row r="12153" spans="1:14" s="2" customFormat="1">
      <c r="A12153" s="83"/>
      <c r="H12153" s="83"/>
      <c r="K12153" s="82"/>
      <c r="M12153" s="112"/>
      <c r="N12153" s="84"/>
    </row>
    <row r="12154" spans="1:14" s="2" customFormat="1">
      <c r="A12154" s="83"/>
      <c r="H12154" s="83"/>
      <c r="K12154" s="82"/>
      <c r="M12154" s="112"/>
      <c r="N12154" s="84"/>
    </row>
    <row r="12155" spans="1:14" s="2" customFormat="1">
      <c r="A12155" s="83"/>
      <c r="H12155" s="83"/>
      <c r="K12155" s="82"/>
      <c r="M12155" s="112"/>
      <c r="N12155" s="84"/>
    </row>
    <row r="12156" spans="1:14" s="2" customFormat="1">
      <c r="A12156" s="83"/>
      <c r="H12156" s="83"/>
      <c r="K12156" s="82"/>
      <c r="M12156" s="112"/>
      <c r="N12156" s="84"/>
    </row>
    <row r="12157" spans="1:14" s="2" customFormat="1">
      <c r="A12157" s="83"/>
      <c r="H12157" s="83"/>
      <c r="K12157" s="82"/>
      <c r="M12157" s="112"/>
      <c r="N12157" s="84"/>
    </row>
    <row r="12158" spans="1:14" s="2" customFormat="1">
      <c r="A12158" s="83"/>
      <c r="H12158" s="83"/>
      <c r="K12158" s="82"/>
      <c r="M12158" s="112"/>
      <c r="N12158" s="84"/>
    </row>
    <row r="12159" spans="1:14" s="2" customFormat="1">
      <c r="A12159" s="83"/>
      <c r="H12159" s="83"/>
      <c r="K12159" s="82"/>
      <c r="M12159" s="112"/>
      <c r="N12159" s="84"/>
    </row>
    <row r="12160" spans="1:14" s="2" customFormat="1">
      <c r="A12160" s="83"/>
      <c r="H12160" s="83"/>
      <c r="K12160" s="82"/>
      <c r="M12160" s="112"/>
      <c r="N12160" s="84"/>
    </row>
    <row r="12161" spans="1:14" s="2" customFormat="1">
      <c r="A12161" s="83"/>
      <c r="H12161" s="83"/>
      <c r="K12161" s="82"/>
      <c r="M12161" s="112"/>
      <c r="N12161" s="84"/>
    </row>
    <row r="12162" spans="1:14" s="2" customFormat="1">
      <c r="A12162" s="83"/>
      <c r="H12162" s="83"/>
      <c r="K12162" s="82"/>
      <c r="M12162" s="112"/>
      <c r="N12162" s="84"/>
    </row>
    <row r="12163" spans="1:14" s="2" customFormat="1">
      <c r="A12163" s="83"/>
      <c r="H12163" s="83"/>
      <c r="K12163" s="82"/>
      <c r="M12163" s="112"/>
      <c r="N12163" s="84"/>
    </row>
    <row r="12164" spans="1:14" s="2" customFormat="1">
      <c r="A12164" s="83"/>
      <c r="H12164" s="83"/>
      <c r="K12164" s="82"/>
      <c r="M12164" s="112"/>
      <c r="N12164" s="84"/>
    </row>
    <row r="12165" spans="1:14" s="2" customFormat="1">
      <c r="A12165" s="83"/>
      <c r="H12165" s="83"/>
      <c r="K12165" s="82"/>
      <c r="M12165" s="112"/>
      <c r="N12165" s="84"/>
    </row>
    <row r="12166" spans="1:14" s="2" customFormat="1">
      <c r="A12166" s="83"/>
      <c r="H12166" s="83"/>
      <c r="K12166" s="82"/>
      <c r="M12166" s="112"/>
      <c r="N12166" s="84"/>
    </row>
    <row r="12167" spans="1:14" s="2" customFormat="1">
      <c r="A12167" s="83"/>
      <c r="H12167" s="83"/>
      <c r="K12167" s="82"/>
      <c r="M12167" s="112"/>
      <c r="N12167" s="84"/>
    </row>
    <row r="12168" spans="1:14" s="2" customFormat="1">
      <c r="A12168" s="83"/>
      <c r="H12168" s="83"/>
      <c r="K12168" s="82"/>
      <c r="M12168" s="112"/>
      <c r="N12168" s="84"/>
    </row>
    <row r="12169" spans="1:14" s="2" customFormat="1">
      <c r="A12169" s="83"/>
      <c r="H12169" s="83"/>
      <c r="K12169" s="82"/>
      <c r="M12169" s="112"/>
      <c r="N12169" s="84"/>
    </row>
    <row r="12170" spans="1:14" s="2" customFormat="1">
      <c r="A12170" s="83"/>
      <c r="H12170" s="83"/>
      <c r="K12170" s="82"/>
      <c r="M12170" s="112"/>
      <c r="N12170" s="84"/>
    </row>
    <row r="12171" spans="1:14" s="2" customFormat="1">
      <c r="A12171" s="83"/>
      <c r="H12171" s="83"/>
      <c r="K12171" s="82"/>
      <c r="M12171" s="112"/>
      <c r="N12171" s="84"/>
    </row>
    <row r="12172" spans="1:14" s="2" customFormat="1">
      <c r="A12172" s="83"/>
      <c r="H12172" s="83"/>
      <c r="K12172" s="82"/>
      <c r="M12172" s="112"/>
      <c r="N12172" s="84"/>
    </row>
    <row r="12173" spans="1:14" s="2" customFormat="1">
      <c r="A12173" s="83"/>
      <c r="H12173" s="83"/>
      <c r="K12173" s="82"/>
      <c r="M12173" s="112"/>
      <c r="N12173" s="84"/>
    </row>
    <row r="12174" spans="1:14" s="2" customFormat="1">
      <c r="A12174" s="83"/>
      <c r="H12174" s="83"/>
      <c r="K12174" s="82"/>
      <c r="M12174" s="112"/>
      <c r="N12174" s="84"/>
    </row>
    <row r="12175" spans="1:14" s="2" customFormat="1">
      <c r="A12175" s="83"/>
      <c r="H12175" s="83"/>
      <c r="K12175" s="82"/>
      <c r="M12175" s="112"/>
      <c r="N12175" s="84"/>
    </row>
    <row r="12176" spans="1:14" s="2" customFormat="1">
      <c r="A12176" s="83"/>
      <c r="H12176" s="83"/>
      <c r="K12176" s="82"/>
      <c r="M12176" s="112"/>
      <c r="N12176" s="84"/>
    </row>
    <row r="12177" spans="1:14" s="2" customFormat="1">
      <c r="A12177" s="83"/>
      <c r="H12177" s="83"/>
      <c r="K12177" s="82"/>
      <c r="M12177" s="112"/>
      <c r="N12177" s="84"/>
    </row>
    <row r="12178" spans="1:14" s="2" customFormat="1">
      <c r="A12178" s="83"/>
      <c r="H12178" s="83"/>
      <c r="K12178" s="82"/>
      <c r="M12178" s="112"/>
      <c r="N12178" s="84"/>
    </row>
    <row r="12179" spans="1:14" s="2" customFormat="1">
      <c r="A12179" s="83"/>
      <c r="H12179" s="83"/>
      <c r="K12179" s="82"/>
      <c r="M12179" s="112"/>
      <c r="N12179" s="84"/>
    </row>
    <row r="12180" spans="1:14" s="2" customFormat="1">
      <c r="A12180" s="83"/>
      <c r="H12180" s="83"/>
      <c r="K12180" s="82"/>
      <c r="M12180" s="112"/>
      <c r="N12180" s="84"/>
    </row>
    <row r="12181" spans="1:14" s="2" customFormat="1">
      <c r="A12181" s="83"/>
      <c r="H12181" s="83"/>
      <c r="K12181" s="82"/>
      <c r="M12181" s="112"/>
      <c r="N12181" s="84"/>
    </row>
    <row r="12182" spans="1:14" s="2" customFormat="1">
      <c r="A12182" s="83"/>
      <c r="H12182" s="83"/>
      <c r="K12182" s="82"/>
      <c r="M12182" s="112"/>
      <c r="N12182" s="84"/>
    </row>
    <row r="12183" spans="1:14" s="2" customFormat="1">
      <c r="A12183" s="83"/>
      <c r="H12183" s="83"/>
      <c r="K12183" s="82"/>
      <c r="M12183" s="112"/>
      <c r="N12183" s="84"/>
    </row>
    <row r="12184" spans="1:14" s="2" customFormat="1">
      <c r="A12184" s="83"/>
      <c r="H12184" s="83"/>
      <c r="K12184" s="82"/>
      <c r="M12184" s="112"/>
      <c r="N12184" s="84"/>
    </row>
    <row r="12185" spans="1:14" s="2" customFormat="1">
      <c r="A12185" s="83"/>
      <c r="H12185" s="83"/>
      <c r="K12185" s="82"/>
      <c r="M12185" s="112"/>
      <c r="N12185" s="84"/>
    </row>
    <row r="12186" spans="1:14" s="2" customFormat="1">
      <c r="A12186" s="83"/>
      <c r="H12186" s="83"/>
      <c r="K12186" s="82"/>
      <c r="M12186" s="112"/>
      <c r="N12186" s="84"/>
    </row>
    <row r="12187" spans="1:14" s="2" customFormat="1">
      <c r="A12187" s="83"/>
      <c r="H12187" s="83"/>
      <c r="K12187" s="82"/>
      <c r="M12187" s="112"/>
      <c r="N12187" s="84"/>
    </row>
    <row r="12188" spans="1:14" s="2" customFormat="1">
      <c r="A12188" s="83"/>
      <c r="H12188" s="83"/>
      <c r="K12188" s="82"/>
      <c r="M12188" s="112"/>
      <c r="N12188" s="84"/>
    </row>
    <row r="12189" spans="1:14" s="2" customFormat="1">
      <c r="A12189" s="83"/>
      <c r="H12189" s="83"/>
      <c r="K12189" s="82"/>
      <c r="M12189" s="112"/>
      <c r="N12189" s="84"/>
    </row>
    <row r="12190" spans="1:14" s="2" customFormat="1">
      <c r="A12190" s="83"/>
      <c r="H12190" s="83"/>
      <c r="K12190" s="82"/>
      <c r="M12190" s="112"/>
      <c r="N12190" s="84"/>
    </row>
    <row r="12191" spans="1:14" s="2" customFormat="1">
      <c r="A12191" s="83"/>
      <c r="H12191" s="83"/>
      <c r="K12191" s="82"/>
      <c r="M12191" s="112"/>
      <c r="N12191" s="84"/>
    </row>
    <row r="12192" spans="1:14" s="2" customFormat="1">
      <c r="A12192" s="83"/>
      <c r="H12192" s="83"/>
      <c r="K12192" s="82"/>
      <c r="M12192" s="112"/>
      <c r="N12192" s="84"/>
    </row>
    <row r="12193" spans="1:14" s="2" customFormat="1">
      <c r="A12193" s="83"/>
      <c r="H12193" s="83"/>
      <c r="K12193" s="82"/>
      <c r="M12193" s="112"/>
      <c r="N12193" s="84"/>
    </row>
    <row r="12194" spans="1:14" s="2" customFormat="1">
      <c r="A12194" s="83"/>
      <c r="H12194" s="83"/>
      <c r="K12194" s="82"/>
      <c r="M12194" s="112"/>
      <c r="N12194" s="84"/>
    </row>
    <row r="12195" spans="1:14" s="2" customFormat="1">
      <c r="A12195" s="83"/>
      <c r="H12195" s="83"/>
      <c r="K12195" s="82"/>
      <c r="M12195" s="112"/>
      <c r="N12195" s="84"/>
    </row>
    <row r="12196" spans="1:14" s="2" customFormat="1">
      <c r="A12196" s="83"/>
      <c r="H12196" s="83"/>
      <c r="K12196" s="82"/>
      <c r="M12196" s="112"/>
      <c r="N12196" s="84"/>
    </row>
    <row r="12197" spans="1:14" s="2" customFormat="1">
      <c r="A12197" s="83"/>
      <c r="H12197" s="83"/>
      <c r="K12197" s="82"/>
      <c r="M12197" s="112"/>
      <c r="N12197" s="84"/>
    </row>
    <row r="12198" spans="1:14" s="2" customFormat="1">
      <c r="A12198" s="83"/>
      <c r="H12198" s="83"/>
      <c r="K12198" s="82"/>
      <c r="M12198" s="112"/>
      <c r="N12198" s="84"/>
    </row>
    <row r="12199" spans="1:14" s="2" customFormat="1">
      <c r="A12199" s="83"/>
      <c r="H12199" s="83"/>
      <c r="K12199" s="82"/>
      <c r="M12199" s="112"/>
      <c r="N12199" s="84"/>
    </row>
    <row r="12200" spans="1:14" s="2" customFormat="1">
      <c r="A12200" s="83"/>
      <c r="H12200" s="83"/>
      <c r="K12200" s="82"/>
      <c r="M12200" s="112"/>
      <c r="N12200" s="84"/>
    </row>
    <row r="12201" spans="1:14" s="2" customFormat="1">
      <c r="A12201" s="83"/>
      <c r="H12201" s="83"/>
      <c r="K12201" s="82"/>
      <c r="M12201" s="112"/>
      <c r="N12201" s="84"/>
    </row>
    <row r="12202" spans="1:14" s="2" customFormat="1">
      <c r="A12202" s="83"/>
      <c r="H12202" s="83"/>
      <c r="K12202" s="82"/>
      <c r="M12202" s="112"/>
      <c r="N12202" s="84"/>
    </row>
    <row r="12203" spans="1:14" s="2" customFormat="1">
      <c r="A12203" s="83"/>
      <c r="H12203" s="83"/>
      <c r="K12203" s="82"/>
      <c r="M12203" s="112"/>
      <c r="N12203" s="84"/>
    </row>
    <row r="12204" spans="1:14" s="2" customFormat="1">
      <c r="A12204" s="83"/>
      <c r="H12204" s="83"/>
      <c r="K12204" s="82"/>
      <c r="M12204" s="112"/>
      <c r="N12204" s="84"/>
    </row>
    <row r="12205" spans="1:14" s="2" customFormat="1">
      <c r="A12205" s="83"/>
      <c r="H12205" s="83"/>
      <c r="K12205" s="82"/>
      <c r="M12205" s="112"/>
      <c r="N12205" s="84"/>
    </row>
    <row r="12206" spans="1:14" s="2" customFormat="1">
      <c r="A12206" s="83"/>
      <c r="H12206" s="83"/>
      <c r="K12206" s="82"/>
      <c r="M12206" s="112"/>
      <c r="N12206" s="84"/>
    </row>
    <row r="12207" spans="1:14" s="2" customFormat="1">
      <c r="A12207" s="83"/>
      <c r="H12207" s="83"/>
      <c r="K12207" s="82"/>
      <c r="M12207" s="112"/>
      <c r="N12207" s="84"/>
    </row>
    <row r="12208" spans="1:14" s="2" customFormat="1">
      <c r="A12208" s="83"/>
      <c r="H12208" s="83"/>
      <c r="K12208" s="82"/>
      <c r="M12208" s="112"/>
      <c r="N12208" s="84"/>
    </row>
    <row r="12209" spans="1:14" s="2" customFormat="1">
      <c r="A12209" s="83"/>
      <c r="H12209" s="83"/>
      <c r="K12209" s="82"/>
      <c r="M12209" s="112"/>
      <c r="N12209" s="84"/>
    </row>
    <row r="12210" spans="1:14" s="2" customFormat="1">
      <c r="A12210" s="83"/>
      <c r="H12210" s="83"/>
      <c r="K12210" s="82"/>
      <c r="M12210" s="112"/>
      <c r="N12210" s="84"/>
    </row>
    <row r="12211" spans="1:14" s="2" customFormat="1">
      <c r="A12211" s="83"/>
      <c r="H12211" s="83"/>
      <c r="K12211" s="82"/>
      <c r="M12211" s="112"/>
      <c r="N12211" s="84"/>
    </row>
    <row r="12212" spans="1:14" s="2" customFormat="1">
      <c r="A12212" s="83"/>
      <c r="H12212" s="83"/>
      <c r="K12212" s="82"/>
      <c r="M12212" s="112"/>
      <c r="N12212" s="84"/>
    </row>
    <row r="12213" spans="1:14" s="2" customFormat="1">
      <c r="A12213" s="83"/>
      <c r="H12213" s="83"/>
      <c r="K12213" s="82"/>
      <c r="M12213" s="112"/>
      <c r="N12213" s="84"/>
    </row>
    <row r="12214" spans="1:14" s="2" customFormat="1">
      <c r="A12214" s="83"/>
      <c r="H12214" s="83"/>
      <c r="K12214" s="82"/>
      <c r="M12214" s="112"/>
      <c r="N12214" s="84"/>
    </row>
    <row r="12215" spans="1:14" s="2" customFormat="1">
      <c r="A12215" s="83"/>
      <c r="H12215" s="83"/>
      <c r="K12215" s="82"/>
      <c r="M12215" s="112"/>
      <c r="N12215" s="84"/>
    </row>
    <row r="12216" spans="1:14" s="2" customFormat="1">
      <c r="A12216" s="83"/>
      <c r="H12216" s="83"/>
      <c r="K12216" s="82"/>
      <c r="M12216" s="112"/>
      <c r="N12216" s="84"/>
    </row>
    <row r="12217" spans="1:14" s="2" customFormat="1">
      <c r="A12217" s="83"/>
      <c r="H12217" s="83"/>
      <c r="K12217" s="82"/>
      <c r="M12217" s="112"/>
      <c r="N12217" s="84"/>
    </row>
    <row r="12218" spans="1:14" s="2" customFormat="1">
      <c r="A12218" s="83"/>
      <c r="H12218" s="83"/>
      <c r="K12218" s="82"/>
      <c r="M12218" s="112"/>
      <c r="N12218" s="84"/>
    </row>
    <row r="12219" spans="1:14" s="2" customFormat="1">
      <c r="A12219" s="83"/>
      <c r="H12219" s="83"/>
      <c r="K12219" s="82"/>
      <c r="M12219" s="112"/>
      <c r="N12219" s="84"/>
    </row>
    <row r="12220" spans="1:14" s="2" customFormat="1">
      <c r="A12220" s="83"/>
      <c r="H12220" s="83"/>
      <c r="K12220" s="82"/>
      <c r="M12220" s="112"/>
      <c r="N12220" s="84"/>
    </row>
    <row r="12221" spans="1:14" s="2" customFormat="1">
      <c r="A12221" s="83"/>
      <c r="H12221" s="83"/>
      <c r="K12221" s="82"/>
      <c r="M12221" s="112"/>
      <c r="N12221" s="84"/>
    </row>
    <row r="12222" spans="1:14" s="2" customFormat="1">
      <c r="A12222" s="83"/>
      <c r="H12222" s="83"/>
      <c r="K12222" s="82"/>
      <c r="M12222" s="112"/>
      <c r="N12222" s="84"/>
    </row>
    <row r="12223" spans="1:14" s="2" customFormat="1">
      <c r="A12223" s="83"/>
      <c r="H12223" s="83"/>
      <c r="K12223" s="82"/>
      <c r="M12223" s="112"/>
      <c r="N12223" s="84"/>
    </row>
    <row r="12224" spans="1:14" s="2" customFormat="1">
      <c r="A12224" s="83"/>
      <c r="H12224" s="83"/>
      <c r="K12224" s="82"/>
      <c r="M12224" s="112"/>
      <c r="N12224" s="84"/>
    </row>
    <row r="12225" spans="1:14" s="2" customFormat="1">
      <c r="A12225" s="83"/>
      <c r="H12225" s="83"/>
      <c r="K12225" s="82"/>
      <c r="M12225" s="112"/>
      <c r="N12225" s="84"/>
    </row>
    <row r="12226" spans="1:14" s="2" customFormat="1">
      <c r="A12226" s="83"/>
      <c r="H12226" s="83"/>
      <c r="K12226" s="82"/>
      <c r="M12226" s="112"/>
      <c r="N12226" s="84"/>
    </row>
    <row r="12227" spans="1:14" s="2" customFormat="1">
      <c r="A12227" s="83"/>
      <c r="H12227" s="83"/>
      <c r="K12227" s="82"/>
      <c r="M12227" s="112"/>
      <c r="N12227" s="84"/>
    </row>
    <row r="12228" spans="1:14" s="2" customFormat="1">
      <c r="A12228" s="83"/>
      <c r="H12228" s="83"/>
      <c r="K12228" s="82"/>
      <c r="M12228" s="112"/>
      <c r="N12228" s="84"/>
    </row>
    <row r="12229" spans="1:14" s="2" customFormat="1">
      <c r="A12229" s="83"/>
      <c r="H12229" s="83"/>
      <c r="K12229" s="82"/>
      <c r="M12229" s="112"/>
      <c r="N12229" s="84"/>
    </row>
    <row r="12230" spans="1:14" s="2" customFormat="1">
      <c r="A12230" s="83"/>
      <c r="H12230" s="83"/>
      <c r="K12230" s="82"/>
      <c r="M12230" s="112"/>
      <c r="N12230" s="84"/>
    </row>
    <row r="12231" spans="1:14" s="2" customFormat="1">
      <c r="A12231" s="83"/>
      <c r="H12231" s="83"/>
      <c r="K12231" s="82"/>
      <c r="M12231" s="112"/>
      <c r="N12231" s="84"/>
    </row>
    <row r="12232" spans="1:14" s="2" customFormat="1">
      <c r="A12232" s="83"/>
      <c r="H12232" s="83"/>
      <c r="K12232" s="82"/>
      <c r="M12232" s="112"/>
      <c r="N12232" s="84"/>
    </row>
    <row r="12233" spans="1:14" s="2" customFormat="1">
      <c r="A12233" s="83"/>
      <c r="H12233" s="83"/>
      <c r="K12233" s="82"/>
      <c r="M12233" s="112"/>
      <c r="N12233" s="84"/>
    </row>
    <row r="12234" spans="1:14" s="2" customFormat="1">
      <c r="A12234" s="83"/>
      <c r="H12234" s="83"/>
      <c r="K12234" s="82"/>
      <c r="M12234" s="112"/>
      <c r="N12234" s="84"/>
    </row>
    <row r="12235" spans="1:14" s="2" customFormat="1">
      <c r="A12235" s="83"/>
      <c r="H12235" s="83"/>
      <c r="K12235" s="82"/>
      <c r="M12235" s="112"/>
      <c r="N12235" s="84"/>
    </row>
    <row r="12236" spans="1:14" s="2" customFormat="1">
      <c r="A12236" s="83"/>
      <c r="H12236" s="83"/>
      <c r="K12236" s="82"/>
      <c r="M12236" s="112"/>
      <c r="N12236" s="84"/>
    </row>
    <row r="12237" spans="1:14" s="2" customFormat="1">
      <c r="A12237" s="83"/>
      <c r="H12237" s="83"/>
      <c r="K12237" s="82"/>
      <c r="M12237" s="112"/>
      <c r="N12237" s="84"/>
    </row>
    <row r="12238" spans="1:14" s="2" customFormat="1">
      <c r="A12238" s="83"/>
      <c r="H12238" s="83"/>
      <c r="K12238" s="82"/>
      <c r="M12238" s="112"/>
      <c r="N12238" s="84"/>
    </row>
    <row r="12239" spans="1:14" s="2" customFormat="1">
      <c r="A12239" s="83"/>
      <c r="H12239" s="83"/>
      <c r="K12239" s="82"/>
      <c r="M12239" s="112"/>
      <c r="N12239" s="84"/>
    </row>
    <row r="12240" spans="1:14" s="2" customFormat="1">
      <c r="A12240" s="83"/>
      <c r="H12240" s="83"/>
      <c r="K12240" s="82"/>
      <c r="M12240" s="112"/>
      <c r="N12240" s="84"/>
    </row>
    <row r="12241" spans="1:14" s="2" customFormat="1">
      <c r="A12241" s="83"/>
      <c r="H12241" s="83"/>
      <c r="K12241" s="82"/>
      <c r="M12241" s="112"/>
      <c r="N12241" s="84"/>
    </row>
    <row r="12242" spans="1:14" s="2" customFormat="1">
      <c r="A12242" s="83"/>
      <c r="H12242" s="83"/>
      <c r="K12242" s="82"/>
      <c r="M12242" s="112"/>
      <c r="N12242" s="84"/>
    </row>
    <row r="12243" spans="1:14" s="2" customFormat="1">
      <c r="A12243" s="83"/>
      <c r="H12243" s="83"/>
      <c r="K12243" s="82"/>
      <c r="M12243" s="112"/>
      <c r="N12243" s="84"/>
    </row>
    <row r="12244" spans="1:14" s="2" customFormat="1">
      <c r="A12244" s="83"/>
      <c r="H12244" s="83"/>
      <c r="K12244" s="82"/>
      <c r="M12244" s="112"/>
      <c r="N12244" s="84"/>
    </row>
    <row r="12245" spans="1:14" s="2" customFormat="1">
      <c r="A12245" s="83"/>
      <c r="H12245" s="83"/>
      <c r="K12245" s="82"/>
      <c r="M12245" s="112"/>
      <c r="N12245" s="84"/>
    </row>
    <row r="12246" spans="1:14" s="2" customFormat="1">
      <c r="A12246" s="83"/>
      <c r="H12246" s="83"/>
      <c r="K12246" s="82"/>
      <c r="M12246" s="112"/>
      <c r="N12246" s="84"/>
    </row>
    <row r="12247" spans="1:14" s="2" customFormat="1">
      <c r="A12247" s="83"/>
      <c r="H12247" s="83"/>
      <c r="K12247" s="82"/>
      <c r="M12247" s="112"/>
      <c r="N12247" s="84"/>
    </row>
    <row r="12248" spans="1:14" s="2" customFormat="1">
      <c r="A12248" s="83"/>
      <c r="H12248" s="83"/>
      <c r="K12248" s="82"/>
      <c r="M12248" s="112"/>
      <c r="N12248" s="84"/>
    </row>
    <row r="12249" spans="1:14" s="2" customFormat="1">
      <c r="A12249" s="83"/>
      <c r="H12249" s="83"/>
      <c r="K12249" s="82"/>
      <c r="M12249" s="112"/>
      <c r="N12249" s="84"/>
    </row>
    <row r="12250" spans="1:14" s="2" customFormat="1">
      <c r="A12250" s="83"/>
      <c r="H12250" s="83"/>
      <c r="K12250" s="82"/>
      <c r="M12250" s="112"/>
      <c r="N12250" s="84"/>
    </row>
    <row r="12251" spans="1:14" s="2" customFormat="1">
      <c r="A12251" s="83"/>
      <c r="H12251" s="83"/>
      <c r="K12251" s="82"/>
      <c r="M12251" s="112"/>
      <c r="N12251" s="84"/>
    </row>
    <row r="12252" spans="1:14" s="2" customFormat="1">
      <c r="A12252" s="83"/>
      <c r="H12252" s="83"/>
      <c r="K12252" s="82"/>
      <c r="M12252" s="112"/>
      <c r="N12252" s="84"/>
    </row>
    <row r="12253" spans="1:14" s="2" customFormat="1">
      <c r="A12253" s="83"/>
      <c r="H12253" s="83"/>
      <c r="K12253" s="82"/>
      <c r="M12253" s="112"/>
      <c r="N12253" s="84"/>
    </row>
    <row r="12254" spans="1:14" s="2" customFormat="1">
      <c r="A12254" s="83"/>
      <c r="H12254" s="83"/>
      <c r="K12254" s="82"/>
      <c r="M12254" s="112"/>
      <c r="N12254" s="84"/>
    </row>
    <row r="12255" spans="1:14" s="2" customFormat="1">
      <c r="A12255" s="83"/>
      <c r="H12255" s="83"/>
      <c r="K12255" s="82"/>
      <c r="M12255" s="112"/>
      <c r="N12255" s="84"/>
    </row>
    <row r="12256" spans="1:14" s="2" customFormat="1">
      <c r="A12256" s="83"/>
      <c r="H12256" s="83"/>
      <c r="K12256" s="82"/>
      <c r="M12256" s="112"/>
      <c r="N12256" s="84"/>
    </row>
    <row r="12257" spans="1:14" s="2" customFormat="1">
      <c r="A12257" s="83"/>
      <c r="H12257" s="83"/>
      <c r="K12257" s="82"/>
      <c r="M12257" s="112"/>
      <c r="N12257" s="84"/>
    </row>
    <row r="12258" spans="1:14" s="2" customFormat="1">
      <c r="A12258" s="83"/>
      <c r="H12258" s="83"/>
      <c r="K12258" s="82"/>
      <c r="M12258" s="112"/>
      <c r="N12258" s="84"/>
    </row>
    <row r="12259" spans="1:14" s="2" customFormat="1">
      <c r="A12259" s="83"/>
      <c r="H12259" s="83"/>
      <c r="K12259" s="82"/>
      <c r="M12259" s="112"/>
      <c r="N12259" s="84"/>
    </row>
    <row r="12260" spans="1:14" s="2" customFormat="1">
      <c r="A12260" s="83"/>
      <c r="H12260" s="83"/>
      <c r="K12260" s="82"/>
      <c r="M12260" s="112"/>
      <c r="N12260" s="84"/>
    </row>
    <row r="12261" spans="1:14" s="2" customFormat="1">
      <c r="A12261" s="83"/>
      <c r="H12261" s="83"/>
      <c r="K12261" s="82"/>
      <c r="M12261" s="112"/>
      <c r="N12261" s="84"/>
    </row>
    <row r="12262" spans="1:14" s="2" customFormat="1">
      <c r="A12262" s="83"/>
      <c r="H12262" s="83"/>
      <c r="K12262" s="82"/>
      <c r="M12262" s="112"/>
      <c r="N12262" s="84"/>
    </row>
    <row r="12263" spans="1:14" s="2" customFormat="1">
      <c r="A12263" s="83"/>
      <c r="H12263" s="83"/>
      <c r="K12263" s="82"/>
      <c r="M12263" s="112"/>
      <c r="N12263" s="84"/>
    </row>
    <row r="12264" spans="1:14" s="2" customFormat="1">
      <c r="A12264" s="83"/>
      <c r="H12264" s="83"/>
      <c r="K12264" s="82"/>
      <c r="M12264" s="112"/>
      <c r="N12264" s="84"/>
    </row>
    <row r="12265" spans="1:14" s="2" customFormat="1">
      <c r="A12265" s="83"/>
      <c r="H12265" s="83"/>
      <c r="K12265" s="82"/>
      <c r="M12265" s="112"/>
      <c r="N12265" s="84"/>
    </row>
    <row r="12266" spans="1:14" s="2" customFormat="1">
      <c r="A12266" s="83"/>
      <c r="H12266" s="83"/>
      <c r="K12266" s="82"/>
      <c r="M12266" s="112"/>
      <c r="N12266" s="84"/>
    </row>
    <row r="12267" spans="1:14" s="2" customFormat="1">
      <c r="A12267" s="83"/>
      <c r="H12267" s="83"/>
      <c r="K12267" s="82"/>
      <c r="M12267" s="112"/>
      <c r="N12267" s="84"/>
    </row>
    <row r="12268" spans="1:14" s="2" customFormat="1">
      <c r="A12268" s="83"/>
      <c r="H12268" s="83"/>
      <c r="K12268" s="82"/>
      <c r="M12268" s="112"/>
      <c r="N12268" s="84"/>
    </row>
    <row r="12269" spans="1:14" s="2" customFormat="1">
      <c r="A12269" s="83"/>
      <c r="H12269" s="83"/>
      <c r="K12269" s="82"/>
      <c r="M12269" s="112"/>
      <c r="N12269" s="84"/>
    </row>
    <row r="12270" spans="1:14" s="2" customFormat="1">
      <c r="A12270" s="83"/>
      <c r="H12270" s="83"/>
      <c r="K12270" s="82"/>
      <c r="M12270" s="112"/>
      <c r="N12270" s="84"/>
    </row>
    <row r="12271" spans="1:14" s="2" customFormat="1">
      <c r="A12271" s="83"/>
      <c r="H12271" s="83"/>
      <c r="K12271" s="82"/>
      <c r="M12271" s="112"/>
      <c r="N12271" s="84"/>
    </row>
    <row r="12272" spans="1:14" s="2" customFormat="1">
      <c r="A12272" s="83"/>
      <c r="H12272" s="83"/>
      <c r="K12272" s="82"/>
      <c r="M12272" s="112"/>
      <c r="N12272" s="84"/>
    </row>
    <row r="12273" spans="1:14" s="2" customFormat="1">
      <c r="A12273" s="83"/>
      <c r="H12273" s="83"/>
      <c r="K12273" s="82"/>
      <c r="M12273" s="112"/>
      <c r="N12273" s="84"/>
    </row>
    <row r="12274" spans="1:14" s="2" customFormat="1">
      <c r="A12274" s="83"/>
      <c r="H12274" s="83"/>
      <c r="K12274" s="82"/>
      <c r="M12274" s="112"/>
      <c r="N12274" s="84"/>
    </row>
    <row r="12275" spans="1:14" s="2" customFormat="1">
      <c r="A12275" s="83"/>
      <c r="H12275" s="83"/>
      <c r="K12275" s="82"/>
      <c r="M12275" s="112"/>
      <c r="N12275" s="84"/>
    </row>
    <row r="12276" spans="1:14" s="2" customFormat="1">
      <c r="A12276" s="83"/>
      <c r="H12276" s="83"/>
      <c r="K12276" s="82"/>
      <c r="M12276" s="112"/>
      <c r="N12276" s="84"/>
    </row>
    <row r="12277" spans="1:14" s="2" customFormat="1">
      <c r="A12277" s="83"/>
      <c r="H12277" s="83"/>
      <c r="K12277" s="82"/>
      <c r="M12277" s="112"/>
      <c r="N12277" s="84"/>
    </row>
    <row r="12278" spans="1:14" s="2" customFormat="1">
      <c r="A12278" s="83"/>
      <c r="H12278" s="83"/>
      <c r="K12278" s="82"/>
      <c r="M12278" s="112"/>
      <c r="N12278" s="84"/>
    </row>
    <row r="12279" spans="1:14" s="2" customFormat="1">
      <c r="A12279" s="83"/>
      <c r="H12279" s="83"/>
      <c r="K12279" s="82"/>
      <c r="M12279" s="112"/>
      <c r="N12279" s="84"/>
    </row>
    <row r="12280" spans="1:14" s="2" customFormat="1">
      <c r="A12280" s="83"/>
      <c r="H12280" s="83"/>
      <c r="K12280" s="82"/>
      <c r="M12280" s="112"/>
      <c r="N12280" s="84"/>
    </row>
    <row r="12281" spans="1:14" s="2" customFormat="1">
      <c r="A12281" s="83"/>
      <c r="H12281" s="83"/>
      <c r="K12281" s="82"/>
      <c r="M12281" s="112"/>
      <c r="N12281" s="84"/>
    </row>
    <row r="12282" spans="1:14" s="2" customFormat="1">
      <c r="A12282" s="83"/>
      <c r="H12282" s="83"/>
      <c r="K12282" s="82"/>
      <c r="M12282" s="112"/>
      <c r="N12282" s="84"/>
    </row>
    <row r="12283" spans="1:14" s="2" customFormat="1">
      <c r="A12283" s="83"/>
      <c r="H12283" s="83"/>
      <c r="K12283" s="82"/>
      <c r="M12283" s="112"/>
      <c r="N12283" s="84"/>
    </row>
    <row r="12284" spans="1:14" s="2" customFormat="1">
      <c r="A12284" s="83"/>
      <c r="H12284" s="83"/>
      <c r="K12284" s="82"/>
      <c r="M12284" s="112"/>
      <c r="N12284" s="84"/>
    </row>
    <row r="12285" spans="1:14" s="2" customFormat="1">
      <c r="A12285" s="83"/>
      <c r="H12285" s="83"/>
      <c r="K12285" s="82"/>
      <c r="M12285" s="112"/>
      <c r="N12285" s="84"/>
    </row>
    <row r="12286" spans="1:14" s="2" customFormat="1">
      <c r="A12286" s="83"/>
      <c r="H12286" s="83"/>
      <c r="K12286" s="82"/>
      <c r="M12286" s="112"/>
      <c r="N12286" s="84"/>
    </row>
    <row r="12287" spans="1:14" s="2" customFormat="1">
      <c r="A12287" s="83"/>
      <c r="H12287" s="83"/>
      <c r="K12287" s="82"/>
      <c r="M12287" s="112"/>
      <c r="N12287" s="84"/>
    </row>
    <row r="12288" spans="1:14" s="2" customFormat="1">
      <c r="A12288" s="83"/>
      <c r="H12288" s="83"/>
      <c r="K12288" s="82"/>
      <c r="M12288" s="112"/>
      <c r="N12288" s="84"/>
    </row>
    <row r="12289" spans="1:14" s="2" customFormat="1">
      <c r="A12289" s="83"/>
      <c r="H12289" s="83"/>
      <c r="K12289" s="82"/>
      <c r="M12289" s="112"/>
      <c r="N12289" s="84"/>
    </row>
    <row r="12290" spans="1:14" s="2" customFormat="1">
      <c r="A12290" s="83"/>
      <c r="H12290" s="83"/>
      <c r="K12290" s="82"/>
      <c r="M12290" s="112"/>
      <c r="N12290" s="84"/>
    </row>
    <row r="12291" spans="1:14" s="2" customFormat="1">
      <c r="A12291" s="83"/>
      <c r="H12291" s="83"/>
      <c r="K12291" s="82"/>
      <c r="M12291" s="112"/>
      <c r="N12291" s="84"/>
    </row>
    <row r="12292" spans="1:14" s="2" customFormat="1">
      <c r="A12292" s="83"/>
      <c r="H12292" s="83"/>
      <c r="K12292" s="82"/>
      <c r="M12292" s="112"/>
      <c r="N12292" s="84"/>
    </row>
    <row r="12293" spans="1:14" s="2" customFormat="1">
      <c r="A12293" s="83"/>
      <c r="H12293" s="83"/>
      <c r="K12293" s="82"/>
      <c r="M12293" s="112"/>
      <c r="N12293" s="84"/>
    </row>
    <row r="12294" spans="1:14" s="2" customFormat="1">
      <c r="A12294" s="83"/>
      <c r="H12294" s="83"/>
      <c r="K12294" s="82"/>
      <c r="M12294" s="112"/>
      <c r="N12294" s="84"/>
    </row>
    <row r="12295" spans="1:14" s="2" customFormat="1">
      <c r="A12295" s="83"/>
      <c r="H12295" s="83"/>
      <c r="K12295" s="82"/>
      <c r="M12295" s="112"/>
      <c r="N12295" s="84"/>
    </row>
    <row r="12296" spans="1:14" s="2" customFormat="1">
      <c r="A12296" s="83"/>
      <c r="H12296" s="83"/>
      <c r="K12296" s="82"/>
      <c r="M12296" s="112"/>
      <c r="N12296" s="84"/>
    </row>
    <row r="12297" spans="1:14" s="2" customFormat="1">
      <c r="A12297" s="83"/>
      <c r="H12297" s="83"/>
      <c r="K12297" s="82"/>
      <c r="M12297" s="112"/>
      <c r="N12297" s="84"/>
    </row>
    <row r="12298" spans="1:14" s="2" customFormat="1">
      <c r="A12298" s="83"/>
      <c r="H12298" s="83"/>
      <c r="K12298" s="82"/>
      <c r="M12298" s="112"/>
      <c r="N12298" s="84"/>
    </row>
    <row r="12299" spans="1:14" s="2" customFormat="1">
      <c r="A12299" s="83"/>
      <c r="H12299" s="83"/>
      <c r="K12299" s="82"/>
      <c r="M12299" s="112"/>
      <c r="N12299" s="84"/>
    </row>
    <row r="12300" spans="1:14" s="2" customFormat="1">
      <c r="A12300" s="83"/>
      <c r="H12300" s="83"/>
      <c r="K12300" s="82"/>
      <c r="M12300" s="112"/>
      <c r="N12300" s="84"/>
    </row>
    <row r="12301" spans="1:14" s="2" customFormat="1">
      <c r="A12301" s="83"/>
      <c r="H12301" s="83"/>
      <c r="K12301" s="82"/>
      <c r="M12301" s="112"/>
      <c r="N12301" s="84"/>
    </row>
    <row r="12302" spans="1:14" s="2" customFormat="1">
      <c r="A12302" s="83"/>
      <c r="H12302" s="83"/>
      <c r="K12302" s="82"/>
      <c r="M12302" s="112"/>
      <c r="N12302" s="84"/>
    </row>
    <row r="12303" spans="1:14" s="2" customFormat="1">
      <c r="A12303" s="83"/>
      <c r="H12303" s="83"/>
      <c r="K12303" s="82"/>
      <c r="M12303" s="112"/>
      <c r="N12303" s="84"/>
    </row>
    <row r="12304" spans="1:14" s="2" customFormat="1">
      <c r="A12304" s="83"/>
      <c r="H12304" s="83"/>
      <c r="K12304" s="82"/>
      <c r="M12304" s="112"/>
      <c r="N12304" s="84"/>
    </row>
    <row r="12305" spans="1:14" s="2" customFormat="1">
      <c r="A12305" s="83"/>
      <c r="H12305" s="83"/>
      <c r="K12305" s="82"/>
      <c r="M12305" s="112"/>
      <c r="N12305" s="84"/>
    </row>
    <row r="12306" spans="1:14" s="2" customFormat="1">
      <c r="A12306" s="83"/>
      <c r="H12306" s="83"/>
      <c r="K12306" s="82"/>
      <c r="M12306" s="112"/>
      <c r="N12306" s="84"/>
    </row>
    <row r="12307" spans="1:14" s="2" customFormat="1">
      <c r="A12307" s="83"/>
      <c r="H12307" s="83"/>
      <c r="K12307" s="82"/>
      <c r="M12307" s="112"/>
      <c r="N12307" s="84"/>
    </row>
    <row r="12308" spans="1:14" s="2" customFormat="1">
      <c r="A12308" s="83"/>
      <c r="H12308" s="83"/>
      <c r="K12308" s="82"/>
      <c r="M12308" s="112"/>
      <c r="N12308" s="84"/>
    </row>
    <row r="12309" spans="1:14" s="2" customFormat="1">
      <c r="A12309" s="83"/>
      <c r="H12309" s="83"/>
      <c r="K12309" s="82"/>
      <c r="M12309" s="112"/>
      <c r="N12309" s="84"/>
    </row>
    <row r="12310" spans="1:14" s="2" customFormat="1">
      <c r="A12310" s="83"/>
      <c r="H12310" s="83"/>
      <c r="K12310" s="82"/>
      <c r="M12310" s="112"/>
      <c r="N12310" s="84"/>
    </row>
    <row r="12311" spans="1:14" s="2" customFormat="1">
      <c r="A12311" s="83"/>
      <c r="H12311" s="83"/>
      <c r="K12311" s="82"/>
      <c r="M12311" s="112"/>
      <c r="N12311" s="84"/>
    </row>
    <row r="12312" spans="1:14" s="2" customFormat="1">
      <c r="A12312" s="83"/>
      <c r="H12312" s="83"/>
      <c r="K12312" s="82"/>
      <c r="M12312" s="112"/>
      <c r="N12312" s="84"/>
    </row>
    <row r="12313" spans="1:14" s="2" customFormat="1">
      <c r="A12313" s="83"/>
      <c r="H12313" s="83"/>
      <c r="K12313" s="82"/>
      <c r="M12313" s="112"/>
      <c r="N12313" s="84"/>
    </row>
    <row r="12314" spans="1:14" s="2" customFormat="1">
      <c r="A12314" s="83"/>
      <c r="H12314" s="83"/>
      <c r="K12314" s="82"/>
      <c r="M12314" s="112"/>
      <c r="N12314" s="84"/>
    </row>
    <row r="12315" spans="1:14" s="2" customFormat="1">
      <c r="A12315" s="83"/>
      <c r="H12315" s="83"/>
      <c r="K12315" s="82"/>
      <c r="M12315" s="112"/>
      <c r="N12315" s="84"/>
    </row>
    <row r="12316" spans="1:14" s="2" customFormat="1">
      <c r="A12316" s="83"/>
      <c r="H12316" s="83"/>
      <c r="K12316" s="82"/>
      <c r="M12316" s="112"/>
      <c r="N12316" s="84"/>
    </row>
    <row r="12317" spans="1:14" s="2" customFormat="1">
      <c r="A12317" s="83"/>
      <c r="H12317" s="83"/>
      <c r="K12317" s="82"/>
      <c r="M12317" s="112"/>
      <c r="N12317" s="84"/>
    </row>
    <row r="12318" spans="1:14" s="2" customFormat="1">
      <c r="A12318" s="83"/>
      <c r="H12318" s="83"/>
      <c r="K12318" s="82"/>
      <c r="M12318" s="112"/>
      <c r="N12318" s="84"/>
    </row>
    <row r="12319" spans="1:14" s="2" customFormat="1">
      <c r="A12319" s="83"/>
      <c r="H12319" s="83"/>
      <c r="K12319" s="82"/>
      <c r="M12319" s="112"/>
      <c r="N12319" s="84"/>
    </row>
    <row r="12320" spans="1:14" s="2" customFormat="1">
      <c r="A12320" s="83"/>
      <c r="H12320" s="83"/>
      <c r="K12320" s="82"/>
      <c r="M12320" s="112"/>
      <c r="N12320" s="84"/>
    </row>
    <row r="12321" spans="1:14" s="2" customFormat="1">
      <c r="A12321" s="83"/>
      <c r="H12321" s="83"/>
      <c r="K12321" s="82"/>
      <c r="M12321" s="112"/>
      <c r="N12321" s="84"/>
    </row>
    <row r="12322" spans="1:14" s="2" customFormat="1">
      <c r="A12322" s="83"/>
      <c r="H12322" s="83"/>
      <c r="K12322" s="82"/>
      <c r="M12322" s="112"/>
      <c r="N12322" s="84"/>
    </row>
    <row r="12323" spans="1:14" s="2" customFormat="1">
      <c r="A12323" s="83"/>
      <c r="H12323" s="83"/>
      <c r="K12323" s="82"/>
      <c r="M12323" s="112"/>
      <c r="N12323" s="84"/>
    </row>
    <row r="12324" spans="1:14" s="2" customFormat="1">
      <c r="A12324" s="83"/>
      <c r="H12324" s="83"/>
      <c r="K12324" s="82"/>
      <c r="M12324" s="112"/>
      <c r="N12324" s="84"/>
    </row>
    <row r="12325" spans="1:14" s="2" customFormat="1">
      <c r="A12325" s="83"/>
      <c r="H12325" s="83"/>
      <c r="K12325" s="82"/>
      <c r="M12325" s="112"/>
      <c r="N12325" s="84"/>
    </row>
    <row r="12326" spans="1:14" s="2" customFormat="1">
      <c r="A12326" s="83"/>
      <c r="H12326" s="83"/>
      <c r="K12326" s="82"/>
      <c r="M12326" s="112"/>
      <c r="N12326" s="84"/>
    </row>
    <row r="12327" spans="1:14" s="2" customFormat="1">
      <c r="A12327" s="83"/>
      <c r="H12327" s="83"/>
      <c r="K12327" s="82"/>
      <c r="M12327" s="112"/>
      <c r="N12327" s="84"/>
    </row>
    <row r="12328" spans="1:14" s="2" customFormat="1">
      <c r="A12328" s="83"/>
      <c r="H12328" s="83"/>
      <c r="K12328" s="82"/>
      <c r="M12328" s="112"/>
      <c r="N12328" s="84"/>
    </row>
    <row r="12329" spans="1:14" s="2" customFormat="1">
      <c r="A12329" s="83"/>
      <c r="H12329" s="83"/>
      <c r="K12329" s="82"/>
      <c r="M12329" s="112"/>
      <c r="N12329" s="84"/>
    </row>
    <row r="12330" spans="1:14" s="2" customFormat="1">
      <c r="A12330" s="83"/>
      <c r="H12330" s="83"/>
      <c r="K12330" s="82"/>
      <c r="M12330" s="112"/>
      <c r="N12330" s="84"/>
    </row>
    <row r="12331" spans="1:14" s="2" customFormat="1">
      <c r="A12331" s="83"/>
      <c r="H12331" s="83"/>
      <c r="K12331" s="82"/>
      <c r="M12331" s="112"/>
      <c r="N12331" s="84"/>
    </row>
    <row r="12332" spans="1:14" s="2" customFormat="1">
      <c r="A12332" s="83"/>
      <c r="H12332" s="83"/>
      <c r="K12332" s="82"/>
      <c r="M12332" s="112"/>
      <c r="N12332" s="84"/>
    </row>
    <row r="12333" spans="1:14" s="2" customFormat="1">
      <c r="A12333" s="83"/>
      <c r="H12333" s="83"/>
      <c r="K12333" s="82"/>
      <c r="M12333" s="112"/>
      <c r="N12333" s="84"/>
    </row>
    <row r="12334" spans="1:14" s="2" customFormat="1">
      <c r="A12334" s="83"/>
      <c r="H12334" s="83"/>
      <c r="K12334" s="82"/>
      <c r="M12334" s="112"/>
      <c r="N12334" s="84"/>
    </row>
    <row r="12335" spans="1:14" s="2" customFormat="1">
      <c r="A12335" s="83"/>
      <c r="H12335" s="83"/>
      <c r="K12335" s="82"/>
      <c r="M12335" s="112"/>
      <c r="N12335" s="84"/>
    </row>
    <row r="12336" spans="1:14" s="2" customFormat="1">
      <c r="A12336" s="83"/>
      <c r="H12336" s="83"/>
      <c r="K12336" s="82"/>
      <c r="M12336" s="112"/>
      <c r="N12336" s="84"/>
    </row>
    <row r="12337" spans="1:14" s="2" customFormat="1">
      <c r="A12337" s="83"/>
      <c r="H12337" s="83"/>
      <c r="K12337" s="82"/>
      <c r="M12337" s="112"/>
      <c r="N12337" s="84"/>
    </row>
    <row r="12338" spans="1:14" s="2" customFormat="1">
      <c r="A12338" s="83"/>
      <c r="H12338" s="83"/>
      <c r="K12338" s="82"/>
      <c r="M12338" s="112"/>
      <c r="N12338" s="84"/>
    </row>
    <row r="12339" spans="1:14" s="2" customFormat="1">
      <c r="A12339" s="83"/>
      <c r="H12339" s="83"/>
      <c r="K12339" s="82"/>
      <c r="M12339" s="112"/>
      <c r="N12339" s="84"/>
    </row>
    <row r="12340" spans="1:14" s="2" customFormat="1">
      <c r="A12340" s="83"/>
      <c r="H12340" s="83"/>
      <c r="K12340" s="82"/>
      <c r="M12340" s="112"/>
      <c r="N12340" s="84"/>
    </row>
    <row r="12341" spans="1:14" s="2" customFormat="1">
      <c r="A12341" s="83"/>
      <c r="H12341" s="83"/>
      <c r="K12341" s="82"/>
      <c r="M12341" s="112"/>
      <c r="N12341" s="84"/>
    </row>
    <row r="12342" spans="1:14" s="2" customFormat="1">
      <c r="A12342" s="83"/>
      <c r="H12342" s="83"/>
      <c r="K12342" s="82"/>
      <c r="M12342" s="112"/>
      <c r="N12342" s="84"/>
    </row>
    <row r="12343" spans="1:14" s="2" customFormat="1">
      <c r="A12343" s="83"/>
      <c r="H12343" s="83"/>
      <c r="K12343" s="82"/>
      <c r="M12343" s="112"/>
      <c r="N12343" s="84"/>
    </row>
    <row r="12344" spans="1:14" s="2" customFormat="1">
      <c r="A12344" s="83"/>
      <c r="H12344" s="83"/>
      <c r="K12344" s="82"/>
      <c r="M12344" s="112"/>
      <c r="N12344" s="84"/>
    </row>
    <row r="12345" spans="1:14" s="2" customFormat="1">
      <c r="A12345" s="83"/>
      <c r="H12345" s="83"/>
      <c r="K12345" s="82"/>
      <c r="M12345" s="112"/>
      <c r="N12345" s="84"/>
    </row>
    <row r="12346" spans="1:14" s="2" customFormat="1">
      <c r="A12346" s="83"/>
      <c r="H12346" s="83"/>
      <c r="K12346" s="82"/>
      <c r="M12346" s="112"/>
      <c r="N12346" s="84"/>
    </row>
    <row r="12347" spans="1:14" s="2" customFormat="1">
      <c r="A12347" s="83"/>
      <c r="H12347" s="83"/>
      <c r="K12347" s="82"/>
      <c r="M12347" s="112"/>
      <c r="N12347" s="84"/>
    </row>
    <row r="12348" spans="1:14" s="2" customFormat="1">
      <c r="A12348" s="83"/>
      <c r="H12348" s="83"/>
      <c r="K12348" s="82"/>
      <c r="M12348" s="112"/>
      <c r="N12348" s="84"/>
    </row>
    <row r="12349" spans="1:14" s="2" customFormat="1">
      <c r="A12349" s="83"/>
      <c r="H12349" s="83"/>
      <c r="K12349" s="82"/>
      <c r="M12349" s="112"/>
      <c r="N12349" s="84"/>
    </row>
    <row r="12350" spans="1:14" s="2" customFormat="1">
      <c r="A12350" s="83"/>
      <c r="H12350" s="83"/>
      <c r="K12350" s="82"/>
      <c r="M12350" s="112"/>
      <c r="N12350" s="84"/>
    </row>
    <row r="12351" spans="1:14" s="2" customFormat="1">
      <c r="A12351" s="83"/>
      <c r="H12351" s="83"/>
      <c r="K12351" s="82"/>
      <c r="M12351" s="112"/>
      <c r="N12351" s="84"/>
    </row>
    <row r="12352" spans="1:14" s="2" customFormat="1">
      <c r="A12352" s="83"/>
      <c r="H12352" s="83"/>
      <c r="K12352" s="82"/>
      <c r="M12352" s="112"/>
      <c r="N12352" s="84"/>
    </row>
    <row r="12353" spans="1:14" s="2" customFormat="1">
      <c r="A12353" s="83"/>
      <c r="H12353" s="83"/>
      <c r="K12353" s="82"/>
      <c r="M12353" s="112"/>
      <c r="N12353" s="84"/>
    </row>
    <row r="12354" spans="1:14" s="2" customFormat="1">
      <c r="A12354" s="83"/>
      <c r="H12354" s="83"/>
      <c r="K12354" s="82"/>
      <c r="M12354" s="112"/>
      <c r="N12354" s="84"/>
    </row>
    <row r="12355" spans="1:14" s="2" customFormat="1">
      <c r="A12355" s="83"/>
      <c r="H12355" s="83"/>
      <c r="K12355" s="82"/>
      <c r="M12355" s="112"/>
      <c r="N12355" s="84"/>
    </row>
    <row r="12356" spans="1:14" s="2" customFormat="1">
      <c r="A12356" s="83"/>
      <c r="H12356" s="83"/>
      <c r="K12356" s="82"/>
      <c r="M12356" s="112"/>
      <c r="N12356" s="84"/>
    </row>
    <row r="12357" spans="1:14" s="2" customFormat="1">
      <c r="A12357" s="83"/>
      <c r="H12357" s="83"/>
      <c r="K12357" s="82"/>
      <c r="M12357" s="112"/>
      <c r="N12357" s="84"/>
    </row>
    <row r="12358" spans="1:14" s="2" customFormat="1">
      <c r="A12358" s="83"/>
      <c r="H12358" s="83"/>
      <c r="K12358" s="82"/>
      <c r="M12358" s="112"/>
      <c r="N12358" s="84"/>
    </row>
    <row r="12359" spans="1:14" s="2" customFormat="1">
      <c r="A12359" s="83"/>
      <c r="H12359" s="83"/>
      <c r="K12359" s="82"/>
      <c r="M12359" s="112"/>
      <c r="N12359" s="84"/>
    </row>
    <row r="12360" spans="1:14" s="2" customFormat="1">
      <c r="A12360" s="83"/>
      <c r="H12360" s="83"/>
      <c r="K12360" s="82"/>
      <c r="M12360" s="112"/>
      <c r="N12360" s="84"/>
    </row>
    <row r="12361" spans="1:14" s="2" customFormat="1">
      <c r="A12361" s="83"/>
      <c r="H12361" s="83"/>
      <c r="K12361" s="82"/>
      <c r="M12361" s="112"/>
      <c r="N12361" s="84"/>
    </row>
    <row r="12362" spans="1:14" s="2" customFormat="1">
      <c r="A12362" s="83"/>
      <c r="H12362" s="83"/>
      <c r="K12362" s="82"/>
      <c r="M12362" s="112"/>
      <c r="N12362" s="84"/>
    </row>
    <row r="12363" spans="1:14" s="2" customFormat="1">
      <c r="A12363" s="83"/>
      <c r="H12363" s="83"/>
      <c r="K12363" s="82"/>
      <c r="M12363" s="112"/>
      <c r="N12363" s="84"/>
    </row>
    <row r="12364" spans="1:14" s="2" customFormat="1">
      <c r="A12364" s="83"/>
      <c r="H12364" s="83"/>
      <c r="K12364" s="82"/>
      <c r="M12364" s="112"/>
      <c r="N12364" s="84"/>
    </row>
    <row r="12365" spans="1:14" s="2" customFormat="1">
      <c r="A12365" s="83"/>
      <c r="H12365" s="83"/>
      <c r="K12365" s="82"/>
      <c r="M12365" s="112"/>
      <c r="N12365" s="84"/>
    </row>
    <row r="12366" spans="1:14" s="2" customFormat="1">
      <c r="A12366" s="83"/>
      <c r="H12366" s="83"/>
      <c r="K12366" s="82"/>
      <c r="M12366" s="112"/>
      <c r="N12366" s="84"/>
    </row>
    <row r="12367" spans="1:14" s="2" customFormat="1">
      <c r="A12367" s="83"/>
      <c r="H12367" s="83"/>
      <c r="K12367" s="82"/>
      <c r="M12367" s="112"/>
      <c r="N12367" s="84"/>
    </row>
    <row r="12368" spans="1:14" s="2" customFormat="1">
      <c r="A12368" s="83"/>
      <c r="H12368" s="83"/>
      <c r="K12368" s="82"/>
      <c r="M12368" s="112"/>
      <c r="N12368" s="84"/>
    </row>
    <row r="12369" spans="1:14" s="2" customFormat="1">
      <c r="A12369" s="83"/>
      <c r="H12369" s="83"/>
      <c r="K12369" s="82"/>
      <c r="M12369" s="112"/>
      <c r="N12369" s="84"/>
    </row>
    <row r="12370" spans="1:14" s="2" customFormat="1">
      <c r="A12370" s="83"/>
      <c r="H12370" s="83"/>
      <c r="K12370" s="82"/>
      <c r="M12370" s="112"/>
      <c r="N12370" s="84"/>
    </row>
    <row r="12371" spans="1:14" s="2" customFormat="1">
      <c r="A12371" s="83"/>
      <c r="H12371" s="83"/>
      <c r="K12371" s="82"/>
      <c r="M12371" s="112"/>
      <c r="N12371" s="84"/>
    </row>
    <row r="12372" spans="1:14" s="2" customFormat="1">
      <c r="A12372" s="83"/>
      <c r="H12372" s="83"/>
      <c r="K12372" s="82"/>
      <c r="M12372" s="112"/>
      <c r="N12372" s="84"/>
    </row>
    <row r="12373" spans="1:14" s="2" customFormat="1">
      <c r="A12373" s="83"/>
      <c r="H12373" s="83"/>
      <c r="K12373" s="82"/>
      <c r="M12373" s="112"/>
      <c r="N12373" s="84"/>
    </row>
    <row r="12374" spans="1:14" s="2" customFormat="1">
      <c r="A12374" s="83"/>
      <c r="H12374" s="83"/>
      <c r="K12374" s="82"/>
      <c r="M12374" s="112"/>
      <c r="N12374" s="84"/>
    </row>
    <row r="12375" spans="1:14" s="2" customFormat="1">
      <c r="A12375" s="83"/>
      <c r="H12375" s="83"/>
      <c r="K12375" s="82"/>
      <c r="M12375" s="112"/>
      <c r="N12375" s="84"/>
    </row>
    <row r="12376" spans="1:14" s="2" customFormat="1">
      <c r="A12376" s="83"/>
      <c r="H12376" s="83"/>
      <c r="K12376" s="82"/>
      <c r="M12376" s="112"/>
      <c r="N12376" s="84"/>
    </row>
    <row r="12377" spans="1:14" s="2" customFormat="1">
      <c r="A12377" s="83"/>
      <c r="H12377" s="83"/>
      <c r="K12377" s="82"/>
      <c r="M12377" s="112"/>
      <c r="N12377" s="84"/>
    </row>
    <row r="12378" spans="1:14" s="2" customFormat="1">
      <c r="A12378" s="83"/>
      <c r="H12378" s="83"/>
      <c r="K12378" s="82"/>
      <c r="M12378" s="112"/>
      <c r="N12378" s="84"/>
    </row>
    <row r="12379" spans="1:14" s="2" customFormat="1">
      <c r="A12379" s="83"/>
      <c r="H12379" s="83"/>
      <c r="K12379" s="82"/>
      <c r="M12379" s="112"/>
      <c r="N12379" s="84"/>
    </row>
    <row r="12380" spans="1:14" s="2" customFormat="1">
      <c r="A12380" s="83"/>
      <c r="H12380" s="83"/>
      <c r="K12380" s="82"/>
      <c r="M12380" s="112"/>
      <c r="N12380" s="84"/>
    </row>
    <row r="12381" spans="1:14" s="2" customFormat="1">
      <c r="A12381" s="83"/>
      <c r="H12381" s="83"/>
      <c r="K12381" s="82"/>
      <c r="M12381" s="112"/>
      <c r="N12381" s="84"/>
    </row>
    <row r="12382" spans="1:14" s="2" customFormat="1">
      <c r="A12382" s="83"/>
      <c r="H12382" s="83"/>
      <c r="K12382" s="82"/>
      <c r="M12382" s="112"/>
      <c r="N12382" s="84"/>
    </row>
    <row r="12383" spans="1:14" s="2" customFormat="1">
      <c r="A12383" s="83"/>
      <c r="H12383" s="83"/>
      <c r="K12383" s="82"/>
      <c r="M12383" s="112"/>
      <c r="N12383" s="84"/>
    </row>
    <row r="12384" spans="1:14" s="2" customFormat="1">
      <c r="A12384" s="83"/>
      <c r="H12384" s="83"/>
      <c r="K12384" s="82"/>
      <c r="M12384" s="112"/>
      <c r="N12384" s="84"/>
    </row>
    <row r="12385" spans="1:14" s="2" customFormat="1">
      <c r="A12385" s="83"/>
      <c r="H12385" s="83"/>
      <c r="K12385" s="82"/>
      <c r="M12385" s="112"/>
      <c r="N12385" s="84"/>
    </row>
    <row r="12386" spans="1:14" s="2" customFormat="1">
      <c r="A12386" s="83"/>
      <c r="H12386" s="83"/>
      <c r="K12386" s="82"/>
      <c r="M12386" s="112"/>
      <c r="N12386" s="84"/>
    </row>
    <row r="12387" spans="1:14" s="2" customFormat="1">
      <c r="A12387" s="83"/>
      <c r="H12387" s="83"/>
      <c r="K12387" s="82"/>
      <c r="M12387" s="112"/>
      <c r="N12387" s="84"/>
    </row>
    <row r="12388" spans="1:14" s="2" customFormat="1">
      <c r="A12388" s="83"/>
      <c r="H12388" s="83"/>
      <c r="K12388" s="82"/>
      <c r="M12388" s="112"/>
      <c r="N12388" s="84"/>
    </row>
    <row r="12389" spans="1:14" s="2" customFormat="1">
      <c r="A12389" s="83"/>
      <c r="H12389" s="83"/>
      <c r="K12389" s="82"/>
      <c r="M12389" s="112"/>
      <c r="N12389" s="84"/>
    </row>
    <row r="12390" spans="1:14" s="2" customFormat="1">
      <c r="A12390" s="83"/>
      <c r="H12390" s="83"/>
      <c r="K12390" s="82"/>
      <c r="M12390" s="112"/>
      <c r="N12390" s="84"/>
    </row>
    <row r="12391" spans="1:14" s="2" customFormat="1">
      <c r="A12391" s="83"/>
      <c r="H12391" s="83"/>
      <c r="K12391" s="82"/>
      <c r="M12391" s="112"/>
      <c r="N12391" s="84"/>
    </row>
    <row r="12392" spans="1:14" s="2" customFormat="1">
      <c r="A12392" s="83"/>
      <c r="H12392" s="83"/>
      <c r="K12392" s="82"/>
      <c r="M12392" s="112"/>
      <c r="N12392" s="84"/>
    </row>
    <row r="12393" spans="1:14" s="2" customFormat="1">
      <c r="A12393" s="83"/>
      <c r="H12393" s="83"/>
      <c r="K12393" s="82"/>
      <c r="M12393" s="112"/>
      <c r="N12393" s="84"/>
    </row>
    <row r="12394" spans="1:14" s="2" customFormat="1">
      <c r="A12394" s="83"/>
      <c r="H12394" s="83"/>
      <c r="K12394" s="82"/>
      <c r="M12394" s="112"/>
      <c r="N12394" s="84"/>
    </row>
    <row r="12395" spans="1:14" s="2" customFormat="1">
      <c r="A12395" s="83"/>
      <c r="H12395" s="83"/>
      <c r="K12395" s="82"/>
      <c r="M12395" s="112"/>
      <c r="N12395" s="84"/>
    </row>
    <row r="12396" spans="1:14" s="2" customFormat="1">
      <c r="A12396" s="83"/>
      <c r="H12396" s="83"/>
      <c r="K12396" s="82"/>
      <c r="M12396" s="112"/>
      <c r="N12396" s="84"/>
    </row>
    <row r="12397" spans="1:14" s="2" customFormat="1">
      <c r="A12397" s="83"/>
      <c r="H12397" s="83"/>
      <c r="K12397" s="82"/>
      <c r="M12397" s="112"/>
      <c r="N12397" s="84"/>
    </row>
    <row r="12398" spans="1:14" s="2" customFormat="1">
      <c r="A12398" s="83"/>
      <c r="H12398" s="83"/>
      <c r="K12398" s="82"/>
      <c r="M12398" s="112"/>
      <c r="N12398" s="84"/>
    </row>
    <row r="12399" spans="1:14" s="2" customFormat="1">
      <c r="A12399" s="83"/>
      <c r="H12399" s="83"/>
      <c r="K12399" s="82"/>
      <c r="M12399" s="112"/>
      <c r="N12399" s="84"/>
    </row>
    <row r="12400" spans="1:14" s="2" customFormat="1">
      <c r="A12400" s="83"/>
      <c r="H12400" s="83"/>
      <c r="K12400" s="82"/>
      <c r="M12400" s="112"/>
      <c r="N12400" s="84"/>
    </row>
    <row r="12401" spans="1:14" s="2" customFormat="1">
      <c r="A12401" s="83"/>
      <c r="H12401" s="83"/>
      <c r="K12401" s="82"/>
      <c r="M12401" s="112"/>
      <c r="N12401" s="84"/>
    </row>
    <row r="12402" spans="1:14" s="2" customFormat="1">
      <c r="A12402" s="83"/>
      <c r="H12402" s="83"/>
      <c r="K12402" s="82"/>
      <c r="M12402" s="112"/>
      <c r="N12402" s="84"/>
    </row>
    <row r="12403" spans="1:14" s="2" customFormat="1">
      <c r="A12403" s="83"/>
      <c r="H12403" s="83"/>
      <c r="K12403" s="82"/>
      <c r="M12403" s="112"/>
      <c r="N12403" s="84"/>
    </row>
    <row r="12404" spans="1:14" s="2" customFormat="1">
      <c r="A12404" s="83"/>
      <c r="H12404" s="83"/>
      <c r="K12404" s="82"/>
      <c r="M12404" s="112"/>
      <c r="N12404" s="84"/>
    </row>
    <row r="12405" spans="1:14" s="2" customFormat="1">
      <c r="A12405" s="83"/>
      <c r="H12405" s="83"/>
      <c r="K12405" s="82"/>
      <c r="M12405" s="112"/>
      <c r="N12405" s="84"/>
    </row>
    <row r="12406" spans="1:14" s="2" customFormat="1">
      <c r="A12406" s="83"/>
      <c r="H12406" s="83"/>
      <c r="K12406" s="82"/>
      <c r="M12406" s="112"/>
      <c r="N12406" s="84"/>
    </row>
    <row r="12407" spans="1:14" s="2" customFormat="1">
      <c r="A12407" s="83"/>
      <c r="H12407" s="83"/>
      <c r="K12407" s="82"/>
      <c r="M12407" s="112"/>
      <c r="N12407" s="84"/>
    </row>
    <row r="12408" spans="1:14" s="2" customFormat="1">
      <c r="A12408" s="83"/>
      <c r="H12408" s="83"/>
      <c r="K12408" s="82"/>
      <c r="M12408" s="112"/>
      <c r="N12408" s="84"/>
    </row>
    <row r="12409" spans="1:14" s="2" customFormat="1">
      <c r="A12409" s="83"/>
      <c r="H12409" s="83"/>
      <c r="K12409" s="82"/>
      <c r="M12409" s="112"/>
      <c r="N12409" s="84"/>
    </row>
    <row r="12410" spans="1:14" s="2" customFormat="1">
      <c r="A12410" s="83"/>
      <c r="H12410" s="83"/>
      <c r="K12410" s="82"/>
      <c r="M12410" s="112"/>
      <c r="N12410" s="84"/>
    </row>
    <row r="12411" spans="1:14" s="2" customFormat="1">
      <c r="A12411" s="83"/>
      <c r="H12411" s="83"/>
      <c r="K12411" s="82"/>
      <c r="M12411" s="112"/>
      <c r="N12411" s="84"/>
    </row>
    <row r="12412" spans="1:14" s="2" customFormat="1">
      <c r="A12412" s="83"/>
      <c r="H12412" s="83"/>
      <c r="K12412" s="82"/>
      <c r="M12412" s="112"/>
      <c r="N12412" s="84"/>
    </row>
    <row r="12413" spans="1:14" s="2" customFormat="1">
      <c r="A12413" s="83"/>
      <c r="H12413" s="83"/>
      <c r="K12413" s="82"/>
      <c r="M12413" s="112"/>
      <c r="N12413" s="84"/>
    </row>
    <row r="12414" spans="1:14" s="2" customFormat="1">
      <c r="A12414" s="83"/>
      <c r="H12414" s="83"/>
      <c r="K12414" s="82"/>
      <c r="M12414" s="112"/>
      <c r="N12414" s="84"/>
    </row>
    <row r="12415" spans="1:14" s="2" customFormat="1">
      <c r="A12415" s="83"/>
      <c r="H12415" s="83"/>
      <c r="K12415" s="82"/>
      <c r="M12415" s="112"/>
      <c r="N12415" s="84"/>
    </row>
    <row r="12416" spans="1:14" s="2" customFormat="1">
      <c r="A12416" s="83"/>
      <c r="H12416" s="83"/>
      <c r="K12416" s="82"/>
      <c r="M12416" s="112"/>
      <c r="N12416" s="84"/>
    </row>
    <row r="12417" spans="1:14" s="2" customFormat="1">
      <c r="A12417" s="83"/>
      <c r="H12417" s="83"/>
      <c r="K12417" s="82"/>
      <c r="M12417" s="112"/>
      <c r="N12417" s="84"/>
    </row>
    <row r="12418" spans="1:14" s="2" customFormat="1">
      <c r="A12418" s="83"/>
      <c r="H12418" s="83"/>
      <c r="K12418" s="82"/>
      <c r="M12418" s="112"/>
      <c r="N12418" s="84"/>
    </row>
    <row r="12419" spans="1:14" s="2" customFormat="1">
      <c r="A12419" s="83"/>
      <c r="H12419" s="83"/>
      <c r="K12419" s="82"/>
      <c r="M12419" s="112"/>
      <c r="N12419" s="84"/>
    </row>
    <row r="12420" spans="1:14" s="2" customFormat="1">
      <c r="A12420" s="83"/>
      <c r="H12420" s="83"/>
      <c r="K12420" s="82"/>
      <c r="M12420" s="112"/>
      <c r="N12420" s="84"/>
    </row>
    <row r="12421" spans="1:14" s="2" customFormat="1">
      <c r="A12421" s="83"/>
      <c r="H12421" s="83"/>
      <c r="K12421" s="82"/>
      <c r="M12421" s="112"/>
      <c r="N12421" s="84"/>
    </row>
    <row r="12422" spans="1:14" s="2" customFormat="1">
      <c r="A12422" s="83"/>
      <c r="H12422" s="83"/>
      <c r="K12422" s="82"/>
      <c r="M12422" s="112"/>
      <c r="N12422" s="84"/>
    </row>
    <row r="12423" spans="1:14" s="2" customFormat="1">
      <c r="A12423" s="83"/>
      <c r="H12423" s="83"/>
      <c r="K12423" s="82"/>
      <c r="M12423" s="112"/>
      <c r="N12423" s="84"/>
    </row>
    <row r="12424" spans="1:14" s="2" customFormat="1">
      <c r="A12424" s="83"/>
      <c r="H12424" s="83"/>
      <c r="K12424" s="82"/>
      <c r="M12424" s="112"/>
      <c r="N12424" s="84"/>
    </row>
    <row r="12425" spans="1:14" s="2" customFormat="1">
      <c r="A12425" s="83"/>
      <c r="H12425" s="83"/>
      <c r="K12425" s="82"/>
      <c r="M12425" s="112"/>
      <c r="N12425" s="84"/>
    </row>
    <row r="12426" spans="1:14" s="2" customFormat="1">
      <c r="A12426" s="83"/>
      <c r="H12426" s="83"/>
      <c r="K12426" s="82"/>
      <c r="M12426" s="112"/>
      <c r="N12426" s="84"/>
    </row>
    <row r="12427" spans="1:14" s="2" customFormat="1">
      <c r="A12427" s="83"/>
      <c r="H12427" s="83"/>
      <c r="K12427" s="82"/>
      <c r="M12427" s="112"/>
      <c r="N12427" s="84"/>
    </row>
    <row r="12428" spans="1:14" s="2" customFormat="1">
      <c r="A12428" s="83"/>
      <c r="H12428" s="83"/>
      <c r="K12428" s="82"/>
      <c r="M12428" s="112"/>
      <c r="N12428" s="84"/>
    </row>
    <row r="12429" spans="1:14" s="2" customFormat="1">
      <c r="A12429" s="83"/>
      <c r="H12429" s="83"/>
      <c r="K12429" s="82"/>
      <c r="M12429" s="112"/>
      <c r="N12429" s="84"/>
    </row>
    <row r="12430" spans="1:14" s="2" customFormat="1">
      <c r="A12430" s="83"/>
      <c r="H12430" s="83"/>
      <c r="K12430" s="82"/>
      <c r="M12430" s="112"/>
      <c r="N12430" s="84"/>
    </row>
    <row r="12431" spans="1:14" s="2" customFormat="1">
      <c r="A12431" s="83"/>
      <c r="H12431" s="83"/>
      <c r="K12431" s="82"/>
      <c r="M12431" s="112"/>
      <c r="N12431" s="84"/>
    </row>
    <row r="12432" spans="1:14" s="2" customFormat="1">
      <c r="A12432" s="83"/>
      <c r="H12432" s="83"/>
      <c r="K12432" s="82"/>
      <c r="M12432" s="112"/>
      <c r="N12432" s="84"/>
    </row>
    <row r="12433" spans="1:14" s="2" customFormat="1">
      <c r="A12433" s="83"/>
      <c r="H12433" s="83"/>
      <c r="K12433" s="82"/>
      <c r="M12433" s="112"/>
      <c r="N12433" s="84"/>
    </row>
    <row r="12434" spans="1:14" s="2" customFormat="1">
      <c r="A12434" s="83"/>
      <c r="H12434" s="83"/>
      <c r="K12434" s="82"/>
      <c r="M12434" s="112"/>
      <c r="N12434" s="84"/>
    </row>
    <row r="12435" spans="1:14" s="2" customFormat="1">
      <c r="A12435" s="83"/>
      <c r="H12435" s="83"/>
      <c r="K12435" s="82"/>
      <c r="M12435" s="112"/>
      <c r="N12435" s="84"/>
    </row>
    <row r="12436" spans="1:14" s="2" customFormat="1">
      <c r="A12436" s="83"/>
      <c r="H12436" s="83"/>
      <c r="K12436" s="82"/>
      <c r="M12436" s="112"/>
      <c r="N12436" s="84"/>
    </row>
    <row r="12437" spans="1:14" s="2" customFormat="1">
      <c r="A12437" s="83"/>
      <c r="H12437" s="83"/>
      <c r="K12437" s="82"/>
      <c r="M12437" s="112"/>
      <c r="N12437" s="84"/>
    </row>
    <row r="12438" spans="1:14" s="2" customFormat="1">
      <c r="A12438" s="83"/>
      <c r="H12438" s="83"/>
      <c r="K12438" s="82"/>
      <c r="M12438" s="112"/>
      <c r="N12438" s="84"/>
    </row>
    <row r="12439" spans="1:14" s="2" customFormat="1">
      <c r="A12439" s="83"/>
      <c r="H12439" s="83"/>
      <c r="K12439" s="82"/>
      <c r="M12439" s="112"/>
      <c r="N12439" s="84"/>
    </row>
    <row r="12440" spans="1:14" s="2" customFormat="1">
      <c r="A12440" s="83"/>
      <c r="H12440" s="83"/>
      <c r="K12440" s="82"/>
      <c r="M12440" s="112"/>
      <c r="N12440" s="84"/>
    </row>
    <row r="12441" spans="1:14" s="2" customFormat="1">
      <c r="A12441" s="83"/>
      <c r="H12441" s="83"/>
      <c r="K12441" s="82"/>
      <c r="M12441" s="112"/>
      <c r="N12441" s="84"/>
    </row>
    <row r="12442" spans="1:14" s="2" customFormat="1">
      <c r="A12442" s="83"/>
      <c r="H12442" s="83"/>
      <c r="K12442" s="82"/>
      <c r="M12442" s="112"/>
      <c r="N12442" s="84"/>
    </row>
    <row r="12443" spans="1:14" s="2" customFormat="1">
      <c r="A12443" s="83"/>
      <c r="H12443" s="83"/>
      <c r="K12443" s="82"/>
      <c r="M12443" s="112"/>
      <c r="N12443" s="84"/>
    </row>
    <row r="12444" spans="1:14" s="2" customFormat="1">
      <c r="A12444" s="83"/>
      <c r="H12444" s="83"/>
      <c r="K12444" s="82"/>
      <c r="M12444" s="112"/>
      <c r="N12444" s="84"/>
    </row>
    <row r="12445" spans="1:14" s="2" customFormat="1">
      <c r="A12445" s="83"/>
      <c r="H12445" s="83"/>
      <c r="K12445" s="82"/>
      <c r="M12445" s="112"/>
      <c r="N12445" s="84"/>
    </row>
    <row r="12446" spans="1:14" s="2" customFormat="1">
      <c r="A12446" s="83"/>
      <c r="H12446" s="83"/>
      <c r="K12446" s="82"/>
      <c r="M12446" s="112"/>
      <c r="N12446" s="84"/>
    </row>
    <row r="12447" spans="1:14" s="2" customFormat="1">
      <c r="A12447" s="83"/>
      <c r="H12447" s="83"/>
      <c r="K12447" s="82"/>
      <c r="M12447" s="112"/>
      <c r="N12447" s="84"/>
    </row>
    <row r="12448" spans="1:14" s="2" customFormat="1">
      <c r="A12448" s="83"/>
      <c r="H12448" s="83"/>
      <c r="K12448" s="82"/>
      <c r="M12448" s="112"/>
      <c r="N12448" s="84"/>
    </row>
    <row r="12449" spans="1:14" s="2" customFormat="1">
      <c r="A12449" s="83"/>
      <c r="H12449" s="83"/>
      <c r="K12449" s="82"/>
      <c r="M12449" s="112"/>
      <c r="N12449" s="84"/>
    </row>
    <row r="12450" spans="1:14" s="2" customFormat="1">
      <c r="A12450" s="83"/>
      <c r="H12450" s="83"/>
      <c r="K12450" s="82"/>
      <c r="M12450" s="112"/>
      <c r="N12450" s="84"/>
    </row>
    <row r="12451" spans="1:14" s="2" customFormat="1">
      <c r="A12451" s="83"/>
      <c r="H12451" s="83"/>
      <c r="K12451" s="82"/>
      <c r="M12451" s="112"/>
      <c r="N12451" s="84"/>
    </row>
    <row r="12452" spans="1:14" s="2" customFormat="1">
      <c r="A12452" s="83"/>
      <c r="H12452" s="83"/>
      <c r="K12452" s="82"/>
      <c r="M12452" s="112"/>
      <c r="N12452" s="84"/>
    </row>
    <row r="12453" spans="1:14" s="2" customFormat="1">
      <c r="A12453" s="83"/>
      <c r="H12453" s="83"/>
      <c r="K12453" s="82"/>
      <c r="M12453" s="112"/>
      <c r="N12453" s="84"/>
    </row>
    <row r="12454" spans="1:14" s="2" customFormat="1">
      <c r="A12454" s="83"/>
      <c r="H12454" s="83"/>
      <c r="K12454" s="82"/>
      <c r="M12454" s="112"/>
      <c r="N12454" s="84"/>
    </row>
    <row r="12455" spans="1:14" s="2" customFormat="1">
      <c r="A12455" s="83"/>
      <c r="H12455" s="83"/>
      <c r="K12455" s="82"/>
      <c r="M12455" s="112"/>
      <c r="N12455" s="84"/>
    </row>
    <row r="12456" spans="1:14" s="2" customFormat="1">
      <c r="A12456" s="83"/>
      <c r="H12456" s="83"/>
      <c r="K12456" s="82"/>
      <c r="M12456" s="112"/>
      <c r="N12456" s="84"/>
    </row>
    <row r="12457" spans="1:14" s="2" customFormat="1">
      <c r="A12457" s="83"/>
      <c r="H12457" s="83"/>
      <c r="K12457" s="82"/>
      <c r="M12457" s="112"/>
      <c r="N12457" s="84"/>
    </row>
    <row r="12458" spans="1:14" s="2" customFormat="1">
      <c r="A12458" s="83"/>
      <c r="H12458" s="83"/>
      <c r="K12458" s="82"/>
      <c r="M12458" s="112"/>
      <c r="N12458" s="84"/>
    </row>
    <row r="12459" spans="1:14" s="2" customFormat="1">
      <c r="A12459" s="83"/>
      <c r="H12459" s="83"/>
      <c r="K12459" s="82"/>
      <c r="M12459" s="112"/>
      <c r="N12459" s="84"/>
    </row>
    <row r="12460" spans="1:14" s="2" customFormat="1">
      <c r="A12460" s="83"/>
      <c r="H12460" s="83"/>
      <c r="K12460" s="82"/>
      <c r="M12460" s="112"/>
      <c r="N12460" s="84"/>
    </row>
    <row r="12461" spans="1:14" s="2" customFormat="1">
      <c r="A12461" s="83"/>
      <c r="H12461" s="83"/>
      <c r="K12461" s="82"/>
      <c r="M12461" s="112"/>
      <c r="N12461" s="84"/>
    </row>
    <row r="12462" spans="1:14" s="2" customFormat="1">
      <c r="A12462" s="83"/>
      <c r="H12462" s="83"/>
      <c r="K12462" s="82"/>
      <c r="M12462" s="112"/>
      <c r="N12462" s="84"/>
    </row>
    <row r="12463" spans="1:14" s="2" customFormat="1">
      <c r="A12463" s="83"/>
      <c r="H12463" s="83"/>
      <c r="K12463" s="82"/>
      <c r="M12463" s="112"/>
      <c r="N12463" s="84"/>
    </row>
    <row r="12464" spans="1:14" s="2" customFormat="1">
      <c r="A12464" s="83"/>
      <c r="H12464" s="83"/>
      <c r="K12464" s="82"/>
      <c r="M12464" s="112"/>
      <c r="N12464" s="84"/>
    </row>
    <row r="12465" spans="1:14" s="2" customFormat="1">
      <c r="A12465" s="83"/>
      <c r="H12465" s="83"/>
      <c r="K12465" s="82"/>
      <c r="M12465" s="112"/>
      <c r="N12465" s="84"/>
    </row>
    <row r="12466" spans="1:14" s="2" customFormat="1">
      <c r="A12466" s="83"/>
      <c r="H12466" s="83"/>
      <c r="K12466" s="82"/>
      <c r="M12466" s="112"/>
      <c r="N12466" s="84"/>
    </row>
    <row r="12467" spans="1:14" s="2" customFormat="1">
      <c r="A12467" s="83"/>
      <c r="H12467" s="83"/>
      <c r="K12467" s="82"/>
      <c r="M12467" s="112"/>
      <c r="N12467" s="84"/>
    </row>
    <row r="12468" spans="1:14" s="2" customFormat="1">
      <c r="A12468" s="83"/>
      <c r="H12468" s="83"/>
      <c r="K12468" s="82"/>
      <c r="M12468" s="112"/>
      <c r="N12468" s="84"/>
    </row>
    <row r="12469" spans="1:14" s="2" customFormat="1">
      <c r="A12469" s="83"/>
      <c r="H12469" s="83"/>
      <c r="K12469" s="82"/>
      <c r="M12469" s="112"/>
      <c r="N12469" s="84"/>
    </row>
    <row r="12470" spans="1:14" s="2" customFormat="1">
      <c r="A12470" s="83"/>
      <c r="H12470" s="83"/>
      <c r="K12470" s="82"/>
      <c r="M12470" s="112"/>
      <c r="N12470" s="84"/>
    </row>
    <row r="12471" spans="1:14" s="2" customFormat="1">
      <c r="A12471" s="83"/>
      <c r="H12471" s="83"/>
      <c r="K12471" s="82"/>
      <c r="M12471" s="112"/>
      <c r="N12471" s="84"/>
    </row>
    <row r="12472" spans="1:14" s="2" customFormat="1">
      <c r="A12472" s="83"/>
      <c r="H12472" s="83"/>
      <c r="K12472" s="82"/>
      <c r="M12472" s="112"/>
      <c r="N12472" s="84"/>
    </row>
    <row r="12473" spans="1:14" s="2" customFormat="1">
      <c r="A12473" s="83"/>
      <c r="H12473" s="83"/>
      <c r="K12473" s="82"/>
      <c r="M12473" s="112"/>
      <c r="N12473" s="84"/>
    </row>
    <row r="12474" spans="1:14" s="2" customFormat="1">
      <c r="A12474" s="83"/>
      <c r="H12474" s="83"/>
      <c r="K12474" s="82"/>
      <c r="M12474" s="112"/>
      <c r="N12474" s="84"/>
    </row>
    <row r="12475" spans="1:14" s="2" customFormat="1">
      <c r="A12475" s="83"/>
      <c r="H12475" s="83"/>
      <c r="K12475" s="82"/>
      <c r="M12475" s="112"/>
      <c r="N12475" s="84"/>
    </row>
    <row r="12476" spans="1:14" s="2" customFormat="1">
      <c r="A12476" s="83"/>
      <c r="H12476" s="83"/>
      <c r="K12476" s="82"/>
      <c r="M12476" s="112"/>
      <c r="N12476" s="84"/>
    </row>
    <row r="12477" spans="1:14" s="2" customFormat="1">
      <c r="A12477" s="83"/>
      <c r="H12477" s="83"/>
      <c r="K12477" s="82"/>
      <c r="M12477" s="112"/>
      <c r="N12477" s="84"/>
    </row>
    <row r="12478" spans="1:14" s="2" customFormat="1">
      <c r="A12478" s="83"/>
      <c r="H12478" s="83"/>
      <c r="K12478" s="82"/>
      <c r="M12478" s="112"/>
      <c r="N12478" s="84"/>
    </row>
    <row r="12479" spans="1:14" s="2" customFormat="1">
      <c r="A12479" s="83"/>
      <c r="H12479" s="83"/>
      <c r="K12479" s="82"/>
      <c r="M12479" s="112"/>
      <c r="N12479" s="84"/>
    </row>
    <row r="12480" spans="1:14" s="2" customFormat="1">
      <c r="A12480" s="83"/>
      <c r="H12480" s="83"/>
      <c r="K12480" s="82"/>
      <c r="M12480" s="112"/>
      <c r="N12480" s="84"/>
    </row>
    <row r="12481" spans="1:14" s="2" customFormat="1">
      <c r="A12481" s="83"/>
      <c r="H12481" s="83"/>
      <c r="K12481" s="82"/>
      <c r="M12481" s="112"/>
      <c r="N12481" s="84"/>
    </row>
    <row r="12482" spans="1:14" s="2" customFormat="1">
      <c r="A12482" s="83"/>
      <c r="H12482" s="83"/>
      <c r="K12482" s="82"/>
      <c r="M12482" s="112"/>
      <c r="N12482" s="84"/>
    </row>
    <row r="12483" spans="1:14" s="2" customFormat="1">
      <c r="A12483" s="83"/>
      <c r="H12483" s="83"/>
      <c r="K12483" s="82"/>
      <c r="M12483" s="112"/>
      <c r="N12483" s="84"/>
    </row>
    <row r="12484" spans="1:14" s="2" customFormat="1">
      <c r="A12484" s="83"/>
      <c r="H12484" s="83"/>
      <c r="K12484" s="82"/>
      <c r="M12484" s="112"/>
      <c r="N12484" s="84"/>
    </row>
    <row r="12485" spans="1:14" s="2" customFormat="1">
      <c r="A12485" s="83"/>
      <c r="H12485" s="83"/>
      <c r="K12485" s="82"/>
      <c r="M12485" s="112"/>
      <c r="N12485" s="84"/>
    </row>
    <row r="12486" spans="1:14" s="2" customFormat="1">
      <c r="A12486" s="83"/>
      <c r="H12486" s="83"/>
      <c r="K12486" s="82"/>
      <c r="M12486" s="112"/>
      <c r="N12486" s="84"/>
    </row>
    <row r="12487" spans="1:14" s="2" customFormat="1">
      <c r="A12487" s="83"/>
      <c r="H12487" s="83"/>
      <c r="K12487" s="82"/>
      <c r="M12487" s="112"/>
      <c r="N12487" s="84"/>
    </row>
    <row r="12488" spans="1:14" s="2" customFormat="1">
      <c r="A12488" s="83"/>
      <c r="H12488" s="83"/>
      <c r="K12488" s="82"/>
      <c r="M12488" s="112"/>
      <c r="N12488" s="84"/>
    </row>
    <row r="12489" spans="1:14" s="2" customFormat="1">
      <c r="A12489" s="83"/>
      <c r="H12489" s="83"/>
      <c r="K12489" s="82"/>
      <c r="M12489" s="112"/>
      <c r="N12489" s="84"/>
    </row>
    <row r="12490" spans="1:14" s="2" customFormat="1">
      <c r="A12490" s="83"/>
      <c r="H12490" s="83"/>
      <c r="K12490" s="82"/>
      <c r="M12490" s="112"/>
      <c r="N12490" s="84"/>
    </row>
    <row r="12491" spans="1:14" s="2" customFormat="1">
      <c r="A12491" s="83"/>
      <c r="H12491" s="83"/>
      <c r="K12491" s="82"/>
      <c r="M12491" s="112"/>
      <c r="N12491" s="84"/>
    </row>
    <row r="12492" spans="1:14" s="2" customFormat="1">
      <c r="A12492" s="83"/>
      <c r="H12492" s="83"/>
      <c r="K12492" s="82"/>
      <c r="M12492" s="112"/>
      <c r="N12492" s="84"/>
    </row>
    <row r="12493" spans="1:14" s="2" customFormat="1">
      <c r="A12493" s="83"/>
      <c r="H12493" s="83"/>
      <c r="K12493" s="82"/>
      <c r="M12493" s="112"/>
      <c r="N12493" s="84"/>
    </row>
    <row r="12494" spans="1:14" s="2" customFormat="1">
      <c r="A12494" s="83"/>
      <c r="H12494" s="83"/>
      <c r="K12494" s="82"/>
      <c r="M12494" s="112"/>
      <c r="N12494" s="84"/>
    </row>
    <row r="12495" spans="1:14" s="2" customFormat="1">
      <c r="A12495" s="83"/>
      <c r="H12495" s="83"/>
      <c r="K12495" s="82"/>
      <c r="M12495" s="112"/>
      <c r="N12495" s="84"/>
    </row>
    <row r="12496" spans="1:14" s="2" customFormat="1">
      <c r="A12496" s="83"/>
      <c r="H12496" s="83"/>
      <c r="K12496" s="82"/>
      <c r="M12496" s="112"/>
      <c r="N12496" s="84"/>
    </row>
    <row r="12497" spans="1:14" s="2" customFormat="1">
      <c r="A12497" s="83"/>
      <c r="H12497" s="83"/>
      <c r="K12497" s="82"/>
      <c r="M12497" s="112"/>
      <c r="N12497" s="84"/>
    </row>
    <row r="12498" spans="1:14" s="2" customFormat="1">
      <c r="A12498" s="83"/>
      <c r="H12498" s="83"/>
      <c r="K12498" s="82"/>
      <c r="M12498" s="112"/>
      <c r="N12498" s="84"/>
    </row>
    <row r="12499" spans="1:14" s="2" customFormat="1">
      <c r="A12499" s="83"/>
      <c r="H12499" s="83"/>
      <c r="K12499" s="82"/>
      <c r="M12499" s="112"/>
      <c r="N12499" s="84"/>
    </row>
    <row r="12500" spans="1:14" s="2" customFormat="1">
      <c r="A12500" s="83"/>
      <c r="H12500" s="83"/>
      <c r="K12500" s="82"/>
      <c r="M12500" s="112"/>
      <c r="N12500" s="84"/>
    </row>
    <row r="12501" spans="1:14" s="2" customFormat="1">
      <c r="A12501" s="83"/>
      <c r="H12501" s="83"/>
      <c r="K12501" s="82"/>
      <c r="M12501" s="112"/>
      <c r="N12501" s="84"/>
    </row>
    <row r="12502" spans="1:14" s="2" customFormat="1">
      <c r="A12502" s="83"/>
      <c r="H12502" s="83"/>
      <c r="K12502" s="82"/>
      <c r="M12502" s="112"/>
      <c r="N12502" s="84"/>
    </row>
    <row r="12503" spans="1:14" s="2" customFormat="1">
      <c r="A12503" s="83"/>
      <c r="H12503" s="83"/>
      <c r="K12503" s="82"/>
      <c r="M12503" s="112"/>
      <c r="N12503" s="84"/>
    </row>
    <row r="12504" spans="1:14" s="2" customFormat="1">
      <c r="A12504" s="83"/>
      <c r="H12504" s="83"/>
      <c r="K12504" s="82"/>
      <c r="M12504" s="112"/>
      <c r="N12504" s="84"/>
    </row>
    <row r="12505" spans="1:14" s="2" customFormat="1">
      <c r="A12505" s="83"/>
      <c r="H12505" s="83"/>
      <c r="K12505" s="82"/>
      <c r="M12505" s="112"/>
      <c r="N12505" s="84"/>
    </row>
    <row r="12506" spans="1:14" s="2" customFormat="1">
      <c r="A12506" s="83"/>
      <c r="H12506" s="83"/>
      <c r="K12506" s="82"/>
      <c r="M12506" s="112"/>
      <c r="N12506" s="84"/>
    </row>
    <row r="12507" spans="1:14" s="2" customFormat="1">
      <c r="A12507" s="83"/>
      <c r="H12507" s="83"/>
      <c r="K12507" s="82"/>
      <c r="M12507" s="112"/>
      <c r="N12507" s="84"/>
    </row>
    <row r="12508" spans="1:14" s="2" customFormat="1">
      <c r="A12508" s="83"/>
      <c r="H12508" s="83"/>
      <c r="K12508" s="82"/>
      <c r="M12508" s="112"/>
      <c r="N12508" s="84"/>
    </row>
    <row r="12509" spans="1:14" s="2" customFormat="1">
      <c r="A12509" s="83"/>
      <c r="H12509" s="83"/>
      <c r="K12509" s="82"/>
      <c r="M12509" s="112"/>
      <c r="N12509" s="84"/>
    </row>
    <row r="12510" spans="1:14" s="2" customFormat="1">
      <c r="A12510" s="83"/>
      <c r="H12510" s="83"/>
      <c r="K12510" s="82"/>
      <c r="M12510" s="112"/>
      <c r="N12510" s="84"/>
    </row>
    <row r="12511" spans="1:14" s="2" customFormat="1">
      <c r="A12511" s="83"/>
      <c r="H12511" s="83"/>
      <c r="K12511" s="82"/>
      <c r="M12511" s="112"/>
      <c r="N12511" s="84"/>
    </row>
    <row r="12512" spans="1:14" s="2" customFormat="1">
      <c r="A12512" s="83"/>
      <c r="H12512" s="83"/>
      <c r="K12512" s="82"/>
      <c r="M12512" s="112"/>
      <c r="N12512" s="84"/>
    </row>
    <row r="12513" spans="1:14" s="2" customFormat="1">
      <c r="A12513" s="83"/>
      <c r="H12513" s="83"/>
      <c r="K12513" s="82"/>
      <c r="M12513" s="112"/>
      <c r="N12513" s="84"/>
    </row>
    <row r="12514" spans="1:14" s="2" customFormat="1">
      <c r="A12514" s="83"/>
      <c r="H12514" s="83"/>
      <c r="K12514" s="82"/>
      <c r="M12514" s="112"/>
      <c r="N12514" s="84"/>
    </row>
    <row r="12515" spans="1:14" s="2" customFormat="1">
      <c r="A12515" s="83"/>
      <c r="H12515" s="83"/>
      <c r="K12515" s="82"/>
      <c r="M12515" s="112"/>
      <c r="N12515" s="84"/>
    </row>
    <row r="12516" spans="1:14" s="2" customFormat="1">
      <c r="A12516" s="83"/>
      <c r="H12516" s="83"/>
      <c r="K12516" s="82"/>
      <c r="M12516" s="112"/>
      <c r="N12516" s="84"/>
    </row>
    <row r="12517" spans="1:14" s="2" customFormat="1">
      <c r="A12517" s="83"/>
      <c r="H12517" s="83"/>
      <c r="K12517" s="82"/>
      <c r="M12517" s="112"/>
      <c r="N12517" s="84"/>
    </row>
    <row r="12518" spans="1:14" s="2" customFormat="1">
      <c r="A12518" s="83"/>
      <c r="H12518" s="83"/>
      <c r="K12518" s="82"/>
      <c r="M12518" s="112"/>
      <c r="N12518" s="84"/>
    </row>
    <row r="12519" spans="1:14" s="2" customFormat="1">
      <c r="A12519" s="83"/>
      <c r="H12519" s="83"/>
      <c r="K12519" s="82"/>
      <c r="M12519" s="112"/>
      <c r="N12519" s="84"/>
    </row>
    <row r="12520" spans="1:14" s="2" customFormat="1">
      <c r="A12520" s="83"/>
      <c r="H12520" s="83"/>
      <c r="K12520" s="82"/>
      <c r="M12520" s="112"/>
      <c r="N12520" s="84"/>
    </row>
    <row r="12521" spans="1:14" s="2" customFormat="1">
      <c r="A12521" s="83"/>
      <c r="H12521" s="83"/>
      <c r="K12521" s="82"/>
      <c r="M12521" s="112"/>
      <c r="N12521" s="84"/>
    </row>
    <row r="12522" spans="1:14" s="2" customFormat="1">
      <c r="A12522" s="83"/>
      <c r="H12522" s="83"/>
      <c r="K12522" s="82"/>
      <c r="M12522" s="112"/>
      <c r="N12522" s="84"/>
    </row>
    <row r="12523" spans="1:14" s="2" customFormat="1">
      <c r="A12523" s="83"/>
      <c r="H12523" s="83"/>
      <c r="K12523" s="82"/>
      <c r="M12523" s="112"/>
      <c r="N12523" s="84"/>
    </row>
    <row r="12524" spans="1:14" s="2" customFormat="1">
      <c r="A12524" s="83"/>
      <c r="H12524" s="83"/>
      <c r="K12524" s="82"/>
      <c r="M12524" s="112"/>
      <c r="N12524" s="84"/>
    </row>
    <row r="12525" spans="1:14" s="2" customFormat="1">
      <c r="A12525" s="83"/>
      <c r="H12525" s="83"/>
      <c r="K12525" s="82"/>
      <c r="M12525" s="112"/>
      <c r="N12525" s="84"/>
    </row>
    <row r="12526" spans="1:14" s="2" customFormat="1">
      <c r="A12526" s="83"/>
      <c r="H12526" s="83"/>
      <c r="K12526" s="82"/>
      <c r="M12526" s="112"/>
      <c r="N12526" s="84"/>
    </row>
    <row r="12527" spans="1:14" s="2" customFormat="1">
      <c r="A12527" s="83"/>
      <c r="H12527" s="83"/>
      <c r="K12527" s="82"/>
      <c r="M12527" s="112"/>
      <c r="N12527" s="84"/>
    </row>
    <row r="12528" spans="1:14" s="2" customFormat="1">
      <c r="A12528" s="83"/>
      <c r="H12528" s="83"/>
      <c r="K12528" s="82"/>
      <c r="M12528" s="112"/>
      <c r="N12528" s="84"/>
    </row>
    <row r="12529" spans="1:14" s="2" customFormat="1">
      <c r="A12529" s="83"/>
      <c r="H12529" s="83"/>
      <c r="K12529" s="82"/>
      <c r="M12529" s="112"/>
      <c r="N12529" s="84"/>
    </row>
    <row r="12530" spans="1:14" s="2" customFormat="1">
      <c r="A12530" s="83"/>
      <c r="H12530" s="83"/>
      <c r="K12530" s="82"/>
      <c r="M12530" s="112"/>
      <c r="N12530" s="84"/>
    </row>
    <row r="12531" spans="1:14" s="2" customFormat="1">
      <c r="A12531" s="83"/>
      <c r="H12531" s="83"/>
      <c r="K12531" s="82"/>
      <c r="M12531" s="112"/>
      <c r="N12531" s="84"/>
    </row>
    <row r="12532" spans="1:14" s="2" customFormat="1">
      <c r="A12532" s="83"/>
      <c r="H12532" s="83"/>
      <c r="K12532" s="82"/>
      <c r="M12532" s="112"/>
      <c r="N12532" s="84"/>
    </row>
    <row r="12533" spans="1:14" s="2" customFormat="1">
      <c r="A12533" s="83"/>
      <c r="H12533" s="83"/>
      <c r="K12533" s="82"/>
      <c r="M12533" s="112"/>
      <c r="N12533" s="84"/>
    </row>
    <row r="12534" spans="1:14" s="2" customFormat="1">
      <c r="A12534" s="83"/>
      <c r="H12534" s="83"/>
      <c r="K12534" s="82"/>
      <c r="M12534" s="112"/>
      <c r="N12534" s="84"/>
    </row>
    <row r="12535" spans="1:14" s="2" customFormat="1">
      <c r="A12535" s="83"/>
      <c r="H12535" s="83"/>
      <c r="K12535" s="82"/>
      <c r="M12535" s="112"/>
      <c r="N12535" s="84"/>
    </row>
    <row r="12536" spans="1:14" s="2" customFormat="1">
      <c r="A12536" s="83"/>
      <c r="H12536" s="83"/>
      <c r="K12536" s="82"/>
      <c r="M12536" s="112"/>
      <c r="N12536" s="84"/>
    </row>
    <row r="12537" spans="1:14" s="2" customFormat="1">
      <c r="A12537" s="83"/>
      <c r="H12537" s="83"/>
      <c r="K12537" s="82"/>
      <c r="M12537" s="112"/>
      <c r="N12537" s="84"/>
    </row>
    <row r="12538" spans="1:14" s="2" customFormat="1">
      <c r="A12538" s="83"/>
      <c r="H12538" s="83"/>
      <c r="K12538" s="82"/>
      <c r="M12538" s="112"/>
      <c r="N12538" s="84"/>
    </row>
    <row r="12539" spans="1:14" s="2" customFormat="1">
      <c r="A12539" s="83"/>
      <c r="H12539" s="83"/>
      <c r="K12539" s="82"/>
      <c r="M12539" s="112"/>
      <c r="N12539" s="84"/>
    </row>
    <row r="12540" spans="1:14" s="2" customFormat="1">
      <c r="A12540" s="83"/>
      <c r="H12540" s="83"/>
      <c r="K12540" s="82"/>
      <c r="M12540" s="112"/>
      <c r="N12540" s="84"/>
    </row>
    <row r="12541" spans="1:14" s="2" customFormat="1">
      <c r="A12541" s="83"/>
      <c r="H12541" s="83"/>
      <c r="K12541" s="82"/>
      <c r="M12541" s="112"/>
      <c r="N12541" s="84"/>
    </row>
    <row r="12542" spans="1:14" s="2" customFormat="1">
      <c r="A12542" s="83"/>
      <c r="H12542" s="83"/>
      <c r="K12542" s="82"/>
      <c r="M12542" s="112"/>
      <c r="N12542" s="84"/>
    </row>
    <row r="12543" spans="1:14" s="2" customFormat="1">
      <c r="A12543" s="83"/>
      <c r="H12543" s="83"/>
      <c r="K12543" s="82"/>
      <c r="M12543" s="112"/>
      <c r="N12543" s="84"/>
    </row>
    <row r="12544" spans="1:14" s="2" customFormat="1">
      <c r="A12544" s="83"/>
      <c r="H12544" s="83"/>
      <c r="K12544" s="82"/>
      <c r="M12544" s="112"/>
      <c r="N12544" s="84"/>
    </row>
    <row r="12545" spans="1:14" s="2" customFormat="1">
      <c r="A12545" s="83"/>
      <c r="H12545" s="83"/>
      <c r="K12545" s="82"/>
      <c r="M12545" s="112"/>
      <c r="N12545" s="84"/>
    </row>
    <row r="12546" spans="1:14" s="2" customFormat="1">
      <c r="A12546" s="83"/>
      <c r="H12546" s="83"/>
      <c r="K12546" s="82"/>
      <c r="M12546" s="112"/>
      <c r="N12546" s="84"/>
    </row>
    <row r="12547" spans="1:14" s="2" customFormat="1">
      <c r="A12547" s="83"/>
      <c r="H12547" s="83"/>
      <c r="K12547" s="82"/>
      <c r="M12547" s="112"/>
      <c r="N12547" s="84"/>
    </row>
    <row r="12548" spans="1:14" s="2" customFormat="1">
      <c r="A12548" s="83"/>
      <c r="H12548" s="83"/>
      <c r="K12548" s="82"/>
      <c r="M12548" s="112"/>
      <c r="N12548" s="84"/>
    </row>
    <row r="12549" spans="1:14" s="2" customFormat="1">
      <c r="A12549" s="83"/>
      <c r="H12549" s="83"/>
      <c r="K12549" s="82"/>
      <c r="M12549" s="112"/>
      <c r="N12549" s="84"/>
    </row>
    <row r="12550" spans="1:14" s="2" customFormat="1">
      <c r="A12550" s="83"/>
      <c r="H12550" s="83"/>
      <c r="K12550" s="82"/>
      <c r="M12550" s="112"/>
      <c r="N12550" s="84"/>
    </row>
    <row r="12551" spans="1:14" s="2" customFormat="1">
      <c r="A12551" s="83"/>
      <c r="H12551" s="83"/>
      <c r="K12551" s="82"/>
      <c r="M12551" s="112"/>
      <c r="N12551" s="84"/>
    </row>
    <row r="12552" spans="1:14" s="2" customFormat="1">
      <c r="A12552" s="83"/>
      <c r="H12552" s="83"/>
      <c r="K12552" s="82"/>
      <c r="M12552" s="112"/>
      <c r="N12552" s="84"/>
    </row>
    <row r="12553" spans="1:14" s="2" customFormat="1">
      <c r="A12553" s="83"/>
      <c r="H12553" s="83"/>
      <c r="K12553" s="82"/>
      <c r="M12553" s="112"/>
      <c r="N12553" s="84"/>
    </row>
    <row r="12554" spans="1:14" s="2" customFormat="1">
      <c r="A12554" s="83"/>
      <c r="H12554" s="83"/>
      <c r="K12554" s="82"/>
      <c r="M12554" s="112"/>
      <c r="N12554" s="84"/>
    </row>
    <row r="12555" spans="1:14" s="2" customFormat="1">
      <c r="A12555" s="83"/>
      <c r="H12555" s="83"/>
      <c r="K12555" s="82"/>
      <c r="M12555" s="112"/>
      <c r="N12555" s="84"/>
    </row>
    <row r="12556" spans="1:14" s="2" customFormat="1">
      <c r="A12556" s="83"/>
      <c r="H12556" s="83"/>
      <c r="K12556" s="82"/>
      <c r="M12556" s="112"/>
      <c r="N12556" s="84"/>
    </row>
    <row r="12557" spans="1:14" s="2" customFormat="1">
      <c r="A12557" s="83"/>
      <c r="H12557" s="83"/>
      <c r="K12557" s="82"/>
      <c r="M12557" s="112"/>
      <c r="N12557" s="84"/>
    </row>
    <row r="12558" spans="1:14" s="2" customFormat="1">
      <c r="A12558" s="83"/>
      <c r="H12558" s="83"/>
      <c r="K12558" s="82"/>
      <c r="M12558" s="112"/>
      <c r="N12558" s="84"/>
    </row>
    <row r="12559" spans="1:14" s="2" customFormat="1">
      <c r="A12559" s="83"/>
      <c r="H12559" s="83"/>
      <c r="K12559" s="82"/>
      <c r="M12559" s="112"/>
      <c r="N12559" s="84"/>
    </row>
    <row r="12560" spans="1:14" s="2" customFormat="1">
      <c r="A12560" s="83"/>
      <c r="H12560" s="83"/>
      <c r="K12560" s="82"/>
      <c r="M12560" s="112"/>
      <c r="N12560" s="84"/>
    </row>
    <row r="12561" spans="1:14" s="2" customFormat="1">
      <c r="A12561" s="83"/>
      <c r="H12561" s="83"/>
      <c r="K12561" s="82"/>
      <c r="M12561" s="112"/>
      <c r="N12561" s="84"/>
    </row>
    <row r="12562" spans="1:14" s="2" customFormat="1">
      <c r="A12562" s="83"/>
      <c r="H12562" s="83"/>
      <c r="K12562" s="82"/>
      <c r="M12562" s="112"/>
      <c r="N12562" s="84"/>
    </row>
    <row r="12563" spans="1:14" s="2" customFormat="1">
      <c r="A12563" s="83"/>
      <c r="H12563" s="83"/>
      <c r="K12563" s="82"/>
      <c r="M12563" s="112"/>
      <c r="N12563" s="84"/>
    </row>
    <row r="12564" spans="1:14" s="2" customFormat="1">
      <c r="A12564" s="83"/>
      <c r="H12564" s="83"/>
      <c r="K12564" s="82"/>
      <c r="M12564" s="112"/>
      <c r="N12564" s="84"/>
    </row>
    <row r="12565" spans="1:14" s="2" customFormat="1">
      <c r="A12565" s="83"/>
      <c r="H12565" s="83"/>
      <c r="K12565" s="82"/>
      <c r="M12565" s="112"/>
      <c r="N12565" s="84"/>
    </row>
    <row r="12566" spans="1:14" s="2" customFormat="1">
      <c r="A12566" s="83"/>
      <c r="H12566" s="83"/>
      <c r="K12566" s="82"/>
      <c r="M12566" s="112"/>
      <c r="N12566" s="84"/>
    </row>
    <row r="12567" spans="1:14" s="2" customFormat="1">
      <c r="A12567" s="83"/>
      <c r="H12567" s="83"/>
      <c r="K12567" s="82"/>
      <c r="M12567" s="112"/>
      <c r="N12567" s="84"/>
    </row>
    <row r="12568" spans="1:14" s="2" customFormat="1">
      <c r="A12568" s="83"/>
      <c r="H12568" s="83"/>
      <c r="K12568" s="82"/>
      <c r="M12568" s="112"/>
      <c r="N12568" s="84"/>
    </row>
    <row r="12569" spans="1:14" s="2" customFormat="1">
      <c r="A12569" s="83"/>
      <c r="H12569" s="83"/>
      <c r="K12569" s="82"/>
      <c r="M12569" s="112"/>
      <c r="N12569" s="84"/>
    </row>
    <row r="12570" spans="1:14" s="2" customFormat="1">
      <c r="A12570" s="83"/>
      <c r="H12570" s="83"/>
      <c r="K12570" s="82"/>
      <c r="M12570" s="112"/>
      <c r="N12570" s="84"/>
    </row>
    <row r="12571" spans="1:14" s="2" customFormat="1">
      <c r="A12571" s="83"/>
      <c r="H12571" s="83"/>
      <c r="K12571" s="82"/>
      <c r="M12571" s="112"/>
      <c r="N12571" s="84"/>
    </row>
    <row r="12572" spans="1:14" s="2" customFormat="1">
      <c r="A12572" s="83"/>
      <c r="H12572" s="83"/>
      <c r="K12572" s="82"/>
      <c r="M12572" s="112"/>
      <c r="N12572" s="84"/>
    </row>
    <row r="12573" spans="1:14" s="2" customFormat="1">
      <c r="A12573" s="83"/>
      <c r="H12573" s="83"/>
      <c r="K12573" s="82"/>
      <c r="M12573" s="112"/>
      <c r="N12573" s="84"/>
    </row>
    <row r="12574" spans="1:14" s="2" customFormat="1">
      <c r="A12574" s="83"/>
      <c r="H12574" s="83"/>
      <c r="K12574" s="82"/>
      <c r="M12574" s="112"/>
      <c r="N12574" s="84"/>
    </row>
    <row r="12575" spans="1:14" s="2" customFormat="1">
      <c r="A12575" s="83"/>
      <c r="H12575" s="83"/>
      <c r="K12575" s="82"/>
      <c r="M12575" s="112"/>
      <c r="N12575" s="84"/>
    </row>
    <row r="12576" spans="1:14" s="2" customFormat="1">
      <c r="A12576" s="83"/>
      <c r="H12576" s="83"/>
      <c r="K12576" s="82"/>
      <c r="M12576" s="112"/>
      <c r="N12576" s="84"/>
    </row>
    <row r="12577" spans="1:14" s="2" customFormat="1">
      <c r="A12577" s="83"/>
      <c r="H12577" s="83"/>
      <c r="K12577" s="82"/>
      <c r="M12577" s="112"/>
      <c r="N12577" s="84"/>
    </row>
    <row r="12578" spans="1:14" s="2" customFormat="1">
      <c r="A12578" s="83"/>
      <c r="H12578" s="83"/>
      <c r="K12578" s="82"/>
      <c r="M12578" s="112"/>
      <c r="N12578" s="84"/>
    </row>
    <row r="12579" spans="1:14" s="2" customFormat="1">
      <c r="A12579" s="83"/>
      <c r="H12579" s="83"/>
      <c r="K12579" s="82"/>
      <c r="M12579" s="112"/>
      <c r="N12579" s="84"/>
    </row>
    <row r="12580" spans="1:14" s="2" customFormat="1">
      <c r="A12580" s="83"/>
      <c r="H12580" s="83"/>
      <c r="K12580" s="82"/>
      <c r="M12580" s="112"/>
      <c r="N12580" s="84"/>
    </row>
    <row r="12581" spans="1:14" s="2" customFormat="1">
      <c r="A12581" s="83"/>
      <c r="H12581" s="83"/>
      <c r="K12581" s="82"/>
      <c r="M12581" s="112"/>
      <c r="N12581" s="84"/>
    </row>
    <row r="12582" spans="1:14" s="2" customFormat="1">
      <c r="A12582" s="83"/>
      <c r="H12582" s="83"/>
      <c r="K12582" s="82"/>
      <c r="M12582" s="112"/>
      <c r="N12582" s="84"/>
    </row>
    <row r="12583" spans="1:14" s="2" customFormat="1">
      <c r="A12583" s="83"/>
      <c r="H12583" s="83"/>
      <c r="K12583" s="82"/>
      <c r="M12583" s="112"/>
      <c r="N12583" s="84"/>
    </row>
    <row r="12584" spans="1:14" s="2" customFormat="1">
      <c r="A12584" s="83"/>
      <c r="H12584" s="83"/>
      <c r="K12584" s="82"/>
      <c r="M12584" s="112"/>
      <c r="N12584" s="84"/>
    </row>
    <row r="12585" spans="1:14" s="2" customFormat="1">
      <c r="A12585" s="83"/>
      <c r="H12585" s="83"/>
      <c r="K12585" s="82"/>
      <c r="M12585" s="112"/>
      <c r="N12585" s="84"/>
    </row>
    <row r="12586" spans="1:14" s="2" customFormat="1">
      <c r="A12586" s="83"/>
      <c r="H12586" s="83"/>
      <c r="K12586" s="82"/>
      <c r="M12586" s="112"/>
      <c r="N12586" s="84"/>
    </row>
    <row r="12587" spans="1:14" s="2" customFormat="1">
      <c r="A12587" s="83"/>
      <c r="H12587" s="83"/>
      <c r="K12587" s="82"/>
      <c r="M12587" s="112"/>
      <c r="N12587" s="84"/>
    </row>
    <row r="12588" spans="1:14" s="2" customFormat="1">
      <c r="A12588" s="83"/>
      <c r="H12588" s="83"/>
      <c r="K12588" s="82"/>
      <c r="M12588" s="112"/>
      <c r="N12588" s="84"/>
    </row>
    <row r="12589" spans="1:14" s="2" customFormat="1">
      <c r="A12589" s="83"/>
      <c r="H12589" s="83"/>
      <c r="K12589" s="82"/>
      <c r="M12589" s="112"/>
      <c r="N12589" s="84"/>
    </row>
    <row r="12590" spans="1:14" s="2" customFormat="1">
      <c r="A12590" s="83"/>
      <c r="H12590" s="83"/>
      <c r="K12590" s="82"/>
      <c r="M12590" s="112"/>
      <c r="N12590" s="84"/>
    </row>
    <row r="12591" spans="1:14" s="2" customFormat="1">
      <c r="A12591" s="83"/>
      <c r="H12591" s="83"/>
      <c r="K12591" s="82"/>
      <c r="M12591" s="112"/>
      <c r="N12591" s="84"/>
    </row>
    <row r="12592" spans="1:14" s="2" customFormat="1">
      <c r="A12592" s="83"/>
      <c r="H12592" s="83"/>
      <c r="K12592" s="82"/>
      <c r="M12592" s="112"/>
      <c r="N12592" s="84"/>
    </row>
    <row r="12593" spans="1:14" s="2" customFormat="1">
      <c r="A12593" s="83"/>
      <c r="H12593" s="83"/>
      <c r="K12593" s="82"/>
      <c r="M12593" s="112"/>
      <c r="N12593" s="84"/>
    </row>
    <row r="12594" spans="1:14" s="2" customFormat="1">
      <c r="A12594" s="83"/>
      <c r="H12594" s="83"/>
      <c r="K12594" s="82"/>
      <c r="M12594" s="112"/>
      <c r="N12594" s="84"/>
    </row>
    <row r="12595" spans="1:14" s="2" customFormat="1">
      <c r="A12595" s="83"/>
      <c r="H12595" s="83"/>
      <c r="K12595" s="82"/>
      <c r="M12595" s="112"/>
      <c r="N12595" s="84"/>
    </row>
    <row r="12596" spans="1:14" s="2" customFormat="1">
      <c r="A12596" s="83"/>
      <c r="H12596" s="83"/>
      <c r="K12596" s="82"/>
      <c r="M12596" s="112"/>
      <c r="N12596" s="84"/>
    </row>
    <row r="12597" spans="1:14" s="2" customFormat="1">
      <c r="A12597" s="83"/>
      <c r="H12597" s="83"/>
      <c r="K12597" s="82"/>
      <c r="M12597" s="112"/>
      <c r="N12597" s="84"/>
    </row>
    <row r="12598" spans="1:14" s="2" customFormat="1">
      <c r="A12598" s="83"/>
      <c r="H12598" s="83"/>
      <c r="K12598" s="82"/>
      <c r="M12598" s="112"/>
      <c r="N12598" s="84"/>
    </row>
    <row r="12599" spans="1:14" s="2" customFormat="1">
      <c r="A12599" s="83"/>
      <c r="H12599" s="83"/>
      <c r="K12599" s="82"/>
      <c r="M12599" s="112"/>
      <c r="N12599" s="84"/>
    </row>
    <row r="12600" spans="1:14" s="2" customFormat="1">
      <c r="A12600" s="83"/>
      <c r="H12600" s="83"/>
      <c r="K12600" s="82"/>
      <c r="M12600" s="112"/>
      <c r="N12600" s="84"/>
    </row>
    <row r="12601" spans="1:14" s="2" customFormat="1">
      <c r="A12601" s="83"/>
      <c r="H12601" s="83"/>
      <c r="K12601" s="82"/>
      <c r="M12601" s="112"/>
      <c r="N12601" s="84"/>
    </row>
    <row r="12602" spans="1:14" s="2" customFormat="1">
      <c r="A12602" s="83"/>
      <c r="H12602" s="83"/>
      <c r="K12602" s="82"/>
      <c r="M12602" s="112"/>
      <c r="N12602" s="84"/>
    </row>
    <row r="12603" spans="1:14" s="2" customFormat="1">
      <c r="A12603" s="83"/>
      <c r="H12603" s="83"/>
      <c r="K12603" s="82"/>
      <c r="M12603" s="112"/>
      <c r="N12603" s="84"/>
    </row>
    <row r="12604" spans="1:14" s="2" customFormat="1">
      <c r="A12604" s="83"/>
      <c r="H12604" s="83"/>
      <c r="K12604" s="82"/>
      <c r="M12604" s="112"/>
      <c r="N12604" s="84"/>
    </row>
    <row r="12605" spans="1:14" s="2" customFormat="1">
      <c r="A12605" s="83"/>
      <c r="H12605" s="83"/>
      <c r="K12605" s="82"/>
      <c r="M12605" s="112"/>
      <c r="N12605" s="84"/>
    </row>
    <row r="12606" spans="1:14" s="2" customFormat="1">
      <c r="A12606" s="83"/>
      <c r="H12606" s="83"/>
      <c r="K12606" s="82"/>
      <c r="M12606" s="112"/>
      <c r="N12606" s="84"/>
    </row>
    <row r="12607" spans="1:14" s="2" customFormat="1">
      <c r="A12607" s="83"/>
      <c r="H12607" s="83"/>
      <c r="K12607" s="82"/>
      <c r="M12607" s="112"/>
      <c r="N12607" s="84"/>
    </row>
    <row r="12608" spans="1:14" s="2" customFormat="1">
      <c r="A12608" s="83"/>
      <c r="H12608" s="83"/>
      <c r="K12608" s="82"/>
      <c r="M12608" s="112"/>
      <c r="N12608" s="84"/>
    </row>
    <row r="12609" spans="1:14" s="2" customFormat="1">
      <c r="A12609" s="83"/>
      <c r="H12609" s="83"/>
      <c r="K12609" s="82"/>
      <c r="M12609" s="112"/>
      <c r="N12609" s="84"/>
    </row>
    <row r="12610" spans="1:14" s="2" customFormat="1">
      <c r="A12610" s="83"/>
      <c r="H12610" s="83"/>
      <c r="K12610" s="82"/>
      <c r="M12610" s="112"/>
      <c r="N12610" s="84"/>
    </row>
    <row r="12611" spans="1:14" s="2" customFormat="1">
      <c r="A12611" s="83"/>
      <c r="H12611" s="83"/>
      <c r="K12611" s="82"/>
      <c r="M12611" s="112"/>
      <c r="N12611" s="84"/>
    </row>
    <row r="12612" spans="1:14" s="2" customFormat="1">
      <c r="A12612" s="83"/>
      <c r="H12612" s="83"/>
      <c r="K12612" s="82"/>
      <c r="M12612" s="112"/>
      <c r="N12612" s="84"/>
    </row>
    <row r="12613" spans="1:14" s="2" customFormat="1">
      <c r="A12613" s="83"/>
      <c r="H12613" s="83"/>
      <c r="K12613" s="82"/>
      <c r="M12613" s="112"/>
      <c r="N12613" s="84"/>
    </row>
    <row r="12614" spans="1:14" s="2" customFormat="1">
      <c r="A12614" s="83"/>
      <c r="H12614" s="83"/>
      <c r="K12614" s="82"/>
      <c r="M12614" s="112"/>
      <c r="N12614" s="84"/>
    </row>
    <row r="12615" spans="1:14" s="2" customFormat="1">
      <c r="A12615" s="83"/>
      <c r="H12615" s="83"/>
      <c r="K12615" s="82"/>
      <c r="M12615" s="112"/>
      <c r="N12615" s="84"/>
    </row>
    <row r="12616" spans="1:14" s="2" customFormat="1">
      <c r="A12616" s="83"/>
      <c r="H12616" s="83"/>
      <c r="K12616" s="82"/>
      <c r="M12616" s="112"/>
      <c r="N12616" s="84"/>
    </row>
    <row r="12617" spans="1:14" s="2" customFormat="1">
      <c r="A12617" s="83"/>
      <c r="H12617" s="83"/>
      <c r="K12617" s="82"/>
      <c r="M12617" s="112"/>
      <c r="N12617" s="84"/>
    </row>
    <row r="12618" spans="1:14" s="2" customFormat="1">
      <c r="A12618" s="83"/>
      <c r="H12618" s="83"/>
      <c r="K12618" s="82"/>
      <c r="M12618" s="112"/>
      <c r="N12618" s="84"/>
    </row>
    <row r="12619" spans="1:14" s="2" customFormat="1">
      <c r="A12619" s="83"/>
      <c r="H12619" s="83"/>
      <c r="K12619" s="82"/>
      <c r="M12619" s="112"/>
      <c r="N12619" s="84"/>
    </row>
    <row r="12620" spans="1:14" s="2" customFormat="1">
      <c r="A12620" s="83"/>
      <c r="H12620" s="83"/>
      <c r="K12620" s="82"/>
      <c r="M12620" s="112"/>
      <c r="N12620" s="84"/>
    </row>
    <row r="12621" spans="1:14" s="2" customFormat="1">
      <c r="A12621" s="83"/>
      <c r="H12621" s="83"/>
      <c r="K12621" s="82"/>
      <c r="M12621" s="112"/>
      <c r="N12621" s="84"/>
    </row>
    <row r="12622" spans="1:14" s="2" customFormat="1">
      <c r="A12622" s="83"/>
      <c r="H12622" s="83"/>
      <c r="K12622" s="82"/>
      <c r="M12622" s="112"/>
      <c r="N12622" s="84"/>
    </row>
    <row r="12623" spans="1:14" s="2" customFormat="1">
      <c r="A12623" s="83"/>
      <c r="H12623" s="83"/>
      <c r="K12623" s="82"/>
      <c r="M12623" s="112"/>
      <c r="N12623" s="84"/>
    </row>
    <row r="12624" spans="1:14" s="2" customFormat="1">
      <c r="A12624" s="83"/>
      <c r="H12624" s="83"/>
      <c r="K12624" s="82"/>
      <c r="M12624" s="112"/>
      <c r="N12624" s="84"/>
    </row>
    <row r="12625" spans="1:14" s="2" customFormat="1">
      <c r="A12625" s="83"/>
      <c r="H12625" s="83"/>
      <c r="K12625" s="82"/>
      <c r="M12625" s="112"/>
      <c r="N12625" s="84"/>
    </row>
    <row r="12626" spans="1:14" s="2" customFormat="1">
      <c r="A12626" s="83"/>
      <c r="H12626" s="83"/>
      <c r="K12626" s="82"/>
      <c r="M12626" s="112"/>
      <c r="N12626" s="84"/>
    </row>
    <row r="12627" spans="1:14" s="2" customFormat="1">
      <c r="A12627" s="83"/>
      <c r="H12627" s="83"/>
      <c r="K12627" s="82"/>
      <c r="M12627" s="112"/>
      <c r="N12627" s="84"/>
    </row>
    <row r="12628" spans="1:14" s="2" customFormat="1">
      <c r="A12628" s="83"/>
      <c r="H12628" s="83"/>
      <c r="K12628" s="82"/>
      <c r="M12628" s="112"/>
      <c r="N12628" s="84"/>
    </row>
    <row r="12629" spans="1:14" s="2" customFormat="1">
      <c r="A12629" s="83"/>
      <c r="H12629" s="83"/>
      <c r="K12629" s="82"/>
      <c r="M12629" s="112"/>
      <c r="N12629" s="84"/>
    </row>
    <row r="12630" spans="1:14" s="2" customFormat="1">
      <c r="A12630" s="83"/>
      <c r="H12630" s="83"/>
      <c r="K12630" s="82"/>
      <c r="M12630" s="112"/>
      <c r="N12630" s="84"/>
    </row>
    <row r="12631" spans="1:14" s="2" customFormat="1">
      <c r="A12631" s="83"/>
      <c r="H12631" s="83"/>
      <c r="K12631" s="82"/>
      <c r="M12631" s="112"/>
      <c r="N12631" s="84"/>
    </row>
    <row r="12632" spans="1:14" s="2" customFormat="1">
      <c r="A12632" s="83"/>
      <c r="H12632" s="83"/>
      <c r="K12632" s="82"/>
      <c r="M12632" s="112"/>
      <c r="N12632" s="84"/>
    </row>
    <row r="12633" spans="1:14" s="2" customFormat="1">
      <c r="A12633" s="83"/>
      <c r="H12633" s="83"/>
      <c r="K12633" s="82"/>
      <c r="M12633" s="112"/>
      <c r="N12633" s="84"/>
    </row>
    <row r="12634" spans="1:14" s="2" customFormat="1">
      <c r="A12634" s="83"/>
      <c r="H12634" s="83"/>
      <c r="K12634" s="82"/>
      <c r="M12634" s="112"/>
      <c r="N12634" s="84"/>
    </row>
    <row r="12635" spans="1:14" s="2" customFormat="1">
      <c r="A12635" s="83"/>
      <c r="H12635" s="83"/>
      <c r="K12635" s="82"/>
      <c r="M12635" s="112"/>
      <c r="N12635" s="84"/>
    </row>
    <row r="12636" spans="1:14" s="2" customFormat="1">
      <c r="A12636" s="83"/>
      <c r="H12636" s="83"/>
      <c r="K12636" s="82"/>
      <c r="M12636" s="112"/>
      <c r="N12636" s="84"/>
    </row>
    <row r="12637" spans="1:14" s="2" customFormat="1">
      <c r="A12637" s="83"/>
      <c r="H12637" s="83"/>
      <c r="K12637" s="82"/>
      <c r="M12637" s="112"/>
      <c r="N12637" s="84"/>
    </row>
    <row r="12638" spans="1:14" s="2" customFormat="1">
      <c r="A12638" s="83"/>
      <c r="H12638" s="83"/>
      <c r="K12638" s="82"/>
      <c r="M12638" s="112"/>
      <c r="N12638" s="84"/>
    </row>
    <row r="12639" spans="1:14" s="2" customFormat="1">
      <c r="A12639" s="83"/>
      <c r="H12639" s="83"/>
      <c r="K12639" s="82"/>
      <c r="M12639" s="112"/>
      <c r="N12639" s="84"/>
    </row>
    <row r="12640" spans="1:14" s="2" customFormat="1">
      <c r="A12640" s="83"/>
      <c r="H12640" s="83"/>
      <c r="K12640" s="82"/>
      <c r="M12640" s="112"/>
      <c r="N12640" s="84"/>
    </row>
    <row r="12641" spans="1:14" s="2" customFormat="1">
      <c r="A12641" s="83"/>
      <c r="H12641" s="83"/>
      <c r="K12641" s="82"/>
      <c r="M12641" s="112"/>
      <c r="N12641" s="84"/>
    </row>
    <row r="12642" spans="1:14" s="2" customFormat="1">
      <c r="A12642" s="83"/>
      <c r="H12642" s="83"/>
      <c r="K12642" s="82"/>
      <c r="M12642" s="112"/>
      <c r="N12642" s="84"/>
    </row>
    <row r="12643" spans="1:14" s="2" customFormat="1">
      <c r="A12643" s="83"/>
      <c r="H12643" s="83"/>
      <c r="K12643" s="82"/>
      <c r="M12643" s="112"/>
      <c r="N12643" s="84"/>
    </row>
    <row r="12644" spans="1:14" s="2" customFormat="1">
      <c r="A12644" s="83"/>
      <c r="H12644" s="83"/>
      <c r="K12644" s="82"/>
      <c r="M12644" s="112"/>
      <c r="N12644" s="84"/>
    </row>
    <row r="12645" spans="1:14" s="2" customFormat="1">
      <c r="A12645" s="83"/>
      <c r="H12645" s="83"/>
      <c r="K12645" s="82"/>
      <c r="M12645" s="112"/>
      <c r="N12645" s="84"/>
    </row>
    <row r="12646" spans="1:14" s="2" customFormat="1">
      <c r="A12646" s="83"/>
      <c r="H12646" s="83"/>
      <c r="K12646" s="82"/>
      <c r="M12646" s="112"/>
      <c r="N12646" s="84"/>
    </row>
    <row r="12647" spans="1:14" s="2" customFormat="1">
      <c r="A12647" s="83"/>
      <c r="H12647" s="83"/>
      <c r="K12647" s="82"/>
      <c r="M12647" s="112"/>
      <c r="N12647" s="84"/>
    </row>
    <row r="12648" spans="1:14" s="2" customFormat="1">
      <c r="A12648" s="83"/>
      <c r="H12648" s="83"/>
      <c r="K12648" s="82"/>
      <c r="M12648" s="112"/>
      <c r="N12648" s="84"/>
    </row>
    <row r="12649" spans="1:14" s="2" customFormat="1">
      <c r="A12649" s="83"/>
      <c r="H12649" s="83"/>
      <c r="K12649" s="82"/>
      <c r="M12649" s="112"/>
      <c r="N12649" s="84"/>
    </row>
    <row r="12650" spans="1:14" s="2" customFormat="1">
      <c r="A12650" s="83"/>
      <c r="H12650" s="83"/>
      <c r="K12650" s="82"/>
      <c r="M12650" s="112"/>
      <c r="N12650" s="84"/>
    </row>
    <row r="12651" spans="1:14" s="2" customFormat="1">
      <c r="A12651" s="83"/>
      <c r="H12651" s="83"/>
      <c r="K12651" s="82"/>
      <c r="M12651" s="112"/>
      <c r="N12651" s="84"/>
    </row>
    <row r="12652" spans="1:14" s="2" customFormat="1">
      <c r="A12652" s="83"/>
      <c r="H12652" s="83"/>
      <c r="K12652" s="82"/>
      <c r="M12652" s="112"/>
      <c r="N12652" s="84"/>
    </row>
    <row r="12653" spans="1:14" s="2" customFormat="1">
      <c r="A12653" s="83"/>
      <c r="H12653" s="83"/>
      <c r="K12653" s="82"/>
      <c r="M12653" s="112"/>
      <c r="N12653" s="84"/>
    </row>
    <row r="12654" spans="1:14" s="2" customFormat="1">
      <c r="A12654" s="83"/>
      <c r="H12654" s="83"/>
      <c r="K12654" s="82"/>
      <c r="M12654" s="112"/>
      <c r="N12654" s="84"/>
    </row>
    <row r="12655" spans="1:14" s="2" customFormat="1">
      <c r="A12655" s="83"/>
      <c r="H12655" s="83"/>
      <c r="K12655" s="82"/>
      <c r="M12655" s="112"/>
      <c r="N12655" s="84"/>
    </row>
    <row r="12656" spans="1:14" s="2" customFormat="1">
      <c r="A12656" s="83"/>
      <c r="H12656" s="83"/>
      <c r="K12656" s="82"/>
      <c r="M12656" s="112"/>
      <c r="N12656" s="84"/>
    </row>
    <row r="12657" spans="1:14" s="2" customFormat="1">
      <c r="A12657" s="83"/>
      <c r="H12657" s="83"/>
      <c r="K12657" s="82"/>
      <c r="M12657" s="112"/>
      <c r="N12657" s="84"/>
    </row>
    <row r="12658" spans="1:14" s="2" customFormat="1">
      <c r="A12658" s="83"/>
      <c r="H12658" s="83"/>
      <c r="K12658" s="82"/>
      <c r="M12658" s="112"/>
      <c r="N12658" s="84"/>
    </row>
    <row r="12659" spans="1:14" s="2" customFormat="1">
      <c r="A12659" s="83"/>
      <c r="H12659" s="83"/>
      <c r="K12659" s="82"/>
      <c r="M12659" s="112"/>
      <c r="N12659" s="84"/>
    </row>
    <row r="12660" spans="1:14" s="2" customFormat="1">
      <c r="A12660" s="83"/>
      <c r="H12660" s="83"/>
      <c r="K12660" s="82"/>
      <c r="M12660" s="112"/>
      <c r="N12660" s="84"/>
    </row>
    <row r="12661" spans="1:14" s="2" customFormat="1">
      <c r="A12661" s="83"/>
      <c r="H12661" s="83"/>
      <c r="K12661" s="82"/>
      <c r="M12661" s="112"/>
      <c r="N12661" s="84"/>
    </row>
    <row r="12662" spans="1:14" s="2" customFormat="1">
      <c r="A12662" s="83"/>
      <c r="H12662" s="83"/>
      <c r="K12662" s="82"/>
      <c r="M12662" s="112"/>
      <c r="N12662" s="84"/>
    </row>
    <row r="12663" spans="1:14" s="2" customFormat="1">
      <c r="A12663" s="83"/>
      <c r="H12663" s="83"/>
      <c r="K12663" s="82"/>
      <c r="M12663" s="112"/>
      <c r="N12663" s="84"/>
    </row>
    <row r="12664" spans="1:14" s="2" customFormat="1">
      <c r="A12664" s="83"/>
      <c r="H12664" s="83"/>
      <c r="K12664" s="82"/>
      <c r="M12664" s="112"/>
      <c r="N12664" s="84"/>
    </row>
    <row r="12665" spans="1:14" s="2" customFormat="1">
      <c r="A12665" s="83"/>
      <c r="H12665" s="83"/>
      <c r="K12665" s="82"/>
      <c r="M12665" s="112"/>
      <c r="N12665" s="84"/>
    </row>
    <row r="12666" spans="1:14" s="2" customFormat="1">
      <c r="A12666" s="83"/>
      <c r="H12666" s="83"/>
      <c r="K12666" s="82"/>
      <c r="M12666" s="112"/>
      <c r="N12666" s="84"/>
    </row>
    <row r="12667" spans="1:14" s="2" customFormat="1">
      <c r="A12667" s="83"/>
      <c r="H12667" s="83"/>
      <c r="K12667" s="82"/>
      <c r="M12667" s="112"/>
      <c r="N12667" s="84"/>
    </row>
    <row r="12668" spans="1:14" s="2" customFormat="1">
      <c r="A12668" s="83"/>
      <c r="H12668" s="83"/>
      <c r="K12668" s="82"/>
      <c r="M12668" s="112"/>
      <c r="N12668" s="84"/>
    </row>
    <row r="12669" spans="1:14" s="2" customFormat="1">
      <c r="A12669" s="83"/>
      <c r="H12669" s="83"/>
      <c r="K12669" s="82"/>
      <c r="M12669" s="112"/>
      <c r="N12669" s="84"/>
    </row>
    <row r="12670" spans="1:14" s="2" customFormat="1">
      <c r="A12670" s="83"/>
      <c r="H12670" s="83"/>
      <c r="K12670" s="82"/>
      <c r="M12670" s="112"/>
      <c r="N12670" s="84"/>
    </row>
    <row r="12671" spans="1:14" s="2" customFormat="1">
      <c r="A12671" s="83"/>
      <c r="H12671" s="83"/>
      <c r="K12671" s="82"/>
      <c r="M12671" s="112"/>
      <c r="N12671" s="84"/>
    </row>
    <row r="12672" spans="1:14" s="2" customFormat="1">
      <c r="A12672" s="83"/>
      <c r="H12672" s="83"/>
      <c r="K12672" s="82"/>
      <c r="M12672" s="112"/>
      <c r="N12672" s="84"/>
    </row>
    <row r="12673" spans="1:14" s="2" customFormat="1">
      <c r="A12673" s="83"/>
      <c r="H12673" s="83"/>
      <c r="K12673" s="82"/>
      <c r="M12673" s="112"/>
      <c r="N12673" s="84"/>
    </row>
    <row r="12674" spans="1:14" s="2" customFormat="1">
      <c r="A12674" s="83"/>
      <c r="H12674" s="83"/>
      <c r="K12674" s="82"/>
      <c r="M12674" s="112"/>
      <c r="N12674" s="84"/>
    </row>
    <row r="12675" spans="1:14" s="2" customFormat="1">
      <c r="A12675" s="83"/>
      <c r="H12675" s="83"/>
      <c r="K12675" s="82"/>
      <c r="M12675" s="112"/>
      <c r="N12675" s="84"/>
    </row>
    <row r="12676" spans="1:14" s="2" customFormat="1">
      <c r="A12676" s="83"/>
      <c r="H12676" s="83"/>
      <c r="K12676" s="82"/>
      <c r="M12676" s="112"/>
      <c r="N12676" s="84"/>
    </row>
    <row r="12677" spans="1:14" s="2" customFormat="1">
      <c r="A12677" s="83"/>
      <c r="H12677" s="83"/>
      <c r="K12677" s="82"/>
      <c r="M12677" s="112"/>
      <c r="N12677" s="84"/>
    </row>
    <row r="12678" spans="1:14" s="2" customFormat="1">
      <c r="A12678" s="83"/>
      <c r="H12678" s="83"/>
      <c r="K12678" s="82"/>
      <c r="M12678" s="112"/>
      <c r="N12678" s="84"/>
    </row>
    <row r="12679" spans="1:14" s="2" customFormat="1">
      <c r="A12679" s="83"/>
      <c r="H12679" s="83"/>
      <c r="K12679" s="82"/>
      <c r="M12679" s="112"/>
      <c r="N12679" s="84"/>
    </row>
    <row r="12680" spans="1:14" s="2" customFormat="1">
      <c r="A12680" s="83"/>
      <c r="H12680" s="83"/>
      <c r="K12680" s="82"/>
      <c r="M12680" s="112"/>
      <c r="N12680" s="84"/>
    </row>
    <row r="12681" spans="1:14" s="2" customFormat="1">
      <c r="A12681" s="83"/>
      <c r="H12681" s="83"/>
      <c r="K12681" s="82"/>
      <c r="M12681" s="112"/>
      <c r="N12681" s="84"/>
    </row>
    <row r="12682" spans="1:14" s="2" customFormat="1">
      <c r="A12682" s="83"/>
      <c r="H12682" s="83"/>
      <c r="K12682" s="82"/>
      <c r="M12682" s="112"/>
      <c r="N12682" s="84"/>
    </row>
    <row r="12683" spans="1:14" s="2" customFormat="1">
      <c r="A12683" s="83"/>
      <c r="H12683" s="83"/>
      <c r="K12683" s="82"/>
      <c r="M12683" s="112"/>
      <c r="N12683" s="84"/>
    </row>
    <row r="12684" spans="1:14" s="2" customFormat="1">
      <c r="A12684" s="83"/>
      <c r="H12684" s="83"/>
      <c r="K12684" s="82"/>
      <c r="M12684" s="112"/>
      <c r="N12684" s="84"/>
    </row>
    <row r="12685" spans="1:14" s="2" customFormat="1">
      <c r="A12685" s="83"/>
      <c r="H12685" s="83"/>
      <c r="K12685" s="82"/>
      <c r="M12685" s="112"/>
      <c r="N12685" s="84"/>
    </row>
    <row r="12686" spans="1:14" s="2" customFormat="1">
      <c r="A12686" s="83"/>
      <c r="H12686" s="83"/>
      <c r="K12686" s="82"/>
      <c r="M12686" s="112"/>
      <c r="N12686" s="84"/>
    </row>
    <row r="12687" spans="1:14" s="2" customFormat="1">
      <c r="A12687" s="83"/>
      <c r="H12687" s="83"/>
      <c r="K12687" s="82"/>
      <c r="M12687" s="112"/>
      <c r="N12687" s="84"/>
    </row>
    <row r="12688" spans="1:14" s="2" customFormat="1">
      <c r="A12688" s="83"/>
      <c r="H12688" s="83"/>
      <c r="K12688" s="82"/>
      <c r="M12688" s="112"/>
      <c r="N12688" s="84"/>
    </row>
    <row r="12689" spans="1:14" s="2" customFormat="1">
      <c r="A12689" s="83"/>
      <c r="H12689" s="83"/>
      <c r="K12689" s="82"/>
      <c r="M12689" s="112"/>
      <c r="N12689" s="84"/>
    </row>
    <row r="12690" spans="1:14" s="2" customFormat="1">
      <c r="A12690" s="83"/>
      <c r="H12690" s="83"/>
      <c r="K12690" s="82"/>
      <c r="M12690" s="112"/>
      <c r="N12690" s="84"/>
    </row>
    <row r="12691" spans="1:14" s="2" customFormat="1">
      <c r="A12691" s="83"/>
      <c r="H12691" s="83"/>
      <c r="K12691" s="82"/>
      <c r="M12691" s="112"/>
      <c r="N12691" s="84"/>
    </row>
    <row r="12692" spans="1:14" s="2" customFormat="1">
      <c r="A12692" s="83"/>
      <c r="H12692" s="83"/>
      <c r="K12692" s="82"/>
      <c r="M12692" s="112"/>
      <c r="N12692" s="84"/>
    </row>
    <row r="12693" spans="1:14" s="2" customFormat="1">
      <c r="A12693" s="83"/>
      <c r="H12693" s="83"/>
      <c r="K12693" s="82"/>
      <c r="M12693" s="112"/>
      <c r="N12693" s="84"/>
    </row>
    <row r="12694" spans="1:14" s="2" customFormat="1">
      <c r="A12694" s="83"/>
      <c r="H12694" s="83"/>
      <c r="K12694" s="82"/>
      <c r="M12694" s="112"/>
      <c r="N12694" s="84"/>
    </row>
    <row r="12695" spans="1:14" s="2" customFormat="1">
      <c r="A12695" s="83"/>
      <c r="H12695" s="83"/>
      <c r="K12695" s="82"/>
      <c r="M12695" s="112"/>
      <c r="N12695" s="84"/>
    </row>
    <row r="12696" spans="1:14" s="2" customFormat="1">
      <c r="A12696" s="83"/>
      <c r="H12696" s="83"/>
      <c r="K12696" s="82"/>
      <c r="M12696" s="112"/>
      <c r="N12696" s="84"/>
    </row>
    <row r="12697" spans="1:14" s="2" customFormat="1">
      <c r="A12697" s="83"/>
      <c r="H12697" s="83"/>
      <c r="K12697" s="82"/>
      <c r="M12697" s="112"/>
      <c r="N12697" s="84"/>
    </row>
    <row r="12698" spans="1:14" s="2" customFormat="1">
      <c r="A12698" s="83"/>
      <c r="H12698" s="83"/>
      <c r="K12698" s="82"/>
      <c r="M12698" s="112"/>
      <c r="N12698" s="84"/>
    </row>
    <row r="12699" spans="1:14" s="2" customFormat="1">
      <c r="A12699" s="83"/>
      <c r="H12699" s="83"/>
      <c r="K12699" s="82"/>
      <c r="M12699" s="112"/>
      <c r="N12699" s="84"/>
    </row>
    <row r="12700" spans="1:14" s="2" customFormat="1">
      <c r="A12700" s="83"/>
      <c r="H12700" s="83"/>
      <c r="K12700" s="82"/>
      <c r="M12700" s="112"/>
      <c r="N12700" s="84"/>
    </row>
    <row r="12701" spans="1:14" s="2" customFormat="1">
      <c r="A12701" s="83"/>
      <c r="H12701" s="83"/>
      <c r="K12701" s="82"/>
      <c r="M12701" s="112"/>
      <c r="N12701" s="84"/>
    </row>
    <row r="12702" spans="1:14" s="2" customFormat="1">
      <c r="A12702" s="83"/>
      <c r="H12702" s="83"/>
      <c r="K12702" s="82"/>
      <c r="M12702" s="112"/>
      <c r="N12702" s="84"/>
    </row>
    <row r="12703" spans="1:14" s="2" customFormat="1">
      <c r="A12703" s="83"/>
      <c r="H12703" s="83"/>
      <c r="K12703" s="82"/>
      <c r="M12703" s="112"/>
      <c r="N12703" s="84"/>
    </row>
    <row r="12704" spans="1:14" s="2" customFormat="1">
      <c r="A12704" s="83"/>
      <c r="H12704" s="83"/>
      <c r="K12704" s="82"/>
      <c r="M12704" s="112"/>
      <c r="N12704" s="84"/>
    </row>
    <row r="12705" spans="1:14" s="2" customFormat="1">
      <c r="A12705" s="83"/>
      <c r="H12705" s="83"/>
      <c r="K12705" s="82"/>
      <c r="M12705" s="112"/>
      <c r="N12705" s="84"/>
    </row>
    <row r="12706" spans="1:14" s="2" customFormat="1">
      <c r="A12706" s="83"/>
      <c r="H12706" s="83"/>
      <c r="K12706" s="82"/>
      <c r="M12706" s="112"/>
      <c r="N12706" s="84"/>
    </row>
    <row r="12707" spans="1:14" s="2" customFormat="1">
      <c r="A12707" s="83"/>
      <c r="H12707" s="83"/>
      <c r="K12707" s="82"/>
      <c r="M12707" s="112"/>
      <c r="N12707" s="84"/>
    </row>
    <row r="12708" spans="1:14" s="2" customFormat="1">
      <c r="A12708" s="83"/>
      <c r="H12708" s="83"/>
      <c r="K12708" s="82"/>
      <c r="M12708" s="112"/>
      <c r="N12708" s="84"/>
    </row>
    <row r="12709" spans="1:14" s="2" customFormat="1">
      <c r="A12709" s="83"/>
      <c r="H12709" s="83"/>
      <c r="K12709" s="82"/>
      <c r="M12709" s="112"/>
      <c r="N12709" s="84"/>
    </row>
    <row r="12710" spans="1:14" s="2" customFormat="1">
      <c r="A12710" s="83"/>
      <c r="H12710" s="83"/>
      <c r="K12710" s="82"/>
      <c r="M12710" s="112"/>
      <c r="N12710" s="84"/>
    </row>
    <row r="12711" spans="1:14" s="2" customFormat="1">
      <c r="A12711" s="83"/>
      <c r="H12711" s="83"/>
      <c r="K12711" s="82"/>
      <c r="M12711" s="112"/>
      <c r="N12711" s="84"/>
    </row>
    <row r="12712" spans="1:14" s="2" customFormat="1">
      <c r="A12712" s="83"/>
      <c r="H12712" s="83"/>
      <c r="K12712" s="82"/>
      <c r="M12712" s="112"/>
      <c r="N12712" s="84"/>
    </row>
    <row r="12713" spans="1:14" s="2" customFormat="1">
      <c r="A12713" s="83"/>
      <c r="H12713" s="83"/>
      <c r="K12713" s="82"/>
      <c r="M12713" s="112"/>
      <c r="N12713" s="84"/>
    </row>
    <row r="12714" spans="1:14" s="2" customFormat="1">
      <c r="A12714" s="83"/>
      <c r="H12714" s="83"/>
      <c r="K12714" s="82"/>
      <c r="M12714" s="112"/>
      <c r="N12714" s="84"/>
    </row>
    <row r="12715" spans="1:14" s="2" customFormat="1">
      <c r="A12715" s="83"/>
      <c r="H12715" s="83"/>
      <c r="K12715" s="82"/>
      <c r="M12715" s="112"/>
      <c r="N12715" s="84"/>
    </row>
    <row r="12716" spans="1:14" s="2" customFormat="1">
      <c r="A12716" s="83"/>
      <c r="H12716" s="83"/>
      <c r="K12716" s="82"/>
      <c r="M12716" s="112"/>
      <c r="N12716" s="84"/>
    </row>
    <row r="12717" spans="1:14" s="2" customFormat="1">
      <c r="A12717" s="83"/>
      <c r="H12717" s="83"/>
      <c r="K12717" s="82"/>
      <c r="M12717" s="112"/>
      <c r="N12717" s="84"/>
    </row>
    <row r="12718" spans="1:14" s="2" customFormat="1">
      <c r="A12718" s="83"/>
      <c r="H12718" s="83"/>
      <c r="K12718" s="82"/>
      <c r="M12718" s="112"/>
      <c r="N12718" s="84"/>
    </row>
    <row r="12719" spans="1:14" s="2" customFormat="1">
      <c r="A12719" s="83"/>
      <c r="H12719" s="83"/>
      <c r="K12719" s="82"/>
      <c r="M12719" s="112"/>
      <c r="N12719" s="84"/>
    </row>
    <row r="12720" spans="1:14" s="2" customFormat="1">
      <c r="A12720" s="83"/>
      <c r="H12720" s="83"/>
      <c r="K12720" s="82"/>
      <c r="M12720" s="112"/>
      <c r="N12720" s="84"/>
    </row>
    <row r="12721" spans="1:14" s="2" customFormat="1">
      <c r="A12721" s="83"/>
      <c r="H12721" s="83"/>
      <c r="K12721" s="82"/>
      <c r="M12721" s="112"/>
      <c r="N12721" s="84"/>
    </row>
    <row r="12722" spans="1:14" s="2" customFormat="1">
      <c r="A12722" s="83"/>
      <c r="H12722" s="83"/>
      <c r="K12722" s="82"/>
      <c r="M12722" s="112"/>
      <c r="N12722" s="84"/>
    </row>
    <row r="12723" spans="1:14" s="2" customFormat="1">
      <c r="A12723" s="83"/>
      <c r="H12723" s="83"/>
      <c r="K12723" s="82"/>
      <c r="M12723" s="112"/>
      <c r="N12723" s="84"/>
    </row>
    <row r="12724" spans="1:14" s="2" customFormat="1">
      <c r="A12724" s="83"/>
      <c r="H12724" s="83"/>
      <c r="K12724" s="82"/>
      <c r="M12724" s="112"/>
      <c r="N12724" s="84"/>
    </row>
    <row r="12725" spans="1:14" s="2" customFormat="1">
      <c r="A12725" s="83"/>
      <c r="H12725" s="83"/>
      <c r="K12725" s="82"/>
      <c r="M12725" s="112"/>
      <c r="N12725" s="84"/>
    </row>
    <row r="12726" spans="1:14" s="2" customFormat="1">
      <c r="A12726" s="83"/>
      <c r="H12726" s="83"/>
      <c r="K12726" s="82"/>
      <c r="M12726" s="112"/>
      <c r="N12726" s="84"/>
    </row>
    <row r="12727" spans="1:14" s="2" customFormat="1">
      <c r="A12727" s="83"/>
      <c r="H12727" s="83"/>
      <c r="K12727" s="82"/>
      <c r="M12727" s="112"/>
      <c r="N12727" s="84"/>
    </row>
    <row r="12728" spans="1:14" s="2" customFormat="1">
      <c r="A12728" s="83"/>
      <c r="H12728" s="83"/>
      <c r="K12728" s="82"/>
      <c r="M12728" s="112"/>
      <c r="N12728" s="84"/>
    </row>
    <row r="12729" spans="1:14" s="2" customFormat="1">
      <c r="A12729" s="83"/>
      <c r="H12729" s="83"/>
      <c r="K12729" s="82"/>
      <c r="M12729" s="112"/>
      <c r="N12729" s="84"/>
    </row>
    <row r="12730" spans="1:14" s="2" customFormat="1">
      <c r="A12730" s="83"/>
      <c r="H12730" s="83"/>
      <c r="K12730" s="82"/>
      <c r="M12730" s="112"/>
      <c r="N12730" s="84"/>
    </row>
    <row r="12731" spans="1:14" s="2" customFormat="1">
      <c r="A12731" s="83"/>
      <c r="H12731" s="83"/>
      <c r="K12731" s="82"/>
      <c r="M12731" s="112"/>
      <c r="N12731" s="84"/>
    </row>
    <row r="12732" spans="1:14" s="2" customFormat="1">
      <c r="A12732" s="83"/>
      <c r="H12732" s="83"/>
      <c r="K12732" s="82"/>
      <c r="M12732" s="112"/>
      <c r="N12732" s="84"/>
    </row>
    <row r="12733" spans="1:14" s="2" customFormat="1">
      <c r="A12733" s="83"/>
      <c r="H12733" s="83"/>
      <c r="K12733" s="82"/>
      <c r="M12733" s="112"/>
      <c r="N12733" s="84"/>
    </row>
    <row r="12734" spans="1:14" s="2" customFormat="1">
      <c r="A12734" s="83"/>
      <c r="H12734" s="83"/>
      <c r="K12734" s="82"/>
      <c r="M12734" s="112"/>
      <c r="N12734" s="84"/>
    </row>
    <row r="12735" spans="1:14" s="2" customFormat="1">
      <c r="A12735" s="83"/>
      <c r="H12735" s="83"/>
      <c r="K12735" s="82"/>
      <c r="M12735" s="112"/>
      <c r="N12735" s="84"/>
    </row>
    <row r="12736" spans="1:14" s="2" customFormat="1">
      <c r="A12736" s="83"/>
      <c r="H12736" s="83"/>
      <c r="K12736" s="82"/>
      <c r="M12736" s="112"/>
      <c r="N12736" s="84"/>
    </row>
    <row r="12737" spans="1:14" s="2" customFormat="1">
      <c r="A12737" s="83"/>
      <c r="H12737" s="83"/>
      <c r="K12737" s="82"/>
      <c r="M12737" s="112"/>
      <c r="N12737" s="84"/>
    </row>
    <row r="12738" spans="1:14" s="2" customFormat="1">
      <c r="A12738" s="83"/>
      <c r="H12738" s="83"/>
      <c r="K12738" s="82"/>
      <c r="M12738" s="112"/>
      <c r="N12738" s="84"/>
    </row>
    <row r="12739" spans="1:14" s="2" customFormat="1">
      <c r="A12739" s="83"/>
      <c r="H12739" s="83"/>
      <c r="K12739" s="82"/>
      <c r="M12739" s="112"/>
      <c r="N12739" s="84"/>
    </row>
    <row r="12740" spans="1:14" s="2" customFormat="1">
      <c r="A12740" s="83"/>
      <c r="H12740" s="83"/>
      <c r="K12740" s="82"/>
      <c r="M12740" s="112"/>
      <c r="N12740" s="84"/>
    </row>
    <row r="12741" spans="1:14" s="2" customFormat="1">
      <c r="A12741" s="83"/>
      <c r="H12741" s="83"/>
      <c r="K12741" s="82"/>
      <c r="M12741" s="112"/>
      <c r="N12741" s="84"/>
    </row>
    <row r="12742" spans="1:14" s="2" customFormat="1">
      <c r="A12742" s="83"/>
      <c r="H12742" s="83"/>
      <c r="K12742" s="82"/>
      <c r="M12742" s="112"/>
      <c r="N12742" s="84"/>
    </row>
    <row r="12743" spans="1:14" s="2" customFormat="1">
      <c r="A12743" s="83"/>
      <c r="H12743" s="83"/>
      <c r="K12743" s="82"/>
      <c r="M12743" s="112"/>
      <c r="N12743" s="84"/>
    </row>
    <row r="12744" spans="1:14" s="2" customFormat="1">
      <c r="A12744" s="83"/>
      <c r="H12744" s="83"/>
      <c r="K12744" s="82"/>
      <c r="M12744" s="112"/>
      <c r="N12744" s="84"/>
    </row>
    <row r="12745" spans="1:14" s="2" customFormat="1">
      <c r="A12745" s="83"/>
      <c r="H12745" s="83"/>
      <c r="K12745" s="82"/>
      <c r="M12745" s="112"/>
      <c r="N12745" s="84"/>
    </row>
    <row r="12746" spans="1:14" s="2" customFormat="1">
      <c r="A12746" s="83"/>
      <c r="H12746" s="83"/>
      <c r="K12746" s="82"/>
      <c r="M12746" s="112"/>
      <c r="N12746" s="84"/>
    </row>
    <row r="12747" spans="1:14" s="2" customFormat="1">
      <c r="A12747" s="83"/>
      <c r="H12747" s="83"/>
      <c r="K12747" s="82"/>
      <c r="M12747" s="112"/>
      <c r="N12747" s="84"/>
    </row>
    <row r="12748" spans="1:14" s="2" customFormat="1">
      <c r="A12748" s="83"/>
      <c r="H12748" s="83"/>
      <c r="K12748" s="82"/>
      <c r="M12748" s="112"/>
      <c r="N12748" s="84"/>
    </row>
    <row r="12749" spans="1:14" s="2" customFormat="1">
      <c r="A12749" s="83"/>
      <c r="H12749" s="83"/>
      <c r="K12749" s="82"/>
      <c r="M12749" s="112"/>
      <c r="N12749" s="84"/>
    </row>
    <row r="12750" spans="1:14" s="2" customFormat="1">
      <c r="A12750" s="83"/>
      <c r="H12750" s="83"/>
      <c r="K12750" s="82"/>
      <c r="M12750" s="112"/>
      <c r="N12750" s="84"/>
    </row>
    <row r="12751" spans="1:14" s="2" customFormat="1">
      <c r="A12751" s="83"/>
      <c r="H12751" s="83"/>
      <c r="K12751" s="82"/>
      <c r="M12751" s="112"/>
      <c r="N12751" s="84"/>
    </row>
    <row r="12752" spans="1:14" s="2" customFormat="1">
      <c r="A12752" s="83"/>
      <c r="H12752" s="83"/>
      <c r="K12752" s="82"/>
      <c r="M12752" s="112"/>
      <c r="N12752" s="84"/>
    </row>
    <row r="12753" spans="1:14" s="2" customFormat="1">
      <c r="A12753" s="83"/>
      <c r="H12753" s="83"/>
      <c r="K12753" s="82"/>
      <c r="M12753" s="112"/>
      <c r="N12753" s="84"/>
    </row>
    <row r="12754" spans="1:14" s="2" customFormat="1">
      <c r="A12754" s="83"/>
      <c r="H12754" s="83"/>
      <c r="K12754" s="82"/>
      <c r="M12754" s="112"/>
      <c r="N12754" s="84"/>
    </row>
    <row r="12755" spans="1:14" s="2" customFormat="1">
      <c r="A12755" s="83"/>
      <c r="H12755" s="83"/>
      <c r="K12755" s="82"/>
      <c r="M12755" s="112"/>
      <c r="N12755" s="84"/>
    </row>
    <row r="12756" spans="1:14" s="2" customFormat="1">
      <c r="A12756" s="83"/>
      <c r="H12756" s="83"/>
      <c r="K12756" s="82"/>
      <c r="M12756" s="112"/>
      <c r="N12756" s="84"/>
    </row>
    <row r="12757" spans="1:14" s="2" customFormat="1">
      <c r="A12757" s="83"/>
      <c r="H12757" s="83"/>
      <c r="K12757" s="82"/>
      <c r="M12757" s="112"/>
      <c r="N12757" s="84"/>
    </row>
    <row r="12758" spans="1:14" s="2" customFormat="1">
      <c r="A12758" s="83"/>
      <c r="H12758" s="83"/>
      <c r="K12758" s="82"/>
      <c r="M12758" s="112"/>
      <c r="N12758" s="84"/>
    </row>
    <row r="12759" spans="1:14" s="2" customFormat="1">
      <c r="A12759" s="83"/>
      <c r="H12759" s="83"/>
      <c r="K12759" s="82"/>
      <c r="M12759" s="112"/>
      <c r="N12759" s="84"/>
    </row>
    <row r="12760" spans="1:14" s="2" customFormat="1">
      <c r="A12760" s="83"/>
      <c r="H12760" s="83"/>
      <c r="K12760" s="82"/>
      <c r="M12760" s="112"/>
      <c r="N12760" s="84"/>
    </row>
    <row r="12761" spans="1:14" s="2" customFormat="1">
      <c r="A12761" s="83"/>
      <c r="H12761" s="83"/>
      <c r="K12761" s="82"/>
      <c r="M12761" s="112"/>
      <c r="N12761" s="84"/>
    </row>
    <row r="12762" spans="1:14" s="2" customFormat="1">
      <c r="A12762" s="83"/>
      <c r="H12762" s="83"/>
      <c r="K12762" s="82"/>
      <c r="M12762" s="112"/>
      <c r="N12762" s="84"/>
    </row>
    <row r="12763" spans="1:14" s="2" customFormat="1">
      <c r="A12763" s="83"/>
      <c r="H12763" s="83"/>
      <c r="K12763" s="82"/>
      <c r="M12763" s="112"/>
      <c r="N12763" s="84"/>
    </row>
    <row r="12764" spans="1:14" s="2" customFormat="1">
      <c r="A12764" s="83"/>
      <c r="H12764" s="83"/>
      <c r="K12764" s="82"/>
      <c r="M12764" s="112"/>
      <c r="N12764" s="84"/>
    </row>
    <row r="12765" spans="1:14" s="2" customFormat="1">
      <c r="A12765" s="83"/>
      <c r="H12765" s="83"/>
      <c r="K12765" s="82"/>
      <c r="M12765" s="112"/>
      <c r="N12765" s="84"/>
    </row>
    <row r="12766" spans="1:14" s="2" customFormat="1">
      <c r="A12766" s="83"/>
      <c r="H12766" s="83"/>
      <c r="K12766" s="82"/>
      <c r="M12766" s="112"/>
      <c r="N12766" s="84"/>
    </row>
    <row r="12767" spans="1:14" s="2" customFormat="1">
      <c r="A12767" s="83"/>
      <c r="H12767" s="83"/>
      <c r="K12767" s="82"/>
      <c r="M12767" s="112"/>
      <c r="N12767" s="84"/>
    </row>
    <row r="12768" spans="1:14" s="2" customFormat="1">
      <c r="A12768" s="83"/>
      <c r="H12768" s="83"/>
      <c r="K12768" s="82"/>
      <c r="M12768" s="112"/>
      <c r="N12768" s="84"/>
    </row>
    <row r="12769" spans="1:14" s="2" customFormat="1">
      <c r="A12769" s="83"/>
      <c r="H12769" s="83"/>
      <c r="K12769" s="82"/>
      <c r="M12769" s="112"/>
      <c r="N12769" s="84"/>
    </row>
    <row r="12770" spans="1:14" s="2" customFormat="1">
      <c r="A12770" s="83"/>
      <c r="H12770" s="83"/>
      <c r="K12770" s="82"/>
      <c r="M12770" s="112"/>
      <c r="N12770" s="84"/>
    </row>
    <row r="12771" spans="1:14" s="2" customFormat="1">
      <c r="A12771" s="83"/>
      <c r="H12771" s="83"/>
      <c r="K12771" s="82"/>
      <c r="M12771" s="112"/>
      <c r="N12771" s="84"/>
    </row>
    <row r="12772" spans="1:14" s="2" customFormat="1">
      <c r="A12772" s="83"/>
      <c r="H12772" s="83"/>
      <c r="K12772" s="82"/>
      <c r="M12772" s="112"/>
      <c r="N12772" s="84"/>
    </row>
    <row r="12773" spans="1:14" s="2" customFormat="1">
      <c r="A12773" s="83"/>
      <c r="H12773" s="83"/>
      <c r="K12773" s="82"/>
      <c r="M12773" s="112"/>
      <c r="N12773" s="84"/>
    </row>
    <row r="12774" spans="1:14" s="2" customFormat="1">
      <c r="A12774" s="83"/>
      <c r="H12774" s="83"/>
      <c r="K12774" s="82"/>
      <c r="M12774" s="112"/>
      <c r="N12774" s="84"/>
    </row>
    <row r="12775" spans="1:14" s="2" customFormat="1">
      <c r="A12775" s="83"/>
      <c r="H12775" s="83"/>
      <c r="K12775" s="82"/>
      <c r="M12775" s="112"/>
      <c r="N12775" s="84"/>
    </row>
    <row r="12776" spans="1:14" s="2" customFormat="1">
      <c r="A12776" s="83"/>
      <c r="H12776" s="83"/>
      <c r="K12776" s="82"/>
      <c r="M12776" s="112"/>
      <c r="N12776" s="84"/>
    </row>
    <row r="12777" spans="1:14" s="2" customFormat="1">
      <c r="A12777" s="83"/>
      <c r="H12777" s="83"/>
      <c r="K12777" s="82"/>
      <c r="M12777" s="112"/>
      <c r="N12777" s="84"/>
    </row>
    <row r="12778" spans="1:14" s="2" customFormat="1">
      <c r="A12778" s="83"/>
      <c r="H12778" s="83"/>
      <c r="K12778" s="82"/>
      <c r="M12778" s="112"/>
      <c r="N12778" s="84"/>
    </row>
    <row r="12779" spans="1:14" s="2" customFormat="1">
      <c r="A12779" s="83"/>
      <c r="H12779" s="83"/>
      <c r="K12779" s="82"/>
      <c r="M12779" s="112"/>
      <c r="N12779" s="84"/>
    </row>
    <row r="12780" spans="1:14" s="2" customFormat="1">
      <c r="A12780" s="83"/>
      <c r="H12780" s="83"/>
      <c r="K12780" s="82"/>
      <c r="M12780" s="112"/>
      <c r="N12780" s="84"/>
    </row>
    <row r="12781" spans="1:14" s="2" customFormat="1">
      <c r="A12781" s="83"/>
      <c r="H12781" s="83"/>
      <c r="K12781" s="82"/>
      <c r="M12781" s="112"/>
      <c r="N12781" s="84"/>
    </row>
    <row r="12782" spans="1:14" s="2" customFormat="1">
      <c r="A12782" s="83"/>
      <c r="H12782" s="83"/>
      <c r="K12782" s="82"/>
      <c r="M12782" s="112"/>
      <c r="N12782" s="84"/>
    </row>
    <row r="12783" spans="1:14" s="2" customFormat="1">
      <c r="A12783" s="83"/>
      <c r="H12783" s="83"/>
      <c r="K12783" s="82"/>
      <c r="M12783" s="112"/>
      <c r="N12783" s="84"/>
    </row>
    <row r="12784" spans="1:14" s="2" customFormat="1">
      <c r="A12784" s="83"/>
      <c r="H12784" s="83"/>
      <c r="K12784" s="82"/>
      <c r="M12784" s="112"/>
      <c r="N12784" s="84"/>
    </row>
    <row r="12785" spans="1:14" s="2" customFormat="1">
      <c r="A12785" s="83"/>
      <c r="H12785" s="83"/>
      <c r="K12785" s="82"/>
      <c r="M12785" s="112"/>
      <c r="N12785" s="84"/>
    </row>
    <row r="12786" spans="1:14" s="2" customFormat="1">
      <c r="A12786" s="83"/>
      <c r="H12786" s="83"/>
      <c r="K12786" s="82"/>
      <c r="M12786" s="112"/>
      <c r="N12786" s="84"/>
    </row>
    <row r="12787" spans="1:14" s="2" customFormat="1">
      <c r="A12787" s="83"/>
      <c r="H12787" s="83"/>
      <c r="K12787" s="82"/>
      <c r="M12787" s="112"/>
      <c r="N12787" s="84"/>
    </row>
    <row r="12788" spans="1:14" s="2" customFormat="1">
      <c r="A12788" s="83"/>
      <c r="H12788" s="83"/>
      <c r="K12788" s="82"/>
      <c r="M12788" s="112"/>
      <c r="N12788" s="84"/>
    </row>
    <row r="12789" spans="1:14" s="2" customFormat="1">
      <c r="A12789" s="83"/>
      <c r="H12789" s="83"/>
      <c r="K12789" s="82"/>
      <c r="M12789" s="112"/>
      <c r="N12789" s="84"/>
    </row>
    <row r="12790" spans="1:14" s="2" customFormat="1">
      <c r="A12790" s="83"/>
      <c r="H12790" s="83"/>
      <c r="K12790" s="82"/>
      <c r="M12790" s="112"/>
      <c r="N12790" s="84"/>
    </row>
    <row r="12791" spans="1:14" s="2" customFormat="1">
      <c r="A12791" s="83"/>
      <c r="H12791" s="83"/>
      <c r="K12791" s="82"/>
      <c r="M12791" s="112"/>
      <c r="N12791" s="84"/>
    </row>
    <row r="12792" spans="1:14" s="2" customFormat="1">
      <c r="A12792" s="83"/>
      <c r="H12792" s="83"/>
      <c r="K12792" s="82"/>
      <c r="M12792" s="112"/>
      <c r="N12792" s="84"/>
    </row>
    <row r="12793" spans="1:14" s="2" customFormat="1">
      <c r="A12793" s="83"/>
      <c r="H12793" s="83"/>
      <c r="K12793" s="82"/>
      <c r="M12793" s="112"/>
      <c r="N12793" s="84"/>
    </row>
    <row r="12794" spans="1:14" s="2" customFormat="1">
      <c r="A12794" s="83"/>
      <c r="H12794" s="83"/>
      <c r="K12794" s="82"/>
      <c r="M12794" s="112"/>
      <c r="N12794" s="84"/>
    </row>
    <row r="12795" spans="1:14" s="2" customFormat="1">
      <c r="A12795" s="83"/>
      <c r="H12795" s="83"/>
      <c r="K12795" s="82"/>
      <c r="M12795" s="112"/>
      <c r="N12795" s="84"/>
    </row>
    <row r="12796" spans="1:14" s="2" customFormat="1">
      <c r="A12796" s="83"/>
      <c r="H12796" s="83"/>
      <c r="K12796" s="82"/>
      <c r="M12796" s="112"/>
      <c r="N12796" s="84"/>
    </row>
    <row r="12797" spans="1:14" s="2" customFormat="1">
      <c r="A12797" s="83"/>
      <c r="H12797" s="83"/>
      <c r="K12797" s="82"/>
      <c r="M12797" s="112"/>
      <c r="N12797" s="84"/>
    </row>
    <row r="12798" spans="1:14" s="2" customFormat="1">
      <c r="A12798" s="83"/>
      <c r="H12798" s="83"/>
      <c r="K12798" s="82"/>
      <c r="M12798" s="112"/>
      <c r="N12798" s="84"/>
    </row>
    <row r="12799" spans="1:14" s="2" customFormat="1">
      <c r="A12799" s="83"/>
      <c r="H12799" s="83"/>
      <c r="K12799" s="82"/>
      <c r="M12799" s="112"/>
      <c r="N12799" s="84"/>
    </row>
    <row r="12800" spans="1:14" s="2" customFormat="1">
      <c r="A12800" s="83"/>
      <c r="H12800" s="83"/>
      <c r="K12800" s="82"/>
      <c r="M12800" s="112"/>
      <c r="N12800" s="84"/>
    </row>
    <row r="12801" spans="1:14" s="2" customFormat="1">
      <c r="A12801" s="83"/>
      <c r="H12801" s="83"/>
      <c r="K12801" s="82"/>
      <c r="M12801" s="112"/>
      <c r="N12801" s="84"/>
    </row>
    <row r="12802" spans="1:14" s="2" customFormat="1">
      <c r="A12802" s="83"/>
      <c r="H12802" s="83"/>
      <c r="K12802" s="82"/>
      <c r="M12802" s="112"/>
      <c r="N12802" s="84"/>
    </row>
    <row r="12803" spans="1:14" s="2" customFormat="1">
      <c r="A12803" s="83"/>
      <c r="H12803" s="83"/>
      <c r="K12803" s="82"/>
      <c r="M12803" s="112"/>
      <c r="N12803" s="84"/>
    </row>
    <row r="12804" spans="1:14" s="2" customFormat="1">
      <c r="A12804" s="83"/>
      <c r="H12804" s="83"/>
      <c r="K12804" s="82"/>
      <c r="M12804" s="112"/>
      <c r="N12804" s="84"/>
    </row>
    <row r="12805" spans="1:14" s="2" customFormat="1">
      <c r="A12805" s="83"/>
      <c r="H12805" s="83"/>
      <c r="K12805" s="82"/>
      <c r="M12805" s="112"/>
      <c r="N12805" s="84"/>
    </row>
    <row r="12806" spans="1:14" s="2" customFormat="1">
      <c r="A12806" s="83"/>
      <c r="H12806" s="83"/>
      <c r="K12806" s="82"/>
      <c r="M12806" s="112"/>
      <c r="N12806" s="84"/>
    </row>
    <row r="12807" spans="1:14" s="2" customFormat="1">
      <c r="A12807" s="83"/>
      <c r="H12807" s="83"/>
      <c r="K12807" s="82"/>
      <c r="M12807" s="112"/>
      <c r="N12807" s="84"/>
    </row>
    <row r="12808" spans="1:14" s="2" customFormat="1">
      <c r="A12808" s="83"/>
      <c r="H12808" s="83"/>
      <c r="K12808" s="82"/>
      <c r="M12808" s="112"/>
      <c r="N12808" s="84"/>
    </row>
    <row r="12809" spans="1:14" s="2" customFormat="1">
      <c r="A12809" s="83"/>
      <c r="H12809" s="83"/>
      <c r="K12809" s="82"/>
      <c r="M12809" s="112"/>
      <c r="N12809" s="84"/>
    </row>
    <row r="12810" spans="1:14" s="2" customFormat="1">
      <c r="A12810" s="83"/>
      <c r="H12810" s="83"/>
      <c r="K12810" s="82"/>
      <c r="M12810" s="112"/>
      <c r="N12810" s="84"/>
    </row>
    <row r="12811" spans="1:14" s="2" customFormat="1">
      <c r="A12811" s="83"/>
      <c r="H12811" s="83"/>
      <c r="K12811" s="82"/>
      <c r="M12811" s="112"/>
      <c r="N12811" s="84"/>
    </row>
    <row r="12812" spans="1:14" s="2" customFormat="1">
      <c r="A12812" s="83"/>
      <c r="H12812" s="83"/>
      <c r="K12812" s="82"/>
      <c r="M12812" s="112"/>
      <c r="N12812" s="84"/>
    </row>
    <row r="12813" spans="1:14" s="2" customFormat="1">
      <c r="A12813" s="83"/>
      <c r="H12813" s="83"/>
      <c r="K12813" s="82"/>
      <c r="M12813" s="112"/>
      <c r="N12813" s="84"/>
    </row>
    <row r="12814" spans="1:14" s="2" customFormat="1">
      <c r="A12814" s="83"/>
      <c r="H12814" s="83"/>
      <c r="K12814" s="82"/>
      <c r="M12814" s="112"/>
      <c r="N12814" s="84"/>
    </row>
    <row r="12815" spans="1:14" s="2" customFormat="1">
      <c r="A12815" s="83"/>
      <c r="H12815" s="83"/>
      <c r="K12815" s="82"/>
      <c r="M12815" s="112"/>
      <c r="N12815" s="84"/>
    </row>
    <row r="12816" spans="1:14" s="2" customFormat="1">
      <c r="A12816" s="83"/>
      <c r="H12816" s="83"/>
      <c r="K12816" s="82"/>
      <c r="M12816" s="112"/>
      <c r="N12816" s="84"/>
    </row>
    <row r="12817" spans="1:14" s="2" customFormat="1">
      <c r="A12817" s="83"/>
      <c r="H12817" s="83"/>
      <c r="K12817" s="82"/>
      <c r="M12817" s="112"/>
      <c r="N12817" s="84"/>
    </row>
    <row r="12818" spans="1:14" s="2" customFormat="1">
      <c r="A12818" s="83"/>
      <c r="H12818" s="83"/>
      <c r="K12818" s="82"/>
      <c r="M12818" s="112"/>
      <c r="N12818" s="84"/>
    </row>
    <row r="12819" spans="1:14" s="2" customFormat="1">
      <c r="A12819" s="83"/>
      <c r="H12819" s="83"/>
      <c r="K12819" s="82"/>
      <c r="M12819" s="112"/>
      <c r="N12819" s="84"/>
    </row>
    <row r="12820" spans="1:14" s="2" customFormat="1">
      <c r="A12820" s="83"/>
      <c r="H12820" s="83"/>
      <c r="K12820" s="82"/>
      <c r="M12820" s="112"/>
      <c r="N12820" s="84"/>
    </row>
    <row r="12821" spans="1:14" s="2" customFormat="1">
      <c r="A12821" s="83"/>
      <c r="H12821" s="83"/>
      <c r="K12821" s="82"/>
      <c r="M12821" s="112"/>
      <c r="N12821" s="84"/>
    </row>
    <row r="12822" spans="1:14" s="2" customFormat="1">
      <c r="A12822" s="83"/>
      <c r="H12822" s="83"/>
      <c r="K12822" s="82"/>
      <c r="M12822" s="112"/>
      <c r="N12822" s="84"/>
    </row>
    <row r="12823" spans="1:14" s="2" customFormat="1">
      <c r="A12823" s="83"/>
      <c r="H12823" s="83"/>
      <c r="K12823" s="82"/>
      <c r="M12823" s="112"/>
      <c r="N12823" s="84"/>
    </row>
    <row r="12824" spans="1:14" s="2" customFormat="1">
      <c r="A12824" s="83"/>
      <c r="H12824" s="83"/>
      <c r="K12824" s="82"/>
      <c r="M12824" s="112"/>
      <c r="N12824" s="84"/>
    </row>
    <row r="12825" spans="1:14" s="2" customFormat="1">
      <c r="A12825" s="83"/>
      <c r="H12825" s="83"/>
      <c r="K12825" s="82"/>
      <c r="M12825" s="112"/>
      <c r="N12825" s="84"/>
    </row>
    <row r="12826" spans="1:14" s="2" customFormat="1">
      <c r="A12826" s="83"/>
      <c r="H12826" s="83"/>
      <c r="K12826" s="82"/>
      <c r="M12826" s="112"/>
      <c r="N12826" s="84"/>
    </row>
    <row r="12827" spans="1:14" s="2" customFormat="1">
      <c r="A12827" s="83"/>
      <c r="H12827" s="83"/>
      <c r="K12827" s="82"/>
      <c r="M12827" s="112"/>
      <c r="N12827" s="84"/>
    </row>
    <row r="12828" spans="1:14" s="2" customFormat="1">
      <c r="A12828" s="83"/>
      <c r="H12828" s="83"/>
      <c r="K12828" s="82"/>
      <c r="M12828" s="112"/>
      <c r="N12828" s="84"/>
    </row>
    <row r="12829" spans="1:14" s="2" customFormat="1">
      <c r="A12829" s="83"/>
      <c r="H12829" s="83"/>
      <c r="K12829" s="82"/>
      <c r="M12829" s="112"/>
      <c r="N12829" s="84"/>
    </row>
    <row r="12830" spans="1:14" s="2" customFormat="1">
      <c r="A12830" s="83"/>
      <c r="H12830" s="83"/>
      <c r="K12830" s="82"/>
      <c r="M12830" s="112"/>
      <c r="N12830" s="84"/>
    </row>
    <row r="12831" spans="1:14" s="2" customFormat="1">
      <c r="A12831" s="83"/>
      <c r="H12831" s="83"/>
      <c r="K12831" s="82"/>
      <c r="M12831" s="112"/>
      <c r="N12831" s="84"/>
    </row>
    <row r="12832" spans="1:14" s="2" customFormat="1">
      <c r="A12832" s="83"/>
      <c r="H12832" s="83"/>
      <c r="K12832" s="82"/>
      <c r="M12832" s="112"/>
      <c r="N12832" s="84"/>
    </row>
    <row r="12833" spans="1:14" s="2" customFormat="1">
      <c r="A12833" s="83"/>
      <c r="H12833" s="83"/>
      <c r="K12833" s="82"/>
      <c r="M12833" s="112"/>
      <c r="N12833" s="84"/>
    </row>
    <row r="12834" spans="1:14" s="2" customFormat="1">
      <c r="A12834" s="83"/>
      <c r="H12834" s="83"/>
      <c r="K12834" s="82"/>
      <c r="M12834" s="112"/>
      <c r="N12834" s="84"/>
    </row>
    <row r="12835" spans="1:14" s="2" customFormat="1">
      <c r="A12835" s="83"/>
      <c r="H12835" s="83"/>
      <c r="K12835" s="82"/>
      <c r="M12835" s="112"/>
      <c r="N12835" s="84"/>
    </row>
    <row r="12836" spans="1:14" s="2" customFormat="1">
      <c r="A12836" s="83"/>
      <c r="H12836" s="83"/>
      <c r="K12836" s="82"/>
      <c r="M12836" s="112"/>
      <c r="N12836" s="84"/>
    </row>
    <row r="12837" spans="1:14" s="2" customFormat="1">
      <c r="A12837" s="83"/>
      <c r="H12837" s="83"/>
      <c r="K12837" s="82"/>
      <c r="M12837" s="112"/>
      <c r="N12837" s="84"/>
    </row>
    <row r="12838" spans="1:14" s="2" customFormat="1">
      <c r="A12838" s="83"/>
      <c r="H12838" s="83"/>
      <c r="K12838" s="82"/>
      <c r="M12838" s="112"/>
      <c r="N12838" s="84"/>
    </row>
    <row r="12839" spans="1:14" s="2" customFormat="1">
      <c r="A12839" s="83"/>
      <c r="H12839" s="83"/>
      <c r="K12839" s="82"/>
      <c r="M12839" s="112"/>
      <c r="N12839" s="84"/>
    </row>
    <row r="12840" spans="1:14" s="2" customFormat="1">
      <c r="A12840" s="83"/>
      <c r="H12840" s="83"/>
      <c r="K12840" s="82"/>
      <c r="M12840" s="112"/>
      <c r="N12840" s="84"/>
    </row>
    <row r="12841" spans="1:14" s="2" customFormat="1">
      <c r="A12841" s="83"/>
      <c r="H12841" s="83"/>
      <c r="K12841" s="82"/>
      <c r="M12841" s="112"/>
      <c r="N12841" s="84"/>
    </row>
    <row r="12842" spans="1:14" s="2" customFormat="1">
      <c r="A12842" s="83"/>
      <c r="H12842" s="83"/>
      <c r="K12842" s="82"/>
      <c r="M12842" s="112"/>
      <c r="N12842" s="84"/>
    </row>
    <row r="12843" spans="1:14" s="2" customFormat="1">
      <c r="A12843" s="83"/>
      <c r="H12843" s="83"/>
      <c r="K12843" s="82"/>
      <c r="M12843" s="112"/>
      <c r="N12843" s="84"/>
    </row>
    <row r="12844" spans="1:14" s="2" customFormat="1">
      <c r="A12844" s="83"/>
      <c r="H12844" s="83"/>
      <c r="K12844" s="82"/>
      <c r="M12844" s="112"/>
      <c r="N12844" s="84"/>
    </row>
    <row r="12845" spans="1:14" s="2" customFormat="1">
      <c r="A12845" s="83"/>
      <c r="H12845" s="83"/>
      <c r="K12845" s="82"/>
      <c r="M12845" s="112"/>
      <c r="N12845" s="84"/>
    </row>
    <row r="12846" spans="1:14" s="2" customFormat="1">
      <c r="A12846" s="83"/>
      <c r="H12846" s="83"/>
      <c r="K12846" s="82"/>
      <c r="M12846" s="112"/>
      <c r="N12846" s="84"/>
    </row>
    <row r="12847" spans="1:14" s="2" customFormat="1">
      <c r="A12847" s="83"/>
      <c r="H12847" s="83"/>
      <c r="K12847" s="82"/>
      <c r="M12847" s="112"/>
      <c r="N12847" s="84"/>
    </row>
    <row r="12848" spans="1:14" s="2" customFormat="1">
      <c r="A12848" s="83"/>
      <c r="H12848" s="83"/>
      <c r="K12848" s="82"/>
      <c r="M12848" s="112"/>
      <c r="N12848" s="84"/>
    </row>
    <row r="12849" spans="1:14" s="2" customFormat="1">
      <c r="A12849" s="83"/>
      <c r="H12849" s="83"/>
      <c r="K12849" s="82"/>
      <c r="M12849" s="112"/>
      <c r="N12849" s="84"/>
    </row>
    <row r="12850" spans="1:14" s="2" customFormat="1">
      <c r="A12850" s="83"/>
      <c r="H12850" s="83"/>
      <c r="K12850" s="82"/>
      <c r="M12850" s="112"/>
      <c r="N12850" s="84"/>
    </row>
    <row r="12851" spans="1:14" s="2" customFormat="1">
      <c r="A12851" s="83"/>
      <c r="H12851" s="83"/>
      <c r="K12851" s="82"/>
      <c r="M12851" s="112"/>
      <c r="N12851" s="84"/>
    </row>
    <row r="12852" spans="1:14" s="2" customFormat="1">
      <c r="A12852" s="83"/>
      <c r="H12852" s="83"/>
      <c r="K12852" s="82"/>
      <c r="M12852" s="112"/>
      <c r="N12852" s="84"/>
    </row>
    <row r="12853" spans="1:14" s="2" customFormat="1">
      <c r="A12853" s="83"/>
      <c r="H12853" s="83"/>
      <c r="K12853" s="82"/>
      <c r="M12853" s="112"/>
      <c r="N12853" s="84"/>
    </row>
    <row r="12854" spans="1:14" s="2" customFormat="1">
      <c r="A12854" s="83"/>
      <c r="H12854" s="83"/>
      <c r="K12854" s="82"/>
      <c r="M12854" s="112"/>
      <c r="N12854" s="84"/>
    </row>
    <row r="12855" spans="1:14" s="2" customFormat="1">
      <c r="A12855" s="83"/>
      <c r="H12855" s="83"/>
      <c r="K12855" s="82"/>
      <c r="M12855" s="112"/>
      <c r="N12855" s="84"/>
    </row>
    <row r="12856" spans="1:14" s="2" customFormat="1">
      <c r="A12856" s="83"/>
      <c r="H12856" s="83"/>
      <c r="K12856" s="82"/>
      <c r="M12856" s="112"/>
      <c r="N12856" s="84"/>
    </row>
    <row r="12857" spans="1:14" s="2" customFormat="1">
      <c r="A12857" s="83"/>
      <c r="H12857" s="83"/>
      <c r="K12857" s="82"/>
      <c r="M12857" s="112"/>
      <c r="N12857" s="84"/>
    </row>
    <row r="12858" spans="1:14" s="2" customFormat="1">
      <c r="A12858" s="83"/>
      <c r="H12858" s="83"/>
      <c r="K12858" s="82"/>
      <c r="M12858" s="112"/>
      <c r="N12858" s="84"/>
    </row>
    <row r="12859" spans="1:14" s="2" customFormat="1">
      <c r="A12859" s="83"/>
      <c r="H12859" s="83"/>
      <c r="K12859" s="82"/>
      <c r="M12859" s="112"/>
      <c r="N12859" s="84"/>
    </row>
    <row r="12860" spans="1:14" s="2" customFormat="1">
      <c r="A12860" s="83"/>
      <c r="H12860" s="83"/>
      <c r="K12860" s="82"/>
      <c r="M12860" s="112"/>
      <c r="N12860" s="84"/>
    </row>
    <row r="12861" spans="1:14" s="2" customFormat="1">
      <c r="A12861" s="83"/>
      <c r="H12861" s="83"/>
      <c r="K12861" s="82"/>
      <c r="M12861" s="112"/>
      <c r="N12861" s="84"/>
    </row>
    <row r="12862" spans="1:14" s="2" customFormat="1">
      <c r="A12862" s="83"/>
      <c r="H12862" s="83"/>
      <c r="K12862" s="82"/>
      <c r="M12862" s="112"/>
      <c r="N12862" s="84"/>
    </row>
    <row r="12863" spans="1:14" s="2" customFormat="1">
      <c r="A12863" s="83"/>
      <c r="H12863" s="83"/>
      <c r="K12863" s="82"/>
      <c r="M12863" s="112"/>
      <c r="N12863" s="84"/>
    </row>
    <row r="12864" spans="1:14" s="2" customFormat="1">
      <c r="A12864" s="83"/>
      <c r="H12864" s="83"/>
      <c r="K12864" s="82"/>
      <c r="M12864" s="112"/>
      <c r="N12864" s="84"/>
    </row>
    <row r="12865" spans="1:14" s="2" customFormat="1">
      <c r="A12865" s="83"/>
      <c r="H12865" s="83"/>
      <c r="K12865" s="82"/>
      <c r="M12865" s="112"/>
      <c r="N12865" s="84"/>
    </row>
    <row r="12866" spans="1:14" s="2" customFormat="1">
      <c r="A12866" s="83"/>
      <c r="H12866" s="83"/>
      <c r="K12866" s="82"/>
      <c r="M12866" s="112"/>
      <c r="N12866" s="84"/>
    </row>
    <row r="12867" spans="1:14" s="2" customFormat="1">
      <c r="A12867" s="83"/>
      <c r="H12867" s="83"/>
      <c r="K12867" s="82"/>
      <c r="M12867" s="112"/>
      <c r="N12867" s="84"/>
    </row>
    <row r="12868" spans="1:14" s="2" customFormat="1">
      <c r="A12868" s="83"/>
      <c r="H12868" s="83"/>
      <c r="K12868" s="82"/>
      <c r="M12868" s="112"/>
      <c r="N12868" s="84"/>
    </row>
    <row r="12869" spans="1:14" s="2" customFormat="1">
      <c r="A12869" s="83"/>
      <c r="H12869" s="83"/>
      <c r="K12869" s="82"/>
      <c r="M12869" s="112"/>
      <c r="N12869" s="84"/>
    </row>
    <row r="12870" spans="1:14" s="2" customFormat="1">
      <c r="A12870" s="83"/>
      <c r="H12870" s="83"/>
      <c r="K12870" s="82"/>
      <c r="M12870" s="112"/>
      <c r="N12870" s="84"/>
    </row>
    <row r="12871" spans="1:14" s="2" customFormat="1">
      <c r="A12871" s="83"/>
      <c r="H12871" s="83"/>
      <c r="K12871" s="82"/>
      <c r="M12871" s="112"/>
      <c r="N12871" s="84"/>
    </row>
    <row r="12872" spans="1:14" s="2" customFormat="1">
      <c r="A12872" s="83"/>
      <c r="H12872" s="83"/>
      <c r="K12872" s="82"/>
      <c r="M12872" s="112"/>
      <c r="N12872" s="84"/>
    </row>
    <row r="12873" spans="1:14" s="2" customFormat="1">
      <c r="A12873" s="83"/>
      <c r="H12873" s="83"/>
      <c r="K12873" s="82"/>
      <c r="M12873" s="112"/>
      <c r="N12873" s="84"/>
    </row>
    <row r="12874" spans="1:14" s="2" customFormat="1">
      <c r="A12874" s="83"/>
      <c r="H12874" s="83"/>
      <c r="K12874" s="82"/>
      <c r="M12874" s="112"/>
      <c r="N12874" s="84"/>
    </row>
    <row r="12875" spans="1:14" s="2" customFormat="1">
      <c r="A12875" s="83"/>
      <c r="H12875" s="83"/>
      <c r="K12875" s="82"/>
      <c r="M12875" s="112"/>
      <c r="N12875" s="84"/>
    </row>
    <row r="12876" spans="1:14" s="2" customFormat="1">
      <c r="A12876" s="83"/>
      <c r="H12876" s="83"/>
      <c r="K12876" s="82"/>
      <c r="M12876" s="112"/>
      <c r="N12876" s="84"/>
    </row>
    <row r="12877" spans="1:14" s="2" customFormat="1">
      <c r="A12877" s="83"/>
      <c r="H12877" s="83"/>
      <c r="K12877" s="82"/>
      <c r="M12877" s="112"/>
      <c r="N12877" s="84"/>
    </row>
    <row r="12878" spans="1:14" s="2" customFormat="1">
      <c r="A12878" s="83"/>
      <c r="H12878" s="83"/>
      <c r="K12878" s="82"/>
      <c r="M12878" s="112"/>
      <c r="N12878" s="84"/>
    </row>
    <row r="12879" spans="1:14" s="2" customFormat="1">
      <c r="A12879" s="83"/>
      <c r="H12879" s="83"/>
      <c r="K12879" s="82"/>
      <c r="M12879" s="112"/>
      <c r="N12879" s="84"/>
    </row>
    <row r="12880" spans="1:14" s="2" customFormat="1">
      <c r="A12880" s="83"/>
      <c r="H12880" s="83"/>
      <c r="K12880" s="82"/>
      <c r="M12880" s="112"/>
      <c r="N12880" s="84"/>
    </row>
    <row r="12881" spans="1:14" s="2" customFormat="1">
      <c r="A12881" s="83"/>
      <c r="H12881" s="83"/>
      <c r="K12881" s="82"/>
      <c r="M12881" s="112"/>
      <c r="N12881" s="84"/>
    </row>
    <row r="12882" spans="1:14" s="2" customFormat="1">
      <c r="A12882" s="83"/>
      <c r="H12882" s="83"/>
      <c r="K12882" s="82"/>
      <c r="M12882" s="112"/>
      <c r="N12882" s="84"/>
    </row>
    <row r="12883" spans="1:14" s="2" customFormat="1">
      <c r="A12883" s="83"/>
      <c r="H12883" s="83"/>
      <c r="K12883" s="82"/>
      <c r="M12883" s="112"/>
      <c r="N12883" s="84"/>
    </row>
    <row r="12884" spans="1:14" s="2" customFormat="1">
      <c r="A12884" s="83"/>
      <c r="H12884" s="83"/>
      <c r="K12884" s="82"/>
      <c r="M12884" s="112"/>
      <c r="N12884" s="84"/>
    </row>
    <row r="12885" spans="1:14" s="2" customFormat="1">
      <c r="A12885" s="83"/>
      <c r="H12885" s="83"/>
      <c r="K12885" s="82"/>
      <c r="M12885" s="112"/>
      <c r="N12885" s="84"/>
    </row>
    <row r="12886" spans="1:14" s="2" customFormat="1">
      <c r="A12886" s="83"/>
      <c r="H12886" s="83"/>
      <c r="K12886" s="82"/>
      <c r="M12886" s="112"/>
      <c r="N12886" s="84"/>
    </row>
    <row r="12887" spans="1:14" s="2" customFormat="1">
      <c r="A12887" s="83"/>
      <c r="H12887" s="83"/>
      <c r="K12887" s="82"/>
      <c r="M12887" s="112"/>
      <c r="N12887" s="84"/>
    </row>
    <row r="12888" spans="1:14" s="2" customFormat="1">
      <c r="A12888" s="83"/>
      <c r="H12888" s="83"/>
      <c r="K12888" s="82"/>
      <c r="M12888" s="112"/>
      <c r="N12888" s="84"/>
    </row>
    <row r="12889" spans="1:14" s="2" customFormat="1">
      <c r="A12889" s="83"/>
      <c r="H12889" s="83"/>
      <c r="K12889" s="82"/>
      <c r="M12889" s="112"/>
      <c r="N12889" s="84"/>
    </row>
    <row r="12890" spans="1:14" s="2" customFormat="1">
      <c r="A12890" s="83"/>
      <c r="H12890" s="83"/>
      <c r="K12890" s="82"/>
      <c r="M12890" s="112"/>
      <c r="N12890" s="84"/>
    </row>
    <row r="12891" spans="1:14" s="2" customFormat="1">
      <c r="A12891" s="83"/>
      <c r="H12891" s="83"/>
      <c r="K12891" s="82"/>
      <c r="M12891" s="112"/>
      <c r="N12891" s="84"/>
    </row>
    <row r="12892" spans="1:14" s="2" customFormat="1">
      <c r="A12892" s="83"/>
      <c r="H12892" s="83"/>
      <c r="K12892" s="82"/>
      <c r="M12892" s="112"/>
      <c r="N12892" s="84"/>
    </row>
    <row r="12893" spans="1:14" s="2" customFormat="1">
      <c r="A12893" s="83"/>
      <c r="H12893" s="83"/>
      <c r="K12893" s="82"/>
      <c r="M12893" s="112"/>
      <c r="N12893" s="84"/>
    </row>
    <row r="12894" spans="1:14" s="2" customFormat="1">
      <c r="A12894" s="83"/>
      <c r="H12894" s="83"/>
      <c r="K12894" s="82"/>
      <c r="M12894" s="112"/>
      <c r="N12894" s="84"/>
    </row>
    <row r="12895" spans="1:14" s="2" customFormat="1">
      <c r="A12895" s="83"/>
      <c r="H12895" s="83"/>
      <c r="K12895" s="82"/>
      <c r="M12895" s="112"/>
      <c r="N12895" s="84"/>
    </row>
    <row r="12896" spans="1:14" s="2" customFormat="1">
      <c r="A12896" s="83"/>
      <c r="H12896" s="83"/>
      <c r="K12896" s="82"/>
      <c r="M12896" s="112"/>
      <c r="N12896" s="84"/>
    </row>
    <row r="12897" spans="1:14" s="2" customFormat="1">
      <c r="A12897" s="83"/>
      <c r="H12897" s="83"/>
      <c r="K12897" s="82"/>
      <c r="M12897" s="112"/>
      <c r="N12897" s="84"/>
    </row>
    <row r="12898" spans="1:14" s="2" customFormat="1">
      <c r="A12898" s="83"/>
      <c r="H12898" s="83"/>
      <c r="K12898" s="82"/>
      <c r="M12898" s="112"/>
      <c r="N12898" s="84"/>
    </row>
    <row r="12899" spans="1:14" s="2" customFormat="1">
      <c r="A12899" s="83"/>
      <c r="H12899" s="83"/>
      <c r="K12899" s="82"/>
      <c r="M12899" s="112"/>
      <c r="N12899" s="84"/>
    </row>
    <row r="12900" spans="1:14" s="2" customFormat="1">
      <c r="A12900" s="83"/>
      <c r="H12900" s="83"/>
      <c r="K12900" s="82"/>
      <c r="M12900" s="112"/>
      <c r="N12900" s="84"/>
    </row>
    <row r="12901" spans="1:14" s="2" customFormat="1">
      <c r="A12901" s="83"/>
      <c r="H12901" s="83"/>
      <c r="K12901" s="82"/>
      <c r="M12901" s="112"/>
      <c r="N12901" s="84"/>
    </row>
    <row r="12902" spans="1:14" s="2" customFormat="1">
      <c r="A12902" s="83"/>
      <c r="H12902" s="83"/>
      <c r="K12902" s="82"/>
      <c r="M12902" s="112"/>
      <c r="N12902" s="84"/>
    </row>
    <row r="12903" spans="1:14" s="2" customFormat="1">
      <c r="A12903" s="83"/>
      <c r="H12903" s="83"/>
      <c r="K12903" s="82"/>
      <c r="M12903" s="112"/>
      <c r="N12903" s="84"/>
    </row>
    <row r="12904" spans="1:14" s="2" customFormat="1">
      <c r="A12904" s="83"/>
      <c r="H12904" s="83"/>
      <c r="K12904" s="82"/>
      <c r="M12904" s="112"/>
      <c r="N12904" s="84"/>
    </row>
    <row r="12905" spans="1:14" s="2" customFormat="1">
      <c r="A12905" s="83"/>
      <c r="H12905" s="83"/>
      <c r="K12905" s="82"/>
      <c r="M12905" s="112"/>
      <c r="N12905" s="84"/>
    </row>
    <row r="12906" spans="1:14" s="2" customFormat="1">
      <c r="A12906" s="83"/>
      <c r="H12906" s="83"/>
      <c r="K12906" s="82"/>
      <c r="M12906" s="112"/>
      <c r="N12906" s="84"/>
    </row>
    <row r="12907" spans="1:14" s="2" customFormat="1">
      <c r="A12907" s="83"/>
      <c r="H12907" s="83"/>
      <c r="K12907" s="82"/>
      <c r="M12907" s="112"/>
      <c r="N12907" s="84"/>
    </row>
    <row r="12908" spans="1:14" s="2" customFormat="1">
      <c r="A12908" s="83"/>
      <c r="H12908" s="83"/>
      <c r="K12908" s="82"/>
      <c r="M12908" s="112"/>
      <c r="N12908" s="84"/>
    </row>
    <row r="12909" spans="1:14" s="2" customFormat="1">
      <c r="A12909" s="83"/>
      <c r="H12909" s="83"/>
      <c r="K12909" s="82"/>
      <c r="M12909" s="112"/>
      <c r="N12909" s="84"/>
    </row>
    <row r="12910" spans="1:14" s="2" customFormat="1">
      <c r="A12910" s="83"/>
      <c r="H12910" s="83"/>
      <c r="K12910" s="82"/>
      <c r="M12910" s="112"/>
      <c r="N12910" s="84"/>
    </row>
    <row r="12911" spans="1:14" s="2" customFormat="1">
      <c r="A12911" s="83"/>
      <c r="H12911" s="83"/>
      <c r="K12911" s="82"/>
      <c r="M12911" s="112"/>
      <c r="N12911" s="84"/>
    </row>
    <row r="12912" spans="1:14" s="2" customFormat="1">
      <c r="A12912" s="83"/>
      <c r="H12912" s="83"/>
      <c r="K12912" s="82"/>
      <c r="M12912" s="112"/>
      <c r="N12912" s="84"/>
    </row>
    <row r="12913" spans="1:14" s="2" customFormat="1">
      <c r="A12913" s="83"/>
      <c r="H12913" s="83"/>
      <c r="K12913" s="82"/>
      <c r="M12913" s="112"/>
      <c r="N12913" s="84"/>
    </row>
    <row r="12914" spans="1:14" s="2" customFormat="1">
      <c r="A12914" s="83"/>
      <c r="H12914" s="83"/>
      <c r="K12914" s="82"/>
      <c r="M12914" s="112"/>
      <c r="N12914" s="84"/>
    </row>
    <row r="12915" spans="1:14" s="2" customFormat="1">
      <c r="A12915" s="83"/>
      <c r="H12915" s="83"/>
      <c r="K12915" s="82"/>
      <c r="M12915" s="112"/>
      <c r="N12915" s="84"/>
    </row>
    <row r="12916" spans="1:14" s="2" customFormat="1">
      <c r="A12916" s="83"/>
      <c r="H12916" s="83"/>
      <c r="K12916" s="82"/>
      <c r="M12916" s="112"/>
      <c r="N12916" s="84"/>
    </row>
    <row r="12917" spans="1:14" s="2" customFormat="1">
      <c r="A12917" s="83"/>
      <c r="H12917" s="83"/>
      <c r="K12917" s="82"/>
      <c r="M12917" s="112"/>
      <c r="N12917" s="84"/>
    </row>
    <row r="12918" spans="1:14" s="2" customFormat="1">
      <c r="A12918" s="83"/>
      <c r="H12918" s="83"/>
      <c r="K12918" s="82"/>
      <c r="M12918" s="112"/>
      <c r="N12918" s="84"/>
    </row>
    <row r="12919" spans="1:14" s="2" customFormat="1">
      <c r="A12919" s="83"/>
      <c r="H12919" s="83"/>
      <c r="K12919" s="82"/>
      <c r="M12919" s="112"/>
      <c r="N12919" s="84"/>
    </row>
    <row r="12920" spans="1:14" s="2" customFormat="1">
      <c r="A12920" s="83"/>
      <c r="H12920" s="83"/>
      <c r="K12920" s="82"/>
      <c r="M12920" s="112"/>
      <c r="N12920" s="84"/>
    </row>
    <row r="12921" spans="1:14" s="2" customFormat="1">
      <c r="A12921" s="83"/>
      <c r="H12921" s="83"/>
      <c r="K12921" s="82"/>
      <c r="M12921" s="112"/>
      <c r="N12921" s="84"/>
    </row>
    <row r="12922" spans="1:14" s="2" customFormat="1">
      <c r="A12922" s="83"/>
      <c r="H12922" s="83"/>
      <c r="K12922" s="82"/>
      <c r="M12922" s="112"/>
      <c r="N12922" s="84"/>
    </row>
    <row r="12923" spans="1:14" s="2" customFormat="1">
      <c r="A12923" s="83"/>
      <c r="H12923" s="83"/>
      <c r="K12923" s="82"/>
      <c r="M12923" s="112"/>
      <c r="N12923" s="84"/>
    </row>
    <row r="12924" spans="1:14" s="2" customFormat="1">
      <c r="A12924" s="83"/>
      <c r="H12924" s="83"/>
      <c r="K12924" s="82"/>
      <c r="M12924" s="112"/>
      <c r="N12924" s="84"/>
    </row>
    <row r="12925" spans="1:14" s="2" customFormat="1">
      <c r="A12925" s="83"/>
      <c r="H12925" s="83"/>
      <c r="K12925" s="82"/>
      <c r="M12925" s="112"/>
      <c r="N12925" s="84"/>
    </row>
    <row r="12926" spans="1:14" s="2" customFormat="1">
      <c r="A12926" s="83"/>
      <c r="H12926" s="83"/>
      <c r="K12926" s="82"/>
      <c r="M12926" s="112"/>
      <c r="N12926" s="84"/>
    </row>
    <row r="12927" spans="1:14" s="2" customFormat="1">
      <c r="A12927" s="83"/>
      <c r="H12927" s="83"/>
      <c r="K12927" s="82"/>
      <c r="M12927" s="112"/>
      <c r="N12927" s="84"/>
    </row>
    <row r="12928" spans="1:14" s="2" customFormat="1">
      <c r="A12928" s="83"/>
      <c r="H12928" s="83"/>
      <c r="K12928" s="82"/>
      <c r="M12928" s="112"/>
      <c r="N12928" s="84"/>
    </row>
    <row r="12929" spans="1:14" s="2" customFormat="1">
      <c r="A12929" s="83"/>
      <c r="H12929" s="83"/>
      <c r="K12929" s="82"/>
      <c r="M12929" s="112"/>
      <c r="N12929" s="84"/>
    </row>
    <row r="12930" spans="1:14" s="2" customFormat="1">
      <c r="A12930" s="83"/>
      <c r="H12930" s="83"/>
      <c r="K12930" s="82"/>
      <c r="M12930" s="112"/>
      <c r="N12930" s="84"/>
    </row>
    <row r="12931" spans="1:14" s="2" customFormat="1">
      <c r="A12931" s="83"/>
      <c r="H12931" s="83"/>
      <c r="K12931" s="82"/>
      <c r="M12931" s="112"/>
      <c r="N12931" s="84"/>
    </row>
    <row r="12932" spans="1:14" s="2" customFormat="1">
      <c r="A12932" s="83"/>
      <c r="H12932" s="83"/>
      <c r="K12932" s="82"/>
      <c r="M12932" s="112"/>
      <c r="N12932" s="84"/>
    </row>
    <row r="12933" spans="1:14" s="2" customFormat="1">
      <c r="A12933" s="83"/>
      <c r="H12933" s="83"/>
      <c r="K12933" s="82"/>
      <c r="M12933" s="112"/>
      <c r="N12933" s="84"/>
    </row>
    <row r="12934" spans="1:14" s="2" customFormat="1">
      <c r="A12934" s="83"/>
      <c r="H12934" s="83"/>
      <c r="K12934" s="82"/>
      <c r="M12934" s="112"/>
      <c r="N12934" s="84"/>
    </row>
    <row r="12935" spans="1:14" s="2" customFormat="1">
      <c r="A12935" s="83"/>
      <c r="H12935" s="83"/>
      <c r="K12935" s="82"/>
      <c r="M12935" s="112"/>
      <c r="N12935" s="84"/>
    </row>
    <row r="12936" spans="1:14" s="2" customFormat="1">
      <c r="A12936" s="83"/>
      <c r="H12936" s="83"/>
      <c r="K12936" s="82"/>
      <c r="M12936" s="112"/>
      <c r="N12936" s="84"/>
    </row>
    <row r="12937" spans="1:14" s="2" customFormat="1">
      <c r="A12937" s="83"/>
      <c r="H12937" s="83"/>
      <c r="K12937" s="82"/>
      <c r="M12937" s="112"/>
      <c r="N12937" s="84"/>
    </row>
    <row r="12938" spans="1:14" s="2" customFormat="1">
      <c r="A12938" s="83"/>
      <c r="H12938" s="83"/>
      <c r="K12938" s="82"/>
      <c r="M12938" s="112"/>
      <c r="N12938" s="84"/>
    </row>
    <row r="12939" spans="1:14" s="2" customFormat="1">
      <c r="A12939" s="83"/>
      <c r="H12939" s="83"/>
      <c r="K12939" s="82"/>
      <c r="M12939" s="112"/>
      <c r="N12939" s="84"/>
    </row>
    <row r="12940" spans="1:14" s="2" customFormat="1">
      <c r="A12940" s="83"/>
      <c r="H12940" s="83"/>
      <c r="K12940" s="82"/>
      <c r="M12940" s="112"/>
      <c r="N12940" s="84"/>
    </row>
    <row r="12941" spans="1:14" s="2" customFormat="1">
      <c r="A12941" s="83"/>
      <c r="H12941" s="83"/>
      <c r="K12941" s="82"/>
      <c r="M12941" s="112"/>
      <c r="N12941" s="84"/>
    </row>
    <row r="12942" spans="1:14" s="2" customFormat="1">
      <c r="A12942" s="83"/>
      <c r="H12942" s="83"/>
      <c r="K12942" s="82"/>
      <c r="M12942" s="112"/>
      <c r="N12942" s="84"/>
    </row>
    <row r="12943" spans="1:14" s="2" customFormat="1">
      <c r="A12943" s="83"/>
      <c r="H12943" s="83"/>
      <c r="K12943" s="82"/>
      <c r="M12943" s="112"/>
      <c r="N12943" s="84"/>
    </row>
    <row r="12944" spans="1:14" s="2" customFormat="1">
      <c r="A12944" s="83"/>
      <c r="H12944" s="83"/>
      <c r="K12944" s="82"/>
      <c r="M12944" s="112"/>
      <c r="N12944" s="84"/>
    </row>
    <row r="12945" spans="1:14" s="2" customFormat="1">
      <c r="A12945" s="83"/>
      <c r="H12945" s="83"/>
      <c r="K12945" s="82"/>
      <c r="M12945" s="112"/>
      <c r="N12945" s="84"/>
    </row>
    <row r="12946" spans="1:14" s="2" customFormat="1">
      <c r="A12946" s="83"/>
      <c r="H12946" s="83"/>
      <c r="K12946" s="82"/>
      <c r="M12946" s="112"/>
      <c r="N12946" s="84"/>
    </row>
    <row r="12947" spans="1:14" s="2" customFormat="1">
      <c r="A12947" s="83"/>
      <c r="H12947" s="83"/>
      <c r="K12947" s="82"/>
      <c r="M12947" s="112"/>
      <c r="N12947" s="84"/>
    </row>
    <row r="12948" spans="1:14" s="2" customFormat="1">
      <c r="A12948" s="83"/>
      <c r="H12948" s="83"/>
      <c r="K12948" s="82"/>
      <c r="M12948" s="112"/>
      <c r="N12948" s="84"/>
    </row>
    <row r="12949" spans="1:14" s="2" customFormat="1">
      <c r="A12949" s="83"/>
      <c r="H12949" s="83"/>
      <c r="K12949" s="82"/>
      <c r="M12949" s="112"/>
      <c r="N12949" s="84"/>
    </row>
    <row r="12950" spans="1:14" s="2" customFormat="1">
      <c r="A12950" s="83"/>
      <c r="H12950" s="83"/>
      <c r="K12950" s="82"/>
      <c r="M12950" s="112"/>
      <c r="N12950" s="84"/>
    </row>
    <row r="12951" spans="1:14" s="2" customFormat="1">
      <c r="A12951" s="83"/>
      <c r="H12951" s="83"/>
      <c r="K12951" s="82"/>
      <c r="M12951" s="112"/>
      <c r="N12951" s="84"/>
    </row>
    <row r="12952" spans="1:14" s="2" customFormat="1">
      <c r="A12952" s="83"/>
      <c r="H12952" s="83"/>
      <c r="K12952" s="82"/>
      <c r="M12952" s="112"/>
      <c r="N12952" s="84"/>
    </row>
    <row r="12953" spans="1:14" s="2" customFormat="1">
      <c r="A12953" s="83"/>
      <c r="H12953" s="83"/>
      <c r="K12953" s="82"/>
      <c r="M12953" s="112"/>
      <c r="N12953" s="84"/>
    </row>
    <row r="12954" spans="1:14" s="2" customFormat="1">
      <c r="A12954" s="83"/>
      <c r="H12954" s="83"/>
      <c r="K12954" s="82"/>
      <c r="M12954" s="112"/>
      <c r="N12954" s="84"/>
    </row>
    <row r="12955" spans="1:14" s="2" customFormat="1">
      <c r="A12955" s="83"/>
      <c r="H12955" s="83"/>
      <c r="K12955" s="82"/>
      <c r="M12955" s="112"/>
      <c r="N12955" s="84"/>
    </row>
    <row r="12956" spans="1:14" s="2" customFormat="1">
      <c r="A12956" s="83"/>
      <c r="H12956" s="83"/>
      <c r="K12956" s="82"/>
      <c r="M12956" s="112"/>
      <c r="N12956" s="84"/>
    </row>
    <row r="12957" spans="1:14" s="2" customFormat="1">
      <c r="A12957" s="83"/>
      <c r="H12957" s="83"/>
      <c r="K12957" s="82"/>
      <c r="M12957" s="112"/>
      <c r="N12957" s="84"/>
    </row>
    <row r="12958" spans="1:14" s="2" customFormat="1">
      <c r="A12958" s="83"/>
      <c r="H12958" s="83"/>
      <c r="K12958" s="82"/>
      <c r="M12958" s="112"/>
      <c r="N12958" s="84"/>
    </row>
    <row r="12959" spans="1:14" s="2" customFormat="1">
      <c r="A12959" s="83"/>
      <c r="H12959" s="83"/>
      <c r="K12959" s="82"/>
      <c r="M12959" s="112"/>
      <c r="N12959" s="84"/>
    </row>
    <row r="12960" spans="1:14" s="2" customFormat="1">
      <c r="A12960" s="83"/>
      <c r="H12960" s="83"/>
      <c r="K12960" s="82"/>
      <c r="M12960" s="112"/>
      <c r="N12960" s="84"/>
    </row>
    <row r="12961" spans="1:14" s="2" customFormat="1">
      <c r="A12961" s="83"/>
      <c r="H12961" s="83"/>
      <c r="K12961" s="82"/>
      <c r="M12961" s="112"/>
      <c r="N12961" s="84"/>
    </row>
    <row r="12962" spans="1:14" s="2" customFormat="1">
      <c r="A12962" s="83"/>
      <c r="H12962" s="83"/>
      <c r="K12962" s="82"/>
      <c r="M12962" s="112"/>
      <c r="N12962" s="84"/>
    </row>
    <row r="12963" spans="1:14" s="2" customFormat="1">
      <c r="A12963" s="83"/>
      <c r="H12963" s="83"/>
      <c r="K12963" s="82"/>
      <c r="M12963" s="112"/>
      <c r="N12963" s="84"/>
    </row>
    <row r="12964" spans="1:14" s="2" customFormat="1">
      <c r="A12964" s="83"/>
      <c r="H12964" s="83"/>
      <c r="K12964" s="82"/>
      <c r="M12964" s="112"/>
      <c r="N12964" s="84"/>
    </row>
    <row r="12965" spans="1:14" s="2" customFormat="1">
      <c r="A12965" s="83"/>
      <c r="H12965" s="83"/>
      <c r="K12965" s="82"/>
      <c r="M12965" s="112"/>
      <c r="N12965" s="84"/>
    </row>
    <row r="12966" spans="1:14" s="2" customFormat="1">
      <c r="A12966" s="83"/>
      <c r="H12966" s="83"/>
      <c r="K12966" s="82"/>
      <c r="M12966" s="112"/>
      <c r="N12966" s="84"/>
    </row>
    <row r="12967" spans="1:14" s="2" customFormat="1">
      <c r="A12967" s="83"/>
      <c r="H12967" s="83"/>
      <c r="K12967" s="82"/>
      <c r="M12967" s="112"/>
      <c r="N12967" s="84"/>
    </row>
    <row r="12968" spans="1:14" s="2" customFormat="1">
      <c r="A12968" s="83"/>
      <c r="H12968" s="83"/>
      <c r="K12968" s="82"/>
      <c r="M12968" s="112"/>
      <c r="N12968" s="84"/>
    </row>
    <row r="12969" spans="1:14" s="2" customFormat="1">
      <c r="A12969" s="83"/>
      <c r="H12969" s="83"/>
      <c r="K12969" s="82"/>
      <c r="M12969" s="112"/>
      <c r="N12969" s="84"/>
    </row>
    <row r="12970" spans="1:14" s="2" customFormat="1">
      <c r="A12970" s="83"/>
      <c r="H12970" s="83"/>
      <c r="K12970" s="82"/>
      <c r="M12970" s="112"/>
      <c r="N12970" s="84"/>
    </row>
    <row r="12971" spans="1:14" s="2" customFormat="1">
      <c r="A12971" s="83"/>
      <c r="H12971" s="83"/>
      <c r="K12971" s="82"/>
      <c r="M12971" s="112"/>
      <c r="N12971" s="84"/>
    </row>
    <row r="12972" spans="1:14" s="2" customFormat="1">
      <c r="A12972" s="83"/>
      <c r="H12972" s="83"/>
      <c r="K12972" s="82"/>
      <c r="M12972" s="112"/>
      <c r="N12972" s="84"/>
    </row>
    <row r="12973" spans="1:14" s="2" customFormat="1">
      <c r="A12973" s="83"/>
      <c r="H12973" s="83"/>
      <c r="K12973" s="82"/>
      <c r="M12973" s="112"/>
      <c r="N12973" s="84"/>
    </row>
    <row r="12974" spans="1:14" s="2" customFormat="1">
      <c r="A12974" s="83"/>
      <c r="H12974" s="83"/>
      <c r="K12974" s="82"/>
      <c r="M12974" s="112"/>
      <c r="N12974" s="84"/>
    </row>
    <row r="12975" spans="1:14" s="2" customFormat="1">
      <c r="A12975" s="83"/>
      <c r="H12975" s="83"/>
      <c r="K12975" s="82"/>
      <c r="M12975" s="112"/>
      <c r="N12975" s="84"/>
    </row>
    <row r="12976" spans="1:14" s="2" customFormat="1">
      <c r="A12976" s="83"/>
      <c r="H12976" s="83"/>
      <c r="K12976" s="82"/>
      <c r="M12976" s="112"/>
      <c r="N12976" s="84"/>
    </row>
    <row r="12977" spans="1:14" s="2" customFormat="1">
      <c r="A12977" s="83"/>
      <c r="H12977" s="83"/>
      <c r="K12977" s="82"/>
      <c r="M12977" s="112"/>
      <c r="N12977" s="84"/>
    </row>
    <row r="12978" spans="1:14" s="2" customFormat="1">
      <c r="A12978" s="83"/>
      <c r="H12978" s="83"/>
      <c r="K12978" s="82"/>
      <c r="M12978" s="112"/>
      <c r="N12978" s="84"/>
    </row>
    <row r="12979" spans="1:14" s="2" customFormat="1">
      <c r="A12979" s="83"/>
      <c r="H12979" s="83"/>
      <c r="K12979" s="82"/>
      <c r="M12979" s="112"/>
      <c r="N12979" s="84"/>
    </row>
    <row r="12980" spans="1:14" s="2" customFormat="1">
      <c r="A12980" s="83"/>
      <c r="H12980" s="83"/>
      <c r="K12980" s="82"/>
      <c r="M12980" s="112"/>
      <c r="N12980" s="84"/>
    </row>
    <row r="12981" spans="1:14" s="2" customFormat="1">
      <c r="A12981" s="83"/>
      <c r="H12981" s="83"/>
      <c r="K12981" s="82"/>
      <c r="M12981" s="112"/>
      <c r="N12981" s="84"/>
    </row>
    <row r="12982" spans="1:14" s="2" customFormat="1">
      <c r="A12982" s="83"/>
      <c r="H12982" s="83"/>
      <c r="K12982" s="82"/>
      <c r="M12982" s="112"/>
      <c r="N12982" s="84"/>
    </row>
    <row r="12983" spans="1:14" s="2" customFormat="1">
      <c r="A12983" s="83"/>
      <c r="H12983" s="83"/>
      <c r="K12983" s="82"/>
      <c r="M12983" s="112"/>
      <c r="N12983" s="84"/>
    </row>
    <row r="12984" spans="1:14" s="2" customFormat="1">
      <c r="A12984" s="83"/>
      <c r="H12984" s="83"/>
      <c r="K12984" s="82"/>
      <c r="M12984" s="112"/>
      <c r="N12984" s="84"/>
    </row>
    <row r="12985" spans="1:14" s="2" customFormat="1">
      <c r="A12985" s="83"/>
      <c r="H12985" s="83"/>
      <c r="K12985" s="82"/>
      <c r="M12985" s="112"/>
      <c r="N12985" s="84"/>
    </row>
    <row r="12986" spans="1:14" s="2" customFormat="1">
      <c r="A12986" s="83"/>
      <c r="H12986" s="83"/>
      <c r="K12986" s="82"/>
      <c r="M12986" s="112"/>
      <c r="N12986" s="84"/>
    </row>
    <row r="12987" spans="1:14" s="2" customFormat="1">
      <c r="A12987" s="83"/>
      <c r="H12987" s="83"/>
      <c r="K12987" s="82"/>
      <c r="M12987" s="112"/>
      <c r="N12987" s="84"/>
    </row>
    <row r="12988" spans="1:14" s="2" customFormat="1">
      <c r="A12988" s="83"/>
      <c r="H12988" s="83"/>
      <c r="K12988" s="82"/>
      <c r="M12988" s="112"/>
      <c r="N12988" s="84"/>
    </row>
    <row r="12989" spans="1:14" s="2" customFormat="1">
      <c r="A12989" s="83"/>
      <c r="H12989" s="83"/>
      <c r="K12989" s="82"/>
      <c r="M12989" s="112"/>
      <c r="N12989" s="84"/>
    </row>
    <row r="12990" spans="1:14" s="2" customFormat="1">
      <c r="A12990" s="83"/>
      <c r="H12990" s="83"/>
      <c r="K12990" s="82"/>
      <c r="M12990" s="112"/>
      <c r="N12990" s="84"/>
    </row>
    <row r="12991" spans="1:14" s="2" customFormat="1">
      <c r="A12991" s="83"/>
      <c r="H12991" s="83"/>
      <c r="K12991" s="82"/>
      <c r="M12991" s="112"/>
      <c r="N12991" s="84"/>
    </row>
    <row r="12992" spans="1:14" s="2" customFormat="1">
      <c r="A12992" s="83"/>
      <c r="H12992" s="83"/>
      <c r="K12992" s="82"/>
      <c r="M12992" s="112"/>
      <c r="N12992" s="84"/>
    </row>
    <row r="12993" spans="1:14" s="2" customFormat="1">
      <c r="A12993" s="83"/>
      <c r="H12993" s="83"/>
      <c r="K12993" s="82"/>
      <c r="M12993" s="112"/>
      <c r="N12993" s="84"/>
    </row>
    <row r="12994" spans="1:14" s="2" customFormat="1">
      <c r="A12994" s="83"/>
      <c r="H12994" s="83"/>
      <c r="K12994" s="82"/>
      <c r="M12994" s="112"/>
      <c r="N12994" s="84"/>
    </row>
    <row r="12995" spans="1:14" s="2" customFormat="1">
      <c r="A12995" s="83"/>
      <c r="H12995" s="83"/>
      <c r="K12995" s="82"/>
      <c r="M12995" s="112"/>
      <c r="N12995" s="84"/>
    </row>
    <row r="12996" spans="1:14" s="2" customFormat="1">
      <c r="A12996" s="83"/>
      <c r="H12996" s="83"/>
      <c r="K12996" s="82"/>
      <c r="M12996" s="112"/>
      <c r="N12996" s="84"/>
    </row>
    <row r="12997" spans="1:14" s="2" customFormat="1">
      <c r="A12997" s="83"/>
      <c r="H12997" s="83"/>
      <c r="K12997" s="82"/>
      <c r="M12997" s="112"/>
      <c r="N12997" s="84"/>
    </row>
    <row r="12998" spans="1:14" s="2" customFormat="1">
      <c r="A12998" s="83"/>
      <c r="H12998" s="83"/>
      <c r="K12998" s="82"/>
      <c r="M12998" s="112"/>
      <c r="N12998" s="84"/>
    </row>
    <row r="12999" spans="1:14" s="2" customFormat="1">
      <c r="A12999" s="83"/>
      <c r="H12999" s="83"/>
      <c r="K12999" s="82"/>
      <c r="M12999" s="112"/>
      <c r="N12999" s="84"/>
    </row>
    <row r="13000" spans="1:14" s="2" customFormat="1">
      <c r="A13000" s="83"/>
      <c r="H13000" s="83"/>
      <c r="K13000" s="82"/>
      <c r="M13000" s="112"/>
      <c r="N13000" s="84"/>
    </row>
    <row r="13001" spans="1:14" s="2" customFormat="1">
      <c r="A13001" s="83"/>
      <c r="H13001" s="83"/>
      <c r="K13001" s="82"/>
      <c r="M13001" s="112"/>
      <c r="N13001" s="84"/>
    </row>
    <row r="13002" spans="1:14" s="2" customFormat="1">
      <c r="A13002" s="83"/>
      <c r="H13002" s="83"/>
      <c r="K13002" s="82"/>
      <c r="M13002" s="112"/>
      <c r="N13002" s="84"/>
    </row>
    <row r="13003" spans="1:14" s="2" customFormat="1">
      <c r="A13003" s="83"/>
      <c r="H13003" s="83"/>
      <c r="K13003" s="82"/>
      <c r="M13003" s="112"/>
      <c r="N13003" s="84"/>
    </row>
    <row r="13004" spans="1:14" s="2" customFormat="1">
      <c r="A13004" s="83"/>
      <c r="H13004" s="83"/>
      <c r="K13004" s="82"/>
      <c r="M13004" s="112"/>
      <c r="N13004" s="84"/>
    </row>
    <row r="13005" spans="1:14" s="2" customFormat="1">
      <c r="A13005" s="83"/>
      <c r="H13005" s="83"/>
      <c r="K13005" s="82"/>
      <c r="M13005" s="112"/>
      <c r="N13005" s="84"/>
    </row>
    <row r="13006" spans="1:14" s="2" customFormat="1">
      <c r="A13006" s="83"/>
      <c r="H13006" s="83"/>
      <c r="K13006" s="82"/>
      <c r="M13006" s="112"/>
      <c r="N13006" s="84"/>
    </row>
    <row r="13007" spans="1:14" s="2" customFormat="1">
      <c r="A13007" s="83"/>
      <c r="H13007" s="83"/>
      <c r="K13007" s="82"/>
      <c r="M13007" s="112"/>
      <c r="N13007" s="84"/>
    </row>
    <row r="13008" spans="1:14" s="2" customFormat="1">
      <c r="A13008" s="83"/>
      <c r="H13008" s="83"/>
      <c r="K13008" s="82"/>
      <c r="M13008" s="112"/>
      <c r="N13008" s="84"/>
    </row>
    <row r="13009" spans="1:14" s="2" customFormat="1">
      <c r="A13009" s="83"/>
      <c r="H13009" s="83"/>
      <c r="K13009" s="82"/>
      <c r="M13009" s="112"/>
      <c r="N13009" s="84"/>
    </row>
    <row r="13010" spans="1:14" s="2" customFormat="1">
      <c r="A13010" s="83"/>
      <c r="H13010" s="83"/>
      <c r="K13010" s="82"/>
      <c r="M13010" s="112"/>
      <c r="N13010" s="84"/>
    </row>
    <row r="13011" spans="1:14" s="2" customFormat="1">
      <c r="A13011" s="83"/>
      <c r="H13011" s="83"/>
      <c r="K13011" s="82"/>
      <c r="M13011" s="112"/>
      <c r="N13011" s="84"/>
    </row>
    <row r="13012" spans="1:14" s="2" customFormat="1">
      <c r="A13012" s="83"/>
      <c r="H13012" s="83"/>
      <c r="K13012" s="82"/>
      <c r="M13012" s="112"/>
      <c r="N13012" s="84"/>
    </row>
    <row r="13013" spans="1:14" s="2" customFormat="1">
      <c r="A13013" s="83"/>
      <c r="H13013" s="83"/>
      <c r="K13013" s="82"/>
      <c r="M13013" s="112"/>
      <c r="N13013" s="84"/>
    </row>
    <row r="13014" spans="1:14" s="2" customFormat="1">
      <c r="A13014" s="83"/>
      <c r="H13014" s="83"/>
      <c r="K13014" s="82"/>
      <c r="M13014" s="112"/>
      <c r="N13014" s="84"/>
    </row>
    <row r="13015" spans="1:14" s="2" customFormat="1">
      <c r="A13015" s="83"/>
      <c r="H13015" s="83"/>
      <c r="K13015" s="82"/>
      <c r="M13015" s="112"/>
      <c r="N13015" s="84"/>
    </row>
    <row r="13016" spans="1:14" s="2" customFormat="1">
      <c r="A13016" s="83"/>
      <c r="H13016" s="83"/>
      <c r="K13016" s="82"/>
      <c r="M13016" s="112"/>
      <c r="N13016" s="84"/>
    </row>
    <row r="13017" spans="1:14" s="2" customFormat="1">
      <c r="A13017" s="83"/>
      <c r="H13017" s="83"/>
      <c r="K13017" s="82"/>
      <c r="M13017" s="112"/>
      <c r="N13017" s="84"/>
    </row>
    <row r="13018" spans="1:14" s="2" customFormat="1">
      <c r="A13018" s="83"/>
      <c r="H13018" s="83"/>
      <c r="K13018" s="82"/>
      <c r="M13018" s="112"/>
      <c r="N13018" s="84"/>
    </row>
    <row r="13019" spans="1:14" s="2" customFormat="1">
      <c r="A13019" s="83"/>
      <c r="H13019" s="83"/>
      <c r="K13019" s="82"/>
      <c r="M13019" s="112"/>
      <c r="N13019" s="84"/>
    </row>
    <row r="13020" spans="1:14" s="2" customFormat="1">
      <c r="A13020" s="83"/>
      <c r="H13020" s="83"/>
      <c r="K13020" s="82"/>
      <c r="M13020" s="112"/>
      <c r="N13020" s="84"/>
    </row>
    <row r="13021" spans="1:14" s="2" customFormat="1">
      <c r="A13021" s="83"/>
      <c r="H13021" s="83"/>
      <c r="K13021" s="82"/>
      <c r="M13021" s="112"/>
      <c r="N13021" s="84"/>
    </row>
    <row r="13022" spans="1:14" s="2" customFormat="1">
      <c r="A13022" s="83"/>
      <c r="H13022" s="83"/>
      <c r="K13022" s="82"/>
      <c r="M13022" s="112"/>
      <c r="N13022" s="84"/>
    </row>
    <row r="13023" spans="1:14" s="2" customFormat="1">
      <c r="A13023" s="83"/>
      <c r="H13023" s="83"/>
      <c r="K13023" s="82"/>
      <c r="M13023" s="112"/>
      <c r="N13023" s="84"/>
    </row>
    <row r="13024" spans="1:14" s="2" customFormat="1">
      <c r="A13024" s="83"/>
      <c r="H13024" s="83"/>
      <c r="K13024" s="82"/>
      <c r="M13024" s="112"/>
      <c r="N13024" s="84"/>
    </row>
    <row r="13025" spans="1:14" s="2" customFormat="1">
      <c r="A13025" s="83"/>
      <c r="H13025" s="83"/>
      <c r="K13025" s="82"/>
      <c r="M13025" s="112"/>
      <c r="N13025" s="84"/>
    </row>
    <row r="13026" spans="1:14" s="2" customFormat="1">
      <c r="A13026" s="83"/>
      <c r="H13026" s="83"/>
      <c r="K13026" s="82"/>
      <c r="M13026" s="112"/>
      <c r="N13026" s="84"/>
    </row>
    <row r="13027" spans="1:14" s="2" customFormat="1">
      <c r="A13027" s="83"/>
      <c r="H13027" s="83"/>
      <c r="K13027" s="82"/>
      <c r="M13027" s="112"/>
      <c r="N13027" s="84"/>
    </row>
    <row r="13028" spans="1:14" s="2" customFormat="1">
      <c r="A13028" s="83"/>
      <c r="H13028" s="83"/>
      <c r="K13028" s="82"/>
      <c r="M13028" s="112"/>
      <c r="N13028" s="84"/>
    </row>
    <row r="13029" spans="1:14" s="2" customFormat="1">
      <c r="A13029" s="83"/>
      <c r="H13029" s="83"/>
      <c r="K13029" s="82"/>
      <c r="M13029" s="112"/>
      <c r="N13029" s="84"/>
    </row>
    <row r="13030" spans="1:14" s="2" customFormat="1">
      <c r="A13030" s="83"/>
      <c r="H13030" s="83"/>
      <c r="K13030" s="82"/>
      <c r="M13030" s="112"/>
      <c r="N13030" s="84"/>
    </row>
    <row r="13031" spans="1:14" s="2" customFormat="1">
      <c r="A13031" s="83"/>
      <c r="H13031" s="83"/>
      <c r="K13031" s="82"/>
      <c r="M13031" s="112"/>
      <c r="N13031" s="84"/>
    </row>
    <row r="13032" spans="1:14" s="2" customFormat="1">
      <c r="A13032" s="83"/>
      <c r="H13032" s="83"/>
      <c r="K13032" s="82"/>
      <c r="M13032" s="112"/>
      <c r="N13032" s="84"/>
    </row>
    <row r="13033" spans="1:14" s="2" customFormat="1">
      <c r="A13033" s="83"/>
      <c r="H13033" s="83"/>
      <c r="K13033" s="82"/>
      <c r="M13033" s="112"/>
      <c r="N13033" s="84"/>
    </row>
    <row r="13034" spans="1:14" s="2" customFormat="1">
      <c r="A13034" s="83"/>
      <c r="H13034" s="83"/>
      <c r="K13034" s="82"/>
      <c r="M13034" s="112"/>
      <c r="N13034" s="84"/>
    </row>
    <row r="13035" spans="1:14" s="2" customFormat="1">
      <c r="A13035" s="83"/>
      <c r="H13035" s="83"/>
      <c r="K13035" s="82"/>
      <c r="M13035" s="112"/>
      <c r="N13035" s="84"/>
    </row>
    <row r="13036" spans="1:14" s="2" customFormat="1">
      <c r="A13036" s="83"/>
      <c r="H13036" s="83"/>
      <c r="K13036" s="82"/>
      <c r="M13036" s="112"/>
      <c r="N13036" s="84"/>
    </row>
    <row r="13037" spans="1:14" s="2" customFormat="1">
      <c r="A13037" s="83"/>
      <c r="H13037" s="83"/>
      <c r="K13037" s="82"/>
      <c r="M13037" s="112"/>
      <c r="N13037" s="84"/>
    </row>
    <row r="13038" spans="1:14" s="2" customFormat="1">
      <c r="A13038" s="83"/>
      <c r="H13038" s="83"/>
      <c r="K13038" s="82"/>
      <c r="M13038" s="112"/>
      <c r="N13038" s="84"/>
    </row>
    <row r="13039" spans="1:14" s="2" customFormat="1">
      <c r="A13039" s="83"/>
      <c r="H13039" s="83"/>
      <c r="K13039" s="82"/>
      <c r="M13039" s="112"/>
      <c r="N13039" s="84"/>
    </row>
    <row r="13040" spans="1:14" s="2" customFormat="1">
      <c r="A13040" s="83"/>
      <c r="H13040" s="83"/>
      <c r="K13040" s="82"/>
      <c r="M13040" s="112"/>
      <c r="N13040" s="84"/>
    </row>
    <row r="13041" spans="1:14" s="2" customFormat="1">
      <c r="A13041" s="83"/>
      <c r="H13041" s="83"/>
      <c r="K13041" s="82"/>
      <c r="M13041" s="112"/>
      <c r="N13041" s="84"/>
    </row>
    <row r="13042" spans="1:14" s="2" customFormat="1">
      <c r="A13042" s="83"/>
      <c r="H13042" s="83"/>
      <c r="K13042" s="82"/>
      <c r="M13042" s="112"/>
      <c r="N13042" s="84"/>
    </row>
    <row r="13043" spans="1:14" s="2" customFormat="1">
      <c r="A13043" s="83"/>
      <c r="H13043" s="83"/>
      <c r="K13043" s="82"/>
      <c r="M13043" s="112"/>
      <c r="N13043" s="84"/>
    </row>
    <row r="13044" spans="1:14" s="2" customFormat="1">
      <c r="A13044" s="83"/>
      <c r="H13044" s="83"/>
      <c r="K13044" s="82"/>
      <c r="M13044" s="112"/>
      <c r="N13044" s="84"/>
    </row>
    <row r="13045" spans="1:14" s="2" customFormat="1">
      <c r="A13045" s="83"/>
      <c r="H13045" s="83"/>
      <c r="K13045" s="82"/>
      <c r="M13045" s="112"/>
      <c r="N13045" s="84"/>
    </row>
    <row r="13046" spans="1:14" s="2" customFormat="1">
      <c r="A13046" s="83"/>
      <c r="H13046" s="83"/>
      <c r="K13046" s="82"/>
      <c r="M13046" s="112"/>
      <c r="N13046" s="84"/>
    </row>
    <row r="13047" spans="1:14" s="2" customFormat="1">
      <c r="A13047" s="83"/>
      <c r="H13047" s="83"/>
      <c r="K13047" s="82"/>
      <c r="M13047" s="112"/>
      <c r="N13047" s="84"/>
    </row>
    <row r="13048" spans="1:14" s="2" customFormat="1">
      <c r="A13048" s="83"/>
      <c r="H13048" s="83"/>
      <c r="K13048" s="82"/>
      <c r="M13048" s="112"/>
      <c r="N13048" s="84"/>
    </row>
    <row r="13049" spans="1:14" s="2" customFormat="1">
      <c r="A13049" s="83"/>
      <c r="H13049" s="83"/>
      <c r="K13049" s="82"/>
      <c r="M13049" s="112"/>
      <c r="N13049" s="84"/>
    </row>
    <row r="13050" spans="1:14" s="2" customFormat="1">
      <c r="A13050" s="83"/>
      <c r="H13050" s="83"/>
      <c r="K13050" s="82"/>
      <c r="M13050" s="112"/>
      <c r="N13050" s="84"/>
    </row>
    <row r="13051" spans="1:14" s="2" customFormat="1">
      <c r="A13051" s="83"/>
      <c r="H13051" s="83"/>
      <c r="K13051" s="82"/>
      <c r="M13051" s="112"/>
      <c r="N13051" s="84"/>
    </row>
    <row r="13052" spans="1:14" s="2" customFormat="1">
      <c r="A13052" s="83"/>
      <c r="H13052" s="83"/>
      <c r="K13052" s="82"/>
      <c r="M13052" s="112"/>
      <c r="N13052" s="84"/>
    </row>
    <row r="13053" spans="1:14" s="2" customFormat="1">
      <c r="A13053" s="83"/>
      <c r="H13053" s="83"/>
      <c r="K13053" s="82"/>
      <c r="M13053" s="112"/>
      <c r="N13053" s="84"/>
    </row>
    <row r="13054" spans="1:14" s="2" customFormat="1">
      <c r="A13054" s="83"/>
      <c r="H13054" s="83"/>
      <c r="K13054" s="82"/>
      <c r="M13054" s="112"/>
      <c r="N13054" s="84"/>
    </row>
    <row r="13055" spans="1:14" s="2" customFormat="1">
      <c r="A13055" s="83"/>
      <c r="H13055" s="83"/>
      <c r="K13055" s="82"/>
      <c r="M13055" s="112"/>
      <c r="N13055" s="84"/>
    </row>
    <row r="13056" spans="1:14" s="2" customFormat="1">
      <c r="A13056" s="83"/>
      <c r="H13056" s="83"/>
      <c r="K13056" s="82"/>
      <c r="M13056" s="112"/>
      <c r="N13056" s="84"/>
    </row>
    <row r="13057" spans="1:14" s="2" customFormat="1">
      <c r="A13057" s="83"/>
      <c r="H13057" s="83"/>
      <c r="K13057" s="82"/>
      <c r="M13057" s="112"/>
      <c r="N13057" s="84"/>
    </row>
    <row r="13058" spans="1:14" s="2" customFormat="1">
      <c r="A13058" s="83"/>
      <c r="H13058" s="83"/>
      <c r="K13058" s="82"/>
      <c r="M13058" s="112"/>
      <c r="N13058" s="84"/>
    </row>
    <row r="13059" spans="1:14" s="2" customFormat="1">
      <c r="A13059" s="83"/>
      <c r="H13059" s="83"/>
      <c r="K13059" s="82"/>
      <c r="M13059" s="112"/>
      <c r="N13059" s="84"/>
    </row>
    <row r="13060" spans="1:14" s="2" customFormat="1">
      <c r="A13060" s="83"/>
      <c r="H13060" s="83"/>
      <c r="K13060" s="82"/>
      <c r="M13060" s="112"/>
      <c r="N13060" s="84"/>
    </row>
    <row r="13061" spans="1:14" s="2" customFormat="1">
      <c r="A13061" s="83"/>
      <c r="H13061" s="83"/>
      <c r="K13061" s="82"/>
      <c r="M13061" s="112"/>
      <c r="N13061" s="84"/>
    </row>
    <row r="13062" spans="1:14" s="2" customFormat="1">
      <c r="A13062" s="83"/>
      <c r="H13062" s="83"/>
      <c r="K13062" s="82"/>
      <c r="M13062" s="112"/>
      <c r="N13062" s="84"/>
    </row>
    <row r="13063" spans="1:14" s="2" customFormat="1">
      <c r="A13063" s="83"/>
      <c r="H13063" s="83"/>
      <c r="K13063" s="82"/>
      <c r="M13063" s="112"/>
      <c r="N13063" s="84"/>
    </row>
    <row r="13064" spans="1:14" s="2" customFormat="1">
      <c r="A13064" s="83"/>
      <c r="H13064" s="83"/>
      <c r="K13064" s="82"/>
      <c r="M13064" s="112"/>
      <c r="N13064" s="84"/>
    </row>
    <row r="13065" spans="1:14" s="2" customFormat="1">
      <c r="A13065" s="83"/>
      <c r="H13065" s="83"/>
      <c r="K13065" s="82"/>
      <c r="M13065" s="112"/>
      <c r="N13065" s="84"/>
    </row>
    <row r="13066" spans="1:14" s="2" customFormat="1">
      <c r="A13066" s="83"/>
      <c r="H13066" s="83"/>
      <c r="K13066" s="82"/>
      <c r="M13066" s="112"/>
      <c r="N13066" s="84"/>
    </row>
    <row r="13067" spans="1:14" s="2" customFormat="1">
      <c r="A13067" s="83"/>
      <c r="H13067" s="83"/>
      <c r="K13067" s="82"/>
      <c r="M13067" s="112"/>
      <c r="N13067" s="84"/>
    </row>
    <row r="13068" spans="1:14" s="2" customFormat="1">
      <c r="A13068" s="83"/>
      <c r="H13068" s="83"/>
      <c r="K13068" s="82"/>
      <c r="M13068" s="112"/>
      <c r="N13068" s="84"/>
    </row>
    <row r="13069" spans="1:14" s="2" customFormat="1">
      <c r="A13069" s="83"/>
      <c r="H13069" s="83"/>
      <c r="K13069" s="82"/>
      <c r="M13069" s="112"/>
      <c r="N13069" s="84"/>
    </row>
    <row r="13070" spans="1:14" s="2" customFormat="1">
      <c r="A13070" s="83"/>
      <c r="H13070" s="83"/>
      <c r="K13070" s="82"/>
      <c r="M13070" s="112"/>
      <c r="N13070" s="84"/>
    </row>
    <row r="13071" spans="1:14" s="2" customFormat="1">
      <c r="A13071" s="83"/>
      <c r="H13071" s="83"/>
      <c r="K13071" s="82"/>
      <c r="M13071" s="112"/>
      <c r="N13071" s="84"/>
    </row>
    <row r="13072" spans="1:14" s="2" customFormat="1">
      <c r="A13072" s="83"/>
      <c r="H13072" s="83"/>
      <c r="K13072" s="82"/>
      <c r="M13072" s="112"/>
      <c r="N13072" s="84"/>
    </row>
    <row r="13073" spans="1:14" s="2" customFormat="1">
      <c r="A13073" s="83"/>
      <c r="H13073" s="83"/>
      <c r="K13073" s="82"/>
      <c r="M13073" s="112"/>
      <c r="N13073" s="84"/>
    </row>
    <row r="13074" spans="1:14" s="2" customFormat="1">
      <c r="A13074" s="83"/>
      <c r="H13074" s="83"/>
      <c r="K13074" s="82"/>
      <c r="M13074" s="112"/>
      <c r="N13074" s="84"/>
    </row>
    <row r="13075" spans="1:14" s="2" customFormat="1">
      <c r="A13075" s="83"/>
      <c r="H13075" s="83"/>
      <c r="K13075" s="82"/>
      <c r="M13075" s="112"/>
      <c r="N13075" s="84"/>
    </row>
    <row r="13076" spans="1:14" s="2" customFormat="1">
      <c r="A13076" s="83"/>
      <c r="H13076" s="83"/>
      <c r="K13076" s="82"/>
      <c r="M13076" s="112"/>
      <c r="N13076" s="84"/>
    </row>
    <row r="13077" spans="1:14" s="2" customFormat="1">
      <c r="A13077" s="83"/>
      <c r="H13077" s="83"/>
      <c r="K13077" s="82"/>
      <c r="M13077" s="112"/>
      <c r="N13077" s="84"/>
    </row>
    <row r="13078" spans="1:14" s="2" customFormat="1">
      <c r="A13078" s="83"/>
      <c r="H13078" s="83"/>
      <c r="K13078" s="82"/>
      <c r="M13078" s="112"/>
      <c r="N13078" s="84"/>
    </row>
    <row r="13079" spans="1:14" s="2" customFormat="1">
      <c r="A13079" s="83"/>
      <c r="H13079" s="83"/>
      <c r="K13079" s="82"/>
      <c r="M13079" s="112"/>
      <c r="N13079" s="84"/>
    </row>
    <row r="13080" spans="1:14" s="2" customFormat="1">
      <c r="A13080" s="83"/>
      <c r="H13080" s="83"/>
      <c r="K13080" s="82"/>
      <c r="M13080" s="112"/>
      <c r="N13080" s="84"/>
    </row>
    <row r="13081" spans="1:14" s="2" customFormat="1">
      <c r="A13081" s="83"/>
      <c r="H13081" s="83"/>
      <c r="K13081" s="82"/>
      <c r="M13081" s="112"/>
      <c r="N13081" s="84"/>
    </row>
    <row r="13082" spans="1:14" s="2" customFormat="1">
      <c r="A13082" s="83"/>
      <c r="H13082" s="83"/>
      <c r="K13082" s="82"/>
      <c r="M13082" s="112"/>
      <c r="N13082" s="84"/>
    </row>
    <row r="13083" spans="1:14" s="2" customFormat="1">
      <c r="A13083" s="83"/>
      <c r="H13083" s="83"/>
      <c r="K13083" s="82"/>
      <c r="M13083" s="112"/>
      <c r="N13083" s="84"/>
    </row>
    <row r="13084" spans="1:14" s="2" customFormat="1">
      <c r="A13084" s="83"/>
      <c r="H13084" s="83"/>
      <c r="K13084" s="82"/>
      <c r="M13084" s="112"/>
      <c r="N13084" s="84"/>
    </row>
    <row r="13085" spans="1:14" s="2" customFormat="1">
      <c r="A13085" s="83"/>
      <c r="H13085" s="83"/>
      <c r="K13085" s="82"/>
      <c r="M13085" s="112"/>
      <c r="N13085" s="84"/>
    </row>
    <row r="13086" spans="1:14" s="2" customFormat="1">
      <c r="A13086" s="83"/>
      <c r="H13086" s="83"/>
      <c r="K13086" s="82"/>
      <c r="M13086" s="112"/>
      <c r="N13086" s="84"/>
    </row>
    <row r="13087" spans="1:14" s="2" customFormat="1">
      <c r="A13087" s="83"/>
      <c r="H13087" s="83"/>
      <c r="K13087" s="82"/>
      <c r="M13087" s="112"/>
      <c r="N13087" s="84"/>
    </row>
    <row r="13088" spans="1:14" s="2" customFormat="1">
      <c r="A13088" s="83"/>
      <c r="H13088" s="83"/>
      <c r="K13088" s="82"/>
      <c r="M13088" s="112"/>
      <c r="N13088" s="84"/>
    </row>
    <row r="13089" spans="1:14" s="2" customFormat="1">
      <c r="A13089" s="83"/>
      <c r="H13089" s="83"/>
      <c r="K13089" s="82"/>
      <c r="M13089" s="112"/>
      <c r="N13089" s="84"/>
    </row>
    <row r="13090" spans="1:14" s="2" customFormat="1">
      <c r="A13090" s="83"/>
      <c r="H13090" s="83"/>
      <c r="K13090" s="82"/>
      <c r="M13090" s="112"/>
      <c r="N13090" s="84"/>
    </row>
    <row r="13091" spans="1:14" s="2" customFormat="1">
      <c r="A13091" s="83"/>
      <c r="H13091" s="83"/>
      <c r="K13091" s="82"/>
      <c r="M13091" s="112"/>
      <c r="N13091" s="84"/>
    </row>
    <row r="13092" spans="1:14" s="2" customFormat="1">
      <c r="A13092" s="83"/>
      <c r="H13092" s="83"/>
      <c r="K13092" s="82"/>
      <c r="M13092" s="112"/>
      <c r="N13092" s="84"/>
    </row>
    <row r="13093" spans="1:14" s="2" customFormat="1">
      <c r="A13093" s="83"/>
      <c r="H13093" s="83"/>
      <c r="K13093" s="82"/>
      <c r="M13093" s="112"/>
      <c r="N13093" s="84"/>
    </row>
    <row r="13094" spans="1:14" s="2" customFormat="1">
      <c r="A13094" s="83"/>
      <c r="H13094" s="83"/>
      <c r="K13094" s="82"/>
      <c r="M13094" s="112"/>
      <c r="N13094" s="84"/>
    </row>
    <row r="13095" spans="1:14" s="2" customFormat="1">
      <c r="A13095" s="83"/>
      <c r="H13095" s="83"/>
      <c r="K13095" s="82"/>
      <c r="M13095" s="112"/>
      <c r="N13095" s="84"/>
    </row>
    <row r="13096" spans="1:14" s="2" customFormat="1">
      <c r="A13096" s="83"/>
      <c r="H13096" s="83"/>
      <c r="K13096" s="82"/>
      <c r="M13096" s="112"/>
      <c r="N13096" s="84"/>
    </row>
    <row r="13097" spans="1:14" s="2" customFormat="1">
      <c r="A13097" s="83"/>
      <c r="H13097" s="83"/>
      <c r="K13097" s="82"/>
      <c r="M13097" s="112"/>
      <c r="N13097" s="84"/>
    </row>
    <row r="13098" spans="1:14" s="2" customFormat="1">
      <c r="A13098" s="83"/>
      <c r="H13098" s="83"/>
      <c r="K13098" s="82"/>
      <c r="M13098" s="112"/>
      <c r="N13098" s="84"/>
    </row>
    <row r="13099" spans="1:14" s="2" customFormat="1">
      <c r="A13099" s="83"/>
      <c r="H13099" s="83"/>
      <c r="K13099" s="82"/>
      <c r="M13099" s="112"/>
      <c r="N13099" s="84"/>
    </row>
    <row r="13100" spans="1:14" s="2" customFormat="1">
      <c r="A13100" s="83"/>
      <c r="H13100" s="83"/>
      <c r="K13100" s="82"/>
      <c r="M13100" s="112"/>
      <c r="N13100" s="84"/>
    </row>
    <row r="13101" spans="1:14" s="2" customFormat="1">
      <c r="A13101" s="83"/>
      <c r="H13101" s="83"/>
      <c r="K13101" s="82"/>
      <c r="M13101" s="112"/>
      <c r="N13101" s="84"/>
    </row>
    <row r="13102" spans="1:14" s="2" customFormat="1">
      <c r="A13102" s="83"/>
      <c r="H13102" s="83"/>
      <c r="K13102" s="82"/>
      <c r="M13102" s="112"/>
      <c r="N13102" s="84"/>
    </row>
    <row r="13103" spans="1:14" s="2" customFormat="1">
      <c r="A13103" s="83"/>
      <c r="H13103" s="83"/>
      <c r="K13103" s="82"/>
      <c r="M13103" s="112"/>
      <c r="N13103" s="84"/>
    </row>
    <row r="13104" spans="1:14" s="2" customFormat="1">
      <c r="A13104" s="83"/>
      <c r="H13104" s="83"/>
      <c r="K13104" s="82"/>
      <c r="M13104" s="112"/>
      <c r="N13104" s="84"/>
    </row>
    <row r="13105" spans="1:14" s="2" customFormat="1">
      <c r="A13105" s="83"/>
      <c r="H13105" s="83"/>
      <c r="K13105" s="82"/>
      <c r="M13105" s="112"/>
      <c r="N13105" s="84"/>
    </row>
    <row r="13106" spans="1:14" s="2" customFormat="1">
      <c r="A13106" s="83"/>
      <c r="H13106" s="83"/>
      <c r="K13106" s="82"/>
      <c r="M13106" s="112"/>
      <c r="N13106" s="84"/>
    </row>
    <row r="13107" spans="1:14" s="2" customFormat="1">
      <c r="A13107" s="83"/>
      <c r="H13107" s="83"/>
      <c r="K13107" s="82"/>
      <c r="M13107" s="112"/>
      <c r="N13107" s="84"/>
    </row>
    <row r="13108" spans="1:14" s="2" customFormat="1">
      <c r="A13108" s="83"/>
      <c r="H13108" s="83"/>
      <c r="K13108" s="82"/>
      <c r="M13108" s="112"/>
      <c r="N13108" s="84"/>
    </row>
    <row r="13109" spans="1:14" s="2" customFormat="1">
      <c r="A13109" s="83"/>
      <c r="H13109" s="83"/>
      <c r="K13109" s="82"/>
      <c r="M13109" s="112"/>
      <c r="N13109" s="84"/>
    </row>
    <row r="13110" spans="1:14" s="2" customFormat="1">
      <c r="A13110" s="83"/>
      <c r="H13110" s="83"/>
      <c r="K13110" s="82"/>
      <c r="M13110" s="112"/>
      <c r="N13110" s="84"/>
    </row>
    <row r="13111" spans="1:14" s="2" customFormat="1">
      <c r="A13111" s="83"/>
      <c r="H13111" s="83"/>
      <c r="K13111" s="82"/>
      <c r="M13111" s="112"/>
      <c r="N13111" s="84"/>
    </row>
    <row r="13112" spans="1:14" s="2" customFormat="1">
      <c r="A13112" s="83"/>
      <c r="H13112" s="83"/>
      <c r="K13112" s="82"/>
      <c r="M13112" s="112"/>
      <c r="N13112" s="84"/>
    </row>
    <row r="13113" spans="1:14" s="2" customFormat="1">
      <c r="A13113" s="83"/>
      <c r="H13113" s="83"/>
      <c r="K13113" s="82"/>
      <c r="M13113" s="112"/>
      <c r="N13113" s="84"/>
    </row>
    <row r="13114" spans="1:14" s="2" customFormat="1">
      <c r="A13114" s="83"/>
      <c r="H13114" s="83"/>
      <c r="K13114" s="82"/>
      <c r="M13114" s="112"/>
      <c r="N13114" s="84"/>
    </row>
    <row r="13115" spans="1:14" s="2" customFormat="1">
      <c r="A13115" s="83"/>
      <c r="H13115" s="83"/>
      <c r="K13115" s="82"/>
      <c r="M13115" s="112"/>
      <c r="N13115" s="84"/>
    </row>
    <row r="13116" spans="1:14" s="2" customFormat="1">
      <c r="A13116" s="83"/>
      <c r="H13116" s="83"/>
      <c r="K13116" s="82"/>
      <c r="M13116" s="112"/>
      <c r="N13116" s="84"/>
    </row>
    <row r="13117" spans="1:14" s="2" customFormat="1">
      <c r="A13117" s="83"/>
      <c r="H13117" s="83"/>
      <c r="K13117" s="82"/>
      <c r="M13117" s="112"/>
      <c r="N13117" s="84"/>
    </row>
    <row r="13118" spans="1:14" s="2" customFormat="1">
      <c r="A13118" s="83"/>
      <c r="H13118" s="83"/>
      <c r="K13118" s="82"/>
      <c r="M13118" s="112"/>
      <c r="N13118" s="84"/>
    </row>
    <row r="13119" spans="1:14" s="2" customFormat="1">
      <c r="A13119" s="83"/>
      <c r="H13119" s="83"/>
      <c r="K13119" s="82"/>
      <c r="M13119" s="112"/>
      <c r="N13119" s="84"/>
    </row>
    <row r="13120" spans="1:14" s="2" customFormat="1">
      <c r="A13120" s="83"/>
      <c r="H13120" s="83"/>
      <c r="K13120" s="82"/>
      <c r="M13120" s="112"/>
      <c r="N13120" s="84"/>
    </row>
    <row r="13121" spans="1:14" s="2" customFormat="1">
      <c r="A13121" s="83"/>
      <c r="H13121" s="83"/>
      <c r="K13121" s="82"/>
      <c r="M13121" s="112"/>
      <c r="N13121" s="84"/>
    </row>
    <row r="13122" spans="1:14" s="2" customFormat="1">
      <c r="A13122" s="83"/>
      <c r="H13122" s="83"/>
      <c r="K13122" s="82"/>
      <c r="M13122" s="112"/>
      <c r="N13122" s="84"/>
    </row>
    <row r="13123" spans="1:14" s="2" customFormat="1">
      <c r="A13123" s="83"/>
      <c r="H13123" s="83"/>
      <c r="K13123" s="82"/>
      <c r="M13123" s="112"/>
      <c r="N13123" s="84"/>
    </row>
    <row r="13124" spans="1:14" s="2" customFormat="1">
      <c r="A13124" s="83"/>
      <c r="H13124" s="83"/>
      <c r="K13124" s="82"/>
      <c r="M13124" s="112"/>
      <c r="N13124" s="84"/>
    </row>
    <row r="13125" spans="1:14" s="2" customFormat="1">
      <c r="A13125" s="83"/>
      <c r="H13125" s="83"/>
      <c r="K13125" s="82"/>
      <c r="M13125" s="112"/>
      <c r="N13125" s="84"/>
    </row>
    <row r="13126" spans="1:14" s="2" customFormat="1">
      <c r="A13126" s="83"/>
      <c r="H13126" s="83"/>
      <c r="K13126" s="82"/>
      <c r="M13126" s="112"/>
      <c r="N13126" s="84"/>
    </row>
    <row r="13127" spans="1:14" s="2" customFormat="1">
      <c r="A13127" s="83"/>
      <c r="H13127" s="83"/>
      <c r="K13127" s="82"/>
      <c r="M13127" s="112"/>
      <c r="N13127" s="84"/>
    </row>
    <row r="13128" spans="1:14" s="2" customFormat="1">
      <c r="A13128" s="83"/>
      <c r="H13128" s="83"/>
      <c r="K13128" s="82"/>
      <c r="M13128" s="112"/>
      <c r="N13128" s="84"/>
    </row>
    <row r="13129" spans="1:14" s="2" customFormat="1">
      <c r="A13129" s="83"/>
      <c r="H13129" s="83"/>
      <c r="K13129" s="82"/>
      <c r="M13129" s="112"/>
      <c r="N13129" s="84"/>
    </row>
    <row r="13130" spans="1:14" s="2" customFormat="1">
      <c r="A13130" s="83"/>
      <c r="H13130" s="83"/>
      <c r="K13130" s="82"/>
      <c r="M13130" s="112"/>
      <c r="N13130" s="84"/>
    </row>
    <row r="13131" spans="1:14" s="2" customFormat="1">
      <c r="A13131" s="83"/>
      <c r="H13131" s="83"/>
      <c r="K13131" s="82"/>
      <c r="M13131" s="112"/>
      <c r="N13131" s="84"/>
    </row>
    <row r="13132" spans="1:14" s="2" customFormat="1">
      <c r="A13132" s="83"/>
      <c r="H13132" s="83"/>
      <c r="K13132" s="82"/>
      <c r="M13132" s="112"/>
      <c r="N13132" s="84"/>
    </row>
    <row r="13133" spans="1:14" s="2" customFormat="1">
      <c r="A13133" s="83"/>
      <c r="H13133" s="83"/>
      <c r="K13133" s="82"/>
      <c r="M13133" s="112"/>
      <c r="N13133" s="84"/>
    </row>
    <row r="13134" spans="1:14" s="2" customFormat="1">
      <c r="A13134" s="83"/>
      <c r="H13134" s="83"/>
      <c r="K13134" s="82"/>
      <c r="M13134" s="112"/>
      <c r="N13134" s="84"/>
    </row>
    <row r="13135" spans="1:14" s="2" customFormat="1">
      <c r="A13135" s="83"/>
      <c r="H13135" s="83"/>
      <c r="K13135" s="82"/>
      <c r="M13135" s="112"/>
      <c r="N13135" s="84"/>
    </row>
    <row r="13136" spans="1:14" s="2" customFormat="1">
      <c r="A13136" s="83"/>
      <c r="H13136" s="83"/>
      <c r="K13136" s="82"/>
      <c r="M13136" s="112"/>
      <c r="N13136" s="84"/>
    </row>
    <row r="13137" spans="1:14" s="2" customFormat="1">
      <c r="A13137" s="83"/>
      <c r="H13137" s="83"/>
      <c r="K13137" s="82"/>
      <c r="M13137" s="112"/>
      <c r="N13137" s="84"/>
    </row>
    <row r="13138" spans="1:14" s="2" customFormat="1">
      <c r="A13138" s="83"/>
      <c r="H13138" s="83"/>
      <c r="K13138" s="82"/>
      <c r="M13138" s="112"/>
      <c r="N13138" s="84"/>
    </row>
    <row r="13139" spans="1:14" s="2" customFormat="1">
      <c r="A13139" s="83"/>
      <c r="H13139" s="83"/>
      <c r="K13139" s="82"/>
      <c r="M13139" s="112"/>
      <c r="N13139" s="84"/>
    </row>
    <row r="13140" spans="1:14" s="2" customFormat="1">
      <c r="A13140" s="83"/>
      <c r="H13140" s="83"/>
      <c r="K13140" s="82"/>
      <c r="M13140" s="112"/>
      <c r="N13140" s="84"/>
    </row>
    <row r="13141" spans="1:14" s="2" customFormat="1">
      <c r="A13141" s="83"/>
      <c r="H13141" s="83"/>
      <c r="K13141" s="82"/>
      <c r="M13141" s="112"/>
      <c r="N13141" s="84"/>
    </row>
    <row r="13142" spans="1:14" s="2" customFormat="1">
      <c r="A13142" s="83"/>
      <c r="H13142" s="83"/>
      <c r="K13142" s="82"/>
      <c r="M13142" s="112"/>
      <c r="N13142" s="84"/>
    </row>
    <row r="13143" spans="1:14" s="2" customFormat="1">
      <c r="A13143" s="83"/>
      <c r="H13143" s="83"/>
      <c r="K13143" s="82"/>
      <c r="M13143" s="112"/>
      <c r="N13143" s="84"/>
    </row>
    <row r="13144" spans="1:14" s="2" customFormat="1">
      <c r="A13144" s="83"/>
      <c r="H13144" s="83"/>
      <c r="K13144" s="82"/>
      <c r="M13144" s="112"/>
      <c r="N13144" s="84"/>
    </row>
    <row r="13145" spans="1:14" s="2" customFormat="1">
      <c r="A13145" s="83"/>
      <c r="H13145" s="83"/>
      <c r="K13145" s="82"/>
      <c r="M13145" s="112"/>
      <c r="N13145" s="84"/>
    </row>
    <row r="13146" spans="1:14" s="2" customFormat="1">
      <c r="A13146" s="83"/>
      <c r="H13146" s="83"/>
      <c r="K13146" s="82"/>
      <c r="M13146" s="112"/>
      <c r="N13146" s="84"/>
    </row>
    <row r="13147" spans="1:14" s="2" customFormat="1">
      <c r="A13147" s="83"/>
      <c r="H13147" s="83"/>
      <c r="K13147" s="82"/>
      <c r="M13147" s="112"/>
      <c r="N13147" s="84"/>
    </row>
    <row r="13148" spans="1:14" s="2" customFormat="1">
      <c r="A13148" s="83"/>
      <c r="H13148" s="83"/>
      <c r="K13148" s="82"/>
      <c r="M13148" s="112"/>
      <c r="N13148" s="84"/>
    </row>
    <row r="13149" spans="1:14" s="2" customFormat="1">
      <c r="A13149" s="83"/>
      <c r="H13149" s="83"/>
      <c r="K13149" s="82"/>
      <c r="M13149" s="112"/>
      <c r="N13149" s="84"/>
    </row>
    <row r="13150" spans="1:14" s="2" customFormat="1">
      <c r="A13150" s="83"/>
      <c r="H13150" s="83"/>
      <c r="K13150" s="82"/>
      <c r="M13150" s="112"/>
      <c r="N13150" s="84"/>
    </row>
    <row r="13151" spans="1:14" s="2" customFormat="1">
      <c r="A13151" s="83"/>
      <c r="H13151" s="83"/>
      <c r="K13151" s="82"/>
      <c r="M13151" s="112"/>
      <c r="N13151" s="84"/>
    </row>
    <row r="13152" spans="1:14" s="2" customFormat="1">
      <c r="A13152" s="83"/>
      <c r="H13152" s="83"/>
      <c r="K13152" s="82"/>
      <c r="M13152" s="112"/>
      <c r="N13152" s="84"/>
    </row>
    <row r="13153" spans="1:14" s="2" customFormat="1">
      <c r="A13153" s="83"/>
      <c r="H13153" s="83"/>
      <c r="K13153" s="82"/>
      <c r="M13153" s="112"/>
      <c r="N13153" s="84"/>
    </row>
    <row r="13154" spans="1:14" s="2" customFormat="1">
      <c r="A13154" s="83"/>
      <c r="H13154" s="83"/>
      <c r="K13154" s="82"/>
      <c r="M13154" s="112"/>
      <c r="N13154" s="84"/>
    </row>
    <row r="13155" spans="1:14" s="2" customFormat="1">
      <c r="A13155" s="83"/>
      <c r="H13155" s="83"/>
      <c r="K13155" s="82"/>
      <c r="M13155" s="112"/>
      <c r="N13155" s="84"/>
    </row>
    <row r="13156" spans="1:14" s="2" customFormat="1">
      <c r="A13156" s="83"/>
      <c r="H13156" s="83"/>
      <c r="K13156" s="82"/>
      <c r="M13156" s="112"/>
      <c r="N13156" s="84"/>
    </row>
    <row r="13157" spans="1:14" s="2" customFormat="1">
      <c r="A13157" s="83"/>
      <c r="H13157" s="83"/>
      <c r="K13157" s="82"/>
      <c r="M13157" s="112"/>
      <c r="N13157" s="84"/>
    </row>
    <row r="13158" spans="1:14" s="2" customFormat="1">
      <c r="A13158" s="83"/>
      <c r="H13158" s="83"/>
      <c r="K13158" s="82"/>
      <c r="M13158" s="112"/>
      <c r="N13158" s="84"/>
    </row>
    <row r="13159" spans="1:14" s="2" customFormat="1">
      <c r="A13159" s="83"/>
      <c r="H13159" s="83"/>
      <c r="K13159" s="82"/>
      <c r="M13159" s="112"/>
      <c r="N13159" s="84"/>
    </row>
    <row r="13160" spans="1:14" s="2" customFormat="1">
      <c r="A13160" s="83"/>
      <c r="H13160" s="83"/>
      <c r="K13160" s="82"/>
      <c r="M13160" s="112"/>
      <c r="N13160" s="84"/>
    </row>
    <row r="13161" spans="1:14" s="2" customFormat="1">
      <c r="A13161" s="83"/>
      <c r="H13161" s="83"/>
      <c r="K13161" s="82"/>
      <c r="M13161" s="112"/>
      <c r="N13161" s="84"/>
    </row>
    <row r="13162" spans="1:14" s="2" customFormat="1">
      <c r="A13162" s="83"/>
      <c r="H13162" s="83"/>
      <c r="K13162" s="82"/>
      <c r="M13162" s="112"/>
      <c r="N13162" s="84"/>
    </row>
    <row r="13163" spans="1:14" s="2" customFormat="1">
      <c r="A13163" s="83"/>
      <c r="H13163" s="83"/>
      <c r="K13163" s="82"/>
      <c r="M13163" s="112"/>
      <c r="N13163" s="84"/>
    </row>
    <row r="13164" spans="1:14" s="2" customFormat="1">
      <c r="A13164" s="83"/>
      <c r="H13164" s="83"/>
      <c r="K13164" s="82"/>
      <c r="M13164" s="112"/>
      <c r="N13164" s="84"/>
    </row>
    <row r="13165" spans="1:14" s="2" customFormat="1">
      <c r="A13165" s="83"/>
      <c r="H13165" s="83"/>
      <c r="K13165" s="82"/>
      <c r="M13165" s="112"/>
      <c r="N13165" s="84"/>
    </row>
    <row r="13166" spans="1:14" s="2" customFormat="1">
      <c r="A13166" s="83"/>
      <c r="H13166" s="83"/>
      <c r="K13166" s="82"/>
      <c r="M13166" s="112"/>
      <c r="N13166" s="84"/>
    </row>
    <row r="13167" spans="1:14" s="2" customFormat="1">
      <c r="A13167" s="83"/>
      <c r="H13167" s="83"/>
      <c r="K13167" s="82"/>
      <c r="M13167" s="112"/>
      <c r="N13167" s="84"/>
    </row>
    <row r="13168" spans="1:14" s="2" customFormat="1">
      <c r="A13168" s="83"/>
      <c r="H13168" s="83"/>
      <c r="K13168" s="82"/>
      <c r="M13168" s="112"/>
      <c r="N13168" s="84"/>
    </row>
    <row r="13169" spans="1:14" s="2" customFormat="1">
      <c r="A13169" s="83"/>
      <c r="H13169" s="83"/>
      <c r="K13169" s="82"/>
      <c r="M13169" s="112"/>
      <c r="N13169" s="84"/>
    </row>
    <row r="13170" spans="1:14" s="2" customFormat="1">
      <c r="A13170" s="83"/>
      <c r="H13170" s="83"/>
      <c r="K13170" s="82"/>
      <c r="M13170" s="112"/>
      <c r="N13170" s="84"/>
    </row>
    <row r="13171" spans="1:14" s="2" customFormat="1">
      <c r="A13171" s="83"/>
      <c r="H13171" s="83"/>
      <c r="K13171" s="82"/>
      <c r="M13171" s="112"/>
      <c r="N13171" s="84"/>
    </row>
    <row r="13172" spans="1:14" s="2" customFormat="1">
      <c r="A13172" s="83"/>
      <c r="H13172" s="83"/>
      <c r="K13172" s="82"/>
      <c r="M13172" s="112"/>
      <c r="N13172" s="84"/>
    </row>
    <row r="13173" spans="1:14" s="2" customFormat="1">
      <c r="A13173" s="83"/>
      <c r="H13173" s="83"/>
      <c r="K13173" s="82"/>
      <c r="M13173" s="112"/>
      <c r="N13173" s="84"/>
    </row>
    <row r="13174" spans="1:14" s="2" customFormat="1">
      <c r="A13174" s="83"/>
      <c r="H13174" s="83"/>
      <c r="K13174" s="82"/>
      <c r="M13174" s="112"/>
      <c r="N13174" s="84"/>
    </row>
    <row r="13175" spans="1:14" s="2" customFormat="1">
      <c r="A13175" s="83"/>
      <c r="H13175" s="83"/>
      <c r="K13175" s="82"/>
      <c r="M13175" s="112"/>
      <c r="N13175" s="84"/>
    </row>
    <row r="13176" spans="1:14" s="2" customFormat="1">
      <c r="A13176" s="83"/>
      <c r="H13176" s="83"/>
      <c r="K13176" s="82"/>
      <c r="M13176" s="112"/>
      <c r="N13176" s="84"/>
    </row>
    <row r="13177" spans="1:14" s="2" customFormat="1">
      <c r="A13177" s="83"/>
      <c r="H13177" s="83"/>
      <c r="K13177" s="82"/>
      <c r="M13177" s="112"/>
      <c r="N13177" s="84"/>
    </row>
    <row r="13178" spans="1:14" s="2" customFormat="1">
      <c r="A13178" s="83"/>
      <c r="H13178" s="83"/>
      <c r="K13178" s="82"/>
      <c r="M13178" s="112"/>
      <c r="N13178" s="84"/>
    </row>
    <row r="13179" spans="1:14" s="2" customFormat="1">
      <c r="A13179" s="83"/>
      <c r="H13179" s="83"/>
      <c r="K13179" s="82"/>
      <c r="M13179" s="112"/>
      <c r="N13179" s="84"/>
    </row>
    <row r="13180" spans="1:14" s="2" customFormat="1">
      <c r="A13180" s="83"/>
      <c r="H13180" s="83"/>
      <c r="K13180" s="82"/>
      <c r="M13180" s="112"/>
      <c r="N13180" s="84"/>
    </row>
    <row r="13181" spans="1:14" s="2" customFormat="1">
      <c r="A13181" s="83"/>
      <c r="H13181" s="83"/>
      <c r="K13181" s="82"/>
      <c r="M13181" s="112"/>
      <c r="N13181" s="84"/>
    </row>
    <row r="13182" spans="1:14" s="2" customFormat="1">
      <c r="A13182" s="83"/>
      <c r="H13182" s="83"/>
      <c r="K13182" s="82"/>
      <c r="M13182" s="112"/>
      <c r="N13182" s="84"/>
    </row>
    <row r="13183" spans="1:14" s="2" customFormat="1">
      <c r="A13183" s="83"/>
      <c r="H13183" s="83"/>
      <c r="K13183" s="82"/>
      <c r="M13183" s="112"/>
      <c r="N13183" s="84"/>
    </row>
    <row r="13184" spans="1:14" s="2" customFormat="1">
      <c r="A13184" s="83"/>
      <c r="H13184" s="83"/>
      <c r="K13184" s="82"/>
      <c r="M13184" s="112"/>
      <c r="N13184" s="84"/>
    </row>
    <row r="13185" spans="1:14" s="2" customFormat="1">
      <c r="A13185" s="83"/>
      <c r="H13185" s="83"/>
      <c r="K13185" s="82"/>
      <c r="M13185" s="112"/>
      <c r="N13185" s="84"/>
    </row>
    <row r="13186" spans="1:14" s="2" customFormat="1">
      <c r="A13186" s="83"/>
      <c r="H13186" s="83"/>
      <c r="K13186" s="82"/>
      <c r="M13186" s="112"/>
      <c r="N13186" s="84"/>
    </row>
    <row r="13187" spans="1:14" s="2" customFormat="1">
      <c r="A13187" s="83"/>
      <c r="H13187" s="83"/>
      <c r="K13187" s="82"/>
      <c r="M13187" s="112"/>
      <c r="N13187" s="84"/>
    </row>
    <row r="13188" spans="1:14" s="2" customFormat="1">
      <c r="A13188" s="83"/>
      <c r="H13188" s="83"/>
      <c r="K13188" s="82"/>
      <c r="M13188" s="112"/>
      <c r="N13188" s="84"/>
    </row>
    <row r="13189" spans="1:14" s="2" customFormat="1">
      <c r="A13189" s="83"/>
      <c r="H13189" s="83"/>
      <c r="K13189" s="82"/>
      <c r="M13189" s="112"/>
      <c r="N13189" s="84"/>
    </row>
    <row r="13190" spans="1:14" s="2" customFormat="1">
      <c r="A13190" s="83"/>
      <c r="H13190" s="83"/>
      <c r="K13190" s="82"/>
      <c r="M13190" s="112"/>
      <c r="N13190" s="84"/>
    </row>
    <row r="13191" spans="1:14" s="2" customFormat="1">
      <c r="A13191" s="83"/>
      <c r="H13191" s="83"/>
      <c r="K13191" s="82"/>
      <c r="M13191" s="112"/>
      <c r="N13191" s="84"/>
    </row>
    <row r="13192" spans="1:14" s="2" customFormat="1">
      <c r="A13192" s="83"/>
      <c r="H13192" s="83"/>
      <c r="K13192" s="82"/>
      <c r="M13192" s="112"/>
      <c r="N13192" s="84"/>
    </row>
    <row r="13193" spans="1:14" s="2" customFormat="1">
      <c r="A13193" s="83"/>
      <c r="H13193" s="83"/>
      <c r="K13193" s="82"/>
      <c r="M13193" s="112"/>
      <c r="N13193" s="84"/>
    </row>
    <row r="13194" spans="1:14" s="2" customFormat="1">
      <c r="A13194" s="83"/>
      <c r="H13194" s="83"/>
      <c r="K13194" s="82"/>
      <c r="M13194" s="112"/>
      <c r="N13194" s="84"/>
    </row>
    <row r="13195" spans="1:14" s="2" customFormat="1">
      <c r="A13195" s="83"/>
      <c r="H13195" s="83"/>
      <c r="K13195" s="82"/>
      <c r="M13195" s="112"/>
      <c r="N13195" s="84"/>
    </row>
    <row r="13196" spans="1:14" s="2" customFormat="1">
      <c r="A13196" s="83"/>
      <c r="H13196" s="83"/>
      <c r="K13196" s="82"/>
      <c r="M13196" s="112"/>
      <c r="N13196" s="84"/>
    </row>
    <row r="13197" spans="1:14" s="2" customFormat="1">
      <c r="A13197" s="83"/>
      <c r="H13197" s="83"/>
      <c r="K13197" s="82"/>
      <c r="M13197" s="112"/>
      <c r="N13197" s="84"/>
    </row>
    <row r="13198" spans="1:14" s="2" customFormat="1">
      <c r="A13198" s="83"/>
      <c r="H13198" s="83"/>
      <c r="K13198" s="82"/>
      <c r="M13198" s="112"/>
      <c r="N13198" s="84"/>
    </row>
    <row r="13199" spans="1:14" s="2" customFormat="1">
      <c r="A13199" s="83"/>
      <c r="H13199" s="83"/>
      <c r="K13199" s="82"/>
      <c r="M13199" s="112"/>
      <c r="N13199" s="84"/>
    </row>
    <row r="13200" spans="1:14" s="2" customFormat="1">
      <c r="A13200" s="83"/>
      <c r="H13200" s="83"/>
      <c r="K13200" s="82"/>
      <c r="M13200" s="112"/>
      <c r="N13200" s="84"/>
    </row>
    <row r="13201" spans="1:14" s="2" customFormat="1">
      <c r="A13201" s="83"/>
      <c r="H13201" s="83"/>
      <c r="K13201" s="82"/>
      <c r="M13201" s="112"/>
      <c r="N13201" s="84"/>
    </row>
    <row r="13202" spans="1:14" s="2" customFormat="1">
      <c r="A13202" s="83"/>
      <c r="H13202" s="83"/>
      <c r="K13202" s="82"/>
      <c r="M13202" s="112"/>
      <c r="N13202" s="84"/>
    </row>
    <row r="13203" spans="1:14" s="2" customFormat="1">
      <c r="A13203" s="83"/>
      <c r="H13203" s="83"/>
      <c r="K13203" s="82"/>
      <c r="M13203" s="112"/>
      <c r="N13203" s="84"/>
    </row>
    <row r="13204" spans="1:14" s="2" customFormat="1">
      <c r="A13204" s="83"/>
      <c r="H13204" s="83"/>
      <c r="K13204" s="82"/>
      <c r="M13204" s="112"/>
      <c r="N13204" s="84"/>
    </row>
    <row r="13205" spans="1:14" s="2" customFormat="1">
      <c r="A13205" s="83"/>
      <c r="H13205" s="83"/>
      <c r="K13205" s="82"/>
      <c r="M13205" s="112"/>
      <c r="N13205" s="84"/>
    </row>
    <row r="13206" spans="1:14" s="2" customFormat="1">
      <c r="A13206" s="83"/>
      <c r="H13206" s="83"/>
      <c r="K13206" s="82"/>
      <c r="M13206" s="112"/>
      <c r="N13206" s="84"/>
    </row>
    <row r="13207" spans="1:14" s="2" customFormat="1">
      <c r="A13207" s="83"/>
      <c r="H13207" s="83"/>
      <c r="K13207" s="82"/>
      <c r="M13207" s="112"/>
      <c r="N13207" s="84"/>
    </row>
    <row r="13208" spans="1:14" s="2" customFormat="1">
      <c r="A13208" s="83"/>
      <c r="H13208" s="83"/>
      <c r="K13208" s="82"/>
      <c r="M13208" s="112"/>
      <c r="N13208" s="84"/>
    </row>
    <row r="13209" spans="1:14" s="2" customFormat="1">
      <c r="A13209" s="83"/>
      <c r="H13209" s="83"/>
      <c r="K13209" s="82"/>
      <c r="M13209" s="112"/>
      <c r="N13209" s="84"/>
    </row>
    <row r="13210" spans="1:14" s="2" customFormat="1">
      <c r="A13210" s="83"/>
      <c r="H13210" s="83"/>
      <c r="K13210" s="82"/>
      <c r="M13210" s="112"/>
      <c r="N13210" s="84"/>
    </row>
    <row r="13211" spans="1:14" s="2" customFormat="1">
      <c r="A13211" s="83"/>
      <c r="H13211" s="83"/>
      <c r="K13211" s="82"/>
      <c r="M13211" s="112"/>
      <c r="N13211" s="84"/>
    </row>
    <row r="13212" spans="1:14" s="2" customFormat="1">
      <c r="A13212" s="83"/>
      <c r="H13212" s="83"/>
      <c r="K13212" s="82"/>
      <c r="M13212" s="112"/>
      <c r="N13212" s="84"/>
    </row>
    <row r="13213" spans="1:14" s="2" customFormat="1">
      <c r="A13213" s="83"/>
      <c r="H13213" s="83"/>
      <c r="K13213" s="82"/>
      <c r="M13213" s="112"/>
      <c r="N13213" s="84"/>
    </row>
    <row r="13214" spans="1:14" s="2" customFormat="1">
      <c r="A13214" s="83"/>
      <c r="H13214" s="83"/>
      <c r="K13214" s="82"/>
      <c r="M13214" s="112"/>
      <c r="N13214" s="84"/>
    </row>
    <row r="13215" spans="1:14" s="2" customFormat="1">
      <c r="A13215" s="83"/>
      <c r="H13215" s="83"/>
      <c r="K13215" s="82"/>
      <c r="M13215" s="112"/>
      <c r="N13215" s="84"/>
    </row>
    <row r="13216" spans="1:14" s="2" customFormat="1">
      <c r="A13216" s="83"/>
      <c r="H13216" s="83"/>
      <c r="K13216" s="82"/>
      <c r="M13216" s="112"/>
      <c r="N13216" s="84"/>
    </row>
    <row r="13217" spans="1:14" s="2" customFormat="1">
      <c r="A13217" s="83"/>
      <c r="H13217" s="83"/>
      <c r="K13217" s="82"/>
      <c r="M13217" s="112"/>
      <c r="N13217" s="84"/>
    </row>
    <row r="13218" spans="1:14" s="2" customFormat="1">
      <c r="A13218" s="83"/>
      <c r="H13218" s="83"/>
      <c r="K13218" s="82"/>
      <c r="M13218" s="112"/>
      <c r="N13218" s="84"/>
    </row>
    <row r="13219" spans="1:14" s="2" customFormat="1">
      <c r="A13219" s="83"/>
      <c r="H13219" s="83"/>
      <c r="K13219" s="82"/>
      <c r="M13219" s="112"/>
      <c r="N13219" s="84"/>
    </row>
    <row r="13220" spans="1:14" s="2" customFormat="1">
      <c r="A13220" s="83"/>
      <c r="H13220" s="83"/>
      <c r="K13220" s="82"/>
      <c r="M13220" s="112"/>
      <c r="N13220" s="84"/>
    </row>
    <row r="13221" spans="1:14" s="2" customFormat="1">
      <c r="A13221" s="83"/>
      <c r="H13221" s="83"/>
      <c r="K13221" s="82"/>
      <c r="M13221" s="112"/>
      <c r="N13221" s="84"/>
    </row>
    <row r="13222" spans="1:14" s="2" customFormat="1">
      <c r="A13222" s="83"/>
      <c r="H13222" s="83"/>
      <c r="K13222" s="82"/>
      <c r="M13222" s="112"/>
      <c r="N13222" s="84"/>
    </row>
    <row r="13223" spans="1:14" s="2" customFormat="1">
      <c r="A13223" s="83"/>
      <c r="H13223" s="83"/>
      <c r="K13223" s="82"/>
      <c r="M13223" s="112"/>
      <c r="N13223" s="84"/>
    </row>
    <row r="13224" spans="1:14" s="2" customFormat="1">
      <c r="A13224" s="83"/>
      <c r="H13224" s="83"/>
      <c r="K13224" s="82"/>
      <c r="M13224" s="112"/>
      <c r="N13224" s="84"/>
    </row>
    <row r="13225" spans="1:14" s="2" customFormat="1">
      <c r="A13225" s="83"/>
      <c r="H13225" s="83"/>
      <c r="K13225" s="82"/>
      <c r="M13225" s="112"/>
      <c r="N13225" s="84"/>
    </row>
    <row r="13226" spans="1:14" s="2" customFormat="1">
      <c r="A13226" s="83"/>
      <c r="H13226" s="83"/>
      <c r="K13226" s="82"/>
      <c r="M13226" s="112"/>
      <c r="N13226" s="84"/>
    </row>
    <row r="13227" spans="1:14" s="2" customFormat="1">
      <c r="A13227" s="83"/>
      <c r="H13227" s="83"/>
      <c r="K13227" s="82"/>
      <c r="M13227" s="112"/>
      <c r="N13227" s="84"/>
    </row>
    <row r="13228" spans="1:14" s="2" customFormat="1">
      <c r="A13228" s="83"/>
      <c r="H13228" s="83"/>
      <c r="K13228" s="82"/>
      <c r="M13228" s="112"/>
      <c r="N13228" s="84"/>
    </row>
    <row r="13229" spans="1:14" s="2" customFormat="1">
      <c r="A13229" s="83"/>
      <c r="H13229" s="83"/>
      <c r="K13229" s="82"/>
      <c r="M13229" s="112"/>
      <c r="N13229" s="84"/>
    </row>
    <row r="13230" spans="1:14" s="2" customFormat="1">
      <c r="A13230" s="83"/>
      <c r="H13230" s="83"/>
      <c r="K13230" s="82"/>
      <c r="M13230" s="112"/>
      <c r="N13230" s="84"/>
    </row>
    <row r="13231" spans="1:14" s="2" customFormat="1">
      <c r="A13231" s="83"/>
      <c r="H13231" s="83"/>
      <c r="K13231" s="82"/>
      <c r="M13231" s="112"/>
      <c r="N13231" s="84"/>
    </row>
    <row r="13232" spans="1:14" s="2" customFormat="1">
      <c r="A13232" s="83"/>
      <c r="H13232" s="83"/>
      <c r="K13232" s="82"/>
      <c r="M13232" s="112"/>
      <c r="N13232" s="84"/>
    </row>
    <row r="13233" spans="1:14" s="2" customFormat="1">
      <c r="A13233" s="83"/>
      <c r="H13233" s="83"/>
      <c r="K13233" s="82"/>
      <c r="M13233" s="112"/>
      <c r="N13233" s="84"/>
    </row>
    <row r="13234" spans="1:14" s="2" customFormat="1">
      <c r="A13234" s="83"/>
      <c r="H13234" s="83"/>
      <c r="K13234" s="82"/>
      <c r="M13234" s="112"/>
      <c r="N13234" s="84"/>
    </row>
    <row r="13235" spans="1:14" s="2" customFormat="1">
      <c r="A13235" s="83"/>
      <c r="H13235" s="83"/>
      <c r="K13235" s="82"/>
      <c r="M13235" s="112"/>
      <c r="N13235" s="84"/>
    </row>
    <row r="13236" spans="1:14" s="2" customFormat="1">
      <c r="A13236" s="83"/>
      <c r="H13236" s="83"/>
      <c r="K13236" s="82"/>
      <c r="M13236" s="112"/>
      <c r="N13236" s="84"/>
    </row>
    <row r="13237" spans="1:14" s="2" customFormat="1">
      <c r="A13237" s="83"/>
      <c r="H13237" s="83"/>
      <c r="K13237" s="82"/>
      <c r="M13237" s="112"/>
      <c r="N13237" s="84"/>
    </row>
    <row r="13238" spans="1:14" s="2" customFormat="1">
      <c r="A13238" s="83"/>
      <c r="H13238" s="83"/>
      <c r="K13238" s="82"/>
      <c r="M13238" s="112"/>
      <c r="N13238" s="84"/>
    </row>
    <row r="13239" spans="1:14" s="2" customFormat="1">
      <c r="A13239" s="83"/>
      <c r="H13239" s="83"/>
      <c r="K13239" s="82"/>
      <c r="M13239" s="112"/>
      <c r="N13239" s="84"/>
    </row>
    <row r="13240" spans="1:14" s="2" customFormat="1">
      <c r="A13240" s="83"/>
      <c r="H13240" s="83"/>
      <c r="K13240" s="82"/>
      <c r="M13240" s="112"/>
      <c r="N13240" s="84"/>
    </row>
    <row r="13241" spans="1:14" s="2" customFormat="1">
      <c r="A13241" s="83"/>
      <c r="H13241" s="83"/>
      <c r="K13241" s="82"/>
      <c r="M13241" s="112"/>
      <c r="N13241" s="84"/>
    </row>
    <row r="13242" spans="1:14" s="2" customFormat="1">
      <c r="A13242" s="83"/>
      <c r="H13242" s="83"/>
      <c r="K13242" s="82"/>
      <c r="M13242" s="112"/>
      <c r="N13242" s="84"/>
    </row>
    <row r="13243" spans="1:14" s="2" customFormat="1">
      <c r="A13243" s="83"/>
      <c r="H13243" s="83"/>
      <c r="K13243" s="82"/>
      <c r="M13243" s="112"/>
      <c r="N13243" s="84"/>
    </row>
    <row r="13244" spans="1:14" s="2" customFormat="1">
      <c r="A13244" s="83"/>
      <c r="H13244" s="83"/>
      <c r="K13244" s="82"/>
      <c r="M13244" s="112"/>
      <c r="N13244" s="84"/>
    </row>
    <row r="13245" spans="1:14" s="2" customFormat="1">
      <c r="A13245" s="83"/>
      <c r="H13245" s="83"/>
      <c r="K13245" s="82"/>
      <c r="M13245" s="112"/>
      <c r="N13245" s="84"/>
    </row>
    <row r="13246" spans="1:14" s="2" customFormat="1">
      <c r="A13246" s="83"/>
      <c r="H13246" s="83"/>
      <c r="K13246" s="82"/>
      <c r="M13246" s="112"/>
      <c r="N13246" s="84"/>
    </row>
    <row r="13247" spans="1:14" s="2" customFormat="1">
      <c r="A13247" s="83"/>
      <c r="H13247" s="83"/>
      <c r="K13247" s="82"/>
      <c r="M13247" s="112"/>
      <c r="N13247" s="84"/>
    </row>
    <row r="13248" spans="1:14" s="2" customFormat="1">
      <c r="A13248" s="83"/>
      <c r="H13248" s="83"/>
      <c r="K13248" s="82"/>
      <c r="M13248" s="112"/>
      <c r="N13248" s="84"/>
    </row>
    <row r="13249" spans="1:14" s="2" customFormat="1">
      <c r="A13249" s="83"/>
      <c r="H13249" s="83"/>
      <c r="K13249" s="82"/>
      <c r="M13249" s="112"/>
      <c r="N13249" s="84"/>
    </row>
    <row r="13250" spans="1:14" s="2" customFormat="1">
      <c r="A13250" s="83"/>
      <c r="H13250" s="83"/>
      <c r="K13250" s="82"/>
      <c r="M13250" s="112"/>
      <c r="N13250" s="84"/>
    </row>
    <row r="13251" spans="1:14" s="2" customFormat="1">
      <c r="A13251" s="83"/>
      <c r="H13251" s="83"/>
      <c r="K13251" s="82"/>
      <c r="M13251" s="112"/>
      <c r="N13251" s="84"/>
    </row>
    <row r="13252" spans="1:14" s="2" customFormat="1">
      <c r="A13252" s="83"/>
      <c r="H13252" s="83"/>
      <c r="K13252" s="82"/>
      <c r="M13252" s="112"/>
      <c r="N13252" s="84"/>
    </row>
    <row r="13253" spans="1:14" s="2" customFormat="1">
      <c r="A13253" s="83"/>
      <c r="H13253" s="83"/>
      <c r="K13253" s="82"/>
      <c r="M13253" s="112"/>
      <c r="N13253" s="84"/>
    </row>
    <row r="13254" spans="1:14" s="2" customFormat="1">
      <c r="A13254" s="83"/>
      <c r="H13254" s="83"/>
      <c r="K13254" s="82"/>
      <c r="M13254" s="112"/>
      <c r="N13254" s="84"/>
    </row>
    <row r="13255" spans="1:14" s="2" customFormat="1">
      <c r="A13255" s="83"/>
      <c r="H13255" s="83"/>
      <c r="K13255" s="82"/>
      <c r="M13255" s="112"/>
      <c r="N13255" s="84"/>
    </row>
    <row r="13256" spans="1:14" s="2" customFormat="1">
      <c r="A13256" s="83"/>
      <c r="H13256" s="83"/>
      <c r="K13256" s="82"/>
      <c r="M13256" s="112"/>
      <c r="N13256" s="84"/>
    </row>
    <row r="13257" spans="1:14" s="2" customFormat="1">
      <c r="A13257" s="83"/>
      <c r="H13257" s="83"/>
      <c r="K13257" s="82"/>
      <c r="M13257" s="112"/>
      <c r="N13257" s="84"/>
    </row>
    <row r="13258" spans="1:14" s="2" customFormat="1">
      <c r="A13258" s="83"/>
      <c r="H13258" s="83"/>
      <c r="K13258" s="82"/>
      <c r="M13258" s="112"/>
      <c r="N13258" s="84"/>
    </row>
    <row r="13259" spans="1:14" s="2" customFormat="1">
      <c r="A13259" s="83"/>
      <c r="H13259" s="83"/>
      <c r="K13259" s="82"/>
      <c r="M13259" s="112"/>
      <c r="N13259" s="84"/>
    </row>
    <row r="13260" spans="1:14" s="2" customFormat="1">
      <c r="A13260" s="83"/>
      <c r="H13260" s="83"/>
      <c r="K13260" s="82"/>
      <c r="M13260" s="112"/>
      <c r="N13260" s="84"/>
    </row>
    <row r="13261" spans="1:14" s="2" customFormat="1">
      <c r="A13261" s="83"/>
      <c r="H13261" s="83"/>
      <c r="K13261" s="82"/>
      <c r="M13261" s="112"/>
      <c r="N13261" s="84"/>
    </row>
    <row r="13262" spans="1:14" s="2" customFormat="1">
      <c r="A13262" s="83"/>
      <c r="H13262" s="83"/>
      <c r="K13262" s="82"/>
      <c r="M13262" s="112"/>
      <c r="N13262" s="84"/>
    </row>
    <row r="13263" spans="1:14" s="2" customFormat="1">
      <c r="A13263" s="83"/>
      <c r="H13263" s="83"/>
      <c r="K13263" s="82"/>
      <c r="M13263" s="112"/>
      <c r="N13263" s="84"/>
    </row>
    <row r="13264" spans="1:14" s="2" customFormat="1">
      <c r="A13264" s="83"/>
      <c r="H13264" s="83"/>
      <c r="K13264" s="82"/>
      <c r="M13264" s="112"/>
      <c r="N13264" s="84"/>
    </row>
    <row r="13265" spans="1:14" s="2" customFormat="1">
      <c r="A13265" s="83"/>
      <c r="H13265" s="83"/>
      <c r="K13265" s="82"/>
      <c r="M13265" s="112"/>
      <c r="N13265" s="84"/>
    </row>
    <row r="13266" spans="1:14" s="2" customFormat="1">
      <c r="A13266" s="83"/>
      <c r="H13266" s="83"/>
      <c r="K13266" s="82"/>
      <c r="M13266" s="112"/>
      <c r="N13266" s="84"/>
    </row>
    <row r="13267" spans="1:14" s="2" customFormat="1">
      <c r="A13267" s="83"/>
      <c r="H13267" s="83"/>
      <c r="K13267" s="82"/>
      <c r="M13267" s="112"/>
      <c r="N13267" s="84"/>
    </row>
    <row r="13268" spans="1:14" s="2" customFormat="1">
      <c r="A13268" s="83"/>
      <c r="H13268" s="83"/>
      <c r="K13268" s="82"/>
      <c r="M13268" s="112"/>
      <c r="N13268" s="84"/>
    </row>
    <row r="13269" spans="1:14" s="2" customFormat="1">
      <c r="A13269" s="83"/>
      <c r="H13269" s="83"/>
      <c r="K13269" s="82"/>
      <c r="M13269" s="112"/>
      <c r="N13269" s="84"/>
    </row>
    <row r="13270" spans="1:14" s="2" customFormat="1">
      <c r="A13270" s="83"/>
      <c r="H13270" s="83"/>
      <c r="K13270" s="82"/>
      <c r="M13270" s="112"/>
      <c r="N13270" s="84"/>
    </row>
    <row r="13271" spans="1:14" s="2" customFormat="1">
      <c r="A13271" s="83"/>
      <c r="H13271" s="83"/>
      <c r="K13271" s="82"/>
      <c r="M13271" s="112"/>
      <c r="N13271" s="84"/>
    </row>
    <row r="13272" spans="1:14" s="2" customFormat="1">
      <c r="A13272" s="83"/>
      <c r="H13272" s="83"/>
      <c r="K13272" s="82"/>
      <c r="M13272" s="112"/>
      <c r="N13272" s="84"/>
    </row>
    <row r="13273" spans="1:14" s="2" customFormat="1">
      <c r="A13273" s="83"/>
      <c r="H13273" s="83"/>
      <c r="K13273" s="82"/>
      <c r="M13273" s="112"/>
      <c r="N13273" s="84"/>
    </row>
    <row r="13274" spans="1:14" s="2" customFormat="1">
      <c r="A13274" s="83"/>
      <c r="H13274" s="83"/>
      <c r="K13274" s="82"/>
      <c r="M13274" s="112"/>
      <c r="N13274" s="84"/>
    </row>
    <row r="13275" spans="1:14" s="2" customFormat="1">
      <c r="A13275" s="83"/>
      <c r="H13275" s="83"/>
      <c r="K13275" s="82"/>
      <c r="M13275" s="112"/>
      <c r="N13275" s="84"/>
    </row>
    <row r="13276" spans="1:14" s="2" customFormat="1">
      <c r="A13276" s="83"/>
      <c r="H13276" s="83"/>
      <c r="K13276" s="82"/>
      <c r="M13276" s="112"/>
      <c r="N13276" s="84"/>
    </row>
    <row r="13277" spans="1:14" s="2" customFormat="1">
      <c r="A13277" s="83"/>
      <c r="H13277" s="83"/>
      <c r="K13277" s="82"/>
      <c r="M13277" s="112"/>
      <c r="N13277" s="84"/>
    </row>
    <row r="13278" spans="1:14" s="2" customFormat="1">
      <c r="A13278" s="83"/>
      <c r="H13278" s="83"/>
      <c r="K13278" s="82"/>
      <c r="M13278" s="112"/>
      <c r="N13278" s="84"/>
    </row>
    <row r="13279" spans="1:14" s="2" customFormat="1">
      <c r="A13279" s="83"/>
      <c r="H13279" s="83"/>
      <c r="K13279" s="82"/>
      <c r="M13279" s="112"/>
      <c r="N13279" s="84"/>
    </row>
    <row r="13280" spans="1:14" s="2" customFormat="1">
      <c r="A13280" s="83"/>
      <c r="H13280" s="83"/>
      <c r="K13280" s="82"/>
      <c r="M13280" s="112"/>
      <c r="N13280" s="84"/>
    </row>
    <row r="13281" spans="1:14" s="2" customFormat="1">
      <c r="A13281" s="83"/>
      <c r="H13281" s="83"/>
      <c r="K13281" s="82"/>
      <c r="M13281" s="112"/>
      <c r="N13281" s="84"/>
    </row>
    <row r="13282" spans="1:14" s="2" customFormat="1">
      <c r="A13282" s="83"/>
      <c r="H13282" s="83"/>
      <c r="K13282" s="82"/>
      <c r="M13282" s="112"/>
      <c r="N13282" s="84"/>
    </row>
    <row r="13283" spans="1:14" s="2" customFormat="1">
      <c r="A13283" s="83"/>
      <c r="H13283" s="83"/>
      <c r="K13283" s="82"/>
      <c r="M13283" s="112"/>
      <c r="N13283" s="84"/>
    </row>
    <row r="13284" spans="1:14" s="2" customFormat="1">
      <c r="A13284" s="83"/>
      <c r="H13284" s="83"/>
      <c r="K13284" s="82"/>
      <c r="M13284" s="112"/>
      <c r="N13284" s="84"/>
    </row>
    <row r="13285" spans="1:14" s="2" customFormat="1">
      <c r="A13285" s="83"/>
      <c r="H13285" s="83"/>
      <c r="K13285" s="82"/>
      <c r="M13285" s="112"/>
      <c r="N13285" s="84"/>
    </row>
    <row r="13286" spans="1:14" s="2" customFormat="1">
      <c r="A13286" s="83"/>
      <c r="H13286" s="83"/>
      <c r="K13286" s="82"/>
      <c r="M13286" s="112"/>
      <c r="N13286" s="84"/>
    </row>
    <row r="13287" spans="1:14" s="2" customFormat="1">
      <c r="A13287" s="83"/>
      <c r="H13287" s="83"/>
      <c r="K13287" s="82"/>
      <c r="M13287" s="112"/>
      <c r="N13287" s="84"/>
    </row>
    <row r="13288" spans="1:14" s="2" customFormat="1">
      <c r="A13288" s="83"/>
      <c r="H13288" s="83"/>
      <c r="K13288" s="82"/>
      <c r="M13288" s="112"/>
      <c r="N13288" s="84"/>
    </row>
    <row r="13289" spans="1:14" s="2" customFormat="1">
      <c r="A13289" s="83"/>
      <c r="H13289" s="83"/>
      <c r="K13289" s="82"/>
      <c r="M13289" s="112"/>
      <c r="N13289" s="84"/>
    </row>
    <row r="13290" spans="1:14" s="2" customFormat="1">
      <c r="A13290" s="83"/>
      <c r="H13290" s="83"/>
      <c r="K13290" s="82"/>
      <c r="M13290" s="112"/>
      <c r="N13290" s="84"/>
    </row>
    <row r="13291" spans="1:14" s="2" customFormat="1">
      <c r="A13291" s="83"/>
      <c r="H13291" s="83"/>
      <c r="K13291" s="82"/>
      <c r="M13291" s="112"/>
      <c r="N13291" s="84"/>
    </row>
    <row r="13292" spans="1:14" s="2" customFormat="1">
      <c r="A13292" s="83"/>
      <c r="H13292" s="83"/>
      <c r="K13292" s="82"/>
      <c r="M13292" s="112"/>
      <c r="N13292" s="84"/>
    </row>
    <row r="13293" spans="1:14" s="2" customFormat="1">
      <c r="A13293" s="83"/>
      <c r="H13293" s="83"/>
      <c r="K13293" s="82"/>
      <c r="M13293" s="112"/>
      <c r="N13293" s="84"/>
    </row>
    <row r="13294" spans="1:14" s="2" customFormat="1">
      <c r="A13294" s="83"/>
      <c r="H13294" s="83"/>
      <c r="K13294" s="82"/>
      <c r="M13294" s="112"/>
      <c r="N13294" s="84"/>
    </row>
    <row r="13295" spans="1:14" s="2" customFormat="1">
      <c r="A13295" s="83"/>
      <c r="H13295" s="83"/>
      <c r="K13295" s="82"/>
      <c r="M13295" s="112"/>
      <c r="N13295" s="84"/>
    </row>
    <row r="13296" spans="1:14" s="2" customFormat="1">
      <c r="A13296" s="83"/>
      <c r="H13296" s="83"/>
      <c r="K13296" s="82"/>
      <c r="M13296" s="112"/>
      <c r="N13296" s="84"/>
    </row>
    <row r="13297" spans="1:14" s="2" customFormat="1">
      <c r="A13297" s="83"/>
      <c r="H13297" s="83"/>
      <c r="K13297" s="82"/>
      <c r="M13297" s="112"/>
      <c r="N13297" s="84"/>
    </row>
    <row r="13298" spans="1:14" s="2" customFormat="1">
      <c r="A13298" s="83"/>
      <c r="H13298" s="83"/>
      <c r="K13298" s="82"/>
      <c r="M13298" s="112"/>
      <c r="N13298" s="84"/>
    </row>
    <row r="13299" spans="1:14" s="2" customFormat="1">
      <c r="A13299" s="83"/>
      <c r="H13299" s="83"/>
      <c r="K13299" s="82"/>
      <c r="M13299" s="112"/>
      <c r="N13299" s="84"/>
    </row>
    <row r="13300" spans="1:14" s="2" customFormat="1">
      <c r="A13300" s="83"/>
      <c r="H13300" s="83"/>
      <c r="K13300" s="82"/>
      <c r="M13300" s="112"/>
      <c r="N13300" s="84"/>
    </row>
    <row r="13301" spans="1:14" s="2" customFormat="1">
      <c r="A13301" s="83"/>
      <c r="H13301" s="83"/>
      <c r="K13301" s="82"/>
      <c r="M13301" s="112"/>
      <c r="N13301" s="84"/>
    </row>
    <row r="13302" spans="1:14" s="2" customFormat="1">
      <c r="A13302" s="83"/>
      <c r="H13302" s="83"/>
      <c r="K13302" s="82"/>
      <c r="M13302" s="112"/>
      <c r="N13302" s="84"/>
    </row>
    <row r="13303" spans="1:14" s="2" customFormat="1">
      <c r="A13303" s="83"/>
      <c r="H13303" s="83"/>
      <c r="K13303" s="82"/>
      <c r="M13303" s="112"/>
      <c r="N13303" s="84"/>
    </row>
    <row r="13304" spans="1:14" s="2" customFormat="1">
      <c r="A13304" s="83"/>
      <c r="H13304" s="83"/>
      <c r="K13304" s="82"/>
      <c r="M13304" s="112"/>
      <c r="N13304" s="84"/>
    </row>
    <row r="13305" spans="1:14" s="2" customFormat="1">
      <c r="A13305" s="83"/>
      <c r="H13305" s="83"/>
      <c r="K13305" s="82"/>
      <c r="M13305" s="112"/>
      <c r="N13305" s="84"/>
    </row>
    <row r="13306" spans="1:14" s="2" customFormat="1">
      <c r="A13306" s="83"/>
      <c r="H13306" s="83"/>
      <c r="K13306" s="82"/>
      <c r="M13306" s="112"/>
      <c r="N13306" s="84"/>
    </row>
    <row r="13307" spans="1:14" s="2" customFormat="1">
      <c r="A13307" s="83"/>
      <c r="H13307" s="83"/>
      <c r="K13307" s="82"/>
      <c r="M13307" s="112"/>
      <c r="N13307" s="84"/>
    </row>
    <row r="13308" spans="1:14" s="2" customFormat="1">
      <c r="A13308" s="83"/>
      <c r="H13308" s="83"/>
      <c r="K13308" s="82"/>
      <c r="M13308" s="112"/>
      <c r="N13308" s="84"/>
    </row>
    <row r="13309" spans="1:14" s="2" customFormat="1">
      <c r="A13309" s="83"/>
      <c r="H13309" s="83"/>
      <c r="K13309" s="82"/>
      <c r="M13309" s="112"/>
      <c r="N13309" s="84"/>
    </row>
    <row r="13310" spans="1:14" s="2" customFormat="1">
      <c r="A13310" s="83"/>
      <c r="H13310" s="83"/>
      <c r="K13310" s="82"/>
      <c r="M13310" s="112"/>
      <c r="N13310" s="84"/>
    </row>
    <row r="13311" spans="1:14" s="2" customFormat="1">
      <c r="A13311" s="83"/>
      <c r="H13311" s="83"/>
      <c r="K13311" s="82"/>
      <c r="M13311" s="112"/>
      <c r="N13311" s="84"/>
    </row>
    <row r="13312" spans="1:14" s="2" customFormat="1">
      <c r="A13312" s="83"/>
      <c r="H13312" s="83"/>
      <c r="K13312" s="82"/>
      <c r="M13312" s="112"/>
      <c r="N13312" s="84"/>
    </row>
    <row r="13313" spans="1:14" s="2" customFormat="1">
      <c r="A13313" s="83"/>
      <c r="H13313" s="83"/>
      <c r="K13313" s="82"/>
      <c r="M13313" s="112"/>
      <c r="N13313" s="84"/>
    </row>
    <row r="13314" spans="1:14" s="2" customFormat="1">
      <c r="A13314" s="83"/>
      <c r="H13314" s="83"/>
      <c r="K13314" s="82"/>
      <c r="M13314" s="112"/>
      <c r="N13314" s="84"/>
    </row>
    <row r="13315" spans="1:14" s="2" customFormat="1">
      <c r="A13315" s="83"/>
      <c r="H13315" s="83"/>
      <c r="K13315" s="82"/>
      <c r="M13315" s="112"/>
      <c r="N13315" s="84"/>
    </row>
    <row r="13316" spans="1:14" s="2" customFormat="1">
      <c r="A13316" s="83"/>
      <c r="H13316" s="83"/>
      <c r="K13316" s="82"/>
      <c r="M13316" s="112"/>
      <c r="N13316" s="84"/>
    </row>
    <row r="13317" spans="1:14" s="2" customFormat="1">
      <c r="A13317" s="83"/>
      <c r="H13317" s="83"/>
      <c r="K13317" s="82"/>
      <c r="M13317" s="112"/>
      <c r="N13317" s="84"/>
    </row>
    <row r="13318" spans="1:14" s="2" customFormat="1">
      <c r="A13318" s="83"/>
      <c r="H13318" s="83"/>
      <c r="K13318" s="82"/>
      <c r="M13318" s="112"/>
      <c r="N13318" s="84"/>
    </row>
    <row r="13319" spans="1:14" s="2" customFormat="1">
      <c r="A13319" s="83"/>
      <c r="H13319" s="83"/>
      <c r="K13319" s="82"/>
      <c r="M13319" s="112"/>
      <c r="N13319" s="84"/>
    </row>
    <row r="13320" spans="1:14" s="2" customFormat="1">
      <c r="A13320" s="83"/>
      <c r="H13320" s="83"/>
      <c r="K13320" s="82"/>
      <c r="M13320" s="112"/>
      <c r="N13320" s="84"/>
    </row>
    <row r="13321" spans="1:14" s="2" customFormat="1">
      <c r="A13321" s="83"/>
      <c r="H13321" s="83"/>
      <c r="K13321" s="82"/>
      <c r="M13321" s="112"/>
      <c r="N13321" s="84"/>
    </row>
    <row r="13322" spans="1:14" s="2" customFormat="1">
      <c r="A13322" s="83"/>
      <c r="H13322" s="83"/>
      <c r="K13322" s="82"/>
      <c r="M13322" s="112"/>
      <c r="N13322" s="84"/>
    </row>
    <row r="13323" spans="1:14" s="2" customFormat="1">
      <c r="A13323" s="83"/>
      <c r="H13323" s="83"/>
      <c r="K13323" s="82"/>
      <c r="M13323" s="112"/>
      <c r="N13323" s="84"/>
    </row>
    <row r="13324" spans="1:14" s="2" customFormat="1">
      <c r="A13324" s="83"/>
      <c r="H13324" s="83"/>
      <c r="K13324" s="82"/>
      <c r="M13324" s="112"/>
      <c r="N13324" s="84"/>
    </row>
    <row r="13325" spans="1:14" s="2" customFormat="1">
      <c r="A13325" s="83"/>
      <c r="H13325" s="83"/>
      <c r="K13325" s="82"/>
      <c r="M13325" s="112"/>
      <c r="N13325" s="84"/>
    </row>
    <row r="13326" spans="1:14" s="2" customFormat="1">
      <c r="A13326" s="83"/>
      <c r="H13326" s="83"/>
      <c r="K13326" s="82"/>
      <c r="M13326" s="112"/>
      <c r="N13326" s="84"/>
    </row>
    <row r="13327" spans="1:14" s="2" customFormat="1">
      <c r="A13327" s="83"/>
      <c r="H13327" s="83"/>
      <c r="K13327" s="82"/>
      <c r="M13327" s="112"/>
      <c r="N13327" s="84"/>
    </row>
    <row r="13328" spans="1:14" s="2" customFormat="1">
      <c r="A13328" s="83"/>
      <c r="H13328" s="83"/>
      <c r="K13328" s="82"/>
      <c r="M13328" s="112"/>
      <c r="N13328" s="84"/>
    </row>
    <row r="13329" spans="1:14" s="2" customFormat="1">
      <c r="A13329" s="83"/>
      <c r="H13329" s="83"/>
      <c r="K13329" s="82"/>
      <c r="M13329" s="112"/>
      <c r="N13329" s="84"/>
    </row>
    <row r="13330" spans="1:14" s="2" customFormat="1">
      <c r="A13330" s="83"/>
      <c r="H13330" s="83"/>
      <c r="K13330" s="82"/>
      <c r="M13330" s="112"/>
      <c r="N13330" s="84"/>
    </row>
    <row r="13331" spans="1:14" s="2" customFormat="1">
      <c r="A13331" s="83"/>
      <c r="H13331" s="83"/>
      <c r="K13331" s="82"/>
      <c r="M13331" s="112"/>
      <c r="N13331" s="84"/>
    </row>
    <row r="13332" spans="1:14" s="2" customFormat="1">
      <c r="A13332" s="83"/>
      <c r="H13332" s="83"/>
      <c r="K13332" s="82"/>
      <c r="M13332" s="112"/>
      <c r="N13332" s="84"/>
    </row>
    <row r="13333" spans="1:14" s="2" customFormat="1">
      <c r="A13333" s="83"/>
      <c r="H13333" s="83"/>
      <c r="K13333" s="82"/>
      <c r="M13333" s="112"/>
      <c r="N13333" s="84"/>
    </row>
    <row r="13334" spans="1:14" s="2" customFormat="1">
      <c r="A13334" s="83"/>
      <c r="H13334" s="83"/>
      <c r="K13334" s="82"/>
      <c r="M13334" s="112"/>
      <c r="N13334" s="84"/>
    </row>
    <row r="13335" spans="1:14" s="2" customFormat="1">
      <c r="A13335" s="83"/>
      <c r="H13335" s="83"/>
      <c r="K13335" s="82"/>
      <c r="M13335" s="112"/>
      <c r="N13335" s="84"/>
    </row>
    <row r="13336" spans="1:14" s="2" customFormat="1">
      <c r="A13336" s="83"/>
      <c r="H13336" s="83"/>
      <c r="K13336" s="82"/>
      <c r="M13336" s="112"/>
      <c r="N13336" s="84"/>
    </row>
    <row r="13337" spans="1:14" s="2" customFormat="1">
      <c r="A13337" s="83"/>
      <c r="H13337" s="83"/>
      <c r="K13337" s="82"/>
      <c r="M13337" s="112"/>
      <c r="N13337" s="84"/>
    </row>
    <row r="13338" spans="1:14" s="2" customFormat="1">
      <c r="A13338" s="83"/>
      <c r="H13338" s="83"/>
      <c r="K13338" s="82"/>
      <c r="M13338" s="112"/>
      <c r="N13338" s="84"/>
    </row>
    <row r="13339" spans="1:14" s="2" customFormat="1">
      <c r="A13339" s="83"/>
      <c r="H13339" s="83"/>
      <c r="K13339" s="82"/>
      <c r="M13339" s="112"/>
      <c r="N13339" s="84"/>
    </row>
    <row r="13340" spans="1:14" s="2" customFormat="1">
      <c r="A13340" s="83"/>
      <c r="H13340" s="83"/>
      <c r="K13340" s="82"/>
      <c r="M13340" s="112"/>
      <c r="N13340" s="84"/>
    </row>
    <row r="13341" spans="1:14" s="2" customFormat="1">
      <c r="A13341" s="83"/>
      <c r="H13341" s="83"/>
      <c r="K13341" s="82"/>
      <c r="M13341" s="112"/>
      <c r="N13341" s="84"/>
    </row>
    <row r="13342" spans="1:14" s="2" customFormat="1">
      <c r="A13342" s="83"/>
      <c r="H13342" s="83"/>
      <c r="K13342" s="82"/>
      <c r="M13342" s="112"/>
      <c r="N13342" s="84"/>
    </row>
    <row r="13343" spans="1:14" s="2" customFormat="1">
      <c r="A13343" s="83"/>
      <c r="H13343" s="83"/>
      <c r="K13343" s="82"/>
      <c r="M13343" s="112"/>
      <c r="N13343" s="84"/>
    </row>
    <row r="13344" spans="1:14" s="2" customFormat="1">
      <c r="A13344" s="83"/>
      <c r="H13344" s="83"/>
      <c r="K13344" s="82"/>
      <c r="M13344" s="112"/>
      <c r="N13344" s="84"/>
    </row>
    <row r="13345" spans="1:14" s="2" customFormat="1">
      <c r="A13345" s="83"/>
      <c r="H13345" s="83"/>
      <c r="K13345" s="82"/>
      <c r="M13345" s="112"/>
      <c r="N13345" s="84"/>
    </row>
    <row r="13346" spans="1:14" s="2" customFormat="1">
      <c r="A13346" s="83"/>
      <c r="H13346" s="83"/>
      <c r="K13346" s="82"/>
      <c r="M13346" s="112"/>
      <c r="N13346" s="84"/>
    </row>
    <row r="13347" spans="1:14" s="2" customFormat="1">
      <c r="A13347" s="83"/>
      <c r="H13347" s="83"/>
      <c r="K13347" s="82"/>
      <c r="M13347" s="112"/>
      <c r="N13347" s="84"/>
    </row>
    <row r="13348" spans="1:14" s="2" customFormat="1">
      <c r="A13348" s="83"/>
      <c r="H13348" s="83"/>
      <c r="K13348" s="82"/>
      <c r="M13348" s="112"/>
      <c r="N13348" s="84"/>
    </row>
    <row r="13349" spans="1:14" s="2" customFormat="1">
      <c r="A13349" s="83"/>
      <c r="H13349" s="83"/>
      <c r="K13349" s="82"/>
      <c r="M13349" s="112"/>
      <c r="N13349" s="84"/>
    </row>
    <row r="13350" spans="1:14" s="2" customFormat="1">
      <c r="A13350" s="83"/>
      <c r="H13350" s="83"/>
      <c r="K13350" s="82"/>
      <c r="M13350" s="112"/>
      <c r="N13350" s="84"/>
    </row>
    <row r="13351" spans="1:14" s="2" customFormat="1">
      <c r="A13351" s="83"/>
      <c r="H13351" s="83"/>
      <c r="K13351" s="82"/>
      <c r="M13351" s="112"/>
      <c r="N13351" s="84"/>
    </row>
    <row r="13352" spans="1:14" s="2" customFormat="1">
      <c r="A13352" s="83"/>
      <c r="H13352" s="83"/>
      <c r="K13352" s="82"/>
      <c r="M13352" s="112"/>
      <c r="N13352" s="84"/>
    </row>
    <row r="13353" spans="1:14" s="2" customFormat="1">
      <c r="A13353" s="83"/>
      <c r="H13353" s="83"/>
      <c r="K13353" s="82"/>
      <c r="M13353" s="112"/>
      <c r="N13353" s="84"/>
    </row>
    <row r="13354" spans="1:14" s="2" customFormat="1">
      <c r="A13354" s="83"/>
      <c r="H13354" s="83"/>
      <c r="K13354" s="82"/>
      <c r="M13354" s="112"/>
      <c r="N13354" s="84"/>
    </row>
    <row r="13355" spans="1:14" s="2" customFormat="1">
      <c r="A13355" s="83"/>
      <c r="H13355" s="83"/>
      <c r="K13355" s="82"/>
      <c r="M13355" s="112"/>
      <c r="N13355" s="84"/>
    </row>
    <row r="13356" spans="1:14" s="2" customFormat="1">
      <c r="A13356" s="83"/>
      <c r="H13356" s="83"/>
      <c r="K13356" s="82"/>
      <c r="M13356" s="112"/>
      <c r="N13356" s="84"/>
    </row>
    <row r="13357" spans="1:14" s="2" customFormat="1">
      <c r="A13357" s="83"/>
      <c r="H13357" s="83"/>
      <c r="K13357" s="82"/>
      <c r="M13357" s="112"/>
      <c r="N13357" s="84"/>
    </row>
    <row r="13358" spans="1:14" s="2" customFormat="1">
      <c r="A13358" s="83"/>
      <c r="H13358" s="83"/>
      <c r="K13358" s="82"/>
      <c r="M13358" s="112"/>
      <c r="N13358" s="84"/>
    </row>
    <row r="13359" spans="1:14" s="2" customFormat="1">
      <c r="A13359" s="83"/>
      <c r="H13359" s="83"/>
      <c r="K13359" s="82"/>
      <c r="M13359" s="112"/>
      <c r="N13359" s="84"/>
    </row>
    <row r="13360" spans="1:14" s="2" customFormat="1">
      <c r="A13360" s="83"/>
      <c r="H13360" s="83"/>
      <c r="K13360" s="82"/>
      <c r="M13360" s="112"/>
      <c r="N13360" s="84"/>
    </row>
    <row r="13361" spans="1:14" s="2" customFormat="1">
      <c r="A13361" s="83"/>
      <c r="H13361" s="83"/>
      <c r="K13361" s="82"/>
      <c r="M13361" s="112"/>
      <c r="N13361" s="84"/>
    </row>
    <row r="13362" spans="1:14" s="2" customFormat="1">
      <c r="A13362" s="83"/>
      <c r="H13362" s="83"/>
      <c r="K13362" s="82"/>
      <c r="M13362" s="112"/>
      <c r="N13362" s="84"/>
    </row>
    <row r="13363" spans="1:14" s="2" customFormat="1">
      <c r="A13363" s="83"/>
      <c r="H13363" s="83"/>
      <c r="K13363" s="82"/>
      <c r="M13363" s="112"/>
      <c r="N13363" s="84"/>
    </row>
    <row r="13364" spans="1:14" s="2" customFormat="1">
      <c r="A13364" s="83"/>
      <c r="H13364" s="83"/>
      <c r="K13364" s="82"/>
      <c r="M13364" s="112"/>
      <c r="N13364" s="84"/>
    </row>
    <row r="13365" spans="1:14" s="2" customFormat="1">
      <c r="A13365" s="83"/>
      <c r="H13365" s="83"/>
      <c r="K13365" s="82"/>
      <c r="M13365" s="112"/>
      <c r="N13365" s="84"/>
    </row>
    <row r="13366" spans="1:14" s="2" customFormat="1">
      <c r="A13366" s="83"/>
      <c r="H13366" s="83"/>
      <c r="K13366" s="82"/>
      <c r="M13366" s="112"/>
      <c r="N13366" s="84"/>
    </row>
    <row r="13367" spans="1:14" s="2" customFormat="1">
      <c r="A13367" s="83"/>
      <c r="H13367" s="83"/>
      <c r="K13367" s="82"/>
      <c r="M13367" s="112"/>
      <c r="N13367" s="84"/>
    </row>
    <row r="13368" spans="1:14" s="2" customFormat="1">
      <c r="A13368" s="83"/>
      <c r="H13368" s="83"/>
      <c r="K13368" s="82"/>
      <c r="M13368" s="112"/>
      <c r="N13368" s="84"/>
    </row>
    <row r="13369" spans="1:14" s="2" customFormat="1">
      <c r="A13369" s="83"/>
      <c r="H13369" s="83"/>
      <c r="K13369" s="82"/>
      <c r="M13369" s="112"/>
      <c r="N13369" s="84"/>
    </row>
    <row r="13370" spans="1:14" s="2" customFormat="1">
      <c r="A13370" s="83"/>
      <c r="H13370" s="83"/>
      <c r="K13370" s="82"/>
      <c r="M13370" s="112"/>
      <c r="N13370" s="84"/>
    </row>
    <row r="13371" spans="1:14" s="2" customFormat="1">
      <c r="A13371" s="83"/>
      <c r="H13371" s="83"/>
      <c r="K13371" s="82"/>
      <c r="M13371" s="112"/>
      <c r="N13371" s="84"/>
    </row>
    <row r="13372" spans="1:14" s="2" customFormat="1">
      <c r="A13372" s="83"/>
      <c r="H13372" s="83"/>
      <c r="K13372" s="82"/>
      <c r="M13372" s="112"/>
      <c r="N13372" s="84"/>
    </row>
    <row r="13373" spans="1:14" s="2" customFormat="1">
      <c r="A13373" s="83"/>
      <c r="H13373" s="83"/>
      <c r="K13373" s="82"/>
      <c r="M13373" s="112"/>
      <c r="N13373" s="84"/>
    </row>
    <row r="13374" spans="1:14" s="2" customFormat="1">
      <c r="A13374" s="83"/>
      <c r="H13374" s="83"/>
      <c r="K13374" s="82"/>
      <c r="M13374" s="112"/>
      <c r="N13374" s="84"/>
    </row>
    <row r="13375" spans="1:14" s="2" customFormat="1">
      <c r="A13375" s="83"/>
      <c r="H13375" s="83"/>
      <c r="K13375" s="82"/>
      <c r="M13375" s="112"/>
      <c r="N13375" s="84"/>
    </row>
    <row r="13376" spans="1:14" s="2" customFormat="1">
      <c r="A13376" s="83"/>
      <c r="H13376" s="83"/>
      <c r="K13376" s="82"/>
      <c r="M13376" s="112"/>
      <c r="N13376" s="84"/>
    </row>
    <row r="13377" spans="1:14" s="2" customFormat="1">
      <c r="A13377" s="83"/>
      <c r="H13377" s="83"/>
      <c r="K13377" s="82"/>
      <c r="M13377" s="112"/>
      <c r="N13377" s="84"/>
    </row>
    <row r="13378" spans="1:14" s="2" customFormat="1">
      <c r="A13378" s="83"/>
      <c r="H13378" s="83"/>
      <c r="K13378" s="82"/>
      <c r="M13378" s="112"/>
      <c r="N13378" s="84"/>
    </row>
    <row r="13379" spans="1:14" s="2" customFormat="1">
      <c r="A13379" s="83"/>
      <c r="H13379" s="83"/>
      <c r="K13379" s="82"/>
      <c r="M13379" s="112"/>
      <c r="N13379" s="84"/>
    </row>
    <row r="13380" spans="1:14" s="2" customFormat="1">
      <c r="A13380" s="83"/>
      <c r="H13380" s="83"/>
      <c r="K13380" s="82"/>
      <c r="M13380" s="112"/>
      <c r="N13380" s="84"/>
    </row>
    <row r="13381" spans="1:14" s="2" customFormat="1">
      <c r="A13381" s="83"/>
      <c r="H13381" s="83"/>
      <c r="K13381" s="82"/>
      <c r="M13381" s="112"/>
      <c r="N13381" s="84"/>
    </row>
    <row r="13382" spans="1:14" s="2" customFormat="1">
      <c r="A13382" s="83"/>
      <c r="H13382" s="83"/>
      <c r="K13382" s="82"/>
      <c r="M13382" s="112"/>
      <c r="N13382" s="84"/>
    </row>
    <row r="13383" spans="1:14" s="2" customFormat="1">
      <c r="A13383" s="83"/>
      <c r="H13383" s="83"/>
      <c r="K13383" s="82"/>
      <c r="M13383" s="112"/>
      <c r="N13383" s="84"/>
    </row>
    <row r="13384" spans="1:14" s="2" customFormat="1">
      <c r="A13384" s="83"/>
      <c r="H13384" s="83"/>
      <c r="K13384" s="82"/>
      <c r="M13384" s="112"/>
      <c r="N13384" s="84"/>
    </row>
    <row r="13385" spans="1:14" s="2" customFormat="1">
      <c r="A13385" s="83"/>
      <c r="H13385" s="83"/>
      <c r="K13385" s="82"/>
      <c r="M13385" s="112"/>
      <c r="N13385" s="84"/>
    </row>
    <row r="13386" spans="1:14" s="2" customFormat="1">
      <c r="A13386" s="83"/>
      <c r="H13386" s="83"/>
      <c r="K13386" s="82"/>
      <c r="M13386" s="112"/>
      <c r="N13386" s="84"/>
    </row>
    <row r="13387" spans="1:14" s="2" customFormat="1">
      <c r="A13387" s="83"/>
      <c r="H13387" s="83"/>
      <c r="K13387" s="82"/>
      <c r="M13387" s="112"/>
      <c r="N13387" s="84"/>
    </row>
    <row r="13388" spans="1:14" s="2" customFormat="1">
      <c r="A13388" s="83"/>
      <c r="H13388" s="83"/>
      <c r="K13388" s="82"/>
      <c r="M13388" s="112"/>
      <c r="N13388" s="84"/>
    </row>
    <row r="13389" spans="1:14" s="2" customFormat="1">
      <c r="A13389" s="83"/>
      <c r="H13389" s="83"/>
      <c r="K13389" s="82"/>
      <c r="M13389" s="112"/>
      <c r="N13389" s="84"/>
    </row>
    <row r="13390" spans="1:14" s="2" customFormat="1">
      <c r="A13390" s="83"/>
      <c r="H13390" s="83"/>
      <c r="K13390" s="82"/>
      <c r="M13390" s="112"/>
      <c r="N13390" s="84"/>
    </row>
    <row r="13391" spans="1:14" s="2" customFormat="1">
      <c r="A13391" s="83"/>
      <c r="H13391" s="83"/>
      <c r="K13391" s="82"/>
      <c r="M13391" s="112"/>
      <c r="N13391" s="84"/>
    </row>
    <row r="13392" spans="1:14" s="2" customFormat="1">
      <c r="A13392" s="83"/>
      <c r="H13392" s="83"/>
      <c r="K13392" s="82"/>
      <c r="M13392" s="112"/>
      <c r="N13392" s="84"/>
    </row>
    <row r="13393" spans="1:14" s="2" customFormat="1">
      <c r="A13393" s="83"/>
      <c r="H13393" s="83"/>
      <c r="K13393" s="82"/>
      <c r="M13393" s="112"/>
      <c r="N13393" s="84"/>
    </row>
    <row r="13394" spans="1:14" s="2" customFormat="1">
      <c r="A13394" s="83"/>
      <c r="H13394" s="83"/>
      <c r="K13394" s="82"/>
      <c r="M13394" s="112"/>
      <c r="N13394" s="84"/>
    </row>
    <row r="13395" spans="1:14" s="2" customFormat="1">
      <c r="A13395" s="83"/>
      <c r="H13395" s="83"/>
      <c r="K13395" s="82"/>
      <c r="M13395" s="112"/>
      <c r="N13395" s="84"/>
    </row>
    <row r="13396" spans="1:14" s="2" customFormat="1">
      <c r="A13396" s="83"/>
      <c r="H13396" s="83"/>
      <c r="K13396" s="82"/>
      <c r="M13396" s="112"/>
      <c r="N13396" s="84"/>
    </row>
    <row r="13397" spans="1:14" s="2" customFormat="1">
      <c r="A13397" s="83"/>
      <c r="H13397" s="83"/>
      <c r="K13397" s="82"/>
      <c r="M13397" s="112"/>
      <c r="N13397" s="84"/>
    </row>
    <row r="13398" spans="1:14" s="2" customFormat="1">
      <c r="A13398" s="83"/>
      <c r="H13398" s="83"/>
      <c r="K13398" s="82"/>
      <c r="M13398" s="112"/>
      <c r="N13398" s="84"/>
    </row>
    <row r="13399" spans="1:14" s="2" customFormat="1">
      <c r="A13399" s="83"/>
      <c r="H13399" s="83"/>
      <c r="K13399" s="82"/>
      <c r="M13399" s="112"/>
      <c r="N13399" s="84"/>
    </row>
    <row r="13400" spans="1:14" s="2" customFormat="1">
      <c r="A13400" s="83"/>
      <c r="H13400" s="83"/>
      <c r="K13400" s="82"/>
      <c r="M13400" s="112"/>
      <c r="N13400" s="84"/>
    </row>
    <row r="13401" spans="1:14" s="2" customFormat="1">
      <c r="A13401" s="83"/>
      <c r="H13401" s="83"/>
      <c r="K13401" s="82"/>
      <c r="M13401" s="112"/>
      <c r="N13401" s="84"/>
    </row>
    <row r="13402" spans="1:14" s="2" customFormat="1">
      <c r="A13402" s="83"/>
      <c r="H13402" s="83"/>
      <c r="K13402" s="82"/>
      <c r="M13402" s="112"/>
      <c r="N13402" s="84"/>
    </row>
    <row r="13403" spans="1:14" s="2" customFormat="1">
      <c r="A13403" s="83"/>
      <c r="H13403" s="83"/>
      <c r="K13403" s="82"/>
      <c r="M13403" s="112"/>
      <c r="N13403" s="84"/>
    </row>
    <row r="13404" spans="1:14" s="2" customFormat="1">
      <c r="A13404" s="83"/>
      <c r="H13404" s="83"/>
      <c r="K13404" s="82"/>
      <c r="M13404" s="112"/>
      <c r="N13404" s="84"/>
    </row>
    <row r="13405" spans="1:14" s="2" customFormat="1">
      <c r="A13405" s="83"/>
      <c r="H13405" s="83"/>
      <c r="K13405" s="82"/>
      <c r="M13405" s="112"/>
      <c r="N13405" s="84"/>
    </row>
    <row r="13406" spans="1:14" s="2" customFormat="1">
      <c r="A13406" s="83"/>
      <c r="H13406" s="83"/>
      <c r="K13406" s="82"/>
      <c r="M13406" s="112"/>
      <c r="N13406" s="84"/>
    </row>
    <row r="13407" spans="1:14" s="2" customFormat="1">
      <c r="A13407" s="83"/>
      <c r="H13407" s="83"/>
      <c r="K13407" s="82"/>
      <c r="M13407" s="112"/>
      <c r="N13407" s="84"/>
    </row>
    <row r="13408" spans="1:14" s="2" customFormat="1">
      <c r="A13408" s="83"/>
      <c r="H13408" s="83"/>
      <c r="K13408" s="82"/>
      <c r="M13408" s="112"/>
      <c r="N13408" s="84"/>
    </row>
    <row r="13409" spans="1:14" s="2" customFormat="1">
      <c r="A13409" s="83"/>
      <c r="H13409" s="83"/>
      <c r="K13409" s="82"/>
      <c r="M13409" s="112"/>
      <c r="N13409" s="84"/>
    </row>
    <row r="13410" spans="1:14" s="2" customFormat="1">
      <c r="A13410" s="83"/>
      <c r="H13410" s="83"/>
      <c r="K13410" s="82"/>
      <c r="M13410" s="112"/>
      <c r="N13410" s="84"/>
    </row>
    <row r="13411" spans="1:14" s="2" customFormat="1">
      <c r="A13411" s="83"/>
      <c r="H13411" s="83"/>
      <c r="K13411" s="82"/>
      <c r="M13411" s="112"/>
      <c r="N13411" s="84"/>
    </row>
    <row r="13412" spans="1:14" s="2" customFormat="1">
      <c r="A13412" s="83"/>
      <c r="H13412" s="83"/>
      <c r="K13412" s="82"/>
      <c r="M13412" s="112"/>
      <c r="N13412" s="84"/>
    </row>
    <row r="13413" spans="1:14" s="2" customFormat="1">
      <c r="A13413" s="83"/>
      <c r="H13413" s="83"/>
      <c r="K13413" s="82"/>
      <c r="M13413" s="112"/>
      <c r="N13413" s="84"/>
    </row>
    <row r="13414" spans="1:14" s="2" customFormat="1">
      <c r="A13414" s="83"/>
      <c r="H13414" s="83"/>
      <c r="K13414" s="82"/>
      <c r="M13414" s="112"/>
      <c r="N13414" s="84"/>
    </row>
    <row r="13415" spans="1:14" s="2" customFormat="1">
      <c r="A13415" s="83"/>
      <c r="H13415" s="83"/>
      <c r="K13415" s="82"/>
      <c r="M13415" s="112"/>
      <c r="N13415" s="84"/>
    </row>
    <row r="13416" spans="1:14" s="2" customFormat="1">
      <c r="A13416" s="83"/>
      <c r="H13416" s="83"/>
      <c r="K13416" s="82"/>
      <c r="M13416" s="112"/>
      <c r="N13416" s="84"/>
    </row>
    <row r="13417" spans="1:14" s="2" customFormat="1">
      <c r="A13417" s="83"/>
      <c r="H13417" s="83"/>
      <c r="K13417" s="82"/>
      <c r="M13417" s="112"/>
      <c r="N13417" s="84"/>
    </row>
    <row r="13418" spans="1:14" s="2" customFormat="1">
      <c r="A13418" s="83"/>
      <c r="H13418" s="83"/>
      <c r="K13418" s="82"/>
      <c r="M13418" s="112"/>
      <c r="N13418" s="84"/>
    </row>
    <row r="13419" spans="1:14" s="2" customFormat="1">
      <c r="A13419" s="83"/>
      <c r="H13419" s="83"/>
      <c r="K13419" s="82"/>
      <c r="M13419" s="112"/>
      <c r="N13419" s="84"/>
    </row>
    <row r="13420" spans="1:14" s="2" customFormat="1">
      <c r="A13420" s="83"/>
      <c r="H13420" s="83"/>
      <c r="K13420" s="82"/>
      <c r="M13420" s="112"/>
      <c r="N13420" s="84"/>
    </row>
    <row r="13421" spans="1:14" s="2" customFormat="1">
      <c r="A13421" s="83"/>
      <c r="H13421" s="83"/>
      <c r="K13421" s="82"/>
      <c r="M13421" s="112"/>
      <c r="N13421" s="84"/>
    </row>
    <row r="13422" spans="1:14" s="2" customFormat="1">
      <c r="A13422" s="83"/>
      <c r="H13422" s="83"/>
      <c r="K13422" s="82"/>
      <c r="M13422" s="112"/>
      <c r="N13422" s="84"/>
    </row>
    <row r="13423" spans="1:14" s="2" customFormat="1">
      <c r="A13423" s="83"/>
      <c r="H13423" s="83"/>
      <c r="K13423" s="82"/>
      <c r="M13423" s="112"/>
      <c r="N13423" s="84"/>
    </row>
    <row r="13424" spans="1:14" s="2" customFormat="1">
      <c r="A13424" s="83"/>
      <c r="H13424" s="83"/>
      <c r="K13424" s="82"/>
      <c r="M13424" s="112"/>
      <c r="N13424" s="84"/>
    </row>
    <row r="13425" spans="1:14" s="2" customFormat="1">
      <c r="A13425" s="83"/>
      <c r="H13425" s="83"/>
      <c r="K13425" s="82"/>
      <c r="M13425" s="112"/>
      <c r="N13425" s="84"/>
    </row>
    <row r="13426" spans="1:14" s="2" customFormat="1">
      <c r="A13426" s="83"/>
      <c r="H13426" s="83"/>
      <c r="K13426" s="82"/>
      <c r="M13426" s="112"/>
      <c r="N13426" s="84"/>
    </row>
    <row r="13427" spans="1:14" s="2" customFormat="1">
      <c r="A13427" s="83"/>
      <c r="H13427" s="83"/>
      <c r="K13427" s="82"/>
      <c r="M13427" s="112"/>
      <c r="N13427" s="84"/>
    </row>
    <row r="13428" spans="1:14" s="2" customFormat="1">
      <c r="A13428" s="83"/>
      <c r="H13428" s="83"/>
      <c r="K13428" s="82"/>
      <c r="M13428" s="112"/>
      <c r="N13428" s="84"/>
    </row>
    <row r="13429" spans="1:14" s="2" customFormat="1">
      <c r="A13429" s="83"/>
      <c r="H13429" s="83"/>
      <c r="K13429" s="82"/>
      <c r="M13429" s="112"/>
      <c r="N13429" s="84"/>
    </row>
    <row r="13430" spans="1:14" s="2" customFormat="1">
      <c r="A13430" s="83"/>
      <c r="H13430" s="83"/>
      <c r="K13430" s="82"/>
      <c r="M13430" s="112"/>
      <c r="N13430" s="84"/>
    </row>
    <row r="13431" spans="1:14" s="2" customFormat="1">
      <c r="A13431" s="83"/>
      <c r="H13431" s="83"/>
      <c r="K13431" s="82"/>
      <c r="M13431" s="112"/>
      <c r="N13431" s="84"/>
    </row>
    <row r="13432" spans="1:14" s="2" customFormat="1">
      <c r="A13432" s="83"/>
      <c r="H13432" s="83"/>
      <c r="K13432" s="82"/>
      <c r="M13432" s="112"/>
      <c r="N13432" s="84"/>
    </row>
    <row r="13433" spans="1:14" s="2" customFormat="1">
      <c r="A13433" s="83"/>
      <c r="H13433" s="83"/>
      <c r="K13433" s="82"/>
      <c r="M13433" s="112"/>
      <c r="N13433" s="84"/>
    </row>
    <row r="13434" spans="1:14" s="2" customFormat="1">
      <c r="A13434" s="83"/>
      <c r="H13434" s="83"/>
      <c r="K13434" s="82"/>
      <c r="M13434" s="112"/>
      <c r="N13434" s="84"/>
    </row>
    <row r="13435" spans="1:14" s="2" customFormat="1">
      <c r="A13435" s="83"/>
      <c r="H13435" s="83"/>
      <c r="K13435" s="82"/>
      <c r="M13435" s="112"/>
      <c r="N13435" s="84"/>
    </row>
    <row r="13436" spans="1:14" s="2" customFormat="1">
      <c r="A13436" s="83"/>
      <c r="H13436" s="83"/>
      <c r="K13436" s="82"/>
      <c r="M13436" s="112"/>
      <c r="N13436" s="84"/>
    </row>
    <row r="13437" spans="1:14" s="2" customFormat="1">
      <c r="A13437" s="83"/>
      <c r="H13437" s="83"/>
      <c r="K13437" s="82"/>
      <c r="M13437" s="112"/>
      <c r="N13437" s="84"/>
    </row>
    <row r="13438" spans="1:14" s="2" customFormat="1">
      <c r="A13438" s="83"/>
      <c r="H13438" s="83"/>
      <c r="K13438" s="82"/>
      <c r="M13438" s="112"/>
      <c r="N13438" s="84"/>
    </row>
    <row r="13439" spans="1:14" s="2" customFormat="1">
      <c r="A13439" s="83"/>
      <c r="H13439" s="83"/>
      <c r="K13439" s="82"/>
      <c r="M13439" s="112"/>
      <c r="N13439" s="84"/>
    </row>
    <row r="13440" spans="1:14" s="2" customFormat="1">
      <c r="A13440" s="83"/>
      <c r="H13440" s="83"/>
      <c r="K13440" s="82"/>
      <c r="M13440" s="112"/>
      <c r="N13440" s="84"/>
    </row>
    <row r="13441" spans="1:14" s="2" customFormat="1">
      <c r="A13441" s="83"/>
      <c r="H13441" s="83"/>
      <c r="K13441" s="82"/>
      <c r="M13441" s="112"/>
      <c r="N13441" s="84"/>
    </row>
    <row r="13442" spans="1:14" s="2" customFormat="1">
      <c r="A13442" s="83"/>
      <c r="H13442" s="83"/>
      <c r="K13442" s="82"/>
      <c r="M13442" s="112"/>
      <c r="N13442" s="84"/>
    </row>
    <row r="13443" spans="1:14" s="2" customFormat="1">
      <c r="A13443" s="83"/>
      <c r="H13443" s="83"/>
      <c r="K13443" s="82"/>
      <c r="M13443" s="112"/>
      <c r="N13443" s="84"/>
    </row>
    <row r="13444" spans="1:14" s="2" customFormat="1">
      <c r="A13444" s="83"/>
      <c r="H13444" s="83"/>
      <c r="K13444" s="82"/>
      <c r="M13444" s="112"/>
      <c r="N13444" s="84"/>
    </row>
    <row r="13445" spans="1:14" s="2" customFormat="1">
      <c r="A13445" s="83"/>
      <c r="H13445" s="83"/>
      <c r="K13445" s="82"/>
      <c r="M13445" s="112"/>
      <c r="N13445" s="84"/>
    </row>
    <row r="13446" spans="1:14" s="2" customFormat="1">
      <c r="A13446" s="83"/>
      <c r="H13446" s="83"/>
      <c r="K13446" s="82"/>
      <c r="M13446" s="112"/>
      <c r="N13446" s="84"/>
    </row>
    <row r="13447" spans="1:14" s="2" customFormat="1">
      <c r="A13447" s="83"/>
      <c r="H13447" s="83"/>
      <c r="K13447" s="82"/>
      <c r="M13447" s="112"/>
      <c r="N13447" s="84"/>
    </row>
    <row r="13448" spans="1:14" s="2" customFormat="1">
      <c r="A13448" s="83"/>
      <c r="H13448" s="83"/>
      <c r="K13448" s="82"/>
      <c r="M13448" s="112"/>
      <c r="N13448" s="84"/>
    </row>
    <row r="13449" spans="1:14" s="2" customFormat="1">
      <c r="A13449" s="83"/>
      <c r="H13449" s="83"/>
      <c r="K13449" s="82"/>
      <c r="M13449" s="112"/>
      <c r="N13449" s="84"/>
    </row>
    <row r="13450" spans="1:14" s="2" customFormat="1">
      <c r="A13450" s="83"/>
      <c r="H13450" s="83"/>
      <c r="K13450" s="82"/>
      <c r="M13450" s="112"/>
      <c r="N13450" s="84"/>
    </row>
    <row r="13451" spans="1:14" s="2" customFormat="1">
      <c r="A13451" s="83"/>
      <c r="H13451" s="83"/>
      <c r="K13451" s="82"/>
      <c r="M13451" s="112"/>
      <c r="N13451" s="84"/>
    </row>
    <row r="13452" spans="1:14" s="2" customFormat="1">
      <c r="A13452" s="83"/>
      <c r="H13452" s="83"/>
      <c r="K13452" s="82"/>
      <c r="M13452" s="112"/>
      <c r="N13452" s="84"/>
    </row>
    <row r="13453" spans="1:14" s="2" customFormat="1">
      <c r="A13453" s="83"/>
      <c r="H13453" s="83"/>
      <c r="K13453" s="82"/>
      <c r="M13453" s="112"/>
      <c r="N13453" s="84"/>
    </row>
    <row r="13454" spans="1:14" s="2" customFormat="1">
      <c r="A13454" s="83"/>
      <c r="H13454" s="83"/>
      <c r="K13454" s="82"/>
      <c r="M13454" s="112"/>
      <c r="N13454" s="84"/>
    </row>
    <row r="13455" spans="1:14" s="2" customFormat="1">
      <c r="A13455" s="83"/>
      <c r="H13455" s="83"/>
      <c r="K13455" s="82"/>
      <c r="M13455" s="112"/>
      <c r="N13455" s="84"/>
    </row>
    <row r="13456" spans="1:14" s="2" customFormat="1">
      <c r="A13456" s="83"/>
      <c r="H13456" s="83"/>
      <c r="K13456" s="82"/>
      <c r="M13456" s="112"/>
      <c r="N13456" s="84"/>
    </row>
    <row r="13457" spans="1:14" s="2" customFormat="1">
      <c r="A13457" s="83"/>
      <c r="H13457" s="83"/>
      <c r="K13457" s="82"/>
      <c r="M13457" s="112"/>
      <c r="N13457" s="84"/>
    </row>
    <row r="13458" spans="1:14" s="2" customFormat="1">
      <c r="A13458" s="83"/>
      <c r="H13458" s="83"/>
      <c r="K13458" s="82"/>
      <c r="M13458" s="112"/>
      <c r="N13458" s="84"/>
    </row>
    <row r="13459" spans="1:14" s="2" customFormat="1">
      <c r="A13459" s="83"/>
      <c r="H13459" s="83"/>
      <c r="K13459" s="82"/>
      <c r="M13459" s="112"/>
      <c r="N13459" s="84"/>
    </row>
    <row r="13460" spans="1:14" s="2" customFormat="1">
      <c r="A13460" s="83"/>
      <c r="H13460" s="83"/>
      <c r="K13460" s="82"/>
      <c r="M13460" s="112"/>
      <c r="N13460" s="84"/>
    </row>
    <row r="13461" spans="1:14" s="2" customFormat="1">
      <c r="A13461" s="83"/>
      <c r="H13461" s="83"/>
      <c r="K13461" s="82"/>
      <c r="M13461" s="112"/>
      <c r="N13461" s="84"/>
    </row>
    <row r="13462" spans="1:14" s="2" customFormat="1">
      <c r="A13462" s="83"/>
      <c r="H13462" s="83"/>
      <c r="K13462" s="82"/>
      <c r="M13462" s="112"/>
      <c r="N13462" s="84"/>
    </row>
    <row r="13463" spans="1:14" s="2" customFormat="1">
      <c r="A13463" s="83"/>
      <c r="H13463" s="83"/>
      <c r="K13463" s="82"/>
      <c r="M13463" s="112"/>
      <c r="N13463" s="84"/>
    </row>
    <row r="13464" spans="1:14" s="2" customFormat="1">
      <c r="A13464" s="83"/>
      <c r="H13464" s="83"/>
      <c r="K13464" s="82"/>
      <c r="M13464" s="112"/>
      <c r="N13464" s="84"/>
    </row>
    <row r="13465" spans="1:14" s="2" customFormat="1">
      <c r="A13465" s="83"/>
      <c r="H13465" s="83"/>
      <c r="K13465" s="82"/>
      <c r="M13465" s="112"/>
      <c r="N13465" s="84"/>
    </row>
    <row r="13466" spans="1:14" s="2" customFormat="1">
      <c r="A13466" s="83"/>
      <c r="H13466" s="83"/>
      <c r="K13466" s="82"/>
      <c r="M13466" s="112"/>
      <c r="N13466" s="84"/>
    </row>
    <row r="13467" spans="1:14" s="2" customFormat="1">
      <c r="A13467" s="83"/>
      <c r="H13467" s="83"/>
      <c r="K13467" s="82"/>
      <c r="M13467" s="112"/>
      <c r="N13467" s="84"/>
    </row>
    <row r="13468" spans="1:14" s="2" customFormat="1">
      <c r="A13468" s="83"/>
      <c r="H13468" s="83"/>
      <c r="K13468" s="82"/>
      <c r="M13468" s="112"/>
      <c r="N13468" s="84"/>
    </row>
    <row r="13469" spans="1:14" s="2" customFormat="1">
      <c r="A13469" s="83"/>
      <c r="H13469" s="83"/>
      <c r="K13469" s="82"/>
      <c r="M13469" s="112"/>
      <c r="N13469" s="84"/>
    </row>
    <row r="13470" spans="1:14" s="2" customFormat="1">
      <c r="A13470" s="83"/>
      <c r="H13470" s="83"/>
      <c r="K13470" s="82"/>
      <c r="M13470" s="112"/>
      <c r="N13470" s="84"/>
    </row>
    <row r="13471" spans="1:14" s="2" customFormat="1">
      <c r="A13471" s="83"/>
      <c r="H13471" s="83"/>
      <c r="K13471" s="82"/>
      <c r="M13471" s="112"/>
      <c r="N13471" s="84"/>
    </row>
    <row r="13472" spans="1:14" s="2" customFormat="1">
      <c r="A13472" s="83"/>
      <c r="H13472" s="83"/>
      <c r="K13472" s="82"/>
      <c r="M13472" s="112"/>
      <c r="N13472" s="84"/>
    </row>
    <row r="13473" spans="1:14" s="2" customFormat="1">
      <c r="A13473" s="83"/>
      <c r="H13473" s="83"/>
      <c r="K13473" s="82"/>
      <c r="M13473" s="112"/>
      <c r="N13473" s="84"/>
    </row>
    <row r="13474" spans="1:14" s="2" customFormat="1">
      <c r="A13474" s="83"/>
      <c r="H13474" s="83"/>
      <c r="K13474" s="82"/>
      <c r="M13474" s="112"/>
      <c r="N13474" s="84"/>
    </row>
    <row r="13475" spans="1:14" s="2" customFormat="1">
      <c r="A13475" s="83"/>
      <c r="H13475" s="83"/>
      <c r="K13475" s="82"/>
      <c r="M13475" s="112"/>
      <c r="N13475" s="84"/>
    </row>
    <row r="13476" spans="1:14" s="2" customFormat="1">
      <c r="A13476" s="83"/>
      <c r="H13476" s="83"/>
      <c r="K13476" s="82"/>
      <c r="M13476" s="112"/>
      <c r="N13476" s="84"/>
    </row>
    <row r="13477" spans="1:14" s="2" customFormat="1">
      <c r="A13477" s="83"/>
      <c r="H13477" s="83"/>
      <c r="K13477" s="82"/>
      <c r="M13477" s="112"/>
      <c r="N13477" s="84"/>
    </row>
    <row r="13478" spans="1:14" s="2" customFormat="1">
      <c r="A13478" s="83"/>
      <c r="H13478" s="83"/>
      <c r="K13478" s="82"/>
      <c r="M13478" s="112"/>
      <c r="N13478" s="84"/>
    </row>
    <row r="13479" spans="1:14" s="2" customFormat="1">
      <c r="A13479" s="83"/>
      <c r="H13479" s="83"/>
      <c r="K13479" s="82"/>
      <c r="M13479" s="112"/>
      <c r="N13479" s="84"/>
    </row>
    <row r="13480" spans="1:14" s="2" customFormat="1">
      <c r="A13480" s="83"/>
      <c r="H13480" s="83"/>
      <c r="K13480" s="82"/>
      <c r="M13480" s="112"/>
      <c r="N13480" s="84"/>
    </row>
    <row r="13481" spans="1:14" s="2" customFormat="1">
      <c r="A13481" s="83"/>
      <c r="H13481" s="83"/>
      <c r="K13481" s="82"/>
      <c r="M13481" s="112"/>
      <c r="N13481" s="84"/>
    </row>
    <row r="13482" spans="1:14" s="2" customFormat="1">
      <c r="A13482" s="83"/>
      <c r="H13482" s="83"/>
      <c r="K13482" s="82"/>
      <c r="M13482" s="112"/>
      <c r="N13482" s="84"/>
    </row>
    <row r="13483" spans="1:14" s="2" customFormat="1">
      <c r="A13483" s="83"/>
      <c r="H13483" s="83"/>
      <c r="K13483" s="82"/>
      <c r="M13483" s="112"/>
      <c r="N13483" s="84"/>
    </row>
    <row r="13484" spans="1:14" s="2" customFormat="1">
      <c r="A13484" s="83"/>
      <c r="H13484" s="83"/>
      <c r="K13484" s="82"/>
      <c r="M13484" s="112"/>
      <c r="N13484" s="84"/>
    </row>
    <row r="13485" spans="1:14" s="2" customFormat="1">
      <c r="A13485" s="83"/>
      <c r="H13485" s="83"/>
      <c r="K13485" s="82"/>
      <c r="M13485" s="112"/>
      <c r="N13485" s="84"/>
    </row>
    <row r="13486" spans="1:14" s="2" customFormat="1">
      <c r="A13486" s="83"/>
      <c r="H13486" s="83"/>
      <c r="K13486" s="82"/>
      <c r="M13486" s="112"/>
      <c r="N13486" s="84"/>
    </row>
    <row r="13487" spans="1:14" s="2" customFormat="1">
      <c r="A13487" s="83"/>
      <c r="H13487" s="83"/>
      <c r="K13487" s="82"/>
      <c r="M13487" s="112"/>
      <c r="N13487" s="84"/>
    </row>
    <row r="13488" spans="1:14" s="2" customFormat="1">
      <c r="A13488" s="83"/>
      <c r="H13488" s="83"/>
      <c r="K13488" s="82"/>
      <c r="M13488" s="112"/>
      <c r="N13488" s="84"/>
    </row>
    <row r="13489" spans="1:14" s="2" customFormat="1">
      <c r="A13489" s="83"/>
      <c r="H13489" s="83"/>
      <c r="K13489" s="82"/>
      <c r="M13489" s="112"/>
      <c r="N13489" s="84"/>
    </row>
    <row r="13490" spans="1:14" s="2" customFormat="1">
      <c r="A13490" s="83"/>
      <c r="H13490" s="83"/>
      <c r="K13490" s="82"/>
      <c r="M13490" s="112"/>
      <c r="N13490" s="84"/>
    </row>
    <row r="13491" spans="1:14" s="2" customFormat="1">
      <c r="A13491" s="83"/>
      <c r="H13491" s="83"/>
      <c r="K13491" s="82"/>
      <c r="M13491" s="112"/>
      <c r="N13491" s="84"/>
    </row>
    <row r="13492" spans="1:14" s="2" customFormat="1">
      <c r="A13492" s="83"/>
      <c r="H13492" s="83"/>
      <c r="K13492" s="82"/>
      <c r="M13492" s="112"/>
      <c r="N13492" s="84"/>
    </row>
    <row r="13493" spans="1:14" s="2" customFormat="1">
      <c r="A13493" s="83"/>
      <c r="H13493" s="83"/>
      <c r="K13493" s="82"/>
      <c r="M13493" s="112"/>
      <c r="N13493" s="84"/>
    </row>
    <row r="13494" spans="1:14" s="2" customFormat="1">
      <c r="A13494" s="83"/>
      <c r="H13494" s="83"/>
      <c r="K13494" s="82"/>
      <c r="M13494" s="112"/>
      <c r="N13494" s="84"/>
    </row>
    <row r="13495" spans="1:14" s="2" customFormat="1">
      <c r="A13495" s="83"/>
      <c r="H13495" s="83"/>
      <c r="K13495" s="82"/>
      <c r="M13495" s="112"/>
      <c r="N13495" s="84"/>
    </row>
    <row r="13496" spans="1:14" s="2" customFormat="1">
      <c r="A13496" s="83"/>
      <c r="H13496" s="83"/>
      <c r="K13496" s="82"/>
      <c r="M13496" s="112"/>
      <c r="N13496" s="84"/>
    </row>
    <row r="13497" spans="1:14" s="2" customFormat="1">
      <c r="A13497" s="83"/>
      <c r="H13497" s="83"/>
      <c r="K13497" s="82"/>
      <c r="M13497" s="112"/>
      <c r="N13497" s="84"/>
    </row>
    <row r="13498" spans="1:14" s="2" customFormat="1">
      <c r="A13498" s="83"/>
      <c r="H13498" s="83"/>
      <c r="K13498" s="82"/>
      <c r="M13498" s="112"/>
      <c r="N13498" s="84"/>
    </row>
    <row r="13499" spans="1:14" s="2" customFormat="1">
      <c r="A13499" s="83"/>
      <c r="H13499" s="83"/>
      <c r="K13499" s="82"/>
      <c r="M13499" s="112"/>
      <c r="N13499" s="84"/>
    </row>
    <row r="13500" spans="1:14" s="2" customFormat="1">
      <c r="A13500" s="83"/>
      <c r="H13500" s="83"/>
      <c r="K13500" s="82"/>
      <c r="M13500" s="112"/>
      <c r="N13500" s="84"/>
    </row>
    <row r="13501" spans="1:14" s="2" customFormat="1">
      <c r="A13501" s="83"/>
      <c r="H13501" s="83"/>
      <c r="K13501" s="82"/>
      <c r="M13501" s="112"/>
      <c r="N13501" s="84"/>
    </row>
    <row r="13502" spans="1:14" s="2" customFormat="1">
      <c r="A13502" s="83"/>
      <c r="H13502" s="83"/>
      <c r="K13502" s="82"/>
      <c r="M13502" s="112"/>
      <c r="N13502" s="84"/>
    </row>
    <row r="13503" spans="1:14" s="2" customFormat="1">
      <c r="A13503" s="83"/>
      <c r="H13503" s="83"/>
      <c r="K13503" s="82"/>
      <c r="M13503" s="112"/>
      <c r="N13503" s="84"/>
    </row>
    <row r="13504" spans="1:14" s="2" customFormat="1">
      <c r="A13504" s="83"/>
      <c r="H13504" s="83"/>
      <c r="K13504" s="82"/>
      <c r="M13504" s="112"/>
      <c r="N13504" s="84"/>
    </row>
    <row r="13505" spans="1:14" s="2" customFormat="1">
      <c r="A13505" s="83"/>
      <c r="H13505" s="83"/>
      <c r="K13505" s="82"/>
      <c r="M13505" s="112"/>
      <c r="N13505" s="84"/>
    </row>
    <row r="13506" spans="1:14" s="2" customFormat="1">
      <c r="A13506" s="83"/>
      <c r="H13506" s="83"/>
      <c r="K13506" s="82"/>
      <c r="M13506" s="112"/>
      <c r="N13506" s="84"/>
    </row>
    <row r="13507" spans="1:14" s="2" customFormat="1">
      <c r="A13507" s="83"/>
      <c r="H13507" s="83"/>
      <c r="K13507" s="82"/>
      <c r="M13507" s="112"/>
      <c r="N13507" s="84"/>
    </row>
    <row r="13508" spans="1:14" s="2" customFormat="1">
      <c r="A13508" s="83"/>
      <c r="H13508" s="83"/>
      <c r="K13508" s="82"/>
      <c r="M13508" s="112"/>
      <c r="N13508" s="84"/>
    </row>
    <row r="13509" spans="1:14" s="2" customFormat="1">
      <c r="A13509" s="83"/>
      <c r="H13509" s="83"/>
      <c r="K13509" s="82"/>
      <c r="M13509" s="112"/>
      <c r="N13509" s="84"/>
    </row>
    <row r="13510" spans="1:14" s="2" customFormat="1">
      <c r="A13510" s="83"/>
      <c r="H13510" s="83"/>
      <c r="K13510" s="82"/>
      <c r="M13510" s="112"/>
      <c r="N13510" s="84"/>
    </row>
    <row r="13511" spans="1:14" s="2" customFormat="1">
      <c r="A13511" s="83"/>
      <c r="H13511" s="83"/>
      <c r="K13511" s="82"/>
      <c r="M13511" s="112"/>
      <c r="N13511" s="84"/>
    </row>
    <row r="13512" spans="1:14" s="2" customFormat="1">
      <c r="A13512" s="83"/>
      <c r="H13512" s="83"/>
      <c r="K13512" s="82"/>
      <c r="M13512" s="112"/>
      <c r="N13512" s="84"/>
    </row>
    <row r="13513" spans="1:14" s="2" customFormat="1">
      <c r="A13513" s="83"/>
      <c r="H13513" s="83"/>
      <c r="K13513" s="82"/>
      <c r="M13513" s="112"/>
      <c r="N13513" s="84"/>
    </row>
    <row r="13514" spans="1:14" s="2" customFormat="1">
      <c r="A13514" s="83"/>
      <c r="H13514" s="83"/>
      <c r="K13514" s="82"/>
      <c r="M13514" s="112"/>
      <c r="N13514" s="84"/>
    </row>
    <row r="13515" spans="1:14" s="2" customFormat="1">
      <c r="A13515" s="83"/>
      <c r="H13515" s="83"/>
      <c r="K13515" s="82"/>
      <c r="M13515" s="112"/>
      <c r="N13515" s="84"/>
    </row>
    <row r="13516" spans="1:14" s="2" customFormat="1">
      <c r="A13516" s="83"/>
      <c r="H13516" s="83"/>
      <c r="K13516" s="82"/>
      <c r="M13516" s="112"/>
      <c r="N13516" s="84"/>
    </row>
    <row r="13517" spans="1:14" s="2" customFormat="1">
      <c r="A13517" s="83"/>
      <c r="H13517" s="83"/>
      <c r="K13517" s="82"/>
      <c r="M13517" s="112"/>
      <c r="N13517" s="84"/>
    </row>
    <row r="13518" spans="1:14" s="2" customFormat="1">
      <c r="A13518" s="83"/>
      <c r="H13518" s="83"/>
      <c r="K13518" s="82"/>
      <c r="M13518" s="112"/>
      <c r="N13518" s="84"/>
    </row>
    <row r="13519" spans="1:14" s="2" customFormat="1">
      <c r="A13519" s="83"/>
      <c r="H13519" s="83"/>
      <c r="K13519" s="82"/>
      <c r="M13519" s="112"/>
      <c r="N13519" s="84"/>
    </row>
    <row r="13520" spans="1:14" s="2" customFormat="1">
      <c r="A13520" s="83"/>
      <c r="H13520" s="83"/>
      <c r="K13520" s="82"/>
      <c r="M13520" s="112"/>
      <c r="N13520" s="84"/>
    </row>
    <row r="13521" spans="1:14" s="2" customFormat="1">
      <c r="A13521" s="83"/>
      <c r="H13521" s="83"/>
      <c r="K13521" s="82"/>
      <c r="M13521" s="112"/>
      <c r="N13521" s="84"/>
    </row>
    <row r="13522" spans="1:14" s="2" customFormat="1">
      <c r="A13522" s="83"/>
      <c r="H13522" s="83"/>
      <c r="K13522" s="82"/>
      <c r="M13522" s="112"/>
      <c r="N13522" s="84"/>
    </row>
    <row r="13523" spans="1:14" s="2" customFormat="1">
      <c r="A13523" s="83"/>
      <c r="H13523" s="83"/>
      <c r="K13523" s="82"/>
      <c r="M13523" s="112"/>
      <c r="N13523" s="84"/>
    </row>
    <row r="13524" spans="1:14" s="2" customFormat="1">
      <c r="A13524" s="83"/>
      <c r="H13524" s="83"/>
      <c r="K13524" s="82"/>
      <c r="M13524" s="112"/>
      <c r="N13524" s="84"/>
    </row>
    <row r="13525" spans="1:14" s="2" customFormat="1">
      <c r="A13525" s="83"/>
      <c r="H13525" s="83"/>
      <c r="K13525" s="82"/>
      <c r="M13525" s="112"/>
      <c r="N13525" s="84"/>
    </row>
    <row r="13526" spans="1:14" s="2" customFormat="1">
      <c r="A13526" s="83"/>
      <c r="H13526" s="83"/>
      <c r="K13526" s="82"/>
      <c r="M13526" s="112"/>
      <c r="N13526" s="84"/>
    </row>
    <row r="13527" spans="1:14" s="2" customFormat="1">
      <c r="A13527" s="83"/>
      <c r="H13527" s="83"/>
      <c r="K13527" s="82"/>
      <c r="M13527" s="112"/>
      <c r="N13527" s="84"/>
    </row>
    <row r="13528" spans="1:14" s="2" customFormat="1">
      <c r="A13528" s="83"/>
      <c r="H13528" s="83"/>
      <c r="K13528" s="82"/>
      <c r="M13528" s="112"/>
      <c r="N13528" s="84"/>
    </row>
    <row r="13529" spans="1:14" s="2" customFormat="1">
      <c r="A13529" s="83"/>
      <c r="H13529" s="83"/>
      <c r="K13529" s="82"/>
      <c r="M13529" s="112"/>
      <c r="N13529" s="84"/>
    </row>
    <row r="13530" spans="1:14" s="2" customFormat="1">
      <c r="A13530" s="83"/>
      <c r="H13530" s="83"/>
      <c r="K13530" s="82"/>
      <c r="M13530" s="112"/>
      <c r="N13530" s="84"/>
    </row>
    <row r="13531" spans="1:14" s="2" customFormat="1">
      <c r="A13531" s="83"/>
      <c r="H13531" s="83"/>
      <c r="K13531" s="82"/>
      <c r="M13531" s="112"/>
      <c r="N13531" s="84"/>
    </row>
    <row r="13532" spans="1:14" s="2" customFormat="1">
      <c r="A13532" s="83"/>
      <c r="H13532" s="83"/>
      <c r="K13532" s="82"/>
      <c r="M13532" s="112"/>
      <c r="N13532" s="84"/>
    </row>
    <row r="13533" spans="1:14" s="2" customFormat="1">
      <c r="A13533" s="83"/>
      <c r="H13533" s="83"/>
      <c r="K13533" s="82"/>
      <c r="M13533" s="112"/>
      <c r="N13533" s="84"/>
    </row>
    <row r="13534" spans="1:14" s="2" customFormat="1">
      <c r="A13534" s="83"/>
      <c r="H13534" s="83"/>
      <c r="K13534" s="82"/>
      <c r="M13534" s="112"/>
      <c r="N13534" s="84"/>
    </row>
    <row r="13535" spans="1:14" s="2" customFormat="1">
      <c r="A13535" s="83"/>
      <c r="H13535" s="83"/>
      <c r="K13535" s="82"/>
      <c r="M13535" s="112"/>
      <c r="N13535" s="84"/>
    </row>
    <row r="13536" spans="1:14" s="2" customFormat="1">
      <c r="A13536" s="83"/>
      <c r="H13536" s="83"/>
      <c r="K13536" s="82"/>
      <c r="M13536" s="112"/>
      <c r="N13536" s="84"/>
    </row>
    <row r="13537" spans="1:14" s="2" customFormat="1">
      <c r="A13537" s="83"/>
      <c r="H13537" s="83"/>
      <c r="K13537" s="82"/>
      <c r="M13537" s="112"/>
      <c r="N13537" s="84"/>
    </row>
    <row r="13538" spans="1:14" s="2" customFormat="1">
      <c r="A13538" s="83"/>
      <c r="H13538" s="83"/>
      <c r="K13538" s="82"/>
      <c r="M13538" s="112"/>
      <c r="N13538" s="84"/>
    </row>
    <row r="13539" spans="1:14" s="2" customFormat="1">
      <c r="A13539" s="83"/>
      <c r="H13539" s="83"/>
      <c r="K13539" s="82"/>
      <c r="M13539" s="112"/>
      <c r="N13539" s="84"/>
    </row>
    <row r="13540" spans="1:14" s="2" customFormat="1">
      <c r="A13540" s="83"/>
      <c r="H13540" s="83"/>
      <c r="K13540" s="82"/>
      <c r="M13540" s="112"/>
      <c r="N13540" s="84"/>
    </row>
    <row r="13541" spans="1:14" s="2" customFormat="1">
      <c r="A13541" s="83"/>
      <c r="H13541" s="83"/>
      <c r="K13541" s="82"/>
      <c r="M13541" s="112"/>
      <c r="N13541" s="84"/>
    </row>
    <row r="13542" spans="1:14" s="2" customFormat="1">
      <c r="A13542" s="83"/>
      <c r="H13542" s="83"/>
      <c r="K13542" s="82"/>
      <c r="M13542" s="112"/>
      <c r="N13542" s="84"/>
    </row>
    <row r="13543" spans="1:14" s="2" customFormat="1">
      <c r="A13543" s="83"/>
      <c r="H13543" s="83"/>
      <c r="K13543" s="82"/>
      <c r="M13543" s="112"/>
      <c r="N13543" s="84"/>
    </row>
    <row r="13544" spans="1:14" s="2" customFormat="1">
      <c r="A13544" s="83"/>
      <c r="H13544" s="83"/>
      <c r="K13544" s="82"/>
      <c r="M13544" s="112"/>
      <c r="N13544" s="84"/>
    </row>
    <row r="13545" spans="1:14" s="2" customFormat="1">
      <c r="A13545" s="83"/>
      <c r="H13545" s="83"/>
      <c r="K13545" s="82"/>
      <c r="M13545" s="112"/>
      <c r="N13545" s="84"/>
    </row>
    <row r="13546" spans="1:14" s="2" customFormat="1">
      <c r="A13546" s="83"/>
      <c r="H13546" s="83"/>
      <c r="K13546" s="82"/>
      <c r="M13546" s="112"/>
      <c r="N13546" s="84"/>
    </row>
    <row r="13547" spans="1:14" s="2" customFormat="1">
      <c r="A13547" s="83"/>
      <c r="H13547" s="83"/>
      <c r="K13547" s="82"/>
      <c r="M13547" s="112"/>
      <c r="N13547" s="84"/>
    </row>
    <row r="13548" spans="1:14" s="2" customFormat="1">
      <c r="A13548" s="83"/>
      <c r="H13548" s="83"/>
      <c r="K13548" s="82"/>
      <c r="M13548" s="112"/>
      <c r="N13548" s="84"/>
    </row>
    <row r="13549" spans="1:14" s="2" customFormat="1">
      <c r="A13549" s="83"/>
      <c r="H13549" s="83"/>
      <c r="K13549" s="82"/>
      <c r="M13549" s="112"/>
      <c r="N13549" s="84"/>
    </row>
    <row r="13550" spans="1:14" s="2" customFormat="1">
      <c r="A13550" s="83"/>
      <c r="H13550" s="83"/>
      <c r="K13550" s="82"/>
      <c r="M13550" s="112"/>
      <c r="N13550" s="84"/>
    </row>
    <row r="13551" spans="1:14" s="2" customFormat="1">
      <c r="A13551" s="83"/>
      <c r="H13551" s="83"/>
      <c r="K13551" s="82"/>
      <c r="M13551" s="112"/>
      <c r="N13551" s="84"/>
    </row>
    <row r="13552" spans="1:14" s="2" customFormat="1">
      <c r="A13552" s="83"/>
      <c r="H13552" s="83"/>
      <c r="K13552" s="82"/>
      <c r="M13552" s="112"/>
      <c r="N13552" s="84"/>
    </row>
    <row r="13553" spans="1:14" s="2" customFormat="1">
      <c r="A13553" s="83"/>
      <c r="H13553" s="83"/>
      <c r="K13553" s="82"/>
      <c r="M13553" s="112"/>
      <c r="N13553" s="84"/>
    </row>
    <row r="13554" spans="1:14" s="2" customFormat="1">
      <c r="A13554" s="83"/>
      <c r="H13554" s="83"/>
      <c r="K13554" s="82"/>
      <c r="M13554" s="112"/>
      <c r="N13554" s="84"/>
    </row>
    <row r="13555" spans="1:14" s="2" customFormat="1">
      <c r="A13555" s="83"/>
      <c r="H13555" s="83"/>
      <c r="K13555" s="82"/>
      <c r="M13555" s="112"/>
      <c r="N13555" s="84"/>
    </row>
    <row r="13556" spans="1:14" s="2" customFormat="1">
      <c r="A13556" s="83"/>
      <c r="H13556" s="83"/>
      <c r="K13556" s="82"/>
      <c r="M13556" s="112"/>
      <c r="N13556" s="84"/>
    </row>
    <row r="13557" spans="1:14" s="2" customFormat="1">
      <c r="A13557" s="83"/>
      <c r="H13557" s="83"/>
      <c r="K13557" s="82"/>
      <c r="M13557" s="112"/>
      <c r="N13557" s="84"/>
    </row>
    <row r="13558" spans="1:14" s="2" customFormat="1">
      <c r="A13558" s="83"/>
      <c r="H13558" s="83"/>
      <c r="K13558" s="82"/>
      <c r="M13558" s="112"/>
      <c r="N13558" s="84"/>
    </row>
    <row r="13559" spans="1:14" s="2" customFormat="1">
      <c r="A13559" s="83"/>
      <c r="H13559" s="83"/>
      <c r="K13559" s="82"/>
      <c r="M13559" s="112"/>
      <c r="N13559" s="84"/>
    </row>
    <row r="13560" spans="1:14" s="2" customFormat="1">
      <c r="A13560" s="83"/>
      <c r="H13560" s="83"/>
      <c r="K13560" s="82"/>
      <c r="M13560" s="112"/>
      <c r="N13560" s="84"/>
    </row>
    <row r="13561" spans="1:14" s="2" customFormat="1">
      <c r="A13561" s="83"/>
      <c r="H13561" s="83"/>
      <c r="K13561" s="82"/>
      <c r="M13561" s="112"/>
      <c r="N13561" s="84"/>
    </row>
    <row r="13562" spans="1:14" s="2" customFormat="1">
      <c r="A13562" s="83"/>
      <c r="H13562" s="83"/>
      <c r="K13562" s="82"/>
      <c r="M13562" s="112"/>
      <c r="N13562" s="84"/>
    </row>
    <row r="13563" spans="1:14" s="2" customFormat="1">
      <c r="A13563" s="83"/>
      <c r="H13563" s="83"/>
      <c r="K13563" s="82"/>
      <c r="M13563" s="112"/>
      <c r="N13563" s="84"/>
    </row>
    <row r="13564" spans="1:14" s="2" customFormat="1">
      <c r="A13564" s="83"/>
      <c r="H13564" s="83"/>
      <c r="K13564" s="82"/>
      <c r="M13564" s="112"/>
      <c r="N13564" s="84"/>
    </row>
    <row r="13565" spans="1:14" s="2" customFormat="1">
      <c r="A13565" s="83"/>
      <c r="H13565" s="83"/>
      <c r="K13565" s="82"/>
      <c r="M13565" s="112"/>
      <c r="N13565" s="84"/>
    </row>
    <row r="13566" spans="1:14" s="2" customFormat="1">
      <c r="A13566" s="83"/>
      <c r="H13566" s="83"/>
      <c r="K13566" s="82"/>
      <c r="M13566" s="112"/>
      <c r="N13566" s="84"/>
    </row>
    <row r="13567" spans="1:14" s="2" customFormat="1">
      <c r="A13567" s="83"/>
      <c r="H13567" s="83"/>
      <c r="K13567" s="82"/>
      <c r="M13567" s="112"/>
      <c r="N13567" s="84"/>
    </row>
    <row r="13568" spans="1:14" s="2" customFormat="1">
      <c r="A13568" s="83"/>
      <c r="H13568" s="83"/>
      <c r="K13568" s="82"/>
      <c r="M13568" s="112"/>
      <c r="N13568" s="84"/>
    </row>
    <row r="13569" spans="1:14" s="2" customFormat="1">
      <c r="A13569" s="83"/>
      <c r="H13569" s="83"/>
      <c r="K13569" s="82"/>
      <c r="M13569" s="112"/>
      <c r="N13569" s="84"/>
    </row>
    <row r="13570" spans="1:14" s="2" customFormat="1">
      <c r="A13570" s="83"/>
      <c r="H13570" s="83"/>
      <c r="K13570" s="82"/>
      <c r="M13570" s="112"/>
      <c r="N13570" s="84"/>
    </row>
    <row r="13571" spans="1:14" s="2" customFormat="1">
      <c r="A13571" s="83"/>
      <c r="H13571" s="83"/>
      <c r="K13571" s="82"/>
      <c r="M13571" s="112"/>
      <c r="N13571" s="84"/>
    </row>
    <row r="13572" spans="1:14" s="2" customFormat="1">
      <c r="A13572" s="83"/>
      <c r="H13572" s="83"/>
      <c r="K13572" s="82"/>
      <c r="M13572" s="112"/>
      <c r="N13572" s="84"/>
    </row>
    <row r="13573" spans="1:14" s="2" customFormat="1">
      <c r="A13573" s="83"/>
      <c r="H13573" s="83"/>
      <c r="K13573" s="82"/>
      <c r="M13573" s="112"/>
      <c r="N13573" s="84"/>
    </row>
    <row r="13574" spans="1:14" s="2" customFormat="1">
      <c r="A13574" s="83"/>
      <c r="H13574" s="83"/>
      <c r="K13574" s="82"/>
      <c r="M13574" s="112"/>
      <c r="N13574" s="84"/>
    </row>
    <row r="13575" spans="1:14" s="2" customFormat="1">
      <c r="A13575" s="83"/>
      <c r="H13575" s="83"/>
      <c r="K13575" s="82"/>
      <c r="M13575" s="112"/>
      <c r="N13575" s="84"/>
    </row>
    <row r="13576" spans="1:14" s="2" customFormat="1">
      <c r="A13576" s="83"/>
      <c r="H13576" s="83"/>
      <c r="K13576" s="82"/>
      <c r="M13576" s="112"/>
      <c r="N13576" s="84"/>
    </row>
    <row r="13577" spans="1:14" s="2" customFormat="1">
      <c r="A13577" s="83"/>
      <c r="H13577" s="83"/>
      <c r="K13577" s="82"/>
      <c r="M13577" s="112"/>
      <c r="N13577" s="84"/>
    </row>
    <row r="13578" spans="1:14" s="2" customFormat="1">
      <c r="A13578" s="83"/>
      <c r="H13578" s="83"/>
      <c r="K13578" s="82"/>
      <c r="M13578" s="112"/>
      <c r="N13578" s="84"/>
    </row>
    <row r="13579" spans="1:14" s="2" customFormat="1">
      <c r="A13579" s="83"/>
      <c r="H13579" s="83"/>
      <c r="K13579" s="82"/>
      <c r="M13579" s="112"/>
      <c r="N13579" s="84"/>
    </row>
    <row r="13580" spans="1:14" s="2" customFormat="1">
      <c r="A13580" s="83"/>
      <c r="H13580" s="83"/>
      <c r="K13580" s="82"/>
      <c r="M13580" s="112"/>
      <c r="N13580" s="84"/>
    </row>
    <row r="13581" spans="1:14" s="2" customFormat="1">
      <c r="A13581" s="83"/>
      <c r="H13581" s="83"/>
      <c r="K13581" s="82"/>
      <c r="M13581" s="112"/>
      <c r="N13581" s="84"/>
    </row>
    <row r="13582" spans="1:14" s="2" customFormat="1">
      <c r="A13582" s="83"/>
      <c r="H13582" s="83"/>
      <c r="K13582" s="82"/>
      <c r="M13582" s="112"/>
      <c r="N13582" s="84"/>
    </row>
    <row r="13583" spans="1:14" s="2" customFormat="1">
      <c r="A13583" s="83"/>
      <c r="H13583" s="83"/>
      <c r="K13583" s="82"/>
      <c r="M13583" s="112"/>
      <c r="N13583" s="84"/>
    </row>
    <row r="13584" spans="1:14" s="2" customFormat="1">
      <c r="A13584" s="83"/>
      <c r="H13584" s="83"/>
      <c r="K13584" s="82"/>
      <c r="M13584" s="112"/>
      <c r="N13584" s="84"/>
    </row>
    <row r="13585" spans="1:14" s="2" customFormat="1">
      <c r="A13585" s="83"/>
      <c r="H13585" s="83"/>
      <c r="K13585" s="82"/>
      <c r="M13585" s="112"/>
      <c r="N13585" s="84"/>
    </row>
    <row r="13586" spans="1:14" s="2" customFormat="1">
      <c r="A13586" s="83"/>
      <c r="H13586" s="83"/>
      <c r="K13586" s="82"/>
      <c r="M13586" s="112"/>
      <c r="N13586" s="84"/>
    </row>
    <row r="13587" spans="1:14" s="2" customFormat="1">
      <c r="A13587" s="83"/>
      <c r="H13587" s="83"/>
      <c r="K13587" s="82"/>
      <c r="M13587" s="112"/>
      <c r="N13587" s="84"/>
    </row>
    <row r="13588" spans="1:14" s="2" customFormat="1">
      <c r="A13588" s="83"/>
      <c r="H13588" s="83"/>
      <c r="K13588" s="82"/>
      <c r="M13588" s="112"/>
      <c r="N13588" s="84"/>
    </row>
    <row r="13589" spans="1:14" s="2" customFormat="1">
      <c r="A13589" s="83"/>
      <c r="H13589" s="83"/>
      <c r="K13589" s="82"/>
      <c r="M13589" s="112"/>
      <c r="N13589" s="84"/>
    </row>
    <row r="13590" spans="1:14" s="2" customFormat="1">
      <c r="A13590" s="83"/>
      <c r="H13590" s="83"/>
      <c r="K13590" s="82"/>
      <c r="M13590" s="112"/>
      <c r="N13590" s="84"/>
    </row>
    <row r="13591" spans="1:14" s="2" customFormat="1">
      <c r="A13591" s="83"/>
      <c r="H13591" s="83"/>
      <c r="K13591" s="82"/>
      <c r="M13591" s="112"/>
      <c r="N13591" s="84"/>
    </row>
    <row r="13592" spans="1:14" s="2" customFormat="1">
      <c r="A13592" s="83"/>
      <c r="H13592" s="83"/>
      <c r="K13592" s="82"/>
      <c r="M13592" s="112"/>
      <c r="N13592" s="84"/>
    </row>
    <row r="13593" spans="1:14" s="2" customFormat="1">
      <c r="A13593" s="83"/>
      <c r="H13593" s="83"/>
      <c r="K13593" s="82"/>
      <c r="M13593" s="112"/>
      <c r="N13593" s="84"/>
    </row>
    <row r="13594" spans="1:14" s="2" customFormat="1">
      <c r="A13594" s="83"/>
      <c r="H13594" s="83"/>
      <c r="K13594" s="82"/>
      <c r="M13594" s="112"/>
      <c r="N13594" s="84"/>
    </row>
    <row r="13595" spans="1:14" s="2" customFormat="1">
      <c r="A13595" s="83"/>
      <c r="H13595" s="83"/>
      <c r="K13595" s="82"/>
      <c r="M13595" s="112"/>
      <c r="N13595" s="84"/>
    </row>
    <row r="13596" spans="1:14" s="2" customFormat="1">
      <c r="A13596" s="83"/>
      <c r="H13596" s="83"/>
      <c r="K13596" s="82"/>
      <c r="M13596" s="112"/>
      <c r="N13596" s="84"/>
    </row>
    <row r="13597" spans="1:14" s="2" customFormat="1">
      <c r="A13597" s="83"/>
      <c r="H13597" s="83"/>
      <c r="K13597" s="82"/>
      <c r="M13597" s="112"/>
      <c r="N13597" s="84"/>
    </row>
    <row r="13598" spans="1:14" s="2" customFormat="1">
      <c r="A13598" s="83"/>
      <c r="H13598" s="83"/>
      <c r="K13598" s="82"/>
      <c r="M13598" s="112"/>
      <c r="N13598" s="84"/>
    </row>
    <row r="13599" spans="1:14" s="2" customFormat="1">
      <c r="A13599" s="83"/>
      <c r="H13599" s="83"/>
      <c r="K13599" s="82"/>
      <c r="M13599" s="112"/>
      <c r="N13599" s="84"/>
    </row>
    <row r="13600" spans="1:14" s="2" customFormat="1">
      <c r="A13600" s="83"/>
      <c r="H13600" s="83"/>
      <c r="K13600" s="82"/>
      <c r="M13600" s="112"/>
      <c r="N13600" s="84"/>
    </row>
    <row r="13601" spans="1:14" s="2" customFormat="1">
      <c r="A13601" s="83"/>
      <c r="H13601" s="83"/>
      <c r="K13601" s="82"/>
      <c r="M13601" s="112"/>
      <c r="N13601" s="84"/>
    </row>
    <row r="13602" spans="1:14" s="2" customFormat="1">
      <c r="A13602" s="83"/>
      <c r="H13602" s="83"/>
      <c r="K13602" s="82"/>
      <c r="M13602" s="112"/>
      <c r="N13602" s="84"/>
    </row>
    <row r="13603" spans="1:14" s="2" customFormat="1">
      <c r="A13603" s="83"/>
      <c r="H13603" s="83"/>
      <c r="K13603" s="82"/>
      <c r="M13603" s="112"/>
      <c r="N13603" s="84"/>
    </row>
    <row r="13604" spans="1:14" s="2" customFormat="1">
      <c r="A13604" s="83"/>
      <c r="H13604" s="83"/>
      <c r="K13604" s="82"/>
      <c r="M13604" s="112"/>
      <c r="N13604" s="84"/>
    </row>
    <row r="13605" spans="1:14" s="2" customFormat="1">
      <c r="A13605" s="83"/>
      <c r="H13605" s="83"/>
      <c r="K13605" s="82"/>
      <c r="M13605" s="112"/>
      <c r="N13605" s="84"/>
    </row>
    <row r="13606" spans="1:14" s="2" customFormat="1">
      <c r="A13606" s="83"/>
      <c r="H13606" s="83"/>
      <c r="K13606" s="82"/>
      <c r="M13606" s="112"/>
      <c r="N13606" s="84"/>
    </row>
    <row r="13607" spans="1:14" s="2" customFormat="1">
      <c r="A13607" s="83"/>
      <c r="H13607" s="83"/>
      <c r="K13607" s="82"/>
      <c r="M13607" s="112"/>
      <c r="N13607" s="84"/>
    </row>
    <row r="13608" spans="1:14" s="2" customFormat="1">
      <c r="A13608" s="83"/>
      <c r="H13608" s="83"/>
      <c r="K13608" s="82"/>
      <c r="M13608" s="112"/>
      <c r="N13608" s="84"/>
    </row>
    <row r="13609" spans="1:14" s="2" customFormat="1">
      <c r="A13609" s="83"/>
      <c r="H13609" s="83"/>
      <c r="K13609" s="82"/>
      <c r="M13609" s="112"/>
      <c r="N13609" s="84"/>
    </row>
    <row r="13610" spans="1:14" s="2" customFormat="1">
      <c r="A13610" s="83"/>
      <c r="H13610" s="83"/>
      <c r="K13610" s="82"/>
      <c r="M13610" s="112"/>
      <c r="N13610" s="84"/>
    </row>
    <row r="13611" spans="1:14" s="2" customFormat="1">
      <c r="A13611" s="83"/>
      <c r="H13611" s="83"/>
      <c r="K13611" s="82"/>
      <c r="M13611" s="112"/>
      <c r="N13611" s="84"/>
    </row>
    <row r="13612" spans="1:14" s="2" customFormat="1">
      <c r="A13612" s="83"/>
      <c r="H13612" s="83"/>
      <c r="K13612" s="82"/>
      <c r="M13612" s="112"/>
      <c r="N13612" s="84"/>
    </row>
    <row r="13613" spans="1:14" s="2" customFormat="1">
      <c r="A13613" s="83"/>
      <c r="H13613" s="83"/>
      <c r="K13613" s="82"/>
      <c r="M13613" s="112"/>
      <c r="N13613" s="84"/>
    </row>
    <row r="13614" spans="1:14" s="2" customFormat="1">
      <c r="A13614" s="83"/>
      <c r="H13614" s="83"/>
      <c r="K13614" s="82"/>
      <c r="M13614" s="112"/>
      <c r="N13614" s="84"/>
    </row>
    <row r="13615" spans="1:14" s="2" customFormat="1">
      <c r="A13615" s="83"/>
      <c r="H13615" s="83"/>
      <c r="K13615" s="82"/>
      <c r="M13615" s="112"/>
      <c r="N13615" s="84"/>
    </row>
    <row r="13616" spans="1:14" s="2" customFormat="1">
      <c r="A13616" s="83"/>
      <c r="H13616" s="83"/>
      <c r="K13616" s="82"/>
      <c r="M13616" s="112"/>
      <c r="N13616" s="84"/>
    </row>
    <row r="13617" spans="1:14" s="2" customFormat="1">
      <c r="A13617" s="83"/>
      <c r="H13617" s="83"/>
      <c r="K13617" s="82"/>
      <c r="M13617" s="112"/>
      <c r="N13617" s="84"/>
    </row>
    <row r="13618" spans="1:14" s="2" customFormat="1">
      <c r="A13618" s="83"/>
      <c r="H13618" s="83"/>
      <c r="K13618" s="82"/>
      <c r="M13618" s="112"/>
      <c r="N13618" s="84"/>
    </row>
    <row r="13619" spans="1:14" s="2" customFormat="1">
      <c r="A13619" s="83"/>
      <c r="H13619" s="83"/>
      <c r="K13619" s="82"/>
      <c r="M13619" s="112"/>
      <c r="N13619" s="84"/>
    </row>
    <row r="13620" spans="1:14" s="2" customFormat="1">
      <c r="A13620" s="83"/>
      <c r="H13620" s="83"/>
      <c r="K13620" s="82"/>
      <c r="M13620" s="112"/>
      <c r="N13620" s="84"/>
    </row>
    <row r="13621" spans="1:14" s="2" customFormat="1">
      <c r="A13621" s="83"/>
      <c r="H13621" s="83"/>
      <c r="K13621" s="82"/>
      <c r="M13621" s="112"/>
      <c r="N13621" s="84"/>
    </row>
    <row r="13622" spans="1:14" s="2" customFormat="1">
      <c r="A13622" s="83"/>
      <c r="H13622" s="83"/>
      <c r="K13622" s="82"/>
      <c r="M13622" s="112"/>
      <c r="N13622" s="84"/>
    </row>
    <row r="13623" spans="1:14" s="2" customFormat="1">
      <c r="A13623" s="83"/>
      <c r="H13623" s="83"/>
      <c r="K13623" s="82"/>
      <c r="M13623" s="112"/>
      <c r="N13623" s="84"/>
    </row>
    <row r="13624" spans="1:14" s="2" customFormat="1">
      <c r="A13624" s="83"/>
      <c r="H13624" s="83"/>
      <c r="K13624" s="82"/>
      <c r="M13624" s="112"/>
      <c r="N13624" s="84"/>
    </row>
    <row r="13625" spans="1:14" s="2" customFormat="1">
      <c r="A13625" s="83"/>
      <c r="H13625" s="83"/>
      <c r="K13625" s="82"/>
      <c r="M13625" s="112"/>
      <c r="N13625" s="84"/>
    </row>
    <row r="13626" spans="1:14" s="2" customFormat="1">
      <c r="A13626" s="83"/>
      <c r="H13626" s="83"/>
      <c r="K13626" s="82"/>
      <c r="M13626" s="112"/>
      <c r="N13626" s="84"/>
    </row>
    <row r="13627" spans="1:14" s="2" customFormat="1">
      <c r="A13627" s="83"/>
      <c r="H13627" s="83"/>
      <c r="K13627" s="82"/>
      <c r="M13627" s="112"/>
      <c r="N13627" s="84"/>
    </row>
    <row r="13628" spans="1:14" s="2" customFormat="1">
      <c r="A13628" s="83"/>
      <c r="H13628" s="83"/>
      <c r="K13628" s="82"/>
      <c r="M13628" s="112"/>
      <c r="N13628" s="84"/>
    </row>
    <row r="13629" spans="1:14" s="2" customFormat="1">
      <c r="A13629" s="83"/>
      <c r="H13629" s="83"/>
      <c r="K13629" s="82"/>
      <c r="M13629" s="112"/>
      <c r="N13629" s="84"/>
    </row>
    <row r="13630" spans="1:14" s="2" customFormat="1">
      <c r="A13630" s="83"/>
      <c r="H13630" s="83"/>
      <c r="K13630" s="82"/>
      <c r="M13630" s="112"/>
      <c r="N13630" s="84"/>
    </row>
    <row r="13631" spans="1:14" s="2" customFormat="1">
      <c r="A13631" s="83"/>
      <c r="H13631" s="83"/>
      <c r="K13631" s="82"/>
      <c r="M13631" s="112"/>
      <c r="N13631" s="84"/>
    </row>
    <row r="13632" spans="1:14" s="2" customFormat="1">
      <c r="A13632" s="83"/>
      <c r="H13632" s="83"/>
      <c r="K13632" s="82"/>
      <c r="M13632" s="112"/>
      <c r="N13632" s="84"/>
    </row>
    <row r="13633" spans="1:14" s="2" customFormat="1">
      <c r="A13633" s="83"/>
      <c r="H13633" s="83"/>
      <c r="K13633" s="82"/>
      <c r="M13633" s="112"/>
      <c r="N13633" s="84"/>
    </row>
    <row r="13634" spans="1:14" s="2" customFormat="1">
      <c r="A13634" s="83"/>
      <c r="H13634" s="83"/>
      <c r="K13634" s="82"/>
      <c r="M13634" s="112"/>
      <c r="N13634" s="84"/>
    </row>
    <row r="13635" spans="1:14" s="2" customFormat="1">
      <c r="A13635" s="83"/>
      <c r="H13635" s="83"/>
      <c r="K13635" s="82"/>
      <c r="M13635" s="112"/>
      <c r="N13635" s="84"/>
    </row>
    <row r="13636" spans="1:14" s="2" customFormat="1">
      <c r="A13636" s="83"/>
      <c r="H13636" s="83"/>
      <c r="K13636" s="82"/>
      <c r="M13636" s="112"/>
      <c r="N13636" s="84"/>
    </row>
    <row r="13637" spans="1:14" s="2" customFormat="1">
      <c r="A13637" s="83"/>
      <c r="H13637" s="83"/>
      <c r="K13637" s="82"/>
      <c r="M13637" s="112"/>
      <c r="N13637" s="84"/>
    </row>
    <row r="13638" spans="1:14" s="2" customFormat="1">
      <c r="A13638" s="83"/>
      <c r="H13638" s="83"/>
      <c r="K13638" s="82"/>
      <c r="M13638" s="112"/>
      <c r="N13638" s="84"/>
    </row>
    <row r="13639" spans="1:14" s="2" customFormat="1">
      <c r="A13639" s="83"/>
      <c r="H13639" s="83"/>
      <c r="K13639" s="82"/>
      <c r="M13639" s="112"/>
      <c r="N13639" s="84"/>
    </row>
    <row r="13640" spans="1:14" s="2" customFormat="1">
      <c r="A13640" s="83"/>
      <c r="H13640" s="83"/>
      <c r="K13640" s="82"/>
      <c r="M13640" s="112"/>
      <c r="N13640" s="84"/>
    </row>
    <row r="13641" spans="1:14" s="2" customFormat="1">
      <c r="A13641" s="83"/>
      <c r="H13641" s="83"/>
      <c r="K13641" s="82"/>
      <c r="M13641" s="112"/>
      <c r="N13641" s="84"/>
    </row>
    <row r="13642" spans="1:14" s="2" customFormat="1">
      <c r="A13642" s="83"/>
      <c r="H13642" s="83"/>
      <c r="K13642" s="82"/>
      <c r="M13642" s="112"/>
      <c r="N13642" s="84"/>
    </row>
    <row r="13643" spans="1:14" s="2" customFormat="1">
      <c r="A13643" s="83"/>
      <c r="H13643" s="83"/>
      <c r="K13643" s="82"/>
      <c r="M13643" s="112"/>
      <c r="N13643" s="84"/>
    </row>
    <row r="13644" spans="1:14" s="2" customFormat="1">
      <c r="A13644" s="83"/>
      <c r="H13644" s="83"/>
      <c r="K13644" s="82"/>
      <c r="M13644" s="112"/>
      <c r="N13644" s="84"/>
    </row>
    <row r="13645" spans="1:14" s="2" customFormat="1">
      <c r="A13645" s="83"/>
      <c r="H13645" s="83"/>
      <c r="K13645" s="82"/>
      <c r="M13645" s="112"/>
      <c r="N13645" s="84"/>
    </row>
    <row r="13646" spans="1:14" s="2" customFormat="1">
      <c r="A13646" s="83"/>
      <c r="H13646" s="83"/>
      <c r="K13646" s="82"/>
      <c r="M13646" s="112"/>
      <c r="N13646" s="84"/>
    </row>
    <row r="13647" spans="1:14" s="2" customFormat="1">
      <c r="A13647" s="83"/>
      <c r="H13647" s="83"/>
      <c r="K13647" s="82"/>
      <c r="M13647" s="112"/>
      <c r="N13647" s="84"/>
    </row>
    <row r="13648" spans="1:14" s="2" customFormat="1">
      <c r="A13648" s="83"/>
      <c r="H13648" s="83"/>
      <c r="K13648" s="82"/>
      <c r="M13648" s="112"/>
      <c r="N13648" s="84"/>
    </row>
    <row r="13649" spans="1:14" s="2" customFormat="1">
      <c r="A13649" s="83"/>
      <c r="H13649" s="83"/>
      <c r="K13649" s="82"/>
      <c r="M13649" s="112"/>
      <c r="N13649" s="84"/>
    </row>
    <row r="13650" spans="1:14" s="2" customFormat="1">
      <c r="A13650" s="83"/>
      <c r="H13650" s="83"/>
      <c r="K13650" s="82"/>
      <c r="M13650" s="112"/>
      <c r="N13650" s="84"/>
    </row>
    <row r="13651" spans="1:14" s="2" customFormat="1">
      <c r="A13651" s="83"/>
      <c r="H13651" s="83"/>
      <c r="K13651" s="82"/>
      <c r="M13651" s="112"/>
      <c r="N13651" s="84"/>
    </row>
    <row r="13652" spans="1:14" s="2" customFormat="1">
      <c r="A13652" s="83"/>
      <c r="H13652" s="83"/>
      <c r="K13652" s="82"/>
      <c r="M13652" s="112"/>
      <c r="N13652" s="84"/>
    </row>
    <row r="13653" spans="1:14" s="2" customFormat="1">
      <c r="A13653" s="83"/>
      <c r="H13653" s="83"/>
      <c r="K13653" s="82"/>
      <c r="M13653" s="112"/>
      <c r="N13653" s="84"/>
    </row>
    <row r="13654" spans="1:14" s="2" customFormat="1">
      <c r="A13654" s="83"/>
      <c r="H13654" s="83"/>
      <c r="K13654" s="82"/>
      <c r="M13654" s="112"/>
      <c r="N13654" s="84"/>
    </row>
    <row r="13655" spans="1:14" s="2" customFormat="1">
      <c r="A13655" s="83"/>
      <c r="H13655" s="83"/>
      <c r="K13655" s="82"/>
      <c r="M13655" s="112"/>
      <c r="N13655" s="84"/>
    </row>
    <row r="13656" spans="1:14" s="2" customFormat="1">
      <c r="A13656" s="83"/>
      <c r="H13656" s="83"/>
      <c r="K13656" s="82"/>
      <c r="M13656" s="112"/>
      <c r="N13656" s="84"/>
    </row>
    <row r="13657" spans="1:14" s="2" customFormat="1">
      <c r="A13657" s="83"/>
      <c r="H13657" s="83"/>
      <c r="K13657" s="82"/>
      <c r="M13657" s="112"/>
      <c r="N13657" s="84"/>
    </row>
    <row r="13658" spans="1:14" s="2" customFormat="1">
      <c r="A13658" s="83"/>
      <c r="H13658" s="83"/>
      <c r="K13658" s="82"/>
      <c r="M13658" s="112"/>
      <c r="N13658" s="84"/>
    </row>
    <row r="13659" spans="1:14" s="2" customFormat="1">
      <c r="A13659" s="83"/>
      <c r="H13659" s="83"/>
      <c r="K13659" s="82"/>
      <c r="M13659" s="112"/>
      <c r="N13659" s="84"/>
    </row>
    <row r="13660" spans="1:14" s="2" customFormat="1">
      <c r="A13660" s="83"/>
      <c r="H13660" s="83"/>
      <c r="K13660" s="82"/>
      <c r="M13660" s="112"/>
      <c r="N13660" s="84"/>
    </row>
    <row r="13661" spans="1:14" s="2" customFormat="1">
      <c r="A13661" s="83"/>
      <c r="H13661" s="83"/>
      <c r="K13661" s="82"/>
      <c r="M13661" s="112"/>
      <c r="N13661" s="84"/>
    </row>
    <row r="13662" spans="1:14" s="2" customFormat="1">
      <c r="A13662" s="83"/>
      <c r="H13662" s="83"/>
      <c r="K13662" s="82"/>
      <c r="M13662" s="112"/>
      <c r="N13662" s="84"/>
    </row>
    <row r="13663" spans="1:14" s="2" customFormat="1">
      <c r="A13663" s="83"/>
      <c r="H13663" s="83"/>
      <c r="K13663" s="82"/>
      <c r="M13663" s="112"/>
      <c r="N13663" s="84"/>
    </row>
    <row r="13664" spans="1:14" s="2" customFormat="1">
      <c r="A13664" s="83"/>
      <c r="H13664" s="83"/>
      <c r="K13664" s="82"/>
      <c r="M13664" s="112"/>
      <c r="N13664" s="84"/>
    </row>
    <row r="13665" spans="1:14" s="2" customFormat="1">
      <c r="A13665" s="83"/>
      <c r="H13665" s="83"/>
      <c r="K13665" s="82"/>
      <c r="M13665" s="112"/>
      <c r="N13665" s="84"/>
    </row>
    <row r="13666" spans="1:14" s="2" customFormat="1">
      <c r="A13666" s="83"/>
      <c r="H13666" s="83"/>
      <c r="K13666" s="82"/>
      <c r="M13666" s="112"/>
      <c r="N13666" s="84"/>
    </row>
    <row r="13667" spans="1:14" s="2" customFormat="1">
      <c r="A13667" s="83"/>
      <c r="H13667" s="83"/>
      <c r="K13667" s="82"/>
      <c r="M13667" s="112"/>
      <c r="N13667" s="84"/>
    </row>
    <row r="13668" spans="1:14" s="2" customFormat="1">
      <c r="A13668" s="83"/>
      <c r="H13668" s="83"/>
      <c r="K13668" s="82"/>
      <c r="M13668" s="112"/>
      <c r="N13668" s="84"/>
    </row>
    <row r="13669" spans="1:14" s="2" customFormat="1">
      <c r="A13669" s="83"/>
      <c r="H13669" s="83"/>
      <c r="K13669" s="82"/>
      <c r="M13669" s="112"/>
      <c r="N13669" s="84"/>
    </row>
    <row r="13670" spans="1:14" s="2" customFormat="1">
      <c r="A13670" s="83"/>
      <c r="H13670" s="83"/>
      <c r="K13670" s="82"/>
      <c r="M13670" s="112"/>
      <c r="N13670" s="84"/>
    </row>
    <row r="13671" spans="1:14" s="2" customFormat="1">
      <c r="A13671" s="83"/>
      <c r="H13671" s="83"/>
      <c r="K13671" s="82"/>
      <c r="M13671" s="112"/>
      <c r="N13671" s="84"/>
    </row>
    <row r="13672" spans="1:14" s="2" customFormat="1">
      <c r="A13672" s="83"/>
      <c r="H13672" s="83"/>
      <c r="K13672" s="82"/>
      <c r="M13672" s="112"/>
      <c r="N13672" s="84"/>
    </row>
    <row r="13673" spans="1:14" s="2" customFormat="1">
      <c r="A13673" s="83"/>
      <c r="H13673" s="83"/>
      <c r="K13673" s="82"/>
      <c r="M13673" s="112"/>
      <c r="N13673" s="84"/>
    </row>
    <row r="13674" spans="1:14" s="2" customFormat="1">
      <c r="A13674" s="83"/>
      <c r="H13674" s="83"/>
      <c r="K13674" s="82"/>
      <c r="M13674" s="112"/>
      <c r="N13674" s="84"/>
    </row>
    <row r="13675" spans="1:14" s="2" customFormat="1">
      <c r="A13675" s="83"/>
      <c r="H13675" s="83"/>
      <c r="K13675" s="82"/>
      <c r="M13675" s="112"/>
      <c r="N13675" s="84"/>
    </row>
    <row r="13676" spans="1:14" s="2" customFormat="1">
      <c r="A13676" s="83"/>
      <c r="H13676" s="83"/>
      <c r="K13676" s="82"/>
      <c r="M13676" s="112"/>
      <c r="N13676" s="84"/>
    </row>
    <row r="13677" spans="1:14" s="2" customFormat="1">
      <c r="A13677" s="83"/>
      <c r="H13677" s="83"/>
      <c r="K13677" s="82"/>
      <c r="M13677" s="112"/>
      <c r="N13677" s="84"/>
    </row>
    <row r="13678" spans="1:14" s="2" customFormat="1">
      <c r="A13678" s="83"/>
      <c r="H13678" s="83"/>
      <c r="K13678" s="82"/>
      <c r="M13678" s="112"/>
      <c r="N13678" s="84"/>
    </row>
    <row r="13679" spans="1:14" s="2" customFormat="1">
      <c r="A13679" s="83"/>
      <c r="H13679" s="83"/>
      <c r="K13679" s="82"/>
      <c r="M13679" s="112"/>
      <c r="N13679" s="84"/>
    </row>
    <row r="13680" spans="1:14" s="2" customFormat="1">
      <c r="A13680" s="83"/>
      <c r="H13680" s="83"/>
      <c r="K13680" s="82"/>
      <c r="M13680" s="112"/>
      <c r="N13680" s="84"/>
    </row>
    <row r="13681" spans="1:14" s="2" customFormat="1">
      <c r="A13681" s="83"/>
      <c r="H13681" s="83"/>
      <c r="K13681" s="82"/>
      <c r="M13681" s="112"/>
      <c r="N13681" s="84"/>
    </row>
    <row r="13682" spans="1:14" s="2" customFormat="1">
      <c r="A13682" s="83"/>
      <c r="H13682" s="83"/>
      <c r="K13682" s="82"/>
      <c r="M13682" s="112"/>
      <c r="N13682" s="84"/>
    </row>
    <row r="13683" spans="1:14" s="2" customFormat="1">
      <c r="A13683" s="83"/>
      <c r="H13683" s="83"/>
      <c r="K13683" s="82"/>
      <c r="M13683" s="112"/>
      <c r="N13683" s="84"/>
    </row>
    <row r="13684" spans="1:14" s="2" customFormat="1">
      <c r="A13684" s="83"/>
      <c r="H13684" s="83"/>
      <c r="K13684" s="82"/>
      <c r="M13684" s="112"/>
      <c r="N13684" s="84"/>
    </row>
    <row r="13685" spans="1:14" s="2" customFormat="1">
      <c r="A13685" s="83"/>
      <c r="H13685" s="83"/>
      <c r="K13685" s="82"/>
      <c r="M13685" s="112"/>
      <c r="N13685" s="84"/>
    </row>
    <row r="13686" spans="1:14" s="2" customFormat="1">
      <c r="A13686" s="83"/>
      <c r="H13686" s="83"/>
      <c r="K13686" s="82"/>
      <c r="M13686" s="112"/>
      <c r="N13686" s="84"/>
    </row>
    <row r="13687" spans="1:14" s="2" customFormat="1">
      <c r="A13687" s="83"/>
      <c r="H13687" s="83"/>
      <c r="K13687" s="82"/>
      <c r="M13687" s="112"/>
      <c r="N13687" s="84"/>
    </row>
    <row r="13688" spans="1:14" s="2" customFormat="1">
      <c r="A13688" s="83"/>
      <c r="H13688" s="83"/>
      <c r="K13688" s="82"/>
      <c r="M13688" s="112"/>
      <c r="N13688" s="84"/>
    </row>
    <row r="13689" spans="1:14" s="2" customFormat="1">
      <c r="A13689" s="83"/>
      <c r="H13689" s="83"/>
      <c r="K13689" s="82"/>
      <c r="M13689" s="112"/>
      <c r="N13689" s="84"/>
    </row>
    <row r="13690" spans="1:14" s="2" customFormat="1">
      <c r="A13690" s="83"/>
      <c r="H13690" s="83"/>
      <c r="K13690" s="82"/>
      <c r="M13690" s="112"/>
      <c r="N13690" s="84"/>
    </row>
    <row r="13691" spans="1:14" s="2" customFormat="1">
      <c r="A13691" s="83"/>
      <c r="H13691" s="83"/>
      <c r="K13691" s="82"/>
      <c r="M13691" s="112"/>
      <c r="N13691" s="84"/>
    </row>
    <row r="13692" spans="1:14" s="2" customFormat="1">
      <c r="A13692" s="83"/>
      <c r="H13692" s="83"/>
      <c r="K13692" s="82"/>
      <c r="M13692" s="112"/>
      <c r="N13692" s="84"/>
    </row>
    <row r="13693" spans="1:14" s="2" customFormat="1">
      <c r="A13693" s="83"/>
      <c r="H13693" s="83"/>
      <c r="K13693" s="82"/>
      <c r="M13693" s="112"/>
      <c r="N13693" s="84"/>
    </row>
    <row r="13694" spans="1:14" s="2" customFormat="1">
      <c r="A13694" s="83"/>
      <c r="H13694" s="83"/>
      <c r="K13694" s="82"/>
      <c r="M13694" s="112"/>
      <c r="N13694" s="84"/>
    </row>
    <row r="13695" spans="1:14" s="2" customFormat="1">
      <c r="A13695" s="83"/>
      <c r="H13695" s="83"/>
      <c r="K13695" s="82"/>
      <c r="M13695" s="112"/>
      <c r="N13695" s="84"/>
    </row>
    <row r="13696" spans="1:14" s="2" customFormat="1">
      <c r="A13696" s="83"/>
      <c r="H13696" s="83"/>
      <c r="K13696" s="82"/>
      <c r="M13696" s="112"/>
      <c r="N13696" s="84"/>
    </row>
    <row r="13697" spans="1:14" s="2" customFormat="1">
      <c r="A13697" s="83"/>
      <c r="H13697" s="83"/>
      <c r="K13697" s="82"/>
      <c r="M13697" s="112"/>
      <c r="N13697" s="84"/>
    </row>
    <row r="13698" spans="1:14" s="2" customFormat="1">
      <c r="A13698" s="83"/>
      <c r="H13698" s="83"/>
      <c r="K13698" s="82"/>
      <c r="M13698" s="112"/>
      <c r="N13698" s="84"/>
    </row>
    <row r="13699" spans="1:14" s="2" customFormat="1">
      <c r="A13699" s="83"/>
      <c r="H13699" s="83"/>
      <c r="K13699" s="82"/>
      <c r="M13699" s="112"/>
      <c r="N13699" s="84"/>
    </row>
    <row r="13700" spans="1:14" s="2" customFormat="1">
      <c r="A13700" s="83"/>
      <c r="H13700" s="83"/>
      <c r="K13700" s="82"/>
      <c r="M13700" s="112"/>
      <c r="N13700" s="84"/>
    </row>
    <row r="13701" spans="1:14" s="2" customFormat="1">
      <c r="A13701" s="83"/>
      <c r="H13701" s="83"/>
      <c r="K13701" s="82"/>
      <c r="M13701" s="112"/>
      <c r="N13701" s="84"/>
    </row>
    <row r="13702" spans="1:14" s="2" customFormat="1">
      <c r="A13702" s="83"/>
      <c r="H13702" s="83"/>
      <c r="K13702" s="82"/>
      <c r="M13702" s="112"/>
      <c r="N13702" s="84"/>
    </row>
    <row r="13703" spans="1:14" s="2" customFormat="1">
      <c r="A13703" s="83"/>
      <c r="H13703" s="83"/>
      <c r="K13703" s="82"/>
      <c r="M13703" s="112"/>
      <c r="N13703" s="84"/>
    </row>
    <row r="13704" spans="1:14" s="2" customFormat="1">
      <c r="A13704" s="83"/>
      <c r="H13704" s="83"/>
      <c r="K13704" s="82"/>
      <c r="M13704" s="112"/>
      <c r="N13704" s="84"/>
    </row>
    <row r="13705" spans="1:14" s="2" customFormat="1">
      <c r="A13705" s="83"/>
      <c r="H13705" s="83"/>
      <c r="K13705" s="82"/>
      <c r="M13705" s="112"/>
      <c r="N13705" s="84"/>
    </row>
    <row r="13706" spans="1:14" s="2" customFormat="1">
      <c r="A13706" s="83"/>
      <c r="H13706" s="83"/>
      <c r="K13706" s="82"/>
      <c r="M13706" s="112"/>
      <c r="N13706" s="84"/>
    </row>
    <row r="13707" spans="1:14" s="2" customFormat="1">
      <c r="A13707" s="83"/>
      <c r="H13707" s="83"/>
      <c r="K13707" s="82"/>
      <c r="M13707" s="112"/>
      <c r="N13707" s="84"/>
    </row>
    <row r="13708" spans="1:14" s="2" customFormat="1">
      <c r="A13708" s="83"/>
      <c r="H13708" s="83"/>
      <c r="K13708" s="82"/>
      <c r="M13708" s="112"/>
      <c r="N13708" s="84"/>
    </row>
    <row r="13709" spans="1:14" s="2" customFormat="1">
      <c r="A13709" s="83"/>
      <c r="H13709" s="83"/>
      <c r="K13709" s="82"/>
      <c r="M13709" s="112"/>
      <c r="N13709" s="84"/>
    </row>
    <row r="13710" spans="1:14" s="2" customFormat="1">
      <c r="A13710" s="83"/>
      <c r="H13710" s="83"/>
      <c r="K13710" s="82"/>
      <c r="M13710" s="112"/>
      <c r="N13710" s="84"/>
    </row>
    <row r="13711" spans="1:14" s="2" customFormat="1">
      <c r="A13711" s="83"/>
      <c r="H13711" s="83"/>
      <c r="K13711" s="82"/>
      <c r="M13711" s="112"/>
      <c r="N13711" s="84"/>
    </row>
    <row r="13712" spans="1:14" s="2" customFormat="1">
      <c r="A13712" s="83"/>
      <c r="H13712" s="83"/>
      <c r="K13712" s="82"/>
      <c r="M13712" s="112"/>
      <c r="N13712" s="84"/>
    </row>
    <row r="13713" spans="1:14" s="2" customFormat="1">
      <c r="A13713" s="83"/>
      <c r="H13713" s="83"/>
      <c r="K13713" s="82"/>
      <c r="M13713" s="112"/>
      <c r="N13713" s="84"/>
    </row>
    <row r="13714" spans="1:14" s="2" customFormat="1">
      <c r="A13714" s="83"/>
      <c r="H13714" s="83"/>
      <c r="K13714" s="82"/>
      <c r="M13714" s="112"/>
      <c r="N13714" s="84"/>
    </row>
    <row r="13715" spans="1:14" s="2" customFormat="1">
      <c r="A13715" s="83"/>
      <c r="H13715" s="83"/>
      <c r="K13715" s="82"/>
      <c r="M13715" s="112"/>
      <c r="N13715" s="84"/>
    </row>
    <row r="13716" spans="1:14" s="2" customFormat="1">
      <c r="A13716" s="83"/>
      <c r="H13716" s="83"/>
      <c r="K13716" s="82"/>
      <c r="M13716" s="112"/>
      <c r="N13716" s="84"/>
    </row>
    <row r="13717" spans="1:14" s="2" customFormat="1">
      <c r="A13717" s="83"/>
      <c r="H13717" s="83"/>
      <c r="K13717" s="82"/>
      <c r="M13717" s="112"/>
      <c r="N13717" s="84"/>
    </row>
    <row r="13718" spans="1:14" s="2" customFormat="1">
      <c r="A13718" s="83"/>
      <c r="H13718" s="83"/>
      <c r="K13718" s="82"/>
      <c r="M13718" s="112"/>
      <c r="N13718" s="84"/>
    </row>
    <row r="13719" spans="1:14" s="2" customFormat="1">
      <c r="A13719" s="83"/>
      <c r="H13719" s="83"/>
      <c r="K13719" s="82"/>
      <c r="M13719" s="112"/>
      <c r="N13719" s="84"/>
    </row>
    <row r="13720" spans="1:14" s="2" customFormat="1">
      <c r="A13720" s="83"/>
      <c r="H13720" s="83"/>
      <c r="K13720" s="82"/>
      <c r="M13720" s="112"/>
      <c r="N13720" s="84"/>
    </row>
    <row r="13721" spans="1:14" s="2" customFormat="1">
      <c r="A13721" s="83"/>
      <c r="H13721" s="83"/>
      <c r="K13721" s="82"/>
      <c r="M13721" s="112"/>
      <c r="N13721" s="84"/>
    </row>
    <row r="13722" spans="1:14" s="2" customFormat="1">
      <c r="A13722" s="83"/>
      <c r="H13722" s="83"/>
      <c r="K13722" s="82"/>
      <c r="M13722" s="112"/>
      <c r="N13722" s="84"/>
    </row>
    <row r="13723" spans="1:14" s="2" customFormat="1">
      <c r="A13723" s="83"/>
      <c r="H13723" s="83"/>
      <c r="K13723" s="82"/>
      <c r="M13723" s="112"/>
      <c r="N13723" s="84"/>
    </row>
    <row r="13724" spans="1:14" s="2" customFormat="1">
      <c r="A13724" s="83"/>
      <c r="H13724" s="83"/>
      <c r="K13724" s="82"/>
      <c r="M13724" s="112"/>
      <c r="N13724" s="84"/>
    </row>
    <row r="13725" spans="1:14" s="2" customFormat="1">
      <c r="A13725" s="83"/>
      <c r="H13725" s="83"/>
      <c r="K13725" s="82"/>
      <c r="M13725" s="112"/>
      <c r="N13725" s="84"/>
    </row>
    <row r="13726" spans="1:14" s="2" customFormat="1">
      <c r="A13726" s="83"/>
      <c r="H13726" s="83"/>
      <c r="K13726" s="82"/>
      <c r="M13726" s="112"/>
      <c r="N13726" s="84"/>
    </row>
    <row r="13727" spans="1:14" s="2" customFormat="1">
      <c r="A13727" s="83"/>
      <c r="H13727" s="83"/>
      <c r="K13727" s="82"/>
      <c r="M13727" s="112"/>
      <c r="N13727" s="84"/>
    </row>
    <row r="13728" spans="1:14" s="2" customFormat="1">
      <c r="A13728" s="83"/>
      <c r="H13728" s="83"/>
      <c r="K13728" s="82"/>
      <c r="M13728" s="112"/>
      <c r="N13728" s="84"/>
    </row>
    <row r="13729" spans="1:14" s="2" customFormat="1">
      <c r="A13729" s="83"/>
      <c r="H13729" s="83"/>
      <c r="K13729" s="82"/>
      <c r="M13729" s="112"/>
      <c r="N13729" s="84"/>
    </row>
    <row r="13730" spans="1:14" s="2" customFormat="1">
      <c r="A13730" s="83"/>
      <c r="H13730" s="83"/>
      <c r="K13730" s="82"/>
      <c r="M13730" s="112"/>
      <c r="N13730" s="84"/>
    </row>
    <row r="13731" spans="1:14" s="2" customFormat="1">
      <c r="A13731" s="83"/>
      <c r="H13731" s="83"/>
      <c r="K13731" s="82"/>
      <c r="M13731" s="112"/>
      <c r="N13731" s="84"/>
    </row>
    <row r="13732" spans="1:14" s="2" customFormat="1">
      <c r="A13732" s="83"/>
      <c r="H13732" s="83"/>
      <c r="K13732" s="82"/>
      <c r="M13732" s="112"/>
      <c r="N13732" s="84"/>
    </row>
    <row r="13733" spans="1:14" s="2" customFormat="1">
      <c r="A13733" s="83"/>
      <c r="H13733" s="83"/>
      <c r="K13733" s="82"/>
      <c r="M13733" s="112"/>
      <c r="N13733" s="84"/>
    </row>
    <row r="13734" spans="1:14" s="2" customFormat="1">
      <c r="A13734" s="83"/>
      <c r="H13734" s="83"/>
      <c r="K13734" s="82"/>
      <c r="M13734" s="112"/>
      <c r="N13734" s="84"/>
    </row>
    <row r="13735" spans="1:14" s="2" customFormat="1">
      <c r="A13735" s="83"/>
      <c r="H13735" s="83"/>
      <c r="K13735" s="82"/>
      <c r="M13735" s="112"/>
      <c r="N13735" s="84"/>
    </row>
    <row r="13736" spans="1:14" s="2" customFormat="1">
      <c r="A13736" s="83"/>
      <c r="H13736" s="83"/>
      <c r="K13736" s="82"/>
      <c r="M13736" s="112"/>
      <c r="N13736" s="84"/>
    </row>
    <row r="13737" spans="1:14" s="2" customFormat="1">
      <c r="A13737" s="83"/>
      <c r="H13737" s="83"/>
      <c r="K13737" s="82"/>
      <c r="M13737" s="112"/>
      <c r="N13737" s="84"/>
    </row>
    <row r="13738" spans="1:14" s="2" customFormat="1">
      <c r="A13738" s="83"/>
      <c r="H13738" s="83"/>
      <c r="K13738" s="82"/>
      <c r="M13738" s="112"/>
      <c r="N13738" s="84"/>
    </row>
    <row r="13739" spans="1:14" s="2" customFormat="1">
      <c r="A13739" s="83"/>
      <c r="H13739" s="83"/>
      <c r="K13739" s="82"/>
      <c r="M13739" s="112"/>
      <c r="N13739" s="84"/>
    </row>
    <row r="13740" spans="1:14" s="2" customFormat="1">
      <c r="A13740" s="83"/>
      <c r="H13740" s="83"/>
      <c r="K13740" s="82"/>
      <c r="M13740" s="112"/>
      <c r="N13740" s="84"/>
    </row>
    <row r="13741" spans="1:14" s="2" customFormat="1">
      <c r="A13741" s="83"/>
      <c r="H13741" s="83"/>
      <c r="K13741" s="82"/>
      <c r="M13741" s="112"/>
      <c r="N13741" s="84"/>
    </row>
    <row r="13742" spans="1:14" s="2" customFormat="1">
      <c r="A13742" s="83"/>
      <c r="H13742" s="83"/>
      <c r="K13742" s="82"/>
      <c r="M13742" s="112"/>
      <c r="N13742" s="84"/>
    </row>
    <row r="13743" spans="1:14" s="2" customFormat="1">
      <c r="A13743" s="83"/>
      <c r="H13743" s="83"/>
      <c r="K13743" s="82"/>
      <c r="M13743" s="112"/>
      <c r="N13743" s="84"/>
    </row>
    <row r="13744" spans="1:14" s="2" customFormat="1">
      <c r="A13744" s="83"/>
      <c r="H13744" s="83"/>
      <c r="K13744" s="82"/>
      <c r="M13744" s="112"/>
      <c r="N13744" s="84"/>
    </row>
    <row r="13745" spans="1:14" s="2" customFormat="1">
      <c r="A13745" s="83"/>
      <c r="H13745" s="83"/>
      <c r="K13745" s="82"/>
      <c r="M13745" s="112"/>
      <c r="N13745" s="84"/>
    </row>
    <row r="13746" spans="1:14" s="2" customFormat="1">
      <c r="A13746" s="83"/>
      <c r="H13746" s="83"/>
      <c r="K13746" s="82"/>
      <c r="M13746" s="112"/>
      <c r="N13746" s="84"/>
    </row>
    <row r="13747" spans="1:14" s="2" customFormat="1">
      <c r="A13747" s="83"/>
      <c r="H13747" s="83"/>
      <c r="K13747" s="82"/>
      <c r="M13747" s="112"/>
      <c r="N13747" s="84"/>
    </row>
    <row r="13748" spans="1:14" s="2" customFormat="1">
      <c r="A13748" s="83"/>
      <c r="H13748" s="83"/>
      <c r="K13748" s="82"/>
      <c r="M13748" s="112"/>
      <c r="N13748" s="84"/>
    </row>
    <row r="13749" spans="1:14" s="2" customFormat="1">
      <c r="A13749" s="83"/>
      <c r="H13749" s="83"/>
      <c r="K13749" s="82"/>
      <c r="M13749" s="112"/>
      <c r="N13749" s="84"/>
    </row>
    <row r="13750" spans="1:14" s="2" customFormat="1">
      <c r="A13750" s="83"/>
      <c r="H13750" s="83"/>
      <c r="K13750" s="82"/>
      <c r="M13750" s="112"/>
      <c r="N13750" s="84"/>
    </row>
    <row r="13751" spans="1:14" s="2" customFormat="1">
      <c r="A13751" s="83"/>
      <c r="H13751" s="83"/>
      <c r="K13751" s="82"/>
      <c r="M13751" s="112"/>
      <c r="N13751" s="84"/>
    </row>
    <row r="13752" spans="1:14" s="2" customFormat="1">
      <c r="A13752" s="83"/>
      <c r="H13752" s="83"/>
      <c r="K13752" s="82"/>
      <c r="M13752" s="112"/>
      <c r="N13752" s="84"/>
    </row>
    <row r="13753" spans="1:14" s="2" customFormat="1">
      <c r="A13753" s="83"/>
      <c r="H13753" s="83"/>
      <c r="K13753" s="82"/>
      <c r="M13753" s="112"/>
      <c r="N13753" s="84"/>
    </row>
    <row r="13754" spans="1:14" s="2" customFormat="1">
      <c r="A13754" s="83"/>
      <c r="H13754" s="83"/>
      <c r="K13754" s="82"/>
      <c r="M13754" s="112"/>
      <c r="N13754" s="84"/>
    </row>
    <row r="13755" spans="1:14" s="2" customFormat="1">
      <c r="A13755" s="83"/>
      <c r="H13755" s="83"/>
      <c r="K13755" s="82"/>
      <c r="M13755" s="112"/>
      <c r="N13755" s="84"/>
    </row>
    <row r="13756" spans="1:14" s="2" customFormat="1">
      <c r="A13756" s="83"/>
      <c r="H13756" s="83"/>
      <c r="K13756" s="82"/>
      <c r="M13756" s="112"/>
      <c r="N13756" s="84"/>
    </row>
    <row r="13757" spans="1:14" s="2" customFormat="1">
      <c r="A13757" s="83"/>
      <c r="H13757" s="83"/>
      <c r="K13757" s="82"/>
      <c r="M13757" s="112"/>
      <c r="N13757" s="84"/>
    </row>
    <row r="13758" spans="1:14" s="2" customFormat="1">
      <c r="A13758" s="83"/>
      <c r="H13758" s="83"/>
      <c r="K13758" s="82"/>
      <c r="M13758" s="112"/>
      <c r="N13758" s="84"/>
    </row>
    <row r="13759" spans="1:14" s="2" customFormat="1">
      <c r="A13759" s="83"/>
      <c r="H13759" s="83"/>
      <c r="K13759" s="82"/>
      <c r="M13759" s="112"/>
      <c r="N13759" s="84"/>
    </row>
    <row r="13760" spans="1:14" s="2" customFormat="1">
      <c r="A13760" s="83"/>
      <c r="H13760" s="83"/>
      <c r="K13760" s="82"/>
      <c r="M13760" s="112"/>
      <c r="N13760" s="84"/>
    </row>
    <row r="13761" spans="1:14" s="2" customFormat="1">
      <c r="A13761" s="83"/>
      <c r="H13761" s="83"/>
      <c r="K13761" s="82"/>
      <c r="M13761" s="112"/>
      <c r="N13761" s="84"/>
    </row>
    <row r="13762" spans="1:14" s="2" customFormat="1">
      <c r="A13762" s="83"/>
      <c r="H13762" s="83"/>
      <c r="K13762" s="82"/>
      <c r="M13762" s="112"/>
      <c r="N13762" s="84"/>
    </row>
    <row r="13763" spans="1:14" s="2" customFormat="1">
      <c r="A13763" s="83"/>
      <c r="H13763" s="83"/>
      <c r="K13763" s="82"/>
      <c r="M13763" s="112"/>
      <c r="N13763" s="84"/>
    </row>
    <row r="13764" spans="1:14" s="2" customFormat="1">
      <c r="A13764" s="83"/>
      <c r="H13764" s="83"/>
      <c r="K13764" s="82"/>
      <c r="M13764" s="112"/>
      <c r="N13764" s="84"/>
    </row>
    <row r="13765" spans="1:14" s="2" customFormat="1">
      <c r="A13765" s="83"/>
      <c r="H13765" s="83"/>
      <c r="K13765" s="82"/>
      <c r="M13765" s="112"/>
      <c r="N13765" s="84"/>
    </row>
    <row r="13766" spans="1:14" s="2" customFormat="1">
      <c r="A13766" s="83"/>
      <c r="H13766" s="83"/>
      <c r="K13766" s="82"/>
      <c r="M13766" s="112"/>
      <c r="N13766" s="84"/>
    </row>
    <row r="13767" spans="1:14" s="2" customFormat="1">
      <c r="A13767" s="83"/>
      <c r="H13767" s="83"/>
      <c r="K13767" s="82"/>
      <c r="M13767" s="112"/>
      <c r="N13767" s="84"/>
    </row>
    <row r="13768" spans="1:14" s="2" customFormat="1">
      <c r="A13768" s="83"/>
      <c r="H13768" s="83"/>
      <c r="K13768" s="82"/>
      <c r="M13768" s="112"/>
      <c r="N13768" s="84"/>
    </row>
    <row r="13769" spans="1:14" s="2" customFormat="1">
      <c r="A13769" s="83"/>
      <c r="H13769" s="83"/>
      <c r="K13769" s="82"/>
      <c r="M13769" s="112"/>
      <c r="N13769" s="84"/>
    </row>
    <row r="13770" spans="1:14" s="2" customFormat="1">
      <c r="A13770" s="83"/>
      <c r="H13770" s="83"/>
      <c r="K13770" s="82"/>
      <c r="M13770" s="112"/>
      <c r="N13770" s="84"/>
    </row>
    <row r="13771" spans="1:14" s="2" customFormat="1">
      <c r="A13771" s="83"/>
      <c r="H13771" s="83"/>
      <c r="K13771" s="82"/>
      <c r="M13771" s="112"/>
      <c r="N13771" s="84"/>
    </row>
    <row r="13772" spans="1:14" s="2" customFormat="1">
      <c r="A13772" s="83"/>
      <c r="H13772" s="83"/>
      <c r="K13772" s="82"/>
      <c r="M13772" s="112"/>
      <c r="N13772" s="84"/>
    </row>
    <row r="13773" spans="1:14" s="2" customFormat="1">
      <c r="A13773" s="83"/>
      <c r="H13773" s="83"/>
      <c r="K13773" s="82"/>
      <c r="M13773" s="112"/>
      <c r="N13773" s="84"/>
    </row>
    <row r="13774" spans="1:14" s="2" customFormat="1">
      <c r="A13774" s="83"/>
      <c r="H13774" s="83"/>
      <c r="K13774" s="82"/>
      <c r="M13774" s="112"/>
      <c r="N13774" s="84"/>
    </row>
    <row r="13775" spans="1:14" s="2" customFormat="1">
      <c r="A13775" s="83"/>
      <c r="H13775" s="83"/>
      <c r="K13775" s="82"/>
      <c r="M13775" s="112"/>
      <c r="N13775" s="84"/>
    </row>
    <row r="13776" spans="1:14" s="2" customFormat="1">
      <c r="A13776" s="83"/>
      <c r="H13776" s="83"/>
      <c r="K13776" s="82"/>
      <c r="M13776" s="112"/>
      <c r="N13776" s="84"/>
    </row>
    <row r="13777" spans="1:14" s="2" customFormat="1">
      <c r="A13777" s="83"/>
      <c r="H13777" s="83"/>
      <c r="K13777" s="82"/>
      <c r="M13777" s="112"/>
      <c r="N13777" s="84"/>
    </row>
    <row r="13778" spans="1:14" s="2" customFormat="1">
      <c r="A13778" s="83"/>
      <c r="H13778" s="83"/>
      <c r="K13778" s="82"/>
      <c r="M13778" s="112"/>
      <c r="N13778" s="84"/>
    </row>
    <row r="13779" spans="1:14" s="2" customFormat="1">
      <c r="A13779" s="83"/>
      <c r="H13779" s="83"/>
      <c r="K13779" s="82"/>
      <c r="M13779" s="112"/>
      <c r="N13779" s="84"/>
    </row>
    <row r="13780" spans="1:14" s="2" customFormat="1">
      <c r="A13780" s="83"/>
      <c r="H13780" s="83"/>
      <c r="K13780" s="82"/>
      <c r="M13780" s="112"/>
      <c r="N13780" s="84"/>
    </row>
    <row r="13781" spans="1:14" s="2" customFormat="1">
      <c r="A13781" s="83"/>
      <c r="H13781" s="83"/>
      <c r="K13781" s="82"/>
      <c r="M13781" s="112"/>
      <c r="N13781" s="84"/>
    </row>
    <row r="13782" spans="1:14" s="2" customFormat="1">
      <c r="A13782" s="83"/>
      <c r="H13782" s="83"/>
      <c r="K13782" s="82"/>
      <c r="M13782" s="112"/>
      <c r="N13782" s="84"/>
    </row>
    <row r="13783" spans="1:14" s="2" customFormat="1">
      <c r="A13783" s="83"/>
      <c r="H13783" s="83"/>
      <c r="K13783" s="82"/>
      <c r="M13783" s="112"/>
      <c r="N13783" s="84"/>
    </row>
    <row r="13784" spans="1:14" s="2" customFormat="1">
      <c r="A13784" s="83"/>
      <c r="H13784" s="83"/>
      <c r="K13784" s="82"/>
      <c r="M13784" s="112"/>
      <c r="N13784" s="84"/>
    </row>
    <row r="13785" spans="1:14" s="2" customFormat="1">
      <c r="A13785" s="83"/>
      <c r="H13785" s="83"/>
      <c r="K13785" s="82"/>
      <c r="M13785" s="112"/>
      <c r="N13785" s="84"/>
    </row>
    <row r="13786" spans="1:14" s="2" customFormat="1">
      <c r="A13786" s="83"/>
      <c r="H13786" s="83"/>
      <c r="K13786" s="82"/>
      <c r="M13786" s="112"/>
      <c r="N13786" s="84"/>
    </row>
    <row r="13787" spans="1:14" s="2" customFormat="1">
      <c r="A13787" s="83"/>
      <c r="H13787" s="83"/>
      <c r="K13787" s="82"/>
      <c r="M13787" s="112"/>
      <c r="N13787" s="84"/>
    </row>
    <row r="13788" spans="1:14" s="2" customFormat="1">
      <c r="A13788" s="83"/>
      <c r="H13788" s="83"/>
      <c r="K13788" s="82"/>
      <c r="M13788" s="112"/>
      <c r="N13788" s="84"/>
    </row>
    <row r="13789" spans="1:14" s="2" customFormat="1">
      <c r="A13789" s="83"/>
      <c r="H13789" s="83"/>
      <c r="K13789" s="82"/>
      <c r="M13789" s="112"/>
      <c r="N13789" s="84"/>
    </row>
    <row r="13790" spans="1:14" s="2" customFormat="1">
      <c r="A13790" s="83"/>
      <c r="H13790" s="83"/>
      <c r="K13790" s="82"/>
      <c r="M13790" s="112"/>
      <c r="N13790" s="84"/>
    </row>
    <row r="13791" spans="1:14" s="2" customFormat="1">
      <c r="A13791" s="83"/>
      <c r="H13791" s="83"/>
      <c r="K13791" s="82"/>
      <c r="M13791" s="112"/>
      <c r="N13791" s="84"/>
    </row>
    <row r="13792" spans="1:14" s="2" customFormat="1">
      <c r="A13792" s="83"/>
      <c r="H13792" s="83"/>
      <c r="K13792" s="82"/>
      <c r="M13792" s="112"/>
      <c r="N13792" s="84"/>
    </row>
    <row r="13793" spans="1:14" s="2" customFormat="1">
      <c r="A13793" s="83"/>
      <c r="H13793" s="83"/>
      <c r="K13793" s="82"/>
      <c r="M13793" s="112"/>
      <c r="N13793" s="84"/>
    </row>
    <row r="13794" spans="1:14" s="2" customFormat="1">
      <c r="A13794" s="83"/>
      <c r="H13794" s="83"/>
      <c r="K13794" s="82"/>
      <c r="M13794" s="112"/>
      <c r="N13794" s="84"/>
    </row>
    <row r="13795" spans="1:14" s="2" customFormat="1">
      <c r="A13795" s="83"/>
      <c r="H13795" s="83"/>
      <c r="K13795" s="82"/>
      <c r="M13795" s="112"/>
      <c r="N13795" s="84"/>
    </row>
    <row r="13796" spans="1:14" s="2" customFormat="1">
      <c r="A13796" s="83"/>
      <c r="H13796" s="83"/>
      <c r="K13796" s="82"/>
      <c r="M13796" s="112"/>
      <c r="N13796" s="84"/>
    </row>
    <row r="13797" spans="1:14" s="2" customFormat="1">
      <c r="A13797" s="83"/>
      <c r="H13797" s="83"/>
      <c r="K13797" s="82"/>
      <c r="M13797" s="112"/>
      <c r="N13797" s="84"/>
    </row>
    <row r="13798" spans="1:14" s="2" customFormat="1">
      <c r="A13798" s="83"/>
      <c r="H13798" s="83"/>
      <c r="K13798" s="82"/>
      <c r="M13798" s="112"/>
      <c r="N13798" s="84"/>
    </row>
    <row r="13799" spans="1:14" s="2" customFormat="1">
      <c r="A13799" s="83"/>
      <c r="H13799" s="83"/>
      <c r="K13799" s="82"/>
      <c r="M13799" s="112"/>
      <c r="N13799" s="84"/>
    </row>
    <row r="13800" spans="1:14" s="2" customFormat="1">
      <c r="A13800" s="83"/>
      <c r="H13800" s="83"/>
      <c r="K13800" s="82"/>
      <c r="M13800" s="112"/>
      <c r="N13800" s="84"/>
    </row>
    <row r="13801" spans="1:14" s="2" customFormat="1">
      <c r="A13801" s="83"/>
      <c r="H13801" s="83"/>
      <c r="K13801" s="82"/>
      <c r="M13801" s="112"/>
      <c r="N13801" s="84"/>
    </row>
    <row r="13802" spans="1:14" s="2" customFormat="1">
      <c r="A13802" s="83"/>
      <c r="H13802" s="83"/>
      <c r="K13802" s="82"/>
      <c r="M13802" s="112"/>
      <c r="N13802" s="84"/>
    </row>
    <row r="13803" spans="1:14" s="2" customFormat="1">
      <c r="A13803" s="83"/>
      <c r="H13803" s="83"/>
      <c r="K13803" s="82"/>
      <c r="M13803" s="112"/>
      <c r="N13803" s="84"/>
    </row>
    <row r="13804" spans="1:14" s="2" customFormat="1">
      <c r="A13804" s="83"/>
      <c r="H13804" s="83"/>
      <c r="K13804" s="82"/>
      <c r="M13804" s="112"/>
      <c r="N13804" s="84"/>
    </row>
    <row r="13805" spans="1:14" s="2" customFormat="1">
      <c r="A13805" s="83"/>
      <c r="H13805" s="83"/>
      <c r="K13805" s="82"/>
      <c r="M13805" s="112"/>
      <c r="N13805" s="84"/>
    </row>
    <row r="13806" spans="1:14" s="2" customFormat="1">
      <c r="A13806" s="83"/>
      <c r="H13806" s="83"/>
      <c r="K13806" s="82"/>
      <c r="M13806" s="112"/>
      <c r="N13806" s="84"/>
    </row>
    <row r="13807" spans="1:14" s="2" customFormat="1">
      <c r="A13807" s="83"/>
      <c r="H13807" s="83"/>
      <c r="K13807" s="82"/>
      <c r="M13807" s="112"/>
      <c r="N13807" s="84"/>
    </row>
    <row r="13808" spans="1:14" s="2" customFormat="1">
      <c r="A13808" s="83"/>
      <c r="H13808" s="83"/>
      <c r="K13808" s="82"/>
      <c r="M13808" s="112"/>
      <c r="N13808" s="84"/>
    </row>
    <row r="13809" spans="1:14" s="2" customFormat="1">
      <c r="A13809" s="83"/>
      <c r="H13809" s="83"/>
      <c r="K13809" s="82"/>
      <c r="M13809" s="112"/>
      <c r="N13809" s="84"/>
    </row>
    <row r="13810" spans="1:14" s="2" customFormat="1">
      <c r="A13810" s="83"/>
      <c r="H13810" s="83"/>
      <c r="K13810" s="82"/>
      <c r="M13810" s="112"/>
      <c r="N13810" s="84"/>
    </row>
    <row r="13811" spans="1:14" s="2" customFormat="1">
      <c r="A13811" s="83"/>
      <c r="H13811" s="83"/>
      <c r="K13811" s="82"/>
      <c r="M13811" s="112"/>
      <c r="N13811" s="84"/>
    </row>
    <row r="13812" spans="1:14" s="2" customFormat="1">
      <c r="A13812" s="83"/>
      <c r="H13812" s="83"/>
      <c r="K13812" s="82"/>
      <c r="M13812" s="112"/>
      <c r="N13812" s="84"/>
    </row>
    <row r="13813" spans="1:14" s="2" customFormat="1">
      <c r="A13813" s="83"/>
      <c r="H13813" s="83"/>
      <c r="K13813" s="82"/>
      <c r="M13813" s="112"/>
      <c r="N13813" s="84"/>
    </row>
    <row r="13814" spans="1:14" s="2" customFormat="1">
      <c r="A13814" s="83"/>
      <c r="H13814" s="83"/>
      <c r="K13814" s="82"/>
      <c r="M13814" s="112"/>
      <c r="N13814" s="84"/>
    </row>
    <row r="13815" spans="1:14" s="2" customFormat="1">
      <c r="A13815" s="83"/>
      <c r="H13815" s="83"/>
      <c r="K13815" s="82"/>
      <c r="M13815" s="112"/>
      <c r="N13815" s="84"/>
    </row>
    <row r="13816" spans="1:14" s="2" customFormat="1">
      <c r="A13816" s="83"/>
      <c r="H13816" s="83"/>
      <c r="K13816" s="82"/>
      <c r="M13816" s="112"/>
      <c r="N13816" s="84"/>
    </row>
    <row r="13817" spans="1:14" s="2" customFormat="1">
      <c r="A13817" s="83"/>
      <c r="H13817" s="83"/>
      <c r="K13817" s="82"/>
      <c r="M13817" s="112"/>
      <c r="N13817" s="84"/>
    </row>
    <row r="13818" spans="1:14" s="2" customFormat="1">
      <c r="A13818" s="83"/>
      <c r="H13818" s="83"/>
      <c r="K13818" s="82"/>
      <c r="M13818" s="112"/>
      <c r="N13818" s="84"/>
    </row>
    <row r="13819" spans="1:14" s="2" customFormat="1">
      <c r="A13819" s="83"/>
      <c r="H13819" s="83"/>
      <c r="K13819" s="82"/>
      <c r="M13819" s="112"/>
      <c r="N13819" s="84"/>
    </row>
    <row r="13820" spans="1:14" s="2" customFormat="1">
      <c r="A13820" s="83"/>
      <c r="H13820" s="83"/>
      <c r="K13820" s="82"/>
      <c r="M13820" s="112"/>
      <c r="N13820" s="84"/>
    </row>
    <row r="13821" spans="1:14" s="2" customFormat="1">
      <c r="A13821" s="83"/>
      <c r="H13821" s="83"/>
      <c r="K13821" s="82"/>
      <c r="M13821" s="112"/>
      <c r="N13821" s="84"/>
    </row>
    <row r="13822" spans="1:14" s="2" customFormat="1">
      <c r="A13822" s="83"/>
      <c r="H13822" s="83"/>
      <c r="K13822" s="82"/>
      <c r="M13822" s="112"/>
      <c r="N13822" s="84"/>
    </row>
    <row r="13823" spans="1:14" s="2" customFormat="1">
      <c r="A13823" s="83"/>
      <c r="H13823" s="83"/>
      <c r="K13823" s="82"/>
      <c r="M13823" s="112"/>
      <c r="N13823" s="84"/>
    </row>
    <row r="13824" spans="1:14" s="2" customFormat="1">
      <c r="A13824" s="83"/>
      <c r="H13824" s="83"/>
      <c r="K13824" s="82"/>
      <c r="M13824" s="112"/>
      <c r="N13824" s="84"/>
    </row>
    <row r="13825" spans="1:14" s="2" customFormat="1">
      <c r="A13825" s="83"/>
      <c r="H13825" s="83"/>
      <c r="K13825" s="82"/>
      <c r="M13825" s="112"/>
      <c r="N13825" s="84"/>
    </row>
    <row r="13826" spans="1:14" s="2" customFormat="1">
      <c r="A13826" s="83"/>
      <c r="H13826" s="83"/>
      <c r="K13826" s="82"/>
      <c r="M13826" s="112"/>
      <c r="N13826" s="84"/>
    </row>
    <row r="13827" spans="1:14" s="2" customFormat="1">
      <c r="A13827" s="83"/>
      <c r="H13827" s="83"/>
      <c r="K13827" s="82"/>
      <c r="M13827" s="112"/>
      <c r="N13827" s="84"/>
    </row>
    <row r="13828" spans="1:14" s="2" customFormat="1">
      <c r="A13828" s="83"/>
      <c r="H13828" s="83"/>
      <c r="K13828" s="82"/>
      <c r="M13828" s="112"/>
      <c r="N13828" s="84"/>
    </row>
    <row r="13829" spans="1:14" s="2" customFormat="1">
      <c r="A13829" s="83"/>
      <c r="H13829" s="83"/>
      <c r="K13829" s="82"/>
      <c r="M13829" s="112"/>
      <c r="N13829" s="84"/>
    </row>
    <row r="13830" spans="1:14" s="2" customFormat="1">
      <c r="A13830" s="83"/>
      <c r="H13830" s="83"/>
      <c r="K13830" s="82"/>
      <c r="M13830" s="112"/>
      <c r="N13830" s="84"/>
    </row>
    <row r="13831" spans="1:14" s="2" customFormat="1">
      <c r="A13831" s="83"/>
      <c r="H13831" s="83"/>
      <c r="K13831" s="82"/>
      <c r="M13831" s="112"/>
      <c r="N13831" s="84"/>
    </row>
    <row r="13832" spans="1:14" s="2" customFormat="1">
      <c r="A13832" s="83"/>
      <c r="H13832" s="83"/>
      <c r="K13832" s="82"/>
      <c r="M13832" s="112"/>
      <c r="N13832" s="84"/>
    </row>
    <row r="13833" spans="1:14" s="2" customFormat="1">
      <c r="A13833" s="83"/>
      <c r="H13833" s="83"/>
      <c r="K13833" s="82"/>
      <c r="M13833" s="112"/>
      <c r="N13833" s="84"/>
    </row>
    <row r="13834" spans="1:14" s="2" customFormat="1">
      <c r="A13834" s="83"/>
      <c r="H13834" s="83"/>
      <c r="K13834" s="82"/>
      <c r="M13834" s="112"/>
      <c r="N13834" s="84"/>
    </row>
    <row r="13835" spans="1:14" s="2" customFormat="1">
      <c r="A13835" s="83"/>
      <c r="H13835" s="83"/>
      <c r="K13835" s="82"/>
      <c r="M13835" s="112"/>
      <c r="N13835" s="84"/>
    </row>
    <row r="13836" spans="1:14" s="2" customFormat="1">
      <c r="A13836" s="83"/>
      <c r="H13836" s="83"/>
      <c r="K13836" s="82"/>
      <c r="M13836" s="112"/>
      <c r="N13836" s="84"/>
    </row>
    <row r="13837" spans="1:14" s="2" customFormat="1">
      <c r="A13837" s="83"/>
      <c r="H13837" s="83"/>
      <c r="K13837" s="82"/>
      <c r="M13837" s="112"/>
      <c r="N13837" s="84"/>
    </row>
    <row r="13838" spans="1:14" s="2" customFormat="1">
      <c r="A13838" s="83"/>
      <c r="H13838" s="83"/>
      <c r="K13838" s="82"/>
      <c r="M13838" s="112"/>
      <c r="N13838" s="84"/>
    </row>
    <row r="13839" spans="1:14" s="2" customFormat="1">
      <c r="A13839" s="83"/>
      <c r="H13839" s="83"/>
      <c r="K13839" s="82"/>
      <c r="M13839" s="112"/>
      <c r="N13839" s="84"/>
    </row>
    <row r="13840" spans="1:14" s="2" customFormat="1">
      <c r="A13840" s="83"/>
      <c r="H13840" s="83"/>
      <c r="K13840" s="82"/>
      <c r="M13840" s="112"/>
      <c r="N13840" s="84"/>
    </row>
    <row r="13841" spans="1:14" s="2" customFormat="1">
      <c r="A13841" s="83"/>
      <c r="H13841" s="83"/>
      <c r="K13841" s="82"/>
      <c r="M13841" s="112"/>
      <c r="N13841" s="84"/>
    </row>
    <row r="13842" spans="1:14" s="2" customFormat="1">
      <c r="A13842" s="83"/>
      <c r="H13842" s="83"/>
      <c r="K13842" s="82"/>
      <c r="M13842" s="112"/>
      <c r="N13842" s="84"/>
    </row>
    <row r="13843" spans="1:14" s="2" customFormat="1">
      <c r="A13843" s="83"/>
      <c r="H13843" s="83"/>
      <c r="K13843" s="82"/>
      <c r="M13843" s="112"/>
      <c r="N13843" s="84"/>
    </row>
    <row r="13844" spans="1:14" s="2" customFormat="1">
      <c r="A13844" s="83"/>
      <c r="H13844" s="83"/>
      <c r="K13844" s="82"/>
      <c r="M13844" s="112"/>
      <c r="N13844" s="84"/>
    </row>
    <row r="13845" spans="1:14" s="2" customFormat="1">
      <c r="A13845" s="83"/>
      <c r="H13845" s="83"/>
      <c r="K13845" s="82"/>
      <c r="M13845" s="112"/>
      <c r="N13845" s="84"/>
    </row>
    <row r="13846" spans="1:14" s="2" customFormat="1">
      <c r="A13846" s="83"/>
      <c r="H13846" s="83"/>
      <c r="K13846" s="82"/>
      <c r="M13846" s="112"/>
      <c r="N13846" s="84"/>
    </row>
    <row r="13847" spans="1:14" s="2" customFormat="1">
      <c r="A13847" s="83"/>
      <c r="H13847" s="83"/>
      <c r="K13847" s="82"/>
      <c r="M13847" s="112"/>
      <c r="N13847" s="84"/>
    </row>
    <row r="13848" spans="1:14" s="2" customFormat="1">
      <c r="A13848" s="83"/>
      <c r="H13848" s="83"/>
      <c r="K13848" s="82"/>
      <c r="M13848" s="112"/>
      <c r="N13848" s="84"/>
    </row>
    <row r="13849" spans="1:14" s="2" customFormat="1">
      <c r="A13849" s="83"/>
      <c r="H13849" s="83"/>
      <c r="K13849" s="82"/>
      <c r="M13849" s="112"/>
      <c r="N13849" s="84"/>
    </row>
    <row r="13850" spans="1:14" s="2" customFormat="1">
      <c r="A13850" s="83"/>
      <c r="H13850" s="83"/>
      <c r="K13850" s="82"/>
      <c r="M13850" s="112"/>
      <c r="N13850" s="84"/>
    </row>
    <row r="13851" spans="1:14" s="2" customFormat="1">
      <c r="A13851" s="83"/>
      <c r="H13851" s="83"/>
      <c r="K13851" s="82"/>
      <c r="M13851" s="112"/>
      <c r="N13851" s="84"/>
    </row>
    <row r="13852" spans="1:14" s="2" customFormat="1">
      <c r="A13852" s="83"/>
      <c r="H13852" s="83"/>
      <c r="K13852" s="82"/>
      <c r="M13852" s="112"/>
      <c r="N13852" s="84"/>
    </row>
    <row r="13853" spans="1:14" s="2" customFormat="1">
      <c r="A13853" s="83"/>
      <c r="H13853" s="83"/>
      <c r="K13853" s="82"/>
      <c r="M13853" s="112"/>
      <c r="N13853" s="84"/>
    </row>
    <row r="13854" spans="1:14" s="2" customFormat="1">
      <c r="A13854" s="83"/>
      <c r="H13854" s="83"/>
      <c r="K13854" s="82"/>
      <c r="M13854" s="112"/>
      <c r="N13854" s="84"/>
    </row>
    <row r="13855" spans="1:14" s="2" customFormat="1">
      <c r="A13855" s="83"/>
      <c r="H13855" s="83"/>
      <c r="K13855" s="82"/>
      <c r="M13855" s="112"/>
      <c r="N13855" s="84"/>
    </row>
    <row r="13856" spans="1:14" s="2" customFormat="1">
      <c r="A13856" s="83"/>
      <c r="H13856" s="83"/>
      <c r="K13856" s="82"/>
      <c r="M13856" s="112"/>
      <c r="N13856" s="84"/>
    </row>
    <row r="13857" spans="1:14" s="2" customFormat="1">
      <c r="A13857" s="83"/>
      <c r="H13857" s="83"/>
      <c r="K13857" s="82"/>
      <c r="M13857" s="112"/>
      <c r="N13857" s="84"/>
    </row>
    <row r="13858" spans="1:14" s="2" customFormat="1">
      <c r="A13858" s="83"/>
      <c r="H13858" s="83"/>
      <c r="K13858" s="82"/>
      <c r="M13858" s="112"/>
      <c r="N13858" s="84"/>
    </row>
    <row r="13859" spans="1:14" s="2" customFormat="1">
      <c r="A13859" s="83"/>
      <c r="H13859" s="83"/>
      <c r="K13859" s="82"/>
      <c r="M13859" s="112"/>
      <c r="N13859" s="84"/>
    </row>
    <row r="13860" spans="1:14" s="2" customFormat="1">
      <c r="A13860" s="83"/>
      <c r="H13860" s="83"/>
      <c r="K13860" s="82"/>
      <c r="M13860" s="112"/>
      <c r="N13860" s="84"/>
    </row>
    <row r="13861" spans="1:14" s="2" customFormat="1">
      <c r="A13861" s="83"/>
      <c r="H13861" s="83"/>
      <c r="K13861" s="82"/>
      <c r="M13861" s="112"/>
      <c r="N13861" s="84"/>
    </row>
    <row r="13862" spans="1:14" s="2" customFormat="1">
      <c r="A13862" s="83"/>
      <c r="H13862" s="83"/>
      <c r="K13862" s="82"/>
      <c r="M13862" s="112"/>
      <c r="N13862" s="84"/>
    </row>
    <row r="13863" spans="1:14" s="2" customFormat="1">
      <c r="A13863" s="83"/>
      <c r="H13863" s="83"/>
      <c r="K13863" s="82"/>
      <c r="M13863" s="112"/>
      <c r="N13863" s="84"/>
    </row>
    <row r="13864" spans="1:14" s="2" customFormat="1">
      <c r="A13864" s="83"/>
      <c r="H13864" s="83"/>
      <c r="K13864" s="82"/>
      <c r="M13864" s="112"/>
      <c r="N13864" s="84"/>
    </row>
    <row r="13865" spans="1:14" s="2" customFormat="1">
      <c r="A13865" s="83"/>
      <c r="H13865" s="83"/>
      <c r="K13865" s="82"/>
      <c r="M13865" s="112"/>
      <c r="N13865" s="84"/>
    </row>
    <row r="13866" spans="1:14" s="2" customFormat="1">
      <c r="A13866" s="83"/>
      <c r="H13866" s="83"/>
      <c r="K13866" s="82"/>
      <c r="M13866" s="112"/>
      <c r="N13866" s="84"/>
    </row>
    <row r="13867" spans="1:14" s="2" customFormat="1">
      <c r="A13867" s="83"/>
      <c r="H13867" s="83"/>
      <c r="K13867" s="82"/>
      <c r="M13867" s="112"/>
      <c r="N13867" s="84"/>
    </row>
    <row r="13868" spans="1:14" s="2" customFormat="1">
      <c r="A13868" s="83"/>
      <c r="H13868" s="83"/>
      <c r="K13868" s="82"/>
      <c r="M13868" s="112"/>
      <c r="N13868" s="84"/>
    </row>
    <row r="13869" spans="1:14" s="2" customFormat="1">
      <c r="A13869" s="83"/>
      <c r="H13869" s="83"/>
      <c r="K13869" s="82"/>
      <c r="M13869" s="112"/>
      <c r="N13869" s="84"/>
    </row>
    <row r="13870" spans="1:14" s="2" customFormat="1">
      <c r="A13870" s="83"/>
      <c r="H13870" s="83"/>
      <c r="K13870" s="82"/>
      <c r="M13870" s="112"/>
      <c r="N13870" s="84"/>
    </row>
    <row r="13871" spans="1:14" s="2" customFormat="1">
      <c r="A13871" s="83"/>
      <c r="H13871" s="83"/>
      <c r="K13871" s="82"/>
      <c r="M13871" s="112"/>
      <c r="N13871" s="84"/>
    </row>
    <row r="13872" spans="1:14" s="2" customFormat="1">
      <c r="A13872" s="83"/>
      <c r="H13872" s="83"/>
      <c r="K13872" s="82"/>
      <c r="M13872" s="112"/>
      <c r="N13872" s="84"/>
    </row>
    <row r="13873" spans="1:14" s="2" customFormat="1">
      <c r="A13873" s="83"/>
      <c r="H13873" s="83"/>
      <c r="K13873" s="82"/>
      <c r="M13873" s="112"/>
      <c r="N13873" s="84"/>
    </row>
    <row r="13874" spans="1:14" s="2" customFormat="1">
      <c r="A13874" s="83"/>
      <c r="H13874" s="83"/>
      <c r="K13874" s="82"/>
      <c r="M13874" s="112"/>
      <c r="N13874" s="84"/>
    </row>
    <row r="13875" spans="1:14" s="2" customFormat="1">
      <c r="A13875" s="83"/>
      <c r="H13875" s="83"/>
      <c r="K13875" s="82"/>
      <c r="M13875" s="112"/>
      <c r="N13875" s="84"/>
    </row>
    <row r="13876" spans="1:14" s="2" customFormat="1">
      <c r="A13876" s="83"/>
      <c r="H13876" s="83"/>
      <c r="K13876" s="82"/>
      <c r="M13876" s="112"/>
      <c r="N13876" s="84"/>
    </row>
    <row r="13877" spans="1:14" s="2" customFormat="1">
      <c r="A13877" s="83"/>
      <c r="H13877" s="83"/>
      <c r="K13877" s="82"/>
      <c r="M13877" s="112"/>
      <c r="N13877" s="84"/>
    </row>
    <row r="13878" spans="1:14" s="2" customFormat="1">
      <c r="A13878" s="83"/>
      <c r="H13878" s="83"/>
      <c r="K13878" s="82"/>
      <c r="M13878" s="112"/>
      <c r="N13878" s="84"/>
    </row>
    <row r="13879" spans="1:14" s="2" customFormat="1">
      <c r="A13879" s="83"/>
      <c r="H13879" s="83"/>
      <c r="K13879" s="82"/>
      <c r="M13879" s="112"/>
      <c r="N13879" s="84"/>
    </row>
    <row r="13880" spans="1:14" s="2" customFormat="1">
      <c r="A13880" s="83"/>
      <c r="H13880" s="83"/>
      <c r="K13880" s="82"/>
      <c r="M13880" s="112"/>
      <c r="N13880" s="84"/>
    </row>
    <row r="13881" spans="1:14" s="2" customFormat="1">
      <c r="A13881" s="83"/>
      <c r="H13881" s="83"/>
      <c r="K13881" s="82"/>
      <c r="M13881" s="112"/>
      <c r="N13881" s="84"/>
    </row>
    <row r="13882" spans="1:14" s="2" customFormat="1">
      <c r="A13882" s="83"/>
      <c r="H13882" s="83"/>
      <c r="K13882" s="82"/>
      <c r="M13882" s="112"/>
      <c r="N13882" s="84"/>
    </row>
    <row r="13883" spans="1:14" s="2" customFormat="1">
      <c r="A13883" s="83"/>
      <c r="H13883" s="83"/>
      <c r="K13883" s="82"/>
      <c r="M13883" s="112"/>
      <c r="N13883" s="84"/>
    </row>
    <row r="13884" spans="1:14" s="2" customFormat="1">
      <c r="A13884" s="83"/>
      <c r="H13884" s="83"/>
      <c r="K13884" s="82"/>
      <c r="M13884" s="112"/>
      <c r="N13884" s="84"/>
    </row>
    <row r="13885" spans="1:14" s="2" customFormat="1">
      <c r="A13885" s="83"/>
      <c r="H13885" s="83"/>
      <c r="K13885" s="82"/>
      <c r="M13885" s="112"/>
      <c r="N13885" s="84"/>
    </row>
    <row r="13886" spans="1:14" s="2" customFormat="1">
      <c r="A13886" s="83"/>
      <c r="H13886" s="83"/>
      <c r="K13886" s="82"/>
      <c r="M13886" s="112"/>
      <c r="N13886" s="84"/>
    </row>
    <row r="13887" spans="1:14" s="2" customFormat="1">
      <c r="A13887" s="83"/>
      <c r="H13887" s="83"/>
      <c r="K13887" s="82"/>
      <c r="M13887" s="112"/>
      <c r="N13887" s="84"/>
    </row>
    <row r="13888" spans="1:14" s="2" customFormat="1">
      <c r="A13888" s="83"/>
      <c r="H13888" s="83"/>
      <c r="K13888" s="82"/>
      <c r="M13888" s="112"/>
      <c r="N13888" s="84"/>
    </row>
    <row r="13889" spans="1:14" s="2" customFormat="1">
      <c r="A13889" s="83"/>
      <c r="H13889" s="83"/>
      <c r="K13889" s="82"/>
      <c r="M13889" s="112"/>
      <c r="N13889" s="84"/>
    </row>
    <row r="13890" spans="1:14" s="2" customFormat="1">
      <c r="A13890" s="83"/>
      <c r="H13890" s="83"/>
      <c r="K13890" s="82"/>
      <c r="M13890" s="112"/>
      <c r="N13890" s="84"/>
    </row>
    <row r="13891" spans="1:14" s="2" customFormat="1">
      <c r="A13891" s="83"/>
      <c r="H13891" s="83"/>
      <c r="K13891" s="82"/>
      <c r="M13891" s="112"/>
      <c r="N13891" s="84"/>
    </row>
    <row r="13892" spans="1:14" s="2" customFormat="1">
      <c r="A13892" s="83"/>
      <c r="H13892" s="83"/>
      <c r="K13892" s="82"/>
      <c r="M13892" s="112"/>
      <c r="N13892" s="84"/>
    </row>
    <row r="13893" spans="1:14" s="2" customFormat="1">
      <c r="A13893" s="83"/>
      <c r="H13893" s="83"/>
      <c r="K13893" s="82"/>
      <c r="M13893" s="112"/>
      <c r="N13893" s="84"/>
    </row>
    <row r="13894" spans="1:14" s="2" customFormat="1">
      <c r="A13894" s="83"/>
      <c r="H13894" s="83"/>
      <c r="K13894" s="82"/>
      <c r="M13894" s="112"/>
      <c r="N13894" s="84"/>
    </row>
    <row r="13895" spans="1:14" s="2" customFormat="1">
      <c r="A13895" s="83"/>
      <c r="H13895" s="83"/>
      <c r="K13895" s="82"/>
      <c r="M13895" s="112"/>
      <c r="N13895" s="84"/>
    </row>
    <row r="13896" spans="1:14" s="2" customFormat="1">
      <c r="A13896" s="83"/>
      <c r="H13896" s="83"/>
      <c r="K13896" s="82"/>
      <c r="M13896" s="112"/>
      <c r="N13896" s="84"/>
    </row>
    <row r="13897" spans="1:14" s="2" customFormat="1">
      <c r="A13897" s="83"/>
      <c r="H13897" s="83"/>
      <c r="K13897" s="82"/>
      <c r="M13897" s="112"/>
      <c r="N13897" s="84"/>
    </row>
    <row r="13898" spans="1:14" s="2" customFormat="1">
      <c r="A13898" s="83"/>
      <c r="H13898" s="83"/>
      <c r="K13898" s="82"/>
      <c r="M13898" s="112"/>
      <c r="N13898" s="84"/>
    </row>
    <row r="13899" spans="1:14" s="2" customFormat="1">
      <c r="A13899" s="83"/>
      <c r="H13899" s="83"/>
      <c r="K13899" s="82"/>
      <c r="M13899" s="112"/>
      <c r="N13899" s="84"/>
    </row>
    <row r="13900" spans="1:14" s="2" customFormat="1">
      <c r="A13900" s="83"/>
      <c r="H13900" s="83"/>
      <c r="K13900" s="82"/>
      <c r="M13900" s="112"/>
      <c r="N13900" s="84"/>
    </row>
    <row r="13901" spans="1:14" s="2" customFormat="1">
      <c r="A13901" s="83"/>
      <c r="H13901" s="83"/>
      <c r="K13901" s="82"/>
      <c r="M13901" s="112"/>
      <c r="N13901" s="84"/>
    </row>
    <row r="13902" spans="1:14" s="2" customFormat="1">
      <c r="A13902" s="83"/>
      <c r="H13902" s="83"/>
      <c r="K13902" s="82"/>
      <c r="M13902" s="112"/>
      <c r="N13902" s="84"/>
    </row>
    <row r="13903" spans="1:14" s="2" customFormat="1">
      <c r="A13903" s="83"/>
      <c r="H13903" s="83"/>
      <c r="K13903" s="82"/>
      <c r="M13903" s="112"/>
      <c r="N13903" s="84"/>
    </row>
    <row r="13904" spans="1:14" s="2" customFormat="1">
      <c r="A13904" s="83"/>
      <c r="H13904" s="83"/>
      <c r="K13904" s="82"/>
      <c r="M13904" s="112"/>
      <c r="N13904" s="84"/>
    </row>
    <row r="13905" spans="1:14" s="2" customFormat="1">
      <c r="A13905" s="83"/>
      <c r="H13905" s="83"/>
      <c r="K13905" s="82"/>
      <c r="M13905" s="112"/>
      <c r="N13905" s="84"/>
    </row>
    <row r="13906" spans="1:14" s="2" customFormat="1">
      <c r="A13906" s="83"/>
      <c r="H13906" s="83"/>
      <c r="K13906" s="82"/>
      <c r="M13906" s="112"/>
      <c r="N13906" s="84"/>
    </row>
    <row r="13907" spans="1:14" s="2" customFormat="1">
      <c r="A13907" s="83"/>
      <c r="H13907" s="83"/>
      <c r="K13907" s="82"/>
      <c r="M13907" s="112"/>
      <c r="N13907" s="84"/>
    </row>
    <row r="13908" spans="1:14" s="2" customFormat="1">
      <c r="A13908" s="83"/>
      <c r="H13908" s="83"/>
      <c r="K13908" s="82"/>
      <c r="M13908" s="112"/>
      <c r="N13908" s="84"/>
    </row>
    <row r="13909" spans="1:14" s="2" customFormat="1">
      <c r="A13909" s="83"/>
      <c r="H13909" s="83"/>
      <c r="K13909" s="82"/>
      <c r="M13909" s="112"/>
      <c r="N13909" s="84"/>
    </row>
    <row r="13910" spans="1:14" s="2" customFormat="1">
      <c r="A13910" s="83"/>
      <c r="H13910" s="83"/>
      <c r="K13910" s="82"/>
      <c r="M13910" s="112"/>
      <c r="N13910" s="84"/>
    </row>
    <row r="13911" spans="1:14" s="2" customFormat="1">
      <c r="A13911" s="83"/>
      <c r="H13911" s="83"/>
      <c r="K13911" s="82"/>
      <c r="M13911" s="112"/>
      <c r="N13911" s="84"/>
    </row>
    <row r="13912" spans="1:14" s="2" customFormat="1">
      <c r="A13912" s="83"/>
      <c r="H13912" s="83"/>
      <c r="K13912" s="82"/>
      <c r="M13912" s="112"/>
      <c r="N13912" s="84"/>
    </row>
    <row r="13913" spans="1:14" s="2" customFormat="1">
      <c r="A13913" s="83"/>
      <c r="H13913" s="83"/>
      <c r="K13913" s="82"/>
      <c r="M13913" s="112"/>
      <c r="N13913" s="84"/>
    </row>
    <row r="13914" spans="1:14" s="2" customFormat="1">
      <c r="A13914" s="83"/>
      <c r="H13914" s="83"/>
      <c r="K13914" s="82"/>
      <c r="M13914" s="112"/>
      <c r="N13914" s="84"/>
    </row>
    <row r="13915" spans="1:14" s="2" customFormat="1">
      <c r="A13915" s="83"/>
      <c r="H13915" s="83"/>
      <c r="K13915" s="82"/>
      <c r="M13915" s="112"/>
      <c r="N13915" s="84"/>
    </row>
    <row r="13916" spans="1:14" s="2" customFormat="1">
      <c r="A13916" s="83"/>
      <c r="H13916" s="83"/>
      <c r="K13916" s="82"/>
      <c r="M13916" s="112"/>
      <c r="N13916" s="84"/>
    </row>
    <row r="13917" spans="1:14" s="2" customFormat="1">
      <c r="A13917" s="83"/>
      <c r="H13917" s="83"/>
      <c r="K13917" s="82"/>
      <c r="M13917" s="112"/>
      <c r="N13917" s="84"/>
    </row>
    <row r="13918" spans="1:14" s="2" customFormat="1">
      <c r="A13918" s="83"/>
      <c r="H13918" s="83"/>
      <c r="K13918" s="82"/>
      <c r="M13918" s="112"/>
      <c r="N13918" s="84"/>
    </row>
    <row r="13919" spans="1:14" s="2" customFormat="1">
      <c r="A13919" s="83"/>
      <c r="H13919" s="83"/>
      <c r="K13919" s="82"/>
      <c r="M13919" s="112"/>
      <c r="N13919" s="84"/>
    </row>
    <row r="13920" spans="1:14" s="2" customFormat="1">
      <c r="A13920" s="83"/>
      <c r="H13920" s="83"/>
      <c r="K13920" s="82"/>
      <c r="M13920" s="112"/>
      <c r="N13920" s="84"/>
    </row>
    <row r="13921" spans="1:14" s="2" customFormat="1">
      <c r="A13921" s="83"/>
      <c r="H13921" s="83"/>
      <c r="K13921" s="82"/>
      <c r="M13921" s="112"/>
      <c r="N13921" s="84"/>
    </row>
    <row r="13922" spans="1:14" s="2" customFormat="1">
      <c r="A13922" s="83"/>
      <c r="H13922" s="83"/>
      <c r="K13922" s="82"/>
      <c r="M13922" s="112"/>
      <c r="N13922" s="84"/>
    </row>
    <row r="13923" spans="1:14" s="2" customFormat="1">
      <c r="A13923" s="83"/>
      <c r="H13923" s="83"/>
      <c r="K13923" s="82"/>
      <c r="M13923" s="112"/>
      <c r="N13923" s="84"/>
    </row>
    <row r="13924" spans="1:14" s="2" customFormat="1">
      <c r="A13924" s="83"/>
      <c r="H13924" s="83"/>
      <c r="K13924" s="82"/>
      <c r="M13924" s="112"/>
      <c r="N13924" s="84"/>
    </row>
    <row r="13925" spans="1:14" s="2" customFormat="1">
      <c r="A13925" s="83"/>
      <c r="H13925" s="83"/>
      <c r="K13925" s="82"/>
      <c r="M13925" s="112"/>
      <c r="N13925" s="84"/>
    </row>
    <row r="13926" spans="1:14" s="2" customFormat="1">
      <c r="A13926" s="83"/>
      <c r="H13926" s="83"/>
      <c r="K13926" s="82"/>
      <c r="M13926" s="112"/>
      <c r="N13926" s="84"/>
    </row>
    <row r="13927" spans="1:14" s="2" customFormat="1">
      <c r="A13927" s="83"/>
      <c r="H13927" s="83"/>
      <c r="K13927" s="82"/>
      <c r="M13927" s="112"/>
      <c r="N13927" s="84"/>
    </row>
    <row r="13928" spans="1:14" s="2" customFormat="1">
      <c r="A13928" s="83"/>
      <c r="H13928" s="83"/>
      <c r="K13928" s="82"/>
      <c r="M13928" s="112"/>
      <c r="N13928" s="84"/>
    </row>
    <row r="13929" spans="1:14" s="2" customFormat="1">
      <c r="A13929" s="83"/>
      <c r="H13929" s="83"/>
      <c r="K13929" s="82"/>
      <c r="M13929" s="112"/>
      <c r="N13929" s="84"/>
    </row>
    <row r="13930" spans="1:14" s="2" customFormat="1">
      <c r="A13930" s="83"/>
      <c r="H13930" s="83"/>
      <c r="K13930" s="82"/>
      <c r="M13930" s="112"/>
      <c r="N13930" s="84"/>
    </row>
    <row r="13931" spans="1:14" s="2" customFormat="1">
      <c r="A13931" s="83"/>
      <c r="H13931" s="83"/>
      <c r="K13931" s="82"/>
      <c r="M13931" s="112"/>
      <c r="N13931" s="84"/>
    </row>
    <row r="13932" spans="1:14" s="2" customFormat="1">
      <c r="A13932" s="83"/>
      <c r="H13932" s="83"/>
      <c r="K13932" s="82"/>
      <c r="M13932" s="112"/>
      <c r="N13932" s="84"/>
    </row>
    <row r="13933" spans="1:14" s="2" customFormat="1">
      <c r="A13933" s="83"/>
      <c r="H13933" s="83"/>
      <c r="K13933" s="82"/>
      <c r="M13933" s="112"/>
      <c r="N13933" s="84"/>
    </row>
    <row r="13934" spans="1:14" s="2" customFormat="1">
      <c r="A13934" s="83"/>
      <c r="H13934" s="83"/>
      <c r="K13934" s="82"/>
      <c r="M13934" s="112"/>
      <c r="N13934" s="84"/>
    </row>
    <row r="13935" spans="1:14" s="2" customFormat="1">
      <c r="A13935" s="83"/>
      <c r="H13935" s="83"/>
      <c r="K13935" s="82"/>
      <c r="M13935" s="112"/>
      <c r="N13935" s="84"/>
    </row>
    <row r="13936" spans="1:14" s="2" customFormat="1">
      <c r="A13936" s="83"/>
      <c r="H13936" s="83"/>
      <c r="K13936" s="82"/>
      <c r="M13936" s="112"/>
      <c r="N13936" s="84"/>
    </row>
    <row r="13937" spans="1:14" s="2" customFormat="1">
      <c r="A13937" s="83"/>
      <c r="H13937" s="83"/>
      <c r="K13937" s="82"/>
      <c r="M13937" s="112"/>
      <c r="N13937" s="84"/>
    </row>
    <row r="13938" spans="1:14" s="2" customFormat="1">
      <c r="A13938" s="83"/>
      <c r="H13938" s="83"/>
      <c r="K13938" s="82"/>
      <c r="M13938" s="112"/>
      <c r="N13938" s="84"/>
    </row>
    <row r="13939" spans="1:14" s="2" customFormat="1">
      <c r="A13939" s="83"/>
      <c r="H13939" s="83"/>
      <c r="K13939" s="82"/>
      <c r="M13939" s="112"/>
      <c r="N13939" s="84"/>
    </row>
    <row r="13940" spans="1:14" s="2" customFormat="1">
      <c r="A13940" s="83"/>
      <c r="H13940" s="83"/>
      <c r="K13940" s="82"/>
      <c r="M13940" s="112"/>
      <c r="N13940" s="84"/>
    </row>
    <row r="13941" spans="1:14" s="2" customFormat="1">
      <c r="A13941" s="83"/>
      <c r="H13941" s="83"/>
      <c r="K13941" s="82"/>
      <c r="M13941" s="112"/>
      <c r="N13941" s="84"/>
    </row>
    <row r="13942" spans="1:14" s="2" customFormat="1">
      <c r="A13942" s="83"/>
      <c r="H13942" s="83"/>
      <c r="K13942" s="82"/>
      <c r="M13942" s="112"/>
      <c r="N13942" s="84"/>
    </row>
    <row r="13943" spans="1:14" s="2" customFormat="1">
      <c r="A13943" s="83"/>
      <c r="H13943" s="83"/>
      <c r="K13943" s="82"/>
      <c r="M13943" s="112"/>
      <c r="N13943" s="84"/>
    </row>
    <row r="13944" spans="1:14" s="2" customFormat="1">
      <c r="A13944" s="83"/>
      <c r="H13944" s="83"/>
      <c r="K13944" s="82"/>
      <c r="M13944" s="112"/>
      <c r="N13944" s="84"/>
    </row>
    <row r="13945" spans="1:14" s="2" customFormat="1">
      <c r="A13945" s="83"/>
      <c r="H13945" s="83"/>
      <c r="K13945" s="82"/>
      <c r="M13945" s="112"/>
      <c r="N13945" s="84"/>
    </row>
    <row r="13946" spans="1:14" s="2" customFormat="1">
      <c r="A13946" s="83"/>
      <c r="H13946" s="83"/>
      <c r="K13946" s="82"/>
      <c r="M13946" s="112"/>
      <c r="N13946" s="84"/>
    </row>
    <row r="13947" spans="1:14" s="2" customFormat="1">
      <c r="A13947" s="83"/>
      <c r="H13947" s="83"/>
      <c r="K13947" s="82"/>
      <c r="M13947" s="112"/>
      <c r="N13947" s="84"/>
    </row>
    <row r="13948" spans="1:14" s="2" customFormat="1">
      <c r="A13948" s="83"/>
      <c r="H13948" s="83"/>
      <c r="K13948" s="82"/>
      <c r="M13948" s="112"/>
      <c r="N13948" s="84"/>
    </row>
    <row r="13949" spans="1:14" s="2" customFormat="1">
      <c r="A13949" s="83"/>
      <c r="H13949" s="83"/>
      <c r="K13949" s="82"/>
      <c r="M13949" s="112"/>
      <c r="N13949" s="84"/>
    </row>
    <row r="13950" spans="1:14" s="2" customFormat="1">
      <c r="A13950" s="83"/>
      <c r="H13950" s="83"/>
      <c r="K13950" s="82"/>
      <c r="M13950" s="112"/>
      <c r="N13950" s="84"/>
    </row>
    <row r="13951" spans="1:14" s="2" customFormat="1">
      <c r="A13951" s="83"/>
      <c r="H13951" s="83"/>
      <c r="K13951" s="82"/>
      <c r="M13951" s="112"/>
      <c r="N13951" s="84"/>
    </row>
    <row r="13952" spans="1:14" s="2" customFormat="1">
      <c r="A13952" s="83"/>
      <c r="H13952" s="83"/>
      <c r="K13952" s="82"/>
      <c r="M13952" s="112"/>
      <c r="N13952" s="84"/>
    </row>
    <row r="13953" spans="1:14" s="2" customFormat="1">
      <c r="A13953" s="83"/>
      <c r="H13953" s="83"/>
      <c r="K13953" s="82"/>
      <c r="M13953" s="112"/>
      <c r="N13953" s="84"/>
    </row>
    <row r="13954" spans="1:14" s="2" customFormat="1">
      <c r="A13954" s="83"/>
      <c r="H13954" s="83"/>
      <c r="K13954" s="82"/>
      <c r="M13954" s="112"/>
      <c r="N13954" s="84"/>
    </row>
    <row r="13955" spans="1:14" s="2" customFormat="1">
      <c r="A13955" s="83"/>
      <c r="H13955" s="83"/>
      <c r="K13955" s="82"/>
      <c r="M13955" s="112"/>
      <c r="N13955" s="84"/>
    </row>
    <row r="13956" spans="1:14" s="2" customFormat="1">
      <c r="A13956" s="83"/>
      <c r="H13956" s="83"/>
      <c r="K13956" s="82"/>
      <c r="M13956" s="112"/>
      <c r="N13956" s="84"/>
    </row>
    <row r="13957" spans="1:14" s="2" customFormat="1">
      <c r="A13957" s="83"/>
      <c r="H13957" s="83"/>
      <c r="K13957" s="82"/>
      <c r="M13957" s="112"/>
      <c r="N13957" s="84"/>
    </row>
    <row r="13958" spans="1:14" s="2" customFormat="1">
      <c r="A13958" s="83"/>
      <c r="H13958" s="83"/>
      <c r="K13958" s="82"/>
      <c r="M13958" s="112"/>
      <c r="N13958" s="84"/>
    </row>
    <row r="13959" spans="1:14" s="2" customFormat="1">
      <c r="A13959" s="83"/>
      <c r="H13959" s="83"/>
      <c r="K13959" s="82"/>
      <c r="M13959" s="112"/>
      <c r="N13959" s="84"/>
    </row>
    <row r="13960" spans="1:14" s="2" customFormat="1">
      <c r="A13960" s="83"/>
      <c r="H13960" s="83"/>
      <c r="K13960" s="82"/>
      <c r="M13960" s="112"/>
      <c r="N13960" s="84"/>
    </row>
    <row r="13961" spans="1:14" s="2" customFormat="1">
      <c r="A13961" s="83"/>
      <c r="H13961" s="83"/>
      <c r="K13961" s="82"/>
      <c r="M13961" s="112"/>
      <c r="N13961" s="84"/>
    </row>
    <row r="13962" spans="1:14" s="2" customFormat="1">
      <c r="A13962" s="83"/>
      <c r="H13962" s="83"/>
      <c r="K13962" s="82"/>
      <c r="M13962" s="112"/>
      <c r="N13962" s="84"/>
    </row>
    <row r="13963" spans="1:14" s="2" customFormat="1">
      <c r="A13963" s="83"/>
      <c r="H13963" s="83"/>
      <c r="K13963" s="82"/>
      <c r="M13963" s="112"/>
      <c r="N13963" s="84"/>
    </row>
    <row r="13964" spans="1:14" s="2" customFormat="1">
      <c r="A13964" s="83"/>
      <c r="H13964" s="83"/>
      <c r="K13964" s="82"/>
      <c r="M13964" s="112"/>
      <c r="N13964" s="84"/>
    </row>
    <row r="13965" spans="1:14" s="2" customFormat="1">
      <c r="A13965" s="83"/>
      <c r="H13965" s="83"/>
      <c r="K13965" s="82"/>
      <c r="M13965" s="112"/>
      <c r="N13965" s="84"/>
    </row>
    <row r="13966" spans="1:14" s="2" customFormat="1">
      <c r="A13966" s="83"/>
      <c r="H13966" s="83"/>
      <c r="K13966" s="82"/>
      <c r="M13966" s="112"/>
      <c r="N13966" s="84"/>
    </row>
    <row r="13967" spans="1:14" s="2" customFormat="1">
      <c r="A13967" s="83"/>
      <c r="H13967" s="83"/>
      <c r="K13967" s="82"/>
      <c r="M13967" s="112"/>
      <c r="N13967" s="84"/>
    </row>
    <row r="13968" spans="1:14" s="2" customFormat="1">
      <c r="A13968" s="83"/>
      <c r="H13968" s="83"/>
      <c r="K13968" s="82"/>
      <c r="M13968" s="112"/>
      <c r="N13968" s="84"/>
    </row>
    <row r="13969" spans="1:14" s="2" customFormat="1">
      <c r="A13969" s="83"/>
      <c r="H13969" s="83"/>
      <c r="K13969" s="82"/>
      <c r="M13969" s="112"/>
      <c r="N13969" s="84"/>
    </row>
    <row r="13970" spans="1:14" s="2" customFormat="1">
      <c r="A13970" s="83"/>
      <c r="H13970" s="83"/>
      <c r="K13970" s="82"/>
      <c r="M13970" s="112"/>
      <c r="N13970" s="84"/>
    </row>
    <row r="13971" spans="1:14" s="2" customFormat="1">
      <c r="A13971" s="83"/>
      <c r="H13971" s="83"/>
      <c r="K13971" s="82"/>
      <c r="M13971" s="112"/>
      <c r="N13971" s="84"/>
    </row>
    <row r="13972" spans="1:14" s="2" customFormat="1">
      <c r="A13972" s="83"/>
      <c r="H13972" s="83"/>
      <c r="K13972" s="82"/>
      <c r="M13972" s="112"/>
      <c r="N13972" s="84"/>
    </row>
    <row r="13973" spans="1:14" s="2" customFormat="1">
      <c r="A13973" s="83"/>
      <c r="H13973" s="83"/>
      <c r="K13973" s="82"/>
      <c r="M13973" s="112"/>
      <c r="N13973" s="84"/>
    </row>
    <row r="13974" spans="1:14" s="2" customFormat="1">
      <c r="A13974" s="83"/>
      <c r="H13974" s="83"/>
      <c r="K13974" s="82"/>
      <c r="M13974" s="112"/>
      <c r="N13974" s="84"/>
    </row>
    <row r="13975" spans="1:14" s="2" customFormat="1">
      <c r="A13975" s="83"/>
      <c r="H13975" s="83"/>
      <c r="K13975" s="82"/>
      <c r="M13975" s="112"/>
      <c r="N13975" s="84"/>
    </row>
    <row r="13976" spans="1:14" s="2" customFormat="1">
      <c r="A13976" s="83"/>
      <c r="H13976" s="83"/>
      <c r="K13976" s="82"/>
      <c r="M13976" s="112"/>
      <c r="N13976" s="84"/>
    </row>
    <row r="13977" spans="1:14" s="2" customFormat="1">
      <c r="A13977" s="83"/>
      <c r="H13977" s="83"/>
      <c r="K13977" s="82"/>
      <c r="M13977" s="112"/>
      <c r="N13977" s="84"/>
    </row>
    <row r="13978" spans="1:14" s="2" customFormat="1">
      <c r="A13978" s="83"/>
      <c r="H13978" s="83"/>
      <c r="K13978" s="82"/>
      <c r="M13978" s="112"/>
      <c r="N13978" s="84"/>
    </row>
    <row r="13979" spans="1:14" s="2" customFormat="1">
      <c r="A13979" s="83"/>
      <c r="H13979" s="83"/>
      <c r="K13979" s="82"/>
      <c r="M13979" s="112"/>
      <c r="N13979" s="84"/>
    </row>
    <row r="13980" spans="1:14" s="2" customFormat="1">
      <c r="A13980" s="83"/>
      <c r="H13980" s="83"/>
      <c r="K13980" s="82"/>
      <c r="M13980" s="112"/>
      <c r="N13980" s="84"/>
    </row>
    <row r="13981" spans="1:14" s="2" customFormat="1">
      <c r="A13981" s="83"/>
      <c r="H13981" s="83"/>
      <c r="K13981" s="82"/>
      <c r="M13981" s="112"/>
      <c r="N13981" s="84"/>
    </row>
    <row r="13982" spans="1:14" s="2" customFormat="1">
      <c r="A13982" s="83"/>
      <c r="H13982" s="83"/>
      <c r="K13982" s="82"/>
      <c r="M13982" s="112"/>
      <c r="N13982" s="84"/>
    </row>
    <row r="13983" spans="1:14" s="2" customFormat="1">
      <c r="A13983" s="83"/>
      <c r="H13983" s="83"/>
      <c r="K13983" s="82"/>
      <c r="M13983" s="112"/>
      <c r="N13983" s="84"/>
    </row>
    <row r="13984" spans="1:14" s="2" customFormat="1">
      <c r="A13984" s="83"/>
      <c r="H13984" s="83"/>
      <c r="K13984" s="82"/>
      <c r="M13984" s="112"/>
      <c r="N13984" s="84"/>
    </row>
    <row r="13985" spans="1:14" s="2" customFormat="1">
      <c r="A13985" s="83"/>
      <c r="H13985" s="83"/>
      <c r="K13985" s="82"/>
      <c r="M13985" s="112"/>
      <c r="N13985" s="84"/>
    </row>
    <row r="13986" spans="1:14" s="2" customFormat="1">
      <c r="A13986" s="83"/>
      <c r="H13986" s="83"/>
      <c r="K13986" s="82"/>
      <c r="M13986" s="112"/>
      <c r="N13986" s="84"/>
    </row>
    <row r="13987" spans="1:14" s="2" customFormat="1">
      <c r="A13987" s="83"/>
      <c r="H13987" s="83"/>
      <c r="K13987" s="82"/>
      <c r="M13987" s="112"/>
      <c r="N13987" s="84"/>
    </row>
    <row r="13988" spans="1:14" s="2" customFormat="1">
      <c r="A13988" s="83"/>
      <c r="H13988" s="83"/>
      <c r="K13988" s="82"/>
      <c r="M13988" s="112"/>
      <c r="N13988" s="84"/>
    </row>
    <row r="13989" spans="1:14" s="2" customFormat="1">
      <c r="A13989" s="83"/>
      <c r="H13989" s="83"/>
      <c r="K13989" s="82"/>
      <c r="M13989" s="112"/>
      <c r="N13989" s="84"/>
    </row>
    <row r="13990" spans="1:14" s="2" customFormat="1">
      <c r="A13990" s="83"/>
      <c r="H13990" s="83"/>
      <c r="K13990" s="82"/>
      <c r="M13990" s="112"/>
      <c r="N13990" s="84"/>
    </row>
    <row r="13991" spans="1:14" s="2" customFormat="1">
      <c r="A13991" s="83"/>
      <c r="H13991" s="83"/>
      <c r="K13991" s="82"/>
      <c r="M13991" s="112"/>
      <c r="N13991" s="84"/>
    </row>
    <row r="13992" spans="1:14" s="2" customFormat="1">
      <c r="A13992" s="83"/>
      <c r="H13992" s="83"/>
      <c r="K13992" s="82"/>
      <c r="M13992" s="112"/>
      <c r="N13992" s="84"/>
    </row>
    <row r="13993" spans="1:14" s="2" customFormat="1">
      <c r="A13993" s="83"/>
      <c r="H13993" s="83"/>
      <c r="K13993" s="82"/>
      <c r="M13993" s="112"/>
      <c r="N13993" s="84"/>
    </row>
    <row r="13994" spans="1:14" s="2" customFormat="1">
      <c r="A13994" s="83"/>
      <c r="H13994" s="83"/>
      <c r="K13994" s="82"/>
      <c r="M13994" s="112"/>
      <c r="N13994" s="84"/>
    </row>
    <row r="13995" spans="1:14" s="2" customFormat="1">
      <c r="A13995" s="83"/>
      <c r="H13995" s="83"/>
      <c r="K13995" s="82"/>
      <c r="M13995" s="112"/>
      <c r="N13995" s="84"/>
    </row>
    <row r="13996" spans="1:14" s="2" customFormat="1">
      <c r="A13996" s="83"/>
      <c r="H13996" s="83"/>
      <c r="K13996" s="82"/>
      <c r="M13996" s="112"/>
      <c r="N13996" s="84"/>
    </row>
    <row r="13997" spans="1:14" s="2" customFormat="1">
      <c r="A13997" s="83"/>
      <c r="H13997" s="83"/>
      <c r="K13997" s="82"/>
      <c r="M13997" s="112"/>
      <c r="N13997" s="84"/>
    </row>
    <row r="13998" spans="1:14" s="2" customFormat="1">
      <c r="A13998" s="83"/>
      <c r="H13998" s="83"/>
      <c r="K13998" s="82"/>
      <c r="M13998" s="112"/>
      <c r="N13998" s="84"/>
    </row>
    <row r="13999" spans="1:14" s="2" customFormat="1">
      <c r="A13999" s="83"/>
      <c r="H13999" s="83"/>
      <c r="K13999" s="82"/>
      <c r="M13999" s="112"/>
      <c r="N13999" s="84"/>
    </row>
    <row r="14000" spans="1:14" s="2" customFormat="1">
      <c r="A14000" s="83"/>
      <c r="H14000" s="83"/>
      <c r="K14000" s="82"/>
      <c r="M14000" s="112"/>
      <c r="N14000" s="84"/>
    </row>
    <row r="14001" spans="1:14" s="2" customFormat="1">
      <c r="A14001" s="83"/>
      <c r="H14001" s="83"/>
      <c r="K14001" s="82"/>
      <c r="M14001" s="112"/>
      <c r="N14001" s="84"/>
    </row>
    <row r="14002" spans="1:14" s="2" customFormat="1">
      <c r="A14002" s="83"/>
      <c r="H14002" s="83"/>
      <c r="K14002" s="82"/>
      <c r="M14002" s="112"/>
      <c r="N14002" s="84"/>
    </row>
    <row r="14003" spans="1:14" s="2" customFormat="1">
      <c r="A14003" s="83"/>
      <c r="H14003" s="83"/>
      <c r="K14003" s="82"/>
      <c r="M14003" s="112"/>
      <c r="N14003" s="84"/>
    </row>
    <row r="14004" spans="1:14" s="2" customFormat="1">
      <c r="A14004" s="83"/>
      <c r="H14004" s="83"/>
      <c r="K14004" s="82"/>
      <c r="M14004" s="112"/>
      <c r="N14004" s="84"/>
    </row>
    <row r="14005" spans="1:14" s="2" customFormat="1">
      <c r="A14005" s="83"/>
      <c r="H14005" s="83"/>
      <c r="K14005" s="82"/>
      <c r="M14005" s="112"/>
      <c r="N14005" s="84"/>
    </row>
    <row r="14006" spans="1:14" s="2" customFormat="1">
      <c r="A14006" s="83"/>
      <c r="H14006" s="83"/>
      <c r="K14006" s="82"/>
      <c r="M14006" s="112"/>
      <c r="N14006" s="84"/>
    </row>
    <row r="14007" spans="1:14" s="2" customFormat="1">
      <c r="A14007" s="83"/>
      <c r="H14007" s="83"/>
      <c r="K14007" s="82"/>
      <c r="M14007" s="112"/>
      <c r="N14007" s="84"/>
    </row>
    <row r="14008" spans="1:14" s="2" customFormat="1">
      <c r="A14008" s="83"/>
      <c r="H14008" s="83"/>
      <c r="K14008" s="82"/>
      <c r="M14008" s="112"/>
      <c r="N14008" s="84"/>
    </row>
    <row r="14009" spans="1:14" s="2" customFormat="1">
      <c r="A14009" s="83"/>
      <c r="H14009" s="83"/>
      <c r="K14009" s="82"/>
      <c r="M14009" s="112"/>
      <c r="N14009" s="84"/>
    </row>
    <row r="14010" spans="1:14" s="2" customFormat="1">
      <c r="A14010" s="83"/>
      <c r="H14010" s="83"/>
      <c r="K14010" s="82"/>
      <c r="M14010" s="112"/>
      <c r="N14010" s="84"/>
    </row>
    <row r="14011" spans="1:14" s="2" customFormat="1">
      <c r="A14011" s="83"/>
      <c r="H14011" s="83"/>
      <c r="K14011" s="82"/>
      <c r="M14011" s="112"/>
      <c r="N14011" s="84"/>
    </row>
    <row r="14012" spans="1:14" s="2" customFormat="1">
      <c r="A14012" s="83"/>
      <c r="H14012" s="83"/>
      <c r="K14012" s="82"/>
      <c r="M14012" s="112"/>
      <c r="N14012" s="84"/>
    </row>
    <row r="14013" spans="1:14" s="2" customFormat="1">
      <c r="A14013" s="83"/>
      <c r="H14013" s="83"/>
      <c r="K14013" s="82"/>
      <c r="M14013" s="112"/>
      <c r="N14013" s="84"/>
    </row>
    <row r="14014" spans="1:14" s="2" customFormat="1">
      <c r="A14014" s="83"/>
      <c r="H14014" s="83"/>
      <c r="K14014" s="82"/>
      <c r="M14014" s="112"/>
      <c r="N14014" s="84"/>
    </row>
    <row r="14015" spans="1:14" s="2" customFormat="1">
      <c r="A14015" s="83"/>
      <c r="H14015" s="83"/>
      <c r="K14015" s="82"/>
      <c r="M14015" s="112"/>
      <c r="N14015" s="84"/>
    </row>
    <row r="14016" spans="1:14" s="2" customFormat="1">
      <c r="A14016" s="83"/>
      <c r="H14016" s="83"/>
      <c r="K14016" s="82"/>
      <c r="M14016" s="112"/>
      <c r="N14016" s="84"/>
    </row>
    <row r="14017" spans="1:14" s="2" customFormat="1">
      <c r="A14017" s="83"/>
      <c r="H14017" s="83"/>
      <c r="K14017" s="82"/>
      <c r="M14017" s="112"/>
      <c r="N14017" s="84"/>
    </row>
    <row r="14018" spans="1:14" s="2" customFormat="1">
      <c r="A14018" s="83"/>
      <c r="H14018" s="83"/>
      <c r="K14018" s="82"/>
      <c r="M14018" s="112"/>
      <c r="N14018" s="84"/>
    </row>
    <row r="14019" spans="1:14" s="2" customFormat="1">
      <c r="A14019" s="83"/>
      <c r="H14019" s="83"/>
      <c r="K14019" s="82"/>
      <c r="M14019" s="112"/>
      <c r="N14019" s="84"/>
    </row>
    <row r="14020" spans="1:14" s="2" customFormat="1">
      <c r="A14020" s="83"/>
      <c r="H14020" s="83"/>
      <c r="K14020" s="82"/>
      <c r="M14020" s="112"/>
      <c r="N14020" s="84"/>
    </row>
    <row r="14021" spans="1:14" s="2" customFormat="1">
      <c r="A14021" s="83"/>
      <c r="H14021" s="83"/>
      <c r="K14021" s="82"/>
      <c r="M14021" s="112"/>
      <c r="N14021" s="84"/>
    </row>
    <row r="14022" spans="1:14" s="2" customFormat="1">
      <c r="A14022" s="83"/>
      <c r="H14022" s="83"/>
      <c r="K14022" s="82"/>
      <c r="M14022" s="112"/>
      <c r="N14022" s="84"/>
    </row>
    <row r="14023" spans="1:14" s="2" customFormat="1">
      <c r="A14023" s="83"/>
      <c r="H14023" s="83"/>
      <c r="K14023" s="82"/>
      <c r="M14023" s="112"/>
      <c r="N14023" s="84"/>
    </row>
    <row r="14024" spans="1:14" s="2" customFormat="1">
      <c r="A14024" s="83"/>
      <c r="H14024" s="83"/>
      <c r="K14024" s="82"/>
      <c r="M14024" s="112"/>
      <c r="N14024" s="84"/>
    </row>
    <row r="14025" spans="1:14" s="2" customFormat="1">
      <c r="A14025" s="83"/>
      <c r="H14025" s="83"/>
      <c r="K14025" s="82"/>
      <c r="M14025" s="112"/>
      <c r="N14025" s="84"/>
    </row>
    <row r="14026" spans="1:14" s="2" customFormat="1">
      <c r="A14026" s="83"/>
      <c r="H14026" s="83"/>
      <c r="K14026" s="82"/>
      <c r="M14026" s="112"/>
      <c r="N14026" s="84"/>
    </row>
    <row r="14027" spans="1:14" s="2" customFormat="1">
      <c r="A14027" s="83"/>
      <c r="H14027" s="83"/>
      <c r="K14027" s="82"/>
      <c r="M14027" s="112"/>
      <c r="N14027" s="84"/>
    </row>
    <row r="14028" spans="1:14" s="2" customFormat="1">
      <c r="A14028" s="83"/>
      <c r="H14028" s="83"/>
      <c r="K14028" s="82"/>
      <c r="M14028" s="112"/>
      <c r="N14028" s="84"/>
    </row>
    <row r="14029" spans="1:14" s="2" customFormat="1">
      <c r="A14029" s="83"/>
      <c r="H14029" s="83"/>
      <c r="K14029" s="82"/>
      <c r="M14029" s="112"/>
      <c r="N14029" s="84"/>
    </row>
    <row r="14030" spans="1:14" s="2" customFormat="1">
      <c r="A14030" s="83"/>
      <c r="H14030" s="83"/>
      <c r="K14030" s="82"/>
      <c r="M14030" s="112"/>
      <c r="N14030" s="84"/>
    </row>
    <row r="14031" spans="1:14" s="2" customFormat="1">
      <c r="A14031" s="83"/>
      <c r="H14031" s="83"/>
      <c r="K14031" s="82"/>
      <c r="M14031" s="112"/>
      <c r="N14031" s="84"/>
    </row>
    <row r="14032" spans="1:14" s="2" customFormat="1">
      <c r="A14032" s="83"/>
      <c r="H14032" s="83"/>
      <c r="K14032" s="82"/>
      <c r="M14032" s="112"/>
      <c r="N14032" s="84"/>
    </row>
    <row r="14033" spans="1:14" s="2" customFormat="1">
      <c r="A14033" s="83"/>
      <c r="H14033" s="83"/>
      <c r="K14033" s="82"/>
      <c r="M14033" s="112"/>
      <c r="N14033" s="84"/>
    </row>
    <row r="14034" spans="1:14" s="2" customFormat="1">
      <c r="A14034" s="83"/>
      <c r="H14034" s="83"/>
      <c r="K14034" s="82"/>
      <c r="M14034" s="112"/>
      <c r="N14034" s="84"/>
    </row>
    <row r="14035" spans="1:14" s="2" customFormat="1">
      <c r="A14035" s="83"/>
      <c r="H14035" s="83"/>
      <c r="K14035" s="82"/>
      <c r="M14035" s="112"/>
      <c r="N14035" s="84"/>
    </row>
    <row r="14036" spans="1:14" s="2" customFormat="1">
      <c r="A14036" s="83"/>
      <c r="H14036" s="83"/>
      <c r="K14036" s="82"/>
      <c r="M14036" s="112"/>
      <c r="N14036" s="84"/>
    </row>
    <row r="14037" spans="1:14" s="2" customFormat="1">
      <c r="A14037" s="83"/>
      <c r="H14037" s="83"/>
      <c r="K14037" s="82"/>
      <c r="M14037" s="112"/>
      <c r="N14037" s="84"/>
    </row>
    <row r="14038" spans="1:14" s="2" customFormat="1">
      <c r="A14038" s="83"/>
      <c r="H14038" s="83"/>
      <c r="K14038" s="82"/>
      <c r="M14038" s="112"/>
      <c r="N14038" s="84"/>
    </row>
    <row r="14039" spans="1:14" s="2" customFormat="1">
      <c r="A14039" s="83"/>
      <c r="H14039" s="83"/>
      <c r="K14039" s="82"/>
      <c r="M14039" s="112"/>
      <c r="N14039" s="84"/>
    </row>
    <row r="14040" spans="1:14" s="2" customFormat="1">
      <c r="A14040" s="83"/>
      <c r="H14040" s="83"/>
      <c r="K14040" s="82"/>
      <c r="M14040" s="112"/>
      <c r="N14040" s="84"/>
    </row>
    <row r="14041" spans="1:14" s="2" customFormat="1">
      <c r="A14041" s="83"/>
      <c r="H14041" s="83"/>
      <c r="K14041" s="82"/>
      <c r="M14041" s="112"/>
      <c r="N14041" s="84"/>
    </row>
    <row r="14042" spans="1:14" s="2" customFormat="1">
      <c r="A14042" s="83"/>
      <c r="H14042" s="83"/>
      <c r="K14042" s="82"/>
      <c r="M14042" s="112"/>
      <c r="N14042" s="84"/>
    </row>
    <row r="14043" spans="1:14" s="2" customFormat="1">
      <c r="A14043" s="83"/>
      <c r="H14043" s="83"/>
      <c r="K14043" s="82"/>
      <c r="M14043" s="112"/>
      <c r="N14043" s="84"/>
    </row>
    <row r="14044" spans="1:14" s="2" customFormat="1">
      <c r="A14044" s="83"/>
      <c r="H14044" s="83"/>
      <c r="K14044" s="82"/>
      <c r="M14044" s="112"/>
      <c r="N14044" s="84"/>
    </row>
    <row r="14045" spans="1:14" s="2" customFormat="1">
      <c r="A14045" s="83"/>
      <c r="H14045" s="83"/>
      <c r="K14045" s="82"/>
      <c r="M14045" s="112"/>
      <c r="N14045" s="84"/>
    </row>
    <row r="14046" spans="1:14" s="2" customFormat="1">
      <c r="A14046" s="83"/>
      <c r="H14046" s="83"/>
      <c r="K14046" s="82"/>
      <c r="M14046" s="112"/>
      <c r="N14046" s="84"/>
    </row>
    <row r="14047" spans="1:14" s="2" customFormat="1">
      <c r="A14047" s="83"/>
      <c r="H14047" s="83"/>
      <c r="K14047" s="82"/>
      <c r="M14047" s="112"/>
      <c r="N14047" s="84"/>
    </row>
    <row r="14048" spans="1:14" s="2" customFormat="1">
      <c r="A14048" s="83"/>
      <c r="H14048" s="83"/>
      <c r="K14048" s="82"/>
      <c r="M14048" s="112"/>
      <c r="N14048" s="84"/>
    </row>
    <row r="14049" spans="1:14" s="2" customFormat="1">
      <c r="A14049" s="83"/>
      <c r="H14049" s="83"/>
      <c r="K14049" s="82"/>
      <c r="M14049" s="112"/>
      <c r="N14049" s="84"/>
    </row>
    <row r="14050" spans="1:14" s="2" customFormat="1">
      <c r="A14050" s="83"/>
      <c r="H14050" s="83"/>
      <c r="K14050" s="82"/>
      <c r="M14050" s="112"/>
      <c r="N14050" s="84"/>
    </row>
    <row r="14051" spans="1:14" s="2" customFormat="1">
      <c r="A14051" s="83"/>
      <c r="H14051" s="83"/>
      <c r="K14051" s="82"/>
      <c r="M14051" s="112"/>
      <c r="N14051" s="84"/>
    </row>
    <row r="14052" spans="1:14" s="2" customFormat="1">
      <c r="A14052" s="83"/>
      <c r="H14052" s="83"/>
      <c r="K14052" s="82"/>
      <c r="M14052" s="112"/>
      <c r="N14052" s="84"/>
    </row>
    <row r="14053" spans="1:14" s="2" customFormat="1">
      <c r="A14053" s="83"/>
      <c r="H14053" s="83"/>
      <c r="K14053" s="82"/>
      <c r="M14053" s="112"/>
      <c r="N14053" s="84"/>
    </row>
    <row r="14054" spans="1:14" s="2" customFormat="1">
      <c r="A14054" s="83"/>
      <c r="H14054" s="83"/>
      <c r="K14054" s="82"/>
      <c r="M14054" s="112"/>
      <c r="N14054" s="84"/>
    </row>
    <row r="14055" spans="1:14" s="2" customFormat="1">
      <c r="A14055" s="83"/>
      <c r="H14055" s="83"/>
      <c r="K14055" s="82"/>
      <c r="M14055" s="112"/>
      <c r="N14055" s="84"/>
    </row>
    <row r="14056" spans="1:14" s="2" customFormat="1">
      <c r="A14056" s="83"/>
      <c r="H14056" s="83"/>
      <c r="K14056" s="82"/>
      <c r="M14056" s="112"/>
      <c r="N14056" s="84"/>
    </row>
    <row r="14057" spans="1:14" s="2" customFormat="1">
      <c r="A14057" s="83"/>
      <c r="H14057" s="83"/>
      <c r="K14057" s="82"/>
      <c r="M14057" s="112"/>
      <c r="N14057" s="84"/>
    </row>
    <row r="14058" spans="1:14" s="2" customFormat="1">
      <c r="A14058" s="83"/>
      <c r="H14058" s="83"/>
      <c r="K14058" s="82"/>
      <c r="M14058" s="112"/>
      <c r="N14058" s="84"/>
    </row>
    <row r="14059" spans="1:14" s="2" customFormat="1">
      <c r="A14059" s="83"/>
      <c r="H14059" s="83"/>
      <c r="K14059" s="82"/>
      <c r="M14059" s="112"/>
      <c r="N14059" s="84"/>
    </row>
    <row r="14060" spans="1:14" s="2" customFormat="1">
      <c r="A14060" s="83"/>
      <c r="H14060" s="83"/>
      <c r="K14060" s="82"/>
      <c r="M14060" s="112"/>
      <c r="N14060" s="84"/>
    </row>
    <row r="14061" spans="1:14" s="2" customFormat="1">
      <c r="A14061" s="83"/>
      <c r="H14061" s="83"/>
      <c r="K14061" s="82"/>
      <c r="M14061" s="112"/>
      <c r="N14061" s="84"/>
    </row>
    <row r="14062" spans="1:14" s="2" customFormat="1">
      <c r="A14062" s="83"/>
      <c r="H14062" s="83"/>
      <c r="K14062" s="82"/>
      <c r="M14062" s="112"/>
      <c r="N14062" s="84"/>
    </row>
    <row r="14063" spans="1:14" s="2" customFormat="1">
      <c r="A14063" s="83"/>
      <c r="H14063" s="83"/>
      <c r="K14063" s="82"/>
      <c r="M14063" s="112"/>
      <c r="N14063" s="84"/>
    </row>
    <row r="14064" spans="1:14" s="2" customFormat="1">
      <c r="A14064" s="83"/>
      <c r="H14064" s="83"/>
      <c r="K14064" s="82"/>
      <c r="M14064" s="112"/>
      <c r="N14064" s="84"/>
    </row>
    <row r="14065" spans="1:14" s="2" customFormat="1">
      <c r="A14065" s="83"/>
      <c r="H14065" s="83"/>
      <c r="K14065" s="82"/>
      <c r="M14065" s="112"/>
      <c r="N14065" s="84"/>
    </row>
    <row r="14066" spans="1:14" s="2" customFormat="1">
      <c r="A14066" s="83"/>
      <c r="H14066" s="83"/>
      <c r="K14066" s="82"/>
      <c r="M14066" s="112"/>
      <c r="N14066" s="84"/>
    </row>
    <row r="14067" spans="1:14" s="2" customFormat="1">
      <c r="A14067" s="83"/>
      <c r="H14067" s="83"/>
      <c r="K14067" s="82"/>
      <c r="M14067" s="112"/>
      <c r="N14067" s="84"/>
    </row>
    <row r="14068" spans="1:14" s="2" customFormat="1">
      <c r="A14068" s="83"/>
      <c r="H14068" s="83"/>
      <c r="K14068" s="82"/>
      <c r="M14068" s="112"/>
      <c r="N14068" s="84"/>
    </row>
    <row r="14069" spans="1:14" s="2" customFormat="1">
      <c r="A14069" s="83"/>
      <c r="H14069" s="83"/>
      <c r="K14069" s="82"/>
      <c r="M14069" s="112"/>
      <c r="N14069" s="84"/>
    </row>
    <row r="14070" spans="1:14" s="2" customFormat="1">
      <c r="A14070" s="83"/>
      <c r="H14070" s="83"/>
      <c r="K14070" s="82"/>
      <c r="M14070" s="112"/>
      <c r="N14070" s="84"/>
    </row>
    <row r="14071" spans="1:14" s="2" customFormat="1">
      <c r="A14071" s="83"/>
      <c r="H14071" s="83"/>
      <c r="K14071" s="82"/>
      <c r="M14071" s="112"/>
      <c r="N14071" s="84"/>
    </row>
    <row r="14072" spans="1:14" s="2" customFormat="1">
      <c r="A14072" s="83"/>
      <c r="H14072" s="83"/>
      <c r="K14072" s="82"/>
      <c r="M14072" s="112"/>
      <c r="N14072" s="84"/>
    </row>
    <row r="14073" spans="1:14" s="2" customFormat="1">
      <c r="A14073" s="83"/>
      <c r="H14073" s="83"/>
      <c r="K14073" s="82"/>
      <c r="M14073" s="112"/>
      <c r="N14073" s="84"/>
    </row>
    <row r="14074" spans="1:14" s="2" customFormat="1">
      <c r="A14074" s="83"/>
      <c r="H14074" s="83"/>
      <c r="K14074" s="82"/>
      <c r="M14074" s="112"/>
      <c r="N14074" s="84"/>
    </row>
    <row r="14075" spans="1:14" s="2" customFormat="1">
      <c r="A14075" s="83"/>
      <c r="H14075" s="83"/>
      <c r="K14075" s="82"/>
      <c r="M14075" s="112"/>
      <c r="N14075" s="84"/>
    </row>
    <row r="14076" spans="1:14" s="2" customFormat="1">
      <c r="A14076" s="83"/>
      <c r="H14076" s="83"/>
      <c r="K14076" s="82"/>
      <c r="M14076" s="112"/>
      <c r="N14076" s="84"/>
    </row>
    <row r="14077" spans="1:14" s="2" customFormat="1">
      <c r="A14077" s="83"/>
      <c r="H14077" s="83"/>
      <c r="K14077" s="82"/>
      <c r="M14077" s="112"/>
      <c r="N14077" s="84"/>
    </row>
    <row r="14078" spans="1:14" s="2" customFormat="1">
      <c r="A14078" s="83"/>
      <c r="H14078" s="83"/>
      <c r="K14078" s="82"/>
      <c r="M14078" s="112"/>
      <c r="N14078" s="84"/>
    </row>
    <row r="14079" spans="1:14" s="2" customFormat="1">
      <c r="A14079" s="83"/>
      <c r="H14079" s="83"/>
      <c r="K14079" s="82"/>
      <c r="M14079" s="112"/>
      <c r="N14079" s="84"/>
    </row>
    <row r="14080" spans="1:14" s="2" customFormat="1">
      <c r="A14080" s="83"/>
      <c r="H14080" s="83"/>
      <c r="K14080" s="82"/>
      <c r="M14080" s="112"/>
      <c r="N14080" s="84"/>
    </row>
    <row r="14081" spans="1:14" s="2" customFormat="1">
      <c r="A14081" s="83"/>
      <c r="H14081" s="83"/>
      <c r="K14081" s="82"/>
      <c r="M14081" s="112"/>
      <c r="N14081" s="84"/>
    </row>
    <row r="14082" spans="1:14" s="2" customFormat="1">
      <c r="A14082" s="83"/>
      <c r="H14082" s="83"/>
      <c r="K14082" s="82"/>
      <c r="M14082" s="112"/>
      <c r="N14082" s="84"/>
    </row>
    <row r="14083" spans="1:14" s="2" customFormat="1">
      <c r="A14083" s="83"/>
      <c r="H14083" s="83"/>
      <c r="K14083" s="82"/>
      <c r="M14083" s="112"/>
      <c r="N14083" s="84"/>
    </row>
    <row r="14084" spans="1:14" s="2" customFormat="1">
      <c r="A14084" s="83"/>
      <c r="H14084" s="83"/>
      <c r="K14084" s="82"/>
      <c r="M14084" s="112"/>
      <c r="N14084" s="84"/>
    </row>
    <row r="14085" spans="1:14" s="2" customFormat="1">
      <c r="A14085" s="83"/>
      <c r="H14085" s="83"/>
      <c r="K14085" s="82"/>
      <c r="M14085" s="112"/>
      <c r="N14085" s="84"/>
    </row>
    <row r="14086" spans="1:14" s="2" customFormat="1">
      <c r="A14086" s="83"/>
      <c r="H14086" s="83"/>
      <c r="K14086" s="82"/>
      <c r="M14086" s="112"/>
      <c r="N14086" s="84"/>
    </row>
    <row r="14087" spans="1:14" s="2" customFormat="1">
      <c r="A14087" s="83"/>
      <c r="H14087" s="83"/>
      <c r="K14087" s="82"/>
      <c r="M14087" s="112"/>
      <c r="N14087" s="84"/>
    </row>
    <row r="14088" spans="1:14" s="2" customFormat="1">
      <c r="A14088" s="83"/>
      <c r="H14088" s="83"/>
      <c r="K14088" s="82"/>
      <c r="M14088" s="112"/>
      <c r="N14088" s="84"/>
    </row>
    <row r="14089" spans="1:14" s="2" customFormat="1">
      <c r="A14089" s="83"/>
      <c r="H14089" s="83"/>
      <c r="K14089" s="82"/>
      <c r="M14089" s="112"/>
      <c r="N14089" s="84"/>
    </row>
    <row r="14090" spans="1:14" s="2" customFormat="1">
      <c r="A14090" s="83"/>
      <c r="H14090" s="83"/>
      <c r="K14090" s="82"/>
      <c r="M14090" s="112"/>
      <c r="N14090" s="84"/>
    </row>
    <row r="14091" spans="1:14" s="2" customFormat="1">
      <c r="A14091" s="83"/>
      <c r="H14091" s="83"/>
      <c r="K14091" s="82"/>
      <c r="M14091" s="112"/>
      <c r="N14091" s="84"/>
    </row>
    <row r="14092" spans="1:14" s="2" customFormat="1">
      <c r="A14092" s="83"/>
      <c r="H14092" s="83"/>
      <c r="K14092" s="82"/>
      <c r="M14092" s="112"/>
      <c r="N14092" s="84"/>
    </row>
    <row r="14093" spans="1:14" s="2" customFormat="1">
      <c r="A14093" s="83"/>
      <c r="H14093" s="83"/>
      <c r="K14093" s="82"/>
      <c r="M14093" s="112"/>
      <c r="N14093" s="84"/>
    </row>
    <row r="14094" spans="1:14" s="2" customFormat="1">
      <c r="A14094" s="83"/>
      <c r="H14094" s="83"/>
      <c r="K14094" s="82"/>
      <c r="M14094" s="112"/>
      <c r="N14094" s="84"/>
    </row>
    <row r="14095" spans="1:14" s="2" customFormat="1">
      <c r="A14095" s="83"/>
      <c r="H14095" s="83"/>
      <c r="K14095" s="82"/>
      <c r="M14095" s="112"/>
      <c r="N14095" s="84"/>
    </row>
    <row r="14096" spans="1:14" s="2" customFormat="1">
      <c r="A14096" s="83"/>
      <c r="H14096" s="83"/>
      <c r="K14096" s="82"/>
      <c r="M14096" s="112"/>
      <c r="N14096" s="84"/>
    </row>
    <row r="14097" spans="1:14" s="2" customFormat="1">
      <c r="A14097" s="83"/>
      <c r="H14097" s="83"/>
      <c r="K14097" s="82"/>
      <c r="M14097" s="112"/>
      <c r="N14097" s="84"/>
    </row>
    <row r="14098" spans="1:14" s="2" customFormat="1">
      <c r="A14098" s="83"/>
      <c r="H14098" s="83"/>
      <c r="K14098" s="82"/>
      <c r="M14098" s="112"/>
      <c r="N14098" s="84"/>
    </row>
    <row r="14099" spans="1:14" s="2" customFormat="1">
      <c r="A14099" s="83"/>
      <c r="H14099" s="83"/>
      <c r="K14099" s="82"/>
      <c r="M14099" s="112"/>
      <c r="N14099" s="84"/>
    </row>
    <row r="14100" spans="1:14" s="2" customFormat="1">
      <c r="A14100" s="83"/>
      <c r="H14100" s="83"/>
      <c r="K14100" s="82"/>
      <c r="M14100" s="112"/>
      <c r="N14100" s="84"/>
    </row>
    <row r="14101" spans="1:14" s="2" customFormat="1">
      <c r="A14101" s="83"/>
      <c r="H14101" s="83"/>
      <c r="K14101" s="82"/>
      <c r="M14101" s="112"/>
      <c r="N14101" s="84"/>
    </row>
    <row r="14102" spans="1:14" s="2" customFormat="1">
      <c r="A14102" s="83"/>
      <c r="H14102" s="83"/>
      <c r="K14102" s="82"/>
      <c r="M14102" s="112"/>
      <c r="N14102" s="84"/>
    </row>
    <row r="14103" spans="1:14" s="2" customFormat="1">
      <c r="A14103" s="83"/>
      <c r="H14103" s="83"/>
      <c r="K14103" s="82"/>
      <c r="M14103" s="112"/>
      <c r="N14103" s="84"/>
    </row>
    <row r="14104" spans="1:14" s="2" customFormat="1">
      <c r="A14104" s="83"/>
      <c r="H14104" s="83"/>
      <c r="K14104" s="82"/>
      <c r="M14104" s="112"/>
      <c r="N14104" s="84"/>
    </row>
    <row r="14105" spans="1:14" s="2" customFormat="1">
      <c r="A14105" s="83"/>
      <c r="H14105" s="83"/>
      <c r="K14105" s="82"/>
      <c r="M14105" s="112"/>
      <c r="N14105" s="84"/>
    </row>
    <row r="14106" spans="1:14" s="2" customFormat="1">
      <c r="A14106" s="83"/>
      <c r="H14106" s="83"/>
      <c r="K14106" s="82"/>
      <c r="M14106" s="112"/>
      <c r="N14106" s="84"/>
    </row>
    <row r="14107" spans="1:14" s="2" customFormat="1">
      <c r="A14107" s="83"/>
      <c r="H14107" s="83"/>
      <c r="K14107" s="82"/>
      <c r="M14107" s="112"/>
      <c r="N14107" s="84"/>
    </row>
    <row r="14108" spans="1:14" s="2" customFormat="1">
      <c r="A14108" s="83"/>
      <c r="H14108" s="83"/>
      <c r="K14108" s="82"/>
      <c r="M14108" s="112"/>
      <c r="N14108" s="84"/>
    </row>
    <row r="14109" spans="1:14" s="2" customFormat="1">
      <c r="A14109" s="83"/>
      <c r="H14109" s="83"/>
      <c r="K14109" s="82"/>
      <c r="M14109" s="112"/>
      <c r="N14109" s="84"/>
    </row>
    <row r="14110" spans="1:14" s="2" customFormat="1">
      <c r="A14110" s="83"/>
      <c r="H14110" s="83"/>
      <c r="K14110" s="82"/>
      <c r="M14110" s="112"/>
      <c r="N14110" s="84"/>
    </row>
    <row r="14111" spans="1:14" s="2" customFormat="1">
      <c r="A14111" s="83"/>
      <c r="H14111" s="83"/>
      <c r="K14111" s="82"/>
      <c r="M14111" s="112"/>
      <c r="N14111" s="84"/>
    </row>
    <row r="14112" spans="1:14" s="2" customFormat="1">
      <c r="A14112" s="83"/>
      <c r="H14112" s="83"/>
      <c r="K14112" s="82"/>
      <c r="M14112" s="112"/>
      <c r="N14112" s="84"/>
    </row>
    <row r="14113" spans="1:14" s="2" customFormat="1">
      <c r="A14113" s="83"/>
      <c r="H14113" s="83"/>
      <c r="K14113" s="82"/>
      <c r="M14113" s="112"/>
      <c r="N14113" s="84"/>
    </row>
    <row r="14114" spans="1:14" s="2" customFormat="1">
      <c r="A14114" s="83"/>
      <c r="H14114" s="83"/>
      <c r="K14114" s="82"/>
      <c r="M14114" s="112"/>
      <c r="N14114" s="84"/>
    </row>
    <row r="14115" spans="1:14" s="2" customFormat="1">
      <c r="A14115" s="83"/>
      <c r="H14115" s="83"/>
      <c r="K14115" s="82"/>
      <c r="M14115" s="112"/>
      <c r="N14115" s="84"/>
    </row>
    <row r="14116" spans="1:14" s="2" customFormat="1">
      <c r="A14116" s="83"/>
      <c r="H14116" s="83"/>
      <c r="K14116" s="82"/>
      <c r="M14116" s="112"/>
      <c r="N14116" s="84"/>
    </row>
    <row r="14117" spans="1:14" s="2" customFormat="1">
      <c r="A14117" s="83"/>
      <c r="H14117" s="83"/>
      <c r="K14117" s="82"/>
      <c r="M14117" s="112"/>
      <c r="N14117" s="84"/>
    </row>
    <row r="14118" spans="1:14" s="2" customFormat="1">
      <c r="A14118" s="83"/>
      <c r="H14118" s="83"/>
      <c r="K14118" s="82"/>
      <c r="M14118" s="112"/>
      <c r="N14118" s="84"/>
    </row>
    <row r="14119" spans="1:14" s="2" customFormat="1">
      <c r="A14119" s="83"/>
      <c r="H14119" s="83"/>
      <c r="K14119" s="82"/>
      <c r="M14119" s="112"/>
      <c r="N14119" s="84"/>
    </row>
    <row r="14120" spans="1:14" s="2" customFormat="1">
      <c r="A14120" s="83"/>
      <c r="H14120" s="83"/>
      <c r="K14120" s="82"/>
      <c r="M14120" s="112"/>
      <c r="N14120" s="84"/>
    </row>
    <row r="14121" spans="1:14" s="2" customFormat="1">
      <c r="A14121" s="83"/>
      <c r="H14121" s="83"/>
      <c r="K14121" s="82"/>
      <c r="M14121" s="112"/>
      <c r="N14121" s="84"/>
    </row>
    <row r="14122" spans="1:14" s="2" customFormat="1">
      <c r="A14122" s="83"/>
      <c r="H14122" s="83"/>
      <c r="K14122" s="82"/>
      <c r="M14122" s="112"/>
      <c r="N14122" s="84"/>
    </row>
    <row r="14123" spans="1:14" s="2" customFormat="1">
      <c r="A14123" s="83"/>
      <c r="H14123" s="83"/>
      <c r="K14123" s="82"/>
      <c r="M14123" s="112"/>
      <c r="N14123" s="84"/>
    </row>
    <row r="14124" spans="1:14" s="2" customFormat="1">
      <c r="A14124" s="83"/>
      <c r="H14124" s="83"/>
      <c r="K14124" s="82"/>
      <c r="M14124" s="112"/>
      <c r="N14124" s="84"/>
    </row>
    <row r="14125" spans="1:14" s="2" customFormat="1">
      <c r="A14125" s="83"/>
      <c r="H14125" s="83"/>
      <c r="K14125" s="82"/>
      <c r="M14125" s="112"/>
      <c r="N14125" s="84"/>
    </row>
    <row r="14126" spans="1:14" s="2" customFormat="1">
      <c r="A14126" s="83"/>
      <c r="H14126" s="83"/>
      <c r="K14126" s="82"/>
      <c r="M14126" s="112"/>
      <c r="N14126" s="84"/>
    </row>
    <row r="14127" spans="1:14" s="2" customFormat="1">
      <c r="A14127" s="83"/>
      <c r="H14127" s="83"/>
      <c r="K14127" s="82"/>
      <c r="M14127" s="112"/>
      <c r="N14127" s="84"/>
    </row>
    <row r="14128" spans="1:14" s="2" customFormat="1">
      <c r="A14128" s="83"/>
      <c r="H14128" s="83"/>
      <c r="K14128" s="82"/>
      <c r="M14128" s="112"/>
      <c r="N14128" s="84"/>
    </row>
    <row r="14129" spans="1:14" s="2" customFormat="1">
      <c r="A14129" s="83"/>
      <c r="H14129" s="83"/>
      <c r="K14129" s="82"/>
      <c r="M14129" s="112"/>
      <c r="N14129" s="84"/>
    </row>
    <row r="14130" spans="1:14" s="2" customFormat="1">
      <c r="A14130" s="83"/>
      <c r="H14130" s="83"/>
      <c r="K14130" s="82"/>
      <c r="M14130" s="112"/>
      <c r="N14130" s="84"/>
    </row>
    <row r="14131" spans="1:14" s="2" customFormat="1">
      <c r="A14131" s="83"/>
      <c r="H14131" s="83"/>
      <c r="K14131" s="82"/>
      <c r="M14131" s="112"/>
      <c r="N14131" s="84"/>
    </row>
    <row r="14132" spans="1:14" s="2" customFormat="1">
      <c r="A14132" s="83"/>
      <c r="H14132" s="83"/>
      <c r="K14132" s="82"/>
      <c r="M14132" s="112"/>
      <c r="N14132" s="84"/>
    </row>
    <row r="14133" spans="1:14" s="2" customFormat="1">
      <c r="A14133" s="83"/>
      <c r="H14133" s="83"/>
      <c r="K14133" s="82"/>
      <c r="M14133" s="112"/>
      <c r="N14133" s="84"/>
    </row>
    <row r="14134" spans="1:14" s="2" customFormat="1">
      <c r="A14134" s="83"/>
      <c r="H14134" s="83"/>
      <c r="K14134" s="82"/>
      <c r="M14134" s="112"/>
      <c r="N14134" s="84"/>
    </row>
    <row r="14135" spans="1:14" s="2" customFormat="1">
      <c r="A14135" s="83"/>
      <c r="H14135" s="83"/>
      <c r="K14135" s="82"/>
      <c r="M14135" s="112"/>
      <c r="N14135" s="84"/>
    </row>
    <row r="14136" spans="1:14" s="2" customFormat="1">
      <c r="A14136" s="83"/>
      <c r="H14136" s="83"/>
      <c r="K14136" s="82"/>
      <c r="M14136" s="112"/>
      <c r="N14136" s="84"/>
    </row>
    <row r="14137" spans="1:14" s="2" customFormat="1">
      <c r="A14137" s="83"/>
      <c r="H14137" s="83"/>
      <c r="K14137" s="82"/>
      <c r="M14137" s="112"/>
      <c r="N14137" s="84"/>
    </row>
    <row r="14138" spans="1:14" s="2" customFormat="1">
      <c r="A14138" s="83"/>
      <c r="H14138" s="83"/>
      <c r="K14138" s="82"/>
      <c r="M14138" s="112"/>
      <c r="N14138" s="84"/>
    </row>
    <row r="14139" spans="1:14" s="2" customFormat="1">
      <c r="A14139" s="83"/>
      <c r="H14139" s="83"/>
      <c r="K14139" s="82"/>
      <c r="M14139" s="112"/>
      <c r="N14139" s="84"/>
    </row>
    <row r="14140" spans="1:14" s="2" customFormat="1">
      <c r="A14140" s="83"/>
      <c r="H14140" s="83"/>
      <c r="K14140" s="82"/>
      <c r="M14140" s="112"/>
      <c r="N14140" s="84"/>
    </row>
    <row r="14141" spans="1:14" s="2" customFormat="1">
      <c r="A14141" s="83"/>
      <c r="H14141" s="83"/>
      <c r="K14141" s="82"/>
      <c r="M14141" s="112"/>
      <c r="N14141" s="84"/>
    </row>
    <row r="14142" spans="1:14" s="2" customFormat="1">
      <c r="A14142" s="83"/>
      <c r="H14142" s="83"/>
      <c r="K14142" s="82"/>
      <c r="M14142" s="112"/>
      <c r="N14142" s="84"/>
    </row>
    <row r="14143" spans="1:14" s="2" customFormat="1">
      <c r="A14143" s="83"/>
      <c r="H14143" s="83"/>
      <c r="K14143" s="82"/>
      <c r="M14143" s="112"/>
      <c r="N14143" s="84"/>
    </row>
    <row r="14144" spans="1:14" s="2" customFormat="1">
      <c r="A14144" s="83"/>
      <c r="H14144" s="83"/>
      <c r="K14144" s="82"/>
      <c r="M14144" s="112"/>
      <c r="N14144" s="84"/>
    </row>
    <row r="14145" spans="1:14" s="2" customFormat="1">
      <c r="A14145" s="83"/>
      <c r="H14145" s="83"/>
      <c r="K14145" s="82"/>
      <c r="M14145" s="112"/>
      <c r="N14145" s="84"/>
    </row>
    <row r="14146" spans="1:14" s="2" customFormat="1">
      <c r="A14146" s="83"/>
      <c r="H14146" s="83"/>
      <c r="K14146" s="82"/>
      <c r="M14146" s="112"/>
      <c r="N14146" s="84"/>
    </row>
    <row r="14147" spans="1:14" s="2" customFormat="1">
      <c r="A14147" s="83"/>
      <c r="H14147" s="83"/>
      <c r="K14147" s="82"/>
      <c r="M14147" s="112"/>
      <c r="N14147" s="84"/>
    </row>
    <row r="14148" spans="1:14" s="2" customFormat="1">
      <c r="A14148" s="83"/>
      <c r="H14148" s="83"/>
      <c r="K14148" s="82"/>
      <c r="M14148" s="112"/>
      <c r="N14148" s="84"/>
    </row>
    <row r="14149" spans="1:14" s="2" customFormat="1">
      <c r="A14149" s="83"/>
      <c r="H14149" s="83"/>
      <c r="K14149" s="82"/>
      <c r="M14149" s="112"/>
      <c r="N14149" s="84"/>
    </row>
    <row r="14150" spans="1:14" s="2" customFormat="1">
      <c r="A14150" s="83"/>
      <c r="H14150" s="83"/>
      <c r="K14150" s="82"/>
      <c r="M14150" s="112"/>
      <c r="N14150" s="84"/>
    </row>
    <row r="14151" spans="1:14" s="2" customFormat="1">
      <c r="A14151" s="83"/>
      <c r="H14151" s="83"/>
      <c r="K14151" s="82"/>
      <c r="M14151" s="112"/>
      <c r="N14151" s="84"/>
    </row>
    <row r="14152" spans="1:14" s="2" customFormat="1">
      <c r="A14152" s="83"/>
      <c r="H14152" s="83"/>
      <c r="K14152" s="82"/>
      <c r="M14152" s="112"/>
      <c r="N14152" s="84"/>
    </row>
    <row r="14153" spans="1:14" s="2" customFormat="1">
      <c r="A14153" s="83"/>
      <c r="H14153" s="83"/>
      <c r="K14153" s="82"/>
      <c r="M14153" s="112"/>
      <c r="N14153" s="84"/>
    </row>
    <row r="14154" spans="1:14" s="2" customFormat="1">
      <c r="A14154" s="83"/>
      <c r="H14154" s="83"/>
      <c r="K14154" s="82"/>
      <c r="M14154" s="112"/>
      <c r="N14154" s="84"/>
    </row>
    <row r="14155" spans="1:14" s="2" customFormat="1">
      <c r="A14155" s="83"/>
      <c r="H14155" s="83"/>
      <c r="K14155" s="82"/>
      <c r="M14155" s="112"/>
      <c r="N14155" s="84"/>
    </row>
    <row r="14156" spans="1:14" s="2" customFormat="1">
      <c r="A14156" s="83"/>
      <c r="H14156" s="83"/>
      <c r="K14156" s="82"/>
      <c r="M14156" s="112"/>
      <c r="N14156" s="84"/>
    </row>
    <row r="14157" spans="1:14" s="2" customFormat="1">
      <c r="A14157" s="83"/>
      <c r="H14157" s="83"/>
      <c r="K14157" s="82"/>
      <c r="M14157" s="112"/>
      <c r="N14157" s="84"/>
    </row>
    <row r="14158" spans="1:14" s="2" customFormat="1">
      <c r="A14158" s="83"/>
      <c r="H14158" s="83"/>
      <c r="K14158" s="82"/>
      <c r="M14158" s="112"/>
      <c r="N14158" s="84"/>
    </row>
    <row r="14159" spans="1:14" s="2" customFormat="1">
      <c r="A14159" s="83"/>
      <c r="H14159" s="83"/>
      <c r="K14159" s="82"/>
      <c r="M14159" s="112"/>
      <c r="N14159" s="84"/>
    </row>
    <row r="14160" spans="1:14" s="2" customFormat="1">
      <c r="A14160" s="83"/>
      <c r="H14160" s="83"/>
      <c r="K14160" s="82"/>
      <c r="M14160" s="112"/>
      <c r="N14160" s="84"/>
    </row>
    <row r="14161" spans="1:14" s="2" customFormat="1">
      <c r="A14161" s="83"/>
      <c r="H14161" s="83"/>
      <c r="K14161" s="82"/>
      <c r="M14161" s="112"/>
      <c r="N14161" s="84"/>
    </row>
    <row r="14162" spans="1:14" s="2" customFormat="1">
      <c r="A14162" s="83"/>
      <c r="H14162" s="83"/>
      <c r="K14162" s="82"/>
      <c r="M14162" s="112"/>
      <c r="N14162" s="84"/>
    </row>
    <row r="14163" spans="1:14" s="2" customFormat="1">
      <c r="A14163" s="83"/>
      <c r="H14163" s="83"/>
      <c r="K14163" s="82"/>
      <c r="M14163" s="112"/>
      <c r="N14163" s="84"/>
    </row>
    <row r="14164" spans="1:14" s="2" customFormat="1">
      <c r="A14164" s="83"/>
      <c r="H14164" s="83"/>
      <c r="K14164" s="82"/>
      <c r="M14164" s="112"/>
      <c r="N14164" s="84"/>
    </row>
    <row r="14165" spans="1:14" s="2" customFormat="1">
      <c r="A14165" s="83"/>
      <c r="H14165" s="83"/>
      <c r="K14165" s="82"/>
      <c r="M14165" s="112"/>
      <c r="N14165" s="84"/>
    </row>
    <row r="14166" spans="1:14" s="2" customFormat="1">
      <c r="A14166" s="83"/>
      <c r="H14166" s="83"/>
      <c r="K14166" s="82"/>
      <c r="M14166" s="112"/>
      <c r="N14166" s="84"/>
    </row>
    <row r="14167" spans="1:14" s="2" customFormat="1">
      <c r="A14167" s="83"/>
      <c r="H14167" s="83"/>
      <c r="K14167" s="82"/>
      <c r="M14167" s="112"/>
      <c r="N14167" s="84"/>
    </row>
    <row r="14168" spans="1:14" s="2" customFormat="1">
      <c r="A14168" s="83"/>
      <c r="H14168" s="83"/>
      <c r="K14168" s="82"/>
      <c r="M14168" s="112"/>
      <c r="N14168" s="84"/>
    </row>
    <row r="14169" spans="1:14" s="2" customFormat="1">
      <c r="A14169" s="83"/>
      <c r="H14169" s="83"/>
      <c r="K14169" s="82"/>
      <c r="M14169" s="112"/>
      <c r="N14169" s="84"/>
    </row>
    <row r="14170" spans="1:14" s="2" customFormat="1">
      <c r="A14170" s="83"/>
      <c r="H14170" s="83"/>
      <c r="K14170" s="82"/>
      <c r="M14170" s="112"/>
      <c r="N14170" s="84"/>
    </row>
    <row r="14171" spans="1:14" s="2" customFormat="1">
      <c r="A14171" s="83"/>
      <c r="H14171" s="83"/>
      <c r="K14171" s="82"/>
      <c r="M14171" s="112"/>
      <c r="N14171" s="84"/>
    </row>
    <row r="14172" spans="1:14" s="2" customFormat="1">
      <c r="A14172" s="83"/>
      <c r="H14172" s="83"/>
      <c r="K14172" s="82"/>
      <c r="M14172" s="112"/>
      <c r="N14172" s="84"/>
    </row>
    <row r="14173" spans="1:14" s="2" customFormat="1">
      <c r="A14173" s="83"/>
      <c r="H14173" s="83"/>
      <c r="K14173" s="82"/>
      <c r="M14173" s="112"/>
      <c r="N14173" s="84"/>
    </row>
    <row r="14174" spans="1:14" s="2" customFormat="1">
      <c r="A14174" s="83"/>
      <c r="H14174" s="83"/>
      <c r="K14174" s="82"/>
      <c r="M14174" s="112"/>
      <c r="N14174" s="84"/>
    </row>
    <row r="14175" spans="1:14" s="2" customFormat="1">
      <c r="A14175" s="83"/>
      <c r="H14175" s="83"/>
      <c r="K14175" s="82"/>
      <c r="M14175" s="112"/>
      <c r="N14175" s="84"/>
    </row>
    <row r="14176" spans="1:14" s="2" customFormat="1">
      <c r="A14176" s="83"/>
      <c r="H14176" s="83"/>
      <c r="K14176" s="82"/>
      <c r="M14176" s="112"/>
      <c r="N14176" s="84"/>
    </row>
    <row r="14177" spans="1:14" s="2" customFormat="1">
      <c r="A14177" s="83"/>
      <c r="H14177" s="83"/>
      <c r="K14177" s="82"/>
      <c r="M14177" s="112"/>
      <c r="N14177" s="84"/>
    </row>
    <row r="14178" spans="1:14" s="2" customFormat="1">
      <c r="A14178" s="83"/>
      <c r="H14178" s="83"/>
      <c r="K14178" s="82"/>
      <c r="M14178" s="112"/>
      <c r="N14178" s="84"/>
    </row>
    <row r="14179" spans="1:14" s="2" customFormat="1">
      <c r="A14179" s="83"/>
      <c r="H14179" s="83"/>
      <c r="K14179" s="82"/>
      <c r="M14179" s="112"/>
      <c r="N14179" s="84"/>
    </row>
    <row r="14180" spans="1:14" s="2" customFormat="1">
      <c r="A14180" s="83"/>
      <c r="H14180" s="83"/>
      <c r="K14180" s="82"/>
      <c r="M14180" s="112"/>
      <c r="N14180" s="84"/>
    </row>
    <row r="14181" spans="1:14" s="2" customFormat="1">
      <c r="A14181" s="83"/>
      <c r="H14181" s="83"/>
      <c r="K14181" s="82"/>
      <c r="M14181" s="112"/>
      <c r="N14181" s="84"/>
    </row>
    <row r="14182" spans="1:14" s="2" customFormat="1">
      <c r="A14182" s="83"/>
      <c r="H14182" s="83"/>
      <c r="K14182" s="82"/>
      <c r="M14182" s="112"/>
      <c r="N14182" s="84"/>
    </row>
    <row r="14183" spans="1:14" s="2" customFormat="1">
      <c r="A14183" s="83"/>
      <c r="H14183" s="83"/>
      <c r="K14183" s="82"/>
      <c r="M14183" s="112"/>
      <c r="N14183" s="84"/>
    </row>
    <row r="14184" spans="1:14" s="2" customFormat="1">
      <c r="A14184" s="83"/>
      <c r="H14184" s="83"/>
      <c r="K14184" s="82"/>
      <c r="M14184" s="112"/>
      <c r="N14184" s="84"/>
    </row>
    <row r="14185" spans="1:14" s="2" customFormat="1">
      <c r="A14185" s="83"/>
      <c r="H14185" s="83"/>
      <c r="K14185" s="82"/>
      <c r="M14185" s="112"/>
      <c r="N14185" s="84"/>
    </row>
    <row r="14186" spans="1:14" s="2" customFormat="1">
      <c r="A14186" s="83"/>
      <c r="H14186" s="83"/>
      <c r="K14186" s="82"/>
      <c r="M14186" s="112"/>
      <c r="N14186" s="84"/>
    </row>
    <row r="14187" spans="1:14" s="2" customFormat="1">
      <c r="A14187" s="83"/>
      <c r="H14187" s="83"/>
      <c r="K14187" s="82"/>
      <c r="M14187" s="112"/>
      <c r="N14187" s="84"/>
    </row>
    <row r="14188" spans="1:14" s="2" customFormat="1">
      <c r="A14188" s="83"/>
      <c r="H14188" s="83"/>
      <c r="K14188" s="82"/>
      <c r="M14188" s="112"/>
      <c r="N14188" s="84"/>
    </row>
    <row r="14189" spans="1:14" s="2" customFormat="1">
      <c r="A14189" s="83"/>
      <c r="H14189" s="83"/>
      <c r="K14189" s="82"/>
      <c r="M14189" s="112"/>
      <c r="N14189" s="84"/>
    </row>
    <row r="14190" spans="1:14" s="2" customFormat="1">
      <c r="A14190" s="83"/>
      <c r="H14190" s="83"/>
      <c r="K14190" s="82"/>
      <c r="M14190" s="112"/>
      <c r="N14190" s="84"/>
    </row>
    <row r="14191" spans="1:14" s="2" customFormat="1">
      <c r="A14191" s="83"/>
      <c r="H14191" s="83"/>
      <c r="K14191" s="82"/>
      <c r="M14191" s="112"/>
      <c r="N14191" s="84"/>
    </row>
    <row r="14192" spans="1:14" s="2" customFormat="1">
      <c r="A14192" s="83"/>
      <c r="H14192" s="83"/>
      <c r="K14192" s="82"/>
      <c r="M14192" s="112"/>
      <c r="N14192" s="84"/>
    </row>
    <row r="14193" spans="1:14" s="2" customFormat="1">
      <c r="A14193" s="83"/>
      <c r="H14193" s="83"/>
      <c r="K14193" s="82"/>
      <c r="M14193" s="112"/>
      <c r="N14193" s="84"/>
    </row>
    <row r="14194" spans="1:14" s="2" customFormat="1">
      <c r="A14194" s="83"/>
      <c r="H14194" s="83"/>
      <c r="K14194" s="82"/>
      <c r="M14194" s="112"/>
      <c r="N14194" s="84"/>
    </row>
    <row r="14195" spans="1:14" s="2" customFormat="1">
      <c r="A14195" s="83"/>
      <c r="H14195" s="83"/>
      <c r="K14195" s="82"/>
      <c r="M14195" s="112"/>
      <c r="N14195" s="84"/>
    </row>
    <row r="14196" spans="1:14" s="2" customFormat="1">
      <c r="A14196" s="83"/>
      <c r="H14196" s="83"/>
      <c r="K14196" s="82"/>
      <c r="M14196" s="112"/>
      <c r="N14196" s="84"/>
    </row>
    <row r="14197" spans="1:14" s="2" customFormat="1">
      <c r="A14197" s="83"/>
      <c r="H14197" s="83"/>
      <c r="K14197" s="82"/>
      <c r="M14197" s="112"/>
      <c r="N14197" s="84"/>
    </row>
    <row r="14198" spans="1:14" s="2" customFormat="1">
      <c r="A14198" s="83"/>
      <c r="H14198" s="83"/>
      <c r="K14198" s="82"/>
      <c r="M14198" s="112"/>
      <c r="N14198" s="84"/>
    </row>
    <row r="14199" spans="1:14" s="2" customFormat="1">
      <c r="A14199" s="83"/>
      <c r="H14199" s="83"/>
      <c r="K14199" s="82"/>
      <c r="M14199" s="112"/>
      <c r="N14199" s="84"/>
    </row>
    <row r="14200" spans="1:14" s="2" customFormat="1">
      <c r="A14200" s="83"/>
      <c r="H14200" s="83"/>
      <c r="K14200" s="82"/>
      <c r="M14200" s="112"/>
      <c r="N14200" s="84"/>
    </row>
    <row r="14201" spans="1:14" s="2" customFormat="1">
      <c r="A14201" s="83"/>
      <c r="H14201" s="83"/>
      <c r="K14201" s="82"/>
      <c r="M14201" s="112"/>
      <c r="N14201" s="84"/>
    </row>
    <row r="14202" spans="1:14" s="2" customFormat="1">
      <c r="A14202" s="83"/>
      <c r="H14202" s="83"/>
      <c r="K14202" s="82"/>
      <c r="M14202" s="112"/>
      <c r="N14202" s="84"/>
    </row>
    <row r="14203" spans="1:14" s="2" customFormat="1">
      <c r="A14203" s="83"/>
      <c r="H14203" s="83"/>
      <c r="K14203" s="82"/>
      <c r="M14203" s="112"/>
      <c r="N14203" s="84"/>
    </row>
    <row r="14204" spans="1:14" s="2" customFormat="1">
      <c r="A14204" s="83"/>
      <c r="H14204" s="83"/>
      <c r="K14204" s="82"/>
      <c r="M14204" s="112"/>
      <c r="N14204" s="84"/>
    </row>
    <row r="14205" spans="1:14" s="2" customFormat="1">
      <c r="A14205" s="83"/>
      <c r="H14205" s="83"/>
      <c r="K14205" s="82"/>
      <c r="M14205" s="112"/>
      <c r="N14205" s="84"/>
    </row>
    <row r="14206" spans="1:14" s="2" customFormat="1">
      <c r="A14206" s="83"/>
      <c r="H14206" s="83"/>
      <c r="K14206" s="82"/>
      <c r="M14206" s="112"/>
      <c r="N14206" s="84"/>
    </row>
    <row r="14207" spans="1:14" s="2" customFormat="1">
      <c r="A14207" s="83"/>
      <c r="H14207" s="83"/>
      <c r="K14207" s="82"/>
      <c r="M14207" s="112"/>
      <c r="N14207" s="84"/>
    </row>
    <row r="14208" spans="1:14" s="2" customFormat="1">
      <c r="A14208" s="83"/>
      <c r="H14208" s="83"/>
      <c r="K14208" s="82"/>
      <c r="M14208" s="112"/>
      <c r="N14208" s="84"/>
    </row>
    <row r="14209" spans="1:14" s="2" customFormat="1">
      <c r="A14209" s="83"/>
      <c r="H14209" s="83"/>
      <c r="K14209" s="82"/>
      <c r="M14209" s="112"/>
      <c r="N14209" s="84"/>
    </row>
    <row r="14210" spans="1:14" s="2" customFormat="1">
      <c r="A14210" s="83"/>
      <c r="H14210" s="83"/>
      <c r="K14210" s="82"/>
      <c r="M14210" s="112"/>
      <c r="N14210" s="84"/>
    </row>
    <row r="14211" spans="1:14" s="2" customFormat="1">
      <c r="A14211" s="83"/>
      <c r="H14211" s="83"/>
      <c r="K14211" s="82"/>
      <c r="M14211" s="112"/>
      <c r="N14211" s="84"/>
    </row>
    <row r="14212" spans="1:14" s="2" customFormat="1">
      <c r="A14212" s="83"/>
      <c r="H14212" s="83"/>
      <c r="K14212" s="82"/>
      <c r="M14212" s="112"/>
      <c r="N14212" s="84"/>
    </row>
    <row r="14213" spans="1:14" s="2" customFormat="1">
      <c r="A14213" s="83"/>
      <c r="H14213" s="83"/>
      <c r="K14213" s="82"/>
      <c r="M14213" s="112"/>
      <c r="N14213" s="84"/>
    </row>
    <row r="14214" spans="1:14" s="2" customFormat="1">
      <c r="A14214" s="83"/>
      <c r="H14214" s="83"/>
      <c r="K14214" s="82"/>
      <c r="M14214" s="112"/>
      <c r="N14214" s="84"/>
    </row>
    <row r="14215" spans="1:14" s="2" customFormat="1">
      <c r="A14215" s="83"/>
      <c r="H14215" s="83"/>
      <c r="K14215" s="82"/>
      <c r="M14215" s="112"/>
      <c r="N14215" s="84"/>
    </row>
    <row r="14216" spans="1:14" s="2" customFormat="1">
      <c r="A14216" s="83"/>
      <c r="H14216" s="83"/>
      <c r="K14216" s="82"/>
      <c r="M14216" s="112"/>
      <c r="N14216" s="84"/>
    </row>
    <row r="14217" spans="1:14" s="2" customFormat="1">
      <c r="A14217" s="83"/>
      <c r="H14217" s="83"/>
      <c r="K14217" s="82"/>
      <c r="M14217" s="112"/>
      <c r="N14217" s="84"/>
    </row>
    <row r="14218" spans="1:14" s="2" customFormat="1">
      <c r="A14218" s="83"/>
      <c r="H14218" s="83"/>
      <c r="K14218" s="82"/>
      <c r="M14218" s="112"/>
      <c r="N14218" s="84"/>
    </row>
    <row r="14219" spans="1:14" s="2" customFormat="1">
      <c r="A14219" s="83"/>
      <c r="H14219" s="83"/>
      <c r="K14219" s="82"/>
      <c r="M14219" s="112"/>
      <c r="N14219" s="84"/>
    </row>
    <row r="14220" spans="1:14" s="2" customFormat="1">
      <c r="A14220" s="83"/>
      <c r="H14220" s="83"/>
      <c r="K14220" s="82"/>
      <c r="M14220" s="112"/>
      <c r="N14220" s="84"/>
    </row>
    <row r="14221" spans="1:14" s="2" customFormat="1">
      <c r="A14221" s="83"/>
      <c r="H14221" s="83"/>
      <c r="K14221" s="82"/>
      <c r="M14221" s="112"/>
      <c r="N14221" s="84"/>
    </row>
    <row r="14222" spans="1:14" s="2" customFormat="1">
      <c r="A14222" s="83"/>
      <c r="H14222" s="83"/>
      <c r="K14222" s="82"/>
      <c r="M14222" s="112"/>
      <c r="N14222" s="84"/>
    </row>
    <row r="14223" spans="1:14" s="2" customFormat="1">
      <c r="A14223" s="83"/>
      <c r="H14223" s="83"/>
      <c r="K14223" s="82"/>
      <c r="M14223" s="112"/>
      <c r="N14223" s="84"/>
    </row>
    <row r="14224" spans="1:14" s="2" customFormat="1">
      <c r="A14224" s="83"/>
      <c r="H14224" s="83"/>
      <c r="K14224" s="82"/>
      <c r="M14224" s="112"/>
      <c r="N14224" s="84"/>
    </row>
    <row r="14225" spans="1:14" s="2" customFormat="1">
      <c r="A14225" s="83"/>
      <c r="H14225" s="83"/>
      <c r="K14225" s="82"/>
      <c r="M14225" s="112"/>
      <c r="N14225" s="84"/>
    </row>
    <row r="14226" spans="1:14" s="2" customFormat="1">
      <c r="A14226" s="83"/>
      <c r="H14226" s="83"/>
      <c r="K14226" s="82"/>
      <c r="M14226" s="112"/>
      <c r="N14226" s="84"/>
    </row>
    <row r="14227" spans="1:14" s="2" customFormat="1">
      <c r="A14227" s="83"/>
      <c r="H14227" s="83"/>
      <c r="K14227" s="82"/>
      <c r="M14227" s="112"/>
      <c r="N14227" s="84"/>
    </row>
    <row r="14228" spans="1:14" s="2" customFormat="1">
      <c r="A14228" s="83"/>
      <c r="H14228" s="83"/>
      <c r="K14228" s="82"/>
      <c r="M14228" s="112"/>
      <c r="N14228" s="84"/>
    </row>
    <row r="14229" spans="1:14" s="2" customFormat="1">
      <c r="A14229" s="83"/>
      <c r="H14229" s="83"/>
      <c r="K14229" s="82"/>
      <c r="M14229" s="112"/>
      <c r="N14229" s="84"/>
    </row>
    <row r="14230" spans="1:14" s="2" customFormat="1">
      <c r="A14230" s="83"/>
      <c r="H14230" s="83"/>
      <c r="K14230" s="82"/>
      <c r="M14230" s="112"/>
      <c r="N14230" s="84"/>
    </row>
    <row r="14231" spans="1:14" s="2" customFormat="1">
      <c r="A14231" s="83"/>
      <c r="H14231" s="83"/>
      <c r="K14231" s="82"/>
      <c r="M14231" s="112"/>
      <c r="N14231" s="84"/>
    </row>
    <row r="14232" spans="1:14" s="2" customFormat="1">
      <c r="A14232" s="83"/>
      <c r="H14232" s="83"/>
      <c r="K14232" s="82"/>
      <c r="M14232" s="112"/>
      <c r="N14232" s="84"/>
    </row>
    <row r="14233" spans="1:14" s="2" customFormat="1">
      <c r="A14233" s="83"/>
      <c r="H14233" s="83"/>
      <c r="K14233" s="82"/>
      <c r="M14233" s="112"/>
      <c r="N14233" s="84"/>
    </row>
    <row r="14234" spans="1:14" s="2" customFormat="1">
      <c r="A14234" s="83"/>
      <c r="H14234" s="83"/>
      <c r="K14234" s="82"/>
      <c r="M14234" s="112"/>
      <c r="N14234" s="84"/>
    </row>
    <row r="14235" spans="1:14" s="2" customFormat="1">
      <c r="A14235" s="83"/>
      <c r="H14235" s="83"/>
      <c r="K14235" s="82"/>
      <c r="M14235" s="112"/>
      <c r="N14235" s="84"/>
    </row>
    <row r="14236" spans="1:14" s="2" customFormat="1">
      <c r="A14236" s="83"/>
      <c r="H14236" s="83"/>
      <c r="K14236" s="82"/>
      <c r="M14236" s="112"/>
      <c r="N14236" s="84"/>
    </row>
    <row r="14237" spans="1:14" s="2" customFormat="1">
      <c r="A14237" s="83"/>
      <c r="H14237" s="83"/>
      <c r="K14237" s="82"/>
      <c r="M14237" s="112"/>
      <c r="N14237" s="84"/>
    </row>
    <row r="14238" spans="1:14" s="2" customFormat="1">
      <c r="A14238" s="83"/>
      <c r="H14238" s="83"/>
      <c r="K14238" s="82"/>
      <c r="M14238" s="112"/>
      <c r="N14238" s="84"/>
    </row>
    <row r="14239" spans="1:14" s="2" customFormat="1">
      <c r="A14239" s="83"/>
      <c r="H14239" s="83"/>
      <c r="K14239" s="82"/>
      <c r="M14239" s="112"/>
      <c r="N14239" s="84"/>
    </row>
    <row r="14240" spans="1:14" s="2" customFormat="1">
      <c r="A14240" s="83"/>
      <c r="H14240" s="83"/>
      <c r="K14240" s="82"/>
      <c r="M14240" s="112"/>
      <c r="N14240" s="84"/>
    </row>
    <row r="14241" spans="1:14" s="2" customFormat="1">
      <c r="A14241" s="83"/>
      <c r="H14241" s="83"/>
      <c r="K14241" s="82"/>
      <c r="M14241" s="112"/>
      <c r="N14241" s="84"/>
    </row>
    <row r="14242" spans="1:14" s="2" customFormat="1">
      <c r="A14242" s="83"/>
      <c r="H14242" s="83"/>
      <c r="K14242" s="82"/>
      <c r="M14242" s="112"/>
      <c r="N14242" s="84"/>
    </row>
    <row r="14243" spans="1:14" s="2" customFormat="1">
      <c r="A14243" s="83"/>
      <c r="H14243" s="83"/>
      <c r="K14243" s="82"/>
      <c r="M14243" s="112"/>
      <c r="N14243" s="84"/>
    </row>
    <row r="14244" spans="1:14" s="2" customFormat="1">
      <c r="A14244" s="83"/>
      <c r="H14244" s="83"/>
      <c r="K14244" s="82"/>
      <c r="M14244" s="112"/>
      <c r="N14244" s="84"/>
    </row>
    <row r="14245" spans="1:14" s="2" customFormat="1">
      <c r="A14245" s="83"/>
      <c r="H14245" s="83"/>
      <c r="K14245" s="82"/>
      <c r="M14245" s="112"/>
      <c r="N14245" s="84"/>
    </row>
    <row r="14246" spans="1:14" s="2" customFormat="1">
      <c r="A14246" s="83"/>
      <c r="H14246" s="83"/>
      <c r="K14246" s="82"/>
      <c r="M14246" s="112"/>
      <c r="N14246" s="84"/>
    </row>
    <row r="14247" spans="1:14" s="2" customFormat="1">
      <c r="A14247" s="83"/>
      <c r="H14247" s="83"/>
      <c r="K14247" s="82"/>
      <c r="M14247" s="112"/>
      <c r="N14247" s="84"/>
    </row>
    <row r="14248" spans="1:14" s="2" customFormat="1">
      <c r="A14248" s="83"/>
      <c r="H14248" s="83"/>
      <c r="K14248" s="82"/>
      <c r="M14248" s="112"/>
      <c r="N14248" s="84"/>
    </row>
    <row r="14249" spans="1:14" s="2" customFormat="1">
      <c r="A14249" s="83"/>
      <c r="H14249" s="83"/>
      <c r="K14249" s="82"/>
      <c r="M14249" s="112"/>
      <c r="N14249" s="84"/>
    </row>
    <row r="14250" spans="1:14" s="2" customFormat="1">
      <c r="A14250" s="83"/>
      <c r="H14250" s="83"/>
      <c r="K14250" s="82"/>
      <c r="M14250" s="112"/>
      <c r="N14250" s="84"/>
    </row>
    <row r="14251" spans="1:14" s="2" customFormat="1">
      <c r="A14251" s="83"/>
      <c r="H14251" s="83"/>
      <c r="K14251" s="82"/>
      <c r="M14251" s="112"/>
      <c r="N14251" s="84"/>
    </row>
    <row r="14252" spans="1:14" s="2" customFormat="1">
      <c r="A14252" s="83"/>
      <c r="H14252" s="83"/>
      <c r="K14252" s="82"/>
      <c r="M14252" s="112"/>
      <c r="N14252" s="84"/>
    </row>
    <row r="14253" spans="1:14" s="2" customFormat="1">
      <c r="A14253" s="83"/>
      <c r="H14253" s="83"/>
      <c r="K14253" s="82"/>
      <c r="M14253" s="112"/>
      <c r="N14253" s="84"/>
    </row>
    <row r="14254" spans="1:14" s="2" customFormat="1">
      <c r="A14254" s="83"/>
      <c r="H14254" s="83"/>
      <c r="K14254" s="82"/>
      <c r="M14254" s="112"/>
      <c r="N14254" s="84"/>
    </row>
    <row r="14255" spans="1:14" s="2" customFormat="1">
      <c r="A14255" s="83"/>
      <c r="H14255" s="83"/>
      <c r="K14255" s="82"/>
      <c r="M14255" s="112"/>
      <c r="N14255" s="84"/>
    </row>
    <row r="14256" spans="1:14" s="2" customFormat="1">
      <c r="A14256" s="83"/>
      <c r="H14256" s="83"/>
      <c r="K14256" s="82"/>
      <c r="M14256" s="112"/>
      <c r="N14256" s="84"/>
    </row>
    <row r="14257" spans="1:14" s="2" customFormat="1">
      <c r="A14257" s="83"/>
      <c r="H14257" s="83"/>
      <c r="K14257" s="82"/>
      <c r="M14257" s="112"/>
      <c r="N14257" s="84"/>
    </row>
    <row r="14258" spans="1:14" s="2" customFormat="1">
      <c r="A14258" s="83"/>
      <c r="H14258" s="83"/>
      <c r="K14258" s="82"/>
      <c r="M14258" s="112"/>
      <c r="N14258" s="84"/>
    </row>
    <row r="14259" spans="1:14" s="2" customFormat="1">
      <c r="A14259" s="83"/>
      <c r="H14259" s="83"/>
      <c r="K14259" s="82"/>
      <c r="M14259" s="112"/>
      <c r="N14259" s="84"/>
    </row>
    <row r="14260" spans="1:14" s="2" customFormat="1">
      <c r="A14260" s="83"/>
      <c r="H14260" s="83"/>
      <c r="K14260" s="82"/>
      <c r="M14260" s="112"/>
      <c r="N14260" s="84"/>
    </row>
    <row r="14261" spans="1:14" s="2" customFormat="1">
      <c r="A14261" s="83"/>
      <c r="H14261" s="83"/>
      <c r="K14261" s="82"/>
      <c r="M14261" s="112"/>
      <c r="N14261" s="84"/>
    </row>
    <row r="14262" spans="1:14" s="2" customFormat="1">
      <c r="A14262" s="83"/>
      <c r="H14262" s="83"/>
      <c r="K14262" s="82"/>
      <c r="M14262" s="112"/>
      <c r="N14262" s="84"/>
    </row>
    <row r="14263" spans="1:14" s="2" customFormat="1">
      <c r="A14263" s="83"/>
      <c r="H14263" s="83"/>
      <c r="K14263" s="82"/>
      <c r="M14263" s="112"/>
      <c r="N14263" s="84"/>
    </row>
    <row r="14264" spans="1:14" s="2" customFormat="1">
      <c r="A14264" s="83"/>
      <c r="H14264" s="83"/>
      <c r="K14264" s="82"/>
      <c r="M14264" s="112"/>
      <c r="N14264" s="84"/>
    </row>
    <row r="14265" spans="1:14" s="2" customFormat="1">
      <c r="A14265" s="83"/>
      <c r="H14265" s="83"/>
      <c r="K14265" s="82"/>
      <c r="M14265" s="112"/>
      <c r="N14265" s="84"/>
    </row>
    <row r="14266" spans="1:14" s="2" customFormat="1">
      <c r="A14266" s="83"/>
      <c r="H14266" s="83"/>
      <c r="K14266" s="82"/>
      <c r="M14266" s="112"/>
      <c r="N14266" s="84"/>
    </row>
    <row r="14267" spans="1:14" s="2" customFormat="1">
      <c r="A14267" s="83"/>
      <c r="H14267" s="83"/>
      <c r="K14267" s="82"/>
      <c r="M14267" s="112"/>
      <c r="N14267" s="84"/>
    </row>
    <row r="14268" spans="1:14" s="2" customFormat="1">
      <c r="A14268" s="83"/>
      <c r="H14268" s="83"/>
      <c r="K14268" s="82"/>
      <c r="M14268" s="112"/>
      <c r="N14268" s="84"/>
    </row>
    <row r="14269" spans="1:14" s="2" customFormat="1">
      <c r="A14269" s="83"/>
      <c r="H14269" s="83"/>
      <c r="K14269" s="82"/>
      <c r="M14269" s="112"/>
      <c r="N14269" s="84"/>
    </row>
    <row r="14270" spans="1:14" s="2" customFormat="1">
      <c r="A14270" s="83"/>
      <c r="H14270" s="83"/>
      <c r="K14270" s="82"/>
      <c r="M14270" s="112"/>
      <c r="N14270" s="84"/>
    </row>
    <row r="14271" spans="1:14" s="2" customFormat="1">
      <c r="A14271" s="83"/>
      <c r="H14271" s="83"/>
      <c r="K14271" s="82"/>
      <c r="M14271" s="112"/>
      <c r="N14271" s="84"/>
    </row>
    <row r="14272" spans="1:14" s="2" customFormat="1">
      <c r="A14272" s="83"/>
      <c r="H14272" s="83"/>
      <c r="K14272" s="82"/>
      <c r="M14272" s="112"/>
      <c r="N14272" s="84"/>
    </row>
    <row r="14273" spans="1:14" s="2" customFormat="1">
      <c r="A14273" s="83"/>
      <c r="H14273" s="83"/>
      <c r="K14273" s="82"/>
      <c r="M14273" s="112"/>
      <c r="N14273" s="84"/>
    </row>
    <row r="14274" spans="1:14" s="2" customFormat="1">
      <c r="A14274" s="83"/>
      <c r="H14274" s="83"/>
      <c r="K14274" s="82"/>
      <c r="M14274" s="112"/>
      <c r="N14274" s="84"/>
    </row>
    <row r="14275" spans="1:14" s="2" customFormat="1">
      <c r="A14275" s="83"/>
      <c r="H14275" s="83"/>
      <c r="K14275" s="82"/>
      <c r="M14275" s="112"/>
      <c r="N14275" s="84"/>
    </row>
    <row r="14276" spans="1:14" s="2" customFormat="1">
      <c r="A14276" s="83"/>
      <c r="H14276" s="83"/>
      <c r="K14276" s="82"/>
      <c r="M14276" s="112"/>
      <c r="N14276" s="84"/>
    </row>
    <row r="14277" spans="1:14" s="2" customFormat="1">
      <c r="A14277" s="83"/>
      <c r="H14277" s="83"/>
      <c r="K14277" s="82"/>
      <c r="M14277" s="112"/>
      <c r="N14277" s="84"/>
    </row>
    <row r="14278" spans="1:14" s="2" customFormat="1">
      <c r="A14278" s="83"/>
      <c r="H14278" s="83"/>
      <c r="K14278" s="82"/>
      <c r="M14278" s="112"/>
      <c r="N14278" s="84"/>
    </row>
    <row r="14279" spans="1:14" s="2" customFormat="1">
      <c r="A14279" s="83"/>
      <c r="H14279" s="83"/>
      <c r="K14279" s="82"/>
      <c r="M14279" s="112"/>
      <c r="N14279" s="84"/>
    </row>
    <row r="14280" spans="1:14" s="2" customFormat="1">
      <c r="A14280" s="83"/>
      <c r="H14280" s="83"/>
      <c r="K14280" s="82"/>
      <c r="M14280" s="112"/>
      <c r="N14280" s="84"/>
    </row>
    <row r="14281" spans="1:14" s="2" customFormat="1">
      <c r="A14281" s="83"/>
      <c r="H14281" s="83"/>
      <c r="K14281" s="82"/>
      <c r="M14281" s="112"/>
      <c r="N14281" s="84"/>
    </row>
    <row r="14282" spans="1:14" s="2" customFormat="1">
      <c r="A14282" s="83"/>
      <c r="H14282" s="83"/>
      <c r="K14282" s="82"/>
      <c r="M14282" s="112"/>
      <c r="N14282" s="84"/>
    </row>
    <row r="14283" spans="1:14" s="2" customFormat="1">
      <c r="A14283" s="83"/>
      <c r="H14283" s="83"/>
      <c r="K14283" s="82"/>
      <c r="M14283" s="112"/>
      <c r="N14283" s="84"/>
    </row>
    <row r="14284" spans="1:14" s="2" customFormat="1">
      <c r="A14284" s="83"/>
      <c r="H14284" s="83"/>
      <c r="K14284" s="82"/>
      <c r="M14284" s="112"/>
      <c r="N14284" s="84"/>
    </row>
    <row r="14285" spans="1:14" s="2" customFormat="1">
      <c r="A14285" s="83"/>
      <c r="H14285" s="83"/>
      <c r="K14285" s="82"/>
      <c r="M14285" s="112"/>
      <c r="N14285" s="84"/>
    </row>
    <row r="14286" spans="1:14" s="2" customFormat="1">
      <c r="A14286" s="83"/>
      <c r="H14286" s="83"/>
      <c r="K14286" s="82"/>
      <c r="M14286" s="112"/>
      <c r="N14286" s="84"/>
    </row>
    <row r="14287" spans="1:14" s="2" customFormat="1">
      <c r="A14287" s="83"/>
      <c r="H14287" s="83"/>
      <c r="K14287" s="82"/>
      <c r="M14287" s="112"/>
      <c r="N14287" s="84"/>
    </row>
    <row r="14288" spans="1:14" s="2" customFormat="1">
      <c r="A14288" s="83"/>
      <c r="H14288" s="83"/>
      <c r="K14288" s="82"/>
      <c r="M14288" s="112"/>
      <c r="N14288" s="84"/>
    </row>
    <row r="14289" spans="1:14" s="2" customFormat="1">
      <c r="A14289" s="83"/>
      <c r="H14289" s="83"/>
      <c r="K14289" s="82"/>
      <c r="M14289" s="112"/>
      <c r="N14289" s="84"/>
    </row>
    <row r="14290" spans="1:14" s="2" customFormat="1">
      <c r="A14290" s="83"/>
      <c r="H14290" s="83"/>
      <c r="K14290" s="82"/>
      <c r="M14290" s="112"/>
      <c r="N14290" s="84"/>
    </row>
    <row r="14291" spans="1:14" s="2" customFormat="1">
      <c r="A14291" s="83"/>
      <c r="H14291" s="83"/>
      <c r="K14291" s="82"/>
      <c r="M14291" s="112"/>
      <c r="N14291" s="84"/>
    </row>
    <row r="14292" spans="1:14" s="2" customFormat="1">
      <c r="A14292" s="83"/>
      <c r="H14292" s="83"/>
      <c r="K14292" s="82"/>
      <c r="M14292" s="112"/>
      <c r="N14292" s="84"/>
    </row>
    <row r="14293" spans="1:14" s="2" customFormat="1">
      <c r="A14293" s="83"/>
      <c r="H14293" s="83"/>
      <c r="K14293" s="82"/>
      <c r="M14293" s="112"/>
      <c r="N14293" s="84"/>
    </row>
    <row r="14294" spans="1:14" s="2" customFormat="1">
      <c r="A14294" s="83"/>
      <c r="H14294" s="83"/>
      <c r="K14294" s="82"/>
      <c r="M14294" s="112"/>
      <c r="N14294" s="84"/>
    </row>
    <row r="14295" spans="1:14" s="2" customFormat="1">
      <c r="A14295" s="83"/>
      <c r="H14295" s="83"/>
      <c r="K14295" s="82"/>
      <c r="M14295" s="112"/>
      <c r="N14295" s="84"/>
    </row>
    <row r="14296" spans="1:14" s="2" customFormat="1">
      <c r="A14296" s="83"/>
      <c r="H14296" s="83"/>
      <c r="K14296" s="82"/>
      <c r="M14296" s="112"/>
      <c r="N14296" s="84"/>
    </row>
    <row r="14297" spans="1:14" s="2" customFormat="1">
      <c r="A14297" s="83"/>
      <c r="H14297" s="83"/>
      <c r="K14297" s="82"/>
      <c r="M14297" s="112"/>
      <c r="N14297" s="84"/>
    </row>
    <row r="14298" spans="1:14" s="2" customFormat="1">
      <c r="A14298" s="83"/>
      <c r="H14298" s="83"/>
      <c r="K14298" s="82"/>
      <c r="M14298" s="112"/>
      <c r="N14298" s="84"/>
    </row>
    <row r="14299" spans="1:14" s="2" customFormat="1">
      <c r="A14299" s="83"/>
      <c r="H14299" s="83"/>
      <c r="K14299" s="82"/>
      <c r="M14299" s="112"/>
      <c r="N14299" s="84"/>
    </row>
    <row r="14300" spans="1:14" s="2" customFormat="1">
      <c r="A14300" s="83"/>
      <c r="H14300" s="83"/>
      <c r="K14300" s="82"/>
      <c r="M14300" s="112"/>
      <c r="N14300" s="84"/>
    </row>
    <row r="14301" spans="1:14" s="2" customFormat="1">
      <c r="A14301" s="83"/>
      <c r="H14301" s="83"/>
      <c r="K14301" s="82"/>
      <c r="M14301" s="112"/>
      <c r="N14301" s="84"/>
    </row>
    <row r="14302" spans="1:14" s="2" customFormat="1">
      <c r="A14302" s="83"/>
      <c r="H14302" s="83"/>
      <c r="K14302" s="82"/>
      <c r="M14302" s="112"/>
      <c r="N14302" s="84"/>
    </row>
    <row r="14303" spans="1:14" s="2" customFormat="1">
      <c r="A14303" s="83"/>
      <c r="H14303" s="83"/>
      <c r="K14303" s="82"/>
      <c r="M14303" s="112"/>
      <c r="N14303" s="84"/>
    </row>
    <row r="14304" spans="1:14" s="2" customFormat="1">
      <c r="A14304" s="83"/>
      <c r="H14304" s="83"/>
      <c r="K14304" s="82"/>
      <c r="M14304" s="112"/>
      <c r="N14304" s="84"/>
    </row>
    <row r="14305" spans="1:14" s="2" customFormat="1">
      <c r="A14305" s="83"/>
      <c r="H14305" s="83"/>
      <c r="K14305" s="82"/>
      <c r="M14305" s="112"/>
      <c r="N14305" s="84"/>
    </row>
    <row r="14306" spans="1:14" s="2" customFormat="1">
      <c r="A14306" s="83"/>
      <c r="H14306" s="83"/>
      <c r="K14306" s="82"/>
      <c r="M14306" s="112"/>
      <c r="N14306" s="84"/>
    </row>
    <row r="14307" spans="1:14" s="2" customFormat="1">
      <c r="A14307" s="83"/>
      <c r="H14307" s="83"/>
      <c r="K14307" s="82"/>
      <c r="M14307" s="112"/>
      <c r="N14307" s="84"/>
    </row>
    <row r="14308" spans="1:14" s="2" customFormat="1">
      <c r="A14308" s="83"/>
      <c r="H14308" s="83"/>
      <c r="K14308" s="82"/>
      <c r="M14308" s="112"/>
      <c r="N14308" s="84"/>
    </row>
    <row r="14309" spans="1:14" s="2" customFormat="1">
      <c r="A14309" s="83"/>
      <c r="H14309" s="83"/>
      <c r="K14309" s="82"/>
      <c r="M14309" s="112"/>
      <c r="N14309" s="84"/>
    </row>
    <row r="14310" spans="1:14" s="2" customFormat="1">
      <c r="A14310" s="83"/>
      <c r="H14310" s="83"/>
      <c r="K14310" s="82"/>
      <c r="M14310" s="112"/>
      <c r="N14310" s="84"/>
    </row>
    <row r="14311" spans="1:14" s="2" customFormat="1">
      <c r="A14311" s="83"/>
      <c r="H14311" s="83"/>
      <c r="K14311" s="82"/>
      <c r="M14311" s="112"/>
      <c r="N14311" s="84"/>
    </row>
    <row r="14312" spans="1:14" s="2" customFormat="1">
      <c r="A14312" s="83"/>
      <c r="H14312" s="83"/>
      <c r="K14312" s="82"/>
      <c r="M14312" s="112"/>
      <c r="N14312" s="84"/>
    </row>
    <row r="14313" spans="1:14" s="2" customFormat="1">
      <c r="A14313" s="83"/>
      <c r="H14313" s="83"/>
      <c r="K14313" s="82"/>
      <c r="M14313" s="112"/>
      <c r="N14313" s="84"/>
    </row>
    <row r="14314" spans="1:14" s="2" customFormat="1">
      <c r="A14314" s="83"/>
      <c r="H14314" s="83"/>
      <c r="K14314" s="82"/>
      <c r="M14314" s="112"/>
      <c r="N14314" s="84"/>
    </row>
    <row r="14315" spans="1:14" s="2" customFormat="1">
      <c r="A14315" s="83"/>
      <c r="H14315" s="83"/>
      <c r="K14315" s="82"/>
      <c r="M14315" s="112"/>
      <c r="N14315" s="84"/>
    </row>
    <row r="14316" spans="1:14" s="2" customFormat="1">
      <c r="A14316" s="83"/>
      <c r="H14316" s="83"/>
      <c r="K14316" s="82"/>
      <c r="M14316" s="112"/>
      <c r="N14316" s="84"/>
    </row>
    <row r="14317" spans="1:14" s="2" customFormat="1">
      <c r="A14317" s="83"/>
      <c r="H14317" s="83"/>
      <c r="K14317" s="82"/>
      <c r="M14317" s="112"/>
      <c r="N14317" s="84"/>
    </row>
    <row r="14318" spans="1:14" s="2" customFormat="1">
      <c r="A14318" s="83"/>
      <c r="H14318" s="83"/>
      <c r="K14318" s="82"/>
      <c r="M14318" s="112"/>
      <c r="N14318" s="84"/>
    </row>
    <row r="14319" spans="1:14" s="2" customFormat="1">
      <c r="A14319" s="83"/>
      <c r="H14319" s="83"/>
      <c r="K14319" s="82"/>
      <c r="M14319" s="112"/>
      <c r="N14319" s="84"/>
    </row>
    <row r="14320" spans="1:14" s="2" customFormat="1">
      <c r="A14320" s="83"/>
      <c r="H14320" s="83"/>
      <c r="K14320" s="82"/>
      <c r="M14320" s="112"/>
      <c r="N14320" s="84"/>
    </row>
    <row r="14321" spans="1:14" s="2" customFormat="1">
      <c r="A14321" s="83"/>
      <c r="H14321" s="83"/>
      <c r="K14321" s="82"/>
      <c r="M14321" s="112"/>
      <c r="N14321" s="84"/>
    </row>
    <row r="14322" spans="1:14" s="2" customFormat="1">
      <c r="A14322" s="83"/>
      <c r="H14322" s="83"/>
      <c r="K14322" s="82"/>
      <c r="M14322" s="112"/>
      <c r="N14322" s="84"/>
    </row>
    <row r="14323" spans="1:14" s="2" customFormat="1">
      <c r="A14323" s="83"/>
      <c r="H14323" s="83"/>
      <c r="K14323" s="82"/>
      <c r="M14323" s="112"/>
      <c r="N14323" s="84"/>
    </row>
    <row r="14324" spans="1:14" s="2" customFormat="1">
      <c r="A14324" s="83"/>
      <c r="H14324" s="83"/>
      <c r="K14324" s="82"/>
      <c r="M14324" s="112"/>
      <c r="N14324" s="84"/>
    </row>
    <row r="14325" spans="1:14" s="2" customFormat="1">
      <c r="A14325" s="83"/>
      <c r="H14325" s="83"/>
      <c r="K14325" s="82"/>
      <c r="M14325" s="112"/>
      <c r="N14325" s="84"/>
    </row>
    <row r="14326" spans="1:14" s="2" customFormat="1">
      <c r="A14326" s="83"/>
      <c r="H14326" s="83"/>
      <c r="K14326" s="82"/>
      <c r="M14326" s="112"/>
      <c r="N14326" s="84"/>
    </row>
    <row r="14327" spans="1:14" s="2" customFormat="1">
      <c r="A14327" s="83"/>
      <c r="H14327" s="83"/>
      <c r="K14327" s="82"/>
      <c r="M14327" s="112"/>
      <c r="N14327" s="84"/>
    </row>
    <row r="14328" spans="1:14" s="2" customFormat="1">
      <c r="A14328" s="83"/>
      <c r="H14328" s="83"/>
      <c r="K14328" s="82"/>
      <c r="M14328" s="112"/>
      <c r="N14328" s="84"/>
    </row>
    <row r="14329" spans="1:14" s="2" customFormat="1">
      <c r="A14329" s="83"/>
      <c r="H14329" s="83"/>
      <c r="K14329" s="82"/>
      <c r="M14329" s="112"/>
      <c r="N14329" s="84"/>
    </row>
    <row r="14330" spans="1:14" s="2" customFormat="1">
      <c r="A14330" s="83"/>
      <c r="H14330" s="83"/>
      <c r="K14330" s="82"/>
      <c r="M14330" s="112"/>
      <c r="N14330" s="84"/>
    </row>
    <row r="14331" spans="1:14" s="2" customFormat="1">
      <c r="A14331" s="83"/>
      <c r="H14331" s="83"/>
      <c r="K14331" s="82"/>
      <c r="M14331" s="112"/>
      <c r="N14331" s="84"/>
    </row>
    <row r="14332" spans="1:14" s="2" customFormat="1">
      <c r="A14332" s="83"/>
      <c r="H14332" s="83"/>
      <c r="K14332" s="82"/>
      <c r="M14332" s="112"/>
      <c r="N14332" s="84"/>
    </row>
    <row r="14333" spans="1:14" s="2" customFormat="1">
      <c r="A14333" s="83"/>
      <c r="H14333" s="83"/>
      <c r="K14333" s="82"/>
      <c r="M14333" s="112"/>
      <c r="N14333" s="84"/>
    </row>
    <row r="14334" spans="1:14" s="2" customFormat="1">
      <c r="A14334" s="83"/>
      <c r="H14334" s="83"/>
      <c r="K14334" s="82"/>
      <c r="M14334" s="112"/>
      <c r="N14334" s="84"/>
    </row>
    <row r="14335" spans="1:14" s="2" customFormat="1">
      <c r="A14335" s="83"/>
      <c r="H14335" s="83"/>
      <c r="K14335" s="82"/>
      <c r="M14335" s="112"/>
      <c r="N14335" s="84"/>
    </row>
    <row r="14336" spans="1:14" s="2" customFormat="1">
      <c r="A14336" s="83"/>
      <c r="H14336" s="83"/>
      <c r="K14336" s="82"/>
      <c r="M14336" s="112"/>
      <c r="N14336" s="84"/>
    </row>
    <row r="14337" spans="1:14" s="2" customFormat="1">
      <c r="A14337" s="83"/>
      <c r="H14337" s="83"/>
      <c r="K14337" s="82"/>
      <c r="M14337" s="112"/>
      <c r="N14337" s="84"/>
    </row>
    <row r="14338" spans="1:14" s="2" customFormat="1">
      <c r="A14338" s="83"/>
      <c r="H14338" s="83"/>
      <c r="K14338" s="82"/>
      <c r="M14338" s="112"/>
      <c r="N14338" s="84"/>
    </row>
    <row r="14339" spans="1:14" s="2" customFormat="1">
      <c r="A14339" s="83"/>
      <c r="H14339" s="83"/>
      <c r="K14339" s="82"/>
      <c r="M14339" s="112"/>
      <c r="N14339" s="84"/>
    </row>
    <row r="14340" spans="1:14" s="2" customFormat="1">
      <c r="A14340" s="83"/>
      <c r="H14340" s="83"/>
      <c r="K14340" s="82"/>
      <c r="M14340" s="112"/>
      <c r="N14340" s="84"/>
    </row>
    <row r="14341" spans="1:14" s="2" customFormat="1">
      <c r="A14341" s="83"/>
      <c r="H14341" s="83"/>
      <c r="K14341" s="82"/>
      <c r="M14341" s="112"/>
      <c r="N14341" s="84"/>
    </row>
    <row r="14342" spans="1:14" s="2" customFormat="1">
      <c r="A14342" s="83"/>
      <c r="H14342" s="83"/>
      <c r="K14342" s="82"/>
      <c r="M14342" s="112"/>
      <c r="N14342" s="84"/>
    </row>
    <row r="14343" spans="1:14" s="2" customFormat="1">
      <c r="A14343" s="83"/>
      <c r="H14343" s="83"/>
      <c r="K14343" s="82"/>
      <c r="M14343" s="112"/>
      <c r="N14343" s="84"/>
    </row>
    <row r="14344" spans="1:14" s="2" customFormat="1">
      <c r="A14344" s="83"/>
      <c r="H14344" s="83"/>
      <c r="K14344" s="82"/>
      <c r="M14344" s="112"/>
      <c r="N14344" s="84"/>
    </row>
    <row r="14345" spans="1:14" s="2" customFormat="1">
      <c r="A14345" s="83"/>
      <c r="H14345" s="83"/>
      <c r="K14345" s="82"/>
      <c r="M14345" s="112"/>
      <c r="N14345" s="84"/>
    </row>
    <row r="14346" spans="1:14" s="2" customFormat="1">
      <c r="A14346" s="83"/>
      <c r="H14346" s="83"/>
      <c r="K14346" s="82"/>
      <c r="M14346" s="112"/>
      <c r="N14346" s="84"/>
    </row>
    <row r="14347" spans="1:14" s="2" customFormat="1">
      <c r="A14347" s="83"/>
      <c r="H14347" s="83"/>
      <c r="K14347" s="82"/>
      <c r="M14347" s="112"/>
      <c r="N14347" s="84"/>
    </row>
    <row r="14348" spans="1:14" s="2" customFormat="1">
      <c r="A14348" s="83"/>
      <c r="H14348" s="83"/>
      <c r="K14348" s="82"/>
      <c r="M14348" s="112"/>
      <c r="N14348" s="84"/>
    </row>
    <row r="14349" spans="1:14" s="2" customFormat="1">
      <c r="A14349" s="83"/>
      <c r="H14349" s="83"/>
      <c r="K14349" s="82"/>
      <c r="M14349" s="112"/>
      <c r="N14349" s="84"/>
    </row>
    <row r="14350" spans="1:14" s="2" customFormat="1">
      <c r="A14350" s="83"/>
      <c r="H14350" s="83"/>
      <c r="K14350" s="82"/>
      <c r="M14350" s="112"/>
      <c r="N14350" s="84"/>
    </row>
    <row r="14351" spans="1:14" s="2" customFormat="1">
      <c r="A14351" s="83"/>
      <c r="H14351" s="83"/>
      <c r="K14351" s="82"/>
      <c r="M14351" s="112"/>
      <c r="N14351" s="84"/>
    </row>
    <row r="14352" spans="1:14" s="2" customFormat="1">
      <c r="A14352" s="83"/>
      <c r="H14352" s="83"/>
      <c r="K14352" s="82"/>
      <c r="M14352" s="112"/>
      <c r="N14352" s="84"/>
    </row>
    <row r="14353" spans="1:14" s="2" customFormat="1">
      <c r="A14353" s="83"/>
      <c r="H14353" s="83"/>
      <c r="K14353" s="82"/>
      <c r="M14353" s="112"/>
      <c r="N14353" s="84"/>
    </row>
    <row r="14354" spans="1:14" s="2" customFormat="1">
      <c r="A14354" s="83"/>
      <c r="H14354" s="83"/>
      <c r="K14354" s="82"/>
      <c r="M14354" s="112"/>
      <c r="N14354" s="84"/>
    </row>
    <row r="14355" spans="1:14" s="2" customFormat="1">
      <c r="A14355" s="83"/>
      <c r="H14355" s="83"/>
      <c r="K14355" s="82"/>
      <c r="M14355" s="112"/>
      <c r="N14355" s="84"/>
    </row>
    <row r="14356" spans="1:14" s="2" customFormat="1">
      <c r="A14356" s="83"/>
      <c r="H14356" s="83"/>
      <c r="K14356" s="82"/>
      <c r="M14356" s="112"/>
      <c r="N14356" s="84"/>
    </row>
    <row r="14357" spans="1:14" s="2" customFormat="1">
      <c r="A14357" s="83"/>
      <c r="H14357" s="83"/>
      <c r="K14357" s="82"/>
      <c r="M14357" s="112"/>
      <c r="N14357" s="84"/>
    </row>
    <row r="14358" spans="1:14" s="2" customFormat="1">
      <c r="A14358" s="83"/>
      <c r="H14358" s="83"/>
      <c r="K14358" s="82"/>
      <c r="M14358" s="112"/>
      <c r="N14358" s="84"/>
    </row>
    <row r="14359" spans="1:14" s="2" customFormat="1">
      <c r="A14359" s="83"/>
      <c r="H14359" s="83"/>
      <c r="K14359" s="82"/>
      <c r="M14359" s="112"/>
      <c r="N14359" s="84"/>
    </row>
    <row r="14360" spans="1:14" s="2" customFormat="1">
      <c r="A14360" s="83"/>
      <c r="H14360" s="83"/>
      <c r="K14360" s="82"/>
      <c r="M14360" s="112"/>
      <c r="N14360" s="84"/>
    </row>
    <row r="14361" spans="1:14" s="2" customFormat="1">
      <c r="A14361" s="83"/>
      <c r="H14361" s="83"/>
      <c r="K14361" s="82"/>
      <c r="M14361" s="112"/>
      <c r="N14361" s="84"/>
    </row>
    <row r="14362" spans="1:14" s="2" customFormat="1">
      <c r="A14362" s="83"/>
      <c r="H14362" s="83"/>
      <c r="K14362" s="82"/>
      <c r="M14362" s="112"/>
      <c r="N14362" s="84"/>
    </row>
    <row r="14363" spans="1:14" s="2" customFormat="1">
      <c r="A14363" s="83"/>
      <c r="H14363" s="83"/>
      <c r="K14363" s="82"/>
      <c r="M14363" s="112"/>
      <c r="N14363" s="84"/>
    </row>
    <row r="14364" spans="1:14" s="2" customFormat="1">
      <c r="A14364" s="83"/>
      <c r="H14364" s="83"/>
      <c r="K14364" s="82"/>
      <c r="M14364" s="112"/>
      <c r="N14364" s="84"/>
    </row>
    <row r="14365" spans="1:14" s="2" customFormat="1">
      <c r="A14365" s="83"/>
      <c r="H14365" s="83"/>
      <c r="K14365" s="82"/>
      <c r="M14365" s="112"/>
      <c r="N14365" s="84"/>
    </row>
    <row r="14366" spans="1:14" s="2" customFormat="1">
      <c r="A14366" s="83"/>
      <c r="H14366" s="83"/>
      <c r="K14366" s="82"/>
      <c r="M14366" s="112"/>
      <c r="N14366" s="84"/>
    </row>
    <row r="14367" spans="1:14" s="2" customFormat="1">
      <c r="A14367" s="83"/>
      <c r="H14367" s="83"/>
      <c r="K14367" s="82"/>
      <c r="M14367" s="112"/>
      <c r="N14367" s="84"/>
    </row>
    <row r="14368" spans="1:14" s="2" customFormat="1">
      <c r="A14368" s="83"/>
      <c r="H14368" s="83"/>
      <c r="K14368" s="82"/>
      <c r="M14368" s="112"/>
      <c r="N14368" s="84"/>
    </row>
    <row r="14369" spans="1:14" s="2" customFormat="1">
      <c r="A14369" s="83"/>
      <c r="H14369" s="83"/>
      <c r="K14369" s="82"/>
      <c r="M14369" s="112"/>
      <c r="N14369" s="84"/>
    </row>
    <row r="14370" spans="1:14" s="2" customFormat="1">
      <c r="A14370" s="83"/>
      <c r="H14370" s="83"/>
      <c r="K14370" s="82"/>
      <c r="M14370" s="112"/>
      <c r="N14370" s="84"/>
    </row>
    <row r="14371" spans="1:14" s="2" customFormat="1">
      <c r="A14371" s="83"/>
      <c r="H14371" s="83"/>
      <c r="K14371" s="82"/>
      <c r="M14371" s="112"/>
      <c r="N14371" s="84"/>
    </row>
    <row r="14372" spans="1:14" s="2" customFormat="1">
      <c r="A14372" s="83"/>
      <c r="H14372" s="83"/>
      <c r="K14372" s="82"/>
      <c r="M14372" s="112"/>
      <c r="N14372" s="84"/>
    </row>
    <row r="14373" spans="1:14" s="2" customFormat="1">
      <c r="A14373" s="83"/>
      <c r="H14373" s="83"/>
      <c r="K14373" s="82"/>
      <c r="M14373" s="112"/>
      <c r="N14373" s="84"/>
    </row>
    <row r="14374" spans="1:14" s="2" customFormat="1">
      <c r="A14374" s="83"/>
      <c r="H14374" s="83"/>
      <c r="K14374" s="82"/>
      <c r="M14374" s="112"/>
      <c r="N14374" s="84"/>
    </row>
    <row r="14375" spans="1:14" s="2" customFormat="1">
      <c r="A14375" s="83"/>
      <c r="H14375" s="83"/>
      <c r="K14375" s="82"/>
      <c r="M14375" s="112"/>
      <c r="N14375" s="84"/>
    </row>
    <row r="14376" spans="1:14" s="2" customFormat="1">
      <c r="A14376" s="83"/>
      <c r="H14376" s="83"/>
      <c r="K14376" s="82"/>
      <c r="M14376" s="112"/>
      <c r="N14376" s="84"/>
    </row>
    <row r="14377" spans="1:14" s="2" customFormat="1">
      <c r="A14377" s="83"/>
      <c r="H14377" s="83"/>
      <c r="K14377" s="82"/>
      <c r="M14377" s="112"/>
      <c r="N14377" s="84"/>
    </row>
    <row r="14378" spans="1:14" s="2" customFormat="1">
      <c r="A14378" s="83"/>
      <c r="H14378" s="83"/>
      <c r="K14378" s="82"/>
      <c r="M14378" s="112"/>
      <c r="N14378" s="84"/>
    </row>
    <row r="14379" spans="1:14" s="2" customFormat="1">
      <c r="A14379" s="83"/>
      <c r="H14379" s="83"/>
      <c r="K14379" s="82"/>
      <c r="M14379" s="112"/>
      <c r="N14379" s="84"/>
    </row>
    <row r="14380" spans="1:14" s="2" customFormat="1">
      <c r="A14380" s="83"/>
      <c r="H14380" s="83"/>
      <c r="K14380" s="82"/>
      <c r="M14380" s="112"/>
      <c r="N14380" s="84"/>
    </row>
    <row r="14381" spans="1:14" s="2" customFormat="1">
      <c r="A14381" s="83"/>
      <c r="H14381" s="83"/>
      <c r="K14381" s="82"/>
      <c r="M14381" s="112"/>
      <c r="N14381" s="84"/>
    </row>
    <row r="14382" spans="1:14" s="2" customFormat="1">
      <c r="A14382" s="83"/>
      <c r="H14382" s="83"/>
      <c r="K14382" s="82"/>
      <c r="M14382" s="112"/>
      <c r="N14382" s="84"/>
    </row>
    <row r="14383" spans="1:14" s="2" customFormat="1">
      <c r="A14383" s="83"/>
      <c r="H14383" s="83"/>
      <c r="K14383" s="82"/>
      <c r="M14383" s="112"/>
      <c r="N14383" s="84"/>
    </row>
    <row r="14384" spans="1:14" s="2" customFormat="1">
      <c r="A14384" s="83"/>
      <c r="H14384" s="83"/>
      <c r="K14384" s="82"/>
      <c r="M14384" s="112"/>
      <c r="N14384" s="84"/>
    </row>
    <row r="14385" spans="1:14" s="2" customFormat="1">
      <c r="A14385" s="83"/>
      <c r="H14385" s="83"/>
      <c r="K14385" s="82"/>
      <c r="M14385" s="112"/>
      <c r="N14385" s="84"/>
    </row>
    <row r="14386" spans="1:14" s="2" customFormat="1">
      <c r="A14386" s="83"/>
      <c r="H14386" s="83"/>
      <c r="K14386" s="82"/>
      <c r="M14386" s="112"/>
      <c r="N14386" s="84"/>
    </row>
    <row r="14387" spans="1:14" s="2" customFormat="1">
      <c r="A14387" s="83"/>
      <c r="H14387" s="83"/>
      <c r="K14387" s="82"/>
      <c r="M14387" s="112"/>
      <c r="N14387" s="84"/>
    </row>
    <row r="14388" spans="1:14" s="2" customFormat="1">
      <c r="A14388" s="83"/>
      <c r="H14388" s="83"/>
      <c r="K14388" s="82"/>
      <c r="M14388" s="112"/>
      <c r="N14388" s="84"/>
    </row>
    <row r="14389" spans="1:14" s="2" customFormat="1">
      <c r="A14389" s="83"/>
      <c r="H14389" s="83"/>
      <c r="K14389" s="82"/>
      <c r="M14389" s="112"/>
      <c r="N14389" s="84"/>
    </row>
    <row r="14390" spans="1:14" s="2" customFormat="1">
      <c r="A14390" s="83"/>
      <c r="H14390" s="83"/>
      <c r="K14390" s="82"/>
      <c r="M14390" s="112"/>
      <c r="N14390" s="84"/>
    </row>
    <row r="14391" spans="1:14" s="2" customFormat="1">
      <c r="A14391" s="83"/>
      <c r="H14391" s="83"/>
      <c r="K14391" s="82"/>
      <c r="M14391" s="112"/>
      <c r="N14391" s="84"/>
    </row>
    <row r="14392" spans="1:14" s="2" customFormat="1">
      <c r="A14392" s="83"/>
      <c r="H14392" s="83"/>
      <c r="K14392" s="82"/>
      <c r="M14392" s="112"/>
      <c r="N14392" s="84"/>
    </row>
    <row r="14393" spans="1:14" s="2" customFormat="1">
      <c r="A14393" s="83"/>
      <c r="H14393" s="83"/>
      <c r="K14393" s="82"/>
      <c r="M14393" s="112"/>
      <c r="N14393" s="84"/>
    </row>
    <row r="14394" spans="1:14" s="2" customFormat="1">
      <c r="A14394" s="83"/>
      <c r="H14394" s="83"/>
      <c r="K14394" s="82"/>
      <c r="M14394" s="112"/>
      <c r="N14394" s="84"/>
    </row>
    <row r="14395" spans="1:14" s="2" customFormat="1">
      <c r="A14395" s="83"/>
      <c r="H14395" s="83"/>
      <c r="K14395" s="82"/>
      <c r="M14395" s="112"/>
      <c r="N14395" s="84"/>
    </row>
    <row r="14396" spans="1:14" s="2" customFormat="1">
      <c r="A14396" s="83"/>
      <c r="H14396" s="83"/>
      <c r="K14396" s="82"/>
      <c r="M14396" s="112"/>
      <c r="N14396" s="84"/>
    </row>
    <row r="14397" spans="1:14" s="2" customFormat="1">
      <c r="A14397" s="83"/>
      <c r="H14397" s="83"/>
      <c r="K14397" s="82"/>
      <c r="M14397" s="112"/>
      <c r="N14397" s="84"/>
    </row>
    <row r="14398" spans="1:14" s="2" customFormat="1">
      <c r="A14398" s="83"/>
      <c r="H14398" s="83"/>
      <c r="K14398" s="82"/>
      <c r="M14398" s="112"/>
      <c r="N14398" s="84"/>
    </row>
    <row r="14399" spans="1:14" s="2" customFormat="1">
      <c r="A14399" s="83"/>
      <c r="H14399" s="83"/>
      <c r="K14399" s="82"/>
      <c r="M14399" s="112"/>
      <c r="N14399" s="84"/>
    </row>
    <row r="14400" spans="1:14" s="2" customFormat="1">
      <c r="A14400" s="83"/>
      <c r="H14400" s="83"/>
      <c r="K14400" s="82"/>
      <c r="M14400" s="112"/>
      <c r="N14400" s="84"/>
    </row>
    <row r="14401" spans="1:14" s="2" customFormat="1">
      <c r="A14401" s="83"/>
      <c r="H14401" s="83"/>
      <c r="K14401" s="82"/>
      <c r="M14401" s="112"/>
      <c r="N14401" s="84"/>
    </row>
    <row r="14402" spans="1:14" s="2" customFormat="1">
      <c r="A14402" s="83"/>
      <c r="H14402" s="83"/>
      <c r="K14402" s="82"/>
      <c r="M14402" s="112"/>
      <c r="N14402" s="84"/>
    </row>
    <row r="14403" spans="1:14" s="2" customFormat="1">
      <c r="A14403" s="83"/>
      <c r="H14403" s="83"/>
      <c r="K14403" s="82"/>
      <c r="M14403" s="112"/>
      <c r="N14403" s="84"/>
    </row>
    <row r="14404" spans="1:14" s="2" customFormat="1">
      <c r="A14404" s="83"/>
      <c r="H14404" s="83"/>
      <c r="K14404" s="82"/>
      <c r="M14404" s="112"/>
      <c r="N14404" s="84"/>
    </row>
    <row r="14405" spans="1:14" s="2" customFormat="1">
      <c r="A14405" s="83"/>
      <c r="H14405" s="83"/>
      <c r="K14405" s="82"/>
      <c r="M14405" s="112"/>
      <c r="N14405" s="84"/>
    </row>
    <row r="14406" spans="1:14" s="2" customFormat="1">
      <c r="A14406" s="83"/>
      <c r="H14406" s="83"/>
      <c r="K14406" s="82"/>
      <c r="M14406" s="112"/>
      <c r="N14406" s="84"/>
    </row>
    <row r="14407" spans="1:14" s="2" customFormat="1">
      <c r="A14407" s="83"/>
      <c r="H14407" s="83"/>
      <c r="K14407" s="82"/>
      <c r="M14407" s="112"/>
      <c r="N14407" s="84"/>
    </row>
    <row r="14408" spans="1:14" s="2" customFormat="1">
      <c r="A14408" s="83"/>
      <c r="H14408" s="83"/>
      <c r="K14408" s="82"/>
      <c r="M14408" s="112"/>
      <c r="N14408" s="84"/>
    </row>
    <row r="14409" spans="1:14" s="2" customFormat="1">
      <c r="A14409" s="83"/>
      <c r="H14409" s="83"/>
      <c r="K14409" s="82"/>
      <c r="M14409" s="112"/>
      <c r="N14409" s="84"/>
    </row>
    <row r="14410" spans="1:14" s="2" customFormat="1">
      <c r="A14410" s="83"/>
      <c r="H14410" s="83"/>
      <c r="K14410" s="82"/>
      <c r="M14410" s="112"/>
      <c r="N14410" s="84"/>
    </row>
    <row r="14411" spans="1:14" s="2" customFormat="1">
      <c r="A14411" s="83"/>
      <c r="H14411" s="83"/>
      <c r="K14411" s="82"/>
      <c r="M14411" s="112"/>
      <c r="N14411" s="84"/>
    </row>
    <row r="14412" spans="1:14" s="2" customFormat="1">
      <c r="A14412" s="83"/>
      <c r="H14412" s="83"/>
      <c r="K14412" s="82"/>
      <c r="M14412" s="112"/>
      <c r="N14412" s="84"/>
    </row>
    <row r="14413" spans="1:14" s="2" customFormat="1">
      <c r="A14413" s="83"/>
      <c r="H14413" s="83"/>
      <c r="K14413" s="82"/>
      <c r="M14413" s="112"/>
      <c r="N14413" s="84"/>
    </row>
    <row r="14414" spans="1:14" s="2" customFormat="1">
      <c r="A14414" s="83"/>
      <c r="H14414" s="83"/>
      <c r="K14414" s="82"/>
      <c r="M14414" s="112"/>
      <c r="N14414" s="84"/>
    </row>
    <row r="14415" spans="1:14" s="2" customFormat="1">
      <c r="A14415" s="83"/>
      <c r="H14415" s="83"/>
      <c r="K14415" s="82"/>
      <c r="M14415" s="112"/>
      <c r="N14415" s="84"/>
    </row>
    <row r="14416" spans="1:14" s="2" customFormat="1">
      <c r="A14416" s="83"/>
      <c r="H14416" s="83"/>
      <c r="K14416" s="82"/>
      <c r="M14416" s="112"/>
      <c r="N14416" s="84"/>
    </row>
    <row r="14417" spans="1:14" s="2" customFormat="1">
      <c r="A14417" s="83"/>
      <c r="H14417" s="83"/>
      <c r="K14417" s="82"/>
      <c r="M14417" s="112"/>
      <c r="N14417" s="84"/>
    </row>
    <row r="14418" spans="1:14" s="2" customFormat="1">
      <c r="A14418" s="83"/>
      <c r="H14418" s="83"/>
      <c r="K14418" s="82"/>
      <c r="M14418" s="112"/>
      <c r="N14418" s="84"/>
    </row>
    <row r="14419" spans="1:14" s="2" customFormat="1">
      <c r="A14419" s="83"/>
      <c r="H14419" s="83"/>
      <c r="K14419" s="82"/>
      <c r="M14419" s="112"/>
      <c r="N14419" s="84"/>
    </row>
    <row r="14420" spans="1:14" s="2" customFormat="1">
      <c r="A14420" s="83"/>
      <c r="H14420" s="83"/>
      <c r="K14420" s="82"/>
      <c r="M14420" s="112"/>
      <c r="N14420" s="84"/>
    </row>
    <row r="14421" spans="1:14" s="2" customFormat="1">
      <c r="A14421" s="83"/>
      <c r="H14421" s="83"/>
      <c r="K14421" s="82"/>
      <c r="M14421" s="112"/>
      <c r="N14421" s="84"/>
    </row>
    <row r="14422" spans="1:14" s="2" customFormat="1">
      <c r="A14422" s="83"/>
      <c r="H14422" s="83"/>
      <c r="K14422" s="82"/>
      <c r="M14422" s="112"/>
      <c r="N14422" s="84"/>
    </row>
    <row r="14423" spans="1:14" s="2" customFormat="1">
      <c r="A14423" s="83"/>
      <c r="H14423" s="83"/>
      <c r="K14423" s="82"/>
      <c r="M14423" s="112"/>
      <c r="N14423" s="84"/>
    </row>
    <row r="14424" spans="1:14" s="2" customFormat="1">
      <c r="A14424" s="83"/>
      <c r="H14424" s="83"/>
      <c r="K14424" s="82"/>
      <c r="M14424" s="112"/>
      <c r="N14424" s="84"/>
    </row>
    <row r="14425" spans="1:14" s="2" customFormat="1">
      <c r="A14425" s="83"/>
      <c r="H14425" s="83"/>
      <c r="K14425" s="82"/>
      <c r="M14425" s="112"/>
      <c r="N14425" s="84"/>
    </row>
    <row r="14426" spans="1:14" s="2" customFormat="1">
      <c r="A14426" s="83"/>
      <c r="H14426" s="83"/>
      <c r="K14426" s="82"/>
      <c r="M14426" s="112"/>
      <c r="N14426" s="84"/>
    </row>
    <row r="14427" spans="1:14" s="2" customFormat="1">
      <c r="A14427" s="83"/>
      <c r="H14427" s="83"/>
      <c r="K14427" s="82"/>
      <c r="M14427" s="112"/>
      <c r="N14427" s="84"/>
    </row>
    <row r="14428" spans="1:14" s="2" customFormat="1">
      <c r="A14428" s="83"/>
      <c r="H14428" s="83"/>
      <c r="K14428" s="82"/>
      <c r="M14428" s="112"/>
      <c r="N14428" s="84"/>
    </row>
    <row r="14429" spans="1:14" s="2" customFormat="1">
      <c r="A14429" s="83"/>
      <c r="H14429" s="83"/>
      <c r="K14429" s="82"/>
      <c r="M14429" s="112"/>
      <c r="N14429" s="84"/>
    </row>
    <row r="14430" spans="1:14" s="2" customFormat="1">
      <c r="A14430" s="83"/>
      <c r="H14430" s="83"/>
      <c r="K14430" s="82"/>
      <c r="M14430" s="112"/>
      <c r="N14430" s="84"/>
    </row>
    <row r="14431" spans="1:14" s="2" customFormat="1">
      <c r="A14431" s="83"/>
      <c r="H14431" s="83"/>
      <c r="K14431" s="82"/>
      <c r="M14431" s="112"/>
      <c r="N14431" s="84"/>
    </row>
    <row r="14432" spans="1:14" s="2" customFormat="1">
      <c r="A14432" s="83"/>
      <c r="H14432" s="83"/>
      <c r="K14432" s="82"/>
      <c r="M14432" s="112"/>
      <c r="N14432" s="84"/>
    </row>
    <row r="14433" spans="1:14" s="2" customFormat="1">
      <c r="A14433" s="83"/>
      <c r="H14433" s="83"/>
      <c r="K14433" s="82"/>
      <c r="M14433" s="112"/>
      <c r="N14433" s="84"/>
    </row>
    <row r="14434" spans="1:14" s="2" customFormat="1">
      <c r="A14434" s="83"/>
      <c r="H14434" s="83"/>
      <c r="K14434" s="82"/>
      <c r="M14434" s="112"/>
      <c r="N14434" s="84"/>
    </row>
    <row r="14435" spans="1:14" s="2" customFormat="1">
      <c r="A14435" s="83"/>
      <c r="H14435" s="83"/>
      <c r="K14435" s="82"/>
      <c r="M14435" s="112"/>
      <c r="N14435" s="84"/>
    </row>
    <row r="14436" spans="1:14" s="2" customFormat="1">
      <c r="A14436" s="83"/>
      <c r="H14436" s="83"/>
      <c r="K14436" s="82"/>
      <c r="M14436" s="112"/>
      <c r="N14436" s="84"/>
    </row>
    <row r="14437" spans="1:14" s="2" customFormat="1">
      <c r="A14437" s="83"/>
      <c r="H14437" s="83"/>
      <c r="K14437" s="82"/>
      <c r="M14437" s="112"/>
      <c r="N14437" s="84"/>
    </row>
    <row r="14438" spans="1:14" s="2" customFormat="1">
      <c r="A14438" s="83"/>
      <c r="H14438" s="83"/>
      <c r="K14438" s="82"/>
      <c r="M14438" s="112"/>
      <c r="N14438" s="84"/>
    </row>
    <row r="14439" spans="1:14" s="2" customFormat="1">
      <c r="A14439" s="83"/>
      <c r="H14439" s="83"/>
      <c r="K14439" s="82"/>
      <c r="M14439" s="112"/>
      <c r="N14439" s="84"/>
    </row>
    <row r="14440" spans="1:14" s="2" customFormat="1">
      <c r="A14440" s="83"/>
      <c r="H14440" s="83"/>
      <c r="K14440" s="82"/>
      <c r="M14440" s="112"/>
      <c r="N14440" s="84"/>
    </row>
    <row r="14441" spans="1:14" s="2" customFormat="1">
      <c r="A14441" s="83"/>
      <c r="H14441" s="83"/>
      <c r="K14441" s="82"/>
      <c r="M14441" s="112"/>
      <c r="N14441" s="84"/>
    </row>
    <row r="14442" spans="1:14" s="2" customFormat="1">
      <c r="A14442" s="83"/>
      <c r="H14442" s="83"/>
      <c r="K14442" s="82"/>
      <c r="M14442" s="112"/>
      <c r="N14442" s="84"/>
    </row>
    <row r="14443" spans="1:14" s="2" customFormat="1">
      <c r="A14443" s="83"/>
      <c r="H14443" s="83"/>
      <c r="K14443" s="82"/>
      <c r="M14443" s="112"/>
      <c r="N14443" s="84"/>
    </row>
    <row r="14444" spans="1:14" s="2" customFormat="1">
      <c r="A14444" s="83"/>
      <c r="H14444" s="83"/>
      <c r="K14444" s="82"/>
      <c r="M14444" s="112"/>
      <c r="N14444" s="84"/>
    </row>
    <row r="14445" spans="1:14" s="2" customFormat="1">
      <c r="A14445" s="83"/>
      <c r="H14445" s="83"/>
      <c r="K14445" s="82"/>
      <c r="M14445" s="112"/>
      <c r="N14445" s="84"/>
    </row>
    <row r="14446" spans="1:14" s="2" customFormat="1">
      <c r="A14446" s="83"/>
      <c r="H14446" s="83"/>
      <c r="K14446" s="82"/>
      <c r="M14446" s="112"/>
      <c r="N14446" s="84"/>
    </row>
    <row r="14447" spans="1:14" s="2" customFormat="1">
      <c r="A14447" s="83"/>
      <c r="H14447" s="83"/>
      <c r="K14447" s="82"/>
      <c r="M14447" s="112"/>
      <c r="N14447" s="84"/>
    </row>
    <row r="14448" spans="1:14" s="2" customFormat="1">
      <c r="A14448" s="83"/>
      <c r="H14448" s="83"/>
      <c r="K14448" s="82"/>
      <c r="M14448" s="112"/>
      <c r="N14448" s="84"/>
    </row>
    <row r="14449" spans="1:14" s="2" customFormat="1">
      <c r="A14449" s="83"/>
      <c r="H14449" s="83"/>
      <c r="K14449" s="82"/>
      <c r="M14449" s="112"/>
      <c r="N14449" s="84"/>
    </row>
    <row r="14450" spans="1:14" s="2" customFormat="1">
      <c r="A14450" s="83"/>
      <c r="H14450" s="83"/>
      <c r="K14450" s="82"/>
      <c r="M14450" s="112"/>
      <c r="N14450" s="84"/>
    </row>
    <row r="14451" spans="1:14" s="2" customFormat="1">
      <c r="A14451" s="83"/>
      <c r="H14451" s="83"/>
      <c r="K14451" s="82"/>
      <c r="M14451" s="112"/>
      <c r="N14451" s="84"/>
    </row>
    <row r="14452" spans="1:14" s="2" customFormat="1">
      <c r="A14452" s="83"/>
      <c r="H14452" s="83"/>
      <c r="K14452" s="82"/>
      <c r="M14452" s="112"/>
      <c r="N14452" s="84"/>
    </row>
    <row r="14453" spans="1:14" s="2" customFormat="1">
      <c r="A14453" s="83"/>
      <c r="H14453" s="83"/>
      <c r="K14453" s="82"/>
      <c r="M14453" s="112"/>
      <c r="N14453" s="84"/>
    </row>
    <row r="14454" spans="1:14" s="2" customFormat="1">
      <c r="A14454" s="83"/>
      <c r="H14454" s="83"/>
      <c r="K14454" s="82"/>
      <c r="M14454" s="112"/>
      <c r="N14454" s="84"/>
    </row>
    <row r="14455" spans="1:14" s="2" customFormat="1">
      <c r="A14455" s="83"/>
      <c r="H14455" s="83"/>
      <c r="K14455" s="82"/>
      <c r="M14455" s="112"/>
      <c r="N14455" s="84"/>
    </row>
    <row r="14456" spans="1:14" s="2" customFormat="1">
      <c r="A14456" s="83"/>
      <c r="H14456" s="83"/>
      <c r="K14456" s="82"/>
      <c r="M14456" s="112"/>
      <c r="N14456" s="84"/>
    </row>
    <row r="14457" spans="1:14" s="2" customFormat="1">
      <c r="A14457" s="83"/>
      <c r="H14457" s="83"/>
      <c r="K14457" s="82"/>
      <c r="M14457" s="112"/>
      <c r="N14457" s="84"/>
    </row>
    <row r="14458" spans="1:14" s="2" customFormat="1">
      <c r="A14458" s="83"/>
      <c r="H14458" s="83"/>
      <c r="K14458" s="82"/>
      <c r="M14458" s="112"/>
      <c r="N14458" s="84"/>
    </row>
    <row r="14459" spans="1:14" s="2" customFormat="1">
      <c r="A14459" s="83"/>
      <c r="H14459" s="83"/>
      <c r="K14459" s="82"/>
      <c r="M14459" s="112"/>
      <c r="N14459" s="84"/>
    </row>
    <row r="14460" spans="1:14" s="2" customFormat="1">
      <c r="A14460" s="83"/>
      <c r="H14460" s="83"/>
      <c r="K14460" s="82"/>
      <c r="M14460" s="112"/>
      <c r="N14460" s="84"/>
    </row>
    <row r="14461" spans="1:14" s="2" customFormat="1">
      <c r="A14461" s="83"/>
      <c r="H14461" s="83"/>
      <c r="K14461" s="82"/>
      <c r="M14461" s="112"/>
      <c r="N14461" s="84"/>
    </row>
    <row r="14462" spans="1:14" s="2" customFormat="1">
      <c r="A14462" s="83"/>
      <c r="H14462" s="83"/>
      <c r="K14462" s="82"/>
      <c r="M14462" s="112"/>
      <c r="N14462" s="84"/>
    </row>
    <row r="14463" spans="1:14" s="2" customFormat="1">
      <c r="A14463" s="83"/>
      <c r="H14463" s="83"/>
      <c r="K14463" s="82"/>
      <c r="M14463" s="112"/>
      <c r="N14463" s="84"/>
    </row>
    <row r="14464" spans="1:14" s="2" customFormat="1">
      <c r="A14464" s="83"/>
      <c r="H14464" s="83"/>
      <c r="K14464" s="82"/>
      <c r="M14464" s="112"/>
      <c r="N14464" s="84"/>
    </row>
    <row r="14465" spans="1:14" s="2" customFormat="1">
      <c r="A14465" s="83"/>
      <c r="H14465" s="83"/>
      <c r="K14465" s="82"/>
      <c r="M14465" s="112"/>
      <c r="N14465" s="84"/>
    </row>
    <row r="14466" spans="1:14" s="2" customFormat="1">
      <c r="A14466" s="83"/>
      <c r="H14466" s="83"/>
      <c r="K14466" s="82"/>
      <c r="M14466" s="112"/>
      <c r="N14466" s="84"/>
    </row>
    <row r="14467" spans="1:14" s="2" customFormat="1">
      <c r="A14467" s="83"/>
      <c r="H14467" s="83"/>
      <c r="K14467" s="82"/>
      <c r="M14467" s="112"/>
      <c r="N14467" s="84"/>
    </row>
    <row r="14468" spans="1:14" s="2" customFormat="1">
      <c r="A14468" s="83"/>
      <c r="H14468" s="83"/>
      <c r="K14468" s="82"/>
      <c r="M14468" s="112"/>
      <c r="N14468" s="84"/>
    </row>
    <row r="14469" spans="1:14" s="2" customFormat="1">
      <c r="A14469" s="83"/>
      <c r="H14469" s="83"/>
      <c r="K14469" s="82"/>
      <c r="M14469" s="112"/>
      <c r="N14469" s="84"/>
    </row>
    <row r="14470" spans="1:14" s="2" customFormat="1">
      <c r="A14470" s="83"/>
      <c r="H14470" s="83"/>
      <c r="K14470" s="82"/>
      <c r="M14470" s="112"/>
      <c r="N14470" s="84"/>
    </row>
    <row r="14471" spans="1:14" s="2" customFormat="1">
      <c r="A14471" s="83"/>
      <c r="H14471" s="83"/>
      <c r="K14471" s="82"/>
      <c r="M14471" s="112"/>
      <c r="N14471" s="84"/>
    </row>
    <row r="14472" spans="1:14" s="2" customFormat="1">
      <c r="A14472" s="83"/>
      <c r="H14472" s="83"/>
      <c r="K14472" s="82"/>
      <c r="M14472" s="112"/>
      <c r="N14472" s="84"/>
    </row>
    <row r="14473" spans="1:14" s="2" customFormat="1">
      <c r="A14473" s="83"/>
      <c r="H14473" s="83"/>
      <c r="K14473" s="82"/>
      <c r="M14473" s="112"/>
      <c r="N14473" s="84"/>
    </row>
    <row r="14474" spans="1:14" s="2" customFormat="1">
      <c r="A14474" s="83"/>
      <c r="H14474" s="83"/>
      <c r="K14474" s="82"/>
      <c r="M14474" s="112"/>
      <c r="N14474" s="84"/>
    </row>
    <row r="14475" spans="1:14" s="2" customFormat="1">
      <c r="A14475" s="83"/>
      <c r="H14475" s="83"/>
      <c r="K14475" s="82"/>
      <c r="M14475" s="112"/>
      <c r="N14475" s="84"/>
    </row>
    <row r="14476" spans="1:14" s="2" customFormat="1">
      <c r="A14476" s="83"/>
      <c r="H14476" s="83"/>
      <c r="K14476" s="82"/>
      <c r="M14476" s="112"/>
      <c r="N14476" s="84"/>
    </row>
    <row r="14477" spans="1:14" s="2" customFormat="1">
      <c r="A14477" s="83"/>
      <c r="H14477" s="83"/>
      <c r="K14477" s="82"/>
      <c r="M14477" s="112"/>
      <c r="N14477" s="84"/>
    </row>
    <row r="14478" spans="1:14" s="2" customFormat="1">
      <c r="A14478" s="83"/>
      <c r="H14478" s="83"/>
      <c r="K14478" s="82"/>
      <c r="M14478" s="112"/>
      <c r="N14478" s="84"/>
    </row>
    <row r="14479" spans="1:14" s="2" customFormat="1">
      <c r="A14479" s="83"/>
      <c r="H14479" s="83"/>
      <c r="K14479" s="82"/>
      <c r="M14479" s="112"/>
      <c r="N14479" s="84"/>
    </row>
    <row r="14480" spans="1:14" s="2" customFormat="1">
      <c r="A14480" s="83"/>
      <c r="H14480" s="83"/>
      <c r="K14480" s="82"/>
      <c r="M14480" s="112"/>
      <c r="N14480" s="84"/>
    </row>
    <row r="14481" spans="1:14" s="2" customFormat="1">
      <c r="A14481" s="83"/>
      <c r="H14481" s="83"/>
      <c r="K14481" s="82"/>
      <c r="M14481" s="112"/>
      <c r="N14481" s="84"/>
    </row>
    <row r="14482" spans="1:14" s="2" customFormat="1">
      <c r="A14482" s="83"/>
      <c r="H14482" s="83"/>
      <c r="K14482" s="82"/>
      <c r="M14482" s="112"/>
      <c r="N14482" s="84"/>
    </row>
    <row r="14483" spans="1:14" s="2" customFormat="1">
      <c r="A14483" s="83"/>
      <c r="H14483" s="83"/>
      <c r="K14483" s="82"/>
      <c r="M14483" s="112"/>
      <c r="N14483" s="84"/>
    </row>
    <row r="14484" spans="1:14" s="2" customFormat="1">
      <c r="A14484" s="83"/>
      <c r="H14484" s="83"/>
      <c r="K14484" s="82"/>
      <c r="M14484" s="112"/>
      <c r="N14484" s="84"/>
    </row>
    <row r="14485" spans="1:14" s="2" customFormat="1">
      <c r="A14485" s="83"/>
      <c r="H14485" s="83"/>
      <c r="K14485" s="82"/>
      <c r="M14485" s="112"/>
      <c r="N14485" s="84"/>
    </row>
    <row r="14486" spans="1:14" s="2" customFormat="1">
      <c r="A14486" s="83"/>
      <c r="H14486" s="83"/>
      <c r="K14486" s="82"/>
      <c r="M14486" s="112"/>
      <c r="N14486" s="84"/>
    </row>
    <row r="14487" spans="1:14" s="2" customFormat="1">
      <c r="A14487" s="83"/>
      <c r="H14487" s="83"/>
      <c r="K14487" s="82"/>
      <c r="M14487" s="112"/>
      <c r="N14487" s="84"/>
    </row>
    <row r="14488" spans="1:14" s="2" customFormat="1">
      <c r="A14488" s="83"/>
      <c r="H14488" s="83"/>
      <c r="K14488" s="82"/>
      <c r="M14488" s="112"/>
      <c r="N14488" s="84"/>
    </row>
    <row r="14489" spans="1:14" s="2" customFormat="1">
      <c r="A14489" s="83"/>
      <c r="H14489" s="83"/>
      <c r="K14489" s="82"/>
      <c r="M14489" s="112"/>
      <c r="N14489" s="84"/>
    </row>
    <row r="14490" spans="1:14" s="2" customFormat="1">
      <c r="A14490" s="83"/>
      <c r="H14490" s="83"/>
      <c r="K14490" s="82"/>
      <c r="M14490" s="112"/>
      <c r="N14490" s="84"/>
    </row>
    <row r="14491" spans="1:14" s="2" customFormat="1">
      <c r="A14491" s="83"/>
      <c r="H14491" s="83"/>
      <c r="K14491" s="82"/>
      <c r="M14491" s="112"/>
      <c r="N14491" s="84"/>
    </row>
    <row r="14492" spans="1:14" s="2" customFormat="1">
      <c r="A14492" s="83"/>
      <c r="H14492" s="83"/>
      <c r="K14492" s="82"/>
      <c r="M14492" s="112"/>
      <c r="N14492" s="84"/>
    </row>
    <row r="14493" spans="1:14" s="2" customFormat="1">
      <c r="A14493" s="83"/>
      <c r="H14493" s="83"/>
      <c r="K14493" s="82"/>
      <c r="M14493" s="112"/>
      <c r="N14493" s="84"/>
    </row>
    <row r="14494" spans="1:14" s="2" customFormat="1">
      <c r="A14494" s="83"/>
      <c r="H14494" s="83"/>
      <c r="K14494" s="82"/>
      <c r="M14494" s="112"/>
      <c r="N14494" s="84"/>
    </row>
    <row r="14495" spans="1:14" s="2" customFormat="1">
      <c r="A14495" s="83"/>
      <c r="H14495" s="83"/>
      <c r="K14495" s="82"/>
      <c r="M14495" s="112"/>
      <c r="N14495" s="84"/>
    </row>
    <row r="14496" spans="1:14" s="2" customFormat="1">
      <c r="A14496" s="83"/>
      <c r="H14496" s="83"/>
      <c r="K14496" s="82"/>
      <c r="M14496" s="112"/>
      <c r="N14496" s="84"/>
    </row>
    <row r="14497" spans="1:14" s="2" customFormat="1">
      <c r="A14497" s="83"/>
      <c r="H14497" s="83"/>
      <c r="K14497" s="82"/>
      <c r="M14497" s="112"/>
      <c r="N14497" s="84"/>
    </row>
    <row r="14498" spans="1:14" s="2" customFormat="1">
      <c r="A14498" s="83"/>
      <c r="H14498" s="83"/>
      <c r="K14498" s="82"/>
      <c r="M14498" s="112"/>
      <c r="N14498" s="84"/>
    </row>
    <row r="14499" spans="1:14" s="2" customFormat="1">
      <c r="A14499" s="83"/>
      <c r="H14499" s="83"/>
      <c r="K14499" s="82"/>
      <c r="M14499" s="112"/>
      <c r="N14499" s="84"/>
    </row>
    <row r="14500" spans="1:14" s="2" customFormat="1">
      <c r="A14500" s="83"/>
      <c r="H14500" s="83"/>
      <c r="K14500" s="82"/>
      <c r="M14500" s="112"/>
      <c r="N14500" s="84"/>
    </row>
    <row r="14501" spans="1:14" s="2" customFormat="1">
      <c r="A14501" s="83"/>
      <c r="H14501" s="83"/>
      <c r="K14501" s="82"/>
      <c r="M14501" s="112"/>
      <c r="N14501" s="84"/>
    </row>
    <row r="14502" spans="1:14" s="2" customFormat="1">
      <c r="A14502" s="83"/>
      <c r="H14502" s="83"/>
      <c r="K14502" s="82"/>
      <c r="M14502" s="112"/>
      <c r="N14502" s="84"/>
    </row>
    <row r="14503" spans="1:14" s="2" customFormat="1">
      <c r="A14503" s="83"/>
      <c r="H14503" s="83"/>
      <c r="K14503" s="82"/>
      <c r="M14503" s="112"/>
      <c r="N14503" s="84"/>
    </row>
    <row r="14504" spans="1:14" s="2" customFormat="1">
      <c r="A14504" s="83"/>
      <c r="H14504" s="83"/>
      <c r="K14504" s="82"/>
      <c r="M14504" s="112"/>
      <c r="N14504" s="84"/>
    </row>
    <row r="14505" spans="1:14" s="2" customFormat="1">
      <c r="A14505" s="83"/>
      <c r="H14505" s="83"/>
      <c r="K14505" s="82"/>
      <c r="M14505" s="112"/>
      <c r="N14505" s="84"/>
    </row>
    <row r="14506" spans="1:14" s="2" customFormat="1">
      <c r="A14506" s="83"/>
      <c r="H14506" s="83"/>
      <c r="K14506" s="82"/>
      <c r="M14506" s="112"/>
      <c r="N14506" s="84"/>
    </row>
    <row r="14507" spans="1:14" s="2" customFormat="1">
      <c r="A14507" s="83"/>
      <c r="H14507" s="83"/>
      <c r="K14507" s="82"/>
      <c r="M14507" s="112"/>
      <c r="N14507" s="84"/>
    </row>
    <row r="14508" spans="1:14" s="2" customFormat="1">
      <c r="A14508" s="83"/>
      <c r="H14508" s="83"/>
      <c r="K14508" s="82"/>
      <c r="M14508" s="112"/>
      <c r="N14508" s="84"/>
    </row>
    <row r="14509" spans="1:14" s="2" customFormat="1">
      <c r="A14509" s="83"/>
      <c r="H14509" s="83"/>
      <c r="K14509" s="82"/>
      <c r="M14509" s="112"/>
      <c r="N14509" s="84"/>
    </row>
    <row r="14510" spans="1:14" s="2" customFormat="1">
      <c r="A14510" s="83"/>
      <c r="H14510" s="83"/>
      <c r="K14510" s="82"/>
      <c r="M14510" s="112"/>
      <c r="N14510" s="84"/>
    </row>
    <row r="14511" spans="1:14" s="2" customFormat="1">
      <c r="A14511" s="83"/>
      <c r="H14511" s="83"/>
      <c r="K14511" s="82"/>
      <c r="M14511" s="112"/>
      <c r="N14511" s="84"/>
    </row>
    <row r="14512" spans="1:14" s="2" customFormat="1">
      <c r="A14512" s="83"/>
      <c r="H14512" s="83"/>
      <c r="K14512" s="82"/>
      <c r="M14512" s="112"/>
      <c r="N14512" s="84"/>
    </row>
    <row r="14513" spans="1:14" s="2" customFormat="1">
      <c r="A14513" s="83"/>
      <c r="H14513" s="83"/>
      <c r="K14513" s="82"/>
      <c r="M14513" s="112"/>
      <c r="N14513" s="84"/>
    </row>
    <row r="14514" spans="1:14" s="2" customFormat="1">
      <c r="A14514" s="83"/>
      <c r="H14514" s="83"/>
      <c r="K14514" s="82"/>
      <c r="M14514" s="112"/>
      <c r="N14514" s="84"/>
    </row>
    <row r="14515" spans="1:14" s="2" customFormat="1">
      <c r="A14515" s="83"/>
      <c r="H14515" s="83"/>
      <c r="K14515" s="82"/>
      <c r="M14515" s="112"/>
      <c r="N14515" s="84"/>
    </row>
    <row r="14516" spans="1:14" s="2" customFormat="1">
      <c r="A14516" s="83"/>
      <c r="H14516" s="83"/>
      <c r="K14516" s="82"/>
      <c r="M14516" s="112"/>
      <c r="N14516" s="84"/>
    </row>
    <row r="14517" spans="1:14" s="2" customFormat="1">
      <c r="A14517" s="83"/>
      <c r="H14517" s="83"/>
      <c r="K14517" s="82"/>
      <c r="M14517" s="112"/>
      <c r="N14517" s="84"/>
    </row>
    <row r="14518" spans="1:14" s="2" customFormat="1">
      <c r="A14518" s="83"/>
      <c r="H14518" s="83"/>
      <c r="K14518" s="82"/>
      <c r="M14518" s="112"/>
      <c r="N14518" s="84"/>
    </row>
    <row r="14519" spans="1:14" s="2" customFormat="1">
      <c r="A14519" s="83"/>
      <c r="H14519" s="83"/>
      <c r="K14519" s="82"/>
      <c r="M14519" s="112"/>
      <c r="N14519" s="84"/>
    </row>
    <row r="14520" spans="1:14" s="2" customFormat="1">
      <c r="A14520" s="83"/>
      <c r="H14520" s="83"/>
      <c r="K14520" s="82"/>
      <c r="M14520" s="112"/>
      <c r="N14520" s="84"/>
    </row>
    <row r="14521" spans="1:14" s="2" customFormat="1">
      <c r="A14521" s="83"/>
      <c r="H14521" s="83"/>
      <c r="K14521" s="82"/>
      <c r="M14521" s="112"/>
      <c r="N14521" s="84"/>
    </row>
    <row r="14522" spans="1:14" s="2" customFormat="1">
      <c r="A14522" s="83"/>
      <c r="H14522" s="83"/>
      <c r="K14522" s="82"/>
      <c r="M14522" s="112"/>
      <c r="N14522" s="84"/>
    </row>
    <row r="14523" spans="1:14" s="2" customFormat="1">
      <c r="A14523" s="83"/>
      <c r="H14523" s="83"/>
      <c r="K14523" s="82"/>
      <c r="M14523" s="112"/>
      <c r="N14523" s="84"/>
    </row>
    <row r="14524" spans="1:14" s="2" customFormat="1">
      <c r="A14524" s="83"/>
      <c r="H14524" s="83"/>
      <c r="K14524" s="82"/>
      <c r="M14524" s="112"/>
      <c r="N14524" s="84"/>
    </row>
    <row r="14525" spans="1:14" s="2" customFormat="1">
      <c r="A14525" s="83"/>
      <c r="H14525" s="83"/>
      <c r="K14525" s="82"/>
      <c r="M14525" s="112"/>
      <c r="N14525" s="84"/>
    </row>
    <row r="14526" spans="1:14" s="2" customFormat="1">
      <c r="A14526" s="83"/>
      <c r="H14526" s="83"/>
      <c r="K14526" s="82"/>
      <c r="M14526" s="112"/>
      <c r="N14526" s="84"/>
    </row>
    <row r="14527" spans="1:14" s="2" customFormat="1">
      <c r="A14527" s="83"/>
      <c r="H14527" s="83"/>
      <c r="K14527" s="82"/>
      <c r="M14527" s="112"/>
      <c r="N14527" s="84"/>
    </row>
    <row r="14528" spans="1:14" s="2" customFormat="1">
      <c r="A14528" s="83"/>
      <c r="H14528" s="83"/>
      <c r="K14528" s="82"/>
      <c r="M14528" s="112"/>
      <c r="N14528" s="84"/>
    </row>
    <row r="14529" spans="1:14" s="2" customFormat="1">
      <c r="A14529" s="83"/>
      <c r="H14529" s="83"/>
      <c r="K14529" s="82"/>
      <c r="M14529" s="112"/>
      <c r="N14529" s="84"/>
    </row>
    <row r="14530" spans="1:14" s="2" customFormat="1">
      <c r="A14530" s="83"/>
      <c r="H14530" s="83"/>
      <c r="K14530" s="82"/>
      <c r="M14530" s="112"/>
      <c r="N14530" s="84"/>
    </row>
    <row r="14531" spans="1:14" s="2" customFormat="1">
      <c r="A14531" s="83"/>
      <c r="H14531" s="83"/>
      <c r="K14531" s="82"/>
      <c r="M14531" s="112"/>
      <c r="N14531" s="84"/>
    </row>
    <row r="14532" spans="1:14" s="2" customFormat="1">
      <c r="A14532" s="83"/>
      <c r="H14532" s="83"/>
      <c r="K14532" s="82"/>
      <c r="M14532" s="112"/>
      <c r="N14532" s="84"/>
    </row>
    <row r="14533" spans="1:14" s="2" customFormat="1">
      <c r="A14533" s="83"/>
      <c r="H14533" s="83"/>
      <c r="K14533" s="82"/>
      <c r="M14533" s="112"/>
      <c r="N14533" s="84"/>
    </row>
    <row r="14534" spans="1:14" s="2" customFormat="1">
      <c r="A14534" s="83"/>
      <c r="H14534" s="83"/>
      <c r="K14534" s="82"/>
      <c r="M14534" s="112"/>
      <c r="N14534" s="84"/>
    </row>
    <row r="14535" spans="1:14" s="2" customFormat="1">
      <c r="A14535" s="83"/>
      <c r="H14535" s="83"/>
      <c r="K14535" s="82"/>
      <c r="M14535" s="112"/>
      <c r="N14535" s="84"/>
    </row>
    <row r="14536" spans="1:14" s="2" customFormat="1">
      <c r="A14536" s="83"/>
      <c r="H14536" s="83"/>
      <c r="K14536" s="82"/>
      <c r="M14536" s="112"/>
      <c r="N14536" s="84"/>
    </row>
    <row r="14537" spans="1:14" s="2" customFormat="1">
      <c r="A14537" s="83"/>
      <c r="H14537" s="83"/>
      <c r="K14537" s="82"/>
      <c r="M14537" s="112"/>
      <c r="N14537" s="84"/>
    </row>
    <row r="14538" spans="1:14" s="2" customFormat="1">
      <c r="A14538" s="83"/>
      <c r="H14538" s="83"/>
      <c r="K14538" s="82"/>
      <c r="M14538" s="112"/>
      <c r="N14538" s="84"/>
    </row>
    <row r="14539" spans="1:14" s="2" customFormat="1">
      <c r="A14539" s="83"/>
      <c r="H14539" s="83"/>
      <c r="K14539" s="82"/>
      <c r="M14539" s="112"/>
      <c r="N14539" s="84"/>
    </row>
    <row r="14540" spans="1:14" s="2" customFormat="1">
      <c r="A14540" s="83"/>
      <c r="H14540" s="83"/>
      <c r="K14540" s="82"/>
      <c r="M14540" s="112"/>
      <c r="N14540" s="84"/>
    </row>
    <row r="14541" spans="1:14" s="2" customFormat="1">
      <c r="A14541" s="83"/>
      <c r="H14541" s="83"/>
      <c r="K14541" s="82"/>
      <c r="M14541" s="112"/>
      <c r="N14541" s="84"/>
    </row>
    <row r="14542" spans="1:14" s="2" customFormat="1">
      <c r="A14542" s="83"/>
      <c r="H14542" s="83"/>
      <c r="K14542" s="82"/>
      <c r="M14542" s="112"/>
      <c r="N14542" s="84"/>
    </row>
    <row r="14543" spans="1:14" s="2" customFormat="1">
      <c r="A14543" s="83"/>
      <c r="H14543" s="83"/>
      <c r="K14543" s="82"/>
      <c r="M14543" s="112"/>
      <c r="N14543" s="84"/>
    </row>
    <row r="14544" spans="1:14" s="2" customFormat="1">
      <c r="A14544" s="83"/>
      <c r="H14544" s="83"/>
      <c r="K14544" s="82"/>
      <c r="M14544" s="112"/>
      <c r="N14544" s="84"/>
    </row>
    <row r="14545" spans="1:14" s="2" customFormat="1">
      <c r="A14545" s="83"/>
      <c r="H14545" s="83"/>
      <c r="K14545" s="82"/>
      <c r="M14545" s="112"/>
      <c r="N14545" s="84"/>
    </row>
    <row r="14546" spans="1:14" s="2" customFormat="1">
      <c r="A14546" s="83"/>
      <c r="H14546" s="83"/>
      <c r="K14546" s="82"/>
      <c r="M14546" s="112"/>
      <c r="N14546" s="84"/>
    </row>
    <row r="14547" spans="1:14" s="2" customFormat="1">
      <c r="A14547" s="83"/>
      <c r="H14547" s="83"/>
      <c r="K14547" s="82"/>
      <c r="M14547" s="112"/>
      <c r="N14547" s="84"/>
    </row>
    <row r="14548" spans="1:14" s="2" customFormat="1">
      <c r="A14548" s="83"/>
      <c r="H14548" s="83"/>
      <c r="K14548" s="82"/>
      <c r="M14548" s="112"/>
      <c r="N14548" s="84"/>
    </row>
    <row r="14549" spans="1:14" s="2" customFormat="1">
      <c r="A14549" s="83"/>
      <c r="H14549" s="83"/>
      <c r="K14549" s="82"/>
      <c r="M14549" s="112"/>
      <c r="N14549" s="84"/>
    </row>
    <row r="14550" spans="1:14" s="2" customFormat="1">
      <c r="A14550" s="83"/>
      <c r="H14550" s="83"/>
      <c r="K14550" s="82"/>
      <c r="M14550" s="112"/>
      <c r="N14550" s="84"/>
    </row>
    <row r="14551" spans="1:14" s="2" customFormat="1">
      <c r="A14551" s="83"/>
      <c r="H14551" s="83"/>
      <c r="K14551" s="82"/>
      <c r="M14551" s="112"/>
      <c r="N14551" s="84"/>
    </row>
    <row r="14552" spans="1:14" s="2" customFormat="1">
      <c r="A14552" s="83"/>
      <c r="H14552" s="83"/>
      <c r="K14552" s="82"/>
      <c r="M14552" s="112"/>
      <c r="N14552" s="84"/>
    </row>
    <row r="14553" spans="1:14" s="2" customFormat="1">
      <c r="A14553" s="83"/>
      <c r="H14553" s="83"/>
      <c r="K14553" s="82"/>
      <c r="M14553" s="112"/>
      <c r="N14553" s="84"/>
    </row>
    <row r="14554" spans="1:14" s="2" customFormat="1">
      <c r="A14554" s="83"/>
      <c r="H14554" s="83"/>
      <c r="K14554" s="82"/>
      <c r="M14554" s="112"/>
      <c r="N14554" s="84"/>
    </row>
    <row r="14555" spans="1:14" s="2" customFormat="1">
      <c r="A14555" s="83"/>
      <c r="H14555" s="83"/>
      <c r="K14555" s="82"/>
      <c r="M14555" s="112"/>
      <c r="N14555" s="84"/>
    </row>
    <row r="14556" spans="1:14" s="2" customFormat="1">
      <c r="A14556" s="83"/>
      <c r="H14556" s="83"/>
      <c r="K14556" s="82"/>
      <c r="M14556" s="112"/>
      <c r="N14556" s="84"/>
    </row>
    <row r="14557" spans="1:14" s="2" customFormat="1">
      <c r="A14557" s="83"/>
      <c r="H14557" s="83"/>
      <c r="K14557" s="82"/>
      <c r="M14557" s="112"/>
      <c r="N14557" s="84"/>
    </row>
    <row r="14558" spans="1:14" s="2" customFormat="1">
      <c r="A14558" s="83"/>
      <c r="H14558" s="83"/>
      <c r="K14558" s="82"/>
      <c r="M14558" s="112"/>
      <c r="N14558" s="84"/>
    </row>
    <row r="14559" spans="1:14" s="2" customFormat="1">
      <c r="A14559" s="83"/>
      <c r="H14559" s="83"/>
      <c r="K14559" s="82"/>
      <c r="M14559" s="112"/>
      <c r="N14559" s="84"/>
    </row>
    <row r="14560" spans="1:14" s="2" customFormat="1">
      <c r="A14560" s="83"/>
      <c r="H14560" s="83"/>
      <c r="K14560" s="82"/>
      <c r="M14560" s="112"/>
      <c r="N14560" s="84"/>
    </row>
    <row r="14561" spans="1:14" s="2" customFormat="1">
      <c r="A14561" s="83"/>
      <c r="H14561" s="83"/>
      <c r="K14561" s="82"/>
      <c r="M14561" s="112"/>
      <c r="N14561" s="84"/>
    </row>
    <row r="14562" spans="1:14" s="2" customFormat="1">
      <c r="A14562" s="83"/>
      <c r="H14562" s="83"/>
      <c r="K14562" s="82"/>
      <c r="M14562" s="112"/>
      <c r="N14562" s="84"/>
    </row>
    <row r="14563" spans="1:14" s="2" customFormat="1">
      <c r="A14563" s="83"/>
      <c r="H14563" s="83"/>
      <c r="K14563" s="82"/>
      <c r="M14563" s="112"/>
      <c r="N14563" s="84"/>
    </row>
    <row r="14564" spans="1:14" s="2" customFormat="1">
      <c r="A14564" s="83"/>
      <c r="H14564" s="83"/>
      <c r="K14564" s="82"/>
      <c r="M14564" s="112"/>
      <c r="N14564" s="84"/>
    </row>
    <row r="14565" spans="1:14" s="2" customFormat="1">
      <c r="A14565" s="83"/>
      <c r="H14565" s="83"/>
      <c r="K14565" s="82"/>
      <c r="M14565" s="112"/>
      <c r="N14565" s="84"/>
    </row>
    <row r="14566" spans="1:14" s="2" customFormat="1">
      <c r="A14566" s="83"/>
      <c r="H14566" s="83"/>
      <c r="K14566" s="82"/>
      <c r="M14566" s="112"/>
      <c r="N14566" s="84"/>
    </row>
    <row r="14567" spans="1:14" s="2" customFormat="1">
      <c r="A14567" s="83"/>
      <c r="H14567" s="83"/>
      <c r="K14567" s="82"/>
      <c r="M14567" s="112"/>
      <c r="N14567" s="84"/>
    </row>
    <row r="14568" spans="1:14" s="2" customFormat="1">
      <c r="A14568" s="83"/>
      <c r="H14568" s="83"/>
      <c r="K14568" s="82"/>
      <c r="M14568" s="112"/>
      <c r="N14568" s="84"/>
    </row>
    <row r="14569" spans="1:14" s="2" customFormat="1">
      <c r="A14569" s="83"/>
      <c r="H14569" s="83"/>
      <c r="K14569" s="82"/>
      <c r="M14569" s="112"/>
      <c r="N14569" s="84"/>
    </row>
    <row r="14570" spans="1:14" s="2" customFormat="1">
      <c r="A14570" s="83"/>
      <c r="H14570" s="83"/>
      <c r="K14570" s="82"/>
      <c r="M14570" s="112"/>
      <c r="N14570" s="84"/>
    </row>
    <row r="14571" spans="1:14" s="2" customFormat="1">
      <c r="A14571" s="83"/>
      <c r="H14571" s="83"/>
      <c r="K14571" s="82"/>
      <c r="M14571" s="112"/>
      <c r="N14571" s="84"/>
    </row>
    <row r="14572" spans="1:14" s="2" customFormat="1">
      <c r="A14572" s="83"/>
      <c r="H14572" s="83"/>
      <c r="K14572" s="82"/>
      <c r="M14572" s="112"/>
      <c r="N14572" s="84"/>
    </row>
    <row r="14573" spans="1:14" s="2" customFormat="1">
      <c r="A14573" s="83"/>
      <c r="H14573" s="83"/>
      <c r="K14573" s="82"/>
      <c r="M14573" s="112"/>
      <c r="N14573" s="84"/>
    </row>
    <row r="14574" spans="1:14" s="2" customFormat="1">
      <c r="A14574" s="83"/>
      <c r="H14574" s="83"/>
      <c r="K14574" s="82"/>
      <c r="M14574" s="112"/>
      <c r="N14574" s="84"/>
    </row>
    <row r="14575" spans="1:14" s="2" customFormat="1">
      <c r="A14575" s="83"/>
      <c r="H14575" s="83"/>
      <c r="K14575" s="82"/>
      <c r="M14575" s="112"/>
      <c r="N14575" s="84"/>
    </row>
    <row r="14576" spans="1:14" s="2" customFormat="1">
      <c r="A14576" s="83"/>
      <c r="H14576" s="83"/>
      <c r="K14576" s="82"/>
      <c r="M14576" s="112"/>
      <c r="N14576" s="84"/>
    </row>
    <row r="14577" spans="1:14" s="2" customFormat="1">
      <c r="A14577" s="83"/>
      <c r="H14577" s="83"/>
      <c r="K14577" s="82"/>
      <c r="M14577" s="112"/>
      <c r="N14577" s="84"/>
    </row>
    <row r="14578" spans="1:14" s="2" customFormat="1">
      <c r="A14578" s="83"/>
      <c r="H14578" s="83"/>
      <c r="K14578" s="82"/>
      <c r="M14578" s="112"/>
      <c r="N14578" s="84"/>
    </row>
    <row r="14579" spans="1:14" s="2" customFormat="1">
      <c r="A14579" s="83"/>
      <c r="H14579" s="83"/>
      <c r="K14579" s="82"/>
      <c r="M14579" s="112"/>
      <c r="N14579" s="84"/>
    </row>
    <row r="14580" spans="1:14" s="2" customFormat="1">
      <c r="A14580" s="83"/>
      <c r="H14580" s="83"/>
      <c r="K14580" s="82"/>
      <c r="M14580" s="112"/>
      <c r="N14580" s="84"/>
    </row>
    <row r="14581" spans="1:14" s="2" customFormat="1">
      <c r="A14581" s="83"/>
      <c r="H14581" s="83"/>
      <c r="K14581" s="82"/>
      <c r="M14581" s="112"/>
      <c r="N14581" s="84"/>
    </row>
    <row r="14582" spans="1:14" s="2" customFormat="1">
      <c r="A14582" s="83"/>
      <c r="H14582" s="83"/>
      <c r="K14582" s="82"/>
      <c r="M14582" s="112"/>
      <c r="N14582" s="84"/>
    </row>
    <row r="14583" spans="1:14" s="2" customFormat="1">
      <c r="A14583" s="83"/>
      <c r="H14583" s="83"/>
      <c r="K14583" s="82"/>
      <c r="M14583" s="112"/>
      <c r="N14583" s="84"/>
    </row>
    <row r="14584" spans="1:14" s="2" customFormat="1">
      <c r="A14584" s="83"/>
      <c r="H14584" s="83"/>
      <c r="K14584" s="82"/>
      <c r="M14584" s="112"/>
      <c r="N14584" s="84"/>
    </row>
    <row r="14585" spans="1:14" s="2" customFormat="1">
      <c r="A14585" s="83"/>
      <c r="H14585" s="83"/>
      <c r="K14585" s="82"/>
      <c r="M14585" s="112"/>
      <c r="N14585" s="84"/>
    </row>
    <row r="14586" spans="1:14" s="2" customFormat="1">
      <c r="A14586" s="83"/>
      <c r="H14586" s="83"/>
      <c r="K14586" s="82"/>
      <c r="M14586" s="112"/>
      <c r="N14586" s="84"/>
    </row>
    <row r="14587" spans="1:14" s="2" customFormat="1">
      <c r="A14587" s="83"/>
      <c r="H14587" s="83"/>
      <c r="K14587" s="82"/>
      <c r="M14587" s="112"/>
      <c r="N14587" s="84"/>
    </row>
    <row r="14588" spans="1:14" s="2" customFormat="1">
      <c r="A14588" s="83"/>
      <c r="H14588" s="83"/>
      <c r="K14588" s="82"/>
      <c r="M14588" s="112"/>
      <c r="N14588" s="84"/>
    </row>
    <row r="14589" spans="1:14" s="2" customFormat="1">
      <c r="A14589" s="83"/>
      <c r="H14589" s="83"/>
      <c r="K14589" s="82"/>
      <c r="M14589" s="112"/>
      <c r="N14589" s="84"/>
    </row>
    <row r="14590" spans="1:14" s="2" customFormat="1">
      <c r="A14590" s="83"/>
      <c r="H14590" s="83"/>
      <c r="K14590" s="82"/>
      <c r="M14590" s="112"/>
      <c r="N14590" s="84"/>
    </row>
    <row r="14591" spans="1:14" s="2" customFormat="1">
      <c r="A14591" s="83"/>
      <c r="H14591" s="83"/>
      <c r="K14591" s="82"/>
      <c r="M14591" s="112"/>
      <c r="N14591" s="84"/>
    </row>
    <row r="14592" spans="1:14" s="2" customFormat="1">
      <c r="A14592" s="83"/>
      <c r="H14592" s="83"/>
      <c r="K14592" s="82"/>
      <c r="M14592" s="112"/>
      <c r="N14592" s="84"/>
    </row>
    <row r="14593" spans="1:14" s="2" customFormat="1">
      <c r="A14593" s="83"/>
      <c r="H14593" s="83"/>
      <c r="K14593" s="82"/>
      <c r="M14593" s="112"/>
      <c r="N14593" s="84"/>
    </row>
    <row r="14594" spans="1:14" s="2" customFormat="1">
      <c r="A14594" s="83"/>
      <c r="H14594" s="83"/>
      <c r="K14594" s="82"/>
      <c r="M14594" s="112"/>
      <c r="N14594" s="84"/>
    </row>
    <row r="14595" spans="1:14" s="2" customFormat="1">
      <c r="A14595" s="83"/>
      <c r="H14595" s="83"/>
      <c r="K14595" s="82"/>
      <c r="M14595" s="112"/>
      <c r="N14595" s="84"/>
    </row>
    <row r="14596" spans="1:14" s="2" customFormat="1">
      <c r="A14596" s="83"/>
      <c r="H14596" s="83"/>
      <c r="K14596" s="82"/>
      <c r="M14596" s="112"/>
      <c r="N14596" s="84"/>
    </row>
    <row r="14597" spans="1:14" s="2" customFormat="1">
      <c r="A14597" s="83"/>
      <c r="H14597" s="83"/>
      <c r="K14597" s="82"/>
      <c r="M14597" s="112"/>
      <c r="N14597" s="84"/>
    </row>
    <row r="14598" spans="1:14" s="2" customFormat="1">
      <c r="A14598" s="83"/>
      <c r="H14598" s="83"/>
      <c r="K14598" s="82"/>
      <c r="M14598" s="112"/>
      <c r="N14598" s="84"/>
    </row>
    <row r="14599" spans="1:14" s="2" customFormat="1">
      <c r="A14599" s="83"/>
      <c r="H14599" s="83"/>
      <c r="K14599" s="82"/>
      <c r="M14599" s="112"/>
      <c r="N14599" s="84"/>
    </row>
    <row r="14600" spans="1:14" s="2" customFormat="1">
      <c r="A14600" s="83"/>
      <c r="H14600" s="83"/>
      <c r="K14600" s="82"/>
      <c r="M14600" s="112"/>
      <c r="N14600" s="84"/>
    </row>
    <row r="14601" spans="1:14" s="2" customFormat="1">
      <c r="A14601" s="83"/>
      <c r="H14601" s="83"/>
      <c r="K14601" s="82"/>
      <c r="M14601" s="112"/>
      <c r="N14601" s="84"/>
    </row>
    <row r="14602" spans="1:14" s="2" customFormat="1">
      <c r="A14602" s="83"/>
      <c r="H14602" s="83"/>
      <c r="K14602" s="82"/>
      <c r="M14602" s="112"/>
      <c r="N14602" s="84"/>
    </row>
    <row r="14603" spans="1:14" s="2" customFormat="1">
      <c r="A14603" s="83"/>
      <c r="H14603" s="83"/>
      <c r="K14603" s="82"/>
      <c r="M14603" s="112"/>
      <c r="N14603" s="84"/>
    </row>
    <row r="14604" spans="1:14" s="2" customFormat="1">
      <c r="A14604" s="83"/>
      <c r="H14604" s="83"/>
      <c r="K14604" s="82"/>
      <c r="M14604" s="112"/>
      <c r="N14604" s="84"/>
    </row>
    <row r="14605" spans="1:14" s="2" customFormat="1">
      <c r="A14605" s="83"/>
      <c r="H14605" s="83"/>
      <c r="K14605" s="82"/>
      <c r="M14605" s="112"/>
      <c r="N14605" s="84"/>
    </row>
    <row r="14606" spans="1:14" s="2" customFormat="1">
      <c r="A14606" s="83"/>
      <c r="H14606" s="83"/>
      <c r="K14606" s="82"/>
      <c r="M14606" s="112"/>
      <c r="N14606" s="84"/>
    </row>
    <row r="14607" spans="1:14" s="2" customFormat="1">
      <c r="A14607" s="83"/>
      <c r="H14607" s="83"/>
      <c r="K14607" s="82"/>
      <c r="M14607" s="112"/>
      <c r="N14607" s="84"/>
    </row>
    <row r="14608" spans="1:14" s="2" customFormat="1">
      <c r="A14608" s="83"/>
      <c r="H14608" s="83"/>
      <c r="K14608" s="82"/>
      <c r="M14608" s="112"/>
      <c r="N14608" s="84"/>
    </row>
    <row r="14609" spans="1:14" s="2" customFormat="1">
      <c r="A14609" s="83"/>
      <c r="H14609" s="83"/>
      <c r="K14609" s="82"/>
      <c r="M14609" s="112"/>
      <c r="N14609" s="84"/>
    </row>
    <row r="14610" spans="1:14" s="2" customFormat="1">
      <c r="A14610" s="83"/>
      <c r="H14610" s="83"/>
      <c r="K14610" s="82"/>
      <c r="M14610" s="112"/>
      <c r="N14610" s="84"/>
    </row>
    <row r="14611" spans="1:14" s="2" customFormat="1">
      <c r="A14611" s="83"/>
      <c r="H14611" s="83"/>
      <c r="K14611" s="82"/>
      <c r="M14611" s="112"/>
      <c r="N14611" s="84"/>
    </row>
    <row r="14612" spans="1:14" s="2" customFormat="1">
      <c r="A14612" s="83"/>
      <c r="H14612" s="83"/>
      <c r="K14612" s="82"/>
      <c r="M14612" s="112"/>
      <c r="N14612" s="84"/>
    </row>
    <row r="14613" spans="1:14" s="2" customFormat="1">
      <c r="A14613" s="83"/>
      <c r="H14613" s="83"/>
      <c r="K14613" s="82"/>
      <c r="M14613" s="112"/>
      <c r="N14613" s="84"/>
    </row>
    <row r="14614" spans="1:14" s="2" customFormat="1">
      <c r="A14614" s="83"/>
      <c r="H14614" s="83"/>
      <c r="K14614" s="82"/>
      <c r="M14614" s="112"/>
      <c r="N14614" s="84"/>
    </row>
    <row r="14615" spans="1:14" s="2" customFormat="1">
      <c r="A14615" s="83"/>
      <c r="H14615" s="83"/>
      <c r="K14615" s="82"/>
      <c r="M14615" s="112"/>
      <c r="N14615" s="84"/>
    </row>
    <row r="14616" spans="1:14" s="2" customFormat="1">
      <c r="A14616" s="83"/>
      <c r="H14616" s="83"/>
      <c r="K14616" s="82"/>
      <c r="M14616" s="112"/>
      <c r="N14616" s="84"/>
    </row>
    <row r="14617" spans="1:14" s="2" customFormat="1">
      <c r="A14617" s="83"/>
      <c r="H14617" s="83"/>
      <c r="K14617" s="82"/>
      <c r="M14617" s="112"/>
      <c r="N14617" s="84"/>
    </row>
    <row r="14618" spans="1:14" s="2" customFormat="1">
      <c r="A14618" s="83"/>
      <c r="H14618" s="83"/>
      <c r="K14618" s="82"/>
      <c r="M14618" s="112"/>
      <c r="N14618" s="84"/>
    </row>
    <row r="14619" spans="1:14" s="2" customFormat="1">
      <c r="A14619" s="83"/>
      <c r="H14619" s="83"/>
      <c r="K14619" s="82"/>
      <c r="M14619" s="112"/>
      <c r="N14619" s="84"/>
    </row>
    <row r="14620" spans="1:14" s="2" customFormat="1">
      <c r="A14620" s="83"/>
      <c r="H14620" s="83"/>
      <c r="K14620" s="82"/>
      <c r="M14620" s="112"/>
      <c r="N14620" s="84"/>
    </row>
    <row r="14621" spans="1:14" s="2" customFormat="1">
      <c r="A14621" s="83"/>
      <c r="H14621" s="83"/>
      <c r="K14621" s="82"/>
      <c r="M14621" s="112"/>
      <c r="N14621" s="84"/>
    </row>
    <row r="14622" spans="1:14" s="2" customFormat="1">
      <c r="A14622" s="83"/>
      <c r="H14622" s="83"/>
      <c r="K14622" s="82"/>
      <c r="M14622" s="112"/>
      <c r="N14622" s="84"/>
    </row>
    <row r="14623" spans="1:14" s="2" customFormat="1">
      <c r="A14623" s="83"/>
      <c r="H14623" s="83"/>
      <c r="K14623" s="82"/>
      <c r="M14623" s="112"/>
      <c r="N14623" s="84"/>
    </row>
    <row r="14624" spans="1:14" s="2" customFormat="1">
      <c r="A14624" s="83"/>
      <c r="H14624" s="83"/>
      <c r="K14624" s="82"/>
      <c r="M14624" s="112"/>
      <c r="N14624" s="84"/>
    </row>
    <row r="14625" spans="1:14" s="2" customFormat="1">
      <c r="A14625" s="83"/>
      <c r="H14625" s="83"/>
      <c r="K14625" s="82"/>
      <c r="M14625" s="112"/>
      <c r="N14625" s="84"/>
    </row>
    <row r="14626" spans="1:14" s="2" customFormat="1">
      <c r="A14626" s="83"/>
      <c r="H14626" s="83"/>
      <c r="K14626" s="82"/>
      <c r="M14626" s="112"/>
      <c r="N14626" s="84"/>
    </row>
    <row r="14627" spans="1:14" s="2" customFormat="1">
      <c r="A14627" s="83"/>
      <c r="H14627" s="83"/>
      <c r="K14627" s="82"/>
      <c r="M14627" s="112"/>
      <c r="N14627" s="84"/>
    </row>
    <row r="14628" spans="1:14" s="2" customFormat="1">
      <c r="A14628" s="83"/>
      <c r="H14628" s="83"/>
      <c r="K14628" s="82"/>
      <c r="M14628" s="112"/>
      <c r="N14628" s="84"/>
    </row>
    <row r="14629" spans="1:14" s="2" customFormat="1">
      <c r="A14629" s="83"/>
      <c r="H14629" s="83"/>
      <c r="K14629" s="82"/>
      <c r="M14629" s="112"/>
      <c r="N14629" s="84"/>
    </row>
    <row r="14630" spans="1:14" s="2" customFormat="1">
      <c r="A14630" s="83"/>
      <c r="H14630" s="83"/>
      <c r="K14630" s="82"/>
      <c r="M14630" s="112"/>
      <c r="N14630" s="84"/>
    </row>
    <row r="14631" spans="1:14" s="2" customFormat="1">
      <c r="A14631" s="83"/>
      <c r="H14631" s="83"/>
      <c r="K14631" s="82"/>
      <c r="M14631" s="112"/>
      <c r="N14631" s="84"/>
    </row>
    <row r="14632" spans="1:14" s="2" customFormat="1">
      <c r="A14632" s="83"/>
      <c r="H14632" s="83"/>
      <c r="K14632" s="82"/>
      <c r="M14632" s="112"/>
      <c r="N14632" s="84"/>
    </row>
    <row r="14633" spans="1:14" s="2" customFormat="1">
      <c r="A14633" s="83"/>
      <c r="H14633" s="83"/>
      <c r="K14633" s="82"/>
      <c r="M14633" s="112"/>
      <c r="N14633" s="84"/>
    </row>
    <row r="14634" spans="1:14" s="2" customFormat="1">
      <c r="A14634" s="83"/>
      <c r="H14634" s="83"/>
      <c r="K14634" s="82"/>
      <c r="M14634" s="112"/>
      <c r="N14634" s="84"/>
    </row>
    <row r="14635" spans="1:14" s="2" customFormat="1">
      <c r="A14635" s="83"/>
      <c r="H14635" s="83"/>
      <c r="K14635" s="82"/>
      <c r="M14635" s="112"/>
      <c r="N14635" s="84"/>
    </row>
    <row r="14636" spans="1:14" s="2" customFormat="1">
      <c r="A14636" s="83"/>
      <c r="H14636" s="83"/>
      <c r="K14636" s="82"/>
      <c r="M14636" s="112"/>
      <c r="N14636" s="84"/>
    </row>
    <row r="14637" spans="1:14" s="2" customFormat="1">
      <c r="A14637" s="83"/>
      <c r="H14637" s="83"/>
      <c r="K14637" s="82"/>
      <c r="M14637" s="112"/>
      <c r="N14637" s="84"/>
    </row>
    <row r="14638" spans="1:14" s="2" customFormat="1">
      <c r="A14638" s="83"/>
      <c r="H14638" s="83"/>
      <c r="K14638" s="82"/>
      <c r="M14638" s="112"/>
      <c r="N14638" s="84"/>
    </row>
    <row r="14639" spans="1:14" s="2" customFormat="1">
      <c r="A14639" s="83"/>
      <c r="H14639" s="83"/>
      <c r="K14639" s="82"/>
      <c r="M14639" s="112"/>
      <c r="N14639" s="84"/>
    </row>
    <row r="14640" spans="1:14" s="2" customFormat="1">
      <c r="A14640" s="83"/>
      <c r="H14640" s="83"/>
      <c r="K14640" s="82"/>
      <c r="M14640" s="112"/>
      <c r="N14640" s="84"/>
    </row>
    <row r="14641" spans="1:14" s="2" customFormat="1">
      <c r="A14641" s="83"/>
      <c r="H14641" s="83"/>
      <c r="K14641" s="82"/>
      <c r="M14641" s="112"/>
      <c r="N14641" s="84"/>
    </row>
    <row r="14642" spans="1:14" s="2" customFormat="1">
      <c r="A14642" s="83"/>
      <c r="H14642" s="83"/>
      <c r="K14642" s="82"/>
      <c r="M14642" s="112"/>
      <c r="N14642" s="84"/>
    </row>
    <row r="14643" spans="1:14" s="2" customFormat="1">
      <c r="A14643" s="83"/>
      <c r="H14643" s="83"/>
      <c r="K14643" s="82"/>
      <c r="M14643" s="112"/>
      <c r="N14643" s="84"/>
    </row>
    <row r="14644" spans="1:14" s="2" customFormat="1">
      <c r="A14644" s="83"/>
      <c r="H14644" s="83"/>
      <c r="K14644" s="82"/>
      <c r="M14644" s="112"/>
      <c r="N14644" s="84"/>
    </row>
    <row r="14645" spans="1:14" s="2" customFormat="1">
      <c r="A14645" s="83"/>
      <c r="H14645" s="83"/>
      <c r="K14645" s="82"/>
      <c r="M14645" s="112"/>
      <c r="N14645" s="84"/>
    </row>
    <row r="14646" spans="1:14" s="2" customFormat="1">
      <c r="A14646" s="83"/>
      <c r="H14646" s="83"/>
      <c r="K14646" s="82"/>
      <c r="M14646" s="112"/>
      <c r="N14646" s="84"/>
    </row>
    <row r="14647" spans="1:14" s="2" customFormat="1">
      <c r="A14647" s="83"/>
      <c r="H14647" s="83"/>
      <c r="K14647" s="82"/>
      <c r="M14647" s="112"/>
      <c r="N14647" s="84"/>
    </row>
    <row r="14648" spans="1:14" s="2" customFormat="1">
      <c r="A14648" s="83"/>
      <c r="H14648" s="83"/>
      <c r="K14648" s="82"/>
      <c r="M14648" s="112"/>
      <c r="N14648" s="84"/>
    </row>
    <row r="14649" spans="1:14" s="2" customFormat="1">
      <c r="A14649" s="83"/>
      <c r="H14649" s="83"/>
      <c r="K14649" s="82"/>
      <c r="M14649" s="112"/>
      <c r="N14649" s="84"/>
    </row>
    <row r="14650" spans="1:14" s="2" customFormat="1">
      <c r="A14650" s="83"/>
      <c r="H14650" s="83"/>
      <c r="K14650" s="82"/>
      <c r="M14650" s="112"/>
      <c r="N14650" s="84"/>
    </row>
    <row r="14651" spans="1:14" s="2" customFormat="1">
      <c r="A14651" s="83"/>
      <c r="H14651" s="83"/>
      <c r="K14651" s="82"/>
      <c r="M14651" s="112"/>
      <c r="N14651" s="84"/>
    </row>
    <row r="14652" spans="1:14" s="2" customFormat="1">
      <c r="A14652" s="83"/>
      <c r="H14652" s="83"/>
      <c r="K14652" s="82"/>
      <c r="M14652" s="112"/>
      <c r="N14652" s="84"/>
    </row>
    <row r="14653" spans="1:14" s="2" customFormat="1">
      <c r="A14653" s="83"/>
      <c r="H14653" s="83"/>
      <c r="K14653" s="82"/>
      <c r="M14653" s="112"/>
      <c r="N14653" s="84"/>
    </row>
    <row r="14654" spans="1:14" s="2" customFormat="1">
      <c r="A14654" s="83"/>
      <c r="H14654" s="83"/>
      <c r="K14654" s="82"/>
      <c r="M14654" s="112"/>
      <c r="N14654" s="84"/>
    </row>
    <row r="14655" spans="1:14" s="2" customFormat="1">
      <c r="A14655" s="83"/>
      <c r="H14655" s="83"/>
      <c r="K14655" s="82"/>
      <c r="M14655" s="112"/>
      <c r="N14655" s="84"/>
    </row>
    <row r="14656" spans="1:14" s="2" customFormat="1">
      <c r="A14656" s="83"/>
      <c r="H14656" s="83"/>
      <c r="K14656" s="82"/>
      <c r="M14656" s="112"/>
      <c r="N14656" s="84"/>
    </row>
    <row r="14657" spans="1:14" s="2" customFormat="1">
      <c r="A14657" s="83"/>
      <c r="H14657" s="83"/>
      <c r="K14657" s="82"/>
      <c r="M14657" s="112"/>
      <c r="N14657" s="84"/>
    </row>
    <row r="14658" spans="1:14" s="2" customFormat="1">
      <c r="A14658" s="83"/>
      <c r="H14658" s="83"/>
      <c r="K14658" s="82"/>
      <c r="M14658" s="112"/>
      <c r="N14658" s="84"/>
    </row>
    <row r="14659" spans="1:14" s="2" customFormat="1">
      <c r="A14659" s="83"/>
      <c r="H14659" s="83"/>
      <c r="K14659" s="82"/>
      <c r="M14659" s="112"/>
      <c r="N14659" s="84"/>
    </row>
    <row r="14660" spans="1:14" s="2" customFormat="1">
      <c r="A14660" s="83"/>
      <c r="H14660" s="83"/>
      <c r="K14660" s="82"/>
      <c r="M14660" s="112"/>
      <c r="N14660" s="84"/>
    </row>
    <row r="14661" spans="1:14" s="2" customFormat="1">
      <c r="A14661" s="83"/>
      <c r="H14661" s="83"/>
      <c r="K14661" s="82"/>
      <c r="M14661" s="112"/>
      <c r="N14661" s="84"/>
    </row>
    <row r="14662" spans="1:14" s="2" customFormat="1">
      <c r="A14662" s="83"/>
      <c r="H14662" s="83"/>
      <c r="K14662" s="82"/>
      <c r="M14662" s="112"/>
      <c r="N14662" s="84"/>
    </row>
    <row r="14663" spans="1:14" s="2" customFormat="1">
      <c r="A14663" s="83"/>
      <c r="H14663" s="83"/>
      <c r="K14663" s="82"/>
      <c r="M14663" s="112"/>
      <c r="N14663" s="84"/>
    </row>
    <row r="14664" spans="1:14" s="2" customFormat="1">
      <c r="A14664" s="83"/>
      <c r="H14664" s="83"/>
      <c r="K14664" s="82"/>
      <c r="M14664" s="112"/>
      <c r="N14664" s="84"/>
    </row>
    <row r="14665" spans="1:14" s="2" customFormat="1">
      <c r="A14665" s="83"/>
      <c r="H14665" s="83"/>
      <c r="K14665" s="82"/>
      <c r="M14665" s="112"/>
      <c r="N14665" s="84"/>
    </row>
    <row r="14666" spans="1:14" s="2" customFormat="1">
      <c r="A14666" s="83"/>
      <c r="H14666" s="83"/>
      <c r="K14666" s="82"/>
      <c r="M14666" s="112"/>
      <c r="N14666" s="84"/>
    </row>
    <row r="14667" spans="1:14" s="2" customFormat="1">
      <c r="A14667" s="83"/>
      <c r="H14667" s="83"/>
      <c r="K14667" s="82"/>
      <c r="M14667" s="112"/>
      <c r="N14667" s="84"/>
    </row>
    <row r="14668" spans="1:14" s="2" customFormat="1">
      <c r="A14668" s="83"/>
      <c r="H14668" s="83"/>
      <c r="K14668" s="82"/>
      <c r="M14668" s="112"/>
      <c r="N14668" s="84"/>
    </row>
    <row r="14669" spans="1:14" s="2" customFormat="1">
      <c r="A14669" s="83"/>
      <c r="H14669" s="83"/>
      <c r="K14669" s="82"/>
      <c r="M14669" s="112"/>
      <c r="N14669" s="84"/>
    </row>
    <row r="14670" spans="1:14" s="2" customFormat="1">
      <c r="A14670" s="83"/>
      <c r="H14670" s="83"/>
      <c r="K14670" s="82"/>
      <c r="M14670" s="112"/>
      <c r="N14670" s="84"/>
    </row>
    <row r="14671" spans="1:14" s="2" customFormat="1">
      <c r="A14671" s="83"/>
      <c r="H14671" s="83"/>
      <c r="K14671" s="82"/>
      <c r="M14671" s="112"/>
      <c r="N14671" s="84"/>
    </row>
    <row r="14672" spans="1:14" s="2" customFormat="1">
      <c r="A14672" s="83"/>
      <c r="H14672" s="83"/>
      <c r="K14672" s="82"/>
      <c r="M14672" s="112"/>
      <c r="N14672" s="84"/>
    </row>
    <row r="14673" spans="1:14" s="2" customFormat="1">
      <c r="A14673" s="83"/>
      <c r="H14673" s="83"/>
      <c r="K14673" s="82"/>
      <c r="M14673" s="112"/>
      <c r="N14673" s="84"/>
    </row>
    <row r="14674" spans="1:14" s="2" customFormat="1">
      <c r="A14674" s="83"/>
      <c r="H14674" s="83"/>
      <c r="K14674" s="82"/>
      <c r="M14674" s="112"/>
      <c r="N14674" s="84"/>
    </row>
    <row r="14675" spans="1:14" s="2" customFormat="1">
      <c r="A14675" s="83"/>
      <c r="H14675" s="83"/>
      <c r="K14675" s="82"/>
      <c r="M14675" s="112"/>
      <c r="N14675" s="84"/>
    </row>
    <row r="14676" spans="1:14" s="2" customFormat="1">
      <c r="A14676" s="83"/>
      <c r="H14676" s="83"/>
      <c r="K14676" s="82"/>
      <c r="M14676" s="112"/>
      <c r="N14676" s="84"/>
    </row>
    <row r="14677" spans="1:14" s="2" customFormat="1">
      <c r="A14677" s="83"/>
      <c r="H14677" s="83"/>
      <c r="K14677" s="82"/>
      <c r="M14677" s="112"/>
      <c r="N14677" s="84"/>
    </row>
    <row r="14678" spans="1:14" s="2" customFormat="1">
      <c r="A14678" s="83"/>
      <c r="H14678" s="83"/>
      <c r="K14678" s="82"/>
      <c r="M14678" s="112"/>
      <c r="N14678" s="84"/>
    </row>
    <row r="14679" spans="1:14" s="2" customFormat="1">
      <c r="A14679" s="83"/>
      <c r="H14679" s="83"/>
      <c r="K14679" s="82"/>
      <c r="M14679" s="112"/>
      <c r="N14679" s="84"/>
    </row>
    <row r="14680" spans="1:14" s="2" customFormat="1">
      <c r="A14680" s="83"/>
      <c r="H14680" s="83"/>
      <c r="K14680" s="82"/>
      <c r="M14680" s="112"/>
      <c r="N14680" s="84"/>
    </row>
    <row r="14681" spans="1:14" s="2" customFormat="1">
      <c r="A14681" s="83"/>
      <c r="H14681" s="83"/>
      <c r="K14681" s="82"/>
      <c r="M14681" s="112"/>
      <c r="N14681" s="84"/>
    </row>
    <row r="14682" spans="1:14" s="2" customFormat="1">
      <c r="A14682" s="83"/>
      <c r="H14682" s="83"/>
      <c r="K14682" s="82"/>
      <c r="M14682" s="112"/>
      <c r="N14682" s="84"/>
    </row>
    <row r="14683" spans="1:14" s="2" customFormat="1">
      <c r="A14683" s="83"/>
      <c r="H14683" s="83"/>
      <c r="K14683" s="82"/>
      <c r="M14683" s="112"/>
      <c r="N14683" s="84"/>
    </row>
    <row r="14684" spans="1:14" s="2" customFormat="1">
      <c r="A14684" s="83"/>
      <c r="H14684" s="83"/>
      <c r="K14684" s="82"/>
      <c r="M14684" s="112"/>
      <c r="N14684" s="84"/>
    </row>
    <row r="14685" spans="1:14" s="2" customFormat="1">
      <c r="A14685" s="83"/>
      <c r="H14685" s="83"/>
      <c r="K14685" s="82"/>
      <c r="M14685" s="112"/>
      <c r="N14685" s="84"/>
    </row>
    <row r="14686" spans="1:14" s="2" customFormat="1">
      <c r="A14686" s="83"/>
      <c r="H14686" s="83"/>
      <c r="K14686" s="82"/>
      <c r="M14686" s="112"/>
      <c r="N14686" s="84"/>
    </row>
    <row r="14687" spans="1:14" s="2" customFormat="1">
      <c r="A14687" s="83"/>
      <c r="H14687" s="83"/>
      <c r="K14687" s="82"/>
      <c r="M14687" s="112"/>
      <c r="N14687" s="84"/>
    </row>
    <row r="14688" spans="1:14" s="2" customFormat="1">
      <c r="A14688" s="83"/>
      <c r="H14688" s="83"/>
      <c r="K14688" s="82"/>
      <c r="M14688" s="112"/>
      <c r="N14688" s="84"/>
    </row>
    <row r="14689" spans="1:14" s="2" customFormat="1">
      <c r="A14689" s="83"/>
      <c r="H14689" s="83"/>
      <c r="K14689" s="82"/>
      <c r="M14689" s="112"/>
      <c r="N14689" s="84"/>
    </row>
    <row r="14690" spans="1:14" s="2" customFormat="1">
      <c r="A14690" s="83"/>
      <c r="H14690" s="83"/>
      <c r="K14690" s="82"/>
      <c r="M14690" s="112"/>
      <c r="N14690" s="84"/>
    </row>
    <row r="14691" spans="1:14" s="2" customFormat="1">
      <c r="A14691" s="83"/>
      <c r="H14691" s="83"/>
      <c r="K14691" s="82"/>
      <c r="M14691" s="112"/>
      <c r="N14691" s="84"/>
    </row>
    <row r="14692" spans="1:14" s="2" customFormat="1">
      <c r="A14692" s="83"/>
      <c r="H14692" s="83"/>
      <c r="K14692" s="82"/>
      <c r="M14692" s="112"/>
      <c r="N14692" s="84"/>
    </row>
    <row r="14693" spans="1:14" s="2" customFormat="1">
      <c r="A14693" s="83"/>
      <c r="H14693" s="83"/>
      <c r="K14693" s="82"/>
      <c r="M14693" s="112"/>
      <c r="N14693" s="84"/>
    </row>
    <row r="14694" spans="1:14" s="2" customFormat="1">
      <c r="A14694" s="83"/>
      <c r="H14694" s="83"/>
      <c r="K14694" s="82"/>
      <c r="M14694" s="112"/>
      <c r="N14694" s="84"/>
    </row>
    <row r="14695" spans="1:14" s="2" customFormat="1">
      <c r="A14695" s="83"/>
      <c r="H14695" s="83"/>
      <c r="K14695" s="82"/>
      <c r="M14695" s="112"/>
      <c r="N14695" s="84"/>
    </row>
    <row r="14696" spans="1:14" s="2" customFormat="1">
      <c r="A14696" s="83"/>
      <c r="H14696" s="83"/>
      <c r="K14696" s="82"/>
      <c r="M14696" s="112"/>
      <c r="N14696" s="84"/>
    </row>
    <row r="14697" spans="1:14" s="2" customFormat="1">
      <c r="A14697" s="83"/>
      <c r="H14697" s="83"/>
      <c r="K14697" s="82"/>
      <c r="M14697" s="112"/>
      <c r="N14697" s="84"/>
    </row>
    <row r="14698" spans="1:14" s="2" customFormat="1">
      <c r="A14698" s="83"/>
      <c r="H14698" s="83"/>
      <c r="K14698" s="82"/>
      <c r="M14698" s="112"/>
      <c r="N14698" s="84"/>
    </row>
    <row r="14699" spans="1:14" s="2" customFormat="1">
      <c r="A14699" s="83"/>
      <c r="H14699" s="83"/>
      <c r="K14699" s="82"/>
      <c r="M14699" s="112"/>
      <c r="N14699" s="84"/>
    </row>
    <row r="14700" spans="1:14" s="2" customFormat="1">
      <c r="A14700" s="83"/>
      <c r="H14700" s="83"/>
      <c r="K14700" s="82"/>
      <c r="M14700" s="112"/>
      <c r="N14700" s="84"/>
    </row>
    <row r="14701" spans="1:14" s="2" customFormat="1">
      <c r="A14701" s="83"/>
      <c r="H14701" s="83"/>
      <c r="K14701" s="82"/>
      <c r="M14701" s="112"/>
      <c r="N14701" s="84"/>
    </row>
    <row r="14702" spans="1:14" s="2" customFormat="1">
      <c r="A14702" s="83"/>
      <c r="H14702" s="83"/>
      <c r="K14702" s="82"/>
      <c r="M14702" s="112"/>
      <c r="N14702" s="84"/>
    </row>
    <row r="14703" spans="1:14" s="2" customFormat="1">
      <c r="A14703" s="83"/>
      <c r="H14703" s="83"/>
      <c r="K14703" s="82"/>
      <c r="M14703" s="112"/>
      <c r="N14703" s="84"/>
    </row>
    <row r="14704" spans="1:14" s="2" customFormat="1">
      <c r="A14704" s="83"/>
      <c r="H14704" s="83"/>
      <c r="K14704" s="82"/>
      <c r="M14704" s="112"/>
      <c r="N14704" s="84"/>
    </row>
    <row r="14705" spans="1:14" s="2" customFormat="1">
      <c r="A14705" s="83"/>
      <c r="H14705" s="83"/>
      <c r="K14705" s="82"/>
      <c r="M14705" s="112"/>
      <c r="N14705" s="84"/>
    </row>
    <row r="14706" spans="1:14" s="2" customFormat="1">
      <c r="A14706" s="83"/>
      <c r="H14706" s="83"/>
      <c r="K14706" s="82"/>
      <c r="M14706" s="112"/>
      <c r="N14706" s="84"/>
    </row>
    <row r="14707" spans="1:14" s="2" customFormat="1">
      <c r="A14707" s="83"/>
      <c r="H14707" s="83"/>
      <c r="K14707" s="82"/>
      <c r="M14707" s="112"/>
      <c r="N14707" s="84"/>
    </row>
    <row r="14708" spans="1:14" s="2" customFormat="1">
      <c r="A14708" s="83"/>
      <c r="H14708" s="83"/>
      <c r="K14708" s="82"/>
      <c r="M14708" s="112"/>
      <c r="N14708" s="84"/>
    </row>
    <row r="14709" spans="1:14" s="2" customFormat="1">
      <c r="A14709" s="83"/>
      <c r="H14709" s="83"/>
      <c r="K14709" s="82"/>
      <c r="M14709" s="112"/>
      <c r="N14709" s="84"/>
    </row>
    <row r="14710" spans="1:14" s="2" customFormat="1">
      <c r="A14710" s="83"/>
      <c r="H14710" s="83"/>
      <c r="K14710" s="82"/>
      <c r="M14710" s="112"/>
      <c r="N14710" s="84"/>
    </row>
    <row r="14711" spans="1:14" s="2" customFormat="1">
      <c r="A14711" s="83"/>
      <c r="H14711" s="83"/>
      <c r="K14711" s="82"/>
      <c r="M14711" s="112"/>
      <c r="N14711" s="84"/>
    </row>
    <row r="14712" spans="1:14" s="2" customFormat="1">
      <c r="A14712" s="83"/>
      <c r="H14712" s="83"/>
      <c r="K14712" s="82"/>
      <c r="M14712" s="112"/>
      <c r="N14712" s="84"/>
    </row>
    <row r="14713" spans="1:14" s="2" customFormat="1">
      <c r="A14713" s="83"/>
      <c r="H14713" s="83"/>
      <c r="K14713" s="82"/>
      <c r="M14713" s="112"/>
      <c r="N14713" s="84"/>
    </row>
    <row r="14714" spans="1:14" s="2" customFormat="1">
      <c r="A14714" s="83"/>
      <c r="H14714" s="83"/>
      <c r="K14714" s="82"/>
      <c r="M14714" s="112"/>
      <c r="N14714" s="84"/>
    </row>
    <row r="14715" spans="1:14" s="2" customFormat="1">
      <c r="A14715" s="83"/>
      <c r="H14715" s="83"/>
      <c r="K14715" s="82"/>
      <c r="M14715" s="112"/>
      <c r="N14715" s="84"/>
    </row>
    <row r="14716" spans="1:14" s="2" customFormat="1">
      <c r="A14716" s="83"/>
      <c r="H14716" s="83"/>
      <c r="K14716" s="82"/>
      <c r="M14716" s="112"/>
      <c r="N14716" s="84"/>
    </row>
    <row r="14717" spans="1:14" s="2" customFormat="1">
      <c r="A14717" s="83"/>
      <c r="H14717" s="83"/>
      <c r="K14717" s="82"/>
      <c r="M14717" s="112"/>
      <c r="N14717" s="84"/>
    </row>
    <row r="14718" spans="1:14" s="2" customFormat="1">
      <c r="A14718" s="83"/>
      <c r="H14718" s="83"/>
      <c r="K14718" s="82"/>
      <c r="M14718" s="112"/>
      <c r="N14718" s="84"/>
    </row>
    <row r="14719" spans="1:14" s="2" customFormat="1">
      <c r="A14719" s="83"/>
      <c r="H14719" s="83"/>
      <c r="K14719" s="82"/>
      <c r="M14719" s="112"/>
      <c r="N14719" s="84"/>
    </row>
    <row r="14720" spans="1:14" s="2" customFormat="1">
      <c r="A14720" s="83"/>
      <c r="H14720" s="83"/>
      <c r="K14720" s="82"/>
      <c r="M14720" s="112"/>
      <c r="N14720" s="84"/>
    </row>
    <row r="14721" spans="1:14" s="2" customFormat="1">
      <c r="A14721" s="83"/>
      <c r="H14721" s="83"/>
      <c r="K14721" s="82"/>
      <c r="M14721" s="112"/>
      <c r="N14721" s="84"/>
    </row>
    <row r="14722" spans="1:14" s="2" customFormat="1">
      <c r="A14722" s="83"/>
      <c r="H14722" s="83"/>
      <c r="K14722" s="82"/>
      <c r="M14722" s="112"/>
      <c r="N14722" s="84"/>
    </row>
    <row r="14723" spans="1:14" s="2" customFormat="1">
      <c r="A14723" s="83"/>
      <c r="H14723" s="83"/>
      <c r="K14723" s="82"/>
      <c r="M14723" s="112"/>
      <c r="N14723" s="84"/>
    </row>
    <row r="14724" spans="1:14" s="2" customFormat="1">
      <c r="A14724" s="83"/>
      <c r="H14724" s="83"/>
      <c r="K14724" s="82"/>
      <c r="M14724" s="112"/>
      <c r="N14724" s="84"/>
    </row>
    <row r="14725" spans="1:14" s="2" customFormat="1">
      <c r="A14725" s="83"/>
      <c r="H14725" s="83"/>
      <c r="K14725" s="82"/>
      <c r="M14725" s="112"/>
      <c r="N14725" s="84"/>
    </row>
    <row r="14726" spans="1:14" s="2" customFormat="1">
      <c r="A14726" s="83"/>
      <c r="H14726" s="83"/>
      <c r="K14726" s="82"/>
      <c r="M14726" s="112"/>
      <c r="N14726" s="84"/>
    </row>
    <row r="14727" spans="1:14" s="2" customFormat="1">
      <c r="A14727" s="83"/>
      <c r="H14727" s="83"/>
      <c r="K14727" s="82"/>
      <c r="M14727" s="112"/>
      <c r="N14727" s="84"/>
    </row>
    <row r="14728" spans="1:14" s="2" customFormat="1">
      <c r="A14728" s="83"/>
      <c r="H14728" s="83"/>
      <c r="K14728" s="82"/>
      <c r="M14728" s="112"/>
      <c r="N14728" s="84"/>
    </row>
    <row r="14729" spans="1:14" s="2" customFormat="1">
      <c r="A14729" s="83"/>
      <c r="H14729" s="83"/>
      <c r="K14729" s="82"/>
      <c r="M14729" s="112"/>
      <c r="N14729" s="84"/>
    </row>
    <row r="14730" spans="1:14" s="2" customFormat="1">
      <c r="A14730" s="83"/>
      <c r="H14730" s="83"/>
      <c r="K14730" s="82"/>
      <c r="M14730" s="112"/>
      <c r="N14730" s="84"/>
    </row>
    <row r="14731" spans="1:14" s="2" customFormat="1">
      <c r="A14731" s="83"/>
      <c r="H14731" s="83"/>
      <c r="K14731" s="82"/>
      <c r="M14731" s="112"/>
      <c r="N14731" s="84"/>
    </row>
    <row r="14732" spans="1:14" s="2" customFormat="1">
      <c r="A14732" s="83"/>
      <c r="H14732" s="83"/>
      <c r="K14732" s="82"/>
      <c r="M14732" s="112"/>
      <c r="N14732" s="84"/>
    </row>
    <row r="14733" spans="1:14" s="2" customFormat="1">
      <c r="A14733" s="83"/>
      <c r="H14733" s="83"/>
      <c r="K14733" s="82"/>
      <c r="M14733" s="112"/>
      <c r="N14733" s="84"/>
    </row>
    <row r="14734" spans="1:14" s="2" customFormat="1">
      <c r="A14734" s="83"/>
      <c r="H14734" s="83"/>
      <c r="K14734" s="82"/>
      <c r="M14734" s="112"/>
      <c r="N14734" s="84"/>
    </row>
    <row r="14735" spans="1:14" s="2" customFormat="1">
      <c r="A14735" s="83"/>
      <c r="H14735" s="83"/>
      <c r="K14735" s="82"/>
      <c r="M14735" s="112"/>
      <c r="N14735" s="84"/>
    </row>
    <row r="14736" spans="1:14" s="2" customFormat="1">
      <c r="A14736" s="83"/>
      <c r="H14736" s="83"/>
      <c r="K14736" s="82"/>
      <c r="M14736" s="112"/>
      <c r="N14736" s="84"/>
    </row>
    <row r="14737" spans="1:14" s="2" customFormat="1">
      <c r="A14737" s="83"/>
      <c r="H14737" s="83"/>
      <c r="K14737" s="82"/>
      <c r="M14737" s="112"/>
      <c r="N14737" s="84"/>
    </row>
    <row r="14738" spans="1:14" s="2" customFormat="1">
      <c r="A14738" s="83"/>
      <c r="H14738" s="83"/>
      <c r="K14738" s="82"/>
      <c r="M14738" s="112"/>
      <c r="N14738" s="84"/>
    </row>
    <row r="14739" spans="1:14" s="2" customFormat="1">
      <c r="A14739" s="83"/>
      <c r="H14739" s="83"/>
      <c r="K14739" s="82"/>
      <c r="M14739" s="112"/>
      <c r="N14739" s="84"/>
    </row>
    <row r="14740" spans="1:14" s="2" customFormat="1">
      <c r="A14740" s="83"/>
      <c r="H14740" s="83"/>
      <c r="K14740" s="82"/>
      <c r="M14740" s="112"/>
      <c r="N14740" s="84"/>
    </row>
    <row r="14741" spans="1:14" s="2" customFormat="1">
      <c r="A14741" s="83"/>
      <c r="H14741" s="83"/>
      <c r="K14741" s="82"/>
      <c r="M14741" s="112"/>
      <c r="N14741" s="84"/>
    </row>
    <row r="14742" spans="1:14" s="2" customFormat="1">
      <c r="A14742" s="83"/>
      <c r="H14742" s="83"/>
      <c r="K14742" s="82"/>
      <c r="M14742" s="112"/>
      <c r="N14742" s="84"/>
    </row>
    <row r="14743" spans="1:14" s="2" customFormat="1">
      <c r="A14743" s="83"/>
      <c r="H14743" s="83"/>
      <c r="K14743" s="82"/>
      <c r="M14743" s="112"/>
      <c r="N14743" s="84"/>
    </row>
    <row r="14744" spans="1:14" s="2" customFormat="1">
      <c r="A14744" s="83"/>
      <c r="H14744" s="83"/>
      <c r="K14744" s="82"/>
      <c r="M14744" s="112"/>
      <c r="N14744" s="84"/>
    </row>
    <row r="14745" spans="1:14" s="2" customFormat="1">
      <c r="A14745" s="83"/>
      <c r="H14745" s="83"/>
      <c r="K14745" s="82"/>
      <c r="M14745" s="112"/>
      <c r="N14745" s="84"/>
    </row>
    <row r="14746" spans="1:14" s="2" customFormat="1">
      <c r="A14746" s="83"/>
      <c r="H14746" s="83"/>
      <c r="K14746" s="82"/>
      <c r="M14746" s="112"/>
      <c r="N14746" s="84"/>
    </row>
    <row r="14747" spans="1:14" s="2" customFormat="1">
      <c r="A14747" s="83"/>
      <c r="H14747" s="83"/>
      <c r="K14747" s="82"/>
      <c r="M14747" s="112"/>
      <c r="N14747" s="84"/>
    </row>
    <row r="14748" spans="1:14" s="2" customFormat="1">
      <c r="A14748" s="83"/>
      <c r="H14748" s="83"/>
      <c r="K14748" s="82"/>
      <c r="M14748" s="112"/>
      <c r="N14748" s="84"/>
    </row>
    <row r="14749" spans="1:14" s="2" customFormat="1">
      <c r="A14749" s="83"/>
      <c r="H14749" s="83"/>
      <c r="K14749" s="82"/>
      <c r="M14749" s="112"/>
      <c r="N14749" s="84"/>
    </row>
    <row r="14750" spans="1:14" s="2" customFormat="1">
      <c r="A14750" s="83"/>
      <c r="H14750" s="83"/>
      <c r="K14750" s="82"/>
      <c r="M14750" s="112"/>
      <c r="N14750" s="84"/>
    </row>
    <row r="14751" spans="1:14" s="2" customFormat="1">
      <c r="A14751" s="83"/>
      <c r="H14751" s="83"/>
      <c r="K14751" s="82"/>
      <c r="M14751" s="112"/>
      <c r="N14751" s="84"/>
    </row>
    <row r="14752" spans="1:14" s="2" customFormat="1">
      <c r="A14752" s="83"/>
      <c r="H14752" s="83"/>
      <c r="K14752" s="82"/>
      <c r="M14752" s="112"/>
      <c r="N14752" s="84"/>
    </row>
    <row r="14753" spans="1:14" s="2" customFormat="1">
      <c r="A14753" s="83"/>
      <c r="H14753" s="83"/>
      <c r="K14753" s="82"/>
      <c r="M14753" s="112"/>
      <c r="N14753" s="84"/>
    </row>
    <row r="14754" spans="1:14" s="2" customFormat="1">
      <c r="A14754" s="83"/>
      <c r="H14754" s="83"/>
      <c r="K14754" s="82"/>
      <c r="M14754" s="112"/>
      <c r="N14754" s="84"/>
    </row>
    <row r="14755" spans="1:14" s="2" customFormat="1">
      <c r="A14755" s="83"/>
      <c r="H14755" s="83"/>
      <c r="K14755" s="82"/>
      <c r="M14755" s="112"/>
      <c r="N14755" s="84"/>
    </row>
    <row r="14756" spans="1:14" s="2" customFormat="1">
      <c r="A14756" s="83"/>
      <c r="H14756" s="83"/>
      <c r="K14756" s="82"/>
      <c r="M14756" s="112"/>
      <c r="N14756" s="84"/>
    </row>
    <row r="14757" spans="1:14" s="2" customFormat="1">
      <c r="A14757" s="83"/>
      <c r="H14757" s="83"/>
      <c r="K14757" s="82"/>
      <c r="M14757" s="112"/>
      <c r="N14757" s="84"/>
    </row>
    <row r="14758" spans="1:14" s="2" customFormat="1">
      <c r="A14758" s="83"/>
      <c r="H14758" s="83"/>
      <c r="K14758" s="82"/>
      <c r="M14758" s="112"/>
      <c r="N14758" s="84"/>
    </row>
    <row r="14759" spans="1:14" s="2" customFormat="1">
      <c r="A14759" s="83"/>
      <c r="H14759" s="83"/>
      <c r="K14759" s="82"/>
      <c r="M14759" s="112"/>
      <c r="N14759" s="84"/>
    </row>
    <row r="14760" spans="1:14" s="2" customFormat="1">
      <c r="A14760" s="83"/>
      <c r="H14760" s="83"/>
      <c r="K14760" s="82"/>
      <c r="M14760" s="112"/>
      <c r="N14760" s="84"/>
    </row>
    <row r="14761" spans="1:14" s="2" customFormat="1">
      <c r="A14761" s="83"/>
      <c r="H14761" s="83"/>
      <c r="K14761" s="82"/>
      <c r="M14761" s="112"/>
      <c r="N14761" s="84"/>
    </row>
    <row r="14762" spans="1:14" s="2" customFormat="1">
      <c r="A14762" s="83"/>
      <c r="H14762" s="83"/>
      <c r="K14762" s="82"/>
      <c r="M14762" s="112"/>
      <c r="N14762" s="84"/>
    </row>
    <row r="14763" spans="1:14" s="2" customFormat="1">
      <c r="A14763" s="83"/>
      <c r="H14763" s="83"/>
      <c r="K14763" s="82"/>
      <c r="M14763" s="112"/>
      <c r="N14763" s="84"/>
    </row>
    <row r="14764" spans="1:14" s="2" customFormat="1">
      <c r="A14764" s="83"/>
      <c r="H14764" s="83"/>
      <c r="K14764" s="82"/>
      <c r="M14764" s="112"/>
      <c r="N14764" s="84"/>
    </row>
    <row r="14765" spans="1:14" s="2" customFormat="1">
      <c r="A14765" s="83"/>
      <c r="H14765" s="83"/>
      <c r="K14765" s="82"/>
      <c r="M14765" s="112"/>
      <c r="N14765" s="84"/>
    </row>
    <row r="14766" spans="1:14" s="2" customFormat="1">
      <c r="A14766" s="83"/>
      <c r="H14766" s="83"/>
      <c r="K14766" s="82"/>
      <c r="M14766" s="112"/>
      <c r="N14766" s="84"/>
    </row>
    <row r="14767" spans="1:14" s="2" customFormat="1">
      <c r="A14767" s="83"/>
      <c r="H14767" s="83"/>
      <c r="K14767" s="82"/>
      <c r="M14767" s="112"/>
      <c r="N14767" s="84"/>
    </row>
    <row r="14768" spans="1:14" s="2" customFormat="1">
      <c r="A14768" s="83"/>
      <c r="H14768" s="83"/>
      <c r="K14768" s="82"/>
      <c r="M14768" s="112"/>
      <c r="N14768" s="84"/>
    </row>
    <row r="14769" spans="1:14" s="2" customFormat="1">
      <c r="A14769" s="83"/>
      <c r="H14769" s="83"/>
      <c r="K14769" s="82"/>
      <c r="M14769" s="112"/>
      <c r="N14769" s="84"/>
    </row>
    <row r="14770" spans="1:14" s="2" customFormat="1">
      <c r="A14770" s="83"/>
      <c r="H14770" s="83"/>
      <c r="K14770" s="82"/>
      <c r="M14770" s="112"/>
      <c r="N14770" s="84"/>
    </row>
    <row r="14771" spans="1:14" s="2" customFormat="1">
      <c r="A14771" s="83"/>
      <c r="H14771" s="83"/>
      <c r="K14771" s="82"/>
      <c r="M14771" s="112"/>
      <c r="N14771" s="84"/>
    </row>
    <row r="14772" spans="1:14" s="2" customFormat="1">
      <c r="A14772" s="83"/>
      <c r="H14772" s="83"/>
      <c r="K14772" s="82"/>
      <c r="M14772" s="112"/>
      <c r="N14772" s="84"/>
    </row>
    <row r="14773" spans="1:14" s="2" customFormat="1">
      <c r="A14773" s="83"/>
      <c r="H14773" s="83"/>
      <c r="K14773" s="82"/>
      <c r="M14773" s="112"/>
      <c r="N14773" s="84"/>
    </row>
    <row r="14774" spans="1:14" s="2" customFormat="1">
      <c r="A14774" s="83"/>
      <c r="H14774" s="83"/>
      <c r="K14774" s="82"/>
      <c r="M14774" s="112"/>
      <c r="N14774" s="84"/>
    </row>
    <row r="14775" spans="1:14" s="2" customFormat="1">
      <c r="A14775" s="83"/>
      <c r="H14775" s="83"/>
      <c r="K14775" s="82"/>
      <c r="M14775" s="112"/>
      <c r="N14775" s="84"/>
    </row>
    <row r="14776" spans="1:14" s="2" customFormat="1">
      <c r="A14776" s="83"/>
      <c r="H14776" s="83"/>
      <c r="K14776" s="82"/>
      <c r="M14776" s="112"/>
      <c r="N14776" s="84"/>
    </row>
    <row r="14777" spans="1:14" s="2" customFormat="1">
      <c r="A14777" s="83"/>
      <c r="H14777" s="83"/>
      <c r="K14777" s="82"/>
      <c r="M14777" s="112"/>
      <c r="N14777" s="84"/>
    </row>
    <row r="14778" spans="1:14" s="2" customFormat="1">
      <c r="A14778" s="83"/>
      <c r="H14778" s="83"/>
      <c r="K14778" s="82"/>
      <c r="M14778" s="112"/>
      <c r="N14778" s="84"/>
    </row>
    <row r="14779" spans="1:14" s="2" customFormat="1">
      <c r="A14779" s="83"/>
      <c r="H14779" s="83"/>
      <c r="K14779" s="82"/>
      <c r="M14779" s="112"/>
      <c r="N14779" s="84"/>
    </row>
    <row r="14780" spans="1:14" s="2" customFormat="1">
      <c r="A14780" s="83"/>
      <c r="H14780" s="83"/>
      <c r="K14780" s="82"/>
      <c r="M14780" s="112"/>
      <c r="N14780" s="84"/>
    </row>
    <row r="14781" spans="1:14" s="2" customFormat="1">
      <c r="A14781" s="83"/>
      <c r="H14781" s="83"/>
      <c r="K14781" s="82"/>
      <c r="M14781" s="112"/>
      <c r="N14781" s="84"/>
    </row>
    <row r="14782" spans="1:14" s="2" customFormat="1">
      <c r="A14782" s="83"/>
      <c r="H14782" s="83"/>
      <c r="K14782" s="82"/>
      <c r="M14782" s="112"/>
      <c r="N14782" s="84"/>
    </row>
    <row r="14783" spans="1:14" s="2" customFormat="1">
      <c r="A14783" s="83"/>
      <c r="H14783" s="83"/>
      <c r="K14783" s="82"/>
      <c r="M14783" s="112"/>
      <c r="N14783" s="84"/>
    </row>
    <row r="14784" spans="1:14" s="2" customFormat="1">
      <c r="A14784" s="83"/>
      <c r="H14784" s="83"/>
      <c r="K14784" s="82"/>
      <c r="M14784" s="112"/>
      <c r="N14784" s="84"/>
    </row>
    <row r="14785" spans="1:14" s="2" customFormat="1">
      <c r="A14785" s="83"/>
      <c r="H14785" s="83"/>
      <c r="K14785" s="82"/>
      <c r="M14785" s="112"/>
      <c r="N14785" s="84"/>
    </row>
    <row r="14786" spans="1:14" s="2" customFormat="1">
      <c r="A14786" s="83"/>
      <c r="H14786" s="83"/>
      <c r="K14786" s="82"/>
      <c r="M14786" s="112"/>
      <c r="N14786" s="84"/>
    </row>
    <row r="14787" spans="1:14" s="2" customFormat="1">
      <c r="A14787" s="83"/>
      <c r="H14787" s="83"/>
      <c r="K14787" s="82"/>
      <c r="M14787" s="112"/>
      <c r="N14787" s="84"/>
    </row>
    <row r="14788" spans="1:14" s="2" customFormat="1">
      <c r="A14788" s="83"/>
      <c r="H14788" s="83"/>
      <c r="K14788" s="82"/>
      <c r="M14788" s="112"/>
      <c r="N14788" s="84"/>
    </row>
    <row r="14789" spans="1:14" s="2" customFormat="1">
      <c r="A14789" s="83"/>
      <c r="H14789" s="83"/>
      <c r="K14789" s="82"/>
      <c r="M14789" s="112"/>
      <c r="N14789" s="84"/>
    </row>
    <row r="14790" spans="1:14" s="2" customFormat="1">
      <c r="A14790" s="83"/>
      <c r="H14790" s="83"/>
      <c r="K14790" s="82"/>
      <c r="M14790" s="112"/>
      <c r="N14790" s="84"/>
    </row>
    <row r="14791" spans="1:14" s="2" customFormat="1">
      <c r="A14791" s="83"/>
      <c r="H14791" s="83"/>
      <c r="K14791" s="82"/>
      <c r="M14791" s="112"/>
      <c r="N14791" s="84"/>
    </row>
    <row r="14792" spans="1:14" s="2" customFormat="1">
      <c r="A14792" s="83"/>
      <c r="H14792" s="83"/>
      <c r="K14792" s="82"/>
      <c r="M14792" s="112"/>
      <c r="N14792" s="84"/>
    </row>
    <row r="14793" spans="1:14" s="2" customFormat="1">
      <c r="A14793" s="83"/>
      <c r="H14793" s="83"/>
      <c r="K14793" s="82"/>
      <c r="M14793" s="112"/>
      <c r="N14793" s="84"/>
    </row>
    <row r="14794" spans="1:14" s="2" customFormat="1">
      <c r="A14794" s="83"/>
      <c r="H14794" s="83"/>
      <c r="K14794" s="82"/>
      <c r="M14794" s="112"/>
      <c r="N14794" s="84"/>
    </row>
    <row r="14795" spans="1:14" s="2" customFormat="1">
      <c r="A14795" s="83"/>
      <c r="H14795" s="83"/>
      <c r="K14795" s="82"/>
      <c r="M14795" s="112"/>
      <c r="N14795" s="84"/>
    </row>
    <row r="14796" spans="1:14" s="2" customFormat="1">
      <c r="A14796" s="83"/>
      <c r="H14796" s="83"/>
      <c r="K14796" s="82"/>
      <c r="M14796" s="112"/>
      <c r="N14796" s="84"/>
    </row>
    <row r="14797" spans="1:14" s="2" customFormat="1">
      <c r="A14797" s="83"/>
      <c r="H14797" s="83"/>
      <c r="K14797" s="82"/>
      <c r="M14797" s="112"/>
      <c r="N14797" s="84"/>
    </row>
    <row r="14798" spans="1:14" s="2" customFormat="1">
      <c r="A14798" s="83"/>
      <c r="H14798" s="83"/>
      <c r="K14798" s="82"/>
      <c r="M14798" s="112"/>
      <c r="N14798" s="84"/>
    </row>
    <row r="14799" spans="1:14" s="2" customFormat="1">
      <c r="A14799" s="83"/>
      <c r="H14799" s="83"/>
      <c r="K14799" s="82"/>
      <c r="M14799" s="112"/>
      <c r="N14799" s="84"/>
    </row>
    <row r="14800" spans="1:14" s="2" customFormat="1">
      <c r="A14800" s="83"/>
      <c r="H14800" s="83"/>
      <c r="K14800" s="82"/>
      <c r="M14800" s="112"/>
      <c r="N14800" s="84"/>
    </row>
    <row r="14801" spans="1:14" s="2" customFormat="1">
      <c r="A14801" s="83"/>
      <c r="H14801" s="83"/>
      <c r="K14801" s="82"/>
      <c r="M14801" s="112"/>
      <c r="N14801" s="84"/>
    </row>
    <row r="14802" spans="1:14" s="2" customFormat="1">
      <c r="A14802" s="83"/>
      <c r="H14802" s="83"/>
      <c r="K14802" s="82"/>
      <c r="M14802" s="112"/>
      <c r="N14802" s="84"/>
    </row>
    <row r="14803" spans="1:14" s="2" customFormat="1">
      <c r="A14803" s="83"/>
      <c r="H14803" s="83"/>
      <c r="K14803" s="82"/>
      <c r="M14803" s="112"/>
      <c r="N14803" s="84"/>
    </row>
    <row r="14804" spans="1:14" s="2" customFormat="1">
      <c r="A14804" s="83"/>
      <c r="H14804" s="83"/>
      <c r="K14804" s="82"/>
      <c r="M14804" s="112"/>
      <c r="N14804" s="84"/>
    </row>
    <row r="14805" spans="1:14" s="2" customFormat="1">
      <c r="A14805" s="83"/>
      <c r="H14805" s="83"/>
      <c r="K14805" s="82"/>
      <c r="M14805" s="112"/>
      <c r="N14805" s="84"/>
    </row>
    <row r="14806" spans="1:14" s="2" customFormat="1">
      <c r="A14806" s="83"/>
      <c r="H14806" s="83"/>
      <c r="K14806" s="82"/>
      <c r="M14806" s="112"/>
      <c r="N14806" s="84"/>
    </row>
    <row r="14807" spans="1:14" s="2" customFormat="1">
      <c r="A14807" s="83"/>
      <c r="H14807" s="83"/>
      <c r="K14807" s="82"/>
      <c r="M14807" s="112"/>
      <c r="N14807" s="84"/>
    </row>
    <row r="14808" spans="1:14" s="2" customFormat="1">
      <c r="A14808" s="83"/>
      <c r="H14808" s="83"/>
      <c r="K14808" s="82"/>
      <c r="M14808" s="112"/>
      <c r="N14808" s="84"/>
    </row>
    <row r="14809" spans="1:14" s="2" customFormat="1">
      <c r="A14809" s="83"/>
      <c r="H14809" s="83"/>
      <c r="K14809" s="82"/>
      <c r="M14809" s="112"/>
      <c r="N14809" s="84"/>
    </row>
    <row r="14810" spans="1:14" s="2" customFormat="1">
      <c r="A14810" s="83"/>
      <c r="H14810" s="83"/>
      <c r="K14810" s="82"/>
      <c r="M14810" s="112"/>
      <c r="N14810" s="84"/>
    </row>
    <row r="14811" spans="1:14" s="2" customFormat="1">
      <c r="A14811" s="83"/>
      <c r="H14811" s="83"/>
      <c r="K14811" s="82"/>
      <c r="M14811" s="112"/>
      <c r="N14811" s="84"/>
    </row>
    <row r="14812" spans="1:14" s="2" customFormat="1">
      <c r="A14812" s="83"/>
      <c r="H14812" s="83"/>
      <c r="K14812" s="82"/>
      <c r="M14812" s="112"/>
      <c r="N14812" s="84"/>
    </row>
    <row r="14813" spans="1:14" s="2" customFormat="1">
      <c r="A14813" s="83"/>
      <c r="H14813" s="83"/>
      <c r="K14813" s="82"/>
      <c r="M14813" s="112"/>
      <c r="N14813" s="84"/>
    </row>
    <row r="14814" spans="1:14" s="2" customFormat="1">
      <c r="A14814" s="83"/>
      <c r="H14814" s="83"/>
      <c r="K14814" s="82"/>
      <c r="M14814" s="112"/>
      <c r="N14814" s="84"/>
    </row>
    <row r="14815" spans="1:14" s="2" customFormat="1">
      <c r="A14815" s="83"/>
      <c r="H14815" s="83"/>
      <c r="K14815" s="82"/>
      <c r="M14815" s="112"/>
      <c r="N14815" s="84"/>
    </row>
    <row r="14816" spans="1:14" s="2" customFormat="1">
      <c r="A14816" s="83"/>
      <c r="H14816" s="83"/>
      <c r="K14816" s="82"/>
      <c r="M14816" s="112"/>
      <c r="N14816" s="84"/>
    </row>
    <row r="14817" spans="1:14" s="2" customFormat="1">
      <c r="A14817" s="83"/>
      <c r="H14817" s="83"/>
      <c r="K14817" s="82"/>
      <c r="M14817" s="112"/>
      <c r="N14817" s="84"/>
    </row>
    <row r="14818" spans="1:14" s="2" customFormat="1">
      <c r="A14818" s="83"/>
      <c r="H14818" s="83"/>
      <c r="K14818" s="82"/>
      <c r="M14818" s="112"/>
      <c r="N14818" s="84"/>
    </row>
    <row r="14819" spans="1:14" s="2" customFormat="1">
      <c r="A14819" s="83"/>
      <c r="H14819" s="83"/>
      <c r="K14819" s="82"/>
      <c r="M14819" s="112"/>
      <c r="N14819" s="84"/>
    </row>
    <row r="14820" spans="1:14" s="2" customFormat="1">
      <c r="A14820" s="83"/>
      <c r="H14820" s="83"/>
      <c r="K14820" s="82"/>
      <c r="M14820" s="112"/>
      <c r="N14820" s="84"/>
    </row>
    <row r="14821" spans="1:14" s="2" customFormat="1">
      <c r="A14821" s="83"/>
      <c r="H14821" s="83"/>
      <c r="K14821" s="82"/>
      <c r="M14821" s="112"/>
      <c r="N14821" s="84"/>
    </row>
    <row r="14822" spans="1:14" s="2" customFormat="1">
      <c r="A14822" s="83"/>
      <c r="H14822" s="83"/>
      <c r="K14822" s="82"/>
      <c r="M14822" s="112"/>
      <c r="N14822" s="84"/>
    </row>
    <row r="14823" spans="1:14" s="2" customFormat="1">
      <c r="A14823" s="83"/>
      <c r="H14823" s="83"/>
      <c r="K14823" s="82"/>
      <c r="M14823" s="112"/>
      <c r="N14823" s="84"/>
    </row>
    <row r="14824" spans="1:14" s="2" customFormat="1">
      <c r="A14824" s="83"/>
      <c r="H14824" s="83"/>
      <c r="K14824" s="82"/>
      <c r="M14824" s="112"/>
      <c r="N14824" s="84"/>
    </row>
    <row r="14825" spans="1:14" s="2" customFormat="1">
      <c r="A14825" s="83"/>
      <c r="H14825" s="83"/>
      <c r="K14825" s="82"/>
      <c r="M14825" s="112"/>
      <c r="N14825" s="84"/>
    </row>
    <row r="14826" spans="1:14" s="2" customFormat="1">
      <c r="A14826" s="83"/>
      <c r="H14826" s="83"/>
      <c r="K14826" s="82"/>
      <c r="M14826" s="112"/>
      <c r="N14826" s="84"/>
    </row>
    <row r="14827" spans="1:14" s="2" customFormat="1">
      <c r="A14827" s="83"/>
      <c r="H14827" s="83"/>
      <c r="K14827" s="82"/>
      <c r="M14827" s="112"/>
      <c r="N14827" s="84"/>
    </row>
    <row r="14828" spans="1:14" s="2" customFormat="1">
      <c r="A14828" s="83"/>
      <c r="H14828" s="83"/>
      <c r="K14828" s="82"/>
      <c r="M14828" s="112"/>
      <c r="N14828" s="84"/>
    </row>
    <row r="14829" spans="1:14" s="2" customFormat="1">
      <c r="A14829" s="83"/>
      <c r="H14829" s="83"/>
      <c r="K14829" s="82"/>
      <c r="M14829" s="112"/>
      <c r="N14829" s="84"/>
    </row>
    <row r="14830" spans="1:14" s="2" customFormat="1">
      <c r="A14830" s="83"/>
      <c r="H14830" s="83"/>
      <c r="K14830" s="82"/>
      <c r="M14830" s="112"/>
      <c r="N14830" s="84"/>
    </row>
    <row r="14831" spans="1:14" s="2" customFormat="1">
      <c r="A14831" s="83"/>
      <c r="H14831" s="83"/>
      <c r="K14831" s="82"/>
      <c r="M14831" s="112"/>
      <c r="N14831" s="84"/>
    </row>
    <row r="14832" spans="1:14" s="2" customFormat="1">
      <c r="A14832" s="83"/>
      <c r="H14832" s="83"/>
      <c r="K14832" s="82"/>
      <c r="M14832" s="112"/>
      <c r="N14832" s="84"/>
    </row>
    <row r="14833" spans="1:14" s="2" customFormat="1">
      <c r="A14833" s="83"/>
      <c r="H14833" s="83"/>
      <c r="K14833" s="82"/>
      <c r="M14833" s="112"/>
      <c r="N14833" s="84"/>
    </row>
    <row r="14834" spans="1:14" s="2" customFormat="1">
      <c r="A14834" s="83"/>
      <c r="H14834" s="83"/>
      <c r="K14834" s="82"/>
      <c r="M14834" s="112"/>
      <c r="N14834" s="84"/>
    </row>
    <row r="14835" spans="1:14" s="2" customFormat="1">
      <c r="A14835" s="83"/>
      <c r="H14835" s="83"/>
      <c r="K14835" s="82"/>
      <c r="M14835" s="112"/>
      <c r="N14835" s="84"/>
    </row>
    <row r="14836" spans="1:14" s="2" customFormat="1">
      <c r="A14836" s="83"/>
      <c r="H14836" s="83"/>
      <c r="K14836" s="82"/>
      <c r="M14836" s="112"/>
      <c r="N14836" s="84"/>
    </row>
    <row r="14837" spans="1:14" s="2" customFormat="1">
      <c r="A14837" s="83"/>
      <c r="H14837" s="83"/>
      <c r="K14837" s="82"/>
      <c r="M14837" s="112"/>
      <c r="N14837" s="84"/>
    </row>
    <row r="14838" spans="1:14" s="2" customFormat="1">
      <c r="A14838" s="83"/>
      <c r="H14838" s="83"/>
      <c r="K14838" s="82"/>
      <c r="M14838" s="112"/>
      <c r="N14838" s="84"/>
    </row>
    <row r="14839" spans="1:14" s="2" customFormat="1">
      <c r="A14839" s="83"/>
      <c r="H14839" s="83"/>
      <c r="K14839" s="82"/>
      <c r="M14839" s="112"/>
      <c r="N14839" s="84"/>
    </row>
    <row r="14840" spans="1:14" s="2" customFormat="1">
      <c r="A14840" s="83"/>
      <c r="H14840" s="83"/>
      <c r="K14840" s="82"/>
      <c r="M14840" s="112"/>
      <c r="N14840" s="84"/>
    </row>
    <row r="14841" spans="1:14" s="2" customFormat="1">
      <c r="A14841" s="83"/>
      <c r="H14841" s="83"/>
      <c r="K14841" s="82"/>
      <c r="M14841" s="112"/>
      <c r="N14841" s="84"/>
    </row>
    <row r="14842" spans="1:14" s="2" customFormat="1">
      <c r="A14842" s="83"/>
      <c r="H14842" s="83"/>
      <c r="K14842" s="82"/>
      <c r="M14842" s="112"/>
      <c r="N14842" s="84"/>
    </row>
    <row r="14843" spans="1:14" s="2" customFormat="1">
      <c r="A14843" s="83"/>
      <c r="H14843" s="83"/>
      <c r="K14843" s="82"/>
      <c r="M14843" s="112"/>
      <c r="N14843" s="84"/>
    </row>
    <row r="14844" spans="1:14" s="2" customFormat="1">
      <c r="A14844" s="83"/>
      <c r="H14844" s="83"/>
      <c r="K14844" s="82"/>
      <c r="M14844" s="112"/>
      <c r="N14844" s="84"/>
    </row>
    <row r="14845" spans="1:14" s="2" customFormat="1">
      <c r="A14845" s="83"/>
      <c r="H14845" s="83"/>
      <c r="K14845" s="82"/>
      <c r="M14845" s="112"/>
      <c r="N14845" s="84"/>
    </row>
    <row r="14846" spans="1:14" s="2" customFormat="1">
      <c r="A14846" s="83"/>
      <c r="H14846" s="83"/>
      <c r="K14846" s="82"/>
      <c r="M14846" s="112"/>
      <c r="N14846" s="84"/>
    </row>
    <row r="14847" spans="1:14" s="2" customFormat="1">
      <c r="A14847" s="83"/>
      <c r="H14847" s="83"/>
      <c r="K14847" s="82"/>
      <c r="M14847" s="112"/>
      <c r="N14847" s="84"/>
    </row>
    <row r="14848" spans="1:14" s="2" customFormat="1">
      <c r="A14848" s="83"/>
      <c r="H14848" s="83"/>
      <c r="K14848" s="82"/>
      <c r="M14848" s="112"/>
      <c r="N14848" s="84"/>
    </row>
    <row r="14849" spans="1:14" s="2" customFormat="1">
      <c r="A14849" s="83"/>
      <c r="H14849" s="83"/>
      <c r="K14849" s="82"/>
      <c r="M14849" s="112"/>
      <c r="N14849" s="84"/>
    </row>
    <row r="14850" spans="1:14" s="2" customFormat="1">
      <c r="A14850" s="83"/>
      <c r="H14850" s="83"/>
      <c r="K14850" s="82"/>
      <c r="M14850" s="112"/>
      <c r="N14850" s="84"/>
    </row>
    <row r="14851" spans="1:14" s="2" customFormat="1">
      <c r="A14851" s="83"/>
      <c r="H14851" s="83"/>
      <c r="K14851" s="82"/>
      <c r="M14851" s="112"/>
      <c r="N14851" s="84"/>
    </row>
    <row r="14852" spans="1:14" s="2" customFormat="1">
      <c r="A14852" s="83"/>
      <c r="H14852" s="83"/>
      <c r="K14852" s="82"/>
      <c r="M14852" s="112"/>
      <c r="N14852" s="84"/>
    </row>
    <row r="14853" spans="1:14" s="2" customFormat="1">
      <c r="A14853" s="83"/>
      <c r="H14853" s="83"/>
      <c r="K14853" s="82"/>
      <c r="M14853" s="112"/>
      <c r="N14853" s="84"/>
    </row>
    <row r="14854" spans="1:14" s="2" customFormat="1">
      <c r="A14854" s="83"/>
      <c r="H14854" s="83"/>
      <c r="K14854" s="82"/>
      <c r="M14854" s="112"/>
      <c r="N14854" s="84"/>
    </row>
    <row r="14855" spans="1:14" s="2" customFormat="1">
      <c r="A14855" s="83"/>
      <c r="H14855" s="83"/>
      <c r="K14855" s="82"/>
      <c r="M14855" s="112"/>
      <c r="N14855" s="84"/>
    </row>
    <row r="14856" spans="1:14" s="2" customFormat="1">
      <c r="A14856" s="83"/>
      <c r="H14856" s="83"/>
      <c r="K14856" s="82"/>
      <c r="M14856" s="112"/>
      <c r="N14856" s="84"/>
    </row>
    <row r="14857" spans="1:14" s="2" customFormat="1">
      <c r="A14857" s="83"/>
      <c r="H14857" s="83"/>
      <c r="K14857" s="82"/>
      <c r="M14857" s="112"/>
      <c r="N14857" s="84"/>
    </row>
    <row r="14858" spans="1:14" s="2" customFormat="1">
      <c r="A14858" s="83"/>
      <c r="H14858" s="83"/>
      <c r="K14858" s="82"/>
      <c r="M14858" s="112"/>
      <c r="N14858" s="84"/>
    </row>
    <row r="14859" spans="1:14" s="2" customFormat="1">
      <c r="A14859" s="83"/>
      <c r="H14859" s="83"/>
      <c r="K14859" s="82"/>
      <c r="M14859" s="112"/>
      <c r="N14859" s="84"/>
    </row>
    <row r="14860" spans="1:14" s="2" customFormat="1">
      <c r="A14860" s="83"/>
      <c r="H14860" s="83"/>
      <c r="K14860" s="82"/>
      <c r="M14860" s="112"/>
      <c r="N14860" s="84"/>
    </row>
    <row r="14861" spans="1:14" s="2" customFormat="1">
      <c r="A14861" s="83"/>
      <c r="H14861" s="83"/>
      <c r="K14861" s="82"/>
      <c r="M14861" s="112"/>
      <c r="N14861" s="84"/>
    </row>
    <row r="14862" spans="1:14" s="2" customFormat="1">
      <c r="A14862" s="83"/>
      <c r="H14862" s="83"/>
      <c r="K14862" s="82"/>
      <c r="M14862" s="112"/>
      <c r="N14862" s="84"/>
    </row>
    <row r="14863" spans="1:14" s="2" customFormat="1">
      <c r="A14863" s="83"/>
      <c r="H14863" s="83"/>
      <c r="K14863" s="82"/>
      <c r="M14863" s="112"/>
      <c r="N14863" s="84"/>
    </row>
    <row r="14864" spans="1:14" s="2" customFormat="1">
      <c r="A14864" s="83"/>
      <c r="H14864" s="83"/>
      <c r="K14864" s="82"/>
      <c r="M14864" s="112"/>
      <c r="N14864" s="84"/>
    </row>
    <row r="14865" spans="1:14" s="2" customFormat="1">
      <c r="A14865" s="83"/>
      <c r="H14865" s="83"/>
      <c r="K14865" s="82"/>
      <c r="M14865" s="112"/>
      <c r="N14865" s="84"/>
    </row>
    <row r="14866" spans="1:14" s="2" customFormat="1">
      <c r="A14866" s="83"/>
      <c r="H14866" s="83"/>
      <c r="K14866" s="82"/>
      <c r="M14866" s="112"/>
      <c r="N14866" s="84"/>
    </row>
    <row r="14867" spans="1:14" s="2" customFormat="1">
      <c r="A14867" s="83"/>
      <c r="H14867" s="83"/>
      <c r="K14867" s="82"/>
      <c r="M14867" s="112"/>
      <c r="N14867" s="84"/>
    </row>
    <row r="14868" spans="1:14" s="2" customFormat="1">
      <c r="A14868" s="83"/>
      <c r="H14868" s="83"/>
      <c r="K14868" s="82"/>
      <c r="M14868" s="112"/>
      <c r="N14868" s="84"/>
    </row>
    <row r="14869" spans="1:14" s="2" customFormat="1">
      <c r="A14869" s="83"/>
      <c r="H14869" s="83"/>
      <c r="K14869" s="82"/>
      <c r="M14869" s="112"/>
      <c r="N14869" s="84"/>
    </row>
    <row r="14870" spans="1:14" s="2" customFormat="1">
      <c r="A14870" s="83"/>
      <c r="H14870" s="83"/>
      <c r="K14870" s="82"/>
      <c r="M14870" s="112"/>
      <c r="N14870" s="84"/>
    </row>
    <row r="14871" spans="1:14" s="2" customFormat="1">
      <c r="A14871" s="83"/>
      <c r="H14871" s="83"/>
      <c r="K14871" s="82"/>
      <c r="M14871" s="112"/>
      <c r="N14871" s="84"/>
    </row>
    <row r="14872" spans="1:14" s="2" customFormat="1">
      <c r="A14872" s="83"/>
      <c r="H14872" s="83"/>
      <c r="K14872" s="82"/>
      <c r="M14872" s="112"/>
      <c r="N14872" s="84"/>
    </row>
    <row r="14873" spans="1:14" s="2" customFormat="1">
      <c r="A14873" s="83"/>
      <c r="H14873" s="83"/>
      <c r="K14873" s="82"/>
      <c r="M14873" s="112"/>
      <c r="N14873" s="84"/>
    </row>
    <row r="14874" spans="1:14" s="2" customFormat="1">
      <c r="A14874" s="83"/>
      <c r="H14874" s="83"/>
      <c r="K14874" s="82"/>
      <c r="M14874" s="112"/>
      <c r="N14874" s="84"/>
    </row>
    <row r="14875" spans="1:14" s="2" customFormat="1">
      <c r="A14875" s="83"/>
      <c r="H14875" s="83"/>
      <c r="K14875" s="82"/>
      <c r="M14875" s="112"/>
      <c r="N14875" s="84"/>
    </row>
    <row r="14876" spans="1:14" s="2" customFormat="1">
      <c r="A14876" s="83"/>
      <c r="H14876" s="83"/>
      <c r="K14876" s="82"/>
      <c r="M14876" s="112"/>
      <c r="N14876" s="84"/>
    </row>
    <row r="14877" spans="1:14" s="2" customFormat="1">
      <c r="A14877" s="83"/>
      <c r="H14877" s="83"/>
      <c r="K14877" s="82"/>
      <c r="M14877" s="112"/>
      <c r="N14877" s="84"/>
    </row>
    <row r="14878" spans="1:14" s="2" customFormat="1">
      <c r="A14878" s="83"/>
      <c r="H14878" s="83"/>
      <c r="K14878" s="82"/>
      <c r="M14878" s="112"/>
      <c r="N14878" s="84"/>
    </row>
    <row r="14879" spans="1:14" s="2" customFormat="1">
      <c r="A14879" s="83"/>
      <c r="H14879" s="83"/>
      <c r="K14879" s="82"/>
      <c r="M14879" s="112"/>
      <c r="N14879" s="84"/>
    </row>
    <row r="14880" spans="1:14" s="2" customFormat="1">
      <c r="A14880" s="83"/>
      <c r="H14880" s="83"/>
      <c r="K14880" s="82"/>
      <c r="M14880" s="112"/>
      <c r="N14880" s="84"/>
    </row>
    <row r="14881" spans="1:14" s="2" customFormat="1">
      <c r="A14881" s="83"/>
      <c r="H14881" s="83"/>
      <c r="K14881" s="82"/>
      <c r="M14881" s="112"/>
      <c r="N14881" s="84"/>
    </row>
    <row r="14882" spans="1:14" s="2" customFormat="1">
      <c r="A14882" s="83"/>
      <c r="H14882" s="83"/>
      <c r="K14882" s="82"/>
      <c r="M14882" s="112"/>
      <c r="N14882" s="84"/>
    </row>
    <row r="14883" spans="1:14" s="2" customFormat="1">
      <c r="A14883" s="83"/>
      <c r="H14883" s="83"/>
      <c r="K14883" s="82"/>
      <c r="M14883" s="112"/>
      <c r="N14883" s="84"/>
    </row>
    <row r="14884" spans="1:14" s="2" customFormat="1">
      <c r="A14884" s="83"/>
      <c r="H14884" s="83"/>
      <c r="K14884" s="82"/>
      <c r="M14884" s="112"/>
      <c r="N14884" s="84"/>
    </row>
    <row r="14885" spans="1:14" s="2" customFormat="1">
      <c r="A14885" s="83"/>
      <c r="H14885" s="83"/>
      <c r="K14885" s="82"/>
      <c r="M14885" s="112"/>
      <c r="N14885" s="84"/>
    </row>
    <row r="14886" spans="1:14" s="2" customFormat="1">
      <c r="A14886" s="83"/>
      <c r="H14886" s="83"/>
      <c r="K14886" s="82"/>
      <c r="M14886" s="112"/>
      <c r="N14886" s="84"/>
    </row>
    <row r="14887" spans="1:14" s="2" customFormat="1">
      <c r="A14887" s="83"/>
      <c r="H14887" s="83"/>
      <c r="K14887" s="82"/>
      <c r="M14887" s="112"/>
      <c r="N14887" s="84"/>
    </row>
    <row r="14888" spans="1:14" s="2" customFormat="1">
      <c r="A14888" s="83"/>
      <c r="H14888" s="83"/>
      <c r="K14888" s="82"/>
      <c r="M14888" s="112"/>
      <c r="N14888" s="84"/>
    </row>
    <row r="14889" spans="1:14" s="2" customFormat="1">
      <c r="A14889" s="83"/>
      <c r="H14889" s="83"/>
      <c r="K14889" s="82"/>
      <c r="M14889" s="112"/>
      <c r="N14889" s="84"/>
    </row>
    <row r="14890" spans="1:14" s="2" customFormat="1">
      <c r="A14890" s="83"/>
      <c r="H14890" s="83"/>
      <c r="K14890" s="82"/>
      <c r="M14890" s="112"/>
      <c r="N14890" s="84"/>
    </row>
    <row r="14891" spans="1:14" s="2" customFormat="1">
      <c r="A14891" s="83"/>
      <c r="H14891" s="83"/>
      <c r="K14891" s="82"/>
      <c r="M14891" s="112"/>
      <c r="N14891" s="84"/>
    </row>
    <row r="14892" spans="1:14" s="2" customFormat="1">
      <c r="A14892" s="83"/>
      <c r="H14892" s="83"/>
      <c r="K14892" s="82"/>
      <c r="M14892" s="112"/>
      <c r="N14892" s="84"/>
    </row>
    <row r="14893" spans="1:14" s="2" customFormat="1">
      <c r="A14893" s="83"/>
      <c r="H14893" s="83"/>
      <c r="K14893" s="82"/>
      <c r="M14893" s="112"/>
      <c r="N14893" s="84"/>
    </row>
    <row r="14894" spans="1:14" s="2" customFormat="1">
      <c r="A14894" s="83"/>
      <c r="H14894" s="83"/>
      <c r="K14894" s="82"/>
      <c r="M14894" s="112"/>
      <c r="N14894" s="84"/>
    </row>
    <row r="14895" spans="1:14" s="2" customFormat="1">
      <c r="A14895" s="83"/>
      <c r="H14895" s="83"/>
      <c r="K14895" s="82"/>
      <c r="M14895" s="112"/>
      <c r="N14895" s="84"/>
    </row>
    <row r="14896" spans="1:14" s="2" customFormat="1">
      <c r="A14896" s="83"/>
      <c r="H14896" s="83"/>
      <c r="K14896" s="82"/>
      <c r="M14896" s="112"/>
      <c r="N14896" s="84"/>
    </row>
    <row r="14897" spans="1:14" s="2" customFormat="1">
      <c r="A14897" s="83"/>
      <c r="H14897" s="83"/>
      <c r="K14897" s="82"/>
      <c r="M14897" s="112"/>
      <c r="N14897" s="84"/>
    </row>
    <row r="14898" spans="1:14" s="2" customFormat="1">
      <c r="A14898" s="83"/>
      <c r="H14898" s="83"/>
      <c r="K14898" s="82"/>
      <c r="M14898" s="112"/>
      <c r="N14898" s="84"/>
    </row>
    <row r="14899" spans="1:14" s="2" customFormat="1">
      <c r="A14899" s="83"/>
      <c r="H14899" s="83"/>
      <c r="K14899" s="82"/>
      <c r="M14899" s="112"/>
      <c r="N14899" s="84"/>
    </row>
    <row r="14900" spans="1:14" s="2" customFormat="1">
      <c r="A14900" s="83"/>
      <c r="H14900" s="83"/>
      <c r="K14900" s="82"/>
      <c r="M14900" s="112"/>
      <c r="N14900" s="84"/>
    </row>
    <row r="14901" spans="1:14" s="2" customFormat="1">
      <c r="A14901" s="83"/>
      <c r="H14901" s="83"/>
      <c r="K14901" s="82"/>
      <c r="M14901" s="112"/>
      <c r="N14901" s="84"/>
    </row>
    <row r="14902" spans="1:14" s="2" customFormat="1">
      <c r="A14902" s="83"/>
      <c r="H14902" s="83"/>
      <c r="K14902" s="82"/>
      <c r="M14902" s="112"/>
      <c r="N14902" s="84"/>
    </row>
    <row r="14903" spans="1:14" s="2" customFormat="1">
      <c r="A14903" s="83"/>
      <c r="H14903" s="83"/>
      <c r="K14903" s="82"/>
      <c r="M14903" s="112"/>
      <c r="N14903" s="84"/>
    </row>
    <row r="14904" spans="1:14" s="2" customFormat="1">
      <c r="A14904" s="83"/>
      <c r="H14904" s="83"/>
      <c r="K14904" s="82"/>
      <c r="M14904" s="112"/>
      <c r="N14904" s="84"/>
    </row>
    <row r="14905" spans="1:14" s="2" customFormat="1">
      <c r="A14905" s="83"/>
      <c r="H14905" s="83"/>
      <c r="K14905" s="82"/>
      <c r="M14905" s="112"/>
      <c r="N14905" s="84"/>
    </row>
    <row r="14906" spans="1:14" s="2" customFormat="1">
      <c r="A14906" s="83"/>
      <c r="H14906" s="83"/>
      <c r="K14906" s="82"/>
      <c r="M14906" s="112"/>
      <c r="N14906" s="84"/>
    </row>
    <row r="14907" spans="1:14" s="2" customFormat="1">
      <c r="A14907" s="83"/>
      <c r="H14907" s="83"/>
      <c r="K14907" s="82"/>
      <c r="M14907" s="112"/>
      <c r="N14907" s="84"/>
    </row>
    <row r="14908" spans="1:14" s="2" customFormat="1">
      <c r="A14908" s="83"/>
      <c r="H14908" s="83"/>
      <c r="K14908" s="82"/>
      <c r="M14908" s="112"/>
      <c r="N14908" s="84"/>
    </row>
    <row r="14909" spans="1:14" s="2" customFormat="1">
      <c r="A14909" s="83"/>
      <c r="H14909" s="83"/>
      <c r="K14909" s="82"/>
      <c r="M14909" s="112"/>
      <c r="N14909" s="84"/>
    </row>
    <row r="14910" spans="1:14" s="2" customFormat="1">
      <c r="A14910" s="83"/>
      <c r="H14910" s="83"/>
      <c r="K14910" s="82"/>
      <c r="M14910" s="112"/>
      <c r="N14910" s="84"/>
    </row>
    <row r="14911" spans="1:14" s="2" customFormat="1">
      <c r="A14911" s="83"/>
      <c r="H14911" s="83"/>
      <c r="K14911" s="82"/>
      <c r="M14911" s="112"/>
      <c r="N14911" s="84"/>
    </row>
    <row r="14912" spans="1:14" s="2" customFormat="1">
      <c r="A14912" s="83"/>
      <c r="H14912" s="83"/>
      <c r="K14912" s="82"/>
      <c r="M14912" s="112"/>
      <c r="N14912" s="84"/>
    </row>
    <row r="14913" spans="1:14" s="2" customFormat="1">
      <c r="A14913" s="83"/>
      <c r="H14913" s="83"/>
      <c r="K14913" s="82"/>
      <c r="M14913" s="112"/>
      <c r="N14913" s="84"/>
    </row>
    <row r="14914" spans="1:14" s="2" customFormat="1">
      <c r="A14914" s="83"/>
      <c r="H14914" s="83"/>
      <c r="K14914" s="82"/>
      <c r="M14914" s="112"/>
      <c r="N14914" s="84"/>
    </row>
    <row r="14915" spans="1:14" s="2" customFormat="1">
      <c r="A14915" s="83"/>
      <c r="H14915" s="83"/>
      <c r="K14915" s="82"/>
      <c r="M14915" s="112"/>
      <c r="N14915" s="84"/>
    </row>
    <row r="14916" spans="1:14" s="2" customFormat="1">
      <c r="A14916" s="83"/>
      <c r="H14916" s="83"/>
      <c r="K14916" s="82"/>
      <c r="M14916" s="112"/>
      <c r="N14916" s="84"/>
    </row>
    <row r="14917" spans="1:14" s="2" customFormat="1">
      <c r="A14917" s="83"/>
      <c r="H14917" s="83"/>
      <c r="K14917" s="82"/>
      <c r="M14917" s="112"/>
      <c r="N14917" s="84"/>
    </row>
    <row r="14918" spans="1:14" s="2" customFormat="1">
      <c r="A14918" s="83"/>
      <c r="H14918" s="83"/>
      <c r="K14918" s="82"/>
      <c r="M14918" s="112"/>
      <c r="N14918" s="84"/>
    </row>
    <row r="14919" spans="1:14" s="2" customFormat="1">
      <c r="A14919" s="83"/>
      <c r="H14919" s="83"/>
      <c r="K14919" s="82"/>
      <c r="M14919" s="112"/>
      <c r="N14919" s="84"/>
    </row>
    <row r="14920" spans="1:14" s="2" customFormat="1">
      <c r="A14920" s="83"/>
      <c r="H14920" s="83"/>
      <c r="K14920" s="82"/>
      <c r="M14920" s="112"/>
      <c r="N14920" s="84"/>
    </row>
    <row r="14921" spans="1:14" s="2" customFormat="1">
      <c r="A14921" s="83"/>
      <c r="H14921" s="83"/>
      <c r="K14921" s="82"/>
      <c r="M14921" s="112"/>
      <c r="N14921" s="84"/>
    </row>
    <row r="14922" spans="1:14" s="2" customFormat="1">
      <c r="A14922" s="83"/>
      <c r="H14922" s="83"/>
      <c r="K14922" s="82"/>
      <c r="M14922" s="112"/>
      <c r="N14922" s="84"/>
    </row>
    <row r="14923" spans="1:14" s="2" customFormat="1">
      <c r="A14923" s="83"/>
      <c r="H14923" s="83"/>
      <c r="K14923" s="82"/>
      <c r="M14923" s="112"/>
      <c r="N14923" s="84"/>
    </row>
    <row r="14924" spans="1:14" s="2" customFormat="1">
      <c r="A14924" s="83"/>
      <c r="H14924" s="83"/>
      <c r="K14924" s="82"/>
      <c r="M14924" s="112"/>
      <c r="N14924" s="84"/>
    </row>
    <row r="14925" spans="1:14" s="2" customFormat="1">
      <c r="A14925" s="83"/>
      <c r="H14925" s="83"/>
      <c r="K14925" s="82"/>
      <c r="M14925" s="112"/>
      <c r="N14925" s="84"/>
    </row>
    <row r="14926" spans="1:14" s="2" customFormat="1">
      <c r="A14926" s="83"/>
      <c r="H14926" s="83"/>
      <c r="K14926" s="82"/>
      <c r="M14926" s="112"/>
      <c r="N14926" s="84"/>
    </row>
    <row r="14927" spans="1:14" s="2" customFormat="1">
      <c r="A14927" s="83"/>
      <c r="H14927" s="83"/>
      <c r="K14927" s="82"/>
      <c r="M14927" s="112"/>
      <c r="N14927" s="84"/>
    </row>
    <row r="14928" spans="1:14" s="2" customFormat="1">
      <c r="A14928" s="83"/>
      <c r="H14928" s="83"/>
      <c r="K14928" s="82"/>
      <c r="M14928" s="112"/>
      <c r="N14928" s="84"/>
    </row>
    <row r="14929" spans="1:14" s="2" customFormat="1">
      <c r="A14929" s="83"/>
      <c r="H14929" s="83"/>
      <c r="K14929" s="82"/>
      <c r="M14929" s="112"/>
      <c r="N14929" s="84"/>
    </row>
    <row r="14930" spans="1:14" s="2" customFormat="1">
      <c r="A14930" s="83"/>
      <c r="H14930" s="83"/>
      <c r="K14930" s="82"/>
      <c r="M14930" s="112"/>
      <c r="N14930" s="84"/>
    </row>
    <row r="14931" spans="1:14" s="2" customFormat="1">
      <c r="A14931" s="83"/>
      <c r="H14931" s="83"/>
      <c r="K14931" s="82"/>
      <c r="M14931" s="112"/>
      <c r="N14931" s="84"/>
    </row>
    <row r="14932" spans="1:14" s="2" customFormat="1">
      <c r="A14932" s="83"/>
      <c r="H14932" s="83"/>
      <c r="K14932" s="82"/>
      <c r="M14932" s="112"/>
      <c r="N14932" s="84"/>
    </row>
    <row r="14933" spans="1:14" s="2" customFormat="1">
      <c r="A14933" s="83"/>
      <c r="H14933" s="83"/>
      <c r="K14933" s="82"/>
      <c r="M14933" s="112"/>
      <c r="N14933" s="84"/>
    </row>
    <row r="14934" spans="1:14" s="2" customFormat="1">
      <c r="A14934" s="83"/>
      <c r="H14934" s="83"/>
      <c r="K14934" s="82"/>
      <c r="M14934" s="112"/>
      <c r="N14934" s="84"/>
    </row>
    <row r="14935" spans="1:14" s="2" customFormat="1">
      <c r="A14935" s="83"/>
      <c r="H14935" s="83"/>
      <c r="K14935" s="82"/>
      <c r="M14935" s="112"/>
      <c r="N14935" s="84"/>
    </row>
    <row r="14936" spans="1:14" s="2" customFormat="1">
      <c r="A14936" s="83"/>
      <c r="H14936" s="83"/>
      <c r="K14936" s="82"/>
      <c r="M14936" s="112"/>
      <c r="N14936" s="84"/>
    </row>
    <row r="14937" spans="1:14" s="2" customFormat="1">
      <c r="A14937" s="83"/>
      <c r="H14937" s="83"/>
      <c r="K14937" s="82"/>
      <c r="M14937" s="112"/>
      <c r="N14937" s="84"/>
    </row>
    <row r="14938" spans="1:14" s="2" customFormat="1">
      <c r="A14938" s="83"/>
      <c r="H14938" s="83"/>
      <c r="K14938" s="82"/>
      <c r="M14938" s="112"/>
      <c r="N14938" s="84"/>
    </row>
    <row r="14939" spans="1:14" s="2" customFormat="1">
      <c r="A14939" s="83"/>
      <c r="H14939" s="83"/>
      <c r="K14939" s="82"/>
      <c r="M14939" s="112"/>
      <c r="N14939" s="84"/>
    </row>
    <row r="14940" spans="1:14" s="2" customFormat="1">
      <c r="A14940" s="83"/>
      <c r="H14940" s="83"/>
      <c r="K14940" s="82"/>
      <c r="M14940" s="112"/>
      <c r="N14940" s="84"/>
    </row>
    <row r="14941" spans="1:14" s="2" customFormat="1">
      <c r="A14941" s="83"/>
      <c r="H14941" s="83"/>
      <c r="K14941" s="82"/>
      <c r="M14941" s="112"/>
      <c r="N14941" s="84"/>
    </row>
    <row r="14942" spans="1:14" s="2" customFormat="1">
      <c r="A14942" s="83"/>
      <c r="H14942" s="83"/>
      <c r="K14942" s="82"/>
      <c r="M14942" s="112"/>
      <c r="N14942" s="84"/>
    </row>
    <row r="14943" spans="1:14" s="2" customFormat="1">
      <c r="A14943" s="83"/>
      <c r="H14943" s="83"/>
      <c r="K14943" s="82"/>
      <c r="M14943" s="112"/>
      <c r="N14943" s="84"/>
    </row>
    <row r="14944" spans="1:14" s="2" customFormat="1">
      <c r="A14944" s="83"/>
      <c r="H14944" s="83"/>
      <c r="K14944" s="82"/>
      <c r="M14944" s="112"/>
      <c r="N14944" s="84"/>
    </row>
    <row r="14945" spans="1:14" s="2" customFormat="1">
      <c r="A14945" s="83"/>
      <c r="H14945" s="83"/>
      <c r="K14945" s="82"/>
      <c r="M14945" s="112"/>
      <c r="N14945" s="84"/>
    </row>
    <row r="14946" spans="1:14" s="2" customFormat="1">
      <c r="A14946" s="83"/>
      <c r="H14946" s="83"/>
      <c r="K14946" s="82"/>
      <c r="M14946" s="112"/>
      <c r="N14946" s="84"/>
    </row>
    <row r="14947" spans="1:14" s="2" customFormat="1">
      <c r="A14947" s="83"/>
      <c r="H14947" s="83"/>
      <c r="K14947" s="82"/>
      <c r="M14947" s="112"/>
      <c r="N14947" s="84"/>
    </row>
    <row r="14948" spans="1:14" s="2" customFormat="1">
      <c r="A14948" s="83"/>
      <c r="H14948" s="83"/>
      <c r="K14948" s="82"/>
      <c r="M14948" s="112"/>
      <c r="N14948" s="84"/>
    </row>
    <row r="14949" spans="1:14" s="2" customFormat="1">
      <c r="A14949" s="83"/>
      <c r="H14949" s="83"/>
      <c r="K14949" s="82"/>
      <c r="M14949" s="112"/>
      <c r="N14949" s="84"/>
    </row>
    <row r="14950" spans="1:14" s="2" customFormat="1">
      <c r="A14950" s="83"/>
      <c r="H14950" s="83"/>
      <c r="K14950" s="82"/>
      <c r="M14950" s="112"/>
      <c r="N14950" s="84"/>
    </row>
    <row r="14951" spans="1:14" s="2" customFormat="1">
      <c r="A14951" s="83"/>
      <c r="H14951" s="83"/>
      <c r="K14951" s="82"/>
      <c r="M14951" s="112"/>
      <c r="N14951" s="84"/>
    </row>
    <row r="14952" spans="1:14" s="2" customFormat="1">
      <c r="A14952" s="83"/>
      <c r="H14952" s="83"/>
      <c r="K14952" s="82"/>
      <c r="M14952" s="112"/>
      <c r="N14952" s="84"/>
    </row>
    <row r="14953" spans="1:14" s="2" customFormat="1">
      <c r="A14953" s="83"/>
      <c r="H14953" s="83"/>
      <c r="K14953" s="82"/>
      <c r="M14953" s="112"/>
      <c r="N14953" s="84"/>
    </row>
    <row r="14954" spans="1:14" s="2" customFormat="1">
      <c r="A14954" s="83"/>
      <c r="H14954" s="83"/>
      <c r="K14954" s="82"/>
      <c r="M14954" s="112"/>
      <c r="N14954" s="84"/>
    </row>
    <row r="14955" spans="1:14" s="2" customFormat="1">
      <c r="A14955" s="83"/>
      <c r="H14955" s="83"/>
      <c r="K14955" s="82"/>
      <c r="M14955" s="112"/>
      <c r="N14955" s="84"/>
    </row>
    <row r="14956" spans="1:14" s="2" customFormat="1">
      <c r="A14956" s="83"/>
      <c r="H14956" s="83"/>
      <c r="K14956" s="82"/>
      <c r="M14956" s="112"/>
      <c r="N14956" s="84"/>
    </row>
    <row r="14957" spans="1:14" s="2" customFormat="1">
      <c r="A14957" s="83"/>
      <c r="H14957" s="83"/>
      <c r="K14957" s="82"/>
      <c r="M14957" s="112"/>
      <c r="N14957" s="84"/>
    </row>
    <row r="14958" spans="1:14" s="2" customFormat="1">
      <c r="A14958" s="83"/>
      <c r="H14958" s="83"/>
      <c r="K14958" s="82"/>
      <c r="M14958" s="112"/>
      <c r="N14958" s="84"/>
    </row>
    <row r="14959" spans="1:14" s="2" customFormat="1">
      <c r="A14959" s="83"/>
      <c r="H14959" s="83"/>
      <c r="K14959" s="82"/>
      <c r="M14959" s="112"/>
      <c r="N14959" s="84"/>
    </row>
    <row r="14960" spans="1:14" s="2" customFormat="1">
      <c r="A14960" s="83"/>
      <c r="H14960" s="83"/>
      <c r="K14960" s="82"/>
      <c r="M14960" s="112"/>
      <c r="N14960" s="84"/>
    </row>
    <row r="14961" spans="1:14" s="2" customFormat="1">
      <c r="A14961" s="83"/>
      <c r="H14961" s="83"/>
      <c r="K14961" s="82"/>
      <c r="M14961" s="112"/>
      <c r="N14961" s="84"/>
    </row>
    <row r="14962" spans="1:14" s="2" customFormat="1">
      <c r="A14962" s="83"/>
      <c r="H14962" s="83"/>
      <c r="K14962" s="82"/>
      <c r="M14962" s="112"/>
      <c r="N14962" s="84"/>
    </row>
    <row r="14963" spans="1:14" s="2" customFormat="1">
      <c r="A14963" s="83"/>
      <c r="H14963" s="83"/>
      <c r="K14963" s="82"/>
      <c r="M14963" s="112"/>
      <c r="N14963" s="84"/>
    </row>
    <row r="14964" spans="1:14" s="2" customFormat="1">
      <c r="A14964" s="83"/>
      <c r="H14964" s="83"/>
      <c r="K14964" s="82"/>
      <c r="M14964" s="112"/>
      <c r="N14964" s="84"/>
    </row>
    <row r="14965" spans="1:14" s="2" customFormat="1">
      <c r="A14965" s="83"/>
      <c r="H14965" s="83"/>
      <c r="K14965" s="82"/>
      <c r="M14965" s="112"/>
      <c r="N14965" s="84"/>
    </row>
    <row r="14966" spans="1:14" s="2" customFormat="1">
      <c r="A14966" s="83"/>
      <c r="H14966" s="83"/>
      <c r="K14966" s="82"/>
      <c r="M14966" s="112"/>
      <c r="N14966" s="84"/>
    </row>
    <row r="14967" spans="1:14" s="2" customFormat="1">
      <c r="A14967" s="83"/>
      <c r="H14967" s="83"/>
      <c r="K14967" s="82"/>
      <c r="M14967" s="112"/>
      <c r="N14967" s="84"/>
    </row>
    <row r="14968" spans="1:14" s="2" customFormat="1">
      <c r="A14968" s="83"/>
      <c r="H14968" s="83"/>
      <c r="K14968" s="82"/>
      <c r="M14968" s="112"/>
      <c r="N14968" s="84"/>
    </row>
    <row r="14969" spans="1:14" s="2" customFormat="1">
      <c r="A14969" s="83"/>
      <c r="H14969" s="83"/>
      <c r="K14969" s="82"/>
      <c r="M14969" s="112"/>
      <c r="N14969" s="84"/>
    </row>
    <row r="14970" spans="1:14" s="2" customFormat="1">
      <c r="A14970" s="83"/>
      <c r="H14970" s="83"/>
      <c r="K14970" s="82"/>
      <c r="M14970" s="112"/>
      <c r="N14970" s="84"/>
    </row>
    <row r="14971" spans="1:14" s="2" customFormat="1">
      <c r="A14971" s="83"/>
      <c r="H14971" s="83"/>
      <c r="K14971" s="82"/>
      <c r="M14971" s="112"/>
      <c r="N14971" s="84"/>
    </row>
    <row r="14972" spans="1:14" s="2" customFormat="1">
      <c r="A14972" s="83"/>
      <c r="H14972" s="83"/>
      <c r="K14972" s="82"/>
      <c r="M14972" s="112"/>
      <c r="N14972" s="84"/>
    </row>
    <row r="14973" spans="1:14" s="2" customFormat="1">
      <c r="A14973" s="83"/>
      <c r="H14973" s="83"/>
      <c r="K14973" s="82"/>
      <c r="M14973" s="112"/>
      <c r="N14973" s="84"/>
    </row>
    <row r="14974" spans="1:14" s="2" customFormat="1">
      <c r="A14974" s="83"/>
      <c r="H14974" s="83"/>
      <c r="K14974" s="82"/>
      <c r="M14974" s="112"/>
      <c r="N14974" s="84"/>
    </row>
    <row r="14975" spans="1:14" s="2" customFormat="1">
      <c r="A14975" s="83"/>
      <c r="H14975" s="83"/>
      <c r="K14975" s="82"/>
      <c r="M14975" s="112"/>
      <c r="N14975" s="84"/>
    </row>
    <row r="14976" spans="1:14" s="2" customFormat="1">
      <c r="A14976" s="83"/>
      <c r="H14976" s="83"/>
      <c r="K14976" s="82"/>
      <c r="M14976" s="112"/>
      <c r="N14976" s="84"/>
    </row>
    <row r="14977" spans="1:14" s="2" customFormat="1">
      <c r="A14977" s="83"/>
      <c r="H14977" s="83"/>
      <c r="K14977" s="82"/>
      <c r="M14977" s="112"/>
      <c r="N14977" s="84"/>
    </row>
    <row r="14978" spans="1:14" s="2" customFormat="1">
      <c r="A14978" s="83"/>
      <c r="H14978" s="83"/>
      <c r="K14978" s="82"/>
      <c r="M14978" s="112"/>
      <c r="N14978" s="84"/>
    </row>
    <row r="14979" spans="1:14" s="2" customFormat="1">
      <c r="A14979" s="83"/>
      <c r="H14979" s="83"/>
      <c r="K14979" s="82"/>
      <c r="M14979" s="112"/>
      <c r="N14979" s="84"/>
    </row>
    <row r="14980" spans="1:14" s="2" customFormat="1">
      <c r="A14980" s="83"/>
      <c r="H14980" s="83"/>
      <c r="K14980" s="82"/>
      <c r="M14980" s="112"/>
      <c r="N14980" s="84"/>
    </row>
    <row r="14981" spans="1:14" s="2" customFormat="1">
      <c r="A14981" s="83"/>
      <c r="H14981" s="83"/>
      <c r="K14981" s="82"/>
      <c r="M14981" s="112"/>
      <c r="N14981" s="84"/>
    </row>
    <row r="14982" spans="1:14" s="2" customFormat="1">
      <c r="A14982" s="83"/>
      <c r="H14982" s="83"/>
      <c r="K14982" s="82"/>
      <c r="M14982" s="112"/>
      <c r="N14982" s="84"/>
    </row>
    <row r="14983" spans="1:14" s="2" customFormat="1">
      <c r="A14983" s="83"/>
      <c r="H14983" s="83"/>
      <c r="K14983" s="82"/>
      <c r="M14983" s="112"/>
      <c r="N14983" s="84"/>
    </row>
    <row r="14984" spans="1:14" s="2" customFormat="1">
      <c r="A14984" s="83"/>
      <c r="H14984" s="83"/>
      <c r="K14984" s="82"/>
      <c r="M14984" s="112"/>
      <c r="N14984" s="84"/>
    </row>
    <row r="14985" spans="1:14" s="2" customFormat="1">
      <c r="A14985" s="83"/>
      <c r="H14985" s="83"/>
      <c r="K14985" s="82"/>
      <c r="M14985" s="112"/>
      <c r="N14985" s="84"/>
    </row>
    <row r="14986" spans="1:14" s="2" customFormat="1">
      <c r="A14986" s="83"/>
      <c r="H14986" s="83"/>
      <c r="K14986" s="82"/>
      <c r="M14986" s="112"/>
      <c r="N14986" s="84"/>
    </row>
    <row r="14987" spans="1:14" s="2" customFormat="1">
      <c r="A14987" s="83"/>
      <c r="H14987" s="83"/>
      <c r="K14987" s="82"/>
      <c r="M14987" s="112"/>
      <c r="N14987" s="84"/>
    </row>
    <row r="14988" spans="1:14" s="2" customFormat="1">
      <c r="A14988" s="83"/>
      <c r="H14988" s="83"/>
      <c r="K14988" s="82"/>
      <c r="M14988" s="112"/>
      <c r="N14988" s="84"/>
    </row>
    <row r="14989" spans="1:14" s="2" customFormat="1">
      <c r="A14989" s="83"/>
      <c r="H14989" s="83"/>
      <c r="K14989" s="82"/>
      <c r="M14989" s="112"/>
      <c r="N14989" s="84"/>
    </row>
    <row r="14990" spans="1:14" s="2" customFormat="1">
      <c r="A14990" s="83"/>
      <c r="H14990" s="83"/>
      <c r="K14990" s="82"/>
      <c r="M14990" s="112"/>
      <c r="N14990" s="84"/>
    </row>
    <row r="14991" spans="1:14" s="2" customFormat="1">
      <c r="A14991" s="83"/>
      <c r="H14991" s="83"/>
      <c r="K14991" s="82"/>
      <c r="M14991" s="112"/>
      <c r="N14991" s="84"/>
    </row>
    <row r="14992" spans="1:14" s="2" customFormat="1">
      <c r="A14992" s="83"/>
      <c r="H14992" s="83"/>
      <c r="K14992" s="82"/>
      <c r="M14992" s="112"/>
      <c r="N14992" s="84"/>
    </row>
    <row r="14993" spans="1:14" s="2" customFormat="1">
      <c r="A14993" s="83"/>
      <c r="H14993" s="83"/>
      <c r="K14993" s="82"/>
      <c r="M14993" s="112"/>
      <c r="N14993" s="84"/>
    </row>
    <row r="14994" spans="1:14" s="2" customFormat="1">
      <c r="A14994" s="83"/>
      <c r="H14994" s="83"/>
      <c r="K14994" s="82"/>
      <c r="M14994" s="112"/>
      <c r="N14994" s="84"/>
    </row>
    <row r="14995" spans="1:14" s="2" customFormat="1">
      <c r="A14995" s="83"/>
      <c r="H14995" s="83"/>
      <c r="K14995" s="82"/>
      <c r="M14995" s="112"/>
      <c r="N14995" s="84"/>
    </row>
    <row r="14996" spans="1:14" s="2" customFormat="1">
      <c r="A14996" s="83"/>
      <c r="H14996" s="83"/>
      <c r="K14996" s="82"/>
      <c r="M14996" s="112"/>
      <c r="N14996" s="84"/>
    </row>
    <row r="14997" spans="1:14" s="2" customFormat="1">
      <c r="A14997" s="83"/>
      <c r="H14997" s="83"/>
      <c r="K14997" s="82"/>
      <c r="M14997" s="112"/>
      <c r="N14997" s="84"/>
    </row>
    <row r="14998" spans="1:14" s="2" customFormat="1">
      <c r="A14998" s="83"/>
      <c r="H14998" s="83"/>
      <c r="K14998" s="82"/>
      <c r="M14998" s="112"/>
      <c r="N14998" s="84"/>
    </row>
    <row r="14999" spans="1:14" s="2" customFormat="1">
      <c r="A14999" s="83"/>
      <c r="H14999" s="83"/>
      <c r="K14999" s="82"/>
      <c r="M14999" s="112"/>
      <c r="N14999" s="84"/>
    </row>
    <row r="15000" spans="1:14" s="2" customFormat="1">
      <c r="A15000" s="83"/>
      <c r="H15000" s="83"/>
      <c r="K15000" s="82"/>
      <c r="M15000" s="112"/>
      <c r="N15000" s="84"/>
    </row>
    <row r="15001" spans="1:14" s="2" customFormat="1">
      <c r="A15001" s="83"/>
      <c r="H15001" s="83"/>
      <c r="K15001" s="82"/>
      <c r="M15001" s="112"/>
      <c r="N15001" s="84"/>
    </row>
    <row r="15002" spans="1:14" s="2" customFormat="1">
      <c r="A15002" s="83"/>
      <c r="H15002" s="83"/>
      <c r="K15002" s="82"/>
      <c r="M15002" s="112"/>
      <c r="N15002" s="84"/>
    </row>
    <row r="15003" spans="1:14" s="2" customFormat="1">
      <c r="A15003" s="83"/>
      <c r="H15003" s="83"/>
      <c r="K15003" s="82"/>
      <c r="M15003" s="112"/>
      <c r="N15003" s="84"/>
    </row>
    <row r="15004" spans="1:14" s="2" customFormat="1">
      <c r="A15004" s="83"/>
      <c r="H15004" s="83"/>
      <c r="K15004" s="82"/>
      <c r="M15004" s="112"/>
      <c r="N15004" s="84"/>
    </row>
    <row r="15005" spans="1:14" s="2" customFormat="1">
      <c r="A15005" s="83"/>
      <c r="H15005" s="83"/>
      <c r="K15005" s="82"/>
      <c r="M15005" s="112"/>
      <c r="N15005" s="84"/>
    </row>
    <row r="15006" spans="1:14" s="2" customFormat="1">
      <c r="A15006" s="83"/>
      <c r="H15006" s="83"/>
      <c r="K15006" s="82"/>
      <c r="M15006" s="112"/>
      <c r="N15006" s="84"/>
    </row>
    <row r="15007" spans="1:14" s="2" customFormat="1">
      <c r="A15007" s="83"/>
      <c r="H15007" s="83"/>
      <c r="K15007" s="82"/>
      <c r="M15007" s="112"/>
      <c r="N15007" s="84"/>
    </row>
    <row r="15008" spans="1:14" s="2" customFormat="1">
      <c r="A15008" s="83"/>
      <c r="H15008" s="83"/>
      <c r="K15008" s="82"/>
      <c r="M15008" s="112"/>
      <c r="N15008" s="84"/>
    </row>
    <row r="15009" spans="1:14" s="2" customFormat="1">
      <c r="A15009" s="83"/>
      <c r="H15009" s="83"/>
      <c r="K15009" s="82"/>
      <c r="M15009" s="112"/>
      <c r="N15009" s="84"/>
    </row>
    <row r="15010" spans="1:14" s="2" customFormat="1">
      <c r="A15010" s="83"/>
      <c r="H15010" s="83"/>
      <c r="K15010" s="82"/>
      <c r="M15010" s="112"/>
      <c r="N15010" s="84"/>
    </row>
    <row r="15011" spans="1:14" s="2" customFormat="1">
      <c r="A15011" s="83"/>
      <c r="H15011" s="83"/>
      <c r="K15011" s="82"/>
      <c r="M15011" s="112"/>
      <c r="N15011" s="84"/>
    </row>
    <row r="15012" spans="1:14" s="2" customFormat="1">
      <c r="A15012" s="83"/>
      <c r="H15012" s="83"/>
      <c r="K15012" s="82"/>
      <c r="M15012" s="112"/>
      <c r="N15012" s="84"/>
    </row>
    <row r="15013" spans="1:14" s="2" customFormat="1">
      <c r="A15013" s="83"/>
      <c r="H15013" s="83"/>
      <c r="K15013" s="82"/>
      <c r="M15013" s="112"/>
      <c r="N15013" s="84"/>
    </row>
    <row r="15014" spans="1:14" s="2" customFormat="1">
      <c r="A15014" s="83"/>
      <c r="H15014" s="83"/>
      <c r="K15014" s="82"/>
      <c r="M15014" s="112"/>
      <c r="N15014" s="84"/>
    </row>
    <row r="15015" spans="1:14" s="2" customFormat="1">
      <c r="A15015" s="83"/>
      <c r="H15015" s="83"/>
      <c r="K15015" s="82"/>
      <c r="M15015" s="112"/>
      <c r="N15015" s="84"/>
    </row>
    <row r="15016" spans="1:14" s="2" customFormat="1">
      <c r="A15016" s="83"/>
      <c r="H15016" s="83"/>
      <c r="K15016" s="82"/>
      <c r="M15016" s="112"/>
      <c r="N15016" s="84"/>
    </row>
    <row r="15017" spans="1:14" s="2" customFormat="1">
      <c r="A15017" s="83"/>
      <c r="H15017" s="83"/>
      <c r="K15017" s="82"/>
      <c r="M15017" s="112"/>
      <c r="N15017" s="84"/>
    </row>
    <row r="15018" spans="1:14" s="2" customFormat="1">
      <c r="A15018" s="83"/>
      <c r="H15018" s="83"/>
      <c r="K15018" s="82"/>
      <c r="M15018" s="112"/>
      <c r="N15018" s="84"/>
    </row>
    <row r="15019" spans="1:14" s="2" customFormat="1">
      <c r="A15019" s="83"/>
      <c r="H15019" s="83"/>
      <c r="K15019" s="82"/>
      <c r="M15019" s="112"/>
      <c r="N15019" s="84"/>
    </row>
    <row r="15020" spans="1:14" s="2" customFormat="1">
      <c r="A15020" s="83"/>
      <c r="H15020" s="83"/>
      <c r="K15020" s="82"/>
      <c r="M15020" s="112"/>
      <c r="N15020" s="84"/>
    </row>
    <row r="15021" spans="1:14" s="2" customFormat="1">
      <c r="A15021" s="83"/>
      <c r="H15021" s="83"/>
      <c r="K15021" s="82"/>
      <c r="M15021" s="112"/>
      <c r="N15021" s="84"/>
    </row>
    <row r="15022" spans="1:14" s="2" customFormat="1">
      <c r="A15022" s="83"/>
      <c r="H15022" s="83"/>
      <c r="K15022" s="82"/>
      <c r="M15022" s="112"/>
      <c r="N15022" s="84"/>
    </row>
    <row r="15023" spans="1:14" s="2" customFormat="1">
      <c r="A15023" s="83"/>
      <c r="H15023" s="83"/>
      <c r="K15023" s="82"/>
      <c r="M15023" s="112"/>
      <c r="N15023" s="84"/>
    </row>
    <row r="15024" spans="1:14" s="2" customFormat="1">
      <c r="A15024" s="83"/>
      <c r="H15024" s="83"/>
      <c r="K15024" s="82"/>
      <c r="M15024" s="112"/>
      <c r="N15024" s="84"/>
    </row>
    <row r="15025" spans="1:14" s="2" customFormat="1">
      <c r="A15025" s="83"/>
      <c r="H15025" s="83"/>
      <c r="K15025" s="82"/>
      <c r="M15025" s="112"/>
      <c r="N15025" s="84"/>
    </row>
    <row r="15026" spans="1:14" s="2" customFormat="1">
      <c r="A15026" s="83"/>
      <c r="H15026" s="83"/>
      <c r="K15026" s="82"/>
      <c r="M15026" s="112"/>
      <c r="N15026" s="84"/>
    </row>
    <row r="15027" spans="1:14" s="2" customFormat="1">
      <c r="A15027" s="83"/>
      <c r="H15027" s="83"/>
      <c r="K15027" s="82"/>
      <c r="M15027" s="112"/>
      <c r="N15027" s="84"/>
    </row>
    <row r="15028" spans="1:14" s="2" customFormat="1">
      <c r="A15028" s="83"/>
      <c r="H15028" s="83"/>
      <c r="K15028" s="82"/>
      <c r="M15028" s="112"/>
      <c r="N15028" s="84"/>
    </row>
    <row r="15029" spans="1:14" s="2" customFormat="1">
      <c r="A15029" s="83"/>
      <c r="H15029" s="83"/>
      <c r="K15029" s="82"/>
      <c r="M15029" s="112"/>
      <c r="N15029" s="84"/>
    </row>
    <row r="15030" spans="1:14" s="2" customFormat="1">
      <c r="A15030" s="83"/>
      <c r="H15030" s="83"/>
      <c r="K15030" s="82"/>
      <c r="M15030" s="112"/>
      <c r="N15030" s="84"/>
    </row>
    <row r="15031" spans="1:14" s="2" customFormat="1">
      <c r="A15031" s="83"/>
      <c r="H15031" s="83"/>
      <c r="K15031" s="82"/>
      <c r="M15031" s="112"/>
      <c r="N15031" s="84"/>
    </row>
    <row r="15032" spans="1:14" s="2" customFormat="1">
      <c r="A15032" s="83"/>
      <c r="H15032" s="83"/>
      <c r="K15032" s="82"/>
      <c r="M15032" s="112"/>
      <c r="N15032" s="84"/>
    </row>
    <row r="15033" spans="1:14" s="2" customFormat="1">
      <c r="A15033" s="83"/>
      <c r="H15033" s="83"/>
      <c r="K15033" s="82"/>
      <c r="M15033" s="112"/>
      <c r="N15033" s="84"/>
    </row>
    <row r="15034" spans="1:14" s="2" customFormat="1">
      <c r="A15034" s="83"/>
      <c r="H15034" s="83"/>
      <c r="K15034" s="82"/>
      <c r="M15034" s="112"/>
      <c r="N15034" s="84"/>
    </row>
    <row r="15035" spans="1:14" s="2" customFormat="1">
      <c r="A15035" s="83"/>
      <c r="H15035" s="83"/>
      <c r="K15035" s="82"/>
      <c r="M15035" s="112"/>
      <c r="N15035" s="84"/>
    </row>
    <row r="15036" spans="1:14" s="2" customFormat="1">
      <c r="A15036" s="83"/>
      <c r="H15036" s="83"/>
      <c r="K15036" s="82"/>
      <c r="M15036" s="112"/>
      <c r="N15036" s="84"/>
    </row>
    <row r="15037" spans="1:14" s="2" customFormat="1">
      <c r="A15037" s="83"/>
      <c r="H15037" s="83"/>
      <c r="K15037" s="82"/>
      <c r="M15037" s="112"/>
      <c r="N15037" s="84"/>
    </row>
    <row r="15038" spans="1:14" s="2" customFormat="1">
      <c r="A15038" s="83"/>
      <c r="H15038" s="83"/>
      <c r="K15038" s="82"/>
      <c r="M15038" s="112"/>
      <c r="N15038" s="84"/>
    </row>
    <row r="15039" spans="1:14" s="2" customFormat="1">
      <c r="A15039" s="83"/>
      <c r="H15039" s="83"/>
      <c r="K15039" s="82"/>
      <c r="M15039" s="112"/>
      <c r="N15039" s="84"/>
    </row>
    <row r="15040" spans="1:14" s="2" customFormat="1">
      <c r="A15040" s="83"/>
      <c r="H15040" s="83"/>
      <c r="K15040" s="82"/>
      <c r="M15040" s="112"/>
      <c r="N15040" s="84"/>
    </row>
    <row r="15041" spans="1:14" s="2" customFormat="1">
      <c r="A15041" s="83"/>
      <c r="H15041" s="83"/>
      <c r="K15041" s="82"/>
      <c r="M15041" s="112"/>
      <c r="N15041" s="84"/>
    </row>
    <row r="15042" spans="1:14" s="2" customFormat="1">
      <c r="A15042" s="83"/>
      <c r="H15042" s="83"/>
      <c r="K15042" s="82"/>
      <c r="M15042" s="112"/>
      <c r="N15042" s="84"/>
    </row>
    <row r="15043" spans="1:14" s="2" customFormat="1">
      <c r="A15043" s="83"/>
      <c r="H15043" s="83"/>
      <c r="K15043" s="82"/>
      <c r="M15043" s="112"/>
      <c r="N15043" s="84"/>
    </row>
    <row r="15044" spans="1:14" s="2" customFormat="1">
      <c r="A15044" s="83"/>
      <c r="H15044" s="83"/>
      <c r="K15044" s="82"/>
      <c r="M15044" s="112"/>
      <c r="N15044" s="84"/>
    </row>
    <row r="15045" spans="1:14" s="2" customFormat="1">
      <c r="A15045" s="83"/>
      <c r="H15045" s="83"/>
      <c r="K15045" s="82"/>
      <c r="M15045" s="112"/>
      <c r="N15045" s="84"/>
    </row>
    <row r="15046" spans="1:14" s="2" customFormat="1">
      <c r="A15046" s="83"/>
      <c r="H15046" s="83"/>
      <c r="K15046" s="82"/>
      <c r="M15046" s="112"/>
      <c r="N15046" s="84"/>
    </row>
    <row r="15047" spans="1:14" s="2" customFormat="1">
      <c r="A15047" s="83"/>
      <c r="H15047" s="83"/>
      <c r="K15047" s="82"/>
      <c r="M15047" s="112"/>
      <c r="N15047" s="84"/>
    </row>
    <row r="15048" spans="1:14" s="2" customFormat="1">
      <c r="A15048" s="83"/>
      <c r="H15048" s="83"/>
      <c r="K15048" s="82"/>
      <c r="M15048" s="112"/>
      <c r="N15048" s="84"/>
    </row>
    <row r="15049" spans="1:14" s="2" customFormat="1">
      <c r="A15049" s="83"/>
      <c r="H15049" s="83"/>
      <c r="K15049" s="82"/>
      <c r="M15049" s="112"/>
      <c r="N15049" s="84"/>
    </row>
    <row r="15050" spans="1:14" s="2" customFormat="1">
      <c r="A15050" s="83"/>
      <c r="H15050" s="83"/>
      <c r="K15050" s="82"/>
      <c r="M15050" s="112"/>
      <c r="N15050" s="84"/>
    </row>
    <row r="15051" spans="1:14" s="2" customFormat="1">
      <c r="A15051" s="83"/>
      <c r="H15051" s="83"/>
      <c r="K15051" s="82"/>
      <c r="M15051" s="112"/>
      <c r="N15051" s="84"/>
    </row>
    <row r="15052" spans="1:14" s="2" customFormat="1">
      <c r="A15052" s="83"/>
      <c r="H15052" s="83"/>
      <c r="K15052" s="82"/>
      <c r="M15052" s="112"/>
      <c r="N15052" s="84"/>
    </row>
    <row r="15053" spans="1:14" s="2" customFormat="1">
      <c r="A15053" s="83"/>
      <c r="H15053" s="83"/>
      <c r="K15053" s="82"/>
      <c r="M15053" s="112"/>
      <c r="N15053" s="84"/>
    </row>
    <row r="15054" spans="1:14" s="2" customFormat="1">
      <c r="A15054" s="83"/>
      <c r="H15054" s="83"/>
      <c r="K15054" s="82"/>
      <c r="M15054" s="112"/>
      <c r="N15054" s="84"/>
    </row>
    <row r="15055" spans="1:14" s="2" customFormat="1">
      <c r="A15055" s="83"/>
      <c r="H15055" s="83"/>
      <c r="K15055" s="82"/>
      <c r="M15055" s="112"/>
      <c r="N15055" s="84"/>
    </row>
    <row r="15056" spans="1:14" s="2" customFormat="1">
      <c r="A15056" s="83"/>
      <c r="H15056" s="83"/>
      <c r="K15056" s="82"/>
      <c r="M15056" s="112"/>
      <c r="N15056" s="84"/>
    </row>
    <row r="15057" spans="1:14" s="2" customFormat="1">
      <c r="A15057" s="83"/>
      <c r="H15057" s="83"/>
      <c r="K15057" s="82"/>
      <c r="M15057" s="112"/>
      <c r="N15057" s="84"/>
    </row>
    <row r="15058" spans="1:14" s="2" customFormat="1">
      <c r="A15058" s="83"/>
      <c r="H15058" s="83"/>
      <c r="K15058" s="82"/>
      <c r="M15058" s="112"/>
      <c r="N15058" s="84"/>
    </row>
    <row r="15059" spans="1:14" s="2" customFormat="1">
      <c r="A15059" s="83"/>
      <c r="H15059" s="83"/>
      <c r="K15059" s="82"/>
      <c r="M15059" s="112"/>
      <c r="N15059" s="84"/>
    </row>
    <row r="15060" spans="1:14" s="2" customFormat="1">
      <c r="A15060" s="83"/>
      <c r="H15060" s="83"/>
      <c r="K15060" s="82"/>
      <c r="M15060" s="112"/>
      <c r="N15060" s="84"/>
    </row>
    <row r="15061" spans="1:14" s="2" customFormat="1">
      <c r="A15061" s="83"/>
      <c r="H15061" s="83"/>
      <c r="K15061" s="82"/>
      <c r="M15061" s="112"/>
      <c r="N15061" s="84"/>
    </row>
    <row r="15062" spans="1:14" s="2" customFormat="1">
      <c r="A15062" s="83"/>
      <c r="H15062" s="83"/>
      <c r="K15062" s="82"/>
      <c r="M15062" s="112"/>
      <c r="N15062" s="84"/>
    </row>
    <row r="15063" spans="1:14" s="2" customFormat="1">
      <c r="A15063" s="83"/>
      <c r="H15063" s="83"/>
      <c r="K15063" s="82"/>
      <c r="M15063" s="112"/>
      <c r="N15063" s="84"/>
    </row>
    <row r="15064" spans="1:14" s="2" customFormat="1">
      <c r="A15064" s="83"/>
      <c r="H15064" s="83"/>
      <c r="K15064" s="82"/>
      <c r="M15064" s="112"/>
      <c r="N15064" s="84"/>
    </row>
    <row r="15065" spans="1:14" s="2" customFormat="1">
      <c r="A15065" s="83"/>
      <c r="H15065" s="83"/>
      <c r="K15065" s="82"/>
      <c r="M15065" s="112"/>
      <c r="N15065" s="84"/>
    </row>
    <row r="15066" spans="1:14" s="2" customFormat="1">
      <c r="A15066" s="83"/>
      <c r="H15066" s="83"/>
      <c r="K15066" s="82"/>
      <c r="M15066" s="112"/>
      <c r="N15066" s="84"/>
    </row>
    <row r="15067" spans="1:14" s="2" customFormat="1">
      <c r="A15067" s="83"/>
      <c r="H15067" s="83"/>
      <c r="K15067" s="82"/>
      <c r="M15067" s="112"/>
      <c r="N15067" s="84"/>
    </row>
    <row r="15068" spans="1:14" s="2" customFormat="1">
      <c r="A15068" s="83"/>
      <c r="H15068" s="83"/>
      <c r="K15068" s="82"/>
      <c r="M15068" s="112"/>
      <c r="N15068" s="84"/>
    </row>
    <row r="15069" spans="1:14" s="2" customFormat="1">
      <c r="A15069" s="83"/>
      <c r="H15069" s="83"/>
      <c r="K15069" s="82"/>
      <c r="M15069" s="112"/>
      <c r="N15069" s="84"/>
    </row>
    <row r="15070" spans="1:14" s="2" customFormat="1">
      <c r="A15070" s="83"/>
      <c r="H15070" s="83"/>
      <c r="K15070" s="82"/>
      <c r="M15070" s="112"/>
      <c r="N15070" s="84"/>
    </row>
    <row r="15071" spans="1:14" s="2" customFormat="1">
      <c r="A15071" s="83"/>
      <c r="H15071" s="83"/>
      <c r="K15071" s="82"/>
      <c r="M15071" s="112"/>
      <c r="N15071" s="84"/>
    </row>
    <row r="15072" spans="1:14" s="2" customFormat="1">
      <c r="A15072" s="83"/>
      <c r="H15072" s="83"/>
      <c r="K15072" s="82"/>
      <c r="M15072" s="112"/>
      <c r="N15072" s="84"/>
    </row>
    <row r="15073" spans="1:14" s="2" customFormat="1">
      <c r="A15073" s="83"/>
      <c r="H15073" s="83"/>
      <c r="K15073" s="82"/>
      <c r="M15073" s="112"/>
      <c r="N15073" s="84"/>
    </row>
    <row r="15074" spans="1:14" s="2" customFormat="1">
      <c r="A15074" s="83"/>
      <c r="H15074" s="83"/>
      <c r="K15074" s="82"/>
      <c r="M15074" s="112"/>
      <c r="N15074" s="84"/>
    </row>
    <row r="15075" spans="1:14" s="2" customFormat="1">
      <c r="A15075" s="83"/>
      <c r="H15075" s="83"/>
      <c r="K15075" s="82"/>
      <c r="M15075" s="112"/>
      <c r="N15075" s="84"/>
    </row>
    <row r="15076" spans="1:14" s="2" customFormat="1">
      <c r="A15076" s="83"/>
      <c r="H15076" s="83"/>
      <c r="K15076" s="82"/>
      <c r="M15076" s="112"/>
      <c r="N15076" s="84"/>
    </row>
    <row r="15077" spans="1:14" s="2" customFormat="1">
      <c r="A15077" s="83"/>
      <c r="H15077" s="83"/>
      <c r="K15077" s="82"/>
      <c r="M15077" s="112"/>
      <c r="N15077" s="84"/>
    </row>
    <row r="15078" spans="1:14" s="2" customFormat="1">
      <c r="A15078" s="83"/>
      <c r="H15078" s="83"/>
      <c r="K15078" s="82"/>
      <c r="M15078" s="112"/>
      <c r="N15078" s="84"/>
    </row>
    <row r="15079" spans="1:14" s="2" customFormat="1">
      <c r="A15079" s="83"/>
      <c r="H15079" s="83"/>
      <c r="K15079" s="82"/>
      <c r="M15079" s="112"/>
      <c r="N15079" s="84"/>
    </row>
    <row r="15080" spans="1:14" s="2" customFormat="1">
      <c r="A15080" s="83"/>
      <c r="H15080" s="83"/>
      <c r="K15080" s="82"/>
      <c r="M15080" s="112"/>
      <c r="N15080" s="84"/>
    </row>
    <row r="15081" spans="1:14" s="2" customFormat="1">
      <c r="A15081" s="83"/>
      <c r="H15081" s="83"/>
      <c r="K15081" s="82"/>
      <c r="M15081" s="112"/>
      <c r="N15081" s="84"/>
    </row>
    <row r="15082" spans="1:14" s="2" customFormat="1">
      <c r="A15082" s="83"/>
      <c r="H15082" s="83"/>
      <c r="K15082" s="82"/>
      <c r="M15082" s="112"/>
      <c r="N15082" s="84"/>
    </row>
    <row r="15083" spans="1:14" s="2" customFormat="1">
      <c r="A15083" s="83"/>
      <c r="H15083" s="83"/>
      <c r="K15083" s="82"/>
      <c r="M15083" s="112"/>
      <c r="N15083" s="84"/>
    </row>
    <row r="15084" spans="1:14" s="2" customFormat="1">
      <c r="A15084" s="83"/>
      <c r="H15084" s="83"/>
      <c r="K15084" s="82"/>
      <c r="M15084" s="112"/>
      <c r="N15084" s="84"/>
    </row>
    <row r="15085" spans="1:14" s="2" customFormat="1">
      <c r="A15085" s="83"/>
      <c r="H15085" s="83"/>
      <c r="K15085" s="82"/>
      <c r="M15085" s="112"/>
      <c r="N15085" s="84"/>
    </row>
    <row r="15086" spans="1:14" s="2" customFormat="1">
      <c r="A15086" s="83"/>
      <c r="H15086" s="83"/>
      <c r="K15086" s="82"/>
      <c r="M15086" s="112"/>
      <c r="N15086" s="84"/>
    </row>
    <row r="15087" spans="1:14" s="2" customFormat="1">
      <c r="A15087" s="83"/>
      <c r="H15087" s="83"/>
      <c r="K15087" s="82"/>
      <c r="M15087" s="112"/>
      <c r="N15087" s="84"/>
    </row>
    <row r="15088" spans="1:14" s="2" customFormat="1">
      <c r="A15088" s="83"/>
      <c r="H15088" s="83"/>
      <c r="K15088" s="82"/>
      <c r="M15088" s="112"/>
      <c r="N15088" s="84"/>
    </row>
    <row r="15089" spans="1:14" s="2" customFormat="1">
      <c r="A15089" s="83"/>
      <c r="H15089" s="83"/>
      <c r="K15089" s="82"/>
      <c r="M15089" s="112"/>
      <c r="N15089" s="84"/>
    </row>
    <row r="15090" spans="1:14" s="2" customFormat="1">
      <c r="A15090" s="83"/>
      <c r="H15090" s="83"/>
      <c r="K15090" s="82"/>
      <c r="M15090" s="112"/>
      <c r="N15090" s="84"/>
    </row>
    <row r="15091" spans="1:14" s="2" customFormat="1">
      <c r="A15091" s="83"/>
      <c r="H15091" s="83"/>
      <c r="K15091" s="82"/>
      <c r="M15091" s="112"/>
      <c r="N15091" s="84"/>
    </row>
    <row r="15092" spans="1:14" s="2" customFormat="1">
      <c r="A15092" s="83"/>
      <c r="H15092" s="83"/>
      <c r="K15092" s="82"/>
      <c r="M15092" s="112"/>
      <c r="N15092" s="84"/>
    </row>
    <row r="15093" spans="1:14" s="2" customFormat="1">
      <c r="A15093" s="83"/>
      <c r="H15093" s="83"/>
      <c r="K15093" s="82"/>
      <c r="M15093" s="112"/>
      <c r="N15093" s="84"/>
    </row>
    <row r="15094" spans="1:14" s="2" customFormat="1">
      <c r="A15094" s="83"/>
      <c r="H15094" s="83"/>
      <c r="K15094" s="82"/>
      <c r="M15094" s="112"/>
      <c r="N15094" s="84"/>
    </row>
    <row r="15095" spans="1:14" s="2" customFormat="1">
      <c r="A15095" s="83"/>
      <c r="H15095" s="83"/>
      <c r="K15095" s="82"/>
      <c r="M15095" s="112"/>
      <c r="N15095" s="84"/>
    </row>
    <row r="15096" spans="1:14" s="2" customFormat="1">
      <c r="A15096" s="83"/>
      <c r="H15096" s="83"/>
      <c r="K15096" s="82"/>
      <c r="M15096" s="112"/>
      <c r="N15096" s="84"/>
    </row>
    <row r="15097" spans="1:14" s="2" customFormat="1">
      <c r="A15097" s="83"/>
      <c r="H15097" s="83"/>
      <c r="K15097" s="82"/>
      <c r="M15097" s="112"/>
      <c r="N15097" s="84"/>
    </row>
    <row r="15098" spans="1:14" s="2" customFormat="1">
      <c r="A15098" s="83"/>
      <c r="H15098" s="83"/>
      <c r="K15098" s="82"/>
      <c r="M15098" s="112"/>
      <c r="N15098" s="84"/>
    </row>
    <row r="15099" spans="1:14" s="2" customFormat="1">
      <c r="A15099" s="83"/>
      <c r="H15099" s="83"/>
      <c r="K15099" s="82"/>
      <c r="M15099" s="112"/>
      <c r="N15099" s="84"/>
    </row>
    <row r="15100" spans="1:14" s="2" customFormat="1">
      <c r="A15100" s="83"/>
      <c r="H15100" s="83"/>
      <c r="K15100" s="82"/>
      <c r="M15100" s="112"/>
      <c r="N15100" s="84"/>
    </row>
    <row r="15101" spans="1:14" s="2" customFormat="1">
      <c r="A15101" s="83"/>
      <c r="H15101" s="83"/>
      <c r="K15101" s="82"/>
      <c r="M15101" s="112"/>
      <c r="N15101" s="84"/>
    </row>
    <row r="15102" spans="1:14" s="2" customFormat="1">
      <c r="A15102" s="83"/>
      <c r="H15102" s="83"/>
      <c r="K15102" s="82"/>
      <c r="M15102" s="112"/>
      <c r="N15102" s="84"/>
    </row>
    <row r="15103" spans="1:14" s="2" customFormat="1">
      <c r="A15103" s="83"/>
      <c r="H15103" s="83"/>
      <c r="K15103" s="82"/>
      <c r="M15103" s="112"/>
      <c r="N15103" s="84"/>
    </row>
    <row r="15104" spans="1:14" s="2" customFormat="1">
      <c r="A15104" s="83"/>
      <c r="H15104" s="83"/>
      <c r="K15104" s="82"/>
      <c r="M15104" s="112"/>
      <c r="N15104" s="84"/>
    </row>
    <row r="15105" spans="1:14" s="2" customFormat="1">
      <c r="A15105" s="83"/>
      <c r="H15105" s="83"/>
      <c r="K15105" s="82"/>
      <c r="M15105" s="112"/>
      <c r="N15105" s="84"/>
    </row>
    <row r="15106" spans="1:14" s="2" customFormat="1">
      <c r="A15106" s="83"/>
      <c r="H15106" s="83"/>
      <c r="K15106" s="82"/>
      <c r="M15106" s="112"/>
      <c r="N15106" s="84"/>
    </row>
    <row r="15107" spans="1:14" s="2" customFormat="1">
      <c r="A15107" s="83"/>
      <c r="H15107" s="83"/>
      <c r="K15107" s="82"/>
      <c r="M15107" s="112"/>
      <c r="N15107" s="84"/>
    </row>
    <row r="15108" spans="1:14" s="2" customFormat="1">
      <c r="A15108" s="83"/>
      <c r="H15108" s="83"/>
      <c r="K15108" s="82"/>
      <c r="M15108" s="112"/>
      <c r="N15108" s="84"/>
    </row>
    <row r="15109" spans="1:14" s="2" customFormat="1">
      <c r="A15109" s="83"/>
      <c r="H15109" s="83"/>
      <c r="K15109" s="82"/>
      <c r="M15109" s="112"/>
      <c r="N15109" s="84"/>
    </row>
    <row r="15110" spans="1:14" s="2" customFormat="1">
      <c r="A15110" s="83"/>
      <c r="H15110" s="83"/>
      <c r="K15110" s="82"/>
      <c r="M15110" s="112"/>
      <c r="N15110" s="84"/>
    </row>
    <row r="15111" spans="1:14" s="2" customFormat="1">
      <c r="A15111" s="83"/>
      <c r="H15111" s="83"/>
      <c r="K15111" s="82"/>
      <c r="M15111" s="112"/>
      <c r="N15111" s="84"/>
    </row>
    <row r="15112" spans="1:14" s="2" customFormat="1">
      <c r="A15112" s="83"/>
      <c r="H15112" s="83"/>
      <c r="K15112" s="82"/>
      <c r="M15112" s="112"/>
      <c r="N15112" s="84"/>
    </row>
    <row r="15113" spans="1:14" s="2" customFormat="1">
      <c r="A15113" s="83"/>
      <c r="H15113" s="83"/>
      <c r="K15113" s="82"/>
      <c r="M15113" s="112"/>
      <c r="N15113" s="84"/>
    </row>
    <row r="15114" spans="1:14" s="2" customFormat="1">
      <c r="A15114" s="83"/>
      <c r="H15114" s="83"/>
      <c r="K15114" s="82"/>
      <c r="M15114" s="112"/>
      <c r="N15114" s="84"/>
    </row>
    <row r="15115" spans="1:14" s="2" customFormat="1">
      <c r="A15115" s="83"/>
      <c r="H15115" s="83"/>
      <c r="K15115" s="82"/>
      <c r="M15115" s="112"/>
      <c r="N15115" s="84"/>
    </row>
    <row r="15116" spans="1:14" s="2" customFormat="1">
      <c r="A15116" s="83"/>
      <c r="H15116" s="83"/>
      <c r="K15116" s="82"/>
      <c r="M15116" s="112"/>
      <c r="N15116" s="84"/>
    </row>
    <row r="15117" spans="1:14" s="2" customFormat="1">
      <c r="A15117" s="83"/>
      <c r="H15117" s="83"/>
      <c r="K15117" s="82"/>
      <c r="M15117" s="112"/>
      <c r="N15117" s="84"/>
    </row>
    <row r="15118" spans="1:14" s="2" customFormat="1">
      <c r="A15118" s="83"/>
      <c r="H15118" s="83"/>
      <c r="K15118" s="82"/>
      <c r="M15118" s="112"/>
      <c r="N15118" s="84"/>
    </row>
    <row r="15119" spans="1:14" s="2" customFormat="1">
      <c r="A15119" s="83"/>
      <c r="H15119" s="83"/>
      <c r="K15119" s="82"/>
      <c r="M15119" s="112"/>
      <c r="N15119" s="84"/>
    </row>
    <row r="15120" spans="1:14" s="2" customFormat="1">
      <c r="A15120" s="83"/>
      <c r="H15120" s="83"/>
      <c r="K15120" s="82"/>
      <c r="M15120" s="112"/>
      <c r="N15120" s="84"/>
    </row>
    <row r="15121" spans="1:14" s="2" customFormat="1">
      <c r="A15121" s="83"/>
      <c r="H15121" s="83"/>
      <c r="K15121" s="82"/>
      <c r="M15121" s="112"/>
      <c r="N15121" s="84"/>
    </row>
    <row r="15122" spans="1:14" s="2" customFormat="1">
      <c r="A15122" s="83"/>
      <c r="H15122" s="83"/>
      <c r="K15122" s="82"/>
      <c r="M15122" s="112"/>
      <c r="N15122" s="84"/>
    </row>
    <row r="15123" spans="1:14" s="2" customFormat="1">
      <c r="A15123" s="83"/>
      <c r="H15123" s="83"/>
      <c r="K15123" s="82"/>
      <c r="M15123" s="112"/>
      <c r="N15123" s="84"/>
    </row>
    <row r="15124" spans="1:14" s="2" customFormat="1">
      <c r="A15124" s="83"/>
      <c r="H15124" s="83"/>
      <c r="K15124" s="82"/>
      <c r="M15124" s="112"/>
      <c r="N15124" s="84"/>
    </row>
    <row r="15125" spans="1:14" s="2" customFormat="1">
      <c r="A15125" s="83"/>
      <c r="H15125" s="83"/>
      <c r="K15125" s="82"/>
      <c r="M15125" s="112"/>
      <c r="N15125" s="84"/>
    </row>
    <row r="15126" spans="1:14" s="2" customFormat="1">
      <c r="A15126" s="83"/>
      <c r="H15126" s="83"/>
      <c r="K15126" s="82"/>
      <c r="M15126" s="112"/>
      <c r="N15126" s="84"/>
    </row>
    <row r="15127" spans="1:14" s="2" customFormat="1">
      <c r="A15127" s="83"/>
      <c r="H15127" s="83"/>
      <c r="K15127" s="82"/>
      <c r="M15127" s="112"/>
      <c r="N15127" s="84"/>
    </row>
    <row r="15128" spans="1:14" s="2" customFormat="1">
      <c r="A15128" s="83"/>
      <c r="H15128" s="83"/>
      <c r="K15128" s="82"/>
      <c r="M15128" s="112"/>
      <c r="N15128" s="84"/>
    </row>
    <row r="15129" spans="1:14" s="2" customFormat="1">
      <c r="A15129" s="83"/>
      <c r="H15129" s="83"/>
      <c r="K15129" s="82"/>
      <c r="M15129" s="112"/>
      <c r="N15129" s="84"/>
    </row>
    <row r="15130" spans="1:14" s="2" customFormat="1">
      <c r="A15130" s="83"/>
      <c r="H15130" s="83"/>
      <c r="K15130" s="82"/>
      <c r="M15130" s="112"/>
      <c r="N15130" s="84"/>
    </row>
    <row r="15131" spans="1:14" s="2" customFormat="1">
      <c r="A15131" s="83"/>
      <c r="H15131" s="83"/>
      <c r="K15131" s="82"/>
      <c r="M15131" s="112"/>
      <c r="N15131" s="84"/>
    </row>
    <row r="15132" spans="1:14" s="2" customFormat="1">
      <c r="A15132" s="83"/>
      <c r="H15132" s="83"/>
      <c r="K15132" s="82"/>
      <c r="M15132" s="112"/>
      <c r="N15132" s="84"/>
    </row>
    <row r="15133" spans="1:14" s="2" customFormat="1">
      <c r="A15133" s="83"/>
      <c r="H15133" s="83"/>
      <c r="K15133" s="82"/>
      <c r="M15133" s="112"/>
      <c r="N15133" s="84"/>
    </row>
    <row r="15134" spans="1:14" s="2" customFormat="1">
      <c r="A15134" s="83"/>
      <c r="H15134" s="83"/>
      <c r="K15134" s="82"/>
      <c r="M15134" s="112"/>
      <c r="N15134" s="84"/>
    </row>
    <row r="15135" spans="1:14" s="2" customFormat="1">
      <c r="A15135" s="83"/>
      <c r="H15135" s="83"/>
      <c r="K15135" s="82"/>
      <c r="M15135" s="112"/>
      <c r="N15135" s="84"/>
    </row>
    <row r="15136" spans="1:14" s="2" customFormat="1">
      <c r="A15136" s="83"/>
      <c r="H15136" s="83"/>
      <c r="K15136" s="82"/>
      <c r="M15136" s="112"/>
      <c r="N15136" s="84"/>
    </row>
    <row r="15137" spans="1:14" s="2" customFormat="1">
      <c r="A15137" s="83"/>
      <c r="H15137" s="83"/>
      <c r="K15137" s="82"/>
      <c r="M15137" s="112"/>
      <c r="N15137" s="84"/>
    </row>
    <row r="15138" spans="1:14" s="2" customFormat="1">
      <c r="A15138" s="83"/>
      <c r="H15138" s="83"/>
      <c r="K15138" s="82"/>
      <c r="M15138" s="112"/>
      <c r="N15138" s="84"/>
    </row>
    <row r="15139" spans="1:14" s="2" customFormat="1">
      <c r="A15139" s="83"/>
      <c r="H15139" s="83"/>
      <c r="K15139" s="82"/>
      <c r="M15139" s="112"/>
      <c r="N15139" s="84"/>
    </row>
    <row r="15140" spans="1:14" s="2" customFormat="1">
      <c r="A15140" s="83"/>
      <c r="H15140" s="83"/>
      <c r="K15140" s="82"/>
      <c r="M15140" s="112"/>
      <c r="N15140" s="84"/>
    </row>
    <row r="15141" spans="1:14" s="2" customFormat="1">
      <c r="A15141" s="83"/>
      <c r="H15141" s="83"/>
      <c r="K15141" s="82"/>
      <c r="M15141" s="112"/>
      <c r="N15141" s="84"/>
    </row>
    <row r="15142" spans="1:14" s="2" customFormat="1">
      <c r="A15142" s="83"/>
      <c r="H15142" s="83"/>
      <c r="K15142" s="82"/>
      <c r="M15142" s="112"/>
      <c r="N15142" s="84"/>
    </row>
    <row r="15143" spans="1:14" s="2" customFormat="1">
      <c r="A15143" s="83"/>
      <c r="H15143" s="83"/>
      <c r="K15143" s="82"/>
      <c r="M15143" s="112"/>
      <c r="N15143" s="84"/>
    </row>
    <row r="15144" spans="1:14" s="2" customFormat="1">
      <c r="A15144" s="83"/>
      <c r="H15144" s="83"/>
      <c r="K15144" s="82"/>
      <c r="M15144" s="112"/>
      <c r="N15144" s="84"/>
    </row>
    <row r="15145" spans="1:14" s="2" customFormat="1">
      <c r="A15145" s="83"/>
      <c r="H15145" s="83"/>
      <c r="K15145" s="82"/>
      <c r="M15145" s="112"/>
      <c r="N15145" s="84"/>
    </row>
    <row r="15146" spans="1:14" s="2" customFormat="1">
      <c r="A15146" s="83"/>
      <c r="H15146" s="83"/>
      <c r="K15146" s="82"/>
      <c r="M15146" s="112"/>
      <c r="N15146" s="84"/>
    </row>
    <row r="15147" spans="1:14" s="2" customFormat="1">
      <c r="A15147" s="83"/>
      <c r="H15147" s="83"/>
      <c r="K15147" s="82"/>
      <c r="M15147" s="112"/>
      <c r="N15147" s="84"/>
    </row>
    <row r="15148" spans="1:14" s="2" customFormat="1">
      <c r="A15148" s="83"/>
      <c r="H15148" s="83"/>
      <c r="K15148" s="82"/>
      <c r="M15148" s="112"/>
      <c r="N15148" s="84"/>
    </row>
    <row r="15149" spans="1:14" s="2" customFormat="1">
      <c r="A15149" s="83"/>
      <c r="H15149" s="83"/>
      <c r="K15149" s="82"/>
      <c r="M15149" s="112"/>
      <c r="N15149" s="84"/>
    </row>
    <row r="15150" spans="1:14" s="2" customFormat="1">
      <c r="A15150" s="83"/>
      <c r="H15150" s="83"/>
      <c r="K15150" s="82"/>
      <c r="M15150" s="112"/>
      <c r="N15150" s="84"/>
    </row>
    <row r="15151" spans="1:14" s="2" customFormat="1">
      <c r="A15151" s="83"/>
      <c r="H15151" s="83"/>
      <c r="K15151" s="82"/>
      <c r="M15151" s="112"/>
      <c r="N15151" s="84"/>
    </row>
    <row r="15152" spans="1:14" s="2" customFormat="1">
      <c r="A15152" s="83"/>
      <c r="H15152" s="83"/>
      <c r="K15152" s="82"/>
      <c r="M15152" s="112"/>
      <c r="N15152" s="84"/>
    </row>
    <row r="15153" spans="1:14" s="2" customFormat="1">
      <c r="A15153" s="83"/>
      <c r="H15153" s="83"/>
      <c r="K15153" s="82"/>
      <c r="M15153" s="112"/>
      <c r="N15153" s="84"/>
    </row>
    <row r="15154" spans="1:14" s="2" customFormat="1">
      <c r="A15154" s="83"/>
      <c r="H15154" s="83"/>
      <c r="K15154" s="82"/>
      <c r="M15154" s="112"/>
      <c r="N15154" s="84"/>
    </row>
    <row r="15155" spans="1:14" s="2" customFormat="1">
      <c r="A15155" s="83"/>
      <c r="H15155" s="83"/>
      <c r="K15155" s="82"/>
      <c r="M15155" s="112"/>
      <c r="N15155" s="84"/>
    </row>
    <row r="15156" spans="1:14" s="2" customFormat="1">
      <c r="A15156" s="83"/>
      <c r="H15156" s="83"/>
      <c r="K15156" s="82"/>
      <c r="M15156" s="112"/>
      <c r="N15156" s="84"/>
    </row>
    <row r="15157" spans="1:14" s="2" customFormat="1">
      <c r="A15157" s="83"/>
      <c r="H15157" s="83"/>
      <c r="K15157" s="82"/>
      <c r="M15157" s="112"/>
      <c r="N15157" s="84"/>
    </row>
    <row r="15158" spans="1:14" s="2" customFormat="1">
      <c r="A15158" s="83"/>
      <c r="H15158" s="83"/>
      <c r="K15158" s="82"/>
      <c r="M15158" s="112"/>
      <c r="N15158" s="84"/>
    </row>
    <row r="15159" spans="1:14" s="2" customFormat="1">
      <c r="A15159" s="83"/>
      <c r="H15159" s="83"/>
      <c r="K15159" s="82"/>
      <c r="M15159" s="112"/>
      <c r="N15159" s="84"/>
    </row>
    <row r="15160" spans="1:14" s="2" customFormat="1">
      <c r="A15160" s="83"/>
      <c r="H15160" s="83"/>
      <c r="K15160" s="82"/>
      <c r="M15160" s="112"/>
      <c r="N15160" s="84"/>
    </row>
    <row r="15161" spans="1:14" s="2" customFormat="1">
      <c r="A15161" s="83"/>
      <c r="H15161" s="83"/>
      <c r="K15161" s="82"/>
      <c r="M15161" s="112"/>
      <c r="N15161" s="84"/>
    </row>
    <row r="15162" spans="1:14" s="2" customFormat="1">
      <c r="A15162" s="83"/>
      <c r="H15162" s="83"/>
      <c r="K15162" s="82"/>
      <c r="M15162" s="112"/>
      <c r="N15162" s="84"/>
    </row>
    <row r="15163" spans="1:14" s="2" customFormat="1">
      <c r="A15163" s="83"/>
      <c r="H15163" s="83"/>
      <c r="K15163" s="82"/>
      <c r="M15163" s="112"/>
      <c r="N15163" s="84"/>
    </row>
    <row r="15164" spans="1:14" s="2" customFormat="1">
      <c r="A15164" s="83"/>
      <c r="H15164" s="83"/>
      <c r="K15164" s="82"/>
      <c r="M15164" s="112"/>
      <c r="N15164" s="84"/>
    </row>
    <row r="15165" spans="1:14" s="2" customFormat="1">
      <c r="A15165" s="83"/>
      <c r="H15165" s="83"/>
      <c r="K15165" s="82"/>
      <c r="M15165" s="112"/>
      <c r="N15165" s="84"/>
    </row>
    <row r="15166" spans="1:14" s="2" customFormat="1">
      <c r="A15166" s="83"/>
      <c r="H15166" s="83"/>
      <c r="K15166" s="82"/>
      <c r="M15166" s="112"/>
      <c r="N15166" s="84"/>
    </row>
    <row r="15167" spans="1:14" s="2" customFormat="1">
      <c r="A15167" s="83"/>
      <c r="H15167" s="83"/>
      <c r="K15167" s="82"/>
      <c r="M15167" s="112"/>
      <c r="N15167" s="84"/>
    </row>
    <row r="15168" spans="1:14" s="2" customFormat="1">
      <c r="A15168" s="83"/>
      <c r="H15168" s="83"/>
      <c r="K15168" s="82"/>
      <c r="M15168" s="112"/>
      <c r="N15168" s="84"/>
    </row>
    <row r="15169" spans="1:14" s="2" customFormat="1">
      <c r="A15169" s="83"/>
      <c r="H15169" s="83"/>
      <c r="K15169" s="82"/>
      <c r="M15169" s="112"/>
      <c r="N15169" s="84"/>
    </row>
    <row r="15170" spans="1:14" s="2" customFormat="1">
      <c r="A15170" s="83"/>
      <c r="H15170" s="83"/>
      <c r="K15170" s="82"/>
      <c r="M15170" s="112"/>
      <c r="N15170" s="84"/>
    </row>
    <row r="15171" spans="1:14" s="2" customFormat="1">
      <c r="A15171" s="83"/>
      <c r="H15171" s="83"/>
      <c r="K15171" s="82"/>
      <c r="M15171" s="112"/>
      <c r="N15171" s="84"/>
    </row>
    <row r="15172" spans="1:14" s="2" customFormat="1">
      <c r="A15172" s="83"/>
      <c r="H15172" s="83"/>
      <c r="K15172" s="82"/>
      <c r="M15172" s="112"/>
      <c r="N15172" s="84"/>
    </row>
    <row r="15173" spans="1:14" s="2" customFormat="1">
      <c r="A15173" s="83"/>
      <c r="H15173" s="83"/>
      <c r="K15173" s="82"/>
      <c r="M15173" s="112"/>
      <c r="N15173" s="84"/>
    </row>
    <row r="15174" spans="1:14" s="2" customFormat="1">
      <c r="A15174" s="83"/>
      <c r="H15174" s="83"/>
      <c r="K15174" s="82"/>
      <c r="M15174" s="112"/>
      <c r="N15174" s="84"/>
    </row>
    <row r="15175" spans="1:14" s="2" customFormat="1">
      <c r="A15175" s="83"/>
      <c r="H15175" s="83"/>
      <c r="K15175" s="82"/>
      <c r="M15175" s="112"/>
      <c r="N15175" s="84"/>
    </row>
    <row r="15176" spans="1:14" s="2" customFormat="1">
      <c r="A15176" s="83"/>
      <c r="H15176" s="83"/>
      <c r="K15176" s="82"/>
      <c r="M15176" s="112"/>
      <c r="N15176" s="84"/>
    </row>
    <row r="15177" spans="1:14" s="2" customFormat="1">
      <c r="A15177" s="83"/>
      <c r="H15177" s="83"/>
      <c r="K15177" s="82"/>
      <c r="M15177" s="112"/>
      <c r="N15177" s="84"/>
    </row>
    <row r="15178" spans="1:14" s="2" customFormat="1">
      <c r="A15178" s="83"/>
      <c r="H15178" s="83"/>
      <c r="K15178" s="82"/>
      <c r="M15178" s="112"/>
      <c r="N15178" s="84"/>
    </row>
    <row r="15179" spans="1:14" s="2" customFormat="1">
      <c r="A15179" s="83"/>
      <c r="H15179" s="83"/>
      <c r="K15179" s="82"/>
      <c r="M15179" s="112"/>
      <c r="N15179" s="84"/>
    </row>
    <row r="15180" spans="1:14" s="2" customFormat="1">
      <c r="A15180" s="83"/>
      <c r="H15180" s="83"/>
      <c r="K15180" s="82"/>
      <c r="M15180" s="112"/>
      <c r="N15180" s="84"/>
    </row>
    <row r="15181" spans="1:14" s="2" customFormat="1">
      <c r="A15181" s="83"/>
      <c r="H15181" s="83"/>
      <c r="K15181" s="82"/>
      <c r="M15181" s="112"/>
      <c r="N15181" s="84"/>
    </row>
    <row r="15182" spans="1:14" s="2" customFormat="1">
      <c r="A15182" s="83"/>
      <c r="H15182" s="83"/>
      <c r="K15182" s="82"/>
      <c r="M15182" s="112"/>
      <c r="N15182" s="84"/>
    </row>
    <row r="15183" spans="1:14" s="2" customFormat="1">
      <c r="A15183" s="83"/>
      <c r="H15183" s="83"/>
      <c r="K15183" s="82"/>
      <c r="M15183" s="112"/>
      <c r="N15183" s="84"/>
    </row>
    <row r="15184" spans="1:14" s="2" customFormat="1">
      <c r="A15184" s="83"/>
      <c r="H15184" s="83"/>
      <c r="K15184" s="82"/>
      <c r="M15184" s="112"/>
      <c r="N15184" s="84"/>
    </row>
    <row r="15185" spans="1:14" s="2" customFormat="1">
      <c r="A15185" s="83"/>
      <c r="H15185" s="83"/>
      <c r="K15185" s="82"/>
      <c r="M15185" s="112"/>
      <c r="N15185" s="84"/>
    </row>
    <row r="15186" spans="1:14" s="2" customFormat="1">
      <c r="A15186" s="83"/>
      <c r="H15186" s="83"/>
      <c r="K15186" s="82"/>
      <c r="M15186" s="112"/>
      <c r="N15186" s="84"/>
    </row>
    <row r="15187" spans="1:14" s="2" customFormat="1">
      <c r="A15187" s="83"/>
      <c r="H15187" s="83"/>
      <c r="K15187" s="82"/>
      <c r="M15187" s="112"/>
      <c r="N15187" s="84"/>
    </row>
    <row r="15188" spans="1:14" s="2" customFormat="1">
      <c r="A15188" s="83"/>
      <c r="H15188" s="83"/>
      <c r="K15188" s="82"/>
      <c r="M15188" s="112"/>
      <c r="N15188" s="84"/>
    </row>
    <row r="15189" spans="1:14" s="2" customFormat="1">
      <c r="A15189" s="83"/>
      <c r="H15189" s="83"/>
      <c r="K15189" s="82"/>
      <c r="M15189" s="112"/>
      <c r="N15189" s="84"/>
    </row>
    <row r="15190" spans="1:14" s="2" customFormat="1">
      <c r="A15190" s="83"/>
      <c r="H15190" s="83"/>
      <c r="K15190" s="82"/>
      <c r="M15190" s="112"/>
      <c r="N15190" s="84"/>
    </row>
    <row r="15191" spans="1:14" s="2" customFormat="1">
      <c r="A15191" s="83"/>
      <c r="H15191" s="83"/>
      <c r="K15191" s="82"/>
      <c r="M15191" s="112"/>
      <c r="N15191" s="84"/>
    </row>
    <row r="15192" spans="1:14" s="2" customFormat="1">
      <c r="A15192" s="83"/>
      <c r="H15192" s="83"/>
      <c r="K15192" s="82"/>
      <c r="M15192" s="112"/>
      <c r="N15192" s="84"/>
    </row>
    <row r="15193" spans="1:14" s="2" customFormat="1">
      <c r="A15193" s="83"/>
      <c r="H15193" s="83"/>
      <c r="K15193" s="82"/>
      <c r="M15193" s="112"/>
      <c r="N15193" s="84"/>
    </row>
    <row r="15194" spans="1:14" s="2" customFormat="1">
      <c r="A15194" s="83"/>
      <c r="H15194" s="83"/>
      <c r="K15194" s="82"/>
      <c r="M15194" s="112"/>
      <c r="N15194" s="84"/>
    </row>
    <row r="15195" spans="1:14" s="2" customFormat="1">
      <c r="A15195" s="83"/>
      <c r="H15195" s="83"/>
      <c r="K15195" s="82"/>
      <c r="M15195" s="112"/>
      <c r="N15195" s="84"/>
    </row>
    <row r="15196" spans="1:14" s="2" customFormat="1">
      <c r="A15196" s="83"/>
      <c r="H15196" s="83"/>
      <c r="K15196" s="82"/>
      <c r="M15196" s="112"/>
      <c r="N15196" s="84"/>
    </row>
    <row r="15197" spans="1:14" s="2" customFormat="1">
      <c r="A15197" s="83"/>
      <c r="H15197" s="83"/>
      <c r="K15197" s="82"/>
      <c r="M15197" s="112"/>
      <c r="N15197" s="84"/>
    </row>
    <row r="15198" spans="1:14" s="2" customFormat="1">
      <c r="A15198" s="83"/>
      <c r="H15198" s="83"/>
      <c r="K15198" s="82"/>
      <c r="M15198" s="112"/>
      <c r="N15198" s="84"/>
    </row>
    <row r="15199" spans="1:14" s="2" customFormat="1">
      <c r="A15199" s="83"/>
      <c r="H15199" s="83"/>
      <c r="K15199" s="82"/>
      <c r="M15199" s="112"/>
      <c r="N15199" s="84"/>
    </row>
    <row r="15200" spans="1:14" s="2" customFormat="1">
      <c r="A15200" s="83"/>
      <c r="H15200" s="83"/>
      <c r="K15200" s="82"/>
      <c r="M15200" s="112"/>
      <c r="N15200" s="84"/>
    </row>
    <row r="15201" spans="1:14" s="2" customFormat="1">
      <c r="A15201" s="83"/>
      <c r="H15201" s="83"/>
      <c r="K15201" s="82"/>
      <c r="M15201" s="112"/>
      <c r="N15201" s="84"/>
    </row>
    <row r="15202" spans="1:14" s="2" customFormat="1">
      <c r="A15202" s="83"/>
      <c r="H15202" s="83"/>
      <c r="K15202" s="82"/>
      <c r="M15202" s="112"/>
      <c r="N15202" s="84"/>
    </row>
    <row r="15203" spans="1:14" s="2" customFormat="1">
      <c r="A15203" s="83"/>
      <c r="H15203" s="83"/>
      <c r="K15203" s="82"/>
      <c r="M15203" s="112"/>
      <c r="N15203" s="84"/>
    </row>
    <row r="15204" spans="1:14" s="2" customFormat="1">
      <c r="A15204" s="83"/>
      <c r="H15204" s="83"/>
      <c r="K15204" s="82"/>
      <c r="M15204" s="112"/>
      <c r="N15204" s="84"/>
    </row>
    <row r="15205" spans="1:14" s="2" customFormat="1">
      <c r="A15205" s="83"/>
      <c r="H15205" s="83"/>
      <c r="K15205" s="82"/>
      <c r="M15205" s="112"/>
      <c r="N15205" s="84"/>
    </row>
    <row r="15206" spans="1:14" s="2" customFormat="1">
      <c r="A15206" s="83"/>
      <c r="H15206" s="83"/>
      <c r="K15206" s="82"/>
      <c r="M15206" s="112"/>
      <c r="N15206" s="84"/>
    </row>
    <row r="15207" spans="1:14" s="2" customFormat="1">
      <c r="A15207" s="83"/>
      <c r="H15207" s="83"/>
      <c r="K15207" s="82"/>
      <c r="M15207" s="112"/>
      <c r="N15207" s="84"/>
    </row>
    <row r="15208" spans="1:14" s="2" customFormat="1">
      <c r="A15208" s="83"/>
      <c r="H15208" s="83"/>
      <c r="K15208" s="82"/>
      <c r="M15208" s="112"/>
      <c r="N15208" s="84"/>
    </row>
    <row r="15209" spans="1:14" s="2" customFormat="1">
      <c r="A15209" s="83"/>
      <c r="H15209" s="83"/>
      <c r="K15209" s="82"/>
      <c r="M15209" s="112"/>
      <c r="N15209" s="84"/>
    </row>
    <row r="15210" spans="1:14" s="2" customFormat="1">
      <c r="A15210" s="83"/>
      <c r="H15210" s="83"/>
      <c r="K15210" s="82"/>
      <c r="M15210" s="112"/>
      <c r="N15210" s="84"/>
    </row>
    <row r="15211" spans="1:14" s="2" customFormat="1">
      <c r="A15211" s="83"/>
      <c r="H15211" s="83"/>
      <c r="K15211" s="82"/>
      <c r="M15211" s="112"/>
      <c r="N15211" s="84"/>
    </row>
    <row r="15212" spans="1:14" s="2" customFormat="1">
      <c r="A15212" s="83"/>
      <c r="H15212" s="83"/>
      <c r="K15212" s="82"/>
      <c r="M15212" s="112"/>
      <c r="N15212" s="84"/>
    </row>
    <row r="15213" spans="1:14" s="2" customFormat="1">
      <c r="A15213" s="83"/>
      <c r="H15213" s="83"/>
      <c r="K15213" s="82"/>
      <c r="M15213" s="112"/>
      <c r="N15213" s="84"/>
    </row>
    <row r="15214" spans="1:14" s="2" customFormat="1">
      <c r="A15214" s="83"/>
      <c r="H15214" s="83"/>
      <c r="K15214" s="82"/>
      <c r="M15214" s="112"/>
      <c r="N15214" s="84"/>
    </row>
    <row r="15215" spans="1:14" s="2" customFormat="1">
      <c r="A15215" s="83"/>
      <c r="H15215" s="83"/>
      <c r="K15215" s="82"/>
      <c r="M15215" s="112"/>
      <c r="N15215" s="84"/>
    </row>
    <row r="15216" spans="1:14" s="2" customFormat="1">
      <c r="A15216" s="83"/>
      <c r="H15216" s="83"/>
      <c r="K15216" s="82"/>
      <c r="M15216" s="112"/>
      <c r="N15216" s="84"/>
    </row>
    <row r="15217" spans="1:14" s="2" customFormat="1">
      <c r="A15217" s="83"/>
      <c r="H15217" s="83"/>
      <c r="K15217" s="82"/>
      <c r="M15217" s="112"/>
      <c r="N15217" s="84"/>
    </row>
    <row r="15218" spans="1:14" s="2" customFormat="1">
      <c r="A15218" s="83"/>
      <c r="H15218" s="83"/>
      <c r="K15218" s="82"/>
      <c r="M15218" s="112"/>
      <c r="N15218" s="84"/>
    </row>
    <row r="15219" spans="1:14" s="2" customFormat="1">
      <c r="A15219" s="83"/>
      <c r="H15219" s="83"/>
      <c r="K15219" s="82"/>
      <c r="M15219" s="112"/>
      <c r="N15219" s="84"/>
    </row>
    <row r="15220" spans="1:14" s="2" customFormat="1">
      <c r="A15220" s="83"/>
      <c r="H15220" s="83"/>
      <c r="K15220" s="82"/>
      <c r="M15220" s="112"/>
      <c r="N15220" s="84"/>
    </row>
    <row r="15221" spans="1:14" s="2" customFormat="1">
      <c r="A15221" s="83"/>
      <c r="H15221" s="83"/>
      <c r="K15221" s="82"/>
      <c r="M15221" s="112"/>
      <c r="N15221" s="84"/>
    </row>
    <row r="15222" spans="1:14" s="2" customFormat="1">
      <c r="A15222" s="83"/>
      <c r="H15222" s="83"/>
      <c r="K15222" s="82"/>
      <c r="M15222" s="112"/>
      <c r="N15222" s="84"/>
    </row>
    <row r="15223" spans="1:14" s="2" customFormat="1">
      <c r="A15223" s="83"/>
      <c r="H15223" s="83"/>
      <c r="K15223" s="82"/>
      <c r="M15223" s="112"/>
      <c r="N15223" s="84"/>
    </row>
    <row r="15224" spans="1:14" s="2" customFormat="1">
      <c r="A15224" s="83"/>
      <c r="H15224" s="83"/>
      <c r="K15224" s="82"/>
      <c r="M15224" s="112"/>
      <c r="N15224" s="84"/>
    </row>
    <row r="15225" spans="1:14" s="2" customFormat="1">
      <c r="A15225" s="83"/>
      <c r="H15225" s="83"/>
      <c r="K15225" s="82"/>
      <c r="M15225" s="112"/>
      <c r="N15225" s="84"/>
    </row>
    <row r="15226" spans="1:14" s="2" customFormat="1">
      <c r="A15226" s="83"/>
      <c r="H15226" s="83"/>
      <c r="K15226" s="82"/>
      <c r="M15226" s="112"/>
      <c r="N15226" s="84"/>
    </row>
    <row r="15227" spans="1:14" s="2" customFormat="1">
      <c r="A15227" s="83"/>
      <c r="H15227" s="83"/>
      <c r="K15227" s="82"/>
      <c r="M15227" s="112"/>
      <c r="N15227" s="84"/>
    </row>
    <row r="15228" spans="1:14" s="2" customFormat="1">
      <c r="A15228" s="83"/>
      <c r="H15228" s="83"/>
      <c r="K15228" s="82"/>
      <c r="M15228" s="112"/>
      <c r="N15228" s="84"/>
    </row>
    <row r="15229" spans="1:14" s="2" customFormat="1">
      <c r="A15229" s="83"/>
      <c r="H15229" s="83"/>
      <c r="K15229" s="82"/>
      <c r="M15229" s="112"/>
      <c r="N15229" s="84"/>
    </row>
    <row r="15230" spans="1:14" s="2" customFormat="1">
      <c r="A15230" s="83"/>
      <c r="H15230" s="83"/>
      <c r="K15230" s="82"/>
      <c r="M15230" s="112"/>
      <c r="N15230" s="84"/>
    </row>
    <row r="15231" spans="1:14" s="2" customFormat="1">
      <c r="A15231" s="83"/>
      <c r="H15231" s="83"/>
      <c r="K15231" s="82"/>
      <c r="M15231" s="112"/>
      <c r="N15231" s="84"/>
    </row>
    <row r="15232" spans="1:14" s="2" customFormat="1">
      <c r="A15232" s="83"/>
      <c r="H15232" s="83"/>
      <c r="K15232" s="82"/>
      <c r="M15232" s="112"/>
      <c r="N15232" s="84"/>
    </row>
    <row r="15233" spans="1:14" s="2" customFormat="1">
      <c r="A15233" s="83"/>
      <c r="H15233" s="83"/>
      <c r="K15233" s="82"/>
      <c r="M15233" s="112"/>
      <c r="N15233" s="84"/>
    </row>
    <row r="15234" spans="1:14" s="2" customFormat="1">
      <c r="A15234" s="83"/>
      <c r="H15234" s="83"/>
      <c r="K15234" s="82"/>
      <c r="M15234" s="112"/>
      <c r="N15234" s="84"/>
    </row>
    <row r="15235" spans="1:14" s="2" customFormat="1">
      <c r="A15235" s="83"/>
      <c r="H15235" s="83"/>
      <c r="K15235" s="82"/>
      <c r="M15235" s="112"/>
      <c r="N15235" s="84"/>
    </row>
    <row r="15236" spans="1:14" s="2" customFormat="1">
      <c r="A15236" s="83"/>
      <c r="H15236" s="83"/>
      <c r="K15236" s="82"/>
      <c r="M15236" s="112"/>
      <c r="N15236" s="84"/>
    </row>
    <row r="15237" spans="1:14" s="2" customFormat="1">
      <c r="A15237" s="83"/>
      <c r="H15237" s="83"/>
      <c r="K15237" s="82"/>
      <c r="M15237" s="112"/>
      <c r="N15237" s="84"/>
    </row>
    <row r="15238" spans="1:14" s="2" customFormat="1">
      <c r="A15238" s="83"/>
      <c r="H15238" s="83"/>
      <c r="K15238" s="82"/>
      <c r="M15238" s="112"/>
      <c r="N15238" s="84"/>
    </row>
    <row r="15239" spans="1:14" s="2" customFormat="1">
      <c r="A15239" s="83"/>
      <c r="H15239" s="83"/>
      <c r="K15239" s="82"/>
      <c r="M15239" s="112"/>
      <c r="N15239" s="84"/>
    </row>
    <row r="15240" spans="1:14" s="2" customFormat="1">
      <c r="A15240" s="83"/>
      <c r="H15240" s="83"/>
      <c r="K15240" s="82"/>
      <c r="M15240" s="112"/>
      <c r="N15240" s="84"/>
    </row>
    <row r="15241" spans="1:14" s="2" customFormat="1">
      <c r="A15241" s="83"/>
      <c r="H15241" s="83"/>
      <c r="K15241" s="82"/>
      <c r="M15241" s="112"/>
      <c r="N15241" s="84"/>
    </row>
    <row r="15242" spans="1:14" s="2" customFormat="1">
      <c r="A15242" s="83"/>
      <c r="H15242" s="83"/>
      <c r="K15242" s="82"/>
      <c r="M15242" s="112"/>
      <c r="N15242" s="84"/>
    </row>
    <row r="15243" spans="1:14" s="2" customFormat="1">
      <c r="A15243" s="83"/>
      <c r="H15243" s="83"/>
      <c r="K15243" s="82"/>
      <c r="M15243" s="112"/>
      <c r="N15243" s="84"/>
    </row>
    <row r="15244" spans="1:14" s="2" customFormat="1">
      <c r="A15244" s="83"/>
      <c r="H15244" s="83"/>
      <c r="K15244" s="82"/>
      <c r="M15244" s="112"/>
      <c r="N15244" s="84"/>
    </row>
    <row r="15245" spans="1:14" s="2" customFormat="1">
      <c r="A15245" s="83"/>
      <c r="H15245" s="83"/>
      <c r="K15245" s="82"/>
      <c r="M15245" s="112"/>
      <c r="N15245" s="84"/>
    </row>
    <row r="15246" spans="1:14" s="2" customFormat="1">
      <c r="A15246" s="83"/>
      <c r="H15246" s="83"/>
      <c r="K15246" s="82"/>
      <c r="M15246" s="112"/>
      <c r="N15246" s="84"/>
    </row>
    <row r="15247" spans="1:14" s="2" customFormat="1">
      <c r="A15247" s="83"/>
      <c r="H15247" s="83"/>
      <c r="K15247" s="82"/>
      <c r="M15247" s="112"/>
      <c r="N15247" s="84"/>
    </row>
    <row r="15248" spans="1:14" s="2" customFormat="1">
      <c r="A15248" s="83"/>
      <c r="H15248" s="83"/>
      <c r="K15248" s="82"/>
      <c r="M15248" s="112"/>
      <c r="N15248" s="84"/>
    </row>
    <row r="15249" spans="1:14" s="2" customFormat="1">
      <c r="A15249" s="83"/>
      <c r="H15249" s="83"/>
      <c r="K15249" s="82"/>
      <c r="M15249" s="112"/>
      <c r="N15249" s="84"/>
    </row>
    <row r="15250" spans="1:14" s="2" customFormat="1">
      <c r="A15250" s="83"/>
      <c r="H15250" s="83"/>
      <c r="K15250" s="82"/>
      <c r="M15250" s="112"/>
      <c r="N15250" s="84"/>
    </row>
    <row r="15251" spans="1:14" s="2" customFormat="1">
      <c r="A15251" s="83"/>
      <c r="H15251" s="83"/>
      <c r="K15251" s="82"/>
      <c r="M15251" s="112"/>
      <c r="N15251" s="84"/>
    </row>
    <row r="15252" spans="1:14" s="2" customFormat="1">
      <c r="A15252" s="83"/>
      <c r="H15252" s="83"/>
      <c r="K15252" s="82"/>
      <c r="M15252" s="112"/>
      <c r="N15252" s="84"/>
    </row>
    <row r="15253" spans="1:14" s="2" customFormat="1">
      <c r="A15253" s="83"/>
      <c r="H15253" s="83"/>
      <c r="K15253" s="82"/>
      <c r="M15253" s="112"/>
      <c r="N15253" s="84"/>
    </row>
    <row r="15254" spans="1:14" s="2" customFormat="1">
      <c r="A15254" s="83"/>
      <c r="H15254" s="83"/>
      <c r="K15254" s="82"/>
      <c r="M15254" s="112"/>
      <c r="N15254" s="84"/>
    </row>
    <row r="15255" spans="1:14" s="2" customFormat="1">
      <c r="A15255" s="83"/>
      <c r="H15255" s="83"/>
      <c r="K15255" s="82"/>
      <c r="M15255" s="112"/>
      <c r="N15255" s="84"/>
    </row>
    <row r="15256" spans="1:14" s="2" customFormat="1">
      <c r="A15256" s="83"/>
      <c r="H15256" s="83"/>
      <c r="K15256" s="82"/>
      <c r="M15256" s="112"/>
      <c r="N15256" s="84"/>
    </row>
    <row r="15257" spans="1:14" s="2" customFormat="1">
      <c r="A15257" s="83"/>
      <c r="H15257" s="83"/>
      <c r="K15257" s="82"/>
      <c r="M15257" s="112"/>
      <c r="N15257" s="84"/>
    </row>
    <row r="15258" spans="1:14" s="2" customFormat="1">
      <c r="A15258" s="83"/>
      <c r="H15258" s="83"/>
      <c r="K15258" s="82"/>
      <c r="M15258" s="112"/>
      <c r="N15258" s="84"/>
    </row>
    <row r="15259" spans="1:14" s="2" customFormat="1">
      <c r="A15259" s="83"/>
      <c r="H15259" s="83"/>
      <c r="K15259" s="82"/>
      <c r="M15259" s="112"/>
      <c r="N15259" s="84"/>
    </row>
    <row r="15260" spans="1:14" s="2" customFormat="1">
      <c r="A15260" s="83"/>
      <c r="H15260" s="83"/>
      <c r="K15260" s="82"/>
      <c r="M15260" s="112"/>
      <c r="N15260" s="84"/>
    </row>
    <row r="15261" spans="1:14" s="2" customFormat="1">
      <c r="A15261" s="83"/>
      <c r="H15261" s="83"/>
      <c r="K15261" s="82"/>
      <c r="M15261" s="112"/>
      <c r="N15261" s="84"/>
    </row>
    <row r="15262" spans="1:14" s="2" customFormat="1">
      <c r="A15262" s="83"/>
      <c r="H15262" s="83"/>
      <c r="K15262" s="82"/>
      <c r="M15262" s="112"/>
      <c r="N15262" s="84"/>
    </row>
    <row r="15263" spans="1:14" s="2" customFormat="1">
      <c r="A15263" s="83"/>
      <c r="H15263" s="83"/>
      <c r="K15263" s="82"/>
      <c r="M15263" s="112"/>
      <c r="N15263" s="84"/>
    </row>
    <row r="15264" spans="1:14" s="2" customFormat="1">
      <c r="A15264" s="83"/>
      <c r="H15264" s="83"/>
      <c r="K15264" s="82"/>
      <c r="M15264" s="112"/>
      <c r="N15264" s="84"/>
    </row>
    <row r="15265" spans="1:14" s="2" customFormat="1">
      <c r="A15265" s="83"/>
      <c r="H15265" s="83"/>
      <c r="K15265" s="82"/>
      <c r="M15265" s="112"/>
      <c r="N15265" s="84"/>
    </row>
    <row r="15266" spans="1:14" s="2" customFormat="1">
      <c r="A15266" s="83"/>
      <c r="H15266" s="83"/>
      <c r="K15266" s="82"/>
      <c r="M15266" s="112"/>
      <c r="N15266" s="84"/>
    </row>
    <row r="15267" spans="1:14" s="2" customFormat="1">
      <c r="A15267" s="83"/>
      <c r="H15267" s="83"/>
      <c r="K15267" s="82"/>
      <c r="M15267" s="112"/>
      <c r="N15267" s="84"/>
    </row>
    <row r="15268" spans="1:14" s="2" customFormat="1">
      <c r="A15268" s="83"/>
      <c r="H15268" s="83"/>
      <c r="K15268" s="82"/>
      <c r="M15268" s="112"/>
      <c r="N15268" s="84"/>
    </row>
    <row r="15269" spans="1:14" s="2" customFormat="1">
      <c r="A15269" s="83"/>
      <c r="H15269" s="83"/>
      <c r="K15269" s="82"/>
      <c r="M15269" s="112"/>
      <c r="N15269" s="84"/>
    </row>
    <row r="15270" spans="1:14" s="2" customFormat="1">
      <c r="A15270" s="83"/>
      <c r="H15270" s="83"/>
      <c r="K15270" s="82"/>
      <c r="M15270" s="112"/>
      <c r="N15270" s="84"/>
    </row>
    <row r="15271" spans="1:14" s="2" customFormat="1">
      <c r="A15271" s="83"/>
      <c r="H15271" s="83"/>
      <c r="K15271" s="82"/>
      <c r="M15271" s="112"/>
      <c r="N15271" s="84"/>
    </row>
    <row r="15272" spans="1:14" s="2" customFormat="1">
      <c r="A15272" s="83"/>
      <c r="H15272" s="83"/>
      <c r="K15272" s="82"/>
      <c r="M15272" s="112"/>
      <c r="N15272" s="84"/>
    </row>
    <row r="15273" spans="1:14" s="2" customFormat="1">
      <c r="A15273" s="83"/>
      <c r="H15273" s="83"/>
      <c r="K15273" s="82"/>
      <c r="M15273" s="112"/>
      <c r="N15273" s="84"/>
    </row>
    <row r="15274" spans="1:14" s="2" customFormat="1">
      <c r="A15274" s="83"/>
      <c r="H15274" s="83"/>
      <c r="K15274" s="82"/>
      <c r="M15274" s="112"/>
      <c r="N15274" s="84"/>
    </row>
    <row r="15275" spans="1:14" s="2" customFormat="1">
      <c r="A15275" s="83"/>
      <c r="H15275" s="83"/>
      <c r="K15275" s="82"/>
      <c r="M15275" s="112"/>
      <c r="N15275" s="84"/>
    </row>
    <row r="15276" spans="1:14" s="2" customFormat="1">
      <c r="A15276" s="83"/>
      <c r="H15276" s="83"/>
      <c r="K15276" s="82"/>
      <c r="M15276" s="112"/>
      <c r="N15276" s="84"/>
    </row>
    <row r="15277" spans="1:14" s="2" customFormat="1">
      <c r="A15277" s="83"/>
      <c r="H15277" s="83"/>
      <c r="K15277" s="82"/>
      <c r="M15277" s="112"/>
      <c r="N15277" s="84"/>
    </row>
    <row r="15278" spans="1:14" s="2" customFormat="1">
      <c r="A15278" s="83"/>
      <c r="H15278" s="83"/>
      <c r="K15278" s="82"/>
      <c r="M15278" s="112"/>
      <c r="N15278" s="84"/>
    </row>
    <row r="15279" spans="1:14" s="2" customFormat="1">
      <c r="A15279" s="83"/>
      <c r="H15279" s="83"/>
      <c r="K15279" s="82"/>
      <c r="M15279" s="112"/>
      <c r="N15279" s="84"/>
    </row>
    <row r="15280" spans="1:14" s="2" customFormat="1">
      <c r="A15280" s="83"/>
      <c r="H15280" s="83"/>
      <c r="K15280" s="82"/>
      <c r="M15280" s="112"/>
      <c r="N15280" s="84"/>
    </row>
    <row r="15281" spans="1:14" s="2" customFormat="1">
      <c r="A15281" s="83"/>
      <c r="H15281" s="83"/>
      <c r="K15281" s="82"/>
      <c r="M15281" s="112"/>
      <c r="N15281" s="84"/>
    </row>
    <row r="15282" spans="1:14" s="2" customFormat="1">
      <c r="A15282" s="83"/>
      <c r="H15282" s="83"/>
      <c r="K15282" s="82"/>
      <c r="M15282" s="112"/>
      <c r="N15282" s="84"/>
    </row>
    <row r="15283" spans="1:14" s="2" customFormat="1">
      <c r="A15283" s="83"/>
      <c r="H15283" s="83"/>
      <c r="K15283" s="82"/>
      <c r="M15283" s="112"/>
      <c r="N15283" s="84"/>
    </row>
    <row r="15284" spans="1:14" s="2" customFormat="1">
      <c r="A15284" s="83"/>
      <c r="H15284" s="83"/>
      <c r="K15284" s="82"/>
      <c r="M15284" s="112"/>
      <c r="N15284" s="84"/>
    </row>
    <row r="15285" spans="1:14" s="2" customFormat="1">
      <c r="A15285" s="83"/>
      <c r="H15285" s="83"/>
      <c r="K15285" s="82"/>
      <c r="M15285" s="112"/>
      <c r="N15285" s="84"/>
    </row>
    <row r="15286" spans="1:14" s="2" customFormat="1">
      <c r="A15286" s="83"/>
      <c r="H15286" s="83"/>
      <c r="K15286" s="82"/>
      <c r="M15286" s="112"/>
      <c r="N15286" s="84"/>
    </row>
    <row r="15287" spans="1:14" s="2" customFormat="1">
      <c r="A15287" s="83"/>
      <c r="H15287" s="83"/>
      <c r="K15287" s="82"/>
      <c r="M15287" s="112"/>
      <c r="N15287" s="84"/>
    </row>
    <row r="15288" spans="1:14" s="2" customFormat="1">
      <c r="A15288" s="83"/>
      <c r="H15288" s="83"/>
      <c r="K15288" s="82"/>
      <c r="M15288" s="112"/>
      <c r="N15288" s="84"/>
    </row>
    <row r="15289" spans="1:14" s="2" customFormat="1">
      <c r="A15289" s="83"/>
      <c r="H15289" s="83"/>
      <c r="K15289" s="82"/>
      <c r="M15289" s="112"/>
      <c r="N15289" s="84"/>
    </row>
    <row r="15290" spans="1:14" s="2" customFormat="1">
      <c r="A15290" s="83"/>
      <c r="H15290" s="83"/>
      <c r="K15290" s="82"/>
      <c r="M15290" s="112"/>
      <c r="N15290" s="84"/>
    </row>
    <row r="15291" spans="1:14" s="2" customFormat="1">
      <c r="A15291" s="83"/>
      <c r="H15291" s="83"/>
      <c r="K15291" s="82"/>
      <c r="M15291" s="112"/>
      <c r="N15291" s="84"/>
    </row>
    <row r="15292" spans="1:14" s="2" customFormat="1">
      <c r="A15292" s="83"/>
      <c r="H15292" s="83"/>
      <c r="K15292" s="82"/>
      <c r="M15292" s="112"/>
      <c r="N15292" s="84"/>
    </row>
    <row r="15293" spans="1:14" s="2" customFormat="1">
      <c r="A15293" s="83"/>
      <c r="H15293" s="83"/>
      <c r="K15293" s="82"/>
      <c r="M15293" s="112"/>
      <c r="N15293" s="84"/>
    </row>
    <row r="15294" spans="1:14" s="2" customFormat="1">
      <c r="A15294" s="83"/>
      <c r="H15294" s="83"/>
      <c r="K15294" s="82"/>
      <c r="M15294" s="112"/>
      <c r="N15294" s="84"/>
    </row>
    <row r="15295" spans="1:14" s="2" customFormat="1">
      <c r="A15295" s="83"/>
      <c r="H15295" s="83"/>
      <c r="K15295" s="82"/>
      <c r="M15295" s="112"/>
      <c r="N15295" s="84"/>
    </row>
    <row r="15296" spans="1:14" s="2" customFormat="1">
      <c r="A15296" s="83"/>
      <c r="H15296" s="83"/>
      <c r="K15296" s="82"/>
      <c r="M15296" s="112"/>
      <c r="N15296" s="84"/>
    </row>
    <row r="15297" spans="1:14" s="2" customFormat="1">
      <c r="A15297" s="83"/>
      <c r="H15297" s="83"/>
      <c r="K15297" s="82"/>
      <c r="M15297" s="112"/>
      <c r="N15297" s="84"/>
    </row>
    <row r="15298" spans="1:14" s="2" customFormat="1">
      <c r="A15298" s="83"/>
      <c r="H15298" s="83"/>
      <c r="K15298" s="82"/>
      <c r="M15298" s="112"/>
      <c r="N15298" s="84"/>
    </row>
    <row r="15299" spans="1:14" s="2" customFormat="1">
      <c r="A15299" s="83"/>
      <c r="H15299" s="83"/>
      <c r="K15299" s="82"/>
      <c r="M15299" s="112"/>
      <c r="N15299" s="84"/>
    </row>
    <row r="15300" spans="1:14" s="2" customFormat="1">
      <c r="A15300" s="83"/>
      <c r="H15300" s="83"/>
      <c r="K15300" s="82"/>
      <c r="M15300" s="112"/>
      <c r="N15300" s="84"/>
    </row>
    <row r="15301" spans="1:14" s="2" customFormat="1">
      <c r="A15301" s="83"/>
      <c r="H15301" s="83"/>
      <c r="K15301" s="82"/>
      <c r="M15301" s="112"/>
      <c r="N15301" s="84"/>
    </row>
    <row r="15302" spans="1:14" s="2" customFormat="1">
      <c r="A15302" s="83"/>
      <c r="H15302" s="83"/>
      <c r="K15302" s="82"/>
      <c r="M15302" s="112"/>
      <c r="N15302" s="84"/>
    </row>
    <row r="15303" spans="1:14" s="2" customFormat="1">
      <c r="A15303" s="83"/>
      <c r="H15303" s="83"/>
      <c r="K15303" s="82"/>
      <c r="M15303" s="112"/>
      <c r="N15303" s="84"/>
    </row>
    <row r="15304" spans="1:14" s="2" customFormat="1">
      <c r="A15304" s="83"/>
      <c r="H15304" s="83"/>
      <c r="K15304" s="82"/>
      <c r="M15304" s="112"/>
      <c r="N15304" s="84"/>
    </row>
    <row r="15305" spans="1:14" s="2" customFormat="1">
      <c r="A15305" s="83"/>
      <c r="H15305" s="83"/>
      <c r="K15305" s="82"/>
      <c r="M15305" s="112"/>
      <c r="N15305" s="84"/>
    </row>
    <row r="15306" spans="1:14" s="2" customFormat="1">
      <c r="A15306" s="83"/>
      <c r="H15306" s="83"/>
      <c r="K15306" s="82"/>
      <c r="M15306" s="112"/>
      <c r="N15306" s="84"/>
    </row>
    <row r="15307" spans="1:14" s="2" customFormat="1">
      <c r="A15307" s="83"/>
      <c r="H15307" s="83"/>
      <c r="K15307" s="82"/>
      <c r="M15307" s="112"/>
      <c r="N15307" s="84"/>
    </row>
    <row r="15308" spans="1:14" s="2" customFormat="1">
      <c r="A15308" s="83"/>
      <c r="H15308" s="83"/>
      <c r="K15308" s="82"/>
      <c r="M15308" s="112"/>
      <c r="N15308" s="84"/>
    </row>
    <row r="15309" spans="1:14" s="2" customFormat="1">
      <c r="A15309" s="83"/>
      <c r="H15309" s="83"/>
      <c r="K15309" s="82"/>
      <c r="M15309" s="112"/>
      <c r="N15309" s="84"/>
    </row>
    <row r="15310" spans="1:14" s="2" customFormat="1">
      <c r="A15310" s="83"/>
      <c r="H15310" s="83"/>
      <c r="K15310" s="82"/>
      <c r="M15310" s="112"/>
      <c r="N15310" s="84"/>
    </row>
    <row r="15311" spans="1:14" s="2" customFormat="1">
      <c r="A15311" s="83"/>
      <c r="H15311" s="83"/>
      <c r="K15311" s="82"/>
      <c r="M15311" s="112"/>
      <c r="N15311" s="84"/>
    </row>
    <row r="15312" spans="1:14" s="2" customFormat="1">
      <c r="A15312" s="83"/>
      <c r="H15312" s="83"/>
      <c r="K15312" s="82"/>
      <c r="M15312" s="112"/>
      <c r="N15312" s="84"/>
    </row>
    <row r="15313" spans="1:14" s="2" customFormat="1">
      <c r="A15313" s="83"/>
      <c r="H15313" s="83"/>
      <c r="K15313" s="82"/>
      <c r="M15313" s="112"/>
      <c r="N15313" s="84"/>
    </row>
    <row r="15314" spans="1:14" s="2" customFormat="1">
      <c r="A15314" s="83"/>
      <c r="H15314" s="83"/>
      <c r="K15314" s="82"/>
      <c r="M15314" s="112"/>
      <c r="N15314" s="84"/>
    </row>
    <row r="15315" spans="1:14" s="2" customFormat="1">
      <c r="A15315" s="83"/>
      <c r="H15315" s="83"/>
      <c r="K15315" s="82"/>
      <c r="M15315" s="112"/>
      <c r="N15315" s="84"/>
    </row>
    <row r="15316" spans="1:14" s="2" customFormat="1">
      <c r="A15316" s="83"/>
      <c r="H15316" s="83"/>
      <c r="K15316" s="82"/>
      <c r="M15316" s="112"/>
      <c r="N15316" s="84"/>
    </row>
    <row r="15317" spans="1:14" s="2" customFormat="1">
      <c r="A15317" s="83"/>
      <c r="H15317" s="83"/>
      <c r="K15317" s="82"/>
      <c r="M15317" s="112"/>
      <c r="N15317" s="84"/>
    </row>
    <row r="15318" spans="1:14" s="2" customFormat="1">
      <c r="A15318" s="83"/>
      <c r="H15318" s="83"/>
      <c r="K15318" s="82"/>
      <c r="M15318" s="112"/>
      <c r="N15318" s="84"/>
    </row>
    <row r="15319" spans="1:14" s="2" customFormat="1">
      <c r="A15319" s="83"/>
      <c r="H15319" s="83"/>
      <c r="K15319" s="82"/>
      <c r="M15319" s="112"/>
      <c r="N15319" s="84"/>
    </row>
    <row r="15320" spans="1:14" s="2" customFormat="1">
      <c r="A15320" s="83"/>
      <c r="H15320" s="83"/>
      <c r="K15320" s="82"/>
      <c r="M15320" s="112"/>
      <c r="N15320" s="84"/>
    </row>
    <row r="15321" spans="1:14" s="2" customFormat="1">
      <c r="A15321" s="83"/>
      <c r="H15321" s="83"/>
      <c r="K15321" s="82"/>
      <c r="M15321" s="112"/>
      <c r="N15321" s="84"/>
    </row>
    <row r="15322" spans="1:14" s="2" customFormat="1">
      <c r="A15322" s="83"/>
      <c r="H15322" s="83"/>
      <c r="K15322" s="82"/>
      <c r="M15322" s="112"/>
      <c r="N15322" s="84"/>
    </row>
    <row r="15323" spans="1:14" s="2" customFormat="1">
      <c r="A15323" s="83"/>
      <c r="H15323" s="83"/>
      <c r="K15323" s="82"/>
      <c r="M15323" s="112"/>
      <c r="N15323" s="84"/>
    </row>
    <row r="15324" spans="1:14" s="2" customFormat="1">
      <c r="A15324" s="83"/>
      <c r="H15324" s="83"/>
      <c r="K15324" s="82"/>
      <c r="M15324" s="112"/>
      <c r="N15324" s="84"/>
    </row>
    <row r="15325" spans="1:14" s="2" customFormat="1">
      <c r="A15325" s="83"/>
      <c r="H15325" s="83"/>
      <c r="K15325" s="82"/>
      <c r="M15325" s="112"/>
      <c r="N15325" s="84"/>
    </row>
    <row r="15326" spans="1:14" s="2" customFormat="1">
      <c r="A15326" s="83"/>
      <c r="H15326" s="83"/>
      <c r="K15326" s="82"/>
      <c r="M15326" s="112"/>
      <c r="N15326" s="84"/>
    </row>
    <row r="15327" spans="1:14" s="2" customFormat="1">
      <c r="A15327" s="83"/>
      <c r="H15327" s="83"/>
      <c r="K15327" s="82"/>
      <c r="M15327" s="112"/>
      <c r="N15327" s="84"/>
    </row>
    <row r="15328" spans="1:14" s="2" customFormat="1">
      <c r="A15328" s="83"/>
      <c r="H15328" s="83"/>
      <c r="K15328" s="82"/>
      <c r="M15328" s="112"/>
      <c r="N15328" s="84"/>
    </row>
    <row r="15329" spans="1:14" s="2" customFormat="1">
      <c r="A15329" s="83"/>
      <c r="H15329" s="83"/>
      <c r="K15329" s="82"/>
      <c r="M15329" s="112"/>
      <c r="N15329" s="84"/>
    </row>
    <row r="15330" spans="1:14" s="2" customFormat="1">
      <c r="A15330" s="83"/>
      <c r="H15330" s="83"/>
      <c r="K15330" s="82"/>
      <c r="M15330" s="112"/>
      <c r="N15330" s="84"/>
    </row>
    <row r="15331" spans="1:14" s="2" customFormat="1">
      <c r="A15331" s="83"/>
      <c r="H15331" s="83"/>
      <c r="K15331" s="82"/>
      <c r="M15331" s="112"/>
      <c r="N15331" s="84"/>
    </row>
    <row r="15332" spans="1:14" s="2" customFormat="1">
      <c r="A15332" s="83"/>
      <c r="H15332" s="83"/>
      <c r="K15332" s="82"/>
      <c r="M15332" s="112"/>
      <c r="N15332" s="84"/>
    </row>
    <row r="15333" spans="1:14" s="2" customFormat="1">
      <c r="A15333" s="83"/>
      <c r="H15333" s="83"/>
      <c r="K15333" s="82"/>
      <c r="M15333" s="112"/>
      <c r="N15333" s="84"/>
    </row>
    <row r="15334" spans="1:14" s="2" customFormat="1">
      <c r="A15334" s="83"/>
      <c r="H15334" s="83"/>
      <c r="K15334" s="82"/>
      <c r="M15334" s="112"/>
      <c r="N15334" s="84"/>
    </row>
    <row r="15335" spans="1:14" s="2" customFormat="1">
      <c r="A15335" s="83"/>
      <c r="H15335" s="83"/>
      <c r="K15335" s="82"/>
      <c r="M15335" s="112"/>
      <c r="N15335" s="84"/>
    </row>
    <row r="15336" spans="1:14" s="2" customFormat="1">
      <c r="A15336" s="83"/>
      <c r="H15336" s="83"/>
      <c r="K15336" s="82"/>
      <c r="M15336" s="112"/>
      <c r="N15336" s="84"/>
    </row>
    <row r="15337" spans="1:14" s="2" customFormat="1">
      <c r="A15337" s="83"/>
      <c r="H15337" s="83"/>
      <c r="K15337" s="82"/>
      <c r="M15337" s="112"/>
      <c r="N15337" s="84"/>
    </row>
    <row r="15338" spans="1:14" s="2" customFormat="1">
      <c r="A15338" s="83"/>
      <c r="H15338" s="83"/>
      <c r="K15338" s="82"/>
      <c r="M15338" s="112"/>
      <c r="N15338" s="84"/>
    </row>
    <row r="15339" spans="1:14" s="2" customFormat="1">
      <c r="A15339" s="83"/>
      <c r="H15339" s="83"/>
      <c r="K15339" s="82"/>
      <c r="M15339" s="112"/>
      <c r="N15339" s="84"/>
    </row>
    <row r="15340" spans="1:14" s="2" customFormat="1">
      <c r="A15340" s="83"/>
      <c r="H15340" s="83"/>
      <c r="K15340" s="82"/>
      <c r="M15340" s="112"/>
      <c r="N15340" s="84"/>
    </row>
    <row r="15341" spans="1:14" s="2" customFormat="1">
      <c r="A15341" s="83"/>
      <c r="H15341" s="83"/>
      <c r="K15341" s="82"/>
      <c r="M15341" s="112"/>
      <c r="N15341" s="84"/>
    </row>
    <row r="15342" spans="1:14" s="2" customFormat="1">
      <c r="A15342" s="83"/>
      <c r="H15342" s="83"/>
      <c r="K15342" s="82"/>
      <c r="M15342" s="112"/>
      <c r="N15342" s="84"/>
    </row>
    <row r="15343" spans="1:14" s="2" customFormat="1">
      <c r="A15343" s="83"/>
      <c r="H15343" s="83"/>
      <c r="K15343" s="82"/>
      <c r="M15343" s="112"/>
      <c r="N15343" s="84"/>
    </row>
    <row r="15344" spans="1:14" s="2" customFormat="1">
      <c r="A15344" s="83"/>
      <c r="H15344" s="83"/>
      <c r="K15344" s="82"/>
      <c r="M15344" s="112"/>
      <c r="N15344" s="84"/>
    </row>
    <row r="15345" spans="1:14" s="2" customFormat="1">
      <c r="A15345" s="83"/>
      <c r="H15345" s="83"/>
      <c r="K15345" s="82"/>
      <c r="M15345" s="112"/>
      <c r="N15345" s="84"/>
    </row>
    <row r="15346" spans="1:14" s="2" customFormat="1">
      <c r="A15346" s="83"/>
      <c r="H15346" s="83"/>
      <c r="K15346" s="82"/>
      <c r="M15346" s="112"/>
      <c r="N15346" s="84"/>
    </row>
    <row r="15347" spans="1:14" s="2" customFormat="1">
      <c r="A15347" s="83"/>
      <c r="H15347" s="83"/>
      <c r="K15347" s="82"/>
      <c r="M15347" s="112"/>
      <c r="N15347" s="84"/>
    </row>
    <row r="15348" spans="1:14" s="2" customFormat="1">
      <c r="A15348" s="83"/>
      <c r="H15348" s="83"/>
      <c r="K15348" s="82"/>
      <c r="M15348" s="112"/>
      <c r="N15348" s="84"/>
    </row>
    <row r="15349" spans="1:14" s="2" customFormat="1">
      <c r="A15349" s="83"/>
      <c r="H15349" s="83"/>
      <c r="K15349" s="82"/>
      <c r="M15349" s="112"/>
      <c r="N15349" s="84"/>
    </row>
    <row r="15350" spans="1:14" s="2" customFormat="1">
      <c r="A15350" s="83"/>
      <c r="H15350" s="83"/>
      <c r="K15350" s="82"/>
      <c r="M15350" s="112"/>
      <c r="N15350" s="84"/>
    </row>
    <row r="15351" spans="1:14" s="2" customFormat="1">
      <c r="A15351" s="83"/>
      <c r="H15351" s="83"/>
      <c r="K15351" s="82"/>
      <c r="M15351" s="112"/>
      <c r="N15351" s="84"/>
    </row>
    <row r="15352" spans="1:14" s="2" customFormat="1">
      <c r="A15352" s="83"/>
      <c r="H15352" s="83"/>
      <c r="K15352" s="82"/>
      <c r="M15352" s="112"/>
      <c r="N15352" s="84"/>
    </row>
    <row r="15353" spans="1:14" s="2" customFormat="1">
      <c r="A15353" s="83"/>
      <c r="H15353" s="83"/>
      <c r="K15353" s="82"/>
      <c r="M15353" s="112"/>
      <c r="N15353" s="84"/>
    </row>
    <row r="15354" spans="1:14" s="2" customFormat="1">
      <c r="A15354" s="83"/>
      <c r="H15354" s="83"/>
      <c r="K15354" s="82"/>
      <c r="M15354" s="112"/>
      <c r="N15354" s="84"/>
    </row>
    <row r="15355" spans="1:14" s="2" customFormat="1">
      <c r="A15355" s="83"/>
      <c r="H15355" s="83"/>
      <c r="K15355" s="82"/>
      <c r="M15355" s="112"/>
      <c r="N15355" s="84"/>
    </row>
    <row r="15356" spans="1:14" s="2" customFormat="1">
      <c r="A15356" s="83"/>
      <c r="H15356" s="83"/>
      <c r="K15356" s="82"/>
      <c r="M15356" s="112"/>
      <c r="N15356" s="84"/>
    </row>
    <row r="15357" spans="1:14" s="2" customFormat="1">
      <c r="A15357" s="83"/>
      <c r="H15357" s="83"/>
      <c r="K15357" s="82"/>
      <c r="M15357" s="112"/>
      <c r="N15357" s="84"/>
    </row>
    <row r="15358" spans="1:14" s="2" customFormat="1">
      <c r="A15358" s="83"/>
      <c r="H15358" s="83"/>
      <c r="K15358" s="82"/>
      <c r="M15358" s="112"/>
      <c r="N15358" s="84"/>
    </row>
    <row r="15359" spans="1:14" s="2" customFormat="1">
      <c r="A15359" s="83"/>
      <c r="H15359" s="83"/>
      <c r="K15359" s="82"/>
      <c r="M15359" s="112"/>
      <c r="N15359" s="84"/>
    </row>
    <row r="15360" spans="1:14" s="2" customFormat="1">
      <c r="A15360" s="83"/>
      <c r="H15360" s="83"/>
      <c r="K15360" s="82"/>
      <c r="M15360" s="112"/>
      <c r="N15360" s="84"/>
    </row>
    <row r="15361" spans="1:14" s="2" customFormat="1">
      <c r="A15361" s="83"/>
      <c r="H15361" s="83"/>
      <c r="K15361" s="82"/>
      <c r="M15361" s="112"/>
      <c r="N15361" s="84"/>
    </row>
    <row r="15362" spans="1:14" s="2" customFormat="1">
      <c r="A15362" s="83"/>
      <c r="H15362" s="83"/>
      <c r="K15362" s="82"/>
      <c r="M15362" s="112"/>
      <c r="N15362" s="84"/>
    </row>
    <row r="15363" spans="1:14" s="2" customFormat="1">
      <c r="A15363" s="83"/>
      <c r="H15363" s="83"/>
      <c r="K15363" s="82"/>
      <c r="M15363" s="112"/>
      <c r="N15363" s="84"/>
    </row>
    <row r="15364" spans="1:14" s="2" customFormat="1">
      <c r="A15364" s="83"/>
      <c r="H15364" s="83"/>
      <c r="K15364" s="82"/>
      <c r="M15364" s="112"/>
      <c r="N15364" s="84"/>
    </row>
    <row r="15365" spans="1:14" s="2" customFormat="1">
      <c r="A15365" s="83"/>
      <c r="H15365" s="83"/>
      <c r="K15365" s="82"/>
      <c r="M15365" s="112"/>
      <c r="N15365" s="84"/>
    </row>
    <row r="15366" spans="1:14" s="2" customFormat="1">
      <c r="A15366" s="83"/>
      <c r="H15366" s="83"/>
      <c r="K15366" s="82"/>
      <c r="M15366" s="112"/>
      <c r="N15366" s="84"/>
    </row>
    <row r="15367" spans="1:14" s="2" customFormat="1">
      <c r="A15367" s="83"/>
      <c r="H15367" s="83"/>
      <c r="K15367" s="82"/>
      <c r="M15367" s="112"/>
      <c r="N15367" s="84"/>
    </row>
    <row r="15368" spans="1:14" s="2" customFormat="1">
      <c r="A15368" s="83"/>
      <c r="H15368" s="83"/>
      <c r="K15368" s="82"/>
      <c r="M15368" s="112"/>
      <c r="N15368" s="84"/>
    </row>
    <row r="15369" spans="1:14" s="2" customFormat="1">
      <c r="A15369" s="83"/>
      <c r="H15369" s="83"/>
      <c r="K15369" s="82"/>
      <c r="M15369" s="112"/>
      <c r="N15369" s="84"/>
    </row>
    <row r="15370" spans="1:14" s="2" customFormat="1">
      <c r="A15370" s="83"/>
      <c r="H15370" s="83"/>
      <c r="K15370" s="82"/>
      <c r="M15370" s="112"/>
      <c r="N15370" s="84"/>
    </row>
    <row r="15371" spans="1:14" s="2" customFormat="1">
      <c r="A15371" s="83"/>
      <c r="H15371" s="83"/>
      <c r="K15371" s="82"/>
      <c r="M15371" s="112"/>
      <c r="N15371" s="84"/>
    </row>
    <row r="15372" spans="1:14" s="2" customFormat="1">
      <c r="A15372" s="83"/>
      <c r="H15372" s="83"/>
      <c r="K15372" s="82"/>
      <c r="M15372" s="112"/>
      <c r="N15372" s="84"/>
    </row>
    <row r="15373" spans="1:14" s="2" customFormat="1">
      <c r="A15373" s="83"/>
      <c r="H15373" s="83"/>
      <c r="K15373" s="82"/>
      <c r="M15373" s="112"/>
      <c r="N15373" s="84"/>
    </row>
    <row r="15374" spans="1:14" s="2" customFormat="1">
      <c r="A15374" s="83"/>
      <c r="H15374" s="83"/>
      <c r="K15374" s="82"/>
      <c r="M15374" s="112"/>
      <c r="N15374" s="84"/>
    </row>
    <row r="15375" spans="1:14" s="2" customFormat="1">
      <c r="A15375" s="83"/>
      <c r="H15375" s="83"/>
      <c r="K15375" s="82"/>
      <c r="M15375" s="112"/>
      <c r="N15375" s="84"/>
    </row>
    <row r="15376" spans="1:14" s="2" customFormat="1">
      <c r="A15376" s="83"/>
      <c r="H15376" s="83"/>
      <c r="K15376" s="82"/>
      <c r="M15376" s="112"/>
      <c r="N15376" s="84"/>
    </row>
    <row r="15377" spans="1:14" s="2" customFormat="1">
      <c r="A15377" s="83"/>
      <c r="H15377" s="83"/>
      <c r="K15377" s="82"/>
      <c r="M15377" s="112"/>
      <c r="N15377" s="84"/>
    </row>
    <row r="15378" spans="1:14" s="2" customFormat="1">
      <c r="A15378" s="83"/>
      <c r="H15378" s="83"/>
      <c r="K15378" s="82"/>
      <c r="M15378" s="112"/>
      <c r="N15378" s="84"/>
    </row>
    <row r="15379" spans="1:14" s="2" customFormat="1">
      <c r="A15379" s="83"/>
      <c r="H15379" s="83"/>
      <c r="K15379" s="82"/>
      <c r="M15379" s="112"/>
      <c r="N15379" s="84"/>
    </row>
    <row r="15380" spans="1:14" s="2" customFormat="1">
      <c r="A15380" s="83"/>
      <c r="H15380" s="83"/>
      <c r="K15380" s="82"/>
      <c r="M15380" s="112"/>
      <c r="N15380" s="84"/>
    </row>
    <row r="15381" spans="1:14" s="2" customFormat="1">
      <c r="A15381" s="83"/>
      <c r="H15381" s="83"/>
      <c r="K15381" s="82"/>
      <c r="M15381" s="112"/>
      <c r="N15381" s="84"/>
    </row>
    <row r="15382" spans="1:14" s="2" customFormat="1">
      <c r="A15382" s="83"/>
      <c r="H15382" s="83"/>
      <c r="K15382" s="82"/>
      <c r="M15382" s="112"/>
      <c r="N15382" s="84"/>
    </row>
    <row r="15383" spans="1:14" s="2" customFormat="1">
      <c r="A15383" s="83"/>
      <c r="H15383" s="83"/>
      <c r="K15383" s="82"/>
      <c r="M15383" s="112"/>
      <c r="N15383" s="84"/>
    </row>
    <row r="15384" spans="1:14" s="2" customFormat="1">
      <c r="A15384" s="83"/>
      <c r="H15384" s="83"/>
      <c r="K15384" s="82"/>
      <c r="M15384" s="112"/>
      <c r="N15384" s="84"/>
    </row>
    <row r="15385" spans="1:14" s="2" customFormat="1">
      <c r="A15385" s="83"/>
      <c r="H15385" s="83"/>
      <c r="K15385" s="82"/>
      <c r="M15385" s="112"/>
      <c r="N15385" s="84"/>
    </row>
    <row r="15386" spans="1:14" s="2" customFormat="1">
      <c r="A15386" s="83"/>
      <c r="H15386" s="83"/>
      <c r="K15386" s="82"/>
      <c r="M15386" s="112"/>
      <c r="N15386" s="84"/>
    </row>
    <row r="15387" spans="1:14" s="2" customFormat="1">
      <c r="A15387" s="83"/>
      <c r="H15387" s="83"/>
      <c r="K15387" s="82"/>
      <c r="M15387" s="112"/>
      <c r="N15387" s="84"/>
    </row>
    <row r="15388" spans="1:14" s="2" customFormat="1">
      <c r="A15388" s="83"/>
      <c r="H15388" s="83"/>
      <c r="K15388" s="82"/>
      <c r="M15388" s="112"/>
      <c r="N15388" s="84"/>
    </row>
    <row r="15389" spans="1:14" s="2" customFormat="1">
      <c r="A15389" s="83"/>
      <c r="H15389" s="83"/>
      <c r="K15389" s="82"/>
      <c r="M15389" s="112"/>
      <c r="N15389" s="84"/>
    </row>
    <row r="15390" spans="1:14" s="2" customFormat="1">
      <c r="A15390" s="83"/>
      <c r="H15390" s="83"/>
      <c r="K15390" s="82"/>
      <c r="M15390" s="112"/>
      <c r="N15390" s="84"/>
    </row>
    <row r="15391" spans="1:14" s="2" customFormat="1">
      <c r="A15391" s="83"/>
      <c r="H15391" s="83"/>
      <c r="K15391" s="82"/>
      <c r="M15391" s="112"/>
      <c r="N15391" s="84"/>
    </row>
    <row r="15392" spans="1:14" s="2" customFormat="1">
      <c r="A15392" s="83"/>
      <c r="H15392" s="83"/>
      <c r="K15392" s="82"/>
      <c r="M15392" s="112"/>
      <c r="N15392" s="84"/>
    </row>
    <row r="15393" spans="1:14" s="2" customFormat="1">
      <c r="A15393" s="83"/>
      <c r="H15393" s="83"/>
      <c r="K15393" s="82"/>
      <c r="M15393" s="112"/>
      <c r="N15393" s="84"/>
    </row>
    <row r="15394" spans="1:14" s="2" customFormat="1">
      <c r="A15394" s="83"/>
      <c r="H15394" s="83"/>
      <c r="K15394" s="82"/>
      <c r="M15394" s="112"/>
      <c r="N15394" s="84"/>
    </row>
    <row r="15395" spans="1:14" s="2" customFormat="1">
      <c r="A15395" s="83"/>
      <c r="H15395" s="83"/>
      <c r="K15395" s="82"/>
      <c r="M15395" s="112"/>
      <c r="N15395" s="84"/>
    </row>
    <row r="15396" spans="1:14" s="2" customFormat="1">
      <c r="A15396" s="83"/>
      <c r="H15396" s="83"/>
      <c r="K15396" s="82"/>
      <c r="M15396" s="112"/>
      <c r="N15396" s="84"/>
    </row>
    <row r="15397" spans="1:14" s="2" customFormat="1">
      <c r="A15397" s="83"/>
      <c r="H15397" s="83"/>
      <c r="K15397" s="82"/>
      <c r="M15397" s="112"/>
      <c r="N15397" s="84"/>
    </row>
    <row r="15398" spans="1:14" s="2" customFormat="1">
      <c r="A15398" s="83"/>
      <c r="H15398" s="83"/>
      <c r="K15398" s="82"/>
      <c r="M15398" s="112"/>
      <c r="N15398" s="84"/>
    </row>
    <row r="15399" spans="1:14" s="2" customFormat="1">
      <c r="A15399" s="83"/>
      <c r="H15399" s="83"/>
      <c r="K15399" s="82"/>
      <c r="M15399" s="112"/>
      <c r="N15399" s="84"/>
    </row>
    <row r="15400" spans="1:14" s="2" customFormat="1">
      <c r="A15400" s="83"/>
      <c r="H15400" s="83"/>
      <c r="K15400" s="82"/>
      <c r="M15400" s="112"/>
      <c r="N15400" s="84"/>
    </row>
    <row r="15401" spans="1:14" s="2" customFormat="1">
      <c r="A15401" s="83"/>
      <c r="H15401" s="83"/>
      <c r="K15401" s="82"/>
      <c r="M15401" s="112"/>
      <c r="N15401" s="84"/>
    </row>
    <row r="15402" spans="1:14" s="2" customFormat="1">
      <c r="A15402" s="83"/>
      <c r="H15402" s="83"/>
      <c r="K15402" s="82"/>
      <c r="M15402" s="112"/>
      <c r="N15402" s="84"/>
    </row>
    <row r="15403" spans="1:14" s="2" customFormat="1">
      <c r="A15403" s="83"/>
      <c r="H15403" s="83"/>
      <c r="K15403" s="82"/>
      <c r="M15403" s="112"/>
      <c r="N15403" s="84"/>
    </row>
    <row r="15404" spans="1:14" s="2" customFormat="1">
      <c r="A15404" s="83"/>
      <c r="H15404" s="83"/>
      <c r="K15404" s="82"/>
      <c r="M15404" s="112"/>
      <c r="N15404" s="84"/>
    </row>
    <row r="15405" spans="1:14" s="2" customFormat="1">
      <c r="A15405" s="83"/>
      <c r="H15405" s="83"/>
      <c r="K15405" s="82"/>
      <c r="M15405" s="112"/>
      <c r="N15405" s="84"/>
    </row>
    <row r="15406" spans="1:14" s="2" customFormat="1">
      <c r="A15406" s="83"/>
      <c r="H15406" s="83"/>
      <c r="K15406" s="82"/>
      <c r="M15406" s="112"/>
      <c r="N15406" s="84"/>
    </row>
    <row r="15407" spans="1:14" s="2" customFormat="1">
      <c r="A15407" s="83"/>
      <c r="H15407" s="83"/>
      <c r="K15407" s="82"/>
      <c r="M15407" s="112"/>
      <c r="N15407" s="84"/>
    </row>
    <row r="15408" spans="1:14" s="2" customFormat="1">
      <c r="A15408" s="83"/>
      <c r="H15408" s="83"/>
      <c r="K15408" s="82"/>
      <c r="M15408" s="112"/>
      <c r="N15408" s="84"/>
    </row>
    <row r="15409" spans="1:14" s="2" customFormat="1">
      <c r="A15409" s="83"/>
      <c r="H15409" s="83"/>
      <c r="K15409" s="82"/>
      <c r="M15409" s="112"/>
      <c r="N15409" s="84"/>
    </row>
    <row r="15410" spans="1:14" s="2" customFormat="1">
      <c r="A15410" s="83"/>
      <c r="H15410" s="83"/>
      <c r="K15410" s="82"/>
      <c r="M15410" s="112"/>
      <c r="N15410" s="84"/>
    </row>
    <row r="15411" spans="1:14" s="2" customFormat="1">
      <c r="A15411" s="83"/>
      <c r="H15411" s="83"/>
      <c r="K15411" s="82"/>
      <c r="M15411" s="112"/>
      <c r="N15411" s="84"/>
    </row>
    <row r="15412" spans="1:14" s="2" customFormat="1">
      <c r="A15412" s="83"/>
      <c r="H15412" s="83"/>
      <c r="K15412" s="82"/>
      <c r="M15412" s="112"/>
      <c r="N15412" s="84"/>
    </row>
    <row r="15413" spans="1:14" s="2" customFormat="1">
      <c r="A15413" s="83"/>
      <c r="H15413" s="83"/>
      <c r="K15413" s="82"/>
      <c r="M15413" s="112"/>
      <c r="N15413" s="84"/>
    </row>
    <row r="15414" spans="1:14" s="2" customFormat="1">
      <c r="A15414" s="83"/>
      <c r="H15414" s="83"/>
      <c r="K15414" s="82"/>
      <c r="M15414" s="112"/>
      <c r="N15414" s="84"/>
    </row>
    <row r="15415" spans="1:14" s="2" customFormat="1">
      <c r="A15415" s="83"/>
      <c r="H15415" s="83"/>
      <c r="K15415" s="82"/>
      <c r="M15415" s="112"/>
      <c r="N15415" s="84"/>
    </row>
    <row r="15416" spans="1:14" s="2" customFormat="1">
      <c r="A15416" s="83"/>
      <c r="H15416" s="83"/>
      <c r="K15416" s="82"/>
      <c r="M15416" s="112"/>
      <c r="N15416" s="84"/>
    </row>
    <row r="15417" spans="1:14" s="2" customFormat="1">
      <c r="A15417" s="83"/>
      <c r="H15417" s="83"/>
      <c r="K15417" s="82"/>
      <c r="M15417" s="112"/>
      <c r="N15417" s="84"/>
    </row>
    <row r="15418" spans="1:14" s="2" customFormat="1">
      <c r="A15418" s="83"/>
      <c r="H15418" s="83"/>
      <c r="K15418" s="82"/>
      <c r="M15418" s="112"/>
      <c r="N15418" s="84"/>
    </row>
    <row r="15419" spans="1:14" s="2" customFormat="1">
      <c r="A15419" s="83"/>
      <c r="H15419" s="83"/>
      <c r="K15419" s="82"/>
      <c r="M15419" s="112"/>
      <c r="N15419" s="84"/>
    </row>
    <row r="15420" spans="1:14" s="2" customFormat="1">
      <c r="A15420" s="83"/>
      <c r="H15420" s="83"/>
      <c r="K15420" s="82"/>
      <c r="M15420" s="112"/>
      <c r="N15420" s="84"/>
    </row>
    <row r="15421" spans="1:14" s="2" customFormat="1">
      <c r="A15421" s="83"/>
      <c r="H15421" s="83"/>
      <c r="K15421" s="82"/>
      <c r="M15421" s="112"/>
      <c r="N15421" s="84"/>
    </row>
    <row r="15422" spans="1:14" s="2" customFormat="1">
      <c r="A15422" s="83"/>
      <c r="H15422" s="83"/>
      <c r="K15422" s="82"/>
      <c r="M15422" s="112"/>
      <c r="N15422" s="84"/>
    </row>
    <row r="15423" spans="1:14" s="2" customFormat="1">
      <c r="A15423" s="83"/>
      <c r="H15423" s="83"/>
      <c r="K15423" s="82"/>
      <c r="M15423" s="112"/>
      <c r="N15423" s="84"/>
    </row>
    <row r="15424" spans="1:14" s="2" customFormat="1">
      <c r="A15424" s="83"/>
      <c r="H15424" s="83"/>
      <c r="K15424" s="82"/>
      <c r="M15424" s="112"/>
      <c r="N15424" s="84"/>
    </row>
    <row r="15425" spans="1:14" s="2" customFormat="1">
      <c r="A15425" s="83"/>
      <c r="H15425" s="83"/>
      <c r="K15425" s="82"/>
      <c r="M15425" s="112"/>
      <c r="N15425" s="84"/>
    </row>
    <row r="15426" spans="1:14" s="2" customFormat="1">
      <c r="A15426" s="83"/>
      <c r="H15426" s="83"/>
      <c r="K15426" s="82"/>
      <c r="M15426" s="112"/>
      <c r="N15426" s="84"/>
    </row>
    <row r="15427" spans="1:14" s="2" customFormat="1">
      <c r="A15427" s="83"/>
      <c r="H15427" s="83"/>
      <c r="K15427" s="82"/>
      <c r="M15427" s="112"/>
      <c r="N15427" s="84"/>
    </row>
    <row r="15428" spans="1:14" s="2" customFormat="1">
      <c r="A15428" s="83"/>
      <c r="H15428" s="83"/>
      <c r="K15428" s="82"/>
      <c r="M15428" s="112"/>
      <c r="N15428" s="84"/>
    </row>
    <row r="15429" spans="1:14" s="2" customFormat="1">
      <c r="A15429" s="83"/>
      <c r="H15429" s="83"/>
      <c r="K15429" s="82"/>
      <c r="M15429" s="112"/>
      <c r="N15429" s="84"/>
    </row>
    <row r="15430" spans="1:14" s="2" customFormat="1">
      <c r="A15430" s="83"/>
      <c r="H15430" s="83"/>
      <c r="K15430" s="82"/>
      <c r="M15430" s="112"/>
      <c r="N15430" s="84"/>
    </row>
    <row r="15431" spans="1:14" s="2" customFormat="1">
      <c r="A15431" s="83"/>
      <c r="H15431" s="83"/>
      <c r="K15431" s="82"/>
      <c r="M15431" s="112"/>
      <c r="N15431" s="84"/>
    </row>
    <row r="15432" spans="1:14" s="2" customFormat="1">
      <c r="A15432" s="83"/>
      <c r="H15432" s="83"/>
      <c r="K15432" s="82"/>
      <c r="M15432" s="112"/>
      <c r="N15432" s="84"/>
    </row>
    <row r="15433" spans="1:14" s="2" customFormat="1">
      <c r="A15433" s="83"/>
      <c r="H15433" s="83"/>
      <c r="K15433" s="82"/>
      <c r="M15433" s="112"/>
      <c r="N15433" s="84"/>
    </row>
    <row r="15434" spans="1:14" s="2" customFormat="1">
      <c r="A15434" s="83"/>
      <c r="H15434" s="83"/>
      <c r="K15434" s="82"/>
      <c r="M15434" s="112"/>
      <c r="N15434" s="84"/>
    </row>
    <row r="15435" spans="1:14" s="2" customFormat="1">
      <c r="A15435" s="83"/>
      <c r="H15435" s="83"/>
      <c r="K15435" s="82"/>
      <c r="M15435" s="112"/>
      <c r="N15435" s="84"/>
    </row>
    <row r="15436" spans="1:14" s="2" customFormat="1">
      <c r="A15436" s="83"/>
      <c r="H15436" s="83"/>
      <c r="K15436" s="82"/>
      <c r="M15436" s="112"/>
      <c r="N15436" s="84"/>
    </row>
    <row r="15437" spans="1:14" s="2" customFormat="1">
      <c r="A15437" s="83"/>
      <c r="H15437" s="83"/>
      <c r="K15437" s="82"/>
      <c r="M15437" s="112"/>
      <c r="N15437" s="84"/>
    </row>
    <row r="15438" spans="1:14" s="2" customFormat="1">
      <c r="A15438" s="83"/>
      <c r="H15438" s="83"/>
      <c r="K15438" s="82"/>
      <c r="M15438" s="112"/>
      <c r="N15438" s="84"/>
    </row>
    <row r="15439" spans="1:14" s="2" customFormat="1">
      <c r="A15439" s="83"/>
      <c r="H15439" s="83"/>
      <c r="K15439" s="82"/>
      <c r="M15439" s="112"/>
      <c r="N15439" s="84"/>
    </row>
    <row r="15440" spans="1:14" s="2" customFormat="1">
      <c r="A15440" s="83"/>
      <c r="H15440" s="83"/>
      <c r="K15440" s="82"/>
      <c r="M15440" s="112"/>
      <c r="N15440" s="84"/>
    </row>
    <row r="15441" spans="1:14" s="2" customFormat="1">
      <c r="A15441" s="83"/>
      <c r="H15441" s="83"/>
      <c r="K15441" s="82"/>
      <c r="M15441" s="112"/>
      <c r="N15441" s="84"/>
    </row>
    <row r="15442" spans="1:14" s="2" customFormat="1">
      <c r="A15442" s="83"/>
      <c r="H15442" s="83"/>
      <c r="K15442" s="82"/>
      <c r="M15442" s="112"/>
      <c r="N15442" s="84"/>
    </row>
    <row r="15443" spans="1:14" s="2" customFormat="1">
      <c r="A15443" s="83"/>
      <c r="H15443" s="83"/>
      <c r="K15443" s="82"/>
      <c r="M15443" s="112"/>
      <c r="N15443" s="84"/>
    </row>
    <row r="15444" spans="1:14" s="2" customFormat="1">
      <c r="A15444" s="83"/>
      <c r="H15444" s="83"/>
      <c r="K15444" s="82"/>
      <c r="M15444" s="112"/>
      <c r="N15444" s="84"/>
    </row>
    <row r="15445" spans="1:14" s="2" customFormat="1">
      <c r="A15445" s="83"/>
      <c r="H15445" s="83"/>
      <c r="K15445" s="82"/>
      <c r="M15445" s="112"/>
      <c r="N15445" s="84"/>
    </row>
    <row r="15446" spans="1:14" s="2" customFormat="1">
      <c r="A15446" s="83"/>
      <c r="H15446" s="83"/>
      <c r="K15446" s="82"/>
      <c r="M15446" s="112"/>
      <c r="N15446" s="84"/>
    </row>
    <row r="15447" spans="1:14" s="2" customFormat="1">
      <c r="A15447" s="83"/>
      <c r="H15447" s="83"/>
      <c r="K15447" s="82"/>
      <c r="M15447" s="112"/>
      <c r="N15447" s="84"/>
    </row>
    <row r="15448" spans="1:14" s="2" customFormat="1">
      <c r="A15448" s="83"/>
      <c r="H15448" s="83"/>
      <c r="K15448" s="82"/>
      <c r="M15448" s="112"/>
      <c r="N15448" s="84"/>
    </row>
    <row r="15449" spans="1:14" s="2" customFormat="1">
      <c r="A15449" s="83"/>
      <c r="H15449" s="83"/>
      <c r="K15449" s="82"/>
      <c r="M15449" s="112"/>
      <c r="N15449" s="84"/>
    </row>
    <row r="15450" spans="1:14" s="2" customFormat="1">
      <c r="A15450" s="83"/>
      <c r="H15450" s="83"/>
      <c r="K15450" s="82"/>
      <c r="M15450" s="112"/>
      <c r="N15450" s="84"/>
    </row>
    <row r="15451" spans="1:14" s="2" customFormat="1">
      <c r="A15451" s="83"/>
      <c r="H15451" s="83"/>
      <c r="K15451" s="82"/>
      <c r="M15451" s="112"/>
      <c r="N15451" s="84"/>
    </row>
    <row r="15452" spans="1:14" s="2" customFormat="1">
      <c r="A15452" s="83"/>
      <c r="H15452" s="83"/>
      <c r="K15452" s="82"/>
      <c r="M15452" s="112"/>
      <c r="N15452" s="84"/>
    </row>
    <row r="15453" spans="1:14" s="2" customFormat="1">
      <c r="A15453" s="83"/>
      <c r="H15453" s="83"/>
      <c r="K15453" s="82"/>
      <c r="M15453" s="112"/>
      <c r="N15453" s="84"/>
    </row>
    <row r="15454" spans="1:14" s="2" customFormat="1">
      <c r="A15454" s="83"/>
      <c r="H15454" s="83"/>
      <c r="K15454" s="82"/>
      <c r="M15454" s="112"/>
      <c r="N15454" s="84"/>
    </row>
    <row r="15455" spans="1:14" s="2" customFormat="1">
      <c r="A15455" s="83"/>
      <c r="H15455" s="83"/>
      <c r="K15455" s="82"/>
      <c r="M15455" s="112"/>
      <c r="N15455" s="84"/>
    </row>
    <row r="15456" spans="1:14" s="2" customFormat="1">
      <c r="A15456" s="83"/>
      <c r="H15456" s="83"/>
      <c r="K15456" s="82"/>
      <c r="M15456" s="112"/>
      <c r="N15456" s="84"/>
    </row>
    <row r="15457" spans="1:14" s="2" customFormat="1">
      <c r="A15457" s="83"/>
      <c r="H15457" s="83"/>
      <c r="K15457" s="82"/>
      <c r="M15457" s="112"/>
      <c r="N15457" s="84"/>
    </row>
    <row r="15458" spans="1:14" s="2" customFormat="1">
      <c r="A15458" s="83"/>
      <c r="H15458" s="83"/>
      <c r="K15458" s="82"/>
      <c r="M15458" s="112"/>
      <c r="N15458" s="84"/>
    </row>
    <row r="15459" spans="1:14" s="2" customFormat="1">
      <c r="A15459" s="83"/>
      <c r="H15459" s="83"/>
      <c r="K15459" s="82"/>
      <c r="M15459" s="112"/>
      <c r="N15459" s="84"/>
    </row>
    <row r="15460" spans="1:14" s="2" customFormat="1">
      <c r="A15460" s="83"/>
      <c r="H15460" s="83"/>
      <c r="K15460" s="82"/>
      <c r="M15460" s="112"/>
      <c r="N15460" s="84"/>
    </row>
    <row r="15461" spans="1:14" s="2" customFormat="1">
      <c r="A15461" s="83"/>
      <c r="H15461" s="83"/>
      <c r="K15461" s="82"/>
      <c r="M15461" s="112"/>
      <c r="N15461" s="84"/>
    </row>
    <row r="15462" spans="1:14" s="2" customFormat="1">
      <c r="A15462" s="83"/>
      <c r="H15462" s="83"/>
      <c r="K15462" s="82"/>
      <c r="M15462" s="112"/>
      <c r="N15462" s="84"/>
    </row>
    <row r="15463" spans="1:14" s="2" customFormat="1">
      <c r="A15463" s="83"/>
      <c r="H15463" s="83"/>
      <c r="K15463" s="82"/>
      <c r="M15463" s="112"/>
      <c r="N15463" s="84"/>
    </row>
    <row r="15464" spans="1:14" s="2" customFormat="1">
      <c r="A15464" s="83"/>
      <c r="H15464" s="83"/>
      <c r="K15464" s="82"/>
      <c r="M15464" s="112"/>
      <c r="N15464" s="84"/>
    </row>
    <row r="15465" spans="1:14" s="2" customFormat="1">
      <c r="A15465" s="83"/>
      <c r="H15465" s="83"/>
      <c r="K15465" s="82"/>
      <c r="M15465" s="112"/>
      <c r="N15465" s="84"/>
    </row>
    <row r="15466" spans="1:14" s="2" customFormat="1">
      <c r="A15466" s="83"/>
      <c r="H15466" s="83"/>
      <c r="K15466" s="82"/>
      <c r="M15466" s="112"/>
      <c r="N15466" s="84"/>
    </row>
    <row r="15467" spans="1:14" s="2" customFormat="1">
      <c r="A15467" s="83"/>
      <c r="H15467" s="83"/>
      <c r="K15467" s="82"/>
      <c r="M15467" s="112"/>
      <c r="N15467" s="84"/>
    </row>
    <row r="15468" spans="1:14" s="2" customFormat="1">
      <c r="A15468" s="83"/>
      <c r="H15468" s="83"/>
      <c r="K15468" s="82"/>
      <c r="M15468" s="112"/>
      <c r="N15468" s="84"/>
    </row>
    <row r="15469" spans="1:14" s="2" customFormat="1">
      <c r="A15469" s="83"/>
      <c r="H15469" s="83"/>
      <c r="K15469" s="82"/>
      <c r="M15469" s="112"/>
      <c r="N15469" s="84"/>
    </row>
    <row r="15470" spans="1:14" s="2" customFormat="1">
      <c r="A15470" s="83"/>
      <c r="H15470" s="83"/>
      <c r="K15470" s="82"/>
      <c r="M15470" s="112"/>
      <c r="N15470" s="84"/>
    </row>
    <row r="15471" spans="1:14" s="2" customFormat="1">
      <c r="A15471" s="83"/>
      <c r="H15471" s="83"/>
      <c r="K15471" s="82"/>
      <c r="M15471" s="112"/>
      <c r="N15471" s="84"/>
    </row>
    <row r="15472" spans="1:14" s="2" customFormat="1">
      <c r="A15472" s="83"/>
      <c r="H15472" s="83"/>
      <c r="K15472" s="82"/>
      <c r="M15472" s="112"/>
      <c r="N15472" s="84"/>
    </row>
    <row r="15473" spans="1:14" s="2" customFormat="1">
      <c r="A15473" s="83"/>
      <c r="H15473" s="83"/>
      <c r="K15473" s="82"/>
      <c r="M15473" s="112"/>
      <c r="N15473" s="84"/>
    </row>
    <row r="15474" spans="1:14" s="2" customFormat="1">
      <c r="A15474" s="83"/>
      <c r="H15474" s="83"/>
      <c r="K15474" s="82"/>
      <c r="M15474" s="112"/>
      <c r="N15474" s="84"/>
    </row>
    <row r="15475" spans="1:14" s="2" customFormat="1">
      <c r="A15475" s="83"/>
      <c r="H15475" s="83"/>
      <c r="K15475" s="82"/>
      <c r="M15475" s="112"/>
      <c r="N15475" s="84"/>
    </row>
    <row r="15476" spans="1:14" s="2" customFormat="1">
      <c r="A15476" s="83"/>
      <c r="H15476" s="83"/>
      <c r="K15476" s="82"/>
      <c r="M15476" s="112"/>
      <c r="N15476" s="84"/>
    </row>
    <row r="15477" spans="1:14" s="2" customFormat="1">
      <c r="A15477" s="83"/>
      <c r="H15477" s="83"/>
      <c r="K15477" s="82"/>
      <c r="M15477" s="112"/>
      <c r="N15477" s="84"/>
    </row>
    <row r="15478" spans="1:14" s="2" customFormat="1">
      <c r="A15478" s="83"/>
      <c r="H15478" s="83"/>
      <c r="K15478" s="82"/>
      <c r="M15478" s="112"/>
      <c r="N15478" s="84"/>
    </row>
    <row r="15479" spans="1:14" s="2" customFormat="1">
      <c r="A15479" s="83"/>
      <c r="H15479" s="83"/>
      <c r="K15479" s="82"/>
      <c r="M15479" s="112"/>
      <c r="N15479" s="84"/>
    </row>
    <row r="15480" spans="1:14" s="2" customFormat="1">
      <c r="A15480" s="83"/>
      <c r="H15480" s="83"/>
      <c r="K15480" s="82"/>
      <c r="M15480" s="112"/>
      <c r="N15480" s="84"/>
    </row>
    <row r="15481" spans="1:14" s="2" customFormat="1">
      <c r="A15481" s="83"/>
      <c r="H15481" s="83"/>
      <c r="K15481" s="82"/>
      <c r="M15481" s="112"/>
      <c r="N15481" s="84"/>
    </row>
    <row r="15482" spans="1:14" s="2" customFormat="1">
      <c r="A15482" s="83"/>
      <c r="H15482" s="83"/>
      <c r="K15482" s="82"/>
      <c r="M15482" s="112"/>
      <c r="N15482" s="84"/>
    </row>
    <row r="15483" spans="1:14" s="2" customFormat="1">
      <c r="A15483" s="83"/>
      <c r="H15483" s="83"/>
      <c r="K15483" s="82"/>
      <c r="M15483" s="112"/>
      <c r="N15483" s="84"/>
    </row>
    <row r="15484" spans="1:14" s="2" customFormat="1">
      <c r="A15484" s="83"/>
      <c r="H15484" s="83"/>
      <c r="K15484" s="82"/>
      <c r="M15484" s="112"/>
      <c r="N15484" s="84"/>
    </row>
    <row r="15485" spans="1:14" s="2" customFormat="1">
      <c r="A15485" s="83"/>
      <c r="H15485" s="83"/>
      <c r="K15485" s="82"/>
      <c r="M15485" s="112"/>
      <c r="N15485" s="84"/>
    </row>
    <row r="15486" spans="1:14" s="2" customFormat="1">
      <c r="A15486" s="83"/>
      <c r="H15486" s="83"/>
      <c r="K15486" s="82"/>
      <c r="M15486" s="112"/>
      <c r="N15486" s="84"/>
    </row>
    <row r="15487" spans="1:14" s="2" customFormat="1">
      <c r="A15487" s="83"/>
      <c r="H15487" s="83"/>
      <c r="K15487" s="82"/>
      <c r="M15487" s="112"/>
      <c r="N15487" s="84"/>
    </row>
    <row r="15488" spans="1:14" s="2" customFormat="1">
      <c r="A15488" s="83"/>
      <c r="H15488" s="83"/>
      <c r="K15488" s="82"/>
      <c r="M15488" s="112"/>
      <c r="N15488" s="84"/>
    </row>
    <row r="15489" spans="1:14" s="2" customFormat="1">
      <c r="A15489" s="83"/>
      <c r="H15489" s="83"/>
      <c r="K15489" s="82"/>
      <c r="M15489" s="112"/>
      <c r="N15489" s="84"/>
    </row>
    <row r="15490" spans="1:14" s="2" customFormat="1">
      <c r="A15490" s="83"/>
      <c r="H15490" s="83"/>
      <c r="K15490" s="82"/>
      <c r="M15490" s="112"/>
      <c r="N15490" s="84"/>
    </row>
    <row r="15491" spans="1:14" s="2" customFormat="1">
      <c r="A15491" s="83"/>
      <c r="H15491" s="83"/>
      <c r="K15491" s="82"/>
      <c r="M15491" s="112"/>
      <c r="N15491" s="84"/>
    </row>
    <row r="15492" spans="1:14" s="2" customFormat="1">
      <c r="A15492" s="83"/>
      <c r="H15492" s="83"/>
      <c r="K15492" s="82"/>
      <c r="M15492" s="112"/>
      <c r="N15492" s="84"/>
    </row>
    <row r="15493" spans="1:14" s="2" customFormat="1">
      <c r="A15493" s="83"/>
      <c r="H15493" s="83"/>
      <c r="K15493" s="82"/>
      <c r="M15493" s="112"/>
      <c r="N15493" s="84"/>
    </row>
    <row r="15494" spans="1:14" s="2" customFormat="1">
      <c r="A15494" s="83"/>
      <c r="H15494" s="83"/>
      <c r="K15494" s="82"/>
      <c r="M15494" s="112"/>
      <c r="N15494" s="84"/>
    </row>
    <row r="15495" spans="1:14" s="2" customFormat="1">
      <c r="A15495" s="83"/>
      <c r="H15495" s="83"/>
      <c r="K15495" s="82"/>
      <c r="M15495" s="112"/>
      <c r="N15495" s="84"/>
    </row>
    <row r="15496" spans="1:14" s="2" customFormat="1">
      <c r="A15496" s="83"/>
      <c r="H15496" s="83"/>
      <c r="K15496" s="82"/>
      <c r="M15496" s="112"/>
      <c r="N15496" s="84"/>
    </row>
    <row r="15497" spans="1:14" s="2" customFormat="1">
      <c r="A15497" s="83"/>
      <c r="H15497" s="83"/>
      <c r="K15497" s="82"/>
      <c r="M15497" s="112"/>
      <c r="N15497" s="84"/>
    </row>
    <row r="15498" spans="1:14" s="2" customFormat="1">
      <c r="A15498" s="83"/>
      <c r="H15498" s="83"/>
      <c r="K15498" s="82"/>
      <c r="M15498" s="112"/>
      <c r="N15498" s="84"/>
    </row>
    <row r="15499" spans="1:14" s="2" customFormat="1">
      <c r="A15499" s="83"/>
      <c r="H15499" s="83"/>
      <c r="K15499" s="82"/>
      <c r="M15499" s="112"/>
      <c r="N15499" s="84"/>
    </row>
    <row r="15500" spans="1:14" s="2" customFormat="1">
      <c r="A15500" s="83"/>
      <c r="H15500" s="83"/>
      <c r="K15500" s="82"/>
      <c r="M15500" s="112"/>
      <c r="N15500" s="84"/>
    </row>
    <row r="15501" spans="1:14" s="2" customFormat="1">
      <c r="A15501" s="83"/>
      <c r="H15501" s="83"/>
      <c r="K15501" s="82"/>
      <c r="M15501" s="112"/>
      <c r="N15501" s="84"/>
    </row>
    <row r="15502" spans="1:14" s="2" customFormat="1">
      <c r="A15502" s="83"/>
      <c r="H15502" s="83"/>
      <c r="K15502" s="82"/>
      <c r="M15502" s="112"/>
      <c r="N15502" s="84"/>
    </row>
    <row r="15503" spans="1:14" s="2" customFormat="1">
      <c r="A15503" s="83"/>
      <c r="H15503" s="83"/>
      <c r="K15503" s="82"/>
      <c r="M15503" s="112"/>
      <c r="N15503" s="84"/>
    </row>
    <row r="15504" spans="1:14" s="2" customFormat="1">
      <c r="A15504" s="83"/>
      <c r="H15504" s="83"/>
      <c r="K15504" s="82"/>
      <c r="M15504" s="112"/>
      <c r="N15504" s="84"/>
    </row>
    <row r="15505" spans="1:14" s="2" customFormat="1">
      <c r="A15505" s="83"/>
      <c r="H15505" s="83"/>
      <c r="K15505" s="82"/>
      <c r="M15505" s="112"/>
      <c r="N15505" s="84"/>
    </row>
    <row r="15506" spans="1:14" s="2" customFormat="1">
      <c r="A15506" s="83"/>
      <c r="H15506" s="83"/>
      <c r="K15506" s="82"/>
      <c r="M15506" s="112"/>
      <c r="N15506" s="84"/>
    </row>
    <row r="15507" spans="1:14" s="2" customFormat="1">
      <c r="A15507" s="83"/>
      <c r="H15507" s="83"/>
      <c r="K15507" s="82"/>
      <c r="M15507" s="112"/>
      <c r="N15507" s="84"/>
    </row>
    <row r="15508" spans="1:14" s="2" customFormat="1">
      <c r="A15508" s="83"/>
      <c r="H15508" s="83"/>
      <c r="K15508" s="82"/>
      <c r="M15508" s="112"/>
      <c r="N15508" s="84"/>
    </row>
    <row r="15509" spans="1:14" s="2" customFormat="1">
      <c r="A15509" s="83"/>
      <c r="H15509" s="83"/>
      <c r="K15509" s="82"/>
      <c r="M15509" s="112"/>
      <c r="N15509" s="84"/>
    </row>
    <row r="15510" spans="1:14" s="2" customFormat="1">
      <c r="A15510" s="83"/>
      <c r="H15510" s="83"/>
      <c r="K15510" s="82"/>
      <c r="M15510" s="112"/>
      <c r="N15510" s="84"/>
    </row>
    <row r="15511" spans="1:14" s="2" customFormat="1">
      <c r="A15511" s="83"/>
      <c r="H15511" s="83"/>
      <c r="K15511" s="82"/>
      <c r="M15511" s="112"/>
      <c r="N15511" s="84"/>
    </row>
    <row r="15512" spans="1:14" s="2" customFormat="1">
      <c r="A15512" s="83"/>
      <c r="H15512" s="83"/>
      <c r="K15512" s="82"/>
      <c r="M15512" s="112"/>
      <c r="N15512" s="84"/>
    </row>
    <row r="15513" spans="1:14" s="2" customFormat="1">
      <c r="A15513" s="83"/>
      <c r="H15513" s="83"/>
      <c r="K15513" s="82"/>
      <c r="M15513" s="112"/>
      <c r="N15513" s="84"/>
    </row>
    <row r="15514" spans="1:14" s="2" customFormat="1">
      <c r="A15514" s="83"/>
      <c r="H15514" s="83"/>
      <c r="K15514" s="82"/>
      <c r="M15514" s="112"/>
      <c r="N15514" s="84"/>
    </row>
    <row r="15515" spans="1:14" s="2" customFormat="1">
      <c r="A15515" s="83"/>
      <c r="H15515" s="83"/>
      <c r="K15515" s="82"/>
      <c r="M15515" s="112"/>
      <c r="N15515" s="84"/>
    </row>
    <row r="15516" spans="1:14" s="2" customFormat="1">
      <c r="A15516" s="83"/>
      <c r="H15516" s="83"/>
      <c r="K15516" s="82"/>
      <c r="M15516" s="112"/>
      <c r="N15516" s="84"/>
    </row>
    <row r="15517" spans="1:14" s="2" customFormat="1">
      <c r="A15517" s="83"/>
      <c r="H15517" s="83"/>
      <c r="K15517" s="82"/>
      <c r="M15517" s="112"/>
      <c r="N15517" s="84"/>
    </row>
    <row r="15518" spans="1:14" s="2" customFormat="1">
      <c r="A15518" s="83"/>
      <c r="H15518" s="83"/>
      <c r="K15518" s="82"/>
      <c r="M15518" s="112"/>
      <c r="N15518" s="84"/>
    </row>
    <row r="15519" spans="1:14" s="2" customFormat="1">
      <c r="A15519" s="83"/>
      <c r="H15519" s="83"/>
      <c r="K15519" s="82"/>
      <c r="M15519" s="112"/>
      <c r="N15519" s="84"/>
    </row>
    <row r="15520" spans="1:14" s="2" customFormat="1">
      <c r="A15520" s="83"/>
      <c r="H15520" s="83"/>
      <c r="K15520" s="82"/>
      <c r="M15520" s="112"/>
      <c r="N15520" s="84"/>
    </row>
    <row r="15521" spans="1:14" s="2" customFormat="1">
      <c r="A15521" s="83"/>
      <c r="H15521" s="83"/>
      <c r="K15521" s="82"/>
      <c r="M15521" s="112"/>
      <c r="N15521" s="84"/>
    </row>
    <row r="15522" spans="1:14" s="2" customFormat="1">
      <c r="A15522" s="83"/>
      <c r="H15522" s="83"/>
      <c r="K15522" s="82"/>
      <c r="M15522" s="112"/>
      <c r="N15522" s="84"/>
    </row>
    <row r="15523" spans="1:14" s="2" customFormat="1">
      <c r="A15523" s="83"/>
      <c r="H15523" s="83"/>
      <c r="K15523" s="82"/>
      <c r="M15523" s="112"/>
      <c r="N15523" s="84"/>
    </row>
    <row r="15524" spans="1:14" s="2" customFormat="1">
      <c r="A15524" s="83"/>
      <c r="H15524" s="83"/>
      <c r="K15524" s="82"/>
      <c r="M15524" s="112"/>
      <c r="N15524" s="84"/>
    </row>
    <row r="15525" spans="1:14" s="2" customFormat="1">
      <c r="A15525" s="83"/>
      <c r="H15525" s="83"/>
      <c r="K15525" s="82"/>
      <c r="M15525" s="112"/>
      <c r="N15525" s="84"/>
    </row>
    <row r="15526" spans="1:14" s="2" customFormat="1">
      <c r="A15526" s="83"/>
      <c r="H15526" s="83"/>
      <c r="K15526" s="82"/>
      <c r="M15526" s="112"/>
      <c r="N15526" s="84"/>
    </row>
    <row r="15527" spans="1:14" s="2" customFormat="1">
      <c r="A15527" s="83"/>
      <c r="H15527" s="83"/>
      <c r="K15527" s="82"/>
      <c r="M15527" s="112"/>
      <c r="N15527" s="84"/>
    </row>
    <row r="15528" spans="1:14" s="2" customFormat="1">
      <c r="A15528" s="83"/>
      <c r="H15528" s="83"/>
      <c r="K15528" s="82"/>
      <c r="M15528" s="112"/>
      <c r="N15528" s="84"/>
    </row>
    <row r="15529" spans="1:14" s="2" customFormat="1">
      <c r="A15529" s="83"/>
      <c r="H15529" s="83"/>
      <c r="K15529" s="82"/>
      <c r="M15529" s="112"/>
      <c r="N15529" s="84"/>
    </row>
    <row r="15530" spans="1:14" s="2" customFormat="1">
      <c r="A15530" s="83"/>
      <c r="H15530" s="83"/>
      <c r="K15530" s="82"/>
      <c r="M15530" s="112"/>
      <c r="N15530" s="84"/>
    </row>
    <row r="15531" spans="1:14" s="2" customFormat="1">
      <c r="A15531" s="83"/>
      <c r="H15531" s="83"/>
      <c r="K15531" s="82"/>
      <c r="M15531" s="112"/>
      <c r="N15531" s="84"/>
    </row>
    <row r="15532" spans="1:14" s="2" customFormat="1">
      <c r="A15532" s="83"/>
      <c r="H15532" s="83"/>
      <c r="K15532" s="82"/>
      <c r="M15532" s="112"/>
      <c r="N15532" s="84"/>
    </row>
    <row r="15533" spans="1:14" s="2" customFormat="1">
      <c r="A15533" s="83"/>
      <c r="H15533" s="83"/>
      <c r="K15533" s="82"/>
      <c r="M15533" s="112"/>
      <c r="N15533" s="84"/>
    </row>
    <row r="15534" spans="1:14" s="2" customFormat="1">
      <c r="A15534" s="83"/>
      <c r="H15534" s="83"/>
      <c r="K15534" s="82"/>
      <c r="M15534" s="112"/>
      <c r="N15534" s="84"/>
    </row>
    <row r="15535" spans="1:14" s="2" customFormat="1">
      <c r="A15535" s="83"/>
      <c r="H15535" s="83"/>
      <c r="K15535" s="82"/>
      <c r="M15535" s="112"/>
      <c r="N15535" s="84"/>
    </row>
    <row r="15536" spans="1:14" s="2" customFormat="1">
      <c r="A15536" s="83"/>
      <c r="H15536" s="83"/>
      <c r="K15536" s="82"/>
      <c r="M15536" s="112"/>
      <c r="N15536" s="84"/>
    </row>
    <row r="15537" spans="1:14" s="2" customFormat="1">
      <c r="A15537" s="83"/>
      <c r="H15537" s="83"/>
      <c r="K15537" s="82"/>
      <c r="M15537" s="112"/>
      <c r="N15537" s="84"/>
    </row>
    <row r="15538" spans="1:14" s="2" customFormat="1">
      <c r="A15538" s="83"/>
      <c r="H15538" s="83"/>
      <c r="K15538" s="82"/>
      <c r="M15538" s="112"/>
      <c r="N15538" s="84"/>
    </row>
    <row r="15539" spans="1:14" s="2" customFormat="1">
      <c r="A15539" s="83"/>
      <c r="H15539" s="83"/>
      <c r="K15539" s="82"/>
      <c r="M15539" s="112"/>
      <c r="N15539" s="84"/>
    </row>
    <row r="15540" spans="1:14" s="2" customFormat="1">
      <c r="A15540" s="83"/>
      <c r="H15540" s="83"/>
      <c r="K15540" s="82"/>
      <c r="M15540" s="112"/>
      <c r="N15540" s="84"/>
    </row>
    <row r="15541" spans="1:14" s="2" customFormat="1">
      <c r="A15541" s="83"/>
      <c r="H15541" s="83"/>
      <c r="K15541" s="82"/>
      <c r="M15541" s="112"/>
      <c r="N15541" s="84"/>
    </row>
    <row r="15542" spans="1:14" s="2" customFormat="1">
      <c r="A15542" s="83"/>
      <c r="H15542" s="83"/>
      <c r="K15542" s="82"/>
      <c r="M15542" s="112"/>
      <c r="N15542" s="84"/>
    </row>
    <row r="15543" spans="1:14" s="2" customFormat="1">
      <c r="A15543" s="83"/>
      <c r="H15543" s="83"/>
      <c r="K15543" s="82"/>
      <c r="M15543" s="112"/>
      <c r="N15543" s="84"/>
    </row>
    <row r="15544" spans="1:14" s="2" customFormat="1">
      <c r="A15544" s="83"/>
      <c r="H15544" s="83"/>
      <c r="K15544" s="82"/>
      <c r="M15544" s="112"/>
      <c r="N15544" s="84"/>
    </row>
    <row r="15545" spans="1:14" s="2" customFormat="1">
      <c r="A15545" s="83"/>
      <c r="H15545" s="83"/>
      <c r="K15545" s="82"/>
      <c r="M15545" s="112"/>
      <c r="N15545" s="84"/>
    </row>
    <row r="15546" spans="1:14" s="2" customFormat="1">
      <c r="A15546" s="83"/>
      <c r="H15546" s="83"/>
      <c r="K15546" s="82"/>
      <c r="M15546" s="112"/>
      <c r="N15546" s="84"/>
    </row>
    <row r="15547" spans="1:14" s="2" customFormat="1">
      <c r="A15547" s="83"/>
      <c r="H15547" s="83"/>
      <c r="K15547" s="82"/>
      <c r="M15547" s="112"/>
      <c r="N15547" s="84"/>
    </row>
    <row r="15548" spans="1:14" s="2" customFormat="1">
      <c r="A15548" s="83"/>
      <c r="H15548" s="83"/>
      <c r="K15548" s="82"/>
      <c r="M15548" s="112"/>
      <c r="N15548" s="84"/>
    </row>
    <row r="15549" spans="1:14" s="2" customFormat="1">
      <c r="A15549" s="83"/>
      <c r="H15549" s="83"/>
      <c r="K15549" s="82"/>
      <c r="M15549" s="112"/>
      <c r="N15549" s="84"/>
    </row>
    <row r="15550" spans="1:14" s="2" customFormat="1">
      <c r="A15550" s="83"/>
      <c r="H15550" s="83"/>
      <c r="K15550" s="82"/>
      <c r="M15550" s="112"/>
      <c r="N15550" s="84"/>
    </row>
    <row r="15551" spans="1:14" s="2" customFormat="1">
      <c r="A15551" s="83"/>
      <c r="H15551" s="83"/>
      <c r="K15551" s="82"/>
      <c r="M15551" s="112"/>
      <c r="N15551" s="84"/>
    </row>
    <row r="15552" spans="1:14" s="2" customFormat="1">
      <c r="A15552" s="83"/>
      <c r="H15552" s="83"/>
      <c r="K15552" s="82"/>
      <c r="M15552" s="112"/>
      <c r="N15552" s="84"/>
    </row>
    <row r="15553" spans="1:14" s="2" customFormat="1">
      <c r="A15553" s="83"/>
      <c r="H15553" s="83"/>
      <c r="K15553" s="82"/>
      <c r="M15553" s="112"/>
      <c r="N15553" s="84"/>
    </row>
    <row r="15554" spans="1:14" s="2" customFormat="1">
      <c r="A15554" s="83"/>
      <c r="H15554" s="83"/>
      <c r="K15554" s="82"/>
      <c r="M15554" s="112"/>
      <c r="N15554" s="84"/>
    </row>
    <row r="15555" spans="1:14" s="2" customFormat="1">
      <c r="A15555" s="83"/>
      <c r="H15555" s="83"/>
      <c r="K15555" s="82"/>
      <c r="M15555" s="112"/>
      <c r="N15555" s="84"/>
    </row>
    <row r="15556" spans="1:14" s="2" customFormat="1">
      <c r="A15556" s="83"/>
      <c r="H15556" s="83"/>
      <c r="K15556" s="82"/>
      <c r="M15556" s="112"/>
      <c r="N15556" s="84"/>
    </row>
    <row r="15557" spans="1:14" s="2" customFormat="1">
      <c r="A15557" s="83"/>
      <c r="H15557" s="83"/>
      <c r="K15557" s="82"/>
      <c r="M15557" s="112"/>
      <c r="N15557" s="84"/>
    </row>
    <row r="15558" spans="1:14" s="2" customFormat="1">
      <c r="A15558" s="83"/>
      <c r="H15558" s="83"/>
      <c r="K15558" s="82"/>
      <c r="M15558" s="112"/>
      <c r="N15558" s="84"/>
    </row>
    <row r="15559" spans="1:14" s="2" customFormat="1">
      <c r="A15559" s="83"/>
      <c r="H15559" s="83"/>
      <c r="K15559" s="82"/>
      <c r="M15559" s="112"/>
      <c r="N15559" s="84"/>
    </row>
    <row r="15560" spans="1:14" s="2" customFormat="1">
      <c r="A15560" s="83"/>
      <c r="H15560" s="83"/>
      <c r="K15560" s="82"/>
      <c r="M15560" s="112"/>
      <c r="N15560" s="84"/>
    </row>
    <row r="15561" spans="1:14" s="2" customFormat="1">
      <c r="A15561" s="83"/>
      <c r="H15561" s="83"/>
      <c r="K15561" s="82"/>
      <c r="M15561" s="112"/>
      <c r="N15561" s="84"/>
    </row>
    <row r="15562" spans="1:14" s="2" customFormat="1">
      <c r="A15562" s="83"/>
      <c r="H15562" s="83"/>
      <c r="K15562" s="82"/>
      <c r="M15562" s="112"/>
      <c r="N15562" s="84"/>
    </row>
    <row r="15563" spans="1:14" s="2" customFormat="1">
      <c r="A15563" s="83"/>
      <c r="H15563" s="83"/>
      <c r="K15563" s="82"/>
      <c r="M15563" s="112"/>
      <c r="N15563" s="84"/>
    </row>
    <row r="15564" spans="1:14" s="2" customFormat="1">
      <c r="A15564" s="83"/>
      <c r="H15564" s="83"/>
      <c r="K15564" s="82"/>
      <c r="M15564" s="112"/>
      <c r="N15564" s="84"/>
    </row>
    <row r="15565" spans="1:14" s="2" customFormat="1">
      <c r="A15565" s="83"/>
      <c r="H15565" s="83"/>
      <c r="K15565" s="82"/>
      <c r="M15565" s="112"/>
      <c r="N15565" s="84"/>
    </row>
    <row r="15566" spans="1:14" s="2" customFormat="1">
      <c r="A15566" s="83"/>
      <c r="H15566" s="83"/>
      <c r="K15566" s="82"/>
      <c r="M15566" s="112"/>
      <c r="N15566" s="84"/>
    </row>
    <row r="15567" spans="1:14" s="2" customFormat="1">
      <c r="A15567" s="83"/>
      <c r="H15567" s="83"/>
      <c r="K15567" s="82"/>
      <c r="M15567" s="112"/>
      <c r="N15567" s="84"/>
    </row>
    <row r="15568" spans="1:14" s="2" customFormat="1">
      <c r="A15568" s="83"/>
      <c r="H15568" s="83"/>
      <c r="K15568" s="82"/>
      <c r="M15568" s="112"/>
      <c r="N15568" s="84"/>
    </row>
    <row r="15569" spans="1:14" s="2" customFormat="1">
      <c r="A15569" s="83"/>
      <c r="H15569" s="83"/>
      <c r="K15569" s="82"/>
      <c r="M15569" s="112"/>
      <c r="N15569" s="84"/>
    </row>
    <row r="15570" spans="1:14" s="2" customFormat="1">
      <c r="A15570" s="83"/>
      <c r="H15570" s="83"/>
      <c r="K15570" s="82"/>
      <c r="M15570" s="112"/>
      <c r="N15570" s="84"/>
    </row>
    <row r="15571" spans="1:14" s="2" customFormat="1">
      <c r="A15571" s="83"/>
      <c r="H15571" s="83"/>
      <c r="K15571" s="82"/>
      <c r="M15571" s="112"/>
      <c r="N15571" s="84"/>
    </row>
    <row r="15572" spans="1:14" s="2" customFormat="1">
      <c r="A15572" s="83"/>
      <c r="H15572" s="83"/>
      <c r="K15572" s="82"/>
      <c r="M15572" s="112"/>
      <c r="N15572" s="84"/>
    </row>
    <row r="15573" spans="1:14" s="2" customFormat="1">
      <c r="A15573" s="83"/>
      <c r="H15573" s="83"/>
      <c r="K15573" s="82"/>
      <c r="M15573" s="112"/>
      <c r="N15573" s="84"/>
    </row>
    <row r="15574" spans="1:14" s="2" customFormat="1">
      <c r="A15574" s="83"/>
      <c r="H15574" s="83"/>
      <c r="K15574" s="82"/>
      <c r="M15574" s="112"/>
      <c r="N15574" s="84"/>
    </row>
    <row r="15575" spans="1:14" s="2" customFormat="1">
      <c r="A15575" s="83"/>
      <c r="H15575" s="83"/>
      <c r="K15575" s="82"/>
      <c r="M15575" s="112"/>
      <c r="N15575" s="84"/>
    </row>
    <row r="15576" spans="1:14" s="2" customFormat="1">
      <c r="A15576" s="83"/>
      <c r="H15576" s="83"/>
      <c r="K15576" s="82"/>
      <c r="M15576" s="112"/>
      <c r="N15576" s="84"/>
    </row>
    <row r="15577" spans="1:14" s="2" customFormat="1">
      <c r="A15577" s="83"/>
      <c r="H15577" s="83"/>
      <c r="K15577" s="82"/>
      <c r="M15577" s="112"/>
      <c r="N15577" s="84"/>
    </row>
    <row r="15578" spans="1:14" s="2" customFormat="1">
      <c r="A15578" s="83"/>
      <c r="H15578" s="83"/>
      <c r="K15578" s="82"/>
      <c r="M15578" s="112"/>
      <c r="N15578" s="84"/>
    </row>
    <row r="15579" spans="1:14" s="2" customFormat="1">
      <c r="A15579" s="83"/>
      <c r="H15579" s="83"/>
      <c r="K15579" s="82"/>
      <c r="M15579" s="112"/>
      <c r="N15579" s="84"/>
    </row>
    <row r="15580" spans="1:14" s="2" customFormat="1">
      <c r="A15580" s="83"/>
      <c r="H15580" s="83"/>
      <c r="K15580" s="82"/>
      <c r="M15580" s="112"/>
      <c r="N15580" s="84"/>
    </row>
    <row r="15581" spans="1:14" s="2" customFormat="1">
      <c r="A15581" s="83"/>
      <c r="H15581" s="83"/>
      <c r="K15581" s="82"/>
      <c r="M15581" s="112"/>
      <c r="N15581" s="84"/>
    </row>
    <row r="15582" spans="1:14" s="2" customFormat="1">
      <c r="A15582" s="83"/>
      <c r="H15582" s="83"/>
      <c r="K15582" s="82"/>
      <c r="M15582" s="112"/>
      <c r="N15582" s="84"/>
    </row>
    <row r="15583" spans="1:14" s="2" customFormat="1">
      <c r="A15583" s="83"/>
      <c r="H15583" s="83"/>
      <c r="K15583" s="82"/>
      <c r="M15583" s="112"/>
      <c r="N15583" s="84"/>
    </row>
    <row r="15584" spans="1:14" s="2" customFormat="1">
      <c r="A15584" s="83"/>
      <c r="H15584" s="83"/>
      <c r="K15584" s="82"/>
      <c r="M15584" s="112"/>
      <c r="N15584" s="84"/>
    </row>
    <row r="15585" spans="1:14" s="2" customFormat="1">
      <c r="A15585" s="83"/>
      <c r="H15585" s="83"/>
      <c r="K15585" s="82"/>
      <c r="M15585" s="112"/>
      <c r="N15585" s="84"/>
    </row>
    <row r="15586" spans="1:14" s="2" customFormat="1">
      <c r="A15586" s="83"/>
      <c r="H15586" s="83"/>
      <c r="K15586" s="82"/>
      <c r="M15586" s="112"/>
      <c r="N15586" s="84"/>
    </row>
    <row r="15587" spans="1:14" s="2" customFormat="1">
      <c r="A15587" s="83"/>
      <c r="H15587" s="83"/>
      <c r="K15587" s="82"/>
      <c r="M15587" s="112"/>
      <c r="N15587" s="84"/>
    </row>
    <row r="15588" spans="1:14" s="2" customFormat="1">
      <c r="A15588" s="83"/>
      <c r="H15588" s="83"/>
      <c r="K15588" s="82"/>
      <c r="M15588" s="112"/>
      <c r="N15588" s="84"/>
    </row>
    <row r="15589" spans="1:14" s="2" customFormat="1">
      <c r="A15589" s="83"/>
      <c r="H15589" s="83"/>
      <c r="K15589" s="82"/>
      <c r="M15589" s="112"/>
      <c r="N15589" s="84"/>
    </row>
    <row r="15590" spans="1:14" s="2" customFormat="1">
      <c r="A15590" s="83"/>
      <c r="H15590" s="83"/>
      <c r="K15590" s="82"/>
      <c r="M15590" s="112"/>
      <c r="N15590" s="84"/>
    </row>
    <row r="15591" spans="1:14" s="2" customFormat="1">
      <c r="A15591" s="83"/>
      <c r="H15591" s="83"/>
      <c r="K15591" s="82"/>
      <c r="M15591" s="112"/>
      <c r="N15591" s="84"/>
    </row>
    <row r="15592" spans="1:14" s="2" customFormat="1">
      <c r="A15592" s="83"/>
      <c r="H15592" s="83"/>
      <c r="K15592" s="82"/>
      <c r="M15592" s="112"/>
      <c r="N15592" s="84"/>
    </row>
    <row r="15593" spans="1:14" s="2" customFormat="1">
      <c r="A15593" s="83"/>
      <c r="H15593" s="83"/>
      <c r="K15593" s="82"/>
      <c r="M15593" s="112"/>
      <c r="N15593" s="84"/>
    </row>
    <row r="15594" spans="1:14" s="2" customFormat="1">
      <c r="A15594" s="83"/>
      <c r="H15594" s="83"/>
      <c r="K15594" s="82"/>
      <c r="M15594" s="112"/>
      <c r="N15594" s="84"/>
    </row>
    <row r="15595" spans="1:14" s="2" customFormat="1">
      <c r="A15595" s="83"/>
      <c r="H15595" s="83"/>
      <c r="K15595" s="82"/>
      <c r="M15595" s="112"/>
      <c r="N15595" s="84"/>
    </row>
    <row r="15596" spans="1:14" s="2" customFormat="1">
      <c r="A15596" s="83"/>
      <c r="H15596" s="83"/>
      <c r="K15596" s="82"/>
      <c r="M15596" s="112"/>
      <c r="N15596" s="84"/>
    </row>
    <row r="15597" spans="1:14" s="2" customFormat="1">
      <c r="A15597" s="83"/>
      <c r="H15597" s="83"/>
      <c r="K15597" s="82"/>
      <c r="M15597" s="112"/>
      <c r="N15597" s="84"/>
    </row>
    <row r="15598" spans="1:14" s="2" customFormat="1">
      <c r="A15598" s="83"/>
      <c r="H15598" s="83"/>
      <c r="K15598" s="82"/>
      <c r="M15598" s="112"/>
      <c r="N15598" s="84"/>
    </row>
    <row r="15599" spans="1:14" s="2" customFormat="1">
      <c r="A15599" s="83"/>
      <c r="H15599" s="83"/>
      <c r="K15599" s="82"/>
      <c r="M15599" s="112"/>
      <c r="N15599" s="84"/>
    </row>
    <row r="15600" spans="1:14" s="2" customFormat="1">
      <c r="A15600" s="83"/>
      <c r="H15600" s="83"/>
      <c r="K15600" s="82"/>
      <c r="M15600" s="112"/>
      <c r="N15600" s="84"/>
    </row>
    <row r="15601" spans="1:14" s="2" customFormat="1">
      <c r="A15601" s="83"/>
      <c r="H15601" s="83"/>
      <c r="K15601" s="82"/>
      <c r="M15601" s="112"/>
      <c r="N15601" s="84"/>
    </row>
    <row r="15602" spans="1:14" s="2" customFormat="1">
      <c r="A15602" s="83"/>
      <c r="H15602" s="83"/>
      <c r="K15602" s="82"/>
      <c r="M15602" s="112"/>
      <c r="N15602" s="84"/>
    </row>
    <row r="15603" spans="1:14" s="2" customFormat="1">
      <c r="A15603" s="83"/>
      <c r="H15603" s="83"/>
      <c r="K15603" s="82"/>
      <c r="M15603" s="112"/>
      <c r="N15603" s="84"/>
    </row>
    <row r="15604" spans="1:14" s="2" customFormat="1">
      <c r="A15604" s="83"/>
      <c r="H15604" s="83"/>
      <c r="K15604" s="82"/>
      <c r="M15604" s="112"/>
      <c r="N15604" s="84"/>
    </row>
    <row r="15605" spans="1:14" s="2" customFormat="1">
      <c r="A15605" s="83"/>
      <c r="H15605" s="83"/>
      <c r="K15605" s="82"/>
      <c r="M15605" s="112"/>
      <c r="N15605" s="84"/>
    </row>
    <row r="15606" spans="1:14" s="2" customFormat="1">
      <c r="A15606" s="83"/>
      <c r="H15606" s="83"/>
      <c r="K15606" s="82"/>
      <c r="M15606" s="112"/>
      <c r="N15606" s="84"/>
    </row>
    <row r="15607" spans="1:14" s="2" customFormat="1">
      <c r="A15607" s="83"/>
      <c r="H15607" s="83"/>
      <c r="K15607" s="82"/>
      <c r="M15607" s="112"/>
      <c r="N15607" s="84"/>
    </row>
    <row r="15608" spans="1:14" s="2" customFormat="1">
      <c r="A15608" s="83"/>
      <c r="H15608" s="83"/>
      <c r="K15608" s="82"/>
      <c r="M15608" s="112"/>
      <c r="N15608" s="84"/>
    </row>
    <row r="15609" spans="1:14" s="2" customFormat="1">
      <c r="A15609" s="83"/>
      <c r="H15609" s="83"/>
      <c r="K15609" s="82"/>
      <c r="M15609" s="112"/>
      <c r="N15609" s="84"/>
    </row>
    <row r="15610" spans="1:14" s="2" customFormat="1">
      <c r="A15610" s="83"/>
      <c r="H15610" s="83"/>
      <c r="K15610" s="82"/>
      <c r="M15610" s="112"/>
      <c r="N15610" s="84"/>
    </row>
    <row r="15611" spans="1:14" s="2" customFormat="1">
      <c r="A15611" s="83"/>
      <c r="H15611" s="83"/>
      <c r="K15611" s="82"/>
      <c r="M15611" s="112"/>
      <c r="N15611" s="84"/>
    </row>
    <row r="15612" spans="1:14" s="2" customFormat="1">
      <c r="A15612" s="83"/>
      <c r="H15612" s="83"/>
      <c r="K15612" s="82"/>
      <c r="M15612" s="112"/>
      <c r="N15612" s="84"/>
    </row>
    <row r="15613" spans="1:14" s="2" customFormat="1">
      <c r="A15613" s="83"/>
      <c r="H15613" s="83"/>
      <c r="K15613" s="82"/>
      <c r="M15613" s="112"/>
      <c r="N15613" s="84"/>
    </row>
    <row r="15614" spans="1:14" s="2" customFormat="1">
      <c r="A15614" s="83"/>
      <c r="H15614" s="83"/>
      <c r="K15614" s="82"/>
      <c r="M15614" s="112"/>
      <c r="N15614" s="84"/>
    </row>
    <row r="15615" spans="1:14" s="2" customFormat="1">
      <c r="A15615" s="83"/>
      <c r="H15615" s="83"/>
      <c r="K15615" s="82"/>
      <c r="M15615" s="112"/>
      <c r="N15615" s="84"/>
    </row>
    <row r="15616" spans="1:14" s="2" customFormat="1">
      <c r="A15616" s="83"/>
      <c r="H15616" s="83"/>
      <c r="K15616" s="82"/>
      <c r="M15616" s="112"/>
      <c r="N15616" s="84"/>
    </row>
    <row r="15617" spans="1:14" s="2" customFormat="1">
      <c r="A15617" s="83"/>
      <c r="H15617" s="83"/>
      <c r="K15617" s="82"/>
      <c r="M15617" s="112"/>
      <c r="N15617" s="84"/>
    </row>
    <row r="15618" spans="1:14" s="2" customFormat="1">
      <c r="A15618" s="83"/>
      <c r="H15618" s="83"/>
      <c r="K15618" s="82"/>
      <c r="M15618" s="112"/>
      <c r="N15618" s="84"/>
    </row>
    <row r="15619" spans="1:14" s="2" customFormat="1">
      <c r="A15619" s="83"/>
      <c r="H15619" s="83"/>
      <c r="K15619" s="82"/>
      <c r="M15619" s="112"/>
      <c r="N15619" s="84"/>
    </row>
    <row r="15620" spans="1:14" s="2" customFormat="1">
      <c r="A15620" s="83"/>
      <c r="H15620" s="83"/>
      <c r="K15620" s="82"/>
      <c r="M15620" s="112"/>
      <c r="N15620" s="84"/>
    </row>
    <row r="15621" spans="1:14" s="2" customFormat="1">
      <c r="A15621" s="83"/>
      <c r="H15621" s="83"/>
      <c r="K15621" s="82"/>
      <c r="M15621" s="112"/>
      <c r="N15621" s="84"/>
    </row>
    <row r="15622" spans="1:14" s="2" customFormat="1">
      <c r="A15622" s="83"/>
      <c r="H15622" s="83"/>
      <c r="K15622" s="82"/>
      <c r="M15622" s="112"/>
      <c r="N15622" s="84"/>
    </row>
    <row r="15623" spans="1:14" s="2" customFormat="1">
      <c r="A15623" s="83"/>
      <c r="H15623" s="83"/>
      <c r="K15623" s="82"/>
      <c r="M15623" s="112"/>
      <c r="N15623" s="84"/>
    </row>
    <row r="15624" spans="1:14" s="2" customFormat="1">
      <c r="A15624" s="83"/>
      <c r="H15624" s="83"/>
      <c r="K15624" s="82"/>
      <c r="M15624" s="112"/>
      <c r="N15624" s="84"/>
    </row>
    <row r="15625" spans="1:14" s="2" customFormat="1">
      <c r="A15625" s="83"/>
      <c r="H15625" s="83"/>
      <c r="K15625" s="82"/>
      <c r="M15625" s="112"/>
      <c r="N15625" s="84"/>
    </row>
    <row r="15626" spans="1:14" s="2" customFormat="1">
      <c r="A15626" s="83"/>
      <c r="H15626" s="83"/>
      <c r="K15626" s="82"/>
      <c r="M15626" s="112"/>
      <c r="N15626" s="84"/>
    </row>
    <row r="15627" spans="1:14" s="2" customFormat="1">
      <c r="A15627" s="83"/>
      <c r="H15627" s="83"/>
      <c r="K15627" s="82"/>
      <c r="M15627" s="112"/>
      <c r="N15627" s="84"/>
    </row>
    <row r="15628" spans="1:14" s="2" customFormat="1">
      <c r="A15628" s="83"/>
      <c r="H15628" s="83"/>
      <c r="K15628" s="82"/>
      <c r="M15628" s="112"/>
      <c r="N15628" s="84"/>
    </row>
    <row r="15629" spans="1:14" s="2" customFormat="1">
      <c r="A15629" s="83"/>
      <c r="H15629" s="83"/>
      <c r="K15629" s="82"/>
      <c r="M15629" s="112"/>
      <c r="N15629" s="84"/>
    </row>
    <row r="15630" spans="1:14" s="2" customFormat="1">
      <c r="A15630" s="83"/>
      <c r="H15630" s="83"/>
      <c r="K15630" s="82"/>
      <c r="M15630" s="112"/>
      <c r="N15630" s="84"/>
    </row>
    <row r="15631" spans="1:14" s="2" customFormat="1">
      <c r="A15631" s="83"/>
      <c r="H15631" s="83"/>
      <c r="K15631" s="82"/>
      <c r="M15631" s="112"/>
      <c r="N15631" s="84"/>
    </row>
    <row r="15632" spans="1:14" s="2" customFormat="1">
      <c r="A15632" s="83"/>
      <c r="H15632" s="83"/>
      <c r="K15632" s="82"/>
      <c r="M15632" s="112"/>
      <c r="N15632" s="84"/>
    </row>
    <row r="15633" spans="1:14" s="2" customFormat="1">
      <c r="A15633" s="83"/>
      <c r="H15633" s="83"/>
      <c r="K15633" s="82"/>
      <c r="M15633" s="112"/>
      <c r="N15633" s="84"/>
    </row>
    <row r="15634" spans="1:14" s="2" customFormat="1">
      <c r="A15634" s="83"/>
      <c r="H15634" s="83"/>
      <c r="K15634" s="82"/>
      <c r="M15634" s="112"/>
      <c r="N15634" s="84"/>
    </row>
    <row r="15635" spans="1:14" s="2" customFormat="1">
      <c r="A15635" s="83"/>
      <c r="H15635" s="83"/>
      <c r="K15635" s="82"/>
      <c r="M15635" s="112"/>
      <c r="N15635" s="84"/>
    </row>
    <row r="15636" spans="1:14" s="2" customFormat="1">
      <c r="A15636" s="83"/>
      <c r="H15636" s="83"/>
      <c r="K15636" s="82"/>
      <c r="M15636" s="112"/>
      <c r="N15636" s="84"/>
    </row>
    <row r="15637" spans="1:14" s="2" customFormat="1">
      <c r="A15637" s="83"/>
      <c r="H15637" s="83"/>
      <c r="K15637" s="82"/>
      <c r="M15637" s="112"/>
      <c r="N15637" s="84"/>
    </row>
    <row r="15638" spans="1:14" s="2" customFormat="1">
      <c r="A15638" s="83"/>
      <c r="H15638" s="83"/>
      <c r="K15638" s="82"/>
      <c r="M15638" s="112"/>
      <c r="N15638" s="84"/>
    </row>
    <row r="15639" spans="1:14" s="2" customFormat="1">
      <c r="A15639" s="83"/>
      <c r="H15639" s="83"/>
      <c r="K15639" s="82"/>
      <c r="M15639" s="112"/>
      <c r="N15639" s="84"/>
    </row>
    <row r="15640" spans="1:14" s="2" customFormat="1">
      <c r="A15640" s="83"/>
      <c r="H15640" s="83"/>
      <c r="K15640" s="82"/>
      <c r="M15640" s="112"/>
      <c r="N15640" s="84"/>
    </row>
    <row r="15641" spans="1:14" s="2" customFormat="1">
      <c r="A15641" s="83"/>
      <c r="H15641" s="83"/>
      <c r="K15641" s="82"/>
      <c r="M15641" s="112"/>
      <c r="N15641" s="84"/>
    </row>
    <row r="15642" spans="1:14" s="2" customFormat="1">
      <c r="A15642" s="83"/>
      <c r="H15642" s="83"/>
      <c r="K15642" s="82"/>
      <c r="M15642" s="112"/>
      <c r="N15642" s="84"/>
    </row>
    <row r="15643" spans="1:14" s="2" customFormat="1">
      <c r="A15643" s="83"/>
      <c r="H15643" s="83"/>
      <c r="K15643" s="82"/>
      <c r="M15643" s="112"/>
      <c r="N15643" s="84"/>
    </row>
    <row r="15644" spans="1:14" s="2" customFormat="1">
      <c r="A15644" s="83"/>
      <c r="H15644" s="83"/>
      <c r="K15644" s="82"/>
      <c r="M15644" s="112"/>
      <c r="N15644" s="84"/>
    </row>
    <row r="15645" spans="1:14" s="2" customFormat="1">
      <c r="A15645" s="83"/>
      <c r="H15645" s="83"/>
      <c r="K15645" s="82"/>
      <c r="M15645" s="112"/>
      <c r="N15645" s="84"/>
    </row>
    <row r="15646" spans="1:14" s="2" customFormat="1">
      <c r="A15646" s="83"/>
      <c r="H15646" s="83"/>
      <c r="K15646" s="82"/>
      <c r="M15646" s="112"/>
      <c r="N15646" s="84"/>
    </row>
    <row r="15647" spans="1:14" s="2" customFormat="1">
      <c r="A15647" s="83"/>
      <c r="H15647" s="83"/>
      <c r="K15647" s="82"/>
      <c r="M15647" s="112"/>
      <c r="N15647" s="84"/>
    </row>
    <row r="15648" spans="1:14" s="2" customFormat="1">
      <c r="A15648" s="83"/>
      <c r="H15648" s="83"/>
      <c r="K15648" s="82"/>
      <c r="M15648" s="112"/>
      <c r="N15648" s="84"/>
    </row>
    <row r="15649" spans="1:14" s="2" customFormat="1">
      <c r="A15649" s="83"/>
      <c r="H15649" s="83"/>
      <c r="K15649" s="82"/>
      <c r="M15649" s="112"/>
      <c r="N15649" s="84"/>
    </row>
    <row r="15650" spans="1:14" s="2" customFormat="1">
      <c r="A15650" s="83"/>
      <c r="H15650" s="83"/>
      <c r="K15650" s="82"/>
      <c r="M15650" s="112"/>
      <c r="N15650" s="84"/>
    </row>
    <row r="15651" spans="1:14" s="2" customFormat="1">
      <c r="A15651" s="83"/>
      <c r="H15651" s="83"/>
      <c r="K15651" s="82"/>
      <c r="M15651" s="112"/>
      <c r="N15651" s="84"/>
    </row>
    <row r="15652" spans="1:14" s="2" customFormat="1">
      <c r="A15652" s="83"/>
      <c r="H15652" s="83"/>
      <c r="K15652" s="82"/>
      <c r="M15652" s="112"/>
      <c r="N15652" s="84"/>
    </row>
    <row r="15653" spans="1:14" s="2" customFormat="1">
      <c r="A15653" s="83"/>
      <c r="H15653" s="83"/>
      <c r="K15653" s="82"/>
      <c r="M15653" s="112"/>
      <c r="N15653" s="84"/>
    </row>
    <row r="15654" spans="1:14" s="2" customFormat="1">
      <c r="A15654" s="83"/>
      <c r="H15654" s="83"/>
      <c r="K15654" s="82"/>
      <c r="M15654" s="112"/>
      <c r="N15654" s="84"/>
    </row>
    <row r="15655" spans="1:14" s="2" customFormat="1">
      <c r="A15655" s="83"/>
      <c r="H15655" s="83"/>
      <c r="K15655" s="82"/>
      <c r="M15655" s="112"/>
      <c r="N15655" s="84"/>
    </row>
    <row r="15656" spans="1:14" s="2" customFormat="1">
      <c r="A15656" s="83"/>
      <c r="H15656" s="83"/>
      <c r="K15656" s="82"/>
      <c r="M15656" s="112"/>
      <c r="N15656" s="84"/>
    </row>
    <row r="15657" spans="1:14" s="2" customFormat="1">
      <c r="A15657" s="83"/>
      <c r="H15657" s="83"/>
      <c r="K15657" s="82"/>
      <c r="M15657" s="112"/>
      <c r="N15657" s="84"/>
    </row>
    <row r="15658" spans="1:14" s="2" customFormat="1">
      <c r="A15658" s="83"/>
      <c r="H15658" s="83"/>
      <c r="K15658" s="82"/>
      <c r="M15658" s="112"/>
      <c r="N15658" s="84"/>
    </row>
    <row r="15659" spans="1:14" s="2" customFormat="1">
      <c r="A15659" s="83"/>
      <c r="H15659" s="83"/>
      <c r="K15659" s="82"/>
      <c r="M15659" s="112"/>
      <c r="N15659" s="84"/>
    </row>
    <row r="15660" spans="1:14" s="2" customFormat="1">
      <c r="A15660" s="83"/>
      <c r="H15660" s="83"/>
      <c r="K15660" s="82"/>
      <c r="M15660" s="112"/>
      <c r="N15660" s="84"/>
    </row>
    <row r="15661" spans="1:14" s="2" customFormat="1">
      <c r="A15661" s="83"/>
      <c r="H15661" s="83"/>
      <c r="K15661" s="82"/>
      <c r="M15661" s="112"/>
      <c r="N15661" s="84"/>
    </row>
    <row r="15662" spans="1:14" s="2" customFormat="1">
      <c r="A15662" s="83"/>
      <c r="H15662" s="83"/>
      <c r="K15662" s="82"/>
      <c r="M15662" s="112"/>
      <c r="N15662" s="84"/>
    </row>
    <row r="15663" spans="1:14" s="2" customFormat="1">
      <c r="A15663" s="83"/>
      <c r="H15663" s="83"/>
      <c r="K15663" s="82"/>
      <c r="M15663" s="112"/>
      <c r="N15663" s="84"/>
    </row>
    <row r="15664" spans="1:14" s="2" customFormat="1">
      <c r="A15664" s="83"/>
      <c r="H15664" s="83"/>
      <c r="K15664" s="82"/>
      <c r="M15664" s="112"/>
      <c r="N15664" s="84"/>
    </row>
    <row r="15665" spans="1:14" s="2" customFormat="1">
      <c r="A15665" s="83"/>
      <c r="H15665" s="83"/>
      <c r="K15665" s="82"/>
      <c r="M15665" s="112"/>
      <c r="N15665" s="84"/>
    </row>
    <row r="15666" spans="1:14" s="2" customFormat="1">
      <c r="A15666" s="83"/>
      <c r="H15666" s="83"/>
      <c r="K15666" s="82"/>
      <c r="M15666" s="112"/>
      <c r="N15666" s="84"/>
    </row>
    <row r="15667" spans="1:14" s="2" customFormat="1">
      <c r="A15667" s="83"/>
      <c r="H15667" s="83"/>
      <c r="K15667" s="82"/>
      <c r="M15667" s="112"/>
      <c r="N15667" s="84"/>
    </row>
    <row r="15668" spans="1:14" s="2" customFormat="1">
      <c r="A15668" s="83"/>
      <c r="H15668" s="83"/>
      <c r="K15668" s="82"/>
      <c r="M15668" s="112"/>
      <c r="N15668" s="84"/>
    </row>
    <row r="15669" spans="1:14" s="2" customFormat="1">
      <c r="A15669" s="83"/>
      <c r="H15669" s="83"/>
      <c r="K15669" s="82"/>
      <c r="M15669" s="112"/>
      <c r="N15669" s="84"/>
    </row>
    <row r="15670" spans="1:14" s="2" customFormat="1">
      <c r="A15670" s="83"/>
      <c r="H15670" s="83"/>
      <c r="K15670" s="82"/>
      <c r="M15670" s="112"/>
      <c r="N15670" s="84"/>
    </row>
    <row r="15671" spans="1:14" s="2" customFormat="1">
      <c r="A15671" s="83"/>
      <c r="H15671" s="83"/>
      <c r="K15671" s="82"/>
      <c r="M15671" s="112"/>
      <c r="N15671" s="84"/>
    </row>
    <row r="15672" spans="1:14" s="2" customFormat="1">
      <c r="A15672" s="83"/>
      <c r="H15672" s="83"/>
      <c r="K15672" s="82"/>
      <c r="M15672" s="112"/>
      <c r="N15672" s="84"/>
    </row>
    <row r="15673" spans="1:14" s="2" customFormat="1">
      <c r="A15673" s="83"/>
      <c r="H15673" s="83"/>
      <c r="K15673" s="82"/>
      <c r="M15673" s="112"/>
      <c r="N15673" s="84"/>
    </row>
    <row r="15674" spans="1:14" s="2" customFormat="1">
      <c r="A15674" s="83"/>
      <c r="H15674" s="83"/>
      <c r="K15674" s="82"/>
      <c r="M15674" s="112"/>
      <c r="N15674" s="84"/>
    </row>
    <row r="15675" spans="1:14" s="2" customFormat="1">
      <c r="A15675" s="83"/>
      <c r="H15675" s="83"/>
      <c r="K15675" s="82"/>
      <c r="M15675" s="112"/>
      <c r="N15675" s="84"/>
    </row>
    <row r="15676" spans="1:14" s="2" customFormat="1">
      <c r="A15676" s="83"/>
      <c r="H15676" s="83"/>
      <c r="K15676" s="82"/>
      <c r="M15676" s="112"/>
      <c r="N15676" s="84"/>
    </row>
    <row r="15677" spans="1:14" s="2" customFormat="1">
      <c r="A15677" s="83"/>
      <c r="H15677" s="83"/>
      <c r="K15677" s="82"/>
      <c r="M15677" s="112"/>
      <c r="N15677" s="84"/>
    </row>
    <row r="15678" spans="1:14" s="2" customFormat="1">
      <c r="A15678" s="83"/>
      <c r="H15678" s="83"/>
      <c r="K15678" s="82"/>
      <c r="M15678" s="112"/>
      <c r="N15678" s="84"/>
    </row>
    <row r="15679" spans="1:14" s="2" customFormat="1">
      <c r="A15679" s="83"/>
      <c r="H15679" s="83"/>
      <c r="K15679" s="82"/>
      <c r="M15679" s="112"/>
      <c r="N15679" s="84"/>
    </row>
    <row r="15680" spans="1:14" s="2" customFormat="1">
      <c r="A15680" s="83"/>
      <c r="H15680" s="83"/>
      <c r="K15680" s="82"/>
      <c r="M15680" s="112"/>
      <c r="N15680" s="84"/>
    </row>
    <row r="15681" spans="1:14" s="2" customFormat="1">
      <c r="A15681" s="83"/>
      <c r="H15681" s="83"/>
      <c r="K15681" s="82"/>
      <c r="M15681" s="112"/>
      <c r="N15681" s="84"/>
    </row>
    <row r="15682" spans="1:14" s="2" customFormat="1">
      <c r="A15682" s="83"/>
      <c r="H15682" s="83"/>
      <c r="K15682" s="82"/>
      <c r="M15682" s="112"/>
      <c r="N15682" s="84"/>
    </row>
    <row r="15683" spans="1:14" s="2" customFormat="1">
      <c r="A15683" s="83"/>
      <c r="H15683" s="83"/>
      <c r="K15683" s="82"/>
      <c r="M15683" s="112"/>
      <c r="N15683" s="84"/>
    </row>
    <row r="15684" spans="1:14" s="2" customFormat="1">
      <c r="A15684" s="83"/>
      <c r="H15684" s="83"/>
      <c r="K15684" s="82"/>
      <c r="M15684" s="112"/>
      <c r="N15684" s="84"/>
    </row>
    <row r="15685" spans="1:14" s="2" customFormat="1">
      <c r="A15685" s="83"/>
      <c r="H15685" s="83"/>
      <c r="K15685" s="82"/>
      <c r="M15685" s="112"/>
      <c r="N15685" s="84"/>
    </row>
    <row r="15686" spans="1:14" s="2" customFormat="1">
      <c r="A15686" s="83"/>
      <c r="H15686" s="83"/>
      <c r="K15686" s="82"/>
      <c r="M15686" s="112"/>
      <c r="N15686" s="84"/>
    </row>
    <row r="15687" spans="1:14" s="2" customFormat="1">
      <c r="A15687" s="83"/>
      <c r="H15687" s="83"/>
      <c r="K15687" s="82"/>
      <c r="M15687" s="112"/>
      <c r="N15687" s="84"/>
    </row>
    <row r="15688" spans="1:14" s="2" customFormat="1">
      <c r="A15688" s="83"/>
      <c r="H15688" s="83"/>
      <c r="K15688" s="82"/>
      <c r="M15688" s="112"/>
      <c r="N15688" s="84"/>
    </row>
    <row r="15689" spans="1:14" s="2" customFormat="1">
      <c r="A15689" s="83"/>
      <c r="H15689" s="83"/>
      <c r="K15689" s="82"/>
      <c r="M15689" s="112"/>
      <c r="N15689" s="84"/>
    </row>
    <row r="15690" spans="1:14" s="2" customFormat="1">
      <c r="A15690" s="83"/>
      <c r="H15690" s="83"/>
      <c r="K15690" s="82"/>
      <c r="M15690" s="112"/>
      <c r="N15690" s="84"/>
    </row>
    <row r="15691" spans="1:14" s="2" customFormat="1">
      <c r="A15691" s="83"/>
      <c r="H15691" s="83"/>
      <c r="K15691" s="82"/>
      <c r="M15691" s="112"/>
      <c r="N15691" s="84"/>
    </row>
    <row r="15692" spans="1:14" s="2" customFormat="1">
      <c r="A15692" s="83"/>
      <c r="H15692" s="83"/>
      <c r="K15692" s="82"/>
      <c r="M15692" s="112"/>
      <c r="N15692" s="84"/>
    </row>
    <row r="15693" spans="1:14" s="2" customFormat="1">
      <c r="A15693" s="83"/>
      <c r="H15693" s="83"/>
      <c r="K15693" s="82"/>
      <c r="M15693" s="112"/>
      <c r="N15693" s="84"/>
    </row>
    <row r="15694" spans="1:14" s="2" customFormat="1">
      <c r="A15694" s="83"/>
      <c r="H15694" s="83"/>
      <c r="K15694" s="82"/>
      <c r="M15694" s="112"/>
      <c r="N15694" s="84"/>
    </row>
    <row r="15695" spans="1:14" s="2" customFormat="1">
      <c r="A15695" s="83"/>
      <c r="H15695" s="83"/>
      <c r="K15695" s="82"/>
      <c r="M15695" s="112"/>
      <c r="N15695" s="84"/>
    </row>
    <row r="15696" spans="1:14" s="2" customFormat="1">
      <c r="A15696" s="83"/>
      <c r="H15696" s="83"/>
      <c r="K15696" s="82"/>
      <c r="M15696" s="112"/>
      <c r="N15696" s="84"/>
    </row>
    <row r="15697" spans="1:14" s="2" customFormat="1">
      <c r="A15697" s="83"/>
      <c r="H15697" s="83"/>
      <c r="K15697" s="82"/>
      <c r="M15697" s="112"/>
      <c r="N15697" s="84"/>
    </row>
    <row r="15698" spans="1:14" s="2" customFormat="1">
      <c r="A15698" s="83"/>
      <c r="H15698" s="83"/>
      <c r="K15698" s="82"/>
      <c r="M15698" s="112"/>
      <c r="N15698" s="84"/>
    </row>
    <row r="15699" spans="1:14" s="2" customFormat="1">
      <c r="A15699" s="83"/>
      <c r="H15699" s="83"/>
      <c r="K15699" s="82"/>
      <c r="M15699" s="112"/>
      <c r="N15699" s="84"/>
    </row>
    <row r="15700" spans="1:14" s="2" customFormat="1">
      <c r="A15700" s="83"/>
      <c r="H15700" s="83"/>
      <c r="K15700" s="82"/>
      <c r="M15700" s="112"/>
      <c r="N15700" s="84"/>
    </row>
    <row r="15701" spans="1:14" s="2" customFormat="1">
      <c r="A15701" s="83"/>
      <c r="H15701" s="83"/>
      <c r="K15701" s="82"/>
      <c r="M15701" s="112"/>
      <c r="N15701" s="84"/>
    </row>
    <row r="15702" spans="1:14" s="2" customFormat="1">
      <c r="A15702" s="83"/>
      <c r="H15702" s="83"/>
      <c r="K15702" s="82"/>
      <c r="M15702" s="112"/>
      <c r="N15702" s="84"/>
    </row>
    <row r="15703" spans="1:14" s="2" customFormat="1">
      <c r="A15703" s="83"/>
      <c r="H15703" s="83"/>
      <c r="K15703" s="82"/>
      <c r="M15703" s="112"/>
      <c r="N15703" s="84"/>
    </row>
    <row r="15704" spans="1:14" s="2" customFormat="1">
      <c r="A15704" s="83"/>
      <c r="H15704" s="83"/>
      <c r="K15704" s="82"/>
      <c r="M15704" s="112"/>
      <c r="N15704" s="84"/>
    </row>
    <row r="15705" spans="1:14" s="2" customFormat="1">
      <c r="A15705" s="83"/>
      <c r="H15705" s="83"/>
      <c r="K15705" s="82"/>
      <c r="M15705" s="112"/>
      <c r="N15705" s="84"/>
    </row>
    <row r="15706" spans="1:14" s="2" customFormat="1">
      <c r="A15706" s="83"/>
      <c r="H15706" s="83"/>
      <c r="K15706" s="82"/>
      <c r="M15706" s="112"/>
      <c r="N15706" s="84"/>
    </row>
    <row r="15707" spans="1:14" s="2" customFormat="1">
      <c r="A15707" s="83"/>
      <c r="H15707" s="83"/>
      <c r="K15707" s="82"/>
      <c r="M15707" s="112"/>
      <c r="N15707" s="84"/>
    </row>
    <row r="15708" spans="1:14" s="2" customFormat="1">
      <c r="A15708" s="83"/>
      <c r="H15708" s="83"/>
      <c r="K15708" s="82"/>
      <c r="M15708" s="112"/>
      <c r="N15708" s="84"/>
    </row>
    <row r="15709" spans="1:14" s="2" customFormat="1">
      <c r="A15709" s="83"/>
      <c r="H15709" s="83"/>
      <c r="K15709" s="82"/>
      <c r="M15709" s="112"/>
      <c r="N15709" s="84"/>
    </row>
    <row r="15710" spans="1:14" s="2" customFormat="1">
      <c r="A15710" s="83"/>
      <c r="H15710" s="83"/>
      <c r="K15710" s="82"/>
      <c r="M15710" s="112"/>
      <c r="N15710" s="84"/>
    </row>
    <row r="15711" spans="1:14" s="2" customFormat="1">
      <c r="A15711" s="83"/>
      <c r="H15711" s="83"/>
      <c r="K15711" s="82"/>
      <c r="M15711" s="112"/>
      <c r="N15711" s="84"/>
    </row>
    <row r="15712" spans="1:14" s="2" customFormat="1">
      <c r="A15712" s="83"/>
      <c r="H15712" s="83"/>
      <c r="K15712" s="82"/>
      <c r="M15712" s="112"/>
      <c r="N15712" s="84"/>
    </row>
    <row r="15713" spans="1:14" s="2" customFormat="1">
      <c r="A15713" s="83"/>
      <c r="H15713" s="83"/>
      <c r="K15713" s="82"/>
      <c r="M15713" s="112"/>
      <c r="N15713" s="84"/>
    </row>
    <row r="15714" spans="1:14" s="2" customFormat="1">
      <c r="A15714" s="83"/>
      <c r="H15714" s="83"/>
      <c r="K15714" s="82"/>
      <c r="M15714" s="112"/>
      <c r="N15714" s="84"/>
    </row>
    <row r="15715" spans="1:14" s="2" customFormat="1">
      <c r="A15715" s="83"/>
      <c r="H15715" s="83"/>
      <c r="K15715" s="82"/>
      <c r="M15715" s="112"/>
      <c r="N15715" s="84"/>
    </row>
    <row r="15716" spans="1:14" s="2" customFormat="1">
      <c r="A15716" s="83"/>
      <c r="H15716" s="83"/>
      <c r="K15716" s="82"/>
      <c r="M15716" s="112"/>
      <c r="N15716" s="84"/>
    </row>
    <row r="15717" spans="1:14" s="2" customFormat="1">
      <c r="A15717" s="83"/>
      <c r="H15717" s="83"/>
      <c r="K15717" s="82"/>
      <c r="M15717" s="112"/>
      <c r="N15717" s="84"/>
    </row>
    <row r="15718" spans="1:14" s="2" customFormat="1">
      <c r="A15718" s="83"/>
      <c r="H15718" s="83"/>
      <c r="K15718" s="82"/>
      <c r="M15718" s="112"/>
      <c r="N15718" s="84"/>
    </row>
    <row r="15719" spans="1:14" s="2" customFormat="1">
      <c r="A15719" s="83"/>
      <c r="H15719" s="83"/>
      <c r="K15719" s="82"/>
      <c r="M15719" s="112"/>
      <c r="N15719" s="84"/>
    </row>
    <row r="15720" spans="1:14" s="2" customFormat="1">
      <c r="A15720" s="83"/>
      <c r="H15720" s="83"/>
      <c r="K15720" s="82"/>
      <c r="M15720" s="112"/>
      <c r="N15720" s="84"/>
    </row>
    <row r="15721" spans="1:14" s="2" customFormat="1">
      <c r="A15721" s="83"/>
      <c r="H15721" s="83"/>
      <c r="K15721" s="82"/>
      <c r="M15721" s="112"/>
      <c r="N15721" s="84"/>
    </row>
    <row r="15722" spans="1:14" s="2" customFormat="1">
      <c r="A15722" s="83"/>
      <c r="H15722" s="83"/>
      <c r="K15722" s="82"/>
      <c r="M15722" s="112"/>
      <c r="N15722" s="84"/>
    </row>
    <row r="15723" spans="1:14" s="2" customFormat="1">
      <c r="A15723" s="83"/>
      <c r="H15723" s="83"/>
      <c r="K15723" s="82"/>
      <c r="M15723" s="112"/>
      <c r="N15723" s="84"/>
    </row>
    <row r="15724" spans="1:14" s="2" customFormat="1">
      <c r="A15724" s="83"/>
      <c r="H15724" s="83"/>
      <c r="K15724" s="82"/>
      <c r="M15724" s="112"/>
      <c r="N15724" s="84"/>
    </row>
    <row r="15725" spans="1:14" s="2" customFormat="1">
      <c r="A15725" s="83"/>
      <c r="H15725" s="83"/>
      <c r="K15725" s="82"/>
      <c r="M15725" s="112"/>
      <c r="N15725" s="84"/>
    </row>
    <row r="15726" spans="1:14" s="2" customFormat="1">
      <c r="A15726" s="83"/>
      <c r="H15726" s="83"/>
      <c r="K15726" s="82"/>
      <c r="M15726" s="112"/>
      <c r="N15726" s="84"/>
    </row>
    <row r="15727" spans="1:14" s="2" customFormat="1">
      <c r="A15727" s="83"/>
      <c r="H15727" s="83"/>
      <c r="K15727" s="82"/>
      <c r="M15727" s="112"/>
      <c r="N15727" s="84"/>
    </row>
    <row r="15728" spans="1:14" s="2" customFormat="1">
      <c r="A15728" s="83"/>
      <c r="H15728" s="83"/>
      <c r="K15728" s="82"/>
      <c r="M15728" s="112"/>
      <c r="N15728" s="84"/>
    </row>
    <row r="15729" spans="1:14" s="2" customFormat="1">
      <c r="A15729" s="83"/>
      <c r="H15729" s="83"/>
      <c r="K15729" s="82"/>
      <c r="M15729" s="112"/>
      <c r="N15729" s="84"/>
    </row>
    <row r="15730" spans="1:14" s="2" customFormat="1">
      <c r="A15730" s="83"/>
      <c r="H15730" s="83"/>
      <c r="K15730" s="82"/>
      <c r="M15730" s="112"/>
      <c r="N15730" s="84"/>
    </row>
    <row r="15731" spans="1:14" s="2" customFormat="1">
      <c r="A15731" s="83"/>
      <c r="H15731" s="83"/>
      <c r="K15731" s="82"/>
      <c r="M15731" s="112"/>
      <c r="N15731" s="84"/>
    </row>
    <row r="15732" spans="1:14" s="2" customFormat="1">
      <c r="A15732" s="83"/>
      <c r="H15732" s="83"/>
      <c r="K15732" s="82"/>
      <c r="M15732" s="112"/>
      <c r="N15732" s="84"/>
    </row>
    <row r="15733" spans="1:14" s="2" customFormat="1">
      <c r="A15733" s="83"/>
      <c r="H15733" s="83"/>
      <c r="K15733" s="82"/>
      <c r="M15733" s="112"/>
      <c r="N15733" s="84"/>
    </row>
    <row r="15734" spans="1:14" s="2" customFormat="1">
      <c r="A15734" s="83"/>
      <c r="H15734" s="83"/>
      <c r="K15734" s="82"/>
      <c r="M15734" s="112"/>
      <c r="N15734" s="84"/>
    </row>
    <row r="15735" spans="1:14" s="2" customFormat="1">
      <c r="A15735" s="83"/>
      <c r="H15735" s="83"/>
      <c r="K15735" s="82"/>
      <c r="M15735" s="112"/>
      <c r="N15735" s="84"/>
    </row>
    <row r="15736" spans="1:14" s="2" customFormat="1">
      <c r="A15736" s="83"/>
      <c r="H15736" s="83"/>
      <c r="K15736" s="82"/>
      <c r="M15736" s="112"/>
      <c r="N15736" s="84"/>
    </row>
    <row r="15737" spans="1:14" s="2" customFormat="1">
      <c r="A15737" s="83"/>
      <c r="H15737" s="83"/>
      <c r="K15737" s="82"/>
      <c r="M15737" s="112"/>
      <c r="N15737" s="84"/>
    </row>
    <row r="15738" spans="1:14" s="2" customFormat="1">
      <c r="A15738" s="83"/>
      <c r="H15738" s="83"/>
      <c r="K15738" s="82"/>
      <c r="M15738" s="112"/>
      <c r="N15738" s="84"/>
    </row>
    <row r="15739" spans="1:14" s="2" customFormat="1">
      <c r="A15739" s="83"/>
      <c r="H15739" s="83"/>
      <c r="K15739" s="82"/>
      <c r="M15739" s="112"/>
      <c r="N15739" s="84"/>
    </row>
    <row r="15740" spans="1:14" s="2" customFormat="1">
      <c r="A15740" s="83"/>
      <c r="H15740" s="83"/>
      <c r="K15740" s="82"/>
      <c r="M15740" s="112"/>
      <c r="N15740" s="84"/>
    </row>
    <row r="15741" spans="1:14" s="2" customFormat="1">
      <c r="A15741" s="83"/>
      <c r="H15741" s="83"/>
      <c r="K15741" s="82"/>
      <c r="M15741" s="112"/>
      <c r="N15741" s="84"/>
    </row>
    <row r="15742" spans="1:14" s="2" customFormat="1">
      <c r="A15742" s="83"/>
      <c r="H15742" s="83"/>
      <c r="K15742" s="82"/>
      <c r="M15742" s="112"/>
      <c r="N15742" s="84"/>
    </row>
    <row r="15743" spans="1:14" s="2" customFormat="1">
      <c r="A15743" s="83"/>
      <c r="H15743" s="83"/>
      <c r="K15743" s="82"/>
      <c r="M15743" s="112"/>
      <c r="N15743" s="84"/>
    </row>
    <row r="15744" spans="1:14" s="2" customFormat="1">
      <c r="A15744" s="83"/>
      <c r="H15744" s="83"/>
      <c r="K15744" s="82"/>
      <c r="M15744" s="112"/>
      <c r="N15744" s="84"/>
    </row>
    <row r="15745" spans="1:14" s="2" customFormat="1">
      <c r="A15745" s="83"/>
      <c r="H15745" s="83"/>
      <c r="K15745" s="82"/>
      <c r="M15745" s="112"/>
      <c r="N15745" s="84"/>
    </row>
    <row r="15746" spans="1:14" s="2" customFormat="1">
      <c r="A15746" s="83"/>
      <c r="H15746" s="83"/>
      <c r="K15746" s="82"/>
      <c r="M15746" s="112"/>
      <c r="N15746" s="84"/>
    </row>
    <row r="15747" spans="1:14" s="2" customFormat="1">
      <c r="A15747" s="83"/>
      <c r="H15747" s="83"/>
      <c r="K15747" s="82"/>
      <c r="M15747" s="112"/>
      <c r="N15747" s="84"/>
    </row>
    <row r="15748" spans="1:14" s="2" customFormat="1">
      <c r="A15748" s="83"/>
      <c r="H15748" s="83"/>
      <c r="K15748" s="82"/>
      <c r="M15748" s="112"/>
      <c r="N15748" s="84"/>
    </row>
    <row r="15749" spans="1:14" s="2" customFormat="1">
      <c r="A15749" s="83"/>
      <c r="H15749" s="83"/>
      <c r="K15749" s="82"/>
      <c r="M15749" s="112"/>
      <c r="N15749" s="84"/>
    </row>
    <row r="15750" spans="1:14" s="2" customFormat="1">
      <c r="A15750" s="83"/>
      <c r="H15750" s="83"/>
      <c r="K15750" s="82"/>
      <c r="M15750" s="112"/>
      <c r="N15750" s="84"/>
    </row>
    <row r="15751" spans="1:14" s="2" customFormat="1">
      <c r="A15751" s="83"/>
      <c r="H15751" s="83"/>
      <c r="K15751" s="82"/>
      <c r="M15751" s="112"/>
      <c r="N15751" s="84"/>
    </row>
    <row r="15752" spans="1:14" s="2" customFormat="1">
      <c r="A15752" s="83"/>
      <c r="H15752" s="83"/>
      <c r="K15752" s="82"/>
      <c r="M15752" s="112"/>
      <c r="N15752" s="84"/>
    </row>
    <row r="15753" spans="1:14" s="2" customFormat="1">
      <c r="A15753" s="83"/>
      <c r="H15753" s="83"/>
      <c r="K15753" s="82"/>
      <c r="M15753" s="112"/>
      <c r="N15753" s="84"/>
    </row>
    <row r="15754" spans="1:14" s="2" customFormat="1">
      <c r="A15754" s="83"/>
      <c r="H15754" s="83"/>
      <c r="K15754" s="82"/>
      <c r="M15754" s="112"/>
      <c r="N15754" s="84"/>
    </row>
    <row r="15755" spans="1:14" s="2" customFormat="1">
      <c r="A15755" s="83"/>
      <c r="H15755" s="83"/>
      <c r="K15755" s="82"/>
      <c r="M15755" s="112"/>
      <c r="N15755" s="84"/>
    </row>
    <row r="15756" spans="1:14" s="2" customFormat="1">
      <c r="A15756" s="83"/>
      <c r="H15756" s="83"/>
      <c r="K15756" s="82"/>
      <c r="M15756" s="112"/>
      <c r="N15756" s="84"/>
    </row>
    <row r="15757" spans="1:14" s="2" customFormat="1">
      <c r="A15757" s="83"/>
      <c r="H15757" s="83"/>
      <c r="K15757" s="82"/>
      <c r="M15757" s="112"/>
      <c r="N15757" s="84"/>
    </row>
    <row r="15758" spans="1:14" s="2" customFormat="1">
      <c r="A15758" s="83"/>
      <c r="H15758" s="83"/>
      <c r="K15758" s="82"/>
      <c r="M15758" s="112"/>
      <c r="N15758" s="84"/>
    </row>
    <row r="15759" spans="1:14" s="2" customFormat="1">
      <c r="A15759" s="83"/>
      <c r="H15759" s="83"/>
      <c r="K15759" s="82"/>
      <c r="M15759" s="112"/>
      <c r="N15759" s="84"/>
    </row>
    <row r="15760" spans="1:14" s="2" customFormat="1">
      <c r="A15760" s="83"/>
      <c r="H15760" s="83"/>
      <c r="K15760" s="82"/>
      <c r="M15760" s="112"/>
      <c r="N15760" s="84"/>
    </row>
    <row r="15761" spans="1:14" s="2" customFormat="1">
      <c r="A15761" s="83"/>
      <c r="H15761" s="83"/>
      <c r="K15761" s="82"/>
      <c r="M15761" s="112"/>
      <c r="N15761" s="84"/>
    </row>
    <row r="15762" spans="1:14" s="2" customFormat="1">
      <c r="A15762" s="83"/>
      <c r="H15762" s="83"/>
      <c r="K15762" s="82"/>
      <c r="M15762" s="112"/>
      <c r="N15762" s="84"/>
    </row>
    <row r="15763" spans="1:14" s="2" customFormat="1">
      <c r="A15763" s="83"/>
      <c r="H15763" s="83"/>
      <c r="K15763" s="82"/>
      <c r="M15763" s="112"/>
      <c r="N15763" s="84"/>
    </row>
    <row r="15764" spans="1:14" s="2" customFormat="1">
      <c r="A15764" s="83"/>
      <c r="H15764" s="83"/>
      <c r="K15764" s="82"/>
      <c r="M15764" s="112"/>
      <c r="N15764" s="84"/>
    </row>
    <row r="15765" spans="1:14" s="2" customFormat="1">
      <c r="A15765" s="83"/>
      <c r="H15765" s="83"/>
      <c r="K15765" s="82"/>
      <c r="M15765" s="112"/>
      <c r="N15765" s="84"/>
    </row>
    <row r="15766" spans="1:14" s="2" customFormat="1">
      <c r="A15766" s="83"/>
      <c r="H15766" s="83"/>
      <c r="K15766" s="82"/>
      <c r="M15766" s="112"/>
      <c r="N15766" s="84"/>
    </row>
    <row r="15767" spans="1:14" s="2" customFormat="1">
      <c r="A15767" s="83"/>
      <c r="H15767" s="83"/>
      <c r="K15767" s="82"/>
      <c r="M15767" s="112"/>
      <c r="N15767" s="84"/>
    </row>
    <row r="15768" spans="1:14" s="2" customFormat="1">
      <c r="A15768" s="83"/>
      <c r="H15768" s="83"/>
      <c r="K15768" s="82"/>
      <c r="M15768" s="112"/>
      <c r="N15768" s="84"/>
    </row>
    <row r="15769" spans="1:14" s="2" customFormat="1">
      <c r="A15769" s="83"/>
      <c r="H15769" s="83"/>
      <c r="K15769" s="82"/>
      <c r="M15769" s="112"/>
      <c r="N15769" s="84"/>
    </row>
    <row r="15770" spans="1:14" s="2" customFormat="1">
      <c r="A15770" s="83"/>
      <c r="H15770" s="83"/>
      <c r="K15770" s="82"/>
      <c r="M15770" s="112"/>
      <c r="N15770" s="84"/>
    </row>
    <row r="15771" spans="1:14" s="2" customFormat="1">
      <c r="A15771" s="83"/>
      <c r="H15771" s="83"/>
      <c r="K15771" s="82"/>
      <c r="M15771" s="112"/>
      <c r="N15771" s="84"/>
    </row>
    <row r="15772" spans="1:14" s="2" customFormat="1">
      <c r="A15772" s="83"/>
      <c r="H15772" s="83"/>
      <c r="K15772" s="82"/>
      <c r="M15772" s="112"/>
      <c r="N15772" s="84"/>
    </row>
    <row r="15773" spans="1:14" s="2" customFormat="1">
      <c r="A15773" s="83"/>
      <c r="H15773" s="83"/>
      <c r="K15773" s="82"/>
      <c r="M15773" s="112"/>
      <c r="N15773" s="84"/>
    </row>
    <row r="15774" spans="1:14" s="2" customFormat="1">
      <c r="A15774" s="83"/>
      <c r="H15774" s="83"/>
      <c r="K15774" s="82"/>
      <c r="M15774" s="112"/>
      <c r="N15774" s="84"/>
    </row>
    <row r="15775" spans="1:14" s="2" customFormat="1">
      <c r="A15775" s="83"/>
      <c r="H15775" s="83"/>
      <c r="K15775" s="82"/>
      <c r="M15775" s="112"/>
      <c r="N15775" s="84"/>
    </row>
    <row r="15776" spans="1:14" s="2" customFormat="1">
      <c r="A15776" s="83"/>
      <c r="H15776" s="83"/>
      <c r="K15776" s="82"/>
      <c r="M15776" s="112"/>
      <c r="N15776" s="84"/>
    </row>
    <row r="15777" spans="1:14" s="2" customFormat="1">
      <c r="A15777" s="83"/>
      <c r="H15777" s="83"/>
      <c r="K15777" s="82"/>
      <c r="M15777" s="112"/>
      <c r="N15777" s="84"/>
    </row>
    <row r="15778" spans="1:14" s="2" customFormat="1">
      <c r="A15778" s="83"/>
      <c r="H15778" s="83"/>
      <c r="K15778" s="82"/>
      <c r="M15778" s="112"/>
      <c r="N15778" s="84"/>
    </row>
    <row r="15779" spans="1:14" s="2" customFormat="1">
      <c r="A15779" s="83"/>
      <c r="H15779" s="83"/>
      <c r="K15779" s="82"/>
      <c r="M15779" s="112"/>
      <c r="N15779" s="84"/>
    </row>
    <row r="15780" spans="1:14" s="2" customFormat="1">
      <c r="A15780" s="83"/>
      <c r="H15780" s="83"/>
      <c r="K15780" s="82"/>
      <c r="M15780" s="112"/>
      <c r="N15780" s="84"/>
    </row>
    <row r="15781" spans="1:14" s="2" customFormat="1">
      <c r="A15781" s="83"/>
      <c r="H15781" s="83"/>
      <c r="K15781" s="82"/>
      <c r="M15781" s="112"/>
      <c r="N15781" s="84"/>
    </row>
    <row r="15782" spans="1:14" s="2" customFormat="1">
      <c r="A15782" s="83"/>
      <c r="H15782" s="83"/>
      <c r="K15782" s="82"/>
      <c r="M15782" s="112"/>
      <c r="N15782" s="84"/>
    </row>
    <row r="15783" spans="1:14" s="2" customFormat="1">
      <c r="A15783" s="83"/>
      <c r="H15783" s="83"/>
      <c r="K15783" s="82"/>
      <c r="M15783" s="112"/>
      <c r="N15783" s="84"/>
    </row>
    <row r="15784" spans="1:14" s="2" customFormat="1">
      <c r="A15784" s="83"/>
      <c r="H15784" s="83"/>
      <c r="K15784" s="82"/>
      <c r="M15784" s="112"/>
      <c r="N15784" s="84"/>
    </row>
    <row r="15785" spans="1:14" s="2" customFormat="1">
      <c r="A15785" s="83"/>
      <c r="H15785" s="83"/>
      <c r="K15785" s="82"/>
      <c r="M15785" s="112"/>
      <c r="N15785" s="84"/>
    </row>
    <row r="15786" spans="1:14" s="2" customFormat="1">
      <c r="A15786" s="83"/>
      <c r="H15786" s="83"/>
      <c r="K15786" s="82"/>
      <c r="M15786" s="112"/>
      <c r="N15786" s="84"/>
    </row>
    <row r="15787" spans="1:14" s="2" customFormat="1">
      <c r="A15787" s="83"/>
      <c r="H15787" s="83"/>
      <c r="K15787" s="82"/>
      <c r="M15787" s="112"/>
      <c r="N15787" s="84"/>
    </row>
    <row r="15788" spans="1:14" s="2" customFormat="1">
      <c r="A15788" s="83"/>
      <c r="H15788" s="83"/>
      <c r="K15788" s="82"/>
      <c r="M15788" s="112"/>
      <c r="N15788" s="84"/>
    </row>
    <row r="15789" spans="1:14" s="2" customFormat="1">
      <c r="A15789" s="83"/>
      <c r="H15789" s="83"/>
      <c r="K15789" s="82"/>
      <c r="M15789" s="112"/>
      <c r="N15789" s="84"/>
    </row>
    <row r="15790" spans="1:14" s="2" customFormat="1">
      <c r="A15790" s="83"/>
      <c r="H15790" s="83"/>
      <c r="K15790" s="82"/>
      <c r="M15790" s="112"/>
      <c r="N15790" s="84"/>
    </row>
    <row r="15791" spans="1:14" s="2" customFormat="1">
      <c r="A15791" s="83"/>
      <c r="H15791" s="83"/>
      <c r="K15791" s="82"/>
      <c r="M15791" s="112"/>
      <c r="N15791" s="84"/>
    </row>
    <row r="15792" spans="1:14" s="2" customFormat="1">
      <c r="A15792" s="83"/>
      <c r="H15792" s="83"/>
      <c r="K15792" s="82"/>
      <c r="M15792" s="112"/>
      <c r="N15792" s="84"/>
    </row>
    <row r="15793" spans="1:14" s="2" customFormat="1">
      <c r="A15793" s="83"/>
      <c r="H15793" s="83"/>
      <c r="K15793" s="82"/>
      <c r="M15793" s="112"/>
      <c r="N15793" s="84"/>
    </row>
    <row r="15794" spans="1:14" s="2" customFormat="1">
      <c r="A15794" s="83"/>
      <c r="H15794" s="83"/>
      <c r="K15794" s="82"/>
      <c r="M15794" s="112"/>
      <c r="N15794" s="84"/>
    </row>
    <row r="15795" spans="1:14" s="2" customFormat="1">
      <c r="A15795" s="83"/>
      <c r="H15795" s="83"/>
      <c r="K15795" s="82"/>
      <c r="M15795" s="112"/>
      <c r="N15795" s="84"/>
    </row>
    <row r="15796" spans="1:14" s="2" customFormat="1">
      <c r="A15796" s="83"/>
      <c r="H15796" s="83"/>
      <c r="K15796" s="82"/>
      <c r="M15796" s="112"/>
      <c r="N15796" s="84"/>
    </row>
    <row r="15797" spans="1:14" s="2" customFormat="1">
      <c r="A15797" s="83"/>
      <c r="H15797" s="83"/>
      <c r="K15797" s="82"/>
      <c r="M15797" s="112"/>
      <c r="N15797" s="84"/>
    </row>
    <row r="15798" spans="1:14" s="2" customFormat="1">
      <c r="A15798" s="83"/>
      <c r="H15798" s="83"/>
      <c r="K15798" s="82"/>
      <c r="M15798" s="112"/>
      <c r="N15798" s="84"/>
    </row>
    <row r="15799" spans="1:14" s="2" customFormat="1">
      <c r="A15799" s="83"/>
      <c r="H15799" s="83"/>
      <c r="K15799" s="82"/>
      <c r="M15799" s="112"/>
      <c r="N15799" s="84"/>
    </row>
    <row r="15800" spans="1:14" s="2" customFormat="1">
      <c r="A15800" s="83"/>
      <c r="H15800" s="83"/>
      <c r="K15800" s="82"/>
      <c r="M15800" s="112"/>
      <c r="N15800" s="84"/>
    </row>
    <row r="15801" spans="1:14" s="2" customFormat="1">
      <c r="A15801" s="83"/>
      <c r="H15801" s="83"/>
      <c r="K15801" s="82"/>
      <c r="M15801" s="112"/>
      <c r="N15801" s="84"/>
    </row>
    <row r="15802" spans="1:14" s="2" customFormat="1">
      <c r="A15802" s="83"/>
      <c r="H15802" s="83"/>
      <c r="K15802" s="82"/>
      <c r="M15802" s="112"/>
      <c r="N15802" s="84"/>
    </row>
    <row r="15803" spans="1:14" s="2" customFormat="1">
      <c r="A15803" s="83"/>
      <c r="H15803" s="83"/>
      <c r="K15803" s="82"/>
      <c r="M15803" s="112"/>
      <c r="N15803" s="84"/>
    </row>
    <row r="15804" spans="1:14" s="2" customFormat="1">
      <c r="A15804" s="83"/>
      <c r="H15804" s="83"/>
      <c r="K15804" s="82"/>
      <c r="M15804" s="112"/>
      <c r="N15804" s="84"/>
    </row>
    <row r="15805" spans="1:14" s="2" customFormat="1">
      <c r="A15805" s="83"/>
      <c r="H15805" s="83"/>
      <c r="K15805" s="82"/>
      <c r="M15805" s="112"/>
      <c r="N15805" s="84"/>
    </row>
    <row r="15806" spans="1:14" s="2" customFormat="1">
      <c r="A15806" s="83"/>
      <c r="H15806" s="83"/>
      <c r="K15806" s="82"/>
      <c r="M15806" s="112"/>
      <c r="N15806" s="84"/>
    </row>
    <row r="15807" spans="1:14" s="2" customFormat="1">
      <c r="A15807" s="83"/>
      <c r="H15807" s="83"/>
      <c r="K15807" s="82"/>
      <c r="M15807" s="112"/>
      <c r="N15807" s="84"/>
    </row>
    <row r="15808" spans="1:14" s="2" customFormat="1">
      <c r="A15808" s="83"/>
      <c r="H15808" s="83"/>
      <c r="K15808" s="82"/>
      <c r="M15808" s="112"/>
      <c r="N15808" s="84"/>
    </row>
    <row r="15809" spans="1:14" s="2" customFormat="1">
      <c r="A15809" s="83"/>
      <c r="H15809" s="83"/>
      <c r="K15809" s="82"/>
      <c r="M15809" s="112"/>
      <c r="N15809" s="84"/>
    </row>
    <row r="15810" spans="1:14" s="2" customFormat="1">
      <c r="A15810" s="83"/>
      <c r="H15810" s="83"/>
      <c r="K15810" s="82"/>
      <c r="M15810" s="112"/>
      <c r="N15810" s="84"/>
    </row>
    <row r="15811" spans="1:14" s="2" customFormat="1">
      <c r="A15811" s="83"/>
      <c r="H15811" s="83"/>
      <c r="K15811" s="82"/>
      <c r="M15811" s="112"/>
      <c r="N15811" s="84"/>
    </row>
    <row r="15812" spans="1:14" s="2" customFormat="1">
      <c r="A15812" s="83"/>
      <c r="H15812" s="83"/>
      <c r="K15812" s="82"/>
      <c r="M15812" s="112"/>
      <c r="N15812" s="84"/>
    </row>
    <row r="15813" spans="1:14" s="2" customFormat="1">
      <c r="A15813" s="83"/>
      <c r="H15813" s="83"/>
      <c r="K15813" s="82"/>
      <c r="M15813" s="112"/>
      <c r="N15813" s="84"/>
    </row>
    <row r="15814" spans="1:14" s="2" customFormat="1">
      <c r="A15814" s="83"/>
      <c r="H15814" s="83"/>
      <c r="K15814" s="82"/>
      <c r="M15814" s="112"/>
      <c r="N15814" s="84"/>
    </row>
    <row r="15815" spans="1:14" s="2" customFormat="1">
      <c r="A15815" s="83"/>
      <c r="H15815" s="83"/>
      <c r="K15815" s="82"/>
      <c r="M15815" s="112"/>
      <c r="N15815" s="84"/>
    </row>
    <row r="15816" spans="1:14" s="2" customFormat="1">
      <c r="A15816" s="83"/>
      <c r="H15816" s="83"/>
      <c r="K15816" s="82"/>
      <c r="M15816" s="112"/>
      <c r="N15816" s="84"/>
    </row>
    <row r="15817" spans="1:14" s="2" customFormat="1">
      <c r="A15817" s="83"/>
      <c r="H15817" s="83"/>
      <c r="K15817" s="82"/>
      <c r="M15817" s="112"/>
      <c r="N15817" s="84"/>
    </row>
    <row r="15818" spans="1:14" s="2" customFormat="1">
      <c r="A15818" s="83"/>
      <c r="H15818" s="83"/>
      <c r="K15818" s="82"/>
      <c r="M15818" s="112"/>
      <c r="N15818" s="84"/>
    </row>
    <row r="15819" spans="1:14" s="2" customFormat="1">
      <c r="A15819" s="83"/>
      <c r="H15819" s="83"/>
      <c r="K15819" s="82"/>
      <c r="M15819" s="112"/>
      <c r="N15819" s="84"/>
    </row>
    <row r="15820" spans="1:14" s="2" customFormat="1">
      <c r="A15820" s="83"/>
      <c r="H15820" s="83"/>
      <c r="K15820" s="82"/>
      <c r="M15820" s="112"/>
      <c r="N15820" s="84"/>
    </row>
    <row r="15821" spans="1:14" s="2" customFormat="1">
      <c r="A15821" s="83"/>
      <c r="H15821" s="83"/>
      <c r="K15821" s="82"/>
      <c r="M15821" s="112"/>
      <c r="N15821" s="84"/>
    </row>
    <row r="15822" spans="1:14" s="2" customFormat="1">
      <c r="A15822" s="83"/>
      <c r="H15822" s="83"/>
      <c r="K15822" s="82"/>
      <c r="M15822" s="112"/>
      <c r="N15822" s="84"/>
    </row>
    <row r="15823" spans="1:14" s="2" customFormat="1">
      <c r="A15823" s="83"/>
      <c r="H15823" s="83"/>
      <c r="K15823" s="82"/>
      <c r="M15823" s="112"/>
      <c r="N15823" s="84"/>
    </row>
    <row r="15824" spans="1:14" s="2" customFormat="1">
      <c r="A15824" s="83"/>
      <c r="H15824" s="83"/>
      <c r="K15824" s="82"/>
      <c r="M15824" s="112"/>
      <c r="N15824" s="84"/>
    </row>
    <row r="15825" spans="1:14" s="2" customFormat="1">
      <c r="A15825" s="83"/>
      <c r="H15825" s="83"/>
      <c r="K15825" s="82"/>
      <c r="M15825" s="112"/>
      <c r="N15825" s="84"/>
    </row>
    <row r="15826" spans="1:14" s="2" customFormat="1">
      <c r="A15826" s="83"/>
      <c r="H15826" s="83"/>
      <c r="K15826" s="82"/>
      <c r="M15826" s="112"/>
      <c r="N15826" s="84"/>
    </row>
    <row r="15827" spans="1:14" s="2" customFormat="1">
      <c r="A15827" s="83"/>
      <c r="H15827" s="83"/>
      <c r="K15827" s="82"/>
      <c r="M15827" s="112"/>
      <c r="N15827" s="84"/>
    </row>
    <row r="15828" spans="1:14" s="2" customFormat="1">
      <c r="A15828" s="83"/>
      <c r="H15828" s="83"/>
      <c r="K15828" s="82"/>
      <c r="M15828" s="112"/>
      <c r="N15828" s="84"/>
    </row>
    <row r="15829" spans="1:14" s="2" customFormat="1">
      <c r="A15829" s="83"/>
      <c r="H15829" s="83"/>
      <c r="K15829" s="82"/>
      <c r="M15829" s="112"/>
      <c r="N15829" s="84"/>
    </row>
    <row r="15830" spans="1:14" s="2" customFormat="1">
      <c r="A15830" s="83"/>
      <c r="H15830" s="83"/>
      <c r="K15830" s="82"/>
      <c r="M15830" s="112"/>
      <c r="N15830" s="84"/>
    </row>
    <row r="15831" spans="1:14" s="2" customFormat="1">
      <c r="A15831" s="83"/>
      <c r="H15831" s="83"/>
      <c r="K15831" s="82"/>
      <c r="M15831" s="112"/>
      <c r="N15831" s="84"/>
    </row>
    <row r="15832" spans="1:14" s="2" customFormat="1">
      <c r="A15832" s="83"/>
      <c r="H15832" s="83"/>
      <c r="K15832" s="82"/>
      <c r="M15832" s="112"/>
      <c r="N15832" s="84"/>
    </row>
    <row r="15833" spans="1:14" s="2" customFormat="1">
      <c r="A15833" s="83"/>
      <c r="H15833" s="83"/>
      <c r="K15833" s="82"/>
      <c r="M15833" s="112"/>
      <c r="N15833" s="84"/>
    </row>
    <row r="15834" spans="1:14" s="2" customFormat="1">
      <c r="A15834" s="83"/>
      <c r="H15834" s="83"/>
      <c r="K15834" s="82"/>
      <c r="M15834" s="112"/>
      <c r="N15834" s="84"/>
    </row>
    <row r="15835" spans="1:14" s="2" customFormat="1">
      <c r="A15835" s="83"/>
      <c r="H15835" s="83"/>
      <c r="K15835" s="82"/>
      <c r="M15835" s="112"/>
      <c r="N15835" s="84"/>
    </row>
    <row r="15836" spans="1:14" s="2" customFormat="1">
      <c r="A15836" s="83"/>
      <c r="H15836" s="83"/>
      <c r="K15836" s="82"/>
      <c r="M15836" s="112"/>
      <c r="N15836" s="84"/>
    </row>
    <row r="15837" spans="1:14" s="2" customFormat="1">
      <c r="A15837" s="83"/>
      <c r="H15837" s="83"/>
      <c r="K15837" s="82"/>
      <c r="M15837" s="112"/>
      <c r="N15837" s="84"/>
    </row>
    <row r="15838" spans="1:14" s="2" customFormat="1">
      <c r="A15838" s="83"/>
      <c r="H15838" s="83"/>
      <c r="K15838" s="82"/>
      <c r="M15838" s="112"/>
      <c r="N15838" s="84"/>
    </row>
    <row r="15839" spans="1:14" s="2" customFormat="1">
      <c r="A15839" s="83"/>
      <c r="H15839" s="83"/>
      <c r="K15839" s="82"/>
      <c r="M15839" s="112"/>
      <c r="N15839" s="84"/>
    </row>
    <row r="15840" spans="1:14" s="2" customFormat="1">
      <c r="A15840" s="83"/>
      <c r="H15840" s="83"/>
      <c r="K15840" s="82"/>
      <c r="M15840" s="112"/>
      <c r="N15840" s="84"/>
    </row>
    <row r="15841" spans="1:14" s="2" customFormat="1">
      <c r="A15841" s="83"/>
      <c r="H15841" s="83"/>
      <c r="K15841" s="82"/>
      <c r="M15841" s="112"/>
      <c r="N15841" s="84"/>
    </row>
    <row r="15842" spans="1:14" s="2" customFormat="1">
      <c r="A15842" s="83"/>
      <c r="H15842" s="83"/>
      <c r="K15842" s="82"/>
      <c r="M15842" s="112"/>
      <c r="N15842" s="84"/>
    </row>
    <row r="15843" spans="1:14" s="2" customFormat="1">
      <c r="A15843" s="83"/>
      <c r="H15843" s="83"/>
      <c r="K15843" s="82"/>
      <c r="M15843" s="112"/>
      <c r="N15843" s="84"/>
    </row>
    <row r="15844" spans="1:14" s="2" customFormat="1">
      <c r="A15844" s="83"/>
      <c r="H15844" s="83"/>
      <c r="K15844" s="82"/>
      <c r="M15844" s="112"/>
      <c r="N15844" s="84"/>
    </row>
    <row r="15845" spans="1:14" s="2" customFormat="1">
      <c r="A15845" s="83"/>
      <c r="H15845" s="83"/>
      <c r="K15845" s="82"/>
      <c r="M15845" s="112"/>
      <c r="N15845" s="84"/>
    </row>
    <row r="15846" spans="1:14" s="2" customFormat="1">
      <c r="A15846" s="83"/>
      <c r="H15846" s="83"/>
      <c r="K15846" s="82"/>
      <c r="M15846" s="112"/>
      <c r="N15846" s="84"/>
    </row>
    <row r="15847" spans="1:14" s="2" customFormat="1">
      <c r="A15847" s="83"/>
      <c r="H15847" s="83"/>
      <c r="K15847" s="82"/>
      <c r="M15847" s="112"/>
      <c r="N15847" s="84"/>
    </row>
    <row r="15848" spans="1:14" s="2" customFormat="1">
      <c r="A15848" s="83"/>
      <c r="H15848" s="83"/>
      <c r="K15848" s="82"/>
      <c r="M15848" s="112"/>
      <c r="N15848" s="84"/>
    </row>
    <row r="15849" spans="1:14" s="2" customFormat="1">
      <c r="A15849" s="83"/>
      <c r="H15849" s="83"/>
      <c r="K15849" s="82"/>
      <c r="M15849" s="112"/>
      <c r="N15849" s="84"/>
    </row>
    <row r="15850" spans="1:14" s="2" customFormat="1">
      <c r="A15850" s="83"/>
      <c r="H15850" s="83"/>
      <c r="K15850" s="82"/>
      <c r="M15850" s="112"/>
      <c r="N15850" s="84"/>
    </row>
    <row r="15851" spans="1:14" s="2" customFormat="1">
      <c r="A15851" s="83"/>
      <c r="H15851" s="83"/>
      <c r="K15851" s="82"/>
      <c r="M15851" s="112"/>
      <c r="N15851" s="84"/>
    </row>
    <row r="15852" spans="1:14" s="2" customFormat="1">
      <c r="A15852" s="83"/>
      <c r="H15852" s="83"/>
      <c r="K15852" s="82"/>
      <c r="M15852" s="112"/>
      <c r="N15852" s="84"/>
    </row>
    <row r="15853" spans="1:14" s="2" customFormat="1">
      <c r="A15853" s="83"/>
      <c r="H15853" s="83"/>
      <c r="K15853" s="82"/>
      <c r="M15853" s="112"/>
      <c r="N15853" s="84"/>
    </row>
    <row r="15854" spans="1:14" s="2" customFormat="1">
      <c r="A15854" s="83"/>
      <c r="H15854" s="83"/>
      <c r="K15854" s="82"/>
      <c r="M15854" s="112"/>
      <c r="N15854" s="84"/>
    </row>
    <row r="15855" spans="1:14" s="2" customFormat="1">
      <c r="A15855" s="83"/>
      <c r="H15855" s="83"/>
      <c r="K15855" s="82"/>
      <c r="M15855" s="112"/>
      <c r="N15855" s="84"/>
    </row>
    <row r="15856" spans="1:14" s="2" customFormat="1">
      <c r="A15856" s="83"/>
      <c r="H15856" s="83"/>
      <c r="K15856" s="82"/>
      <c r="M15856" s="112"/>
      <c r="N15856" s="84"/>
    </row>
    <row r="15857" spans="1:14" s="2" customFormat="1">
      <c r="A15857" s="83"/>
      <c r="H15857" s="83"/>
      <c r="K15857" s="82"/>
      <c r="M15857" s="112"/>
      <c r="N15857" s="84"/>
    </row>
    <row r="15858" spans="1:14" s="2" customFormat="1">
      <c r="A15858" s="83"/>
      <c r="H15858" s="83"/>
      <c r="K15858" s="82"/>
      <c r="M15858" s="112"/>
      <c r="N15858" s="84"/>
    </row>
    <row r="15859" spans="1:14" s="2" customFormat="1">
      <c r="A15859" s="83"/>
      <c r="H15859" s="83"/>
      <c r="K15859" s="82"/>
      <c r="M15859" s="112"/>
      <c r="N15859" s="84"/>
    </row>
    <row r="15860" spans="1:14" s="2" customFormat="1">
      <c r="A15860" s="83"/>
      <c r="H15860" s="83"/>
      <c r="K15860" s="82"/>
      <c r="M15860" s="112"/>
      <c r="N15860" s="84"/>
    </row>
    <row r="15861" spans="1:14" s="2" customFormat="1">
      <c r="A15861" s="83"/>
      <c r="H15861" s="83"/>
      <c r="K15861" s="82"/>
      <c r="M15861" s="112"/>
      <c r="N15861" s="84"/>
    </row>
    <row r="15862" spans="1:14" s="2" customFormat="1">
      <c r="A15862" s="83"/>
      <c r="H15862" s="83"/>
      <c r="K15862" s="82"/>
      <c r="M15862" s="112"/>
      <c r="N15862" s="84"/>
    </row>
    <row r="15863" spans="1:14" s="2" customFormat="1">
      <c r="A15863" s="83"/>
      <c r="H15863" s="83"/>
      <c r="K15863" s="82"/>
      <c r="M15863" s="112"/>
      <c r="N15863" s="84"/>
    </row>
    <row r="15864" spans="1:14" s="2" customFormat="1">
      <c r="A15864" s="83"/>
      <c r="H15864" s="83"/>
      <c r="K15864" s="82"/>
      <c r="M15864" s="112"/>
      <c r="N15864" s="84"/>
    </row>
    <row r="15865" spans="1:14" s="2" customFormat="1">
      <c r="A15865" s="83"/>
      <c r="H15865" s="83"/>
      <c r="K15865" s="82"/>
      <c r="M15865" s="112"/>
      <c r="N15865" s="84"/>
    </row>
    <row r="15866" spans="1:14" s="2" customFormat="1">
      <c r="A15866" s="83"/>
      <c r="H15866" s="83"/>
      <c r="K15866" s="82"/>
      <c r="M15866" s="112"/>
      <c r="N15866" s="84"/>
    </row>
    <row r="15867" spans="1:14" s="2" customFormat="1">
      <c r="A15867" s="83"/>
      <c r="H15867" s="83"/>
      <c r="K15867" s="82"/>
      <c r="M15867" s="112"/>
      <c r="N15867" s="84"/>
    </row>
    <row r="15868" spans="1:14" s="2" customFormat="1">
      <c r="A15868" s="83"/>
      <c r="H15868" s="83"/>
      <c r="K15868" s="82"/>
      <c r="M15868" s="112"/>
      <c r="N15868" s="84"/>
    </row>
    <row r="15869" spans="1:14" s="2" customFormat="1">
      <c r="A15869" s="83"/>
      <c r="H15869" s="83"/>
      <c r="K15869" s="82"/>
      <c r="M15869" s="112"/>
      <c r="N15869" s="84"/>
    </row>
    <row r="15870" spans="1:14" s="2" customFormat="1">
      <c r="A15870" s="83"/>
      <c r="H15870" s="83"/>
      <c r="K15870" s="82"/>
      <c r="M15870" s="112"/>
      <c r="N15870" s="84"/>
    </row>
    <row r="15871" spans="1:14" s="2" customFormat="1">
      <c r="A15871" s="83"/>
      <c r="H15871" s="83"/>
      <c r="K15871" s="82"/>
      <c r="M15871" s="112"/>
      <c r="N15871" s="84"/>
    </row>
    <row r="15872" spans="1:14" s="2" customFormat="1">
      <c r="A15872" s="83"/>
      <c r="H15872" s="83"/>
      <c r="K15872" s="82"/>
      <c r="M15872" s="112"/>
      <c r="N15872" s="84"/>
    </row>
    <row r="15873" spans="1:14" s="2" customFormat="1">
      <c r="A15873" s="83"/>
      <c r="H15873" s="83"/>
      <c r="K15873" s="82"/>
      <c r="M15873" s="112"/>
      <c r="N15873" s="84"/>
    </row>
    <row r="15874" spans="1:14" s="2" customFormat="1">
      <c r="A15874" s="83"/>
      <c r="H15874" s="83"/>
      <c r="K15874" s="82"/>
      <c r="M15874" s="112"/>
      <c r="N15874" s="84"/>
    </row>
    <row r="15875" spans="1:14" s="2" customFormat="1">
      <c r="A15875" s="83"/>
      <c r="H15875" s="83"/>
      <c r="K15875" s="82"/>
      <c r="M15875" s="112"/>
      <c r="N15875" s="84"/>
    </row>
    <row r="15876" spans="1:14" s="2" customFormat="1">
      <c r="A15876" s="83"/>
      <c r="H15876" s="83"/>
      <c r="K15876" s="82"/>
      <c r="M15876" s="112"/>
      <c r="N15876" s="84"/>
    </row>
    <row r="15877" spans="1:14" s="2" customFormat="1">
      <c r="A15877" s="83"/>
      <c r="H15877" s="83"/>
      <c r="K15877" s="82"/>
      <c r="M15877" s="112"/>
      <c r="N15877" s="84"/>
    </row>
    <row r="15878" spans="1:14" s="2" customFormat="1">
      <c r="A15878" s="83"/>
      <c r="H15878" s="83"/>
      <c r="K15878" s="82"/>
      <c r="M15878" s="112"/>
      <c r="N15878" s="84"/>
    </row>
    <row r="15879" spans="1:14" s="2" customFormat="1">
      <c r="A15879" s="83"/>
      <c r="H15879" s="83"/>
      <c r="K15879" s="82"/>
      <c r="M15879" s="112"/>
      <c r="N15879" s="84"/>
    </row>
    <row r="15880" spans="1:14" s="2" customFormat="1">
      <c r="A15880" s="83"/>
      <c r="H15880" s="83"/>
      <c r="K15880" s="82"/>
      <c r="M15880" s="112"/>
      <c r="N15880" s="84"/>
    </row>
    <row r="15881" spans="1:14" s="2" customFormat="1">
      <c r="A15881" s="83"/>
      <c r="H15881" s="83"/>
      <c r="K15881" s="82"/>
      <c r="M15881" s="112"/>
      <c r="N15881" s="84"/>
    </row>
    <row r="15882" spans="1:14" s="2" customFormat="1">
      <c r="A15882" s="83"/>
      <c r="H15882" s="83"/>
      <c r="K15882" s="82"/>
      <c r="M15882" s="112"/>
      <c r="N15882" s="84"/>
    </row>
    <row r="15883" spans="1:14" s="2" customFormat="1">
      <c r="A15883" s="83"/>
      <c r="H15883" s="83"/>
      <c r="K15883" s="82"/>
      <c r="M15883" s="112"/>
      <c r="N15883" s="84"/>
    </row>
    <row r="15884" spans="1:14" s="2" customFormat="1">
      <c r="A15884" s="83"/>
      <c r="H15884" s="83"/>
      <c r="K15884" s="82"/>
      <c r="M15884" s="112"/>
      <c r="N15884" s="84"/>
    </row>
    <row r="15885" spans="1:14" s="2" customFormat="1">
      <c r="A15885" s="83"/>
      <c r="H15885" s="83"/>
      <c r="K15885" s="82"/>
      <c r="M15885" s="112"/>
      <c r="N15885" s="84"/>
    </row>
    <row r="15886" spans="1:14" s="2" customFormat="1">
      <c r="A15886" s="83"/>
      <c r="H15886" s="83"/>
      <c r="K15886" s="82"/>
      <c r="M15886" s="112"/>
      <c r="N15886" s="84"/>
    </row>
    <row r="15887" spans="1:14" s="2" customFormat="1">
      <c r="A15887" s="83"/>
      <c r="H15887" s="83"/>
      <c r="K15887" s="82"/>
      <c r="M15887" s="112"/>
      <c r="N15887" s="84"/>
    </row>
    <row r="15888" spans="1:14" s="2" customFormat="1">
      <c r="A15888" s="83"/>
      <c r="H15888" s="83"/>
      <c r="K15888" s="82"/>
      <c r="M15888" s="112"/>
      <c r="N15888" s="84"/>
    </row>
    <row r="15889" spans="1:14" s="2" customFormat="1">
      <c r="A15889" s="83"/>
      <c r="H15889" s="83"/>
      <c r="K15889" s="82"/>
      <c r="M15889" s="112"/>
      <c r="N15889" s="84"/>
    </row>
    <row r="15890" spans="1:14" s="2" customFormat="1">
      <c r="A15890" s="83"/>
      <c r="H15890" s="83"/>
      <c r="K15890" s="82"/>
      <c r="M15890" s="112"/>
      <c r="N15890" s="84"/>
    </row>
    <row r="15891" spans="1:14" s="2" customFormat="1">
      <c r="A15891" s="83"/>
      <c r="H15891" s="83"/>
      <c r="K15891" s="82"/>
      <c r="M15891" s="112"/>
      <c r="N15891" s="84"/>
    </row>
    <row r="15892" spans="1:14" s="2" customFormat="1">
      <c r="A15892" s="83"/>
      <c r="H15892" s="83"/>
      <c r="K15892" s="82"/>
      <c r="M15892" s="112"/>
      <c r="N15892" s="84"/>
    </row>
    <row r="15893" spans="1:14" s="2" customFormat="1">
      <c r="A15893" s="83"/>
      <c r="H15893" s="83"/>
      <c r="K15893" s="82"/>
      <c r="M15893" s="112"/>
      <c r="N15893" s="84"/>
    </row>
    <row r="15894" spans="1:14" s="2" customFormat="1">
      <c r="A15894" s="83"/>
      <c r="H15894" s="83"/>
      <c r="K15894" s="82"/>
      <c r="M15894" s="112"/>
      <c r="N15894" s="84"/>
    </row>
    <row r="15895" spans="1:14" s="2" customFormat="1">
      <c r="A15895" s="83"/>
      <c r="H15895" s="83"/>
      <c r="K15895" s="82"/>
      <c r="M15895" s="112"/>
      <c r="N15895" s="84"/>
    </row>
    <row r="15896" spans="1:14" s="2" customFormat="1">
      <c r="A15896" s="83"/>
      <c r="H15896" s="83"/>
      <c r="K15896" s="82"/>
      <c r="M15896" s="112"/>
      <c r="N15896" s="84"/>
    </row>
    <row r="15897" spans="1:14" s="2" customFormat="1">
      <c r="A15897" s="83"/>
      <c r="H15897" s="83"/>
      <c r="K15897" s="82"/>
      <c r="M15897" s="112"/>
      <c r="N15897" s="84"/>
    </row>
    <row r="15898" spans="1:14" s="2" customFormat="1">
      <c r="A15898" s="83"/>
      <c r="H15898" s="83"/>
      <c r="K15898" s="82"/>
      <c r="M15898" s="112"/>
      <c r="N15898" s="84"/>
    </row>
    <row r="15899" spans="1:14" s="2" customFormat="1">
      <c r="A15899" s="83"/>
      <c r="H15899" s="83"/>
      <c r="K15899" s="82"/>
      <c r="M15899" s="112"/>
      <c r="N15899" s="84"/>
    </row>
    <row r="15900" spans="1:14" s="2" customFormat="1">
      <c r="A15900" s="83"/>
      <c r="H15900" s="83"/>
      <c r="K15900" s="82"/>
      <c r="M15900" s="112"/>
      <c r="N15900" s="84"/>
    </row>
    <row r="15901" spans="1:14" s="2" customFormat="1">
      <c r="A15901" s="83"/>
      <c r="H15901" s="83"/>
      <c r="K15901" s="82"/>
      <c r="M15901" s="112"/>
      <c r="N15901" s="84"/>
    </row>
    <row r="15902" spans="1:14" s="2" customFormat="1">
      <c r="A15902" s="83"/>
      <c r="H15902" s="83"/>
      <c r="K15902" s="82"/>
      <c r="M15902" s="112"/>
      <c r="N15902" s="84"/>
    </row>
    <row r="15903" spans="1:14" s="2" customFormat="1">
      <c r="A15903" s="83"/>
      <c r="H15903" s="83"/>
      <c r="K15903" s="82"/>
      <c r="M15903" s="112"/>
      <c r="N15903" s="84"/>
    </row>
    <row r="15904" spans="1:14" s="2" customFormat="1">
      <c r="A15904" s="83"/>
      <c r="H15904" s="83"/>
      <c r="K15904" s="82"/>
      <c r="M15904" s="112"/>
      <c r="N15904" s="84"/>
    </row>
    <row r="15905" spans="1:14" s="2" customFormat="1">
      <c r="A15905" s="83"/>
      <c r="H15905" s="83"/>
      <c r="K15905" s="82"/>
      <c r="M15905" s="112"/>
      <c r="N15905" s="84"/>
    </row>
    <row r="15906" spans="1:14" s="2" customFormat="1">
      <c r="A15906" s="83"/>
      <c r="H15906" s="83"/>
      <c r="K15906" s="82"/>
      <c r="M15906" s="112"/>
      <c r="N15906" s="84"/>
    </row>
    <row r="15907" spans="1:14" s="2" customFormat="1">
      <c r="A15907" s="83"/>
      <c r="H15907" s="83"/>
      <c r="K15907" s="82"/>
      <c r="M15907" s="112"/>
      <c r="N15907" s="84"/>
    </row>
    <row r="15908" spans="1:14" s="2" customFormat="1">
      <c r="A15908" s="83"/>
      <c r="H15908" s="83"/>
      <c r="K15908" s="82"/>
      <c r="M15908" s="112"/>
      <c r="N15908" s="84"/>
    </row>
    <row r="15909" spans="1:14" s="2" customFormat="1">
      <c r="A15909" s="83"/>
      <c r="H15909" s="83"/>
      <c r="K15909" s="82"/>
      <c r="M15909" s="112"/>
      <c r="N15909" s="84"/>
    </row>
    <row r="15910" spans="1:14" s="2" customFormat="1">
      <c r="A15910" s="83"/>
      <c r="H15910" s="83"/>
      <c r="K15910" s="82"/>
      <c r="M15910" s="112"/>
      <c r="N15910" s="84"/>
    </row>
    <row r="15911" spans="1:14" s="2" customFormat="1">
      <c r="A15911" s="83"/>
      <c r="H15911" s="83"/>
      <c r="K15911" s="82"/>
      <c r="M15911" s="112"/>
      <c r="N15911" s="84"/>
    </row>
    <row r="15912" spans="1:14" s="2" customFormat="1">
      <c r="A15912" s="83"/>
      <c r="H15912" s="83"/>
      <c r="K15912" s="82"/>
      <c r="M15912" s="112"/>
      <c r="N15912" s="84"/>
    </row>
    <row r="15913" spans="1:14" s="2" customFormat="1">
      <c r="A15913" s="83"/>
      <c r="H15913" s="83"/>
      <c r="K15913" s="82"/>
      <c r="M15913" s="112"/>
      <c r="N15913" s="84"/>
    </row>
    <row r="15914" spans="1:14" s="2" customFormat="1">
      <c r="A15914" s="83"/>
      <c r="H15914" s="83"/>
      <c r="K15914" s="82"/>
      <c r="M15914" s="112"/>
      <c r="N15914" s="84"/>
    </row>
    <row r="15915" spans="1:14" s="2" customFormat="1">
      <c r="A15915" s="83"/>
      <c r="H15915" s="83"/>
      <c r="K15915" s="82"/>
      <c r="M15915" s="112"/>
      <c r="N15915" s="84"/>
    </row>
    <row r="15916" spans="1:14" s="2" customFormat="1">
      <c r="A15916" s="83"/>
      <c r="H15916" s="83"/>
      <c r="K15916" s="82"/>
      <c r="M15916" s="112"/>
      <c r="N15916" s="84"/>
    </row>
    <row r="15917" spans="1:14" s="2" customFormat="1">
      <c r="A15917" s="83"/>
      <c r="H15917" s="83"/>
      <c r="K15917" s="82"/>
      <c r="M15917" s="112"/>
      <c r="N15917" s="84"/>
    </row>
    <row r="15918" spans="1:14" s="2" customFormat="1">
      <c r="A15918" s="83"/>
      <c r="H15918" s="83"/>
      <c r="K15918" s="82"/>
      <c r="M15918" s="112"/>
      <c r="N15918" s="84"/>
    </row>
    <row r="15919" spans="1:14" s="2" customFormat="1">
      <c r="A15919" s="83"/>
      <c r="H15919" s="83"/>
      <c r="K15919" s="82"/>
      <c r="M15919" s="112"/>
      <c r="N15919" s="84"/>
    </row>
    <row r="15920" spans="1:14" s="2" customFormat="1">
      <c r="A15920" s="83"/>
      <c r="H15920" s="83"/>
      <c r="K15920" s="82"/>
      <c r="M15920" s="112"/>
      <c r="N15920" s="84"/>
    </row>
    <row r="15921" spans="1:14" s="2" customFormat="1">
      <c r="A15921" s="83"/>
      <c r="H15921" s="83"/>
      <c r="K15921" s="82"/>
      <c r="M15921" s="112"/>
      <c r="N15921" s="84"/>
    </row>
    <row r="15922" spans="1:14" s="2" customFormat="1">
      <c r="A15922" s="83"/>
      <c r="H15922" s="83"/>
      <c r="K15922" s="82"/>
      <c r="M15922" s="112"/>
      <c r="N15922" s="84"/>
    </row>
    <row r="15923" spans="1:14" s="2" customFormat="1">
      <c r="A15923" s="83"/>
      <c r="H15923" s="83"/>
      <c r="K15923" s="82"/>
      <c r="M15923" s="112"/>
      <c r="N15923" s="84"/>
    </row>
    <row r="15924" spans="1:14" s="2" customFormat="1">
      <c r="A15924" s="83"/>
      <c r="H15924" s="83"/>
      <c r="K15924" s="82"/>
      <c r="M15924" s="112"/>
      <c r="N15924" s="84"/>
    </row>
    <row r="15925" spans="1:14" s="2" customFormat="1">
      <c r="A15925" s="83"/>
      <c r="H15925" s="83"/>
      <c r="K15925" s="82"/>
      <c r="M15925" s="112"/>
      <c r="N15925" s="84"/>
    </row>
    <row r="15926" spans="1:14" s="2" customFormat="1">
      <c r="A15926" s="83"/>
      <c r="H15926" s="83"/>
      <c r="K15926" s="82"/>
      <c r="M15926" s="112"/>
      <c r="N15926" s="84"/>
    </row>
    <row r="15927" spans="1:14" s="2" customFormat="1">
      <c r="A15927" s="83"/>
      <c r="H15927" s="83"/>
      <c r="K15927" s="82"/>
      <c r="M15927" s="112"/>
      <c r="N15927" s="84"/>
    </row>
    <row r="15928" spans="1:14" s="2" customFormat="1">
      <c r="A15928" s="83"/>
      <c r="H15928" s="83"/>
      <c r="K15928" s="82"/>
      <c r="M15928" s="112"/>
      <c r="N15928" s="84"/>
    </row>
    <row r="15929" spans="1:14" s="2" customFormat="1">
      <c r="A15929" s="83"/>
      <c r="H15929" s="83"/>
      <c r="K15929" s="82"/>
      <c r="M15929" s="112"/>
      <c r="N15929" s="84"/>
    </row>
    <row r="15930" spans="1:14" s="2" customFormat="1">
      <c r="A15930" s="83"/>
      <c r="H15930" s="83"/>
      <c r="K15930" s="82"/>
      <c r="M15930" s="112"/>
      <c r="N15930" s="84"/>
    </row>
    <row r="15931" spans="1:14" s="2" customFormat="1">
      <c r="A15931" s="83"/>
      <c r="H15931" s="83"/>
      <c r="K15931" s="82"/>
      <c r="M15931" s="112"/>
      <c r="N15931" s="84"/>
    </row>
    <row r="15932" spans="1:14" s="2" customFormat="1">
      <c r="A15932" s="83"/>
      <c r="H15932" s="83"/>
      <c r="K15932" s="82"/>
      <c r="M15932" s="112"/>
      <c r="N15932" s="84"/>
    </row>
    <row r="15933" spans="1:14" s="2" customFormat="1">
      <c r="A15933" s="83"/>
      <c r="H15933" s="83"/>
      <c r="K15933" s="82"/>
      <c r="M15933" s="112"/>
      <c r="N15933" s="84"/>
    </row>
    <row r="15934" spans="1:14" s="2" customFormat="1">
      <c r="A15934" s="83"/>
      <c r="H15934" s="83"/>
      <c r="K15934" s="82"/>
      <c r="M15934" s="112"/>
      <c r="N15934" s="84"/>
    </row>
    <row r="15935" spans="1:14" s="2" customFormat="1">
      <c r="A15935" s="83"/>
      <c r="H15935" s="83"/>
      <c r="K15935" s="82"/>
      <c r="M15935" s="112"/>
      <c r="N15935" s="84"/>
    </row>
    <row r="15936" spans="1:14" s="2" customFormat="1">
      <c r="A15936" s="83"/>
      <c r="H15936" s="83"/>
      <c r="K15936" s="82"/>
      <c r="M15936" s="112"/>
      <c r="N15936" s="84"/>
    </row>
    <row r="15937" spans="1:14" s="2" customFormat="1">
      <c r="A15937" s="83"/>
      <c r="H15937" s="83"/>
      <c r="K15937" s="82"/>
      <c r="M15937" s="112"/>
      <c r="N15937" s="84"/>
    </row>
    <row r="15938" spans="1:14" s="2" customFormat="1">
      <c r="A15938" s="83"/>
      <c r="H15938" s="83"/>
      <c r="K15938" s="82"/>
      <c r="M15938" s="112"/>
      <c r="N15938" s="84"/>
    </row>
    <row r="15939" spans="1:14" s="2" customFormat="1">
      <c r="A15939" s="83"/>
      <c r="H15939" s="83"/>
      <c r="K15939" s="82"/>
      <c r="M15939" s="112"/>
      <c r="N15939" s="84"/>
    </row>
    <row r="15940" spans="1:14" s="2" customFormat="1">
      <c r="A15940" s="83"/>
      <c r="H15940" s="83"/>
      <c r="K15940" s="82"/>
      <c r="M15940" s="112"/>
      <c r="N15940" s="84"/>
    </row>
    <row r="15941" spans="1:14" s="2" customFormat="1">
      <c r="A15941" s="83"/>
      <c r="H15941" s="83"/>
      <c r="K15941" s="82"/>
      <c r="M15941" s="112"/>
      <c r="N15941" s="84"/>
    </row>
    <row r="15942" spans="1:14" s="2" customFormat="1">
      <c r="A15942" s="83"/>
      <c r="H15942" s="83"/>
      <c r="K15942" s="82"/>
      <c r="M15942" s="112"/>
      <c r="N15942" s="84"/>
    </row>
    <row r="15943" spans="1:14" s="2" customFormat="1">
      <c r="A15943" s="83"/>
      <c r="H15943" s="83"/>
      <c r="K15943" s="82"/>
      <c r="M15943" s="112"/>
      <c r="N15943" s="84"/>
    </row>
    <row r="15944" spans="1:14" s="2" customFormat="1">
      <c r="A15944" s="83"/>
      <c r="H15944" s="83"/>
      <c r="K15944" s="82"/>
      <c r="M15944" s="112"/>
      <c r="N15944" s="84"/>
    </row>
    <row r="15945" spans="1:14" s="2" customFormat="1">
      <c r="A15945" s="83"/>
      <c r="H15945" s="83"/>
      <c r="K15945" s="82"/>
      <c r="M15945" s="112"/>
      <c r="N15945" s="84"/>
    </row>
    <row r="15946" spans="1:14" s="2" customFormat="1">
      <c r="A15946" s="83"/>
      <c r="H15946" s="83"/>
      <c r="K15946" s="82"/>
      <c r="M15946" s="112"/>
      <c r="N15946" s="84"/>
    </row>
    <row r="15947" spans="1:14" s="2" customFormat="1">
      <c r="A15947" s="83"/>
      <c r="H15947" s="83"/>
      <c r="K15947" s="82"/>
      <c r="M15947" s="112"/>
      <c r="N15947" s="84"/>
    </row>
    <row r="15948" spans="1:14" s="2" customFormat="1">
      <c r="A15948" s="83"/>
      <c r="H15948" s="83"/>
      <c r="K15948" s="82"/>
      <c r="M15948" s="112"/>
      <c r="N15948" s="84"/>
    </row>
    <row r="15949" spans="1:14" s="2" customFormat="1">
      <c r="A15949" s="83"/>
      <c r="H15949" s="83"/>
      <c r="K15949" s="82"/>
      <c r="M15949" s="112"/>
      <c r="N15949" s="84"/>
    </row>
    <row r="15950" spans="1:14" s="2" customFormat="1">
      <c r="A15950" s="83"/>
      <c r="H15950" s="83"/>
      <c r="K15950" s="82"/>
      <c r="M15950" s="112"/>
      <c r="N15950" s="84"/>
    </row>
    <row r="15951" spans="1:14" s="2" customFormat="1">
      <c r="A15951" s="83"/>
      <c r="H15951" s="83"/>
      <c r="K15951" s="82"/>
      <c r="M15951" s="112"/>
      <c r="N15951" s="84"/>
    </row>
    <row r="15952" spans="1:14" s="2" customFormat="1">
      <c r="A15952" s="83"/>
      <c r="H15952" s="83"/>
      <c r="K15952" s="82"/>
      <c r="M15952" s="112"/>
      <c r="N15952" s="84"/>
    </row>
    <row r="15953" spans="1:14" s="2" customFormat="1">
      <c r="A15953" s="83"/>
      <c r="H15953" s="83"/>
      <c r="K15953" s="82"/>
      <c r="M15953" s="112"/>
      <c r="N15953" s="84"/>
    </row>
    <row r="15954" spans="1:14" s="2" customFormat="1">
      <c r="A15954" s="83"/>
      <c r="H15954" s="83"/>
      <c r="K15954" s="82"/>
      <c r="M15954" s="112"/>
      <c r="N15954" s="84"/>
    </row>
    <row r="15955" spans="1:14" s="2" customFormat="1">
      <c r="A15955" s="83"/>
      <c r="H15955" s="83"/>
      <c r="K15955" s="82"/>
      <c r="M15955" s="112"/>
      <c r="N15955" s="84"/>
    </row>
    <row r="15956" spans="1:14" s="2" customFormat="1">
      <c r="A15956" s="83"/>
      <c r="H15956" s="83"/>
      <c r="K15956" s="82"/>
      <c r="M15956" s="112"/>
      <c r="N15956" s="84"/>
    </row>
    <row r="15957" spans="1:14" s="2" customFormat="1">
      <c r="A15957" s="83"/>
      <c r="H15957" s="83"/>
      <c r="K15957" s="82"/>
      <c r="M15957" s="112"/>
      <c r="N15957" s="84"/>
    </row>
    <row r="15958" spans="1:14" s="2" customFormat="1">
      <c r="A15958" s="83"/>
      <c r="H15958" s="83"/>
      <c r="K15958" s="82"/>
      <c r="M15958" s="112"/>
      <c r="N15958" s="84"/>
    </row>
    <row r="15959" spans="1:14" s="2" customFormat="1">
      <c r="A15959" s="83"/>
      <c r="H15959" s="83"/>
      <c r="K15959" s="82"/>
      <c r="M15959" s="112"/>
      <c r="N15959" s="84"/>
    </row>
    <row r="15960" spans="1:14" s="2" customFormat="1">
      <c r="A15960" s="83"/>
      <c r="H15960" s="83"/>
      <c r="K15960" s="82"/>
      <c r="M15960" s="112"/>
      <c r="N15960" s="84"/>
    </row>
    <row r="15961" spans="1:14" s="2" customFormat="1">
      <c r="A15961" s="83"/>
      <c r="H15961" s="83"/>
      <c r="K15961" s="82"/>
      <c r="M15961" s="112"/>
      <c r="N15961" s="84"/>
    </row>
    <row r="15962" spans="1:14" s="2" customFormat="1">
      <c r="A15962" s="83"/>
      <c r="H15962" s="83"/>
      <c r="K15962" s="82"/>
      <c r="M15962" s="112"/>
      <c r="N15962" s="84"/>
    </row>
    <row r="15963" spans="1:14" s="2" customFormat="1">
      <c r="A15963" s="83"/>
      <c r="H15963" s="83"/>
      <c r="K15963" s="82"/>
      <c r="M15963" s="112"/>
      <c r="N15963" s="84"/>
    </row>
    <row r="15964" spans="1:14" s="2" customFormat="1">
      <c r="A15964" s="83"/>
      <c r="H15964" s="83"/>
      <c r="K15964" s="82"/>
      <c r="M15964" s="112"/>
      <c r="N15964" s="84"/>
    </row>
    <row r="15965" spans="1:14" s="2" customFormat="1">
      <c r="A15965" s="83"/>
      <c r="H15965" s="83"/>
      <c r="K15965" s="82"/>
      <c r="M15965" s="112"/>
      <c r="N15965" s="84"/>
    </row>
    <row r="15966" spans="1:14" s="2" customFormat="1">
      <c r="A15966" s="83"/>
      <c r="H15966" s="83"/>
      <c r="K15966" s="82"/>
      <c r="M15966" s="112"/>
      <c r="N15966" s="84"/>
    </row>
    <row r="15967" spans="1:14" s="2" customFormat="1">
      <c r="A15967" s="83"/>
      <c r="H15967" s="83"/>
      <c r="K15967" s="82"/>
      <c r="M15967" s="112"/>
      <c r="N15967" s="84"/>
    </row>
    <row r="15968" spans="1:14" s="2" customFormat="1">
      <c r="A15968" s="83"/>
      <c r="H15968" s="83"/>
      <c r="K15968" s="82"/>
      <c r="M15968" s="112"/>
      <c r="N15968" s="84"/>
    </row>
    <row r="15969" spans="1:14" s="2" customFormat="1">
      <c r="A15969" s="83"/>
      <c r="H15969" s="83"/>
      <c r="K15969" s="82"/>
      <c r="M15969" s="112"/>
      <c r="N15969" s="84"/>
    </row>
    <row r="15970" spans="1:14" s="2" customFormat="1">
      <c r="A15970" s="83"/>
      <c r="H15970" s="83"/>
      <c r="K15970" s="82"/>
      <c r="M15970" s="112"/>
      <c r="N15970" s="84"/>
    </row>
    <row r="15971" spans="1:14" s="2" customFormat="1">
      <c r="A15971" s="83"/>
      <c r="H15971" s="83"/>
      <c r="K15971" s="82"/>
      <c r="M15971" s="112"/>
      <c r="N15971" s="84"/>
    </row>
    <row r="15972" spans="1:14" s="2" customFormat="1">
      <c r="A15972" s="83"/>
      <c r="H15972" s="83"/>
      <c r="K15972" s="82"/>
      <c r="M15972" s="112"/>
      <c r="N15972" s="84"/>
    </row>
    <row r="15973" spans="1:14" s="2" customFormat="1">
      <c r="A15973" s="83"/>
      <c r="H15973" s="83"/>
      <c r="K15973" s="82"/>
      <c r="M15973" s="112"/>
      <c r="N15973" s="84"/>
    </row>
    <row r="15974" spans="1:14" s="2" customFormat="1">
      <c r="A15974" s="83"/>
      <c r="H15974" s="83"/>
      <c r="K15974" s="82"/>
      <c r="M15974" s="112"/>
      <c r="N15974" s="84"/>
    </row>
    <row r="15975" spans="1:14" s="2" customFormat="1">
      <c r="A15975" s="83"/>
      <c r="H15975" s="83"/>
      <c r="K15975" s="82"/>
      <c r="M15975" s="112"/>
      <c r="N15975" s="84"/>
    </row>
    <row r="15976" spans="1:14" s="2" customFormat="1">
      <c r="A15976" s="83"/>
      <c r="H15976" s="83"/>
      <c r="K15976" s="82"/>
      <c r="M15976" s="112"/>
      <c r="N15976" s="84"/>
    </row>
    <row r="15977" spans="1:14" s="2" customFormat="1">
      <c r="A15977" s="83"/>
      <c r="H15977" s="83"/>
      <c r="K15977" s="82"/>
      <c r="M15977" s="112"/>
      <c r="N15977" s="84"/>
    </row>
    <row r="15978" spans="1:14" s="2" customFormat="1">
      <c r="A15978" s="83"/>
      <c r="H15978" s="83"/>
      <c r="K15978" s="82"/>
      <c r="M15978" s="112"/>
      <c r="N15978" s="84"/>
    </row>
    <row r="15979" spans="1:14" s="2" customFormat="1">
      <c r="A15979" s="83"/>
      <c r="H15979" s="83"/>
      <c r="K15979" s="82"/>
      <c r="M15979" s="112"/>
      <c r="N15979" s="84"/>
    </row>
    <row r="15980" spans="1:14" s="2" customFormat="1">
      <c r="A15980" s="83"/>
      <c r="H15980" s="83"/>
      <c r="K15980" s="82"/>
      <c r="M15980" s="112"/>
      <c r="N15980" s="84"/>
    </row>
    <row r="15981" spans="1:14" s="2" customFormat="1">
      <c r="A15981" s="83"/>
      <c r="H15981" s="83"/>
      <c r="K15981" s="82"/>
      <c r="M15981" s="112"/>
      <c r="N15981" s="84"/>
    </row>
    <row r="15982" spans="1:14" s="2" customFormat="1">
      <c r="A15982" s="83"/>
      <c r="H15982" s="83"/>
      <c r="K15982" s="82"/>
      <c r="M15982" s="112"/>
      <c r="N15982" s="84"/>
    </row>
    <row r="15983" spans="1:14" s="2" customFormat="1">
      <c r="A15983" s="83"/>
      <c r="H15983" s="83"/>
      <c r="K15983" s="82"/>
      <c r="M15983" s="112"/>
      <c r="N15983" s="84"/>
    </row>
    <row r="15984" spans="1:14" s="2" customFormat="1">
      <c r="A15984" s="83"/>
      <c r="H15984" s="83"/>
      <c r="K15984" s="82"/>
      <c r="M15984" s="112"/>
      <c r="N15984" s="84"/>
    </row>
    <row r="15985" spans="1:14" s="2" customFormat="1">
      <c r="A15985" s="83"/>
      <c r="H15985" s="83"/>
      <c r="K15985" s="82"/>
      <c r="M15985" s="112"/>
      <c r="N15985" s="84"/>
    </row>
    <row r="15986" spans="1:14" s="2" customFormat="1">
      <c r="A15986" s="83"/>
      <c r="H15986" s="83"/>
      <c r="K15986" s="82"/>
      <c r="M15986" s="112"/>
      <c r="N15986" s="84"/>
    </row>
    <row r="15987" spans="1:14" s="2" customFormat="1">
      <c r="A15987" s="83"/>
      <c r="H15987" s="83"/>
      <c r="K15987" s="82"/>
      <c r="M15987" s="112"/>
      <c r="N15987" s="84"/>
    </row>
    <row r="15988" spans="1:14" s="2" customFormat="1">
      <c r="A15988" s="83"/>
      <c r="H15988" s="83"/>
      <c r="K15988" s="82"/>
      <c r="M15988" s="112"/>
      <c r="N15988" s="84"/>
    </row>
    <row r="15989" spans="1:14" s="2" customFormat="1">
      <c r="A15989" s="83"/>
      <c r="H15989" s="83"/>
      <c r="K15989" s="82"/>
      <c r="M15989" s="112"/>
      <c r="N15989" s="84"/>
    </row>
    <row r="15990" spans="1:14" s="2" customFormat="1">
      <c r="A15990" s="83"/>
      <c r="H15990" s="83"/>
      <c r="K15990" s="82"/>
      <c r="M15990" s="112"/>
      <c r="N15990" s="84"/>
    </row>
    <row r="15991" spans="1:14" s="2" customFormat="1">
      <c r="A15991" s="83"/>
      <c r="H15991" s="83"/>
      <c r="K15991" s="82"/>
      <c r="M15991" s="112"/>
      <c r="N15991" s="84"/>
    </row>
    <row r="15992" spans="1:14" s="2" customFormat="1">
      <c r="A15992" s="83"/>
      <c r="H15992" s="83"/>
      <c r="K15992" s="82"/>
      <c r="M15992" s="112"/>
      <c r="N15992" s="84"/>
    </row>
    <row r="15993" spans="1:14" s="2" customFormat="1">
      <c r="A15993" s="83"/>
      <c r="H15993" s="83"/>
      <c r="K15993" s="82"/>
      <c r="M15993" s="112"/>
      <c r="N15993" s="84"/>
    </row>
    <row r="15994" spans="1:14" s="2" customFormat="1">
      <c r="A15994" s="83"/>
      <c r="H15994" s="83"/>
      <c r="K15994" s="82"/>
      <c r="M15994" s="112"/>
      <c r="N15994" s="84"/>
    </row>
    <row r="15995" spans="1:14" s="2" customFormat="1">
      <c r="A15995" s="83"/>
      <c r="H15995" s="83"/>
      <c r="K15995" s="82"/>
      <c r="M15995" s="112"/>
      <c r="N15995" s="84"/>
    </row>
    <row r="15996" spans="1:14" s="2" customFormat="1">
      <c r="A15996" s="83"/>
      <c r="H15996" s="83"/>
      <c r="K15996" s="82"/>
      <c r="M15996" s="112"/>
      <c r="N15996" s="84"/>
    </row>
    <row r="15997" spans="1:14" s="2" customFormat="1">
      <c r="A15997" s="83"/>
      <c r="H15997" s="83"/>
      <c r="K15997" s="82"/>
      <c r="M15997" s="112"/>
      <c r="N15997" s="84"/>
    </row>
    <row r="15998" spans="1:14" s="2" customFormat="1">
      <c r="A15998" s="83"/>
      <c r="H15998" s="83"/>
      <c r="K15998" s="82"/>
      <c r="M15998" s="112"/>
      <c r="N15998" s="84"/>
    </row>
    <row r="15999" spans="1:14" s="2" customFormat="1">
      <c r="A15999" s="83"/>
      <c r="H15999" s="83"/>
      <c r="K15999" s="82"/>
      <c r="M15999" s="112"/>
      <c r="N15999" s="84"/>
    </row>
    <row r="16000" spans="1:14" s="2" customFormat="1">
      <c r="A16000" s="83"/>
      <c r="H16000" s="83"/>
      <c r="K16000" s="82"/>
      <c r="M16000" s="112"/>
      <c r="N16000" s="84"/>
    </row>
    <row r="16001" spans="1:14" s="2" customFormat="1">
      <c r="A16001" s="83"/>
      <c r="H16001" s="83"/>
      <c r="K16001" s="82"/>
      <c r="M16001" s="112"/>
      <c r="N16001" s="84"/>
    </row>
    <row r="16002" spans="1:14" s="2" customFormat="1">
      <c r="A16002" s="83"/>
      <c r="H16002" s="83"/>
      <c r="K16002" s="82"/>
      <c r="M16002" s="112"/>
      <c r="N16002" s="84"/>
    </row>
    <row r="16003" spans="1:14" s="2" customFormat="1">
      <c r="A16003" s="83"/>
      <c r="H16003" s="83"/>
      <c r="K16003" s="82"/>
      <c r="M16003" s="112"/>
      <c r="N16003" s="84"/>
    </row>
    <row r="16004" spans="1:14" s="2" customFormat="1">
      <c r="A16004" s="83"/>
      <c r="H16004" s="83"/>
      <c r="K16004" s="82"/>
      <c r="M16004" s="112"/>
      <c r="N16004" s="84"/>
    </row>
    <row r="16005" spans="1:14" s="2" customFormat="1">
      <c r="A16005" s="83"/>
      <c r="H16005" s="83"/>
      <c r="K16005" s="82"/>
      <c r="M16005" s="112"/>
      <c r="N16005" s="84"/>
    </row>
    <row r="16006" spans="1:14" s="2" customFormat="1">
      <c r="A16006" s="83"/>
      <c r="H16006" s="83"/>
      <c r="K16006" s="82"/>
      <c r="M16006" s="112"/>
      <c r="N16006" s="84"/>
    </row>
    <row r="16007" spans="1:14" s="2" customFormat="1">
      <c r="A16007" s="83"/>
      <c r="H16007" s="83"/>
      <c r="K16007" s="82"/>
      <c r="M16007" s="112"/>
      <c r="N16007" s="84"/>
    </row>
    <row r="16008" spans="1:14" s="2" customFormat="1">
      <c r="A16008" s="83"/>
      <c r="H16008" s="83"/>
      <c r="K16008" s="82"/>
      <c r="M16008" s="112"/>
      <c r="N16008" s="84"/>
    </row>
    <row r="16009" spans="1:14" s="2" customFormat="1">
      <c r="A16009" s="83"/>
      <c r="H16009" s="83"/>
      <c r="K16009" s="82"/>
      <c r="M16009" s="112"/>
      <c r="N16009" s="84"/>
    </row>
    <row r="16010" spans="1:14" s="2" customFormat="1">
      <c r="A16010" s="83"/>
      <c r="H16010" s="83"/>
      <c r="K16010" s="82"/>
      <c r="M16010" s="112"/>
      <c r="N16010" s="84"/>
    </row>
    <row r="16011" spans="1:14" s="2" customFormat="1">
      <c r="A16011" s="83"/>
      <c r="H16011" s="83"/>
      <c r="K16011" s="82"/>
      <c r="M16011" s="112"/>
      <c r="N16011" s="84"/>
    </row>
    <row r="16012" spans="1:14" s="2" customFormat="1">
      <c r="A16012" s="83"/>
      <c r="H16012" s="83"/>
      <c r="K16012" s="82"/>
      <c r="M16012" s="112"/>
      <c r="N16012" s="84"/>
    </row>
    <row r="16013" spans="1:14" s="2" customFormat="1">
      <c r="A16013" s="83"/>
      <c r="H16013" s="83"/>
      <c r="K16013" s="82"/>
      <c r="M16013" s="112"/>
      <c r="N16013" s="84"/>
    </row>
    <row r="16014" spans="1:14" s="2" customFormat="1">
      <c r="A16014" s="83"/>
      <c r="H16014" s="83"/>
      <c r="K16014" s="82"/>
      <c r="M16014" s="112"/>
      <c r="N16014" s="84"/>
    </row>
    <row r="16015" spans="1:14" s="2" customFormat="1">
      <c r="A16015" s="83"/>
      <c r="H16015" s="83"/>
      <c r="K16015" s="82"/>
      <c r="M16015" s="112"/>
      <c r="N16015" s="84"/>
    </row>
    <row r="16016" spans="1:14" s="2" customFormat="1">
      <c r="A16016" s="83"/>
      <c r="H16016" s="83"/>
      <c r="K16016" s="82"/>
      <c r="M16016" s="112"/>
      <c r="N16016" s="84"/>
    </row>
    <row r="16017" spans="1:14" s="2" customFormat="1">
      <c r="A16017" s="83"/>
      <c r="H16017" s="83"/>
      <c r="K16017" s="82"/>
      <c r="M16017" s="112"/>
      <c r="N16017" s="84"/>
    </row>
    <row r="16018" spans="1:14" s="2" customFormat="1">
      <c r="A16018" s="83"/>
      <c r="H16018" s="83"/>
      <c r="K16018" s="82"/>
      <c r="M16018" s="112"/>
      <c r="N16018" s="84"/>
    </row>
    <row r="16019" spans="1:14" s="2" customFormat="1">
      <c r="A16019" s="83"/>
      <c r="H16019" s="83"/>
      <c r="K16019" s="82"/>
      <c r="M16019" s="112"/>
      <c r="N16019" s="84"/>
    </row>
    <row r="16020" spans="1:14" s="2" customFormat="1">
      <c r="A16020" s="83"/>
      <c r="H16020" s="83"/>
      <c r="K16020" s="82"/>
      <c r="M16020" s="112"/>
      <c r="N16020" s="84"/>
    </row>
    <row r="16021" spans="1:14" s="2" customFormat="1">
      <c r="A16021" s="83"/>
      <c r="H16021" s="83"/>
      <c r="K16021" s="82"/>
      <c r="M16021" s="112"/>
      <c r="N16021" s="84"/>
    </row>
    <row r="16022" spans="1:14" s="2" customFormat="1">
      <c r="A16022" s="83"/>
      <c r="H16022" s="83"/>
      <c r="K16022" s="82"/>
      <c r="M16022" s="112"/>
      <c r="N16022" s="84"/>
    </row>
    <row r="16023" spans="1:14" s="2" customFormat="1">
      <c r="A16023" s="83"/>
      <c r="H16023" s="83"/>
      <c r="K16023" s="82"/>
      <c r="M16023" s="112"/>
      <c r="N16023" s="84"/>
    </row>
    <row r="16024" spans="1:14" s="2" customFormat="1">
      <c r="A16024" s="83"/>
      <c r="H16024" s="83"/>
      <c r="K16024" s="82"/>
      <c r="M16024" s="112"/>
      <c r="N16024" s="84"/>
    </row>
    <row r="16025" spans="1:14" s="2" customFormat="1">
      <c r="A16025" s="83"/>
      <c r="H16025" s="83"/>
      <c r="K16025" s="82"/>
      <c r="M16025" s="112"/>
      <c r="N16025" s="84"/>
    </row>
    <row r="16026" spans="1:14" s="2" customFormat="1">
      <c r="A16026" s="83"/>
      <c r="H16026" s="83"/>
      <c r="K16026" s="82"/>
      <c r="M16026" s="112"/>
      <c r="N16026" s="84"/>
    </row>
    <row r="16027" spans="1:14" s="2" customFormat="1">
      <c r="A16027" s="83"/>
      <c r="H16027" s="83"/>
      <c r="K16027" s="82"/>
      <c r="M16027" s="112"/>
      <c r="N16027" s="84"/>
    </row>
    <row r="16028" spans="1:14" s="2" customFormat="1">
      <c r="A16028" s="83"/>
      <c r="H16028" s="83"/>
      <c r="K16028" s="82"/>
      <c r="M16028" s="112"/>
      <c r="N16028" s="84"/>
    </row>
    <row r="16029" spans="1:14" s="2" customFormat="1">
      <c r="A16029" s="83"/>
      <c r="H16029" s="83"/>
      <c r="K16029" s="82"/>
      <c r="M16029" s="112"/>
      <c r="N16029" s="84"/>
    </row>
    <row r="16030" spans="1:14" s="2" customFormat="1">
      <c r="A16030" s="83"/>
      <c r="H16030" s="83"/>
      <c r="K16030" s="82"/>
      <c r="M16030" s="112"/>
      <c r="N16030" s="84"/>
    </row>
    <row r="16031" spans="1:14" s="2" customFormat="1">
      <c r="A16031" s="83"/>
      <c r="H16031" s="83"/>
      <c r="K16031" s="82"/>
      <c r="M16031" s="112"/>
      <c r="N16031" s="84"/>
    </row>
    <row r="16032" spans="1:14" s="2" customFormat="1">
      <c r="A16032" s="83"/>
      <c r="H16032" s="83"/>
      <c r="K16032" s="82"/>
      <c r="M16032" s="112"/>
      <c r="N16032" s="84"/>
    </row>
    <row r="16033" spans="1:14" s="2" customFormat="1">
      <c r="A16033" s="83"/>
      <c r="H16033" s="83"/>
      <c r="K16033" s="82"/>
      <c r="M16033" s="112"/>
      <c r="N16033" s="84"/>
    </row>
    <row r="16034" spans="1:14" s="2" customFormat="1">
      <c r="A16034" s="83"/>
      <c r="H16034" s="83"/>
      <c r="K16034" s="82"/>
      <c r="M16034" s="112"/>
      <c r="N16034" s="84"/>
    </row>
    <row r="16035" spans="1:14" s="2" customFormat="1">
      <c r="A16035" s="83"/>
      <c r="H16035" s="83"/>
      <c r="K16035" s="82"/>
      <c r="M16035" s="112"/>
      <c r="N16035" s="84"/>
    </row>
    <row r="16036" spans="1:14" s="2" customFormat="1">
      <c r="A16036" s="83"/>
      <c r="H16036" s="83"/>
      <c r="K16036" s="82"/>
      <c r="M16036" s="112"/>
      <c r="N16036" s="84"/>
    </row>
    <row r="16037" spans="1:14" s="2" customFormat="1">
      <c r="A16037" s="83"/>
      <c r="H16037" s="83"/>
      <c r="K16037" s="82"/>
      <c r="M16037" s="112"/>
      <c r="N16037" s="84"/>
    </row>
    <row r="16038" spans="1:14" s="2" customFormat="1">
      <c r="A16038" s="83"/>
      <c r="H16038" s="83"/>
      <c r="K16038" s="82"/>
      <c r="M16038" s="112"/>
      <c r="N16038" s="84"/>
    </row>
    <row r="16039" spans="1:14" s="2" customFormat="1">
      <c r="A16039" s="83"/>
      <c r="H16039" s="83"/>
      <c r="K16039" s="82"/>
      <c r="M16039" s="112"/>
      <c r="N16039" s="84"/>
    </row>
    <row r="16040" spans="1:14" s="2" customFormat="1">
      <c r="A16040" s="83"/>
      <c r="H16040" s="83"/>
      <c r="K16040" s="82"/>
      <c r="M16040" s="112"/>
      <c r="N16040" s="84"/>
    </row>
    <row r="16041" spans="1:14" s="2" customFormat="1">
      <c r="A16041" s="83"/>
      <c r="H16041" s="83"/>
      <c r="K16041" s="82"/>
      <c r="M16041" s="112"/>
      <c r="N16041" s="84"/>
    </row>
    <row r="16042" spans="1:14" s="2" customFormat="1">
      <c r="A16042" s="83"/>
      <c r="H16042" s="83"/>
      <c r="K16042" s="82"/>
      <c r="M16042" s="112"/>
      <c r="N16042" s="84"/>
    </row>
    <row r="16043" spans="1:14" s="2" customFormat="1">
      <c r="A16043" s="83"/>
      <c r="H16043" s="83"/>
      <c r="K16043" s="82"/>
      <c r="M16043" s="112"/>
      <c r="N16043" s="84"/>
    </row>
    <row r="16044" spans="1:14" s="2" customFormat="1">
      <c r="A16044" s="83"/>
      <c r="H16044" s="83"/>
      <c r="K16044" s="82"/>
      <c r="M16044" s="112"/>
      <c r="N16044" s="84"/>
    </row>
    <row r="16045" spans="1:14" s="2" customFormat="1">
      <c r="A16045" s="83"/>
      <c r="H16045" s="83"/>
      <c r="K16045" s="82"/>
      <c r="M16045" s="112"/>
      <c r="N16045" s="84"/>
    </row>
    <row r="16046" spans="1:14" s="2" customFormat="1">
      <c r="A16046" s="83"/>
      <c r="H16046" s="83"/>
      <c r="K16046" s="82"/>
      <c r="M16046" s="112"/>
      <c r="N16046" s="84"/>
    </row>
    <row r="16047" spans="1:14" s="2" customFormat="1">
      <c r="A16047" s="83"/>
      <c r="H16047" s="83"/>
      <c r="K16047" s="82"/>
      <c r="M16047" s="112"/>
      <c r="N16047" s="84"/>
    </row>
    <row r="16048" spans="1:14" s="2" customFormat="1">
      <c r="A16048" s="83"/>
      <c r="H16048" s="83"/>
      <c r="K16048" s="82"/>
      <c r="M16048" s="112"/>
      <c r="N16048" s="84"/>
    </row>
    <row r="16049" spans="1:14" s="2" customFormat="1">
      <c r="A16049" s="83"/>
      <c r="H16049" s="83"/>
      <c r="K16049" s="82"/>
      <c r="M16049" s="112"/>
      <c r="N16049" s="84"/>
    </row>
    <row r="16050" spans="1:14" s="2" customFormat="1">
      <c r="A16050" s="83"/>
      <c r="H16050" s="83"/>
      <c r="K16050" s="82"/>
      <c r="M16050" s="112"/>
      <c r="N16050" s="84"/>
    </row>
    <row r="16051" spans="1:14" s="2" customFormat="1">
      <c r="A16051" s="83"/>
      <c r="H16051" s="83"/>
      <c r="K16051" s="82"/>
      <c r="M16051" s="112"/>
      <c r="N16051" s="84"/>
    </row>
    <row r="16052" spans="1:14" s="2" customFormat="1">
      <c r="A16052" s="83"/>
      <c r="H16052" s="83"/>
      <c r="K16052" s="82"/>
      <c r="M16052" s="112"/>
      <c r="N16052" s="84"/>
    </row>
    <row r="16053" spans="1:14" s="2" customFormat="1">
      <c r="A16053" s="83"/>
      <c r="H16053" s="83"/>
      <c r="K16053" s="82"/>
      <c r="M16053" s="112"/>
      <c r="N16053" s="84"/>
    </row>
    <row r="16054" spans="1:14" s="2" customFormat="1">
      <c r="A16054" s="83"/>
      <c r="H16054" s="83"/>
      <c r="K16054" s="82"/>
      <c r="M16054" s="112"/>
      <c r="N16054" s="84"/>
    </row>
    <row r="16055" spans="1:14" s="2" customFormat="1">
      <c r="A16055" s="83"/>
      <c r="H16055" s="83"/>
      <c r="K16055" s="82"/>
      <c r="M16055" s="112"/>
      <c r="N16055" s="84"/>
    </row>
    <row r="16056" spans="1:14" s="2" customFormat="1">
      <c r="A16056" s="83"/>
      <c r="H16056" s="83"/>
      <c r="K16056" s="82"/>
      <c r="M16056" s="112"/>
      <c r="N16056" s="84"/>
    </row>
    <row r="16057" spans="1:14" s="2" customFormat="1">
      <c r="A16057" s="83"/>
      <c r="H16057" s="83"/>
      <c r="K16057" s="82"/>
      <c r="M16057" s="112"/>
      <c r="N16057" s="84"/>
    </row>
    <row r="16058" spans="1:14" s="2" customFormat="1">
      <c r="A16058" s="83"/>
      <c r="H16058" s="83"/>
      <c r="K16058" s="82"/>
      <c r="M16058" s="112"/>
      <c r="N16058" s="84"/>
    </row>
    <row r="16059" spans="1:14" s="2" customFormat="1">
      <c r="A16059" s="83"/>
      <c r="H16059" s="83"/>
      <c r="K16059" s="82"/>
      <c r="M16059" s="112"/>
      <c r="N16059" s="84"/>
    </row>
    <row r="16060" spans="1:14" s="2" customFormat="1">
      <c r="A16060" s="83"/>
      <c r="H16060" s="83"/>
      <c r="K16060" s="82"/>
      <c r="M16060" s="112"/>
      <c r="N16060" s="84"/>
    </row>
    <row r="16061" spans="1:14" s="2" customFormat="1">
      <c r="A16061" s="83"/>
      <c r="H16061" s="83"/>
      <c r="K16061" s="82"/>
      <c r="M16061" s="112"/>
      <c r="N16061" s="84"/>
    </row>
    <row r="16062" spans="1:14" s="2" customFormat="1">
      <c r="A16062" s="83"/>
      <c r="H16062" s="83"/>
      <c r="K16062" s="82"/>
      <c r="M16062" s="112"/>
      <c r="N16062" s="84"/>
    </row>
    <row r="16063" spans="1:14" s="2" customFormat="1">
      <c r="A16063" s="83"/>
      <c r="H16063" s="83"/>
      <c r="K16063" s="82"/>
      <c r="M16063" s="112"/>
      <c r="N16063" s="84"/>
    </row>
    <row r="16064" spans="1:14" s="2" customFormat="1">
      <c r="A16064" s="83"/>
      <c r="H16064" s="83"/>
      <c r="K16064" s="82"/>
      <c r="M16064" s="112"/>
      <c r="N16064" s="84"/>
    </row>
    <row r="16065" spans="1:14" s="2" customFormat="1">
      <c r="A16065" s="83"/>
      <c r="H16065" s="83"/>
      <c r="K16065" s="82"/>
      <c r="M16065" s="112"/>
      <c r="N16065" s="84"/>
    </row>
    <row r="16066" spans="1:14" s="2" customFormat="1">
      <c r="A16066" s="83"/>
      <c r="H16066" s="83"/>
      <c r="K16066" s="82"/>
      <c r="M16066" s="112"/>
      <c r="N16066" s="84"/>
    </row>
    <row r="16067" spans="1:14" s="2" customFormat="1">
      <c r="A16067" s="83"/>
      <c r="H16067" s="83"/>
      <c r="K16067" s="82"/>
      <c r="M16067" s="112"/>
      <c r="N16067" s="84"/>
    </row>
    <row r="16068" spans="1:14" s="2" customFormat="1">
      <c r="A16068" s="83"/>
      <c r="H16068" s="83"/>
      <c r="K16068" s="82"/>
      <c r="M16068" s="112"/>
      <c r="N16068" s="84"/>
    </row>
    <row r="16069" spans="1:14" s="2" customFormat="1">
      <c r="A16069" s="83"/>
      <c r="H16069" s="83"/>
      <c r="K16069" s="82"/>
      <c r="M16069" s="112"/>
      <c r="N16069" s="84"/>
    </row>
    <row r="16070" spans="1:14" s="2" customFormat="1">
      <c r="A16070" s="83"/>
      <c r="H16070" s="83"/>
      <c r="K16070" s="82"/>
      <c r="M16070" s="112"/>
      <c r="N16070" s="84"/>
    </row>
    <row r="16071" spans="1:14" s="2" customFormat="1">
      <c r="A16071" s="83"/>
      <c r="H16071" s="83"/>
      <c r="K16071" s="82"/>
      <c r="M16071" s="112"/>
      <c r="N16071" s="84"/>
    </row>
    <row r="16072" spans="1:14" s="2" customFormat="1">
      <c r="A16072" s="83"/>
      <c r="H16072" s="83"/>
      <c r="K16072" s="82"/>
      <c r="M16072" s="112"/>
      <c r="N16072" s="84"/>
    </row>
    <row r="16073" spans="1:14" s="2" customFormat="1">
      <c r="A16073" s="83"/>
      <c r="H16073" s="83"/>
      <c r="K16073" s="82"/>
      <c r="M16073" s="112"/>
      <c r="N16073" s="84"/>
    </row>
    <row r="16074" spans="1:14" s="2" customFormat="1">
      <c r="A16074" s="83"/>
      <c r="H16074" s="83"/>
      <c r="K16074" s="82"/>
      <c r="M16074" s="112"/>
      <c r="N16074" s="84"/>
    </row>
    <row r="16075" spans="1:14" s="2" customFormat="1">
      <c r="A16075" s="83"/>
      <c r="H16075" s="83"/>
      <c r="K16075" s="82"/>
      <c r="M16075" s="112"/>
      <c r="N16075" s="84"/>
    </row>
    <row r="16076" spans="1:14" s="2" customFormat="1">
      <c r="A16076" s="83"/>
      <c r="H16076" s="83"/>
      <c r="K16076" s="82"/>
      <c r="M16076" s="112"/>
      <c r="N16076" s="84"/>
    </row>
    <row r="16077" spans="1:14" s="2" customFormat="1">
      <c r="A16077" s="83"/>
      <c r="H16077" s="83"/>
      <c r="K16077" s="82"/>
      <c r="M16077" s="112"/>
      <c r="N16077" s="84"/>
    </row>
    <row r="16078" spans="1:14" s="2" customFormat="1">
      <c r="A16078" s="83"/>
      <c r="H16078" s="83"/>
      <c r="K16078" s="82"/>
      <c r="M16078" s="112"/>
      <c r="N16078" s="84"/>
    </row>
    <row r="16079" spans="1:14" s="2" customFormat="1">
      <c r="A16079" s="83"/>
      <c r="H16079" s="83"/>
      <c r="K16079" s="82"/>
      <c r="M16079" s="112"/>
      <c r="N16079" s="84"/>
    </row>
    <row r="16080" spans="1:14" s="2" customFormat="1">
      <c r="A16080" s="83"/>
      <c r="H16080" s="83"/>
      <c r="K16080" s="82"/>
      <c r="M16080" s="112"/>
      <c r="N16080" s="84"/>
    </row>
    <row r="16081" spans="1:14" s="2" customFormat="1">
      <c r="A16081" s="83"/>
      <c r="H16081" s="83"/>
      <c r="K16081" s="82"/>
      <c r="M16081" s="112"/>
      <c r="N16081" s="84"/>
    </row>
    <row r="16082" spans="1:14" s="2" customFormat="1">
      <c r="A16082" s="83"/>
      <c r="H16082" s="83"/>
      <c r="K16082" s="82"/>
      <c r="M16082" s="112"/>
      <c r="N16082" s="84"/>
    </row>
    <row r="16083" spans="1:14" s="2" customFormat="1">
      <c r="A16083" s="83"/>
      <c r="H16083" s="83"/>
      <c r="K16083" s="82"/>
      <c r="M16083" s="112"/>
      <c r="N16083" s="84"/>
    </row>
    <row r="16084" spans="1:14" s="2" customFormat="1">
      <c r="A16084" s="83"/>
      <c r="H16084" s="83"/>
      <c r="K16084" s="82"/>
      <c r="M16084" s="112"/>
      <c r="N16084" s="84"/>
    </row>
    <row r="16085" spans="1:14" s="2" customFormat="1">
      <c r="A16085" s="83"/>
      <c r="H16085" s="83"/>
      <c r="K16085" s="82"/>
      <c r="M16085" s="112"/>
      <c r="N16085" s="84"/>
    </row>
    <row r="16086" spans="1:14" s="2" customFormat="1">
      <c r="A16086" s="83"/>
      <c r="H16086" s="83"/>
      <c r="K16086" s="82"/>
      <c r="M16086" s="112"/>
      <c r="N16086" s="84"/>
    </row>
    <row r="16087" spans="1:14" s="2" customFormat="1">
      <c r="A16087" s="83"/>
      <c r="H16087" s="83"/>
      <c r="K16087" s="82"/>
      <c r="M16087" s="112"/>
      <c r="N16087" s="84"/>
    </row>
    <row r="16088" spans="1:14" s="2" customFormat="1">
      <c r="A16088" s="83"/>
      <c r="H16088" s="83"/>
      <c r="K16088" s="82"/>
      <c r="M16088" s="112"/>
      <c r="N16088" s="84"/>
    </row>
    <row r="16089" spans="1:14" s="2" customFormat="1">
      <c r="A16089" s="83"/>
      <c r="H16089" s="83"/>
      <c r="K16089" s="82"/>
      <c r="M16089" s="112"/>
      <c r="N16089" s="84"/>
    </row>
    <row r="16090" spans="1:14" s="2" customFormat="1">
      <c r="A16090" s="83"/>
      <c r="H16090" s="83"/>
      <c r="K16090" s="82"/>
      <c r="M16090" s="112"/>
      <c r="N16090" s="84"/>
    </row>
    <row r="16091" spans="1:14" s="2" customFormat="1">
      <c r="A16091" s="83"/>
      <c r="H16091" s="83"/>
      <c r="K16091" s="82"/>
      <c r="M16091" s="112"/>
      <c r="N16091" s="84"/>
    </row>
    <row r="16092" spans="1:14" s="2" customFormat="1">
      <c r="A16092" s="83"/>
      <c r="H16092" s="83"/>
      <c r="K16092" s="82"/>
      <c r="M16092" s="112"/>
      <c r="N16092" s="84"/>
    </row>
    <row r="16093" spans="1:14" s="2" customFormat="1">
      <c r="A16093" s="83"/>
      <c r="H16093" s="83"/>
      <c r="K16093" s="82"/>
      <c r="M16093" s="112"/>
      <c r="N16093" s="84"/>
    </row>
    <row r="16094" spans="1:14" s="2" customFormat="1">
      <c r="A16094" s="83"/>
      <c r="H16094" s="83"/>
      <c r="K16094" s="82"/>
      <c r="M16094" s="112"/>
      <c r="N16094" s="84"/>
    </row>
    <row r="16095" spans="1:14" s="2" customFormat="1">
      <c r="A16095" s="83"/>
      <c r="H16095" s="83"/>
      <c r="K16095" s="82"/>
      <c r="M16095" s="112"/>
      <c r="N16095" s="84"/>
    </row>
    <row r="16096" spans="1:14" s="2" customFormat="1">
      <c r="A16096" s="83"/>
      <c r="H16096" s="83"/>
      <c r="K16096" s="82"/>
      <c r="M16096" s="112"/>
      <c r="N16096" s="84"/>
    </row>
    <row r="16097" spans="1:14" s="2" customFormat="1">
      <c r="A16097" s="83"/>
      <c r="H16097" s="83"/>
      <c r="K16097" s="82"/>
      <c r="M16097" s="112"/>
      <c r="N16097" s="84"/>
    </row>
    <row r="16098" spans="1:14" s="2" customFormat="1">
      <c r="A16098" s="83"/>
      <c r="H16098" s="83"/>
      <c r="K16098" s="82"/>
      <c r="M16098" s="112"/>
      <c r="N16098" s="84"/>
    </row>
    <row r="16099" spans="1:14" s="2" customFormat="1">
      <c r="A16099" s="83"/>
      <c r="H16099" s="83"/>
      <c r="K16099" s="82"/>
      <c r="M16099" s="112"/>
      <c r="N16099" s="84"/>
    </row>
    <row r="16100" spans="1:14" s="2" customFormat="1">
      <c r="A16100" s="83"/>
      <c r="H16100" s="83"/>
      <c r="K16100" s="82"/>
      <c r="M16100" s="112"/>
      <c r="N16100" s="84"/>
    </row>
    <row r="16101" spans="1:14" s="2" customFormat="1">
      <c r="A16101" s="83"/>
      <c r="H16101" s="83"/>
      <c r="K16101" s="82"/>
      <c r="M16101" s="112"/>
      <c r="N16101" s="84"/>
    </row>
    <row r="16102" spans="1:14" s="2" customFormat="1">
      <c r="A16102" s="83"/>
      <c r="H16102" s="83"/>
      <c r="K16102" s="82"/>
      <c r="M16102" s="112"/>
      <c r="N16102" s="84"/>
    </row>
    <row r="16103" spans="1:14" s="2" customFormat="1">
      <c r="A16103" s="83"/>
      <c r="H16103" s="83"/>
      <c r="K16103" s="82"/>
      <c r="M16103" s="112"/>
      <c r="N16103" s="84"/>
    </row>
    <row r="16104" spans="1:14" s="2" customFormat="1">
      <c r="A16104" s="83"/>
      <c r="H16104" s="83"/>
      <c r="K16104" s="82"/>
      <c r="M16104" s="112"/>
      <c r="N16104" s="84"/>
    </row>
    <row r="16105" spans="1:14" s="2" customFormat="1">
      <c r="A16105" s="83"/>
      <c r="H16105" s="83"/>
      <c r="K16105" s="82"/>
      <c r="M16105" s="112"/>
      <c r="N16105" s="84"/>
    </row>
    <row r="16106" spans="1:14" s="2" customFormat="1">
      <c r="A16106" s="83"/>
      <c r="H16106" s="83"/>
      <c r="K16106" s="82"/>
      <c r="M16106" s="112"/>
      <c r="N16106" s="84"/>
    </row>
    <row r="16107" spans="1:14" s="2" customFormat="1">
      <c r="A16107" s="83"/>
      <c r="H16107" s="83"/>
      <c r="K16107" s="82"/>
      <c r="M16107" s="112"/>
      <c r="N16107" s="84"/>
    </row>
    <row r="16108" spans="1:14" s="2" customFormat="1">
      <c r="A16108" s="83"/>
      <c r="H16108" s="83"/>
      <c r="K16108" s="82"/>
      <c r="M16108" s="112"/>
      <c r="N16108" s="84"/>
    </row>
    <row r="16109" spans="1:14" s="2" customFormat="1">
      <c r="A16109" s="83"/>
      <c r="H16109" s="83"/>
      <c r="K16109" s="82"/>
      <c r="M16109" s="112"/>
      <c r="N16109" s="84"/>
    </row>
    <row r="16110" spans="1:14" s="2" customFormat="1">
      <c r="A16110" s="83"/>
      <c r="H16110" s="83"/>
      <c r="K16110" s="82"/>
      <c r="M16110" s="112"/>
      <c r="N16110" s="84"/>
    </row>
    <row r="16111" spans="1:14" s="2" customFormat="1">
      <c r="A16111" s="83"/>
      <c r="H16111" s="83"/>
      <c r="K16111" s="82"/>
      <c r="M16111" s="112"/>
      <c r="N16111" s="84"/>
    </row>
    <row r="16112" spans="1:14" s="2" customFormat="1">
      <c r="A16112" s="83"/>
      <c r="H16112" s="83"/>
      <c r="K16112" s="82"/>
      <c r="M16112" s="112"/>
      <c r="N16112" s="84"/>
    </row>
    <row r="16113" spans="1:14" s="2" customFormat="1">
      <c r="A16113" s="83"/>
      <c r="H16113" s="83"/>
      <c r="K16113" s="82"/>
      <c r="M16113" s="112"/>
      <c r="N16113" s="84"/>
    </row>
    <row r="16114" spans="1:14" s="2" customFormat="1">
      <c r="A16114" s="83"/>
      <c r="H16114" s="83"/>
      <c r="K16114" s="82"/>
      <c r="M16114" s="112"/>
      <c r="N16114" s="84"/>
    </row>
    <row r="16115" spans="1:14" s="2" customFormat="1">
      <c r="A16115" s="83"/>
      <c r="H16115" s="83"/>
      <c r="K16115" s="82"/>
      <c r="M16115" s="112"/>
      <c r="N16115" s="84"/>
    </row>
    <row r="16116" spans="1:14" s="2" customFormat="1">
      <c r="A16116" s="83"/>
      <c r="H16116" s="83"/>
      <c r="K16116" s="82"/>
      <c r="M16116" s="112"/>
      <c r="N16116" s="84"/>
    </row>
    <row r="16117" spans="1:14" s="2" customFormat="1">
      <c r="A16117" s="83"/>
      <c r="H16117" s="83"/>
      <c r="K16117" s="82"/>
      <c r="M16117" s="112"/>
      <c r="N16117" s="84"/>
    </row>
    <row r="16118" spans="1:14" s="2" customFormat="1">
      <c r="A16118" s="83"/>
      <c r="H16118" s="83"/>
      <c r="K16118" s="82"/>
      <c r="M16118" s="112"/>
      <c r="N16118" s="84"/>
    </row>
    <row r="16119" spans="1:14" s="2" customFormat="1">
      <c r="A16119" s="83"/>
      <c r="H16119" s="83"/>
      <c r="K16119" s="82"/>
      <c r="M16119" s="112"/>
      <c r="N16119" s="84"/>
    </row>
    <row r="16120" spans="1:14" s="2" customFormat="1">
      <c r="A16120" s="83"/>
      <c r="H16120" s="83"/>
      <c r="K16120" s="82"/>
      <c r="M16120" s="112"/>
      <c r="N16120" s="84"/>
    </row>
    <row r="16121" spans="1:14" s="2" customFormat="1">
      <c r="A16121" s="83"/>
      <c r="H16121" s="83"/>
      <c r="K16121" s="82"/>
      <c r="M16121" s="112"/>
      <c r="N16121" s="84"/>
    </row>
    <row r="16122" spans="1:14" s="2" customFormat="1">
      <c r="A16122" s="83"/>
      <c r="H16122" s="83"/>
      <c r="K16122" s="82"/>
      <c r="M16122" s="112"/>
      <c r="N16122" s="84"/>
    </row>
    <row r="16123" spans="1:14" s="2" customFormat="1">
      <c r="A16123" s="83"/>
      <c r="H16123" s="83"/>
      <c r="K16123" s="82"/>
      <c r="M16123" s="112"/>
      <c r="N16123" s="84"/>
    </row>
    <row r="16124" spans="1:14" s="2" customFormat="1">
      <c r="A16124" s="83"/>
      <c r="H16124" s="83"/>
      <c r="K16124" s="82"/>
      <c r="M16124" s="112"/>
      <c r="N16124" s="84"/>
    </row>
    <row r="16125" spans="1:14" s="2" customFormat="1">
      <c r="A16125" s="83"/>
      <c r="H16125" s="83"/>
      <c r="K16125" s="82"/>
      <c r="M16125" s="112"/>
      <c r="N16125" s="84"/>
    </row>
    <row r="16126" spans="1:14" s="2" customFormat="1">
      <c r="A16126" s="83"/>
      <c r="H16126" s="83"/>
      <c r="K16126" s="82"/>
      <c r="M16126" s="112"/>
      <c r="N16126" s="84"/>
    </row>
    <row r="16127" spans="1:14" s="2" customFormat="1">
      <c r="A16127" s="83"/>
      <c r="H16127" s="83"/>
      <c r="K16127" s="82"/>
      <c r="M16127" s="112"/>
      <c r="N16127" s="84"/>
    </row>
    <row r="16128" spans="1:14" s="2" customFormat="1">
      <c r="A16128" s="83"/>
      <c r="H16128" s="83"/>
      <c r="K16128" s="82"/>
      <c r="M16128" s="112"/>
      <c r="N16128" s="84"/>
    </row>
    <row r="16129" spans="1:14" s="2" customFormat="1">
      <c r="A16129" s="83"/>
      <c r="H16129" s="83"/>
      <c r="K16129" s="82"/>
      <c r="M16129" s="112"/>
      <c r="N16129" s="84"/>
    </row>
    <row r="16130" spans="1:14" s="2" customFormat="1">
      <c r="A16130" s="83"/>
      <c r="H16130" s="83"/>
      <c r="K16130" s="82"/>
      <c r="M16130" s="112"/>
      <c r="N16130" s="84"/>
    </row>
    <row r="16131" spans="1:14" s="2" customFormat="1">
      <c r="A16131" s="83"/>
      <c r="H16131" s="83"/>
      <c r="K16131" s="82"/>
      <c r="M16131" s="112"/>
      <c r="N16131" s="84"/>
    </row>
    <row r="16132" spans="1:14" s="2" customFormat="1">
      <c r="A16132" s="83"/>
      <c r="H16132" s="83"/>
      <c r="K16132" s="82"/>
      <c r="M16132" s="112"/>
      <c r="N16132" s="84"/>
    </row>
    <row r="16133" spans="1:14" s="2" customFormat="1">
      <c r="A16133" s="83"/>
      <c r="H16133" s="83"/>
      <c r="K16133" s="82"/>
      <c r="M16133" s="112"/>
      <c r="N16133" s="84"/>
    </row>
    <row r="16134" spans="1:14" s="2" customFormat="1">
      <c r="A16134" s="83"/>
      <c r="H16134" s="83"/>
      <c r="K16134" s="82"/>
      <c r="M16134" s="112"/>
      <c r="N16134" s="84"/>
    </row>
    <row r="16135" spans="1:14" s="2" customFormat="1">
      <c r="A16135" s="83"/>
      <c r="H16135" s="83"/>
      <c r="K16135" s="82"/>
      <c r="M16135" s="112"/>
      <c r="N16135" s="84"/>
    </row>
    <row r="16136" spans="1:14" s="2" customFormat="1">
      <c r="A16136" s="83"/>
      <c r="H16136" s="83"/>
      <c r="K16136" s="82"/>
      <c r="M16136" s="112"/>
      <c r="N16136" s="84"/>
    </row>
    <row r="16137" spans="1:14" s="2" customFormat="1">
      <c r="A16137" s="83"/>
      <c r="H16137" s="83"/>
      <c r="K16137" s="82"/>
      <c r="M16137" s="112"/>
      <c r="N16137" s="84"/>
    </row>
    <row r="16138" spans="1:14" s="2" customFormat="1">
      <c r="A16138" s="83"/>
      <c r="H16138" s="83"/>
      <c r="K16138" s="82"/>
      <c r="M16138" s="112"/>
      <c r="N16138" s="84"/>
    </row>
    <row r="16139" spans="1:14" s="2" customFormat="1">
      <c r="A16139" s="83"/>
      <c r="H16139" s="83"/>
      <c r="K16139" s="82"/>
      <c r="M16139" s="112"/>
      <c r="N16139" s="84"/>
    </row>
    <row r="16140" spans="1:14" s="2" customFormat="1">
      <c r="A16140" s="83"/>
      <c r="H16140" s="83"/>
      <c r="K16140" s="82"/>
      <c r="M16140" s="112"/>
      <c r="N16140" s="84"/>
    </row>
    <row r="16141" spans="1:14" s="2" customFormat="1">
      <c r="A16141" s="83"/>
      <c r="H16141" s="83"/>
      <c r="K16141" s="82"/>
      <c r="M16141" s="112"/>
      <c r="N16141" s="84"/>
    </row>
    <row r="16142" spans="1:14" s="2" customFormat="1">
      <c r="A16142" s="83"/>
      <c r="H16142" s="83"/>
      <c r="K16142" s="82"/>
      <c r="M16142" s="112"/>
      <c r="N16142" s="84"/>
    </row>
    <row r="16143" spans="1:14" s="2" customFormat="1">
      <c r="A16143" s="83"/>
      <c r="H16143" s="83"/>
      <c r="K16143" s="82"/>
      <c r="M16143" s="112"/>
      <c r="N16143" s="84"/>
    </row>
    <row r="16144" spans="1:14" s="2" customFormat="1">
      <c r="A16144" s="83"/>
      <c r="H16144" s="83"/>
      <c r="K16144" s="82"/>
      <c r="M16144" s="112"/>
      <c r="N16144" s="84"/>
    </row>
    <row r="16145" spans="1:14" s="2" customFormat="1">
      <c r="A16145" s="83"/>
      <c r="H16145" s="83"/>
      <c r="K16145" s="82"/>
      <c r="M16145" s="112"/>
      <c r="N16145" s="84"/>
    </row>
    <row r="16146" spans="1:14" s="2" customFormat="1">
      <c r="A16146" s="83"/>
      <c r="H16146" s="83"/>
      <c r="K16146" s="82"/>
      <c r="M16146" s="112"/>
      <c r="N16146" s="84"/>
    </row>
    <row r="16147" spans="1:14" s="2" customFormat="1">
      <c r="A16147" s="83"/>
      <c r="H16147" s="83"/>
      <c r="K16147" s="82"/>
      <c r="M16147" s="112"/>
      <c r="N16147" s="84"/>
    </row>
    <row r="16148" spans="1:14" s="2" customFormat="1">
      <c r="A16148" s="83"/>
      <c r="H16148" s="83"/>
      <c r="K16148" s="82"/>
      <c r="M16148" s="112"/>
      <c r="N16148" s="84"/>
    </row>
    <row r="16149" spans="1:14" s="2" customFormat="1">
      <c r="A16149" s="83"/>
      <c r="H16149" s="83"/>
      <c r="K16149" s="82"/>
      <c r="M16149" s="112"/>
      <c r="N16149" s="84"/>
    </row>
    <row r="16150" spans="1:14" s="2" customFormat="1">
      <c r="A16150" s="83"/>
      <c r="H16150" s="83"/>
      <c r="K16150" s="82"/>
      <c r="M16150" s="112"/>
      <c r="N16150" s="84"/>
    </row>
    <row r="16151" spans="1:14" s="2" customFormat="1">
      <c r="A16151" s="83"/>
      <c r="H16151" s="83"/>
      <c r="K16151" s="82"/>
      <c r="M16151" s="112"/>
      <c r="N16151" s="84"/>
    </row>
    <row r="16152" spans="1:14" s="2" customFormat="1">
      <c r="A16152" s="83"/>
      <c r="H16152" s="83"/>
      <c r="K16152" s="82"/>
      <c r="M16152" s="112"/>
      <c r="N16152" s="84"/>
    </row>
    <row r="16153" spans="1:14" s="2" customFormat="1">
      <c r="A16153" s="83"/>
      <c r="H16153" s="83"/>
      <c r="K16153" s="82"/>
      <c r="M16153" s="112"/>
      <c r="N16153" s="84"/>
    </row>
    <row r="16154" spans="1:14" s="2" customFormat="1">
      <c r="A16154" s="83"/>
      <c r="H16154" s="83"/>
      <c r="K16154" s="82"/>
      <c r="M16154" s="112"/>
      <c r="N16154" s="84"/>
    </row>
    <row r="16155" spans="1:14" s="2" customFormat="1">
      <c r="A16155" s="83"/>
      <c r="H16155" s="83"/>
      <c r="K16155" s="82"/>
      <c r="M16155" s="112"/>
      <c r="N16155" s="84"/>
    </row>
    <row r="16156" spans="1:14" s="2" customFormat="1">
      <c r="A16156" s="83"/>
      <c r="H16156" s="83"/>
      <c r="K16156" s="82"/>
      <c r="M16156" s="112"/>
      <c r="N16156" s="84"/>
    </row>
    <row r="16157" spans="1:14" s="2" customFormat="1">
      <c r="A16157" s="83"/>
      <c r="H16157" s="83"/>
      <c r="K16157" s="82"/>
      <c r="M16157" s="112"/>
      <c r="N16157" s="84"/>
    </row>
    <row r="16158" spans="1:14" s="2" customFormat="1">
      <c r="A16158" s="83"/>
      <c r="H16158" s="83"/>
      <c r="K16158" s="82"/>
      <c r="M16158" s="112"/>
      <c r="N16158" s="84"/>
    </row>
    <row r="16159" spans="1:14" s="2" customFormat="1">
      <c r="A16159" s="83"/>
      <c r="H16159" s="83"/>
      <c r="K16159" s="82"/>
      <c r="M16159" s="112"/>
      <c r="N16159" s="84"/>
    </row>
    <row r="16160" spans="1:14" s="2" customFormat="1">
      <c r="A16160" s="83"/>
      <c r="H16160" s="83"/>
      <c r="K16160" s="82"/>
      <c r="M16160" s="112"/>
      <c r="N16160" s="84"/>
    </row>
    <row r="16161" spans="1:14" s="2" customFormat="1">
      <c r="A16161" s="83"/>
      <c r="H16161" s="83"/>
      <c r="K16161" s="82"/>
      <c r="M16161" s="112"/>
      <c r="N16161" s="84"/>
    </row>
    <row r="16162" spans="1:14" s="2" customFormat="1">
      <c r="A16162" s="83"/>
      <c r="H16162" s="83"/>
      <c r="K16162" s="82"/>
      <c r="M16162" s="112"/>
      <c r="N16162" s="84"/>
    </row>
    <row r="16163" spans="1:14" s="2" customFormat="1">
      <c r="A16163" s="83"/>
      <c r="H16163" s="83"/>
      <c r="K16163" s="82"/>
      <c r="M16163" s="112"/>
      <c r="N16163" s="84"/>
    </row>
    <row r="16164" spans="1:14" s="2" customFormat="1">
      <c r="A16164" s="83"/>
      <c r="H16164" s="83"/>
      <c r="K16164" s="82"/>
      <c r="M16164" s="112"/>
      <c r="N16164" s="84"/>
    </row>
    <row r="16165" spans="1:14" s="2" customFormat="1">
      <c r="A16165" s="83"/>
      <c r="H16165" s="83"/>
      <c r="K16165" s="82"/>
      <c r="M16165" s="112"/>
      <c r="N16165" s="84"/>
    </row>
    <row r="16166" spans="1:14" s="2" customFormat="1">
      <c r="A16166" s="83"/>
      <c r="H16166" s="83"/>
      <c r="K16166" s="82"/>
      <c r="M16166" s="112"/>
      <c r="N16166" s="84"/>
    </row>
    <row r="16167" spans="1:14" s="2" customFormat="1">
      <c r="A16167" s="83"/>
      <c r="H16167" s="83"/>
      <c r="K16167" s="82"/>
      <c r="M16167" s="112"/>
      <c r="N16167" s="84"/>
    </row>
    <row r="16168" spans="1:14" s="2" customFormat="1">
      <c r="A16168" s="83"/>
      <c r="H16168" s="83"/>
      <c r="K16168" s="82"/>
      <c r="M16168" s="112"/>
      <c r="N16168" s="84"/>
    </row>
    <row r="16169" spans="1:14" s="2" customFormat="1">
      <c r="A16169" s="83"/>
      <c r="H16169" s="83"/>
      <c r="K16169" s="82"/>
      <c r="M16169" s="112"/>
      <c r="N16169" s="84"/>
    </row>
    <row r="16170" spans="1:14" s="2" customFormat="1">
      <c r="A16170" s="83"/>
      <c r="H16170" s="83"/>
      <c r="K16170" s="82"/>
      <c r="M16170" s="112"/>
      <c r="N16170" s="84"/>
    </row>
    <row r="16171" spans="1:14" s="2" customFormat="1">
      <c r="A16171" s="83"/>
      <c r="H16171" s="83"/>
      <c r="K16171" s="82"/>
      <c r="M16171" s="112"/>
      <c r="N16171" s="84"/>
    </row>
    <row r="16172" spans="1:14" s="2" customFormat="1">
      <c r="A16172" s="83"/>
      <c r="H16172" s="83"/>
      <c r="K16172" s="82"/>
      <c r="M16172" s="112"/>
      <c r="N16172" s="84"/>
    </row>
    <row r="16173" spans="1:14" s="2" customFormat="1">
      <c r="A16173" s="83"/>
      <c r="H16173" s="83"/>
      <c r="K16173" s="82"/>
      <c r="M16173" s="112"/>
      <c r="N16173" s="84"/>
    </row>
    <row r="16174" spans="1:14" s="2" customFormat="1">
      <c r="A16174" s="83"/>
      <c r="H16174" s="83"/>
      <c r="K16174" s="82"/>
      <c r="M16174" s="112"/>
      <c r="N16174" s="84"/>
    </row>
    <row r="16175" spans="1:14" s="2" customFormat="1">
      <c r="A16175" s="83"/>
      <c r="H16175" s="83"/>
      <c r="K16175" s="82"/>
      <c r="M16175" s="112"/>
      <c r="N16175" s="84"/>
    </row>
    <row r="16176" spans="1:14" s="2" customFormat="1">
      <c r="A16176" s="83"/>
      <c r="H16176" s="83"/>
      <c r="K16176" s="82"/>
      <c r="M16176" s="112"/>
      <c r="N16176" s="84"/>
    </row>
    <row r="16177" spans="1:14" s="2" customFormat="1">
      <c r="A16177" s="83"/>
      <c r="H16177" s="83"/>
      <c r="K16177" s="82"/>
      <c r="M16177" s="112"/>
      <c r="N16177" s="84"/>
    </row>
    <row r="16178" spans="1:14" s="2" customFormat="1">
      <c r="A16178" s="83"/>
      <c r="H16178" s="83"/>
      <c r="K16178" s="82"/>
      <c r="M16178" s="112"/>
      <c r="N16178" s="84"/>
    </row>
    <row r="16179" spans="1:14" s="2" customFormat="1">
      <c r="A16179" s="83"/>
      <c r="H16179" s="83"/>
      <c r="K16179" s="82"/>
      <c r="M16179" s="112"/>
      <c r="N16179" s="84"/>
    </row>
    <row r="16180" spans="1:14" s="2" customFormat="1">
      <c r="A16180" s="83"/>
      <c r="H16180" s="83"/>
      <c r="K16180" s="82"/>
      <c r="M16180" s="112"/>
      <c r="N16180" s="84"/>
    </row>
    <row r="16181" spans="1:14" s="2" customFormat="1">
      <c r="A16181" s="83"/>
      <c r="H16181" s="83"/>
      <c r="K16181" s="82"/>
      <c r="M16181" s="112"/>
      <c r="N16181" s="84"/>
    </row>
    <row r="16182" spans="1:14" s="2" customFormat="1">
      <c r="A16182" s="83"/>
      <c r="H16182" s="83"/>
      <c r="K16182" s="82"/>
      <c r="M16182" s="112"/>
      <c r="N16182" s="84"/>
    </row>
    <row r="16183" spans="1:14" s="2" customFormat="1">
      <c r="A16183" s="83"/>
      <c r="H16183" s="83"/>
      <c r="K16183" s="82"/>
      <c r="M16183" s="112"/>
      <c r="N16183" s="84"/>
    </row>
    <row r="16184" spans="1:14" s="2" customFormat="1">
      <c r="A16184" s="83"/>
      <c r="H16184" s="83"/>
      <c r="K16184" s="82"/>
      <c r="M16184" s="112"/>
      <c r="N16184" s="84"/>
    </row>
    <row r="16185" spans="1:14" s="2" customFormat="1">
      <c r="A16185" s="83"/>
      <c r="H16185" s="83"/>
      <c r="K16185" s="82"/>
      <c r="M16185" s="112"/>
      <c r="N16185" s="84"/>
    </row>
    <row r="16186" spans="1:14" s="2" customFormat="1">
      <c r="A16186" s="83"/>
      <c r="H16186" s="83"/>
      <c r="K16186" s="82"/>
      <c r="M16186" s="112"/>
      <c r="N16186" s="84"/>
    </row>
    <row r="16187" spans="1:14" s="2" customFormat="1">
      <c r="A16187" s="83"/>
      <c r="H16187" s="83"/>
      <c r="K16187" s="82"/>
      <c r="M16187" s="112"/>
      <c r="N16187" s="84"/>
    </row>
    <row r="16188" spans="1:14" s="2" customFormat="1">
      <c r="A16188" s="83"/>
      <c r="H16188" s="83"/>
      <c r="K16188" s="82"/>
      <c r="M16188" s="112"/>
      <c r="N16188" s="84"/>
    </row>
    <row r="16189" spans="1:14" s="2" customFormat="1">
      <c r="A16189" s="83"/>
      <c r="H16189" s="83"/>
      <c r="K16189" s="82"/>
      <c r="M16189" s="112"/>
      <c r="N16189" s="84"/>
    </row>
    <row r="16190" spans="1:14" s="2" customFormat="1">
      <c r="A16190" s="83"/>
      <c r="H16190" s="83"/>
      <c r="K16190" s="82"/>
      <c r="M16190" s="112"/>
      <c r="N16190" s="84"/>
    </row>
    <row r="16191" spans="1:14" s="2" customFormat="1">
      <c r="A16191" s="83"/>
      <c r="H16191" s="83"/>
      <c r="K16191" s="82"/>
      <c r="M16191" s="112"/>
      <c r="N16191" s="84"/>
    </row>
    <row r="16192" spans="1:14" s="2" customFormat="1">
      <c r="A16192" s="83"/>
      <c r="H16192" s="83"/>
      <c r="K16192" s="82"/>
      <c r="M16192" s="112"/>
      <c r="N16192" s="84"/>
    </row>
    <row r="16193" spans="1:14" s="2" customFormat="1">
      <c r="A16193" s="83"/>
      <c r="H16193" s="83"/>
      <c r="K16193" s="82"/>
      <c r="M16193" s="112"/>
      <c r="N16193" s="84"/>
    </row>
    <row r="16194" spans="1:14" s="2" customFormat="1">
      <c r="A16194" s="83"/>
      <c r="H16194" s="83"/>
      <c r="K16194" s="82"/>
      <c r="M16194" s="112"/>
      <c r="N16194" s="84"/>
    </row>
    <row r="16195" spans="1:14" s="2" customFormat="1">
      <c r="A16195" s="83"/>
      <c r="H16195" s="83"/>
      <c r="K16195" s="82"/>
      <c r="M16195" s="112"/>
      <c r="N16195" s="84"/>
    </row>
    <row r="16196" spans="1:14" s="2" customFormat="1">
      <c r="A16196" s="83"/>
      <c r="H16196" s="83"/>
      <c r="K16196" s="82"/>
      <c r="M16196" s="112"/>
      <c r="N16196" s="84"/>
    </row>
    <row r="16197" spans="1:14" s="2" customFormat="1">
      <c r="A16197" s="83"/>
      <c r="H16197" s="83"/>
      <c r="K16197" s="82"/>
      <c r="M16197" s="112"/>
      <c r="N16197" s="84"/>
    </row>
    <row r="16198" spans="1:14" s="2" customFormat="1">
      <c r="A16198" s="83"/>
      <c r="H16198" s="83"/>
      <c r="K16198" s="82"/>
      <c r="M16198" s="112"/>
      <c r="N16198" s="84"/>
    </row>
    <row r="16199" spans="1:14" s="2" customFormat="1">
      <c r="A16199" s="83"/>
      <c r="H16199" s="83"/>
      <c r="K16199" s="82"/>
      <c r="M16199" s="112"/>
      <c r="N16199" s="84"/>
    </row>
    <row r="16200" spans="1:14" s="2" customFormat="1">
      <c r="A16200" s="83"/>
      <c r="H16200" s="83"/>
      <c r="K16200" s="82"/>
      <c r="M16200" s="112"/>
      <c r="N16200" s="84"/>
    </row>
    <row r="16201" spans="1:14" s="2" customFormat="1">
      <c r="A16201" s="83"/>
      <c r="H16201" s="83"/>
      <c r="K16201" s="82"/>
      <c r="M16201" s="112"/>
      <c r="N16201" s="84"/>
    </row>
    <row r="16202" spans="1:14" s="2" customFormat="1">
      <c r="A16202" s="83"/>
      <c r="H16202" s="83"/>
      <c r="K16202" s="82"/>
      <c r="M16202" s="112"/>
      <c r="N16202" s="84"/>
    </row>
    <row r="16203" spans="1:14" s="2" customFormat="1">
      <c r="A16203" s="83"/>
      <c r="H16203" s="83"/>
      <c r="K16203" s="82"/>
      <c r="M16203" s="112"/>
      <c r="N16203" s="84"/>
    </row>
    <row r="16204" spans="1:14" s="2" customFormat="1">
      <c r="A16204" s="83"/>
      <c r="H16204" s="83"/>
      <c r="K16204" s="82"/>
      <c r="M16204" s="112"/>
      <c r="N16204" s="84"/>
    </row>
    <row r="16205" spans="1:14" s="2" customFormat="1">
      <c r="A16205" s="83"/>
      <c r="H16205" s="83"/>
      <c r="K16205" s="82"/>
      <c r="M16205" s="112"/>
      <c r="N16205" s="84"/>
    </row>
    <row r="16206" spans="1:14" s="2" customFormat="1">
      <c r="A16206" s="83"/>
      <c r="H16206" s="83"/>
      <c r="K16206" s="82"/>
      <c r="M16206" s="112"/>
      <c r="N16206" s="84"/>
    </row>
    <row r="16207" spans="1:14" s="2" customFormat="1">
      <c r="A16207" s="83"/>
      <c r="H16207" s="83"/>
      <c r="K16207" s="82"/>
      <c r="M16207" s="112"/>
      <c r="N16207" s="84"/>
    </row>
    <row r="16208" spans="1:14" s="2" customFormat="1">
      <c r="A16208" s="83"/>
      <c r="H16208" s="83"/>
      <c r="K16208" s="82"/>
      <c r="M16208" s="112"/>
      <c r="N16208" s="84"/>
    </row>
    <row r="16209" spans="1:14" s="2" customFormat="1">
      <c r="A16209" s="83"/>
      <c r="H16209" s="83"/>
      <c r="K16209" s="82"/>
      <c r="M16209" s="112"/>
      <c r="N16209" s="84"/>
    </row>
    <row r="16210" spans="1:14" s="2" customFormat="1">
      <c r="A16210" s="83"/>
      <c r="H16210" s="83"/>
      <c r="K16210" s="82"/>
      <c r="M16210" s="112"/>
      <c r="N16210" s="84"/>
    </row>
    <row r="16211" spans="1:14" s="2" customFormat="1">
      <c r="A16211" s="83"/>
      <c r="H16211" s="83"/>
      <c r="K16211" s="82"/>
      <c r="M16211" s="112"/>
      <c r="N16211" s="84"/>
    </row>
    <row r="16212" spans="1:14" s="2" customFormat="1">
      <c r="A16212" s="83"/>
      <c r="H16212" s="83"/>
      <c r="K16212" s="82"/>
      <c r="M16212" s="112"/>
      <c r="N16212" s="84"/>
    </row>
    <row r="16213" spans="1:14" s="2" customFormat="1">
      <c r="A16213" s="83"/>
      <c r="H16213" s="83"/>
      <c r="K16213" s="82"/>
      <c r="M16213" s="112"/>
      <c r="N16213" s="84"/>
    </row>
    <row r="16214" spans="1:14" s="2" customFormat="1">
      <c r="A16214" s="83"/>
      <c r="H16214" s="83"/>
      <c r="K16214" s="82"/>
      <c r="M16214" s="112"/>
      <c r="N16214" s="84"/>
    </row>
    <row r="16215" spans="1:14" s="2" customFormat="1">
      <c r="A16215" s="83"/>
      <c r="H16215" s="83"/>
      <c r="K16215" s="82"/>
      <c r="M16215" s="112"/>
      <c r="N16215" s="84"/>
    </row>
    <row r="16216" spans="1:14" s="2" customFormat="1">
      <c r="A16216" s="83"/>
      <c r="H16216" s="83"/>
      <c r="K16216" s="82"/>
      <c r="M16216" s="112"/>
      <c r="N16216" s="84"/>
    </row>
    <row r="16217" spans="1:14" s="2" customFormat="1">
      <c r="A16217" s="83"/>
      <c r="H16217" s="83"/>
      <c r="K16217" s="82"/>
      <c r="M16217" s="112"/>
      <c r="N16217" s="84"/>
    </row>
    <row r="16218" spans="1:14" s="2" customFormat="1">
      <c r="A16218" s="83"/>
      <c r="H16218" s="83"/>
      <c r="K16218" s="82"/>
      <c r="M16218" s="112"/>
      <c r="N16218" s="84"/>
    </row>
    <row r="16219" spans="1:14" s="2" customFormat="1">
      <c r="A16219" s="83"/>
      <c r="H16219" s="83"/>
      <c r="K16219" s="82"/>
      <c r="M16219" s="112"/>
      <c r="N16219" s="84"/>
    </row>
    <row r="16220" spans="1:14" s="2" customFormat="1">
      <c r="A16220" s="83"/>
      <c r="H16220" s="83"/>
      <c r="K16220" s="82"/>
      <c r="M16220" s="112"/>
      <c r="N16220" s="84"/>
    </row>
    <row r="16221" spans="1:14" s="2" customFormat="1">
      <c r="A16221" s="83"/>
      <c r="H16221" s="83"/>
      <c r="K16221" s="82"/>
      <c r="M16221" s="112"/>
      <c r="N16221" s="84"/>
    </row>
    <row r="16222" spans="1:14" s="2" customFormat="1">
      <c r="A16222" s="83"/>
      <c r="H16222" s="83"/>
      <c r="K16222" s="82"/>
      <c r="M16222" s="112"/>
      <c r="N16222" s="84"/>
    </row>
    <row r="16223" spans="1:14" s="2" customFormat="1">
      <c r="A16223" s="83"/>
      <c r="H16223" s="83"/>
      <c r="K16223" s="82"/>
      <c r="M16223" s="112"/>
      <c r="N16223" s="84"/>
    </row>
    <row r="16224" spans="1:14" s="2" customFormat="1">
      <c r="A16224" s="83"/>
      <c r="H16224" s="83"/>
      <c r="K16224" s="82"/>
      <c r="M16224" s="112"/>
      <c r="N16224" s="84"/>
    </row>
    <row r="16225" spans="1:14" s="2" customFormat="1">
      <c r="A16225" s="83"/>
      <c r="H16225" s="83"/>
      <c r="K16225" s="82"/>
      <c r="M16225" s="112"/>
      <c r="N16225" s="84"/>
    </row>
    <row r="16226" spans="1:14" s="2" customFormat="1">
      <c r="A16226" s="83"/>
      <c r="H16226" s="83"/>
      <c r="K16226" s="82"/>
      <c r="M16226" s="112"/>
      <c r="N16226" s="84"/>
    </row>
    <row r="16227" spans="1:14" s="2" customFormat="1">
      <c r="A16227" s="83"/>
      <c r="H16227" s="83"/>
      <c r="K16227" s="82"/>
      <c r="M16227" s="112"/>
      <c r="N16227" s="84"/>
    </row>
    <row r="16228" spans="1:14" s="2" customFormat="1">
      <c r="A16228" s="83"/>
      <c r="H16228" s="83"/>
      <c r="K16228" s="82"/>
      <c r="M16228" s="112"/>
      <c r="N16228" s="84"/>
    </row>
    <row r="16229" spans="1:14" s="2" customFormat="1">
      <c r="A16229" s="83"/>
      <c r="H16229" s="83"/>
      <c r="K16229" s="82"/>
      <c r="M16229" s="112"/>
      <c r="N16229" s="84"/>
    </row>
    <row r="16230" spans="1:14" s="2" customFormat="1">
      <c r="A16230" s="83"/>
      <c r="H16230" s="83"/>
      <c r="K16230" s="82"/>
      <c r="M16230" s="112"/>
      <c r="N16230" s="84"/>
    </row>
    <row r="16231" spans="1:14" s="2" customFormat="1">
      <c r="A16231" s="83"/>
      <c r="H16231" s="83"/>
      <c r="K16231" s="82"/>
      <c r="M16231" s="112"/>
      <c r="N16231" s="84"/>
    </row>
    <row r="16232" spans="1:14" s="2" customFormat="1">
      <c r="A16232" s="83"/>
      <c r="H16232" s="83"/>
      <c r="K16232" s="82"/>
      <c r="M16232" s="112"/>
      <c r="N16232" s="84"/>
    </row>
    <row r="16233" spans="1:14" s="2" customFormat="1">
      <c r="A16233" s="83"/>
      <c r="H16233" s="83"/>
      <c r="K16233" s="82"/>
      <c r="M16233" s="112"/>
      <c r="N16233" s="84"/>
    </row>
    <row r="16234" spans="1:14" s="2" customFormat="1">
      <c r="A16234" s="83"/>
      <c r="H16234" s="83"/>
      <c r="K16234" s="82"/>
      <c r="M16234" s="112"/>
      <c r="N16234" s="84"/>
    </row>
    <row r="16235" spans="1:14" s="2" customFormat="1">
      <c r="A16235" s="83"/>
      <c r="H16235" s="83"/>
      <c r="K16235" s="82"/>
      <c r="M16235" s="112"/>
      <c r="N16235" s="84"/>
    </row>
    <row r="16236" spans="1:14" s="2" customFormat="1">
      <c r="A16236" s="83"/>
      <c r="H16236" s="83"/>
      <c r="K16236" s="82"/>
      <c r="M16236" s="112"/>
      <c r="N16236" s="84"/>
    </row>
    <row r="16237" spans="1:14" s="2" customFormat="1">
      <c r="A16237" s="83"/>
      <c r="H16237" s="83"/>
      <c r="K16237" s="82"/>
      <c r="M16237" s="112"/>
      <c r="N16237" s="84"/>
    </row>
    <row r="16238" spans="1:14" s="2" customFormat="1">
      <c r="A16238" s="83"/>
      <c r="H16238" s="83"/>
      <c r="K16238" s="82"/>
      <c r="M16238" s="112"/>
      <c r="N16238" s="84"/>
    </row>
    <row r="16239" spans="1:14" s="2" customFormat="1">
      <c r="A16239" s="83"/>
      <c r="H16239" s="83"/>
      <c r="K16239" s="82"/>
      <c r="M16239" s="112"/>
      <c r="N16239" s="84"/>
    </row>
    <row r="16240" spans="1:14" s="2" customFormat="1">
      <c r="A16240" s="83"/>
      <c r="H16240" s="83"/>
      <c r="K16240" s="82"/>
      <c r="M16240" s="112"/>
      <c r="N16240" s="84"/>
    </row>
    <row r="16241" spans="1:14" s="2" customFormat="1">
      <c r="A16241" s="83"/>
      <c r="H16241" s="83"/>
      <c r="K16241" s="82"/>
      <c r="M16241" s="112"/>
      <c r="N16241" s="84"/>
    </row>
    <row r="16242" spans="1:14" s="2" customFormat="1">
      <c r="A16242" s="83"/>
      <c r="H16242" s="83"/>
      <c r="K16242" s="82"/>
      <c r="M16242" s="112"/>
      <c r="N16242" s="84"/>
    </row>
    <row r="16243" spans="1:14" s="2" customFormat="1">
      <c r="A16243" s="83"/>
      <c r="H16243" s="83"/>
      <c r="K16243" s="82"/>
      <c r="M16243" s="112"/>
      <c r="N16243" s="84"/>
    </row>
    <row r="16244" spans="1:14" s="2" customFormat="1">
      <c r="A16244" s="83"/>
      <c r="H16244" s="83"/>
      <c r="K16244" s="82"/>
      <c r="M16244" s="112"/>
      <c r="N16244" s="84"/>
    </row>
    <row r="16245" spans="1:14" s="2" customFormat="1">
      <c r="A16245" s="83"/>
      <c r="H16245" s="83"/>
      <c r="K16245" s="82"/>
      <c r="M16245" s="112"/>
      <c r="N16245" s="84"/>
    </row>
    <row r="16246" spans="1:14" s="2" customFormat="1">
      <c r="A16246" s="83"/>
      <c r="H16246" s="83"/>
      <c r="K16246" s="82"/>
      <c r="M16246" s="112"/>
      <c r="N16246" s="84"/>
    </row>
    <row r="16247" spans="1:14" s="2" customFormat="1">
      <c r="A16247" s="83"/>
      <c r="H16247" s="83"/>
      <c r="K16247" s="82"/>
      <c r="M16247" s="112"/>
      <c r="N16247" s="84"/>
    </row>
    <row r="16248" spans="1:14" s="2" customFormat="1">
      <c r="A16248" s="83"/>
      <c r="H16248" s="83"/>
      <c r="K16248" s="82"/>
      <c r="M16248" s="112"/>
      <c r="N16248" s="84"/>
    </row>
    <row r="16249" spans="1:14" s="2" customFormat="1">
      <c r="A16249" s="83"/>
      <c r="H16249" s="83"/>
      <c r="K16249" s="82"/>
      <c r="M16249" s="112"/>
      <c r="N16249" s="84"/>
    </row>
    <row r="16250" spans="1:14" s="2" customFormat="1">
      <c r="A16250" s="83"/>
      <c r="H16250" s="83"/>
      <c r="K16250" s="82"/>
      <c r="M16250" s="112"/>
      <c r="N16250" s="84"/>
    </row>
    <row r="16251" spans="1:14" s="2" customFormat="1">
      <c r="A16251" s="83"/>
      <c r="H16251" s="83"/>
      <c r="K16251" s="82"/>
      <c r="M16251" s="112"/>
      <c r="N16251" s="84"/>
    </row>
    <row r="16252" spans="1:14" s="2" customFormat="1">
      <c r="A16252" s="83"/>
      <c r="H16252" s="83"/>
      <c r="K16252" s="82"/>
      <c r="M16252" s="112"/>
      <c r="N16252" s="84"/>
    </row>
    <row r="16253" spans="1:14" s="2" customFormat="1">
      <c r="A16253" s="83"/>
      <c r="H16253" s="83"/>
      <c r="K16253" s="82"/>
      <c r="M16253" s="112"/>
      <c r="N16253" s="84"/>
    </row>
    <row r="16254" spans="1:14" s="2" customFormat="1">
      <c r="A16254" s="83"/>
      <c r="H16254" s="83"/>
      <c r="K16254" s="82"/>
      <c r="M16254" s="112"/>
      <c r="N16254" s="84"/>
    </row>
    <row r="16255" spans="1:14" s="2" customFormat="1">
      <c r="A16255" s="83"/>
      <c r="H16255" s="83"/>
      <c r="K16255" s="82"/>
      <c r="M16255" s="112"/>
      <c r="N16255" s="84"/>
    </row>
    <row r="16256" spans="1:14" s="2" customFormat="1">
      <c r="A16256" s="83"/>
      <c r="H16256" s="83"/>
      <c r="K16256" s="82"/>
      <c r="M16256" s="112"/>
      <c r="N16256" s="84"/>
    </row>
    <row r="16257" spans="1:14" s="2" customFormat="1">
      <c r="A16257" s="83"/>
      <c r="H16257" s="83"/>
      <c r="K16257" s="82"/>
      <c r="M16257" s="112"/>
      <c r="N16257" s="84"/>
    </row>
    <row r="16258" spans="1:14" s="2" customFormat="1">
      <c r="A16258" s="83"/>
      <c r="H16258" s="83"/>
      <c r="K16258" s="82"/>
      <c r="M16258" s="112"/>
      <c r="N16258" s="84"/>
    </row>
    <row r="16259" spans="1:14" s="2" customFormat="1">
      <c r="A16259" s="83"/>
      <c r="H16259" s="83"/>
      <c r="K16259" s="82"/>
      <c r="M16259" s="112"/>
      <c r="N16259" s="84"/>
    </row>
    <row r="16260" spans="1:14" s="2" customFormat="1">
      <c r="A16260" s="83"/>
      <c r="H16260" s="83"/>
      <c r="K16260" s="82"/>
      <c r="M16260" s="112"/>
      <c r="N16260" s="84"/>
    </row>
    <row r="16261" spans="1:14" s="2" customFormat="1">
      <c r="A16261" s="83"/>
      <c r="H16261" s="83"/>
      <c r="K16261" s="82"/>
      <c r="M16261" s="112"/>
      <c r="N16261" s="84"/>
    </row>
    <row r="16262" spans="1:14" s="2" customFormat="1">
      <c r="A16262" s="83"/>
      <c r="H16262" s="83"/>
      <c r="K16262" s="82"/>
      <c r="M16262" s="112"/>
      <c r="N16262" s="84"/>
    </row>
    <row r="16263" spans="1:14" s="2" customFormat="1">
      <c r="A16263" s="83"/>
      <c r="H16263" s="83"/>
      <c r="K16263" s="82"/>
      <c r="M16263" s="112"/>
      <c r="N16263" s="84"/>
    </row>
    <row r="16264" spans="1:14" s="2" customFormat="1">
      <c r="A16264" s="83"/>
      <c r="H16264" s="83"/>
      <c r="K16264" s="82"/>
      <c r="M16264" s="112"/>
      <c r="N16264" s="84"/>
    </row>
    <row r="16265" spans="1:14" s="2" customFormat="1">
      <c r="A16265" s="83"/>
      <c r="H16265" s="83"/>
      <c r="K16265" s="82"/>
      <c r="M16265" s="112"/>
      <c r="N16265" s="84"/>
    </row>
    <row r="16266" spans="1:14" s="2" customFormat="1">
      <c r="A16266" s="83"/>
      <c r="H16266" s="83"/>
      <c r="K16266" s="82"/>
      <c r="M16266" s="112"/>
      <c r="N16266" s="84"/>
    </row>
    <row r="16267" spans="1:14" s="2" customFormat="1">
      <c r="A16267" s="83"/>
      <c r="H16267" s="83"/>
      <c r="K16267" s="82"/>
      <c r="M16267" s="112"/>
      <c r="N16267" s="84"/>
    </row>
    <row r="16268" spans="1:14" s="2" customFormat="1">
      <c r="A16268" s="83"/>
      <c r="H16268" s="83"/>
      <c r="K16268" s="82"/>
      <c r="M16268" s="112"/>
      <c r="N16268" s="84"/>
    </row>
    <row r="16269" spans="1:14" s="2" customFormat="1">
      <c r="A16269" s="83"/>
      <c r="H16269" s="83"/>
      <c r="K16269" s="82"/>
      <c r="M16269" s="112"/>
      <c r="N16269" s="84"/>
    </row>
    <row r="16270" spans="1:14" s="2" customFormat="1">
      <c r="A16270" s="83"/>
      <c r="H16270" s="83"/>
      <c r="K16270" s="82"/>
      <c r="M16270" s="112"/>
      <c r="N16270" s="84"/>
    </row>
    <row r="16271" spans="1:14" s="2" customFormat="1">
      <c r="A16271" s="83"/>
      <c r="H16271" s="83"/>
      <c r="K16271" s="82"/>
      <c r="M16271" s="112"/>
      <c r="N16271" s="84"/>
    </row>
    <row r="16272" spans="1:14" s="2" customFormat="1">
      <c r="A16272" s="83"/>
      <c r="H16272" s="83"/>
      <c r="K16272" s="82"/>
      <c r="M16272" s="112"/>
      <c r="N16272" s="84"/>
    </row>
    <row r="16273" spans="1:14" s="2" customFormat="1">
      <c r="A16273" s="83"/>
      <c r="H16273" s="83"/>
      <c r="K16273" s="82"/>
      <c r="M16273" s="112"/>
      <c r="N16273" s="84"/>
    </row>
    <row r="16274" spans="1:14" s="2" customFormat="1">
      <c r="A16274" s="83"/>
      <c r="H16274" s="83"/>
      <c r="K16274" s="82"/>
      <c r="M16274" s="112"/>
      <c r="N16274" s="84"/>
    </row>
    <row r="16275" spans="1:14" s="2" customFormat="1">
      <c r="A16275" s="83"/>
      <c r="H16275" s="83"/>
      <c r="K16275" s="82"/>
      <c r="M16275" s="112"/>
      <c r="N16275" s="84"/>
    </row>
    <row r="16276" spans="1:14" s="2" customFormat="1">
      <c r="A16276" s="83"/>
      <c r="H16276" s="83"/>
      <c r="K16276" s="82"/>
      <c r="M16276" s="112"/>
      <c r="N16276" s="84"/>
    </row>
    <row r="16277" spans="1:14" s="2" customFormat="1">
      <c r="A16277" s="83"/>
      <c r="H16277" s="83"/>
      <c r="K16277" s="82"/>
      <c r="M16277" s="112"/>
      <c r="N16277" s="84"/>
    </row>
    <row r="16278" spans="1:14" s="2" customFormat="1">
      <c r="A16278" s="83"/>
      <c r="H16278" s="83"/>
      <c r="K16278" s="82"/>
      <c r="M16278" s="112"/>
      <c r="N16278" s="84"/>
    </row>
    <row r="16279" spans="1:14" s="2" customFormat="1">
      <c r="A16279" s="83"/>
      <c r="H16279" s="83"/>
      <c r="K16279" s="82"/>
      <c r="M16279" s="112"/>
      <c r="N16279" s="84"/>
    </row>
    <row r="16280" spans="1:14" s="2" customFormat="1">
      <c r="A16280" s="83"/>
      <c r="H16280" s="83"/>
      <c r="K16280" s="82"/>
      <c r="M16280" s="112"/>
      <c r="N16280" s="84"/>
    </row>
    <row r="16281" spans="1:14" s="2" customFormat="1">
      <c r="A16281" s="83"/>
      <c r="H16281" s="83"/>
      <c r="K16281" s="82"/>
      <c r="M16281" s="112"/>
      <c r="N16281" s="84"/>
    </row>
    <row r="16282" spans="1:14" s="2" customFormat="1">
      <c r="A16282" s="83"/>
      <c r="H16282" s="83"/>
      <c r="K16282" s="82"/>
      <c r="M16282" s="112"/>
      <c r="N16282" s="84"/>
    </row>
    <row r="16283" spans="1:14" s="2" customFormat="1">
      <c r="A16283" s="83"/>
      <c r="H16283" s="83"/>
      <c r="K16283" s="82"/>
      <c r="M16283" s="112"/>
      <c r="N16283" s="84"/>
    </row>
    <row r="16284" spans="1:14" s="2" customFormat="1">
      <c r="A16284" s="83"/>
      <c r="H16284" s="83"/>
      <c r="K16284" s="82"/>
      <c r="M16284" s="112"/>
      <c r="N16284" s="84"/>
    </row>
    <row r="16285" spans="1:14" s="2" customFormat="1">
      <c r="A16285" s="83"/>
      <c r="H16285" s="83"/>
      <c r="K16285" s="82"/>
      <c r="M16285" s="112"/>
      <c r="N16285" s="84"/>
    </row>
    <row r="16286" spans="1:14" s="2" customFormat="1">
      <c r="A16286" s="83"/>
      <c r="H16286" s="83"/>
      <c r="K16286" s="82"/>
      <c r="M16286" s="112"/>
      <c r="N16286" s="84"/>
    </row>
    <row r="16287" spans="1:14" s="2" customFormat="1">
      <c r="A16287" s="83"/>
      <c r="H16287" s="83"/>
      <c r="K16287" s="82"/>
      <c r="M16287" s="112"/>
      <c r="N16287" s="84"/>
    </row>
    <row r="16288" spans="1:14" s="2" customFormat="1">
      <c r="A16288" s="83"/>
      <c r="H16288" s="83"/>
      <c r="K16288" s="82"/>
      <c r="M16288" s="112"/>
      <c r="N16288" s="84"/>
    </row>
    <row r="16289" spans="1:14" s="2" customFormat="1">
      <c r="A16289" s="83"/>
      <c r="H16289" s="83"/>
      <c r="K16289" s="82"/>
      <c r="M16289" s="112"/>
      <c r="N16289" s="84"/>
    </row>
    <row r="16290" spans="1:14" s="2" customFormat="1">
      <c r="A16290" s="83"/>
      <c r="H16290" s="83"/>
      <c r="K16290" s="82"/>
      <c r="M16290" s="112"/>
      <c r="N16290" s="84"/>
    </row>
    <row r="16291" spans="1:14" s="2" customFormat="1">
      <c r="A16291" s="83"/>
      <c r="H16291" s="83"/>
      <c r="K16291" s="82"/>
      <c r="M16291" s="112"/>
      <c r="N16291" s="84"/>
    </row>
    <row r="16292" spans="1:14" s="2" customFormat="1">
      <c r="A16292" s="83"/>
      <c r="H16292" s="83"/>
      <c r="K16292" s="82"/>
      <c r="M16292" s="112"/>
      <c r="N16292" s="84"/>
    </row>
    <row r="16293" spans="1:14" s="2" customFormat="1">
      <c r="A16293" s="83"/>
      <c r="H16293" s="83"/>
      <c r="K16293" s="82"/>
      <c r="M16293" s="112"/>
      <c r="N16293" s="84"/>
    </row>
    <row r="16294" spans="1:14" s="2" customFormat="1">
      <c r="A16294" s="83"/>
      <c r="H16294" s="83"/>
      <c r="K16294" s="82"/>
      <c r="M16294" s="112"/>
      <c r="N16294" s="84"/>
    </row>
    <row r="16295" spans="1:14" s="2" customFormat="1">
      <c r="A16295" s="83"/>
      <c r="H16295" s="83"/>
      <c r="K16295" s="82"/>
      <c r="M16295" s="112"/>
      <c r="N16295" s="84"/>
    </row>
    <row r="16296" spans="1:14" s="2" customFormat="1">
      <c r="A16296" s="83"/>
      <c r="H16296" s="83"/>
      <c r="K16296" s="82"/>
      <c r="M16296" s="112"/>
      <c r="N16296" s="84"/>
    </row>
    <row r="16297" spans="1:14" s="2" customFormat="1">
      <c r="A16297" s="83"/>
      <c r="H16297" s="83"/>
      <c r="K16297" s="82"/>
      <c r="M16297" s="112"/>
      <c r="N16297" s="84"/>
    </row>
    <row r="16298" spans="1:14" s="2" customFormat="1">
      <c r="A16298" s="83"/>
      <c r="H16298" s="83"/>
      <c r="K16298" s="82"/>
      <c r="M16298" s="112"/>
      <c r="N16298" s="84"/>
    </row>
    <row r="16299" spans="1:14" s="2" customFormat="1">
      <c r="A16299" s="83"/>
      <c r="H16299" s="83"/>
      <c r="K16299" s="82"/>
      <c r="M16299" s="112"/>
      <c r="N16299" s="84"/>
    </row>
    <row r="16300" spans="1:14" s="2" customFormat="1">
      <c r="A16300" s="83"/>
      <c r="H16300" s="83"/>
      <c r="K16300" s="82"/>
      <c r="M16300" s="112"/>
      <c r="N16300" s="84"/>
    </row>
    <row r="16301" spans="1:14" s="2" customFormat="1">
      <c r="A16301" s="83"/>
      <c r="H16301" s="83"/>
      <c r="K16301" s="82"/>
      <c r="M16301" s="112"/>
      <c r="N16301" s="84"/>
    </row>
    <row r="16302" spans="1:14" s="2" customFormat="1">
      <c r="A16302" s="83"/>
      <c r="H16302" s="83"/>
      <c r="K16302" s="82"/>
      <c r="M16302" s="112"/>
      <c r="N16302" s="84"/>
    </row>
    <row r="16303" spans="1:14" s="2" customFormat="1">
      <c r="A16303" s="83"/>
      <c r="H16303" s="83"/>
      <c r="K16303" s="82"/>
      <c r="M16303" s="112"/>
      <c r="N16303" s="84"/>
    </row>
    <row r="16304" spans="1:14" s="2" customFormat="1">
      <c r="A16304" s="83"/>
      <c r="H16304" s="83"/>
      <c r="K16304" s="82"/>
      <c r="M16304" s="112"/>
      <c r="N16304" s="84"/>
    </row>
    <row r="16305" spans="1:14" s="2" customFormat="1">
      <c r="A16305" s="83"/>
      <c r="H16305" s="83"/>
      <c r="K16305" s="82"/>
      <c r="M16305" s="112"/>
      <c r="N16305" s="84"/>
    </row>
    <row r="16306" spans="1:14" s="2" customFormat="1">
      <c r="A16306" s="83"/>
      <c r="H16306" s="83"/>
      <c r="K16306" s="82"/>
      <c r="M16306" s="112"/>
      <c r="N16306" s="84"/>
    </row>
    <row r="16307" spans="1:14" s="2" customFormat="1">
      <c r="A16307" s="83"/>
      <c r="H16307" s="83"/>
      <c r="K16307" s="82"/>
      <c r="M16307" s="112"/>
      <c r="N16307" s="84"/>
    </row>
    <row r="16308" spans="1:14" s="2" customFormat="1">
      <c r="A16308" s="83"/>
      <c r="H16308" s="83"/>
      <c r="K16308" s="82"/>
      <c r="M16308" s="112"/>
      <c r="N16308" s="84"/>
    </row>
    <row r="16309" spans="1:14" s="2" customFormat="1">
      <c r="A16309" s="83"/>
      <c r="H16309" s="83"/>
      <c r="K16309" s="82"/>
      <c r="M16309" s="112"/>
      <c r="N16309" s="84"/>
    </row>
    <row r="16310" spans="1:14" s="2" customFormat="1">
      <c r="A16310" s="83"/>
      <c r="H16310" s="83"/>
      <c r="K16310" s="82"/>
      <c r="M16310" s="112"/>
      <c r="N16310" s="84"/>
    </row>
    <row r="16311" spans="1:14" s="2" customFormat="1">
      <c r="A16311" s="83"/>
      <c r="H16311" s="83"/>
      <c r="K16311" s="82"/>
      <c r="M16311" s="112"/>
      <c r="N16311" s="84"/>
    </row>
    <row r="16312" spans="1:14" s="2" customFormat="1">
      <c r="A16312" s="83"/>
      <c r="H16312" s="83"/>
      <c r="K16312" s="82"/>
      <c r="M16312" s="112"/>
      <c r="N16312" s="84"/>
    </row>
    <row r="16313" spans="1:14" s="2" customFormat="1">
      <c r="A16313" s="83"/>
      <c r="H16313" s="83"/>
      <c r="K16313" s="82"/>
      <c r="M16313" s="112"/>
      <c r="N16313" s="84"/>
    </row>
    <row r="16314" spans="1:14" s="2" customFormat="1">
      <c r="A16314" s="83"/>
      <c r="H16314" s="83"/>
      <c r="K16314" s="82"/>
      <c r="M16314" s="112"/>
      <c r="N16314" s="84"/>
    </row>
    <row r="16315" spans="1:14" s="2" customFormat="1">
      <c r="A16315" s="83"/>
      <c r="H16315" s="83"/>
      <c r="K16315" s="82"/>
      <c r="M16315" s="112"/>
      <c r="N16315" s="84"/>
    </row>
    <row r="16316" spans="1:14" s="2" customFormat="1">
      <c r="A16316" s="83"/>
      <c r="H16316" s="83"/>
      <c r="K16316" s="82"/>
      <c r="M16316" s="112"/>
      <c r="N16316" s="84"/>
    </row>
    <row r="16317" spans="1:14" s="2" customFormat="1">
      <c r="A16317" s="83"/>
      <c r="H16317" s="83"/>
      <c r="K16317" s="82"/>
      <c r="M16317" s="112"/>
      <c r="N16317" s="84"/>
    </row>
    <row r="16318" spans="1:14" s="2" customFormat="1">
      <c r="A16318" s="83"/>
      <c r="H16318" s="83"/>
      <c r="K16318" s="82"/>
      <c r="M16318" s="112"/>
      <c r="N16318" s="84"/>
    </row>
    <row r="16319" spans="1:14" s="2" customFormat="1">
      <c r="A16319" s="83"/>
      <c r="H16319" s="83"/>
      <c r="K16319" s="82"/>
      <c r="M16319" s="112"/>
      <c r="N16319" s="84"/>
    </row>
    <row r="16320" spans="1:14" s="2" customFormat="1">
      <c r="A16320" s="83"/>
      <c r="H16320" s="83"/>
      <c r="K16320" s="82"/>
      <c r="M16320" s="112"/>
      <c r="N16320" s="84"/>
    </row>
    <row r="16321" spans="1:14" s="2" customFormat="1">
      <c r="A16321" s="83"/>
      <c r="H16321" s="83"/>
      <c r="K16321" s="82"/>
      <c r="M16321" s="112"/>
      <c r="N16321" s="84"/>
    </row>
    <row r="16322" spans="1:14" s="2" customFormat="1">
      <c r="A16322" s="83"/>
      <c r="H16322" s="83"/>
      <c r="K16322" s="82"/>
      <c r="M16322" s="112"/>
      <c r="N16322" s="84"/>
    </row>
    <row r="16323" spans="1:14" s="2" customFormat="1">
      <c r="A16323" s="83"/>
      <c r="H16323" s="83"/>
      <c r="K16323" s="82"/>
      <c r="M16323" s="112"/>
      <c r="N16323" s="84"/>
    </row>
    <row r="16324" spans="1:14" s="2" customFormat="1">
      <c r="A16324" s="83"/>
      <c r="H16324" s="83"/>
      <c r="K16324" s="82"/>
      <c r="M16324" s="112"/>
      <c r="N16324" s="84"/>
    </row>
    <row r="16325" spans="1:14" s="2" customFormat="1">
      <c r="A16325" s="83"/>
      <c r="H16325" s="83"/>
      <c r="K16325" s="82"/>
      <c r="M16325" s="112"/>
      <c r="N16325" s="84"/>
    </row>
    <row r="16326" spans="1:14" s="2" customFormat="1">
      <c r="A16326" s="83"/>
      <c r="H16326" s="83"/>
      <c r="K16326" s="82"/>
      <c r="M16326" s="112"/>
      <c r="N16326" s="84"/>
    </row>
    <row r="16327" spans="1:14" s="2" customFormat="1">
      <c r="A16327" s="83"/>
      <c r="H16327" s="83"/>
      <c r="K16327" s="82"/>
      <c r="M16327" s="112"/>
      <c r="N16327" s="84"/>
    </row>
    <row r="16328" spans="1:14" s="2" customFormat="1">
      <c r="A16328" s="83"/>
      <c r="H16328" s="83"/>
      <c r="K16328" s="82"/>
      <c r="M16328" s="112"/>
      <c r="N16328" s="84"/>
    </row>
    <row r="16329" spans="1:14" s="2" customFormat="1">
      <c r="A16329" s="83"/>
      <c r="H16329" s="83"/>
      <c r="K16329" s="82"/>
      <c r="M16329" s="112"/>
      <c r="N16329" s="84"/>
    </row>
    <row r="16330" spans="1:14" s="2" customFormat="1">
      <c r="A16330" s="83"/>
      <c r="H16330" s="83"/>
      <c r="K16330" s="82"/>
      <c r="M16330" s="112"/>
      <c r="N16330" s="84"/>
    </row>
    <row r="16331" spans="1:14" s="2" customFormat="1">
      <c r="A16331" s="83"/>
      <c r="H16331" s="83"/>
      <c r="K16331" s="82"/>
      <c r="M16331" s="112"/>
      <c r="N16331" s="84"/>
    </row>
    <row r="16332" spans="1:14" s="2" customFormat="1">
      <c r="A16332" s="83"/>
      <c r="H16332" s="83"/>
      <c r="K16332" s="82"/>
      <c r="M16332" s="112"/>
      <c r="N16332" s="84"/>
    </row>
    <row r="16333" spans="1:14" s="2" customFormat="1">
      <c r="A16333" s="83"/>
      <c r="H16333" s="83"/>
      <c r="K16333" s="82"/>
      <c r="M16333" s="112"/>
      <c r="N16333" s="84"/>
    </row>
    <row r="16334" spans="1:14" s="2" customFormat="1">
      <c r="A16334" s="83"/>
      <c r="H16334" s="83"/>
      <c r="K16334" s="82"/>
      <c r="M16334" s="112"/>
      <c r="N16334" s="84"/>
    </row>
    <row r="16335" spans="1:14" s="2" customFormat="1">
      <c r="A16335" s="83"/>
      <c r="H16335" s="83"/>
      <c r="K16335" s="82"/>
      <c r="M16335" s="112"/>
      <c r="N16335" s="84"/>
    </row>
    <row r="16336" spans="1:14" s="2" customFormat="1">
      <c r="A16336" s="83"/>
      <c r="H16336" s="83"/>
      <c r="K16336" s="82"/>
      <c r="M16336" s="112"/>
      <c r="N16336" s="84"/>
    </row>
    <row r="16337" spans="1:14" s="2" customFormat="1">
      <c r="A16337" s="83"/>
      <c r="H16337" s="83"/>
      <c r="K16337" s="82"/>
      <c r="M16337" s="112"/>
      <c r="N16337" s="84"/>
    </row>
    <row r="16338" spans="1:14" s="2" customFormat="1">
      <c r="A16338" s="83"/>
      <c r="H16338" s="83"/>
      <c r="K16338" s="82"/>
      <c r="M16338" s="112"/>
      <c r="N16338" s="84"/>
    </row>
    <row r="16339" spans="1:14" s="2" customFormat="1">
      <c r="A16339" s="83"/>
      <c r="H16339" s="83"/>
      <c r="K16339" s="82"/>
      <c r="M16339" s="112"/>
      <c r="N16339" s="84"/>
    </row>
    <row r="16340" spans="1:14" s="2" customFormat="1">
      <c r="A16340" s="83"/>
      <c r="H16340" s="83"/>
      <c r="K16340" s="82"/>
      <c r="M16340" s="112"/>
      <c r="N16340" s="84"/>
    </row>
    <row r="16341" spans="1:14" s="2" customFormat="1">
      <c r="A16341" s="83"/>
      <c r="H16341" s="83"/>
      <c r="K16341" s="82"/>
      <c r="M16341" s="112"/>
      <c r="N16341" s="84"/>
    </row>
    <row r="16342" spans="1:14" s="2" customFormat="1">
      <c r="A16342" s="83"/>
      <c r="H16342" s="83"/>
      <c r="K16342" s="82"/>
      <c r="M16342" s="112"/>
      <c r="N16342" s="84"/>
    </row>
    <row r="16343" spans="1:14" s="2" customFormat="1">
      <c r="A16343" s="83"/>
      <c r="H16343" s="83"/>
      <c r="K16343" s="82"/>
      <c r="M16343" s="112"/>
      <c r="N16343" s="84"/>
    </row>
    <row r="16344" spans="1:14" s="2" customFormat="1">
      <c r="A16344" s="83"/>
      <c r="H16344" s="83"/>
      <c r="K16344" s="82"/>
      <c r="M16344" s="112"/>
      <c r="N16344" s="84"/>
    </row>
    <row r="16345" spans="1:14" s="2" customFormat="1">
      <c r="A16345" s="83"/>
      <c r="H16345" s="83"/>
      <c r="K16345" s="82"/>
      <c r="M16345" s="112"/>
      <c r="N16345" s="84"/>
    </row>
    <row r="16346" spans="1:14" s="2" customFormat="1">
      <c r="A16346" s="83"/>
      <c r="H16346" s="83"/>
      <c r="K16346" s="82"/>
      <c r="M16346" s="112"/>
      <c r="N16346" s="84"/>
    </row>
    <row r="16347" spans="1:14" s="2" customFormat="1">
      <c r="A16347" s="83"/>
      <c r="H16347" s="83"/>
      <c r="K16347" s="82"/>
      <c r="M16347" s="112"/>
      <c r="N16347" s="84"/>
    </row>
    <row r="16348" spans="1:14" s="2" customFormat="1">
      <c r="A16348" s="83"/>
      <c r="H16348" s="83"/>
      <c r="K16348" s="82"/>
      <c r="M16348" s="112"/>
      <c r="N16348" s="84"/>
    </row>
    <row r="16349" spans="1:14" s="2" customFormat="1">
      <c r="A16349" s="83"/>
      <c r="H16349" s="83"/>
      <c r="K16349" s="82"/>
      <c r="M16349" s="112"/>
      <c r="N16349" s="84"/>
    </row>
    <row r="16350" spans="1:14" s="2" customFormat="1">
      <c r="A16350" s="83"/>
      <c r="H16350" s="83"/>
      <c r="K16350" s="82"/>
      <c r="M16350" s="112"/>
      <c r="N16350" s="84"/>
    </row>
    <row r="16351" spans="1:14" s="2" customFormat="1">
      <c r="A16351" s="83"/>
      <c r="H16351" s="83"/>
      <c r="K16351" s="82"/>
      <c r="M16351" s="112"/>
      <c r="N16351" s="84"/>
    </row>
    <row r="16352" spans="1:14" s="2" customFormat="1">
      <c r="A16352" s="83"/>
      <c r="H16352" s="83"/>
      <c r="K16352" s="82"/>
      <c r="M16352" s="112"/>
      <c r="N16352" s="84"/>
    </row>
    <row r="16353" spans="1:14" s="2" customFormat="1">
      <c r="A16353" s="83"/>
      <c r="H16353" s="83"/>
      <c r="K16353" s="82"/>
      <c r="M16353" s="112"/>
      <c r="N16353" s="84"/>
    </row>
    <row r="16354" spans="1:14" s="2" customFormat="1">
      <c r="A16354" s="83"/>
      <c r="H16354" s="83"/>
      <c r="K16354" s="82"/>
      <c r="M16354" s="112"/>
      <c r="N16354" s="84"/>
    </row>
    <row r="16355" spans="1:14" s="2" customFormat="1">
      <c r="A16355" s="83"/>
      <c r="H16355" s="83"/>
      <c r="K16355" s="82"/>
      <c r="M16355" s="112"/>
      <c r="N16355" s="84"/>
    </row>
    <row r="16356" spans="1:14" s="2" customFormat="1">
      <c r="A16356" s="83"/>
      <c r="H16356" s="83"/>
      <c r="K16356" s="82"/>
      <c r="M16356" s="112"/>
      <c r="N16356" s="84"/>
    </row>
    <row r="16357" spans="1:14" s="2" customFormat="1">
      <c r="A16357" s="83"/>
      <c r="H16357" s="83"/>
      <c r="K16357" s="82"/>
      <c r="M16357" s="112"/>
      <c r="N16357" s="84"/>
    </row>
    <row r="16358" spans="1:14" s="2" customFormat="1">
      <c r="A16358" s="83"/>
      <c r="H16358" s="83"/>
      <c r="K16358" s="82"/>
      <c r="M16358" s="112"/>
      <c r="N16358" s="84"/>
    </row>
    <row r="16359" spans="1:14" s="2" customFormat="1">
      <c r="A16359" s="83"/>
      <c r="H16359" s="83"/>
      <c r="K16359" s="82"/>
      <c r="M16359" s="112"/>
      <c r="N16359" s="84"/>
    </row>
    <row r="16360" spans="1:14" s="2" customFormat="1">
      <c r="A16360" s="83"/>
      <c r="H16360" s="83"/>
      <c r="K16360" s="82"/>
      <c r="M16360" s="112"/>
      <c r="N16360" s="84"/>
    </row>
    <row r="16361" spans="1:14" s="2" customFormat="1">
      <c r="A16361" s="83"/>
      <c r="H16361" s="83"/>
      <c r="K16361" s="82"/>
      <c r="M16361" s="112"/>
      <c r="N16361" s="84"/>
    </row>
    <row r="16362" spans="1:14" s="2" customFormat="1">
      <c r="A16362" s="83"/>
      <c r="H16362" s="83"/>
      <c r="K16362" s="82"/>
      <c r="M16362" s="112"/>
      <c r="N16362" s="84"/>
    </row>
    <row r="16363" spans="1:14" s="2" customFormat="1">
      <c r="A16363" s="83"/>
      <c r="H16363" s="83"/>
      <c r="K16363" s="82"/>
      <c r="M16363" s="112"/>
      <c r="N16363" s="84"/>
    </row>
    <row r="16364" spans="1:14" s="2" customFormat="1">
      <c r="A16364" s="83"/>
      <c r="H16364" s="83"/>
      <c r="K16364" s="82"/>
      <c r="M16364" s="112"/>
      <c r="N16364" s="84"/>
    </row>
    <row r="16365" spans="1:14" s="2" customFormat="1">
      <c r="A16365" s="83"/>
      <c r="H16365" s="83"/>
      <c r="K16365" s="82"/>
      <c r="M16365" s="112"/>
      <c r="N16365" s="84"/>
    </row>
    <row r="16366" spans="1:14" s="2" customFormat="1">
      <c r="A16366" s="83"/>
      <c r="H16366" s="83"/>
      <c r="K16366" s="82"/>
      <c r="M16366" s="112"/>
      <c r="N16366" s="84"/>
    </row>
    <row r="16367" spans="1:14" s="2" customFormat="1">
      <c r="A16367" s="83"/>
      <c r="H16367" s="83"/>
      <c r="K16367" s="82"/>
      <c r="M16367" s="112"/>
      <c r="N16367" s="84"/>
    </row>
    <row r="16368" spans="1:14" s="2" customFormat="1">
      <c r="A16368" s="83"/>
      <c r="H16368" s="83"/>
      <c r="K16368" s="82"/>
      <c r="M16368" s="112"/>
      <c r="N16368" s="84"/>
    </row>
    <row r="16369" spans="1:14" s="2" customFormat="1">
      <c r="A16369" s="83"/>
      <c r="H16369" s="83"/>
      <c r="K16369" s="82"/>
      <c r="M16369" s="112"/>
      <c r="N16369" s="84"/>
    </row>
    <row r="16370" spans="1:14" s="2" customFormat="1">
      <c r="A16370" s="83"/>
      <c r="H16370" s="83"/>
      <c r="K16370" s="82"/>
      <c r="M16370" s="112"/>
      <c r="N16370" s="84"/>
    </row>
    <row r="16371" spans="1:14" s="2" customFormat="1">
      <c r="A16371" s="83"/>
      <c r="H16371" s="83"/>
      <c r="K16371" s="82"/>
      <c r="M16371" s="112"/>
      <c r="N16371" s="84"/>
    </row>
    <row r="16372" spans="1:14" s="2" customFormat="1">
      <c r="A16372" s="83"/>
      <c r="H16372" s="83"/>
      <c r="K16372" s="82"/>
      <c r="M16372" s="112"/>
      <c r="N16372" s="84"/>
    </row>
    <row r="16373" spans="1:14" s="2" customFormat="1">
      <c r="A16373" s="83"/>
      <c r="H16373" s="83"/>
      <c r="K16373" s="82"/>
      <c r="M16373" s="112"/>
      <c r="N16373" s="84"/>
    </row>
    <row r="16374" spans="1:14" s="2" customFormat="1">
      <c r="A16374" s="83"/>
      <c r="H16374" s="83"/>
      <c r="K16374" s="82"/>
      <c r="M16374" s="112"/>
      <c r="N16374" s="84"/>
    </row>
    <row r="16375" spans="1:14" s="2" customFormat="1">
      <c r="A16375" s="83"/>
      <c r="H16375" s="83"/>
      <c r="K16375" s="82"/>
      <c r="M16375" s="112"/>
      <c r="N16375" s="84"/>
    </row>
    <row r="16376" spans="1:14" s="2" customFormat="1">
      <c r="A16376" s="83"/>
      <c r="H16376" s="83"/>
      <c r="K16376" s="82"/>
      <c r="M16376" s="112"/>
      <c r="N16376" s="84"/>
    </row>
    <row r="16377" spans="1:14" s="2" customFormat="1">
      <c r="A16377" s="83"/>
      <c r="H16377" s="83"/>
      <c r="K16377" s="82"/>
      <c r="M16377" s="112"/>
      <c r="N16377" s="84"/>
    </row>
    <row r="16378" spans="1:14" s="2" customFormat="1">
      <c r="A16378" s="83"/>
      <c r="H16378" s="83"/>
      <c r="K16378" s="82"/>
      <c r="M16378" s="112"/>
      <c r="N16378" s="84"/>
    </row>
    <row r="16379" spans="1:14" s="2" customFormat="1">
      <c r="A16379" s="83"/>
      <c r="H16379" s="83"/>
      <c r="K16379" s="82"/>
      <c r="M16379" s="112"/>
      <c r="N16379" s="84"/>
    </row>
    <row r="16380" spans="1:14" s="2" customFormat="1">
      <c r="A16380" s="83"/>
      <c r="H16380" s="83"/>
      <c r="K16380" s="82"/>
      <c r="M16380" s="112"/>
      <c r="N16380" s="84"/>
    </row>
    <row r="16381" spans="1:14" s="2" customFormat="1">
      <c r="A16381" s="83"/>
      <c r="H16381" s="83"/>
      <c r="K16381" s="82"/>
      <c r="M16381" s="112"/>
      <c r="N16381" s="84"/>
    </row>
    <row r="16382" spans="1:14" s="2" customFormat="1">
      <c r="A16382" s="83"/>
      <c r="H16382" s="83"/>
      <c r="K16382" s="82"/>
      <c r="M16382" s="112"/>
      <c r="N16382" s="84"/>
    </row>
    <row r="16383" spans="1:14" s="2" customFormat="1">
      <c r="A16383" s="83"/>
      <c r="H16383" s="83"/>
      <c r="K16383" s="82"/>
      <c r="M16383" s="112"/>
      <c r="N16383" s="84"/>
    </row>
    <row r="16384" spans="1:14" s="2" customFormat="1">
      <c r="A16384" s="83"/>
      <c r="H16384" s="83"/>
      <c r="K16384" s="82"/>
      <c r="M16384" s="112"/>
      <c r="N16384" s="84"/>
    </row>
    <row r="16385" spans="1:14" s="2" customFormat="1">
      <c r="A16385" s="83"/>
      <c r="H16385" s="83"/>
      <c r="K16385" s="82"/>
      <c r="M16385" s="112"/>
      <c r="N16385" s="84"/>
    </row>
    <row r="16386" spans="1:14" s="2" customFormat="1">
      <c r="A16386" s="83"/>
      <c r="H16386" s="83"/>
      <c r="K16386" s="82"/>
      <c r="M16386" s="112"/>
      <c r="N16386" s="84"/>
    </row>
    <row r="16387" spans="1:14" s="2" customFormat="1">
      <c r="A16387" s="83"/>
      <c r="H16387" s="83"/>
      <c r="K16387" s="82"/>
      <c r="M16387" s="112"/>
      <c r="N16387" s="84"/>
    </row>
    <row r="16388" spans="1:14" s="2" customFormat="1">
      <c r="A16388" s="83"/>
      <c r="H16388" s="83"/>
      <c r="K16388" s="82"/>
      <c r="M16388" s="112"/>
      <c r="N16388" s="84"/>
    </row>
    <row r="16389" spans="1:14" s="2" customFormat="1">
      <c r="A16389" s="83"/>
      <c r="H16389" s="83"/>
      <c r="K16389" s="82"/>
      <c r="M16389" s="112"/>
      <c r="N16389" s="84"/>
    </row>
    <row r="16390" spans="1:14" s="2" customFormat="1">
      <c r="A16390" s="83"/>
      <c r="H16390" s="83"/>
      <c r="K16390" s="82"/>
      <c r="M16390" s="112"/>
      <c r="N16390" s="84"/>
    </row>
    <row r="16391" spans="1:14" s="2" customFormat="1">
      <c r="A16391" s="83"/>
      <c r="H16391" s="83"/>
      <c r="K16391" s="82"/>
      <c r="M16391" s="112"/>
      <c r="N16391" s="84"/>
    </row>
    <row r="16392" spans="1:14" s="2" customFormat="1">
      <c r="A16392" s="83"/>
      <c r="H16392" s="83"/>
      <c r="K16392" s="82"/>
      <c r="M16392" s="112"/>
      <c r="N16392" s="84"/>
    </row>
    <row r="16393" spans="1:14" s="2" customFormat="1">
      <c r="A16393" s="83"/>
      <c r="H16393" s="83"/>
      <c r="K16393" s="82"/>
      <c r="M16393" s="112"/>
      <c r="N16393" s="84"/>
    </row>
    <row r="16394" spans="1:14" s="2" customFormat="1">
      <c r="A16394" s="83"/>
      <c r="H16394" s="83"/>
      <c r="K16394" s="82"/>
      <c r="M16394" s="112"/>
      <c r="N16394" s="84"/>
    </row>
    <row r="16395" spans="1:14" s="2" customFormat="1">
      <c r="A16395" s="83"/>
      <c r="H16395" s="83"/>
      <c r="K16395" s="82"/>
      <c r="M16395" s="112"/>
      <c r="N16395" s="84"/>
    </row>
    <row r="16396" spans="1:14" s="2" customFormat="1">
      <c r="A16396" s="83"/>
      <c r="H16396" s="83"/>
      <c r="K16396" s="82"/>
      <c r="M16396" s="112"/>
      <c r="N16396" s="84"/>
    </row>
    <row r="16397" spans="1:14" s="2" customFormat="1">
      <c r="A16397" s="83"/>
      <c r="H16397" s="83"/>
      <c r="K16397" s="82"/>
      <c r="M16397" s="112"/>
      <c r="N16397" s="84"/>
    </row>
    <row r="16398" spans="1:14" s="2" customFormat="1">
      <c r="A16398" s="83"/>
      <c r="H16398" s="83"/>
      <c r="K16398" s="82"/>
      <c r="M16398" s="112"/>
      <c r="N16398" s="84"/>
    </row>
    <row r="16399" spans="1:14" s="2" customFormat="1">
      <c r="A16399" s="83"/>
      <c r="H16399" s="83"/>
      <c r="K16399" s="82"/>
      <c r="M16399" s="112"/>
      <c r="N16399" s="84"/>
    </row>
    <row r="16400" spans="1:14" s="2" customFormat="1">
      <c r="A16400" s="83"/>
      <c r="H16400" s="83"/>
      <c r="K16400" s="82"/>
      <c r="M16400" s="112"/>
      <c r="N16400" s="84"/>
    </row>
    <row r="16401" spans="1:14" s="2" customFormat="1">
      <c r="A16401" s="83"/>
      <c r="H16401" s="83"/>
      <c r="K16401" s="82"/>
      <c r="M16401" s="112"/>
      <c r="N16401" s="84"/>
    </row>
    <row r="16402" spans="1:14" s="2" customFormat="1">
      <c r="A16402" s="83"/>
      <c r="H16402" s="83"/>
      <c r="K16402" s="82"/>
      <c r="M16402" s="112"/>
      <c r="N16402" s="84"/>
    </row>
    <row r="16403" spans="1:14" s="2" customFormat="1">
      <c r="A16403" s="83"/>
      <c r="H16403" s="83"/>
      <c r="K16403" s="82"/>
      <c r="M16403" s="112"/>
      <c r="N16403" s="84"/>
    </row>
    <row r="16404" spans="1:14" s="2" customFormat="1">
      <c r="A16404" s="83"/>
      <c r="H16404" s="83"/>
      <c r="K16404" s="82"/>
      <c r="M16404" s="112"/>
      <c r="N16404" s="84"/>
    </row>
    <row r="16405" spans="1:14" s="2" customFormat="1">
      <c r="A16405" s="83"/>
      <c r="H16405" s="83"/>
      <c r="K16405" s="82"/>
      <c r="M16405" s="112"/>
      <c r="N16405" s="84"/>
    </row>
    <row r="16406" spans="1:14" s="2" customFormat="1">
      <c r="A16406" s="83"/>
      <c r="H16406" s="83"/>
      <c r="K16406" s="82"/>
      <c r="M16406" s="112"/>
      <c r="N16406" s="84"/>
    </row>
    <row r="16407" spans="1:14" s="2" customFormat="1">
      <c r="A16407" s="83"/>
      <c r="H16407" s="83"/>
      <c r="K16407" s="82"/>
      <c r="M16407" s="112"/>
      <c r="N16407" s="84"/>
    </row>
    <row r="16408" spans="1:14" s="2" customFormat="1">
      <c r="A16408" s="83"/>
      <c r="H16408" s="83"/>
      <c r="K16408" s="82"/>
      <c r="M16408" s="112"/>
      <c r="N16408" s="84"/>
    </row>
    <row r="16409" spans="1:14" s="2" customFormat="1">
      <c r="A16409" s="83"/>
      <c r="H16409" s="83"/>
      <c r="K16409" s="82"/>
      <c r="M16409" s="112"/>
      <c r="N16409" s="84"/>
    </row>
    <row r="16410" spans="1:14" s="2" customFormat="1">
      <c r="A16410" s="83"/>
      <c r="H16410" s="83"/>
      <c r="K16410" s="82"/>
      <c r="M16410" s="112"/>
      <c r="N16410" s="84"/>
    </row>
    <row r="16411" spans="1:14" s="2" customFormat="1">
      <c r="A16411" s="83"/>
      <c r="H16411" s="83"/>
      <c r="K16411" s="82"/>
      <c r="M16411" s="112"/>
      <c r="N16411" s="84"/>
    </row>
    <row r="16412" spans="1:14" s="2" customFormat="1">
      <c r="A16412" s="83"/>
      <c r="H16412" s="83"/>
      <c r="K16412" s="82"/>
      <c r="M16412" s="112"/>
      <c r="N16412" s="84"/>
    </row>
    <row r="16413" spans="1:14" s="2" customFormat="1">
      <c r="A16413" s="83"/>
      <c r="H16413" s="83"/>
      <c r="K16413" s="82"/>
      <c r="M16413" s="112"/>
      <c r="N16413" s="84"/>
    </row>
    <row r="16414" spans="1:14" s="2" customFormat="1">
      <c r="A16414" s="83"/>
      <c r="H16414" s="83"/>
      <c r="K16414" s="82"/>
      <c r="M16414" s="112"/>
      <c r="N16414" s="84"/>
    </row>
    <row r="16415" spans="1:14" s="2" customFormat="1">
      <c r="A16415" s="83"/>
      <c r="H16415" s="83"/>
      <c r="K16415" s="82"/>
      <c r="M16415" s="112"/>
      <c r="N16415" s="84"/>
    </row>
    <row r="16416" spans="1:14" s="2" customFormat="1">
      <c r="A16416" s="83"/>
      <c r="H16416" s="83"/>
      <c r="K16416" s="82"/>
      <c r="M16416" s="112"/>
      <c r="N16416" s="84"/>
    </row>
    <row r="16417" spans="1:14" s="2" customFormat="1">
      <c r="A16417" s="83"/>
      <c r="H16417" s="83"/>
      <c r="K16417" s="82"/>
      <c r="M16417" s="112"/>
      <c r="N16417" s="84"/>
    </row>
    <row r="16418" spans="1:14" s="2" customFormat="1">
      <c r="A16418" s="83"/>
      <c r="H16418" s="83"/>
      <c r="K16418" s="82"/>
      <c r="M16418" s="112"/>
      <c r="N16418" s="84"/>
    </row>
    <row r="16419" spans="1:14" s="2" customFormat="1">
      <c r="A16419" s="83"/>
      <c r="H16419" s="83"/>
      <c r="K16419" s="82"/>
      <c r="M16419" s="112"/>
      <c r="N16419" s="84"/>
    </row>
    <row r="16420" spans="1:14" s="2" customFormat="1">
      <c r="A16420" s="83"/>
      <c r="H16420" s="83"/>
      <c r="K16420" s="82"/>
      <c r="M16420" s="112"/>
      <c r="N16420" s="84"/>
    </row>
    <row r="16421" spans="1:14" s="2" customFormat="1">
      <c r="A16421" s="83"/>
      <c r="H16421" s="83"/>
      <c r="K16421" s="82"/>
      <c r="M16421" s="112"/>
      <c r="N16421" s="84"/>
    </row>
    <row r="16422" spans="1:14" s="2" customFormat="1">
      <c r="A16422" s="83"/>
      <c r="H16422" s="83"/>
      <c r="K16422" s="82"/>
      <c r="M16422" s="112"/>
      <c r="N16422" s="84"/>
    </row>
    <row r="16423" spans="1:14" s="2" customFormat="1">
      <c r="A16423" s="83"/>
      <c r="H16423" s="83"/>
      <c r="K16423" s="82"/>
      <c r="M16423" s="112"/>
      <c r="N16423" s="84"/>
    </row>
    <row r="16424" spans="1:14" s="2" customFormat="1">
      <c r="A16424" s="83"/>
      <c r="H16424" s="83"/>
      <c r="K16424" s="82"/>
      <c r="M16424" s="112"/>
      <c r="N16424" s="84"/>
    </row>
    <row r="16425" spans="1:14" s="2" customFormat="1">
      <c r="A16425" s="83"/>
      <c r="H16425" s="83"/>
      <c r="K16425" s="82"/>
      <c r="M16425" s="112"/>
      <c r="N16425" s="84"/>
    </row>
    <row r="16426" spans="1:14" s="2" customFormat="1">
      <c r="A16426" s="83"/>
      <c r="H16426" s="83"/>
      <c r="K16426" s="82"/>
      <c r="M16426" s="112"/>
      <c r="N16426" s="84"/>
    </row>
    <row r="16427" spans="1:14" s="2" customFormat="1">
      <c r="A16427" s="83"/>
      <c r="H16427" s="83"/>
      <c r="K16427" s="82"/>
      <c r="M16427" s="112"/>
      <c r="N16427" s="84"/>
    </row>
    <row r="16428" spans="1:14" s="2" customFormat="1">
      <c r="A16428" s="83"/>
      <c r="H16428" s="83"/>
      <c r="K16428" s="82"/>
      <c r="M16428" s="112"/>
      <c r="N16428" s="84"/>
    </row>
    <row r="16429" spans="1:14" s="2" customFormat="1">
      <c r="A16429" s="83"/>
      <c r="H16429" s="83"/>
      <c r="K16429" s="82"/>
      <c r="M16429" s="112"/>
      <c r="N16429" s="84"/>
    </row>
    <row r="16430" spans="1:14" s="2" customFormat="1">
      <c r="A16430" s="83"/>
      <c r="H16430" s="83"/>
      <c r="K16430" s="82"/>
      <c r="M16430" s="112"/>
      <c r="N16430" s="84"/>
    </row>
    <row r="16431" spans="1:14" s="2" customFormat="1">
      <c r="A16431" s="83"/>
      <c r="H16431" s="83"/>
      <c r="K16431" s="82"/>
      <c r="M16431" s="112"/>
      <c r="N16431" s="84"/>
    </row>
    <row r="16432" spans="1:14" s="2" customFormat="1">
      <c r="A16432" s="83"/>
      <c r="H16432" s="83"/>
      <c r="K16432" s="82"/>
      <c r="M16432" s="112"/>
      <c r="N16432" s="84"/>
    </row>
    <row r="16433" spans="1:14" s="2" customFormat="1">
      <c r="A16433" s="83"/>
      <c r="H16433" s="83"/>
      <c r="K16433" s="82"/>
      <c r="M16433" s="112"/>
      <c r="N16433" s="84"/>
    </row>
    <row r="16434" spans="1:14" s="2" customFormat="1">
      <c r="A16434" s="83"/>
      <c r="H16434" s="83"/>
      <c r="K16434" s="82"/>
      <c r="M16434" s="112"/>
      <c r="N16434" s="84"/>
    </row>
    <row r="16435" spans="1:14" s="2" customFormat="1">
      <c r="A16435" s="83"/>
      <c r="H16435" s="83"/>
      <c r="K16435" s="82"/>
      <c r="M16435" s="112"/>
      <c r="N16435" s="84"/>
    </row>
    <row r="16436" spans="1:14" s="2" customFormat="1">
      <c r="A16436" s="83"/>
      <c r="H16436" s="83"/>
      <c r="K16436" s="82"/>
      <c r="M16436" s="112"/>
      <c r="N16436" s="84"/>
    </row>
    <row r="16437" spans="1:14" s="2" customFormat="1">
      <c r="A16437" s="83"/>
      <c r="H16437" s="83"/>
      <c r="K16437" s="82"/>
      <c r="M16437" s="112"/>
      <c r="N16437" s="84"/>
    </row>
    <row r="16438" spans="1:14" s="2" customFormat="1">
      <c r="A16438" s="83"/>
      <c r="H16438" s="83"/>
      <c r="K16438" s="82"/>
      <c r="M16438" s="112"/>
      <c r="N16438" s="84"/>
    </row>
    <row r="16439" spans="1:14" s="2" customFormat="1">
      <c r="A16439" s="83"/>
      <c r="H16439" s="83"/>
      <c r="K16439" s="82"/>
      <c r="M16439" s="112"/>
      <c r="N16439" s="84"/>
    </row>
    <row r="16440" spans="1:14" s="2" customFormat="1">
      <c r="A16440" s="83"/>
      <c r="H16440" s="83"/>
      <c r="K16440" s="82"/>
      <c r="M16440" s="112"/>
      <c r="N16440" s="84"/>
    </row>
    <row r="16441" spans="1:14" s="2" customFormat="1">
      <c r="A16441" s="83"/>
      <c r="H16441" s="83"/>
      <c r="K16441" s="82"/>
      <c r="M16441" s="112"/>
      <c r="N16441" s="84"/>
    </row>
    <row r="16442" spans="1:14" s="2" customFormat="1">
      <c r="A16442" s="83"/>
      <c r="H16442" s="83"/>
      <c r="K16442" s="82"/>
      <c r="M16442" s="112"/>
      <c r="N16442" s="84"/>
    </row>
    <row r="16443" spans="1:14" s="2" customFormat="1">
      <c r="A16443" s="83"/>
      <c r="H16443" s="83"/>
      <c r="K16443" s="82"/>
      <c r="M16443" s="112"/>
      <c r="N16443" s="84"/>
    </row>
    <row r="16444" spans="1:14" s="2" customFormat="1">
      <c r="A16444" s="83"/>
      <c r="H16444" s="83"/>
      <c r="K16444" s="82"/>
      <c r="M16444" s="112"/>
      <c r="N16444" s="84"/>
    </row>
    <row r="16445" spans="1:14" s="2" customFormat="1">
      <c r="A16445" s="83"/>
      <c r="H16445" s="83"/>
      <c r="K16445" s="82"/>
      <c r="M16445" s="112"/>
      <c r="N16445" s="84"/>
    </row>
    <row r="16446" spans="1:14" s="2" customFormat="1">
      <c r="A16446" s="83"/>
      <c r="H16446" s="83"/>
      <c r="K16446" s="82"/>
      <c r="M16446" s="112"/>
      <c r="N16446" s="84"/>
    </row>
    <row r="16447" spans="1:14" s="2" customFormat="1">
      <c r="A16447" s="83"/>
      <c r="H16447" s="83"/>
      <c r="K16447" s="82"/>
      <c r="M16447" s="112"/>
      <c r="N16447" s="84"/>
    </row>
    <row r="16448" spans="1:14" s="2" customFormat="1">
      <c r="A16448" s="83"/>
      <c r="H16448" s="83"/>
      <c r="K16448" s="82"/>
      <c r="M16448" s="112"/>
      <c r="N16448" s="84"/>
    </row>
    <row r="16449" spans="1:14" s="2" customFormat="1">
      <c r="A16449" s="83"/>
      <c r="H16449" s="83"/>
      <c r="K16449" s="82"/>
      <c r="M16449" s="112"/>
      <c r="N16449" s="84"/>
    </row>
    <row r="16450" spans="1:14" s="2" customFormat="1">
      <c r="A16450" s="83"/>
      <c r="H16450" s="83"/>
      <c r="K16450" s="82"/>
      <c r="M16450" s="112"/>
      <c r="N16450" s="84"/>
    </row>
    <row r="16451" spans="1:14" s="2" customFormat="1">
      <c r="A16451" s="83"/>
      <c r="H16451" s="83"/>
      <c r="K16451" s="82"/>
      <c r="M16451" s="112"/>
      <c r="N16451" s="84"/>
    </row>
    <row r="16452" spans="1:14" s="2" customFormat="1">
      <c r="A16452" s="83"/>
      <c r="H16452" s="83"/>
      <c r="K16452" s="82"/>
      <c r="M16452" s="112"/>
      <c r="N16452" s="84"/>
    </row>
    <row r="16453" spans="1:14" s="2" customFormat="1">
      <c r="A16453" s="83"/>
      <c r="H16453" s="83"/>
      <c r="K16453" s="82"/>
      <c r="M16453" s="112"/>
      <c r="N16453" s="84"/>
    </row>
    <row r="16454" spans="1:14" s="2" customFormat="1">
      <c r="A16454" s="83"/>
      <c r="H16454" s="83"/>
      <c r="K16454" s="82"/>
      <c r="M16454" s="112"/>
      <c r="N16454" s="84"/>
    </row>
    <row r="16455" spans="1:14" s="2" customFormat="1">
      <c r="A16455" s="83"/>
      <c r="H16455" s="83"/>
      <c r="K16455" s="82"/>
      <c r="M16455" s="112"/>
      <c r="N16455" s="84"/>
    </row>
    <row r="16456" spans="1:14" s="2" customFormat="1">
      <c r="A16456" s="83"/>
      <c r="H16456" s="83"/>
      <c r="K16456" s="82"/>
      <c r="M16456" s="112"/>
      <c r="N16456" s="84"/>
    </row>
    <row r="16457" spans="1:14" s="2" customFormat="1">
      <c r="A16457" s="83"/>
      <c r="H16457" s="83"/>
      <c r="K16457" s="82"/>
      <c r="M16457" s="112"/>
      <c r="N16457" s="84"/>
    </row>
    <row r="16458" spans="1:14" s="2" customFormat="1">
      <c r="A16458" s="83"/>
      <c r="H16458" s="83"/>
      <c r="K16458" s="82"/>
      <c r="M16458" s="112"/>
      <c r="N16458" s="84"/>
    </row>
    <row r="16459" spans="1:14" s="2" customFormat="1">
      <c r="A16459" s="83"/>
      <c r="H16459" s="83"/>
      <c r="K16459" s="82"/>
      <c r="M16459" s="112"/>
      <c r="N16459" s="84"/>
    </row>
    <row r="16460" spans="1:14" s="2" customFormat="1">
      <c r="A16460" s="83"/>
      <c r="H16460" s="83"/>
      <c r="K16460" s="82"/>
      <c r="M16460" s="112"/>
      <c r="N16460" s="84"/>
    </row>
    <row r="16461" spans="1:14" s="2" customFormat="1">
      <c r="A16461" s="83"/>
      <c r="H16461" s="83"/>
      <c r="K16461" s="82"/>
      <c r="M16461" s="112"/>
      <c r="N16461" s="84"/>
    </row>
    <row r="16462" spans="1:14" s="2" customFormat="1">
      <c r="A16462" s="83"/>
      <c r="H16462" s="83"/>
      <c r="K16462" s="82"/>
      <c r="M16462" s="112"/>
      <c r="N16462" s="84"/>
    </row>
    <row r="16463" spans="1:14" s="2" customFormat="1">
      <c r="A16463" s="83"/>
      <c r="H16463" s="83"/>
      <c r="K16463" s="82"/>
      <c r="M16463" s="112"/>
      <c r="N16463" s="84"/>
    </row>
    <row r="16464" spans="1:14" s="2" customFormat="1">
      <c r="A16464" s="83"/>
      <c r="H16464" s="83"/>
      <c r="K16464" s="82"/>
      <c r="M16464" s="112"/>
      <c r="N16464" s="84"/>
    </row>
    <row r="16465" spans="1:14" s="2" customFormat="1">
      <c r="A16465" s="83"/>
      <c r="H16465" s="83"/>
      <c r="K16465" s="82"/>
      <c r="M16465" s="112"/>
      <c r="N16465" s="84"/>
    </row>
    <row r="16466" spans="1:14" s="2" customFormat="1">
      <c r="A16466" s="83"/>
      <c r="H16466" s="83"/>
      <c r="K16466" s="82"/>
      <c r="M16466" s="112"/>
      <c r="N16466" s="84"/>
    </row>
    <row r="16467" spans="1:14" s="2" customFormat="1">
      <c r="A16467" s="83"/>
      <c r="H16467" s="83"/>
      <c r="K16467" s="82"/>
      <c r="M16467" s="112"/>
      <c r="N16467" s="84"/>
    </row>
    <row r="16468" spans="1:14" s="2" customFormat="1">
      <c r="A16468" s="83"/>
      <c r="H16468" s="83"/>
      <c r="K16468" s="82"/>
      <c r="M16468" s="112"/>
      <c r="N16468" s="84"/>
    </row>
    <row r="16469" spans="1:14" s="2" customFormat="1">
      <c r="A16469" s="83"/>
      <c r="H16469" s="83"/>
      <c r="K16469" s="82"/>
      <c r="M16469" s="112"/>
      <c r="N16469" s="84"/>
    </row>
    <row r="16470" spans="1:14" s="2" customFormat="1">
      <c r="A16470" s="83"/>
      <c r="H16470" s="83"/>
      <c r="K16470" s="82"/>
      <c r="M16470" s="112"/>
      <c r="N16470" s="84"/>
    </row>
    <row r="16471" spans="1:14" s="2" customFormat="1">
      <c r="A16471" s="83"/>
      <c r="H16471" s="83"/>
      <c r="K16471" s="82"/>
      <c r="M16471" s="112"/>
      <c r="N16471" s="84"/>
    </row>
    <row r="16472" spans="1:14" s="2" customFormat="1">
      <c r="A16472" s="83"/>
      <c r="H16472" s="83"/>
      <c r="K16472" s="82"/>
      <c r="M16472" s="112"/>
      <c r="N16472" s="84"/>
    </row>
    <row r="16473" spans="1:14" s="2" customFormat="1">
      <c r="A16473" s="83"/>
      <c r="H16473" s="83"/>
      <c r="K16473" s="82"/>
      <c r="M16473" s="112"/>
      <c r="N16473" s="84"/>
    </row>
    <row r="16474" spans="1:14" s="2" customFormat="1">
      <c r="A16474" s="83"/>
      <c r="H16474" s="83"/>
      <c r="K16474" s="82"/>
      <c r="M16474" s="112"/>
      <c r="N16474" s="84"/>
    </row>
    <row r="16475" spans="1:14" s="2" customFormat="1">
      <c r="A16475" s="83"/>
      <c r="H16475" s="83"/>
      <c r="K16475" s="82"/>
      <c r="M16475" s="112"/>
      <c r="N16475" s="84"/>
    </row>
    <row r="16476" spans="1:14" s="2" customFormat="1">
      <c r="A16476" s="83"/>
      <c r="H16476" s="83"/>
      <c r="K16476" s="82"/>
      <c r="M16476" s="112"/>
      <c r="N16476" s="84"/>
    </row>
    <row r="16477" spans="1:14" s="2" customFormat="1">
      <c r="A16477" s="83"/>
      <c r="H16477" s="83"/>
      <c r="K16477" s="82"/>
      <c r="M16477" s="112"/>
      <c r="N16477" s="84"/>
    </row>
    <row r="16478" spans="1:14" s="2" customFormat="1">
      <c r="A16478" s="83"/>
      <c r="H16478" s="83"/>
      <c r="K16478" s="82"/>
      <c r="M16478" s="112"/>
      <c r="N16478" s="84"/>
    </row>
    <row r="16479" spans="1:14" s="2" customFormat="1">
      <c r="A16479" s="83"/>
      <c r="H16479" s="83"/>
      <c r="K16479" s="82"/>
      <c r="M16479" s="112"/>
      <c r="N16479" s="84"/>
    </row>
    <row r="16480" spans="1:14" s="2" customFormat="1">
      <c r="A16480" s="83"/>
      <c r="H16480" s="83"/>
      <c r="K16480" s="82"/>
      <c r="M16480" s="112"/>
      <c r="N16480" s="84"/>
    </row>
    <row r="16481" spans="1:14" s="2" customFormat="1">
      <c r="A16481" s="83"/>
      <c r="H16481" s="83"/>
      <c r="K16481" s="82"/>
      <c r="M16481" s="112"/>
      <c r="N16481" s="84"/>
    </row>
    <row r="16482" spans="1:14" s="2" customFormat="1">
      <c r="A16482" s="83"/>
      <c r="H16482" s="83"/>
      <c r="K16482" s="82"/>
      <c r="M16482" s="112"/>
      <c r="N16482" s="84"/>
    </row>
    <row r="16483" spans="1:14" s="2" customFormat="1">
      <c r="A16483" s="83"/>
      <c r="H16483" s="83"/>
      <c r="K16483" s="82"/>
      <c r="M16483" s="112"/>
      <c r="N16483" s="84"/>
    </row>
    <row r="16484" spans="1:14" s="2" customFormat="1">
      <c r="A16484" s="83"/>
      <c r="H16484" s="83"/>
      <c r="K16484" s="82"/>
      <c r="M16484" s="112"/>
      <c r="N16484" s="84"/>
    </row>
    <row r="16485" spans="1:14" s="2" customFormat="1">
      <c r="A16485" s="83"/>
      <c r="H16485" s="83"/>
      <c r="K16485" s="82"/>
      <c r="M16485" s="112"/>
      <c r="N16485" s="84"/>
    </row>
    <row r="16486" spans="1:14" s="2" customFormat="1">
      <c r="A16486" s="83"/>
      <c r="H16486" s="83"/>
      <c r="K16486" s="82"/>
      <c r="M16486" s="112"/>
      <c r="N16486" s="84"/>
    </row>
    <row r="16487" spans="1:14" s="2" customFormat="1">
      <c r="A16487" s="83"/>
      <c r="H16487" s="83"/>
      <c r="K16487" s="82"/>
      <c r="M16487" s="112"/>
      <c r="N16487" s="84"/>
    </row>
    <row r="16488" spans="1:14" s="2" customFormat="1">
      <c r="A16488" s="83"/>
      <c r="H16488" s="83"/>
      <c r="K16488" s="82"/>
      <c r="M16488" s="112"/>
      <c r="N16488" s="84"/>
    </row>
    <row r="16489" spans="1:14" s="2" customFormat="1">
      <c r="A16489" s="83"/>
      <c r="H16489" s="83"/>
      <c r="K16489" s="82"/>
      <c r="M16489" s="112"/>
      <c r="N16489" s="84"/>
    </row>
    <row r="16490" spans="1:14" s="2" customFormat="1">
      <c r="A16490" s="83"/>
      <c r="H16490" s="83"/>
      <c r="K16490" s="82"/>
      <c r="M16490" s="112"/>
      <c r="N16490" s="84"/>
    </row>
    <row r="16491" spans="1:14" s="2" customFormat="1">
      <c r="A16491" s="83"/>
      <c r="H16491" s="83"/>
      <c r="K16491" s="82"/>
      <c r="M16491" s="112"/>
      <c r="N16491" s="84"/>
    </row>
    <row r="16492" spans="1:14" s="2" customFormat="1">
      <c r="A16492" s="83"/>
      <c r="H16492" s="83"/>
      <c r="K16492" s="82"/>
      <c r="M16492" s="112"/>
      <c r="N16492" s="84"/>
    </row>
    <row r="16493" spans="1:14" s="2" customFormat="1">
      <c r="A16493" s="83"/>
      <c r="H16493" s="83"/>
      <c r="K16493" s="82"/>
      <c r="M16493" s="112"/>
      <c r="N16493" s="84"/>
    </row>
    <row r="16494" spans="1:14" s="2" customFormat="1">
      <c r="A16494" s="83"/>
      <c r="H16494" s="83"/>
      <c r="K16494" s="82"/>
      <c r="M16494" s="112"/>
      <c r="N16494" s="84"/>
    </row>
    <row r="16495" spans="1:14" s="2" customFormat="1">
      <c r="A16495" s="83"/>
      <c r="H16495" s="83"/>
      <c r="K16495" s="82"/>
      <c r="M16495" s="112"/>
      <c r="N16495" s="84"/>
    </row>
    <row r="16496" spans="1:14" s="2" customFormat="1">
      <c r="A16496" s="83"/>
      <c r="H16496" s="83"/>
      <c r="K16496" s="82"/>
      <c r="M16496" s="112"/>
      <c r="N16496" s="84"/>
    </row>
    <row r="16497" spans="1:14" s="2" customFormat="1">
      <c r="A16497" s="83"/>
      <c r="H16497" s="83"/>
      <c r="K16497" s="82"/>
      <c r="M16497" s="112"/>
      <c r="N16497" s="84"/>
    </row>
    <row r="16498" spans="1:14" s="2" customFormat="1">
      <c r="A16498" s="83"/>
      <c r="H16498" s="83"/>
      <c r="K16498" s="82"/>
      <c r="M16498" s="112"/>
      <c r="N16498" s="84"/>
    </row>
    <row r="16499" spans="1:14" s="2" customFormat="1">
      <c r="A16499" s="83"/>
      <c r="H16499" s="83"/>
      <c r="K16499" s="82"/>
      <c r="M16499" s="112"/>
      <c r="N16499" s="84"/>
    </row>
    <row r="16500" spans="1:14" s="2" customFormat="1">
      <c r="A16500" s="83"/>
      <c r="H16500" s="83"/>
      <c r="K16500" s="82"/>
      <c r="M16500" s="112"/>
      <c r="N16500" s="84"/>
    </row>
    <row r="16501" spans="1:14" s="2" customFormat="1">
      <c r="A16501" s="83"/>
      <c r="H16501" s="83"/>
      <c r="K16501" s="82"/>
      <c r="M16501" s="112"/>
      <c r="N16501" s="84"/>
    </row>
    <row r="16502" spans="1:14" s="2" customFormat="1">
      <c r="A16502" s="83"/>
      <c r="H16502" s="83"/>
      <c r="K16502" s="82"/>
      <c r="M16502" s="112"/>
      <c r="N16502" s="84"/>
    </row>
    <row r="16503" spans="1:14" s="2" customFormat="1">
      <c r="A16503" s="83"/>
      <c r="H16503" s="83"/>
      <c r="K16503" s="82"/>
      <c r="M16503" s="112"/>
      <c r="N16503" s="84"/>
    </row>
    <row r="16504" spans="1:14" s="2" customFormat="1">
      <c r="A16504" s="83"/>
      <c r="H16504" s="83"/>
      <c r="K16504" s="82"/>
      <c r="M16504" s="112"/>
      <c r="N16504" s="84"/>
    </row>
    <row r="16505" spans="1:14" s="2" customFormat="1">
      <c r="A16505" s="83"/>
      <c r="H16505" s="83"/>
      <c r="K16505" s="82"/>
      <c r="M16505" s="112"/>
      <c r="N16505" s="84"/>
    </row>
    <row r="16506" spans="1:14" s="2" customFormat="1">
      <c r="A16506" s="83"/>
      <c r="H16506" s="83"/>
      <c r="K16506" s="82"/>
      <c r="M16506" s="112"/>
      <c r="N16506" s="84"/>
    </row>
    <row r="16507" spans="1:14" s="2" customFormat="1">
      <c r="A16507" s="83"/>
      <c r="H16507" s="83"/>
      <c r="K16507" s="82"/>
      <c r="M16507" s="112"/>
      <c r="N16507" s="84"/>
    </row>
    <row r="16508" spans="1:14" s="2" customFormat="1">
      <c r="A16508" s="83"/>
      <c r="H16508" s="83"/>
      <c r="K16508" s="82"/>
      <c r="M16508" s="112"/>
      <c r="N16508" s="84"/>
    </row>
    <row r="16509" spans="1:14" s="2" customFormat="1">
      <c r="A16509" s="83"/>
      <c r="H16509" s="83"/>
      <c r="K16509" s="82"/>
      <c r="M16509" s="112"/>
      <c r="N16509" s="84"/>
    </row>
    <row r="16510" spans="1:14" s="2" customFormat="1">
      <c r="A16510" s="83"/>
      <c r="H16510" s="83"/>
      <c r="K16510" s="82"/>
      <c r="M16510" s="112"/>
      <c r="N16510" s="84"/>
    </row>
    <row r="16511" spans="1:14" s="2" customFormat="1">
      <c r="A16511" s="83"/>
      <c r="H16511" s="83"/>
      <c r="K16511" s="82"/>
      <c r="M16511" s="112"/>
      <c r="N16511" s="84"/>
    </row>
    <row r="16512" spans="1:14" s="2" customFormat="1">
      <c r="A16512" s="83"/>
      <c r="H16512" s="83"/>
      <c r="K16512" s="82"/>
      <c r="M16512" s="112"/>
      <c r="N16512" s="84"/>
    </row>
    <row r="16513" spans="1:14" s="2" customFormat="1">
      <c r="A16513" s="83"/>
      <c r="H16513" s="83"/>
      <c r="K16513" s="82"/>
      <c r="M16513" s="112"/>
      <c r="N16513" s="84"/>
    </row>
    <row r="16514" spans="1:14" s="2" customFormat="1">
      <c r="A16514" s="83"/>
      <c r="H16514" s="83"/>
      <c r="K16514" s="82"/>
      <c r="M16514" s="112"/>
      <c r="N16514" s="84"/>
    </row>
    <row r="16515" spans="1:14" s="2" customFormat="1">
      <c r="A16515" s="83"/>
      <c r="H16515" s="83"/>
      <c r="K16515" s="82"/>
      <c r="M16515" s="112"/>
      <c r="N16515" s="84"/>
    </row>
    <row r="16516" spans="1:14" s="2" customFormat="1">
      <c r="A16516" s="83"/>
      <c r="H16516" s="83"/>
      <c r="K16516" s="82"/>
      <c r="M16516" s="112"/>
      <c r="N16516" s="84"/>
    </row>
    <row r="16517" spans="1:14" s="2" customFormat="1">
      <c r="A16517" s="83"/>
      <c r="H16517" s="83"/>
      <c r="K16517" s="82"/>
      <c r="M16517" s="112"/>
      <c r="N16517" s="84"/>
    </row>
    <row r="16518" spans="1:14" s="2" customFormat="1">
      <c r="A16518" s="83"/>
      <c r="H16518" s="83"/>
      <c r="K16518" s="82"/>
      <c r="M16518" s="112"/>
      <c r="N16518" s="84"/>
    </row>
    <row r="16519" spans="1:14" s="2" customFormat="1">
      <c r="A16519" s="83"/>
      <c r="H16519" s="83"/>
      <c r="K16519" s="82"/>
      <c r="M16519" s="112"/>
      <c r="N16519" s="84"/>
    </row>
    <row r="16520" spans="1:14" s="2" customFormat="1">
      <c r="A16520" s="83"/>
      <c r="H16520" s="83"/>
      <c r="K16520" s="82"/>
      <c r="M16520" s="112"/>
      <c r="N16520" s="84"/>
    </row>
    <row r="16521" spans="1:14" s="2" customFormat="1">
      <c r="A16521" s="83"/>
      <c r="H16521" s="83"/>
      <c r="K16521" s="82"/>
      <c r="M16521" s="112"/>
      <c r="N16521" s="84"/>
    </row>
    <row r="16522" spans="1:14" s="2" customFormat="1">
      <c r="A16522" s="83"/>
      <c r="H16522" s="83"/>
      <c r="K16522" s="82"/>
      <c r="M16522" s="112"/>
      <c r="N16522" s="84"/>
    </row>
    <row r="16523" spans="1:14" s="2" customFormat="1">
      <c r="A16523" s="83"/>
      <c r="H16523" s="83"/>
      <c r="K16523" s="82"/>
      <c r="M16523" s="112"/>
      <c r="N16523" s="84"/>
    </row>
    <row r="16524" spans="1:14" s="2" customFormat="1">
      <c r="A16524" s="83"/>
      <c r="H16524" s="83"/>
      <c r="K16524" s="82"/>
      <c r="M16524" s="112"/>
      <c r="N16524" s="84"/>
    </row>
    <row r="16525" spans="1:14" s="2" customFormat="1">
      <c r="A16525" s="83"/>
      <c r="H16525" s="83"/>
      <c r="K16525" s="82"/>
      <c r="M16525" s="112"/>
      <c r="N16525" s="84"/>
    </row>
    <row r="16526" spans="1:14" s="2" customFormat="1">
      <c r="A16526" s="83"/>
      <c r="H16526" s="83"/>
      <c r="K16526" s="82"/>
      <c r="M16526" s="112"/>
      <c r="N16526" s="84"/>
    </row>
    <row r="16527" spans="1:14" s="2" customFormat="1">
      <c r="A16527" s="83"/>
      <c r="H16527" s="83"/>
      <c r="K16527" s="82"/>
      <c r="M16527" s="112"/>
      <c r="N16527" s="84"/>
    </row>
    <row r="16528" spans="1:14" s="2" customFormat="1">
      <c r="A16528" s="83"/>
      <c r="H16528" s="83"/>
      <c r="K16528" s="82"/>
      <c r="M16528" s="112"/>
      <c r="N16528" s="84"/>
    </row>
    <row r="16529" spans="1:14" s="2" customFormat="1">
      <c r="A16529" s="83"/>
      <c r="H16529" s="83"/>
      <c r="K16529" s="82"/>
      <c r="M16529" s="112"/>
      <c r="N16529" s="84"/>
    </row>
    <row r="16530" spans="1:14" s="2" customFormat="1">
      <c r="A16530" s="83"/>
      <c r="H16530" s="83"/>
      <c r="K16530" s="82"/>
      <c r="M16530" s="112"/>
      <c r="N16530" s="84"/>
    </row>
    <row r="16531" spans="1:14" s="2" customFormat="1">
      <c r="A16531" s="83"/>
      <c r="H16531" s="83"/>
      <c r="K16531" s="82"/>
      <c r="M16531" s="112"/>
      <c r="N16531" s="84"/>
    </row>
    <row r="16532" spans="1:14" s="2" customFormat="1">
      <c r="A16532" s="83"/>
      <c r="H16532" s="83"/>
      <c r="K16532" s="82"/>
      <c r="M16532" s="112"/>
      <c r="N16532" s="84"/>
    </row>
    <row r="16533" spans="1:14" s="2" customFormat="1">
      <c r="A16533" s="83"/>
      <c r="H16533" s="83"/>
      <c r="K16533" s="82"/>
      <c r="M16533" s="112"/>
      <c r="N16533" s="84"/>
    </row>
    <row r="16534" spans="1:14" s="2" customFormat="1">
      <c r="A16534" s="83"/>
      <c r="H16534" s="83"/>
      <c r="K16534" s="82"/>
      <c r="M16534" s="112"/>
      <c r="N16534" s="84"/>
    </row>
    <row r="16535" spans="1:14" s="2" customFormat="1">
      <c r="A16535" s="83"/>
      <c r="H16535" s="83"/>
      <c r="K16535" s="82"/>
      <c r="M16535" s="112"/>
      <c r="N16535" s="84"/>
    </row>
    <row r="16536" spans="1:14" s="2" customFormat="1">
      <c r="A16536" s="83"/>
      <c r="H16536" s="83"/>
      <c r="K16536" s="82"/>
      <c r="M16536" s="112"/>
      <c r="N16536" s="84"/>
    </row>
    <row r="16537" spans="1:14" s="2" customFormat="1">
      <c r="A16537" s="83"/>
      <c r="H16537" s="83"/>
      <c r="K16537" s="82"/>
      <c r="M16537" s="112"/>
      <c r="N16537" s="84"/>
    </row>
    <row r="16538" spans="1:14" s="2" customFormat="1">
      <c r="A16538" s="83"/>
      <c r="H16538" s="83"/>
      <c r="K16538" s="82"/>
      <c r="M16538" s="112"/>
      <c r="N16538" s="84"/>
    </row>
    <row r="16539" spans="1:14" s="2" customFormat="1">
      <c r="A16539" s="83"/>
      <c r="H16539" s="83"/>
      <c r="K16539" s="82"/>
      <c r="M16539" s="112"/>
      <c r="N16539" s="84"/>
    </row>
    <row r="16540" spans="1:14" s="2" customFormat="1">
      <c r="A16540" s="83"/>
      <c r="H16540" s="83"/>
      <c r="K16540" s="82"/>
      <c r="M16540" s="112"/>
      <c r="N16540" s="84"/>
    </row>
    <row r="16541" spans="1:14" s="2" customFormat="1">
      <c r="A16541" s="83"/>
      <c r="H16541" s="83"/>
      <c r="K16541" s="82"/>
      <c r="M16541" s="112"/>
      <c r="N16541" s="84"/>
    </row>
    <row r="16542" spans="1:14" s="2" customFormat="1">
      <c r="A16542" s="83"/>
      <c r="H16542" s="83"/>
      <c r="K16542" s="82"/>
      <c r="M16542" s="112"/>
      <c r="N16542" s="84"/>
    </row>
    <row r="16543" spans="1:14" s="2" customFormat="1">
      <c r="A16543" s="83"/>
      <c r="H16543" s="83"/>
      <c r="K16543" s="82"/>
      <c r="M16543" s="112"/>
      <c r="N16543" s="84"/>
    </row>
    <row r="16544" spans="1:14" s="2" customFormat="1">
      <c r="A16544" s="83"/>
      <c r="H16544" s="83"/>
      <c r="K16544" s="82"/>
      <c r="M16544" s="112"/>
      <c r="N16544" s="84"/>
    </row>
    <row r="16545" spans="1:14" s="2" customFormat="1">
      <c r="A16545" s="83"/>
      <c r="H16545" s="83"/>
      <c r="K16545" s="82"/>
      <c r="M16545" s="112"/>
      <c r="N16545" s="84"/>
    </row>
    <row r="16546" spans="1:14" s="2" customFormat="1">
      <c r="A16546" s="83"/>
      <c r="H16546" s="83"/>
      <c r="K16546" s="82"/>
      <c r="M16546" s="112"/>
      <c r="N16546" s="84"/>
    </row>
    <row r="16547" spans="1:14" s="2" customFormat="1">
      <c r="A16547" s="83"/>
      <c r="H16547" s="83"/>
      <c r="K16547" s="82"/>
      <c r="M16547" s="112"/>
      <c r="N16547" s="84"/>
    </row>
    <row r="16548" spans="1:14" s="2" customFormat="1">
      <c r="A16548" s="83"/>
      <c r="H16548" s="83"/>
      <c r="K16548" s="82"/>
      <c r="M16548" s="112"/>
      <c r="N16548" s="84"/>
    </row>
    <row r="16549" spans="1:14" s="2" customFormat="1">
      <c r="A16549" s="83"/>
      <c r="H16549" s="83"/>
      <c r="K16549" s="82"/>
      <c r="M16549" s="112"/>
      <c r="N16549" s="84"/>
    </row>
    <row r="16550" spans="1:14" s="2" customFormat="1">
      <c r="A16550" s="83"/>
      <c r="H16550" s="83"/>
      <c r="K16550" s="82"/>
      <c r="M16550" s="112"/>
      <c r="N16550" s="84"/>
    </row>
    <row r="16551" spans="1:14" s="2" customFormat="1">
      <c r="A16551" s="83"/>
      <c r="H16551" s="83"/>
      <c r="K16551" s="82"/>
      <c r="M16551" s="112"/>
      <c r="N16551" s="84"/>
    </row>
    <row r="16552" spans="1:14" s="2" customFormat="1">
      <c r="A16552" s="83"/>
      <c r="H16552" s="83"/>
      <c r="K16552" s="82"/>
      <c r="M16552" s="112"/>
      <c r="N16552" s="84"/>
    </row>
    <row r="16553" spans="1:14" s="2" customFormat="1">
      <c r="A16553" s="83"/>
      <c r="H16553" s="83"/>
      <c r="K16553" s="82"/>
      <c r="M16553" s="112"/>
      <c r="N16553" s="84"/>
    </row>
    <row r="16554" spans="1:14" s="2" customFormat="1">
      <c r="A16554" s="83"/>
      <c r="H16554" s="83"/>
      <c r="K16554" s="82"/>
      <c r="M16554" s="112"/>
      <c r="N16554" s="84"/>
    </row>
    <row r="16555" spans="1:14" s="2" customFormat="1">
      <c r="A16555" s="83"/>
      <c r="H16555" s="83"/>
      <c r="K16555" s="82"/>
      <c r="M16555" s="112"/>
      <c r="N16555" s="84"/>
    </row>
    <row r="16556" spans="1:14" s="2" customFormat="1">
      <c r="A16556" s="83"/>
      <c r="H16556" s="83"/>
      <c r="K16556" s="82"/>
      <c r="M16556" s="112"/>
      <c r="N16556" s="84"/>
    </row>
    <row r="16557" spans="1:14" s="2" customFormat="1">
      <c r="A16557" s="83"/>
      <c r="H16557" s="83"/>
      <c r="K16557" s="82"/>
      <c r="M16557" s="112"/>
      <c r="N16557" s="84"/>
    </row>
    <row r="16558" spans="1:14" s="2" customFormat="1">
      <c r="A16558" s="83"/>
      <c r="H16558" s="83"/>
      <c r="K16558" s="82"/>
      <c r="M16558" s="112"/>
      <c r="N16558" s="84"/>
    </row>
    <row r="16559" spans="1:14" s="2" customFormat="1">
      <c r="A16559" s="83"/>
      <c r="H16559" s="83"/>
      <c r="K16559" s="82"/>
      <c r="M16559" s="112"/>
      <c r="N16559" s="84"/>
    </row>
    <row r="16560" spans="1:14" s="2" customFormat="1">
      <c r="A16560" s="83"/>
      <c r="H16560" s="83"/>
      <c r="K16560" s="82"/>
      <c r="M16560" s="112"/>
      <c r="N16560" s="84"/>
    </row>
    <row r="16561" spans="1:14" s="2" customFormat="1">
      <c r="A16561" s="83"/>
      <c r="H16561" s="83"/>
      <c r="K16561" s="82"/>
      <c r="M16561" s="112"/>
      <c r="N16561" s="84"/>
    </row>
    <row r="16562" spans="1:14" s="2" customFormat="1">
      <c r="A16562" s="83"/>
      <c r="H16562" s="83"/>
      <c r="K16562" s="82"/>
      <c r="M16562" s="112"/>
      <c r="N16562" s="84"/>
    </row>
    <row r="16563" spans="1:14" s="2" customFormat="1">
      <c r="A16563" s="83"/>
      <c r="H16563" s="83"/>
      <c r="K16563" s="82"/>
      <c r="M16563" s="112"/>
      <c r="N16563" s="84"/>
    </row>
    <row r="16564" spans="1:14" s="2" customFormat="1">
      <c r="A16564" s="83"/>
      <c r="H16564" s="83"/>
      <c r="K16564" s="82"/>
      <c r="M16564" s="112"/>
      <c r="N16564" s="84"/>
    </row>
    <row r="16565" spans="1:14" s="2" customFormat="1">
      <c r="A16565" s="83"/>
      <c r="H16565" s="83"/>
      <c r="K16565" s="82"/>
      <c r="M16565" s="112"/>
      <c r="N16565" s="84"/>
    </row>
    <row r="16566" spans="1:14" s="2" customFormat="1">
      <c r="A16566" s="83"/>
      <c r="H16566" s="83"/>
      <c r="K16566" s="82"/>
      <c r="M16566" s="112"/>
      <c r="N16566" s="84"/>
    </row>
    <row r="16567" spans="1:14" s="2" customFormat="1">
      <c r="A16567" s="83"/>
      <c r="H16567" s="83"/>
      <c r="K16567" s="82"/>
      <c r="M16567" s="112"/>
      <c r="N16567" s="84"/>
    </row>
    <row r="16568" spans="1:14" s="2" customFormat="1">
      <c r="A16568" s="83"/>
      <c r="H16568" s="83"/>
      <c r="K16568" s="82"/>
      <c r="M16568" s="112"/>
      <c r="N16568" s="84"/>
    </row>
    <row r="16569" spans="1:14" s="2" customFormat="1">
      <c r="A16569" s="83"/>
      <c r="H16569" s="83"/>
      <c r="K16569" s="82"/>
      <c r="M16569" s="112"/>
      <c r="N16569" s="84"/>
    </row>
    <row r="16570" spans="1:14" s="2" customFormat="1">
      <c r="A16570" s="83"/>
      <c r="H16570" s="83"/>
      <c r="K16570" s="82"/>
      <c r="M16570" s="112"/>
      <c r="N16570" s="84"/>
    </row>
    <row r="16571" spans="1:14" s="2" customFormat="1">
      <c r="A16571" s="83"/>
      <c r="H16571" s="83"/>
      <c r="K16571" s="82"/>
      <c r="M16571" s="112"/>
      <c r="N16571" s="84"/>
    </row>
    <row r="16572" spans="1:14" s="2" customFormat="1">
      <c r="A16572" s="83"/>
      <c r="H16572" s="83"/>
      <c r="K16572" s="82"/>
      <c r="M16572" s="112"/>
      <c r="N16572" s="84"/>
    </row>
    <row r="16573" spans="1:14" s="2" customFormat="1">
      <c r="A16573" s="83"/>
      <c r="H16573" s="83"/>
      <c r="K16573" s="82"/>
      <c r="M16573" s="112"/>
      <c r="N16573" s="84"/>
    </row>
    <row r="16574" spans="1:14" s="2" customFormat="1">
      <c r="A16574" s="83"/>
      <c r="H16574" s="83"/>
      <c r="K16574" s="82"/>
      <c r="M16574" s="112"/>
      <c r="N16574" s="84"/>
    </row>
    <row r="16575" spans="1:14" s="2" customFormat="1">
      <c r="A16575" s="83"/>
      <c r="H16575" s="83"/>
      <c r="K16575" s="82"/>
      <c r="M16575" s="112"/>
      <c r="N16575" s="84"/>
    </row>
    <row r="16576" spans="1:14" s="2" customFormat="1">
      <c r="A16576" s="83"/>
      <c r="H16576" s="83"/>
      <c r="K16576" s="82"/>
      <c r="M16576" s="112"/>
      <c r="N16576" s="84"/>
    </row>
    <row r="16577" spans="1:14" s="2" customFormat="1">
      <c r="A16577" s="83"/>
      <c r="H16577" s="83"/>
      <c r="K16577" s="82"/>
      <c r="M16577" s="112"/>
      <c r="N16577" s="84"/>
    </row>
    <row r="16578" spans="1:14" s="2" customFormat="1">
      <c r="A16578" s="83"/>
      <c r="H16578" s="83"/>
      <c r="K16578" s="82"/>
      <c r="M16578" s="112"/>
      <c r="N16578" s="84"/>
    </row>
    <row r="16579" spans="1:14" s="2" customFormat="1">
      <c r="A16579" s="83"/>
      <c r="H16579" s="83"/>
      <c r="K16579" s="82"/>
      <c r="M16579" s="112"/>
      <c r="N16579" s="84"/>
    </row>
    <row r="16580" spans="1:14" s="2" customFormat="1">
      <c r="A16580" s="83"/>
      <c r="H16580" s="83"/>
      <c r="K16580" s="82"/>
      <c r="M16580" s="112"/>
      <c r="N16580" s="84"/>
    </row>
    <row r="16581" spans="1:14" s="2" customFormat="1">
      <c r="A16581" s="83"/>
      <c r="H16581" s="83"/>
      <c r="K16581" s="82"/>
      <c r="M16581" s="112"/>
      <c r="N16581" s="84"/>
    </row>
    <row r="16582" spans="1:14" s="2" customFormat="1">
      <c r="A16582" s="83"/>
      <c r="H16582" s="83"/>
      <c r="K16582" s="82"/>
      <c r="M16582" s="112"/>
      <c r="N16582" s="84"/>
    </row>
    <row r="16583" spans="1:14" s="2" customFormat="1">
      <c r="A16583" s="83"/>
      <c r="H16583" s="83"/>
      <c r="K16583" s="82"/>
      <c r="M16583" s="112"/>
      <c r="N16583" s="84"/>
    </row>
    <row r="16584" spans="1:14" s="2" customFormat="1">
      <c r="A16584" s="83"/>
      <c r="H16584" s="83"/>
      <c r="K16584" s="82"/>
      <c r="M16584" s="112"/>
      <c r="N16584" s="84"/>
    </row>
    <row r="16585" spans="1:14" s="2" customFormat="1">
      <c r="A16585" s="83"/>
      <c r="H16585" s="83"/>
      <c r="K16585" s="82"/>
      <c r="M16585" s="112"/>
      <c r="N16585" s="84"/>
    </row>
    <row r="16586" spans="1:14" s="2" customFormat="1">
      <c r="A16586" s="83"/>
      <c r="H16586" s="83"/>
      <c r="K16586" s="82"/>
      <c r="M16586" s="112"/>
      <c r="N16586" s="84"/>
    </row>
    <row r="16587" spans="1:14" s="2" customFormat="1">
      <c r="A16587" s="83"/>
      <c r="H16587" s="83"/>
      <c r="K16587" s="82"/>
      <c r="M16587" s="112"/>
      <c r="N16587" s="84"/>
    </row>
    <row r="16588" spans="1:14" s="2" customFormat="1">
      <c r="A16588" s="83"/>
      <c r="H16588" s="83"/>
      <c r="K16588" s="82"/>
      <c r="M16588" s="112"/>
      <c r="N16588" s="84"/>
    </row>
    <row r="16589" spans="1:14" s="2" customFormat="1">
      <c r="A16589" s="83"/>
      <c r="H16589" s="83"/>
      <c r="K16589" s="82"/>
      <c r="M16589" s="112"/>
      <c r="N16589" s="84"/>
    </row>
    <row r="16590" spans="1:14" s="2" customFormat="1">
      <c r="A16590" s="83"/>
      <c r="H16590" s="83"/>
      <c r="K16590" s="82"/>
      <c r="M16590" s="112"/>
      <c r="N16590" s="84"/>
    </row>
    <row r="16591" spans="1:14" s="2" customFormat="1">
      <c r="A16591" s="83"/>
      <c r="H16591" s="83"/>
      <c r="K16591" s="82"/>
      <c r="M16591" s="112"/>
      <c r="N16591" s="84"/>
    </row>
    <row r="16592" spans="1:14" s="2" customFormat="1">
      <c r="A16592" s="83"/>
      <c r="H16592" s="83"/>
      <c r="K16592" s="82"/>
      <c r="M16592" s="112"/>
      <c r="N16592" s="84"/>
    </row>
    <row r="16593" spans="1:14" s="2" customFormat="1">
      <c r="A16593" s="83"/>
      <c r="H16593" s="83"/>
      <c r="K16593" s="82"/>
      <c r="M16593" s="112"/>
      <c r="N16593" s="84"/>
    </row>
    <row r="16594" spans="1:14" s="2" customFormat="1">
      <c r="A16594" s="83"/>
      <c r="H16594" s="83"/>
      <c r="K16594" s="82"/>
      <c r="M16594" s="112"/>
      <c r="N16594" s="84"/>
    </row>
    <row r="16595" spans="1:14" s="2" customFormat="1">
      <c r="A16595" s="83"/>
      <c r="H16595" s="83"/>
      <c r="K16595" s="82"/>
      <c r="M16595" s="112"/>
      <c r="N16595" s="84"/>
    </row>
    <row r="16596" spans="1:14" s="2" customFormat="1">
      <c r="A16596" s="83"/>
      <c r="H16596" s="83"/>
      <c r="K16596" s="82"/>
      <c r="M16596" s="112"/>
      <c r="N16596" s="84"/>
    </row>
    <row r="16597" spans="1:14" s="2" customFormat="1">
      <c r="A16597" s="83"/>
      <c r="H16597" s="83"/>
      <c r="K16597" s="82"/>
      <c r="M16597" s="112"/>
      <c r="N16597" s="84"/>
    </row>
    <row r="16598" spans="1:14" s="2" customFormat="1">
      <c r="A16598" s="83"/>
      <c r="H16598" s="83"/>
      <c r="K16598" s="82"/>
      <c r="M16598" s="112"/>
      <c r="N16598" s="84"/>
    </row>
    <row r="16599" spans="1:14" s="2" customFormat="1">
      <c r="A16599" s="83"/>
      <c r="H16599" s="83"/>
      <c r="K16599" s="82"/>
      <c r="M16599" s="112"/>
      <c r="N16599" s="84"/>
    </row>
    <row r="16600" spans="1:14" s="2" customFormat="1">
      <c r="A16600" s="83"/>
      <c r="H16600" s="83"/>
      <c r="K16600" s="82"/>
      <c r="M16600" s="112"/>
      <c r="N16600" s="84"/>
    </row>
    <row r="16601" spans="1:14" s="2" customFormat="1">
      <c r="A16601" s="83"/>
      <c r="H16601" s="83"/>
      <c r="K16601" s="82"/>
      <c r="M16601" s="112"/>
      <c r="N16601" s="84"/>
    </row>
    <row r="16602" spans="1:14" s="2" customFormat="1">
      <c r="A16602" s="83"/>
      <c r="H16602" s="83"/>
      <c r="K16602" s="82"/>
      <c r="M16602" s="112"/>
      <c r="N16602" s="84"/>
    </row>
    <row r="16603" spans="1:14" s="2" customFormat="1">
      <c r="A16603" s="83"/>
      <c r="H16603" s="83"/>
      <c r="K16603" s="82"/>
      <c r="M16603" s="112"/>
      <c r="N16603" s="84"/>
    </row>
    <row r="16604" spans="1:14" s="2" customFormat="1">
      <c r="A16604" s="83"/>
      <c r="H16604" s="83"/>
      <c r="K16604" s="82"/>
      <c r="M16604" s="112"/>
      <c r="N16604" s="84"/>
    </row>
    <row r="16605" spans="1:14" s="2" customFormat="1">
      <c r="A16605" s="83"/>
      <c r="H16605" s="83"/>
      <c r="K16605" s="82"/>
      <c r="M16605" s="112"/>
      <c r="N16605" s="84"/>
    </row>
    <row r="16606" spans="1:14" s="2" customFormat="1">
      <c r="A16606" s="83"/>
      <c r="H16606" s="83"/>
      <c r="K16606" s="82"/>
      <c r="M16606" s="112"/>
      <c r="N16606" s="84"/>
    </row>
    <row r="16607" spans="1:14" s="2" customFormat="1">
      <c r="A16607" s="83"/>
      <c r="H16607" s="83"/>
      <c r="K16607" s="82"/>
      <c r="M16607" s="112"/>
      <c r="N16607" s="84"/>
    </row>
    <row r="16608" spans="1:14" s="2" customFormat="1">
      <c r="A16608" s="83"/>
      <c r="H16608" s="83"/>
      <c r="K16608" s="82"/>
      <c r="M16608" s="112"/>
      <c r="N16608" s="84"/>
    </row>
    <row r="16609" spans="1:14" s="2" customFormat="1">
      <c r="A16609" s="83"/>
      <c r="H16609" s="83"/>
      <c r="K16609" s="82"/>
      <c r="M16609" s="112"/>
      <c r="N16609" s="84"/>
    </row>
    <row r="16610" spans="1:14" s="2" customFormat="1">
      <c r="A16610" s="83"/>
      <c r="H16610" s="83"/>
      <c r="K16610" s="82"/>
      <c r="M16610" s="112"/>
      <c r="N16610" s="84"/>
    </row>
    <row r="16611" spans="1:14" s="2" customFormat="1">
      <c r="A16611" s="83"/>
      <c r="H16611" s="83"/>
      <c r="K16611" s="82"/>
      <c r="M16611" s="112"/>
      <c r="N16611" s="84"/>
    </row>
    <row r="16612" spans="1:14" s="2" customFormat="1">
      <c r="A16612" s="83"/>
      <c r="H16612" s="83"/>
      <c r="K16612" s="82"/>
      <c r="M16612" s="112"/>
      <c r="N16612" s="84"/>
    </row>
    <row r="16613" spans="1:14" s="2" customFormat="1">
      <c r="A16613" s="83"/>
      <c r="H16613" s="83"/>
      <c r="K16613" s="82"/>
      <c r="M16613" s="112"/>
      <c r="N16613" s="84"/>
    </row>
    <row r="16614" spans="1:14" s="2" customFormat="1">
      <c r="A16614" s="83"/>
      <c r="H16614" s="83"/>
      <c r="K16614" s="82"/>
      <c r="M16614" s="112"/>
      <c r="N16614" s="84"/>
    </row>
    <row r="16615" spans="1:14" s="2" customFormat="1">
      <c r="A16615" s="83"/>
      <c r="H16615" s="83"/>
      <c r="K16615" s="82"/>
      <c r="M16615" s="112"/>
      <c r="N16615" s="84"/>
    </row>
    <row r="16616" spans="1:14" s="2" customFormat="1">
      <c r="A16616" s="83"/>
      <c r="H16616" s="83"/>
      <c r="K16616" s="82"/>
      <c r="M16616" s="112"/>
      <c r="N16616" s="84"/>
    </row>
    <row r="16617" spans="1:14" s="2" customFormat="1">
      <c r="A16617" s="83"/>
      <c r="H16617" s="83"/>
      <c r="K16617" s="82"/>
      <c r="M16617" s="112"/>
      <c r="N16617" s="84"/>
    </row>
    <row r="16618" spans="1:14" s="2" customFormat="1">
      <c r="A16618" s="83"/>
      <c r="H16618" s="83"/>
      <c r="K16618" s="82"/>
      <c r="M16618" s="112"/>
      <c r="N16618" s="84"/>
    </row>
    <row r="16619" spans="1:14" s="2" customFormat="1">
      <c r="A16619" s="83"/>
      <c r="H16619" s="83"/>
      <c r="K16619" s="82"/>
      <c r="M16619" s="112"/>
      <c r="N16619" s="84"/>
    </row>
    <row r="16620" spans="1:14" s="2" customFormat="1">
      <c r="A16620" s="83"/>
      <c r="H16620" s="83"/>
      <c r="K16620" s="82"/>
      <c r="M16620" s="112"/>
      <c r="N16620" s="84"/>
    </row>
    <row r="16621" spans="1:14" s="2" customFormat="1">
      <c r="A16621" s="83"/>
      <c r="H16621" s="83"/>
      <c r="K16621" s="82"/>
      <c r="M16621" s="112"/>
      <c r="N16621" s="84"/>
    </row>
    <row r="16622" spans="1:14" s="2" customFormat="1">
      <c r="A16622" s="83"/>
      <c r="H16622" s="83"/>
      <c r="K16622" s="82"/>
      <c r="M16622" s="112"/>
      <c r="N16622" s="84"/>
    </row>
    <row r="16623" spans="1:14" s="2" customFormat="1">
      <c r="A16623" s="83"/>
      <c r="H16623" s="83"/>
      <c r="K16623" s="82"/>
      <c r="M16623" s="112"/>
      <c r="N16623" s="84"/>
    </row>
    <row r="16624" spans="1:14" s="2" customFormat="1">
      <c r="A16624" s="83"/>
      <c r="H16624" s="83"/>
      <c r="K16624" s="82"/>
      <c r="M16624" s="112"/>
      <c r="N16624" s="84"/>
    </row>
    <row r="16625" spans="1:14" s="2" customFormat="1">
      <c r="A16625" s="83"/>
      <c r="H16625" s="83"/>
      <c r="K16625" s="82"/>
      <c r="M16625" s="112"/>
      <c r="N16625" s="84"/>
    </row>
    <row r="16626" spans="1:14" s="2" customFormat="1">
      <c r="A16626" s="83"/>
      <c r="H16626" s="83"/>
      <c r="K16626" s="82"/>
      <c r="M16626" s="112"/>
      <c r="N16626" s="84"/>
    </row>
    <row r="16627" spans="1:14" s="2" customFormat="1">
      <c r="A16627" s="83"/>
      <c r="H16627" s="83"/>
      <c r="K16627" s="82"/>
      <c r="M16627" s="112"/>
      <c r="N16627" s="84"/>
    </row>
    <row r="16628" spans="1:14" s="2" customFormat="1">
      <c r="A16628" s="83"/>
      <c r="H16628" s="83"/>
      <c r="K16628" s="82"/>
      <c r="M16628" s="112"/>
      <c r="N16628" s="84"/>
    </row>
    <row r="16629" spans="1:14" s="2" customFormat="1">
      <c r="A16629" s="83"/>
      <c r="H16629" s="83"/>
      <c r="K16629" s="82"/>
      <c r="M16629" s="112"/>
      <c r="N16629" s="84"/>
    </row>
    <row r="16630" spans="1:14" s="2" customFormat="1">
      <c r="A16630" s="83"/>
      <c r="H16630" s="83"/>
      <c r="K16630" s="82"/>
      <c r="M16630" s="112"/>
      <c r="N16630" s="84"/>
    </row>
    <row r="16631" spans="1:14" s="2" customFormat="1">
      <c r="A16631" s="83"/>
      <c r="H16631" s="83"/>
      <c r="K16631" s="82"/>
      <c r="M16631" s="112"/>
      <c r="N16631" s="84"/>
    </row>
    <row r="16632" spans="1:14" s="2" customFormat="1">
      <c r="A16632" s="83"/>
      <c r="H16632" s="83"/>
      <c r="K16632" s="82"/>
      <c r="M16632" s="112"/>
      <c r="N16632" s="84"/>
    </row>
    <row r="16633" spans="1:14" s="2" customFormat="1">
      <c r="A16633" s="83"/>
      <c r="H16633" s="83"/>
      <c r="K16633" s="82"/>
      <c r="M16633" s="112"/>
      <c r="N16633" s="84"/>
    </row>
    <row r="16634" spans="1:14" s="2" customFormat="1">
      <c r="A16634" s="83"/>
      <c r="H16634" s="83"/>
      <c r="K16634" s="82"/>
      <c r="M16634" s="112"/>
      <c r="N16634" s="84"/>
    </row>
    <row r="16635" spans="1:14" s="2" customFormat="1">
      <c r="A16635" s="83"/>
      <c r="H16635" s="83"/>
      <c r="K16635" s="82"/>
      <c r="M16635" s="112"/>
      <c r="N16635" s="84"/>
    </row>
    <row r="16636" spans="1:14" s="2" customFormat="1">
      <c r="A16636" s="83"/>
      <c r="H16636" s="83"/>
      <c r="K16636" s="82"/>
      <c r="M16636" s="112"/>
      <c r="N16636" s="84"/>
    </row>
    <row r="16637" spans="1:14" s="2" customFormat="1">
      <c r="A16637" s="83"/>
      <c r="H16637" s="83"/>
      <c r="K16637" s="82"/>
      <c r="M16637" s="112"/>
      <c r="N16637" s="84"/>
    </row>
    <row r="16638" spans="1:14" s="2" customFormat="1">
      <c r="A16638" s="83"/>
      <c r="H16638" s="83"/>
      <c r="K16638" s="82"/>
      <c r="M16638" s="112"/>
      <c r="N16638" s="84"/>
    </row>
    <row r="16639" spans="1:14" s="2" customFormat="1">
      <c r="A16639" s="83"/>
      <c r="H16639" s="83"/>
      <c r="K16639" s="82"/>
      <c r="M16639" s="112"/>
      <c r="N16639" s="84"/>
    </row>
    <row r="16640" spans="1:14" s="2" customFormat="1">
      <c r="A16640" s="83"/>
      <c r="H16640" s="83"/>
      <c r="K16640" s="82"/>
      <c r="M16640" s="112"/>
      <c r="N16640" s="84"/>
    </row>
    <row r="16641" spans="1:14" s="2" customFormat="1">
      <c r="A16641" s="83"/>
      <c r="H16641" s="83"/>
      <c r="K16641" s="82"/>
      <c r="M16641" s="112"/>
      <c r="N16641" s="84"/>
    </row>
    <row r="16642" spans="1:14" s="2" customFormat="1">
      <c r="A16642" s="83"/>
      <c r="H16642" s="83"/>
      <c r="K16642" s="82"/>
      <c r="M16642" s="112"/>
      <c r="N16642" s="84"/>
    </row>
    <row r="16643" spans="1:14" s="2" customFormat="1">
      <c r="A16643" s="83"/>
      <c r="H16643" s="83"/>
      <c r="K16643" s="82"/>
      <c r="M16643" s="112"/>
      <c r="N16643" s="84"/>
    </row>
    <row r="16644" spans="1:14" s="2" customFormat="1">
      <c r="A16644" s="83"/>
      <c r="H16644" s="83"/>
      <c r="K16644" s="82"/>
      <c r="M16644" s="112"/>
      <c r="N16644" s="84"/>
    </row>
    <row r="16645" spans="1:14" s="2" customFormat="1">
      <c r="A16645" s="83"/>
      <c r="H16645" s="83"/>
      <c r="K16645" s="82"/>
      <c r="M16645" s="112"/>
      <c r="N16645" s="84"/>
    </row>
    <row r="16646" spans="1:14" s="2" customFormat="1">
      <c r="A16646" s="83"/>
      <c r="H16646" s="83"/>
      <c r="K16646" s="82"/>
      <c r="M16646" s="112"/>
      <c r="N16646" s="84"/>
    </row>
    <row r="16647" spans="1:14" s="2" customFormat="1">
      <c r="A16647" s="83"/>
      <c r="H16647" s="83"/>
      <c r="K16647" s="82"/>
      <c r="M16647" s="112"/>
      <c r="N16647" s="84"/>
    </row>
    <row r="16648" spans="1:14" s="2" customFormat="1">
      <c r="A16648" s="83"/>
      <c r="H16648" s="83"/>
      <c r="K16648" s="82"/>
      <c r="M16648" s="112"/>
      <c r="N16648" s="84"/>
    </row>
    <row r="16649" spans="1:14" s="2" customFormat="1">
      <c r="A16649" s="83"/>
      <c r="H16649" s="83"/>
      <c r="K16649" s="82"/>
      <c r="M16649" s="112"/>
      <c r="N16649" s="84"/>
    </row>
    <row r="16650" spans="1:14" s="2" customFormat="1">
      <c r="A16650" s="83"/>
      <c r="H16650" s="83"/>
      <c r="K16650" s="82"/>
      <c r="M16650" s="112"/>
      <c r="N16650" s="84"/>
    </row>
    <row r="16651" spans="1:14" s="2" customFormat="1">
      <c r="A16651" s="83"/>
      <c r="H16651" s="83"/>
      <c r="K16651" s="82"/>
      <c r="M16651" s="112"/>
      <c r="N16651" s="84"/>
    </row>
    <row r="16652" spans="1:14" s="2" customFormat="1">
      <c r="A16652" s="83"/>
      <c r="H16652" s="83"/>
      <c r="K16652" s="82"/>
      <c r="M16652" s="112"/>
      <c r="N16652" s="84"/>
    </row>
    <row r="16653" spans="1:14" s="2" customFormat="1">
      <c r="A16653" s="83"/>
      <c r="H16653" s="83"/>
      <c r="K16653" s="82"/>
      <c r="M16653" s="112"/>
      <c r="N16653" s="84"/>
    </row>
    <row r="16654" spans="1:14" s="2" customFormat="1">
      <c r="A16654" s="83"/>
      <c r="H16654" s="83"/>
      <c r="K16654" s="82"/>
      <c r="M16654" s="112"/>
      <c r="N16654" s="84"/>
    </row>
    <row r="16655" spans="1:14" s="2" customFormat="1">
      <c r="A16655" s="83"/>
      <c r="H16655" s="83"/>
      <c r="K16655" s="82"/>
      <c r="M16655" s="112"/>
      <c r="N16655" s="84"/>
    </row>
    <row r="16656" spans="1:14" s="2" customFormat="1">
      <c r="A16656" s="83"/>
      <c r="H16656" s="83"/>
      <c r="K16656" s="82"/>
      <c r="M16656" s="112"/>
      <c r="N16656" s="84"/>
    </row>
    <row r="16657" spans="1:14" s="2" customFormat="1">
      <c r="A16657" s="83"/>
      <c r="H16657" s="83"/>
      <c r="K16657" s="82"/>
      <c r="M16657" s="112"/>
      <c r="N16657" s="84"/>
    </row>
    <row r="16658" spans="1:14" s="2" customFormat="1">
      <c r="A16658" s="83"/>
      <c r="H16658" s="83"/>
      <c r="K16658" s="82"/>
      <c r="M16658" s="112"/>
      <c r="N16658" s="84"/>
    </row>
    <row r="16659" spans="1:14" s="2" customFormat="1">
      <c r="A16659" s="83"/>
      <c r="H16659" s="83"/>
      <c r="K16659" s="82"/>
      <c r="M16659" s="112"/>
      <c r="N16659" s="84"/>
    </row>
    <row r="16660" spans="1:14" s="2" customFormat="1">
      <c r="A16660" s="83"/>
      <c r="H16660" s="83"/>
      <c r="K16660" s="82"/>
      <c r="M16660" s="112"/>
      <c r="N16660" s="84"/>
    </row>
    <row r="16661" spans="1:14" s="2" customFormat="1">
      <c r="A16661" s="83"/>
      <c r="H16661" s="83"/>
      <c r="K16661" s="82"/>
      <c r="M16661" s="112"/>
      <c r="N16661" s="84"/>
    </row>
    <row r="16662" spans="1:14" s="2" customFormat="1">
      <c r="A16662" s="83"/>
      <c r="H16662" s="83"/>
      <c r="K16662" s="82"/>
      <c r="M16662" s="112"/>
      <c r="N16662" s="84"/>
    </row>
    <row r="16663" spans="1:14" s="2" customFormat="1">
      <c r="A16663" s="83"/>
      <c r="H16663" s="83"/>
      <c r="K16663" s="82"/>
      <c r="M16663" s="112"/>
      <c r="N16663" s="84"/>
    </row>
    <row r="16664" spans="1:14" s="2" customFormat="1">
      <c r="A16664" s="83"/>
      <c r="H16664" s="83"/>
      <c r="K16664" s="82"/>
      <c r="M16664" s="112"/>
      <c r="N16664" s="84"/>
    </row>
    <row r="16665" spans="1:14" s="2" customFormat="1">
      <c r="A16665" s="83"/>
      <c r="H16665" s="83"/>
      <c r="K16665" s="82"/>
      <c r="M16665" s="112"/>
      <c r="N16665" s="84"/>
    </row>
    <row r="16666" spans="1:14" s="2" customFormat="1">
      <c r="A16666" s="83"/>
      <c r="H16666" s="83"/>
      <c r="K16666" s="82"/>
      <c r="M16666" s="112"/>
      <c r="N16666" s="84"/>
    </row>
    <row r="16667" spans="1:14" s="2" customFormat="1">
      <c r="A16667" s="83"/>
      <c r="H16667" s="83"/>
      <c r="K16667" s="82"/>
      <c r="M16667" s="112"/>
      <c r="N16667" s="84"/>
    </row>
    <row r="16668" spans="1:14" s="2" customFormat="1">
      <c r="A16668" s="83"/>
      <c r="H16668" s="83"/>
      <c r="K16668" s="82"/>
      <c r="M16668" s="112"/>
      <c r="N16668" s="84"/>
    </row>
    <row r="16669" spans="1:14" s="2" customFormat="1">
      <c r="A16669" s="83"/>
      <c r="H16669" s="83"/>
      <c r="K16669" s="82"/>
      <c r="M16669" s="112"/>
      <c r="N16669" s="84"/>
    </row>
    <row r="16670" spans="1:14" s="2" customFormat="1">
      <c r="A16670" s="83"/>
      <c r="H16670" s="83"/>
      <c r="K16670" s="82"/>
      <c r="M16670" s="112"/>
      <c r="N16670" s="84"/>
    </row>
    <row r="16671" spans="1:14" s="2" customFormat="1">
      <c r="A16671" s="83"/>
      <c r="H16671" s="83"/>
      <c r="K16671" s="82"/>
      <c r="M16671" s="112"/>
      <c r="N16671" s="84"/>
    </row>
    <row r="16672" spans="1:14" s="2" customFormat="1">
      <c r="A16672" s="83"/>
      <c r="H16672" s="83"/>
      <c r="K16672" s="82"/>
      <c r="M16672" s="112"/>
      <c r="N16672" s="84"/>
    </row>
    <row r="16673" spans="1:14" s="2" customFormat="1">
      <c r="A16673" s="83"/>
      <c r="H16673" s="83"/>
      <c r="K16673" s="82"/>
      <c r="M16673" s="112"/>
      <c r="N16673" s="84"/>
    </row>
    <row r="16674" spans="1:14" s="2" customFormat="1">
      <c r="A16674" s="83"/>
      <c r="H16674" s="83"/>
      <c r="K16674" s="82"/>
      <c r="M16674" s="112"/>
      <c r="N16674" s="84"/>
    </row>
    <row r="16675" spans="1:14" s="2" customFormat="1">
      <c r="A16675" s="83"/>
      <c r="H16675" s="83"/>
      <c r="K16675" s="82"/>
      <c r="M16675" s="112"/>
      <c r="N16675" s="84"/>
    </row>
    <row r="16676" spans="1:14" s="2" customFormat="1">
      <c r="A16676" s="83"/>
      <c r="H16676" s="83"/>
      <c r="K16676" s="82"/>
      <c r="M16676" s="112"/>
      <c r="N16676" s="84"/>
    </row>
    <row r="16677" spans="1:14" s="2" customFormat="1">
      <c r="A16677" s="83"/>
      <c r="H16677" s="83"/>
      <c r="K16677" s="82"/>
      <c r="M16677" s="112"/>
      <c r="N16677" s="84"/>
    </row>
    <row r="16678" spans="1:14" s="2" customFormat="1">
      <c r="A16678" s="83"/>
      <c r="H16678" s="83"/>
      <c r="K16678" s="82"/>
      <c r="M16678" s="112"/>
      <c r="N16678" s="84"/>
    </row>
    <row r="16679" spans="1:14" s="2" customFormat="1">
      <c r="A16679" s="83"/>
      <c r="H16679" s="83"/>
      <c r="K16679" s="82"/>
      <c r="M16679" s="112"/>
      <c r="N16679" s="84"/>
    </row>
    <row r="16680" spans="1:14" s="2" customFormat="1">
      <c r="A16680" s="83"/>
      <c r="H16680" s="83"/>
      <c r="K16680" s="82"/>
      <c r="M16680" s="112"/>
      <c r="N16680" s="84"/>
    </row>
    <row r="16681" spans="1:14" s="2" customFormat="1">
      <c r="A16681" s="83"/>
      <c r="H16681" s="83"/>
      <c r="K16681" s="82"/>
      <c r="M16681" s="112"/>
      <c r="N16681" s="84"/>
    </row>
    <row r="16682" spans="1:14" s="2" customFormat="1">
      <c r="A16682" s="83"/>
      <c r="H16682" s="83"/>
      <c r="K16682" s="82"/>
      <c r="M16682" s="112"/>
      <c r="N16682" s="84"/>
    </row>
    <row r="16683" spans="1:14" s="2" customFormat="1">
      <c r="A16683" s="83"/>
      <c r="H16683" s="83"/>
      <c r="K16683" s="82"/>
      <c r="M16683" s="112"/>
      <c r="N16683" s="84"/>
    </row>
    <row r="16684" spans="1:14" s="2" customFormat="1">
      <c r="A16684" s="83"/>
      <c r="H16684" s="83"/>
      <c r="K16684" s="82"/>
      <c r="M16684" s="112"/>
      <c r="N16684" s="84"/>
    </row>
    <row r="16685" spans="1:14" s="2" customFormat="1">
      <c r="A16685" s="83"/>
      <c r="H16685" s="83"/>
      <c r="K16685" s="82"/>
      <c r="M16685" s="112"/>
      <c r="N16685" s="84"/>
    </row>
    <row r="16686" spans="1:14" s="2" customFormat="1">
      <c r="A16686" s="83"/>
      <c r="H16686" s="83"/>
      <c r="K16686" s="82"/>
      <c r="M16686" s="112"/>
      <c r="N16686" s="84"/>
    </row>
    <row r="16687" spans="1:14" s="2" customFormat="1">
      <c r="A16687" s="83"/>
      <c r="H16687" s="83"/>
      <c r="K16687" s="82"/>
      <c r="M16687" s="112"/>
      <c r="N16687" s="84"/>
    </row>
    <row r="16688" spans="1:14" s="2" customFormat="1">
      <c r="A16688" s="83"/>
      <c r="H16688" s="83"/>
      <c r="K16688" s="82"/>
      <c r="M16688" s="112"/>
      <c r="N16688" s="84"/>
    </row>
    <row r="16689" spans="1:14" s="2" customFormat="1">
      <c r="A16689" s="83"/>
      <c r="H16689" s="83"/>
      <c r="K16689" s="82"/>
      <c r="M16689" s="112"/>
      <c r="N16689" s="84"/>
    </row>
    <row r="16690" spans="1:14" s="2" customFormat="1">
      <c r="A16690" s="83"/>
      <c r="H16690" s="83"/>
      <c r="K16690" s="82"/>
      <c r="M16690" s="112"/>
      <c r="N16690" s="84"/>
    </row>
    <row r="16691" spans="1:14" s="2" customFormat="1">
      <c r="A16691" s="83"/>
      <c r="H16691" s="83"/>
      <c r="K16691" s="82"/>
      <c r="M16691" s="112"/>
      <c r="N16691" s="84"/>
    </row>
    <row r="16692" spans="1:14" s="2" customFormat="1">
      <c r="A16692" s="83"/>
      <c r="H16692" s="83"/>
      <c r="K16692" s="82"/>
      <c r="M16692" s="112"/>
      <c r="N16692" s="84"/>
    </row>
    <row r="16693" spans="1:14" s="2" customFormat="1">
      <c r="A16693" s="83"/>
      <c r="H16693" s="83"/>
      <c r="K16693" s="82"/>
      <c r="M16693" s="112"/>
      <c r="N16693" s="84"/>
    </row>
    <row r="16694" spans="1:14" s="2" customFormat="1">
      <c r="A16694" s="83"/>
      <c r="H16694" s="83"/>
      <c r="K16694" s="82"/>
      <c r="M16694" s="112"/>
      <c r="N16694" s="84"/>
    </row>
    <row r="16695" spans="1:14" s="2" customFormat="1">
      <c r="A16695" s="83"/>
      <c r="H16695" s="83"/>
      <c r="K16695" s="82"/>
      <c r="M16695" s="112"/>
      <c r="N16695" s="84"/>
    </row>
    <row r="16696" spans="1:14" s="2" customFormat="1">
      <c r="A16696" s="83"/>
      <c r="H16696" s="83"/>
      <c r="K16696" s="82"/>
      <c r="M16696" s="112"/>
      <c r="N16696" s="84"/>
    </row>
    <row r="16697" spans="1:14" s="2" customFormat="1">
      <c r="A16697" s="83"/>
      <c r="H16697" s="83"/>
      <c r="K16697" s="82"/>
      <c r="M16697" s="112"/>
      <c r="N16697" s="84"/>
    </row>
    <row r="16698" spans="1:14" s="2" customFormat="1">
      <c r="A16698" s="83"/>
      <c r="H16698" s="83"/>
      <c r="K16698" s="82"/>
      <c r="M16698" s="112"/>
      <c r="N16698" s="84"/>
    </row>
    <row r="16699" spans="1:14" s="2" customFormat="1">
      <c r="A16699" s="83"/>
      <c r="H16699" s="83"/>
      <c r="K16699" s="82"/>
      <c r="M16699" s="112"/>
      <c r="N16699" s="84"/>
    </row>
    <row r="16700" spans="1:14" s="2" customFormat="1">
      <c r="A16700" s="83"/>
      <c r="H16700" s="83"/>
      <c r="K16700" s="82"/>
      <c r="M16700" s="112"/>
      <c r="N16700" s="84"/>
    </row>
    <row r="16701" spans="1:14" s="2" customFormat="1">
      <c r="A16701" s="83"/>
      <c r="H16701" s="83"/>
      <c r="K16701" s="82"/>
      <c r="M16701" s="112"/>
      <c r="N16701" s="84"/>
    </row>
    <row r="16702" spans="1:14" s="2" customFormat="1">
      <c r="A16702" s="83"/>
      <c r="H16702" s="83"/>
      <c r="K16702" s="82"/>
      <c r="M16702" s="112"/>
      <c r="N16702" s="84"/>
    </row>
    <row r="16703" spans="1:14" s="2" customFormat="1">
      <c r="A16703" s="83"/>
      <c r="H16703" s="83"/>
      <c r="K16703" s="82"/>
      <c r="M16703" s="112"/>
      <c r="N16703" s="84"/>
    </row>
    <row r="16704" spans="1:14" s="2" customFormat="1">
      <c r="A16704" s="83"/>
      <c r="H16704" s="83"/>
      <c r="K16704" s="82"/>
      <c r="M16704" s="112"/>
      <c r="N16704" s="84"/>
    </row>
    <row r="16705" spans="1:14" s="2" customFormat="1">
      <c r="A16705" s="83"/>
      <c r="H16705" s="83"/>
      <c r="K16705" s="82"/>
      <c r="M16705" s="112"/>
      <c r="N16705" s="84"/>
    </row>
    <row r="16706" spans="1:14" s="2" customFormat="1">
      <c r="A16706" s="83"/>
      <c r="H16706" s="83"/>
      <c r="K16706" s="82"/>
      <c r="M16706" s="112"/>
      <c r="N16706" s="84"/>
    </row>
    <row r="16707" spans="1:14" s="2" customFormat="1">
      <c r="A16707" s="83"/>
      <c r="H16707" s="83"/>
      <c r="K16707" s="82"/>
      <c r="M16707" s="112"/>
      <c r="N16707" s="84"/>
    </row>
    <row r="16708" spans="1:14" s="2" customFormat="1">
      <c r="A16708" s="83"/>
      <c r="H16708" s="83"/>
      <c r="K16708" s="82"/>
      <c r="M16708" s="112"/>
      <c r="N16708" s="84"/>
    </row>
    <row r="16709" spans="1:14" s="2" customFormat="1">
      <c r="A16709" s="83"/>
      <c r="H16709" s="83"/>
      <c r="K16709" s="82"/>
      <c r="M16709" s="112"/>
      <c r="N16709" s="84"/>
    </row>
    <row r="16710" spans="1:14" s="2" customFormat="1">
      <c r="A16710" s="83"/>
      <c r="H16710" s="83"/>
      <c r="K16710" s="82"/>
      <c r="M16710" s="112"/>
      <c r="N16710" s="84"/>
    </row>
    <row r="16711" spans="1:14" s="2" customFormat="1">
      <c r="A16711" s="83"/>
      <c r="H16711" s="83"/>
      <c r="K16711" s="82"/>
      <c r="M16711" s="112"/>
      <c r="N16711" s="84"/>
    </row>
    <row r="16712" spans="1:14" s="2" customFormat="1">
      <c r="A16712" s="83"/>
      <c r="H16712" s="83"/>
      <c r="K16712" s="82"/>
      <c r="M16712" s="112"/>
      <c r="N16712" s="84"/>
    </row>
    <row r="16713" spans="1:14" s="2" customFormat="1">
      <c r="A16713" s="83"/>
      <c r="H16713" s="83"/>
      <c r="K16713" s="82"/>
      <c r="M16713" s="112"/>
      <c r="N16713" s="84"/>
    </row>
    <row r="16714" spans="1:14" s="2" customFormat="1">
      <c r="A16714" s="83"/>
      <c r="H16714" s="83"/>
      <c r="K16714" s="82"/>
      <c r="M16714" s="112"/>
      <c r="N16714" s="84"/>
    </row>
    <row r="16715" spans="1:14" s="2" customFormat="1">
      <c r="A16715" s="83"/>
      <c r="H16715" s="83"/>
      <c r="K16715" s="82"/>
      <c r="M16715" s="112"/>
      <c r="N16715" s="84"/>
    </row>
    <row r="16716" spans="1:14" s="2" customFormat="1">
      <c r="A16716" s="83"/>
      <c r="H16716" s="83"/>
      <c r="K16716" s="82"/>
      <c r="M16716" s="112"/>
      <c r="N16716" s="84"/>
    </row>
    <row r="16717" spans="1:14" s="2" customFormat="1">
      <c r="A16717" s="83"/>
      <c r="H16717" s="83"/>
      <c r="K16717" s="82"/>
      <c r="M16717" s="112"/>
      <c r="N16717" s="84"/>
    </row>
    <row r="16718" spans="1:14" s="2" customFormat="1">
      <c r="A16718" s="83"/>
      <c r="H16718" s="83"/>
      <c r="K16718" s="82"/>
      <c r="M16718" s="112"/>
      <c r="N16718" s="84"/>
    </row>
    <row r="16719" spans="1:14" s="2" customFormat="1">
      <c r="A16719" s="83"/>
      <c r="H16719" s="83"/>
      <c r="K16719" s="82"/>
      <c r="M16719" s="112"/>
      <c r="N16719" s="84"/>
    </row>
    <row r="16720" spans="1:14" s="2" customFormat="1">
      <c r="A16720" s="83"/>
      <c r="H16720" s="83"/>
      <c r="K16720" s="82"/>
      <c r="M16720" s="112"/>
      <c r="N16720" s="84"/>
    </row>
    <row r="16721" spans="1:14" s="2" customFormat="1">
      <c r="A16721" s="83"/>
      <c r="H16721" s="83"/>
      <c r="K16721" s="82"/>
      <c r="M16721" s="112"/>
      <c r="N16721" s="84"/>
    </row>
    <row r="16722" spans="1:14" s="2" customFormat="1">
      <c r="A16722" s="83"/>
      <c r="H16722" s="83"/>
      <c r="K16722" s="82"/>
      <c r="M16722" s="112"/>
      <c r="N16722" s="84"/>
    </row>
    <row r="16723" spans="1:14" s="2" customFormat="1">
      <c r="A16723" s="83"/>
      <c r="H16723" s="83"/>
      <c r="K16723" s="82"/>
      <c r="M16723" s="112"/>
      <c r="N16723" s="84"/>
    </row>
    <row r="16724" spans="1:14" s="2" customFormat="1">
      <c r="A16724" s="83"/>
      <c r="H16724" s="83"/>
      <c r="K16724" s="82"/>
      <c r="M16724" s="112"/>
      <c r="N16724" s="84"/>
    </row>
    <row r="16725" spans="1:14" s="2" customFormat="1">
      <c r="A16725" s="83"/>
      <c r="H16725" s="83"/>
      <c r="K16725" s="82"/>
      <c r="M16725" s="112"/>
      <c r="N16725" s="84"/>
    </row>
    <row r="16726" spans="1:14" s="2" customFormat="1">
      <c r="A16726" s="83"/>
      <c r="H16726" s="83"/>
      <c r="K16726" s="82"/>
      <c r="M16726" s="112"/>
      <c r="N16726" s="84"/>
    </row>
    <row r="16727" spans="1:14" s="2" customFormat="1">
      <c r="A16727" s="83"/>
      <c r="H16727" s="83"/>
      <c r="K16727" s="82"/>
      <c r="M16727" s="112"/>
      <c r="N16727" s="84"/>
    </row>
    <row r="16728" spans="1:14" s="2" customFormat="1">
      <c r="A16728" s="83"/>
      <c r="H16728" s="83"/>
      <c r="K16728" s="82"/>
      <c r="M16728" s="112"/>
      <c r="N16728" s="84"/>
    </row>
    <row r="16729" spans="1:14" s="2" customFormat="1">
      <c r="A16729" s="83"/>
      <c r="H16729" s="83"/>
      <c r="K16729" s="82"/>
      <c r="M16729" s="112"/>
      <c r="N16729" s="84"/>
    </row>
    <row r="16730" spans="1:14" s="2" customFormat="1">
      <c r="A16730" s="83"/>
      <c r="H16730" s="83"/>
      <c r="K16730" s="82"/>
      <c r="M16730" s="112"/>
      <c r="N16730" s="84"/>
    </row>
    <row r="16731" spans="1:14" s="2" customFormat="1">
      <c r="A16731" s="83"/>
      <c r="H16731" s="83"/>
      <c r="K16731" s="82"/>
      <c r="M16731" s="112"/>
      <c r="N16731" s="84"/>
    </row>
    <row r="16732" spans="1:14" s="2" customFormat="1">
      <c r="A16732" s="83"/>
      <c r="H16732" s="83"/>
      <c r="K16732" s="82"/>
      <c r="M16732" s="112"/>
      <c r="N16732" s="84"/>
    </row>
    <row r="16733" spans="1:14" s="2" customFormat="1">
      <c r="A16733" s="83"/>
      <c r="H16733" s="83"/>
      <c r="K16733" s="82"/>
      <c r="M16733" s="112"/>
      <c r="N16733" s="84"/>
    </row>
    <row r="16734" spans="1:14" s="2" customFormat="1">
      <c r="A16734" s="83"/>
      <c r="H16734" s="83"/>
      <c r="K16734" s="82"/>
      <c r="M16734" s="112"/>
      <c r="N16734" s="84"/>
    </row>
    <row r="16735" spans="1:14" s="2" customFormat="1">
      <c r="A16735" s="83"/>
      <c r="H16735" s="83"/>
      <c r="K16735" s="82"/>
      <c r="M16735" s="112"/>
      <c r="N16735" s="84"/>
    </row>
    <row r="16736" spans="1:14" s="2" customFormat="1">
      <c r="A16736" s="83"/>
      <c r="H16736" s="83"/>
      <c r="K16736" s="82"/>
      <c r="M16736" s="112"/>
      <c r="N16736" s="84"/>
    </row>
    <row r="16737" spans="1:14" s="2" customFormat="1">
      <c r="A16737" s="83"/>
      <c r="H16737" s="83"/>
      <c r="K16737" s="82"/>
      <c r="M16737" s="112"/>
      <c r="N16737" s="84"/>
    </row>
    <row r="16738" spans="1:14" s="2" customFormat="1">
      <c r="A16738" s="83"/>
      <c r="H16738" s="83"/>
      <c r="K16738" s="82"/>
      <c r="M16738" s="112"/>
      <c r="N16738" s="84"/>
    </row>
    <row r="16739" spans="1:14" s="2" customFormat="1">
      <c r="A16739" s="83"/>
      <c r="H16739" s="83"/>
      <c r="K16739" s="82"/>
      <c r="M16739" s="112"/>
      <c r="N16739" s="84"/>
    </row>
    <row r="16740" spans="1:14" s="2" customFormat="1">
      <c r="A16740" s="83"/>
      <c r="H16740" s="83"/>
      <c r="K16740" s="82"/>
      <c r="M16740" s="112"/>
      <c r="N16740" s="84"/>
    </row>
    <row r="16741" spans="1:14" s="2" customFormat="1">
      <c r="A16741" s="83"/>
      <c r="H16741" s="83"/>
      <c r="K16741" s="82"/>
      <c r="M16741" s="112"/>
      <c r="N16741" s="84"/>
    </row>
    <row r="16742" spans="1:14" s="2" customFormat="1">
      <c r="A16742" s="83"/>
      <c r="H16742" s="83"/>
      <c r="K16742" s="82"/>
      <c r="M16742" s="112"/>
      <c r="N16742" s="84"/>
    </row>
    <row r="16743" spans="1:14" s="2" customFormat="1">
      <c r="A16743" s="83"/>
      <c r="H16743" s="83"/>
      <c r="K16743" s="82"/>
      <c r="M16743" s="112"/>
      <c r="N16743" s="84"/>
    </row>
    <row r="16744" spans="1:14" s="2" customFormat="1">
      <c r="A16744" s="83"/>
      <c r="H16744" s="83"/>
      <c r="K16744" s="82"/>
      <c r="M16744" s="112"/>
      <c r="N16744" s="84"/>
    </row>
    <row r="16745" spans="1:14" s="2" customFormat="1">
      <c r="A16745" s="83"/>
      <c r="H16745" s="83"/>
      <c r="K16745" s="82"/>
      <c r="M16745" s="112"/>
      <c r="N16745" s="84"/>
    </row>
    <row r="16746" spans="1:14" s="2" customFormat="1">
      <c r="A16746" s="83"/>
      <c r="H16746" s="83"/>
      <c r="K16746" s="82"/>
      <c r="M16746" s="112"/>
      <c r="N16746" s="84"/>
    </row>
    <row r="16747" spans="1:14" s="2" customFormat="1">
      <c r="A16747" s="83"/>
      <c r="H16747" s="83"/>
      <c r="K16747" s="82"/>
      <c r="M16747" s="112"/>
      <c r="N16747" s="84"/>
    </row>
    <row r="16748" spans="1:14" s="2" customFormat="1">
      <c r="A16748" s="83"/>
      <c r="H16748" s="83"/>
      <c r="K16748" s="82"/>
      <c r="M16748" s="112"/>
      <c r="N16748" s="84"/>
    </row>
    <row r="16749" spans="1:14" s="2" customFormat="1">
      <c r="A16749" s="83"/>
      <c r="H16749" s="83"/>
      <c r="K16749" s="82"/>
      <c r="M16749" s="112"/>
      <c r="N16749" s="84"/>
    </row>
    <row r="16750" spans="1:14" s="2" customFormat="1">
      <c r="A16750" s="83"/>
      <c r="H16750" s="83"/>
      <c r="K16750" s="82"/>
      <c r="M16750" s="112"/>
      <c r="N16750" s="84"/>
    </row>
    <row r="16751" spans="1:14" s="2" customFormat="1">
      <c r="A16751" s="83"/>
      <c r="H16751" s="83"/>
      <c r="K16751" s="82"/>
      <c r="M16751" s="112"/>
      <c r="N16751" s="84"/>
    </row>
    <row r="16752" spans="1:14" s="2" customFormat="1">
      <c r="A16752" s="83"/>
      <c r="H16752" s="83"/>
      <c r="K16752" s="82"/>
      <c r="M16752" s="112"/>
      <c r="N16752" s="84"/>
    </row>
    <row r="16753" spans="1:14" s="2" customFormat="1">
      <c r="A16753" s="83"/>
      <c r="H16753" s="83"/>
      <c r="K16753" s="82"/>
      <c r="M16753" s="112"/>
      <c r="N16753" s="84"/>
    </row>
    <row r="16754" spans="1:14" s="2" customFormat="1">
      <c r="A16754" s="83"/>
      <c r="H16754" s="83"/>
      <c r="K16754" s="82"/>
      <c r="M16754" s="112"/>
      <c r="N16754" s="84"/>
    </row>
    <row r="16755" spans="1:14" s="2" customFormat="1">
      <c r="A16755" s="83"/>
      <c r="H16755" s="83"/>
      <c r="K16755" s="82"/>
      <c r="M16755" s="112"/>
      <c r="N16755" s="84"/>
    </row>
    <row r="16756" spans="1:14" s="2" customFormat="1">
      <c r="A16756" s="83"/>
      <c r="H16756" s="83"/>
      <c r="K16756" s="82"/>
      <c r="M16756" s="112"/>
      <c r="N16756" s="84"/>
    </row>
    <row r="16757" spans="1:14" s="2" customFormat="1">
      <c r="A16757" s="83"/>
      <c r="H16757" s="83"/>
      <c r="K16757" s="82"/>
      <c r="M16757" s="112"/>
      <c r="N16757" s="84"/>
    </row>
    <row r="16758" spans="1:14" s="2" customFormat="1">
      <c r="A16758" s="83"/>
      <c r="H16758" s="83"/>
      <c r="K16758" s="82"/>
      <c r="M16758" s="112"/>
      <c r="N16758" s="84"/>
    </row>
    <row r="16759" spans="1:14" s="2" customFormat="1">
      <c r="A16759" s="83"/>
      <c r="H16759" s="83"/>
      <c r="K16759" s="82"/>
      <c r="M16759" s="112"/>
      <c r="N16759" s="84"/>
    </row>
    <row r="16760" spans="1:14" s="2" customFormat="1">
      <c r="A16760" s="83"/>
      <c r="H16760" s="83"/>
      <c r="K16760" s="82"/>
      <c r="M16760" s="112"/>
      <c r="N16760" s="84"/>
    </row>
    <row r="16761" spans="1:14" s="2" customFormat="1">
      <c r="A16761" s="83"/>
      <c r="H16761" s="83"/>
      <c r="K16761" s="82"/>
      <c r="M16761" s="112"/>
      <c r="N16761" s="84"/>
    </row>
    <row r="16762" spans="1:14" s="2" customFormat="1">
      <c r="A16762" s="83"/>
      <c r="H16762" s="83"/>
      <c r="K16762" s="82"/>
      <c r="M16762" s="112"/>
      <c r="N16762" s="84"/>
    </row>
    <row r="16763" spans="1:14" s="2" customFormat="1">
      <c r="A16763" s="83"/>
      <c r="H16763" s="83"/>
      <c r="K16763" s="82"/>
      <c r="M16763" s="112"/>
      <c r="N16763" s="84"/>
    </row>
    <row r="16764" spans="1:14" s="2" customFormat="1">
      <c r="A16764" s="83"/>
      <c r="H16764" s="83"/>
      <c r="K16764" s="82"/>
      <c r="M16764" s="112"/>
      <c r="N16764" s="84"/>
    </row>
    <row r="16765" spans="1:14" s="2" customFormat="1">
      <c r="A16765" s="83"/>
      <c r="H16765" s="83"/>
      <c r="K16765" s="82"/>
      <c r="M16765" s="112"/>
      <c r="N16765" s="84"/>
    </row>
    <row r="16766" spans="1:14" s="2" customFormat="1">
      <c r="A16766" s="83"/>
      <c r="H16766" s="83"/>
      <c r="K16766" s="82"/>
      <c r="M16766" s="112"/>
      <c r="N16766" s="84"/>
    </row>
    <row r="16767" spans="1:14" s="2" customFormat="1">
      <c r="A16767" s="83"/>
      <c r="H16767" s="83"/>
      <c r="K16767" s="82"/>
      <c r="M16767" s="112"/>
      <c r="N16767" s="84"/>
    </row>
    <row r="16768" spans="1:14" s="2" customFormat="1">
      <c r="A16768" s="83"/>
      <c r="H16768" s="83"/>
      <c r="K16768" s="82"/>
      <c r="M16768" s="112"/>
      <c r="N16768" s="84"/>
    </row>
    <row r="16769" spans="1:14" s="2" customFormat="1">
      <c r="A16769" s="83"/>
      <c r="H16769" s="83"/>
      <c r="K16769" s="82"/>
      <c r="M16769" s="112"/>
      <c r="N16769" s="84"/>
    </row>
    <row r="16770" spans="1:14" s="2" customFormat="1">
      <c r="A16770" s="83"/>
      <c r="H16770" s="83"/>
      <c r="K16770" s="82"/>
      <c r="M16770" s="112"/>
      <c r="N16770" s="84"/>
    </row>
    <row r="16771" spans="1:14" s="2" customFormat="1">
      <c r="A16771" s="83"/>
      <c r="H16771" s="83"/>
      <c r="K16771" s="82"/>
      <c r="M16771" s="112"/>
      <c r="N16771" s="84"/>
    </row>
    <row r="16772" spans="1:14" s="2" customFormat="1">
      <c r="A16772" s="83"/>
      <c r="H16772" s="83"/>
      <c r="K16772" s="82"/>
      <c r="M16772" s="112"/>
      <c r="N16772" s="84"/>
    </row>
    <row r="16773" spans="1:14" s="2" customFormat="1">
      <c r="A16773" s="83"/>
      <c r="H16773" s="83"/>
      <c r="K16773" s="82"/>
      <c r="M16773" s="112"/>
      <c r="N16773" s="84"/>
    </row>
    <row r="16774" spans="1:14" s="2" customFormat="1">
      <c r="A16774" s="83"/>
      <c r="H16774" s="83"/>
      <c r="K16774" s="82"/>
      <c r="M16774" s="112"/>
      <c r="N16774" s="84"/>
    </row>
    <row r="16775" spans="1:14" s="2" customFormat="1">
      <c r="A16775" s="83"/>
      <c r="H16775" s="83"/>
      <c r="K16775" s="82"/>
      <c r="M16775" s="112"/>
      <c r="N16775" s="84"/>
    </row>
    <row r="16776" spans="1:14" s="2" customFormat="1">
      <c r="A16776" s="83"/>
      <c r="H16776" s="83"/>
      <c r="K16776" s="82"/>
      <c r="M16776" s="112"/>
      <c r="N16776" s="84"/>
    </row>
    <row r="16777" spans="1:14" s="2" customFormat="1">
      <c r="A16777" s="83"/>
      <c r="H16777" s="83"/>
      <c r="K16777" s="82"/>
      <c r="M16777" s="112"/>
      <c r="N16777" s="84"/>
    </row>
    <row r="16778" spans="1:14" s="2" customFormat="1">
      <c r="A16778" s="83"/>
      <c r="H16778" s="83"/>
      <c r="K16778" s="82"/>
      <c r="M16778" s="112"/>
      <c r="N16778" s="84"/>
    </row>
    <row r="16779" spans="1:14" s="2" customFormat="1">
      <c r="A16779" s="83"/>
      <c r="H16779" s="83"/>
      <c r="K16779" s="82"/>
      <c r="M16779" s="112"/>
      <c r="N16779" s="84"/>
    </row>
    <row r="16780" spans="1:14" s="2" customFormat="1">
      <c r="A16780" s="83"/>
      <c r="H16780" s="83"/>
      <c r="K16780" s="82"/>
      <c r="M16780" s="112"/>
      <c r="N16780" s="84"/>
    </row>
    <row r="16781" spans="1:14" s="2" customFormat="1">
      <c r="A16781" s="83"/>
      <c r="H16781" s="83"/>
      <c r="K16781" s="82"/>
      <c r="M16781" s="112"/>
      <c r="N16781" s="84"/>
    </row>
    <row r="16782" spans="1:14" s="2" customFormat="1">
      <c r="A16782" s="83"/>
      <c r="H16782" s="83"/>
      <c r="K16782" s="82"/>
      <c r="M16782" s="112"/>
      <c r="N16782" s="84"/>
    </row>
    <row r="16783" spans="1:14" s="2" customFormat="1">
      <c r="A16783" s="83"/>
      <c r="H16783" s="83"/>
      <c r="K16783" s="82"/>
      <c r="M16783" s="112"/>
      <c r="N16783" s="84"/>
    </row>
    <row r="16784" spans="1:14" s="2" customFormat="1">
      <c r="A16784" s="83"/>
      <c r="H16784" s="83"/>
      <c r="K16784" s="82"/>
      <c r="M16784" s="112"/>
      <c r="N16784" s="84"/>
    </row>
    <row r="16785" spans="1:14" s="2" customFormat="1">
      <c r="A16785" s="83"/>
      <c r="H16785" s="83"/>
      <c r="K16785" s="82"/>
      <c r="M16785" s="112"/>
      <c r="N16785" s="84"/>
    </row>
    <row r="16786" spans="1:14" s="2" customFormat="1">
      <c r="A16786" s="83"/>
      <c r="H16786" s="83"/>
      <c r="K16786" s="82"/>
      <c r="M16786" s="112"/>
      <c r="N16786" s="84"/>
    </row>
    <row r="16787" spans="1:14" s="2" customFormat="1">
      <c r="A16787" s="83"/>
      <c r="H16787" s="83"/>
      <c r="K16787" s="82"/>
      <c r="M16787" s="112"/>
      <c r="N16787" s="84"/>
    </row>
    <row r="16788" spans="1:14" s="2" customFormat="1">
      <c r="A16788" s="83"/>
      <c r="H16788" s="83"/>
      <c r="K16788" s="82"/>
      <c r="M16788" s="112"/>
      <c r="N16788" s="84"/>
    </row>
    <row r="16789" spans="1:14" s="2" customFormat="1">
      <c r="A16789" s="83"/>
      <c r="H16789" s="83"/>
      <c r="K16789" s="82"/>
      <c r="M16789" s="112"/>
      <c r="N16789" s="84"/>
    </row>
    <row r="16790" spans="1:14" s="2" customFormat="1">
      <c r="A16790" s="83"/>
      <c r="H16790" s="83"/>
      <c r="K16790" s="82"/>
      <c r="M16790" s="112"/>
      <c r="N16790" s="84"/>
    </row>
    <row r="16791" spans="1:14" s="2" customFormat="1">
      <c r="A16791" s="83"/>
      <c r="H16791" s="83"/>
      <c r="K16791" s="82"/>
      <c r="M16791" s="112"/>
      <c r="N16791" s="84"/>
    </row>
    <row r="16792" spans="1:14" s="2" customFormat="1">
      <c r="A16792" s="83"/>
      <c r="H16792" s="83"/>
      <c r="K16792" s="82"/>
      <c r="M16792" s="112"/>
      <c r="N16792" s="84"/>
    </row>
    <row r="16793" spans="1:14" s="2" customFormat="1">
      <c r="A16793" s="83"/>
      <c r="H16793" s="83"/>
      <c r="K16793" s="82"/>
      <c r="M16793" s="112"/>
      <c r="N16793" s="84"/>
    </row>
    <row r="16794" spans="1:14" s="2" customFormat="1">
      <c r="A16794" s="83"/>
      <c r="H16794" s="83"/>
      <c r="K16794" s="82"/>
      <c r="M16794" s="112"/>
      <c r="N16794" s="84"/>
    </row>
    <row r="16795" spans="1:14" s="2" customFormat="1">
      <c r="A16795" s="83"/>
      <c r="H16795" s="83"/>
      <c r="K16795" s="82"/>
      <c r="M16795" s="112"/>
      <c r="N16795" s="84"/>
    </row>
    <row r="16796" spans="1:14" s="2" customFormat="1">
      <c r="A16796" s="83"/>
      <c r="H16796" s="83"/>
      <c r="K16796" s="82"/>
      <c r="M16796" s="112"/>
      <c r="N16796" s="84"/>
    </row>
    <row r="16797" spans="1:14" s="2" customFormat="1">
      <c r="A16797" s="83"/>
      <c r="H16797" s="83"/>
      <c r="K16797" s="82"/>
      <c r="M16797" s="112"/>
      <c r="N16797" s="84"/>
    </row>
    <row r="16798" spans="1:14" s="2" customFormat="1">
      <c r="A16798" s="83"/>
      <c r="H16798" s="83"/>
      <c r="K16798" s="82"/>
      <c r="M16798" s="112"/>
      <c r="N16798" s="84"/>
    </row>
    <row r="16799" spans="1:14" s="2" customFormat="1">
      <c r="A16799" s="83"/>
      <c r="H16799" s="83"/>
      <c r="K16799" s="82"/>
      <c r="M16799" s="112"/>
      <c r="N16799" s="84"/>
    </row>
    <row r="16800" spans="1:14" s="2" customFormat="1">
      <c r="A16800" s="83"/>
      <c r="H16800" s="83"/>
      <c r="K16800" s="82"/>
      <c r="M16800" s="112"/>
      <c r="N16800" s="84"/>
    </row>
    <row r="16801" spans="1:14" s="2" customFormat="1">
      <c r="A16801" s="83"/>
      <c r="H16801" s="83"/>
      <c r="K16801" s="82"/>
      <c r="M16801" s="112"/>
      <c r="N16801" s="84"/>
    </row>
    <row r="16802" spans="1:14" s="2" customFormat="1">
      <c r="A16802" s="83"/>
      <c r="H16802" s="83"/>
      <c r="K16802" s="82"/>
      <c r="M16802" s="112"/>
      <c r="N16802" s="84"/>
    </row>
    <row r="16803" spans="1:14" s="2" customFormat="1">
      <c r="A16803" s="83"/>
      <c r="H16803" s="83"/>
      <c r="K16803" s="82"/>
      <c r="M16803" s="112"/>
      <c r="N16803" s="84"/>
    </row>
    <row r="16804" spans="1:14" s="2" customFormat="1">
      <c r="A16804" s="83"/>
      <c r="H16804" s="83"/>
      <c r="K16804" s="82"/>
      <c r="M16804" s="112"/>
      <c r="N16804" s="84"/>
    </row>
    <row r="16805" spans="1:14" s="2" customFormat="1">
      <c r="A16805" s="83"/>
      <c r="H16805" s="83"/>
      <c r="K16805" s="82"/>
      <c r="M16805" s="112"/>
      <c r="N16805" s="84"/>
    </row>
    <row r="16806" spans="1:14" s="2" customFormat="1">
      <c r="A16806" s="83"/>
      <c r="H16806" s="83"/>
      <c r="K16806" s="82"/>
      <c r="M16806" s="112"/>
      <c r="N16806" s="84"/>
    </row>
    <row r="16807" spans="1:14" s="2" customFormat="1">
      <c r="A16807" s="83"/>
      <c r="H16807" s="83"/>
      <c r="K16807" s="82"/>
      <c r="M16807" s="112"/>
      <c r="N16807" s="84"/>
    </row>
    <row r="16808" spans="1:14" s="2" customFormat="1">
      <c r="A16808" s="83"/>
      <c r="H16808" s="83"/>
      <c r="K16808" s="82"/>
      <c r="M16808" s="112"/>
      <c r="N16808" s="84"/>
    </row>
    <row r="16809" spans="1:14" s="2" customFormat="1">
      <c r="A16809" s="83"/>
      <c r="H16809" s="83"/>
      <c r="K16809" s="82"/>
      <c r="M16809" s="112"/>
      <c r="N16809" s="84"/>
    </row>
    <row r="16810" spans="1:14" s="2" customFormat="1">
      <c r="A16810" s="83"/>
      <c r="H16810" s="83"/>
      <c r="K16810" s="82"/>
      <c r="M16810" s="112"/>
      <c r="N16810" s="84"/>
    </row>
    <row r="16811" spans="1:14" s="2" customFormat="1">
      <c r="A16811" s="83"/>
      <c r="H16811" s="83"/>
      <c r="K16811" s="82"/>
      <c r="M16811" s="112"/>
      <c r="N16811" s="84"/>
    </row>
    <row r="16812" spans="1:14" s="2" customFormat="1">
      <c r="A16812" s="83"/>
      <c r="H16812" s="83"/>
      <c r="K16812" s="82"/>
      <c r="M16812" s="112"/>
      <c r="N16812" s="84"/>
    </row>
    <row r="16813" spans="1:14" s="2" customFormat="1">
      <c r="A16813" s="83"/>
      <c r="H16813" s="83"/>
      <c r="K16813" s="82"/>
      <c r="M16813" s="112"/>
      <c r="N16813" s="84"/>
    </row>
    <row r="16814" spans="1:14" s="2" customFormat="1">
      <c r="A16814" s="83"/>
      <c r="H16814" s="83"/>
      <c r="K16814" s="82"/>
      <c r="M16814" s="112"/>
      <c r="N16814" s="84"/>
    </row>
    <row r="16815" spans="1:14" s="2" customFormat="1">
      <c r="A16815" s="83"/>
      <c r="H16815" s="83"/>
      <c r="K16815" s="82"/>
      <c r="M16815" s="112"/>
      <c r="N16815" s="84"/>
    </row>
    <row r="16816" spans="1:14" s="2" customFormat="1">
      <c r="A16816" s="83"/>
      <c r="H16816" s="83"/>
      <c r="K16816" s="82"/>
      <c r="M16816" s="112"/>
      <c r="N16816" s="84"/>
    </row>
    <row r="16817" spans="1:14" s="2" customFormat="1">
      <c r="A16817" s="83"/>
      <c r="H16817" s="83"/>
      <c r="K16817" s="82"/>
      <c r="M16817" s="112"/>
      <c r="N16817" s="84"/>
    </row>
    <row r="16818" spans="1:14" s="2" customFormat="1">
      <c r="A16818" s="83"/>
      <c r="H16818" s="83"/>
      <c r="K16818" s="82"/>
      <c r="M16818" s="112"/>
      <c r="N16818" s="84"/>
    </row>
    <row r="16819" spans="1:14" s="2" customFormat="1">
      <c r="A16819" s="83"/>
      <c r="H16819" s="83"/>
      <c r="K16819" s="82"/>
      <c r="M16819" s="112"/>
      <c r="N16819" s="84"/>
    </row>
    <row r="16820" spans="1:14" s="2" customFormat="1">
      <c r="A16820" s="83"/>
      <c r="H16820" s="83"/>
      <c r="K16820" s="82"/>
      <c r="M16820" s="112"/>
      <c r="N16820" s="84"/>
    </row>
    <row r="16821" spans="1:14" s="2" customFormat="1">
      <c r="A16821" s="83"/>
      <c r="H16821" s="83"/>
      <c r="K16821" s="82"/>
      <c r="M16821" s="112"/>
      <c r="N16821" s="84"/>
    </row>
    <row r="16822" spans="1:14" s="2" customFormat="1">
      <c r="A16822" s="83"/>
      <c r="H16822" s="83"/>
      <c r="K16822" s="82"/>
      <c r="M16822" s="112"/>
      <c r="N16822" s="84"/>
    </row>
    <row r="16823" spans="1:14" s="2" customFormat="1">
      <c r="A16823" s="83"/>
      <c r="H16823" s="83"/>
      <c r="K16823" s="82"/>
      <c r="M16823" s="112"/>
      <c r="N16823" s="84"/>
    </row>
    <row r="16824" spans="1:14" s="2" customFormat="1">
      <c r="A16824" s="83"/>
      <c r="H16824" s="83"/>
      <c r="K16824" s="82"/>
      <c r="M16824" s="112"/>
      <c r="N16824" s="84"/>
    </row>
    <row r="16825" spans="1:14" s="2" customFormat="1">
      <c r="A16825" s="83"/>
      <c r="H16825" s="83"/>
      <c r="K16825" s="82"/>
      <c r="M16825" s="112"/>
      <c r="N16825" s="84"/>
    </row>
    <row r="16826" spans="1:14" s="2" customFormat="1">
      <c r="A16826" s="83"/>
      <c r="H16826" s="83"/>
      <c r="K16826" s="82"/>
      <c r="M16826" s="112"/>
      <c r="N16826" s="84"/>
    </row>
    <row r="16827" spans="1:14" s="2" customFormat="1">
      <c r="A16827" s="83"/>
      <c r="H16827" s="83"/>
      <c r="K16827" s="82"/>
      <c r="M16827" s="112"/>
      <c r="N16827" s="84"/>
    </row>
    <row r="16828" spans="1:14" s="2" customFormat="1">
      <c r="A16828" s="83"/>
      <c r="H16828" s="83"/>
      <c r="K16828" s="82"/>
      <c r="M16828" s="112"/>
      <c r="N16828" s="84"/>
    </row>
    <row r="16829" spans="1:14" s="2" customFormat="1">
      <c r="A16829" s="83"/>
      <c r="H16829" s="83"/>
      <c r="K16829" s="82"/>
      <c r="M16829" s="112"/>
      <c r="N16829" s="84"/>
    </row>
    <row r="16830" spans="1:14" s="2" customFormat="1">
      <c r="A16830" s="83"/>
      <c r="H16830" s="83"/>
      <c r="K16830" s="82"/>
      <c r="M16830" s="112"/>
      <c r="N16830" s="84"/>
    </row>
    <row r="16831" spans="1:14" s="2" customFormat="1">
      <c r="A16831" s="83"/>
      <c r="H16831" s="83"/>
      <c r="K16831" s="82"/>
      <c r="M16831" s="112"/>
      <c r="N16831" s="84"/>
    </row>
    <row r="16832" spans="1:14" s="2" customFormat="1">
      <c r="A16832" s="83"/>
      <c r="H16832" s="83"/>
      <c r="K16832" s="82"/>
      <c r="M16832" s="112"/>
      <c r="N16832" s="84"/>
    </row>
    <row r="16833" spans="1:14" s="2" customFormat="1">
      <c r="A16833" s="83"/>
      <c r="H16833" s="83"/>
      <c r="K16833" s="82"/>
      <c r="M16833" s="112"/>
      <c r="N16833" s="84"/>
    </row>
    <row r="16834" spans="1:14" s="2" customFormat="1">
      <c r="A16834" s="83"/>
      <c r="H16834" s="83"/>
      <c r="K16834" s="82"/>
      <c r="M16834" s="112"/>
      <c r="N16834" s="84"/>
    </row>
    <row r="16835" spans="1:14" s="2" customFormat="1">
      <c r="A16835" s="83"/>
      <c r="H16835" s="83"/>
      <c r="K16835" s="82"/>
      <c r="M16835" s="112"/>
      <c r="N16835" s="84"/>
    </row>
    <row r="16836" spans="1:14" s="2" customFormat="1">
      <c r="A16836" s="83"/>
      <c r="H16836" s="83"/>
      <c r="K16836" s="82"/>
      <c r="M16836" s="112"/>
      <c r="N16836" s="84"/>
    </row>
    <row r="16837" spans="1:14" s="2" customFormat="1">
      <c r="A16837" s="83"/>
      <c r="H16837" s="83"/>
      <c r="K16837" s="82"/>
      <c r="M16837" s="112"/>
      <c r="N16837" s="84"/>
    </row>
    <row r="16838" spans="1:14" s="2" customFormat="1">
      <c r="A16838" s="83"/>
      <c r="H16838" s="83"/>
      <c r="K16838" s="82"/>
      <c r="M16838" s="112"/>
      <c r="N16838" s="84"/>
    </row>
    <row r="16839" spans="1:14" s="2" customFormat="1">
      <c r="A16839" s="83"/>
      <c r="H16839" s="83"/>
      <c r="K16839" s="82"/>
      <c r="M16839" s="112"/>
      <c r="N16839" s="84"/>
    </row>
    <row r="16840" spans="1:14" s="2" customFormat="1">
      <c r="A16840" s="83"/>
      <c r="H16840" s="83"/>
      <c r="K16840" s="82"/>
      <c r="M16840" s="112"/>
      <c r="N16840" s="84"/>
    </row>
    <row r="16841" spans="1:14" s="2" customFormat="1">
      <c r="A16841" s="83"/>
      <c r="H16841" s="83"/>
      <c r="K16841" s="82"/>
      <c r="M16841" s="112"/>
      <c r="N16841" s="84"/>
    </row>
    <row r="16842" spans="1:14" s="2" customFormat="1">
      <c r="A16842" s="83"/>
      <c r="H16842" s="83"/>
      <c r="K16842" s="82"/>
      <c r="M16842" s="112"/>
      <c r="N16842" s="84"/>
    </row>
    <row r="16843" spans="1:14" s="2" customFormat="1">
      <c r="A16843" s="83"/>
      <c r="H16843" s="83"/>
      <c r="K16843" s="82"/>
      <c r="M16843" s="112"/>
      <c r="N16843" s="84"/>
    </row>
    <row r="16844" spans="1:14" s="2" customFormat="1">
      <c r="A16844" s="83"/>
      <c r="H16844" s="83"/>
      <c r="K16844" s="82"/>
      <c r="M16844" s="112"/>
      <c r="N16844" s="84"/>
    </row>
    <row r="16845" spans="1:14" s="2" customFormat="1">
      <c r="A16845" s="83"/>
      <c r="H16845" s="83"/>
      <c r="K16845" s="82"/>
      <c r="M16845" s="112"/>
      <c r="N16845" s="84"/>
    </row>
    <row r="16846" spans="1:14" s="2" customFormat="1">
      <c r="A16846" s="83"/>
      <c r="H16846" s="83"/>
      <c r="K16846" s="82"/>
      <c r="M16846" s="112"/>
      <c r="N16846" s="84"/>
    </row>
    <row r="16847" spans="1:14" s="2" customFormat="1">
      <c r="A16847" s="83"/>
      <c r="H16847" s="83"/>
      <c r="K16847" s="82"/>
      <c r="M16847" s="112"/>
      <c r="N16847" s="84"/>
    </row>
    <row r="16848" spans="1:14" s="2" customFormat="1">
      <c r="A16848" s="83"/>
      <c r="H16848" s="83"/>
      <c r="K16848" s="82"/>
      <c r="M16848" s="112"/>
      <c r="N16848" s="84"/>
    </row>
    <row r="16849" spans="1:14" s="2" customFormat="1">
      <c r="A16849" s="83"/>
      <c r="H16849" s="83"/>
      <c r="K16849" s="82"/>
      <c r="M16849" s="112"/>
      <c r="N16849" s="84"/>
    </row>
    <row r="16850" spans="1:14" s="2" customFormat="1">
      <c r="A16850" s="83"/>
      <c r="H16850" s="83"/>
      <c r="K16850" s="82"/>
      <c r="M16850" s="112"/>
      <c r="N16850" s="84"/>
    </row>
    <row r="16851" spans="1:14" s="2" customFormat="1">
      <c r="A16851" s="83"/>
      <c r="H16851" s="83"/>
      <c r="K16851" s="82"/>
      <c r="M16851" s="112"/>
      <c r="N16851" s="84"/>
    </row>
    <row r="16852" spans="1:14" s="2" customFormat="1">
      <c r="A16852" s="83"/>
      <c r="H16852" s="83"/>
      <c r="K16852" s="82"/>
      <c r="M16852" s="112"/>
      <c r="N16852" s="84"/>
    </row>
    <row r="16853" spans="1:14" s="2" customFormat="1">
      <c r="A16853" s="83"/>
      <c r="H16853" s="83"/>
      <c r="K16853" s="82"/>
      <c r="M16853" s="112"/>
      <c r="N16853" s="84"/>
    </row>
    <row r="16854" spans="1:14" s="2" customFormat="1">
      <c r="A16854" s="83"/>
      <c r="H16854" s="83"/>
      <c r="K16854" s="82"/>
      <c r="M16854" s="112"/>
      <c r="N16854" s="84"/>
    </row>
    <row r="16855" spans="1:14" s="2" customFormat="1">
      <c r="A16855" s="83"/>
      <c r="H16855" s="83"/>
      <c r="K16855" s="82"/>
      <c r="M16855" s="112"/>
      <c r="N16855" s="84"/>
    </row>
    <row r="16856" spans="1:14" s="2" customFormat="1">
      <c r="A16856" s="83"/>
      <c r="H16856" s="83"/>
      <c r="K16856" s="82"/>
      <c r="M16856" s="112"/>
      <c r="N16856" s="84"/>
    </row>
    <row r="16857" spans="1:14" s="2" customFormat="1">
      <c r="A16857" s="83"/>
      <c r="H16857" s="83"/>
      <c r="K16857" s="82"/>
      <c r="M16857" s="112"/>
      <c r="N16857" s="84"/>
    </row>
    <row r="16858" spans="1:14" s="2" customFormat="1">
      <c r="A16858" s="83"/>
      <c r="H16858" s="83"/>
      <c r="K16858" s="82"/>
      <c r="M16858" s="112"/>
      <c r="N16858" s="84"/>
    </row>
    <row r="16859" spans="1:14" s="2" customFormat="1">
      <c r="A16859" s="83"/>
      <c r="H16859" s="83"/>
      <c r="K16859" s="82"/>
      <c r="M16859" s="112"/>
      <c r="N16859" s="84"/>
    </row>
    <row r="16860" spans="1:14" s="2" customFormat="1">
      <c r="A16860" s="83"/>
      <c r="H16860" s="83"/>
      <c r="K16860" s="82"/>
      <c r="M16860" s="112"/>
      <c r="N16860" s="84"/>
    </row>
    <row r="16861" spans="1:14" s="2" customFormat="1">
      <c r="A16861" s="83"/>
      <c r="H16861" s="83"/>
      <c r="K16861" s="82"/>
      <c r="M16861" s="112"/>
      <c r="N16861" s="84"/>
    </row>
    <row r="16862" spans="1:14" s="2" customFormat="1">
      <c r="A16862" s="83"/>
      <c r="H16862" s="83"/>
      <c r="K16862" s="82"/>
      <c r="M16862" s="112"/>
      <c r="N16862" s="84"/>
    </row>
    <row r="16863" spans="1:14" s="2" customFormat="1">
      <c r="A16863" s="83"/>
      <c r="H16863" s="83"/>
      <c r="K16863" s="82"/>
      <c r="M16863" s="112"/>
      <c r="N16863" s="84"/>
    </row>
    <row r="16864" spans="1:14" s="2" customFormat="1">
      <c r="A16864" s="83"/>
      <c r="H16864" s="83"/>
      <c r="K16864" s="82"/>
      <c r="M16864" s="112"/>
      <c r="N16864" s="84"/>
    </row>
    <row r="16865" spans="1:14" s="2" customFormat="1">
      <c r="A16865" s="83"/>
      <c r="H16865" s="83"/>
      <c r="K16865" s="82"/>
      <c r="M16865" s="112"/>
      <c r="N16865" s="84"/>
    </row>
    <row r="16866" spans="1:14" s="2" customFormat="1">
      <c r="A16866" s="83"/>
      <c r="H16866" s="83"/>
      <c r="K16866" s="82"/>
      <c r="M16866" s="112"/>
      <c r="N16866" s="84"/>
    </row>
    <row r="16867" spans="1:14" s="2" customFormat="1">
      <c r="A16867" s="83"/>
      <c r="H16867" s="83"/>
      <c r="K16867" s="82"/>
      <c r="M16867" s="112"/>
      <c r="N16867" s="84"/>
    </row>
    <row r="16868" spans="1:14" s="2" customFormat="1">
      <c r="A16868" s="83"/>
      <c r="H16868" s="83"/>
      <c r="K16868" s="82"/>
      <c r="M16868" s="112"/>
      <c r="N16868" s="84"/>
    </row>
    <row r="16869" spans="1:14" s="2" customFormat="1">
      <c r="A16869" s="83"/>
      <c r="H16869" s="83"/>
      <c r="K16869" s="82"/>
      <c r="M16869" s="112"/>
      <c r="N16869" s="84"/>
    </row>
    <row r="16870" spans="1:14" s="2" customFormat="1">
      <c r="A16870" s="83"/>
      <c r="H16870" s="83"/>
      <c r="K16870" s="82"/>
      <c r="M16870" s="112"/>
      <c r="N16870" s="84"/>
    </row>
    <row r="16871" spans="1:14" s="2" customFormat="1">
      <c r="A16871" s="83"/>
      <c r="H16871" s="83"/>
      <c r="K16871" s="82"/>
      <c r="M16871" s="112"/>
      <c r="N16871" s="84"/>
    </row>
    <row r="16872" spans="1:14" s="2" customFormat="1">
      <c r="A16872" s="83"/>
      <c r="H16872" s="83"/>
      <c r="K16872" s="82"/>
      <c r="M16872" s="112"/>
      <c r="N16872" s="84"/>
    </row>
    <row r="16873" spans="1:14" s="2" customFormat="1">
      <c r="A16873" s="83"/>
      <c r="H16873" s="83"/>
      <c r="K16873" s="82"/>
      <c r="M16873" s="112"/>
      <c r="N16873" s="84"/>
    </row>
    <row r="16874" spans="1:14" s="2" customFormat="1">
      <c r="A16874" s="83"/>
      <c r="H16874" s="83"/>
      <c r="K16874" s="82"/>
      <c r="M16874" s="112"/>
      <c r="N16874" s="84"/>
    </row>
    <row r="16875" spans="1:14" s="2" customFormat="1">
      <c r="A16875" s="83"/>
      <c r="H16875" s="83"/>
      <c r="K16875" s="82"/>
      <c r="M16875" s="112"/>
      <c r="N16875" s="84"/>
    </row>
    <row r="16876" spans="1:14" s="2" customFormat="1">
      <c r="A16876" s="83"/>
      <c r="H16876" s="83"/>
      <c r="K16876" s="82"/>
      <c r="M16876" s="112"/>
      <c r="N16876" s="84"/>
    </row>
    <row r="16877" spans="1:14" s="2" customFormat="1">
      <c r="A16877" s="83"/>
      <c r="H16877" s="83"/>
      <c r="K16877" s="82"/>
      <c r="M16877" s="112"/>
      <c r="N16877" s="84"/>
    </row>
    <row r="16878" spans="1:14" s="2" customFormat="1">
      <c r="A16878" s="83"/>
      <c r="H16878" s="83"/>
      <c r="K16878" s="82"/>
      <c r="M16878" s="112"/>
      <c r="N16878" s="84"/>
    </row>
    <row r="16879" spans="1:14" s="2" customFormat="1">
      <c r="A16879" s="83"/>
      <c r="H16879" s="83"/>
      <c r="K16879" s="82"/>
      <c r="M16879" s="112"/>
      <c r="N16879" s="84"/>
    </row>
    <row r="16880" spans="1:14" s="2" customFormat="1">
      <c r="A16880" s="83"/>
      <c r="H16880" s="83"/>
      <c r="K16880" s="82"/>
      <c r="M16880" s="112"/>
      <c r="N16880" s="84"/>
    </row>
    <row r="16881" spans="1:14" s="2" customFormat="1">
      <c r="A16881" s="83"/>
      <c r="H16881" s="83"/>
      <c r="K16881" s="82"/>
      <c r="M16881" s="112"/>
      <c r="N16881" s="84"/>
    </row>
    <row r="16882" spans="1:14" s="2" customFormat="1">
      <c r="A16882" s="83"/>
      <c r="H16882" s="83"/>
      <c r="K16882" s="82"/>
      <c r="M16882" s="112"/>
      <c r="N16882" s="84"/>
    </row>
    <row r="16883" spans="1:14" s="2" customFormat="1">
      <c r="A16883" s="83"/>
      <c r="H16883" s="83"/>
      <c r="K16883" s="82"/>
      <c r="M16883" s="112"/>
      <c r="N16883" s="84"/>
    </row>
    <row r="16884" spans="1:14" s="2" customFormat="1">
      <c r="A16884" s="83"/>
      <c r="H16884" s="83"/>
      <c r="K16884" s="82"/>
      <c r="M16884" s="112"/>
      <c r="N16884" s="84"/>
    </row>
    <row r="16885" spans="1:14" s="2" customFormat="1">
      <c r="A16885" s="83"/>
      <c r="H16885" s="83"/>
      <c r="K16885" s="82"/>
      <c r="M16885" s="112"/>
      <c r="N16885" s="84"/>
    </row>
    <row r="16886" spans="1:14" s="2" customFormat="1">
      <c r="A16886" s="83"/>
      <c r="H16886" s="83"/>
      <c r="K16886" s="82"/>
      <c r="M16886" s="112"/>
      <c r="N16886" s="84"/>
    </row>
    <row r="16887" spans="1:14" s="2" customFormat="1">
      <c r="A16887" s="83"/>
      <c r="H16887" s="83"/>
      <c r="K16887" s="82"/>
      <c r="M16887" s="112"/>
      <c r="N16887" s="84"/>
    </row>
    <row r="16888" spans="1:14" s="2" customFormat="1">
      <c r="A16888" s="83"/>
      <c r="H16888" s="83"/>
      <c r="K16888" s="82"/>
      <c r="M16888" s="112"/>
      <c r="N16888" s="84"/>
    </row>
    <row r="16889" spans="1:14" s="2" customFormat="1">
      <c r="A16889" s="83"/>
      <c r="H16889" s="83"/>
      <c r="K16889" s="82"/>
      <c r="M16889" s="112"/>
      <c r="N16889" s="84"/>
    </row>
    <row r="16890" spans="1:14" s="2" customFormat="1">
      <c r="A16890" s="83"/>
      <c r="H16890" s="83"/>
      <c r="K16890" s="82"/>
      <c r="M16890" s="112"/>
      <c r="N16890" s="84"/>
    </row>
    <row r="16891" spans="1:14" s="2" customFormat="1">
      <c r="A16891" s="83"/>
      <c r="H16891" s="83"/>
      <c r="K16891" s="82"/>
      <c r="M16891" s="112"/>
      <c r="N16891" s="84"/>
    </row>
    <row r="16892" spans="1:14" s="2" customFormat="1">
      <c r="A16892" s="83"/>
      <c r="H16892" s="83"/>
      <c r="K16892" s="82"/>
      <c r="M16892" s="112"/>
      <c r="N16892" s="84"/>
    </row>
    <row r="16893" spans="1:14" s="2" customFormat="1">
      <c r="A16893" s="83"/>
      <c r="H16893" s="83"/>
      <c r="K16893" s="82"/>
      <c r="M16893" s="112"/>
      <c r="N16893" s="84"/>
    </row>
    <row r="16894" spans="1:14" s="2" customFormat="1">
      <c r="A16894" s="83"/>
      <c r="H16894" s="83"/>
      <c r="K16894" s="82"/>
      <c r="M16894" s="112"/>
      <c r="N16894" s="84"/>
    </row>
    <row r="16895" spans="1:14" s="2" customFormat="1">
      <c r="A16895" s="83"/>
      <c r="H16895" s="83"/>
      <c r="K16895" s="82"/>
      <c r="M16895" s="112"/>
      <c r="N16895" s="84"/>
    </row>
    <row r="16896" spans="1:14" s="2" customFormat="1">
      <c r="A16896" s="83"/>
      <c r="H16896" s="83"/>
      <c r="K16896" s="82"/>
      <c r="M16896" s="112"/>
      <c r="N16896" s="84"/>
    </row>
    <row r="16897" spans="1:14" s="2" customFormat="1">
      <c r="A16897" s="83"/>
      <c r="H16897" s="83"/>
      <c r="K16897" s="82"/>
      <c r="M16897" s="112"/>
      <c r="N16897" s="84"/>
    </row>
    <row r="16898" spans="1:14" s="2" customFormat="1">
      <c r="A16898" s="83"/>
      <c r="H16898" s="83"/>
      <c r="K16898" s="82"/>
      <c r="M16898" s="112"/>
      <c r="N16898" s="84"/>
    </row>
    <row r="16899" spans="1:14" s="2" customFormat="1">
      <c r="A16899" s="83"/>
      <c r="H16899" s="83"/>
      <c r="K16899" s="82"/>
      <c r="M16899" s="112"/>
      <c r="N16899" s="84"/>
    </row>
    <row r="16900" spans="1:14" s="2" customFormat="1">
      <c r="A16900" s="83"/>
      <c r="H16900" s="83"/>
      <c r="K16900" s="82"/>
      <c r="M16900" s="112"/>
      <c r="N16900" s="84"/>
    </row>
    <row r="16901" spans="1:14" s="2" customFormat="1">
      <c r="A16901" s="83"/>
      <c r="H16901" s="83"/>
      <c r="K16901" s="82"/>
      <c r="M16901" s="112"/>
      <c r="N16901" s="84"/>
    </row>
    <row r="16902" spans="1:14" s="2" customFormat="1">
      <c r="A16902" s="83"/>
      <c r="H16902" s="83"/>
      <c r="K16902" s="82"/>
      <c r="M16902" s="112"/>
      <c r="N16902" s="84"/>
    </row>
    <row r="16903" spans="1:14" s="2" customFormat="1">
      <c r="A16903" s="83"/>
      <c r="H16903" s="83"/>
      <c r="K16903" s="82"/>
      <c r="M16903" s="112"/>
      <c r="N16903" s="84"/>
    </row>
    <row r="16904" spans="1:14" s="2" customFormat="1">
      <c r="A16904" s="83"/>
      <c r="H16904" s="83"/>
      <c r="K16904" s="82"/>
      <c r="M16904" s="112"/>
      <c r="N16904" s="84"/>
    </row>
    <row r="16905" spans="1:14" s="2" customFormat="1">
      <c r="A16905" s="83"/>
      <c r="H16905" s="83"/>
      <c r="K16905" s="82"/>
      <c r="M16905" s="112"/>
      <c r="N16905" s="84"/>
    </row>
    <row r="16906" spans="1:14" s="2" customFormat="1">
      <c r="A16906" s="83"/>
      <c r="H16906" s="83"/>
      <c r="K16906" s="82"/>
      <c r="M16906" s="112"/>
      <c r="N16906" s="84"/>
    </row>
    <row r="16907" spans="1:14" s="2" customFormat="1">
      <c r="A16907" s="83"/>
      <c r="H16907" s="83"/>
      <c r="K16907" s="82"/>
      <c r="M16907" s="112"/>
      <c r="N16907" s="84"/>
    </row>
    <row r="16908" spans="1:14" s="2" customFormat="1">
      <c r="A16908" s="83"/>
      <c r="H16908" s="83"/>
      <c r="K16908" s="82"/>
      <c r="M16908" s="112"/>
      <c r="N16908" s="84"/>
    </row>
    <row r="16909" spans="1:14" s="2" customFormat="1">
      <c r="A16909" s="83"/>
      <c r="H16909" s="83"/>
      <c r="K16909" s="82"/>
      <c r="M16909" s="112"/>
      <c r="N16909" s="84"/>
    </row>
    <row r="16910" spans="1:14" s="2" customFormat="1">
      <c r="A16910" s="83"/>
      <c r="H16910" s="83"/>
      <c r="K16910" s="82"/>
      <c r="M16910" s="112"/>
      <c r="N16910" s="84"/>
    </row>
    <row r="16911" spans="1:14" s="2" customFormat="1">
      <c r="A16911" s="83"/>
      <c r="H16911" s="83"/>
      <c r="K16911" s="82"/>
      <c r="M16911" s="112"/>
      <c r="N16911" s="84"/>
    </row>
    <row r="16912" spans="1:14" s="2" customFormat="1">
      <c r="A16912" s="83"/>
      <c r="H16912" s="83"/>
      <c r="K16912" s="82"/>
      <c r="M16912" s="112"/>
      <c r="N16912" s="84"/>
    </row>
    <row r="16913" spans="1:14" s="2" customFormat="1">
      <c r="A16913" s="83"/>
      <c r="H16913" s="83"/>
      <c r="K16913" s="82"/>
      <c r="M16913" s="112"/>
      <c r="N16913" s="84"/>
    </row>
    <row r="16914" spans="1:14" s="2" customFormat="1">
      <c r="A16914" s="83"/>
      <c r="H16914" s="83"/>
      <c r="K16914" s="82"/>
      <c r="M16914" s="112"/>
      <c r="N16914" s="84"/>
    </row>
    <row r="16915" spans="1:14" s="2" customFormat="1">
      <c r="A16915" s="83"/>
      <c r="H16915" s="83"/>
      <c r="K16915" s="82"/>
      <c r="M16915" s="112"/>
      <c r="N16915" s="84"/>
    </row>
    <row r="16916" spans="1:14" s="2" customFormat="1">
      <c r="A16916" s="83"/>
      <c r="H16916" s="83"/>
      <c r="K16916" s="82"/>
      <c r="M16916" s="112"/>
      <c r="N16916" s="84"/>
    </row>
    <row r="16917" spans="1:14" s="2" customFormat="1">
      <c r="A16917" s="83"/>
      <c r="H16917" s="83"/>
      <c r="K16917" s="82"/>
      <c r="M16917" s="112"/>
      <c r="N16917" s="84"/>
    </row>
    <row r="16918" spans="1:14" s="2" customFormat="1">
      <c r="A16918" s="83"/>
      <c r="H16918" s="83"/>
      <c r="K16918" s="82"/>
      <c r="M16918" s="112"/>
      <c r="N16918" s="84"/>
    </row>
    <row r="16919" spans="1:14" s="2" customFormat="1">
      <c r="A16919" s="83"/>
      <c r="H16919" s="83"/>
      <c r="K16919" s="82"/>
      <c r="M16919" s="112"/>
      <c r="N16919" s="84"/>
    </row>
    <row r="16920" spans="1:14" s="2" customFormat="1">
      <c r="A16920" s="83"/>
      <c r="H16920" s="83"/>
      <c r="K16920" s="82"/>
      <c r="M16920" s="112"/>
      <c r="N16920" s="84"/>
    </row>
    <row r="16921" spans="1:14" s="2" customFormat="1">
      <c r="A16921" s="83"/>
      <c r="H16921" s="83"/>
      <c r="K16921" s="82"/>
      <c r="M16921" s="112"/>
      <c r="N16921" s="84"/>
    </row>
    <row r="16922" spans="1:14" s="2" customFormat="1">
      <c r="A16922" s="83"/>
      <c r="H16922" s="83"/>
      <c r="K16922" s="82"/>
      <c r="M16922" s="112"/>
      <c r="N16922" s="84"/>
    </row>
    <row r="16923" spans="1:14" s="2" customFormat="1">
      <c r="A16923" s="83"/>
      <c r="H16923" s="83"/>
      <c r="K16923" s="82"/>
      <c r="M16923" s="112"/>
      <c r="N16923" s="84"/>
    </row>
    <row r="16924" spans="1:14" s="2" customFormat="1">
      <c r="A16924" s="83"/>
      <c r="H16924" s="83"/>
      <c r="K16924" s="82"/>
      <c r="M16924" s="112"/>
      <c r="N16924" s="84"/>
    </row>
    <row r="16925" spans="1:14" s="2" customFormat="1">
      <c r="A16925" s="83"/>
      <c r="H16925" s="83"/>
      <c r="K16925" s="82"/>
      <c r="M16925" s="112"/>
      <c r="N16925" s="84"/>
    </row>
    <row r="16926" spans="1:14" s="2" customFormat="1">
      <c r="A16926" s="83"/>
      <c r="H16926" s="83"/>
      <c r="K16926" s="82"/>
      <c r="M16926" s="112"/>
      <c r="N16926" s="84"/>
    </row>
    <row r="16927" spans="1:14" s="2" customFormat="1">
      <c r="A16927" s="83"/>
      <c r="H16927" s="83"/>
      <c r="K16927" s="82"/>
      <c r="M16927" s="112"/>
      <c r="N16927" s="84"/>
    </row>
    <row r="16928" spans="1:14" s="2" customFormat="1">
      <c r="A16928" s="83"/>
      <c r="H16928" s="83"/>
      <c r="K16928" s="82"/>
      <c r="M16928" s="112"/>
      <c r="N16928" s="84"/>
    </row>
    <row r="16929" spans="1:14" s="2" customFormat="1">
      <c r="A16929" s="83"/>
      <c r="H16929" s="83"/>
      <c r="K16929" s="82"/>
      <c r="M16929" s="112"/>
      <c r="N16929" s="84"/>
    </row>
    <row r="16930" spans="1:14" s="2" customFormat="1">
      <c r="A16930" s="83"/>
      <c r="H16930" s="83"/>
      <c r="K16930" s="82"/>
      <c r="M16930" s="112"/>
      <c r="N16930" s="84"/>
    </row>
    <row r="16931" spans="1:14" s="2" customFormat="1">
      <c r="A16931" s="83"/>
      <c r="H16931" s="83"/>
      <c r="K16931" s="82"/>
      <c r="M16931" s="112"/>
      <c r="N16931" s="84"/>
    </row>
    <row r="16932" spans="1:14" s="2" customFormat="1">
      <c r="A16932" s="83"/>
      <c r="H16932" s="83"/>
      <c r="K16932" s="82"/>
      <c r="M16932" s="112"/>
      <c r="N16932" s="84"/>
    </row>
    <row r="16933" spans="1:14" s="2" customFormat="1">
      <c r="A16933" s="83"/>
      <c r="H16933" s="83"/>
      <c r="K16933" s="82"/>
      <c r="M16933" s="112"/>
      <c r="N16933" s="84"/>
    </row>
    <row r="16934" spans="1:14" s="2" customFormat="1">
      <c r="A16934" s="83"/>
      <c r="H16934" s="83"/>
      <c r="K16934" s="82"/>
      <c r="M16934" s="112"/>
      <c r="N16934" s="84"/>
    </row>
    <row r="16935" spans="1:14" s="2" customFormat="1">
      <c r="A16935" s="83"/>
      <c r="H16935" s="83"/>
      <c r="K16935" s="82"/>
      <c r="M16935" s="112"/>
      <c r="N16935" s="84"/>
    </row>
    <row r="16936" spans="1:14" s="2" customFormat="1">
      <c r="A16936" s="83"/>
      <c r="H16936" s="83"/>
      <c r="K16936" s="82"/>
      <c r="M16936" s="112"/>
      <c r="N16936" s="84"/>
    </row>
    <row r="16937" spans="1:14" s="2" customFormat="1">
      <c r="A16937" s="83"/>
      <c r="H16937" s="83"/>
      <c r="K16937" s="82"/>
      <c r="M16937" s="112"/>
      <c r="N16937" s="84"/>
    </row>
    <row r="16938" spans="1:14" s="2" customFormat="1">
      <c r="A16938" s="83"/>
      <c r="H16938" s="83"/>
      <c r="K16938" s="82"/>
      <c r="M16938" s="112"/>
      <c r="N16938" s="84"/>
    </row>
    <row r="16939" spans="1:14" s="2" customFormat="1">
      <c r="A16939" s="83"/>
      <c r="H16939" s="83"/>
      <c r="K16939" s="82"/>
      <c r="M16939" s="112"/>
      <c r="N16939" s="84"/>
    </row>
    <row r="16940" spans="1:14" s="2" customFormat="1">
      <c r="A16940" s="83"/>
      <c r="H16940" s="83"/>
      <c r="K16940" s="82"/>
      <c r="M16940" s="112"/>
      <c r="N16940" s="84"/>
    </row>
    <row r="16941" spans="1:14" s="2" customFormat="1">
      <c r="A16941" s="83"/>
      <c r="H16941" s="83"/>
      <c r="K16941" s="82"/>
      <c r="M16941" s="112"/>
      <c r="N16941" s="84"/>
    </row>
    <row r="16942" spans="1:14" s="2" customFormat="1">
      <c r="A16942" s="83"/>
      <c r="H16942" s="83"/>
      <c r="K16942" s="82"/>
      <c r="M16942" s="112"/>
      <c r="N16942" s="84"/>
    </row>
    <row r="16943" spans="1:14" s="2" customFormat="1">
      <c r="A16943" s="83"/>
      <c r="H16943" s="83"/>
      <c r="K16943" s="82"/>
      <c r="M16943" s="112"/>
      <c r="N16943" s="84"/>
    </row>
    <row r="16944" spans="1:14" s="2" customFormat="1">
      <c r="A16944" s="83"/>
      <c r="H16944" s="83"/>
      <c r="K16944" s="82"/>
      <c r="M16944" s="112"/>
      <c r="N16944" s="84"/>
    </row>
    <row r="16945" spans="1:14" s="2" customFormat="1">
      <c r="A16945" s="83"/>
      <c r="H16945" s="83"/>
      <c r="K16945" s="82"/>
      <c r="M16945" s="112"/>
      <c r="N16945" s="84"/>
    </row>
    <row r="16946" spans="1:14" s="2" customFormat="1">
      <c r="A16946" s="83"/>
      <c r="H16946" s="83"/>
      <c r="K16946" s="82"/>
      <c r="M16946" s="112"/>
      <c r="N16946" s="84"/>
    </row>
    <row r="16947" spans="1:14" s="2" customFormat="1">
      <c r="A16947" s="83"/>
      <c r="H16947" s="83"/>
      <c r="K16947" s="82"/>
      <c r="M16947" s="112"/>
      <c r="N16947" s="84"/>
    </row>
    <row r="16948" spans="1:14" s="2" customFormat="1">
      <c r="A16948" s="83"/>
      <c r="H16948" s="83"/>
      <c r="K16948" s="82"/>
      <c r="M16948" s="112"/>
      <c r="N16948" s="84"/>
    </row>
    <row r="16949" spans="1:14" s="2" customFormat="1">
      <c r="A16949" s="83"/>
      <c r="H16949" s="83"/>
      <c r="K16949" s="82"/>
      <c r="M16949" s="112"/>
      <c r="N16949" s="84"/>
    </row>
    <row r="16950" spans="1:14" s="2" customFormat="1">
      <c r="A16950" s="83"/>
      <c r="H16950" s="83"/>
      <c r="K16950" s="82"/>
      <c r="M16950" s="112"/>
      <c r="N16950" s="84"/>
    </row>
    <row r="16951" spans="1:14" s="2" customFormat="1">
      <c r="A16951" s="83"/>
      <c r="H16951" s="83"/>
      <c r="K16951" s="82"/>
      <c r="M16951" s="112"/>
      <c r="N16951" s="84"/>
    </row>
    <row r="16952" spans="1:14" s="2" customFormat="1">
      <c r="A16952" s="83"/>
      <c r="H16952" s="83"/>
      <c r="K16952" s="82"/>
      <c r="M16952" s="112"/>
      <c r="N16952" s="84"/>
    </row>
    <row r="16953" spans="1:14" s="2" customFormat="1">
      <c r="A16953" s="83"/>
      <c r="H16953" s="83"/>
      <c r="K16953" s="82"/>
      <c r="M16953" s="112"/>
      <c r="N16953" s="84"/>
    </row>
    <row r="16954" spans="1:14" s="2" customFormat="1">
      <c r="A16954" s="83"/>
      <c r="H16954" s="83"/>
      <c r="K16954" s="82"/>
      <c r="M16954" s="112"/>
      <c r="N16954" s="84"/>
    </row>
    <row r="16955" spans="1:14" s="2" customFormat="1">
      <c r="A16955" s="83"/>
      <c r="H16955" s="83"/>
      <c r="K16955" s="82"/>
      <c r="M16955" s="112"/>
      <c r="N16955" s="84"/>
    </row>
    <row r="16956" spans="1:14" s="2" customFormat="1">
      <c r="A16956" s="83"/>
      <c r="H16956" s="83"/>
      <c r="K16956" s="82"/>
      <c r="M16956" s="112"/>
      <c r="N16956" s="84"/>
    </row>
    <row r="16957" spans="1:14" s="2" customFormat="1">
      <c r="A16957" s="83"/>
      <c r="H16957" s="83"/>
      <c r="K16957" s="82"/>
      <c r="M16957" s="112"/>
      <c r="N16957" s="84"/>
    </row>
    <row r="16958" spans="1:14" s="2" customFormat="1">
      <c r="A16958" s="83"/>
      <c r="H16958" s="83"/>
      <c r="K16958" s="82"/>
      <c r="M16958" s="112"/>
      <c r="N16958" s="84"/>
    </row>
    <row r="16959" spans="1:14" s="2" customFormat="1">
      <c r="A16959" s="83"/>
      <c r="H16959" s="83"/>
      <c r="K16959" s="82"/>
      <c r="M16959" s="112"/>
      <c r="N16959" s="84"/>
    </row>
    <row r="16960" spans="1:14" s="2" customFormat="1">
      <c r="A16960" s="83"/>
      <c r="H16960" s="83"/>
      <c r="K16960" s="82"/>
      <c r="M16960" s="112"/>
      <c r="N16960" s="84"/>
    </row>
    <row r="16961" spans="1:14" s="2" customFormat="1">
      <c r="A16961" s="83"/>
      <c r="H16961" s="83"/>
      <c r="K16961" s="82"/>
      <c r="M16961" s="112"/>
      <c r="N16961" s="84"/>
    </row>
    <row r="16962" spans="1:14" s="2" customFormat="1">
      <c r="A16962" s="83"/>
      <c r="H16962" s="83"/>
      <c r="K16962" s="82"/>
      <c r="M16962" s="112"/>
      <c r="N16962" s="84"/>
    </row>
    <row r="16963" spans="1:14" s="2" customFormat="1">
      <c r="A16963" s="83"/>
      <c r="H16963" s="83"/>
      <c r="K16963" s="82"/>
      <c r="M16963" s="112"/>
      <c r="N16963" s="84"/>
    </row>
    <row r="16964" spans="1:14" s="2" customFormat="1">
      <c r="A16964" s="83"/>
      <c r="H16964" s="83"/>
      <c r="K16964" s="82"/>
      <c r="M16964" s="112"/>
      <c r="N16964" s="84"/>
    </row>
    <row r="16965" spans="1:14" s="2" customFormat="1">
      <c r="A16965" s="83"/>
      <c r="H16965" s="83"/>
      <c r="K16965" s="82"/>
      <c r="M16965" s="112"/>
      <c r="N16965" s="84"/>
    </row>
    <row r="16966" spans="1:14" s="2" customFormat="1">
      <c r="A16966" s="83"/>
      <c r="H16966" s="83"/>
      <c r="K16966" s="82"/>
      <c r="M16966" s="112"/>
      <c r="N16966" s="84"/>
    </row>
    <row r="16967" spans="1:14" s="2" customFormat="1">
      <c r="A16967" s="83"/>
      <c r="H16967" s="83"/>
      <c r="K16967" s="82"/>
      <c r="M16967" s="112"/>
      <c r="N16967" s="84"/>
    </row>
    <row r="16968" spans="1:14" s="2" customFormat="1">
      <c r="A16968" s="83"/>
      <c r="H16968" s="83"/>
      <c r="K16968" s="82"/>
      <c r="M16968" s="112"/>
      <c r="N16968" s="84"/>
    </row>
    <row r="16969" spans="1:14" s="2" customFormat="1">
      <c r="A16969" s="83"/>
      <c r="H16969" s="83"/>
      <c r="K16969" s="82"/>
      <c r="M16969" s="112"/>
      <c r="N16969" s="84"/>
    </row>
    <row r="16970" spans="1:14" s="2" customFormat="1">
      <c r="A16970" s="83"/>
      <c r="H16970" s="83"/>
      <c r="K16970" s="82"/>
      <c r="M16970" s="112"/>
      <c r="N16970" s="84"/>
    </row>
    <row r="16971" spans="1:14" s="2" customFormat="1">
      <c r="A16971" s="83"/>
      <c r="H16971" s="83"/>
      <c r="K16971" s="82"/>
      <c r="M16971" s="112"/>
      <c r="N16971" s="84"/>
    </row>
    <row r="16972" spans="1:14" s="2" customFormat="1">
      <c r="A16972" s="83"/>
      <c r="H16972" s="83"/>
      <c r="K16972" s="82"/>
      <c r="M16972" s="112"/>
      <c r="N16972" s="84"/>
    </row>
    <row r="16973" spans="1:14" s="2" customFormat="1">
      <c r="A16973" s="83"/>
      <c r="H16973" s="83"/>
      <c r="K16973" s="82"/>
      <c r="M16973" s="112"/>
      <c r="N16973" s="84"/>
    </row>
    <row r="16974" spans="1:14" s="2" customFormat="1">
      <c r="A16974" s="83"/>
      <c r="H16974" s="83"/>
      <c r="K16974" s="82"/>
      <c r="M16974" s="112"/>
      <c r="N16974" s="84"/>
    </row>
    <row r="16975" spans="1:14" s="2" customFormat="1">
      <c r="A16975" s="83"/>
      <c r="H16975" s="83"/>
      <c r="K16975" s="82"/>
      <c r="M16975" s="112"/>
      <c r="N16975" s="84"/>
    </row>
    <row r="16976" spans="1:14" s="2" customFormat="1">
      <c r="A16976" s="83"/>
      <c r="H16976" s="83"/>
      <c r="K16976" s="82"/>
      <c r="M16976" s="112"/>
      <c r="N16976" s="84"/>
    </row>
    <row r="16977" spans="1:14" s="2" customFormat="1">
      <c r="A16977" s="83"/>
      <c r="H16977" s="83"/>
      <c r="K16977" s="82"/>
      <c r="M16977" s="112"/>
      <c r="N16977" s="84"/>
    </row>
    <row r="16978" spans="1:14" s="2" customFormat="1">
      <c r="A16978" s="83"/>
      <c r="H16978" s="83"/>
      <c r="K16978" s="82"/>
      <c r="M16978" s="112"/>
      <c r="N16978" s="84"/>
    </row>
    <row r="16979" spans="1:14" s="2" customFormat="1">
      <c r="A16979" s="83"/>
      <c r="H16979" s="83"/>
      <c r="K16979" s="82"/>
      <c r="M16979" s="112"/>
      <c r="N16979" s="84"/>
    </row>
    <row r="16980" spans="1:14" s="2" customFormat="1">
      <c r="A16980" s="83"/>
      <c r="H16980" s="83"/>
      <c r="K16980" s="82"/>
      <c r="M16980" s="112"/>
      <c r="N16980" s="84"/>
    </row>
    <row r="16981" spans="1:14" s="2" customFormat="1">
      <c r="A16981" s="83"/>
      <c r="H16981" s="83"/>
      <c r="K16981" s="82"/>
      <c r="M16981" s="112"/>
      <c r="N16981" s="84"/>
    </row>
    <row r="16982" spans="1:14" s="2" customFormat="1">
      <c r="A16982" s="83"/>
      <c r="H16982" s="83"/>
      <c r="K16982" s="82"/>
      <c r="M16982" s="112"/>
      <c r="N16982" s="84"/>
    </row>
    <row r="16983" spans="1:14" s="2" customFormat="1">
      <c r="A16983" s="83"/>
      <c r="H16983" s="83"/>
      <c r="K16983" s="82"/>
      <c r="M16983" s="112"/>
      <c r="N16983" s="84"/>
    </row>
    <row r="16984" spans="1:14" s="2" customFormat="1">
      <c r="A16984" s="83"/>
      <c r="H16984" s="83"/>
      <c r="K16984" s="82"/>
      <c r="M16984" s="112"/>
      <c r="N16984" s="84"/>
    </row>
    <row r="16985" spans="1:14" s="2" customFormat="1">
      <c r="A16985" s="83"/>
      <c r="H16985" s="83"/>
      <c r="K16985" s="82"/>
      <c r="M16985" s="112"/>
      <c r="N16985" s="84"/>
    </row>
    <row r="16986" spans="1:14" s="2" customFormat="1">
      <c r="A16986" s="83"/>
      <c r="H16986" s="83"/>
      <c r="K16986" s="82"/>
      <c r="M16986" s="112"/>
      <c r="N16986" s="84"/>
    </row>
    <row r="16987" spans="1:14" s="2" customFormat="1">
      <c r="A16987" s="83"/>
      <c r="H16987" s="83"/>
      <c r="K16987" s="82"/>
      <c r="M16987" s="112"/>
      <c r="N16987" s="84"/>
    </row>
    <row r="16988" spans="1:14" s="2" customFormat="1">
      <c r="A16988" s="83"/>
      <c r="H16988" s="83"/>
      <c r="K16988" s="82"/>
      <c r="M16988" s="112"/>
      <c r="N16988" s="84"/>
    </row>
    <row r="16989" spans="1:14" s="2" customFormat="1">
      <c r="A16989" s="83"/>
      <c r="H16989" s="83"/>
      <c r="K16989" s="82"/>
      <c r="M16989" s="112"/>
      <c r="N16989" s="84"/>
    </row>
    <row r="16990" spans="1:14" s="2" customFormat="1">
      <c r="A16990" s="83"/>
      <c r="H16990" s="83"/>
      <c r="K16990" s="82"/>
      <c r="M16990" s="112"/>
      <c r="N16990" s="84"/>
    </row>
    <row r="16991" spans="1:14" s="2" customFormat="1">
      <c r="A16991" s="83"/>
      <c r="H16991" s="83"/>
      <c r="K16991" s="82"/>
      <c r="M16991" s="112"/>
      <c r="N16991" s="84"/>
    </row>
    <row r="16992" spans="1:14" s="2" customFormat="1">
      <c r="A16992" s="83"/>
      <c r="H16992" s="83"/>
      <c r="K16992" s="82"/>
      <c r="M16992" s="112"/>
      <c r="N16992" s="84"/>
    </row>
    <row r="16993" spans="1:14" s="2" customFormat="1">
      <c r="A16993" s="83"/>
      <c r="H16993" s="83"/>
      <c r="K16993" s="82"/>
      <c r="M16993" s="112"/>
      <c r="N16993" s="84"/>
    </row>
    <row r="16994" spans="1:14" s="2" customFormat="1">
      <c r="A16994" s="83"/>
      <c r="H16994" s="83"/>
      <c r="K16994" s="82"/>
      <c r="M16994" s="112"/>
      <c r="N16994" s="84"/>
    </row>
    <row r="16995" spans="1:14" s="2" customFormat="1">
      <c r="A16995" s="83"/>
      <c r="H16995" s="83"/>
      <c r="K16995" s="82"/>
      <c r="M16995" s="112"/>
      <c r="N16995" s="84"/>
    </row>
    <row r="16996" spans="1:14" s="2" customFormat="1">
      <c r="A16996" s="83"/>
      <c r="H16996" s="83"/>
      <c r="K16996" s="82"/>
      <c r="M16996" s="112"/>
      <c r="N16996" s="84"/>
    </row>
    <row r="16997" spans="1:14" s="2" customFormat="1">
      <c r="A16997" s="83"/>
      <c r="H16997" s="83"/>
      <c r="K16997" s="82"/>
      <c r="M16997" s="112"/>
      <c r="N16997" s="84"/>
    </row>
    <row r="16998" spans="1:14" s="2" customFormat="1">
      <c r="A16998" s="83"/>
      <c r="H16998" s="83"/>
      <c r="K16998" s="82"/>
      <c r="M16998" s="112"/>
      <c r="N16998" s="84"/>
    </row>
    <row r="16999" spans="1:14" s="2" customFormat="1">
      <c r="A16999" s="83"/>
      <c r="H16999" s="83"/>
      <c r="K16999" s="82"/>
      <c r="M16999" s="112"/>
      <c r="N16999" s="84"/>
    </row>
    <row r="17000" spans="1:14" s="2" customFormat="1">
      <c r="A17000" s="83"/>
      <c r="H17000" s="83"/>
      <c r="K17000" s="82"/>
      <c r="M17000" s="112"/>
      <c r="N17000" s="84"/>
    </row>
    <row r="17001" spans="1:14" s="2" customFormat="1">
      <c r="A17001" s="83"/>
      <c r="H17001" s="83"/>
      <c r="K17001" s="82"/>
      <c r="M17001" s="112"/>
      <c r="N17001" s="84"/>
    </row>
    <row r="17002" spans="1:14" s="2" customFormat="1">
      <c r="A17002" s="83"/>
      <c r="H17002" s="83"/>
      <c r="K17002" s="82"/>
      <c r="M17002" s="112"/>
      <c r="N17002" s="84"/>
    </row>
    <row r="17003" spans="1:14" s="2" customFormat="1">
      <c r="A17003" s="83"/>
      <c r="H17003" s="83"/>
      <c r="K17003" s="82"/>
      <c r="M17003" s="112"/>
      <c r="N17003" s="84"/>
    </row>
    <row r="17004" spans="1:14" s="2" customFormat="1">
      <c r="A17004" s="83"/>
      <c r="H17004" s="83"/>
      <c r="K17004" s="82"/>
      <c r="M17004" s="112"/>
      <c r="N17004" s="84"/>
    </row>
    <row r="17005" spans="1:14" s="2" customFormat="1">
      <c r="A17005" s="83"/>
      <c r="H17005" s="83"/>
      <c r="K17005" s="82"/>
      <c r="M17005" s="112"/>
      <c r="N17005" s="84"/>
    </row>
    <row r="17006" spans="1:14" s="2" customFormat="1">
      <c r="A17006" s="83"/>
      <c r="H17006" s="83"/>
      <c r="K17006" s="82"/>
      <c r="M17006" s="112"/>
      <c r="N17006" s="84"/>
    </row>
    <row r="17007" spans="1:14" s="2" customFormat="1">
      <c r="A17007" s="83"/>
      <c r="H17007" s="83"/>
      <c r="K17007" s="82"/>
      <c r="M17007" s="112"/>
      <c r="N17007" s="84"/>
    </row>
    <row r="17008" spans="1:14" s="2" customFormat="1">
      <c r="A17008" s="83"/>
      <c r="H17008" s="83"/>
      <c r="K17008" s="82"/>
      <c r="M17008" s="112"/>
      <c r="N17008" s="84"/>
    </row>
    <row r="17009" spans="1:14" s="2" customFormat="1">
      <c r="A17009" s="83"/>
      <c r="H17009" s="83"/>
      <c r="K17009" s="82"/>
      <c r="M17009" s="112"/>
      <c r="N17009" s="84"/>
    </row>
    <row r="17010" spans="1:14" s="2" customFormat="1">
      <c r="A17010" s="83"/>
      <c r="H17010" s="83"/>
      <c r="K17010" s="82"/>
      <c r="M17010" s="112"/>
      <c r="N17010" s="84"/>
    </row>
    <row r="17011" spans="1:14" s="2" customFormat="1">
      <c r="A17011" s="83"/>
      <c r="H17011" s="83"/>
      <c r="K17011" s="82"/>
      <c r="M17011" s="112"/>
      <c r="N17011" s="84"/>
    </row>
    <row r="17012" spans="1:14" s="2" customFormat="1">
      <c r="A17012" s="83"/>
      <c r="H17012" s="83"/>
      <c r="K17012" s="82"/>
      <c r="M17012" s="112"/>
      <c r="N17012" s="84"/>
    </row>
    <row r="17013" spans="1:14" s="2" customFormat="1">
      <c r="A17013" s="83"/>
      <c r="H17013" s="83"/>
      <c r="K17013" s="82"/>
      <c r="M17013" s="112"/>
      <c r="N17013" s="84"/>
    </row>
    <row r="17014" spans="1:14" s="2" customFormat="1">
      <c r="A17014" s="83"/>
      <c r="H17014" s="83"/>
      <c r="K17014" s="82"/>
      <c r="M17014" s="112"/>
      <c r="N17014" s="84"/>
    </row>
    <row r="17015" spans="1:14" s="2" customFormat="1">
      <c r="A17015" s="83"/>
      <c r="H17015" s="83"/>
      <c r="K17015" s="82"/>
      <c r="M17015" s="112"/>
      <c r="N17015" s="84"/>
    </row>
    <row r="17016" spans="1:14" s="2" customFormat="1">
      <c r="A17016" s="83"/>
      <c r="H17016" s="83"/>
      <c r="K17016" s="82"/>
      <c r="M17016" s="112"/>
      <c r="N17016" s="84"/>
    </row>
    <row r="17017" spans="1:14" s="2" customFormat="1">
      <c r="A17017" s="83"/>
      <c r="H17017" s="83"/>
      <c r="K17017" s="82"/>
      <c r="M17017" s="112"/>
      <c r="N17017" s="84"/>
    </row>
    <row r="17018" spans="1:14" s="2" customFormat="1">
      <c r="A17018" s="83"/>
      <c r="H17018" s="83"/>
      <c r="K17018" s="82"/>
      <c r="M17018" s="112"/>
      <c r="N17018" s="84"/>
    </row>
    <row r="17019" spans="1:14" s="2" customFormat="1">
      <c r="A17019" s="83"/>
      <c r="H17019" s="83"/>
      <c r="K17019" s="82"/>
      <c r="M17019" s="112"/>
      <c r="N17019" s="84"/>
    </row>
    <row r="17020" spans="1:14" s="2" customFormat="1">
      <c r="A17020" s="83"/>
      <c r="H17020" s="83"/>
      <c r="K17020" s="82"/>
      <c r="M17020" s="112"/>
      <c r="N17020" s="84"/>
    </row>
    <row r="17021" spans="1:14" s="2" customFormat="1">
      <c r="A17021" s="83"/>
      <c r="H17021" s="83"/>
      <c r="K17021" s="82"/>
      <c r="M17021" s="112"/>
      <c r="N17021" s="84"/>
    </row>
    <row r="17022" spans="1:14" s="2" customFormat="1">
      <c r="A17022" s="83"/>
      <c r="H17022" s="83"/>
      <c r="K17022" s="82"/>
      <c r="M17022" s="112"/>
      <c r="N17022" s="84"/>
    </row>
    <row r="17023" spans="1:14" s="2" customFormat="1">
      <c r="A17023" s="83"/>
      <c r="H17023" s="83"/>
      <c r="K17023" s="82"/>
      <c r="M17023" s="112"/>
      <c r="N17023" s="84"/>
    </row>
    <row r="17024" spans="1:14" s="2" customFormat="1">
      <c r="A17024" s="83"/>
      <c r="H17024" s="83"/>
      <c r="K17024" s="82"/>
      <c r="M17024" s="112"/>
      <c r="N17024" s="84"/>
    </row>
    <row r="17025" spans="1:14" s="2" customFormat="1">
      <c r="A17025" s="83"/>
      <c r="H17025" s="83"/>
      <c r="K17025" s="82"/>
      <c r="M17025" s="112"/>
      <c r="N17025" s="84"/>
    </row>
    <row r="17026" spans="1:14" s="2" customFormat="1">
      <c r="A17026" s="83"/>
      <c r="H17026" s="83"/>
      <c r="K17026" s="82"/>
      <c r="M17026" s="112"/>
      <c r="N17026" s="84"/>
    </row>
    <row r="17027" spans="1:14" s="2" customFormat="1">
      <c r="A17027" s="83"/>
      <c r="H17027" s="83"/>
      <c r="K17027" s="82"/>
      <c r="M17027" s="112"/>
      <c r="N17027" s="84"/>
    </row>
    <row r="17028" spans="1:14" s="2" customFormat="1">
      <c r="A17028" s="83"/>
      <c r="H17028" s="83"/>
      <c r="K17028" s="82"/>
      <c r="M17028" s="112"/>
      <c r="N17028" s="84"/>
    </row>
    <row r="17029" spans="1:14" s="2" customFormat="1">
      <c r="A17029" s="83"/>
      <c r="H17029" s="83"/>
      <c r="K17029" s="82"/>
      <c r="M17029" s="112"/>
      <c r="N17029" s="84"/>
    </row>
    <row r="17030" spans="1:14" s="2" customFormat="1">
      <c r="A17030" s="83"/>
      <c r="H17030" s="83"/>
      <c r="K17030" s="82"/>
      <c r="M17030" s="112"/>
      <c r="N17030" s="84"/>
    </row>
    <row r="17031" spans="1:14" s="2" customFormat="1">
      <c r="A17031" s="83"/>
      <c r="H17031" s="83"/>
      <c r="K17031" s="82"/>
      <c r="M17031" s="112"/>
      <c r="N17031" s="84"/>
    </row>
    <row r="17032" spans="1:14" s="2" customFormat="1">
      <c r="A17032" s="83"/>
      <c r="H17032" s="83"/>
      <c r="K17032" s="82"/>
      <c r="M17032" s="112"/>
      <c r="N17032" s="84"/>
    </row>
    <row r="17033" spans="1:14" s="2" customFormat="1">
      <c r="A17033" s="83"/>
      <c r="H17033" s="83"/>
      <c r="K17033" s="82"/>
      <c r="M17033" s="112"/>
      <c r="N17033" s="84"/>
    </row>
    <row r="17034" spans="1:14" s="2" customFormat="1">
      <c r="A17034" s="83"/>
      <c r="H17034" s="83"/>
      <c r="K17034" s="82"/>
      <c r="M17034" s="112"/>
      <c r="N17034" s="84"/>
    </row>
    <row r="17035" spans="1:14" s="2" customFormat="1">
      <c r="A17035" s="83"/>
      <c r="H17035" s="83"/>
      <c r="K17035" s="82"/>
      <c r="M17035" s="112"/>
      <c r="N17035" s="84"/>
    </row>
    <row r="17036" spans="1:14" s="2" customFormat="1">
      <c r="A17036" s="83"/>
      <c r="H17036" s="83"/>
      <c r="K17036" s="82"/>
      <c r="M17036" s="112"/>
      <c r="N17036" s="84"/>
    </row>
    <row r="17037" spans="1:14" s="2" customFormat="1">
      <c r="A17037" s="83"/>
      <c r="H17037" s="83"/>
      <c r="K17037" s="82"/>
      <c r="M17037" s="112"/>
      <c r="N17037" s="84"/>
    </row>
    <row r="17038" spans="1:14" s="2" customFormat="1">
      <c r="A17038" s="83"/>
      <c r="H17038" s="83"/>
      <c r="K17038" s="82"/>
      <c r="M17038" s="112"/>
      <c r="N17038" s="84"/>
    </row>
    <row r="17039" spans="1:14" s="2" customFormat="1">
      <c r="A17039" s="83"/>
      <c r="H17039" s="83"/>
      <c r="K17039" s="82"/>
      <c r="M17039" s="112"/>
      <c r="N17039" s="84"/>
    </row>
    <row r="17040" spans="1:14" s="2" customFormat="1">
      <c r="A17040" s="83"/>
      <c r="H17040" s="83"/>
      <c r="K17040" s="82"/>
      <c r="M17040" s="112"/>
      <c r="N17040" s="84"/>
    </row>
    <row r="17041" spans="1:14" s="2" customFormat="1">
      <c r="A17041" s="83"/>
      <c r="H17041" s="83"/>
      <c r="K17041" s="82"/>
      <c r="M17041" s="112"/>
      <c r="N17041" s="84"/>
    </row>
    <row r="17042" spans="1:14" s="2" customFormat="1">
      <c r="A17042" s="83"/>
      <c r="H17042" s="83"/>
      <c r="K17042" s="82"/>
      <c r="M17042" s="112"/>
      <c r="N17042" s="84"/>
    </row>
    <row r="17043" spans="1:14" s="2" customFormat="1">
      <c r="A17043" s="83"/>
      <c r="H17043" s="83"/>
      <c r="K17043" s="82"/>
      <c r="M17043" s="112"/>
      <c r="N17043" s="84"/>
    </row>
    <row r="17044" spans="1:14" s="2" customFormat="1">
      <c r="A17044" s="83"/>
      <c r="H17044" s="83"/>
      <c r="K17044" s="82"/>
      <c r="M17044" s="112"/>
      <c r="N17044" s="84"/>
    </row>
    <row r="17045" spans="1:14" s="2" customFormat="1">
      <c r="A17045" s="83"/>
      <c r="H17045" s="83"/>
      <c r="K17045" s="82"/>
      <c r="M17045" s="112"/>
      <c r="N17045" s="84"/>
    </row>
    <row r="17046" spans="1:14" s="2" customFormat="1">
      <c r="A17046" s="83"/>
      <c r="H17046" s="83"/>
      <c r="K17046" s="82"/>
      <c r="M17046" s="112"/>
      <c r="N17046" s="84"/>
    </row>
    <row r="17047" spans="1:14" s="2" customFormat="1">
      <c r="A17047" s="83"/>
      <c r="H17047" s="83"/>
      <c r="K17047" s="82"/>
      <c r="M17047" s="112"/>
      <c r="N17047" s="84"/>
    </row>
    <row r="17048" spans="1:14" s="2" customFormat="1">
      <c r="A17048" s="83"/>
      <c r="H17048" s="83"/>
      <c r="K17048" s="82"/>
      <c r="M17048" s="112"/>
      <c r="N17048" s="84"/>
    </row>
    <row r="17049" spans="1:14" s="2" customFormat="1">
      <c r="A17049" s="83"/>
      <c r="H17049" s="83"/>
      <c r="K17049" s="82"/>
      <c r="M17049" s="112"/>
      <c r="N17049" s="84"/>
    </row>
    <row r="17050" spans="1:14" s="2" customFormat="1">
      <c r="A17050" s="83"/>
      <c r="H17050" s="83"/>
      <c r="K17050" s="82"/>
      <c r="M17050" s="112"/>
      <c r="N17050" s="84"/>
    </row>
    <row r="17051" spans="1:14" s="2" customFormat="1">
      <c r="A17051" s="83"/>
      <c r="H17051" s="83"/>
      <c r="K17051" s="82"/>
      <c r="M17051" s="112"/>
      <c r="N17051" s="84"/>
    </row>
    <row r="17052" spans="1:14" s="2" customFormat="1">
      <c r="A17052" s="83"/>
      <c r="H17052" s="83"/>
      <c r="K17052" s="82"/>
      <c r="M17052" s="112"/>
      <c r="N17052" s="84"/>
    </row>
    <row r="17053" spans="1:14" s="2" customFormat="1">
      <c r="A17053" s="83"/>
      <c r="H17053" s="83"/>
      <c r="K17053" s="82"/>
      <c r="M17053" s="112"/>
      <c r="N17053" s="84"/>
    </row>
    <row r="17054" spans="1:14" s="2" customFormat="1">
      <c r="A17054" s="83"/>
      <c r="H17054" s="83"/>
      <c r="K17054" s="82"/>
      <c r="M17054" s="112"/>
      <c r="N17054" s="84"/>
    </row>
    <row r="17055" spans="1:14" s="2" customFormat="1">
      <c r="A17055" s="83"/>
      <c r="H17055" s="83"/>
      <c r="K17055" s="82"/>
      <c r="M17055" s="112"/>
      <c r="N17055" s="84"/>
    </row>
    <row r="17056" spans="1:14" s="2" customFormat="1">
      <c r="A17056" s="83"/>
      <c r="H17056" s="83"/>
      <c r="K17056" s="82"/>
      <c r="M17056" s="112"/>
      <c r="N17056" s="84"/>
    </row>
    <row r="17057" spans="1:14" s="2" customFormat="1">
      <c r="A17057" s="83"/>
      <c r="H17057" s="83"/>
      <c r="K17057" s="82"/>
      <c r="M17057" s="112"/>
      <c r="N17057" s="84"/>
    </row>
    <row r="17058" spans="1:14" s="2" customFormat="1">
      <c r="A17058" s="83"/>
      <c r="H17058" s="83"/>
      <c r="K17058" s="82"/>
      <c r="M17058" s="112"/>
      <c r="N17058" s="84"/>
    </row>
    <row r="17059" spans="1:14" s="2" customFormat="1">
      <c r="A17059" s="83"/>
      <c r="H17059" s="83"/>
      <c r="K17059" s="82"/>
      <c r="M17059" s="112"/>
      <c r="N17059" s="84"/>
    </row>
    <row r="17060" spans="1:14" s="2" customFormat="1">
      <c r="A17060" s="83"/>
      <c r="H17060" s="83"/>
      <c r="K17060" s="82"/>
      <c r="M17060" s="112"/>
      <c r="N17060" s="84"/>
    </row>
    <row r="17061" spans="1:14" s="2" customFormat="1">
      <c r="A17061" s="83"/>
      <c r="H17061" s="83"/>
      <c r="K17061" s="82"/>
      <c r="M17061" s="112"/>
      <c r="N17061" s="84"/>
    </row>
    <row r="17062" spans="1:14" s="2" customFormat="1">
      <c r="A17062" s="83"/>
      <c r="H17062" s="83"/>
      <c r="K17062" s="82"/>
      <c r="M17062" s="112"/>
      <c r="N17062" s="84"/>
    </row>
    <row r="17063" spans="1:14" s="2" customFormat="1">
      <c r="A17063" s="83"/>
      <c r="H17063" s="83"/>
      <c r="K17063" s="82"/>
      <c r="M17063" s="112"/>
      <c r="N17063" s="84"/>
    </row>
    <row r="17064" spans="1:14" s="2" customFormat="1">
      <c r="A17064" s="83"/>
      <c r="H17064" s="83"/>
      <c r="K17064" s="82"/>
      <c r="M17064" s="112"/>
      <c r="N17064" s="84"/>
    </row>
    <row r="17065" spans="1:14" s="2" customFormat="1">
      <c r="A17065" s="83"/>
      <c r="H17065" s="83"/>
      <c r="K17065" s="82"/>
      <c r="M17065" s="112"/>
      <c r="N17065" s="84"/>
    </row>
    <row r="17066" spans="1:14" s="2" customFormat="1">
      <c r="A17066" s="83"/>
      <c r="H17066" s="83"/>
      <c r="K17066" s="82"/>
      <c r="M17066" s="112"/>
      <c r="N17066" s="84"/>
    </row>
    <row r="17067" spans="1:14" s="2" customFormat="1">
      <c r="A17067" s="83"/>
      <c r="H17067" s="83"/>
      <c r="K17067" s="82"/>
      <c r="M17067" s="112"/>
      <c r="N17067" s="84"/>
    </row>
    <row r="17068" spans="1:14" s="2" customFormat="1">
      <c r="A17068" s="83"/>
      <c r="H17068" s="83"/>
      <c r="K17068" s="82"/>
      <c r="M17068" s="112"/>
      <c r="N17068" s="84"/>
    </row>
    <row r="17069" spans="1:14" s="2" customFormat="1">
      <c r="A17069" s="83"/>
      <c r="H17069" s="83"/>
      <c r="K17069" s="82"/>
      <c r="M17069" s="112"/>
      <c r="N17069" s="84"/>
    </row>
    <row r="17070" spans="1:14" s="2" customFormat="1">
      <c r="A17070" s="83"/>
      <c r="H17070" s="83"/>
      <c r="K17070" s="82"/>
      <c r="M17070" s="112"/>
      <c r="N17070" s="84"/>
    </row>
    <row r="17071" spans="1:14" s="2" customFormat="1">
      <c r="A17071" s="83"/>
      <c r="H17071" s="83"/>
      <c r="K17071" s="82"/>
      <c r="M17071" s="112"/>
      <c r="N17071" s="84"/>
    </row>
    <row r="17072" spans="1:14" s="2" customFormat="1">
      <c r="A17072" s="83"/>
      <c r="H17072" s="83"/>
      <c r="K17072" s="82"/>
      <c r="M17072" s="112"/>
      <c r="N17072" s="84"/>
    </row>
    <row r="17073" spans="1:14" s="2" customFormat="1">
      <c r="A17073" s="83"/>
      <c r="H17073" s="83"/>
      <c r="K17073" s="82"/>
      <c r="M17073" s="112"/>
      <c r="N17073" s="84"/>
    </row>
    <row r="17074" spans="1:14" s="2" customFormat="1">
      <c r="A17074" s="83"/>
      <c r="H17074" s="83"/>
      <c r="K17074" s="82"/>
      <c r="M17074" s="112"/>
      <c r="N17074" s="84"/>
    </row>
    <row r="17075" spans="1:14" s="2" customFormat="1">
      <c r="A17075" s="83"/>
      <c r="H17075" s="83"/>
      <c r="K17075" s="82"/>
      <c r="M17075" s="112"/>
      <c r="N17075" s="84"/>
    </row>
    <row r="17076" spans="1:14" s="2" customFormat="1">
      <c r="A17076" s="83"/>
      <c r="H17076" s="83"/>
      <c r="K17076" s="82"/>
      <c r="M17076" s="112"/>
      <c r="N17076" s="84"/>
    </row>
    <row r="17077" spans="1:14" s="2" customFormat="1">
      <c r="A17077" s="83"/>
      <c r="H17077" s="83"/>
      <c r="K17077" s="82"/>
      <c r="M17077" s="112"/>
      <c r="N17077" s="84"/>
    </row>
    <row r="17078" spans="1:14" s="2" customFormat="1">
      <c r="A17078" s="83"/>
      <c r="H17078" s="83"/>
      <c r="K17078" s="82"/>
      <c r="M17078" s="112"/>
      <c r="N17078" s="84"/>
    </row>
    <row r="17079" spans="1:14" s="2" customFormat="1">
      <c r="A17079" s="83"/>
      <c r="H17079" s="83"/>
      <c r="K17079" s="82"/>
      <c r="M17079" s="112"/>
      <c r="N17079" s="84"/>
    </row>
    <row r="17080" spans="1:14" s="2" customFormat="1">
      <c r="A17080" s="83"/>
      <c r="H17080" s="83"/>
      <c r="K17080" s="82"/>
      <c r="M17080" s="112"/>
      <c r="N17080" s="84"/>
    </row>
    <row r="17081" spans="1:14" s="2" customFormat="1">
      <c r="A17081" s="83"/>
      <c r="H17081" s="83"/>
      <c r="K17081" s="82"/>
      <c r="M17081" s="112"/>
      <c r="N17081" s="84"/>
    </row>
    <row r="17082" spans="1:14" s="2" customFormat="1">
      <c r="A17082" s="83"/>
      <c r="H17082" s="83"/>
      <c r="K17082" s="82"/>
      <c r="M17082" s="112"/>
      <c r="N17082" s="84"/>
    </row>
    <row r="17083" spans="1:14" s="2" customFormat="1">
      <c r="A17083" s="83"/>
      <c r="H17083" s="83"/>
      <c r="K17083" s="82"/>
      <c r="M17083" s="112"/>
      <c r="N17083" s="84"/>
    </row>
    <row r="17084" spans="1:14" s="2" customFormat="1">
      <c r="A17084" s="83"/>
      <c r="H17084" s="83"/>
      <c r="K17084" s="82"/>
      <c r="M17084" s="112"/>
      <c r="N17084" s="84"/>
    </row>
    <row r="17085" spans="1:14" s="2" customFormat="1">
      <c r="A17085" s="83"/>
      <c r="H17085" s="83"/>
      <c r="K17085" s="82"/>
      <c r="M17085" s="112"/>
      <c r="N17085" s="84"/>
    </row>
    <row r="17086" spans="1:14" s="2" customFormat="1">
      <c r="A17086" s="83"/>
      <c r="H17086" s="83"/>
      <c r="K17086" s="82"/>
      <c r="M17086" s="112"/>
      <c r="N17086" s="84"/>
    </row>
    <row r="17087" spans="1:14" s="2" customFormat="1">
      <c r="A17087" s="83"/>
      <c r="H17087" s="83"/>
      <c r="K17087" s="82"/>
      <c r="M17087" s="112"/>
      <c r="N17087" s="84"/>
    </row>
    <row r="17088" spans="1:14" s="2" customFormat="1">
      <c r="A17088" s="83"/>
      <c r="H17088" s="83"/>
      <c r="K17088" s="82"/>
      <c r="M17088" s="112"/>
      <c r="N17088" s="84"/>
    </row>
    <row r="17089" spans="1:14" s="2" customFormat="1">
      <c r="A17089" s="83"/>
      <c r="H17089" s="83"/>
      <c r="K17089" s="82"/>
      <c r="M17089" s="112"/>
      <c r="N17089" s="84"/>
    </row>
    <row r="17090" spans="1:14" s="2" customFormat="1">
      <c r="A17090" s="83"/>
      <c r="H17090" s="83"/>
      <c r="K17090" s="82"/>
      <c r="M17090" s="112"/>
      <c r="N17090" s="84"/>
    </row>
    <row r="17091" spans="1:14" s="2" customFormat="1">
      <c r="A17091" s="83"/>
      <c r="H17091" s="83"/>
      <c r="K17091" s="82"/>
      <c r="M17091" s="112"/>
      <c r="N17091" s="84"/>
    </row>
    <row r="17092" spans="1:14" s="2" customFormat="1">
      <c r="A17092" s="83"/>
      <c r="H17092" s="83"/>
      <c r="K17092" s="82"/>
      <c r="M17092" s="112"/>
      <c r="N17092" s="84"/>
    </row>
    <row r="17093" spans="1:14" s="2" customFormat="1">
      <c r="A17093" s="83"/>
      <c r="H17093" s="83"/>
      <c r="K17093" s="82"/>
      <c r="M17093" s="112"/>
      <c r="N17093" s="84"/>
    </row>
    <row r="17094" spans="1:14" s="2" customFormat="1">
      <c r="A17094" s="83"/>
      <c r="H17094" s="83"/>
      <c r="K17094" s="82"/>
      <c r="M17094" s="112"/>
      <c r="N17094" s="84"/>
    </row>
    <row r="17095" spans="1:14" s="2" customFormat="1">
      <c r="A17095" s="83"/>
      <c r="H17095" s="83"/>
      <c r="K17095" s="82"/>
      <c r="M17095" s="112"/>
      <c r="N17095" s="84"/>
    </row>
    <row r="17096" spans="1:14" s="2" customFormat="1">
      <c r="A17096" s="83"/>
      <c r="H17096" s="83"/>
      <c r="K17096" s="82"/>
      <c r="M17096" s="112"/>
      <c r="N17096" s="84"/>
    </row>
    <row r="17097" spans="1:14" s="2" customFormat="1">
      <c r="A17097" s="83"/>
      <c r="H17097" s="83"/>
      <c r="K17097" s="82"/>
      <c r="M17097" s="112"/>
      <c r="N17097" s="84"/>
    </row>
    <row r="17098" spans="1:14" s="2" customFormat="1">
      <c r="A17098" s="83"/>
      <c r="H17098" s="83"/>
      <c r="K17098" s="82"/>
      <c r="M17098" s="112"/>
      <c r="N17098" s="84"/>
    </row>
    <row r="17099" spans="1:14" s="2" customFormat="1">
      <c r="A17099" s="83"/>
      <c r="H17099" s="83"/>
      <c r="K17099" s="82"/>
      <c r="M17099" s="112"/>
      <c r="N17099" s="84"/>
    </row>
    <row r="17100" spans="1:14" s="2" customFormat="1">
      <c r="A17100" s="83"/>
      <c r="H17100" s="83"/>
      <c r="K17100" s="82"/>
      <c r="M17100" s="112"/>
      <c r="N17100" s="84"/>
    </row>
    <row r="17101" spans="1:14" s="2" customFormat="1">
      <c r="A17101" s="83"/>
      <c r="H17101" s="83"/>
      <c r="K17101" s="82"/>
      <c r="M17101" s="112"/>
      <c r="N17101" s="84"/>
    </row>
    <row r="17102" spans="1:14" s="2" customFormat="1">
      <c r="A17102" s="83"/>
      <c r="H17102" s="83"/>
      <c r="K17102" s="82"/>
      <c r="M17102" s="112"/>
      <c r="N17102" s="84"/>
    </row>
    <row r="17103" spans="1:14" s="2" customFormat="1">
      <c r="A17103" s="83"/>
      <c r="H17103" s="83"/>
      <c r="K17103" s="82"/>
      <c r="M17103" s="112"/>
      <c r="N17103" s="84"/>
    </row>
    <row r="17104" spans="1:14" s="2" customFormat="1">
      <c r="A17104" s="83"/>
      <c r="H17104" s="83"/>
      <c r="K17104" s="82"/>
      <c r="M17104" s="112"/>
      <c r="N17104" s="84"/>
    </row>
    <row r="17105" spans="1:14" s="2" customFormat="1">
      <c r="A17105" s="83"/>
      <c r="H17105" s="83"/>
      <c r="K17105" s="82"/>
      <c r="M17105" s="112"/>
      <c r="N17105" s="84"/>
    </row>
    <row r="17106" spans="1:14" s="2" customFormat="1">
      <c r="A17106" s="83"/>
      <c r="H17106" s="83"/>
      <c r="K17106" s="82"/>
      <c r="M17106" s="112"/>
      <c r="N17106" s="84"/>
    </row>
    <row r="17107" spans="1:14" s="2" customFormat="1">
      <c r="A17107" s="83"/>
      <c r="H17107" s="83"/>
      <c r="K17107" s="82"/>
      <c r="M17107" s="112"/>
      <c r="N17107" s="84"/>
    </row>
    <row r="17108" spans="1:14" s="2" customFormat="1">
      <c r="A17108" s="83"/>
      <c r="H17108" s="83"/>
      <c r="K17108" s="82"/>
      <c r="M17108" s="112"/>
      <c r="N17108" s="84"/>
    </row>
    <row r="17109" spans="1:14" s="2" customFormat="1">
      <c r="A17109" s="83"/>
      <c r="H17109" s="83"/>
      <c r="K17109" s="82"/>
      <c r="M17109" s="112"/>
      <c r="N17109" s="84"/>
    </row>
    <row r="17110" spans="1:14" s="2" customFormat="1">
      <c r="A17110" s="83"/>
      <c r="H17110" s="83"/>
      <c r="K17110" s="82"/>
      <c r="M17110" s="112"/>
      <c r="N17110" s="84"/>
    </row>
    <row r="17111" spans="1:14" s="2" customFormat="1">
      <c r="A17111" s="83"/>
      <c r="H17111" s="83"/>
      <c r="K17111" s="82"/>
      <c r="M17111" s="112"/>
      <c r="N17111" s="84"/>
    </row>
    <row r="17112" spans="1:14" s="2" customFormat="1">
      <c r="A17112" s="83"/>
      <c r="H17112" s="83"/>
      <c r="K17112" s="82"/>
      <c r="M17112" s="112"/>
      <c r="N17112" s="84"/>
    </row>
    <row r="17113" spans="1:14" s="2" customFormat="1">
      <c r="A17113" s="83"/>
      <c r="H17113" s="83"/>
      <c r="K17113" s="82"/>
      <c r="M17113" s="112"/>
      <c r="N17113" s="84"/>
    </row>
    <row r="17114" spans="1:14" s="2" customFormat="1">
      <c r="A17114" s="83"/>
      <c r="H17114" s="83"/>
      <c r="K17114" s="82"/>
      <c r="M17114" s="112"/>
      <c r="N17114" s="84"/>
    </row>
    <row r="17115" spans="1:14" s="2" customFormat="1">
      <c r="A17115" s="83"/>
      <c r="H17115" s="83"/>
      <c r="K17115" s="82"/>
      <c r="M17115" s="112"/>
      <c r="N17115" s="84"/>
    </row>
    <row r="17116" spans="1:14" s="2" customFormat="1">
      <c r="A17116" s="83"/>
      <c r="H17116" s="83"/>
      <c r="K17116" s="82"/>
      <c r="M17116" s="112"/>
      <c r="N17116" s="84"/>
    </row>
    <row r="17117" spans="1:14" s="2" customFormat="1">
      <c r="A17117" s="83"/>
      <c r="H17117" s="83"/>
      <c r="K17117" s="82"/>
      <c r="M17117" s="112"/>
      <c r="N17117" s="84"/>
    </row>
    <row r="17118" spans="1:14" s="2" customFormat="1">
      <c r="A17118" s="83"/>
      <c r="H17118" s="83"/>
      <c r="K17118" s="82"/>
      <c r="M17118" s="112"/>
      <c r="N17118" s="84"/>
    </row>
    <row r="17119" spans="1:14" s="2" customFormat="1">
      <c r="A17119" s="83"/>
      <c r="H17119" s="83"/>
      <c r="K17119" s="82"/>
      <c r="M17119" s="112"/>
      <c r="N17119" s="84"/>
    </row>
    <row r="17120" spans="1:14" s="2" customFormat="1">
      <c r="A17120" s="83"/>
      <c r="H17120" s="83"/>
      <c r="K17120" s="82"/>
      <c r="M17120" s="112"/>
      <c r="N17120" s="84"/>
    </row>
    <row r="17121" spans="1:14" s="2" customFormat="1">
      <c r="A17121" s="83"/>
      <c r="H17121" s="83"/>
      <c r="K17121" s="82"/>
      <c r="M17121" s="112"/>
      <c r="N17121" s="84"/>
    </row>
    <row r="17122" spans="1:14" s="2" customFormat="1">
      <c r="A17122" s="83"/>
      <c r="H17122" s="83"/>
      <c r="K17122" s="82"/>
      <c r="M17122" s="112"/>
      <c r="N17122" s="84"/>
    </row>
    <row r="17123" spans="1:14" s="2" customFormat="1">
      <c r="A17123" s="83"/>
      <c r="H17123" s="83"/>
      <c r="K17123" s="82"/>
      <c r="M17123" s="112"/>
      <c r="N17123" s="84"/>
    </row>
    <row r="17124" spans="1:14" s="2" customFormat="1">
      <c r="A17124" s="83"/>
      <c r="H17124" s="83"/>
      <c r="K17124" s="82"/>
      <c r="M17124" s="112"/>
      <c r="N17124" s="84"/>
    </row>
    <row r="17125" spans="1:14" s="2" customFormat="1">
      <c r="A17125" s="83"/>
      <c r="H17125" s="83"/>
      <c r="K17125" s="82"/>
      <c r="M17125" s="112"/>
      <c r="N17125" s="84"/>
    </row>
    <row r="17126" spans="1:14" s="2" customFormat="1">
      <c r="A17126" s="83"/>
      <c r="H17126" s="83"/>
      <c r="K17126" s="82"/>
      <c r="M17126" s="112"/>
      <c r="N17126" s="84"/>
    </row>
    <row r="17127" spans="1:14" s="2" customFormat="1">
      <c r="A17127" s="83"/>
      <c r="H17127" s="83"/>
      <c r="K17127" s="82"/>
      <c r="M17127" s="112"/>
      <c r="N17127" s="84"/>
    </row>
    <row r="17128" spans="1:14" s="2" customFormat="1">
      <c r="A17128" s="83"/>
      <c r="H17128" s="83"/>
      <c r="K17128" s="82"/>
      <c r="M17128" s="112"/>
      <c r="N17128" s="84"/>
    </row>
    <row r="17129" spans="1:14" s="2" customFormat="1">
      <c r="A17129" s="83"/>
      <c r="H17129" s="83"/>
      <c r="K17129" s="82"/>
      <c r="M17129" s="112"/>
      <c r="N17129" s="84"/>
    </row>
    <row r="17130" spans="1:14" s="2" customFormat="1">
      <c r="A17130" s="83"/>
      <c r="H17130" s="83"/>
      <c r="K17130" s="82"/>
      <c r="M17130" s="112"/>
      <c r="N17130" s="84"/>
    </row>
    <row r="17131" spans="1:14" s="2" customFormat="1">
      <c r="A17131" s="83"/>
      <c r="H17131" s="83"/>
      <c r="K17131" s="82"/>
      <c r="M17131" s="112"/>
      <c r="N17131" s="84"/>
    </row>
    <row r="17132" spans="1:14" s="2" customFormat="1">
      <c r="A17132" s="83"/>
      <c r="H17132" s="83"/>
      <c r="K17132" s="82"/>
      <c r="M17132" s="112"/>
      <c r="N17132" s="84"/>
    </row>
    <row r="17133" spans="1:14" s="2" customFormat="1">
      <c r="A17133" s="83"/>
      <c r="H17133" s="83"/>
      <c r="K17133" s="82"/>
      <c r="M17133" s="112"/>
      <c r="N17133" s="84"/>
    </row>
    <row r="17134" spans="1:14" s="2" customFormat="1">
      <c r="A17134" s="83"/>
      <c r="H17134" s="83"/>
      <c r="K17134" s="82"/>
      <c r="M17134" s="112"/>
      <c r="N17134" s="84"/>
    </row>
    <row r="17135" spans="1:14" s="2" customFormat="1">
      <c r="A17135" s="83"/>
      <c r="H17135" s="83"/>
      <c r="K17135" s="82"/>
      <c r="M17135" s="112"/>
      <c r="N17135" s="84"/>
    </row>
    <row r="17136" spans="1:14" s="2" customFormat="1">
      <c r="A17136" s="83"/>
      <c r="H17136" s="83"/>
      <c r="K17136" s="82"/>
      <c r="M17136" s="112"/>
      <c r="N17136" s="84"/>
    </row>
    <row r="17137" spans="1:14" s="2" customFormat="1">
      <c r="A17137" s="83"/>
      <c r="H17137" s="83"/>
      <c r="K17137" s="82"/>
      <c r="M17137" s="112"/>
      <c r="N17137" s="84"/>
    </row>
    <row r="17138" spans="1:14" s="2" customFormat="1">
      <c r="A17138" s="83"/>
      <c r="H17138" s="83"/>
      <c r="K17138" s="82"/>
      <c r="M17138" s="112"/>
      <c r="N17138" s="84"/>
    </row>
    <row r="17139" spans="1:14" s="2" customFormat="1">
      <c r="A17139" s="83"/>
      <c r="H17139" s="83"/>
      <c r="K17139" s="82"/>
      <c r="M17139" s="112"/>
      <c r="N17139" s="84"/>
    </row>
    <row r="17140" spans="1:14" s="2" customFormat="1">
      <c r="A17140" s="83"/>
      <c r="H17140" s="83"/>
      <c r="K17140" s="82"/>
      <c r="M17140" s="112"/>
      <c r="N17140" s="84"/>
    </row>
    <row r="17141" spans="1:14" s="2" customFormat="1">
      <c r="A17141" s="83"/>
      <c r="H17141" s="83"/>
      <c r="K17141" s="82"/>
      <c r="M17141" s="112"/>
      <c r="N17141" s="84"/>
    </row>
    <row r="17142" spans="1:14" s="2" customFormat="1">
      <c r="A17142" s="83"/>
      <c r="H17142" s="83"/>
      <c r="K17142" s="82"/>
      <c r="M17142" s="112"/>
      <c r="N17142" s="84"/>
    </row>
    <row r="17143" spans="1:14" s="2" customFormat="1">
      <c r="A17143" s="83"/>
      <c r="H17143" s="83"/>
      <c r="K17143" s="82"/>
      <c r="M17143" s="112"/>
      <c r="N17143" s="84"/>
    </row>
    <row r="17144" spans="1:14" s="2" customFormat="1">
      <c r="A17144" s="83"/>
      <c r="H17144" s="83"/>
      <c r="K17144" s="82"/>
      <c r="M17144" s="112"/>
      <c r="N17144" s="84"/>
    </row>
    <row r="17145" spans="1:14" s="2" customFormat="1">
      <c r="A17145" s="83"/>
      <c r="H17145" s="83"/>
      <c r="K17145" s="82"/>
      <c r="M17145" s="112"/>
      <c r="N17145" s="84"/>
    </row>
    <row r="17146" spans="1:14" s="2" customFormat="1">
      <c r="A17146" s="83"/>
      <c r="H17146" s="83"/>
      <c r="K17146" s="82"/>
      <c r="M17146" s="112"/>
      <c r="N17146" s="84"/>
    </row>
    <row r="17147" spans="1:14" s="2" customFormat="1">
      <c r="A17147" s="83"/>
      <c r="H17147" s="83"/>
      <c r="K17147" s="82"/>
      <c r="M17147" s="112"/>
      <c r="N17147" s="84"/>
    </row>
    <row r="17148" spans="1:14" s="2" customFormat="1">
      <c r="A17148" s="83"/>
      <c r="H17148" s="83"/>
      <c r="K17148" s="82"/>
      <c r="M17148" s="112"/>
      <c r="N17148" s="84"/>
    </row>
    <row r="17149" spans="1:14" s="2" customFormat="1">
      <c r="A17149" s="83"/>
      <c r="H17149" s="83"/>
      <c r="K17149" s="82"/>
      <c r="M17149" s="112"/>
      <c r="N17149" s="84"/>
    </row>
    <row r="17150" spans="1:14" s="2" customFormat="1">
      <c r="A17150" s="83"/>
      <c r="H17150" s="83"/>
      <c r="K17150" s="82"/>
      <c r="M17150" s="112"/>
      <c r="N17150" s="84"/>
    </row>
    <row r="17151" spans="1:14" s="2" customFormat="1">
      <c r="A17151" s="83"/>
      <c r="H17151" s="83"/>
      <c r="K17151" s="82"/>
      <c r="M17151" s="112"/>
      <c r="N17151" s="84"/>
    </row>
    <row r="17152" spans="1:14" s="2" customFormat="1">
      <c r="A17152" s="83"/>
      <c r="H17152" s="83"/>
      <c r="K17152" s="82"/>
      <c r="M17152" s="112"/>
      <c r="N17152" s="84"/>
    </row>
    <row r="17153" spans="1:14" s="2" customFormat="1">
      <c r="A17153" s="83"/>
      <c r="H17153" s="83"/>
      <c r="K17153" s="82"/>
      <c r="M17153" s="112"/>
      <c r="N17153" s="84"/>
    </row>
    <row r="17154" spans="1:14" s="2" customFormat="1">
      <c r="A17154" s="83"/>
      <c r="H17154" s="83"/>
      <c r="K17154" s="82"/>
      <c r="M17154" s="112"/>
      <c r="N17154" s="84"/>
    </row>
    <row r="17155" spans="1:14" s="2" customFormat="1">
      <c r="A17155" s="83"/>
      <c r="H17155" s="83"/>
      <c r="K17155" s="82"/>
      <c r="M17155" s="112"/>
      <c r="N17155" s="84"/>
    </row>
    <row r="17156" spans="1:14" s="2" customFormat="1">
      <c r="A17156" s="83"/>
      <c r="H17156" s="83"/>
      <c r="K17156" s="82"/>
      <c r="M17156" s="112"/>
      <c r="N17156" s="84"/>
    </row>
    <row r="17157" spans="1:14" s="2" customFormat="1">
      <c r="A17157" s="83"/>
      <c r="H17157" s="83"/>
      <c r="K17157" s="82"/>
      <c r="M17157" s="112"/>
      <c r="N17157" s="84"/>
    </row>
    <row r="17158" spans="1:14" s="2" customFormat="1">
      <c r="A17158" s="83"/>
      <c r="H17158" s="83"/>
      <c r="K17158" s="82"/>
      <c r="M17158" s="112"/>
      <c r="N17158" s="84"/>
    </row>
    <row r="17159" spans="1:14" s="2" customFormat="1">
      <c r="A17159" s="83"/>
      <c r="H17159" s="83"/>
      <c r="K17159" s="82"/>
      <c r="M17159" s="112"/>
      <c r="N17159" s="84"/>
    </row>
    <row r="17160" spans="1:14" s="2" customFormat="1">
      <c r="A17160" s="83"/>
      <c r="H17160" s="83"/>
      <c r="K17160" s="82"/>
      <c r="M17160" s="112"/>
      <c r="N17160" s="84"/>
    </row>
    <row r="17161" spans="1:14" s="2" customFormat="1">
      <c r="A17161" s="83"/>
      <c r="H17161" s="83"/>
      <c r="K17161" s="82"/>
      <c r="M17161" s="112"/>
      <c r="N17161" s="84"/>
    </row>
    <row r="17162" spans="1:14" s="2" customFormat="1">
      <c r="A17162" s="83"/>
      <c r="H17162" s="83"/>
      <c r="K17162" s="82"/>
      <c r="M17162" s="112"/>
      <c r="N17162" s="84"/>
    </row>
    <row r="17163" spans="1:14" s="2" customFormat="1">
      <c r="A17163" s="83"/>
      <c r="H17163" s="83"/>
      <c r="K17163" s="82"/>
      <c r="M17163" s="112"/>
      <c r="N17163" s="84"/>
    </row>
    <row r="17164" spans="1:14" s="2" customFormat="1">
      <c r="A17164" s="83"/>
      <c r="H17164" s="83"/>
      <c r="K17164" s="82"/>
      <c r="M17164" s="112"/>
      <c r="N17164" s="84"/>
    </row>
    <row r="17165" spans="1:14" s="2" customFormat="1">
      <c r="A17165" s="83"/>
      <c r="H17165" s="83"/>
      <c r="K17165" s="82"/>
      <c r="M17165" s="112"/>
      <c r="N17165" s="84"/>
    </row>
    <row r="17166" spans="1:14" s="2" customFormat="1">
      <c r="A17166" s="83"/>
      <c r="H17166" s="83"/>
      <c r="K17166" s="82"/>
      <c r="M17166" s="112"/>
      <c r="N17166" s="84"/>
    </row>
    <row r="17167" spans="1:14" s="2" customFormat="1">
      <c r="A17167" s="83"/>
      <c r="H17167" s="83"/>
      <c r="K17167" s="82"/>
      <c r="M17167" s="112"/>
      <c r="N17167" s="84"/>
    </row>
    <row r="17168" spans="1:14" s="2" customFormat="1">
      <c r="A17168" s="83"/>
      <c r="H17168" s="83"/>
      <c r="K17168" s="82"/>
      <c r="M17168" s="112"/>
      <c r="N17168" s="84"/>
    </row>
    <row r="17169" spans="1:14" s="2" customFormat="1">
      <c r="A17169" s="83"/>
      <c r="H17169" s="83"/>
      <c r="K17169" s="82"/>
      <c r="M17169" s="112"/>
      <c r="N17169" s="84"/>
    </row>
    <row r="17170" spans="1:14" s="2" customFormat="1">
      <c r="A17170" s="83"/>
      <c r="H17170" s="83"/>
      <c r="K17170" s="82"/>
      <c r="M17170" s="112"/>
      <c r="N17170" s="84"/>
    </row>
    <row r="17171" spans="1:14" s="2" customFormat="1">
      <c r="A17171" s="83"/>
      <c r="H17171" s="83"/>
      <c r="K17171" s="82"/>
      <c r="M17171" s="112"/>
      <c r="N17171" s="84"/>
    </row>
    <row r="17172" spans="1:14" s="2" customFormat="1">
      <c r="A17172" s="83"/>
      <c r="H17172" s="83"/>
      <c r="K17172" s="82"/>
      <c r="M17172" s="112"/>
      <c r="N17172" s="84"/>
    </row>
    <row r="17173" spans="1:14" s="2" customFormat="1">
      <c r="A17173" s="83"/>
      <c r="H17173" s="83"/>
      <c r="K17173" s="82"/>
      <c r="M17173" s="112"/>
      <c r="N17173" s="84"/>
    </row>
    <row r="17174" spans="1:14" s="2" customFormat="1">
      <c r="A17174" s="83"/>
      <c r="H17174" s="83"/>
      <c r="K17174" s="82"/>
      <c r="M17174" s="112"/>
      <c r="N17174" s="84"/>
    </row>
    <row r="17175" spans="1:14" s="2" customFormat="1">
      <c r="A17175" s="83"/>
      <c r="H17175" s="83"/>
      <c r="K17175" s="82"/>
      <c r="M17175" s="112"/>
      <c r="N17175" s="84"/>
    </row>
    <row r="17176" spans="1:14" s="2" customFormat="1">
      <c r="A17176" s="83"/>
      <c r="H17176" s="83"/>
      <c r="K17176" s="82"/>
      <c r="M17176" s="112"/>
      <c r="N17176" s="84"/>
    </row>
    <row r="17177" spans="1:14" s="2" customFormat="1">
      <c r="A17177" s="83"/>
      <c r="H17177" s="83"/>
      <c r="K17177" s="82"/>
      <c r="M17177" s="112"/>
      <c r="N17177" s="84"/>
    </row>
    <row r="17178" spans="1:14" s="2" customFormat="1">
      <c r="A17178" s="83"/>
      <c r="H17178" s="83"/>
      <c r="K17178" s="82"/>
      <c r="M17178" s="112"/>
      <c r="N17178" s="84"/>
    </row>
    <row r="17179" spans="1:14" s="2" customFormat="1">
      <c r="A17179" s="83"/>
      <c r="H17179" s="83"/>
      <c r="K17179" s="82"/>
      <c r="M17179" s="112"/>
      <c r="N17179" s="84"/>
    </row>
    <row r="17180" spans="1:14" s="2" customFormat="1">
      <c r="A17180" s="83"/>
      <c r="H17180" s="83"/>
      <c r="K17180" s="82"/>
      <c r="M17180" s="112"/>
      <c r="N17180" s="84"/>
    </row>
    <row r="17181" spans="1:14" s="2" customFormat="1">
      <c r="A17181" s="83"/>
      <c r="H17181" s="83"/>
      <c r="K17181" s="82"/>
      <c r="M17181" s="112"/>
      <c r="N17181" s="84"/>
    </row>
    <row r="17182" spans="1:14" s="2" customFormat="1">
      <c r="A17182" s="83"/>
      <c r="H17182" s="83"/>
      <c r="K17182" s="82"/>
      <c r="M17182" s="112"/>
      <c r="N17182" s="84"/>
    </row>
    <row r="17183" spans="1:14" s="2" customFormat="1">
      <c r="A17183" s="83"/>
      <c r="H17183" s="83"/>
      <c r="K17183" s="82"/>
      <c r="M17183" s="112"/>
      <c r="N17183" s="84"/>
    </row>
    <row r="17184" spans="1:14" s="2" customFormat="1">
      <c r="A17184" s="83"/>
      <c r="H17184" s="83"/>
      <c r="K17184" s="82"/>
      <c r="M17184" s="112"/>
      <c r="N17184" s="84"/>
    </row>
    <row r="17185" spans="1:14" s="2" customFormat="1">
      <c r="A17185" s="83"/>
      <c r="H17185" s="83"/>
      <c r="K17185" s="82"/>
      <c r="M17185" s="112"/>
      <c r="N17185" s="84"/>
    </row>
    <row r="17186" spans="1:14" s="2" customFormat="1">
      <c r="A17186" s="83"/>
      <c r="H17186" s="83"/>
      <c r="K17186" s="82"/>
      <c r="M17186" s="112"/>
      <c r="N17186" s="84"/>
    </row>
    <row r="17187" spans="1:14" s="2" customFormat="1">
      <c r="A17187" s="83"/>
      <c r="H17187" s="83"/>
      <c r="K17187" s="82"/>
      <c r="M17187" s="112"/>
      <c r="N17187" s="84"/>
    </row>
    <row r="17188" spans="1:14" s="2" customFormat="1">
      <c r="A17188" s="83"/>
      <c r="H17188" s="83"/>
      <c r="K17188" s="82"/>
      <c r="M17188" s="112"/>
      <c r="N17188" s="84"/>
    </row>
    <row r="17189" spans="1:14" s="2" customFormat="1">
      <c r="A17189" s="83"/>
      <c r="H17189" s="83"/>
      <c r="K17189" s="82"/>
      <c r="M17189" s="112"/>
      <c r="N17189" s="84"/>
    </row>
    <row r="17190" spans="1:14" s="2" customFormat="1">
      <c r="A17190" s="83"/>
      <c r="H17190" s="83"/>
      <c r="K17190" s="82"/>
      <c r="M17190" s="112"/>
      <c r="N17190" s="84"/>
    </row>
    <row r="17191" spans="1:14" s="2" customFormat="1">
      <c r="A17191" s="83"/>
      <c r="H17191" s="83"/>
      <c r="K17191" s="82"/>
      <c r="M17191" s="112"/>
      <c r="N17191" s="84"/>
    </row>
    <row r="17192" spans="1:14" s="2" customFormat="1">
      <c r="A17192" s="83"/>
      <c r="H17192" s="83"/>
      <c r="K17192" s="82"/>
      <c r="M17192" s="112"/>
      <c r="N17192" s="84"/>
    </row>
    <row r="17193" spans="1:14" s="2" customFormat="1">
      <c r="A17193" s="83"/>
      <c r="H17193" s="83"/>
      <c r="K17193" s="82"/>
      <c r="M17193" s="112"/>
      <c r="N17193" s="84"/>
    </row>
    <row r="17194" spans="1:14" s="2" customFormat="1">
      <c r="A17194" s="83"/>
      <c r="H17194" s="83"/>
      <c r="K17194" s="82"/>
      <c r="M17194" s="112"/>
      <c r="N17194" s="84"/>
    </row>
    <row r="17195" spans="1:14" s="2" customFormat="1">
      <c r="A17195" s="83"/>
      <c r="H17195" s="83"/>
      <c r="K17195" s="82"/>
      <c r="M17195" s="112"/>
      <c r="N17195" s="84"/>
    </row>
    <row r="17196" spans="1:14" s="2" customFormat="1">
      <c r="A17196" s="83"/>
      <c r="H17196" s="83"/>
      <c r="K17196" s="82"/>
      <c r="M17196" s="112"/>
      <c r="N17196" s="84"/>
    </row>
    <row r="17197" spans="1:14" s="2" customFormat="1">
      <c r="A17197" s="83"/>
      <c r="H17197" s="83"/>
      <c r="K17197" s="82"/>
      <c r="M17197" s="112"/>
      <c r="N17197" s="84"/>
    </row>
    <row r="17198" spans="1:14" s="2" customFormat="1">
      <c r="A17198" s="83"/>
      <c r="H17198" s="83"/>
      <c r="K17198" s="82"/>
      <c r="M17198" s="112"/>
      <c r="N17198" s="84"/>
    </row>
    <row r="17199" spans="1:14" s="2" customFormat="1">
      <c r="A17199" s="83"/>
      <c r="H17199" s="83"/>
      <c r="K17199" s="82"/>
      <c r="M17199" s="112"/>
      <c r="N17199" s="84"/>
    </row>
    <row r="17200" spans="1:14" s="2" customFormat="1">
      <c r="A17200" s="83"/>
      <c r="H17200" s="83"/>
      <c r="K17200" s="82"/>
      <c r="M17200" s="112"/>
      <c r="N17200" s="84"/>
    </row>
    <row r="17201" spans="1:14" s="2" customFormat="1">
      <c r="A17201" s="83"/>
      <c r="H17201" s="83"/>
      <c r="K17201" s="82"/>
      <c r="M17201" s="112"/>
      <c r="N17201" s="84"/>
    </row>
    <row r="17202" spans="1:14" s="2" customFormat="1">
      <c r="A17202" s="83"/>
      <c r="H17202" s="83"/>
      <c r="K17202" s="82"/>
      <c r="M17202" s="112"/>
      <c r="N17202" s="84"/>
    </row>
    <row r="17203" spans="1:14" s="2" customFormat="1">
      <c r="A17203" s="83"/>
      <c r="H17203" s="83"/>
      <c r="K17203" s="82"/>
      <c r="M17203" s="112"/>
      <c r="N17203" s="84"/>
    </row>
    <row r="17204" spans="1:14" s="2" customFormat="1">
      <c r="A17204" s="83"/>
      <c r="H17204" s="83"/>
      <c r="K17204" s="82"/>
      <c r="M17204" s="112"/>
      <c r="N17204" s="84"/>
    </row>
    <row r="17205" spans="1:14" s="2" customFormat="1">
      <c r="A17205" s="83"/>
      <c r="H17205" s="83"/>
      <c r="K17205" s="82"/>
      <c r="M17205" s="112"/>
      <c r="N17205" s="84"/>
    </row>
    <row r="17206" spans="1:14" s="2" customFormat="1">
      <c r="A17206" s="83"/>
      <c r="H17206" s="83"/>
      <c r="K17206" s="82"/>
      <c r="M17206" s="112"/>
      <c r="N17206" s="84"/>
    </row>
    <row r="17207" spans="1:14" s="2" customFormat="1">
      <c r="A17207" s="83"/>
      <c r="H17207" s="83"/>
      <c r="K17207" s="82"/>
      <c r="M17207" s="112"/>
      <c r="N17207" s="84"/>
    </row>
    <row r="17208" spans="1:14" s="2" customFormat="1">
      <c r="A17208" s="83"/>
      <c r="H17208" s="83"/>
      <c r="K17208" s="82"/>
      <c r="M17208" s="112"/>
      <c r="N17208" s="84"/>
    </row>
    <row r="17209" spans="1:14" s="2" customFormat="1">
      <c r="A17209" s="83"/>
      <c r="H17209" s="83"/>
      <c r="K17209" s="82"/>
      <c r="M17209" s="112"/>
      <c r="N17209" s="84"/>
    </row>
    <row r="17210" spans="1:14" s="2" customFormat="1">
      <c r="A17210" s="83"/>
      <c r="H17210" s="83"/>
      <c r="K17210" s="82"/>
      <c r="M17210" s="112"/>
      <c r="N17210" s="84"/>
    </row>
    <row r="17211" spans="1:14" s="2" customFormat="1">
      <c r="A17211" s="83"/>
      <c r="H17211" s="83"/>
      <c r="K17211" s="82"/>
      <c r="M17211" s="112"/>
      <c r="N17211" s="84"/>
    </row>
    <row r="17212" spans="1:14" s="2" customFormat="1">
      <c r="A17212" s="83"/>
      <c r="H17212" s="83"/>
      <c r="K17212" s="82"/>
      <c r="M17212" s="112"/>
      <c r="N17212" s="84"/>
    </row>
    <row r="17213" spans="1:14" s="2" customFormat="1">
      <c r="A17213" s="83"/>
      <c r="H17213" s="83"/>
      <c r="K17213" s="82"/>
      <c r="M17213" s="112"/>
      <c r="N17213" s="84"/>
    </row>
    <row r="17214" spans="1:14" s="2" customFormat="1">
      <c r="A17214" s="83"/>
      <c r="H17214" s="83"/>
      <c r="K17214" s="82"/>
      <c r="M17214" s="112"/>
      <c r="N17214" s="84"/>
    </row>
    <row r="17215" spans="1:14" s="2" customFormat="1">
      <c r="A17215" s="83"/>
      <c r="H17215" s="83"/>
      <c r="K17215" s="82"/>
      <c r="M17215" s="112"/>
      <c r="N17215" s="84"/>
    </row>
    <row r="17216" spans="1:14" s="2" customFormat="1">
      <c r="A17216" s="83"/>
      <c r="H17216" s="83"/>
      <c r="K17216" s="82"/>
      <c r="M17216" s="112"/>
      <c r="N17216" s="84"/>
    </row>
    <row r="17217" spans="1:14" s="2" customFormat="1">
      <c r="A17217" s="83"/>
      <c r="H17217" s="83"/>
      <c r="K17217" s="82"/>
      <c r="M17217" s="112"/>
      <c r="N17217" s="84"/>
    </row>
    <row r="17218" spans="1:14" s="2" customFormat="1">
      <c r="A17218" s="83"/>
      <c r="H17218" s="83"/>
      <c r="K17218" s="82"/>
      <c r="M17218" s="112"/>
      <c r="N17218" s="84"/>
    </row>
    <row r="17219" spans="1:14" s="2" customFormat="1">
      <c r="A17219" s="83"/>
      <c r="H17219" s="83"/>
      <c r="K17219" s="82"/>
      <c r="M17219" s="112"/>
      <c r="N17219" s="84"/>
    </row>
    <row r="17220" spans="1:14" s="2" customFormat="1">
      <c r="A17220" s="83"/>
      <c r="H17220" s="83"/>
      <c r="K17220" s="82"/>
      <c r="M17220" s="112"/>
      <c r="N17220" s="84"/>
    </row>
    <row r="17221" spans="1:14" s="2" customFormat="1">
      <c r="A17221" s="83"/>
      <c r="H17221" s="83"/>
      <c r="K17221" s="82"/>
      <c r="M17221" s="112"/>
      <c r="N17221" s="84"/>
    </row>
    <row r="17222" spans="1:14" s="2" customFormat="1">
      <c r="A17222" s="83"/>
      <c r="H17222" s="83"/>
      <c r="K17222" s="82"/>
      <c r="M17222" s="112"/>
      <c r="N17222" s="84"/>
    </row>
    <row r="17223" spans="1:14" s="2" customFormat="1">
      <c r="A17223" s="83"/>
      <c r="H17223" s="83"/>
      <c r="K17223" s="82"/>
      <c r="M17223" s="112"/>
      <c r="N17223" s="84"/>
    </row>
    <row r="17224" spans="1:14" s="2" customFormat="1">
      <c r="A17224" s="83"/>
      <c r="H17224" s="83"/>
      <c r="K17224" s="82"/>
      <c r="M17224" s="112"/>
      <c r="N17224" s="84"/>
    </row>
    <row r="17225" spans="1:14" s="2" customFormat="1">
      <c r="A17225" s="83"/>
      <c r="H17225" s="83"/>
      <c r="K17225" s="82"/>
      <c r="M17225" s="112"/>
      <c r="N17225" s="84"/>
    </row>
    <row r="17226" spans="1:14" s="2" customFormat="1">
      <c r="A17226" s="83"/>
      <c r="H17226" s="83"/>
      <c r="K17226" s="82"/>
      <c r="M17226" s="112"/>
      <c r="N17226" s="84"/>
    </row>
    <row r="17227" spans="1:14" s="2" customFormat="1">
      <c r="A17227" s="83"/>
      <c r="H17227" s="83"/>
      <c r="K17227" s="82"/>
      <c r="M17227" s="112"/>
      <c r="N17227" s="84"/>
    </row>
    <row r="17228" spans="1:14" s="2" customFormat="1">
      <c r="A17228" s="83"/>
      <c r="H17228" s="83"/>
      <c r="K17228" s="82"/>
      <c r="M17228" s="112"/>
      <c r="N17228" s="84"/>
    </row>
    <row r="17229" spans="1:14" s="2" customFormat="1">
      <c r="A17229" s="83"/>
      <c r="H17229" s="83"/>
      <c r="K17229" s="82"/>
      <c r="M17229" s="112"/>
      <c r="N17229" s="84"/>
    </row>
    <row r="17230" spans="1:14" s="2" customFormat="1">
      <c r="A17230" s="83"/>
      <c r="H17230" s="83"/>
      <c r="K17230" s="82"/>
      <c r="M17230" s="112"/>
      <c r="N17230" s="84"/>
    </row>
    <row r="17231" spans="1:14" s="2" customFormat="1">
      <c r="A17231" s="83"/>
      <c r="H17231" s="83"/>
      <c r="K17231" s="82"/>
      <c r="M17231" s="112"/>
      <c r="N17231" s="84"/>
    </row>
    <row r="17232" spans="1:14" s="2" customFormat="1">
      <c r="A17232" s="83"/>
      <c r="H17232" s="83"/>
      <c r="K17232" s="82"/>
      <c r="M17232" s="112"/>
      <c r="N17232" s="84"/>
    </row>
    <row r="17233" spans="1:14" s="2" customFormat="1">
      <c r="A17233" s="83"/>
      <c r="H17233" s="83"/>
      <c r="K17233" s="82"/>
      <c r="M17233" s="112"/>
      <c r="N17233" s="84"/>
    </row>
    <row r="17234" spans="1:14" s="2" customFormat="1">
      <c r="A17234" s="83"/>
      <c r="H17234" s="83"/>
      <c r="K17234" s="82"/>
      <c r="M17234" s="112"/>
      <c r="N17234" s="84"/>
    </row>
    <row r="17235" spans="1:14" s="2" customFormat="1">
      <c r="A17235" s="83"/>
      <c r="H17235" s="83"/>
      <c r="K17235" s="82"/>
      <c r="M17235" s="112"/>
      <c r="N17235" s="84"/>
    </row>
    <row r="17236" spans="1:14" s="2" customFormat="1">
      <c r="A17236" s="83"/>
      <c r="H17236" s="83"/>
      <c r="K17236" s="82"/>
      <c r="M17236" s="112"/>
      <c r="N17236" s="84"/>
    </row>
    <row r="17237" spans="1:14" s="2" customFormat="1">
      <c r="A17237" s="83"/>
      <c r="H17237" s="83"/>
      <c r="K17237" s="82"/>
      <c r="M17237" s="112"/>
      <c r="N17237" s="84"/>
    </row>
    <row r="17238" spans="1:14" s="2" customFormat="1">
      <c r="A17238" s="83"/>
      <c r="H17238" s="83"/>
      <c r="K17238" s="82"/>
      <c r="M17238" s="112"/>
      <c r="N17238" s="84"/>
    </row>
    <row r="17239" spans="1:14" s="2" customFormat="1">
      <c r="A17239" s="83"/>
      <c r="H17239" s="83"/>
      <c r="K17239" s="82"/>
      <c r="M17239" s="112"/>
      <c r="N17239" s="84"/>
    </row>
    <row r="17240" spans="1:14" s="2" customFormat="1">
      <c r="A17240" s="83"/>
      <c r="H17240" s="83"/>
      <c r="K17240" s="82"/>
      <c r="M17240" s="112"/>
      <c r="N17240" s="84"/>
    </row>
    <row r="17241" spans="1:14" s="2" customFormat="1">
      <c r="A17241" s="83"/>
      <c r="H17241" s="83"/>
      <c r="K17241" s="82"/>
      <c r="M17241" s="112"/>
      <c r="N17241" s="84"/>
    </row>
    <row r="17242" spans="1:14" s="2" customFormat="1">
      <c r="A17242" s="83"/>
      <c r="H17242" s="83"/>
      <c r="K17242" s="82"/>
      <c r="M17242" s="112"/>
      <c r="N17242" s="84"/>
    </row>
    <row r="17243" spans="1:14" s="2" customFormat="1">
      <c r="A17243" s="83"/>
      <c r="H17243" s="83"/>
      <c r="K17243" s="82"/>
      <c r="M17243" s="112"/>
      <c r="N17243" s="84"/>
    </row>
    <row r="17244" spans="1:14" s="2" customFormat="1">
      <c r="A17244" s="83"/>
      <c r="H17244" s="83"/>
      <c r="K17244" s="82"/>
      <c r="M17244" s="112"/>
      <c r="N17244" s="84"/>
    </row>
    <row r="17245" spans="1:14" s="2" customFormat="1">
      <c r="A17245" s="83"/>
      <c r="H17245" s="83"/>
      <c r="K17245" s="82"/>
      <c r="M17245" s="112"/>
      <c r="N17245" s="84"/>
    </row>
    <row r="17246" spans="1:14" s="2" customFormat="1">
      <c r="A17246" s="83"/>
      <c r="H17246" s="83"/>
      <c r="K17246" s="82"/>
      <c r="M17246" s="112"/>
      <c r="N17246" s="84"/>
    </row>
    <row r="17247" spans="1:14" s="2" customFormat="1">
      <c r="A17247" s="83"/>
      <c r="H17247" s="83"/>
      <c r="K17247" s="82"/>
      <c r="M17247" s="112"/>
      <c r="N17247" s="84"/>
    </row>
    <row r="17248" spans="1:14" s="2" customFormat="1">
      <c r="A17248" s="83"/>
      <c r="H17248" s="83"/>
      <c r="K17248" s="82"/>
      <c r="M17248" s="112"/>
      <c r="N17248" s="84"/>
    </row>
    <row r="17249" spans="1:14" s="2" customFormat="1">
      <c r="A17249" s="83"/>
      <c r="H17249" s="83"/>
      <c r="K17249" s="82"/>
      <c r="M17249" s="112"/>
      <c r="N17249" s="84"/>
    </row>
    <row r="17250" spans="1:14" s="2" customFormat="1">
      <c r="A17250" s="83"/>
      <c r="H17250" s="83"/>
      <c r="K17250" s="82"/>
      <c r="M17250" s="112"/>
      <c r="N17250" s="84"/>
    </row>
    <row r="17251" spans="1:14" s="2" customFormat="1">
      <c r="A17251" s="83"/>
      <c r="H17251" s="83"/>
      <c r="K17251" s="82"/>
      <c r="M17251" s="112"/>
      <c r="N17251" s="84"/>
    </row>
    <row r="17252" spans="1:14" s="2" customFormat="1">
      <c r="A17252" s="83"/>
      <c r="H17252" s="83"/>
      <c r="K17252" s="82"/>
      <c r="M17252" s="112"/>
      <c r="N17252" s="84"/>
    </row>
    <row r="17253" spans="1:14" s="2" customFormat="1">
      <c r="A17253" s="83"/>
      <c r="H17253" s="83"/>
      <c r="K17253" s="82"/>
      <c r="M17253" s="112"/>
      <c r="N17253" s="84"/>
    </row>
    <row r="17254" spans="1:14" s="2" customFormat="1">
      <c r="A17254" s="83"/>
      <c r="H17254" s="83"/>
      <c r="K17254" s="82"/>
      <c r="M17254" s="112"/>
      <c r="N17254" s="84"/>
    </row>
    <row r="17255" spans="1:14" s="2" customFormat="1">
      <c r="A17255" s="83"/>
      <c r="H17255" s="83"/>
      <c r="K17255" s="82"/>
      <c r="M17255" s="112"/>
      <c r="N17255" s="84"/>
    </row>
    <row r="17256" spans="1:14" s="2" customFormat="1">
      <c r="A17256" s="83"/>
      <c r="H17256" s="83"/>
      <c r="K17256" s="82"/>
      <c r="M17256" s="112"/>
      <c r="N17256" s="84"/>
    </row>
    <row r="17257" spans="1:14" s="2" customFormat="1">
      <c r="A17257" s="83"/>
      <c r="H17257" s="83"/>
      <c r="K17257" s="82"/>
      <c r="M17257" s="112"/>
      <c r="N17257" s="84"/>
    </row>
    <row r="17258" spans="1:14" s="2" customFormat="1">
      <c r="A17258" s="83"/>
      <c r="H17258" s="83"/>
      <c r="K17258" s="82"/>
      <c r="M17258" s="112"/>
      <c r="N17258" s="84"/>
    </row>
    <row r="17259" spans="1:14" s="2" customFormat="1">
      <c r="A17259" s="83"/>
      <c r="H17259" s="83"/>
      <c r="K17259" s="82"/>
      <c r="M17259" s="112"/>
      <c r="N17259" s="84"/>
    </row>
    <row r="17260" spans="1:14" s="2" customFormat="1">
      <c r="A17260" s="83"/>
      <c r="H17260" s="83"/>
      <c r="K17260" s="82"/>
      <c r="M17260" s="112"/>
      <c r="N17260" s="84"/>
    </row>
    <row r="17261" spans="1:14" s="2" customFormat="1">
      <c r="A17261" s="83"/>
      <c r="H17261" s="83"/>
      <c r="K17261" s="82"/>
      <c r="M17261" s="112"/>
      <c r="N17261" s="84"/>
    </row>
    <row r="17262" spans="1:14" s="2" customFormat="1">
      <c r="A17262" s="83"/>
      <c r="H17262" s="83"/>
      <c r="K17262" s="82"/>
      <c r="M17262" s="112"/>
      <c r="N17262" s="84"/>
    </row>
    <row r="17263" spans="1:14" s="2" customFormat="1">
      <c r="A17263" s="83"/>
      <c r="H17263" s="83"/>
      <c r="K17263" s="82"/>
      <c r="M17263" s="112"/>
      <c r="N17263" s="84"/>
    </row>
    <row r="17264" spans="1:14" s="2" customFormat="1">
      <c r="A17264" s="83"/>
      <c r="H17264" s="83"/>
      <c r="K17264" s="82"/>
      <c r="M17264" s="112"/>
      <c r="N17264" s="84"/>
    </row>
    <row r="17265" spans="1:14" s="2" customFormat="1">
      <c r="A17265" s="83"/>
      <c r="H17265" s="83"/>
      <c r="K17265" s="82"/>
      <c r="M17265" s="112"/>
      <c r="N17265" s="84"/>
    </row>
    <row r="17266" spans="1:14" s="2" customFormat="1">
      <c r="A17266" s="83"/>
      <c r="H17266" s="83"/>
      <c r="K17266" s="82"/>
      <c r="M17266" s="112"/>
      <c r="N17266" s="84"/>
    </row>
    <row r="17267" spans="1:14" s="2" customFormat="1">
      <c r="A17267" s="83"/>
      <c r="H17267" s="83"/>
      <c r="K17267" s="82"/>
      <c r="M17267" s="112"/>
      <c r="N17267" s="84"/>
    </row>
    <row r="17268" spans="1:14" s="2" customFormat="1">
      <c r="A17268" s="83"/>
      <c r="H17268" s="83"/>
      <c r="K17268" s="82"/>
      <c r="M17268" s="112"/>
      <c r="N17268" s="84"/>
    </row>
    <row r="17269" spans="1:14" s="2" customFormat="1">
      <c r="A17269" s="83"/>
      <c r="H17269" s="83"/>
      <c r="K17269" s="82"/>
      <c r="M17269" s="112"/>
      <c r="N17269" s="84"/>
    </row>
    <row r="17270" spans="1:14" s="2" customFormat="1">
      <c r="A17270" s="83"/>
      <c r="H17270" s="83"/>
      <c r="K17270" s="82"/>
      <c r="M17270" s="112"/>
      <c r="N17270" s="84"/>
    </row>
    <row r="17271" spans="1:14" s="2" customFormat="1">
      <c r="A17271" s="83"/>
      <c r="H17271" s="83"/>
      <c r="K17271" s="82"/>
      <c r="M17271" s="112"/>
      <c r="N17271" s="84"/>
    </row>
    <row r="17272" spans="1:14" s="2" customFormat="1">
      <c r="A17272" s="83"/>
      <c r="H17272" s="83"/>
      <c r="K17272" s="82"/>
      <c r="M17272" s="112"/>
      <c r="N17272" s="84"/>
    </row>
    <row r="17273" spans="1:14" s="2" customFormat="1">
      <c r="A17273" s="83"/>
      <c r="H17273" s="83"/>
      <c r="K17273" s="82"/>
      <c r="M17273" s="112"/>
      <c r="N17273" s="84"/>
    </row>
    <row r="17274" spans="1:14" s="2" customFormat="1">
      <c r="A17274" s="83"/>
      <c r="H17274" s="83"/>
      <c r="K17274" s="82"/>
      <c r="M17274" s="112"/>
      <c r="N17274" s="84"/>
    </row>
    <row r="17275" spans="1:14" s="2" customFormat="1">
      <c r="A17275" s="83"/>
      <c r="H17275" s="83"/>
      <c r="K17275" s="82"/>
      <c r="M17275" s="112"/>
      <c r="N17275" s="84"/>
    </row>
    <row r="17276" spans="1:14" s="2" customFormat="1">
      <c r="A17276" s="83"/>
      <c r="H17276" s="83"/>
      <c r="K17276" s="82"/>
      <c r="M17276" s="112"/>
      <c r="N17276" s="84"/>
    </row>
    <row r="17277" spans="1:14" s="2" customFormat="1">
      <c r="A17277" s="83"/>
      <c r="H17277" s="83"/>
      <c r="K17277" s="82"/>
      <c r="M17277" s="112"/>
      <c r="N17277" s="84"/>
    </row>
    <row r="17278" spans="1:14" s="2" customFormat="1">
      <c r="A17278" s="83"/>
      <c r="H17278" s="83"/>
      <c r="K17278" s="82"/>
      <c r="M17278" s="112"/>
      <c r="N17278" s="84"/>
    </row>
    <row r="17279" spans="1:14" s="2" customFormat="1">
      <c r="A17279" s="83"/>
      <c r="H17279" s="83"/>
      <c r="K17279" s="82"/>
      <c r="M17279" s="112"/>
      <c r="N17279" s="84"/>
    </row>
    <row r="17280" spans="1:14" s="2" customFormat="1">
      <c r="A17280" s="83"/>
      <c r="H17280" s="83"/>
      <c r="K17280" s="82"/>
      <c r="M17280" s="112"/>
      <c r="N17280" s="84"/>
    </row>
    <row r="17281" spans="1:14" s="2" customFormat="1">
      <c r="A17281" s="83"/>
      <c r="H17281" s="83"/>
      <c r="K17281" s="82"/>
      <c r="M17281" s="112"/>
      <c r="N17281" s="84"/>
    </row>
    <row r="17282" spans="1:14" s="2" customFormat="1">
      <c r="A17282" s="83"/>
      <c r="H17282" s="83"/>
      <c r="K17282" s="82"/>
      <c r="M17282" s="112"/>
      <c r="N17282" s="84"/>
    </row>
    <row r="17283" spans="1:14" s="2" customFormat="1">
      <c r="A17283" s="83"/>
      <c r="H17283" s="83"/>
      <c r="K17283" s="82"/>
      <c r="M17283" s="112"/>
      <c r="N17283" s="84"/>
    </row>
    <row r="17284" spans="1:14" s="2" customFormat="1">
      <c r="A17284" s="83"/>
      <c r="H17284" s="83"/>
      <c r="K17284" s="82"/>
      <c r="M17284" s="112"/>
      <c r="N17284" s="84"/>
    </row>
    <row r="17285" spans="1:14" s="2" customFormat="1">
      <c r="A17285" s="83"/>
      <c r="H17285" s="83"/>
      <c r="K17285" s="82"/>
      <c r="M17285" s="112"/>
      <c r="N17285" s="84"/>
    </row>
    <row r="17286" spans="1:14" s="2" customFormat="1">
      <c r="A17286" s="83"/>
      <c r="H17286" s="83"/>
      <c r="K17286" s="82"/>
      <c r="M17286" s="112"/>
      <c r="N17286" s="84"/>
    </row>
    <row r="17287" spans="1:14" s="2" customFormat="1">
      <c r="A17287" s="83"/>
      <c r="H17287" s="83"/>
      <c r="K17287" s="82"/>
      <c r="M17287" s="112"/>
      <c r="N17287" s="84"/>
    </row>
    <row r="17288" spans="1:14" s="2" customFormat="1">
      <c r="A17288" s="83"/>
      <c r="H17288" s="83"/>
      <c r="K17288" s="82"/>
      <c r="M17288" s="112"/>
      <c r="N17288" s="84"/>
    </row>
    <row r="17289" spans="1:14" s="2" customFormat="1">
      <c r="A17289" s="83"/>
      <c r="H17289" s="83"/>
      <c r="K17289" s="82"/>
      <c r="M17289" s="112"/>
      <c r="N17289" s="84"/>
    </row>
    <row r="17290" spans="1:14" s="2" customFormat="1">
      <c r="A17290" s="83"/>
      <c r="H17290" s="83"/>
      <c r="K17290" s="82"/>
      <c r="M17290" s="112"/>
      <c r="N17290" s="84"/>
    </row>
    <row r="17291" spans="1:14" s="2" customFormat="1">
      <c r="A17291" s="83"/>
      <c r="H17291" s="83"/>
      <c r="K17291" s="82"/>
      <c r="M17291" s="112"/>
      <c r="N17291" s="84"/>
    </row>
    <row r="17292" spans="1:14" s="2" customFormat="1">
      <c r="A17292" s="83"/>
      <c r="H17292" s="83"/>
      <c r="K17292" s="82"/>
      <c r="M17292" s="112"/>
      <c r="N17292" s="84"/>
    </row>
    <row r="17293" spans="1:14" s="2" customFormat="1">
      <c r="A17293" s="83"/>
      <c r="H17293" s="83"/>
      <c r="K17293" s="82"/>
      <c r="M17293" s="112"/>
      <c r="N17293" s="84"/>
    </row>
    <row r="17294" spans="1:14" s="2" customFormat="1">
      <c r="A17294" s="83"/>
      <c r="H17294" s="83"/>
      <c r="K17294" s="82"/>
      <c r="M17294" s="112"/>
      <c r="N17294" s="84"/>
    </row>
    <row r="17295" spans="1:14" s="2" customFormat="1">
      <c r="A17295" s="83"/>
      <c r="H17295" s="83"/>
      <c r="K17295" s="82"/>
      <c r="M17295" s="112"/>
      <c r="N17295" s="84"/>
    </row>
    <row r="17296" spans="1:14" s="2" customFormat="1">
      <c r="A17296" s="83"/>
      <c r="H17296" s="83"/>
      <c r="K17296" s="82"/>
      <c r="M17296" s="112"/>
      <c r="N17296" s="84"/>
    </row>
    <row r="17297" spans="1:14" s="2" customFormat="1">
      <c r="A17297" s="83"/>
      <c r="H17297" s="83"/>
      <c r="K17297" s="82"/>
      <c r="M17297" s="112"/>
      <c r="N17297" s="84"/>
    </row>
    <row r="17298" spans="1:14" s="2" customFormat="1">
      <c r="A17298" s="83"/>
      <c r="H17298" s="83"/>
      <c r="K17298" s="82"/>
      <c r="M17298" s="112"/>
      <c r="N17298" s="84"/>
    </row>
    <row r="17299" spans="1:14" s="2" customFormat="1">
      <c r="A17299" s="83"/>
      <c r="H17299" s="83"/>
      <c r="K17299" s="82"/>
      <c r="M17299" s="112"/>
      <c r="N17299" s="84"/>
    </row>
    <row r="17300" spans="1:14" s="2" customFormat="1">
      <c r="A17300" s="83"/>
      <c r="H17300" s="83"/>
      <c r="K17300" s="82"/>
      <c r="M17300" s="112"/>
      <c r="N17300" s="84"/>
    </row>
    <row r="17301" spans="1:14" s="2" customFormat="1">
      <c r="A17301" s="83"/>
      <c r="H17301" s="83"/>
      <c r="K17301" s="82"/>
      <c r="M17301" s="112"/>
      <c r="N17301" s="84"/>
    </row>
    <row r="17302" spans="1:14" s="2" customFormat="1">
      <c r="A17302" s="83"/>
      <c r="H17302" s="83"/>
      <c r="K17302" s="82"/>
      <c r="M17302" s="112"/>
      <c r="N17302" s="84"/>
    </row>
    <row r="17303" spans="1:14" s="2" customFormat="1">
      <c r="A17303" s="83"/>
      <c r="H17303" s="83"/>
      <c r="K17303" s="82"/>
      <c r="M17303" s="112"/>
      <c r="N17303" s="84"/>
    </row>
    <row r="17304" spans="1:14" s="2" customFormat="1">
      <c r="A17304" s="83"/>
      <c r="H17304" s="83"/>
      <c r="K17304" s="82"/>
      <c r="M17304" s="112"/>
      <c r="N17304" s="84"/>
    </row>
    <row r="17305" spans="1:14" s="2" customFormat="1">
      <c r="A17305" s="83"/>
      <c r="H17305" s="83"/>
      <c r="K17305" s="82"/>
      <c r="M17305" s="112"/>
      <c r="N17305" s="84"/>
    </row>
    <row r="17306" spans="1:14" s="2" customFormat="1">
      <c r="A17306" s="83"/>
      <c r="H17306" s="83"/>
      <c r="K17306" s="82"/>
      <c r="M17306" s="112"/>
      <c r="N17306" s="84"/>
    </row>
    <row r="17307" spans="1:14" s="2" customFormat="1">
      <c r="A17307" s="83"/>
      <c r="H17307" s="83"/>
      <c r="K17307" s="82"/>
      <c r="M17307" s="112"/>
      <c r="N17307" s="84"/>
    </row>
    <row r="17308" spans="1:14" s="2" customFormat="1">
      <c r="A17308" s="83"/>
      <c r="H17308" s="83"/>
      <c r="K17308" s="82"/>
      <c r="M17308" s="112"/>
      <c r="N17308" s="84"/>
    </row>
    <row r="17309" spans="1:14" s="2" customFormat="1">
      <c r="A17309" s="83"/>
      <c r="H17309" s="83"/>
      <c r="K17309" s="82"/>
      <c r="M17309" s="112"/>
      <c r="N17309" s="84"/>
    </row>
    <row r="17310" spans="1:14" s="2" customFormat="1">
      <c r="A17310" s="83"/>
      <c r="H17310" s="83"/>
      <c r="K17310" s="82"/>
      <c r="M17310" s="112"/>
      <c r="N17310" s="84"/>
    </row>
    <row r="17311" spans="1:14" s="2" customFormat="1">
      <c r="A17311" s="83"/>
      <c r="H17311" s="83"/>
      <c r="K17311" s="82"/>
      <c r="M17311" s="112"/>
      <c r="N17311" s="84"/>
    </row>
    <row r="17312" spans="1:14" s="2" customFormat="1">
      <c r="A17312" s="83"/>
      <c r="H17312" s="83"/>
      <c r="K17312" s="82"/>
      <c r="M17312" s="112"/>
      <c r="N17312" s="84"/>
    </row>
    <row r="17313" spans="1:14" s="2" customFormat="1">
      <c r="A17313" s="83"/>
      <c r="H17313" s="83"/>
      <c r="K17313" s="82"/>
      <c r="M17313" s="112"/>
      <c r="N17313" s="84"/>
    </row>
    <row r="17314" spans="1:14" s="2" customFormat="1">
      <c r="A17314" s="83"/>
      <c r="H17314" s="83"/>
      <c r="K17314" s="82"/>
      <c r="M17314" s="112"/>
      <c r="N17314" s="84"/>
    </row>
    <row r="17315" spans="1:14" s="2" customFormat="1">
      <c r="A17315" s="83"/>
      <c r="H17315" s="83"/>
      <c r="K17315" s="82"/>
      <c r="M17315" s="112"/>
      <c r="N17315" s="84"/>
    </row>
    <row r="17316" spans="1:14" s="2" customFormat="1">
      <c r="A17316" s="83"/>
      <c r="H17316" s="83"/>
      <c r="K17316" s="82"/>
      <c r="M17316" s="112"/>
      <c r="N17316" s="84"/>
    </row>
    <row r="17317" spans="1:14" s="2" customFormat="1">
      <c r="A17317" s="83"/>
      <c r="H17317" s="83"/>
      <c r="K17317" s="82"/>
      <c r="M17317" s="112"/>
      <c r="N17317" s="84"/>
    </row>
    <row r="17318" spans="1:14" s="2" customFormat="1">
      <c r="A17318" s="83"/>
      <c r="H17318" s="83"/>
      <c r="K17318" s="82"/>
      <c r="M17318" s="112"/>
      <c r="N17318" s="84"/>
    </row>
    <row r="17319" spans="1:14" s="2" customFormat="1">
      <c r="A17319" s="83"/>
      <c r="H17319" s="83"/>
      <c r="K17319" s="82"/>
      <c r="M17319" s="112"/>
      <c r="N17319" s="84"/>
    </row>
    <row r="17320" spans="1:14" s="2" customFormat="1">
      <c r="A17320" s="83"/>
      <c r="H17320" s="83"/>
      <c r="K17320" s="82"/>
      <c r="M17320" s="112"/>
      <c r="N17320" s="84"/>
    </row>
    <row r="17321" spans="1:14" s="2" customFormat="1">
      <c r="A17321" s="83"/>
      <c r="H17321" s="83"/>
      <c r="K17321" s="82"/>
      <c r="M17321" s="112"/>
      <c r="N17321" s="84"/>
    </row>
    <row r="17322" spans="1:14" s="2" customFormat="1">
      <c r="A17322" s="83"/>
      <c r="H17322" s="83"/>
      <c r="K17322" s="82"/>
      <c r="M17322" s="112"/>
      <c r="N17322" s="84"/>
    </row>
    <row r="17323" spans="1:14" s="2" customFormat="1">
      <c r="A17323" s="83"/>
      <c r="H17323" s="83"/>
      <c r="K17323" s="82"/>
      <c r="M17323" s="112"/>
      <c r="N17323" s="84"/>
    </row>
    <row r="17324" spans="1:14" s="2" customFormat="1">
      <c r="A17324" s="83"/>
      <c r="H17324" s="83"/>
      <c r="K17324" s="82"/>
      <c r="M17324" s="112"/>
      <c r="N17324" s="84"/>
    </row>
    <row r="17325" spans="1:14" s="2" customFormat="1">
      <c r="A17325" s="83"/>
      <c r="H17325" s="83"/>
      <c r="K17325" s="82"/>
      <c r="M17325" s="112"/>
      <c r="N17325" s="84"/>
    </row>
    <row r="17326" spans="1:14" s="2" customFormat="1">
      <c r="A17326" s="83"/>
      <c r="H17326" s="83"/>
      <c r="K17326" s="82"/>
      <c r="M17326" s="112"/>
      <c r="N17326" s="84"/>
    </row>
    <row r="17327" spans="1:14" s="2" customFormat="1">
      <c r="A17327" s="83"/>
      <c r="H17327" s="83"/>
      <c r="K17327" s="82"/>
      <c r="M17327" s="112"/>
      <c r="N17327" s="84"/>
    </row>
    <row r="17328" spans="1:14" s="2" customFormat="1">
      <c r="A17328" s="83"/>
      <c r="H17328" s="83"/>
      <c r="K17328" s="82"/>
      <c r="M17328" s="112"/>
      <c r="N17328" s="84"/>
    </row>
    <row r="17329" spans="1:14" s="2" customFormat="1">
      <c r="A17329" s="83"/>
      <c r="H17329" s="83"/>
      <c r="K17329" s="82"/>
      <c r="M17329" s="112"/>
      <c r="N17329" s="84"/>
    </row>
    <row r="17330" spans="1:14" s="2" customFormat="1">
      <c r="A17330" s="83"/>
      <c r="H17330" s="83"/>
      <c r="K17330" s="82"/>
      <c r="M17330" s="112"/>
      <c r="N17330" s="84"/>
    </row>
    <row r="17331" spans="1:14" s="2" customFormat="1">
      <c r="A17331" s="83"/>
      <c r="H17331" s="83"/>
      <c r="K17331" s="82"/>
      <c r="M17331" s="112"/>
      <c r="N17331" s="84"/>
    </row>
    <row r="17332" spans="1:14" s="2" customFormat="1">
      <c r="A17332" s="83"/>
      <c r="H17332" s="83"/>
      <c r="K17332" s="82"/>
      <c r="M17332" s="112"/>
      <c r="N17332" s="84"/>
    </row>
    <row r="17333" spans="1:14" s="2" customFormat="1">
      <c r="A17333" s="83"/>
      <c r="H17333" s="83"/>
      <c r="K17333" s="82"/>
      <c r="M17333" s="112"/>
      <c r="N17333" s="84"/>
    </row>
    <row r="17334" spans="1:14" s="2" customFormat="1">
      <c r="A17334" s="83"/>
      <c r="H17334" s="83"/>
      <c r="K17334" s="82"/>
      <c r="M17334" s="112"/>
      <c r="N17334" s="84"/>
    </row>
    <row r="17335" spans="1:14" s="2" customFormat="1">
      <c r="A17335" s="83"/>
      <c r="H17335" s="83"/>
      <c r="K17335" s="82"/>
      <c r="M17335" s="112"/>
      <c r="N17335" s="84"/>
    </row>
    <row r="17336" spans="1:14" s="2" customFormat="1">
      <c r="A17336" s="83"/>
      <c r="H17336" s="83"/>
      <c r="K17336" s="82"/>
      <c r="M17336" s="112"/>
      <c r="N17336" s="84"/>
    </row>
    <row r="17337" spans="1:14" s="2" customFormat="1">
      <c r="A17337" s="83"/>
      <c r="H17337" s="83"/>
      <c r="K17337" s="82"/>
      <c r="M17337" s="112"/>
      <c r="N17337" s="84"/>
    </row>
    <row r="17338" spans="1:14" s="2" customFormat="1">
      <c r="A17338" s="83"/>
      <c r="H17338" s="83"/>
      <c r="K17338" s="82"/>
      <c r="M17338" s="112"/>
      <c r="N17338" s="84"/>
    </row>
    <row r="17339" spans="1:14" s="2" customFormat="1">
      <c r="A17339" s="83"/>
      <c r="H17339" s="83"/>
      <c r="K17339" s="82"/>
      <c r="M17339" s="112"/>
      <c r="N17339" s="84"/>
    </row>
    <row r="17340" spans="1:14" s="2" customFormat="1">
      <c r="A17340" s="83"/>
      <c r="H17340" s="83"/>
      <c r="K17340" s="82"/>
      <c r="M17340" s="112"/>
      <c r="N17340" s="84"/>
    </row>
    <row r="17341" spans="1:14" s="2" customFormat="1">
      <c r="A17341" s="83"/>
      <c r="H17341" s="83"/>
      <c r="K17341" s="82"/>
      <c r="M17341" s="112"/>
      <c r="N17341" s="84"/>
    </row>
    <row r="17342" spans="1:14" s="2" customFormat="1">
      <c r="A17342" s="83"/>
      <c r="H17342" s="83"/>
      <c r="K17342" s="82"/>
      <c r="M17342" s="112"/>
      <c r="N17342" s="84"/>
    </row>
    <row r="17343" spans="1:14" s="2" customFormat="1">
      <c r="A17343" s="83"/>
      <c r="H17343" s="83"/>
      <c r="K17343" s="82"/>
      <c r="M17343" s="112"/>
      <c r="N17343" s="84"/>
    </row>
    <row r="17344" spans="1:14" s="2" customFormat="1">
      <c r="A17344" s="83"/>
      <c r="H17344" s="83"/>
      <c r="K17344" s="82"/>
      <c r="M17344" s="112"/>
      <c r="N17344" s="84"/>
    </row>
    <row r="17345" spans="1:14" s="2" customFormat="1">
      <c r="A17345" s="83"/>
      <c r="H17345" s="83"/>
      <c r="K17345" s="82"/>
      <c r="M17345" s="112"/>
      <c r="N17345" s="84"/>
    </row>
    <row r="17346" spans="1:14" s="2" customFormat="1">
      <c r="A17346" s="83"/>
      <c r="H17346" s="83"/>
      <c r="K17346" s="82"/>
      <c r="M17346" s="112"/>
      <c r="N17346" s="84"/>
    </row>
    <row r="17347" spans="1:14" s="2" customFormat="1">
      <c r="A17347" s="83"/>
      <c r="H17347" s="83"/>
      <c r="K17347" s="82"/>
      <c r="M17347" s="112"/>
      <c r="N17347" s="84"/>
    </row>
    <row r="17348" spans="1:14" s="2" customFormat="1">
      <c r="A17348" s="83"/>
      <c r="H17348" s="83"/>
      <c r="K17348" s="82"/>
      <c r="M17348" s="112"/>
      <c r="N17348" s="84"/>
    </row>
    <row r="17349" spans="1:14" s="2" customFormat="1">
      <c r="A17349" s="83"/>
      <c r="H17349" s="83"/>
      <c r="K17349" s="82"/>
      <c r="M17349" s="112"/>
      <c r="N17349" s="84"/>
    </row>
    <row r="17350" spans="1:14" s="2" customFormat="1">
      <c r="A17350" s="83"/>
      <c r="H17350" s="83"/>
      <c r="K17350" s="82"/>
      <c r="M17350" s="112"/>
      <c r="N17350" s="84"/>
    </row>
    <row r="17351" spans="1:14" s="2" customFormat="1">
      <c r="A17351" s="83"/>
      <c r="H17351" s="83"/>
      <c r="K17351" s="82"/>
      <c r="M17351" s="112"/>
      <c r="N17351" s="84"/>
    </row>
    <row r="17352" spans="1:14" s="2" customFormat="1">
      <c r="A17352" s="83"/>
      <c r="H17352" s="83"/>
      <c r="K17352" s="82"/>
      <c r="M17352" s="112"/>
      <c r="N17352" s="84"/>
    </row>
    <row r="17353" spans="1:14" s="2" customFormat="1">
      <c r="A17353" s="83"/>
      <c r="H17353" s="83"/>
      <c r="K17353" s="82"/>
      <c r="M17353" s="112"/>
      <c r="N17353" s="84"/>
    </row>
    <row r="17354" spans="1:14" s="2" customFormat="1">
      <c r="A17354" s="83"/>
      <c r="H17354" s="83"/>
      <c r="K17354" s="82"/>
      <c r="M17354" s="112"/>
      <c r="N17354" s="84"/>
    </row>
    <row r="17355" spans="1:14" s="2" customFormat="1">
      <c r="A17355" s="83"/>
      <c r="H17355" s="83"/>
      <c r="K17355" s="82"/>
      <c r="M17355" s="112"/>
      <c r="N17355" s="84"/>
    </row>
    <row r="17356" spans="1:14" s="2" customFormat="1">
      <c r="A17356" s="83"/>
      <c r="H17356" s="83"/>
      <c r="K17356" s="82"/>
      <c r="M17356" s="112"/>
      <c r="N17356" s="84"/>
    </row>
    <row r="17357" spans="1:14" s="2" customFormat="1">
      <c r="A17357" s="83"/>
      <c r="H17357" s="83"/>
      <c r="K17357" s="82"/>
      <c r="M17357" s="112"/>
      <c r="N17357" s="84"/>
    </row>
    <row r="17358" spans="1:14" s="2" customFormat="1">
      <c r="A17358" s="83"/>
      <c r="H17358" s="83"/>
      <c r="K17358" s="82"/>
      <c r="M17358" s="112"/>
      <c r="N17358" s="84"/>
    </row>
    <row r="17359" spans="1:14" s="2" customFormat="1">
      <c r="A17359" s="83"/>
      <c r="H17359" s="83"/>
      <c r="K17359" s="82"/>
      <c r="M17359" s="112"/>
      <c r="N17359" s="84"/>
    </row>
    <row r="17360" spans="1:14" s="2" customFormat="1">
      <c r="A17360" s="83"/>
      <c r="H17360" s="83"/>
      <c r="K17360" s="82"/>
      <c r="M17360" s="112"/>
      <c r="N17360" s="84"/>
    </row>
    <row r="17361" spans="1:14" s="2" customFormat="1">
      <c r="A17361" s="83"/>
      <c r="H17361" s="83"/>
      <c r="K17361" s="82"/>
      <c r="M17361" s="112"/>
      <c r="N17361" s="84"/>
    </row>
    <row r="17362" spans="1:14" s="2" customFormat="1">
      <c r="A17362" s="83"/>
      <c r="H17362" s="83"/>
      <c r="K17362" s="82"/>
      <c r="M17362" s="112"/>
      <c r="N17362" s="84"/>
    </row>
    <row r="17363" spans="1:14" s="2" customFormat="1">
      <c r="A17363" s="83"/>
      <c r="H17363" s="83"/>
      <c r="K17363" s="82"/>
      <c r="M17363" s="112"/>
      <c r="N17363" s="84"/>
    </row>
    <row r="17364" spans="1:14" s="2" customFormat="1">
      <c r="A17364" s="83"/>
      <c r="H17364" s="83"/>
      <c r="K17364" s="82"/>
      <c r="M17364" s="112"/>
      <c r="N17364" s="84"/>
    </row>
    <row r="17365" spans="1:14" s="2" customFormat="1">
      <c r="A17365" s="83"/>
      <c r="H17365" s="83"/>
      <c r="K17365" s="82"/>
      <c r="M17365" s="112"/>
      <c r="N17365" s="84"/>
    </row>
    <row r="17366" spans="1:14" s="2" customFormat="1">
      <c r="A17366" s="83"/>
      <c r="H17366" s="83"/>
      <c r="K17366" s="82"/>
      <c r="M17366" s="112"/>
      <c r="N17366" s="84"/>
    </row>
    <row r="17367" spans="1:14" s="2" customFormat="1">
      <c r="A17367" s="83"/>
      <c r="H17367" s="83"/>
      <c r="K17367" s="82"/>
      <c r="M17367" s="112"/>
      <c r="N17367" s="84"/>
    </row>
    <row r="17368" spans="1:14" s="2" customFormat="1">
      <c r="A17368" s="83"/>
      <c r="H17368" s="83"/>
      <c r="K17368" s="82"/>
      <c r="M17368" s="112"/>
      <c r="N17368" s="84"/>
    </row>
    <row r="17369" spans="1:14" s="2" customFormat="1">
      <c r="A17369" s="83"/>
      <c r="H17369" s="83"/>
      <c r="K17369" s="82"/>
      <c r="M17369" s="112"/>
      <c r="N17369" s="84"/>
    </row>
    <row r="17370" spans="1:14" s="2" customFormat="1">
      <c r="A17370" s="83"/>
      <c r="H17370" s="83"/>
      <c r="K17370" s="82"/>
      <c r="M17370" s="112"/>
      <c r="N17370" s="84"/>
    </row>
    <row r="17371" spans="1:14" s="2" customFormat="1">
      <c r="A17371" s="83"/>
      <c r="H17371" s="83"/>
      <c r="K17371" s="82"/>
      <c r="M17371" s="112"/>
      <c r="N17371" s="84"/>
    </row>
    <row r="17372" spans="1:14" s="2" customFormat="1">
      <c r="A17372" s="83"/>
      <c r="H17372" s="83"/>
      <c r="K17372" s="82"/>
      <c r="M17372" s="112"/>
      <c r="N17372" s="84"/>
    </row>
    <row r="17373" spans="1:14" s="2" customFormat="1">
      <c r="A17373" s="83"/>
      <c r="H17373" s="83"/>
      <c r="K17373" s="82"/>
      <c r="M17373" s="112"/>
      <c r="N17373" s="84"/>
    </row>
    <row r="17374" spans="1:14" s="2" customFormat="1">
      <c r="A17374" s="83"/>
      <c r="H17374" s="83"/>
      <c r="K17374" s="82"/>
      <c r="M17374" s="112"/>
      <c r="N17374" s="84"/>
    </row>
    <row r="17375" spans="1:14" s="2" customFormat="1">
      <c r="A17375" s="83"/>
      <c r="H17375" s="83"/>
      <c r="K17375" s="82"/>
      <c r="M17375" s="112"/>
      <c r="N17375" s="84"/>
    </row>
    <row r="17376" spans="1:14" s="2" customFormat="1">
      <c r="A17376" s="83"/>
      <c r="H17376" s="83"/>
      <c r="K17376" s="82"/>
      <c r="M17376" s="112"/>
      <c r="N17376" s="84"/>
    </row>
    <row r="17377" spans="1:14" s="2" customFormat="1">
      <c r="A17377" s="83"/>
      <c r="H17377" s="83"/>
      <c r="K17377" s="82"/>
      <c r="M17377" s="112"/>
      <c r="N17377" s="84"/>
    </row>
    <row r="17378" spans="1:14" s="2" customFormat="1">
      <c r="A17378" s="83"/>
      <c r="H17378" s="83"/>
      <c r="K17378" s="82"/>
      <c r="M17378" s="112"/>
      <c r="N17378" s="84"/>
    </row>
    <row r="17379" spans="1:14" s="2" customFormat="1">
      <c r="A17379" s="83"/>
      <c r="H17379" s="83"/>
      <c r="K17379" s="82"/>
      <c r="M17379" s="112"/>
      <c r="N17379" s="84"/>
    </row>
    <row r="17380" spans="1:14" s="2" customFormat="1">
      <c r="A17380" s="83"/>
      <c r="H17380" s="83"/>
      <c r="K17380" s="82"/>
      <c r="M17380" s="112"/>
      <c r="N17380" s="84"/>
    </row>
    <row r="17381" spans="1:14" s="2" customFormat="1">
      <c r="A17381" s="83"/>
      <c r="H17381" s="83"/>
      <c r="K17381" s="82"/>
      <c r="M17381" s="112"/>
      <c r="N17381" s="84"/>
    </row>
    <row r="17382" spans="1:14" s="2" customFormat="1">
      <c r="A17382" s="83"/>
      <c r="H17382" s="83"/>
      <c r="K17382" s="82"/>
      <c r="M17382" s="112"/>
      <c r="N17382" s="84"/>
    </row>
    <row r="17383" spans="1:14" s="2" customFormat="1">
      <c r="A17383" s="83"/>
      <c r="H17383" s="83"/>
      <c r="K17383" s="82"/>
      <c r="M17383" s="112"/>
      <c r="N17383" s="84"/>
    </row>
    <row r="17384" spans="1:14" s="2" customFormat="1">
      <c r="A17384" s="83"/>
      <c r="H17384" s="83"/>
      <c r="K17384" s="82"/>
      <c r="M17384" s="112"/>
      <c r="N17384" s="84"/>
    </row>
    <row r="17385" spans="1:14" s="2" customFormat="1">
      <c r="A17385" s="83"/>
      <c r="H17385" s="83"/>
      <c r="K17385" s="82"/>
      <c r="M17385" s="112"/>
      <c r="N17385" s="84"/>
    </row>
    <row r="17386" spans="1:14" s="2" customFormat="1">
      <c r="A17386" s="83"/>
      <c r="H17386" s="83"/>
      <c r="K17386" s="82"/>
      <c r="M17386" s="112"/>
      <c r="N17386" s="84"/>
    </row>
    <row r="17387" spans="1:14" s="2" customFormat="1">
      <c r="A17387" s="83"/>
      <c r="H17387" s="83"/>
      <c r="K17387" s="82"/>
      <c r="M17387" s="112"/>
      <c r="N17387" s="84"/>
    </row>
    <row r="17388" spans="1:14" s="2" customFormat="1">
      <c r="A17388" s="83"/>
      <c r="H17388" s="83"/>
      <c r="K17388" s="82"/>
      <c r="M17388" s="112"/>
      <c r="N17388" s="84"/>
    </row>
    <row r="17389" spans="1:14" s="2" customFormat="1">
      <c r="A17389" s="83"/>
      <c r="H17389" s="83"/>
      <c r="K17389" s="82"/>
      <c r="M17389" s="112"/>
      <c r="N17389" s="84"/>
    </row>
    <row r="17390" spans="1:14" s="2" customFormat="1">
      <c r="A17390" s="83"/>
      <c r="H17390" s="83"/>
      <c r="K17390" s="82"/>
      <c r="M17390" s="112"/>
      <c r="N17390" s="84"/>
    </row>
    <row r="17391" spans="1:14" s="2" customFormat="1">
      <c r="A17391" s="83"/>
      <c r="H17391" s="83"/>
      <c r="K17391" s="82"/>
      <c r="M17391" s="112"/>
      <c r="N17391" s="84"/>
    </row>
    <row r="17392" spans="1:14" s="2" customFormat="1">
      <c r="A17392" s="83"/>
      <c r="H17392" s="83"/>
      <c r="K17392" s="82"/>
      <c r="M17392" s="112"/>
      <c r="N17392" s="84"/>
    </row>
    <row r="17393" spans="1:14" s="2" customFormat="1">
      <c r="A17393" s="83"/>
      <c r="H17393" s="83"/>
      <c r="K17393" s="82"/>
      <c r="M17393" s="112"/>
      <c r="N17393" s="84"/>
    </row>
    <row r="17394" spans="1:14" s="2" customFormat="1">
      <c r="A17394" s="83"/>
      <c r="H17394" s="83"/>
      <c r="K17394" s="82"/>
      <c r="M17394" s="112"/>
      <c r="N17394" s="84"/>
    </row>
    <row r="17395" spans="1:14" s="2" customFormat="1">
      <c r="A17395" s="83"/>
      <c r="H17395" s="83"/>
      <c r="K17395" s="82"/>
      <c r="M17395" s="112"/>
      <c r="N17395" s="84"/>
    </row>
    <row r="17396" spans="1:14" s="2" customFormat="1">
      <c r="A17396" s="83"/>
      <c r="H17396" s="83"/>
      <c r="K17396" s="82"/>
      <c r="M17396" s="112"/>
      <c r="N17396" s="84"/>
    </row>
    <row r="17397" spans="1:14" s="2" customFormat="1">
      <c r="A17397" s="83"/>
      <c r="H17397" s="83"/>
      <c r="K17397" s="82"/>
      <c r="M17397" s="112"/>
      <c r="N17397" s="84"/>
    </row>
    <row r="17398" spans="1:14" s="2" customFormat="1">
      <c r="A17398" s="83"/>
      <c r="H17398" s="83"/>
      <c r="K17398" s="82"/>
      <c r="M17398" s="112"/>
      <c r="N17398" s="84"/>
    </row>
    <row r="17399" spans="1:14" s="2" customFormat="1">
      <c r="A17399" s="83"/>
      <c r="H17399" s="83"/>
      <c r="K17399" s="82"/>
      <c r="M17399" s="112"/>
      <c r="N17399" s="84"/>
    </row>
    <row r="17400" spans="1:14" s="2" customFormat="1">
      <c r="A17400" s="83"/>
      <c r="H17400" s="83"/>
      <c r="K17400" s="82"/>
      <c r="M17400" s="112"/>
      <c r="N17400" s="84"/>
    </row>
    <row r="17401" spans="1:14" s="2" customFormat="1">
      <c r="A17401" s="83"/>
      <c r="H17401" s="83"/>
      <c r="K17401" s="82"/>
      <c r="M17401" s="112"/>
      <c r="N17401" s="84"/>
    </row>
    <row r="17402" spans="1:14" s="2" customFormat="1">
      <c r="A17402" s="83"/>
      <c r="H17402" s="83"/>
      <c r="K17402" s="82"/>
      <c r="M17402" s="112"/>
      <c r="N17402" s="84"/>
    </row>
    <row r="17403" spans="1:14" s="2" customFormat="1">
      <c r="A17403" s="83"/>
      <c r="H17403" s="83"/>
      <c r="K17403" s="82"/>
      <c r="M17403" s="112"/>
      <c r="N17403" s="84"/>
    </row>
    <row r="17404" spans="1:14" s="2" customFormat="1">
      <c r="A17404" s="83"/>
      <c r="H17404" s="83"/>
      <c r="K17404" s="82"/>
      <c r="M17404" s="112"/>
      <c r="N17404" s="84"/>
    </row>
    <row r="17405" spans="1:14" s="2" customFormat="1">
      <c r="A17405" s="83"/>
      <c r="H17405" s="83"/>
      <c r="K17405" s="82"/>
      <c r="M17405" s="112"/>
      <c r="N17405" s="84"/>
    </row>
    <row r="17406" spans="1:14" s="2" customFormat="1">
      <c r="A17406" s="83"/>
      <c r="H17406" s="83"/>
      <c r="K17406" s="82"/>
      <c r="M17406" s="112"/>
      <c r="N17406" s="84"/>
    </row>
    <row r="17407" spans="1:14" s="2" customFormat="1">
      <c r="A17407" s="83"/>
      <c r="H17407" s="83"/>
      <c r="K17407" s="82"/>
      <c r="M17407" s="112"/>
      <c r="N17407" s="84"/>
    </row>
    <row r="17408" spans="1:14" s="2" customFormat="1">
      <c r="A17408" s="83"/>
      <c r="H17408" s="83"/>
      <c r="K17408" s="82"/>
      <c r="M17408" s="112"/>
      <c r="N17408" s="84"/>
    </row>
    <row r="17409" spans="1:14" s="2" customFormat="1">
      <c r="A17409" s="83"/>
      <c r="H17409" s="83"/>
      <c r="K17409" s="82"/>
      <c r="M17409" s="112"/>
      <c r="N17409" s="84"/>
    </row>
    <row r="17410" spans="1:14" s="2" customFormat="1">
      <c r="A17410" s="83"/>
      <c r="H17410" s="83"/>
      <c r="K17410" s="82"/>
      <c r="M17410" s="112"/>
      <c r="N17410" s="84"/>
    </row>
    <row r="17411" spans="1:14" s="2" customFormat="1">
      <c r="A17411" s="83"/>
      <c r="H17411" s="83"/>
      <c r="K17411" s="82"/>
      <c r="M17411" s="112"/>
      <c r="N17411" s="84"/>
    </row>
    <row r="17412" spans="1:14" s="2" customFormat="1">
      <c r="A17412" s="83"/>
      <c r="H17412" s="83"/>
      <c r="K17412" s="82"/>
      <c r="M17412" s="112"/>
      <c r="N17412" s="84"/>
    </row>
    <row r="17413" spans="1:14" s="2" customFormat="1">
      <c r="A17413" s="83"/>
      <c r="H17413" s="83"/>
      <c r="K17413" s="82"/>
      <c r="M17413" s="112"/>
      <c r="N17413" s="84"/>
    </row>
    <row r="17414" spans="1:14" s="2" customFormat="1">
      <c r="A17414" s="83"/>
      <c r="H17414" s="83"/>
      <c r="K17414" s="82"/>
      <c r="M17414" s="112"/>
      <c r="N17414" s="84"/>
    </row>
    <row r="17415" spans="1:14" s="2" customFormat="1">
      <c r="A17415" s="83"/>
      <c r="H17415" s="83"/>
      <c r="K17415" s="82"/>
      <c r="M17415" s="112"/>
      <c r="N17415" s="84"/>
    </row>
    <row r="17416" spans="1:14" s="2" customFormat="1">
      <c r="A17416" s="83"/>
      <c r="H17416" s="83"/>
      <c r="K17416" s="82"/>
      <c r="M17416" s="112"/>
      <c r="N17416" s="84"/>
    </row>
    <row r="17417" spans="1:14" s="2" customFormat="1">
      <c r="A17417" s="83"/>
      <c r="H17417" s="83"/>
      <c r="K17417" s="82"/>
      <c r="M17417" s="112"/>
      <c r="N17417" s="84"/>
    </row>
    <row r="17418" spans="1:14" s="2" customFormat="1">
      <c r="A17418" s="83"/>
      <c r="H17418" s="83"/>
      <c r="K17418" s="82"/>
      <c r="M17418" s="112"/>
      <c r="N17418" s="84"/>
    </row>
    <row r="17419" spans="1:14" s="2" customFormat="1">
      <c r="A17419" s="83"/>
      <c r="H17419" s="83"/>
      <c r="K17419" s="82"/>
      <c r="M17419" s="112"/>
      <c r="N17419" s="84"/>
    </row>
    <row r="17420" spans="1:14" s="2" customFormat="1">
      <c r="A17420" s="83"/>
      <c r="H17420" s="83"/>
      <c r="K17420" s="82"/>
      <c r="M17420" s="112"/>
      <c r="N17420" s="84"/>
    </row>
    <row r="17421" spans="1:14" s="2" customFormat="1">
      <c r="A17421" s="83"/>
      <c r="H17421" s="83"/>
      <c r="K17421" s="82"/>
      <c r="M17421" s="112"/>
      <c r="N17421" s="84"/>
    </row>
    <row r="17422" spans="1:14" s="2" customFormat="1">
      <c r="A17422" s="83"/>
      <c r="H17422" s="83"/>
      <c r="K17422" s="82"/>
      <c r="M17422" s="112"/>
      <c r="N17422" s="84"/>
    </row>
    <row r="17423" spans="1:14" s="2" customFormat="1">
      <c r="A17423" s="83"/>
      <c r="H17423" s="83"/>
      <c r="K17423" s="82"/>
      <c r="M17423" s="112"/>
      <c r="N17423" s="84"/>
    </row>
    <row r="17424" spans="1:14" s="2" customFormat="1">
      <c r="A17424" s="83"/>
      <c r="H17424" s="83"/>
      <c r="K17424" s="82"/>
      <c r="M17424" s="112"/>
      <c r="N17424" s="84"/>
    </row>
    <row r="17425" spans="1:14" s="2" customFormat="1">
      <c r="A17425" s="83"/>
      <c r="H17425" s="83"/>
      <c r="K17425" s="82"/>
      <c r="M17425" s="112"/>
      <c r="N17425" s="84"/>
    </row>
    <row r="17426" spans="1:14" s="2" customFormat="1">
      <c r="A17426" s="83"/>
      <c r="H17426" s="83"/>
      <c r="K17426" s="82"/>
      <c r="M17426" s="112"/>
      <c r="N17426" s="84"/>
    </row>
    <row r="17427" spans="1:14" s="2" customFormat="1">
      <c r="A17427" s="83"/>
      <c r="H17427" s="83"/>
      <c r="K17427" s="82"/>
      <c r="M17427" s="112"/>
      <c r="N17427" s="84"/>
    </row>
    <row r="17428" spans="1:14" s="2" customFormat="1">
      <c r="A17428" s="83"/>
      <c r="H17428" s="83"/>
      <c r="K17428" s="82"/>
      <c r="M17428" s="112"/>
      <c r="N17428" s="84"/>
    </row>
    <row r="17429" spans="1:14" s="2" customFormat="1">
      <c r="A17429" s="83"/>
      <c r="H17429" s="83"/>
      <c r="K17429" s="82"/>
      <c r="M17429" s="112"/>
      <c r="N17429" s="84"/>
    </row>
    <row r="17430" spans="1:14" s="2" customFormat="1">
      <c r="A17430" s="83"/>
      <c r="H17430" s="83"/>
      <c r="K17430" s="82"/>
      <c r="M17430" s="112"/>
      <c r="N17430" s="84"/>
    </row>
    <row r="17431" spans="1:14" s="2" customFormat="1">
      <c r="A17431" s="83"/>
      <c r="H17431" s="83"/>
      <c r="K17431" s="82"/>
      <c r="M17431" s="112"/>
      <c r="N17431" s="84"/>
    </row>
    <row r="17432" spans="1:14" s="2" customFormat="1">
      <c r="A17432" s="83"/>
      <c r="H17432" s="83"/>
      <c r="K17432" s="82"/>
      <c r="M17432" s="112"/>
      <c r="N17432" s="84"/>
    </row>
    <row r="17433" spans="1:14" s="2" customFormat="1">
      <c r="A17433" s="83"/>
      <c r="H17433" s="83"/>
      <c r="K17433" s="82"/>
      <c r="M17433" s="112"/>
      <c r="N17433" s="84"/>
    </row>
    <row r="17434" spans="1:14" s="2" customFormat="1">
      <c r="A17434" s="83"/>
      <c r="H17434" s="83"/>
      <c r="K17434" s="82"/>
      <c r="M17434" s="112"/>
      <c r="N17434" s="84"/>
    </row>
    <row r="17435" spans="1:14" s="2" customFormat="1">
      <c r="A17435" s="83"/>
      <c r="H17435" s="83"/>
      <c r="K17435" s="82"/>
      <c r="M17435" s="112"/>
      <c r="N17435" s="84"/>
    </row>
    <row r="17436" spans="1:14" s="2" customFormat="1">
      <c r="A17436" s="83"/>
      <c r="H17436" s="83"/>
      <c r="K17436" s="82"/>
      <c r="M17436" s="112"/>
      <c r="N17436" s="84"/>
    </row>
    <row r="17437" spans="1:14" s="2" customFormat="1">
      <c r="A17437" s="83"/>
      <c r="H17437" s="83"/>
      <c r="K17437" s="82"/>
      <c r="M17437" s="112"/>
      <c r="N17437" s="84"/>
    </row>
    <row r="17438" spans="1:14" s="2" customFormat="1">
      <c r="A17438" s="83"/>
      <c r="H17438" s="83"/>
      <c r="K17438" s="82"/>
      <c r="M17438" s="112"/>
      <c r="N17438" s="84"/>
    </row>
    <row r="17439" spans="1:14" s="2" customFormat="1">
      <c r="A17439" s="83"/>
      <c r="H17439" s="83"/>
      <c r="K17439" s="82"/>
      <c r="M17439" s="112"/>
      <c r="N17439" s="84"/>
    </row>
    <row r="17440" spans="1:14" s="2" customFormat="1">
      <c r="A17440" s="83"/>
      <c r="H17440" s="83"/>
      <c r="K17440" s="82"/>
      <c r="M17440" s="112"/>
      <c r="N17440" s="84"/>
    </row>
    <row r="17441" spans="1:14" s="2" customFormat="1">
      <c r="A17441" s="83"/>
      <c r="H17441" s="83"/>
      <c r="K17441" s="82"/>
      <c r="M17441" s="112"/>
      <c r="N17441" s="84"/>
    </row>
    <row r="17442" spans="1:14" s="2" customFormat="1">
      <c r="A17442" s="83"/>
      <c r="H17442" s="83"/>
      <c r="K17442" s="82"/>
      <c r="M17442" s="112"/>
      <c r="N17442" s="84"/>
    </row>
    <row r="17443" spans="1:14" s="2" customFormat="1">
      <c r="A17443" s="83"/>
      <c r="H17443" s="83"/>
      <c r="K17443" s="82"/>
      <c r="M17443" s="112"/>
      <c r="N17443" s="84"/>
    </row>
    <row r="17444" spans="1:14" s="2" customFormat="1">
      <c r="A17444" s="83"/>
      <c r="H17444" s="83"/>
      <c r="K17444" s="82"/>
      <c r="M17444" s="112"/>
      <c r="N17444" s="84"/>
    </row>
    <row r="17445" spans="1:14" s="2" customFormat="1">
      <c r="A17445" s="83"/>
      <c r="H17445" s="83"/>
      <c r="K17445" s="82"/>
      <c r="M17445" s="112"/>
      <c r="N17445" s="84"/>
    </row>
    <row r="17446" spans="1:14" s="2" customFormat="1">
      <c r="A17446" s="83"/>
      <c r="H17446" s="83"/>
      <c r="K17446" s="82"/>
      <c r="M17446" s="112"/>
      <c r="N17446" s="84"/>
    </row>
    <row r="17447" spans="1:14" s="2" customFormat="1">
      <c r="A17447" s="83"/>
      <c r="H17447" s="83"/>
      <c r="K17447" s="82"/>
      <c r="M17447" s="112"/>
      <c r="N17447" s="84"/>
    </row>
    <row r="17448" spans="1:14" s="2" customFormat="1">
      <c r="A17448" s="83"/>
      <c r="H17448" s="83"/>
      <c r="K17448" s="82"/>
      <c r="M17448" s="112"/>
      <c r="N17448" s="84"/>
    </row>
    <row r="17449" spans="1:14" s="2" customFormat="1">
      <c r="A17449" s="83"/>
      <c r="H17449" s="83"/>
      <c r="K17449" s="82"/>
      <c r="M17449" s="112"/>
      <c r="N17449" s="84"/>
    </row>
    <row r="17450" spans="1:14" s="2" customFormat="1">
      <c r="A17450" s="83"/>
      <c r="H17450" s="83"/>
      <c r="K17450" s="82"/>
      <c r="M17450" s="112"/>
      <c r="N17450" s="84"/>
    </row>
    <row r="17451" spans="1:14" s="2" customFormat="1">
      <c r="A17451" s="83"/>
      <c r="H17451" s="83"/>
      <c r="K17451" s="82"/>
      <c r="M17451" s="112"/>
      <c r="N17451" s="84"/>
    </row>
    <row r="17452" spans="1:14" s="2" customFormat="1">
      <c r="A17452" s="83"/>
      <c r="H17452" s="83"/>
      <c r="K17452" s="82"/>
      <c r="M17452" s="112"/>
      <c r="N17452" s="84"/>
    </row>
    <row r="17453" spans="1:14" s="2" customFormat="1">
      <c r="A17453" s="83"/>
      <c r="H17453" s="83"/>
      <c r="K17453" s="82"/>
      <c r="M17453" s="112"/>
      <c r="N17453" s="84"/>
    </row>
    <row r="17454" spans="1:14" s="2" customFormat="1">
      <c r="A17454" s="83"/>
      <c r="H17454" s="83"/>
      <c r="K17454" s="82"/>
      <c r="M17454" s="112"/>
      <c r="N17454" s="84"/>
    </row>
    <row r="17455" spans="1:14" s="2" customFormat="1">
      <c r="A17455" s="83"/>
      <c r="H17455" s="83"/>
      <c r="K17455" s="82"/>
      <c r="M17455" s="112"/>
      <c r="N17455" s="84"/>
    </row>
    <row r="17456" spans="1:14" s="2" customFormat="1">
      <c r="A17456" s="83"/>
      <c r="H17456" s="83"/>
      <c r="K17456" s="82"/>
      <c r="M17456" s="112"/>
      <c r="N17456" s="84"/>
    </row>
    <row r="17457" spans="1:14" s="2" customFormat="1">
      <c r="A17457" s="83"/>
      <c r="H17457" s="83"/>
      <c r="K17457" s="82"/>
      <c r="M17457" s="112"/>
      <c r="N17457" s="84"/>
    </row>
    <row r="17458" spans="1:14" s="2" customFormat="1">
      <c r="A17458" s="83"/>
      <c r="H17458" s="83"/>
      <c r="K17458" s="82"/>
      <c r="M17458" s="112"/>
      <c r="N17458" s="84"/>
    </row>
    <row r="17459" spans="1:14" s="2" customFormat="1">
      <c r="A17459" s="83"/>
      <c r="H17459" s="83"/>
      <c r="K17459" s="82"/>
      <c r="M17459" s="112"/>
      <c r="N17459" s="84"/>
    </row>
    <row r="17460" spans="1:14" s="2" customFormat="1">
      <c r="A17460" s="83"/>
      <c r="H17460" s="83"/>
      <c r="K17460" s="82"/>
      <c r="M17460" s="112"/>
      <c r="N17460" s="84"/>
    </row>
    <row r="17461" spans="1:14" s="2" customFormat="1">
      <c r="A17461" s="83"/>
      <c r="H17461" s="83"/>
      <c r="K17461" s="82"/>
      <c r="M17461" s="112"/>
      <c r="N17461" s="84"/>
    </row>
    <row r="17462" spans="1:14" s="2" customFormat="1">
      <c r="A17462" s="83"/>
      <c r="H17462" s="83"/>
      <c r="K17462" s="82"/>
      <c r="M17462" s="112"/>
      <c r="N17462" s="84"/>
    </row>
    <row r="17463" spans="1:14" s="2" customFormat="1">
      <c r="A17463" s="83"/>
      <c r="H17463" s="83"/>
      <c r="K17463" s="82"/>
      <c r="M17463" s="112"/>
      <c r="N17463" s="84"/>
    </row>
    <row r="17464" spans="1:14" s="2" customFormat="1">
      <c r="A17464" s="83"/>
      <c r="H17464" s="83"/>
      <c r="K17464" s="82"/>
      <c r="M17464" s="112"/>
      <c r="N17464" s="84"/>
    </row>
    <row r="17465" spans="1:14" s="2" customFormat="1">
      <c r="A17465" s="83"/>
      <c r="H17465" s="83"/>
      <c r="K17465" s="82"/>
      <c r="M17465" s="112"/>
      <c r="N17465" s="84"/>
    </row>
    <row r="17466" spans="1:14" s="2" customFormat="1">
      <c r="A17466" s="83"/>
      <c r="H17466" s="83"/>
      <c r="K17466" s="82"/>
      <c r="M17466" s="112"/>
      <c r="N17466" s="84"/>
    </row>
    <row r="17467" spans="1:14" s="2" customFormat="1">
      <c r="A17467" s="83"/>
      <c r="H17467" s="83"/>
      <c r="K17467" s="82"/>
      <c r="M17467" s="112"/>
      <c r="N17467" s="84"/>
    </row>
    <row r="17468" spans="1:14" s="2" customFormat="1">
      <c r="A17468" s="83"/>
      <c r="H17468" s="83"/>
      <c r="K17468" s="82"/>
      <c r="M17468" s="112"/>
      <c r="N17468" s="84"/>
    </row>
    <row r="17469" spans="1:14" s="2" customFormat="1">
      <c r="A17469" s="83"/>
      <c r="H17469" s="83"/>
      <c r="K17469" s="82"/>
      <c r="M17469" s="112"/>
      <c r="N17469" s="84"/>
    </row>
    <row r="17470" spans="1:14" s="2" customFormat="1">
      <c r="A17470" s="83"/>
      <c r="H17470" s="83"/>
      <c r="K17470" s="82"/>
      <c r="M17470" s="112"/>
      <c r="N17470" s="84"/>
    </row>
    <row r="17471" spans="1:14" s="2" customFormat="1">
      <c r="A17471" s="83"/>
      <c r="H17471" s="83"/>
      <c r="K17471" s="82"/>
      <c r="M17471" s="112"/>
      <c r="N17471" s="84"/>
    </row>
    <row r="17472" spans="1:14" s="2" customFormat="1">
      <c r="A17472" s="83"/>
      <c r="H17472" s="83"/>
      <c r="K17472" s="82"/>
      <c r="M17472" s="112"/>
      <c r="N17472" s="84"/>
    </row>
    <row r="17473" spans="1:14" s="2" customFormat="1">
      <c r="A17473" s="83"/>
      <c r="H17473" s="83"/>
      <c r="K17473" s="82"/>
      <c r="M17473" s="112"/>
      <c r="N17473" s="84"/>
    </row>
    <row r="17474" spans="1:14" s="2" customFormat="1">
      <c r="A17474" s="83"/>
      <c r="H17474" s="83"/>
      <c r="K17474" s="82"/>
      <c r="M17474" s="112"/>
      <c r="N17474" s="84"/>
    </row>
    <row r="17475" spans="1:14" s="2" customFormat="1">
      <c r="A17475" s="83"/>
      <c r="H17475" s="83"/>
      <c r="K17475" s="82"/>
      <c r="M17475" s="112"/>
      <c r="N17475" s="84"/>
    </row>
    <row r="17476" spans="1:14" s="2" customFormat="1">
      <c r="A17476" s="83"/>
      <c r="H17476" s="83"/>
      <c r="K17476" s="82"/>
      <c r="M17476" s="112"/>
      <c r="N17476" s="84"/>
    </row>
    <row r="17477" spans="1:14" s="2" customFormat="1">
      <c r="A17477" s="83"/>
      <c r="H17477" s="83"/>
      <c r="K17477" s="82"/>
      <c r="M17477" s="112"/>
      <c r="N17477" s="84"/>
    </row>
    <row r="17478" spans="1:14" s="2" customFormat="1">
      <c r="A17478" s="83"/>
      <c r="H17478" s="83"/>
      <c r="K17478" s="82"/>
      <c r="M17478" s="112"/>
      <c r="N17478" s="84"/>
    </row>
    <row r="17479" spans="1:14" s="2" customFormat="1">
      <c r="A17479" s="83"/>
      <c r="H17479" s="83"/>
      <c r="K17479" s="82"/>
      <c r="M17479" s="112"/>
      <c r="N17479" s="84"/>
    </row>
    <row r="17480" spans="1:14" s="2" customFormat="1">
      <c r="A17480" s="83"/>
      <c r="H17480" s="83"/>
      <c r="K17480" s="82"/>
      <c r="M17480" s="112"/>
      <c r="N17480" s="84"/>
    </row>
    <row r="17481" spans="1:14" s="2" customFormat="1">
      <c r="A17481" s="83"/>
      <c r="H17481" s="83"/>
      <c r="K17481" s="82"/>
      <c r="M17481" s="112"/>
      <c r="N17481" s="84"/>
    </row>
    <row r="17482" spans="1:14" s="2" customFormat="1">
      <c r="A17482" s="83"/>
      <c r="H17482" s="83"/>
      <c r="K17482" s="82"/>
      <c r="M17482" s="112"/>
      <c r="N17482" s="84"/>
    </row>
    <row r="17483" spans="1:14" s="2" customFormat="1">
      <c r="A17483" s="83"/>
      <c r="H17483" s="83"/>
      <c r="K17483" s="82"/>
      <c r="M17483" s="112"/>
      <c r="N17483" s="84"/>
    </row>
    <row r="17484" spans="1:14" s="2" customFormat="1">
      <c r="A17484" s="83"/>
      <c r="H17484" s="83"/>
      <c r="K17484" s="82"/>
      <c r="M17484" s="112"/>
      <c r="N17484" s="84"/>
    </row>
    <row r="17485" spans="1:14" s="2" customFormat="1">
      <c r="A17485" s="83"/>
      <c r="H17485" s="83"/>
      <c r="K17485" s="82"/>
      <c r="M17485" s="112"/>
      <c r="N17485" s="84"/>
    </row>
    <row r="17486" spans="1:14" s="2" customFormat="1">
      <c r="A17486" s="83"/>
      <c r="H17486" s="83"/>
      <c r="K17486" s="82"/>
      <c r="M17486" s="112"/>
      <c r="N17486" s="84"/>
    </row>
    <row r="17487" spans="1:14" s="2" customFormat="1">
      <c r="A17487" s="83"/>
      <c r="H17487" s="83"/>
      <c r="K17487" s="82"/>
      <c r="M17487" s="112"/>
      <c r="N17487" s="84"/>
    </row>
    <row r="17488" spans="1:14" s="2" customFormat="1">
      <c r="A17488" s="83"/>
      <c r="H17488" s="83"/>
      <c r="K17488" s="82"/>
      <c r="M17488" s="112"/>
      <c r="N17488" s="84"/>
    </row>
    <row r="17489" spans="1:14" s="2" customFormat="1">
      <c r="A17489" s="83"/>
      <c r="H17489" s="83"/>
      <c r="K17489" s="82"/>
      <c r="M17489" s="112"/>
      <c r="N17489" s="84"/>
    </row>
    <row r="17490" spans="1:14" s="2" customFormat="1">
      <c r="A17490" s="83"/>
      <c r="H17490" s="83"/>
      <c r="K17490" s="82"/>
      <c r="M17490" s="112"/>
      <c r="N17490" s="84"/>
    </row>
    <row r="17491" spans="1:14" s="2" customFormat="1">
      <c r="A17491" s="83"/>
      <c r="H17491" s="83"/>
      <c r="K17491" s="82"/>
      <c r="M17491" s="112"/>
      <c r="N17491" s="84"/>
    </row>
    <row r="17492" spans="1:14" s="2" customFormat="1">
      <c r="A17492" s="83"/>
      <c r="H17492" s="83"/>
      <c r="K17492" s="82"/>
      <c r="M17492" s="112"/>
      <c r="N17492" s="84"/>
    </row>
    <row r="17493" spans="1:14" s="2" customFormat="1">
      <c r="A17493" s="83"/>
      <c r="H17493" s="83"/>
      <c r="K17493" s="82"/>
      <c r="M17493" s="112"/>
      <c r="N17493" s="84"/>
    </row>
    <row r="17494" spans="1:14" s="2" customFormat="1">
      <c r="A17494" s="83"/>
      <c r="H17494" s="83"/>
      <c r="K17494" s="82"/>
      <c r="M17494" s="112"/>
      <c r="N17494" s="84"/>
    </row>
    <row r="17495" spans="1:14" s="2" customFormat="1">
      <c r="A17495" s="83"/>
      <c r="H17495" s="83"/>
      <c r="K17495" s="82"/>
      <c r="M17495" s="112"/>
      <c r="N17495" s="84"/>
    </row>
    <row r="17496" spans="1:14" s="2" customFormat="1">
      <c r="A17496" s="83"/>
      <c r="H17496" s="83"/>
      <c r="K17496" s="82"/>
      <c r="M17496" s="112"/>
      <c r="N17496" s="84"/>
    </row>
    <row r="17497" spans="1:14" s="2" customFormat="1">
      <c r="A17497" s="83"/>
      <c r="H17497" s="83"/>
      <c r="K17497" s="82"/>
      <c r="M17497" s="112"/>
      <c r="N17497" s="84"/>
    </row>
    <row r="17498" spans="1:14" s="2" customFormat="1">
      <c r="A17498" s="83"/>
      <c r="H17498" s="83"/>
      <c r="K17498" s="82"/>
      <c r="M17498" s="112"/>
      <c r="N17498" s="84"/>
    </row>
    <row r="17499" spans="1:14" s="2" customFormat="1">
      <c r="A17499" s="83"/>
      <c r="H17499" s="83"/>
      <c r="K17499" s="82"/>
      <c r="M17499" s="112"/>
      <c r="N17499" s="84"/>
    </row>
    <row r="17500" spans="1:14" s="2" customFormat="1">
      <c r="A17500" s="83"/>
      <c r="H17500" s="83"/>
      <c r="K17500" s="82"/>
      <c r="M17500" s="112"/>
      <c r="N17500" s="84"/>
    </row>
    <row r="17501" spans="1:14" s="2" customFormat="1">
      <c r="A17501" s="83"/>
      <c r="H17501" s="83"/>
      <c r="K17501" s="82"/>
      <c r="M17501" s="112"/>
      <c r="N17501" s="84"/>
    </row>
    <row r="17502" spans="1:14" s="2" customFormat="1">
      <c r="A17502" s="83"/>
      <c r="H17502" s="83"/>
      <c r="K17502" s="82"/>
      <c r="M17502" s="112"/>
      <c r="N17502" s="84"/>
    </row>
    <row r="17503" spans="1:14" s="2" customFormat="1">
      <c r="A17503" s="83"/>
      <c r="H17503" s="83"/>
      <c r="K17503" s="82"/>
      <c r="M17503" s="112"/>
      <c r="N17503" s="84"/>
    </row>
    <row r="17504" spans="1:14" s="2" customFormat="1">
      <c r="A17504" s="83"/>
      <c r="H17504" s="83"/>
      <c r="K17504" s="82"/>
      <c r="M17504" s="112"/>
      <c r="N17504" s="84"/>
    </row>
    <row r="17505" spans="1:14" s="2" customFormat="1">
      <c r="A17505" s="83"/>
      <c r="H17505" s="83"/>
      <c r="K17505" s="82"/>
      <c r="M17505" s="112"/>
      <c r="N17505" s="84"/>
    </row>
    <row r="17506" spans="1:14" s="2" customFormat="1">
      <c r="A17506" s="83"/>
      <c r="H17506" s="83"/>
      <c r="K17506" s="82"/>
      <c r="M17506" s="112"/>
      <c r="N17506" s="84"/>
    </row>
    <row r="17507" spans="1:14" s="2" customFormat="1">
      <c r="A17507" s="83"/>
      <c r="H17507" s="83"/>
      <c r="K17507" s="82"/>
      <c r="M17507" s="112"/>
      <c r="N17507" s="84"/>
    </row>
    <row r="17508" spans="1:14" s="2" customFormat="1">
      <c r="A17508" s="83"/>
      <c r="H17508" s="83"/>
      <c r="K17508" s="82"/>
      <c r="M17508" s="112"/>
      <c r="N17508" s="84"/>
    </row>
    <row r="17509" spans="1:14" s="2" customFormat="1">
      <c r="A17509" s="83"/>
      <c r="H17509" s="83"/>
      <c r="K17509" s="82"/>
      <c r="M17509" s="112"/>
      <c r="N17509" s="84"/>
    </row>
    <row r="17510" spans="1:14" s="2" customFormat="1">
      <c r="A17510" s="83"/>
      <c r="H17510" s="83"/>
      <c r="K17510" s="82"/>
      <c r="M17510" s="112"/>
      <c r="N17510" s="84"/>
    </row>
    <row r="17511" spans="1:14" s="2" customFormat="1">
      <c r="A17511" s="83"/>
      <c r="H17511" s="83"/>
      <c r="K17511" s="82"/>
      <c r="M17511" s="112"/>
      <c r="N17511" s="84"/>
    </row>
    <row r="17512" spans="1:14" s="2" customFormat="1">
      <c r="A17512" s="83"/>
      <c r="H17512" s="83"/>
      <c r="K17512" s="82"/>
      <c r="M17512" s="112"/>
      <c r="N17512" s="84"/>
    </row>
    <row r="17513" spans="1:14" s="2" customFormat="1">
      <c r="A17513" s="83"/>
      <c r="H17513" s="83"/>
      <c r="K17513" s="82"/>
      <c r="M17513" s="112"/>
      <c r="N17513" s="84"/>
    </row>
    <row r="17514" spans="1:14" s="2" customFormat="1">
      <c r="A17514" s="83"/>
      <c r="H17514" s="83"/>
      <c r="K17514" s="82"/>
      <c r="M17514" s="112"/>
      <c r="N17514" s="84"/>
    </row>
    <row r="17515" spans="1:14" s="2" customFormat="1">
      <c r="A17515" s="83"/>
      <c r="H17515" s="83"/>
      <c r="K17515" s="82"/>
      <c r="M17515" s="112"/>
      <c r="N17515" s="84"/>
    </row>
    <row r="17516" spans="1:14" s="2" customFormat="1">
      <c r="A17516" s="83"/>
      <c r="H17516" s="83"/>
      <c r="K17516" s="82"/>
      <c r="M17516" s="112"/>
      <c r="N17516" s="84"/>
    </row>
    <row r="17517" spans="1:14" s="2" customFormat="1">
      <c r="A17517" s="83"/>
      <c r="H17517" s="83"/>
      <c r="K17517" s="82"/>
      <c r="M17517" s="112"/>
      <c r="N17517" s="84"/>
    </row>
    <row r="17518" spans="1:14" s="2" customFormat="1">
      <c r="A17518" s="83"/>
      <c r="H17518" s="83"/>
      <c r="K17518" s="82"/>
      <c r="M17518" s="112"/>
      <c r="N17518" s="84"/>
    </row>
    <row r="17519" spans="1:14" s="2" customFormat="1">
      <c r="A17519" s="83"/>
      <c r="H17519" s="83"/>
      <c r="K17519" s="82"/>
      <c r="M17519" s="112"/>
      <c r="N17519" s="84"/>
    </row>
    <row r="17520" spans="1:14" s="2" customFormat="1">
      <c r="A17520" s="83"/>
      <c r="H17520" s="83"/>
      <c r="K17520" s="82"/>
      <c r="M17520" s="112"/>
      <c r="N17520" s="84"/>
    </row>
    <row r="17521" spans="1:14" s="2" customFormat="1">
      <c r="A17521" s="83"/>
      <c r="H17521" s="83"/>
      <c r="K17521" s="82"/>
      <c r="M17521" s="112"/>
      <c r="N17521" s="84"/>
    </row>
    <row r="17522" spans="1:14" s="2" customFormat="1">
      <c r="A17522" s="83"/>
      <c r="H17522" s="83"/>
      <c r="K17522" s="82"/>
      <c r="M17522" s="112"/>
      <c r="N17522" s="84"/>
    </row>
    <row r="17523" spans="1:14" s="2" customFormat="1">
      <c r="A17523" s="83"/>
      <c r="H17523" s="83"/>
      <c r="K17523" s="82"/>
      <c r="M17523" s="112"/>
      <c r="N17523" s="84"/>
    </row>
    <row r="17524" spans="1:14" s="2" customFormat="1">
      <c r="A17524" s="83"/>
      <c r="H17524" s="83"/>
      <c r="K17524" s="82"/>
      <c r="M17524" s="112"/>
      <c r="N17524" s="84"/>
    </row>
    <row r="17525" spans="1:14" s="2" customFormat="1">
      <c r="A17525" s="83"/>
      <c r="H17525" s="83"/>
      <c r="K17525" s="82"/>
      <c r="M17525" s="112"/>
      <c r="N17525" s="84"/>
    </row>
    <row r="17526" spans="1:14" s="2" customFormat="1">
      <c r="A17526" s="83"/>
      <c r="H17526" s="83"/>
      <c r="K17526" s="82"/>
      <c r="M17526" s="112"/>
      <c r="N17526" s="84"/>
    </row>
    <row r="17527" spans="1:14" s="2" customFormat="1">
      <c r="A17527" s="83"/>
      <c r="H17527" s="83"/>
      <c r="K17527" s="82"/>
      <c r="M17527" s="112"/>
      <c r="N17527" s="84"/>
    </row>
    <row r="17528" spans="1:14" s="2" customFormat="1">
      <c r="A17528" s="83"/>
      <c r="H17528" s="83"/>
      <c r="K17528" s="82"/>
      <c r="M17528" s="112"/>
      <c r="N17528" s="84"/>
    </row>
    <row r="17529" spans="1:14" s="2" customFormat="1">
      <c r="A17529" s="83"/>
      <c r="H17529" s="83"/>
      <c r="K17529" s="82"/>
      <c r="M17529" s="112"/>
      <c r="N17529" s="84"/>
    </row>
    <row r="17530" spans="1:14" s="2" customFormat="1">
      <c r="A17530" s="83"/>
      <c r="H17530" s="83"/>
      <c r="K17530" s="82"/>
      <c r="M17530" s="112"/>
      <c r="N17530" s="84"/>
    </row>
    <row r="17531" spans="1:14" s="2" customFormat="1">
      <c r="A17531" s="83"/>
      <c r="H17531" s="83"/>
      <c r="K17531" s="82"/>
      <c r="M17531" s="112"/>
      <c r="N17531" s="84"/>
    </row>
    <row r="17532" spans="1:14" s="2" customFormat="1">
      <c r="A17532" s="83"/>
      <c r="H17532" s="83"/>
      <c r="K17532" s="82"/>
      <c r="M17532" s="112"/>
      <c r="N17532" s="84"/>
    </row>
    <row r="17533" spans="1:14" s="2" customFormat="1">
      <c r="A17533" s="83"/>
      <c r="H17533" s="83"/>
      <c r="K17533" s="82"/>
      <c r="M17533" s="112"/>
      <c r="N17533" s="84"/>
    </row>
    <row r="17534" spans="1:14" s="2" customFormat="1">
      <c r="A17534" s="83"/>
      <c r="H17534" s="83"/>
      <c r="K17534" s="82"/>
      <c r="M17534" s="112"/>
      <c r="N17534" s="84"/>
    </row>
    <row r="17535" spans="1:14" s="2" customFormat="1">
      <c r="A17535" s="83"/>
      <c r="H17535" s="83"/>
      <c r="K17535" s="82"/>
      <c r="M17535" s="112"/>
      <c r="N17535" s="84"/>
    </row>
    <row r="17536" spans="1:14" s="2" customFormat="1">
      <c r="A17536" s="83"/>
      <c r="H17536" s="83"/>
      <c r="K17536" s="82"/>
      <c r="M17536" s="112"/>
      <c r="N17536" s="84"/>
    </row>
    <row r="17537" spans="1:14" s="2" customFormat="1">
      <c r="A17537" s="83"/>
      <c r="H17537" s="83"/>
      <c r="K17537" s="82"/>
      <c r="M17537" s="112"/>
      <c r="N17537" s="84"/>
    </row>
    <row r="17538" spans="1:14" s="2" customFormat="1">
      <c r="A17538" s="83"/>
      <c r="H17538" s="83"/>
      <c r="K17538" s="82"/>
      <c r="M17538" s="112"/>
      <c r="N17538" s="84"/>
    </row>
    <row r="17539" spans="1:14" s="2" customFormat="1">
      <c r="A17539" s="83"/>
      <c r="H17539" s="83"/>
      <c r="K17539" s="82"/>
      <c r="M17539" s="112"/>
      <c r="N17539" s="84"/>
    </row>
    <row r="17540" spans="1:14" s="2" customFormat="1">
      <c r="A17540" s="83"/>
      <c r="H17540" s="83"/>
      <c r="K17540" s="82"/>
      <c r="M17540" s="112"/>
      <c r="N17540" s="84"/>
    </row>
    <row r="17541" spans="1:14" s="2" customFormat="1">
      <c r="A17541" s="83"/>
      <c r="H17541" s="83"/>
      <c r="K17541" s="82"/>
      <c r="M17541" s="112"/>
      <c r="N17541" s="84"/>
    </row>
    <row r="17542" spans="1:14" s="2" customFormat="1">
      <c r="A17542" s="83"/>
      <c r="H17542" s="83"/>
      <c r="K17542" s="82"/>
      <c r="M17542" s="112"/>
      <c r="N17542" s="84"/>
    </row>
    <row r="17543" spans="1:14" s="2" customFormat="1">
      <c r="A17543" s="83"/>
      <c r="H17543" s="83"/>
      <c r="K17543" s="82"/>
      <c r="M17543" s="112"/>
      <c r="N17543" s="84"/>
    </row>
    <row r="17544" spans="1:14" s="2" customFormat="1">
      <c r="A17544" s="83"/>
      <c r="H17544" s="83"/>
      <c r="K17544" s="82"/>
      <c r="M17544" s="112"/>
      <c r="N17544" s="84"/>
    </row>
    <row r="17545" spans="1:14" s="2" customFormat="1">
      <c r="A17545" s="83"/>
      <c r="H17545" s="83"/>
      <c r="K17545" s="82"/>
      <c r="M17545" s="112"/>
      <c r="N17545" s="84"/>
    </row>
    <row r="17546" spans="1:14" s="2" customFormat="1">
      <c r="A17546" s="83"/>
      <c r="H17546" s="83"/>
      <c r="K17546" s="82"/>
      <c r="M17546" s="112"/>
      <c r="N17546" s="84"/>
    </row>
    <row r="17547" spans="1:14" s="2" customFormat="1">
      <c r="A17547" s="83"/>
      <c r="H17547" s="83"/>
      <c r="K17547" s="82"/>
      <c r="M17547" s="112"/>
      <c r="N17547" s="84"/>
    </row>
    <row r="17548" spans="1:14" s="2" customFormat="1">
      <c r="A17548" s="83"/>
      <c r="H17548" s="83"/>
      <c r="K17548" s="82"/>
      <c r="M17548" s="112"/>
      <c r="N17548" s="84"/>
    </row>
    <row r="17549" spans="1:14" s="2" customFormat="1">
      <c r="A17549" s="83"/>
      <c r="H17549" s="83"/>
      <c r="K17549" s="82"/>
      <c r="M17549" s="112"/>
      <c r="N17549" s="84"/>
    </row>
    <row r="17550" spans="1:14" s="2" customFormat="1">
      <c r="A17550" s="83"/>
      <c r="H17550" s="83"/>
      <c r="K17550" s="82"/>
      <c r="M17550" s="112"/>
      <c r="N17550" s="84"/>
    </row>
    <row r="17551" spans="1:14" s="2" customFormat="1">
      <c r="A17551" s="83"/>
      <c r="H17551" s="83"/>
      <c r="K17551" s="82"/>
      <c r="M17551" s="112"/>
      <c r="N17551" s="84"/>
    </row>
    <row r="17552" spans="1:14" s="2" customFormat="1">
      <c r="A17552" s="83"/>
      <c r="H17552" s="83"/>
      <c r="K17552" s="82"/>
      <c r="M17552" s="112"/>
      <c r="N17552" s="84"/>
    </row>
    <row r="17553" spans="1:14" s="2" customFormat="1">
      <c r="A17553" s="83"/>
      <c r="H17553" s="83"/>
      <c r="K17553" s="82"/>
      <c r="M17553" s="112"/>
      <c r="N17553" s="84"/>
    </row>
    <row r="17554" spans="1:14" s="2" customFormat="1">
      <c r="A17554" s="83"/>
      <c r="H17554" s="83"/>
      <c r="K17554" s="82"/>
      <c r="M17554" s="112"/>
      <c r="N17554" s="84"/>
    </row>
    <row r="17555" spans="1:14" s="2" customFormat="1">
      <c r="A17555" s="83"/>
      <c r="H17555" s="83"/>
      <c r="K17555" s="82"/>
      <c r="M17555" s="112"/>
      <c r="N17555" s="84"/>
    </row>
    <row r="17556" spans="1:14" s="2" customFormat="1">
      <c r="A17556" s="83"/>
      <c r="H17556" s="83"/>
      <c r="K17556" s="82"/>
      <c r="M17556" s="112"/>
      <c r="N17556" s="84"/>
    </row>
    <row r="17557" spans="1:14" s="2" customFormat="1">
      <c r="A17557" s="83"/>
      <c r="H17557" s="83"/>
      <c r="K17557" s="82"/>
      <c r="M17557" s="112"/>
      <c r="N17557" s="84"/>
    </row>
    <row r="17558" spans="1:14" s="2" customFormat="1">
      <c r="A17558" s="83"/>
      <c r="H17558" s="83"/>
      <c r="K17558" s="82"/>
      <c r="M17558" s="112"/>
      <c r="N17558" s="84"/>
    </row>
    <row r="17559" spans="1:14" s="2" customFormat="1">
      <c r="A17559" s="83"/>
      <c r="H17559" s="83"/>
      <c r="K17559" s="82"/>
      <c r="M17559" s="112"/>
      <c r="N17559" s="84"/>
    </row>
    <row r="17560" spans="1:14" s="2" customFormat="1">
      <c r="A17560" s="83"/>
      <c r="H17560" s="83"/>
      <c r="K17560" s="82"/>
      <c r="M17560" s="112"/>
      <c r="N17560" s="84"/>
    </row>
    <row r="17561" spans="1:14" s="2" customFormat="1">
      <c r="A17561" s="83"/>
      <c r="H17561" s="83"/>
      <c r="K17561" s="82"/>
      <c r="M17561" s="112"/>
      <c r="N17561" s="84"/>
    </row>
    <row r="17562" spans="1:14" s="2" customFormat="1">
      <c r="A17562" s="83"/>
      <c r="H17562" s="83"/>
      <c r="K17562" s="82"/>
      <c r="M17562" s="112"/>
      <c r="N17562" s="84"/>
    </row>
    <row r="17563" spans="1:14" s="2" customFormat="1">
      <c r="A17563" s="83"/>
      <c r="H17563" s="83"/>
      <c r="K17563" s="82"/>
      <c r="M17563" s="112"/>
      <c r="N17563" s="84"/>
    </row>
    <row r="17564" spans="1:14" s="2" customFormat="1">
      <c r="A17564" s="83"/>
      <c r="H17564" s="83"/>
      <c r="K17564" s="82"/>
      <c r="M17564" s="112"/>
      <c r="N17564" s="84"/>
    </row>
    <row r="17565" spans="1:14" s="2" customFormat="1">
      <c r="A17565" s="83"/>
      <c r="H17565" s="83"/>
      <c r="K17565" s="82"/>
      <c r="M17565" s="112"/>
      <c r="N17565" s="84"/>
    </row>
    <row r="17566" spans="1:14" s="2" customFormat="1">
      <c r="A17566" s="83"/>
      <c r="H17566" s="83"/>
      <c r="K17566" s="82"/>
      <c r="M17566" s="112"/>
      <c r="N17566" s="84"/>
    </row>
    <row r="17567" spans="1:14" s="2" customFormat="1">
      <c r="A17567" s="83"/>
      <c r="H17567" s="83"/>
      <c r="K17567" s="82"/>
      <c r="M17567" s="112"/>
      <c r="N17567" s="84"/>
    </row>
    <row r="17568" spans="1:14" s="2" customFormat="1">
      <c r="A17568" s="83"/>
      <c r="H17568" s="83"/>
      <c r="K17568" s="82"/>
      <c r="M17568" s="112"/>
      <c r="N17568" s="84"/>
    </row>
    <row r="17569" spans="1:14" s="2" customFormat="1">
      <c r="A17569" s="83"/>
      <c r="H17569" s="83"/>
      <c r="K17569" s="82"/>
      <c r="M17569" s="112"/>
      <c r="N17569" s="84"/>
    </row>
    <row r="17570" spans="1:14" s="2" customFormat="1">
      <c r="A17570" s="83"/>
      <c r="H17570" s="83"/>
      <c r="K17570" s="82"/>
      <c r="M17570" s="112"/>
      <c r="N17570" s="84"/>
    </row>
    <row r="17571" spans="1:14" s="2" customFormat="1">
      <c r="A17571" s="83"/>
      <c r="H17571" s="83"/>
      <c r="K17571" s="82"/>
      <c r="M17571" s="112"/>
      <c r="N17571" s="84"/>
    </row>
    <row r="17572" spans="1:14" s="2" customFormat="1">
      <c r="A17572" s="83"/>
      <c r="H17572" s="83"/>
      <c r="K17572" s="82"/>
      <c r="M17572" s="112"/>
      <c r="N17572" s="84"/>
    </row>
    <row r="17573" spans="1:14" s="2" customFormat="1">
      <c r="A17573" s="83"/>
      <c r="H17573" s="83"/>
      <c r="K17573" s="82"/>
      <c r="M17573" s="112"/>
      <c r="N17573" s="84"/>
    </row>
    <row r="17574" spans="1:14" s="2" customFormat="1">
      <c r="A17574" s="83"/>
      <c r="H17574" s="83"/>
      <c r="K17574" s="82"/>
      <c r="M17574" s="112"/>
      <c r="N17574" s="84"/>
    </row>
    <row r="17575" spans="1:14" s="2" customFormat="1">
      <c r="A17575" s="83"/>
      <c r="H17575" s="83"/>
      <c r="K17575" s="82"/>
      <c r="M17575" s="112"/>
      <c r="N17575" s="84"/>
    </row>
    <row r="17576" spans="1:14" s="2" customFormat="1">
      <c r="A17576" s="83"/>
      <c r="H17576" s="83"/>
      <c r="K17576" s="82"/>
      <c r="M17576" s="112"/>
      <c r="N17576" s="84"/>
    </row>
    <row r="17577" spans="1:14" s="2" customFormat="1">
      <c r="A17577" s="83"/>
      <c r="H17577" s="83"/>
      <c r="K17577" s="82"/>
      <c r="M17577" s="112"/>
      <c r="N17577" s="84"/>
    </row>
    <row r="17578" spans="1:14" s="2" customFormat="1">
      <c r="A17578" s="83"/>
      <c r="H17578" s="83"/>
      <c r="K17578" s="82"/>
      <c r="M17578" s="112"/>
      <c r="N17578" s="84"/>
    </row>
    <row r="17579" spans="1:14" s="2" customFormat="1">
      <c r="A17579" s="83"/>
      <c r="H17579" s="83"/>
      <c r="K17579" s="82"/>
      <c r="M17579" s="112"/>
      <c r="N17579" s="84"/>
    </row>
    <row r="17580" spans="1:14" s="2" customFormat="1">
      <c r="A17580" s="83"/>
      <c r="H17580" s="83"/>
      <c r="K17580" s="82"/>
      <c r="M17580" s="112"/>
      <c r="N17580" s="84"/>
    </row>
    <row r="17581" spans="1:14" s="2" customFormat="1">
      <c r="A17581" s="83"/>
      <c r="H17581" s="83"/>
      <c r="K17581" s="82"/>
      <c r="M17581" s="112"/>
      <c r="N17581" s="84"/>
    </row>
    <row r="17582" spans="1:14" s="2" customFormat="1">
      <c r="A17582" s="83"/>
      <c r="H17582" s="83"/>
      <c r="K17582" s="82"/>
      <c r="M17582" s="112"/>
      <c r="N17582" s="84"/>
    </row>
    <row r="17583" spans="1:14" s="2" customFormat="1">
      <c r="A17583" s="83"/>
      <c r="H17583" s="83"/>
      <c r="K17583" s="82"/>
      <c r="M17583" s="112"/>
      <c r="N17583" s="84"/>
    </row>
    <row r="17584" spans="1:14" s="2" customFormat="1">
      <c r="A17584" s="83"/>
      <c r="H17584" s="83"/>
      <c r="K17584" s="82"/>
      <c r="M17584" s="112"/>
      <c r="N17584" s="84"/>
    </row>
    <row r="17585" spans="1:14" s="2" customFormat="1">
      <c r="A17585" s="83"/>
      <c r="H17585" s="83"/>
      <c r="K17585" s="82"/>
      <c r="M17585" s="112"/>
      <c r="N17585" s="84"/>
    </row>
    <row r="17586" spans="1:14" s="2" customFormat="1">
      <c r="A17586" s="83"/>
      <c r="H17586" s="83"/>
      <c r="K17586" s="82"/>
      <c r="M17586" s="112"/>
      <c r="N17586" s="84"/>
    </row>
    <row r="17587" spans="1:14" s="2" customFormat="1">
      <c r="A17587" s="83"/>
      <c r="H17587" s="83"/>
      <c r="K17587" s="82"/>
      <c r="M17587" s="112"/>
      <c r="N17587" s="84"/>
    </row>
    <row r="17588" spans="1:14" s="2" customFormat="1">
      <c r="A17588" s="83"/>
      <c r="H17588" s="83"/>
      <c r="K17588" s="82"/>
      <c r="M17588" s="112"/>
      <c r="N17588" s="84"/>
    </row>
    <row r="17589" spans="1:14" s="2" customFormat="1">
      <c r="A17589" s="83"/>
      <c r="H17589" s="83"/>
      <c r="K17589" s="82"/>
      <c r="M17589" s="112"/>
      <c r="N17589" s="84"/>
    </row>
    <row r="17590" spans="1:14" s="2" customFormat="1">
      <c r="A17590" s="83"/>
      <c r="H17590" s="83"/>
      <c r="K17590" s="82"/>
      <c r="M17590" s="112"/>
      <c r="N17590" s="84"/>
    </row>
    <row r="17591" spans="1:14" s="2" customFormat="1">
      <c r="A17591" s="83"/>
      <c r="H17591" s="83"/>
      <c r="K17591" s="82"/>
      <c r="M17591" s="112"/>
      <c r="N17591" s="84"/>
    </row>
    <row r="17592" spans="1:14" s="2" customFormat="1">
      <c r="A17592" s="83"/>
      <c r="H17592" s="83"/>
      <c r="K17592" s="82"/>
      <c r="M17592" s="112"/>
      <c r="N17592" s="84"/>
    </row>
    <row r="17593" spans="1:14" s="2" customFormat="1">
      <c r="A17593" s="83"/>
      <c r="H17593" s="83"/>
      <c r="K17593" s="82"/>
      <c r="M17593" s="112"/>
      <c r="N17593" s="84"/>
    </row>
    <row r="17594" spans="1:14" s="2" customFormat="1">
      <c r="A17594" s="83"/>
      <c r="H17594" s="83"/>
      <c r="K17594" s="82"/>
      <c r="M17594" s="112"/>
      <c r="N17594" s="84"/>
    </row>
    <row r="17595" spans="1:14" s="2" customFormat="1">
      <c r="A17595" s="83"/>
      <c r="H17595" s="83"/>
      <c r="K17595" s="82"/>
      <c r="M17595" s="112"/>
      <c r="N17595" s="84"/>
    </row>
    <row r="17596" spans="1:14" s="2" customFormat="1">
      <c r="A17596" s="83"/>
      <c r="H17596" s="83"/>
      <c r="K17596" s="82"/>
      <c r="M17596" s="112"/>
      <c r="N17596" s="84"/>
    </row>
    <row r="17597" spans="1:14" s="2" customFormat="1">
      <c r="A17597" s="83"/>
      <c r="H17597" s="83"/>
      <c r="K17597" s="82"/>
      <c r="M17597" s="112"/>
      <c r="N17597" s="84"/>
    </row>
    <row r="17598" spans="1:14" s="2" customFormat="1">
      <c r="A17598" s="83"/>
      <c r="H17598" s="83"/>
      <c r="K17598" s="82"/>
      <c r="M17598" s="112"/>
      <c r="N17598" s="84"/>
    </row>
    <row r="17599" spans="1:14" s="2" customFormat="1">
      <c r="A17599" s="83"/>
      <c r="H17599" s="83"/>
      <c r="K17599" s="82"/>
      <c r="M17599" s="112"/>
      <c r="N17599" s="84"/>
    </row>
    <row r="17600" spans="1:14" s="2" customFormat="1">
      <c r="A17600" s="83"/>
      <c r="H17600" s="83"/>
      <c r="K17600" s="82"/>
      <c r="M17600" s="112"/>
      <c r="N17600" s="84"/>
    </row>
    <row r="17601" spans="1:14" s="2" customFormat="1">
      <c r="A17601" s="83"/>
      <c r="H17601" s="83"/>
      <c r="K17601" s="82"/>
      <c r="M17601" s="112"/>
      <c r="N17601" s="84"/>
    </row>
    <row r="17602" spans="1:14" s="2" customFormat="1">
      <c r="A17602" s="83"/>
      <c r="H17602" s="83"/>
      <c r="K17602" s="82"/>
      <c r="M17602" s="112"/>
      <c r="N17602" s="84"/>
    </row>
    <row r="17603" spans="1:14" s="2" customFormat="1">
      <c r="A17603" s="83"/>
      <c r="H17603" s="83"/>
      <c r="K17603" s="82"/>
      <c r="M17603" s="112"/>
      <c r="N17603" s="84"/>
    </row>
    <row r="17604" spans="1:14" s="2" customFormat="1">
      <c r="A17604" s="83"/>
      <c r="H17604" s="83"/>
      <c r="K17604" s="82"/>
      <c r="M17604" s="112"/>
      <c r="N17604" s="84"/>
    </row>
    <row r="17605" spans="1:14" s="2" customFormat="1">
      <c r="A17605" s="83"/>
      <c r="H17605" s="83"/>
      <c r="K17605" s="82"/>
      <c r="M17605" s="112"/>
      <c r="N17605" s="84"/>
    </row>
    <row r="17606" spans="1:14" s="2" customFormat="1">
      <c r="A17606" s="83"/>
      <c r="H17606" s="83"/>
      <c r="K17606" s="82"/>
      <c r="M17606" s="112"/>
      <c r="N17606" s="84"/>
    </row>
    <row r="17607" spans="1:14" s="2" customFormat="1">
      <c r="A17607" s="83"/>
      <c r="H17607" s="83"/>
      <c r="K17607" s="82"/>
      <c r="M17607" s="112"/>
      <c r="N17607" s="84"/>
    </row>
    <row r="17608" spans="1:14" s="2" customFormat="1">
      <c r="A17608" s="83"/>
      <c r="H17608" s="83"/>
      <c r="K17608" s="82"/>
      <c r="M17608" s="112"/>
      <c r="N17608" s="84"/>
    </row>
    <row r="17609" spans="1:14" s="2" customFormat="1">
      <c r="A17609" s="83"/>
      <c r="H17609" s="83"/>
      <c r="K17609" s="82"/>
      <c r="M17609" s="112"/>
      <c r="N17609" s="84"/>
    </row>
    <row r="17610" spans="1:14" s="2" customFormat="1">
      <c r="A17610" s="83"/>
      <c r="H17610" s="83"/>
      <c r="K17610" s="82"/>
      <c r="M17610" s="112"/>
      <c r="N17610" s="84"/>
    </row>
    <row r="17611" spans="1:14" s="2" customFormat="1">
      <c r="A17611" s="83"/>
      <c r="H17611" s="83"/>
      <c r="K17611" s="82"/>
      <c r="M17611" s="112"/>
      <c r="N17611" s="84"/>
    </row>
    <row r="17612" spans="1:14" s="2" customFormat="1">
      <c r="A17612" s="83"/>
      <c r="H17612" s="83"/>
      <c r="K17612" s="82"/>
      <c r="M17612" s="112"/>
      <c r="N17612" s="84"/>
    </row>
    <row r="17613" spans="1:14" s="2" customFormat="1">
      <c r="A17613" s="83"/>
      <c r="H17613" s="83"/>
      <c r="K17613" s="82"/>
      <c r="M17613" s="112"/>
      <c r="N17613" s="84"/>
    </row>
    <row r="17614" spans="1:14" s="2" customFormat="1">
      <c r="A17614" s="83"/>
      <c r="H17614" s="83"/>
      <c r="K17614" s="82"/>
      <c r="M17614" s="112"/>
      <c r="N17614" s="84"/>
    </row>
    <row r="17615" spans="1:14" s="2" customFormat="1">
      <c r="A17615" s="83"/>
      <c r="H17615" s="83"/>
      <c r="K17615" s="82"/>
      <c r="M17615" s="112"/>
      <c r="N17615" s="84"/>
    </row>
    <row r="17616" spans="1:14" s="2" customFormat="1">
      <c r="A17616" s="83"/>
      <c r="H17616" s="83"/>
      <c r="K17616" s="82"/>
      <c r="M17616" s="112"/>
      <c r="N17616" s="84"/>
    </row>
    <row r="17617" spans="1:14" s="2" customFormat="1">
      <c r="A17617" s="83"/>
      <c r="H17617" s="83"/>
      <c r="K17617" s="82"/>
      <c r="M17617" s="112"/>
      <c r="N17617" s="84"/>
    </row>
    <row r="17618" spans="1:14" s="2" customFormat="1">
      <c r="A17618" s="83"/>
      <c r="H17618" s="83"/>
      <c r="K17618" s="82"/>
      <c r="M17618" s="112"/>
      <c r="N17618" s="84"/>
    </row>
    <row r="17619" spans="1:14" s="2" customFormat="1">
      <c r="A17619" s="83"/>
      <c r="H17619" s="83"/>
      <c r="K17619" s="82"/>
      <c r="M17619" s="112"/>
      <c r="N17619" s="84"/>
    </row>
    <row r="17620" spans="1:14" s="2" customFormat="1">
      <c r="A17620" s="83"/>
      <c r="H17620" s="83"/>
      <c r="K17620" s="82"/>
      <c r="M17620" s="112"/>
      <c r="N17620" s="84"/>
    </row>
    <row r="17621" spans="1:14" s="2" customFormat="1">
      <c r="A17621" s="83"/>
      <c r="H17621" s="83"/>
      <c r="K17621" s="82"/>
      <c r="M17621" s="112"/>
      <c r="N17621" s="84"/>
    </row>
    <row r="17622" spans="1:14" s="2" customFormat="1">
      <c r="A17622" s="83"/>
      <c r="H17622" s="83"/>
      <c r="K17622" s="82"/>
      <c r="M17622" s="112"/>
      <c r="N17622" s="84"/>
    </row>
    <row r="17623" spans="1:14" s="2" customFormat="1">
      <c r="A17623" s="83"/>
      <c r="H17623" s="83"/>
      <c r="K17623" s="82"/>
      <c r="M17623" s="112"/>
      <c r="N17623" s="84"/>
    </row>
    <row r="17624" spans="1:14" s="2" customFormat="1">
      <c r="A17624" s="83"/>
      <c r="H17624" s="83"/>
      <c r="K17624" s="82"/>
      <c r="M17624" s="112"/>
      <c r="N17624" s="84"/>
    </row>
    <row r="17625" spans="1:14" s="2" customFormat="1">
      <c r="A17625" s="83"/>
      <c r="H17625" s="83"/>
      <c r="K17625" s="82"/>
      <c r="M17625" s="112"/>
      <c r="N17625" s="84"/>
    </row>
    <row r="17626" spans="1:14" s="2" customFormat="1">
      <c r="A17626" s="83"/>
      <c r="H17626" s="83"/>
      <c r="K17626" s="82"/>
      <c r="M17626" s="112"/>
      <c r="N17626" s="84"/>
    </row>
    <row r="17627" spans="1:14" s="2" customFormat="1">
      <c r="A17627" s="83"/>
      <c r="H17627" s="83"/>
      <c r="K17627" s="82"/>
      <c r="M17627" s="112"/>
      <c r="N17627" s="84"/>
    </row>
    <row r="17628" spans="1:14" s="2" customFormat="1">
      <c r="A17628" s="83"/>
      <c r="H17628" s="83"/>
      <c r="K17628" s="82"/>
      <c r="M17628" s="112"/>
      <c r="N17628" s="84"/>
    </row>
    <row r="17629" spans="1:14" s="2" customFormat="1">
      <c r="A17629" s="83"/>
      <c r="H17629" s="83"/>
      <c r="K17629" s="82"/>
      <c r="M17629" s="112"/>
      <c r="N17629" s="84"/>
    </row>
    <row r="17630" spans="1:14" s="2" customFormat="1">
      <c r="A17630" s="83"/>
      <c r="H17630" s="83"/>
      <c r="K17630" s="82"/>
      <c r="M17630" s="112"/>
      <c r="N17630" s="84"/>
    </row>
    <row r="17631" spans="1:14" s="2" customFormat="1">
      <c r="A17631" s="83"/>
      <c r="H17631" s="83"/>
      <c r="K17631" s="82"/>
      <c r="M17631" s="112"/>
      <c r="N17631" s="84"/>
    </row>
    <row r="17632" spans="1:14" s="2" customFormat="1">
      <c r="A17632" s="83"/>
      <c r="H17632" s="83"/>
      <c r="K17632" s="82"/>
      <c r="M17632" s="112"/>
      <c r="N17632" s="84"/>
    </row>
    <row r="17633" spans="1:14" s="2" customFormat="1">
      <c r="A17633" s="83"/>
      <c r="H17633" s="83"/>
      <c r="K17633" s="82"/>
      <c r="M17633" s="112"/>
      <c r="N17633" s="84"/>
    </row>
    <row r="17634" spans="1:14" s="2" customFormat="1">
      <c r="A17634" s="83"/>
      <c r="H17634" s="83"/>
      <c r="K17634" s="82"/>
      <c r="M17634" s="112"/>
      <c r="N17634" s="84"/>
    </row>
    <row r="17635" spans="1:14" s="2" customFormat="1">
      <c r="A17635" s="83"/>
      <c r="H17635" s="83"/>
      <c r="K17635" s="82"/>
      <c r="M17635" s="112"/>
      <c r="N17635" s="84"/>
    </row>
    <row r="17636" spans="1:14" s="2" customFormat="1">
      <c r="A17636" s="83"/>
      <c r="H17636" s="83"/>
      <c r="K17636" s="82"/>
      <c r="M17636" s="112"/>
      <c r="N17636" s="84"/>
    </row>
    <row r="17637" spans="1:14" s="2" customFormat="1">
      <c r="A17637" s="83"/>
      <c r="H17637" s="83"/>
      <c r="K17637" s="82"/>
      <c r="M17637" s="112"/>
      <c r="N17637" s="84"/>
    </row>
    <row r="17638" spans="1:14" s="2" customFormat="1">
      <c r="A17638" s="83"/>
      <c r="H17638" s="83"/>
      <c r="K17638" s="82"/>
      <c r="M17638" s="112"/>
      <c r="N17638" s="84"/>
    </row>
    <row r="17639" spans="1:14" s="2" customFormat="1">
      <c r="A17639" s="83"/>
      <c r="H17639" s="83"/>
      <c r="K17639" s="82"/>
      <c r="M17639" s="112"/>
      <c r="N17639" s="84"/>
    </row>
    <row r="17640" spans="1:14" s="2" customFormat="1">
      <c r="A17640" s="83"/>
      <c r="H17640" s="83"/>
      <c r="K17640" s="82"/>
      <c r="M17640" s="112"/>
      <c r="N17640" s="84"/>
    </row>
    <row r="17641" spans="1:14" s="2" customFormat="1">
      <c r="A17641" s="83"/>
      <c r="H17641" s="83"/>
      <c r="K17641" s="82"/>
      <c r="M17641" s="112"/>
      <c r="N17641" s="84"/>
    </row>
    <row r="17642" spans="1:14" s="2" customFormat="1">
      <c r="A17642" s="83"/>
      <c r="H17642" s="83"/>
      <c r="K17642" s="82"/>
      <c r="M17642" s="112"/>
      <c r="N17642" s="84"/>
    </row>
    <row r="17643" spans="1:14" s="2" customFormat="1">
      <c r="A17643" s="83"/>
      <c r="H17643" s="83"/>
      <c r="K17643" s="82"/>
      <c r="M17643" s="112"/>
      <c r="N17643" s="84"/>
    </row>
    <row r="17644" spans="1:14" s="2" customFormat="1">
      <c r="A17644" s="83"/>
      <c r="H17644" s="83"/>
      <c r="K17644" s="82"/>
      <c r="M17644" s="112"/>
      <c r="N17644" s="84"/>
    </row>
    <row r="17645" spans="1:14" s="2" customFormat="1">
      <c r="A17645" s="83"/>
      <c r="H17645" s="83"/>
      <c r="K17645" s="82"/>
      <c r="M17645" s="112"/>
      <c r="N17645" s="84"/>
    </row>
    <row r="17646" spans="1:14" s="2" customFormat="1">
      <c r="A17646" s="83"/>
      <c r="H17646" s="83"/>
      <c r="K17646" s="82"/>
      <c r="M17646" s="112"/>
      <c r="N17646" s="84"/>
    </row>
    <row r="17647" spans="1:14" s="2" customFormat="1">
      <c r="A17647" s="83"/>
      <c r="H17647" s="83"/>
      <c r="K17647" s="82"/>
      <c r="M17647" s="112"/>
      <c r="N17647" s="84"/>
    </row>
    <row r="17648" spans="1:14" s="2" customFormat="1">
      <c r="A17648" s="83"/>
      <c r="H17648" s="83"/>
      <c r="K17648" s="82"/>
      <c r="M17648" s="112"/>
      <c r="N17648" s="84"/>
    </row>
    <row r="17649" spans="1:14" s="2" customFormat="1">
      <c r="A17649" s="83"/>
      <c r="H17649" s="83"/>
      <c r="K17649" s="82"/>
      <c r="M17649" s="112"/>
      <c r="N17649" s="84"/>
    </row>
    <row r="17650" spans="1:14" s="2" customFormat="1">
      <c r="A17650" s="83"/>
      <c r="H17650" s="83"/>
      <c r="K17650" s="82"/>
      <c r="M17650" s="112"/>
      <c r="N17650" s="84"/>
    </row>
    <row r="17651" spans="1:14" s="2" customFormat="1">
      <c r="A17651" s="83"/>
      <c r="H17651" s="83"/>
      <c r="K17651" s="82"/>
      <c r="M17651" s="112"/>
      <c r="N17651" s="84"/>
    </row>
    <row r="17652" spans="1:14" s="2" customFormat="1">
      <c r="A17652" s="83"/>
      <c r="H17652" s="83"/>
      <c r="K17652" s="82"/>
      <c r="M17652" s="112"/>
      <c r="N17652" s="84"/>
    </row>
    <row r="17653" spans="1:14" s="2" customFormat="1">
      <c r="A17653" s="83"/>
      <c r="H17653" s="83"/>
      <c r="K17653" s="82"/>
      <c r="M17653" s="112"/>
      <c r="N17653" s="84"/>
    </row>
    <row r="17654" spans="1:14" s="2" customFormat="1">
      <c r="A17654" s="83"/>
      <c r="H17654" s="83"/>
      <c r="K17654" s="82"/>
      <c r="M17654" s="112"/>
      <c r="N17654" s="84"/>
    </row>
    <row r="17655" spans="1:14" s="2" customFormat="1">
      <c r="A17655" s="83"/>
      <c r="H17655" s="83"/>
      <c r="K17655" s="82"/>
      <c r="M17655" s="112"/>
      <c r="N17655" s="84"/>
    </row>
    <row r="17656" spans="1:14" s="2" customFormat="1">
      <c r="A17656" s="83"/>
      <c r="H17656" s="83"/>
      <c r="K17656" s="82"/>
      <c r="M17656" s="112"/>
      <c r="N17656" s="84"/>
    </row>
    <row r="17657" spans="1:14" s="2" customFormat="1">
      <c r="A17657" s="83"/>
      <c r="H17657" s="83"/>
      <c r="K17657" s="82"/>
      <c r="M17657" s="112"/>
      <c r="N17657" s="84"/>
    </row>
    <row r="17658" spans="1:14" s="2" customFormat="1">
      <c r="A17658" s="83"/>
      <c r="H17658" s="83"/>
      <c r="K17658" s="82"/>
      <c r="M17658" s="112"/>
      <c r="N17658" s="84"/>
    </row>
    <row r="17659" spans="1:14" s="2" customFormat="1">
      <c r="A17659" s="83"/>
      <c r="H17659" s="83"/>
      <c r="K17659" s="82"/>
      <c r="M17659" s="112"/>
      <c r="N17659" s="84"/>
    </row>
    <row r="17660" spans="1:14" s="2" customFormat="1">
      <c r="A17660" s="83"/>
      <c r="H17660" s="83"/>
      <c r="K17660" s="82"/>
      <c r="M17660" s="112"/>
      <c r="N17660" s="84"/>
    </row>
    <row r="17661" spans="1:14" s="2" customFormat="1">
      <c r="A17661" s="83"/>
      <c r="H17661" s="83"/>
      <c r="K17661" s="82"/>
      <c r="M17661" s="112"/>
      <c r="N17661" s="84"/>
    </row>
    <row r="17662" spans="1:14" s="2" customFormat="1">
      <c r="A17662" s="83"/>
      <c r="H17662" s="83"/>
      <c r="K17662" s="82"/>
      <c r="M17662" s="112"/>
      <c r="N17662" s="84"/>
    </row>
    <row r="17663" spans="1:14" s="2" customFormat="1">
      <c r="A17663" s="83"/>
      <c r="H17663" s="83"/>
      <c r="K17663" s="82"/>
      <c r="M17663" s="112"/>
      <c r="N17663" s="84"/>
    </row>
    <row r="17664" spans="1:14" s="2" customFormat="1">
      <c r="A17664" s="83"/>
      <c r="H17664" s="83"/>
      <c r="K17664" s="82"/>
      <c r="M17664" s="112"/>
      <c r="N17664" s="84"/>
    </row>
    <row r="17665" spans="1:14" s="2" customFormat="1">
      <c r="A17665" s="83"/>
      <c r="H17665" s="83"/>
      <c r="K17665" s="82"/>
      <c r="M17665" s="112"/>
      <c r="N17665" s="84"/>
    </row>
    <row r="17666" spans="1:14" s="2" customFormat="1">
      <c r="A17666" s="83"/>
      <c r="H17666" s="83"/>
      <c r="K17666" s="82"/>
      <c r="M17666" s="112"/>
      <c r="N17666" s="84"/>
    </row>
    <row r="17667" spans="1:14" s="2" customFormat="1">
      <c r="A17667" s="83"/>
      <c r="H17667" s="83"/>
      <c r="K17667" s="82"/>
      <c r="M17667" s="112"/>
      <c r="N17667" s="84"/>
    </row>
    <row r="17668" spans="1:14" s="2" customFormat="1">
      <c r="A17668" s="83"/>
      <c r="H17668" s="83"/>
      <c r="K17668" s="82"/>
      <c r="M17668" s="112"/>
      <c r="N17668" s="84"/>
    </row>
    <row r="17669" spans="1:14" s="2" customFormat="1">
      <c r="A17669" s="83"/>
      <c r="H17669" s="83"/>
      <c r="K17669" s="82"/>
      <c r="M17669" s="112"/>
      <c r="N17669" s="84"/>
    </row>
    <row r="17670" spans="1:14" s="2" customFormat="1">
      <c r="A17670" s="83"/>
      <c r="H17670" s="83"/>
      <c r="K17670" s="82"/>
      <c r="M17670" s="112"/>
      <c r="N17670" s="84"/>
    </row>
    <row r="17671" spans="1:14" s="2" customFormat="1">
      <c r="A17671" s="83"/>
      <c r="H17671" s="83"/>
      <c r="K17671" s="82"/>
      <c r="M17671" s="112"/>
      <c r="N17671" s="84"/>
    </row>
    <row r="17672" spans="1:14" s="2" customFormat="1">
      <c r="A17672" s="83"/>
      <c r="H17672" s="83"/>
      <c r="K17672" s="82"/>
      <c r="M17672" s="112"/>
      <c r="N17672" s="84"/>
    </row>
    <row r="17673" spans="1:14" s="2" customFormat="1">
      <c r="A17673" s="83"/>
      <c r="H17673" s="83"/>
      <c r="K17673" s="82"/>
      <c r="M17673" s="112"/>
      <c r="N17673" s="84"/>
    </row>
    <row r="17674" spans="1:14" s="2" customFormat="1">
      <c r="A17674" s="83"/>
      <c r="H17674" s="83"/>
      <c r="K17674" s="82"/>
      <c r="M17674" s="112"/>
      <c r="N17674" s="84"/>
    </row>
    <row r="17675" spans="1:14" s="2" customFormat="1">
      <c r="A17675" s="83"/>
      <c r="H17675" s="83"/>
      <c r="K17675" s="82"/>
      <c r="M17675" s="112"/>
      <c r="N17675" s="84"/>
    </row>
    <row r="17676" spans="1:14" s="2" customFormat="1">
      <c r="A17676" s="83"/>
      <c r="H17676" s="83"/>
      <c r="K17676" s="82"/>
      <c r="M17676" s="112"/>
      <c r="N17676" s="84"/>
    </row>
    <row r="17677" spans="1:14" s="2" customFormat="1">
      <c r="A17677" s="83"/>
      <c r="H17677" s="83"/>
      <c r="K17677" s="82"/>
      <c r="M17677" s="112"/>
      <c r="N17677" s="84"/>
    </row>
    <row r="17678" spans="1:14" s="2" customFormat="1">
      <c r="A17678" s="83"/>
      <c r="H17678" s="83"/>
      <c r="K17678" s="82"/>
      <c r="M17678" s="112"/>
      <c r="N17678" s="84"/>
    </row>
    <row r="17679" spans="1:14" s="2" customFormat="1">
      <c r="A17679" s="83"/>
      <c r="H17679" s="83"/>
      <c r="K17679" s="82"/>
      <c r="M17679" s="112"/>
      <c r="N17679" s="84"/>
    </row>
    <row r="17680" spans="1:14" s="2" customFormat="1">
      <c r="A17680" s="83"/>
      <c r="H17680" s="83"/>
      <c r="K17680" s="82"/>
      <c r="M17680" s="112"/>
      <c r="N17680" s="84"/>
    </row>
    <row r="17681" spans="1:14" s="2" customFormat="1">
      <c r="A17681" s="83"/>
      <c r="H17681" s="83"/>
      <c r="K17681" s="82"/>
      <c r="M17681" s="112"/>
      <c r="N17681" s="84"/>
    </row>
    <row r="17682" spans="1:14" s="2" customFormat="1">
      <c r="A17682" s="83"/>
      <c r="H17682" s="83"/>
      <c r="K17682" s="82"/>
      <c r="M17682" s="112"/>
      <c r="N17682" s="84"/>
    </row>
    <row r="17683" spans="1:14" s="2" customFormat="1">
      <c r="A17683" s="83"/>
      <c r="H17683" s="83"/>
      <c r="K17683" s="82"/>
      <c r="M17683" s="112"/>
      <c r="N17683" s="84"/>
    </row>
    <row r="17684" spans="1:14" s="2" customFormat="1">
      <c r="A17684" s="83"/>
      <c r="H17684" s="83"/>
      <c r="K17684" s="82"/>
      <c r="M17684" s="112"/>
      <c r="N17684" s="84"/>
    </row>
    <row r="17685" spans="1:14" s="2" customFormat="1">
      <c r="A17685" s="83"/>
      <c r="H17685" s="83"/>
      <c r="K17685" s="82"/>
      <c r="M17685" s="112"/>
      <c r="N17685" s="84"/>
    </row>
    <row r="17686" spans="1:14" s="2" customFormat="1">
      <c r="A17686" s="83"/>
      <c r="H17686" s="83"/>
      <c r="K17686" s="82"/>
      <c r="M17686" s="112"/>
      <c r="N17686" s="84"/>
    </row>
    <row r="17687" spans="1:14" s="2" customFormat="1">
      <c r="A17687" s="83"/>
      <c r="H17687" s="83"/>
      <c r="K17687" s="82"/>
      <c r="M17687" s="112"/>
      <c r="N17687" s="84"/>
    </row>
    <row r="17688" spans="1:14" s="2" customFormat="1">
      <c r="A17688" s="83"/>
      <c r="H17688" s="83"/>
      <c r="K17688" s="82"/>
      <c r="M17688" s="112"/>
      <c r="N17688" s="84"/>
    </row>
    <row r="17689" spans="1:14" s="2" customFormat="1">
      <c r="A17689" s="83"/>
      <c r="H17689" s="83"/>
      <c r="K17689" s="82"/>
      <c r="M17689" s="112"/>
      <c r="N17689" s="84"/>
    </row>
    <row r="17690" spans="1:14" s="2" customFormat="1">
      <c r="A17690" s="83"/>
      <c r="H17690" s="83"/>
      <c r="K17690" s="82"/>
      <c r="M17690" s="112"/>
      <c r="N17690" s="84"/>
    </row>
    <row r="17691" spans="1:14" s="2" customFormat="1">
      <c r="A17691" s="83"/>
      <c r="H17691" s="83"/>
      <c r="K17691" s="82"/>
      <c r="M17691" s="112"/>
      <c r="N17691" s="84"/>
    </row>
    <row r="17692" spans="1:14" s="2" customFormat="1">
      <c r="A17692" s="83"/>
      <c r="H17692" s="83"/>
      <c r="K17692" s="82"/>
      <c r="M17692" s="112"/>
      <c r="N17692" s="84"/>
    </row>
    <row r="17693" spans="1:14" s="2" customFormat="1">
      <c r="A17693" s="83"/>
      <c r="H17693" s="83"/>
      <c r="K17693" s="82"/>
      <c r="M17693" s="112"/>
      <c r="N17693" s="84"/>
    </row>
    <row r="17694" spans="1:14" s="2" customFormat="1">
      <c r="A17694" s="83"/>
      <c r="H17694" s="83"/>
      <c r="K17694" s="82"/>
      <c r="M17694" s="112"/>
      <c r="N17694" s="84"/>
    </row>
    <row r="17695" spans="1:14" s="2" customFormat="1">
      <c r="A17695" s="83"/>
      <c r="H17695" s="83"/>
      <c r="K17695" s="82"/>
      <c r="M17695" s="112"/>
      <c r="N17695" s="84"/>
    </row>
    <row r="17696" spans="1:14" s="2" customFormat="1">
      <c r="A17696" s="83"/>
      <c r="H17696" s="83"/>
      <c r="K17696" s="82"/>
      <c r="M17696" s="112"/>
      <c r="N17696" s="84"/>
    </row>
    <row r="17697" spans="1:14" s="2" customFormat="1">
      <c r="A17697" s="83"/>
      <c r="H17697" s="83"/>
      <c r="K17697" s="82"/>
      <c r="M17697" s="112"/>
      <c r="N17697" s="84"/>
    </row>
    <row r="17698" spans="1:14" s="2" customFormat="1">
      <c r="A17698" s="83"/>
      <c r="H17698" s="83"/>
      <c r="K17698" s="82"/>
      <c r="M17698" s="112"/>
      <c r="N17698" s="84"/>
    </row>
    <row r="17699" spans="1:14" s="2" customFormat="1">
      <c r="A17699" s="83"/>
      <c r="H17699" s="83"/>
      <c r="K17699" s="82"/>
      <c r="M17699" s="112"/>
      <c r="N17699" s="84"/>
    </row>
    <row r="17700" spans="1:14" s="2" customFormat="1">
      <c r="A17700" s="83"/>
      <c r="H17700" s="83"/>
      <c r="K17700" s="82"/>
      <c r="M17700" s="112"/>
      <c r="N17700" s="84"/>
    </row>
    <row r="17701" spans="1:14" s="2" customFormat="1">
      <c r="A17701" s="83"/>
      <c r="H17701" s="83"/>
      <c r="K17701" s="82"/>
      <c r="M17701" s="112"/>
      <c r="N17701" s="84"/>
    </row>
    <row r="17702" spans="1:14" s="2" customFormat="1">
      <c r="A17702" s="83"/>
      <c r="H17702" s="83"/>
      <c r="K17702" s="82"/>
      <c r="M17702" s="112"/>
      <c r="N17702" s="84"/>
    </row>
    <row r="17703" spans="1:14" s="2" customFormat="1">
      <c r="A17703" s="83"/>
      <c r="H17703" s="83"/>
      <c r="K17703" s="82"/>
      <c r="M17703" s="112"/>
      <c r="N17703" s="84"/>
    </row>
    <row r="17704" spans="1:14" s="2" customFormat="1">
      <c r="A17704" s="83"/>
      <c r="H17704" s="83"/>
      <c r="K17704" s="82"/>
      <c r="M17704" s="112"/>
      <c r="N17704" s="84"/>
    </row>
    <row r="17705" spans="1:14" s="2" customFormat="1">
      <c r="A17705" s="83"/>
      <c r="H17705" s="83"/>
      <c r="K17705" s="82"/>
      <c r="M17705" s="112"/>
      <c r="N17705" s="84"/>
    </row>
    <row r="17706" spans="1:14" s="2" customFormat="1">
      <c r="A17706" s="83"/>
      <c r="H17706" s="83"/>
      <c r="K17706" s="82"/>
      <c r="M17706" s="112"/>
      <c r="N17706" s="84"/>
    </row>
    <row r="17707" spans="1:14" s="2" customFormat="1">
      <c r="A17707" s="83"/>
      <c r="H17707" s="83"/>
      <c r="K17707" s="82"/>
      <c r="M17707" s="112"/>
      <c r="N17707" s="84"/>
    </row>
    <row r="17708" spans="1:14" s="2" customFormat="1">
      <c r="A17708" s="83"/>
      <c r="H17708" s="83"/>
      <c r="K17708" s="82"/>
      <c r="M17708" s="112"/>
      <c r="N17708" s="84"/>
    </row>
    <row r="17709" spans="1:14" s="2" customFormat="1">
      <c r="A17709" s="83"/>
      <c r="H17709" s="83"/>
      <c r="K17709" s="82"/>
      <c r="M17709" s="112"/>
      <c r="N17709" s="84"/>
    </row>
    <row r="17710" spans="1:14" s="2" customFormat="1">
      <c r="A17710" s="83"/>
      <c r="H17710" s="83"/>
      <c r="K17710" s="82"/>
      <c r="M17710" s="112"/>
      <c r="N17710" s="84"/>
    </row>
    <row r="17711" spans="1:14" s="2" customFormat="1">
      <c r="A17711" s="83"/>
      <c r="H17711" s="83"/>
      <c r="K17711" s="82"/>
      <c r="M17711" s="112"/>
      <c r="N17711" s="84"/>
    </row>
    <row r="17712" spans="1:14" s="2" customFormat="1">
      <c r="A17712" s="83"/>
      <c r="H17712" s="83"/>
      <c r="K17712" s="82"/>
      <c r="M17712" s="112"/>
      <c r="N17712" s="84"/>
    </row>
    <row r="17713" spans="1:14" s="2" customFormat="1">
      <c r="A17713" s="83"/>
      <c r="H17713" s="83"/>
      <c r="K17713" s="82"/>
      <c r="M17713" s="112"/>
      <c r="N17713" s="84"/>
    </row>
    <row r="17714" spans="1:14" s="2" customFormat="1">
      <c r="A17714" s="83"/>
      <c r="H17714" s="83"/>
      <c r="K17714" s="82"/>
      <c r="M17714" s="112"/>
      <c r="N17714" s="84"/>
    </row>
    <row r="17715" spans="1:14" s="2" customFormat="1">
      <c r="A17715" s="83"/>
      <c r="H17715" s="83"/>
      <c r="K17715" s="82"/>
      <c r="M17715" s="112"/>
      <c r="N17715" s="84"/>
    </row>
    <row r="17716" spans="1:14" s="2" customFormat="1">
      <c r="A17716" s="83"/>
      <c r="H17716" s="83"/>
      <c r="K17716" s="82"/>
      <c r="M17716" s="112"/>
      <c r="N17716" s="84"/>
    </row>
    <row r="17717" spans="1:14" s="2" customFormat="1">
      <c r="A17717" s="83"/>
      <c r="H17717" s="83"/>
      <c r="K17717" s="82"/>
      <c r="M17717" s="112"/>
      <c r="N17717" s="84"/>
    </row>
    <row r="17718" spans="1:14" s="2" customFormat="1">
      <c r="A17718" s="83"/>
      <c r="H17718" s="83"/>
      <c r="K17718" s="82"/>
      <c r="M17718" s="112"/>
      <c r="N17718" s="84"/>
    </row>
    <row r="17719" spans="1:14" s="2" customFormat="1">
      <c r="A17719" s="83"/>
      <c r="H17719" s="83"/>
      <c r="K17719" s="82"/>
      <c r="M17719" s="112"/>
      <c r="N17719" s="84"/>
    </row>
    <row r="17720" spans="1:14" s="2" customFormat="1">
      <c r="A17720" s="83"/>
      <c r="H17720" s="83"/>
      <c r="K17720" s="82"/>
      <c r="M17720" s="112"/>
      <c r="N17720" s="84"/>
    </row>
    <row r="17721" spans="1:14" s="2" customFormat="1">
      <c r="A17721" s="83"/>
      <c r="H17721" s="83"/>
      <c r="K17721" s="82"/>
      <c r="M17721" s="112"/>
      <c r="N17721" s="84"/>
    </row>
    <row r="17722" spans="1:14" s="2" customFormat="1">
      <c r="A17722" s="83"/>
      <c r="H17722" s="83"/>
      <c r="K17722" s="82"/>
      <c r="M17722" s="112"/>
      <c r="N17722" s="84"/>
    </row>
    <row r="17723" spans="1:14" s="2" customFormat="1">
      <c r="A17723" s="83"/>
      <c r="H17723" s="83"/>
      <c r="K17723" s="82"/>
      <c r="M17723" s="112"/>
      <c r="N17723" s="84"/>
    </row>
    <row r="17724" spans="1:14" s="2" customFormat="1">
      <c r="A17724" s="83"/>
      <c r="H17724" s="83"/>
      <c r="K17724" s="82"/>
      <c r="M17724" s="112"/>
      <c r="N17724" s="84"/>
    </row>
    <row r="17725" spans="1:14" s="2" customFormat="1">
      <c r="A17725" s="83"/>
      <c r="H17725" s="83"/>
      <c r="K17725" s="82"/>
      <c r="M17725" s="112"/>
      <c r="N17725" s="84"/>
    </row>
    <row r="17726" spans="1:14" s="2" customFormat="1">
      <c r="A17726" s="83"/>
      <c r="H17726" s="83"/>
      <c r="K17726" s="82"/>
      <c r="M17726" s="112"/>
      <c r="N17726" s="84"/>
    </row>
    <row r="17727" spans="1:14" s="2" customFormat="1">
      <c r="A17727" s="83"/>
      <c r="H17727" s="83"/>
      <c r="K17727" s="82"/>
      <c r="M17727" s="112"/>
      <c r="N17727" s="84"/>
    </row>
    <row r="17728" spans="1:14" s="2" customFormat="1">
      <c r="A17728" s="83"/>
      <c r="H17728" s="83"/>
      <c r="K17728" s="82"/>
      <c r="M17728" s="112"/>
      <c r="N17728" s="84"/>
    </row>
    <row r="17729" spans="1:14" s="2" customFormat="1">
      <c r="A17729" s="83"/>
      <c r="H17729" s="83"/>
      <c r="K17729" s="82"/>
      <c r="M17729" s="112"/>
      <c r="N17729" s="84"/>
    </row>
    <row r="17730" spans="1:14" s="2" customFormat="1">
      <c r="A17730" s="83"/>
      <c r="H17730" s="83"/>
      <c r="K17730" s="82"/>
      <c r="M17730" s="112"/>
      <c r="N17730" s="84"/>
    </row>
    <row r="17731" spans="1:14" s="2" customFormat="1">
      <c r="A17731" s="83"/>
      <c r="H17731" s="83"/>
      <c r="K17731" s="82"/>
      <c r="M17731" s="112"/>
      <c r="N17731" s="84"/>
    </row>
    <row r="17732" spans="1:14" s="2" customFormat="1">
      <c r="A17732" s="83"/>
      <c r="H17732" s="83"/>
      <c r="K17732" s="82"/>
      <c r="M17732" s="112"/>
      <c r="N17732" s="84"/>
    </row>
    <row r="17733" spans="1:14" s="2" customFormat="1">
      <c r="A17733" s="83"/>
      <c r="H17733" s="83"/>
      <c r="K17733" s="82"/>
      <c r="M17733" s="112"/>
      <c r="N17733" s="84"/>
    </row>
    <row r="17734" spans="1:14" s="2" customFormat="1">
      <c r="A17734" s="83"/>
      <c r="H17734" s="83"/>
      <c r="K17734" s="82"/>
      <c r="M17734" s="112"/>
      <c r="N17734" s="84"/>
    </row>
    <row r="17735" spans="1:14" s="2" customFormat="1">
      <c r="A17735" s="83"/>
      <c r="H17735" s="83"/>
      <c r="K17735" s="82"/>
      <c r="M17735" s="112"/>
      <c r="N17735" s="84"/>
    </row>
    <row r="17736" spans="1:14" s="2" customFormat="1">
      <c r="A17736" s="83"/>
      <c r="H17736" s="83"/>
      <c r="K17736" s="82"/>
      <c r="M17736" s="112"/>
      <c r="N17736" s="84"/>
    </row>
    <row r="17737" spans="1:14" s="2" customFormat="1">
      <c r="A17737" s="83"/>
      <c r="H17737" s="83"/>
      <c r="K17737" s="82"/>
      <c r="M17737" s="112"/>
      <c r="N17737" s="84"/>
    </row>
    <row r="17738" spans="1:14" s="2" customFormat="1">
      <c r="A17738" s="83"/>
      <c r="H17738" s="83"/>
      <c r="K17738" s="82"/>
      <c r="M17738" s="112"/>
      <c r="N17738" s="84"/>
    </row>
    <row r="17739" spans="1:14" s="2" customFormat="1">
      <c r="A17739" s="83"/>
      <c r="H17739" s="83"/>
      <c r="K17739" s="82"/>
      <c r="M17739" s="112"/>
      <c r="N17739" s="84"/>
    </row>
    <row r="17740" spans="1:14" s="2" customFormat="1">
      <c r="A17740" s="83"/>
      <c r="H17740" s="83"/>
      <c r="K17740" s="82"/>
      <c r="M17740" s="112"/>
      <c r="N17740" s="84"/>
    </row>
    <row r="17741" spans="1:14" s="2" customFormat="1">
      <c r="A17741" s="83"/>
      <c r="H17741" s="83"/>
      <c r="K17741" s="82"/>
      <c r="M17741" s="112"/>
      <c r="N17741" s="84"/>
    </row>
    <row r="17742" spans="1:14" s="2" customFormat="1">
      <c r="A17742" s="83"/>
      <c r="H17742" s="83"/>
      <c r="K17742" s="82"/>
      <c r="M17742" s="112"/>
      <c r="N17742" s="84"/>
    </row>
    <row r="17743" spans="1:14" s="2" customFormat="1">
      <c r="A17743" s="83"/>
      <c r="H17743" s="83"/>
      <c r="K17743" s="82"/>
      <c r="M17743" s="112"/>
      <c r="N17743" s="84"/>
    </row>
    <row r="17744" spans="1:14" s="2" customFormat="1">
      <c r="A17744" s="83"/>
      <c r="H17744" s="83"/>
      <c r="K17744" s="82"/>
      <c r="M17744" s="112"/>
      <c r="N17744" s="84"/>
    </row>
    <row r="17745" spans="1:14" s="2" customFormat="1">
      <c r="A17745" s="83"/>
      <c r="H17745" s="83"/>
      <c r="K17745" s="82"/>
      <c r="M17745" s="112"/>
      <c r="N17745" s="84"/>
    </row>
    <row r="17746" spans="1:14" s="2" customFormat="1">
      <c r="A17746" s="83"/>
      <c r="H17746" s="83"/>
      <c r="K17746" s="82"/>
      <c r="M17746" s="112"/>
      <c r="N17746" s="84"/>
    </row>
    <row r="17747" spans="1:14" s="2" customFormat="1">
      <c r="A17747" s="83"/>
      <c r="H17747" s="83"/>
      <c r="K17747" s="82"/>
      <c r="M17747" s="112"/>
      <c r="N17747" s="84"/>
    </row>
    <row r="17748" spans="1:14" s="2" customFormat="1">
      <c r="A17748" s="83"/>
      <c r="H17748" s="83"/>
      <c r="K17748" s="82"/>
      <c r="M17748" s="112"/>
      <c r="N17748" s="84"/>
    </row>
    <row r="17749" spans="1:14" s="2" customFormat="1">
      <c r="A17749" s="83"/>
      <c r="H17749" s="83"/>
      <c r="K17749" s="82"/>
      <c r="M17749" s="112"/>
      <c r="N17749" s="84"/>
    </row>
    <row r="17750" spans="1:14" s="2" customFormat="1">
      <c r="A17750" s="83"/>
      <c r="H17750" s="83"/>
      <c r="K17750" s="82"/>
      <c r="M17750" s="112"/>
      <c r="N17750" s="84"/>
    </row>
    <row r="17751" spans="1:14" s="2" customFormat="1">
      <c r="A17751" s="83"/>
      <c r="H17751" s="83"/>
      <c r="K17751" s="82"/>
      <c r="M17751" s="112"/>
      <c r="N17751" s="84"/>
    </row>
    <row r="17752" spans="1:14" s="2" customFormat="1">
      <c r="A17752" s="83"/>
      <c r="H17752" s="83"/>
      <c r="K17752" s="82"/>
      <c r="M17752" s="112"/>
      <c r="N17752" s="84"/>
    </row>
    <row r="17753" spans="1:14" s="2" customFormat="1">
      <c r="A17753" s="83"/>
      <c r="H17753" s="83"/>
      <c r="K17753" s="82"/>
      <c r="M17753" s="112"/>
      <c r="N17753" s="84"/>
    </row>
    <row r="17754" spans="1:14" s="2" customFormat="1">
      <c r="A17754" s="83"/>
      <c r="H17754" s="83"/>
      <c r="K17754" s="82"/>
      <c r="M17754" s="112"/>
      <c r="N17754" s="84"/>
    </row>
    <row r="17755" spans="1:14" s="2" customFormat="1">
      <c r="A17755" s="83"/>
      <c r="H17755" s="83"/>
      <c r="K17755" s="82"/>
      <c r="M17755" s="112"/>
      <c r="N17755" s="84"/>
    </row>
    <row r="17756" spans="1:14" s="2" customFormat="1">
      <c r="A17756" s="83"/>
      <c r="H17756" s="83"/>
      <c r="K17756" s="82"/>
      <c r="M17756" s="112"/>
      <c r="N17756" s="84"/>
    </row>
    <row r="17757" spans="1:14" s="2" customFormat="1">
      <c r="A17757" s="83"/>
      <c r="H17757" s="83"/>
      <c r="K17757" s="82"/>
      <c r="M17757" s="112"/>
      <c r="N17757" s="84"/>
    </row>
    <row r="17758" spans="1:14" s="2" customFormat="1">
      <c r="A17758" s="83"/>
      <c r="H17758" s="83"/>
      <c r="K17758" s="82"/>
      <c r="M17758" s="112"/>
      <c r="N17758" s="84"/>
    </row>
    <row r="17759" spans="1:14" s="2" customFormat="1">
      <c r="A17759" s="83"/>
      <c r="H17759" s="83"/>
      <c r="K17759" s="82"/>
      <c r="M17759" s="112"/>
      <c r="N17759" s="84"/>
    </row>
    <row r="17760" spans="1:14" s="2" customFormat="1">
      <c r="A17760" s="83"/>
      <c r="H17760" s="83"/>
      <c r="K17760" s="82"/>
      <c r="M17760" s="112"/>
      <c r="N17760" s="84"/>
    </row>
    <row r="17761" spans="1:14" s="2" customFormat="1">
      <c r="A17761" s="83"/>
      <c r="H17761" s="83"/>
      <c r="K17761" s="82"/>
      <c r="M17761" s="112"/>
      <c r="N17761" s="84"/>
    </row>
    <row r="17762" spans="1:14" s="2" customFormat="1">
      <c r="A17762" s="83"/>
      <c r="H17762" s="83"/>
      <c r="K17762" s="82"/>
      <c r="M17762" s="112"/>
      <c r="N17762" s="84"/>
    </row>
    <row r="17763" spans="1:14" s="2" customFormat="1">
      <c r="A17763" s="83"/>
      <c r="H17763" s="83"/>
      <c r="K17763" s="82"/>
      <c r="M17763" s="112"/>
      <c r="N17763" s="84"/>
    </row>
    <row r="17764" spans="1:14" s="2" customFormat="1">
      <c r="A17764" s="83"/>
      <c r="H17764" s="83"/>
      <c r="K17764" s="82"/>
      <c r="M17764" s="112"/>
      <c r="N17764" s="84"/>
    </row>
    <row r="17765" spans="1:14" s="2" customFormat="1">
      <c r="A17765" s="83"/>
      <c r="H17765" s="83"/>
      <c r="K17765" s="82"/>
      <c r="M17765" s="112"/>
      <c r="N17765" s="84"/>
    </row>
    <row r="17766" spans="1:14" s="2" customFormat="1">
      <c r="A17766" s="83"/>
      <c r="H17766" s="83"/>
      <c r="K17766" s="82"/>
      <c r="M17766" s="112"/>
      <c r="N17766" s="84"/>
    </row>
    <row r="17767" spans="1:14" s="2" customFormat="1">
      <c r="A17767" s="83"/>
      <c r="H17767" s="83"/>
      <c r="K17767" s="82"/>
      <c r="M17767" s="112"/>
      <c r="N17767" s="84"/>
    </row>
    <row r="17768" spans="1:14" s="2" customFormat="1">
      <c r="A17768" s="83"/>
      <c r="H17768" s="83"/>
      <c r="K17768" s="82"/>
      <c r="M17768" s="112"/>
      <c r="N17768" s="84"/>
    </row>
    <row r="17769" spans="1:14" s="2" customFormat="1">
      <c r="A17769" s="83"/>
      <c r="H17769" s="83"/>
      <c r="K17769" s="82"/>
      <c r="M17769" s="112"/>
      <c r="N17769" s="84"/>
    </row>
    <row r="17770" spans="1:14" s="2" customFormat="1">
      <c r="A17770" s="83"/>
      <c r="H17770" s="83"/>
      <c r="K17770" s="82"/>
      <c r="M17770" s="112"/>
      <c r="N17770" s="84"/>
    </row>
    <row r="17771" spans="1:14" s="2" customFormat="1">
      <c r="A17771" s="83"/>
      <c r="H17771" s="83"/>
      <c r="K17771" s="82"/>
      <c r="M17771" s="112"/>
      <c r="N17771" s="84"/>
    </row>
    <row r="17772" spans="1:14" s="2" customFormat="1">
      <c r="A17772" s="83"/>
      <c r="H17772" s="83"/>
      <c r="K17772" s="82"/>
      <c r="M17772" s="112"/>
      <c r="N17772" s="84"/>
    </row>
    <row r="17773" spans="1:14" s="2" customFormat="1">
      <c r="A17773" s="83"/>
      <c r="H17773" s="83"/>
      <c r="K17773" s="82"/>
      <c r="M17773" s="112"/>
      <c r="N17773" s="84"/>
    </row>
    <row r="17774" spans="1:14" s="2" customFormat="1">
      <c r="A17774" s="83"/>
      <c r="H17774" s="83"/>
      <c r="K17774" s="82"/>
      <c r="M17774" s="112"/>
      <c r="N17774" s="84"/>
    </row>
    <row r="17775" spans="1:14" s="2" customFormat="1">
      <c r="A17775" s="83"/>
      <c r="H17775" s="83"/>
      <c r="K17775" s="82"/>
      <c r="M17775" s="112"/>
      <c r="N17775" s="84"/>
    </row>
    <row r="17776" spans="1:14" s="2" customFormat="1">
      <c r="A17776" s="83"/>
      <c r="H17776" s="83"/>
      <c r="K17776" s="82"/>
      <c r="M17776" s="112"/>
      <c r="N17776" s="84"/>
    </row>
    <row r="17777" spans="1:14" s="2" customFormat="1">
      <c r="A17777" s="83"/>
      <c r="H17777" s="83"/>
      <c r="K17777" s="82"/>
      <c r="M17777" s="112"/>
      <c r="N17777" s="84"/>
    </row>
    <row r="17778" spans="1:14" s="2" customFormat="1">
      <c r="A17778" s="83"/>
      <c r="H17778" s="83"/>
      <c r="K17778" s="82"/>
      <c r="M17778" s="112"/>
      <c r="N17778" s="84"/>
    </row>
    <row r="17779" spans="1:14" s="2" customFormat="1">
      <c r="A17779" s="83"/>
      <c r="H17779" s="83"/>
      <c r="K17779" s="82"/>
      <c r="M17779" s="112"/>
      <c r="N17779" s="84"/>
    </row>
    <row r="17780" spans="1:14" s="2" customFormat="1">
      <c r="A17780" s="83"/>
      <c r="H17780" s="83"/>
      <c r="K17780" s="82"/>
      <c r="M17780" s="112"/>
      <c r="N17780" s="84"/>
    </row>
    <row r="17781" spans="1:14" s="2" customFormat="1">
      <c r="A17781" s="83"/>
      <c r="H17781" s="83"/>
      <c r="K17781" s="82"/>
      <c r="M17781" s="112"/>
      <c r="N17781" s="84"/>
    </row>
    <row r="17782" spans="1:14" s="2" customFormat="1">
      <c r="A17782" s="83"/>
      <c r="H17782" s="83"/>
      <c r="K17782" s="82"/>
      <c r="M17782" s="112"/>
      <c r="N17782" s="84"/>
    </row>
    <row r="17783" spans="1:14" s="2" customFormat="1">
      <c r="A17783" s="83"/>
      <c r="H17783" s="83"/>
      <c r="K17783" s="82"/>
      <c r="M17783" s="112"/>
      <c r="N17783" s="84"/>
    </row>
    <row r="17784" spans="1:14" s="2" customFormat="1">
      <c r="A17784" s="83"/>
      <c r="H17784" s="83"/>
      <c r="K17784" s="82"/>
      <c r="M17784" s="112"/>
      <c r="N17784" s="84"/>
    </row>
    <row r="17785" spans="1:14" s="2" customFormat="1">
      <c r="A17785" s="83"/>
      <c r="H17785" s="83"/>
      <c r="K17785" s="82"/>
      <c r="M17785" s="112"/>
      <c r="N17785" s="84"/>
    </row>
    <row r="17786" spans="1:14" s="2" customFormat="1">
      <c r="A17786" s="83"/>
      <c r="H17786" s="83"/>
      <c r="K17786" s="82"/>
      <c r="M17786" s="112"/>
      <c r="N17786" s="84"/>
    </row>
    <row r="17787" spans="1:14" s="2" customFormat="1">
      <c r="A17787" s="83"/>
      <c r="H17787" s="83"/>
      <c r="K17787" s="82"/>
      <c r="M17787" s="112"/>
      <c r="N17787" s="84"/>
    </row>
    <row r="17788" spans="1:14" s="2" customFormat="1">
      <c r="A17788" s="83"/>
      <c r="H17788" s="83"/>
      <c r="K17788" s="82"/>
      <c r="M17788" s="112"/>
      <c r="N17788" s="84"/>
    </row>
    <row r="17789" spans="1:14" s="2" customFormat="1">
      <c r="A17789" s="83"/>
      <c r="H17789" s="83"/>
      <c r="K17789" s="82"/>
      <c r="M17789" s="112"/>
      <c r="N17789" s="84"/>
    </row>
    <row r="17790" spans="1:14" s="2" customFormat="1">
      <c r="A17790" s="83"/>
      <c r="H17790" s="83"/>
      <c r="K17790" s="82"/>
      <c r="M17790" s="112"/>
      <c r="N17790" s="84"/>
    </row>
    <row r="17791" spans="1:14" s="2" customFormat="1">
      <c r="A17791" s="83"/>
      <c r="H17791" s="83"/>
      <c r="K17791" s="82"/>
      <c r="M17791" s="112"/>
      <c r="N17791" s="84"/>
    </row>
    <row r="17792" spans="1:14" s="2" customFormat="1">
      <c r="A17792" s="83"/>
      <c r="H17792" s="83"/>
      <c r="K17792" s="82"/>
      <c r="M17792" s="112"/>
      <c r="N17792" s="84"/>
    </row>
    <row r="17793" spans="1:14" s="2" customFormat="1">
      <c r="A17793" s="83"/>
      <c r="H17793" s="83"/>
      <c r="K17793" s="82"/>
      <c r="M17793" s="112"/>
      <c r="N17793" s="84"/>
    </row>
    <row r="17794" spans="1:14" s="2" customFormat="1">
      <c r="A17794" s="83"/>
      <c r="H17794" s="83"/>
      <c r="K17794" s="82"/>
      <c r="M17794" s="112"/>
      <c r="N17794" s="84"/>
    </row>
    <row r="17795" spans="1:14" s="2" customFormat="1">
      <c r="A17795" s="83"/>
      <c r="H17795" s="83"/>
      <c r="K17795" s="82"/>
      <c r="M17795" s="112"/>
      <c r="N17795" s="84"/>
    </row>
    <row r="17796" spans="1:14" s="2" customFormat="1">
      <c r="A17796" s="83"/>
      <c r="H17796" s="83"/>
      <c r="K17796" s="82"/>
      <c r="M17796" s="112"/>
      <c r="N17796" s="84"/>
    </row>
    <row r="17797" spans="1:14" s="2" customFormat="1">
      <c r="A17797" s="83"/>
      <c r="H17797" s="83"/>
      <c r="K17797" s="82"/>
      <c r="M17797" s="112"/>
      <c r="N17797" s="84"/>
    </row>
    <row r="17798" spans="1:14" s="2" customFormat="1">
      <c r="A17798" s="83"/>
      <c r="H17798" s="83"/>
      <c r="K17798" s="82"/>
      <c r="M17798" s="112"/>
      <c r="N17798" s="84"/>
    </row>
    <row r="17799" spans="1:14" s="2" customFormat="1">
      <c r="A17799" s="83"/>
      <c r="H17799" s="83"/>
      <c r="K17799" s="82"/>
      <c r="M17799" s="112"/>
      <c r="N17799" s="84"/>
    </row>
    <row r="17800" spans="1:14" s="2" customFormat="1">
      <c r="A17800" s="83"/>
      <c r="H17800" s="83"/>
      <c r="K17800" s="82"/>
      <c r="M17800" s="112"/>
      <c r="N17800" s="84"/>
    </row>
    <row r="17801" spans="1:14" s="2" customFormat="1">
      <c r="A17801" s="83"/>
      <c r="H17801" s="83"/>
      <c r="K17801" s="82"/>
      <c r="M17801" s="112"/>
      <c r="N17801" s="84"/>
    </row>
    <row r="17802" spans="1:14" s="2" customFormat="1">
      <c r="A17802" s="83"/>
      <c r="H17802" s="83"/>
      <c r="K17802" s="82"/>
      <c r="M17802" s="112"/>
      <c r="N17802" s="84"/>
    </row>
    <row r="17803" spans="1:14" s="2" customFormat="1">
      <c r="A17803" s="83"/>
      <c r="H17803" s="83"/>
      <c r="K17803" s="82"/>
      <c r="M17803" s="112"/>
      <c r="N17803" s="84"/>
    </row>
    <row r="17804" spans="1:14" s="2" customFormat="1">
      <c r="A17804" s="83"/>
      <c r="H17804" s="83"/>
      <c r="K17804" s="82"/>
      <c r="M17804" s="112"/>
      <c r="N17804" s="84"/>
    </row>
    <row r="17805" spans="1:14" s="2" customFormat="1">
      <c r="A17805" s="83"/>
      <c r="H17805" s="83"/>
      <c r="K17805" s="82"/>
      <c r="M17805" s="112"/>
      <c r="N17805" s="84"/>
    </row>
    <row r="17806" spans="1:14" s="2" customFormat="1">
      <c r="A17806" s="83"/>
      <c r="H17806" s="83"/>
      <c r="K17806" s="82"/>
      <c r="M17806" s="112"/>
      <c r="N17806" s="84"/>
    </row>
    <row r="17807" spans="1:14" s="2" customFormat="1">
      <c r="A17807" s="83"/>
      <c r="H17807" s="83"/>
      <c r="K17807" s="82"/>
      <c r="M17807" s="112"/>
      <c r="N17807" s="84"/>
    </row>
    <row r="17808" spans="1:14" s="2" customFormat="1">
      <c r="A17808" s="83"/>
      <c r="H17808" s="83"/>
      <c r="K17808" s="82"/>
      <c r="M17808" s="112"/>
      <c r="N17808" s="84"/>
    </row>
    <row r="17809" spans="1:14" s="2" customFormat="1">
      <c r="A17809" s="83"/>
      <c r="H17809" s="83"/>
      <c r="K17809" s="82"/>
      <c r="M17809" s="112"/>
      <c r="N17809" s="84"/>
    </row>
    <row r="17810" spans="1:14" s="2" customFormat="1">
      <c r="A17810" s="83"/>
      <c r="H17810" s="83"/>
      <c r="K17810" s="82"/>
      <c r="M17810" s="112"/>
      <c r="N17810" s="84"/>
    </row>
    <row r="17811" spans="1:14" s="2" customFormat="1">
      <c r="A17811" s="83"/>
      <c r="H17811" s="83"/>
      <c r="K17811" s="82"/>
      <c r="M17811" s="112"/>
      <c r="N17811" s="84"/>
    </row>
    <row r="17812" spans="1:14" s="2" customFormat="1">
      <c r="A17812" s="83"/>
      <c r="H17812" s="83"/>
      <c r="K17812" s="82"/>
      <c r="M17812" s="112"/>
      <c r="N17812" s="84"/>
    </row>
    <row r="17813" spans="1:14" s="2" customFormat="1">
      <c r="A17813" s="83"/>
      <c r="H17813" s="83"/>
      <c r="K17813" s="82"/>
      <c r="M17813" s="112"/>
      <c r="N17813" s="84"/>
    </row>
    <row r="17814" spans="1:14" s="2" customFormat="1">
      <c r="A17814" s="83"/>
      <c r="H17814" s="83"/>
      <c r="K17814" s="82"/>
      <c r="M17814" s="112"/>
      <c r="N17814" s="84"/>
    </row>
    <row r="17815" spans="1:14" s="2" customFormat="1">
      <c r="A17815" s="83"/>
      <c r="H17815" s="83"/>
      <c r="K17815" s="82"/>
      <c r="M17815" s="112"/>
      <c r="N17815" s="84"/>
    </row>
    <row r="17816" spans="1:14" s="2" customFormat="1">
      <c r="A17816" s="83"/>
      <c r="H17816" s="83"/>
      <c r="K17816" s="82"/>
      <c r="M17816" s="112"/>
      <c r="N17816" s="84"/>
    </row>
    <row r="17817" spans="1:14" s="2" customFormat="1">
      <c r="A17817" s="83"/>
      <c r="H17817" s="83"/>
      <c r="K17817" s="82"/>
      <c r="M17817" s="112"/>
      <c r="N17817" s="84"/>
    </row>
    <row r="17818" spans="1:14" s="2" customFormat="1">
      <c r="A17818" s="83"/>
      <c r="H17818" s="83"/>
      <c r="K17818" s="82"/>
      <c r="M17818" s="112"/>
      <c r="N17818" s="84"/>
    </row>
    <row r="17819" spans="1:14" s="2" customFormat="1">
      <c r="A17819" s="83"/>
      <c r="H17819" s="83"/>
      <c r="K17819" s="82"/>
      <c r="M17819" s="112"/>
      <c r="N17819" s="84"/>
    </row>
    <row r="17820" spans="1:14" s="2" customFormat="1">
      <c r="A17820" s="83"/>
      <c r="H17820" s="83"/>
      <c r="K17820" s="82"/>
      <c r="M17820" s="112"/>
      <c r="N17820" s="84"/>
    </row>
    <row r="17821" spans="1:14" s="2" customFormat="1">
      <c r="A17821" s="83"/>
      <c r="H17821" s="83"/>
      <c r="K17821" s="82"/>
      <c r="M17821" s="112"/>
      <c r="N17821" s="84"/>
    </row>
    <row r="17822" spans="1:14" s="2" customFormat="1">
      <c r="A17822" s="83"/>
      <c r="H17822" s="83"/>
      <c r="K17822" s="82"/>
      <c r="M17822" s="112"/>
      <c r="N17822" s="84"/>
    </row>
    <row r="17823" spans="1:14" s="2" customFormat="1">
      <c r="A17823" s="83"/>
      <c r="H17823" s="83"/>
      <c r="K17823" s="82"/>
      <c r="M17823" s="112"/>
      <c r="N17823" s="84"/>
    </row>
    <row r="17824" spans="1:14" s="2" customFormat="1">
      <c r="A17824" s="83"/>
      <c r="H17824" s="83"/>
      <c r="K17824" s="82"/>
      <c r="M17824" s="112"/>
      <c r="N17824" s="84"/>
    </row>
    <row r="17825" spans="1:14" s="2" customFormat="1">
      <c r="A17825" s="83"/>
      <c r="H17825" s="83"/>
      <c r="K17825" s="82"/>
      <c r="M17825" s="112"/>
      <c r="N17825" s="84"/>
    </row>
    <row r="17826" spans="1:14" s="2" customFormat="1">
      <c r="A17826" s="83"/>
      <c r="H17826" s="83"/>
      <c r="K17826" s="82"/>
      <c r="M17826" s="112"/>
      <c r="N17826" s="84"/>
    </row>
    <row r="17827" spans="1:14" s="2" customFormat="1">
      <c r="A17827" s="83"/>
      <c r="H17827" s="83"/>
      <c r="K17827" s="82"/>
      <c r="M17827" s="112"/>
      <c r="N17827" s="84"/>
    </row>
    <row r="17828" spans="1:14" s="2" customFormat="1">
      <c r="A17828" s="83"/>
      <c r="H17828" s="83"/>
      <c r="K17828" s="82"/>
      <c r="M17828" s="112"/>
      <c r="N17828" s="84"/>
    </row>
    <row r="17829" spans="1:14" s="2" customFormat="1">
      <c r="A17829" s="83"/>
      <c r="H17829" s="83"/>
      <c r="K17829" s="82"/>
      <c r="M17829" s="112"/>
      <c r="N17829" s="84"/>
    </row>
    <row r="17830" spans="1:14" s="2" customFormat="1">
      <c r="A17830" s="83"/>
      <c r="H17830" s="83"/>
      <c r="K17830" s="82"/>
      <c r="M17830" s="112"/>
      <c r="N17830" s="84"/>
    </row>
    <row r="17831" spans="1:14" s="2" customFormat="1">
      <c r="A17831" s="83"/>
      <c r="H17831" s="83"/>
      <c r="K17831" s="82"/>
      <c r="M17831" s="112"/>
      <c r="N17831" s="84"/>
    </row>
    <row r="17832" spans="1:14" s="2" customFormat="1">
      <c r="A17832" s="83"/>
      <c r="H17832" s="83"/>
      <c r="K17832" s="82"/>
      <c r="M17832" s="112"/>
      <c r="N17832" s="84"/>
    </row>
    <row r="17833" spans="1:14" s="2" customFormat="1">
      <c r="A17833" s="83"/>
      <c r="H17833" s="83"/>
      <c r="K17833" s="82"/>
      <c r="M17833" s="112"/>
      <c r="N17833" s="84"/>
    </row>
    <row r="17834" spans="1:14" s="2" customFormat="1">
      <c r="A17834" s="83"/>
      <c r="H17834" s="83"/>
      <c r="K17834" s="82"/>
      <c r="M17834" s="112"/>
      <c r="N17834" s="84"/>
    </row>
    <row r="17835" spans="1:14" s="2" customFormat="1">
      <c r="A17835" s="83"/>
      <c r="H17835" s="83"/>
      <c r="K17835" s="82"/>
      <c r="M17835" s="112"/>
      <c r="N17835" s="84"/>
    </row>
    <row r="17836" spans="1:14" s="2" customFormat="1">
      <c r="A17836" s="83"/>
      <c r="H17836" s="83"/>
      <c r="K17836" s="82"/>
      <c r="M17836" s="112"/>
      <c r="N17836" s="84"/>
    </row>
    <row r="17837" spans="1:14" s="2" customFormat="1">
      <c r="A17837" s="83"/>
      <c r="H17837" s="83"/>
      <c r="K17837" s="82"/>
      <c r="M17837" s="112"/>
      <c r="N17837" s="84"/>
    </row>
    <row r="17838" spans="1:14" s="2" customFormat="1">
      <c r="A17838" s="83"/>
      <c r="H17838" s="83"/>
      <c r="K17838" s="82"/>
      <c r="M17838" s="112"/>
      <c r="N17838" s="84"/>
    </row>
    <row r="17839" spans="1:14" s="2" customFormat="1">
      <c r="A17839" s="83"/>
      <c r="H17839" s="83"/>
      <c r="K17839" s="82"/>
      <c r="M17839" s="112"/>
      <c r="N17839" s="84"/>
    </row>
    <row r="17840" spans="1:14" s="2" customFormat="1">
      <c r="A17840" s="83"/>
      <c r="H17840" s="83"/>
      <c r="K17840" s="82"/>
      <c r="M17840" s="112"/>
      <c r="N17840" s="84"/>
    </row>
    <row r="17841" spans="1:14" s="2" customFormat="1">
      <c r="A17841" s="83"/>
      <c r="H17841" s="83"/>
      <c r="K17841" s="82"/>
      <c r="M17841" s="112"/>
      <c r="N17841" s="84"/>
    </row>
    <row r="17842" spans="1:14" s="2" customFormat="1">
      <c r="A17842" s="83"/>
      <c r="H17842" s="83"/>
      <c r="K17842" s="82"/>
      <c r="M17842" s="112"/>
      <c r="N17842" s="84"/>
    </row>
    <row r="17843" spans="1:14" s="2" customFormat="1">
      <c r="A17843" s="83"/>
      <c r="H17843" s="83"/>
      <c r="K17843" s="82"/>
      <c r="M17843" s="112"/>
      <c r="N17843" s="84"/>
    </row>
    <row r="17844" spans="1:14" s="2" customFormat="1">
      <c r="A17844" s="83"/>
      <c r="H17844" s="83"/>
      <c r="K17844" s="82"/>
      <c r="M17844" s="112"/>
      <c r="N17844" s="84"/>
    </row>
    <row r="17845" spans="1:14" s="2" customFormat="1">
      <c r="A17845" s="83"/>
      <c r="H17845" s="83"/>
      <c r="K17845" s="82"/>
      <c r="M17845" s="112"/>
      <c r="N17845" s="84"/>
    </row>
    <row r="17846" spans="1:14" s="2" customFormat="1">
      <c r="A17846" s="83"/>
      <c r="H17846" s="83"/>
      <c r="K17846" s="82"/>
      <c r="M17846" s="112"/>
      <c r="N17846" s="84"/>
    </row>
    <row r="17847" spans="1:14" s="2" customFormat="1">
      <c r="A17847" s="83"/>
      <c r="H17847" s="83"/>
      <c r="K17847" s="82"/>
      <c r="M17847" s="112"/>
      <c r="N17847" s="84"/>
    </row>
    <row r="17848" spans="1:14" s="2" customFormat="1">
      <c r="A17848" s="83"/>
      <c r="H17848" s="83"/>
      <c r="K17848" s="82"/>
      <c r="M17848" s="112"/>
      <c r="N17848" s="84"/>
    </row>
    <row r="17849" spans="1:14" s="2" customFormat="1">
      <c r="A17849" s="83"/>
      <c r="H17849" s="83"/>
      <c r="K17849" s="82"/>
      <c r="M17849" s="112"/>
      <c r="N17849" s="84"/>
    </row>
    <row r="17850" spans="1:14" s="2" customFormat="1">
      <c r="A17850" s="83"/>
      <c r="H17850" s="83"/>
      <c r="K17850" s="82"/>
      <c r="M17850" s="112"/>
      <c r="N17850" s="84"/>
    </row>
    <row r="17851" spans="1:14" s="2" customFormat="1">
      <c r="A17851" s="83"/>
      <c r="H17851" s="83"/>
      <c r="K17851" s="82"/>
      <c r="M17851" s="112"/>
      <c r="N17851" s="84"/>
    </row>
    <row r="17852" spans="1:14" s="2" customFormat="1">
      <c r="A17852" s="83"/>
      <c r="H17852" s="83"/>
      <c r="K17852" s="82"/>
      <c r="M17852" s="112"/>
      <c r="N17852" s="84"/>
    </row>
    <row r="17853" spans="1:14" s="2" customFormat="1">
      <c r="A17853" s="83"/>
      <c r="H17853" s="83"/>
      <c r="K17853" s="82"/>
      <c r="M17853" s="112"/>
      <c r="N17853" s="84"/>
    </row>
    <row r="17854" spans="1:14" s="2" customFormat="1">
      <c r="A17854" s="83"/>
      <c r="H17854" s="83"/>
      <c r="K17854" s="82"/>
      <c r="M17854" s="112"/>
      <c r="N17854" s="84"/>
    </row>
    <row r="17855" spans="1:14" s="2" customFormat="1">
      <c r="A17855" s="83"/>
      <c r="H17855" s="83"/>
      <c r="K17855" s="82"/>
      <c r="M17855" s="112"/>
      <c r="N17855" s="84"/>
    </row>
    <row r="17856" spans="1:14" s="2" customFormat="1">
      <c r="A17856" s="83"/>
      <c r="H17856" s="83"/>
      <c r="K17856" s="82"/>
      <c r="M17856" s="112"/>
      <c r="N17856" s="84"/>
    </row>
    <row r="17857" spans="1:14" s="2" customFormat="1">
      <c r="A17857" s="83"/>
      <c r="H17857" s="83"/>
      <c r="K17857" s="82"/>
      <c r="M17857" s="112"/>
      <c r="N17857" s="84"/>
    </row>
    <row r="17858" spans="1:14" s="2" customFormat="1">
      <c r="A17858" s="83"/>
      <c r="H17858" s="83"/>
      <c r="K17858" s="82"/>
      <c r="M17858" s="112"/>
      <c r="N17858" s="84"/>
    </row>
    <row r="17859" spans="1:14" s="2" customFormat="1">
      <c r="A17859" s="83"/>
      <c r="H17859" s="83"/>
      <c r="K17859" s="82"/>
      <c r="M17859" s="112"/>
      <c r="N17859" s="84"/>
    </row>
    <row r="17860" spans="1:14" s="2" customFormat="1">
      <c r="A17860" s="83"/>
      <c r="H17860" s="83"/>
      <c r="K17860" s="82"/>
      <c r="M17860" s="112"/>
      <c r="N17860" s="84"/>
    </row>
    <row r="17861" spans="1:14" s="2" customFormat="1">
      <c r="A17861" s="83"/>
      <c r="H17861" s="83"/>
      <c r="K17861" s="82"/>
      <c r="M17861" s="112"/>
      <c r="N17861" s="84"/>
    </row>
    <row r="17862" spans="1:14" s="2" customFormat="1">
      <c r="A17862" s="83"/>
      <c r="H17862" s="83"/>
      <c r="K17862" s="82"/>
      <c r="M17862" s="112"/>
      <c r="N17862" s="84"/>
    </row>
    <row r="17863" spans="1:14" s="2" customFormat="1">
      <c r="A17863" s="83"/>
      <c r="H17863" s="83"/>
      <c r="K17863" s="82"/>
      <c r="M17863" s="112"/>
      <c r="N17863" s="84"/>
    </row>
    <row r="17864" spans="1:14" s="2" customFormat="1">
      <c r="A17864" s="83"/>
      <c r="H17864" s="83"/>
      <c r="K17864" s="82"/>
      <c r="M17864" s="112"/>
      <c r="N17864" s="84"/>
    </row>
    <row r="17865" spans="1:14" s="2" customFormat="1">
      <c r="A17865" s="83"/>
      <c r="H17865" s="83"/>
      <c r="K17865" s="82"/>
      <c r="M17865" s="112"/>
      <c r="N17865" s="84"/>
    </row>
    <row r="17866" spans="1:14" s="2" customFormat="1">
      <c r="A17866" s="83"/>
      <c r="H17866" s="83"/>
      <c r="K17866" s="82"/>
      <c r="M17866" s="112"/>
      <c r="N17866" s="84"/>
    </row>
    <row r="17867" spans="1:14" s="2" customFormat="1">
      <c r="A17867" s="83"/>
      <c r="H17867" s="83"/>
      <c r="K17867" s="82"/>
      <c r="M17867" s="112"/>
      <c r="N17867" s="84"/>
    </row>
    <row r="17868" spans="1:14" s="2" customFormat="1">
      <c r="A17868" s="83"/>
      <c r="H17868" s="83"/>
      <c r="K17868" s="82"/>
      <c r="M17868" s="112"/>
      <c r="N17868" s="84"/>
    </row>
    <row r="17869" spans="1:14" s="2" customFormat="1">
      <c r="A17869" s="83"/>
      <c r="H17869" s="83"/>
      <c r="K17869" s="82"/>
      <c r="M17869" s="112"/>
      <c r="N17869" s="84"/>
    </row>
    <row r="17870" spans="1:14" s="2" customFormat="1">
      <c r="A17870" s="83"/>
      <c r="H17870" s="83"/>
      <c r="K17870" s="82"/>
      <c r="M17870" s="112"/>
      <c r="N17870" s="84"/>
    </row>
    <row r="17871" spans="1:14" s="2" customFormat="1">
      <c r="A17871" s="83"/>
      <c r="H17871" s="83"/>
      <c r="K17871" s="82"/>
      <c r="M17871" s="112"/>
      <c r="N17871" s="84"/>
    </row>
    <row r="17872" spans="1:14" s="2" customFormat="1">
      <c r="A17872" s="83"/>
      <c r="H17872" s="83"/>
      <c r="K17872" s="82"/>
      <c r="M17872" s="112"/>
      <c r="N17872" s="84"/>
    </row>
    <row r="17873" spans="1:14" s="2" customFormat="1">
      <c r="A17873" s="83"/>
      <c r="H17873" s="83"/>
      <c r="K17873" s="82"/>
      <c r="M17873" s="112"/>
      <c r="N17873" s="84"/>
    </row>
    <row r="17874" spans="1:14" s="2" customFormat="1">
      <c r="A17874" s="83"/>
      <c r="H17874" s="83"/>
      <c r="K17874" s="82"/>
      <c r="M17874" s="112"/>
      <c r="N17874" s="84"/>
    </row>
    <row r="17875" spans="1:14" s="2" customFormat="1">
      <c r="A17875" s="83"/>
      <c r="H17875" s="83"/>
      <c r="K17875" s="82"/>
      <c r="M17875" s="112"/>
      <c r="N17875" s="84"/>
    </row>
    <row r="17876" spans="1:14" s="2" customFormat="1">
      <c r="A17876" s="83"/>
      <c r="H17876" s="83"/>
      <c r="K17876" s="82"/>
      <c r="M17876" s="112"/>
      <c r="N17876" s="84"/>
    </row>
    <row r="17877" spans="1:14" s="2" customFormat="1">
      <c r="A17877" s="83"/>
      <c r="H17877" s="83"/>
      <c r="K17877" s="82"/>
      <c r="M17877" s="112"/>
      <c r="N17877" s="84"/>
    </row>
    <row r="17878" spans="1:14" s="2" customFormat="1">
      <c r="A17878" s="83"/>
      <c r="H17878" s="83"/>
      <c r="K17878" s="82"/>
      <c r="M17878" s="112"/>
      <c r="N17878" s="84"/>
    </row>
    <row r="17879" spans="1:14" s="2" customFormat="1">
      <c r="A17879" s="83"/>
      <c r="H17879" s="83"/>
      <c r="K17879" s="82"/>
      <c r="M17879" s="112"/>
      <c r="N17879" s="84"/>
    </row>
    <row r="17880" spans="1:14" s="2" customFormat="1">
      <c r="A17880" s="83"/>
      <c r="H17880" s="83"/>
      <c r="K17880" s="82"/>
      <c r="M17880" s="112"/>
      <c r="N17880" s="84"/>
    </row>
    <row r="17881" spans="1:14" s="2" customFormat="1">
      <c r="A17881" s="83"/>
      <c r="H17881" s="83"/>
      <c r="K17881" s="82"/>
      <c r="M17881" s="112"/>
      <c r="N17881" s="84"/>
    </row>
    <row r="17882" spans="1:14" s="2" customFormat="1">
      <c r="A17882" s="83"/>
      <c r="H17882" s="83"/>
      <c r="K17882" s="82"/>
      <c r="M17882" s="112"/>
      <c r="N17882" s="84"/>
    </row>
    <row r="17883" spans="1:14" s="2" customFormat="1">
      <c r="A17883" s="83"/>
      <c r="H17883" s="83"/>
      <c r="K17883" s="82"/>
      <c r="M17883" s="112"/>
      <c r="N17883" s="84"/>
    </row>
    <row r="17884" spans="1:14" s="2" customFormat="1">
      <c r="A17884" s="83"/>
      <c r="H17884" s="83"/>
      <c r="K17884" s="82"/>
      <c r="M17884" s="112"/>
      <c r="N17884" s="84"/>
    </row>
    <row r="17885" spans="1:14" s="2" customFormat="1">
      <c r="A17885" s="83"/>
      <c r="H17885" s="83"/>
      <c r="K17885" s="82"/>
      <c r="M17885" s="112"/>
      <c r="N17885" s="84"/>
    </row>
    <row r="17886" spans="1:14" s="2" customFormat="1">
      <c r="A17886" s="83"/>
      <c r="H17886" s="83"/>
      <c r="K17886" s="82"/>
      <c r="M17886" s="112"/>
      <c r="N17886" s="84"/>
    </row>
    <row r="17887" spans="1:14" s="2" customFormat="1">
      <c r="A17887" s="83"/>
      <c r="H17887" s="83"/>
      <c r="K17887" s="82"/>
      <c r="M17887" s="112"/>
      <c r="N17887" s="84"/>
    </row>
    <row r="17888" spans="1:14" s="2" customFormat="1">
      <c r="A17888" s="83"/>
      <c r="H17888" s="83"/>
      <c r="K17888" s="82"/>
      <c r="M17888" s="112"/>
      <c r="N17888" s="84"/>
    </row>
    <row r="17889" spans="1:14" s="2" customFormat="1">
      <c r="A17889" s="83"/>
      <c r="H17889" s="83"/>
      <c r="K17889" s="82"/>
      <c r="M17889" s="112"/>
      <c r="N17889" s="84"/>
    </row>
    <row r="17890" spans="1:14" s="2" customFormat="1">
      <c r="A17890" s="83"/>
      <c r="H17890" s="83"/>
      <c r="K17890" s="82"/>
      <c r="M17890" s="112"/>
      <c r="N17890" s="84"/>
    </row>
    <row r="17891" spans="1:14" s="2" customFormat="1">
      <c r="A17891" s="83"/>
      <c r="H17891" s="83"/>
      <c r="K17891" s="82"/>
      <c r="M17891" s="112"/>
      <c r="N17891" s="84"/>
    </row>
    <row r="17892" spans="1:14" s="2" customFormat="1">
      <c r="A17892" s="83"/>
      <c r="H17892" s="83"/>
      <c r="K17892" s="82"/>
      <c r="M17892" s="112"/>
      <c r="N17892" s="84"/>
    </row>
    <row r="17893" spans="1:14" s="2" customFormat="1">
      <c r="A17893" s="83"/>
      <c r="H17893" s="83"/>
      <c r="K17893" s="82"/>
      <c r="M17893" s="112"/>
      <c r="N17893" s="84"/>
    </row>
    <row r="17894" spans="1:14" s="2" customFormat="1">
      <c r="A17894" s="83"/>
      <c r="H17894" s="83"/>
      <c r="K17894" s="82"/>
      <c r="M17894" s="112"/>
      <c r="N17894" s="84"/>
    </row>
    <row r="17895" spans="1:14" s="2" customFormat="1">
      <c r="A17895" s="83"/>
      <c r="H17895" s="83"/>
      <c r="K17895" s="82"/>
      <c r="M17895" s="112"/>
      <c r="N17895" s="84"/>
    </row>
    <row r="17896" spans="1:14" s="2" customFormat="1">
      <c r="A17896" s="83"/>
      <c r="H17896" s="83"/>
      <c r="K17896" s="82"/>
      <c r="M17896" s="112"/>
      <c r="N17896" s="84"/>
    </row>
    <row r="17897" spans="1:14" s="2" customFormat="1">
      <c r="A17897" s="83"/>
      <c r="H17897" s="83"/>
      <c r="K17897" s="82"/>
      <c r="M17897" s="112"/>
      <c r="N17897" s="84"/>
    </row>
    <row r="17898" spans="1:14" s="2" customFormat="1">
      <c r="A17898" s="83"/>
      <c r="H17898" s="83"/>
      <c r="K17898" s="82"/>
      <c r="M17898" s="112"/>
      <c r="N17898" s="84"/>
    </row>
    <row r="17899" spans="1:14" s="2" customFormat="1">
      <c r="A17899" s="83"/>
      <c r="H17899" s="83"/>
      <c r="K17899" s="82"/>
      <c r="M17899" s="112"/>
      <c r="N17899" s="84"/>
    </row>
    <row r="17900" spans="1:14" s="2" customFormat="1">
      <c r="A17900" s="83"/>
      <c r="H17900" s="83"/>
      <c r="K17900" s="82"/>
      <c r="M17900" s="112"/>
      <c r="N17900" s="84"/>
    </row>
    <row r="17901" spans="1:14" s="2" customFormat="1">
      <c r="A17901" s="83"/>
      <c r="H17901" s="83"/>
      <c r="K17901" s="82"/>
      <c r="M17901" s="112"/>
      <c r="N17901" s="84"/>
    </row>
    <row r="17902" spans="1:14" s="2" customFormat="1">
      <c r="A17902" s="83"/>
      <c r="H17902" s="83"/>
      <c r="K17902" s="82"/>
      <c r="M17902" s="112"/>
      <c r="N17902" s="84"/>
    </row>
    <row r="17903" spans="1:14" s="2" customFormat="1">
      <c r="A17903" s="83"/>
      <c r="H17903" s="83"/>
      <c r="K17903" s="82"/>
      <c r="M17903" s="112"/>
      <c r="N17903" s="84"/>
    </row>
    <row r="17904" spans="1:14" s="2" customFormat="1">
      <c r="A17904" s="83"/>
      <c r="H17904" s="83"/>
      <c r="K17904" s="82"/>
      <c r="M17904" s="112"/>
      <c r="N17904" s="84"/>
    </row>
    <row r="17905" spans="1:14" s="2" customFormat="1">
      <c r="A17905" s="83"/>
      <c r="H17905" s="83"/>
      <c r="K17905" s="82"/>
      <c r="M17905" s="112"/>
      <c r="N17905" s="84"/>
    </row>
    <row r="17906" spans="1:14" s="2" customFormat="1">
      <c r="A17906" s="83"/>
      <c r="H17906" s="83"/>
      <c r="K17906" s="82"/>
      <c r="M17906" s="112"/>
      <c r="N17906" s="84"/>
    </row>
    <row r="17907" spans="1:14" s="2" customFormat="1">
      <c r="A17907" s="83"/>
      <c r="H17907" s="83"/>
      <c r="K17907" s="82"/>
      <c r="M17907" s="112"/>
      <c r="N17907" s="84"/>
    </row>
    <row r="17908" spans="1:14" s="2" customFormat="1">
      <c r="A17908" s="83"/>
      <c r="H17908" s="83"/>
      <c r="K17908" s="82"/>
      <c r="M17908" s="112"/>
      <c r="N17908" s="84"/>
    </row>
    <row r="17909" spans="1:14" s="2" customFormat="1">
      <c r="A17909" s="83"/>
      <c r="H17909" s="83"/>
      <c r="K17909" s="82"/>
      <c r="M17909" s="112"/>
      <c r="N17909" s="84"/>
    </row>
    <row r="17910" spans="1:14" s="2" customFormat="1">
      <c r="A17910" s="83"/>
      <c r="H17910" s="83"/>
      <c r="K17910" s="82"/>
      <c r="M17910" s="112"/>
      <c r="N17910" s="84"/>
    </row>
    <row r="17911" spans="1:14" s="2" customFormat="1">
      <c r="A17911" s="83"/>
      <c r="H17911" s="83"/>
      <c r="K17911" s="82"/>
      <c r="M17911" s="112"/>
      <c r="N17911" s="84"/>
    </row>
    <row r="17912" spans="1:14" s="2" customFormat="1">
      <c r="A17912" s="83"/>
      <c r="H17912" s="83"/>
      <c r="K17912" s="82"/>
      <c r="M17912" s="112"/>
      <c r="N17912" s="84"/>
    </row>
    <row r="17913" spans="1:14" s="2" customFormat="1">
      <c r="A17913" s="83"/>
      <c r="H17913" s="83"/>
      <c r="K17913" s="82"/>
      <c r="M17913" s="112"/>
      <c r="N17913" s="84"/>
    </row>
    <row r="17914" spans="1:14" s="2" customFormat="1">
      <c r="A17914" s="83"/>
      <c r="H17914" s="83"/>
      <c r="K17914" s="82"/>
      <c r="M17914" s="112"/>
      <c r="N17914" s="84"/>
    </row>
    <row r="17915" spans="1:14" s="2" customFormat="1">
      <c r="A17915" s="83"/>
      <c r="H17915" s="83"/>
      <c r="K17915" s="82"/>
      <c r="M17915" s="112"/>
      <c r="N17915" s="84"/>
    </row>
    <row r="17916" spans="1:14" s="2" customFormat="1">
      <c r="A17916" s="83"/>
      <c r="H17916" s="83"/>
      <c r="K17916" s="82"/>
      <c r="M17916" s="112"/>
      <c r="N17916" s="84"/>
    </row>
    <row r="17917" spans="1:14" s="2" customFormat="1">
      <c r="A17917" s="83"/>
      <c r="H17917" s="83"/>
      <c r="K17917" s="82"/>
      <c r="M17917" s="112"/>
      <c r="N17917" s="84"/>
    </row>
    <row r="17918" spans="1:14" s="2" customFormat="1">
      <c r="A17918" s="83"/>
      <c r="H17918" s="83"/>
      <c r="K17918" s="82"/>
      <c r="M17918" s="112"/>
      <c r="N17918" s="84"/>
    </row>
    <row r="17919" spans="1:14" s="2" customFormat="1">
      <c r="A17919" s="83"/>
      <c r="H17919" s="83"/>
      <c r="K17919" s="82"/>
      <c r="M17919" s="112"/>
      <c r="N17919" s="84"/>
    </row>
    <row r="17920" spans="1:14" s="2" customFormat="1">
      <c r="A17920" s="83"/>
      <c r="H17920" s="83"/>
      <c r="K17920" s="82"/>
      <c r="M17920" s="112"/>
      <c r="N17920" s="84"/>
    </row>
    <row r="17921" spans="1:14" s="2" customFormat="1">
      <c r="A17921" s="83"/>
      <c r="H17921" s="83"/>
      <c r="K17921" s="82"/>
      <c r="M17921" s="112"/>
      <c r="N17921" s="84"/>
    </row>
    <row r="17922" spans="1:14" s="2" customFormat="1">
      <c r="A17922" s="83"/>
      <c r="H17922" s="83"/>
      <c r="K17922" s="82"/>
      <c r="M17922" s="112"/>
      <c r="N17922" s="84"/>
    </row>
    <row r="17923" spans="1:14" s="2" customFormat="1">
      <c r="A17923" s="83"/>
      <c r="H17923" s="83"/>
      <c r="K17923" s="82"/>
      <c r="M17923" s="112"/>
      <c r="N17923" s="84"/>
    </row>
    <row r="17924" spans="1:14" s="2" customFormat="1">
      <c r="A17924" s="83"/>
      <c r="H17924" s="83"/>
      <c r="K17924" s="82"/>
      <c r="M17924" s="112"/>
      <c r="N17924" s="84"/>
    </row>
    <row r="17925" spans="1:14" s="2" customFormat="1">
      <c r="A17925" s="83"/>
      <c r="H17925" s="83"/>
      <c r="K17925" s="82"/>
      <c r="M17925" s="112"/>
      <c r="N17925" s="84"/>
    </row>
    <row r="17926" spans="1:14" s="2" customFormat="1">
      <c r="A17926" s="83"/>
      <c r="H17926" s="83"/>
      <c r="K17926" s="82"/>
      <c r="M17926" s="112"/>
      <c r="N17926" s="84"/>
    </row>
    <row r="17927" spans="1:14" s="2" customFormat="1">
      <c r="A17927" s="83"/>
      <c r="H17927" s="83"/>
      <c r="K17927" s="82"/>
      <c r="M17927" s="112"/>
      <c r="N17927" s="84"/>
    </row>
    <row r="17928" spans="1:14" s="2" customFormat="1">
      <c r="A17928" s="83"/>
      <c r="H17928" s="83"/>
      <c r="K17928" s="82"/>
      <c r="M17928" s="112"/>
      <c r="N17928" s="84"/>
    </row>
    <row r="17929" spans="1:14" s="2" customFormat="1">
      <c r="A17929" s="83"/>
      <c r="H17929" s="83"/>
      <c r="K17929" s="82"/>
      <c r="M17929" s="112"/>
      <c r="N17929" s="84"/>
    </row>
    <row r="17930" spans="1:14" s="2" customFormat="1">
      <c r="A17930" s="83"/>
      <c r="H17930" s="83"/>
      <c r="K17930" s="82"/>
      <c r="M17930" s="112"/>
      <c r="N17930" s="84"/>
    </row>
    <row r="17931" spans="1:14" s="2" customFormat="1">
      <c r="A17931" s="83"/>
      <c r="H17931" s="83"/>
      <c r="K17931" s="82"/>
      <c r="M17931" s="112"/>
      <c r="N17931" s="84"/>
    </row>
    <row r="17932" spans="1:14" s="2" customFormat="1">
      <c r="A17932" s="83"/>
      <c r="H17932" s="83"/>
      <c r="K17932" s="82"/>
      <c r="M17932" s="112"/>
      <c r="N17932" s="84"/>
    </row>
    <row r="17933" spans="1:14" s="2" customFormat="1">
      <c r="A17933" s="83"/>
      <c r="H17933" s="83"/>
      <c r="K17933" s="82"/>
      <c r="M17933" s="112"/>
      <c r="N17933" s="84"/>
    </row>
    <row r="17934" spans="1:14" s="2" customFormat="1">
      <c r="A17934" s="83"/>
      <c r="H17934" s="83"/>
      <c r="K17934" s="82"/>
      <c r="M17934" s="112"/>
      <c r="N17934" s="84"/>
    </row>
    <row r="17935" spans="1:14" s="2" customFormat="1">
      <c r="A17935" s="83"/>
      <c r="H17935" s="83"/>
      <c r="K17935" s="82"/>
      <c r="M17935" s="112"/>
      <c r="N17935" s="84"/>
    </row>
    <row r="17936" spans="1:14" s="2" customFormat="1">
      <c r="A17936" s="83"/>
      <c r="H17936" s="83"/>
      <c r="K17936" s="82"/>
      <c r="M17936" s="112"/>
      <c r="N17936" s="84"/>
    </row>
    <row r="17937" spans="1:14" s="2" customFormat="1">
      <c r="A17937" s="83"/>
      <c r="H17937" s="83"/>
      <c r="K17937" s="82"/>
      <c r="M17937" s="112"/>
      <c r="N17937" s="84"/>
    </row>
    <row r="17938" spans="1:14" s="2" customFormat="1">
      <c r="A17938" s="83"/>
      <c r="H17938" s="83"/>
      <c r="K17938" s="82"/>
      <c r="M17938" s="112"/>
      <c r="N17938" s="84"/>
    </row>
    <row r="17939" spans="1:14" s="2" customFormat="1">
      <c r="A17939" s="83"/>
      <c r="H17939" s="83"/>
      <c r="K17939" s="82"/>
      <c r="M17939" s="112"/>
      <c r="N17939" s="84"/>
    </row>
    <row r="17940" spans="1:14" s="2" customFormat="1">
      <c r="A17940" s="83"/>
      <c r="H17940" s="83"/>
      <c r="K17940" s="82"/>
      <c r="M17940" s="112"/>
      <c r="N17940" s="84"/>
    </row>
    <row r="17941" spans="1:14" s="2" customFormat="1">
      <c r="A17941" s="83"/>
      <c r="H17941" s="83"/>
      <c r="K17941" s="82"/>
      <c r="M17941" s="112"/>
      <c r="N17941" s="84"/>
    </row>
    <row r="17942" spans="1:14" s="2" customFormat="1">
      <c r="A17942" s="83"/>
      <c r="H17942" s="83"/>
      <c r="K17942" s="82"/>
      <c r="M17942" s="112"/>
      <c r="N17942" s="84"/>
    </row>
    <row r="17943" spans="1:14" s="2" customFormat="1">
      <c r="A17943" s="83"/>
      <c r="H17943" s="83"/>
      <c r="K17943" s="82"/>
      <c r="M17943" s="112"/>
      <c r="N17943" s="84"/>
    </row>
    <row r="17944" spans="1:14" s="2" customFormat="1">
      <c r="A17944" s="83"/>
      <c r="H17944" s="83"/>
      <c r="K17944" s="82"/>
      <c r="M17944" s="112"/>
      <c r="N17944" s="84"/>
    </row>
    <row r="17945" spans="1:14" s="2" customFormat="1">
      <c r="A17945" s="83"/>
      <c r="H17945" s="83"/>
      <c r="K17945" s="82"/>
      <c r="M17945" s="112"/>
      <c r="N17945" s="84"/>
    </row>
    <row r="17946" spans="1:14" s="2" customFormat="1">
      <c r="A17946" s="83"/>
      <c r="H17946" s="83"/>
      <c r="K17946" s="82"/>
      <c r="M17946" s="112"/>
      <c r="N17946" s="84"/>
    </row>
    <row r="17947" spans="1:14" s="2" customFormat="1">
      <c r="A17947" s="83"/>
      <c r="H17947" s="83"/>
      <c r="K17947" s="82"/>
      <c r="M17947" s="112"/>
      <c r="N17947" s="84"/>
    </row>
    <row r="17948" spans="1:14" s="2" customFormat="1">
      <c r="A17948" s="83"/>
      <c r="H17948" s="83"/>
      <c r="K17948" s="82"/>
      <c r="M17948" s="112"/>
      <c r="N17948" s="84"/>
    </row>
    <row r="17949" spans="1:14" s="2" customFormat="1">
      <c r="A17949" s="83"/>
      <c r="H17949" s="83"/>
      <c r="K17949" s="82"/>
      <c r="M17949" s="112"/>
      <c r="N17949" s="84"/>
    </row>
    <row r="17950" spans="1:14" s="2" customFormat="1">
      <c r="A17950" s="83"/>
      <c r="H17950" s="83"/>
      <c r="K17950" s="82"/>
      <c r="M17950" s="112"/>
      <c r="N17950" s="84"/>
    </row>
    <row r="17951" spans="1:14" s="2" customFormat="1">
      <c r="A17951" s="83"/>
      <c r="H17951" s="83"/>
      <c r="K17951" s="82"/>
      <c r="M17951" s="112"/>
      <c r="N17951" s="84"/>
    </row>
    <row r="17952" spans="1:14" s="2" customFormat="1">
      <c r="A17952" s="83"/>
      <c r="H17952" s="83"/>
      <c r="K17952" s="82"/>
      <c r="M17952" s="112"/>
      <c r="N17952" s="84"/>
    </row>
    <row r="17953" spans="1:14" s="2" customFormat="1">
      <c r="A17953" s="83"/>
      <c r="H17953" s="83"/>
      <c r="K17953" s="82"/>
      <c r="M17953" s="112"/>
      <c r="N17953" s="84"/>
    </row>
    <row r="17954" spans="1:14" s="2" customFormat="1">
      <c r="A17954" s="83"/>
      <c r="H17954" s="83"/>
      <c r="K17954" s="82"/>
      <c r="M17954" s="112"/>
      <c r="N17954" s="84"/>
    </row>
    <row r="17955" spans="1:14" s="2" customFormat="1">
      <c r="A17955" s="83"/>
      <c r="H17955" s="83"/>
      <c r="K17955" s="82"/>
      <c r="M17955" s="112"/>
      <c r="N17955" s="84"/>
    </row>
    <row r="17956" spans="1:14" s="2" customFormat="1">
      <c r="A17956" s="83"/>
      <c r="H17956" s="83"/>
      <c r="K17956" s="82"/>
      <c r="M17956" s="112"/>
      <c r="N17956" s="84"/>
    </row>
    <row r="17957" spans="1:14" s="2" customFormat="1">
      <c r="A17957" s="83"/>
      <c r="H17957" s="83"/>
      <c r="K17957" s="82"/>
      <c r="M17957" s="112"/>
      <c r="N17957" s="84"/>
    </row>
    <row r="17958" spans="1:14" s="2" customFormat="1">
      <c r="A17958" s="83"/>
      <c r="H17958" s="83"/>
      <c r="K17958" s="82"/>
      <c r="M17958" s="112"/>
      <c r="N17958" s="84"/>
    </row>
    <row r="17959" spans="1:14" s="2" customFormat="1">
      <c r="A17959" s="83"/>
      <c r="H17959" s="83"/>
      <c r="K17959" s="82"/>
      <c r="M17959" s="112"/>
      <c r="N17959" s="84"/>
    </row>
    <row r="17960" spans="1:14" s="2" customFormat="1">
      <c r="A17960" s="83"/>
      <c r="H17960" s="83"/>
      <c r="K17960" s="82"/>
      <c r="M17960" s="112"/>
      <c r="N17960" s="84"/>
    </row>
    <row r="17961" spans="1:14" s="2" customFormat="1">
      <c r="A17961" s="83"/>
      <c r="H17961" s="83"/>
      <c r="K17961" s="82"/>
      <c r="M17961" s="112"/>
      <c r="N17961" s="84"/>
    </row>
    <row r="17962" spans="1:14" s="2" customFormat="1">
      <c r="A17962" s="83"/>
      <c r="H17962" s="83"/>
      <c r="K17962" s="82"/>
      <c r="M17962" s="112"/>
      <c r="N17962" s="84"/>
    </row>
    <row r="17963" spans="1:14" s="2" customFormat="1">
      <c r="A17963" s="83"/>
      <c r="H17963" s="83"/>
      <c r="K17963" s="82"/>
      <c r="M17963" s="112"/>
      <c r="N17963" s="84"/>
    </row>
    <row r="17964" spans="1:14" s="2" customFormat="1">
      <c r="A17964" s="83"/>
      <c r="H17964" s="83"/>
      <c r="K17964" s="82"/>
      <c r="M17964" s="112"/>
      <c r="N17964" s="84"/>
    </row>
    <row r="17965" spans="1:14" s="2" customFormat="1">
      <c r="A17965" s="83"/>
      <c r="H17965" s="83"/>
      <c r="K17965" s="82"/>
      <c r="M17965" s="112"/>
      <c r="N17965" s="84"/>
    </row>
    <row r="17966" spans="1:14" s="2" customFormat="1">
      <c r="A17966" s="83"/>
      <c r="H17966" s="83"/>
      <c r="K17966" s="82"/>
      <c r="M17966" s="112"/>
      <c r="N17966" s="84"/>
    </row>
    <row r="17967" spans="1:14" s="2" customFormat="1">
      <c r="A17967" s="83"/>
      <c r="H17967" s="83"/>
      <c r="K17967" s="82"/>
      <c r="M17967" s="112"/>
      <c r="N17967" s="84"/>
    </row>
    <row r="17968" spans="1:14" s="2" customFormat="1">
      <c r="A17968" s="83"/>
      <c r="H17968" s="83"/>
      <c r="K17968" s="82"/>
      <c r="M17968" s="112"/>
      <c r="N17968" s="84"/>
    </row>
    <row r="17969" spans="1:14" s="2" customFormat="1">
      <c r="A17969" s="83"/>
      <c r="H17969" s="83"/>
      <c r="K17969" s="82"/>
      <c r="M17969" s="112"/>
      <c r="N17969" s="84"/>
    </row>
    <row r="17970" spans="1:14" s="2" customFormat="1">
      <c r="A17970" s="83"/>
      <c r="H17970" s="83"/>
      <c r="K17970" s="82"/>
      <c r="M17970" s="112"/>
      <c r="N17970" s="84"/>
    </row>
    <row r="17971" spans="1:14" s="2" customFormat="1">
      <c r="A17971" s="83"/>
      <c r="H17971" s="83"/>
      <c r="K17971" s="82"/>
      <c r="M17971" s="112"/>
      <c r="N17971" s="84"/>
    </row>
    <row r="17972" spans="1:14" s="2" customFormat="1">
      <c r="A17972" s="83"/>
      <c r="H17972" s="83"/>
      <c r="K17972" s="82"/>
      <c r="M17972" s="112"/>
      <c r="N17972" s="84"/>
    </row>
    <row r="17973" spans="1:14" s="2" customFormat="1">
      <c r="A17973" s="83"/>
      <c r="H17973" s="83"/>
      <c r="K17973" s="82"/>
      <c r="M17973" s="112"/>
      <c r="N17973" s="84"/>
    </row>
    <row r="17974" spans="1:14" s="2" customFormat="1">
      <c r="A17974" s="83"/>
      <c r="H17974" s="83"/>
      <c r="K17974" s="82"/>
      <c r="M17974" s="112"/>
      <c r="N17974" s="84"/>
    </row>
    <row r="17975" spans="1:14" s="2" customFormat="1">
      <c r="A17975" s="83"/>
      <c r="H17975" s="83"/>
      <c r="K17975" s="82"/>
      <c r="M17975" s="112"/>
      <c r="N17975" s="84"/>
    </row>
    <row r="17976" spans="1:14" s="2" customFormat="1">
      <c r="A17976" s="83"/>
      <c r="H17976" s="83"/>
      <c r="K17976" s="82"/>
      <c r="M17976" s="112"/>
      <c r="N17976" s="84"/>
    </row>
    <row r="17977" spans="1:14" s="2" customFormat="1">
      <c r="A17977" s="83"/>
      <c r="H17977" s="83"/>
      <c r="K17977" s="82"/>
      <c r="M17977" s="112"/>
      <c r="N17977" s="84"/>
    </row>
    <row r="17978" spans="1:14" s="2" customFormat="1">
      <c r="A17978" s="83"/>
      <c r="H17978" s="83"/>
      <c r="K17978" s="82"/>
      <c r="M17978" s="112"/>
      <c r="N17978" s="84"/>
    </row>
    <row r="17979" spans="1:14" s="2" customFormat="1">
      <c r="A17979" s="83"/>
      <c r="H17979" s="83"/>
      <c r="K17979" s="82"/>
      <c r="M17979" s="112"/>
      <c r="N17979" s="84"/>
    </row>
    <row r="17980" spans="1:14" s="2" customFormat="1">
      <c r="A17980" s="83"/>
      <c r="H17980" s="83"/>
      <c r="K17980" s="82"/>
      <c r="M17980" s="112"/>
      <c r="N17980" s="84"/>
    </row>
    <row r="17981" spans="1:14" s="2" customFormat="1">
      <c r="A17981" s="83"/>
      <c r="H17981" s="83"/>
      <c r="K17981" s="82"/>
      <c r="M17981" s="112"/>
      <c r="N17981" s="84"/>
    </row>
    <row r="17982" spans="1:14" s="2" customFormat="1">
      <c r="A17982" s="83"/>
      <c r="H17982" s="83"/>
      <c r="K17982" s="82"/>
      <c r="M17982" s="112"/>
      <c r="N17982" s="84"/>
    </row>
    <row r="17983" spans="1:14" s="2" customFormat="1">
      <c r="A17983" s="83"/>
      <c r="H17983" s="83"/>
      <c r="K17983" s="82"/>
      <c r="M17983" s="112"/>
      <c r="N17983" s="84"/>
    </row>
    <row r="17984" spans="1:14" s="2" customFormat="1">
      <c r="A17984" s="83"/>
      <c r="H17984" s="83"/>
      <c r="K17984" s="82"/>
      <c r="M17984" s="112"/>
      <c r="N17984" s="84"/>
    </row>
    <row r="17985" spans="1:14" s="2" customFormat="1">
      <c r="A17985" s="83"/>
      <c r="H17985" s="83"/>
      <c r="K17985" s="82"/>
      <c r="M17985" s="112"/>
      <c r="N17985" s="84"/>
    </row>
    <row r="17986" spans="1:14" s="2" customFormat="1">
      <c r="A17986" s="83"/>
      <c r="H17986" s="83"/>
      <c r="K17986" s="82"/>
      <c r="M17986" s="112"/>
      <c r="N17986" s="84"/>
    </row>
    <row r="17987" spans="1:14" s="2" customFormat="1">
      <c r="A17987" s="83"/>
      <c r="H17987" s="83"/>
      <c r="K17987" s="82"/>
      <c r="M17987" s="112"/>
      <c r="N17987" s="84"/>
    </row>
    <row r="17988" spans="1:14" s="2" customFormat="1">
      <c r="A17988" s="83"/>
      <c r="H17988" s="83"/>
      <c r="K17988" s="82"/>
      <c r="M17988" s="112"/>
      <c r="N17988" s="84"/>
    </row>
    <row r="17989" spans="1:14" s="2" customFormat="1">
      <c r="A17989" s="83"/>
      <c r="H17989" s="83"/>
      <c r="K17989" s="82"/>
      <c r="M17989" s="112"/>
      <c r="N17989" s="84"/>
    </row>
    <row r="17990" spans="1:14" s="2" customFormat="1">
      <c r="A17990" s="83"/>
      <c r="H17990" s="83"/>
      <c r="K17990" s="82"/>
      <c r="M17990" s="112"/>
      <c r="N17990" s="84"/>
    </row>
    <row r="17991" spans="1:14" s="2" customFormat="1">
      <c r="A17991" s="83"/>
      <c r="H17991" s="83"/>
      <c r="K17991" s="82"/>
      <c r="M17991" s="112"/>
      <c r="N17991" s="84"/>
    </row>
    <row r="17992" spans="1:14" s="2" customFormat="1">
      <c r="A17992" s="83"/>
      <c r="H17992" s="83"/>
      <c r="K17992" s="82"/>
      <c r="M17992" s="112"/>
      <c r="N17992" s="84"/>
    </row>
    <row r="17993" spans="1:14" s="2" customFormat="1">
      <c r="A17993" s="83"/>
      <c r="H17993" s="83"/>
      <c r="K17993" s="82"/>
      <c r="M17993" s="112"/>
      <c r="N17993" s="84"/>
    </row>
    <row r="17994" spans="1:14" s="2" customFormat="1">
      <c r="A17994" s="83"/>
      <c r="H17994" s="83"/>
      <c r="K17994" s="82"/>
      <c r="M17994" s="112"/>
      <c r="N17994" s="84"/>
    </row>
    <row r="17995" spans="1:14" s="2" customFormat="1">
      <c r="A17995" s="83"/>
      <c r="H17995" s="83"/>
      <c r="K17995" s="82"/>
      <c r="M17995" s="112"/>
      <c r="N17995" s="84"/>
    </row>
    <row r="17996" spans="1:14" s="2" customFormat="1">
      <c r="A17996" s="83"/>
      <c r="H17996" s="83"/>
      <c r="K17996" s="82"/>
      <c r="M17996" s="112"/>
      <c r="N17996" s="84"/>
    </row>
    <row r="17997" spans="1:14" s="2" customFormat="1">
      <c r="A17997" s="83"/>
      <c r="H17997" s="83"/>
      <c r="K17997" s="82"/>
      <c r="M17997" s="112"/>
      <c r="N17997" s="84"/>
    </row>
    <row r="17998" spans="1:14" s="2" customFormat="1">
      <c r="A17998" s="83"/>
      <c r="H17998" s="83"/>
      <c r="K17998" s="82"/>
      <c r="M17998" s="112"/>
      <c r="N17998" s="84"/>
    </row>
    <row r="17999" spans="1:14" s="2" customFormat="1">
      <c r="A17999" s="83"/>
      <c r="H17999" s="83"/>
      <c r="K17999" s="82"/>
      <c r="M17999" s="112"/>
      <c r="N17999" s="84"/>
    </row>
    <row r="18000" spans="1:14" s="2" customFormat="1">
      <c r="A18000" s="83"/>
      <c r="H18000" s="83"/>
      <c r="K18000" s="82"/>
      <c r="M18000" s="112"/>
      <c r="N18000" s="84"/>
    </row>
    <row r="18001" spans="1:14" s="2" customFormat="1">
      <c r="A18001" s="83"/>
      <c r="H18001" s="83"/>
      <c r="K18001" s="82"/>
      <c r="M18001" s="112"/>
      <c r="N18001" s="84"/>
    </row>
    <row r="18002" spans="1:14" s="2" customFormat="1">
      <c r="A18002" s="83"/>
      <c r="H18002" s="83"/>
      <c r="K18002" s="82"/>
      <c r="M18002" s="112"/>
      <c r="N18002" s="84"/>
    </row>
    <row r="18003" spans="1:14" s="2" customFormat="1">
      <c r="A18003" s="83"/>
      <c r="H18003" s="83"/>
      <c r="K18003" s="82"/>
      <c r="M18003" s="112"/>
      <c r="N18003" s="84"/>
    </row>
    <row r="18004" spans="1:14" s="2" customFormat="1">
      <c r="A18004" s="83"/>
      <c r="H18004" s="83"/>
      <c r="K18004" s="82"/>
      <c r="M18004" s="112"/>
      <c r="N18004" s="84"/>
    </row>
    <row r="18005" spans="1:14" s="2" customFormat="1">
      <c r="A18005" s="83"/>
      <c r="H18005" s="83"/>
      <c r="K18005" s="82"/>
      <c r="M18005" s="112"/>
      <c r="N18005" s="84"/>
    </row>
    <row r="18006" spans="1:14" s="2" customFormat="1">
      <c r="A18006" s="83"/>
      <c r="H18006" s="83"/>
      <c r="K18006" s="82"/>
      <c r="M18006" s="112"/>
      <c r="N18006" s="84"/>
    </row>
    <row r="18007" spans="1:14" s="2" customFormat="1">
      <c r="A18007" s="83"/>
      <c r="H18007" s="83"/>
      <c r="K18007" s="82"/>
      <c r="M18007" s="112"/>
      <c r="N18007" s="84"/>
    </row>
    <row r="18008" spans="1:14" s="2" customFormat="1">
      <c r="A18008" s="83"/>
      <c r="H18008" s="83"/>
      <c r="K18008" s="82"/>
      <c r="M18008" s="112"/>
      <c r="N18008" s="84"/>
    </row>
    <row r="18009" spans="1:14" s="2" customFormat="1">
      <c r="A18009" s="83"/>
      <c r="H18009" s="83"/>
      <c r="K18009" s="82"/>
      <c r="M18009" s="112"/>
      <c r="N18009" s="84"/>
    </row>
    <row r="18010" spans="1:14" s="2" customFormat="1">
      <c r="A18010" s="83"/>
      <c r="H18010" s="83"/>
      <c r="K18010" s="82"/>
      <c r="M18010" s="112"/>
      <c r="N18010" s="84"/>
    </row>
    <row r="18011" spans="1:14" s="2" customFormat="1">
      <c r="A18011" s="83"/>
      <c r="H18011" s="83"/>
      <c r="K18011" s="82"/>
      <c r="M18011" s="112"/>
      <c r="N18011" s="84"/>
    </row>
    <row r="18012" spans="1:14" s="2" customFormat="1">
      <c r="A18012" s="83"/>
      <c r="H18012" s="83"/>
      <c r="K18012" s="82"/>
      <c r="M18012" s="112"/>
      <c r="N18012" s="84"/>
    </row>
    <row r="18013" spans="1:14" s="2" customFormat="1">
      <c r="A18013" s="83"/>
      <c r="H18013" s="83"/>
      <c r="K18013" s="82"/>
      <c r="M18013" s="112"/>
      <c r="N18013" s="84"/>
    </row>
    <row r="18014" spans="1:14" s="2" customFormat="1">
      <c r="A18014" s="83"/>
      <c r="H18014" s="83"/>
      <c r="K18014" s="82"/>
      <c r="M18014" s="112"/>
      <c r="N18014" s="84"/>
    </row>
    <row r="18015" spans="1:14" s="2" customFormat="1">
      <c r="A18015" s="83"/>
      <c r="H18015" s="83"/>
      <c r="K18015" s="82"/>
      <c r="M18015" s="112"/>
      <c r="N18015" s="84"/>
    </row>
    <row r="18016" spans="1:14" s="2" customFormat="1">
      <c r="A18016" s="83"/>
      <c r="H18016" s="83"/>
      <c r="K18016" s="82"/>
      <c r="M18016" s="112"/>
      <c r="N18016" s="84"/>
    </row>
    <row r="18017" spans="1:14" s="2" customFormat="1">
      <c r="A18017" s="83"/>
      <c r="H18017" s="83"/>
      <c r="K18017" s="82"/>
      <c r="M18017" s="112"/>
      <c r="N18017" s="84"/>
    </row>
    <row r="18018" spans="1:14" s="2" customFormat="1">
      <c r="A18018" s="83"/>
      <c r="H18018" s="83"/>
      <c r="K18018" s="82"/>
      <c r="M18018" s="112"/>
      <c r="N18018" s="84"/>
    </row>
    <row r="18019" spans="1:14" s="2" customFormat="1">
      <c r="A18019" s="83"/>
      <c r="H18019" s="83"/>
      <c r="K18019" s="82"/>
      <c r="M18019" s="112"/>
      <c r="N18019" s="84"/>
    </row>
    <row r="18020" spans="1:14" s="2" customFormat="1">
      <c r="A18020" s="83"/>
      <c r="H18020" s="83"/>
      <c r="K18020" s="82"/>
      <c r="M18020" s="112"/>
      <c r="N18020" s="84"/>
    </row>
    <row r="18021" spans="1:14" s="2" customFormat="1">
      <c r="A18021" s="83"/>
      <c r="H18021" s="83"/>
      <c r="K18021" s="82"/>
      <c r="M18021" s="112"/>
      <c r="N18021" s="84"/>
    </row>
    <row r="18022" spans="1:14" s="2" customFormat="1">
      <c r="A18022" s="83"/>
      <c r="H18022" s="83"/>
      <c r="K18022" s="82"/>
      <c r="M18022" s="112"/>
      <c r="N18022" s="84"/>
    </row>
    <row r="18023" spans="1:14" s="2" customFormat="1">
      <c r="A18023" s="83"/>
      <c r="H18023" s="83"/>
      <c r="K18023" s="82"/>
      <c r="M18023" s="112"/>
      <c r="N18023" s="84"/>
    </row>
    <row r="18024" spans="1:14" s="2" customFormat="1">
      <c r="A18024" s="83"/>
      <c r="H18024" s="83"/>
      <c r="K18024" s="82"/>
      <c r="M18024" s="112"/>
      <c r="N18024" s="84"/>
    </row>
    <row r="18025" spans="1:14" s="2" customFormat="1">
      <c r="A18025" s="83"/>
      <c r="H18025" s="83"/>
      <c r="K18025" s="82"/>
      <c r="M18025" s="112"/>
      <c r="N18025" s="84"/>
    </row>
    <row r="18026" spans="1:14" s="2" customFormat="1">
      <c r="A18026" s="83"/>
      <c r="H18026" s="83"/>
      <c r="K18026" s="82"/>
      <c r="M18026" s="112"/>
      <c r="N18026" s="84"/>
    </row>
    <row r="18027" spans="1:14" s="2" customFormat="1">
      <c r="A18027" s="83"/>
      <c r="H18027" s="83"/>
      <c r="K18027" s="82"/>
      <c r="M18027" s="112"/>
      <c r="N18027" s="84"/>
    </row>
    <row r="18028" spans="1:14" s="2" customFormat="1">
      <c r="A18028" s="83"/>
      <c r="H18028" s="83"/>
      <c r="K18028" s="82"/>
      <c r="M18028" s="112"/>
      <c r="N18028" s="84"/>
    </row>
    <row r="18029" spans="1:14" s="2" customFormat="1">
      <c r="A18029" s="83"/>
      <c r="H18029" s="83"/>
      <c r="K18029" s="82"/>
      <c r="M18029" s="112"/>
      <c r="N18029" s="84"/>
    </row>
    <row r="18030" spans="1:14" s="2" customFormat="1">
      <c r="A18030" s="83"/>
      <c r="H18030" s="83"/>
      <c r="K18030" s="82"/>
      <c r="M18030" s="112"/>
      <c r="N18030" s="84"/>
    </row>
    <row r="18031" spans="1:14" s="2" customFormat="1">
      <c r="A18031" s="83"/>
      <c r="H18031" s="83"/>
      <c r="K18031" s="82"/>
      <c r="M18031" s="112"/>
      <c r="N18031" s="84"/>
    </row>
    <row r="18032" spans="1:14" s="2" customFormat="1">
      <c r="A18032" s="83"/>
      <c r="H18032" s="83"/>
      <c r="K18032" s="82"/>
      <c r="M18032" s="112"/>
      <c r="N18032" s="84"/>
    </row>
    <row r="18033" spans="1:14" s="2" customFormat="1">
      <c r="A18033" s="83"/>
      <c r="H18033" s="83"/>
      <c r="K18033" s="82"/>
      <c r="M18033" s="112"/>
      <c r="N18033" s="84"/>
    </row>
    <row r="18034" spans="1:14" s="2" customFormat="1">
      <c r="A18034" s="83"/>
      <c r="H18034" s="83"/>
      <c r="K18034" s="82"/>
      <c r="M18034" s="112"/>
      <c r="N18034" s="84"/>
    </row>
    <row r="18035" spans="1:14" s="2" customFormat="1">
      <c r="A18035" s="83"/>
      <c r="H18035" s="83"/>
      <c r="K18035" s="82"/>
      <c r="M18035" s="112"/>
      <c r="N18035" s="84"/>
    </row>
    <row r="18036" spans="1:14" s="2" customFormat="1">
      <c r="A18036" s="83"/>
      <c r="H18036" s="83"/>
      <c r="K18036" s="82"/>
      <c r="M18036" s="112"/>
      <c r="N18036" s="84"/>
    </row>
    <row r="18037" spans="1:14" s="2" customFormat="1">
      <c r="A18037" s="83"/>
      <c r="H18037" s="83"/>
      <c r="K18037" s="82"/>
      <c r="M18037" s="112"/>
      <c r="N18037" s="84"/>
    </row>
    <row r="18038" spans="1:14" s="2" customFormat="1">
      <c r="A18038" s="83"/>
      <c r="H18038" s="83"/>
      <c r="K18038" s="82"/>
      <c r="M18038" s="112"/>
      <c r="N18038" s="84"/>
    </row>
    <row r="18039" spans="1:14" s="2" customFormat="1">
      <c r="A18039" s="83"/>
      <c r="H18039" s="83"/>
      <c r="K18039" s="82"/>
      <c r="M18039" s="112"/>
      <c r="N18039" s="84"/>
    </row>
    <row r="18040" spans="1:14" s="2" customFormat="1">
      <c r="A18040" s="83"/>
      <c r="H18040" s="83"/>
      <c r="K18040" s="82"/>
      <c r="M18040" s="112"/>
      <c r="N18040" s="84"/>
    </row>
    <row r="18041" spans="1:14" s="2" customFormat="1">
      <c r="A18041" s="83"/>
      <c r="H18041" s="83"/>
      <c r="K18041" s="82"/>
      <c r="M18041" s="112"/>
      <c r="N18041" s="84"/>
    </row>
    <row r="18042" spans="1:14" s="2" customFormat="1">
      <c r="A18042" s="83"/>
      <c r="H18042" s="83"/>
      <c r="K18042" s="82"/>
      <c r="M18042" s="112"/>
      <c r="N18042" s="84"/>
    </row>
    <row r="18043" spans="1:14" s="2" customFormat="1">
      <c r="A18043" s="83"/>
      <c r="H18043" s="83"/>
      <c r="K18043" s="82"/>
      <c r="M18043" s="112"/>
      <c r="N18043" s="84"/>
    </row>
    <row r="18044" spans="1:14" s="2" customFormat="1">
      <c r="A18044" s="83"/>
      <c r="H18044" s="83"/>
      <c r="K18044" s="82"/>
      <c r="M18044" s="112"/>
      <c r="N18044" s="84"/>
    </row>
    <row r="18045" spans="1:14" s="2" customFormat="1">
      <c r="A18045" s="83"/>
      <c r="H18045" s="83"/>
      <c r="K18045" s="82"/>
      <c r="M18045" s="112"/>
      <c r="N18045" s="84"/>
    </row>
    <row r="18046" spans="1:14" s="2" customFormat="1">
      <c r="A18046" s="83"/>
      <c r="H18046" s="83"/>
      <c r="K18046" s="82"/>
      <c r="M18046" s="112"/>
      <c r="N18046" s="84"/>
    </row>
    <row r="18047" spans="1:14" s="2" customFormat="1">
      <c r="A18047" s="83"/>
      <c r="H18047" s="83"/>
      <c r="K18047" s="82"/>
      <c r="M18047" s="112"/>
      <c r="N18047" s="84"/>
    </row>
    <row r="18048" spans="1:14" s="2" customFormat="1">
      <c r="A18048" s="83"/>
      <c r="H18048" s="83"/>
      <c r="K18048" s="82"/>
      <c r="M18048" s="112"/>
      <c r="N18048" s="84"/>
    </row>
    <row r="18049" spans="1:14" s="2" customFormat="1">
      <c r="A18049" s="83"/>
      <c r="H18049" s="83"/>
      <c r="K18049" s="82"/>
      <c r="M18049" s="112"/>
      <c r="N18049" s="84"/>
    </row>
    <row r="18050" spans="1:14" s="2" customFormat="1">
      <c r="A18050" s="83"/>
      <c r="H18050" s="83"/>
      <c r="K18050" s="82"/>
      <c r="M18050" s="112"/>
      <c r="N18050" s="84"/>
    </row>
    <row r="18051" spans="1:14" s="2" customFormat="1">
      <c r="A18051" s="83"/>
      <c r="H18051" s="83"/>
      <c r="K18051" s="82"/>
      <c r="M18051" s="112"/>
      <c r="N18051" s="84"/>
    </row>
    <row r="18052" spans="1:14" s="2" customFormat="1">
      <c r="A18052" s="83"/>
      <c r="H18052" s="83"/>
      <c r="K18052" s="82"/>
      <c r="M18052" s="112"/>
      <c r="N18052" s="84"/>
    </row>
    <row r="18053" spans="1:14" s="2" customFormat="1">
      <c r="A18053" s="83"/>
      <c r="H18053" s="83"/>
      <c r="K18053" s="82"/>
      <c r="M18053" s="112"/>
      <c r="N18053" s="84"/>
    </row>
    <row r="18054" spans="1:14" s="2" customFormat="1">
      <c r="A18054" s="83"/>
      <c r="H18054" s="83"/>
      <c r="K18054" s="82"/>
      <c r="M18054" s="112"/>
      <c r="N18054" s="84"/>
    </row>
    <row r="18055" spans="1:14" s="2" customFormat="1">
      <c r="A18055" s="83"/>
      <c r="H18055" s="83"/>
      <c r="K18055" s="82"/>
      <c r="M18055" s="112"/>
      <c r="N18055" s="84"/>
    </row>
    <row r="18056" spans="1:14" s="2" customFormat="1">
      <c r="A18056" s="83"/>
      <c r="H18056" s="83"/>
      <c r="K18056" s="82"/>
      <c r="M18056" s="112"/>
      <c r="N18056" s="84"/>
    </row>
    <row r="18057" spans="1:14" s="2" customFormat="1">
      <c r="A18057" s="83"/>
      <c r="H18057" s="83"/>
      <c r="K18057" s="82"/>
      <c r="M18057" s="112"/>
      <c r="N18057" s="84"/>
    </row>
    <row r="18058" spans="1:14" s="2" customFormat="1">
      <c r="A18058" s="83"/>
      <c r="H18058" s="83"/>
      <c r="K18058" s="82"/>
      <c r="M18058" s="112"/>
      <c r="N18058" s="84"/>
    </row>
    <row r="18059" spans="1:14" s="2" customFormat="1">
      <c r="A18059" s="83"/>
      <c r="H18059" s="83"/>
      <c r="K18059" s="82"/>
      <c r="M18059" s="112"/>
      <c r="N18059" s="84"/>
    </row>
    <row r="18060" spans="1:14" s="2" customFormat="1">
      <c r="A18060" s="83"/>
      <c r="H18060" s="83"/>
      <c r="K18060" s="82"/>
      <c r="M18060" s="112"/>
      <c r="N18060" s="84"/>
    </row>
    <row r="18061" spans="1:14" s="2" customFormat="1">
      <c r="A18061" s="83"/>
      <c r="H18061" s="83"/>
      <c r="K18061" s="82"/>
      <c r="M18061" s="112"/>
      <c r="N18061" s="84"/>
    </row>
    <row r="18062" spans="1:14" s="2" customFormat="1">
      <c r="A18062" s="83"/>
      <c r="H18062" s="83"/>
      <c r="K18062" s="82"/>
      <c r="M18062" s="112"/>
      <c r="N18062" s="84"/>
    </row>
    <row r="18063" spans="1:14" s="2" customFormat="1">
      <c r="A18063" s="83"/>
      <c r="H18063" s="83"/>
      <c r="K18063" s="82"/>
      <c r="M18063" s="112"/>
      <c r="N18063" s="84"/>
    </row>
    <row r="18064" spans="1:14" s="2" customFormat="1">
      <c r="A18064" s="83"/>
      <c r="H18064" s="83"/>
      <c r="K18064" s="82"/>
      <c r="M18064" s="112"/>
      <c r="N18064" s="84"/>
    </row>
    <row r="18065" spans="1:14" s="2" customFormat="1">
      <c r="A18065" s="83"/>
      <c r="H18065" s="83"/>
      <c r="K18065" s="82"/>
      <c r="M18065" s="112"/>
      <c r="N18065" s="84"/>
    </row>
    <row r="18066" spans="1:14" s="2" customFormat="1">
      <c r="A18066" s="83"/>
      <c r="H18066" s="83"/>
      <c r="K18066" s="82"/>
      <c r="M18066" s="112"/>
      <c r="N18066" s="84"/>
    </row>
    <row r="18067" spans="1:14" s="2" customFormat="1">
      <c r="A18067" s="83"/>
      <c r="H18067" s="83"/>
      <c r="K18067" s="82"/>
      <c r="M18067" s="112"/>
      <c r="N18067" s="84"/>
    </row>
    <row r="18068" spans="1:14" s="2" customFormat="1">
      <c r="A18068" s="83"/>
      <c r="H18068" s="83"/>
      <c r="K18068" s="82"/>
      <c r="M18068" s="112"/>
      <c r="N18068" s="84"/>
    </row>
    <row r="18069" spans="1:14" s="2" customFormat="1">
      <c r="A18069" s="83"/>
      <c r="H18069" s="83"/>
      <c r="K18069" s="82"/>
      <c r="M18069" s="112"/>
      <c r="N18069" s="84"/>
    </row>
    <row r="18070" spans="1:14" s="2" customFormat="1">
      <c r="A18070" s="83"/>
      <c r="H18070" s="83"/>
      <c r="K18070" s="82"/>
      <c r="M18070" s="112"/>
      <c r="N18070" s="84"/>
    </row>
    <row r="18071" spans="1:14" s="2" customFormat="1">
      <c r="A18071" s="83"/>
      <c r="H18071" s="83"/>
      <c r="K18071" s="82"/>
      <c r="M18071" s="112"/>
      <c r="N18071" s="84"/>
    </row>
    <row r="18072" spans="1:14" s="2" customFormat="1">
      <c r="A18072" s="83"/>
      <c r="H18072" s="83"/>
      <c r="K18072" s="82"/>
      <c r="M18072" s="112"/>
      <c r="N18072" s="84"/>
    </row>
    <row r="18073" spans="1:14" s="2" customFormat="1">
      <c r="A18073" s="83"/>
      <c r="H18073" s="83"/>
      <c r="K18073" s="82"/>
      <c r="M18073" s="112"/>
      <c r="N18073" s="84"/>
    </row>
    <row r="18074" spans="1:14" s="2" customFormat="1">
      <c r="A18074" s="83"/>
      <c r="H18074" s="83"/>
      <c r="K18074" s="82"/>
      <c r="M18074" s="112"/>
      <c r="N18074" s="84"/>
    </row>
    <row r="18075" spans="1:14" s="2" customFormat="1">
      <c r="A18075" s="83"/>
      <c r="H18075" s="83"/>
      <c r="K18075" s="82"/>
      <c r="M18075" s="112"/>
      <c r="N18075" s="84"/>
    </row>
    <row r="18076" spans="1:14" s="2" customFormat="1">
      <c r="A18076" s="83"/>
      <c r="H18076" s="83"/>
      <c r="K18076" s="82"/>
      <c r="M18076" s="112"/>
      <c r="N18076" s="84"/>
    </row>
    <row r="18077" spans="1:14" s="2" customFormat="1">
      <c r="A18077" s="83"/>
      <c r="H18077" s="83"/>
      <c r="K18077" s="82"/>
      <c r="M18077" s="112"/>
      <c r="N18077" s="84"/>
    </row>
    <row r="18078" spans="1:14" s="2" customFormat="1">
      <c r="A18078" s="83"/>
      <c r="H18078" s="83"/>
      <c r="K18078" s="82"/>
      <c r="M18078" s="112"/>
      <c r="N18078" s="84"/>
    </row>
    <row r="18079" spans="1:14" s="2" customFormat="1">
      <c r="A18079" s="83"/>
      <c r="H18079" s="83"/>
      <c r="K18079" s="82"/>
      <c r="M18079" s="112"/>
      <c r="N18079" s="84"/>
    </row>
    <row r="18080" spans="1:14" s="2" customFormat="1">
      <c r="A18080" s="83"/>
      <c r="H18080" s="83"/>
      <c r="K18080" s="82"/>
      <c r="M18080" s="112"/>
      <c r="N18080" s="84"/>
    </row>
    <row r="18081" spans="1:14" s="2" customFormat="1">
      <c r="A18081" s="83"/>
      <c r="H18081" s="83"/>
      <c r="K18081" s="82"/>
      <c r="M18081" s="112"/>
      <c r="N18081" s="84"/>
    </row>
    <row r="18082" spans="1:14" s="2" customFormat="1">
      <c r="A18082" s="83"/>
      <c r="H18082" s="83"/>
      <c r="K18082" s="82"/>
      <c r="M18082" s="112"/>
      <c r="N18082" s="84"/>
    </row>
    <row r="18083" spans="1:14" s="2" customFormat="1">
      <c r="A18083" s="83"/>
      <c r="H18083" s="83"/>
      <c r="K18083" s="82"/>
      <c r="M18083" s="112"/>
      <c r="N18083" s="84"/>
    </row>
    <row r="18084" spans="1:14" s="2" customFormat="1">
      <c r="A18084" s="83"/>
      <c r="H18084" s="83"/>
      <c r="K18084" s="82"/>
      <c r="M18084" s="112"/>
      <c r="N18084" s="84"/>
    </row>
    <row r="18085" spans="1:14" s="2" customFormat="1">
      <c r="A18085" s="83"/>
      <c r="H18085" s="83"/>
      <c r="K18085" s="82"/>
      <c r="M18085" s="112"/>
      <c r="N18085" s="84"/>
    </row>
    <row r="18086" spans="1:14" s="2" customFormat="1">
      <c r="A18086" s="83"/>
      <c r="H18086" s="83"/>
      <c r="K18086" s="82"/>
      <c r="M18086" s="112"/>
      <c r="N18086" s="84"/>
    </row>
    <row r="18087" spans="1:14" s="2" customFormat="1">
      <c r="A18087" s="83"/>
      <c r="H18087" s="83"/>
      <c r="K18087" s="82"/>
      <c r="M18087" s="112"/>
      <c r="N18087" s="84"/>
    </row>
    <row r="18088" spans="1:14" s="2" customFormat="1">
      <c r="A18088" s="83"/>
      <c r="H18088" s="83"/>
      <c r="K18088" s="82"/>
      <c r="M18088" s="112"/>
      <c r="N18088" s="84"/>
    </row>
    <row r="18089" spans="1:14" s="2" customFormat="1">
      <c r="A18089" s="83"/>
      <c r="H18089" s="83"/>
      <c r="K18089" s="82"/>
      <c r="M18089" s="112"/>
      <c r="N18089" s="84"/>
    </row>
    <row r="18090" spans="1:14" s="2" customFormat="1">
      <c r="A18090" s="83"/>
      <c r="H18090" s="83"/>
      <c r="K18090" s="82"/>
      <c r="M18090" s="112"/>
      <c r="N18090" s="84"/>
    </row>
    <row r="18091" spans="1:14" s="2" customFormat="1">
      <c r="A18091" s="83"/>
      <c r="H18091" s="83"/>
      <c r="K18091" s="82"/>
      <c r="M18091" s="112"/>
      <c r="N18091" s="84"/>
    </row>
    <row r="18092" spans="1:14" s="2" customFormat="1">
      <c r="A18092" s="83"/>
      <c r="H18092" s="83"/>
      <c r="K18092" s="82"/>
      <c r="M18092" s="112"/>
      <c r="N18092" s="84"/>
    </row>
    <row r="18093" spans="1:14" s="2" customFormat="1">
      <c r="A18093" s="83"/>
      <c r="H18093" s="83"/>
      <c r="K18093" s="82"/>
      <c r="M18093" s="112"/>
      <c r="N18093" s="84"/>
    </row>
    <row r="18094" spans="1:14" s="2" customFormat="1">
      <c r="A18094" s="83"/>
      <c r="H18094" s="83"/>
      <c r="K18094" s="82"/>
      <c r="M18094" s="112"/>
      <c r="N18094" s="84"/>
    </row>
    <row r="18095" spans="1:14" s="2" customFormat="1">
      <c r="A18095" s="83"/>
      <c r="H18095" s="83"/>
      <c r="K18095" s="82"/>
      <c r="M18095" s="112"/>
      <c r="N18095" s="84"/>
    </row>
    <row r="18096" spans="1:14" s="2" customFormat="1">
      <c r="A18096" s="83"/>
      <c r="H18096" s="83"/>
      <c r="K18096" s="82"/>
      <c r="M18096" s="112"/>
      <c r="N18096" s="84"/>
    </row>
    <row r="18097" spans="1:14" s="2" customFormat="1">
      <c r="A18097" s="83"/>
      <c r="H18097" s="83"/>
      <c r="K18097" s="82"/>
      <c r="M18097" s="112"/>
      <c r="N18097" s="84"/>
    </row>
    <row r="18098" spans="1:14" s="2" customFormat="1">
      <c r="A18098" s="83"/>
      <c r="H18098" s="83"/>
      <c r="K18098" s="82"/>
      <c r="M18098" s="112"/>
      <c r="N18098" s="84"/>
    </row>
    <row r="18099" spans="1:14" s="2" customFormat="1">
      <c r="A18099" s="83"/>
      <c r="H18099" s="83"/>
      <c r="K18099" s="82"/>
      <c r="M18099" s="112"/>
      <c r="N18099" s="84"/>
    </row>
    <row r="18100" spans="1:14" s="2" customFormat="1">
      <c r="A18100" s="83"/>
      <c r="H18100" s="83"/>
      <c r="K18100" s="82"/>
      <c r="M18100" s="112"/>
      <c r="N18100" s="84"/>
    </row>
    <row r="18101" spans="1:14" s="2" customFormat="1">
      <c r="A18101" s="83"/>
      <c r="H18101" s="83"/>
      <c r="K18101" s="82"/>
      <c r="M18101" s="112"/>
      <c r="N18101" s="84"/>
    </row>
    <row r="18102" spans="1:14" s="2" customFormat="1">
      <c r="A18102" s="83"/>
      <c r="H18102" s="83"/>
      <c r="K18102" s="82"/>
      <c r="M18102" s="112"/>
      <c r="N18102" s="84"/>
    </row>
    <row r="18103" spans="1:14" s="2" customFormat="1">
      <c r="A18103" s="83"/>
      <c r="H18103" s="83"/>
      <c r="K18103" s="82"/>
      <c r="M18103" s="112"/>
      <c r="N18103" s="84"/>
    </row>
    <row r="18104" spans="1:14" s="2" customFormat="1">
      <c r="A18104" s="83"/>
      <c r="H18104" s="83"/>
      <c r="K18104" s="82"/>
      <c r="M18104" s="112"/>
      <c r="N18104" s="84"/>
    </row>
    <row r="18105" spans="1:14" s="2" customFormat="1">
      <c r="A18105" s="83"/>
      <c r="H18105" s="83"/>
      <c r="K18105" s="82"/>
      <c r="M18105" s="112"/>
      <c r="N18105" s="84"/>
    </row>
    <row r="18106" spans="1:14" s="2" customFormat="1">
      <c r="A18106" s="83"/>
      <c r="H18106" s="83"/>
      <c r="K18106" s="82"/>
      <c r="M18106" s="112"/>
      <c r="N18106" s="84"/>
    </row>
    <row r="18107" spans="1:14" s="2" customFormat="1">
      <c r="A18107" s="83"/>
      <c r="H18107" s="83"/>
      <c r="K18107" s="82"/>
      <c r="M18107" s="112"/>
      <c r="N18107" s="84"/>
    </row>
    <row r="18108" spans="1:14" s="2" customFormat="1">
      <c r="A18108" s="83"/>
      <c r="H18108" s="83"/>
      <c r="K18108" s="82"/>
      <c r="M18108" s="112"/>
      <c r="N18108" s="84"/>
    </row>
    <row r="18109" spans="1:14" s="2" customFormat="1">
      <c r="A18109" s="83"/>
      <c r="H18109" s="83"/>
      <c r="K18109" s="82"/>
      <c r="M18109" s="112"/>
      <c r="N18109" s="84"/>
    </row>
    <row r="18110" spans="1:14" s="2" customFormat="1">
      <c r="A18110" s="83"/>
      <c r="H18110" s="83"/>
      <c r="K18110" s="82"/>
      <c r="M18110" s="112"/>
      <c r="N18110" s="84"/>
    </row>
    <row r="18111" spans="1:14" s="2" customFormat="1">
      <c r="A18111" s="83"/>
      <c r="H18111" s="83"/>
      <c r="K18111" s="82"/>
      <c r="M18111" s="112"/>
      <c r="N18111" s="84"/>
    </row>
    <row r="18112" spans="1:14" s="2" customFormat="1">
      <c r="A18112" s="83"/>
      <c r="H18112" s="83"/>
      <c r="K18112" s="82"/>
      <c r="M18112" s="112"/>
      <c r="N18112" s="84"/>
    </row>
    <row r="18113" spans="1:14" s="2" customFormat="1">
      <c r="A18113" s="83"/>
      <c r="H18113" s="83"/>
      <c r="K18113" s="82"/>
      <c r="M18113" s="112"/>
      <c r="N18113" s="84"/>
    </row>
    <row r="18114" spans="1:14" s="2" customFormat="1">
      <c r="A18114" s="83"/>
      <c r="H18114" s="83"/>
      <c r="K18114" s="82"/>
      <c r="M18114" s="112"/>
      <c r="N18114" s="84"/>
    </row>
    <row r="18115" spans="1:14" s="2" customFormat="1">
      <c r="A18115" s="83"/>
      <c r="H18115" s="83"/>
      <c r="K18115" s="82"/>
      <c r="M18115" s="112"/>
      <c r="N18115" s="84"/>
    </row>
    <row r="18116" spans="1:14" s="2" customFormat="1">
      <c r="A18116" s="83"/>
      <c r="H18116" s="83"/>
      <c r="K18116" s="82"/>
      <c r="M18116" s="112"/>
      <c r="N18116" s="84"/>
    </row>
    <row r="18117" spans="1:14" s="2" customFormat="1">
      <c r="A18117" s="83"/>
      <c r="H18117" s="83"/>
      <c r="K18117" s="82"/>
      <c r="M18117" s="112"/>
      <c r="N18117" s="84"/>
    </row>
    <row r="18118" spans="1:14" s="2" customFormat="1">
      <c r="A18118" s="83"/>
      <c r="H18118" s="83"/>
      <c r="K18118" s="82"/>
      <c r="M18118" s="112"/>
      <c r="N18118" s="84"/>
    </row>
    <row r="18119" spans="1:14" s="2" customFormat="1">
      <c r="A18119" s="83"/>
      <c r="H18119" s="83"/>
      <c r="K18119" s="82"/>
      <c r="M18119" s="112"/>
      <c r="N18119" s="84"/>
    </row>
    <row r="18120" spans="1:14" s="2" customFormat="1">
      <c r="A18120" s="83"/>
      <c r="H18120" s="83"/>
      <c r="K18120" s="82"/>
      <c r="M18120" s="112"/>
      <c r="N18120" s="84"/>
    </row>
    <row r="18121" spans="1:14" s="2" customFormat="1">
      <c r="A18121" s="83"/>
      <c r="H18121" s="83"/>
      <c r="K18121" s="82"/>
      <c r="M18121" s="112"/>
      <c r="N18121" s="84"/>
    </row>
    <row r="18122" spans="1:14" s="2" customFormat="1">
      <c r="A18122" s="83"/>
      <c r="H18122" s="83"/>
      <c r="K18122" s="82"/>
      <c r="M18122" s="112"/>
      <c r="N18122" s="84"/>
    </row>
    <row r="18123" spans="1:14" s="2" customFormat="1">
      <c r="A18123" s="83"/>
      <c r="H18123" s="83"/>
      <c r="K18123" s="82"/>
      <c r="M18123" s="112"/>
      <c r="N18123" s="84"/>
    </row>
    <row r="18124" spans="1:14" s="2" customFormat="1">
      <c r="A18124" s="83"/>
      <c r="H18124" s="83"/>
      <c r="K18124" s="82"/>
      <c r="M18124" s="112"/>
      <c r="N18124" s="84"/>
    </row>
    <row r="18125" spans="1:14" s="2" customFormat="1">
      <c r="A18125" s="83"/>
      <c r="H18125" s="83"/>
      <c r="K18125" s="82"/>
      <c r="M18125" s="112"/>
      <c r="N18125" s="84"/>
    </row>
    <row r="18126" spans="1:14" s="2" customFormat="1">
      <c r="A18126" s="83"/>
      <c r="H18126" s="83"/>
      <c r="K18126" s="82"/>
      <c r="M18126" s="112"/>
      <c r="N18126" s="84"/>
    </row>
    <row r="18127" spans="1:14" s="2" customFormat="1">
      <c r="A18127" s="83"/>
      <c r="H18127" s="83"/>
      <c r="K18127" s="82"/>
      <c r="M18127" s="112"/>
      <c r="N18127" s="84"/>
    </row>
    <row r="18128" spans="1:14" s="2" customFormat="1">
      <c r="A18128" s="83"/>
      <c r="H18128" s="83"/>
      <c r="K18128" s="82"/>
      <c r="M18128" s="112"/>
      <c r="N18128" s="84"/>
    </row>
    <row r="18129" spans="1:14" s="2" customFormat="1">
      <c r="A18129" s="83"/>
      <c r="H18129" s="83"/>
      <c r="K18129" s="82"/>
      <c r="M18129" s="112"/>
      <c r="N18129" s="84"/>
    </row>
    <row r="18130" spans="1:14" s="2" customFormat="1">
      <c r="A18130" s="83"/>
      <c r="H18130" s="83"/>
      <c r="K18130" s="82"/>
      <c r="M18130" s="112"/>
      <c r="N18130" s="84"/>
    </row>
    <row r="18131" spans="1:14" s="2" customFormat="1">
      <c r="A18131" s="83"/>
      <c r="H18131" s="83"/>
      <c r="K18131" s="82"/>
      <c r="M18131" s="112"/>
      <c r="N18131" s="84"/>
    </row>
    <row r="18132" spans="1:14" s="2" customFormat="1">
      <c r="A18132" s="83"/>
      <c r="H18132" s="83"/>
      <c r="K18132" s="82"/>
      <c r="M18132" s="112"/>
      <c r="N18132" s="84"/>
    </row>
    <row r="18133" spans="1:14" s="2" customFormat="1">
      <c r="A18133" s="83"/>
      <c r="H18133" s="83"/>
      <c r="K18133" s="82"/>
      <c r="M18133" s="112"/>
      <c r="N18133" s="84"/>
    </row>
    <row r="18134" spans="1:14" s="2" customFormat="1">
      <c r="A18134" s="83"/>
      <c r="H18134" s="83"/>
      <c r="K18134" s="82"/>
      <c r="M18134" s="112"/>
      <c r="N18134" s="84"/>
    </row>
    <row r="18135" spans="1:14" s="2" customFormat="1">
      <c r="A18135" s="83"/>
      <c r="H18135" s="83"/>
      <c r="K18135" s="82"/>
      <c r="M18135" s="112"/>
      <c r="N18135" s="84"/>
    </row>
    <row r="18136" spans="1:14" s="2" customFormat="1">
      <c r="A18136" s="83"/>
      <c r="H18136" s="83"/>
      <c r="K18136" s="82"/>
      <c r="M18136" s="112"/>
      <c r="N18136" s="84"/>
    </row>
    <row r="18137" spans="1:14" s="2" customFormat="1">
      <c r="A18137" s="83"/>
      <c r="H18137" s="83"/>
      <c r="K18137" s="82"/>
      <c r="M18137" s="112"/>
      <c r="N18137" s="84"/>
    </row>
    <row r="18138" spans="1:14" s="2" customFormat="1">
      <c r="A18138" s="83"/>
      <c r="H18138" s="83"/>
      <c r="K18138" s="82"/>
      <c r="M18138" s="112"/>
      <c r="N18138" s="84"/>
    </row>
    <row r="18139" spans="1:14" s="2" customFormat="1">
      <c r="A18139" s="83"/>
      <c r="H18139" s="83"/>
      <c r="K18139" s="82"/>
      <c r="M18139" s="112"/>
      <c r="N18139" s="84"/>
    </row>
    <row r="18140" spans="1:14" s="2" customFormat="1">
      <c r="A18140" s="83"/>
      <c r="H18140" s="83"/>
      <c r="K18140" s="82"/>
      <c r="M18140" s="112"/>
      <c r="N18140" s="84"/>
    </row>
    <row r="18141" spans="1:14" s="2" customFormat="1">
      <c r="A18141" s="83"/>
      <c r="H18141" s="83"/>
      <c r="K18141" s="82"/>
      <c r="M18141" s="112"/>
      <c r="N18141" s="84"/>
    </row>
    <row r="18142" spans="1:14" s="2" customFormat="1">
      <c r="A18142" s="83"/>
      <c r="H18142" s="83"/>
      <c r="K18142" s="82"/>
      <c r="M18142" s="112"/>
      <c r="N18142" s="84"/>
    </row>
    <row r="18143" spans="1:14" s="2" customFormat="1">
      <c r="A18143" s="83"/>
      <c r="H18143" s="83"/>
      <c r="K18143" s="82"/>
      <c r="M18143" s="112"/>
      <c r="N18143" s="84"/>
    </row>
    <row r="18144" spans="1:14" s="2" customFormat="1">
      <c r="A18144" s="83"/>
      <c r="H18144" s="83"/>
      <c r="K18144" s="82"/>
      <c r="M18144" s="112"/>
      <c r="N18144" s="84"/>
    </row>
    <row r="18145" spans="1:14" s="2" customFormat="1">
      <c r="A18145" s="83"/>
      <c r="H18145" s="83"/>
      <c r="K18145" s="82"/>
      <c r="M18145" s="112"/>
      <c r="N18145" s="84"/>
    </row>
    <row r="18146" spans="1:14" s="2" customFormat="1">
      <c r="A18146" s="83"/>
      <c r="H18146" s="83"/>
      <c r="K18146" s="82"/>
      <c r="M18146" s="112"/>
      <c r="N18146" s="84"/>
    </row>
    <row r="18147" spans="1:14" s="2" customFormat="1">
      <c r="A18147" s="83"/>
      <c r="H18147" s="83"/>
      <c r="K18147" s="82"/>
      <c r="M18147" s="112"/>
      <c r="N18147" s="84"/>
    </row>
    <row r="18148" spans="1:14" s="2" customFormat="1">
      <c r="A18148" s="83"/>
      <c r="H18148" s="83"/>
      <c r="K18148" s="82"/>
      <c r="M18148" s="112"/>
      <c r="N18148" s="84"/>
    </row>
    <row r="18149" spans="1:14" s="2" customFormat="1">
      <c r="A18149" s="83"/>
      <c r="H18149" s="83"/>
      <c r="K18149" s="82"/>
      <c r="M18149" s="112"/>
      <c r="N18149" s="84"/>
    </row>
    <row r="18150" spans="1:14" s="2" customFormat="1">
      <c r="A18150" s="83"/>
      <c r="H18150" s="83"/>
      <c r="K18150" s="82"/>
      <c r="M18150" s="112"/>
      <c r="N18150" s="84"/>
    </row>
    <row r="18151" spans="1:14" s="2" customFormat="1">
      <c r="A18151" s="83"/>
      <c r="H18151" s="83"/>
      <c r="K18151" s="82"/>
      <c r="M18151" s="112"/>
      <c r="N18151" s="84"/>
    </row>
    <row r="18152" spans="1:14" s="2" customFormat="1">
      <c r="A18152" s="83"/>
      <c r="H18152" s="83"/>
      <c r="K18152" s="82"/>
      <c r="M18152" s="112"/>
      <c r="N18152" s="84"/>
    </row>
    <row r="18153" spans="1:14" s="2" customFormat="1">
      <c r="A18153" s="83"/>
      <c r="H18153" s="83"/>
      <c r="K18153" s="82"/>
      <c r="M18153" s="112"/>
      <c r="N18153" s="84"/>
    </row>
    <row r="18154" spans="1:14" s="2" customFormat="1">
      <c r="A18154" s="83"/>
      <c r="H18154" s="83"/>
      <c r="K18154" s="82"/>
      <c r="M18154" s="112"/>
      <c r="N18154" s="84"/>
    </row>
    <row r="18155" spans="1:14" s="2" customFormat="1">
      <c r="A18155" s="83"/>
      <c r="H18155" s="83"/>
      <c r="K18155" s="82"/>
      <c r="M18155" s="112"/>
      <c r="N18155" s="84"/>
    </row>
    <row r="18156" spans="1:14" s="2" customFormat="1">
      <c r="A18156" s="83"/>
      <c r="H18156" s="83"/>
      <c r="K18156" s="82"/>
      <c r="M18156" s="112"/>
      <c r="N18156" s="84"/>
    </row>
    <row r="18157" spans="1:14" s="2" customFormat="1">
      <c r="A18157" s="83"/>
      <c r="H18157" s="83"/>
      <c r="K18157" s="82"/>
      <c r="M18157" s="112"/>
      <c r="N18157" s="84"/>
    </row>
    <row r="18158" spans="1:14" s="2" customFormat="1">
      <c r="A18158" s="83"/>
      <c r="H18158" s="83"/>
      <c r="K18158" s="82"/>
      <c r="M18158" s="112"/>
      <c r="N18158" s="84"/>
    </row>
    <row r="18159" spans="1:14" s="2" customFormat="1">
      <c r="A18159" s="83"/>
      <c r="H18159" s="83"/>
      <c r="K18159" s="82"/>
      <c r="M18159" s="112"/>
      <c r="N18159" s="84"/>
    </row>
    <row r="18160" spans="1:14" s="2" customFormat="1">
      <c r="A18160" s="83"/>
      <c r="H18160" s="83"/>
      <c r="K18160" s="82"/>
      <c r="M18160" s="112"/>
      <c r="N18160" s="84"/>
    </row>
    <row r="18161" spans="1:14" s="2" customFormat="1">
      <c r="A18161" s="83"/>
      <c r="H18161" s="83"/>
      <c r="K18161" s="82"/>
      <c r="M18161" s="112"/>
      <c r="N18161" s="84"/>
    </row>
    <row r="18162" spans="1:14" s="2" customFormat="1">
      <c r="A18162" s="83"/>
      <c r="H18162" s="83"/>
      <c r="K18162" s="82"/>
      <c r="M18162" s="112"/>
      <c r="N18162" s="84"/>
    </row>
    <row r="18163" spans="1:14" s="2" customFormat="1">
      <c r="A18163" s="83"/>
      <c r="H18163" s="83"/>
      <c r="K18163" s="82"/>
      <c r="M18163" s="112"/>
      <c r="N18163" s="84"/>
    </row>
    <row r="18164" spans="1:14" s="2" customFormat="1">
      <c r="A18164" s="83"/>
      <c r="H18164" s="83"/>
      <c r="K18164" s="82"/>
      <c r="M18164" s="112"/>
      <c r="N18164" s="84"/>
    </row>
    <row r="18165" spans="1:14" s="2" customFormat="1">
      <c r="A18165" s="83"/>
      <c r="H18165" s="83"/>
      <c r="K18165" s="82"/>
      <c r="M18165" s="112"/>
      <c r="N18165" s="84"/>
    </row>
    <row r="18166" spans="1:14" s="2" customFormat="1">
      <c r="A18166" s="83"/>
      <c r="H18166" s="83"/>
      <c r="K18166" s="82"/>
      <c r="M18166" s="112"/>
      <c r="N18166" s="84"/>
    </row>
    <row r="18167" spans="1:14" s="2" customFormat="1">
      <c r="A18167" s="83"/>
      <c r="H18167" s="83"/>
      <c r="K18167" s="82"/>
      <c r="M18167" s="112"/>
      <c r="N18167" s="84"/>
    </row>
    <row r="18168" spans="1:14" s="2" customFormat="1">
      <c r="A18168" s="83"/>
      <c r="H18168" s="83"/>
      <c r="K18168" s="82"/>
      <c r="M18168" s="112"/>
      <c r="N18168" s="84"/>
    </row>
    <row r="18169" spans="1:14" s="2" customFormat="1">
      <c r="A18169" s="83"/>
      <c r="H18169" s="83"/>
      <c r="K18169" s="82"/>
      <c r="M18169" s="112"/>
      <c r="N18169" s="84"/>
    </row>
    <row r="18170" spans="1:14" s="2" customFormat="1">
      <c r="A18170" s="83"/>
      <c r="H18170" s="83"/>
      <c r="K18170" s="82"/>
      <c r="M18170" s="112"/>
      <c r="N18170" s="84"/>
    </row>
    <row r="18171" spans="1:14" s="2" customFormat="1">
      <c r="A18171" s="83"/>
      <c r="H18171" s="83"/>
      <c r="K18171" s="82"/>
      <c r="M18171" s="112"/>
      <c r="N18171" s="84"/>
    </row>
    <row r="18172" spans="1:14" s="2" customFormat="1">
      <c r="A18172" s="83"/>
      <c r="H18172" s="83"/>
      <c r="K18172" s="82"/>
      <c r="M18172" s="112"/>
      <c r="N18172" s="84"/>
    </row>
    <row r="18173" spans="1:14" s="2" customFormat="1">
      <c r="A18173" s="83"/>
      <c r="H18173" s="83"/>
      <c r="K18173" s="82"/>
      <c r="M18173" s="112"/>
      <c r="N18173" s="84"/>
    </row>
    <row r="18174" spans="1:14" s="2" customFormat="1">
      <c r="A18174" s="83"/>
      <c r="H18174" s="83"/>
      <c r="K18174" s="82"/>
      <c r="M18174" s="112"/>
      <c r="N18174" s="84"/>
    </row>
    <row r="18175" spans="1:14" s="2" customFormat="1">
      <c r="A18175" s="83"/>
      <c r="H18175" s="83"/>
      <c r="K18175" s="82"/>
      <c r="M18175" s="112"/>
      <c r="N18175" s="84"/>
    </row>
    <row r="18176" spans="1:14" s="2" customFormat="1">
      <c r="A18176" s="83"/>
      <c r="H18176" s="83"/>
      <c r="K18176" s="82"/>
      <c r="M18176" s="112"/>
      <c r="N18176" s="84"/>
    </row>
    <row r="18177" spans="1:14" s="2" customFormat="1">
      <c r="A18177" s="83"/>
      <c r="H18177" s="83"/>
      <c r="K18177" s="82"/>
      <c r="M18177" s="112"/>
      <c r="N18177" s="84"/>
    </row>
    <row r="18178" spans="1:14" s="2" customFormat="1">
      <c r="A18178" s="83"/>
      <c r="H18178" s="83"/>
      <c r="K18178" s="82"/>
      <c r="M18178" s="112"/>
      <c r="N18178" s="84"/>
    </row>
    <row r="18179" spans="1:14" s="2" customFormat="1">
      <c r="A18179" s="83"/>
      <c r="H18179" s="83"/>
      <c r="K18179" s="82"/>
      <c r="M18179" s="112"/>
      <c r="N18179" s="84"/>
    </row>
    <row r="18180" spans="1:14" s="2" customFormat="1">
      <c r="A18180" s="83"/>
      <c r="H18180" s="83"/>
      <c r="K18180" s="82"/>
      <c r="M18180" s="112"/>
      <c r="N18180" s="84"/>
    </row>
    <row r="18181" spans="1:14" s="2" customFormat="1">
      <c r="A18181" s="83"/>
      <c r="H18181" s="83"/>
      <c r="K18181" s="82"/>
      <c r="M18181" s="112"/>
      <c r="N18181" s="84"/>
    </row>
    <row r="18182" spans="1:14" s="2" customFormat="1">
      <c r="A18182" s="83"/>
      <c r="H18182" s="83"/>
      <c r="K18182" s="82"/>
      <c r="M18182" s="112"/>
      <c r="N18182" s="84"/>
    </row>
    <row r="18183" spans="1:14" s="2" customFormat="1">
      <c r="A18183" s="83"/>
      <c r="H18183" s="83"/>
      <c r="K18183" s="82"/>
      <c r="M18183" s="112"/>
      <c r="N18183" s="84"/>
    </row>
    <row r="18184" spans="1:14" s="2" customFormat="1">
      <c r="A18184" s="83"/>
      <c r="H18184" s="83"/>
      <c r="K18184" s="82"/>
      <c r="M18184" s="112"/>
      <c r="N18184" s="84"/>
    </row>
    <row r="18185" spans="1:14" s="2" customFormat="1">
      <c r="A18185" s="83"/>
      <c r="H18185" s="83"/>
      <c r="K18185" s="82"/>
      <c r="M18185" s="112"/>
      <c r="N18185" s="84"/>
    </row>
    <row r="18186" spans="1:14" s="2" customFormat="1">
      <c r="A18186" s="83"/>
      <c r="H18186" s="83"/>
      <c r="K18186" s="82"/>
      <c r="M18186" s="112"/>
      <c r="N18186" s="84"/>
    </row>
    <row r="18187" spans="1:14" s="2" customFormat="1">
      <c r="A18187" s="83"/>
      <c r="H18187" s="83"/>
      <c r="K18187" s="82"/>
      <c r="M18187" s="112"/>
      <c r="N18187" s="84"/>
    </row>
    <row r="18188" spans="1:14" s="2" customFormat="1">
      <c r="A18188" s="83"/>
      <c r="H18188" s="83"/>
      <c r="K18188" s="82"/>
      <c r="M18188" s="112"/>
      <c r="N18188" s="84"/>
    </row>
    <row r="18189" spans="1:14" s="2" customFormat="1">
      <c r="A18189" s="83"/>
      <c r="H18189" s="83"/>
      <c r="K18189" s="82"/>
      <c r="M18189" s="112"/>
      <c r="N18189" s="84"/>
    </row>
    <row r="18190" spans="1:14" s="2" customFormat="1">
      <c r="A18190" s="83"/>
      <c r="H18190" s="83"/>
      <c r="K18190" s="82"/>
      <c r="M18190" s="112"/>
      <c r="N18190" s="84"/>
    </row>
    <row r="18191" spans="1:14" s="2" customFormat="1">
      <c r="A18191" s="83"/>
      <c r="H18191" s="83"/>
      <c r="K18191" s="82"/>
      <c r="M18191" s="112"/>
      <c r="N18191" s="84"/>
    </row>
    <row r="18192" spans="1:14" s="2" customFormat="1">
      <c r="A18192" s="83"/>
      <c r="H18192" s="83"/>
      <c r="K18192" s="82"/>
      <c r="M18192" s="112"/>
      <c r="N18192" s="84"/>
    </row>
    <row r="18193" spans="1:14" s="2" customFormat="1">
      <c r="A18193" s="83"/>
      <c r="H18193" s="83"/>
      <c r="K18193" s="82"/>
      <c r="M18193" s="112"/>
      <c r="N18193" s="84"/>
    </row>
    <row r="18194" spans="1:14" s="2" customFormat="1">
      <c r="A18194" s="83"/>
      <c r="H18194" s="83"/>
      <c r="K18194" s="82"/>
      <c r="M18194" s="112"/>
      <c r="N18194" s="84"/>
    </row>
    <row r="18195" spans="1:14" s="2" customFormat="1">
      <c r="A18195" s="83"/>
      <c r="H18195" s="83"/>
      <c r="K18195" s="82"/>
      <c r="M18195" s="112"/>
      <c r="N18195" s="84"/>
    </row>
    <row r="18196" spans="1:14" s="2" customFormat="1">
      <c r="A18196" s="83"/>
      <c r="H18196" s="83"/>
      <c r="K18196" s="82"/>
      <c r="M18196" s="112"/>
      <c r="N18196" s="84"/>
    </row>
    <row r="18197" spans="1:14" s="2" customFormat="1">
      <c r="A18197" s="83"/>
      <c r="H18197" s="83"/>
      <c r="K18197" s="82"/>
      <c r="M18197" s="112"/>
      <c r="N18197" s="84"/>
    </row>
    <row r="18198" spans="1:14" s="2" customFormat="1">
      <c r="A18198" s="83"/>
      <c r="H18198" s="83"/>
      <c r="K18198" s="82"/>
      <c r="M18198" s="112"/>
      <c r="N18198" s="84"/>
    </row>
    <row r="18199" spans="1:14" s="2" customFormat="1">
      <c r="A18199" s="83"/>
      <c r="H18199" s="83"/>
      <c r="K18199" s="82"/>
      <c r="M18199" s="112"/>
      <c r="N18199" s="84"/>
    </row>
    <row r="18200" spans="1:14" s="2" customFormat="1">
      <c r="A18200" s="83"/>
      <c r="H18200" s="83"/>
      <c r="K18200" s="82"/>
      <c r="M18200" s="112"/>
      <c r="N18200" s="84"/>
    </row>
    <row r="18201" spans="1:14" s="2" customFormat="1">
      <c r="A18201" s="83"/>
      <c r="H18201" s="83"/>
      <c r="K18201" s="82"/>
      <c r="M18201" s="112"/>
      <c r="N18201" s="84"/>
    </row>
    <row r="18202" spans="1:14" s="2" customFormat="1">
      <c r="A18202" s="83"/>
      <c r="H18202" s="83"/>
      <c r="K18202" s="82"/>
      <c r="M18202" s="112"/>
      <c r="N18202" s="84"/>
    </row>
    <row r="18203" spans="1:14" s="2" customFormat="1">
      <c r="A18203" s="83"/>
      <c r="H18203" s="83"/>
      <c r="K18203" s="82"/>
      <c r="M18203" s="112"/>
      <c r="N18203" s="84"/>
    </row>
    <row r="18204" spans="1:14" s="2" customFormat="1">
      <c r="A18204" s="83"/>
      <c r="H18204" s="83"/>
      <c r="K18204" s="82"/>
      <c r="M18204" s="112"/>
      <c r="N18204" s="84"/>
    </row>
    <row r="18205" spans="1:14" s="2" customFormat="1">
      <c r="A18205" s="83"/>
      <c r="H18205" s="83"/>
      <c r="K18205" s="82"/>
      <c r="M18205" s="112"/>
      <c r="N18205" s="84"/>
    </row>
    <row r="18206" spans="1:14" s="2" customFormat="1">
      <c r="A18206" s="83"/>
      <c r="H18206" s="83"/>
      <c r="K18206" s="82"/>
      <c r="M18206" s="112"/>
      <c r="N18206" s="84"/>
    </row>
    <row r="18207" spans="1:14" s="2" customFormat="1">
      <c r="A18207" s="83"/>
      <c r="H18207" s="83"/>
      <c r="K18207" s="82"/>
      <c r="M18207" s="112"/>
      <c r="N18207" s="84"/>
    </row>
    <row r="18208" spans="1:14" s="2" customFormat="1">
      <c r="A18208" s="83"/>
      <c r="H18208" s="83"/>
      <c r="K18208" s="82"/>
      <c r="M18208" s="112"/>
      <c r="N18208" s="84"/>
    </row>
    <row r="18209" spans="1:14" s="2" customFormat="1">
      <c r="A18209" s="83"/>
      <c r="H18209" s="83"/>
      <c r="K18209" s="82"/>
      <c r="M18209" s="112"/>
      <c r="N18209" s="84"/>
    </row>
    <row r="18210" spans="1:14" s="2" customFormat="1">
      <c r="A18210" s="83"/>
      <c r="H18210" s="83"/>
      <c r="K18210" s="82"/>
      <c r="M18210" s="112"/>
      <c r="N18210" s="84"/>
    </row>
    <row r="18211" spans="1:14" s="2" customFormat="1">
      <c r="A18211" s="83"/>
      <c r="H18211" s="83"/>
      <c r="K18211" s="82"/>
      <c r="M18211" s="112"/>
      <c r="N18211" s="84"/>
    </row>
    <row r="18212" spans="1:14" s="2" customFormat="1">
      <c r="A18212" s="83"/>
      <c r="H18212" s="83"/>
      <c r="K18212" s="82"/>
      <c r="M18212" s="112"/>
      <c r="N18212" s="84"/>
    </row>
    <row r="18213" spans="1:14" s="2" customFormat="1">
      <c r="A18213" s="83"/>
      <c r="H18213" s="83"/>
      <c r="K18213" s="82"/>
      <c r="M18213" s="112"/>
      <c r="N18213" s="84"/>
    </row>
    <row r="18214" spans="1:14" s="2" customFormat="1">
      <c r="A18214" s="83"/>
      <c r="H18214" s="83"/>
      <c r="K18214" s="82"/>
      <c r="M18214" s="112"/>
      <c r="N18214" s="84"/>
    </row>
    <row r="18215" spans="1:14" s="2" customFormat="1">
      <c r="A18215" s="83"/>
      <c r="H18215" s="83"/>
      <c r="K18215" s="82"/>
      <c r="M18215" s="112"/>
      <c r="N18215" s="84"/>
    </row>
    <row r="18216" spans="1:14" s="2" customFormat="1">
      <c r="A18216" s="83"/>
      <c r="H18216" s="83"/>
      <c r="K18216" s="82"/>
      <c r="M18216" s="112"/>
      <c r="N18216" s="84"/>
    </row>
    <row r="18217" spans="1:14" s="2" customFormat="1">
      <c r="A18217" s="83"/>
      <c r="H18217" s="83"/>
      <c r="K18217" s="82"/>
      <c r="M18217" s="112"/>
      <c r="N18217" s="84"/>
    </row>
    <row r="18218" spans="1:14" s="2" customFormat="1">
      <c r="A18218" s="83"/>
      <c r="H18218" s="83"/>
      <c r="K18218" s="82"/>
      <c r="M18218" s="112"/>
      <c r="N18218" s="84"/>
    </row>
    <row r="18219" spans="1:14" s="2" customFormat="1">
      <c r="A18219" s="83"/>
      <c r="H18219" s="83"/>
      <c r="K18219" s="82"/>
      <c r="M18219" s="112"/>
      <c r="N18219" s="84"/>
    </row>
    <row r="18220" spans="1:14" s="2" customFormat="1">
      <c r="A18220" s="83"/>
      <c r="H18220" s="83"/>
      <c r="K18220" s="82"/>
      <c r="M18220" s="112"/>
      <c r="N18220" s="84"/>
    </row>
    <row r="18221" spans="1:14" s="2" customFormat="1">
      <c r="A18221" s="83"/>
      <c r="H18221" s="83"/>
      <c r="K18221" s="82"/>
      <c r="M18221" s="112"/>
      <c r="N18221" s="84"/>
    </row>
    <row r="18222" spans="1:14" s="2" customFormat="1">
      <c r="A18222" s="83"/>
      <c r="H18222" s="83"/>
      <c r="K18222" s="82"/>
      <c r="M18222" s="112"/>
      <c r="N18222" s="84"/>
    </row>
    <row r="18223" spans="1:14" s="2" customFormat="1">
      <c r="A18223" s="83"/>
      <c r="H18223" s="83"/>
      <c r="K18223" s="82"/>
      <c r="M18223" s="112"/>
      <c r="N18223" s="84"/>
    </row>
    <row r="18224" spans="1:14" s="2" customFormat="1">
      <c r="A18224" s="83"/>
      <c r="H18224" s="83"/>
      <c r="K18224" s="82"/>
      <c r="M18224" s="112"/>
      <c r="N18224" s="84"/>
    </row>
    <row r="18225" spans="1:14" s="2" customFormat="1">
      <c r="A18225" s="83"/>
      <c r="H18225" s="83"/>
      <c r="K18225" s="82"/>
      <c r="M18225" s="112"/>
      <c r="N18225" s="84"/>
    </row>
    <row r="18226" spans="1:14" s="2" customFormat="1">
      <c r="A18226" s="83"/>
      <c r="H18226" s="83"/>
      <c r="K18226" s="82"/>
      <c r="M18226" s="112"/>
      <c r="N18226" s="84"/>
    </row>
    <row r="18227" spans="1:14" s="2" customFormat="1">
      <c r="A18227" s="83"/>
      <c r="H18227" s="83"/>
      <c r="K18227" s="82"/>
      <c r="M18227" s="112"/>
      <c r="N18227" s="84"/>
    </row>
    <row r="18228" spans="1:14" s="2" customFormat="1">
      <c r="A18228" s="83"/>
      <c r="H18228" s="83"/>
      <c r="K18228" s="82"/>
      <c r="M18228" s="112"/>
      <c r="N18228" s="84"/>
    </row>
    <row r="18229" spans="1:14" s="2" customFormat="1">
      <c r="A18229" s="83"/>
      <c r="H18229" s="83"/>
      <c r="K18229" s="82"/>
      <c r="M18229" s="112"/>
      <c r="N18229" s="84"/>
    </row>
    <row r="18230" spans="1:14" s="2" customFormat="1">
      <c r="A18230" s="83"/>
      <c r="H18230" s="83"/>
      <c r="K18230" s="82"/>
      <c r="M18230" s="112"/>
      <c r="N18230" s="84"/>
    </row>
    <row r="18231" spans="1:14" s="2" customFormat="1">
      <c r="A18231" s="83"/>
      <c r="H18231" s="83"/>
      <c r="K18231" s="82"/>
      <c r="M18231" s="112"/>
      <c r="N18231" s="84"/>
    </row>
    <row r="18232" spans="1:14" s="2" customFormat="1">
      <c r="A18232" s="83"/>
      <c r="H18232" s="83"/>
      <c r="K18232" s="82"/>
      <c r="M18232" s="112"/>
      <c r="N18232" s="84"/>
    </row>
    <row r="18233" spans="1:14" s="2" customFormat="1">
      <c r="A18233" s="83"/>
      <c r="H18233" s="83"/>
      <c r="K18233" s="82"/>
      <c r="M18233" s="112"/>
      <c r="N18233" s="84"/>
    </row>
    <row r="18234" spans="1:14" s="2" customFormat="1">
      <c r="A18234" s="83"/>
      <c r="H18234" s="83"/>
      <c r="K18234" s="82"/>
      <c r="M18234" s="112"/>
      <c r="N18234" s="84"/>
    </row>
    <row r="18235" spans="1:14" s="2" customFormat="1">
      <c r="A18235" s="83"/>
      <c r="H18235" s="83"/>
      <c r="K18235" s="82"/>
      <c r="M18235" s="112"/>
      <c r="N18235" s="84"/>
    </row>
    <row r="18236" spans="1:14" s="2" customFormat="1">
      <c r="A18236" s="83"/>
      <c r="H18236" s="83"/>
      <c r="K18236" s="82"/>
      <c r="M18236" s="112"/>
      <c r="N18236" s="84"/>
    </row>
    <row r="18237" spans="1:14" s="2" customFormat="1">
      <c r="A18237" s="83"/>
      <c r="H18237" s="83"/>
      <c r="K18237" s="82"/>
      <c r="M18237" s="112"/>
      <c r="N18237" s="84"/>
    </row>
    <row r="18238" spans="1:14" s="2" customFormat="1">
      <c r="A18238" s="83"/>
      <c r="H18238" s="83"/>
      <c r="K18238" s="82"/>
      <c r="M18238" s="112"/>
      <c r="N18238" s="84"/>
    </row>
    <row r="18239" spans="1:14" s="2" customFormat="1">
      <c r="A18239" s="83"/>
      <c r="H18239" s="83"/>
      <c r="K18239" s="82"/>
      <c r="M18239" s="112"/>
      <c r="N18239" s="84"/>
    </row>
    <row r="18240" spans="1:14" s="2" customFormat="1">
      <c r="A18240" s="83"/>
      <c r="H18240" s="83"/>
      <c r="K18240" s="82"/>
      <c r="M18240" s="112"/>
      <c r="N18240" s="84"/>
    </row>
    <row r="18241" spans="1:14" s="2" customFormat="1">
      <c r="A18241" s="83"/>
      <c r="H18241" s="83"/>
      <c r="K18241" s="82"/>
      <c r="M18241" s="112"/>
      <c r="N18241" s="84"/>
    </row>
    <row r="18242" spans="1:14" s="2" customFormat="1">
      <c r="A18242" s="83"/>
      <c r="H18242" s="83"/>
      <c r="K18242" s="82"/>
      <c r="M18242" s="112"/>
      <c r="N18242" s="84"/>
    </row>
    <row r="18243" spans="1:14" s="2" customFormat="1">
      <c r="A18243" s="83"/>
      <c r="H18243" s="83"/>
      <c r="K18243" s="82"/>
      <c r="M18243" s="112"/>
      <c r="N18243" s="84"/>
    </row>
    <row r="18244" spans="1:14" s="2" customFormat="1">
      <c r="A18244" s="83"/>
      <c r="H18244" s="83"/>
      <c r="K18244" s="82"/>
      <c r="M18244" s="112"/>
      <c r="N18244" s="84"/>
    </row>
    <row r="18245" spans="1:14" s="2" customFormat="1">
      <c r="A18245" s="83"/>
      <c r="H18245" s="83"/>
      <c r="K18245" s="82"/>
      <c r="M18245" s="112"/>
      <c r="N18245" s="84"/>
    </row>
    <row r="18246" spans="1:14" s="2" customFormat="1">
      <c r="A18246" s="83"/>
      <c r="H18246" s="83"/>
      <c r="K18246" s="82"/>
      <c r="M18246" s="112"/>
      <c r="N18246" s="84"/>
    </row>
    <row r="18247" spans="1:14" s="2" customFormat="1">
      <c r="A18247" s="83"/>
      <c r="H18247" s="83"/>
      <c r="K18247" s="82"/>
      <c r="M18247" s="112"/>
      <c r="N18247" s="84"/>
    </row>
    <row r="18248" spans="1:14" s="2" customFormat="1">
      <c r="A18248" s="83"/>
      <c r="H18248" s="83"/>
      <c r="K18248" s="82"/>
      <c r="M18248" s="112"/>
      <c r="N18248" s="84"/>
    </row>
    <row r="18249" spans="1:14" s="2" customFormat="1">
      <c r="A18249" s="83"/>
      <c r="H18249" s="83"/>
      <c r="K18249" s="82"/>
      <c r="M18249" s="112"/>
      <c r="N18249" s="84"/>
    </row>
    <row r="18250" spans="1:14" s="2" customFormat="1">
      <c r="A18250" s="83"/>
      <c r="H18250" s="83"/>
      <c r="K18250" s="82"/>
      <c r="M18250" s="112"/>
      <c r="N18250" s="84"/>
    </row>
    <row r="18251" spans="1:14" s="2" customFormat="1">
      <c r="A18251" s="83"/>
      <c r="H18251" s="83"/>
      <c r="K18251" s="82"/>
      <c r="M18251" s="112"/>
      <c r="N18251" s="84"/>
    </row>
    <row r="18252" spans="1:14" s="2" customFormat="1">
      <c r="A18252" s="83"/>
      <c r="H18252" s="83"/>
      <c r="K18252" s="82"/>
      <c r="M18252" s="112"/>
      <c r="N18252" s="84"/>
    </row>
    <row r="18253" spans="1:14" s="2" customFormat="1">
      <c r="A18253" s="83"/>
      <c r="H18253" s="83"/>
      <c r="K18253" s="82"/>
      <c r="M18253" s="112"/>
      <c r="N18253" s="84"/>
    </row>
    <row r="18254" spans="1:14" s="2" customFormat="1">
      <c r="A18254" s="83"/>
      <c r="H18254" s="83"/>
      <c r="K18254" s="82"/>
      <c r="M18254" s="112"/>
      <c r="N18254" s="84"/>
    </row>
    <row r="18255" spans="1:14" s="2" customFormat="1">
      <c r="A18255" s="83"/>
      <c r="H18255" s="83"/>
      <c r="K18255" s="82"/>
      <c r="M18255" s="112"/>
      <c r="N18255" s="84"/>
    </row>
    <row r="18256" spans="1:14" s="2" customFormat="1">
      <c r="A18256" s="83"/>
      <c r="H18256" s="83"/>
      <c r="K18256" s="82"/>
      <c r="M18256" s="112"/>
      <c r="N18256" s="84"/>
    </row>
    <row r="18257" spans="1:14" s="2" customFormat="1">
      <c r="A18257" s="83"/>
      <c r="H18257" s="83"/>
      <c r="K18257" s="82"/>
      <c r="M18257" s="112"/>
      <c r="N18257" s="84"/>
    </row>
    <row r="18258" spans="1:14" s="2" customFormat="1">
      <c r="A18258" s="83"/>
      <c r="H18258" s="83"/>
      <c r="K18258" s="82"/>
      <c r="M18258" s="112"/>
      <c r="N18258" s="84"/>
    </row>
    <row r="18259" spans="1:14" s="2" customFormat="1">
      <c r="A18259" s="83"/>
      <c r="H18259" s="83"/>
      <c r="K18259" s="82"/>
      <c r="M18259" s="112"/>
      <c r="N18259" s="84"/>
    </row>
    <row r="18260" spans="1:14" s="2" customFormat="1">
      <c r="A18260" s="83"/>
      <c r="H18260" s="83"/>
      <c r="K18260" s="82"/>
      <c r="M18260" s="112"/>
      <c r="N18260" s="84"/>
    </row>
    <row r="18261" spans="1:14" s="2" customFormat="1">
      <c r="A18261" s="83"/>
      <c r="H18261" s="83"/>
      <c r="K18261" s="82"/>
      <c r="M18261" s="112"/>
      <c r="N18261" s="84"/>
    </row>
    <row r="18262" spans="1:14" s="2" customFormat="1">
      <c r="A18262" s="83"/>
      <c r="H18262" s="83"/>
      <c r="K18262" s="82"/>
      <c r="M18262" s="112"/>
      <c r="N18262" s="84"/>
    </row>
    <row r="18263" spans="1:14" s="2" customFormat="1">
      <c r="A18263" s="83"/>
      <c r="H18263" s="83"/>
      <c r="K18263" s="82"/>
      <c r="M18263" s="112"/>
      <c r="N18263" s="84"/>
    </row>
    <row r="18264" spans="1:14" s="2" customFormat="1">
      <c r="A18264" s="83"/>
      <c r="H18264" s="83"/>
      <c r="K18264" s="82"/>
      <c r="M18264" s="112"/>
      <c r="N18264" s="84"/>
    </row>
    <row r="18265" spans="1:14" s="2" customFormat="1">
      <c r="A18265" s="83"/>
      <c r="H18265" s="83"/>
      <c r="K18265" s="82"/>
      <c r="M18265" s="112"/>
      <c r="N18265" s="84"/>
    </row>
    <row r="18266" spans="1:14" s="2" customFormat="1">
      <c r="A18266" s="83"/>
      <c r="H18266" s="83"/>
      <c r="K18266" s="82"/>
      <c r="M18266" s="112"/>
      <c r="N18266" s="84"/>
    </row>
    <row r="18267" spans="1:14" s="2" customFormat="1">
      <c r="A18267" s="83"/>
      <c r="H18267" s="83"/>
      <c r="K18267" s="82"/>
      <c r="M18267" s="112"/>
      <c r="N18267" s="84"/>
    </row>
    <row r="18268" spans="1:14" s="2" customFormat="1">
      <c r="A18268" s="83"/>
      <c r="H18268" s="83"/>
      <c r="K18268" s="82"/>
      <c r="M18268" s="112"/>
      <c r="N18268" s="84"/>
    </row>
    <row r="18269" spans="1:14" s="2" customFormat="1">
      <c r="A18269" s="83"/>
      <c r="H18269" s="83"/>
      <c r="K18269" s="82"/>
      <c r="M18269" s="112"/>
      <c r="N18269" s="84"/>
    </row>
    <row r="18270" spans="1:14" s="2" customFormat="1">
      <c r="A18270" s="83"/>
      <c r="H18270" s="83"/>
      <c r="K18270" s="82"/>
      <c r="M18270" s="112"/>
      <c r="N18270" s="84"/>
    </row>
    <row r="18271" spans="1:14" s="2" customFormat="1">
      <c r="A18271" s="83"/>
      <c r="H18271" s="83"/>
      <c r="K18271" s="82"/>
      <c r="M18271" s="112"/>
      <c r="N18271" s="84"/>
    </row>
    <row r="18272" spans="1:14" s="2" customFormat="1">
      <c r="A18272" s="83"/>
      <c r="H18272" s="83"/>
      <c r="K18272" s="82"/>
      <c r="M18272" s="112"/>
      <c r="N18272" s="84"/>
    </row>
    <row r="18273" spans="1:14" s="2" customFormat="1">
      <c r="A18273" s="83"/>
      <c r="H18273" s="83"/>
      <c r="K18273" s="82"/>
      <c r="M18273" s="112"/>
      <c r="N18273" s="84"/>
    </row>
    <row r="18274" spans="1:14" s="2" customFormat="1">
      <c r="A18274" s="83"/>
      <c r="H18274" s="83"/>
      <c r="K18274" s="82"/>
      <c r="M18274" s="112"/>
      <c r="N18274" s="84"/>
    </row>
    <row r="18275" spans="1:14" s="2" customFormat="1">
      <c r="A18275" s="83"/>
      <c r="H18275" s="83"/>
      <c r="K18275" s="82"/>
      <c r="M18275" s="112"/>
      <c r="N18275" s="84"/>
    </row>
    <row r="18276" spans="1:14" s="2" customFormat="1">
      <c r="A18276" s="83"/>
      <c r="H18276" s="83"/>
      <c r="K18276" s="82"/>
      <c r="M18276" s="112"/>
      <c r="N18276" s="84"/>
    </row>
    <row r="18277" spans="1:14" s="2" customFormat="1">
      <c r="A18277" s="83"/>
      <c r="H18277" s="83"/>
      <c r="K18277" s="82"/>
      <c r="M18277" s="112"/>
      <c r="N18277" s="84"/>
    </row>
    <row r="18278" spans="1:14" s="2" customFormat="1">
      <c r="A18278" s="83"/>
      <c r="H18278" s="83"/>
      <c r="K18278" s="82"/>
      <c r="M18278" s="112"/>
      <c r="N18278" s="84"/>
    </row>
    <row r="18279" spans="1:14" s="2" customFormat="1">
      <c r="A18279" s="83"/>
      <c r="H18279" s="83"/>
      <c r="K18279" s="82"/>
      <c r="M18279" s="112"/>
      <c r="N18279" s="84"/>
    </row>
    <row r="18280" spans="1:14" s="2" customFormat="1">
      <c r="A18280" s="83"/>
      <c r="H18280" s="83"/>
      <c r="K18280" s="82"/>
      <c r="M18280" s="112"/>
      <c r="N18280" s="84"/>
    </row>
    <row r="18281" spans="1:14" s="2" customFormat="1">
      <c r="A18281" s="83"/>
      <c r="H18281" s="83"/>
      <c r="K18281" s="82"/>
      <c r="M18281" s="112"/>
      <c r="N18281" s="84"/>
    </row>
    <row r="18282" spans="1:14" s="2" customFormat="1">
      <c r="A18282" s="83"/>
      <c r="H18282" s="83"/>
      <c r="K18282" s="82"/>
      <c r="M18282" s="112"/>
      <c r="N18282" s="84"/>
    </row>
    <row r="18283" spans="1:14" s="2" customFormat="1">
      <c r="A18283" s="83"/>
      <c r="H18283" s="83"/>
      <c r="K18283" s="82"/>
      <c r="M18283" s="112"/>
      <c r="N18283" s="84"/>
    </row>
    <row r="18284" spans="1:14" s="2" customFormat="1">
      <c r="A18284" s="83"/>
      <c r="H18284" s="83"/>
      <c r="K18284" s="82"/>
      <c r="M18284" s="112"/>
      <c r="N18284" s="84"/>
    </row>
    <row r="18285" spans="1:14" s="2" customFormat="1">
      <c r="A18285" s="83"/>
      <c r="H18285" s="83"/>
      <c r="K18285" s="82"/>
      <c r="M18285" s="112"/>
      <c r="N18285" s="84"/>
    </row>
    <row r="18286" spans="1:14" s="2" customFormat="1">
      <c r="A18286" s="83"/>
      <c r="H18286" s="83"/>
      <c r="K18286" s="82"/>
      <c r="M18286" s="112"/>
      <c r="N18286" s="84"/>
    </row>
    <row r="18287" spans="1:14" s="2" customFormat="1">
      <c r="A18287" s="83"/>
      <c r="H18287" s="83"/>
      <c r="K18287" s="82"/>
      <c r="M18287" s="112"/>
      <c r="N18287" s="84"/>
    </row>
    <row r="18288" spans="1:14" s="2" customFormat="1">
      <c r="A18288" s="83"/>
      <c r="H18288" s="83"/>
      <c r="K18288" s="82"/>
      <c r="M18288" s="112"/>
      <c r="N18288" s="84"/>
    </row>
    <row r="18289" spans="1:14" s="2" customFormat="1">
      <c r="A18289" s="83"/>
      <c r="H18289" s="83"/>
      <c r="K18289" s="82"/>
      <c r="M18289" s="112"/>
      <c r="N18289" s="84"/>
    </row>
    <row r="18290" spans="1:14" s="2" customFormat="1">
      <c r="A18290" s="83"/>
      <c r="H18290" s="83"/>
      <c r="K18290" s="82"/>
      <c r="M18290" s="112"/>
      <c r="N18290" s="84"/>
    </row>
    <row r="18291" spans="1:14" s="2" customFormat="1">
      <c r="A18291" s="83"/>
      <c r="H18291" s="83"/>
      <c r="K18291" s="82"/>
      <c r="M18291" s="112"/>
      <c r="N18291" s="84"/>
    </row>
    <row r="18292" spans="1:14" s="2" customFormat="1">
      <c r="A18292" s="83"/>
      <c r="H18292" s="83"/>
      <c r="K18292" s="82"/>
      <c r="M18292" s="112"/>
      <c r="N18292" s="84"/>
    </row>
    <row r="18293" spans="1:14" s="2" customFormat="1">
      <c r="A18293" s="83"/>
      <c r="H18293" s="83"/>
      <c r="K18293" s="82"/>
      <c r="M18293" s="112"/>
      <c r="N18293" s="84"/>
    </row>
    <row r="18294" spans="1:14" s="2" customFormat="1">
      <c r="A18294" s="83"/>
      <c r="H18294" s="83"/>
      <c r="K18294" s="82"/>
      <c r="M18294" s="112"/>
      <c r="N18294" s="84"/>
    </row>
    <row r="18295" spans="1:14" s="2" customFormat="1">
      <c r="A18295" s="83"/>
      <c r="H18295" s="83"/>
      <c r="K18295" s="82"/>
      <c r="M18295" s="112"/>
      <c r="N18295" s="84"/>
    </row>
    <row r="18296" spans="1:14" s="2" customFormat="1">
      <c r="A18296" s="83"/>
      <c r="H18296" s="83"/>
      <c r="K18296" s="82"/>
      <c r="M18296" s="112"/>
      <c r="N18296" s="84"/>
    </row>
    <row r="18297" spans="1:14" s="2" customFormat="1">
      <c r="A18297" s="83"/>
      <c r="H18297" s="83"/>
      <c r="K18297" s="82"/>
      <c r="M18297" s="112"/>
      <c r="N18297" s="84"/>
    </row>
    <row r="18298" spans="1:14" s="2" customFormat="1">
      <c r="A18298" s="83"/>
      <c r="H18298" s="83"/>
      <c r="K18298" s="82"/>
      <c r="M18298" s="112"/>
      <c r="N18298" s="84"/>
    </row>
    <row r="18299" spans="1:14" s="2" customFormat="1">
      <c r="A18299" s="83"/>
      <c r="H18299" s="83"/>
      <c r="K18299" s="82"/>
      <c r="M18299" s="112"/>
      <c r="N18299" s="84"/>
    </row>
    <row r="18300" spans="1:14" s="2" customFormat="1">
      <c r="A18300" s="83"/>
      <c r="H18300" s="83"/>
      <c r="K18300" s="82"/>
      <c r="M18300" s="112"/>
      <c r="N18300" s="84"/>
    </row>
    <row r="18301" spans="1:14" s="2" customFormat="1">
      <c r="A18301" s="83"/>
      <c r="H18301" s="83"/>
      <c r="K18301" s="82"/>
      <c r="M18301" s="112"/>
      <c r="N18301" s="84"/>
    </row>
    <row r="18302" spans="1:14" s="2" customFormat="1">
      <c r="A18302" s="83"/>
      <c r="H18302" s="83"/>
      <c r="K18302" s="82"/>
      <c r="M18302" s="112"/>
      <c r="N18302" s="84"/>
    </row>
    <row r="18303" spans="1:14" s="2" customFormat="1">
      <c r="A18303" s="83"/>
      <c r="H18303" s="83"/>
      <c r="K18303" s="82"/>
      <c r="M18303" s="112"/>
      <c r="N18303" s="84"/>
    </row>
    <row r="18304" spans="1:14" s="2" customFormat="1">
      <c r="A18304" s="83"/>
      <c r="H18304" s="83"/>
      <c r="K18304" s="82"/>
      <c r="M18304" s="112"/>
      <c r="N18304" s="84"/>
    </row>
    <row r="18305" spans="1:14" s="2" customFormat="1">
      <c r="A18305" s="83"/>
      <c r="H18305" s="83"/>
      <c r="K18305" s="82"/>
      <c r="M18305" s="112"/>
      <c r="N18305" s="84"/>
    </row>
    <row r="18306" spans="1:14" s="2" customFormat="1">
      <c r="A18306" s="83"/>
      <c r="H18306" s="83"/>
      <c r="K18306" s="82"/>
      <c r="M18306" s="112"/>
      <c r="N18306" s="84"/>
    </row>
    <row r="18307" spans="1:14" s="2" customFormat="1">
      <c r="A18307" s="83"/>
      <c r="H18307" s="83"/>
      <c r="K18307" s="82"/>
      <c r="M18307" s="112"/>
      <c r="N18307" s="84"/>
    </row>
    <row r="18308" spans="1:14" s="2" customFormat="1">
      <c r="A18308" s="83"/>
      <c r="H18308" s="83"/>
      <c r="K18308" s="82"/>
      <c r="M18308" s="112"/>
      <c r="N18308" s="84"/>
    </row>
    <row r="18309" spans="1:14" s="2" customFormat="1">
      <c r="A18309" s="83"/>
      <c r="H18309" s="83"/>
      <c r="K18309" s="82"/>
      <c r="M18309" s="112"/>
      <c r="N18309" s="84"/>
    </row>
    <row r="18310" spans="1:14" s="2" customFormat="1">
      <c r="A18310" s="83"/>
      <c r="H18310" s="83"/>
      <c r="K18310" s="82"/>
      <c r="M18310" s="112"/>
      <c r="N18310" s="84"/>
    </row>
    <row r="18311" spans="1:14" s="2" customFormat="1">
      <c r="A18311" s="83"/>
      <c r="H18311" s="83"/>
      <c r="K18311" s="82"/>
      <c r="M18311" s="112"/>
      <c r="N18311" s="84"/>
    </row>
    <row r="18312" spans="1:14" s="2" customFormat="1">
      <c r="A18312" s="83"/>
      <c r="H18312" s="83"/>
      <c r="K18312" s="82"/>
      <c r="M18312" s="112"/>
      <c r="N18312" s="84"/>
    </row>
    <row r="18313" spans="1:14" s="2" customFormat="1">
      <c r="A18313" s="83"/>
      <c r="H18313" s="83"/>
      <c r="K18313" s="82"/>
      <c r="M18313" s="112"/>
      <c r="N18313" s="84"/>
    </row>
    <row r="18314" spans="1:14" s="2" customFormat="1">
      <c r="A18314" s="83"/>
      <c r="H18314" s="83"/>
      <c r="K18314" s="82"/>
      <c r="M18314" s="112"/>
      <c r="N18314" s="84"/>
    </row>
    <row r="18315" spans="1:14" s="2" customFormat="1">
      <c r="A18315" s="83"/>
      <c r="H18315" s="83"/>
      <c r="K18315" s="82"/>
      <c r="M18315" s="112"/>
      <c r="N18315" s="84"/>
    </row>
    <row r="18316" spans="1:14" s="2" customFormat="1">
      <c r="A18316" s="83"/>
      <c r="H18316" s="83"/>
      <c r="K18316" s="82"/>
      <c r="M18316" s="112"/>
      <c r="N18316" s="84"/>
    </row>
    <row r="18317" spans="1:14" s="2" customFormat="1">
      <c r="A18317" s="83"/>
      <c r="H18317" s="83"/>
      <c r="K18317" s="82"/>
      <c r="M18317" s="112"/>
      <c r="N18317" s="84"/>
    </row>
    <row r="18318" spans="1:14" s="2" customFormat="1">
      <c r="A18318" s="83"/>
      <c r="H18318" s="83"/>
      <c r="K18318" s="82"/>
      <c r="M18318" s="112"/>
      <c r="N18318" s="84"/>
    </row>
    <row r="18319" spans="1:14" s="2" customFormat="1">
      <c r="A18319" s="83"/>
      <c r="H18319" s="83"/>
      <c r="K18319" s="82"/>
      <c r="M18319" s="112"/>
      <c r="N18319" s="84"/>
    </row>
    <row r="18320" spans="1:14" s="2" customFormat="1">
      <c r="A18320" s="83"/>
      <c r="H18320" s="83"/>
      <c r="K18320" s="82"/>
      <c r="M18320" s="112"/>
      <c r="N18320" s="84"/>
    </row>
    <row r="18321" spans="1:14" s="2" customFormat="1">
      <c r="A18321" s="83"/>
      <c r="H18321" s="83"/>
      <c r="K18321" s="82"/>
      <c r="M18321" s="112"/>
      <c r="N18321" s="84"/>
    </row>
    <row r="18322" spans="1:14" s="2" customFormat="1">
      <c r="A18322" s="83"/>
      <c r="H18322" s="83"/>
      <c r="K18322" s="82"/>
      <c r="M18322" s="112"/>
      <c r="N18322" s="84"/>
    </row>
    <row r="18323" spans="1:14" s="2" customFormat="1">
      <c r="A18323" s="83"/>
      <c r="H18323" s="83"/>
      <c r="K18323" s="82"/>
      <c r="M18323" s="112"/>
      <c r="N18323" s="84"/>
    </row>
    <row r="18324" spans="1:14" s="2" customFormat="1">
      <c r="A18324" s="83"/>
      <c r="H18324" s="83"/>
      <c r="K18324" s="82"/>
      <c r="M18324" s="112"/>
      <c r="N18324" s="84"/>
    </row>
    <row r="18325" spans="1:14" s="2" customFormat="1">
      <c r="A18325" s="83"/>
      <c r="H18325" s="83"/>
      <c r="K18325" s="82"/>
      <c r="M18325" s="112"/>
      <c r="N18325" s="84"/>
    </row>
    <row r="18326" spans="1:14" s="2" customFormat="1">
      <c r="A18326" s="83"/>
      <c r="H18326" s="83"/>
      <c r="K18326" s="82"/>
      <c r="M18326" s="112"/>
      <c r="N18326" s="84"/>
    </row>
    <row r="18327" spans="1:14" s="2" customFormat="1">
      <c r="A18327" s="83"/>
      <c r="H18327" s="83"/>
      <c r="K18327" s="82"/>
      <c r="M18327" s="112"/>
      <c r="N18327" s="84"/>
    </row>
    <row r="18328" spans="1:14" s="2" customFormat="1">
      <c r="A18328" s="83"/>
      <c r="H18328" s="83"/>
      <c r="K18328" s="82"/>
      <c r="M18328" s="112"/>
      <c r="N18328" s="84"/>
    </row>
    <row r="18329" spans="1:14" s="2" customFormat="1">
      <c r="A18329" s="83"/>
      <c r="H18329" s="83"/>
      <c r="K18329" s="82"/>
      <c r="M18329" s="112"/>
      <c r="N18329" s="84"/>
    </row>
    <row r="18330" spans="1:14" s="2" customFormat="1">
      <c r="A18330" s="83"/>
      <c r="H18330" s="83"/>
      <c r="K18330" s="82"/>
      <c r="M18330" s="112"/>
      <c r="N18330" s="84"/>
    </row>
    <row r="18331" spans="1:14" s="2" customFormat="1">
      <c r="A18331" s="83"/>
      <c r="H18331" s="83"/>
      <c r="K18331" s="82"/>
      <c r="M18331" s="112"/>
      <c r="N18331" s="84"/>
    </row>
    <row r="18332" spans="1:14" s="2" customFormat="1">
      <c r="A18332" s="83"/>
      <c r="H18332" s="83"/>
      <c r="K18332" s="82"/>
      <c r="M18332" s="112"/>
      <c r="N18332" s="84"/>
    </row>
    <row r="18333" spans="1:14" s="2" customFormat="1">
      <c r="A18333" s="83"/>
      <c r="H18333" s="83"/>
      <c r="K18333" s="82"/>
      <c r="M18333" s="112"/>
      <c r="N18333" s="84"/>
    </row>
    <row r="18334" spans="1:14" s="2" customFormat="1">
      <c r="A18334" s="83"/>
      <c r="H18334" s="83"/>
      <c r="K18334" s="82"/>
      <c r="M18334" s="112"/>
      <c r="N18334" s="84"/>
    </row>
    <row r="18335" spans="1:14" s="2" customFormat="1">
      <c r="A18335" s="83"/>
      <c r="H18335" s="83"/>
      <c r="K18335" s="82"/>
      <c r="M18335" s="112"/>
      <c r="N18335" s="84"/>
    </row>
    <row r="18336" spans="1:14" s="2" customFormat="1">
      <c r="A18336" s="83"/>
      <c r="H18336" s="83"/>
      <c r="K18336" s="82"/>
      <c r="M18336" s="112"/>
      <c r="N18336" s="84"/>
    </row>
    <row r="18337" spans="1:14" s="2" customFormat="1">
      <c r="A18337" s="83"/>
      <c r="H18337" s="83"/>
      <c r="K18337" s="82"/>
      <c r="M18337" s="112"/>
      <c r="N18337" s="84"/>
    </row>
    <row r="18338" spans="1:14" s="2" customFormat="1">
      <c r="A18338" s="83"/>
      <c r="H18338" s="83"/>
      <c r="K18338" s="82"/>
      <c r="M18338" s="112"/>
      <c r="N18338" s="84"/>
    </row>
    <row r="18339" spans="1:14" s="2" customFormat="1">
      <c r="A18339" s="83"/>
      <c r="H18339" s="83"/>
      <c r="K18339" s="82"/>
      <c r="M18339" s="112"/>
      <c r="N18339" s="84"/>
    </row>
    <row r="18340" spans="1:14" s="2" customFormat="1">
      <c r="A18340" s="83"/>
      <c r="H18340" s="83"/>
      <c r="K18340" s="82"/>
      <c r="M18340" s="112"/>
      <c r="N18340" s="84"/>
    </row>
    <row r="18341" spans="1:14" s="2" customFormat="1">
      <c r="A18341" s="83"/>
      <c r="H18341" s="83"/>
      <c r="K18341" s="82"/>
      <c r="M18341" s="112"/>
      <c r="N18341" s="84"/>
    </row>
    <row r="18342" spans="1:14" s="2" customFormat="1">
      <c r="A18342" s="83"/>
      <c r="H18342" s="83"/>
      <c r="K18342" s="82"/>
      <c r="M18342" s="112"/>
      <c r="N18342" s="84"/>
    </row>
    <row r="18343" spans="1:14" s="2" customFormat="1">
      <c r="A18343" s="83"/>
      <c r="H18343" s="83"/>
      <c r="K18343" s="82"/>
      <c r="M18343" s="112"/>
      <c r="N18343" s="84"/>
    </row>
    <row r="18344" spans="1:14" s="2" customFormat="1">
      <c r="A18344" s="83"/>
      <c r="H18344" s="83"/>
      <c r="K18344" s="82"/>
      <c r="M18344" s="112"/>
      <c r="N18344" s="84"/>
    </row>
    <row r="18345" spans="1:14" s="2" customFormat="1">
      <c r="A18345" s="83"/>
      <c r="H18345" s="83"/>
      <c r="K18345" s="82"/>
      <c r="M18345" s="112"/>
      <c r="N18345" s="84"/>
    </row>
    <row r="18346" spans="1:14" s="2" customFormat="1">
      <c r="A18346" s="83"/>
      <c r="H18346" s="83"/>
      <c r="K18346" s="82"/>
      <c r="M18346" s="112"/>
      <c r="N18346" s="84"/>
    </row>
    <row r="18347" spans="1:14" s="2" customFormat="1">
      <c r="A18347" s="83"/>
      <c r="H18347" s="83"/>
      <c r="K18347" s="82"/>
      <c r="M18347" s="112"/>
      <c r="N18347" s="84"/>
    </row>
    <row r="18348" spans="1:14" s="2" customFormat="1">
      <c r="A18348" s="83"/>
      <c r="H18348" s="83"/>
      <c r="K18348" s="82"/>
      <c r="M18348" s="112"/>
      <c r="N18348" s="84"/>
    </row>
    <row r="18349" spans="1:14" s="2" customFormat="1">
      <c r="A18349" s="83"/>
      <c r="H18349" s="83"/>
      <c r="K18349" s="82"/>
      <c r="M18349" s="112"/>
      <c r="N18349" s="84"/>
    </row>
    <row r="18350" spans="1:14" s="2" customFormat="1">
      <c r="A18350" s="83"/>
      <c r="H18350" s="83"/>
      <c r="K18350" s="82"/>
      <c r="M18350" s="112"/>
      <c r="N18350" s="84"/>
    </row>
    <row r="18351" spans="1:14" s="2" customFormat="1">
      <c r="A18351" s="83"/>
      <c r="H18351" s="83"/>
      <c r="K18351" s="82"/>
      <c r="M18351" s="112"/>
      <c r="N18351" s="84"/>
    </row>
    <row r="18352" spans="1:14" s="2" customFormat="1">
      <c r="A18352" s="83"/>
      <c r="H18352" s="83"/>
      <c r="K18352" s="82"/>
      <c r="M18352" s="112"/>
      <c r="N18352" s="84"/>
    </row>
    <row r="18353" spans="1:14" s="2" customFormat="1">
      <c r="A18353" s="83"/>
      <c r="H18353" s="83"/>
      <c r="K18353" s="82"/>
      <c r="M18353" s="112"/>
      <c r="N18353" s="84"/>
    </row>
    <row r="18354" spans="1:14" s="2" customFormat="1">
      <c r="A18354" s="83"/>
      <c r="H18354" s="83"/>
      <c r="K18354" s="82"/>
      <c r="M18354" s="112"/>
      <c r="N18354" s="84"/>
    </row>
    <row r="18355" spans="1:14" s="2" customFormat="1">
      <c r="A18355" s="83"/>
      <c r="H18355" s="83"/>
      <c r="K18355" s="82"/>
      <c r="M18355" s="112"/>
      <c r="N18355" s="84"/>
    </row>
    <row r="18356" spans="1:14" s="2" customFormat="1">
      <c r="A18356" s="83"/>
      <c r="H18356" s="83"/>
      <c r="K18356" s="82"/>
      <c r="M18356" s="112"/>
      <c r="N18356" s="84"/>
    </row>
    <row r="18357" spans="1:14" s="2" customFormat="1">
      <c r="A18357" s="83"/>
      <c r="H18357" s="83"/>
      <c r="K18357" s="82"/>
      <c r="M18357" s="112"/>
      <c r="N18357" s="84"/>
    </row>
    <row r="18358" spans="1:14" s="2" customFormat="1">
      <c r="A18358" s="83"/>
      <c r="H18358" s="83"/>
      <c r="K18358" s="82"/>
      <c r="M18358" s="112"/>
      <c r="N18358" s="84"/>
    </row>
    <row r="18359" spans="1:14" s="2" customFormat="1">
      <c r="A18359" s="83"/>
      <c r="H18359" s="83"/>
      <c r="K18359" s="82"/>
      <c r="M18359" s="112"/>
      <c r="N18359" s="84"/>
    </row>
    <row r="18360" spans="1:14" s="2" customFormat="1">
      <c r="A18360" s="83"/>
      <c r="H18360" s="83"/>
      <c r="K18360" s="82"/>
      <c r="M18360" s="112"/>
      <c r="N18360" s="84"/>
    </row>
    <row r="18361" spans="1:14" s="2" customFormat="1">
      <c r="A18361" s="83"/>
      <c r="H18361" s="83"/>
      <c r="K18361" s="82"/>
      <c r="M18361" s="112"/>
      <c r="N18361" s="84"/>
    </row>
    <row r="18362" spans="1:14" s="2" customFormat="1">
      <c r="A18362" s="83"/>
      <c r="H18362" s="83"/>
      <c r="K18362" s="82"/>
      <c r="M18362" s="112"/>
      <c r="N18362" s="84"/>
    </row>
    <row r="18363" spans="1:14" s="2" customFormat="1">
      <c r="A18363" s="83"/>
      <c r="H18363" s="83"/>
      <c r="K18363" s="82"/>
      <c r="M18363" s="112"/>
      <c r="N18363" s="84"/>
    </row>
    <row r="18364" spans="1:14" s="2" customFormat="1">
      <c r="A18364" s="83"/>
      <c r="H18364" s="83"/>
      <c r="K18364" s="82"/>
      <c r="M18364" s="112"/>
      <c r="N18364" s="84"/>
    </row>
    <row r="18365" spans="1:14" s="2" customFormat="1">
      <c r="A18365" s="83"/>
      <c r="H18365" s="83"/>
      <c r="K18365" s="82"/>
      <c r="M18365" s="112"/>
      <c r="N18365" s="84"/>
    </row>
    <row r="18366" spans="1:14" s="2" customFormat="1">
      <c r="A18366" s="83"/>
      <c r="H18366" s="83"/>
      <c r="K18366" s="82"/>
      <c r="M18366" s="112"/>
      <c r="N18366" s="84"/>
    </row>
    <row r="18367" spans="1:14" s="2" customFormat="1">
      <c r="A18367" s="83"/>
      <c r="H18367" s="83"/>
      <c r="K18367" s="82"/>
      <c r="M18367" s="112"/>
      <c r="N18367" s="84"/>
    </row>
    <row r="18368" spans="1:14" s="2" customFormat="1">
      <c r="A18368" s="83"/>
      <c r="H18368" s="83"/>
      <c r="K18368" s="82"/>
      <c r="M18368" s="112"/>
      <c r="N18368" s="84"/>
    </row>
    <row r="18369" spans="1:14" s="2" customFormat="1">
      <c r="A18369" s="83"/>
      <c r="H18369" s="83"/>
      <c r="K18369" s="82"/>
      <c r="M18369" s="112"/>
      <c r="N18369" s="84"/>
    </row>
    <row r="18370" spans="1:14" s="2" customFormat="1">
      <c r="A18370" s="83"/>
      <c r="H18370" s="83"/>
      <c r="K18370" s="82"/>
      <c r="M18370" s="112"/>
      <c r="N18370" s="84"/>
    </row>
    <row r="18371" spans="1:14" s="2" customFormat="1">
      <c r="A18371" s="83"/>
      <c r="H18371" s="83"/>
      <c r="K18371" s="82"/>
      <c r="M18371" s="112"/>
      <c r="N18371" s="84"/>
    </row>
    <row r="18372" spans="1:14" s="2" customFormat="1">
      <c r="A18372" s="83"/>
      <c r="H18372" s="83"/>
      <c r="K18372" s="82"/>
      <c r="M18372" s="112"/>
      <c r="N18372" s="84"/>
    </row>
    <row r="18373" spans="1:14" s="2" customFormat="1">
      <c r="A18373" s="83"/>
      <c r="H18373" s="83"/>
      <c r="K18373" s="82"/>
      <c r="M18373" s="112"/>
      <c r="N18373" s="84"/>
    </row>
    <row r="18374" spans="1:14" s="2" customFormat="1">
      <c r="A18374" s="83"/>
      <c r="H18374" s="83"/>
      <c r="K18374" s="82"/>
      <c r="M18374" s="112"/>
      <c r="N18374" s="84"/>
    </row>
    <row r="18375" spans="1:14" s="2" customFormat="1">
      <c r="A18375" s="83"/>
      <c r="H18375" s="83"/>
      <c r="K18375" s="82"/>
      <c r="M18375" s="112"/>
      <c r="N18375" s="84"/>
    </row>
    <row r="18376" spans="1:14" s="2" customFormat="1">
      <c r="A18376" s="83"/>
      <c r="H18376" s="83"/>
      <c r="K18376" s="82"/>
      <c r="M18376" s="112"/>
      <c r="N18376" s="84"/>
    </row>
    <row r="18377" spans="1:14" s="2" customFormat="1">
      <c r="A18377" s="83"/>
      <c r="H18377" s="83"/>
      <c r="K18377" s="82"/>
      <c r="M18377" s="112"/>
      <c r="N18377" s="84"/>
    </row>
    <row r="18378" spans="1:14" s="2" customFormat="1">
      <c r="A18378" s="83"/>
      <c r="H18378" s="83"/>
      <c r="K18378" s="82"/>
      <c r="M18378" s="112"/>
      <c r="N18378" s="84"/>
    </row>
    <row r="18379" spans="1:14" s="2" customFormat="1">
      <c r="A18379" s="83"/>
      <c r="H18379" s="83"/>
      <c r="K18379" s="82"/>
      <c r="M18379" s="112"/>
      <c r="N18379" s="84"/>
    </row>
    <row r="18380" spans="1:14" s="2" customFormat="1">
      <c r="A18380" s="83"/>
      <c r="H18380" s="83"/>
      <c r="K18380" s="82"/>
      <c r="M18380" s="112"/>
      <c r="N18380" s="84"/>
    </row>
    <row r="18381" spans="1:14" s="2" customFormat="1">
      <c r="A18381" s="83"/>
      <c r="H18381" s="83"/>
      <c r="K18381" s="82"/>
      <c r="M18381" s="112"/>
      <c r="N18381" s="84"/>
    </row>
    <row r="18382" spans="1:14" s="2" customFormat="1">
      <c r="A18382" s="83"/>
      <c r="H18382" s="83"/>
      <c r="K18382" s="82"/>
      <c r="M18382" s="112"/>
      <c r="N18382" s="84"/>
    </row>
    <row r="18383" spans="1:14" s="2" customFormat="1">
      <c r="A18383" s="83"/>
      <c r="H18383" s="83"/>
      <c r="K18383" s="82"/>
      <c r="M18383" s="112"/>
      <c r="N18383" s="84"/>
    </row>
    <row r="18384" spans="1:14" s="2" customFormat="1">
      <c r="A18384" s="83"/>
      <c r="H18384" s="83"/>
      <c r="K18384" s="82"/>
      <c r="M18384" s="112"/>
      <c r="N18384" s="84"/>
    </row>
    <row r="18385" spans="1:14" s="2" customFormat="1">
      <c r="A18385" s="83"/>
      <c r="H18385" s="83"/>
      <c r="K18385" s="82"/>
      <c r="M18385" s="112"/>
      <c r="N18385" s="84"/>
    </row>
    <row r="18386" spans="1:14" s="2" customFormat="1">
      <c r="A18386" s="83"/>
      <c r="H18386" s="83"/>
      <c r="K18386" s="82"/>
      <c r="M18386" s="112"/>
      <c r="N18386" s="84"/>
    </row>
    <row r="18387" spans="1:14" s="2" customFormat="1">
      <c r="A18387" s="83"/>
      <c r="H18387" s="83"/>
      <c r="K18387" s="82"/>
      <c r="M18387" s="112"/>
      <c r="N18387" s="84"/>
    </row>
    <row r="18388" spans="1:14" s="2" customFormat="1">
      <c r="A18388" s="83"/>
      <c r="H18388" s="83"/>
      <c r="K18388" s="82"/>
      <c r="M18388" s="112"/>
      <c r="N18388" s="84"/>
    </row>
    <row r="18389" spans="1:14" s="2" customFormat="1">
      <c r="A18389" s="83"/>
      <c r="H18389" s="83"/>
      <c r="K18389" s="82"/>
      <c r="M18389" s="112"/>
      <c r="N18389" s="84"/>
    </row>
    <row r="18390" spans="1:14" s="2" customFormat="1">
      <c r="A18390" s="83"/>
      <c r="H18390" s="83"/>
      <c r="K18390" s="82"/>
      <c r="M18390" s="112"/>
      <c r="N18390" s="84"/>
    </row>
    <row r="18391" spans="1:14" s="2" customFormat="1">
      <c r="A18391" s="83"/>
      <c r="H18391" s="83"/>
      <c r="K18391" s="82"/>
      <c r="M18391" s="112"/>
      <c r="N18391" s="84"/>
    </row>
    <row r="18392" spans="1:14" s="2" customFormat="1">
      <c r="A18392" s="83"/>
      <c r="H18392" s="83"/>
      <c r="K18392" s="82"/>
      <c r="M18392" s="112"/>
      <c r="N18392" s="84"/>
    </row>
    <row r="18393" spans="1:14" s="2" customFormat="1">
      <c r="A18393" s="83"/>
      <c r="H18393" s="83"/>
      <c r="K18393" s="82"/>
      <c r="M18393" s="112"/>
      <c r="N18393" s="84"/>
    </row>
    <row r="18394" spans="1:14" s="2" customFormat="1">
      <c r="A18394" s="83"/>
      <c r="H18394" s="83"/>
      <c r="K18394" s="82"/>
      <c r="M18394" s="112"/>
      <c r="N18394" s="84"/>
    </row>
    <row r="18395" spans="1:14" s="2" customFormat="1">
      <c r="A18395" s="83"/>
      <c r="H18395" s="83"/>
      <c r="K18395" s="82"/>
      <c r="M18395" s="112"/>
      <c r="N18395" s="84"/>
    </row>
    <row r="18396" spans="1:14" s="2" customFormat="1">
      <c r="A18396" s="83"/>
      <c r="H18396" s="83"/>
      <c r="K18396" s="82"/>
      <c r="M18396" s="112"/>
      <c r="N18396" s="84"/>
    </row>
    <row r="18397" spans="1:14" s="2" customFormat="1">
      <c r="A18397" s="83"/>
      <c r="H18397" s="83"/>
      <c r="K18397" s="82"/>
      <c r="M18397" s="112"/>
      <c r="N18397" s="84"/>
    </row>
    <row r="18398" spans="1:14" s="2" customFormat="1">
      <c r="A18398" s="83"/>
      <c r="H18398" s="83"/>
      <c r="K18398" s="82"/>
      <c r="M18398" s="112"/>
      <c r="N18398" s="84"/>
    </row>
    <row r="18399" spans="1:14" s="2" customFormat="1">
      <c r="A18399" s="83"/>
      <c r="H18399" s="83"/>
      <c r="K18399" s="82"/>
      <c r="M18399" s="112"/>
      <c r="N18399" s="84"/>
    </row>
    <row r="18400" spans="1:14" s="2" customFormat="1">
      <c r="A18400" s="83"/>
      <c r="H18400" s="83"/>
      <c r="K18400" s="82"/>
      <c r="M18400" s="112"/>
      <c r="N18400" s="84"/>
    </row>
    <row r="18401" spans="1:14" s="2" customFormat="1">
      <c r="A18401" s="83"/>
      <c r="H18401" s="83"/>
      <c r="K18401" s="82"/>
      <c r="M18401" s="112"/>
      <c r="N18401" s="84"/>
    </row>
    <row r="18402" spans="1:14" s="2" customFormat="1">
      <c r="A18402" s="83"/>
      <c r="H18402" s="83"/>
      <c r="K18402" s="82"/>
      <c r="M18402" s="112"/>
      <c r="N18402" s="84"/>
    </row>
    <row r="18403" spans="1:14" s="2" customFormat="1">
      <c r="A18403" s="83"/>
      <c r="H18403" s="83"/>
      <c r="K18403" s="82"/>
      <c r="M18403" s="112"/>
      <c r="N18403" s="84"/>
    </row>
    <row r="18404" spans="1:14" s="2" customFormat="1">
      <c r="A18404" s="83"/>
      <c r="H18404" s="83"/>
      <c r="K18404" s="82"/>
      <c r="M18404" s="112"/>
      <c r="N18404" s="84"/>
    </row>
    <row r="18405" spans="1:14" s="2" customFormat="1">
      <c r="A18405" s="83"/>
      <c r="H18405" s="83"/>
      <c r="K18405" s="82"/>
      <c r="M18405" s="112"/>
      <c r="N18405" s="84"/>
    </row>
    <row r="18406" spans="1:14" s="2" customFormat="1">
      <c r="A18406" s="83"/>
      <c r="H18406" s="83"/>
      <c r="K18406" s="82"/>
      <c r="M18406" s="112"/>
      <c r="N18406" s="84"/>
    </row>
    <row r="18407" spans="1:14" s="2" customFormat="1">
      <c r="A18407" s="83"/>
      <c r="H18407" s="83"/>
      <c r="K18407" s="82"/>
      <c r="M18407" s="112"/>
      <c r="N18407" s="84"/>
    </row>
    <row r="18408" spans="1:14" s="2" customFormat="1">
      <c r="A18408" s="83"/>
      <c r="H18408" s="83"/>
      <c r="K18408" s="82"/>
      <c r="M18408" s="112"/>
      <c r="N18408" s="84"/>
    </row>
    <row r="18409" spans="1:14" s="2" customFormat="1">
      <c r="A18409" s="83"/>
      <c r="H18409" s="83"/>
      <c r="K18409" s="82"/>
      <c r="M18409" s="112"/>
      <c r="N18409" s="84"/>
    </row>
    <row r="18410" spans="1:14" s="2" customFormat="1">
      <c r="A18410" s="83"/>
      <c r="H18410" s="83"/>
      <c r="K18410" s="82"/>
      <c r="M18410" s="112"/>
      <c r="N18410" s="84"/>
    </row>
    <row r="18411" spans="1:14" s="2" customFormat="1">
      <c r="A18411" s="83"/>
      <c r="H18411" s="83"/>
      <c r="K18411" s="82"/>
      <c r="M18411" s="112"/>
      <c r="N18411" s="84"/>
    </row>
    <row r="18412" spans="1:14" s="2" customFormat="1">
      <c r="A18412" s="83"/>
      <c r="H18412" s="83"/>
      <c r="K18412" s="82"/>
      <c r="M18412" s="112"/>
      <c r="N18412" s="84"/>
    </row>
    <row r="18413" spans="1:14" s="2" customFormat="1">
      <c r="A18413" s="83"/>
      <c r="H18413" s="83"/>
      <c r="K18413" s="82"/>
      <c r="M18413" s="112"/>
      <c r="N18413" s="84"/>
    </row>
    <row r="18414" spans="1:14" s="2" customFormat="1">
      <c r="A18414" s="83"/>
      <c r="H18414" s="83"/>
      <c r="K18414" s="82"/>
      <c r="M18414" s="112"/>
      <c r="N18414" s="84"/>
    </row>
    <row r="18415" spans="1:14" s="2" customFormat="1">
      <c r="A18415" s="83"/>
      <c r="H18415" s="83"/>
      <c r="K18415" s="82"/>
      <c r="M18415" s="112"/>
      <c r="N18415" s="84"/>
    </row>
    <row r="18416" spans="1:14" s="2" customFormat="1">
      <c r="A18416" s="83"/>
      <c r="H18416" s="83"/>
      <c r="K18416" s="82"/>
      <c r="M18416" s="112"/>
      <c r="N18416" s="84"/>
    </row>
    <row r="18417" spans="1:14" s="2" customFormat="1">
      <c r="A18417" s="83"/>
      <c r="H18417" s="83"/>
      <c r="K18417" s="82"/>
      <c r="M18417" s="112"/>
      <c r="N18417" s="84"/>
    </row>
    <row r="18418" spans="1:14" s="2" customFormat="1">
      <c r="A18418" s="83"/>
      <c r="H18418" s="83"/>
      <c r="K18418" s="82"/>
      <c r="M18418" s="112"/>
      <c r="N18418" s="84"/>
    </row>
    <row r="18419" spans="1:14" s="2" customFormat="1">
      <c r="A18419" s="83"/>
      <c r="H18419" s="83"/>
      <c r="K18419" s="82"/>
      <c r="M18419" s="112"/>
      <c r="N18419" s="84"/>
    </row>
    <row r="18420" spans="1:14" s="2" customFormat="1">
      <c r="A18420" s="83"/>
      <c r="H18420" s="83"/>
      <c r="K18420" s="82"/>
      <c r="M18420" s="112"/>
      <c r="N18420" s="84"/>
    </row>
    <row r="18421" spans="1:14" s="2" customFormat="1">
      <c r="A18421" s="83"/>
      <c r="H18421" s="83"/>
      <c r="K18421" s="82"/>
      <c r="M18421" s="112"/>
      <c r="N18421" s="84"/>
    </row>
    <row r="18422" spans="1:14" s="2" customFormat="1">
      <c r="A18422" s="83"/>
      <c r="H18422" s="83"/>
      <c r="K18422" s="82"/>
      <c r="M18422" s="112"/>
      <c r="N18422" s="84"/>
    </row>
    <row r="18423" spans="1:14" s="2" customFormat="1">
      <c r="A18423" s="83"/>
      <c r="H18423" s="83"/>
      <c r="K18423" s="82"/>
      <c r="M18423" s="112"/>
      <c r="N18423" s="84"/>
    </row>
    <row r="18424" spans="1:14" s="2" customFormat="1">
      <c r="A18424" s="83"/>
      <c r="H18424" s="83"/>
      <c r="K18424" s="82"/>
      <c r="M18424" s="112"/>
      <c r="N18424" s="84"/>
    </row>
    <row r="18425" spans="1:14" s="2" customFormat="1">
      <c r="A18425" s="83"/>
      <c r="H18425" s="83"/>
      <c r="K18425" s="82"/>
      <c r="M18425" s="112"/>
      <c r="N18425" s="84"/>
    </row>
    <row r="18426" spans="1:14" s="2" customFormat="1">
      <c r="A18426" s="83"/>
      <c r="H18426" s="83"/>
      <c r="K18426" s="82"/>
      <c r="M18426" s="112"/>
      <c r="N18426" s="84"/>
    </row>
    <row r="18427" spans="1:14" s="2" customFormat="1">
      <c r="A18427" s="83"/>
      <c r="H18427" s="83"/>
      <c r="K18427" s="82"/>
      <c r="M18427" s="112"/>
      <c r="N18427" s="84"/>
    </row>
    <row r="18428" spans="1:14" s="2" customFormat="1">
      <c r="A18428" s="83"/>
      <c r="H18428" s="83"/>
      <c r="K18428" s="82"/>
      <c r="M18428" s="112"/>
      <c r="N18428" s="84"/>
    </row>
    <row r="18429" spans="1:14" s="2" customFormat="1">
      <c r="A18429" s="83"/>
      <c r="H18429" s="83"/>
      <c r="K18429" s="82"/>
      <c r="M18429" s="112"/>
      <c r="N18429" s="84"/>
    </row>
    <row r="18430" spans="1:14" s="2" customFormat="1">
      <c r="A18430" s="83"/>
      <c r="H18430" s="83"/>
      <c r="K18430" s="82"/>
      <c r="M18430" s="112"/>
      <c r="N18430" s="84"/>
    </row>
    <row r="18431" spans="1:14" s="2" customFormat="1">
      <c r="A18431" s="83"/>
      <c r="H18431" s="83"/>
      <c r="K18431" s="82"/>
      <c r="M18431" s="112"/>
      <c r="N18431" s="84"/>
    </row>
    <row r="18432" spans="1:14" s="2" customFormat="1">
      <c r="A18432" s="83"/>
      <c r="H18432" s="83"/>
      <c r="K18432" s="82"/>
      <c r="M18432" s="112"/>
      <c r="N18432" s="84"/>
    </row>
    <row r="18433" spans="1:14" s="2" customFormat="1">
      <c r="A18433" s="83"/>
      <c r="H18433" s="83"/>
      <c r="K18433" s="82"/>
      <c r="M18433" s="112"/>
      <c r="N18433" s="84"/>
    </row>
    <row r="18434" spans="1:14" s="2" customFormat="1">
      <c r="A18434" s="83"/>
      <c r="H18434" s="83"/>
      <c r="K18434" s="82"/>
      <c r="M18434" s="112"/>
      <c r="N18434" s="84"/>
    </row>
    <row r="18435" spans="1:14" s="2" customFormat="1">
      <c r="A18435" s="83"/>
      <c r="H18435" s="83"/>
      <c r="K18435" s="82"/>
      <c r="M18435" s="112"/>
      <c r="N18435" s="84"/>
    </row>
    <row r="18436" spans="1:14" s="2" customFormat="1">
      <c r="A18436" s="83"/>
      <c r="H18436" s="83"/>
      <c r="K18436" s="82"/>
      <c r="M18436" s="112"/>
      <c r="N18436" s="84"/>
    </row>
    <row r="18437" spans="1:14" s="2" customFormat="1">
      <c r="A18437" s="83"/>
      <c r="H18437" s="83"/>
      <c r="K18437" s="82"/>
      <c r="M18437" s="112"/>
      <c r="N18437" s="84"/>
    </row>
    <row r="18438" spans="1:14" s="2" customFormat="1">
      <c r="A18438" s="83"/>
      <c r="H18438" s="83"/>
      <c r="K18438" s="82"/>
      <c r="M18438" s="112"/>
      <c r="N18438" s="84"/>
    </row>
    <row r="18439" spans="1:14" s="2" customFormat="1">
      <c r="A18439" s="83"/>
      <c r="H18439" s="83"/>
      <c r="K18439" s="82"/>
      <c r="M18439" s="112"/>
      <c r="N18439" s="84"/>
    </row>
    <row r="18440" spans="1:14" s="2" customFormat="1">
      <c r="A18440" s="83"/>
      <c r="H18440" s="83"/>
      <c r="K18440" s="82"/>
      <c r="M18440" s="112"/>
      <c r="N18440" s="84"/>
    </row>
    <row r="18441" spans="1:14" s="2" customFormat="1">
      <c r="A18441" s="83"/>
      <c r="H18441" s="83"/>
      <c r="K18441" s="82"/>
      <c r="M18441" s="112"/>
      <c r="N18441" s="84"/>
    </row>
    <row r="18442" spans="1:14" s="2" customFormat="1">
      <c r="A18442" s="83"/>
      <c r="H18442" s="83"/>
      <c r="K18442" s="82"/>
      <c r="M18442" s="112"/>
      <c r="N18442" s="84"/>
    </row>
    <row r="18443" spans="1:14" s="2" customFormat="1">
      <c r="A18443" s="83"/>
      <c r="H18443" s="83"/>
      <c r="K18443" s="82"/>
      <c r="M18443" s="112"/>
      <c r="N18443" s="84"/>
    </row>
    <row r="18444" spans="1:14" s="2" customFormat="1">
      <c r="A18444" s="83"/>
      <c r="H18444" s="83"/>
      <c r="K18444" s="82"/>
      <c r="M18444" s="112"/>
      <c r="N18444" s="84"/>
    </row>
    <row r="18445" spans="1:14" s="2" customFormat="1">
      <c r="A18445" s="83"/>
      <c r="H18445" s="83"/>
      <c r="K18445" s="82"/>
      <c r="M18445" s="112"/>
      <c r="N18445" s="84"/>
    </row>
    <row r="18446" spans="1:14" s="2" customFormat="1">
      <c r="A18446" s="83"/>
      <c r="H18446" s="83"/>
      <c r="K18446" s="82"/>
      <c r="M18446" s="112"/>
      <c r="N18446" s="84"/>
    </row>
    <row r="18447" spans="1:14" s="2" customFormat="1">
      <c r="A18447" s="83"/>
      <c r="H18447" s="83"/>
      <c r="K18447" s="82"/>
      <c r="M18447" s="112"/>
      <c r="N18447" s="84"/>
    </row>
    <row r="18448" spans="1:14" s="2" customFormat="1">
      <c r="A18448" s="83"/>
      <c r="H18448" s="83"/>
      <c r="K18448" s="82"/>
      <c r="M18448" s="112"/>
      <c r="N18448" s="84"/>
    </row>
    <row r="18449" spans="1:14" s="2" customFormat="1">
      <c r="A18449" s="83"/>
      <c r="H18449" s="83"/>
      <c r="K18449" s="82"/>
      <c r="M18449" s="112"/>
      <c r="N18449" s="84"/>
    </row>
    <row r="18450" spans="1:14" s="2" customFormat="1">
      <c r="A18450" s="83"/>
      <c r="H18450" s="83"/>
      <c r="K18450" s="82"/>
      <c r="M18450" s="112"/>
      <c r="N18450" s="84"/>
    </row>
    <row r="18451" spans="1:14" s="2" customFormat="1">
      <c r="A18451" s="83"/>
      <c r="H18451" s="83"/>
      <c r="K18451" s="82"/>
      <c r="M18451" s="112"/>
      <c r="N18451" s="84"/>
    </row>
    <row r="18452" spans="1:14" s="2" customFormat="1">
      <c r="A18452" s="83"/>
      <c r="H18452" s="83"/>
      <c r="K18452" s="82"/>
      <c r="M18452" s="112"/>
      <c r="N18452" s="84"/>
    </row>
    <row r="18453" spans="1:14" s="2" customFormat="1">
      <c r="A18453" s="83"/>
      <c r="H18453" s="83"/>
      <c r="K18453" s="82"/>
      <c r="M18453" s="112"/>
      <c r="N18453" s="84"/>
    </row>
    <row r="18454" spans="1:14" s="2" customFormat="1">
      <c r="A18454" s="83"/>
      <c r="H18454" s="83"/>
      <c r="K18454" s="82"/>
      <c r="M18454" s="112"/>
      <c r="N18454" s="84"/>
    </row>
    <row r="18455" spans="1:14" s="2" customFormat="1">
      <c r="A18455" s="83"/>
      <c r="H18455" s="83"/>
      <c r="K18455" s="82"/>
      <c r="M18455" s="112"/>
      <c r="N18455" s="84"/>
    </row>
    <row r="18456" spans="1:14" s="2" customFormat="1">
      <c r="A18456" s="83"/>
      <c r="H18456" s="83"/>
      <c r="K18456" s="82"/>
      <c r="M18456" s="112"/>
      <c r="N18456" s="84"/>
    </row>
    <row r="18457" spans="1:14" s="2" customFormat="1">
      <c r="A18457" s="83"/>
      <c r="H18457" s="83"/>
      <c r="K18457" s="82"/>
      <c r="M18457" s="112"/>
      <c r="N18457" s="84"/>
    </row>
    <row r="18458" spans="1:14" s="2" customFormat="1">
      <c r="A18458" s="83"/>
      <c r="H18458" s="83"/>
      <c r="K18458" s="82"/>
      <c r="M18458" s="112"/>
      <c r="N18458" s="84"/>
    </row>
    <row r="18459" spans="1:14" s="2" customFormat="1">
      <c r="A18459" s="83"/>
      <c r="H18459" s="83"/>
      <c r="K18459" s="82"/>
      <c r="M18459" s="112"/>
      <c r="N18459" s="84"/>
    </row>
    <row r="18460" spans="1:14" s="2" customFormat="1">
      <c r="A18460" s="83"/>
      <c r="H18460" s="83"/>
      <c r="K18460" s="82"/>
      <c r="M18460" s="112"/>
      <c r="N18460" s="84"/>
    </row>
    <row r="18461" spans="1:14" s="2" customFormat="1">
      <c r="A18461" s="83"/>
      <c r="H18461" s="83"/>
      <c r="K18461" s="82"/>
      <c r="M18461" s="112"/>
      <c r="N18461" s="84"/>
    </row>
    <row r="18462" spans="1:14" s="2" customFormat="1">
      <c r="A18462" s="83"/>
      <c r="H18462" s="83"/>
      <c r="K18462" s="82"/>
      <c r="M18462" s="112"/>
      <c r="N18462" s="84"/>
    </row>
    <row r="18463" spans="1:14" s="2" customFormat="1">
      <c r="A18463" s="83"/>
      <c r="H18463" s="83"/>
      <c r="K18463" s="82"/>
      <c r="M18463" s="112"/>
      <c r="N18463" s="84"/>
    </row>
    <row r="18464" spans="1:14" s="2" customFormat="1">
      <c r="A18464" s="83"/>
      <c r="H18464" s="83"/>
      <c r="K18464" s="82"/>
      <c r="M18464" s="112"/>
      <c r="N18464" s="84"/>
    </row>
    <row r="18465" spans="1:14" s="2" customFormat="1">
      <c r="A18465" s="83"/>
      <c r="H18465" s="83"/>
      <c r="K18465" s="82"/>
      <c r="M18465" s="112"/>
      <c r="N18465" s="84"/>
    </row>
    <row r="18466" spans="1:14" s="2" customFormat="1">
      <c r="A18466" s="83"/>
      <c r="H18466" s="83"/>
      <c r="K18466" s="82"/>
      <c r="M18466" s="112"/>
      <c r="N18466" s="84"/>
    </row>
    <row r="18467" spans="1:14" s="2" customFormat="1">
      <c r="A18467" s="83"/>
      <c r="H18467" s="83"/>
      <c r="K18467" s="82"/>
      <c r="M18467" s="112"/>
      <c r="N18467" s="84"/>
    </row>
    <row r="18468" spans="1:14" s="2" customFormat="1">
      <c r="A18468" s="83"/>
      <c r="H18468" s="83"/>
      <c r="K18468" s="82"/>
      <c r="M18468" s="112"/>
      <c r="N18468" s="84"/>
    </row>
    <row r="18469" spans="1:14" s="2" customFormat="1">
      <c r="A18469" s="83"/>
      <c r="H18469" s="83"/>
      <c r="K18469" s="82"/>
      <c r="M18469" s="112"/>
      <c r="N18469" s="84"/>
    </row>
    <row r="18470" spans="1:14" s="2" customFormat="1">
      <c r="A18470" s="83"/>
      <c r="H18470" s="83"/>
      <c r="K18470" s="82"/>
      <c r="M18470" s="112"/>
      <c r="N18470" s="84"/>
    </row>
    <row r="18471" spans="1:14" s="2" customFormat="1">
      <c r="A18471" s="83"/>
      <c r="H18471" s="83"/>
      <c r="K18471" s="82"/>
      <c r="M18471" s="112"/>
      <c r="N18471" s="84"/>
    </row>
    <row r="18472" spans="1:14" s="2" customFormat="1">
      <c r="A18472" s="83"/>
      <c r="H18472" s="83"/>
      <c r="K18472" s="82"/>
      <c r="M18472" s="112"/>
      <c r="N18472" s="84"/>
    </row>
    <row r="18473" spans="1:14" s="2" customFormat="1">
      <c r="A18473" s="83"/>
      <c r="H18473" s="83"/>
      <c r="K18473" s="82"/>
      <c r="M18473" s="112"/>
      <c r="N18473" s="84"/>
    </row>
    <row r="18474" spans="1:14" s="2" customFormat="1">
      <c r="A18474" s="83"/>
      <c r="H18474" s="83"/>
      <c r="K18474" s="82"/>
      <c r="M18474" s="112"/>
      <c r="N18474" s="84"/>
    </row>
    <row r="18475" spans="1:14" s="2" customFormat="1">
      <c r="A18475" s="83"/>
      <c r="H18475" s="83"/>
      <c r="K18475" s="82"/>
      <c r="M18475" s="112"/>
      <c r="N18475" s="84"/>
    </row>
    <row r="18476" spans="1:14" s="2" customFormat="1">
      <c r="A18476" s="83"/>
      <c r="H18476" s="83"/>
      <c r="K18476" s="82"/>
      <c r="M18476" s="112"/>
      <c r="N18476" s="84"/>
    </row>
    <row r="18477" spans="1:14" s="2" customFormat="1">
      <c r="A18477" s="83"/>
      <c r="H18477" s="83"/>
      <c r="K18477" s="82"/>
      <c r="M18477" s="112"/>
      <c r="N18477" s="84"/>
    </row>
    <row r="18478" spans="1:14" s="2" customFormat="1">
      <c r="A18478" s="83"/>
      <c r="H18478" s="83"/>
      <c r="K18478" s="82"/>
      <c r="M18478" s="112"/>
      <c r="N18478" s="84"/>
    </row>
    <row r="18479" spans="1:14" s="2" customFormat="1">
      <c r="A18479" s="83"/>
      <c r="H18479" s="83"/>
      <c r="K18479" s="82"/>
      <c r="M18479" s="112"/>
      <c r="N18479" s="84"/>
    </row>
    <row r="18480" spans="1:14" s="2" customFormat="1">
      <c r="A18480" s="83"/>
      <c r="H18480" s="83"/>
      <c r="K18480" s="82"/>
      <c r="M18480" s="112"/>
      <c r="N18480" s="84"/>
    </row>
    <row r="18481" spans="1:14" s="2" customFormat="1">
      <c r="A18481" s="83"/>
      <c r="H18481" s="83"/>
      <c r="K18481" s="82"/>
      <c r="M18481" s="112"/>
      <c r="N18481" s="84"/>
    </row>
    <row r="18482" spans="1:14" s="2" customFormat="1">
      <c r="A18482" s="83"/>
      <c r="H18482" s="83"/>
      <c r="K18482" s="82"/>
      <c r="M18482" s="112"/>
      <c r="N18482" s="84"/>
    </row>
    <row r="18483" spans="1:14" s="2" customFormat="1">
      <c r="A18483" s="83"/>
      <c r="H18483" s="83"/>
      <c r="K18483" s="82"/>
      <c r="M18483" s="112"/>
      <c r="N18483" s="84"/>
    </row>
    <row r="18484" spans="1:14" s="2" customFormat="1">
      <c r="A18484" s="83"/>
      <c r="H18484" s="83"/>
      <c r="K18484" s="82"/>
      <c r="M18484" s="112"/>
      <c r="N18484" s="84"/>
    </row>
    <row r="18485" spans="1:14" s="2" customFormat="1">
      <c r="A18485" s="83"/>
      <c r="H18485" s="83"/>
      <c r="K18485" s="82"/>
      <c r="M18485" s="112"/>
      <c r="N18485" s="84"/>
    </row>
    <row r="18486" spans="1:14" s="2" customFormat="1">
      <c r="A18486" s="83"/>
      <c r="H18486" s="83"/>
      <c r="K18486" s="82"/>
      <c r="M18486" s="112"/>
      <c r="N18486" s="84"/>
    </row>
    <row r="18487" spans="1:14" s="2" customFormat="1">
      <c r="A18487" s="83"/>
      <c r="H18487" s="83"/>
      <c r="K18487" s="82"/>
      <c r="M18487" s="112"/>
      <c r="N18487" s="84"/>
    </row>
    <row r="18488" spans="1:14" s="2" customFormat="1">
      <c r="A18488" s="83"/>
      <c r="H18488" s="83"/>
      <c r="K18488" s="82"/>
      <c r="M18488" s="112"/>
      <c r="N18488" s="84"/>
    </row>
    <row r="18489" spans="1:14" s="2" customFormat="1">
      <c r="A18489" s="83"/>
      <c r="H18489" s="83"/>
      <c r="K18489" s="82"/>
      <c r="M18489" s="112"/>
      <c r="N18489" s="84"/>
    </row>
    <row r="18490" spans="1:14" s="2" customFormat="1">
      <c r="A18490" s="83"/>
      <c r="H18490" s="83"/>
      <c r="K18490" s="82"/>
      <c r="M18490" s="112"/>
      <c r="N18490" s="84"/>
    </row>
    <row r="18491" spans="1:14" s="2" customFormat="1">
      <c r="A18491" s="83"/>
      <c r="H18491" s="83"/>
      <c r="K18491" s="82"/>
      <c r="M18491" s="112"/>
      <c r="N18491" s="84"/>
    </row>
    <row r="18492" spans="1:14" s="2" customFormat="1">
      <c r="A18492" s="83"/>
      <c r="H18492" s="83"/>
      <c r="K18492" s="82"/>
      <c r="M18492" s="112"/>
      <c r="N18492" s="84"/>
    </row>
    <row r="18493" spans="1:14" s="2" customFormat="1">
      <c r="A18493" s="83"/>
      <c r="H18493" s="83"/>
      <c r="K18493" s="82"/>
      <c r="M18493" s="112"/>
      <c r="N18493" s="84"/>
    </row>
    <row r="18494" spans="1:14" s="2" customFormat="1">
      <c r="A18494" s="83"/>
      <c r="H18494" s="83"/>
      <c r="K18494" s="82"/>
      <c r="M18494" s="112"/>
      <c r="N18494" s="84"/>
    </row>
    <row r="18495" spans="1:14" s="2" customFormat="1">
      <c r="A18495" s="83"/>
      <c r="H18495" s="83"/>
      <c r="K18495" s="82"/>
      <c r="M18495" s="112"/>
      <c r="N18495" s="84"/>
    </row>
    <row r="18496" spans="1:14" s="2" customFormat="1">
      <c r="A18496" s="83"/>
      <c r="H18496" s="83"/>
      <c r="K18496" s="82"/>
      <c r="M18496" s="112"/>
      <c r="N18496" s="84"/>
    </row>
    <row r="18497" spans="1:14" s="2" customFormat="1">
      <c r="A18497" s="83"/>
      <c r="H18497" s="83"/>
      <c r="K18497" s="82"/>
      <c r="M18497" s="112"/>
      <c r="N18497" s="84"/>
    </row>
    <row r="18498" spans="1:14" s="2" customFormat="1">
      <c r="A18498" s="83"/>
      <c r="H18498" s="83"/>
      <c r="K18498" s="82"/>
      <c r="M18498" s="112"/>
      <c r="N18498" s="84"/>
    </row>
    <row r="18499" spans="1:14" s="2" customFormat="1">
      <c r="A18499" s="83"/>
      <c r="H18499" s="83"/>
      <c r="K18499" s="82"/>
      <c r="M18499" s="112"/>
      <c r="N18499" s="84"/>
    </row>
    <row r="18500" spans="1:14" s="2" customFormat="1">
      <c r="A18500" s="83"/>
      <c r="H18500" s="83"/>
      <c r="K18500" s="82"/>
      <c r="M18500" s="112"/>
      <c r="N18500" s="84"/>
    </row>
    <row r="18501" spans="1:14" s="2" customFormat="1">
      <c r="A18501" s="83"/>
      <c r="H18501" s="83"/>
      <c r="K18501" s="82"/>
      <c r="M18501" s="112"/>
      <c r="N18501" s="84"/>
    </row>
    <row r="18502" spans="1:14" s="2" customFormat="1">
      <c r="A18502" s="83"/>
      <c r="H18502" s="83"/>
      <c r="K18502" s="82"/>
      <c r="M18502" s="112"/>
      <c r="N18502" s="84"/>
    </row>
    <row r="18503" spans="1:14" s="2" customFormat="1">
      <c r="A18503" s="83"/>
      <c r="H18503" s="83"/>
      <c r="K18503" s="82"/>
      <c r="M18503" s="112"/>
      <c r="N18503" s="84"/>
    </row>
    <row r="18504" spans="1:14" s="2" customFormat="1">
      <c r="A18504" s="83"/>
      <c r="H18504" s="83"/>
      <c r="K18504" s="82"/>
      <c r="M18504" s="112"/>
      <c r="N18504" s="84"/>
    </row>
    <row r="18505" spans="1:14" s="2" customFormat="1">
      <c r="A18505" s="83"/>
      <c r="H18505" s="83"/>
      <c r="K18505" s="82"/>
      <c r="M18505" s="112"/>
      <c r="N18505" s="84"/>
    </row>
    <row r="18506" spans="1:14" s="2" customFormat="1">
      <c r="A18506" s="83"/>
      <c r="H18506" s="83"/>
      <c r="K18506" s="82"/>
      <c r="M18506" s="112"/>
      <c r="N18506" s="84"/>
    </row>
    <row r="18507" spans="1:14" s="2" customFormat="1">
      <c r="A18507" s="83"/>
      <c r="H18507" s="83"/>
      <c r="K18507" s="82"/>
      <c r="M18507" s="112"/>
      <c r="N18507" s="84"/>
    </row>
    <row r="18508" spans="1:14" s="2" customFormat="1">
      <c r="A18508" s="83"/>
      <c r="H18508" s="83"/>
      <c r="K18508" s="82"/>
      <c r="M18508" s="112"/>
      <c r="N18508" s="84"/>
    </row>
    <row r="18509" spans="1:14" s="2" customFormat="1">
      <c r="A18509" s="83"/>
      <c r="H18509" s="83"/>
      <c r="K18509" s="82"/>
      <c r="M18509" s="112"/>
      <c r="N18509" s="84"/>
    </row>
    <row r="18510" spans="1:14" s="2" customFormat="1">
      <c r="A18510" s="83"/>
      <c r="H18510" s="83"/>
      <c r="K18510" s="82"/>
      <c r="M18510" s="112"/>
      <c r="N18510" s="84"/>
    </row>
    <row r="18511" spans="1:14" s="2" customFormat="1">
      <c r="A18511" s="83"/>
      <c r="H18511" s="83"/>
      <c r="K18511" s="82"/>
      <c r="M18511" s="112"/>
      <c r="N18511" s="84"/>
    </row>
    <row r="18512" spans="1:14" s="2" customFormat="1">
      <c r="A18512" s="83"/>
      <c r="H18512" s="83"/>
      <c r="K18512" s="82"/>
      <c r="M18512" s="112"/>
      <c r="N18512" s="84"/>
    </row>
    <row r="18513" spans="1:14" s="2" customFormat="1">
      <c r="A18513" s="83"/>
      <c r="H18513" s="83"/>
      <c r="K18513" s="82"/>
      <c r="M18513" s="112"/>
      <c r="N18513" s="84"/>
    </row>
    <row r="18514" spans="1:14" s="2" customFormat="1">
      <c r="A18514" s="83"/>
      <c r="H18514" s="83"/>
      <c r="K18514" s="82"/>
      <c r="M18514" s="112"/>
      <c r="N18514" s="84"/>
    </row>
    <row r="18515" spans="1:14" s="2" customFormat="1">
      <c r="A18515" s="83"/>
      <c r="H18515" s="83"/>
      <c r="K18515" s="82"/>
      <c r="M18515" s="112"/>
      <c r="N18515" s="84"/>
    </row>
    <row r="18516" spans="1:14" s="2" customFormat="1">
      <c r="A18516" s="83"/>
      <c r="H18516" s="83"/>
      <c r="K18516" s="82"/>
      <c r="M18516" s="112"/>
      <c r="N18516" s="84"/>
    </row>
    <row r="18517" spans="1:14" s="2" customFormat="1">
      <c r="A18517" s="83"/>
      <c r="H18517" s="83"/>
      <c r="K18517" s="82"/>
      <c r="M18517" s="112"/>
      <c r="N18517" s="84"/>
    </row>
    <row r="18518" spans="1:14" s="2" customFormat="1">
      <c r="A18518" s="83"/>
      <c r="H18518" s="83"/>
      <c r="K18518" s="82"/>
      <c r="M18518" s="112"/>
      <c r="N18518" s="84"/>
    </row>
    <row r="18519" spans="1:14" s="2" customFormat="1">
      <c r="A18519" s="83"/>
      <c r="H18519" s="83"/>
      <c r="K18519" s="82"/>
      <c r="M18519" s="112"/>
      <c r="N18519" s="84"/>
    </row>
    <row r="18520" spans="1:14" s="2" customFormat="1">
      <c r="A18520" s="83"/>
      <c r="H18520" s="83"/>
      <c r="K18520" s="82"/>
      <c r="M18520" s="112"/>
      <c r="N18520" s="84"/>
    </row>
    <row r="18521" spans="1:14" s="2" customFormat="1">
      <c r="A18521" s="83"/>
      <c r="H18521" s="83"/>
      <c r="K18521" s="82"/>
      <c r="M18521" s="112"/>
      <c r="N18521" s="84"/>
    </row>
    <row r="18522" spans="1:14" s="2" customFormat="1">
      <c r="A18522" s="83"/>
      <c r="H18522" s="83"/>
      <c r="K18522" s="82"/>
      <c r="M18522" s="112"/>
      <c r="N18522" s="84"/>
    </row>
    <row r="18523" spans="1:14" s="2" customFormat="1">
      <c r="A18523" s="83"/>
      <c r="H18523" s="83"/>
      <c r="K18523" s="82"/>
      <c r="M18523" s="112"/>
      <c r="N18523" s="84"/>
    </row>
    <row r="18524" spans="1:14" s="2" customFormat="1">
      <c r="A18524" s="83"/>
      <c r="H18524" s="83"/>
      <c r="K18524" s="82"/>
      <c r="M18524" s="112"/>
      <c r="N18524" s="84"/>
    </row>
    <row r="18525" spans="1:14" s="2" customFormat="1">
      <c r="A18525" s="83"/>
      <c r="H18525" s="83"/>
      <c r="K18525" s="82"/>
      <c r="M18525" s="112"/>
      <c r="N18525" s="84"/>
    </row>
    <row r="18526" spans="1:14" s="2" customFormat="1">
      <c r="A18526" s="83"/>
      <c r="H18526" s="83"/>
      <c r="K18526" s="82"/>
      <c r="M18526" s="112"/>
      <c r="N18526" s="84"/>
    </row>
    <row r="18527" spans="1:14" s="2" customFormat="1">
      <c r="A18527" s="83"/>
      <c r="H18527" s="83"/>
      <c r="K18527" s="82"/>
      <c r="M18527" s="112"/>
      <c r="N18527" s="84"/>
    </row>
    <row r="18528" spans="1:14" s="2" customFormat="1">
      <c r="A18528" s="83"/>
      <c r="H18528" s="83"/>
      <c r="K18528" s="82"/>
      <c r="M18528" s="112"/>
      <c r="N18528" s="84"/>
    </row>
    <row r="18529" spans="1:14" s="2" customFormat="1">
      <c r="A18529" s="83"/>
      <c r="H18529" s="83"/>
      <c r="K18529" s="82"/>
      <c r="M18529" s="112"/>
      <c r="N18529" s="84"/>
    </row>
    <row r="18530" spans="1:14" s="2" customFormat="1">
      <c r="A18530" s="83"/>
      <c r="H18530" s="83"/>
      <c r="K18530" s="82"/>
      <c r="M18530" s="112"/>
      <c r="N18530" s="84"/>
    </row>
    <row r="18531" spans="1:14" s="2" customFormat="1">
      <c r="A18531" s="83"/>
      <c r="H18531" s="83"/>
      <c r="K18531" s="82"/>
      <c r="M18531" s="112"/>
      <c r="N18531" s="84"/>
    </row>
    <row r="18532" spans="1:14" s="2" customFormat="1">
      <c r="A18532" s="83"/>
      <c r="H18532" s="83"/>
      <c r="K18532" s="82"/>
      <c r="M18532" s="112"/>
      <c r="N18532" s="84"/>
    </row>
    <row r="18533" spans="1:14" s="2" customFormat="1">
      <c r="A18533" s="83"/>
      <c r="H18533" s="83"/>
      <c r="K18533" s="82"/>
      <c r="M18533" s="112"/>
      <c r="N18533" s="84"/>
    </row>
    <row r="18534" spans="1:14" s="2" customFormat="1">
      <c r="A18534" s="83"/>
      <c r="H18534" s="83"/>
      <c r="K18534" s="82"/>
      <c r="M18534" s="112"/>
      <c r="N18534" s="84"/>
    </row>
    <row r="18535" spans="1:14" s="2" customFormat="1">
      <c r="A18535" s="83"/>
      <c r="H18535" s="83"/>
      <c r="K18535" s="82"/>
      <c r="M18535" s="112"/>
      <c r="N18535" s="84"/>
    </row>
    <row r="18536" spans="1:14" s="2" customFormat="1">
      <c r="A18536" s="83"/>
      <c r="H18536" s="83"/>
      <c r="K18536" s="82"/>
      <c r="M18536" s="112"/>
      <c r="N18536" s="84"/>
    </row>
    <row r="18537" spans="1:14" s="2" customFormat="1">
      <c r="A18537" s="83"/>
      <c r="H18537" s="83"/>
      <c r="K18537" s="82"/>
      <c r="M18537" s="112"/>
      <c r="N18537" s="84"/>
    </row>
    <row r="18538" spans="1:14" s="2" customFormat="1">
      <c r="A18538" s="83"/>
      <c r="H18538" s="83"/>
      <c r="K18538" s="82"/>
      <c r="M18538" s="112"/>
      <c r="N18538" s="84"/>
    </row>
    <row r="18539" spans="1:14" s="2" customFormat="1">
      <c r="A18539" s="83"/>
      <c r="H18539" s="83"/>
      <c r="K18539" s="82"/>
      <c r="M18539" s="112"/>
      <c r="N18539" s="84"/>
    </row>
    <row r="18540" spans="1:14" s="2" customFormat="1">
      <c r="A18540" s="83"/>
      <c r="H18540" s="83"/>
      <c r="K18540" s="82"/>
      <c r="M18540" s="112"/>
      <c r="N18540" s="84"/>
    </row>
    <row r="18541" spans="1:14" s="2" customFormat="1">
      <c r="A18541" s="83"/>
      <c r="H18541" s="83"/>
      <c r="K18541" s="82"/>
      <c r="M18541" s="112"/>
      <c r="N18541" s="84"/>
    </row>
    <row r="18542" spans="1:14" s="2" customFormat="1">
      <c r="A18542" s="83"/>
      <c r="H18542" s="83"/>
      <c r="K18542" s="82"/>
      <c r="M18542" s="112"/>
      <c r="N18542" s="84"/>
    </row>
    <row r="18543" spans="1:14" s="2" customFormat="1">
      <c r="A18543" s="83"/>
      <c r="H18543" s="83"/>
      <c r="K18543" s="82"/>
      <c r="M18543" s="112"/>
      <c r="N18543" s="84"/>
    </row>
    <row r="18544" spans="1:14" s="2" customFormat="1">
      <c r="A18544" s="83"/>
      <c r="H18544" s="83"/>
      <c r="K18544" s="82"/>
      <c r="M18544" s="112"/>
      <c r="N18544" s="84"/>
    </row>
    <row r="18545" spans="1:14" s="2" customFormat="1">
      <c r="A18545" s="83"/>
      <c r="H18545" s="83"/>
      <c r="K18545" s="82"/>
      <c r="M18545" s="112"/>
      <c r="N18545" s="84"/>
    </row>
    <row r="18546" spans="1:14" s="2" customFormat="1">
      <c r="A18546" s="83"/>
      <c r="H18546" s="83"/>
      <c r="K18546" s="82"/>
      <c r="M18546" s="112"/>
      <c r="N18546" s="84"/>
    </row>
    <row r="18547" spans="1:14" s="2" customFormat="1">
      <c r="A18547" s="83"/>
      <c r="H18547" s="83"/>
      <c r="K18547" s="82"/>
      <c r="M18547" s="112"/>
      <c r="N18547" s="84"/>
    </row>
    <row r="18548" spans="1:14" s="2" customFormat="1">
      <c r="A18548" s="83"/>
      <c r="H18548" s="83"/>
      <c r="K18548" s="82"/>
      <c r="M18548" s="112"/>
      <c r="N18548" s="84"/>
    </row>
    <row r="18549" spans="1:14" s="2" customFormat="1">
      <c r="A18549" s="83"/>
      <c r="H18549" s="83"/>
      <c r="K18549" s="82"/>
      <c r="M18549" s="112"/>
      <c r="N18549" s="84"/>
    </row>
    <row r="18550" spans="1:14" s="2" customFormat="1">
      <c r="A18550" s="83"/>
      <c r="H18550" s="83"/>
      <c r="K18550" s="82"/>
      <c r="M18550" s="112"/>
      <c r="N18550" s="84"/>
    </row>
    <row r="18551" spans="1:14" s="2" customFormat="1">
      <c r="A18551" s="83"/>
      <c r="H18551" s="83"/>
      <c r="K18551" s="82"/>
      <c r="M18551" s="112"/>
      <c r="N18551" s="84"/>
    </row>
    <row r="18552" spans="1:14" s="2" customFormat="1">
      <c r="A18552" s="83"/>
      <c r="H18552" s="83"/>
      <c r="K18552" s="82"/>
      <c r="M18552" s="112"/>
      <c r="N18552" s="84"/>
    </row>
    <row r="18553" spans="1:14" s="2" customFormat="1">
      <c r="A18553" s="83"/>
      <c r="H18553" s="83"/>
      <c r="K18553" s="82"/>
      <c r="M18553" s="112"/>
      <c r="N18553" s="84"/>
    </row>
    <row r="18554" spans="1:14" s="2" customFormat="1">
      <c r="A18554" s="83"/>
      <c r="H18554" s="83"/>
      <c r="K18554" s="82"/>
      <c r="M18554" s="112"/>
      <c r="N18554" s="84"/>
    </row>
    <row r="18555" spans="1:14" s="2" customFormat="1">
      <c r="A18555" s="83"/>
      <c r="H18555" s="83"/>
      <c r="K18555" s="82"/>
      <c r="M18555" s="112"/>
      <c r="N18555" s="84"/>
    </row>
    <row r="18556" spans="1:14" s="2" customFormat="1">
      <c r="A18556" s="83"/>
      <c r="H18556" s="83"/>
      <c r="K18556" s="82"/>
      <c r="M18556" s="112"/>
      <c r="N18556" s="84"/>
    </row>
    <row r="18557" spans="1:14" s="2" customFormat="1">
      <c r="A18557" s="83"/>
      <c r="H18557" s="83"/>
      <c r="K18557" s="82"/>
      <c r="M18557" s="112"/>
      <c r="N18557" s="84"/>
    </row>
    <row r="18558" spans="1:14" s="2" customFormat="1">
      <c r="A18558" s="83"/>
      <c r="H18558" s="83"/>
      <c r="K18558" s="82"/>
      <c r="M18558" s="112"/>
      <c r="N18558" s="84"/>
    </row>
    <row r="18559" spans="1:14" s="2" customFormat="1">
      <c r="A18559" s="83"/>
      <c r="H18559" s="83"/>
      <c r="K18559" s="82"/>
      <c r="M18559" s="112"/>
      <c r="N18559" s="84"/>
    </row>
    <row r="18560" spans="1:14" s="2" customFormat="1">
      <c r="A18560" s="83"/>
      <c r="H18560" s="83"/>
      <c r="K18560" s="82"/>
      <c r="M18560" s="112"/>
      <c r="N18560" s="84"/>
    </row>
    <row r="18561" spans="1:14" s="2" customFormat="1">
      <c r="A18561" s="83"/>
      <c r="H18561" s="83"/>
      <c r="K18561" s="82"/>
      <c r="M18561" s="112"/>
      <c r="N18561" s="84"/>
    </row>
    <row r="18562" spans="1:14" s="2" customFormat="1">
      <c r="A18562" s="83"/>
      <c r="H18562" s="83"/>
      <c r="K18562" s="82"/>
      <c r="M18562" s="112"/>
      <c r="N18562" s="84"/>
    </row>
    <row r="18563" spans="1:14" s="2" customFormat="1">
      <c r="A18563" s="83"/>
      <c r="H18563" s="83"/>
      <c r="K18563" s="82"/>
      <c r="M18563" s="112"/>
      <c r="N18563" s="84"/>
    </row>
    <row r="18564" spans="1:14" s="2" customFormat="1">
      <c r="A18564" s="83"/>
      <c r="H18564" s="83"/>
      <c r="K18564" s="82"/>
      <c r="M18564" s="112"/>
      <c r="N18564" s="84"/>
    </row>
    <row r="18565" spans="1:14" s="2" customFormat="1">
      <c r="A18565" s="83"/>
      <c r="H18565" s="83"/>
      <c r="K18565" s="82"/>
      <c r="M18565" s="112"/>
      <c r="N18565" s="84"/>
    </row>
    <row r="18566" spans="1:14" s="2" customFormat="1">
      <c r="A18566" s="83"/>
      <c r="H18566" s="83"/>
      <c r="K18566" s="82"/>
      <c r="M18566" s="112"/>
      <c r="N18566" s="84"/>
    </row>
    <row r="18567" spans="1:14" s="2" customFormat="1">
      <c r="A18567" s="83"/>
      <c r="H18567" s="83"/>
      <c r="K18567" s="82"/>
      <c r="M18567" s="112"/>
      <c r="N18567" s="84"/>
    </row>
    <row r="18568" spans="1:14" s="2" customFormat="1">
      <c r="A18568" s="83"/>
      <c r="H18568" s="83"/>
      <c r="K18568" s="82"/>
      <c r="M18568" s="112"/>
      <c r="N18568" s="84"/>
    </row>
    <row r="18569" spans="1:14" s="2" customFormat="1">
      <c r="A18569" s="83"/>
      <c r="H18569" s="83"/>
      <c r="K18569" s="82"/>
      <c r="M18569" s="112"/>
      <c r="N18569" s="84"/>
    </row>
    <row r="18570" spans="1:14" s="2" customFormat="1">
      <c r="A18570" s="83"/>
      <c r="H18570" s="83"/>
      <c r="K18570" s="82"/>
      <c r="M18570" s="112"/>
      <c r="N18570" s="84"/>
    </row>
    <row r="18571" spans="1:14" s="2" customFormat="1">
      <c r="A18571" s="83"/>
      <c r="H18571" s="83"/>
      <c r="K18571" s="82"/>
      <c r="M18571" s="112"/>
      <c r="N18571" s="84"/>
    </row>
    <row r="18572" spans="1:14" s="2" customFormat="1">
      <c r="A18572" s="83"/>
      <c r="H18572" s="83"/>
      <c r="K18572" s="82"/>
      <c r="M18572" s="112"/>
      <c r="N18572" s="84"/>
    </row>
    <row r="18573" spans="1:14" s="2" customFormat="1">
      <c r="A18573" s="83"/>
      <c r="H18573" s="83"/>
      <c r="K18573" s="82"/>
      <c r="M18573" s="112"/>
      <c r="N18573" s="84"/>
    </row>
    <row r="18574" spans="1:14" s="2" customFormat="1">
      <c r="A18574" s="83"/>
      <c r="H18574" s="83"/>
      <c r="K18574" s="82"/>
      <c r="M18574" s="112"/>
      <c r="N18574" s="84"/>
    </row>
    <row r="18575" spans="1:14" s="2" customFormat="1">
      <c r="A18575" s="83"/>
      <c r="H18575" s="83"/>
      <c r="K18575" s="82"/>
      <c r="M18575" s="112"/>
      <c r="N18575" s="84"/>
    </row>
    <row r="18576" spans="1:14" s="2" customFormat="1">
      <c r="A18576" s="83"/>
      <c r="H18576" s="83"/>
      <c r="K18576" s="82"/>
      <c r="M18576" s="112"/>
      <c r="N18576" s="84"/>
    </row>
    <row r="18577" spans="1:14" s="2" customFormat="1">
      <c r="A18577" s="83"/>
      <c r="H18577" s="83"/>
      <c r="K18577" s="82"/>
      <c r="M18577" s="112"/>
      <c r="N18577" s="84"/>
    </row>
    <row r="18578" spans="1:14" s="2" customFormat="1">
      <c r="A18578" s="83"/>
      <c r="H18578" s="83"/>
      <c r="K18578" s="82"/>
      <c r="M18578" s="112"/>
      <c r="N18578" s="84"/>
    </row>
    <row r="18579" spans="1:14" s="2" customFormat="1">
      <c r="A18579" s="83"/>
      <c r="H18579" s="83"/>
      <c r="K18579" s="82"/>
      <c r="M18579" s="112"/>
      <c r="N18579" s="84"/>
    </row>
    <row r="18580" spans="1:14" s="2" customFormat="1">
      <c r="A18580" s="83"/>
      <c r="H18580" s="83"/>
      <c r="K18580" s="82"/>
      <c r="M18580" s="112"/>
      <c r="N18580" s="84"/>
    </row>
    <row r="18581" spans="1:14" s="2" customFormat="1">
      <c r="A18581" s="83"/>
      <c r="H18581" s="83"/>
      <c r="K18581" s="82"/>
      <c r="M18581" s="112"/>
      <c r="N18581" s="84"/>
    </row>
    <row r="18582" spans="1:14" s="2" customFormat="1">
      <c r="A18582" s="83"/>
      <c r="H18582" s="83"/>
      <c r="K18582" s="82"/>
      <c r="M18582" s="112"/>
      <c r="N18582" s="84"/>
    </row>
    <row r="18583" spans="1:14" s="2" customFormat="1">
      <c r="A18583" s="83"/>
      <c r="H18583" s="83"/>
      <c r="K18583" s="82"/>
      <c r="M18583" s="112"/>
      <c r="N18583" s="84"/>
    </row>
    <row r="18584" spans="1:14" s="2" customFormat="1">
      <c r="A18584" s="83"/>
      <c r="H18584" s="83"/>
      <c r="K18584" s="82"/>
      <c r="M18584" s="112"/>
      <c r="N18584" s="84"/>
    </row>
    <row r="18585" spans="1:14" s="2" customFormat="1">
      <c r="A18585" s="83"/>
      <c r="H18585" s="83"/>
      <c r="K18585" s="82"/>
      <c r="M18585" s="112"/>
      <c r="N18585" s="84"/>
    </row>
    <row r="18586" spans="1:14" s="2" customFormat="1">
      <c r="A18586" s="83"/>
      <c r="H18586" s="83"/>
      <c r="K18586" s="82"/>
      <c r="M18586" s="112"/>
      <c r="N18586" s="84"/>
    </row>
    <row r="18587" spans="1:14" s="2" customFormat="1">
      <c r="A18587" s="83"/>
      <c r="H18587" s="83"/>
      <c r="K18587" s="82"/>
      <c r="M18587" s="112"/>
      <c r="N18587" s="84"/>
    </row>
    <row r="18588" spans="1:14" s="2" customFormat="1">
      <c r="A18588" s="83"/>
      <c r="H18588" s="83"/>
      <c r="K18588" s="82"/>
      <c r="M18588" s="112"/>
      <c r="N18588" s="84"/>
    </row>
    <row r="18589" spans="1:14" s="2" customFormat="1">
      <c r="A18589" s="83"/>
      <c r="H18589" s="83"/>
      <c r="K18589" s="82"/>
      <c r="M18589" s="112"/>
      <c r="N18589" s="84"/>
    </row>
    <row r="18590" spans="1:14" s="2" customFormat="1">
      <c r="A18590" s="83"/>
      <c r="H18590" s="83"/>
      <c r="K18590" s="82"/>
      <c r="M18590" s="112"/>
      <c r="N18590" s="84"/>
    </row>
    <row r="18591" spans="1:14" s="2" customFormat="1">
      <c r="A18591" s="83"/>
      <c r="H18591" s="83"/>
      <c r="K18591" s="82"/>
      <c r="M18591" s="112"/>
      <c r="N18591" s="84"/>
    </row>
    <row r="18592" spans="1:14" s="2" customFormat="1">
      <c r="A18592" s="83"/>
      <c r="H18592" s="83"/>
      <c r="K18592" s="82"/>
      <c r="M18592" s="112"/>
      <c r="N18592" s="84"/>
    </row>
    <row r="18593" spans="1:14" s="2" customFormat="1">
      <c r="A18593" s="83"/>
      <c r="H18593" s="83"/>
      <c r="K18593" s="82"/>
      <c r="M18593" s="112"/>
      <c r="N18593" s="84"/>
    </row>
    <row r="18594" spans="1:14" s="2" customFormat="1">
      <c r="A18594" s="83"/>
      <c r="H18594" s="83"/>
      <c r="K18594" s="82"/>
      <c r="M18594" s="112"/>
      <c r="N18594" s="84"/>
    </row>
    <row r="18595" spans="1:14" s="2" customFormat="1">
      <c r="A18595" s="83"/>
      <c r="H18595" s="83"/>
      <c r="K18595" s="82"/>
      <c r="M18595" s="112"/>
      <c r="N18595" s="84"/>
    </row>
    <row r="18596" spans="1:14" s="2" customFormat="1">
      <c r="A18596" s="83"/>
      <c r="H18596" s="83"/>
      <c r="K18596" s="82"/>
      <c r="M18596" s="112"/>
      <c r="N18596" s="84"/>
    </row>
    <row r="18597" spans="1:14" s="2" customFormat="1">
      <c r="A18597" s="83"/>
      <c r="H18597" s="83"/>
      <c r="K18597" s="82"/>
      <c r="M18597" s="112"/>
      <c r="N18597" s="84"/>
    </row>
    <row r="18598" spans="1:14" s="2" customFormat="1">
      <c r="A18598" s="83"/>
      <c r="H18598" s="83"/>
      <c r="K18598" s="82"/>
      <c r="M18598" s="112"/>
      <c r="N18598" s="84"/>
    </row>
    <row r="18599" spans="1:14" s="2" customFormat="1">
      <c r="A18599" s="83"/>
      <c r="H18599" s="83"/>
      <c r="K18599" s="82"/>
      <c r="M18599" s="112"/>
      <c r="N18599" s="84"/>
    </row>
    <row r="18600" spans="1:14" s="2" customFormat="1">
      <c r="A18600" s="83"/>
      <c r="H18600" s="83"/>
      <c r="K18600" s="82"/>
      <c r="M18600" s="112"/>
      <c r="N18600" s="84"/>
    </row>
    <row r="18601" spans="1:14" s="2" customFormat="1">
      <c r="A18601" s="83"/>
      <c r="H18601" s="83"/>
      <c r="K18601" s="82"/>
      <c r="M18601" s="112"/>
      <c r="N18601" s="84"/>
    </row>
    <row r="18602" spans="1:14" s="2" customFormat="1">
      <c r="A18602" s="83"/>
      <c r="H18602" s="83"/>
      <c r="K18602" s="82"/>
      <c r="M18602" s="112"/>
      <c r="N18602" s="84"/>
    </row>
    <row r="18603" spans="1:14" s="2" customFormat="1">
      <c r="A18603" s="83"/>
      <c r="H18603" s="83"/>
      <c r="K18603" s="82"/>
      <c r="M18603" s="112"/>
      <c r="N18603" s="84"/>
    </row>
    <row r="18604" spans="1:14" s="2" customFormat="1">
      <c r="A18604" s="83"/>
      <c r="H18604" s="83"/>
      <c r="K18604" s="82"/>
      <c r="M18604" s="112"/>
      <c r="N18604" s="84"/>
    </row>
    <row r="18605" spans="1:14" s="2" customFormat="1">
      <c r="A18605" s="83"/>
      <c r="H18605" s="83"/>
      <c r="K18605" s="82"/>
      <c r="M18605" s="112"/>
      <c r="N18605" s="84"/>
    </row>
    <row r="18606" spans="1:14" s="2" customFormat="1">
      <c r="A18606" s="83"/>
      <c r="H18606" s="83"/>
      <c r="K18606" s="82"/>
      <c r="M18606" s="112"/>
      <c r="N18606" s="84"/>
    </row>
    <row r="18607" spans="1:14" s="2" customFormat="1">
      <c r="A18607" s="83"/>
      <c r="H18607" s="83"/>
      <c r="K18607" s="82"/>
      <c r="M18607" s="112"/>
      <c r="N18607" s="84"/>
    </row>
    <row r="18608" spans="1:14" s="2" customFormat="1">
      <c r="A18608" s="83"/>
      <c r="H18608" s="83"/>
      <c r="K18608" s="82"/>
      <c r="M18608" s="112"/>
      <c r="N18608" s="84"/>
    </row>
    <row r="18609" spans="1:14" s="2" customFormat="1">
      <c r="A18609" s="83"/>
      <c r="H18609" s="83"/>
      <c r="K18609" s="82"/>
      <c r="M18609" s="112"/>
      <c r="N18609" s="84"/>
    </row>
    <row r="18610" spans="1:14" s="2" customFormat="1">
      <c r="A18610" s="83"/>
      <c r="H18610" s="83"/>
      <c r="K18610" s="82"/>
      <c r="M18610" s="112"/>
      <c r="N18610" s="84"/>
    </row>
    <row r="18611" spans="1:14" s="2" customFormat="1">
      <c r="A18611" s="83"/>
      <c r="H18611" s="83"/>
      <c r="K18611" s="82"/>
      <c r="M18611" s="112"/>
      <c r="N18611" s="84"/>
    </row>
    <row r="18612" spans="1:14" s="2" customFormat="1">
      <c r="A18612" s="83"/>
      <c r="H18612" s="83"/>
      <c r="K18612" s="82"/>
      <c r="M18612" s="112"/>
      <c r="N18612" s="84"/>
    </row>
    <row r="18613" spans="1:14" s="2" customFormat="1">
      <c r="A18613" s="83"/>
      <c r="H18613" s="83"/>
      <c r="K18613" s="82"/>
      <c r="M18613" s="112"/>
      <c r="N18613" s="84"/>
    </row>
    <row r="18614" spans="1:14" s="2" customFormat="1">
      <c r="A18614" s="83"/>
      <c r="H18614" s="83"/>
      <c r="K18614" s="82"/>
      <c r="M18614" s="112"/>
      <c r="N18614" s="84"/>
    </row>
    <row r="18615" spans="1:14" s="2" customFormat="1">
      <c r="A18615" s="83"/>
      <c r="H18615" s="83"/>
      <c r="K18615" s="82"/>
      <c r="M18615" s="112"/>
      <c r="N18615" s="84"/>
    </row>
    <row r="18616" spans="1:14" s="2" customFormat="1">
      <c r="A18616" s="83"/>
      <c r="H18616" s="83"/>
      <c r="K18616" s="82"/>
      <c r="M18616" s="112"/>
      <c r="N18616" s="84"/>
    </row>
    <row r="18617" spans="1:14" s="2" customFormat="1">
      <c r="A18617" s="83"/>
      <c r="H18617" s="83"/>
      <c r="K18617" s="82"/>
      <c r="M18617" s="112"/>
      <c r="N18617" s="84"/>
    </row>
    <row r="18618" spans="1:14" s="2" customFormat="1">
      <c r="A18618" s="83"/>
      <c r="H18618" s="83"/>
      <c r="K18618" s="82"/>
      <c r="M18618" s="112"/>
      <c r="N18618" s="84"/>
    </row>
    <row r="18619" spans="1:14" s="2" customFormat="1">
      <c r="A18619" s="83"/>
      <c r="H18619" s="83"/>
      <c r="K18619" s="82"/>
      <c r="M18619" s="112"/>
      <c r="N18619" s="84"/>
    </row>
    <row r="18620" spans="1:14" s="2" customFormat="1">
      <c r="A18620" s="83"/>
      <c r="H18620" s="83"/>
      <c r="K18620" s="82"/>
      <c r="M18620" s="112"/>
      <c r="N18620" s="84"/>
    </row>
    <row r="18621" spans="1:14" s="2" customFormat="1">
      <c r="A18621" s="83"/>
      <c r="H18621" s="83"/>
      <c r="K18621" s="82"/>
      <c r="M18621" s="112"/>
      <c r="N18621" s="84"/>
    </row>
    <row r="18622" spans="1:14" s="2" customFormat="1">
      <c r="A18622" s="83"/>
      <c r="H18622" s="83"/>
      <c r="K18622" s="82"/>
      <c r="M18622" s="112"/>
      <c r="N18622" s="84"/>
    </row>
    <row r="18623" spans="1:14" s="2" customFormat="1">
      <c r="A18623" s="83"/>
      <c r="H18623" s="83"/>
      <c r="K18623" s="82"/>
      <c r="M18623" s="112"/>
      <c r="N18623" s="84"/>
    </row>
    <row r="18624" spans="1:14" s="2" customFormat="1">
      <c r="A18624" s="83"/>
      <c r="H18624" s="83"/>
      <c r="K18624" s="82"/>
      <c r="M18624" s="112"/>
      <c r="N18624" s="84"/>
    </row>
    <row r="18625" spans="1:14" s="2" customFormat="1">
      <c r="A18625" s="83"/>
      <c r="H18625" s="83"/>
      <c r="K18625" s="82"/>
      <c r="M18625" s="112"/>
      <c r="N18625" s="84"/>
    </row>
    <row r="18626" spans="1:14" s="2" customFormat="1">
      <c r="A18626" s="83"/>
      <c r="H18626" s="83"/>
      <c r="K18626" s="82"/>
      <c r="M18626" s="112"/>
      <c r="N18626" s="84"/>
    </row>
    <row r="18627" spans="1:14" s="2" customFormat="1">
      <c r="A18627" s="83"/>
      <c r="H18627" s="83"/>
      <c r="K18627" s="82"/>
      <c r="M18627" s="112"/>
      <c r="N18627" s="84"/>
    </row>
    <row r="18628" spans="1:14" s="2" customFormat="1">
      <c r="A18628" s="83"/>
      <c r="H18628" s="83"/>
      <c r="K18628" s="82"/>
      <c r="M18628" s="112"/>
      <c r="N18628" s="84"/>
    </row>
    <row r="18629" spans="1:14" s="2" customFormat="1">
      <c r="A18629" s="83"/>
      <c r="H18629" s="83"/>
      <c r="K18629" s="82"/>
      <c r="M18629" s="112"/>
      <c r="N18629" s="84"/>
    </row>
    <row r="18630" spans="1:14" s="2" customFormat="1">
      <c r="A18630" s="83"/>
      <c r="H18630" s="83"/>
      <c r="K18630" s="82"/>
      <c r="M18630" s="112"/>
      <c r="N18630" s="84"/>
    </row>
    <row r="18631" spans="1:14" s="2" customFormat="1">
      <c r="A18631" s="83"/>
      <c r="H18631" s="83"/>
      <c r="K18631" s="82"/>
      <c r="M18631" s="112"/>
      <c r="N18631" s="84"/>
    </row>
    <row r="18632" spans="1:14" s="2" customFormat="1">
      <c r="A18632" s="83"/>
      <c r="H18632" s="83"/>
      <c r="K18632" s="82"/>
      <c r="M18632" s="112"/>
      <c r="N18632" s="84"/>
    </row>
    <row r="18633" spans="1:14" s="2" customFormat="1">
      <c r="A18633" s="83"/>
      <c r="H18633" s="83"/>
      <c r="K18633" s="82"/>
      <c r="M18633" s="112"/>
      <c r="N18633" s="84"/>
    </row>
    <row r="18634" spans="1:14" s="2" customFormat="1">
      <c r="A18634" s="83"/>
      <c r="H18634" s="83"/>
      <c r="K18634" s="82"/>
      <c r="M18634" s="112"/>
      <c r="N18634" s="84"/>
    </row>
    <row r="18635" spans="1:14" s="2" customFormat="1">
      <c r="A18635" s="83"/>
      <c r="H18635" s="83"/>
      <c r="K18635" s="82"/>
      <c r="M18635" s="112"/>
      <c r="N18635" s="84"/>
    </row>
    <row r="18636" spans="1:14" s="2" customFormat="1">
      <c r="A18636" s="83"/>
      <c r="H18636" s="83"/>
      <c r="K18636" s="82"/>
      <c r="M18636" s="112"/>
      <c r="N18636" s="84"/>
    </row>
    <row r="18637" spans="1:14" s="2" customFormat="1">
      <c r="A18637" s="83"/>
      <c r="H18637" s="83"/>
      <c r="K18637" s="82"/>
      <c r="M18637" s="112"/>
      <c r="N18637" s="84"/>
    </row>
    <row r="18638" spans="1:14" s="2" customFormat="1">
      <c r="A18638" s="83"/>
      <c r="H18638" s="83"/>
      <c r="K18638" s="82"/>
      <c r="M18638" s="112"/>
      <c r="N18638" s="84"/>
    </row>
    <row r="18639" spans="1:14" s="2" customFormat="1">
      <c r="A18639" s="83"/>
      <c r="H18639" s="83"/>
      <c r="K18639" s="82"/>
      <c r="M18639" s="112"/>
      <c r="N18639" s="84"/>
    </row>
    <row r="18640" spans="1:14" s="2" customFormat="1">
      <c r="A18640" s="83"/>
      <c r="H18640" s="83"/>
      <c r="K18640" s="82"/>
      <c r="M18640" s="112"/>
      <c r="N18640" s="84"/>
    </row>
    <row r="18641" spans="1:14" s="2" customFormat="1">
      <c r="A18641" s="83"/>
      <c r="H18641" s="83"/>
      <c r="K18641" s="82"/>
      <c r="M18641" s="112"/>
      <c r="N18641" s="84"/>
    </row>
    <row r="18642" spans="1:14" s="2" customFormat="1">
      <c r="A18642" s="83"/>
      <c r="H18642" s="83"/>
      <c r="K18642" s="82"/>
      <c r="M18642" s="112"/>
      <c r="N18642" s="84"/>
    </row>
    <row r="18643" spans="1:14" s="2" customFormat="1">
      <c r="A18643" s="83"/>
      <c r="H18643" s="83"/>
      <c r="K18643" s="82"/>
      <c r="M18643" s="112"/>
      <c r="N18643" s="84"/>
    </row>
    <row r="18644" spans="1:14" s="2" customFormat="1">
      <c r="A18644" s="83"/>
      <c r="H18644" s="83"/>
      <c r="K18644" s="82"/>
      <c r="M18644" s="112"/>
      <c r="N18644" s="84"/>
    </row>
    <row r="18645" spans="1:14" s="2" customFormat="1">
      <c r="A18645" s="83"/>
      <c r="H18645" s="83"/>
      <c r="K18645" s="82"/>
      <c r="M18645" s="112"/>
      <c r="N18645" s="84"/>
    </row>
    <row r="18646" spans="1:14" s="2" customFormat="1">
      <c r="A18646" s="83"/>
      <c r="H18646" s="83"/>
      <c r="K18646" s="82"/>
      <c r="M18646" s="112"/>
      <c r="N18646" s="84"/>
    </row>
    <row r="18647" spans="1:14" s="2" customFormat="1">
      <c r="A18647" s="83"/>
      <c r="H18647" s="83"/>
      <c r="K18647" s="82"/>
      <c r="M18647" s="112"/>
      <c r="N18647" s="84"/>
    </row>
    <row r="18648" spans="1:14" s="2" customFormat="1">
      <c r="A18648" s="83"/>
      <c r="H18648" s="83"/>
      <c r="K18648" s="82"/>
      <c r="M18648" s="112"/>
      <c r="N18648" s="84"/>
    </row>
    <row r="18649" spans="1:14" s="2" customFormat="1">
      <c r="A18649" s="83"/>
      <c r="H18649" s="83"/>
      <c r="K18649" s="82"/>
      <c r="M18649" s="112"/>
      <c r="N18649" s="84"/>
    </row>
    <row r="18650" spans="1:14" s="2" customFormat="1">
      <c r="A18650" s="83"/>
      <c r="H18650" s="83"/>
      <c r="K18650" s="82"/>
      <c r="M18650" s="112"/>
      <c r="N18650" s="84"/>
    </row>
    <row r="18651" spans="1:14" s="2" customFormat="1">
      <c r="A18651" s="83"/>
      <c r="H18651" s="83"/>
      <c r="K18651" s="82"/>
      <c r="M18651" s="112"/>
      <c r="N18651" s="84"/>
    </row>
    <row r="18652" spans="1:14" s="2" customFormat="1">
      <c r="A18652" s="83"/>
      <c r="H18652" s="83"/>
      <c r="K18652" s="82"/>
      <c r="M18652" s="112"/>
      <c r="N18652" s="84"/>
    </row>
    <row r="18653" spans="1:14" s="2" customFormat="1">
      <c r="A18653" s="83"/>
      <c r="H18653" s="83"/>
      <c r="K18653" s="82"/>
      <c r="M18653" s="112"/>
      <c r="N18653" s="84"/>
    </row>
    <row r="18654" spans="1:14" s="2" customFormat="1">
      <c r="A18654" s="83"/>
      <c r="H18654" s="83"/>
      <c r="K18654" s="82"/>
      <c r="M18654" s="112"/>
      <c r="N18654" s="84"/>
    </row>
    <row r="18655" spans="1:14" s="2" customFormat="1">
      <c r="A18655" s="83"/>
      <c r="H18655" s="83"/>
      <c r="K18655" s="82"/>
      <c r="M18655" s="112"/>
      <c r="N18655" s="84"/>
    </row>
    <row r="18656" spans="1:14" s="2" customFormat="1">
      <c r="A18656" s="83"/>
      <c r="H18656" s="83"/>
      <c r="K18656" s="82"/>
      <c r="M18656" s="112"/>
      <c r="N18656" s="84"/>
    </row>
    <row r="18657" spans="1:14" s="2" customFormat="1">
      <c r="A18657" s="83"/>
      <c r="H18657" s="83"/>
      <c r="K18657" s="82"/>
      <c r="M18657" s="112"/>
      <c r="N18657" s="84"/>
    </row>
    <row r="18658" spans="1:14" s="2" customFormat="1">
      <c r="A18658" s="83"/>
      <c r="H18658" s="83"/>
      <c r="K18658" s="82"/>
      <c r="M18658" s="112"/>
      <c r="N18658" s="84"/>
    </row>
    <row r="18659" spans="1:14" s="2" customFormat="1">
      <c r="A18659" s="83"/>
      <c r="H18659" s="83"/>
      <c r="K18659" s="82"/>
      <c r="M18659" s="112"/>
      <c r="N18659" s="84"/>
    </row>
    <row r="18660" spans="1:14" s="2" customFormat="1">
      <c r="A18660" s="83"/>
      <c r="H18660" s="83"/>
      <c r="K18660" s="82"/>
      <c r="M18660" s="112"/>
      <c r="N18660" s="84"/>
    </row>
    <row r="18661" spans="1:14" s="2" customFormat="1">
      <c r="A18661" s="83"/>
      <c r="H18661" s="83"/>
      <c r="K18661" s="82"/>
      <c r="M18661" s="112"/>
      <c r="N18661" s="84"/>
    </row>
    <row r="18662" spans="1:14" s="2" customFormat="1">
      <c r="A18662" s="83"/>
      <c r="H18662" s="83"/>
      <c r="K18662" s="82"/>
      <c r="M18662" s="112"/>
      <c r="N18662" s="84"/>
    </row>
    <row r="18663" spans="1:14" s="2" customFormat="1">
      <c r="A18663" s="83"/>
      <c r="H18663" s="83"/>
      <c r="K18663" s="82"/>
      <c r="M18663" s="112"/>
      <c r="N18663" s="84"/>
    </row>
    <row r="18664" spans="1:14" s="2" customFormat="1">
      <c r="A18664" s="83"/>
      <c r="H18664" s="83"/>
      <c r="K18664" s="82"/>
      <c r="M18664" s="112"/>
      <c r="N18664" s="84"/>
    </row>
    <row r="18665" spans="1:14" s="2" customFormat="1">
      <c r="A18665" s="83"/>
      <c r="H18665" s="83"/>
      <c r="K18665" s="82"/>
      <c r="M18665" s="112"/>
      <c r="N18665" s="84"/>
    </row>
    <row r="18666" spans="1:14" s="2" customFormat="1">
      <c r="A18666" s="83"/>
      <c r="H18666" s="83"/>
      <c r="K18666" s="82"/>
      <c r="M18666" s="112"/>
      <c r="N18666" s="84"/>
    </row>
    <row r="18667" spans="1:14" s="2" customFormat="1">
      <c r="A18667" s="83"/>
      <c r="H18667" s="83"/>
      <c r="K18667" s="82"/>
      <c r="M18667" s="112"/>
      <c r="N18667" s="84"/>
    </row>
    <row r="18668" spans="1:14" s="2" customFormat="1">
      <c r="A18668" s="83"/>
      <c r="H18668" s="83"/>
      <c r="K18668" s="82"/>
      <c r="M18668" s="112"/>
      <c r="N18668" s="84"/>
    </row>
    <row r="18669" spans="1:14" s="2" customFormat="1">
      <c r="A18669" s="83"/>
      <c r="H18669" s="83"/>
      <c r="K18669" s="82"/>
      <c r="M18669" s="112"/>
      <c r="N18669" s="84"/>
    </row>
    <row r="18670" spans="1:14" s="2" customFormat="1">
      <c r="A18670" s="83"/>
      <c r="H18670" s="83"/>
      <c r="K18670" s="82"/>
      <c r="M18670" s="112"/>
      <c r="N18670" s="84"/>
    </row>
    <row r="18671" spans="1:14" s="2" customFormat="1">
      <c r="A18671" s="83"/>
      <c r="H18671" s="83"/>
      <c r="K18671" s="82"/>
      <c r="M18671" s="112"/>
      <c r="N18671" s="84"/>
    </row>
    <row r="18672" spans="1:14" s="2" customFormat="1">
      <c r="A18672" s="83"/>
      <c r="H18672" s="83"/>
      <c r="K18672" s="82"/>
      <c r="M18672" s="112"/>
      <c r="N18672" s="84"/>
    </row>
    <row r="18673" spans="1:14" s="2" customFormat="1">
      <c r="A18673" s="83"/>
      <c r="H18673" s="83"/>
      <c r="K18673" s="82"/>
      <c r="M18673" s="112"/>
      <c r="N18673" s="84"/>
    </row>
    <row r="18674" spans="1:14" s="2" customFormat="1">
      <c r="A18674" s="83"/>
      <c r="H18674" s="83"/>
      <c r="K18674" s="82"/>
      <c r="M18674" s="112"/>
      <c r="N18674" s="84"/>
    </row>
    <row r="18675" spans="1:14" s="2" customFormat="1">
      <c r="A18675" s="83"/>
      <c r="H18675" s="83"/>
      <c r="K18675" s="82"/>
      <c r="M18675" s="112"/>
      <c r="N18675" s="84"/>
    </row>
    <row r="18676" spans="1:14" s="2" customFormat="1">
      <c r="A18676" s="83"/>
      <c r="H18676" s="83"/>
      <c r="K18676" s="82"/>
      <c r="M18676" s="112"/>
      <c r="N18676" s="84"/>
    </row>
    <row r="18677" spans="1:14" s="2" customFormat="1">
      <c r="A18677" s="83"/>
      <c r="H18677" s="83"/>
      <c r="K18677" s="82"/>
      <c r="M18677" s="112"/>
      <c r="N18677" s="84"/>
    </row>
    <row r="18678" spans="1:14" s="2" customFormat="1">
      <c r="A18678" s="83"/>
      <c r="H18678" s="83"/>
      <c r="K18678" s="82"/>
      <c r="M18678" s="112"/>
      <c r="N18678" s="84"/>
    </row>
    <row r="18679" spans="1:14" s="2" customFormat="1">
      <c r="A18679" s="83"/>
      <c r="H18679" s="83"/>
      <c r="K18679" s="82"/>
      <c r="M18679" s="112"/>
      <c r="N18679" s="84"/>
    </row>
    <row r="18680" spans="1:14" s="2" customFormat="1">
      <c r="A18680" s="83"/>
      <c r="H18680" s="83"/>
      <c r="K18680" s="82"/>
      <c r="M18680" s="112"/>
      <c r="N18680" s="84"/>
    </row>
    <row r="18681" spans="1:14" s="2" customFormat="1">
      <c r="A18681" s="83"/>
      <c r="H18681" s="83"/>
      <c r="K18681" s="82"/>
      <c r="M18681" s="112"/>
      <c r="N18681" s="84"/>
    </row>
    <row r="18682" spans="1:14" s="2" customFormat="1">
      <c r="A18682" s="83"/>
      <c r="H18682" s="83"/>
      <c r="K18682" s="82"/>
      <c r="M18682" s="112"/>
      <c r="N18682" s="84"/>
    </row>
    <row r="18683" spans="1:14" s="2" customFormat="1">
      <c r="A18683" s="83"/>
      <c r="H18683" s="83"/>
      <c r="K18683" s="82"/>
      <c r="M18683" s="112"/>
      <c r="N18683" s="84"/>
    </row>
    <row r="18684" spans="1:14" s="2" customFormat="1">
      <c r="A18684" s="83"/>
      <c r="H18684" s="83"/>
      <c r="K18684" s="82"/>
      <c r="M18684" s="112"/>
      <c r="N18684" s="84"/>
    </row>
    <row r="18685" spans="1:14" s="2" customFormat="1">
      <c r="A18685" s="83"/>
      <c r="H18685" s="83"/>
      <c r="K18685" s="82"/>
      <c r="M18685" s="112"/>
      <c r="N18685" s="84"/>
    </row>
    <row r="18686" spans="1:14" s="2" customFormat="1">
      <c r="A18686" s="83"/>
      <c r="H18686" s="83"/>
      <c r="K18686" s="82"/>
      <c r="M18686" s="112"/>
      <c r="N18686" s="84"/>
    </row>
    <row r="18687" spans="1:14" s="2" customFormat="1">
      <c r="A18687" s="83"/>
      <c r="H18687" s="83"/>
      <c r="K18687" s="82"/>
      <c r="M18687" s="112"/>
      <c r="N18687" s="84"/>
    </row>
    <row r="18688" spans="1:14" s="2" customFormat="1">
      <c r="A18688" s="83"/>
      <c r="H18688" s="83"/>
      <c r="K18688" s="82"/>
      <c r="M18688" s="112"/>
      <c r="N18688" s="84"/>
    </row>
    <row r="18689" spans="1:14" s="2" customFormat="1">
      <c r="A18689" s="83"/>
      <c r="H18689" s="83"/>
      <c r="K18689" s="82"/>
      <c r="M18689" s="112"/>
      <c r="N18689" s="84"/>
    </row>
    <row r="18690" spans="1:14" s="2" customFormat="1">
      <c r="A18690" s="83"/>
      <c r="H18690" s="83"/>
      <c r="K18690" s="82"/>
      <c r="M18690" s="112"/>
      <c r="N18690" s="84"/>
    </row>
    <row r="18691" spans="1:14" s="2" customFormat="1">
      <c r="A18691" s="83"/>
      <c r="H18691" s="83"/>
      <c r="K18691" s="82"/>
      <c r="M18691" s="112"/>
      <c r="N18691" s="84"/>
    </row>
    <row r="18692" spans="1:14" s="2" customFormat="1">
      <c r="A18692" s="83"/>
      <c r="H18692" s="83"/>
      <c r="K18692" s="82"/>
      <c r="M18692" s="112"/>
      <c r="N18692" s="84"/>
    </row>
    <row r="18693" spans="1:14" s="2" customFormat="1">
      <c r="A18693" s="83"/>
      <c r="H18693" s="83"/>
      <c r="K18693" s="82"/>
      <c r="M18693" s="112"/>
      <c r="N18693" s="84"/>
    </row>
    <row r="18694" spans="1:14" s="2" customFormat="1">
      <c r="A18694" s="83"/>
      <c r="H18694" s="83"/>
      <c r="K18694" s="82"/>
      <c r="M18694" s="112"/>
      <c r="N18694" s="84"/>
    </row>
    <row r="18695" spans="1:14" s="2" customFormat="1">
      <c r="A18695" s="83"/>
      <c r="H18695" s="83"/>
      <c r="K18695" s="82"/>
      <c r="M18695" s="112"/>
      <c r="N18695" s="84"/>
    </row>
    <row r="18696" spans="1:14" s="2" customFormat="1">
      <c r="A18696" s="83"/>
      <c r="H18696" s="83"/>
      <c r="K18696" s="82"/>
      <c r="M18696" s="112"/>
      <c r="N18696" s="84"/>
    </row>
    <row r="18697" spans="1:14" s="2" customFormat="1">
      <c r="A18697" s="83"/>
      <c r="H18697" s="83"/>
      <c r="K18697" s="82"/>
      <c r="M18697" s="112"/>
      <c r="N18697" s="84"/>
    </row>
    <row r="18698" spans="1:14" s="2" customFormat="1">
      <c r="A18698" s="83"/>
      <c r="H18698" s="83"/>
      <c r="K18698" s="82"/>
      <c r="M18698" s="112"/>
      <c r="N18698" s="84"/>
    </row>
    <row r="18699" spans="1:14" s="2" customFormat="1">
      <c r="A18699" s="83"/>
      <c r="H18699" s="83"/>
      <c r="K18699" s="82"/>
      <c r="M18699" s="112"/>
      <c r="N18699" s="84"/>
    </row>
    <row r="18700" spans="1:14" s="2" customFormat="1">
      <c r="A18700" s="83"/>
      <c r="H18700" s="83"/>
      <c r="K18700" s="82"/>
      <c r="M18700" s="112"/>
      <c r="N18700" s="84"/>
    </row>
    <row r="18701" spans="1:14" s="2" customFormat="1">
      <c r="A18701" s="83"/>
      <c r="H18701" s="83"/>
      <c r="K18701" s="82"/>
      <c r="M18701" s="112"/>
      <c r="N18701" s="84"/>
    </row>
    <row r="18702" spans="1:14" s="2" customFormat="1">
      <c r="A18702" s="83"/>
      <c r="H18702" s="83"/>
      <c r="K18702" s="82"/>
      <c r="M18702" s="112"/>
      <c r="N18702" s="84"/>
    </row>
    <row r="18703" spans="1:14" s="2" customFormat="1">
      <c r="A18703" s="83"/>
      <c r="H18703" s="83"/>
      <c r="K18703" s="82"/>
      <c r="M18703" s="112"/>
      <c r="N18703" s="84"/>
    </row>
    <row r="18704" spans="1:14" s="2" customFormat="1">
      <c r="A18704" s="83"/>
      <c r="H18704" s="83"/>
      <c r="K18704" s="82"/>
      <c r="M18704" s="112"/>
      <c r="N18704" s="84"/>
    </row>
    <row r="18705" spans="1:14" s="2" customFormat="1">
      <c r="A18705" s="83"/>
      <c r="H18705" s="83"/>
      <c r="K18705" s="82"/>
      <c r="M18705" s="112"/>
      <c r="N18705" s="84"/>
    </row>
    <row r="18706" spans="1:14" s="2" customFormat="1">
      <c r="A18706" s="83"/>
      <c r="H18706" s="83"/>
      <c r="K18706" s="82"/>
      <c r="M18706" s="112"/>
      <c r="N18706" s="84"/>
    </row>
    <row r="18707" spans="1:14" s="2" customFormat="1">
      <c r="A18707" s="83"/>
      <c r="H18707" s="83"/>
      <c r="K18707" s="82"/>
      <c r="M18707" s="112"/>
      <c r="N18707" s="84"/>
    </row>
    <row r="18708" spans="1:14" s="2" customFormat="1">
      <c r="A18708" s="83"/>
      <c r="H18708" s="83"/>
      <c r="K18708" s="82"/>
      <c r="M18708" s="112"/>
      <c r="N18708" s="84"/>
    </row>
    <row r="18709" spans="1:14" s="2" customFormat="1">
      <c r="A18709" s="83"/>
      <c r="H18709" s="83"/>
      <c r="K18709" s="82"/>
      <c r="M18709" s="112"/>
      <c r="N18709" s="84"/>
    </row>
    <row r="18710" spans="1:14" s="2" customFormat="1">
      <c r="A18710" s="83"/>
      <c r="H18710" s="83"/>
      <c r="K18710" s="82"/>
      <c r="M18710" s="112"/>
      <c r="N18710" s="84"/>
    </row>
    <row r="18711" spans="1:14" s="2" customFormat="1">
      <c r="A18711" s="83"/>
      <c r="H18711" s="83"/>
      <c r="K18711" s="82"/>
      <c r="M18711" s="112"/>
      <c r="N18711" s="84"/>
    </row>
    <row r="18712" spans="1:14" s="2" customFormat="1">
      <c r="A18712" s="83"/>
      <c r="H18712" s="83"/>
      <c r="K18712" s="82"/>
      <c r="M18712" s="112"/>
      <c r="N18712" s="84"/>
    </row>
    <row r="18713" spans="1:14" s="2" customFormat="1">
      <c r="A18713" s="83"/>
      <c r="H18713" s="83"/>
      <c r="K18713" s="82"/>
      <c r="M18713" s="112"/>
      <c r="N18713" s="84"/>
    </row>
    <row r="18714" spans="1:14" s="2" customFormat="1">
      <c r="A18714" s="83"/>
      <c r="H18714" s="83"/>
      <c r="K18714" s="82"/>
      <c r="M18714" s="112"/>
      <c r="N18714" s="84"/>
    </row>
    <row r="18715" spans="1:14" s="2" customFormat="1">
      <c r="A18715" s="83"/>
      <c r="H18715" s="83"/>
      <c r="K18715" s="82"/>
      <c r="M18715" s="112"/>
      <c r="N18715" s="84"/>
    </row>
    <row r="18716" spans="1:14" s="2" customFormat="1">
      <c r="A18716" s="83"/>
      <c r="H18716" s="83"/>
      <c r="K18716" s="82"/>
      <c r="M18716" s="112"/>
      <c r="N18716" s="84"/>
    </row>
    <row r="18717" spans="1:14" s="2" customFormat="1">
      <c r="A18717" s="83"/>
      <c r="H18717" s="83"/>
      <c r="K18717" s="82"/>
      <c r="M18717" s="112"/>
      <c r="N18717" s="84"/>
    </row>
    <row r="18718" spans="1:14" s="2" customFormat="1">
      <c r="A18718" s="83"/>
      <c r="H18718" s="83"/>
      <c r="K18718" s="82"/>
      <c r="M18718" s="112"/>
      <c r="N18718" s="84"/>
    </row>
    <row r="18719" spans="1:14" s="2" customFormat="1">
      <c r="A18719" s="83"/>
      <c r="H18719" s="83"/>
      <c r="K18719" s="82"/>
      <c r="M18719" s="112"/>
      <c r="N18719" s="84"/>
    </row>
    <row r="18720" spans="1:14" s="2" customFormat="1">
      <c r="A18720" s="83"/>
      <c r="H18720" s="83"/>
      <c r="K18720" s="82"/>
      <c r="M18720" s="112"/>
      <c r="N18720" s="84"/>
    </row>
    <row r="18721" spans="1:14" s="2" customFormat="1">
      <c r="A18721" s="83"/>
      <c r="H18721" s="83"/>
      <c r="K18721" s="82"/>
      <c r="M18721" s="112"/>
      <c r="N18721" s="84"/>
    </row>
    <row r="18722" spans="1:14" s="2" customFormat="1">
      <c r="A18722" s="83"/>
      <c r="H18722" s="83"/>
      <c r="K18722" s="82"/>
      <c r="M18722" s="112"/>
      <c r="N18722" s="84"/>
    </row>
    <row r="18723" spans="1:14" s="2" customFormat="1">
      <c r="A18723" s="83"/>
      <c r="H18723" s="83"/>
      <c r="K18723" s="82"/>
      <c r="M18723" s="112"/>
      <c r="N18723" s="84"/>
    </row>
    <row r="18724" spans="1:14" s="2" customFormat="1">
      <c r="A18724" s="83"/>
      <c r="H18724" s="83"/>
      <c r="K18724" s="82"/>
      <c r="M18724" s="112"/>
      <c r="N18724" s="84"/>
    </row>
    <row r="18725" spans="1:14" s="2" customFormat="1">
      <c r="A18725" s="83"/>
      <c r="H18725" s="83"/>
      <c r="K18725" s="82"/>
      <c r="M18725" s="112"/>
      <c r="N18725" s="84"/>
    </row>
    <row r="18726" spans="1:14" s="2" customFormat="1">
      <c r="A18726" s="83"/>
      <c r="H18726" s="83"/>
      <c r="K18726" s="82"/>
      <c r="M18726" s="112"/>
      <c r="N18726" s="84"/>
    </row>
    <row r="18727" spans="1:14" s="2" customFormat="1">
      <c r="A18727" s="83"/>
      <c r="H18727" s="83"/>
      <c r="K18727" s="82"/>
      <c r="M18727" s="112"/>
      <c r="N18727" s="84"/>
    </row>
    <row r="18728" spans="1:14" s="2" customFormat="1">
      <c r="A18728" s="83"/>
      <c r="H18728" s="83"/>
      <c r="K18728" s="82"/>
      <c r="M18728" s="112"/>
      <c r="N18728" s="84"/>
    </row>
    <row r="18729" spans="1:14" s="2" customFormat="1">
      <c r="A18729" s="83"/>
      <c r="H18729" s="83"/>
      <c r="K18729" s="82"/>
      <c r="M18729" s="112"/>
      <c r="N18729" s="84"/>
    </row>
    <row r="18730" spans="1:14" s="2" customFormat="1">
      <c r="A18730" s="83"/>
      <c r="H18730" s="83"/>
      <c r="K18730" s="82"/>
      <c r="M18730" s="112"/>
      <c r="N18730" s="84"/>
    </row>
    <row r="18731" spans="1:14" s="2" customFormat="1">
      <c r="A18731" s="83"/>
      <c r="H18731" s="83"/>
      <c r="K18731" s="82"/>
      <c r="M18731" s="112"/>
      <c r="N18731" s="84"/>
    </row>
    <row r="18732" spans="1:14" s="2" customFormat="1">
      <c r="A18732" s="83"/>
      <c r="H18732" s="83"/>
      <c r="K18732" s="82"/>
      <c r="M18732" s="112"/>
      <c r="N18732" s="84"/>
    </row>
    <row r="18733" spans="1:14" s="2" customFormat="1">
      <c r="A18733" s="83"/>
      <c r="H18733" s="83"/>
      <c r="K18733" s="82"/>
      <c r="M18733" s="112"/>
      <c r="N18733" s="84"/>
    </row>
    <row r="18734" spans="1:14" s="2" customFormat="1">
      <c r="A18734" s="83"/>
      <c r="H18734" s="83"/>
      <c r="K18734" s="82"/>
      <c r="M18734" s="112"/>
      <c r="N18734" s="84"/>
    </row>
    <row r="18735" spans="1:14" s="2" customFormat="1">
      <c r="A18735" s="83"/>
      <c r="H18735" s="83"/>
      <c r="K18735" s="82"/>
      <c r="M18735" s="112"/>
      <c r="N18735" s="84"/>
    </row>
    <row r="18736" spans="1:14" s="2" customFormat="1">
      <c r="A18736" s="83"/>
      <c r="H18736" s="83"/>
      <c r="K18736" s="82"/>
      <c r="M18736" s="112"/>
      <c r="N18736" s="84"/>
    </row>
    <row r="18737" spans="1:14" s="2" customFormat="1">
      <c r="A18737" s="83"/>
      <c r="H18737" s="83"/>
      <c r="K18737" s="82"/>
      <c r="M18737" s="112"/>
      <c r="N18737" s="84"/>
    </row>
    <row r="18738" spans="1:14" s="2" customFormat="1">
      <c r="A18738" s="83"/>
      <c r="H18738" s="83"/>
      <c r="K18738" s="82"/>
      <c r="M18738" s="112"/>
      <c r="N18738" s="84"/>
    </row>
    <row r="18739" spans="1:14" s="2" customFormat="1">
      <c r="A18739" s="83"/>
      <c r="H18739" s="83"/>
      <c r="K18739" s="82"/>
      <c r="M18739" s="112"/>
      <c r="N18739" s="84"/>
    </row>
    <row r="18740" spans="1:14" s="2" customFormat="1">
      <c r="A18740" s="83"/>
      <c r="H18740" s="83"/>
      <c r="K18740" s="82"/>
      <c r="M18740" s="112"/>
      <c r="N18740" s="84"/>
    </row>
    <row r="18741" spans="1:14" s="2" customFormat="1">
      <c r="A18741" s="83"/>
      <c r="H18741" s="83"/>
      <c r="K18741" s="82"/>
      <c r="M18741" s="112"/>
      <c r="N18741" s="84"/>
    </row>
    <row r="18742" spans="1:14" s="2" customFormat="1">
      <c r="A18742" s="83"/>
      <c r="H18742" s="83"/>
      <c r="K18742" s="82"/>
      <c r="M18742" s="112"/>
      <c r="N18742" s="84"/>
    </row>
    <row r="18743" spans="1:14" s="2" customFormat="1">
      <c r="A18743" s="83"/>
      <c r="H18743" s="83"/>
      <c r="K18743" s="82"/>
      <c r="M18743" s="112"/>
      <c r="N18743" s="84"/>
    </row>
    <row r="18744" spans="1:14" s="2" customFormat="1">
      <c r="A18744" s="83"/>
      <c r="H18744" s="83"/>
      <c r="K18744" s="82"/>
      <c r="M18744" s="112"/>
      <c r="N18744" s="84"/>
    </row>
    <row r="18745" spans="1:14" s="2" customFormat="1">
      <c r="A18745" s="83"/>
      <c r="H18745" s="83"/>
      <c r="K18745" s="82"/>
      <c r="M18745" s="112"/>
      <c r="N18745" s="84"/>
    </row>
    <row r="18746" spans="1:14" s="2" customFormat="1">
      <c r="A18746" s="83"/>
      <c r="H18746" s="83"/>
      <c r="K18746" s="82"/>
      <c r="M18746" s="112"/>
      <c r="N18746" s="84"/>
    </row>
    <row r="18747" spans="1:14" s="2" customFormat="1">
      <c r="A18747" s="83"/>
      <c r="H18747" s="83"/>
      <c r="K18747" s="82"/>
      <c r="M18747" s="112"/>
      <c r="N18747" s="84"/>
    </row>
    <row r="18748" spans="1:14" s="2" customFormat="1">
      <c r="A18748" s="83"/>
      <c r="H18748" s="83"/>
      <c r="K18748" s="82"/>
      <c r="M18748" s="112"/>
      <c r="N18748" s="84"/>
    </row>
    <row r="18749" spans="1:14" s="2" customFormat="1">
      <c r="A18749" s="83"/>
      <c r="H18749" s="83"/>
      <c r="K18749" s="82"/>
      <c r="M18749" s="112"/>
      <c r="N18749" s="84"/>
    </row>
    <row r="18750" spans="1:14" s="2" customFormat="1">
      <c r="A18750" s="83"/>
      <c r="H18750" s="83"/>
      <c r="K18750" s="82"/>
      <c r="M18750" s="112"/>
      <c r="N18750" s="84"/>
    </row>
    <row r="18751" spans="1:14" s="2" customFormat="1">
      <c r="A18751" s="83"/>
      <c r="H18751" s="83"/>
      <c r="K18751" s="82"/>
      <c r="M18751" s="112"/>
      <c r="N18751" s="84"/>
    </row>
    <row r="18752" spans="1:14" s="2" customFormat="1">
      <c r="A18752" s="83"/>
      <c r="H18752" s="83"/>
      <c r="K18752" s="82"/>
      <c r="M18752" s="112"/>
      <c r="N18752" s="84"/>
    </row>
    <row r="18753" spans="1:14" s="2" customFormat="1">
      <c r="A18753" s="83"/>
      <c r="H18753" s="83"/>
      <c r="K18753" s="82"/>
      <c r="M18753" s="112"/>
      <c r="N18753" s="84"/>
    </row>
    <row r="18754" spans="1:14" s="2" customFormat="1">
      <c r="A18754" s="83"/>
      <c r="H18754" s="83"/>
      <c r="K18754" s="82"/>
      <c r="M18754" s="112"/>
      <c r="N18754" s="84"/>
    </row>
    <row r="18755" spans="1:14" s="2" customFormat="1">
      <c r="A18755" s="83"/>
      <c r="H18755" s="83"/>
      <c r="K18755" s="82"/>
      <c r="M18755" s="112"/>
      <c r="N18755" s="84"/>
    </row>
    <row r="18756" spans="1:14" s="2" customFormat="1">
      <c r="A18756" s="83"/>
      <c r="H18756" s="83"/>
      <c r="K18756" s="82"/>
      <c r="M18756" s="112"/>
      <c r="N18756" s="84"/>
    </row>
    <row r="18757" spans="1:14" s="2" customFormat="1">
      <c r="A18757" s="83"/>
      <c r="H18757" s="83"/>
      <c r="K18757" s="82"/>
      <c r="M18757" s="112"/>
      <c r="N18757" s="84"/>
    </row>
    <row r="18758" spans="1:14" s="2" customFormat="1">
      <c r="A18758" s="83"/>
      <c r="H18758" s="83"/>
      <c r="K18758" s="82"/>
      <c r="M18758" s="112"/>
      <c r="N18758" s="84"/>
    </row>
    <row r="18759" spans="1:14" s="2" customFormat="1">
      <c r="A18759" s="83"/>
      <c r="H18759" s="83"/>
      <c r="K18759" s="82"/>
      <c r="M18759" s="112"/>
      <c r="N18759" s="84"/>
    </row>
    <row r="18760" spans="1:14" s="2" customFormat="1">
      <c r="A18760" s="83"/>
      <c r="H18760" s="83"/>
      <c r="K18760" s="82"/>
      <c r="M18760" s="112"/>
      <c r="N18760" s="84"/>
    </row>
    <row r="18761" spans="1:14" s="2" customFormat="1">
      <c r="A18761" s="83"/>
      <c r="H18761" s="83"/>
      <c r="K18761" s="82"/>
      <c r="M18761" s="112"/>
      <c r="N18761" s="84"/>
    </row>
    <row r="18762" spans="1:14" s="2" customFormat="1">
      <c r="A18762" s="83"/>
      <c r="H18762" s="83"/>
      <c r="K18762" s="82"/>
      <c r="M18762" s="112"/>
      <c r="N18762" s="84"/>
    </row>
    <row r="18763" spans="1:14" s="2" customFormat="1">
      <c r="A18763" s="83"/>
      <c r="H18763" s="83"/>
      <c r="K18763" s="82"/>
      <c r="M18763" s="112"/>
      <c r="N18763" s="84"/>
    </row>
    <row r="18764" spans="1:14" s="2" customFormat="1">
      <c r="A18764" s="83"/>
      <c r="H18764" s="83"/>
      <c r="K18764" s="82"/>
      <c r="M18764" s="112"/>
      <c r="N18764" s="84"/>
    </row>
    <row r="18765" spans="1:14" s="2" customFormat="1">
      <c r="A18765" s="83"/>
      <c r="H18765" s="83"/>
      <c r="K18765" s="82"/>
      <c r="M18765" s="112"/>
      <c r="N18765" s="84"/>
    </row>
    <row r="18766" spans="1:14" s="2" customFormat="1">
      <c r="A18766" s="83"/>
      <c r="H18766" s="83"/>
      <c r="K18766" s="82"/>
      <c r="M18766" s="112"/>
      <c r="N18766" s="84"/>
    </row>
    <row r="18767" spans="1:14" s="2" customFormat="1">
      <c r="A18767" s="83"/>
      <c r="H18767" s="83"/>
      <c r="K18767" s="82"/>
      <c r="M18767" s="112"/>
      <c r="N18767" s="84"/>
    </row>
    <row r="18768" spans="1:14" s="2" customFormat="1">
      <c r="A18768" s="83"/>
      <c r="H18768" s="83"/>
      <c r="K18768" s="82"/>
      <c r="M18768" s="112"/>
      <c r="N18768" s="84"/>
    </row>
    <row r="18769" spans="1:14" s="2" customFormat="1">
      <c r="A18769" s="83"/>
      <c r="H18769" s="83"/>
      <c r="K18769" s="82"/>
      <c r="M18769" s="112"/>
      <c r="N18769" s="84"/>
    </row>
    <row r="18770" spans="1:14" s="2" customFormat="1">
      <c r="A18770" s="83"/>
      <c r="H18770" s="83"/>
      <c r="K18770" s="82"/>
      <c r="M18770" s="112"/>
      <c r="N18770" s="84"/>
    </row>
    <row r="18771" spans="1:14" s="2" customFormat="1">
      <c r="A18771" s="83"/>
      <c r="H18771" s="83"/>
      <c r="K18771" s="82"/>
      <c r="M18771" s="112"/>
      <c r="N18771" s="84"/>
    </row>
    <row r="18772" spans="1:14" s="2" customFormat="1">
      <c r="A18772" s="83"/>
      <c r="H18772" s="83"/>
      <c r="K18772" s="82"/>
      <c r="M18772" s="112"/>
      <c r="N18772" s="84"/>
    </row>
    <row r="18773" spans="1:14" s="2" customFormat="1">
      <c r="A18773" s="83"/>
      <c r="H18773" s="83"/>
      <c r="K18773" s="82"/>
      <c r="M18773" s="112"/>
      <c r="N18773" s="84"/>
    </row>
    <row r="18774" spans="1:14" s="2" customFormat="1">
      <c r="A18774" s="83"/>
      <c r="H18774" s="83"/>
      <c r="K18774" s="82"/>
      <c r="M18774" s="112"/>
      <c r="N18774" s="84"/>
    </row>
    <row r="18775" spans="1:14" s="2" customFormat="1">
      <c r="A18775" s="83"/>
      <c r="H18775" s="83"/>
      <c r="K18775" s="82"/>
      <c r="M18775" s="112"/>
      <c r="N18775" s="84"/>
    </row>
    <row r="18776" spans="1:14" s="2" customFormat="1">
      <c r="A18776" s="83"/>
      <c r="H18776" s="83"/>
      <c r="K18776" s="82"/>
      <c r="M18776" s="112"/>
      <c r="N18776" s="84"/>
    </row>
    <row r="18777" spans="1:14" s="2" customFormat="1">
      <c r="A18777" s="83"/>
      <c r="H18777" s="83"/>
      <c r="K18777" s="82"/>
      <c r="M18777" s="112"/>
      <c r="N18777" s="84"/>
    </row>
    <row r="18778" spans="1:14" s="2" customFormat="1">
      <c r="A18778" s="83"/>
      <c r="H18778" s="83"/>
      <c r="K18778" s="82"/>
      <c r="M18778" s="112"/>
      <c r="N18778" s="84"/>
    </row>
    <row r="18779" spans="1:14" s="2" customFormat="1">
      <c r="A18779" s="83"/>
      <c r="H18779" s="83"/>
      <c r="K18779" s="82"/>
      <c r="M18779" s="112"/>
      <c r="N18779" s="84"/>
    </row>
    <row r="18780" spans="1:14" s="2" customFormat="1">
      <c r="A18780" s="83"/>
      <c r="H18780" s="83"/>
      <c r="K18780" s="82"/>
      <c r="M18780" s="112"/>
      <c r="N18780" s="84"/>
    </row>
    <row r="18781" spans="1:14" s="2" customFormat="1">
      <c r="A18781" s="83"/>
      <c r="H18781" s="83"/>
      <c r="K18781" s="82"/>
      <c r="M18781" s="112"/>
      <c r="N18781" s="84"/>
    </row>
    <row r="18782" spans="1:14" s="2" customFormat="1">
      <c r="A18782" s="83"/>
      <c r="H18782" s="83"/>
      <c r="K18782" s="82"/>
      <c r="M18782" s="112"/>
      <c r="N18782" s="84"/>
    </row>
    <row r="18783" spans="1:14" s="2" customFormat="1">
      <c r="A18783" s="83"/>
      <c r="H18783" s="83"/>
      <c r="K18783" s="82"/>
      <c r="M18783" s="112"/>
      <c r="N18783" s="84"/>
    </row>
    <row r="18784" spans="1:14" s="2" customFormat="1">
      <c r="A18784" s="83"/>
      <c r="H18784" s="83"/>
      <c r="K18784" s="82"/>
      <c r="M18784" s="112"/>
      <c r="N18784" s="84"/>
    </row>
    <row r="18785" spans="1:14" s="2" customFormat="1">
      <c r="A18785" s="83"/>
      <c r="H18785" s="83"/>
      <c r="K18785" s="82"/>
      <c r="M18785" s="112"/>
      <c r="N18785" s="84"/>
    </row>
    <row r="18786" spans="1:14" s="2" customFormat="1">
      <c r="A18786" s="83"/>
      <c r="H18786" s="83"/>
      <c r="K18786" s="82"/>
      <c r="M18786" s="112"/>
      <c r="N18786" s="84"/>
    </row>
    <row r="18787" spans="1:14" s="2" customFormat="1">
      <c r="A18787" s="83"/>
      <c r="H18787" s="83"/>
      <c r="K18787" s="82"/>
      <c r="M18787" s="112"/>
      <c r="N18787" s="84"/>
    </row>
    <row r="18788" spans="1:14" s="2" customFormat="1">
      <c r="A18788" s="83"/>
      <c r="H18788" s="83"/>
      <c r="K18788" s="82"/>
      <c r="M18788" s="112"/>
      <c r="N18788" s="84"/>
    </row>
    <row r="18789" spans="1:14" s="2" customFormat="1">
      <c r="A18789" s="83"/>
      <c r="H18789" s="83"/>
      <c r="K18789" s="82"/>
      <c r="M18789" s="112"/>
      <c r="N18789" s="84"/>
    </row>
    <row r="18790" spans="1:14" s="2" customFormat="1">
      <c r="A18790" s="83"/>
      <c r="H18790" s="83"/>
      <c r="K18790" s="82"/>
      <c r="M18790" s="112"/>
      <c r="N18790" s="84"/>
    </row>
    <row r="18791" spans="1:14" s="2" customFormat="1">
      <c r="A18791" s="83"/>
      <c r="H18791" s="83"/>
      <c r="K18791" s="82"/>
      <c r="M18791" s="112"/>
      <c r="N18791" s="84"/>
    </row>
    <row r="18792" spans="1:14" s="2" customFormat="1">
      <c r="A18792" s="83"/>
      <c r="H18792" s="83"/>
      <c r="K18792" s="82"/>
      <c r="M18792" s="112"/>
      <c r="N18792" s="84"/>
    </row>
    <row r="18793" spans="1:14" s="2" customFormat="1">
      <c r="A18793" s="83"/>
      <c r="H18793" s="83"/>
      <c r="K18793" s="82"/>
      <c r="M18793" s="112"/>
      <c r="N18793" s="84"/>
    </row>
    <row r="18794" spans="1:14" s="2" customFormat="1">
      <c r="A18794" s="83"/>
      <c r="H18794" s="83"/>
      <c r="K18794" s="82"/>
      <c r="M18794" s="112"/>
      <c r="N18794" s="84"/>
    </row>
    <row r="18795" spans="1:14" s="2" customFormat="1">
      <c r="A18795" s="83"/>
      <c r="H18795" s="83"/>
      <c r="K18795" s="82"/>
      <c r="M18795" s="112"/>
      <c r="N18795" s="84"/>
    </row>
    <row r="18796" spans="1:14" s="2" customFormat="1">
      <c r="A18796" s="83"/>
      <c r="H18796" s="83"/>
      <c r="K18796" s="82"/>
      <c r="M18796" s="112"/>
      <c r="N18796" s="84"/>
    </row>
    <row r="18797" spans="1:14" s="2" customFormat="1">
      <c r="A18797" s="83"/>
      <c r="H18797" s="83"/>
      <c r="K18797" s="82"/>
      <c r="M18797" s="112"/>
      <c r="N18797" s="84"/>
    </row>
    <row r="18798" spans="1:14" s="2" customFormat="1">
      <c r="A18798" s="83"/>
      <c r="H18798" s="83"/>
      <c r="K18798" s="82"/>
      <c r="M18798" s="112"/>
      <c r="N18798" s="84"/>
    </row>
    <row r="18799" spans="1:14" s="2" customFormat="1">
      <c r="A18799" s="83"/>
      <c r="H18799" s="83"/>
      <c r="K18799" s="82"/>
      <c r="M18799" s="112"/>
      <c r="N18799" s="84"/>
    </row>
    <row r="18800" spans="1:14" s="2" customFormat="1">
      <c r="A18800" s="83"/>
      <c r="H18800" s="83"/>
      <c r="K18800" s="82"/>
      <c r="M18800" s="112"/>
      <c r="N18800" s="84"/>
    </row>
    <row r="18801" spans="1:14" s="2" customFormat="1">
      <c r="A18801" s="83"/>
      <c r="H18801" s="83"/>
      <c r="K18801" s="82"/>
      <c r="M18801" s="112"/>
      <c r="N18801" s="84"/>
    </row>
    <row r="18802" spans="1:14" s="2" customFormat="1">
      <c r="A18802" s="83"/>
      <c r="H18802" s="83"/>
      <c r="K18802" s="82"/>
      <c r="M18802" s="112"/>
      <c r="N18802" s="84"/>
    </row>
    <row r="18803" spans="1:14" s="2" customFormat="1">
      <c r="A18803" s="83"/>
      <c r="H18803" s="83"/>
      <c r="K18803" s="82"/>
      <c r="M18803" s="112"/>
      <c r="N18803" s="84"/>
    </row>
    <row r="18804" spans="1:14" s="2" customFormat="1">
      <c r="A18804" s="83"/>
      <c r="H18804" s="83"/>
      <c r="K18804" s="82"/>
      <c r="M18804" s="112"/>
      <c r="N18804" s="84"/>
    </row>
    <row r="18805" spans="1:14" s="2" customFormat="1">
      <c r="A18805" s="83"/>
      <c r="H18805" s="83"/>
      <c r="K18805" s="82"/>
      <c r="M18805" s="112"/>
      <c r="N18805" s="84"/>
    </row>
    <row r="18806" spans="1:14" s="2" customFormat="1">
      <c r="A18806" s="83"/>
      <c r="H18806" s="83"/>
      <c r="K18806" s="82"/>
      <c r="M18806" s="112"/>
      <c r="N18806" s="84"/>
    </row>
    <row r="18807" spans="1:14" s="2" customFormat="1">
      <c r="A18807" s="83"/>
      <c r="H18807" s="83"/>
      <c r="K18807" s="82"/>
      <c r="M18807" s="112"/>
      <c r="N18807" s="84"/>
    </row>
    <row r="18808" spans="1:14" s="2" customFormat="1">
      <c r="A18808" s="83"/>
      <c r="H18808" s="83"/>
      <c r="K18808" s="82"/>
      <c r="M18808" s="112"/>
      <c r="N18808" s="84"/>
    </row>
    <row r="18809" spans="1:14" s="2" customFormat="1">
      <c r="A18809" s="83"/>
      <c r="H18809" s="83"/>
      <c r="K18809" s="82"/>
      <c r="M18809" s="112"/>
      <c r="N18809" s="84"/>
    </row>
    <row r="18810" spans="1:14" s="2" customFormat="1">
      <c r="A18810" s="83"/>
      <c r="H18810" s="83"/>
      <c r="K18810" s="82"/>
      <c r="M18810" s="112"/>
      <c r="N18810" s="84"/>
    </row>
    <row r="18811" spans="1:14" s="2" customFormat="1">
      <c r="A18811" s="83"/>
      <c r="H18811" s="83"/>
      <c r="K18811" s="82"/>
      <c r="M18811" s="112"/>
      <c r="N18811" s="84"/>
    </row>
    <row r="18812" spans="1:14" s="2" customFormat="1">
      <c r="A18812" s="83"/>
      <c r="H18812" s="83"/>
      <c r="K18812" s="82"/>
      <c r="M18812" s="112"/>
      <c r="N18812" s="84"/>
    </row>
    <row r="18813" spans="1:14" s="2" customFormat="1">
      <c r="A18813" s="83"/>
      <c r="H18813" s="83"/>
      <c r="K18813" s="82"/>
      <c r="M18813" s="112"/>
      <c r="N18813" s="84"/>
    </row>
    <row r="18814" spans="1:14" s="2" customFormat="1">
      <c r="A18814" s="83"/>
      <c r="H18814" s="83"/>
      <c r="K18814" s="82"/>
      <c r="M18814" s="112"/>
      <c r="N18814" s="84"/>
    </row>
    <row r="18815" spans="1:14" s="2" customFormat="1">
      <c r="A18815" s="83"/>
      <c r="H18815" s="83"/>
      <c r="K18815" s="82"/>
      <c r="M18815" s="112"/>
      <c r="N18815" s="84"/>
    </row>
    <row r="18816" spans="1:14" s="2" customFormat="1">
      <c r="A18816" s="83"/>
      <c r="H18816" s="83"/>
      <c r="K18816" s="82"/>
      <c r="M18816" s="112"/>
      <c r="N18816" s="84"/>
    </row>
    <row r="18817" spans="1:14" s="2" customFormat="1">
      <c r="A18817" s="83"/>
      <c r="H18817" s="83"/>
      <c r="K18817" s="82"/>
      <c r="M18817" s="112"/>
      <c r="N18817" s="84"/>
    </row>
    <row r="18818" spans="1:14" s="2" customFormat="1">
      <c r="A18818" s="83"/>
      <c r="H18818" s="83"/>
      <c r="K18818" s="82"/>
      <c r="M18818" s="112"/>
      <c r="N18818" s="84"/>
    </row>
    <row r="18819" spans="1:14" s="2" customFormat="1">
      <c r="A18819" s="83"/>
      <c r="H18819" s="83"/>
      <c r="K18819" s="82"/>
      <c r="M18819" s="112"/>
      <c r="N18819" s="84"/>
    </row>
    <row r="18820" spans="1:14" s="2" customFormat="1">
      <c r="A18820" s="83"/>
      <c r="H18820" s="83"/>
      <c r="K18820" s="82"/>
      <c r="M18820" s="112"/>
      <c r="N18820" s="84"/>
    </row>
    <row r="18821" spans="1:14" s="2" customFormat="1">
      <c r="A18821" s="83"/>
      <c r="H18821" s="83"/>
      <c r="K18821" s="82"/>
      <c r="M18821" s="112"/>
      <c r="N18821" s="84"/>
    </row>
    <row r="18822" spans="1:14" s="2" customFormat="1">
      <c r="A18822" s="83"/>
      <c r="H18822" s="83"/>
      <c r="K18822" s="82"/>
      <c r="M18822" s="112"/>
      <c r="N18822" s="84"/>
    </row>
    <row r="18823" spans="1:14" s="2" customFormat="1">
      <c r="A18823" s="83"/>
      <c r="H18823" s="83"/>
      <c r="K18823" s="82"/>
      <c r="M18823" s="112"/>
      <c r="N18823" s="84"/>
    </row>
    <row r="18824" spans="1:14" s="2" customFormat="1">
      <c r="A18824" s="83"/>
      <c r="H18824" s="83"/>
      <c r="K18824" s="82"/>
      <c r="M18824" s="112"/>
      <c r="N18824" s="84"/>
    </row>
    <row r="18825" spans="1:14" s="2" customFormat="1">
      <c r="A18825" s="83"/>
      <c r="H18825" s="83"/>
      <c r="K18825" s="82"/>
      <c r="M18825" s="112"/>
      <c r="N18825" s="84"/>
    </row>
    <row r="18826" spans="1:14" s="2" customFormat="1">
      <c r="A18826" s="83"/>
      <c r="H18826" s="83"/>
      <c r="K18826" s="82"/>
      <c r="M18826" s="112"/>
      <c r="N18826" s="84"/>
    </row>
    <row r="18827" spans="1:14" s="2" customFormat="1">
      <c r="A18827" s="83"/>
      <c r="H18827" s="83"/>
      <c r="K18827" s="82"/>
      <c r="M18827" s="112"/>
      <c r="N18827" s="84"/>
    </row>
    <row r="18828" spans="1:14" s="2" customFormat="1">
      <c r="A18828" s="83"/>
      <c r="H18828" s="83"/>
      <c r="K18828" s="82"/>
      <c r="M18828" s="112"/>
      <c r="N18828" s="84"/>
    </row>
    <row r="18829" spans="1:14" s="2" customFormat="1">
      <c r="A18829" s="83"/>
      <c r="H18829" s="83"/>
      <c r="K18829" s="82"/>
      <c r="M18829" s="112"/>
      <c r="N18829" s="84"/>
    </row>
    <row r="18830" spans="1:14" s="2" customFormat="1">
      <c r="A18830" s="83"/>
      <c r="H18830" s="83"/>
      <c r="K18830" s="82"/>
      <c r="M18830" s="112"/>
      <c r="N18830" s="84"/>
    </row>
    <row r="18831" spans="1:14" s="2" customFormat="1">
      <c r="A18831" s="83"/>
      <c r="H18831" s="83"/>
      <c r="K18831" s="82"/>
      <c r="M18831" s="112"/>
      <c r="N18831" s="84"/>
    </row>
    <row r="18832" spans="1:14" s="2" customFormat="1">
      <c r="A18832" s="83"/>
      <c r="H18832" s="83"/>
      <c r="K18832" s="82"/>
      <c r="M18832" s="112"/>
      <c r="N18832" s="84"/>
    </row>
    <row r="18833" spans="1:14" s="2" customFormat="1">
      <c r="A18833" s="83"/>
      <c r="H18833" s="83"/>
      <c r="K18833" s="82"/>
      <c r="M18833" s="112"/>
      <c r="N18833" s="84"/>
    </row>
    <row r="18834" spans="1:14" s="2" customFormat="1">
      <c r="A18834" s="83"/>
      <c r="H18834" s="83"/>
      <c r="K18834" s="82"/>
      <c r="M18834" s="112"/>
      <c r="N18834" s="84"/>
    </row>
    <row r="18835" spans="1:14" s="2" customFormat="1">
      <c r="A18835" s="83"/>
      <c r="H18835" s="83"/>
      <c r="K18835" s="82"/>
      <c r="M18835" s="112"/>
      <c r="N18835" s="84"/>
    </row>
    <row r="18836" spans="1:14" s="2" customFormat="1">
      <c r="A18836" s="83"/>
      <c r="H18836" s="83"/>
      <c r="K18836" s="82"/>
      <c r="M18836" s="112"/>
      <c r="N18836" s="84"/>
    </row>
    <row r="18837" spans="1:14" s="2" customFormat="1">
      <c r="A18837" s="83"/>
      <c r="H18837" s="83"/>
      <c r="K18837" s="82"/>
      <c r="M18837" s="112"/>
      <c r="N18837" s="84"/>
    </row>
    <row r="18838" spans="1:14" s="2" customFormat="1">
      <c r="A18838" s="83"/>
      <c r="H18838" s="83"/>
      <c r="K18838" s="82"/>
      <c r="M18838" s="112"/>
      <c r="N18838" s="84"/>
    </row>
    <row r="18839" spans="1:14" s="2" customFormat="1">
      <c r="A18839" s="83"/>
      <c r="H18839" s="83"/>
      <c r="K18839" s="82"/>
      <c r="M18839" s="112"/>
      <c r="N18839" s="84"/>
    </row>
    <row r="18840" spans="1:14" s="2" customFormat="1">
      <c r="A18840" s="83"/>
      <c r="H18840" s="83"/>
      <c r="K18840" s="82"/>
      <c r="M18840" s="112"/>
      <c r="N18840" s="84"/>
    </row>
    <row r="18841" spans="1:14" s="2" customFormat="1">
      <c r="A18841" s="83"/>
      <c r="H18841" s="83"/>
      <c r="K18841" s="82"/>
      <c r="M18841" s="112"/>
      <c r="N18841" s="84"/>
    </row>
    <row r="18842" spans="1:14" s="2" customFormat="1">
      <c r="A18842" s="83"/>
      <c r="H18842" s="83"/>
      <c r="K18842" s="82"/>
      <c r="M18842" s="112"/>
      <c r="N18842" s="84"/>
    </row>
    <row r="18843" spans="1:14" s="2" customFormat="1">
      <c r="A18843" s="83"/>
      <c r="H18843" s="83"/>
      <c r="K18843" s="82"/>
      <c r="M18843" s="112"/>
      <c r="N18843" s="84"/>
    </row>
    <row r="18844" spans="1:14" s="2" customFormat="1">
      <c r="A18844" s="83"/>
      <c r="H18844" s="83"/>
      <c r="K18844" s="82"/>
      <c r="M18844" s="112"/>
      <c r="N18844" s="84"/>
    </row>
    <row r="18845" spans="1:14" s="2" customFormat="1">
      <c r="A18845" s="83"/>
      <c r="H18845" s="83"/>
      <c r="K18845" s="82"/>
      <c r="M18845" s="112"/>
      <c r="N18845" s="84"/>
    </row>
    <row r="18846" spans="1:14" s="2" customFormat="1">
      <c r="A18846" s="83"/>
      <c r="H18846" s="83"/>
      <c r="K18846" s="82"/>
      <c r="M18846" s="112"/>
      <c r="N18846" s="84"/>
    </row>
    <row r="18847" spans="1:14" s="2" customFormat="1">
      <c r="A18847" s="83"/>
      <c r="H18847" s="83"/>
      <c r="K18847" s="82"/>
      <c r="M18847" s="112"/>
      <c r="N18847" s="84"/>
    </row>
    <row r="18848" spans="1:14" s="2" customFormat="1">
      <c r="A18848" s="83"/>
      <c r="H18848" s="83"/>
      <c r="K18848" s="82"/>
      <c r="M18848" s="112"/>
      <c r="N18848" s="84"/>
    </row>
    <row r="18849" spans="1:14" s="2" customFormat="1">
      <c r="A18849" s="83"/>
      <c r="H18849" s="83"/>
      <c r="K18849" s="82"/>
      <c r="M18849" s="112"/>
      <c r="N18849" s="84"/>
    </row>
    <row r="18850" spans="1:14" s="2" customFormat="1">
      <c r="A18850" s="83"/>
      <c r="H18850" s="83"/>
      <c r="K18850" s="82"/>
      <c r="M18850" s="112"/>
      <c r="N18850" s="84"/>
    </row>
    <row r="18851" spans="1:14" s="2" customFormat="1">
      <c r="A18851" s="83"/>
      <c r="H18851" s="83"/>
      <c r="K18851" s="82"/>
      <c r="M18851" s="112"/>
      <c r="N18851" s="84"/>
    </row>
    <row r="18852" spans="1:14" s="2" customFormat="1">
      <c r="A18852" s="83"/>
      <c r="H18852" s="83"/>
      <c r="K18852" s="82"/>
      <c r="M18852" s="112"/>
      <c r="N18852" s="84"/>
    </row>
    <row r="18853" spans="1:14" s="2" customFormat="1">
      <c r="A18853" s="83"/>
      <c r="H18853" s="83"/>
      <c r="K18853" s="82"/>
      <c r="M18853" s="112"/>
      <c r="N18853" s="84"/>
    </row>
    <row r="18854" spans="1:14" s="2" customFormat="1">
      <c r="A18854" s="83"/>
      <c r="H18854" s="83"/>
      <c r="K18854" s="82"/>
      <c r="M18854" s="112"/>
      <c r="N18854" s="84"/>
    </row>
    <row r="18855" spans="1:14" s="2" customFormat="1">
      <c r="A18855" s="83"/>
      <c r="H18855" s="83"/>
      <c r="K18855" s="82"/>
      <c r="M18855" s="112"/>
      <c r="N18855" s="84"/>
    </row>
    <row r="18856" spans="1:14" s="2" customFormat="1">
      <c r="A18856" s="83"/>
      <c r="H18856" s="83"/>
      <c r="K18856" s="82"/>
      <c r="M18856" s="112"/>
      <c r="N18856" s="84"/>
    </row>
    <row r="18857" spans="1:14" s="2" customFormat="1">
      <c r="A18857" s="83"/>
      <c r="H18857" s="83"/>
      <c r="K18857" s="82"/>
      <c r="M18857" s="112"/>
      <c r="N18857" s="84"/>
    </row>
    <row r="18858" spans="1:14" s="2" customFormat="1">
      <c r="A18858" s="83"/>
      <c r="H18858" s="83"/>
      <c r="K18858" s="82"/>
      <c r="M18858" s="112"/>
      <c r="N18858" s="84"/>
    </row>
    <row r="18859" spans="1:14" s="2" customFormat="1">
      <c r="A18859" s="83"/>
      <c r="H18859" s="83"/>
      <c r="K18859" s="82"/>
      <c r="M18859" s="112"/>
      <c r="N18859" s="84"/>
    </row>
    <row r="18860" spans="1:14" s="2" customFormat="1">
      <c r="A18860" s="83"/>
      <c r="H18860" s="83"/>
      <c r="K18860" s="82"/>
      <c r="M18860" s="112"/>
      <c r="N18860" s="84"/>
    </row>
    <row r="18861" spans="1:14" s="2" customFormat="1">
      <c r="A18861" s="83"/>
      <c r="H18861" s="83"/>
      <c r="K18861" s="82"/>
      <c r="M18861" s="112"/>
      <c r="N18861" s="84"/>
    </row>
    <row r="18862" spans="1:14" s="2" customFormat="1">
      <c r="A18862" s="83"/>
      <c r="H18862" s="83"/>
      <c r="K18862" s="82"/>
      <c r="M18862" s="112"/>
      <c r="N18862" s="84"/>
    </row>
    <row r="18863" spans="1:14" s="2" customFormat="1">
      <c r="A18863" s="83"/>
      <c r="H18863" s="83"/>
      <c r="K18863" s="82"/>
      <c r="M18863" s="112"/>
      <c r="N18863" s="84"/>
    </row>
    <row r="18864" spans="1:14" s="2" customFormat="1">
      <c r="A18864" s="83"/>
      <c r="H18864" s="83"/>
      <c r="K18864" s="82"/>
      <c r="M18864" s="112"/>
      <c r="N18864" s="84"/>
    </row>
    <row r="18865" spans="1:14" s="2" customFormat="1">
      <c r="A18865" s="83"/>
      <c r="H18865" s="83"/>
      <c r="K18865" s="82"/>
      <c r="M18865" s="112"/>
      <c r="N18865" s="84"/>
    </row>
    <row r="18866" spans="1:14" s="2" customFormat="1">
      <c r="A18866" s="83"/>
      <c r="H18866" s="83"/>
      <c r="K18866" s="82"/>
      <c r="M18866" s="112"/>
      <c r="N18866" s="84"/>
    </row>
    <row r="18867" spans="1:14" s="2" customFormat="1">
      <c r="A18867" s="83"/>
      <c r="H18867" s="83"/>
      <c r="K18867" s="82"/>
      <c r="M18867" s="112"/>
      <c r="N18867" s="84"/>
    </row>
    <row r="18868" spans="1:14" s="2" customFormat="1">
      <c r="A18868" s="83"/>
      <c r="H18868" s="83"/>
      <c r="K18868" s="82"/>
      <c r="M18868" s="112"/>
      <c r="N18868" s="84"/>
    </row>
    <row r="18869" spans="1:14" s="2" customFormat="1">
      <c r="A18869" s="83"/>
      <c r="H18869" s="83"/>
      <c r="K18869" s="82"/>
      <c r="M18869" s="112"/>
      <c r="N18869" s="84"/>
    </row>
    <row r="18870" spans="1:14" s="2" customFormat="1">
      <c r="A18870" s="83"/>
      <c r="H18870" s="83"/>
      <c r="K18870" s="82"/>
      <c r="M18870" s="112"/>
      <c r="N18870" s="84"/>
    </row>
    <row r="18871" spans="1:14" s="2" customFormat="1">
      <c r="A18871" s="83"/>
      <c r="H18871" s="83"/>
      <c r="K18871" s="82"/>
      <c r="M18871" s="112"/>
      <c r="N18871" s="84"/>
    </row>
    <row r="18872" spans="1:14" s="2" customFormat="1">
      <c r="A18872" s="83"/>
      <c r="H18872" s="83"/>
      <c r="K18872" s="82"/>
      <c r="M18872" s="112"/>
      <c r="N18872" s="84"/>
    </row>
    <row r="18873" spans="1:14" s="2" customFormat="1">
      <c r="A18873" s="83"/>
      <c r="H18873" s="83"/>
      <c r="K18873" s="82"/>
      <c r="M18873" s="112"/>
      <c r="N18873" s="84"/>
    </row>
    <row r="18874" spans="1:14" s="2" customFormat="1">
      <c r="A18874" s="83"/>
      <c r="H18874" s="83"/>
      <c r="K18874" s="82"/>
      <c r="M18874" s="112"/>
      <c r="N18874" s="84"/>
    </row>
    <row r="18875" spans="1:14" s="2" customFormat="1">
      <c r="A18875" s="83"/>
      <c r="H18875" s="83"/>
      <c r="K18875" s="82"/>
      <c r="M18875" s="112"/>
      <c r="N18875" s="84"/>
    </row>
    <row r="18876" spans="1:14" s="2" customFormat="1">
      <c r="A18876" s="83"/>
      <c r="H18876" s="83"/>
      <c r="K18876" s="82"/>
      <c r="M18876" s="112"/>
      <c r="N18876" s="84"/>
    </row>
    <row r="18877" spans="1:14" s="2" customFormat="1">
      <c r="A18877" s="83"/>
      <c r="H18877" s="83"/>
      <c r="K18877" s="82"/>
      <c r="M18877" s="112"/>
      <c r="N18877" s="84"/>
    </row>
    <row r="18878" spans="1:14" s="2" customFormat="1">
      <c r="A18878" s="83"/>
      <c r="H18878" s="83"/>
      <c r="K18878" s="82"/>
      <c r="M18878" s="112"/>
      <c r="N18878" s="84"/>
    </row>
    <row r="18879" spans="1:14" s="2" customFormat="1">
      <c r="A18879" s="83"/>
      <c r="H18879" s="83"/>
      <c r="K18879" s="82"/>
      <c r="M18879" s="112"/>
      <c r="N18879" s="84"/>
    </row>
    <row r="18880" spans="1:14" s="2" customFormat="1">
      <c r="A18880" s="83"/>
      <c r="H18880" s="83"/>
      <c r="K18880" s="82"/>
      <c r="M18880" s="112"/>
      <c r="N18880" s="84"/>
    </row>
    <row r="18881" spans="1:14" s="2" customFormat="1">
      <c r="A18881" s="83"/>
      <c r="H18881" s="83"/>
      <c r="K18881" s="82"/>
      <c r="M18881" s="112"/>
      <c r="N18881" s="84"/>
    </row>
    <row r="18882" spans="1:14" s="2" customFormat="1">
      <c r="A18882" s="83"/>
      <c r="H18882" s="83"/>
      <c r="K18882" s="82"/>
      <c r="M18882" s="112"/>
      <c r="N18882" s="84"/>
    </row>
    <row r="18883" spans="1:14" s="2" customFormat="1">
      <c r="A18883" s="83"/>
      <c r="H18883" s="83"/>
      <c r="K18883" s="82"/>
      <c r="M18883" s="112"/>
      <c r="N18883" s="84"/>
    </row>
    <row r="18884" spans="1:14" s="2" customFormat="1">
      <c r="A18884" s="83"/>
      <c r="H18884" s="83"/>
      <c r="K18884" s="82"/>
      <c r="M18884" s="112"/>
      <c r="N18884" s="84"/>
    </row>
    <row r="18885" spans="1:14" s="2" customFormat="1">
      <c r="A18885" s="83"/>
      <c r="H18885" s="83"/>
      <c r="K18885" s="82"/>
      <c r="M18885" s="112"/>
      <c r="N18885" s="84"/>
    </row>
    <row r="18886" spans="1:14" s="2" customFormat="1">
      <c r="A18886" s="83"/>
      <c r="H18886" s="83"/>
      <c r="K18886" s="82"/>
      <c r="M18886" s="112"/>
      <c r="N18886" s="84"/>
    </row>
    <row r="18887" spans="1:14" s="2" customFormat="1">
      <c r="A18887" s="83"/>
      <c r="H18887" s="83"/>
      <c r="K18887" s="82"/>
      <c r="M18887" s="112"/>
      <c r="N18887" s="84"/>
    </row>
    <row r="18888" spans="1:14" s="2" customFormat="1">
      <c r="A18888" s="83"/>
      <c r="H18888" s="83"/>
      <c r="K18888" s="82"/>
      <c r="M18888" s="112"/>
      <c r="N18888" s="84"/>
    </row>
    <row r="18889" spans="1:14" s="2" customFormat="1">
      <c r="A18889" s="83"/>
      <c r="H18889" s="83"/>
      <c r="K18889" s="82"/>
      <c r="M18889" s="112"/>
      <c r="N18889" s="84"/>
    </row>
    <row r="18890" spans="1:14" s="2" customFormat="1">
      <c r="A18890" s="83"/>
      <c r="H18890" s="83"/>
      <c r="K18890" s="82"/>
      <c r="M18890" s="112"/>
      <c r="N18890" s="84"/>
    </row>
    <row r="18891" spans="1:14" s="2" customFormat="1">
      <c r="A18891" s="83"/>
      <c r="H18891" s="83"/>
      <c r="K18891" s="82"/>
      <c r="M18891" s="112"/>
      <c r="N18891" s="84"/>
    </row>
    <row r="18892" spans="1:14" s="2" customFormat="1">
      <c r="A18892" s="83"/>
      <c r="H18892" s="83"/>
      <c r="K18892" s="82"/>
      <c r="M18892" s="112"/>
      <c r="N18892" s="84"/>
    </row>
    <row r="18893" spans="1:14" s="2" customFormat="1">
      <c r="A18893" s="83"/>
      <c r="H18893" s="83"/>
      <c r="K18893" s="82"/>
      <c r="M18893" s="112"/>
      <c r="N18893" s="84"/>
    </row>
    <row r="18894" spans="1:14" s="2" customFormat="1">
      <c r="A18894" s="83"/>
      <c r="H18894" s="83"/>
      <c r="K18894" s="82"/>
      <c r="M18894" s="112"/>
      <c r="N18894" s="84"/>
    </row>
    <row r="18895" spans="1:14" s="2" customFormat="1">
      <c r="A18895" s="83"/>
      <c r="H18895" s="83"/>
      <c r="K18895" s="82"/>
      <c r="M18895" s="112"/>
      <c r="N18895" s="84"/>
    </row>
    <row r="18896" spans="1:14" s="2" customFormat="1">
      <c r="A18896" s="83"/>
      <c r="H18896" s="83"/>
      <c r="K18896" s="82"/>
      <c r="M18896" s="112"/>
      <c r="N18896" s="84"/>
    </row>
    <row r="18897" spans="1:14" s="2" customFormat="1">
      <c r="A18897" s="83"/>
      <c r="H18897" s="83"/>
      <c r="K18897" s="82"/>
      <c r="M18897" s="112"/>
      <c r="N18897" s="84"/>
    </row>
    <row r="18898" spans="1:14" s="2" customFormat="1">
      <c r="A18898" s="83"/>
      <c r="H18898" s="83"/>
      <c r="K18898" s="82"/>
      <c r="M18898" s="112"/>
      <c r="N18898" s="84"/>
    </row>
    <row r="18899" spans="1:14" s="2" customFormat="1">
      <c r="A18899" s="83"/>
      <c r="H18899" s="83"/>
      <c r="K18899" s="82"/>
      <c r="M18899" s="112"/>
      <c r="N18899" s="84"/>
    </row>
    <row r="18900" spans="1:14" s="2" customFormat="1">
      <c r="A18900" s="83"/>
      <c r="H18900" s="83"/>
      <c r="K18900" s="82"/>
      <c r="M18900" s="112"/>
      <c r="N18900" s="84"/>
    </row>
    <row r="18901" spans="1:14" s="2" customFormat="1">
      <c r="A18901" s="83"/>
      <c r="H18901" s="83"/>
      <c r="K18901" s="82"/>
      <c r="M18901" s="112"/>
      <c r="N18901" s="84"/>
    </row>
    <row r="18902" spans="1:14" s="2" customFormat="1">
      <c r="A18902" s="83"/>
      <c r="H18902" s="83"/>
      <c r="K18902" s="82"/>
      <c r="M18902" s="112"/>
      <c r="N18902" s="84"/>
    </row>
    <row r="18903" spans="1:14" s="2" customFormat="1">
      <c r="A18903" s="83"/>
      <c r="H18903" s="83"/>
      <c r="K18903" s="82"/>
      <c r="M18903" s="112"/>
      <c r="N18903" s="84"/>
    </row>
    <row r="18904" spans="1:14" s="2" customFormat="1">
      <c r="A18904" s="83"/>
      <c r="H18904" s="83"/>
      <c r="K18904" s="82"/>
      <c r="M18904" s="112"/>
      <c r="N18904" s="84"/>
    </row>
    <row r="18905" spans="1:14" s="2" customFormat="1">
      <c r="A18905" s="83"/>
      <c r="H18905" s="83"/>
      <c r="K18905" s="82"/>
      <c r="M18905" s="112"/>
      <c r="N18905" s="84"/>
    </row>
    <row r="18906" spans="1:14" s="2" customFormat="1">
      <c r="A18906" s="83"/>
      <c r="H18906" s="83"/>
      <c r="K18906" s="82"/>
      <c r="M18906" s="112"/>
      <c r="N18906" s="84"/>
    </row>
    <row r="18907" spans="1:14" s="2" customFormat="1">
      <c r="A18907" s="83"/>
      <c r="H18907" s="83"/>
      <c r="K18907" s="82"/>
      <c r="M18907" s="112"/>
      <c r="N18907" s="84"/>
    </row>
    <row r="18908" spans="1:14" s="2" customFormat="1">
      <c r="A18908" s="83"/>
      <c r="H18908" s="83"/>
      <c r="K18908" s="82"/>
      <c r="M18908" s="112"/>
      <c r="N18908" s="84"/>
    </row>
    <row r="18909" spans="1:14" s="2" customFormat="1">
      <c r="A18909" s="83"/>
      <c r="H18909" s="83"/>
      <c r="K18909" s="82"/>
      <c r="M18909" s="112"/>
      <c r="N18909" s="84"/>
    </row>
    <row r="18910" spans="1:14" s="2" customFormat="1">
      <c r="A18910" s="83"/>
      <c r="H18910" s="83"/>
      <c r="K18910" s="82"/>
      <c r="M18910" s="112"/>
      <c r="N18910" s="84"/>
    </row>
    <row r="18911" spans="1:14" s="2" customFormat="1">
      <c r="A18911" s="83"/>
      <c r="H18911" s="83"/>
      <c r="K18911" s="82"/>
      <c r="M18911" s="112"/>
      <c r="N18911" s="84"/>
    </row>
    <row r="18912" spans="1:14" s="2" customFormat="1">
      <c r="A18912" s="83"/>
      <c r="H18912" s="83"/>
      <c r="K18912" s="82"/>
      <c r="M18912" s="112"/>
      <c r="N18912" s="84"/>
    </row>
    <row r="18913" spans="1:14" s="2" customFormat="1">
      <c r="A18913" s="83"/>
      <c r="H18913" s="83"/>
      <c r="K18913" s="82"/>
      <c r="M18913" s="112"/>
      <c r="N18913" s="84"/>
    </row>
    <row r="18914" spans="1:14" s="2" customFormat="1">
      <c r="A18914" s="83"/>
      <c r="H18914" s="83"/>
      <c r="K18914" s="82"/>
      <c r="M18914" s="112"/>
      <c r="N18914" s="84"/>
    </row>
    <row r="18915" spans="1:14" s="2" customFormat="1">
      <c r="A18915" s="83"/>
      <c r="H18915" s="83"/>
      <c r="K18915" s="82"/>
      <c r="M18915" s="112"/>
      <c r="N18915" s="84"/>
    </row>
    <row r="18916" spans="1:14" s="2" customFormat="1">
      <c r="A18916" s="83"/>
      <c r="H18916" s="83"/>
      <c r="K18916" s="82"/>
      <c r="M18916" s="112"/>
      <c r="N18916" s="84"/>
    </row>
    <row r="18917" spans="1:14" s="2" customFormat="1">
      <c r="A18917" s="83"/>
      <c r="H18917" s="83"/>
      <c r="K18917" s="82"/>
      <c r="M18917" s="112"/>
      <c r="N18917" s="84"/>
    </row>
    <row r="18918" spans="1:14" s="2" customFormat="1">
      <c r="A18918" s="83"/>
      <c r="H18918" s="83"/>
      <c r="K18918" s="82"/>
      <c r="M18918" s="112"/>
      <c r="N18918" s="84"/>
    </row>
    <row r="18919" spans="1:14" s="2" customFormat="1">
      <c r="A18919" s="83"/>
      <c r="H18919" s="83"/>
      <c r="K18919" s="82"/>
      <c r="M18919" s="112"/>
      <c r="N18919" s="84"/>
    </row>
    <row r="18920" spans="1:14" s="2" customFormat="1">
      <c r="A18920" s="83"/>
      <c r="H18920" s="83"/>
      <c r="K18920" s="82"/>
      <c r="M18920" s="112"/>
      <c r="N18920" s="84"/>
    </row>
    <row r="18921" spans="1:14" s="2" customFormat="1">
      <c r="A18921" s="83"/>
      <c r="H18921" s="83"/>
      <c r="K18921" s="82"/>
      <c r="M18921" s="112"/>
      <c r="N18921" s="84"/>
    </row>
    <row r="18922" spans="1:14" s="2" customFormat="1">
      <c r="A18922" s="83"/>
      <c r="H18922" s="83"/>
      <c r="K18922" s="82"/>
      <c r="M18922" s="112"/>
      <c r="N18922" s="84"/>
    </row>
    <row r="18923" spans="1:14" s="2" customFormat="1">
      <c r="A18923" s="83"/>
      <c r="H18923" s="83"/>
      <c r="K18923" s="82"/>
      <c r="M18923" s="112"/>
      <c r="N18923" s="84"/>
    </row>
    <row r="18924" spans="1:14" s="2" customFormat="1">
      <c r="A18924" s="83"/>
      <c r="H18924" s="83"/>
      <c r="K18924" s="82"/>
      <c r="M18924" s="112"/>
      <c r="N18924" s="84"/>
    </row>
    <row r="18925" spans="1:14" s="2" customFormat="1">
      <c r="A18925" s="83"/>
      <c r="H18925" s="83"/>
      <c r="K18925" s="82"/>
      <c r="M18925" s="112"/>
      <c r="N18925" s="84"/>
    </row>
    <row r="18926" spans="1:14" s="2" customFormat="1">
      <c r="A18926" s="83"/>
      <c r="H18926" s="83"/>
      <c r="K18926" s="82"/>
      <c r="M18926" s="112"/>
      <c r="N18926" s="84"/>
    </row>
    <row r="18927" spans="1:14" s="2" customFormat="1">
      <c r="A18927" s="83"/>
      <c r="H18927" s="83"/>
      <c r="K18927" s="82"/>
      <c r="M18927" s="112"/>
      <c r="N18927" s="84"/>
    </row>
    <row r="18928" spans="1:14" s="2" customFormat="1">
      <c r="A18928" s="83"/>
      <c r="H18928" s="83"/>
      <c r="K18928" s="82"/>
      <c r="M18928" s="112"/>
      <c r="N18928" s="84"/>
    </row>
    <row r="18929" spans="1:14" s="2" customFormat="1">
      <c r="A18929" s="83"/>
      <c r="H18929" s="83"/>
      <c r="K18929" s="82"/>
      <c r="M18929" s="112"/>
      <c r="N18929" s="84"/>
    </row>
    <row r="18930" spans="1:14" s="2" customFormat="1">
      <c r="A18930" s="83"/>
      <c r="H18930" s="83"/>
      <c r="K18930" s="82"/>
      <c r="M18930" s="112"/>
      <c r="N18930" s="84"/>
    </row>
    <row r="18931" spans="1:14" s="2" customFormat="1">
      <c r="A18931" s="83"/>
      <c r="H18931" s="83"/>
      <c r="K18931" s="82"/>
      <c r="M18931" s="112"/>
      <c r="N18931" s="84"/>
    </row>
    <row r="18932" spans="1:14" s="2" customFormat="1">
      <c r="A18932" s="83"/>
      <c r="H18932" s="83"/>
      <c r="K18932" s="82"/>
      <c r="M18932" s="112"/>
      <c r="N18932" s="84"/>
    </row>
    <row r="18933" spans="1:14" s="2" customFormat="1">
      <c r="A18933" s="83"/>
      <c r="H18933" s="83"/>
      <c r="K18933" s="82"/>
      <c r="M18933" s="112"/>
      <c r="N18933" s="84"/>
    </row>
    <row r="18934" spans="1:14" s="2" customFormat="1">
      <c r="A18934" s="83"/>
      <c r="H18934" s="83"/>
      <c r="K18934" s="82"/>
      <c r="M18934" s="112"/>
      <c r="N18934" s="84"/>
    </row>
    <row r="18935" spans="1:14" s="2" customFormat="1">
      <c r="A18935" s="83"/>
      <c r="H18935" s="83"/>
      <c r="K18935" s="82"/>
      <c r="M18935" s="112"/>
      <c r="N18935" s="84"/>
    </row>
    <row r="18936" spans="1:14" s="2" customFormat="1">
      <c r="A18936" s="83"/>
      <c r="H18936" s="83"/>
      <c r="K18936" s="82"/>
      <c r="M18936" s="112"/>
      <c r="N18936" s="84"/>
    </row>
    <row r="18937" spans="1:14" s="2" customFormat="1">
      <c r="A18937" s="83"/>
      <c r="H18937" s="83"/>
      <c r="K18937" s="82"/>
      <c r="M18937" s="112"/>
      <c r="N18937" s="84"/>
    </row>
    <row r="18938" spans="1:14" s="2" customFormat="1">
      <c r="A18938" s="83"/>
      <c r="H18938" s="83"/>
      <c r="K18938" s="82"/>
      <c r="M18938" s="112"/>
      <c r="N18938" s="84"/>
    </row>
    <row r="18939" spans="1:14" s="2" customFormat="1">
      <c r="A18939" s="83"/>
      <c r="H18939" s="83"/>
      <c r="K18939" s="82"/>
      <c r="M18939" s="112"/>
      <c r="N18939" s="84"/>
    </row>
    <row r="18940" spans="1:14" s="2" customFormat="1">
      <c r="A18940" s="83"/>
      <c r="H18940" s="83"/>
      <c r="K18940" s="82"/>
      <c r="M18940" s="112"/>
      <c r="N18940" s="84"/>
    </row>
    <row r="18941" spans="1:14" s="2" customFormat="1">
      <c r="A18941" s="83"/>
      <c r="H18941" s="83"/>
      <c r="K18941" s="82"/>
      <c r="M18941" s="112"/>
      <c r="N18941" s="84"/>
    </row>
    <row r="18942" spans="1:14" s="2" customFormat="1">
      <c r="A18942" s="83"/>
      <c r="H18942" s="83"/>
      <c r="K18942" s="82"/>
      <c r="M18942" s="112"/>
      <c r="N18942" s="84"/>
    </row>
    <row r="18943" spans="1:14" s="2" customFormat="1">
      <c r="A18943" s="83"/>
      <c r="H18943" s="83"/>
      <c r="K18943" s="82"/>
      <c r="M18943" s="112"/>
      <c r="N18943" s="84"/>
    </row>
    <row r="18944" spans="1:14" s="2" customFormat="1">
      <c r="A18944" s="83"/>
      <c r="H18944" s="83"/>
      <c r="K18944" s="82"/>
      <c r="M18944" s="112"/>
      <c r="N18944" s="84"/>
    </row>
    <row r="18945" spans="1:14" s="2" customFormat="1">
      <c r="A18945" s="83"/>
      <c r="H18945" s="83"/>
      <c r="K18945" s="82"/>
      <c r="M18945" s="112"/>
      <c r="N18945" s="84"/>
    </row>
    <row r="18946" spans="1:14" s="2" customFormat="1">
      <c r="A18946" s="83"/>
      <c r="H18946" s="83"/>
      <c r="K18946" s="82"/>
      <c r="M18946" s="112"/>
      <c r="N18946" s="84"/>
    </row>
    <row r="18947" spans="1:14" s="2" customFormat="1">
      <c r="A18947" s="83"/>
      <c r="H18947" s="83"/>
      <c r="K18947" s="82"/>
      <c r="M18947" s="112"/>
      <c r="N18947" s="84"/>
    </row>
    <row r="18948" spans="1:14" s="2" customFormat="1">
      <c r="A18948" s="83"/>
      <c r="H18948" s="83"/>
      <c r="K18948" s="82"/>
      <c r="M18948" s="112"/>
      <c r="N18948" s="84"/>
    </row>
    <row r="18949" spans="1:14" s="2" customFormat="1">
      <c r="A18949" s="83"/>
      <c r="H18949" s="83"/>
      <c r="K18949" s="82"/>
      <c r="M18949" s="112"/>
      <c r="N18949" s="84"/>
    </row>
    <row r="18950" spans="1:14" s="2" customFormat="1">
      <c r="A18950" s="83"/>
      <c r="H18950" s="83"/>
      <c r="K18950" s="82"/>
      <c r="M18950" s="112"/>
      <c r="N18950" s="84"/>
    </row>
    <row r="18951" spans="1:14" s="2" customFormat="1">
      <c r="A18951" s="83"/>
      <c r="H18951" s="83"/>
      <c r="K18951" s="82"/>
      <c r="M18951" s="112"/>
      <c r="N18951" s="84"/>
    </row>
    <row r="18952" spans="1:14" s="2" customFormat="1">
      <c r="A18952" s="83"/>
      <c r="H18952" s="83"/>
      <c r="K18952" s="82"/>
      <c r="M18952" s="112"/>
      <c r="N18952" s="84"/>
    </row>
    <row r="18953" spans="1:14" s="2" customFormat="1">
      <c r="A18953" s="83"/>
      <c r="H18953" s="83"/>
      <c r="K18953" s="82"/>
      <c r="M18953" s="112"/>
      <c r="N18953" s="84"/>
    </row>
    <row r="18954" spans="1:14" s="2" customFormat="1">
      <c r="A18954" s="83"/>
      <c r="H18954" s="83"/>
      <c r="K18954" s="82"/>
      <c r="M18954" s="112"/>
      <c r="N18954" s="84"/>
    </row>
    <row r="18955" spans="1:14" s="2" customFormat="1">
      <c r="A18955" s="83"/>
      <c r="H18955" s="83"/>
      <c r="K18955" s="82"/>
      <c r="M18955" s="112"/>
      <c r="N18955" s="84"/>
    </row>
    <row r="18956" spans="1:14" s="2" customFormat="1">
      <c r="A18956" s="83"/>
      <c r="H18956" s="83"/>
      <c r="K18956" s="82"/>
      <c r="M18956" s="112"/>
      <c r="N18956" s="84"/>
    </row>
    <row r="18957" spans="1:14" s="2" customFormat="1">
      <c r="A18957" s="83"/>
      <c r="H18957" s="83"/>
      <c r="K18957" s="82"/>
      <c r="M18957" s="112"/>
      <c r="N18957" s="84"/>
    </row>
    <row r="18958" spans="1:14" s="2" customFormat="1">
      <c r="A18958" s="83"/>
      <c r="H18958" s="83"/>
      <c r="K18958" s="82"/>
      <c r="M18958" s="112"/>
      <c r="N18958" s="84"/>
    </row>
    <row r="18959" spans="1:14" s="2" customFormat="1">
      <c r="A18959" s="83"/>
      <c r="H18959" s="83"/>
      <c r="K18959" s="82"/>
      <c r="M18959" s="112"/>
      <c r="N18959" s="84"/>
    </row>
    <row r="18960" spans="1:14" s="2" customFormat="1">
      <c r="A18960" s="83"/>
      <c r="H18960" s="83"/>
      <c r="K18960" s="82"/>
      <c r="M18960" s="112"/>
      <c r="N18960" s="84"/>
    </row>
    <row r="18961" spans="1:14" s="2" customFormat="1">
      <c r="A18961" s="83"/>
      <c r="H18961" s="83"/>
      <c r="K18961" s="82"/>
      <c r="M18961" s="112"/>
      <c r="N18961" s="84"/>
    </row>
    <row r="18962" spans="1:14" s="2" customFormat="1">
      <c r="A18962" s="83"/>
      <c r="H18962" s="83"/>
      <c r="K18962" s="82"/>
      <c r="M18962" s="112"/>
      <c r="N18962" s="84"/>
    </row>
    <row r="18963" spans="1:14" s="2" customFormat="1">
      <c r="A18963" s="83"/>
      <c r="H18963" s="83"/>
      <c r="K18963" s="82"/>
      <c r="M18963" s="112"/>
      <c r="N18963" s="84"/>
    </row>
    <row r="18964" spans="1:14" s="2" customFormat="1">
      <c r="A18964" s="83"/>
      <c r="H18964" s="83"/>
      <c r="K18964" s="82"/>
      <c r="M18964" s="112"/>
      <c r="N18964" s="84"/>
    </row>
    <row r="18965" spans="1:14" s="2" customFormat="1">
      <c r="A18965" s="83"/>
      <c r="H18965" s="83"/>
      <c r="K18965" s="82"/>
      <c r="M18965" s="112"/>
      <c r="N18965" s="84"/>
    </row>
    <row r="18966" spans="1:14" s="2" customFormat="1">
      <c r="A18966" s="83"/>
      <c r="H18966" s="83"/>
      <c r="K18966" s="82"/>
      <c r="M18966" s="112"/>
      <c r="N18966" s="84"/>
    </row>
    <row r="18967" spans="1:14" s="2" customFormat="1">
      <c r="A18967" s="83"/>
      <c r="H18967" s="83"/>
      <c r="K18967" s="82"/>
      <c r="M18967" s="112"/>
      <c r="N18967" s="84"/>
    </row>
    <row r="18968" spans="1:14" s="2" customFormat="1">
      <c r="A18968" s="83"/>
      <c r="H18968" s="83"/>
      <c r="K18968" s="82"/>
      <c r="M18968" s="112"/>
      <c r="N18968" s="84"/>
    </row>
    <row r="18969" spans="1:14" s="2" customFormat="1">
      <c r="A18969" s="83"/>
      <c r="H18969" s="83"/>
      <c r="K18969" s="82"/>
      <c r="M18969" s="112"/>
      <c r="N18969" s="84"/>
    </row>
    <row r="18970" spans="1:14" s="2" customFormat="1">
      <c r="A18970" s="83"/>
      <c r="H18970" s="83"/>
      <c r="K18970" s="82"/>
      <c r="M18970" s="112"/>
      <c r="N18970" s="84"/>
    </row>
    <row r="18971" spans="1:14" s="2" customFormat="1">
      <c r="A18971" s="83"/>
      <c r="H18971" s="83"/>
      <c r="K18971" s="82"/>
      <c r="M18971" s="112"/>
      <c r="N18971" s="84"/>
    </row>
    <row r="18972" spans="1:14" s="2" customFormat="1">
      <c r="A18972" s="83"/>
      <c r="H18972" s="83"/>
      <c r="K18972" s="82"/>
      <c r="M18972" s="112"/>
      <c r="N18972" s="84"/>
    </row>
    <row r="18973" spans="1:14" s="2" customFormat="1">
      <c r="A18973" s="83"/>
      <c r="H18973" s="83"/>
      <c r="K18973" s="82"/>
      <c r="M18973" s="112"/>
      <c r="N18973" s="84"/>
    </row>
    <row r="18974" spans="1:14" s="2" customFormat="1">
      <c r="A18974" s="83"/>
      <c r="H18974" s="83"/>
      <c r="K18974" s="82"/>
      <c r="M18974" s="112"/>
      <c r="N18974" s="84"/>
    </row>
    <row r="18975" spans="1:14" s="2" customFormat="1">
      <c r="A18975" s="83"/>
      <c r="H18975" s="83"/>
      <c r="K18975" s="82"/>
      <c r="M18975" s="112"/>
      <c r="N18975" s="84"/>
    </row>
    <row r="18976" spans="1:14" s="2" customFormat="1">
      <c r="A18976" s="83"/>
      <c r="H18976" s="83"/>
      <c r="K18976" s="82"/>
      <c r="M18976" s="112"/>
      <c r="N18976" s="84"/>
    </row>
    <row r="18977" spans="1:14" s="2" customFormat="1">
      <c r="A18977" s="83"/>
      <c r="H18977" s="83"/>
      <c r="K18977" s="82"/>
      <c r="M18977" s="112"/>
      <c r="N18977" s="84"/>
    </row>
    <row r="18978" spans="1:14" s="2" customFormat="1">
      <c r="A18978" s="83"/>
      <c r="H18978" s="83"/>
      <c r="K18978" s="82"/>
      <c r="M18978" s="112"/>
      <c r="N18978" s="84"/>
    </row>
    <row r="18979" spans="1:14" s="2" customFormat="1">
      <c r="A18979" s="83"/>
      <c r="H18979" s="83"/>
      <c r="K18979" s="82"/>
      <c r="M18979" s="112"/>
      <c r="N18979" s="84"/>
    </row>
    <row r="18980" spans="1:14" s="2" customFormat="1">
      <c r="A18980" s="83"/>
      <c r="H18980" s="83"/>
      <c r="K18980" s="82"/>
      <c r="M18980" s="112"/>
      <c r="N18980" s="84"/>
    </row>
    <row r="18981" spans="1:14" s="2" customFormat="1">
      <c r="A18981" s="83"/>
      <c r="H18981" s="83"/>
      <c r="K18981" s="82"/>
      <c r="M18981" s="112"/>
      <c r="N18981" s="84"/>
    </row>
    <row r="18982" spans="1:14" s="2" customFormat="1">
      <c r="A18982" s="83"/>
      <c r="H18982" s="83"/>
      <c r="K18982" s="82"/>
      <c r="M18982" s="112"/>
      <c r="N18982" s="84"/>
    </row>
    <row r="18983" spans="1:14" s="2" customFormat="1">
      <c r="A18983" s="83"/>
      <c r="H18983" s="83"/>
      <c r="K18983" s="82"/>
      <c r="M18983" s="112"/>
      <c r="N18983" s="84"/>
    </row>
    <row r="18984" spans="1:14" s="2" customFormat="1">
      <c r="A18984" s="83"/>
      <c r="H18984" s="83"/>
      <c r="K18984" s="82"/>
      <c r="M18984" s="112"/>
      <c r="N18984" s="84"/>
    </row>
    <row r="18985" spans="1:14" s="2" customFormat="1">
      <c r="A18985" s="83"/>
      <c r="H18985" s="83"/>
      <c r="K18985" s="82"/>
      <c r="M18985" s="112"/>
      <c r="N18985" s="84"/>
    </row>
    <row r="18986" spans="1:14" s="2" customFormat="1">
      <c r="A18986" s="83"/>
      <c r="H18986" s="83"/>
      <c r="K18986" s="82"/>
      <c r="M18986" s="112"/>
      <c r="N18986" s="84"/>
    </row>
    <row r="18987" spans="1:14" s="2" customFormat="1">
      <c r="A18987" s="83"/>
      <c r="H18987" s="83"/>
      <c r="K18987" s="82"/>
      <c r="M18987" s="112"/>
      <c r="N18987" s="84"/>
    </row>
    <row r="18988" spans="1:14" s="2" customFormat="1">
      <c r="A18988" s="83"/>
      <c r="H18988" s="83"/>
      <c r="K18988" s="82"/>
      <c r="M18988" s="112"/>
      <c r="N18988" s="84"/>
    </row>
    <row r="18989" spans="1:14" s="2" customFormat="1">
      <c r="A18989" s="83"/>
      <c r="H18989" s="83"/>
      <c r="K18989" s="82"/>
      <c r="M18989" s="112"/>
      <c r="N18989" s="84"/>
    </row>
    <row r="18990" spans="1:14" s="2" customFormat="1">
      <c r="A18990" s="83"/>
      <c r="H18990" s="83"/>
      <c r="K18990" s="82"/>
      <c r="M18990" s="112"/>
      <c r="N18990" s="84"/>
    </row>
    <row r="18991" spans="1:14" s="2" customFormat="1">
      <c r="A18991" s="83"/>
      <c r="H18991" s="83"/>
      <c r="K18991" s="82"/>
      <c r="M18991" s="112"/>
      <c r="N18991" s="84"/>
    </row>
    <row r="18992" spans="1:14" s="2" customFormat="1">
      <c r="A18992" s="83"/>
      <c r="H18992" s="83"/>
      <c r="K18992" s="82"/>
      <c r="M18992" s="112"/>
      <c r="N18992" s="84"/>
    </row>
    <row r="18993" spans="1:14" s="2" customFormat="1">
      <c r="A18993" s="83"/>
      <c r="H18993" s="83"/>
      <c r="K18993" s="82"/>
      <c r="M18993" s="112"/>
      <c r="N18993" s="84"/>
    </row>
    <row r="18994" spans="1:14" s="2" customFormat="1">
      <c r="A18994" s="83"/>
      <c r="H18994" s="83"/>
      <c r="K18994" s="82"/>
      <c r="M18994" s="112"/>
      <c r="N18994" s="84"/>
    </row>
    <row r="18995" spans="1:14" s="2" customFormat="1">
      <c r="A18995" s="83"/>
      <c r="H18995" s="83"/>
      <c r="K18995" s="82"/>
      <c r="M18995" s="112"/>
      <c r="N18995" s="84"/>
    </row>
    <row r="18996" spans="1:14" s="2" customFormat="1">
      <c r="A18996" s="83"/>
      <c r="H18996" s="83"/>
      <c r="K18996" s="82"/>
      <c r="M18996" s="112"/>
      <c r="N18996" s="84"/>
    </row>
    <row r="18997" spans="1:14" s="2" customFormat="1">
      <c r="A18997" s="83"/>
      <c r="H18997" s="83"/>
      <c r="K18997" s="82"/>
      <c r="M18997" s="112"/>
      <c r="N18997" s="84"/>
    </row>
    <row r="18998" spans="1:14" s="2" customFormat="1">
      <c r="A18998" s="83"/>
      <c r="H18998" s="83"/>
      <c r="K18998" s="82"/>
      <c r="M18998" s="112"/>
      <c r="N18998" s="84"/>
    </row>
    <row r="18999" spans="1:14" s="2" customFormat="1">
      <c r="A18999" s="83"/>
      <c r="H18999" s="83"/>
      <c r="K18999" s="82"/>
      <c r="M18999" s="112"/>
      <c r="N18999" s="84"/>
    </row>
    <row r="19000" spans="1:14" s="2" customFormat="1">
      <c r="A19000" s="83"/>
      <c r="H19000" s="83"/>
      <c r="K19000" s="82"/>
      <c r="M19000" s="112"/>
      <c r="N19000" s="84"/>
    </row>
    <row r="19001" spans="1:14" s="2" customFormat="1">
      <c r="A19001" s="83"/>
      <c r="H19001" s="83"/>
      <c r="K19001" s="82"/>
      <c r="M19001" s="112"/>
      <c r="N19001" s="84"/>
    </row>
    <row r="19002" spans="1:14" s="2" customFormat="1">
      <c r="A19002" s="83"/>
      <c r="H19002" s="83"/>
      <c r="K19002" s="82"/>
      <c r="M19002" s="112"/>
      <c r="N19002" s="84"/>
    </row>
    <row r="19003" spans="1:14" s="2" customFormat="1">
      <c r="A19003" s="83"/>
      <c r="H19003" s="83"/>
      <c r="K19003" s="82"/>
      <c r="M19003" s="112"/>
      <c r="N19003" s="84"/>
    </row>
    <row r="19004" spans="1:14" s="2" customFormat="1">
      <c r="A19004" s="83"/>
      <c r="H19004" s="83"/>
      <c r="K19004" s="82"/>
      <c r="M19004" s="112"/>
      <c r="N19004" s="84"/>
    </row>
    <row r="19005" spans="1:14" s="2" customFormat="1">
      <c r="A19005" s="83"/>
      <c r="H19005" s="83"/>
      <c r="K19005" s="82"/>
      <c r="M19005" s="112"/>
      <c r="N19005" s="84"/>
    </row>
    <row r="19006" spans="1:14" s="2" customFormat="1">
      <c r="A19006" s="83"/>
      <c r="H19006" s="83"/>
      <c r="K19006" s="82"/>
      <c r="M19006" s="112"/>
      <c r="N19006" s="84"/>
    </row>
    <row r="19007" spans="1:14" s="2" customFormat="1">
      <c r="A19007" s="83"/>
      <c r="H19007" s="83"/>
      <c r="K19007" s="82"/>
      <c r="M19007" s="112"/>
      <c r="N19007" s="84"/>
    </row>
    <row r="19008" spans="1:14" s="2" customFormat="1">
      <c r="A19008" s="83"/>
      <c r="H19008" s="83"/>
      <c r="K19008" s="82"/>
      <c r="M19008" s="112"/>
      <c r="N19008" s="84"/>
    </row>
    <row r="19009" spans="1:14" s="2" customFormat="1">
      <c r="A19009" s="83"/>
      <c r="H19009" s="83"/>
      <c r="K19009" s="82"/>
      <c r="M19009" s="112"/>
      <c r="N19009" s="84"/>
    </row>
    <row r="19010" spans="1:14" s="2" customFormat="1">
      <c r="A19010" s="83"/>
      <c r="H19010" s="83"/>
      <c r="K19010" s="82"/>
      <c r="M19010" s="112"/>
      <c r="N19010" s="84"/>
    </row>
    <row r="19011" spans="1:14" s="2" customFormat="1">
      <c r="A19011" s="83"/>
      <c r="H19011" s="83"/>
      <c r="K19011" s="82"/>
      <c r="M19011" s="112"/>
      <c r="N19011" s="84"/>
    </row>
    <row r="19012" spans="1:14" s="2" customFormat="1">
      <c r="A19012" s="83"/>
      <c r="H19012" s="83"/>
      <c r="K19012" s="82"/>
      <c r="M19012" s="112"/>
      <c r="N19012" s="84"/>
    </row>
    <row r="19013" spans="1:14" s="2" customFormat="1">
      <c r="A19013" s="83"/>
      <c r="H19013" s="83"/>
      <c r="K19013" s="82"/>
      <c r="M19013" s="112"/>
      <c r="N19013" s="84"/>
    </row>
    <row r="19014" spans="1:14" s="2" customFormat="1">
      <c r="A19014" s="83"/>
      <c r="H19014" s="83"/>
      <c r="K19014" s="82"/>
      <c r="M19014" s="112"/>
      <c r="N19014" s="84"/>
    </row>
    <row r="19015" spans="1:14" s="2" customFormat="1">
      <c r="A19015" s="83"/>
      <c r="H19015" s="83"/>
      <c r="K19015" s="82"/>
      <c r="M19015" s="112"/>
      <c r="N19015" s="84"/>
    </row>
    <row r="19016" spans="1:14" s="2" customFormat="1">
      <c r="A19016" s="83"/>
      <c r="H19016" s="83"/>
      <c r="K19016" s="82"/>
      <c r="M19016" s="112"/>
      <c r="N19016" s="84"/>
    </row>
    <row r="19017" spans="1:14" s="2" customFormat="1">
      <c r="A19017" s="83"/>
      <c r="H19017" s="83"/>
      <c r="K19017" s="82"/>
      <c r="M19017" s="112"/>
      <c r="N19017" s="84"/>
    </row>
    <row r="19018" spans="1:14" s="2" customFormat="1">
      <c r="A19018" s="83"/>
      <c r="H19018" s="83"/>
      <c r="K19018" s="82"/>
      <c r="M19018" s="112"/>
      <c r="N19018" s="84"/>
    </row>
    <row r="19019" spans="1:14" s="2" customFormat="1">
      <c r="A19019" s="83"/>
      <c r="H19019" s="83"/>
      <c r="K19019" s="82"/>
      <c r="M19019" s="112"/>
      <c r="N19019" s="84"/>
    </row>
    <row r="19020" spans="1:14" s="2" customFormat="1">
      <c r="A19020" s="83"/>
      <c r="H19020" s="83"/>
      <c r="K19020" s="82"/>
      <c r="M19020" s="112"/>
      <c r="N19020" s="84"/>
    </row>
    <row r="19021" spans="1:14" s="2" customFormat="1">
      <c r="A19021" s="83"/>
      <c r="H19021" s="83"/>
      <c r="K19021" s="82"/>
      <c r="M19021" s="112"/>
      <c r="N19021" s="84"/>
    </row>
    <row r="19022" spans="1:14" s="2" customFormat="1">
      <c r="A19022" s="83"/>
      <c r="H19022" s="83"/>
      <c r="K19022" s="82"/>
      <c r="M19022" s="112"/>
      <c r="N19022" s="84"/>
    </row>
    <row r="19023" spans="1:14" s="2" customFormat="1">
      <c r="A19023" s="83"/>
      <c r="H19023" s="83"/>
      <c r="K19023" s="82"/>
      <c r="M19023" s="112"/>
      <c r="N19023" s="84"/>
    </row>
    <row r="19024" spans="1:14" s="2" customFormat="1">
      <c r="A19024" s="83"/>
      <c r="H19024" s="83"/>
      <c r="K19024" s="82"/>
      <c r="M19024" s="112"/>
      <c r="N19024" s="84"/>
    </row>
    <row r="19025" spans="1:14" s="2" customFormat="1">
      <c r="A19025" s="83"/>
      <c r="H19025" s="83"/>
      <c r="K19025" s="82"/>
      <c r="M19025" s="112"/>
      <c r="N19025" s="84"/>
    </row>
    <row r="19026" spans="1:14" s="2" customFormat="1">
      <c r="A19026" s="83"/>
      <c r="H19026" s="83"/>
      <c r="K19026" s="82"/>
      <c r="M19026" s="112"/>
      <c r="N19026" s="84"/>
    </row>
    <row r="19027" spans="1:14" s="2" customFormat="1">
      <c r="A19027" s="83"/>
      <c r="H19027" s="83"/>
      <c r="K19027" s="82"/>
      <c r="M19027" s="112"/>
      <c r="N19027" s="84"/>
    </row>
    <row r="19028" spans="1:14" s="2" customFormat="1">
      <c r="A19028" s="83"/>
      <c r="H19028" s="83"/>
      <c r="K19028" s="82"/>
      <c r="M19028" s="112"/>
      <c r="N19028" s="84"/>
    </row>
    <row r="19029" spans="1:14" s="2" customFormat="1">
      <c r="A19029" s="83"/>
      <c r="H19029" s="83"/>
      <c r="K19029" s="82"/>
      <c r="M19029" s="112"/>
      <c r="N19029" s="84"/>
    </row>
    <row r="19030" spans="1:14" s="2" customFormat="1">
      <c r="A19030" s="83"/>
      <c r="H19030" s="83"/>
      <c r="K19030" s="82"/>
      <c r="M19030" s="112"/>
      <c r="N19030" s="84"/>
    </row>
    <row r="19031" spans="1:14" s="2" customFormat="1">
      <c r="A19031" s="83"/>
      <c r="H19031" s="83"/>
      <c r="K19031" s="82"/>
      <c r="M19031" s="112"/>
      <c r="N19031" s="84"/>
    </row>
    <row r="19032" spans="1:14" s="2" customFormat="1">
      <c r="A19032" s="83"/>
      <c r="H19032" s="83"/>
      <c r="K19032" s="82"/>
      <c r="M19032" s="112"/>
      <c r="N19032" s="84"/>
    </row>
    <row r="19033" spans="1:14" s="2" customFormat="1">
      <c r="A19033" s="83"/>
      <c r="H19033" s="83"/>
      <c r="K19033" s="82"/>
      <c r="M19033" s="112"/>
      <c r="N19033" s="84"/>
    </row>
    <row r="19034" spans="1:14" s="2" customFormat="1">
      <c r="A19034" s="83"/>
      <c r="H19034" s="83"/>
      <c r="K19034" s="82"/>
      <c r="M19034" s="112"/>
      <c r="N19034" s="84"/>
    </row>
    <row r="19035" spans="1:14" s="2" customFormat="1">
      <c r="A19035" s="83"/>
      <c r="H19035" s="83"/>
      <c r="K19035" s="82"/>
      <c r="M19035" s="112"/>
      <c r="N19035" s="84"/>
    </row>
    <row r="19036" spans="1:14" s="2" customFormat="1">
      <c r="A19036" s="83"/>
      <c r="H19036" s="83"/>
      <c r="K19036" s="82"/>
      <c r="M19036" s="112"/>
      <c r="N19036" s="84"/>
    </row>
    <row r="19037" spans="1:14" s="2" customFormat="1">
      <c r="A19037" s="83"/>
      <c r="H19037" s="83"/>
      <c r="K19037" s="82"/>
      <c r="M19037" s="112"/>
      <c r="N19037" s="84"/>
    </row>
    <row r="19038" spans="1:14" s="2" customFormat="1">
      <c r="A19038" s="83"/>
      <c r="H19038" s="83"/>
      <c r="K19038" s="82"/>
      <c r="M19038" s="112"/>
      <c r="N19038" s="84"/>
    </row>
    <row r="19039" spans="1:14" s="2" customFormat="1">
      <c r="A19039" s="83"/>
      <c r="H19039" s="83"/>
      <c r="K19039" s="82"/>
      <c r="M19039" s="112"/>
      <c r="N19039" s="84"/>
    </row>
    <row r="19040" spans="1:14" s="2" customFormat="1">
      <c r="A19040" s="83"/>
      <c r="H19040" s="83"/>
      <c r="K19040" s="82"/>
      <c r="M19040" s="112"/>
      <c r="N19040" s="84"/>
    </row>
    <row r="19041" spans="1:14" s="2" customFormat="1">
      <c r="A19041" s="83"/>
      <c r="H19041" s="83"/>
      <c r="K19041" s="82"/>
      <c r="M19041" s="112"/>
      <c r="N19041" s="84"/>
    </row>
    <row r="19042" spans="1:14" s="2" customFormat="1">
      <c r="A19042" s="83"/>
      <c r="H19042" s="83"/>
      <c r="K19042" s="82"/>
      <c r="M19042" s="112"/>
      <c r="N19042" s="84"/>
    </row>
    <row r="19043" spans="1:14" s="2" customFormat="1">
      <c r="A19043" s="83"/>
      <c r="H19043" s="83"/>
      <c r="K19043" s="82"/>
      <c r="M19043" s="112"/>
      <c r="N19043" s="84"/>
    </row>
    <row r="19044" spans="1:14" s="2" customFormat="1">
      <c r="A19044" s="83"/>
      <c r="H19044" s="83"/>
      <c r="K19044" s="82"/>
      <c r="M19044" s="112"/>
      <c r="N19044" s="84"/>
    </row>
    <row r="19045" spans="1:14" s="2" customFormat="1">
      <c r="A19045" s="83"/>
      <c r="H19045" s="83"/>
      <c r="K19045" s="82"/>
      <c r="M19045" s="112"/>
      <c r="N19045" s="84"/>
    </row>
    <row r="19046" spans="1:14" s="2" customFormat="1">
      <c r="A19046" s="83"/>
      <c r="H19046" s="83"/>
      <c r="K19046" s="82"/>
      <c r="M19046" s="112"/>
      <c r="N19046" s="84"/>
    </row>
    <row r="19047" spans="1:14" s="2" customFormat="1">
      <c r="A19047" s="83"/>
      <c r="H19047" s="83"/>
      <c r="K19047" s="82"/>
      <c r="M19047" s="112"/>
      <c r="N19047" s="84"/>
    </row>
    <row r="19048" spans="1:14" s="2" customFormat="1">
      <c r="A19048" s="83"/>
      <c r="H19048" s="83"/>
      <c r="K19048" s="82"/>
      <c r="M19048" s="112"/>
      <c r="N19048" s="84"/>
    </row>
    <row r="19049" spans="1:14" s="2" customFormat="1">
      <c r="A19049" s="83"/>
      <c r="H19049" s="83"/>
      <c r="K19049" s="82"/>
      <c r="M19049" s="112"/>
      <c r="N19049" s="84"/>
    </row>
    <row r="19050" spans="1:14" s="2" customFormat="1">
      <c r="A19050" s="83"/>
      <c r="H19050" s="83"/>
      <c r="K19050" s="82"/>
      <c r="M19050" s="112"/>
      <c r="N19050" s="84"/>
    </row>
    <row r="19051" spans="1:14" s="2" customFormat="1">
      <c r="A19051" s="83"/>
      <c r="H19051" s="83"/>
      <c r="K19051" s="82"/>
      <c r="M19051" s="112"/>
      <c r="N19051" s="84"/>
    </row>
    <row r="19052" spans="1:14" s="2" customFormat="1">
      <c r="A19052" s="83"/>
      <c r="H19052" s="83"/>
      <c r="K19052" s="82"/>
      <c r="M19052" s="112"/>
      <c r="N19052" s="84"/>
    </row>
    <row r="19053" spans="1:14" s="2" customFormat="1">
      <c r="A19053" s="83"/>
      <c r="H19053" s="83"/>
      <c r="K19053" s="82"/>
      <c r="M19053" s="112"/>
      <c r="N19053" s="84"/>
    </row>
    <row r="19054" spans="1:14" s="2" customFormat="1">
      <c r="A19054" s="83"/>
      <c r="H19054" s="83"/>
      <c r="K19054" s="82"/>
      <c r="M19054" s="112"/>
      <c r="N19054" s="84"/>
    </row>
    <row r="19055" spans="1:14" s="2" customFormat="1">
      <c r="A19055" s="83"/>
      <c r="H19055" s="83"/>
      <c r="K19055" s="82"/>
      <c r="M19055" s="112"/>
      <c r="N19055" s="84"/>
    </row>
    <row r="19056" spans="1:14" s="2" customFormat="1">
      <c r="A19056" s="83"/>
      <c r="H19056" s="83"/>
      <c r="K19056" s="82"/>
      <c r="M19056" s="112"/>
      <c r="N19056" s="84"/>
    </row>
    <row r="19057" spans="1:14" s="2" customFormat="1">
      <c r="A19057" s="83"/>
      <c r="H19057" s="83"/>
      <c r="K19057" s="82"/>
      <c r="M19057" s="112"/>
      <c r="N19057" s="84"/>
    </row>
    <row r="19058" spans="1:14" s="2" customFormat="1">
      <c r="A19058" s="83"/>
      <c r="H19058" s="83"/>
      <c r="K19058" s="82"/>
      <c r="M19058" s="112"/>
      <c r="N19058" s="84"/>
    </row>
    <row r="19059" spans="1:14" s="2" customFormat="1">
      <c r="A19059" s="83"/>
      <c r="H19059" s="83"/>
      <c r="K19059" s="82"/>
      <c r="M19059" s="112"/>
      <c r="N19059" s="84"/>
    </row>
    <row r="19060" spans="1:14" s="2" customFormat="1">
      <c r="A19060" s="83"/>
      <c r="H19060" s="83"/>
      <c r="K19060" s="82"/>
      <c r="M19060" s="112"/>
      <c r="N19060" s="84"/>
    </row>
    <row r="19061" spans="1:14" s="2" customFormat="1">
      <c r="A19061" s="83"/>
      <c r="H19061" s="83"/>
      <c r="K19061" s="82"/>
      <c r="M19061" s="112"/>
      <c r="N19061" s="84"/>
    </row>
    <row r="19062" spans="1:14" s="2" customFormat="1">
      <c r="A19062" s="83"/>
      <c r="H19062" s="83"/>
      <c r="K19062" s="82"/>
      <c r="M19062" s="112"/>
      <c r="N19062" s="84"/>
    </row>
    <row r="19063" spans="1:14" s="2" customFormat="1">
      <c r="A19063" s="83"/>
      <c r="H19063" s="83"/>
      <c r="K19063" s="82"/>
      <c r="M19063" s="112"/>
      <c r="N19063" s="84"/>
    </row>
    <row r="19064" spans="1:14" s="2" customFormat="1">
      <c r="A19064" s="83"/>
      <c r="H19064" s="83"/>
      <c r="K19064" s="82"/>
      <c r="M19064" s="112"/>
      <c r="N19064" s="84"/>
    </row>
    <row r="19065" spans="1:14" s="2" customFormat="1">
      <c r="A19065" s="83"/>
      <c r="H19065" s="83"/>
      <c r="K19065" s="82"/>
      <c r="M19065" s="112"/>
      <c r="N19065" s="84"/>
    </row>
    <row r="19066" spans="1:14" s="2" customFormat="1">
      <c r="A19066" s="83"/>
      <c r="H19066" s="83"/>
      <c r="K19066" s="82"/>
      <c r="M19066" s="112"/>
      <c r="N19066" s="84"/>
    </row>
    <row r="19067" spans="1:14" s="2" customFormat="1">
      <c r="A19067" s="83"/>
      <c r="H19067" s="83"/>
      <c r="K19067" s="82"/>
      <c r="M19067" s="112"/>
      <c r="N19067" s="84"/>
    </row>
    <row r="19068" spans="1:14" s="2" customFormat="1">
      <c r="A19068" s="83"/>
      <c r="H19068" s="83"/>
      <c r="K19068" s="82"/>
      <c r="M19068" s="112"/>
      <c r="N19068" s="84"/>
    </row>
    <row r="19069" spans="1:14" s="2" customFormat="1">
      <c r="A19069" s="83"/>
      <c r="H19069" s="83"/>
      <c r="K19069" s="82"/>
      <c r="M19069" s="112"/>
      <c r="N19069" s="84"/>
    </row>
    <row r="19070" spans="1:14" s="2" customFormat="1">
      <c r="A19070" s="83"/>
      <c r="H19070" s="83"/>
      <c r="K19070" s="82"/>
      <c r="M19070" s="112"/>
      <c r="N19070" s="84"/>
    </row>
    <row r="19071" spans="1:14" s="2" customFormat="1">
      <c r="A19071" s="83"/>
      <c r="H19071" s="83"/>
      <c r="K19071" s="82"/>
      <c r="M19071" s="112"/>
      <c r="N19071" s="84"/>
    </row>
    <row r="19072" spans="1:14" s="2" customFormat="1">
      <c r="A19072" s="83"/>
      <c r="H19072" s="83"/>
      <c r="K19072" s="82"/>
      <c r="M19072" s="112"/>
      <c r="N19072" s="84"/>
    </row>
    <row r="19073" spans="1:14" s="2" customFormat="1">
      <c r="A19073" s="83"/>
      <c r="H19073" s="83"/>
      <c r="K19073" s="82"/>
      <c r="M19073" s="112"/>
      <c r="N19073" s="84"/>
    </row>
    <row r="19074" spans="1:14" s="2" customFormat="1">
      <c r="A19074" s="83"/>
      <c r="H19074" s="83"/>
      <c r="K19074" s="82"/>
      <c r="M19074" s="112"/>
      <c r="N19074" s="84"/>
    </row>
    <row r="19075" spans="1:14" s="2" customFormat="1">
      <c r="A19075" s="83"/>
      <c r="H19075" s="83"/>
      <c r="K19075" s="82"/>
      <c r="M19075" s="112"/>
      <c r="N19075" s="84"/>
    </row>
    <row r="19076" spans="1:14" s="2" customFormat="1">
      <c r="A19076" s="83"/>
      <c r="H19076" s="83"/>
      <c r="K19076" s="82"/>
      <c r="M19076" s="112"/>
      <c r="N19076" s="84"/>
    </row>
    <row r="19077" spans="1:14" s="2" customFormat="1">
      <c r="A19077" s="83"/>
      <c r="H19077" s="83"/>
      <c r="K19077" s="82"/>
      <c r="M19077" s="112"/>
      <c r="N19077" s="84"/>
    </row>
    <row r="19078" spans="1:14" s="2" customFormat="1">
      <c r="A19078" s="83"/>
      <c r="H19078" s="83"/>
      <c r="K19078" s="82"/>
      <c r="M19078" s="112"/>
      <c r="N19078" s="84"/>
    </row>
    <row r="19079" spans="1:14" s="2" customFormat="1">
      <c r="A19079" s="83"/>
      <c r="H19079" s="83"/>
      <c r="K19079" s="82"/>
      <c r="M19079" s="112"/>
      <c r="N19079" s="84"/>
    </row>
    <row r="19080" spans="1:14" s="2" customFormat="1">
      <c r="A19080" s="83"/>
      <c r="H19080" s="83"/>
      <c r="K19080" s="82"/>
      <c r="M19080" s="112"/>
      <c r="N19080" s="84"/>
    </row>
    <row r="19081" spans="1:14" s="2" customFormat="1">
      <c r="A19081" s="83"/>
      <c r="H19081" s="83"/>
      <c r="K19081" s="82"/>
      <c r="M19081" s="112"/>
      <c r="N19081" s="84"/>
    </row>
    <row r="19082" spans="1:14" s="2" customFormat="1">
      <c r="A19082" s="83"/>
      <c r="H19082" s="83"/>
      <c r="K19082" s="82"/>
      <c r="M19082" s="112"/>
      <c r="N19082" s="84"/>
    </row>
    <row r="19083" spans="1:14" s="2" customFormat="1">
      <c r="A19083" s="83"/>
      <c r="H19083" s="83"/>
      <c r="K19083" s="82"/>
      <c r="M19083" s="112"/>
      <c r="N19083" s="84"/>
    </row>
    <row r="19084" spans="1:14" s="2" customFormat="1">
      <c r="A19084" s="83"/>
      <c r="H19084" s="83"/>
      <c r="K19084" s="82"/>
      <c r="M19084" s="112"/>
      <c r="N19084" s="84"/>
    </row>
    <row r="19085" spans="1:14" s="2" customFormat="1">
      <c r="A19085" s="83"/>
      <c r="H19085" s="83"/>
      <c r="K19085" s="82"/>
      <c r="M19085" s="112"/>
      <c r="N19085" s="84"/>
    </row>
    <row r="19086" spans="1:14" s="2" customFormat="1">
      <c r="A19086" s="83"/>
      <c r="H19086" s="83"/>
      <c r="K19086" s="82"/>
      <c r="M19086" s="112"/>
      <c r="N19086" s="84"/>
    </row>
    <row r="19087" spans="1:14" s="2" customFormat="1">
      <c r="A19087" s="83"/>
      <c r="H19087" s="83"/>
      <c r="K19087" s="82"/>
      <c r="M19087" s="112"/>
      <c r="N19087" s="84"/>
    </row>
    <row r="19088" spans="1:14" s="2" customFormat="1">
      <c r="A19088" s="83"/>
      <c r="H19088" s="83"/>
      <c r="K19088" s="82"/>
      <c r="M19088" s="112"/>
      <c r="N19088" s="84"/>
    </row>
    <row r="19089" spans="1:14" s="2" customFormat="1">
      <c r="A19089" s="83"/>
      <c r="H19089" s="83"/>
      <c r="K19089" s="82"/>
      <c r="M19089" s="112"/>
      <c r="N19089" s="84"/>
    </row>
    <row r="19090" spans="1:14" s="2" customFormat="1">
      <c r="A19090" s="83"/>
      <c r="H19090" s="83"/>
      <c r="K19090" s="82"/>
      <c r="M19090" s="112"/>
      <c r="N19090" s="84"/>
    </row>
    <row r="19091" spans="1:14" s="2" customFormat="1">
      <c r="A19091" s="83"/>
      <c r="H19091" s="83"/>
      <c r="K19091" s="82"/>
      <c r="M19091" s="112"/>
      <c r="N19091" s="84"/>
    </row>
    <row r="19092" spans="1:14" s="2" customFormat="1">
      <c r="A19092" s="83"/>
      <c r="H19092" s="83"/>
      <c r="K19092" s="82"/>
      <c r="M19092" s="112"/>
      <c r="N19092" s="84"/>
    </row>
    <row r="19093" spans="1:14" s="2" customFormat="1">
      <c r="A19093" s="83"/>
      <c r="H19093" s="83"/>
      <c r="K19093" s="82"/>
      <c r="M19093" s="112"/>
      <c r="N19093" s="84"/>
    </row>
    <row r="19094" spans="1:14" s="2" customFormat="1">
      <c r="A19094" s="83"/>
      <c r="H19094" s="83"/>
      <c r="K19094" s="82"/>
      <c r="M19094" s="112"/>
      <c r="N19094" s="84"/>
    </row>
    <row r="19095" spans="1:14" s="2" customFormat="1">
      <c r="A19095" s="83"/>
      <c r="H19095" s="83"/>
      <c r="K19095" s="82"/>
      <c r="M19095" s="112"/>
      <c r="N19095" s="84"/>
    </row>
    <row r="19096" spans="1:14" s="2" customFormat="1">
      <c r="A19096" s="83"/>
      <c r="H19096" s="83"/>
      <c r="K19096" s="82"/>
      <c r="M19096" s="112"/>
      <c r="N19096" s="84"/>
    </row>
    <row r="19097" spans="1:14" s="2" customFormat="1">
      <c r="A19097" s="83"/>
      <c r="H19097" s="83"/>
      <c r="K19097" s="82"/>
      <c r="M19097" s="112"/>
      <c r="N19097" s="84"/>
    </row>
    <row r="19098" spans="1:14" s="2" customFormat="1">
      <c r="A19098" s="83"/>
      <c r="H19098" s="83"/>
      <c r="K19098" s="82"/>
      <c r="M19098" s="112"/>
      <c r="N19098" s="84"/>
    </row>
    <row r="19099" spans="1:14" s="2" customFormat="1">
      <c r="A19099" s="83"/>
      <c r="H19099" s="83"/>
      <c r="K19099" s="82"/>
      <c r="M19099" s="112"/>
      <c r="N19099" s="84"/>
    </row>
    <row r="19100" spans="1:14" s="2" customFormat="1">
      <c r="A19100" s="83"/>
      <c r="H19100" s="83"/>
      <c r="K19100" s="82"/>
      <c r="M19100" s="112"/>
      <c r="N19100" s="84"/>
    </row>
    <row r="19101" spans="1:14" s="2" customFormat="1">
      <c r="A19101" s="83"/>
      <c r="H19101" s="83"/>
      <c r="K19101" s="82"/>
      <c r="M19101" s="112"/>
      <c r="N19101" s="84"/>
    </row>
    <row r="19102" spans="1:14" s="2" customFormat="1">
      <c r="A19102" s="83"/>
      <c r="H19102" s="83"/>
      <c r="K19102" s="82"/>
      <c r="M19102" s="112"/>
      <c r="N19102" s="84"/>
    </row>
    <row r="19103" spans="1:14" s="2" customFormat="1">
      <c r="A19103" s="83"/>
      <c r="H19103" s="83"/>
      <c r="K19103" s="82"/>
      <c r="M19103" s="112"/>
      <c r="N19103" s="84"/>
    </row>
    <row r="19104" spans="1:14" s="2" customFormat="1">
      <c r="A19104" s="83"/>
      <c r="H19104" s="83"/>
      <c r="K19104" s="82"/>
      <c r="M19104" s="112"/>
      <c r="N19104" s="84"/>
    </row>
    <row r="19105" spans="1:14" s="2" customFormat="1">
      <c r="A19105" s="83"/>
      <c r="H19105" s="83"/>
      <c r="K19105" s="82"/>
      <c r="M19105" s="112"/>
      <c r="N19105" s="84"/>
    </row>
    <row r="19106" spans="1:14" s="2" customFormat="1">
      <c r="A19106" s="83"/>
      <c r="H19106" s="83"/>
      <c r="K19106" s="82"/>
      <c r="M19106" s="112"/>
      <c r="N19106" s="84"/>
    </row>
    <row r="19107" spans="1:14" s="2" customFormat="1">
      <c r="A19107" s="83"/>
      <c r="H19107" s="83"/>
      <c r="K19107" s="82"/>
      <c r="M19107" s="112"/>
      <c r="N19107" s="84"/>
    </row>
    <row r="19108" spans="1:14" s="2" customFormat="1">
      <c r="A19108" s="83"/>
      <c r="H19108" s="83"/>
      <c r="K19108" s="82"/>
      <c r="M19108" s="112"/>
      <c r="N19108" s="84"/>
    </row>
    <row r="19109" spans="1:14" s="2" customFormat="1">
      <c r="A19109" s="83"/>
      <c r="H19109" s="83"/>
      <c r="K19109" s="82"/>
      <c r="M19109" s="112"/>
      <c r="N19109" s="84"/>
    </row>
    <row r="19110" spans="1:14" s="2" customFormat="1">
      <c r="A19110" s="83"/>
      <c r="H19110" s="83"/>
      <c r="K19110" s="82"/>
      <c r="M19110" s="112"/>
      <c r="N19110" s="84"/>
    </row>
    <row r="19111" spans="1:14" s="2" customFormat="1">
      <c r="A19111" s="83"/>
      <c r="H19111" s="83"/>
      <c r="K19111" s="82"/>
      <c r="M19111" s="112"/>
      <c r="N19111" s="84"/>
    </row>
    <row r="19112" spans="1:14" s="2" customFormat="1">
      <c r="A19112" s="83"/>
      <c r="H19112" s="83"/>
      <c r="K19112" s="82"/>
      <c r="M19112" s="112"/>
      <c r="N19112" s="84"/>
    </row>
    <row r="19113" spans="1:14" s="2" customFormat="1">
      <c r="A19113" s="83"/>
      <c r="H19113" s="83"/>
      <c r="K19113" s="82"/>
      <c r="M19113" s="112"/>
      <c r="N19113" s="84"/>
    </row>
    <row r="19114" spans="1:14" s="2" customFormat="1">
      <c r="A19114" s="83"/>
      <c r="H19114" s="83"/>
      <c r="K19114" s="82"/>
      <c r="M19114" s="112"/>
      <c r="N19114" s="84"/>
    </row>
    <row r="19115" spans="1:14" s="2" customFormat="1">
      <c r="A19115" s="83"/>
      <c r="H19115" s="83"/>
      <c r="K19115" s="82"/>
      <c r="M19115" s="112"/>
      <c r="N19115" s="84"/>
    </row>
    <row r="19116" spans="1:14" s="2" customFormat="1">
      <c r="A19116" s="83"/>
      <c r="H19116" s="83"/>
      <c r="K19116" s="82"/>
      <c r="M19116" s="112"/>
      <c r="N19116" s="84"/>
    </row>
    <row r="19117" spans="1:14" s="2" customFormat="1">
      <c r="A19117" s="83"/>
      <c r="H19117" s="83"/>
      <c r="K19117" s="82"/>
      <c r="M19117" s="112"/>
      <c r="N19117" s="84"/>
    </row>
    <row r="19118" spans="1:14" s="2" customFormat="1">
      <c r="A19118" s="83"/>
      <c r="H19118" s="83"/>
      <c r="K19118" s="82"/>
      <c r="M19118" s="112"/>
      <c r="N19118" s="84"/>
    </row>
    <row r="19119" spans="1:14" s="2" customFormat="1">
      <c r="A19119" s="83"/>
      <c r="H19119" s="83"/>
      <c r="K19119" s="82"/>
      <c r="M19119" s="112"/>
      <c r="N19119" s="84"/>
    </row>
    <row r="19120" spans="1:14" s="2" customFormat="1">
      <c r="A19120" s="83"/>
      <c r="H19120" s="83"/>
      <c r="K19120" s="82"/>
      <c r="M19120" s="112"/>
      <c r="N19120" s="84"/>
    </row>
    <row r="19121" spans="1:14" s="2" customFormat="1">
      <c r="A19121" s="83"/>
      <c r="H19121" s="83"/>
      <c r="K19121" s="82"/>
      <c r="M19121" s="112"/>
      <c r="N19121" s="84"/>
    </row>
    <row r="19122" spans="1:14" s="2" customFormat="1">
      <c r="A19122" s="83"/>
      <c r="H19122" s="83"/>
      <c r="K19122" s="82"/>
      <c r="M19122" s="112"/>
      <c r="N19122" s="84"/>
    </row>
    <row r="19123" spans="1:14" s="2" customFormat="1">
      <c r="A19123" s="83"/>
      <c r="H19123" s="83"/>
      <c r="K19123" s="82"/>
      <c r="M19123" s="112"/>
      <c r="N19123" s="84"/>
    </row>
    <row r="19124" spans="1:14" s="2" customFormat="1">
      <c r="A19124" s="83"/>
      <c r="H19124" s="83"/>
      <c r="K19124" s="82"/>
      <c r="M19124" s="112"/>
      <c r="N19124" s="84"/>
    </row>
    <row r="19125" spans="1:14" s="2" customFormat="1">
      <c r="A19125" s="83"/>
      <c r="H19125" s="83"/>
      <c r="K19125" s="82"/>
      <c r="M19125" s="112"/>
      <c r="N19125" s="84"/>
    </row>
    <row r="19126" spans="1:14" s="2" customFormat="1">
      <c r="A19126" s="83"/>
      <c r="H19126" s="83"/>
      <c r="K19126" s="82"/>
      <c r="M19126" s="112"/>
      <c r="N19126" s="84"/>
    </row>
    <row r="19127" spans="1:14" s="2" customFormat="1">
      <c r="A19127" s="83"/>
      <c r="H19127" s="83"/>
      <c r="K19127" s="82"/>
      <c r="M19127" s="112"/>
      <c r="N19127" s="84"/>
    </row>
    <row r="19128" spans="1:14" s="2" customFormat="1">
      <c r="A19128" s="83"/>
      <c r="H19128" s="83"/>
      <c r="K19128" s="82"/>
      <c r="M19128" s="112"/>
      <c r="N19128" s="84"/>
    </row>
    <row r="19129" spans="1:14" s="2" customFormat="1">
      <c r="A19129" s="83"/>
      <c r="H19129" s="83"/>
      <c r="K19129" s="82"/>
      <c r="M19129" s="112"/>
      <c r="N19129" s="84"/>
    </row>
    <row r="19130" spans="1:14" s="2" customFormat="1">
      <c r="A19130" s="83"/>
      <c r="H19130" s="83"/>
      <c r="K19130" s="82"/>
      <c r="M19130" s="112"/>
      <c r="N19130" s="84"/>
    </row>
    <row r="19131" spans="1:14" s="2" customFormat="1">
      <c r="A19131" s="83"/>
      <c r="H19131" s="83"/>
      <c r="K19131" s="82"/>
      <c r="M19131" s="112"/>
      <c r="N19131" s="84"/>
    </row>
    <row r="19132" spans="1:14" s="2" customFormat="1">
      <c r="A19132" s="83"/>
      <c r="H19132" s="83"/>
      <c r="K19132" s="82"/>
      <c r="M19132" s="112"/>
      <c r="N19132" s="84"/>
    </row>
    <row r="19133" spans="1:14" s="2" customFormat="1">
      <c r="A19133" s="83"/>
      <c r="H19133" s="83"/>
      <c r="K19133" s="82"/>
      <c r="M19133" s="112"/>
      <c r="N19133" s="84"/>
    </row>
    <row r="19134" spans="1:14" s="2" customFormat="1">
      <c r="A19134" s="83"/>
      <c r="H19134" s="83"/>
      <c r="K19134" s="82"/>
      <c r="M19134" s="112"/>
      <c r="N19134" s="84"/>
    </row>
    <row r="19135" spans="1:14" s="2" customFormat="1">
      <c r="A19135" s="83"/>
      <c r="H19135" s="83"/>
      <c r="K19135" s="82"/>
      <c r="M19135" s="112"/>
      <c r="N19135" s="84"/>
    </row>
    <row r="19136" spans="1:14" s="2" customFormat="1">
      <c r="A19136" s="83"/>
      <c r="H19136" s="83"/>
      <c r="K19136" s="82"/>
      <c r="M19136" s="112"/>
      <c r="N19136" s="84"/>
    </row>
    <row r="19137" spans="1:14" s="2" customFormat="1">
      <c r="A19137" s="83"/>
      <c r="H19137" s="83"/>
      <c r="K19137" s="82"/>
      <c r="M19137" s="112"/>
      <c r="N19137" s="84"/>
    </row>
    <row r="19138" spans="1:14" s="2" customFormat="1">
      <c r="A19138" s="83"/>
      <c r="H19138" s="83"/>
      <c r="K19138" s="82"/>
      <c r="M19138" s="112"/>
      <c r="N19138" s="84"/>
    </row>
    <row r="19139" spans="1:14" s="2" customFormat="1">
      <c r="A19139" s="83"/>
      <c r="H19139" s="83"/>
      <c r="K19139" s="82"/>
      <c r="M19139" s="112"/>
      <c r="N19139" s="84"/>
    </row>
    <row r="19140" spans="1:14" s="2" customFormat="1">
      <c r="A19140" s="83"/>
      <c r="H19140" s="83"/>
      <c r="K19140" s="82"/>
      <c r="M19140" s="112"/>
      <c r="N19140" s="84"/>
    </row>
    <row r="19141" spans="1:14" s="2" customFormat="1">
      <c r="A19141" s="83"/>
      <c r="H19141" s="83"/>
      <c r="K19141" s="82"/>
      <c r="M19141" s="112"/>
      <c r="N19141" s="84"/>
    </row>
    <row r="19142" spans="1:14" s="2" customFormat="1">
      <c r="A19142" s="83"/>
      <c r="H19142" s="83"/>
      <c r="K19142" s="82"/>
      <c r="M19142" s="112"/>
      <c r="N19142" s="84"/>
    </row>
    <row r="19143" spans="1:14" s="2" customFormat="1">
      <c r="A19143" s="83"/>
      <c r="H19143" s="83"/>
      <c r="K19143" s="82"/>
      <c r="M19143" s="112"/>
      <c r="N19143" s="84"/>
    </row>
    <row r="19144" spans="1:14" s="2" customFormat="1">
      <c r="A19144" s="83"/>
      <c r="H19144" s="83"/>
      <c r="K19144" s="82"/>
      <c r="M19144" s="112"/>
      <c r="N19144" s="84"/>
    </row>
    <row r="19145" spans="1:14" s="2" customFormat="1">
      <c r="A19145" s="83"/>
      <c r="H19145" s="83"/>
      <c r="K19145" s="82"/>
      <c r="M19145" s="112"/>
      <c r="N19145" s="84"/>
    </row>
    <row r="19146" spans="1:14" s="2" customFormat="1">
      <c r="A19146" s="83"/>
      <c r="H19146" s="83"/>
      <c r="K19146" s="82"/>
      <c r="M19146" s="112"/>
      <c r="N19146" s="84"/>
    </row>
    <row r="19147" spans="1:14" s="2" customFormat="1">
      <c r="A19147" s="83"/>
      <c r="H19147" s="83"/>
      <c r="K19147" s="82"/>
      <c r="M19147" s="112"/>
      <c r="N19147" s="84"/>
    </row>
    <row r="19148" spans="1:14" s="2" customFormat="1">
      <c r="A19148" s="83"/>
      <c r="H19148" s="83"/>
      <c r="K19148" s="82"/>
      <c r="M19148" s="112"/>
      <c r="N19148" s="84"/>
    </row>
    <row r="19149" spans="1:14" s="2" customFormat="1">
      <c r="A19149" s="83"/>
      <c r="H19149" s="83"/>
      <c r="K19149" s="82"/>
      <c r="M19149" s="112"/>
      <c r="N19149" s="84"/>
    </row>
    <row r="19150" spans="1:14" s="2" customFormat="1">
      <c r="A19150" s="83"/>
      <c r="H19150" s="83"/>
      <c r="K19150" s="82"/>
      <c r="M19150" s="112"/>
      <c r="N19150" s="84"/>
    </row>
    <row r="19151" spans="1:14" s="2" customFormat="1">
      <c r="A19151" s="83"/>
      <c r="H19151" s="83"/>
      <c r="K19151" s="82"/>
      <c r="M19151" s="112"/>
      <c r="N19151" s="84"/>
    </row>
    <row r="19152" spans="1:14" s="2" customFormat="1">
      <c r="A19152" s="83"/>
      <c r="H19152" s="83"/>
      <c r="K19152" s="82"/>
      <c r="M19152" s="112"/>
      <c r="N19152" s="84"/>
    </row>
    <row r="19153" spans="1:14" s="2" customFormat="1">
      <c r="A19153" s="83"/>
      <c r="H19153" s="83"/>
      <c r="K19153" s="82"/>
      <c r="M19153" s="112"/>
      <c r="N19153" s="84"/>
    </row>
    <row r="19154" spans="1:14" s="2" customFormat="1">
      <c r="A19154" s="83"/>
      <c r="H19154" s="83"/>
      <c r="K19154" s="82"/>
      <c r="M19154" s="112"/>
      <c r="N19154" s="84"/>
    </row>
    <row r="19155" spans="1:14" s="2" customFormat="1">
      <c r="A19155" s="83"/>
      <c r="H19155" s="83"/>
      <c r="K19155" s="82"/>
      <c r="M19155" s="112"/>
      <c r="N19155" s="84"/>
    </row>
    <row r="19156" spans="1:14" s="2" customFormat="1">
      <c r="A19156" s="83"/>
      <c r="H19156" s="83"/>
      <c r="K19156" s="82"/>
      <c r="M19156" s="112"/>
      <c r="N19156" s="84"/>
    </row>
    <row r="19157" spans="1:14" s="2" customFormat="1">
      <c r="A19157" s="83"/>
      <c r="H19157" s="83"/>
      <c r="K19157" s="82"/>
      <c r="M19157" s="112"/>
      <c r="N19157" s="84"/>
    </row>
    <row r="19158" spans="1:14" s="2" customFormat="1">
      <c r="A19158" s="83"/>
      <c r="H19158" s="83"/>
      <c r="K19158" s="82"/>
      <c r="M19158" s="112"/>
      <c r="N19158" s="84"/>
    </row>
    <row r="19159" spans="1:14" s="2" customFormat="1">
      <c r="A19159" s="83"/>
      <c r="H19159" s="83"/>
      <c r="K19159" s="82"/>
      <c r="M19159" s="112"/>
      <c r="N19159" s="84"/>
    </row>
    <row r="19160" spans="1:14" s="2" customFormat="1">
      <c r="A19160" s="83"/>
      <c r="H19160" s="83"/>
      <c r="K19160" s="82"/>
      <c r="M19160" s="112"/>
      <c r="N19160" s="84"/>
    </row>
    <row r="19161" spans="1:14" s="2" customFormat="1">
      <c r="A19161" s="83"/>
      <c r="H19161" s="83"/>
      <c r="K19161" s="82"/>
      <c r="M19161" s="112"/>
      <c r="N19161" s="84"/>
    </row>
    <row r="19162" spans="1:14" s="2" customFormat="1">
      <c r="A19162" s="83"/>
      <c r="H19162" s="83"/>
      <c r="K19162" s="82"/>
      <c r="M19162" s="112"/>
      <c r="N19162" s="84"/>
    </row>
    <row r="19163" spans="1:14" s="2" customFormat="1">
      <c r="A19163" s="83"/>
      <c r="H19163" s="83"/>
      <c r="K19163" s="82"/>
      <c r="M19163" s="112"/>
      <c r="N19163" s="84"/>
    </row>
    <row r="19164" spans="1:14" s="2" customFormat="1">
      <c r="A19164" s="83"/>
      <c r="H19164" s="83"/>
      <c r="K19164" s="82"/>
      <c r="M19164" s="112"/>
      <c r="N19164" s="84"/>
    </row>
    <row r="19165" spans="1:14" s="2" customFormat="1">
      <c r="A19165" s="83"/>
      <c r="H19165" s="83"/>
      <c r="K19165" s="82"/>
      <c r="M19165" s="112"/>
      <c r="N19165" s="84"/>
    </row>
    <row r="19166" spans="1:14" s="2" customFormat="1">
      <c r="A19166" s="83"/>
      <c r="H19166" s="83"/>
      <c r="K19166" s="82"/>
      <c r="M19166" s="112"/>
      <c r="N19166" s="84"/>
    </row>
    <row r="19167" spans="1:14" s="2" customFormat="1">
      <c r="A19167" s="83"/>
      <c r="H19167" s="83"/>
      <c r="K19167" s="82"/>
      <c r="M19167" s="112"/>
      <c r="N19167" s="84"/>
    </row>
    <row r="19168" spans="1:14" s="2" customFormat="1">
      <c r="A19168" s="83"/>
      <c r="H19168" s="83"/>
      <c r="K19168" s="82"/>
      <c r="M19168" s="112"/>
      <c r="N19168" s="84"/>
    </row>
    <row r="19169" spans="1:14" s="2" customFormat="1">
      <c r="A19169" s="83"/>
      <c r="H19169" s="83"/>
      <c r="K19169" s="82"/>
      <c r="M19169" s="112"/>
      <c r="N19169" s="84"/>
    </row>
    <row r="19170" spans="1:14" s="2" customFormat="1">
      <c r="A19170" s="83"/>
      <c r="H19170" s="83"/>
      <c r="K19170" s="82"/>
      <c r="M19170" s="112"/>
      <c r="N19170" s="84"/>
    </row>
    <row r="19171" spans="1:14" s="2" customFormat="1">
      <c r="A19171" s="83"/>
      <c r="H19171" s="83"/>
      <c r="K19171" s="82"/>
      <c r="M19171" s="112"/>
      <c r="N19171" s="84"/>
    </row>
    <row r="19172" spans="1:14" s="2" customFormat="1">
      <c r="A19172" s="83"/>
      <c r="H19172" s="83"/>
      <c r="K19172" s="82"/>
      <c r="M19172" s="112"/>
      <c r="N19172" s="84"/>
    </row>
    <row r="19173" spans="1:14" s="2" customFormat="1">
      <c r="A19173" s="83"/>
      <c r="H19173" s="83"/>
      <c r="K19173" s="82"/>
      <c r="M19173" s="112"/>
      <c r="N19173" s="84"/>
    </row>
    <row r="19174" spans="1:14" s="2" customFormat="1">
      <c r="A19174" s="83"/>
      <c r="H19174" s="83"/>
      <c r="K19174" s="82"/>
      <c r="M19174" s="112"/>
      <c r="N19174" s="84"/>
    </row>
    <row r="19175" spans="1:14" s="2" customFormat="1">
      <c r="A19175" s="83"/>
      <c r="H19175" s="83"/>
      <c r="K19175" s="82"/>
      <c r="M19175" s="112"/>
      <c r="N19175" s="84"/>
    </row>
    <row r="19176" spans="1:14" s="2" customFormat="1">
      <c r="A19176" s="83"/>
      <c r="H19176" s="83"/>
      <c r="K19176" s="82"/>
      <c r="M19176" s="112"/>
      <c r="N19176" s="84"/>
    </row>
    <row r="19177" spans="1:14" s="2" customFormat="1">
      <c r="A19177" s="83"/>
      <c r="H19177" s="83"/>
      <c r="K19177" s="82"/>
      <c r="M19177" s="112"/>
      <c r="N19177" s="84"/>
    </row>
    <row r="19178" spans="1:14" s="2" customFormat="1">
      <c r="A19178" s="83"/>
      <c r="H19178" s="83"/>
      <c r="K19178" s="82"/>
      <c r="M19178" s="112"/>
      <c r="N19178" s="84"/>
    </row>
    <row r="19179" spans="1:14" s="2" customFormat="1">
      <c r="A19179" s="83"/>
      <c r="H19179" s="83"/>
      <c r="K19179" s="82"/>
      <c r="M19179" s="112"/>
      <c r="N19179" s="84"/>
    </row>
    <row r="19180" spans="1:14" s="2" customFormat="1">
      <c r="A19180" s="83"/>
      <c r="H19180" s="83"/>
      <c r="K19180" s="82"/>
      <c r="M19180" s="112"/>
      <c r="N19180" s="84"/>
    </row>
    <row r="19181" spans="1:14" s="2" customFormat="1">
      <c r="A19181" s="83"/>
      <c r="H19181" s="83"/>
      <c r="K19181" s="82"/>
      <c r="M19181" s="112"/>
      <c r="N19181" s="84"/>
    </row>
    <row r="19182" spans="1:14" s="2" customFormat="1">
      <c r="A19182" s="83"/>
      <c r="H19182" s="83"/>
      <c r="K19182" s="82"/>
      <c r="M19182" s="112"/>
      <c r="N19182" s="84"/>
    </row>
    <row r="19183" spans="1:14" s="2" customFormat="1">
      <c r="A19183" s="83"/>
      <c r="H19183" s="83"/>
      <c r="K19183" s="82"/>
      <c r="M19183" s="112"/>
      <c r="N19183" s="84"/>
    </row>
    <row r="19184" spans="1:14" s="2" customFormat="1">
      <c r="A19184" s="83"/>
      <c r="H19184" s="83"/>
      <c r="K19184" s="82"/>
      <c r="M19184" s="112"/>
      <c r="N19184" s="84"/>
    </row>
    <row r="19185" spans="1:14" s="2" customFormat="1">
      <c r="A19185" s="83"/>
      <c r="H19185" s="83"/>
      <c r="K19185" s="82"/>
      <c r="M19185" s="112"/>
      <c r="N19185" s="84"/>
    </row>
    <row r="19186" spans="1:14" s="2" customFormat="1">
      <c r="A19186" s="83"/>
      <c r="H19186" s="83"/>
      <c r="K19186" s="82"/>
      <c r="M19186" s="112"/>
      <c r="N19186" s="84"/>
    </row>
    <row r="19187" spans="1:14" s="2" customFormat="1">
      <c r="A19187" s="83"/>
      <c r="H19187" s="83"/>
      <c r="K19187" s="82"/>
      <c r="M19187" s="112"/>
      <c r="N19187" s="84"/>
    </row>
    <row r="19188" spans="1:14" s="2" customFormat="1">
      <c r="A19188" s="83"/>
      <c r="H19188" s="83"/>
      <c r="K19188" s="82"/>
      <c r="M19188" s="112"/>
      <c r="N19188" s="84"/>
    </row>
    <row r="19189" spans="1:14" s="2" customFormat="1">
      <c r="A19189" s="83"/>
      <c r="H19189" s="83"/>
      <c r="K19189" s="82"/>
      <c r="M19189" s="112"/>
      <c r="N19189" s="84"/>
    </row>
    <row r="19190" spans="1:14" s="2" customFormat="1">
      <c r="A19190" s="83"/>
      <c r="H19190" s="83"/>
      <c r="K19190" s="82"/>
      <c r="M19190" s="112"/>
      <c r="N19190" s="84"/>
    </row>
    <row r="19191" spans="1:14" s="2" customFormat="1">
      <c r="A19191" s="83"/>
      <c r="H19191" s="83"/>
      <c r="K19191" s="82"/>
      <c r="M19191" s="112"/>
      <c r="N19191" s="84"/>
    </row>
    <row r="19192" spans="1:14" s="2" customFormat="1">
      <c r="A19192" s="83"/>
      <c r="H19192" s="83"/>
      <c r="K19192" s="82"/>
      <c r="M19192" s="112"/>
      <c r="N19192" s="84"/>
    </row>
    <row r="19193" spans="1:14" s="2" customFormat="1">
      <c r="A19193" s="83"/>
      <c r="H19193" s="83"/>
      <c r="K19193" s="82"/>
      <c r="M19193" s="112"/>
      <c r="N19193" s="84"/>
    </row>
    <row r="19194" spans="1:14" s="2" customFormat="1">
      <c r="A19194" s="83"/>
      <c r="H19194" s="83"/>
      <c r="K19194" s="82"/>
      <c r="M19194" s="112"/>
      <c r="N19194" s="84"/>
    </row>
    <row r="19195" spans="1:14" s="2" customFormat="1">
      <c r="A19195" s="83"/>
      <c r="H19195" s="83"/>
      <c r="K19195" s="82"/>
      <c r="M19195" s="112"/>
      <c r="N19195" s="84"/>
    </row>
    <row r="19196" spans="1:14" s="2" customFormat="1">
      <c r="A19196" s="83"/>
      <c r="H19196" s="83"/>
      <c r="K19196" s="82"/>
      <c r="M19196" s="112"/>
      <c r="N19196" s="84"/>
    </row>
    <row r="19197" spans="1:14" s="2" customFormat="1">
      <c r="A19197" s="83"/>
      <c r="H19197" s="83"/>
      <c r="K19197" s="82"/>
      <c r="M19197" s="112"/>
      <c r="N19197" s="84"/>
    </row>
    <row r="19198" spans="1:14" s="2" customFormat="1">
      <c r="A19198" s="83"/>
      <c r="H19198" s="83"/>
      <c r="K19198" s="82"/>
      <c r="M19198" s="112"/>
      <c r="N19198" s="84"/>
    </row>
    <row r="19199" spans="1:14" s="2" customFormat="1">
      <c r="A19199" s="83"/>
      <c r="H19199" s="83"/>
      <c r="K19199" s="82"/>
      <c r="M19199" s="112"/>
      <c r="N19199" s="84"/>
    </row>
    <row r="19200" spans="1:14" s="2" customFormat="1">
      <c r="A19200" s="83"/>
      <c r="H19200" s="83"/>
      <c r="K19200" s="82"/>
      <c r="M19200" s="112"/>
      <c r="N19200" s="84"/>
    </row>
    <row r="19201" spans="1:14" s="2" customFormat="1">
      <c r="A19201" s="83"/>
      <c r="H19201" s="83"/>
      <c r="K19201" s="82"/>
      <c r="M19201" s="112"/>
      <c r="N19201" s="84"/>
    </row>
    <row r="19202" spans="1:14" s="2" customFormat="1">
      <c r="A19202" s="83"/>
      <c r="H19202" s="83"/>
      <c r="K19202" s="82"/>
      <c r="M19202" s="112"/>
      <c r="N19202" s="84"/>
    </row>
    <row r="19203" spans="1:14" s="2" customFormat="1">
      <c r="A19203" s="83"/>
      <c r="H19203" s="83"/>
      <c r="K19203" s="82"/>
      <c r="M19203" s="112"/>
      <c r="N19203" s="84"/>
    </row>
    <row r="19204" spans="1:14" s="2" customFormat="1">
      <c r="A19204" s="83"/>
      <c r="H19204" s="83"/>
      <c r="K19204" s="82"/>
      <c r="M19204" s="112"/>
      <c r="N19204" s="84"/>
    </row>
    <row r="19205" spans="1:14" s="2" customFormat="1">
      <c r="A19205" s="83"/>
      <c r="H19205" s="83"/>
      <c r="K19205" s="82"/>
      <c r="M19205" s="112"/>
      <c r="N19205" s="84"/>
    </row>
    <row r="19206" spans="1:14" s="2" customFormat="1">
      <c r="A19206" s="83"/>
      <c r="H19206" s="83"/>
      <c r="K19206" s="82"/>
      <c r="M19206" s="112"/>
      <c r="N19206" s="84"/>
    </row>
    <row r="19207" spans="1:14" s="2" customFormat="1">
      <c r="A19207" s="83"/>
      <c r="H19207" s="83"/>
      <c r="K19207" s="82"/>
      <c r="M19207" s="112"/>
      <c r="N19207" s="84"/>
    </row>
    <row r="19208" spans="1:14" s="2" customFormat="1">
      <c r="A19208" s="83"/>
      <c r="H19208" s="83"/>
      <c r="K19208" s="82"/>
      <c r="M19208" s="112"/>
      <c r="N19208" s="84"/>
    </row>
    <row r="19209" spans="1:14" s="2" customFormat="1">
      <c r="A19209" s="83"/>
      <c r="H19209" s="83"/>
      <c r="K19209" s="82"/>
      <c r="M19209" s="112"/>
      <c r="N19209" s="84"/>
    </row>
    <row r="19210" spans="1:14" s="2" customFormat="1">
      <c r="A19210" s="83"/>
      <c r="H19210" s="83"/>
      <c r="K19210" s="82"/>
      <c r="M19210" s="112"/>
      <c r="N19210" s="84"/>
    </row>
    <row r="19211" spans="1:14" s="2" customFormat="1">
      <c r="A19211" s="83"/>
      <c r="H19211" s="83"/>
      <c r="K19211" s="82"/>
      <c r="M19211" s="112"/>
      <c r="N19211" s="84"/>
    </row>
    <row r="19212" spans="1:14" s="2" customFormat="1">
      <c r="A19212" s="83"/>
      <c r="H19212" s="83"/>
      <c r="K19212" s="82"/>
      <c r="M19212" s="112"/>
      <c r="N19212" s="84"/>
    </row>
    <row r="19213" spans="1:14" s="2" customFormat="1">
      <c r="A19213" s="83"/>
      <c r="H19213" s="83"/>
      <c r="K19213" s="82"/>
      <c r="M19213" s="112"/>
      <c r="N19213" s="84"/>
    </row>
    <row r="19214" spans="1:14" s="2" customFormat="1">
      <c r="A19214" s="83"/>
      <c r="H19214" s="83"/>
      <c r="K19214" s="82"/>
      <c r="M19214" s="112"/>
      <c r="N19214" s="84"/>
    </row>
    <row r="19215" spans="1:14" s="2" customFormat="1">
      <c r="A19215" s="83"/>
      <c r="H19215" s="83"/>
      <c r="K19215" s="82"/>
      <c r="M19215" s="112"/>
      <c r="N19215" s="84"/>
    </row>
    <row r="19216" spans="1:14" s="2" customFormat="1">
      <c r="A19216" s="83"/>
      <c r="H19216" s="83"/>
      <c r="K19216" s="82"/>
      <c r="M19216" s="112"/>
      <c r="N19216" s="84"/>
    </row>
    <row r="19217" spans="1:14" s="2" customFormat="1">
      <c r="A19217" s="83"/>
      <c r="H19217" s="83"/>
      <c r="K19217" s="82"/>
      <c r="M19217" s="112"/>
      <c r="N19217" s="84"/>
    </row>
    <row r="19218" spans="1:14" s="2" customFormat="1">
      <c r="A19218" s="83"/>
      <c r="H19218" s="83"/>
      <c r="K19218" s="82"/>
      <c r="M19218" s="112"/>
      <c r="N19218" s="84"/>
    </row>
    <row r="19219" spans="1:14" s="2" customFormat="1">
      <c r="A19219" s="83"/>
      <c r="H19219" s="83"/>
      <c r="K19219" s="82"/>
      <c r="M19219" s="112"/>
      <c r="N19219" s="84"/>
    </row>
    <row r="19220" spans="1:14" s="2" customFormat="1">
      <c r="A19220" s="83"/>
      <c r="H19220" s="83"/>
      <c r="K19220" s="82"/>
      <c r="M19220" s="112"/>
      <c r="N19220" s="84"/>
    </row>
    <row r="19221" spans="1:14" s="2" customFormat="1">
      <c r="A19221" s="83"/>
      <c r="H19221" s="83"/>
      <c r="K19221" s="82"/>
      <c r="M19221" s="112"/>
      <c r="N19221" s="84"/>
    </row>
    <row r="19222" spans="1:14" s="2" customFormat="1">
      <c r="A19222" s="83"/>
      <c r="H19222" s="83"/>
      <c r="K19222" s="82"/>
      <c r="M19222" s="112"/>
      <c r="N19222" s="84"/>
    </row>
    <row r="19223" spans="1:14" s="2" customFormat="1">
      <c r="A19223" s="83"/>
      <c r="H19223" s="83"/>
      <c r="K19223" s="82"/>
      <c r="M19223" s="112"/>
      <c r="N19223" s="84"/>
    </row>
    <row r="19224" spans="1:14" s="2" customFormat="1">
      <c r="A19224" s="83"/>
      <c r="H19224" s="83"/>
      <c r="K19224" s="82"/>
      <c r="M19224" s="112"/>
      <c r="N19224" s="84"/>
    </row>
    <row r="19225" spans="1:14" s="2" customFormat="1">
      <c r="A19225" s="83"/>
      <c r="H19225" s="83"/>
      <c r="K19225" s="82"/>
      <c r="M19225" s="112"/>
      <c r="N19225" s="84"/>
    </row>
    <row r="19226" spans="1:14" s="2" customFormat="1">
      <c r="A19226" s="83"/>
      <c r="H19226" s="83"/>
      <c r="K19226" s="82"/>
      <c r="M19226" s="112"/>
      <c r="N19226" s="84"/>
    </row>
    <row r="19227" spans="1:14" s="2" customFormat="1">
      <c r="A19227" s="83"/>
      <c r="H19227" s="83"/>
      <c r="K19227" s="82"/>
      <c r="M19227" s="112"/>
      <c r="N19227" s="84"/>
    </row>
    <row r="19228" spans="1:14" s="2" customFormat="1">
      <c r="A19228" s="83"/>
      <c r="H19228" s="83"/>
      <c r="K19228" s="82"/>
      <c r="M19228" s="112"/>
      <c r="N19228" s="84"/>
    </row>
    <row r="19229" spans="1:14" s="2" customFormat="1">
      <c r="A19229" s="83"/>
      <c r="H19229" s="83"/>
      <c r="K19229" s="82"/>
      <c r="M19229" s="112"/>
      <c r="N19229" s="84"/>
    </row>
    <row r="19230" spans="1:14" s="2" customFormat="1">
      <c r="A19230" s="83"/>
      <c r="H19230" s="83"/>
      <c r="K19230" s="82"/>
      <c r="M19230" s="112"/>
      <c r="N19230" s="84"/>
    </row>
    <row r="19231" spans="1:14" s="2" customFormat="1">
      <c r="A19231" s="83"/>
      <c r="H19231" s="83"/>
      <c r="K19231" s="82"/>
      <c r="M19231" s="112"/>
      <c r="N19231" s="84"/>
    </row>
    <row r="19232" spans="1:14" s="2" customFormat="1">
      <c r="A19232" s="83"/>
      <c r="H19232" s="83"/>
      <c r="K19232" s="82"/>
      <c r="M19232" s="112"/>
      <c r="N19232" s="84"/>
    </row>
    <row r="19233" spans="1:14" s="2" customFormat="1">
      <c r="A19233" s="83"/>
      <c r="H19233" s="83"/>
      <c r="K19233" s="82"/>
      <c r="M19233" s="112"/>
      <c r="N19233" s="84"/>
    </row>
    <row r="19234" spans="1:14" s="2" customFormat="1">
      <c r="A19234" s="83"/>
      <c r="H19234" s="83"/>
      <c r="K19234" s="82"/>
      <c r="M19234" s="112"/>
      <c r="N19234" s="84"/>
    </row>
    <row r="19235" spans="1:14" s="2" customFormat="1">
      <c r="A19235" s="83"/>
      <c r="H19235" s="83"/>
      <c r="K19235" s="82"/>
      <c r="M19235" s="112"/>
      <c r="N19235" s="84"/>
    </row>
    <row r="19236" spans="1:14" s="2" customFormat="1">
      <c r="A19236" s="83"/>
      <c r="H19236" s="83"/>
      <c r="K19236" s="82"/>
      <c r="M19236" s="112"/>
      <c r="N19236" s="84"/>
    </row>
    <row r="19237" spans="1:14" s="2" customFormat="1">
      <c r="A19237" s="83"/>
      <c r="H19237" s="83"/>
      <c r="K19237" s="82"/>
      <c r="M19237" s="112"/>
      <c r="N19237" s="84"/>
    </row>
    <row r="19238" spans="1:14" s="2" customFormat="1">
      <c r="A19238" s="83"/>
      <c r="H19238" s="83"/>
      <c r="K19238" s="82"/>
      <c r="M19238" s="112"/>
      <c r="N19238" s="84"/>
    </row>
    <row r="19239" spans="1:14" s="2" customFormat="1">
      <c r="A19239" s="83"/>
      <c r="H19239" s="83"/>
      <c r="K19239" s="82"/>
      <c r="M19239" s="112"/>
      <c r="N19239" s="84"/>
    </row>
    <row r="19240" spans="1:14" s="2" customFormat="1">
      <c r="A19240" s="83"/>
      <c r="H19240" s="83"/>
      <c r="K19240" s="82"/>
      <c r="M19240" s="112"/>
      <c r="N19240" s="84"/>
    </row>
    <row r="19241" spans="1:14" s="2" customFormat="1">
      <c r="A19241" s="83"/>
      <c r="H19241" s="83"/>
      <c r="K19241" s="82"/>
      <c r="M19241" s="112"/>
      <c r="N19241" s="84"/>
    </row>
    <row r="19242" spans="1:14" s="2" customFormat="1">
      <c r="A19242" s="83"/>
      <c r="H19242" s="83"/>
      <c r="K19242" s="82"/>
      <c r="M19242" s="112"/>
      <c r="N19242" s="84"/>
    </row>
    <row r="19243" spans="1:14" s="2" customFormat="1">
      <c r="A19243" s="83"/>
      <c r="H19243" s="83"/>
      <c r="K19243" s="82"/>
      <c r="M19243" s="112"/>
      <c r="N19243" s="84"/>
    </row>
    <row r="19244" spans="1:14" s="2" customFormat="1">
      <c r="A19244" s="83"/>
      <c r="H19244" s="83"/>
      <c r="K19244" s="82"/>
      <c r="M19244" s="112"/>
      <c r="N19244" s="84"/>
    </row>
    <row r="19245" spans="1:14" s="2" customFormat="1">
      <c r="A19245" s="83"/>
      <c r="H19245" s="83"/>
      <c r="K19245" s="82"/>
      <c r="M19245" s="112"/>
      <c r="N19245" s="84"/>
    </row>
    <row r="19246" spans="1:14" s="2" customFormat="1">
      <c r="A19246" s="83"/>
      <c r="H19246" s="83"/>
      <c r="K19246" s="82"/>
      <c r="M19246" s="112"/>
      <c r="N19246" s="84"/>
    </row>
    <row r="19247" spans="1:14" s="2" customFormat="1">
      <c r="A19247" s="83"/>
      <c r="H19247" s="83"/>
      <c r="K19247" s="82"/>
      <c r="M19247" s="112"/>
      <c r="N19247" s="84"/>
    </row>
    <row r="19248" spans="1:14" s="2" customFormat="1">
      <c r="A19248" s="83"/>
      <c r="H19248" s="83"/>
      <c r="K19248" s="82"/>
      <c r="M19248" s="112"/>
      <c r="N19248" s="84"/>
    </row>
    <row r="19249" spans="1:14" s="2" customFormat="1">
      <c r="A19249" s="83"/>
      <c r="H19249" s="83"/>
      <c r="K19249" s="82"/>
      <c r="M19249" s="112"/>
      <c r="N19249" s="84"/>
    </row>
    <row r="19250" spans="1:14" s="2" customFormat="1">
      <c r="A19250" s="83"/>
      <c r="H19250" s="83"/>
      <c r="K19250" s="82"/>
      <c r="M19250" s="112"/>
      <c r="N19250" s="84"/>
    </row>
    <row r="19251" spans="1:14" s="2" customFormat="1">
      <c r="A19251" s="83"/>
      <c r="H19251" s="83"/>
      <c r="K19251" s="82"/>
      <c r="M19251" s="112"/>
      <c r="N19251" s="84"/>
    </row>
    <row r="19252" spans="1:14" s="2" customFormat="1">
      <c r="A19252" s="83"/>
      <c r="H19252" s="83"/>
      <c r="K19252" s="82"/>
      <c r="M19252" s="112"/>
      <c r="N19252" s="84"/>
    </row>
    <row r="19253" spans="1:14" s="2" customFormat="1">
      <c r="A19253" s="83"/>
      <c r="H19253" s="83"/>
      <c r="K19253" s="82"/>
      <c r="M19253" s="112"/>
      <c r="N19253" s="84"/>
    </row>
    <row r="19254" spans="1:14" s="2" customFormat="1">
      <c r="A19254" s="83"/>
      <c r="H19254" s="83"/>
      <c r="K19254" s="82"/>
      <c r="M19254" s="112"/>
      <c r="N19254" s="84"/>
    </row>
    <row r="19255" spans="1:14" s="2" customFormat="1">
      <c r="A19255" s="83"/>
      <c r="H19255" s="83"/>
      <c r="K19255" s="82"/>
      <c r="M19255" s="112"/>
      <c r="N19255" s="84"/>
    </row>
    <row r="19256" spans="1:14" s="2" customFormat="1">
      <c r="A19256" s="83"/>
      <c r="H19256" s="83"/>
      <c r="K19256" s="82"/>
      <c r="M19256" s="112"/>
      <c r="N19256" s="84"/>
    </row>
    <row r="19257" spans="1:14" s="2" customFormat="1">
      <c r="A19257" s="83"/>
      <c r="H19257" s="83"/>
      <c r="K19257" s="82"/>
      <c r="M19257" s="112"/>
      <c r="N19257" s="84"/>
    </row>
    <row r="19258" spans="1:14" s="2" customFormat="1">
      <c r="A19258" s="83"/>
      <c r="H19258" s="83"/>
      <c r="K19258" s="82"/>
      <c r="M19258" s="112"/>
      <c r="N19258" s="84"/>
    </row>
    <row r="19259" spans="1:14" s="2" customFormat="1">
      <c r="A19259" s="83"/>
      <c r="H19259" s="83"/>
      <c r="K19259" s="82"/>
      <c r="M19259" s="112"/>
      <c r="N19259" s="84"/>
    </row>
    <row r="19260" spans="1:14" s="2" customFormat="1">
      <c r="A19260" s="83"/>
      <c r="H19260" s="83"/>
      <c r="K19260" s="82"/>
      <c r="M19260" s="112"/>
      <c r="N19260" s="84"/>
    </row>
    <row r="19261" spans="1:14" s="2" customFormat="1">
      <c r="A19261" s="83"/>
      <c r="H19261" s="83"/>
      <c r="K19261" s="82"/>
      <c r="M19261" s="112"/>
      <c r="N19261" s="84"/>
    </row>
    <row r="19262" spans="1:14" s="2" customFormat="1">
      <c r="A19262" s="83"/>
      <c r="H19262" s="83"/>
      <c r="K19262" s="82"/>
      <c r="M19262" s="112"/>
      <c r="N19262" s="84"/>
    </row>
    <row r="19263" spans="1:14" s="2" customFormat="1">
      <c r="A19263" s="83"/>
      <c r="H19263" s="83"/>
      <c r="K19263" s="82"/>
      <c r="M19263" s="112"/>
      <c r="N19263" s="84"/>
    </row>
    <row r="19264" spans="1:14" s="2" customFormat="1">
      <c r="A19264" s="83"/>
      <c r="H19264" s="83"/>
      <c r="K19264" s="82"/>
      <c r="M19264" s="112"/>
      <c r="N19264" s="84"/>
    </row>
    <row r="19265" spans="1:14" s="2" customFormat="1">
      <c r="A19265" s="83"/>
      <c r="H19265" s="83"/>
      <c r="K19265" s="82"/>
      <c r="M19265" s="112"/>
      <c r="N19265" s="84"/>
    </row>
    <row r="19266" spans="1:14" s="2" customFormat="1">
      <c r="A19266" s="83"/>
      <c r="H19266" s="83"/>
      <c r="K19266" s="82"/>
      <c r="M19266" s="112"/>
      <c r="N19266" s="84"/>
    </row>
    <row r="19267" spans="1:14" s="2" customFormat="1">
      <c r="A19267" s="83"/>
      <c r="H19267" s="83"/>
      <c r="K19267" s="82"/>
      <c r="M19267" s="112"/>
      <c r="N19267" s="84"/>
    </row>
    <row r="19268" spans="1:14" s="2" customFormat="1">
      <c r="A19268" s="83"/>
      <c r="H19268" s="83"/>
      <c r="K19268" s="82"/>
      <c r="M19268" s="112"/>
      <c r="N19268" s="84"/>
    </row>
    <row r="19269" spans="1:14" s="2" customFormat="1">
      <c r="A19269" s="83"/>
      <c r="H19269" s="83"/>
      <c r="K19269" s="82"/>
      <c r="M19269" s="112"/>
      <c r="N19269" s="84"/>
    </row>
    <row r="19270" spans="1:14" s="2" customFormat="1">
      <c r="A19270" s="83"/>
      <c r="H19270" s="83"/>
      <c r="K19270" s="82"/>
      <c r="M19270" s="112"/>
      <c r="N19270" s="84"/>
    </row>
    <row r="19271" spans="1:14" s="2" customFormat="1">
      <c r="A19271" s="83"/>
      <c r="H19271" s="83"/>
      <c r="K19271" s="82"/>
      <c r="M19271" s="112"/>
      <c r="N19271" s="84"/>
    </row>
    <row r="19272" spans="1:14" s="2" customFormat="1">
      <c r="A19272" s="83"/>
      <c r="H19272" s="83"/>
      <c r="K19272" s="82"/>
      <c r="M19272" s="112"/>
      <c r="N19272" s="84"/>
    </row>
    <row r="19273" spans="1:14" s="2" customFormat="1">
      <c r="A19273" s="83"/>
      <c r="H19273" s="83"/>
      <c r="K19273" s="82"/>
      <c r="M19273" s="112"/>
      <c r="N19273" s="84"/>
    </row>
    <row r="19274" spans="1:14" s="2" customFormat="1">
      <c r="A19274" s="83"/>
      <c r="H19274" s="83"/>
      <c r="K19274" s="82"/>
      <c r="M19274" s="112"/>
      <c r="N19274" s="84"/>
    </row>
    <row r="19275" spans="1:14" s="2" customFormat="1">
      <c r="A19275" s="83"/>
      <c r="H19275" s="83"/>
      <c r="K19275" s="82"/>
      <c r="M19275" s="112"/>
      <c r="N19275" s="84"/>
    </row>
    <row r="19276" spans="1:14" s="2" customFormat="1">
      <c r="A19276" s="83"/>
      <c r="H19276" s="83"/>
      <c r="K19276" s="82"/>
      <c r="M19276" s="112"/>
      <c r="N19276" s="84"/>
    </row>
    <row r="19277" spans="1:14" s="2" customFormat="1">
      <c r="A19277" s="83"/>
      <c r="H19277" s="83"/>
      <c r="K19277" s="82"/>
      <c r="M19277" s="112"/>
      <c r="N19277" s="84"/>
    </row>
    <row r="19278" spans="1:14" s="2" customFormat="1">
      <c r="A19278" s="83"/>
      <c r="H19278" s="83"/>
      <c r="K19278" s="82"/>
      <c r="M19278" s="112"/>
      <c r="N19278" s="84"/>
    </row>
    <row r="19279" spans="1:14" s="2" customFormat="1">
      <c r="A19279" s="83"/>
      <c r="H19279" s="83"/>
      <c r="K19279" s="82"/>
      <c r="M19279" s="112"/>
      <c r="N19279" s="84"/>
    </row>
    <row r="19280" spans="1:14" s="2" customFormat="1">
      <c r="A19280" s="83"/>
      <c r="H19280" s="83"/>
      <c r="K19280" s="82"/>
      <c r="M19280" s="112"/>
      <c r="N19280" s="84"/>
    </row>
    <row r="19281" spans="1:14" s="2" customFormat="1">
      <c r="A19281" s="83"/>
      <c r="H19281" s="83"/>
      <c r="K19281" s="82"/>
      <c r="M19281" s="112"/>
      <c r="N19281" s="84"/>
    </row>
    <row r="19282" spans="1:14" s="2" customFormat="1">
      <c r="A19282" s="83"/>
      <c r="H19282" s="83"/>
      <c r="K19282" s="82"/>
      <c r="M19282" s="112"/>
      <c r="N19282" s="84"/>
    </row>
    <row r="19283" spans="1:14" s="2" customFormat="1">
      <c r="A19283" s="83"/>
      <c r="H19283" s="83"/>
      <c r="K19283" s="82"/>
      <c r="M19283" s="112"/>
      <c r="N19283" s="84"/>
    </row>
    <row r="19284" spans="1:14" s="2" customFormat="1">
      <c r="A19284" s="83"/>
      <c r="H19284" s="83"/>
      <c r="K19284" s="82"/>
      <c r="M19284" s="112"/>
      <c r="N19284" s="84"/>
    </row>
    <row r="19285" spans="1:14" s="2" customFormat="1">
      <c r="A19285" s="83"/>
      <c r="H19285" s="83"/>
      <c r="K19285" s="82"/>
      <c r="M19285" s="112"/>
      <c r="N19285" s="84"/>
    </row>
    <row r="19286" spans="1:14" s="2" customFormat="1">
      <c r="A19286" s="83"/>
      <c r="H19286" s="83"/>
      <c r="K19286" s="82"/>
      <c r="M19286" s="112"/>
      <c r="N19286" s="84"/>
    </row>
    <row r="19287" spans="1:14" s="2" customFormat="1">
      <c r="A19287" s="83"/>
      <c r="H19287" s="83"/>
      <c r="K19287" s="82"/>
      <c r="M19287" s="112"/>
      <c r="N19287" s="84"/>
    </row>
    <row r="19288" spans="1:14" s="2" customFormat="1">
      <c r="A19288" s="83"/>
      <c r="H19288" s="83"/>
      <c r="K19288" s="82"/>
      <c r="M19288" s="112"/>
      <c r="N19288" s="84"/>
    </row>
    <row r="19289" spans="1:14" s="2" customFormat="1">
      <c r="A19289" s="83"/>
      <c r="H19289" s="83"/>
      <c r="K19289" s="82"/>
      <c r="M19289" s="112"/>
      <c r="N19289" s="84"/>
    </row>
    <row r="19290" spans="1:14" s="2" customFormat="1">
      <c r="A19290" s="83"/>
      <c r="H19290" s="83"/>
      <c r="K19290" s="82"/>
      <c r="M19290" s="112"/>
      <c r="N19290" s="84"/>
    </row>
    <row r="19291" spans="1:14" s="2" customFormat="1">
      <c r="A19291" s="83"/>
      <c r="H19291" s="83"/>
      <c r="K19291" s="82"/>
      <c r="M19291" s="112"/>
      <c r="N19291" s="84"/>
    </row>
    <row r="19292" spans="1:14" s="2" customFormat="1">
      <c r="A19292" s="83"/>
      <c r="H19292" s="83"/>
      <c r="K19292" s="82"/>
      <c r="M19292" s="112"/>
      <c r="N19292" s="84"/>
    </row>
    <row r="19293" spans="1:14" s="2" customFormat="1">
      <c r="A19293" s="83"/>
      <c r="H19293" s="83"/>
      <c r="K19293" s="82"/>
      <c r="M19293" s="112"/>
      <c r="N19293" s="84"/>
    </row>
    <row r="19294" spans="1:14" s="2" customFormat="1">
      <c r="A19294" s="83"/>
      <c r="H19294" s="83"/>
      <c r="K19294" s="82"/>
      <c r="M19294" s="112"/>
      <c r="N19294" s="84"/>
    </row>
    <row r="19295" spans="1:14" s="2" customFormat="1">
      <c r="A19295" s="83"/>
      <c r="H19295" s="83"/>
      <c r="K19295" s="82"/>
      <c r="M19295" s="112"/>
      <c r="N19295" s="84"/>
    </row>
    <row r="19296" spans="1:14" s="2" customFormat="1">
      <c r="A19296" s="83"/>
      <c r="H19296" s="83"/>
      <c r="K19296" s="82"/>
      <c r="M19296" s="112"/>
      <c r="N19296" s="84"/>
    </row>
    <row r="19297" spans="1:14" s="2" customFormat="1">
      <c r="A19297" s="83"/>
      <c r="H19297" s="83"/>
      <c r="K19297" s="82"/>
      <c r="M19297" s="112"/>
      <c r="N19297" s="84"/>
    </row>
    <row r="19298" spans="1:14" s="2" customFormat="1">
      <c r="A19298" s="83"/>
      <c r="H19298" s="83"/>
      <c r="K19298" s="82"/>
      <c r="M19298" s="112"/>
      <c r="N19298" s="84"/>
    </row>
    <row r="19299" spans="1:14" s="2" customFormat="1">
      <c r="A19299" s="83"/>
      <c r="H19299" s="83"/>
      <c r="K19299" s="82"/>
      <c r="M19299" s="112"/>
      <c r="N19299" s="84"/>
    </row>
    <row r="19300" spans="1:14" s="2" customFormat="1">
      <c r="A19300" s="83"/>
      <c r="H19300" s="83"/>
      <c r="K19300" s="82"/>
      <c r="M19300" s="112"/>
      <c r="N19300" s="84"/>
    </row>
    <row r="19301" spans="1:14" s="2" customFormat="1">
      <c r="A19301" s="83"/>
      <c r="H19301" s="83"/>
      <c r="K19301" s="82"/>
      <c r="M19301" s="112"/>
      <c r="N19301" s="84"/>
    </row>
    <row r="19302" spans="1:14" s="2" customFormat="1">
      <c r="A19302" s="83"/>
      <c r="H19302" s="83"/>
      <c r="K19302" s="82"/>
      <c r="M19302" s="112"/>
      <c r="N19302" s="84"/>
    </row>
    <row r="19303" spans="1:14" s="2" customFormat="1">
      <c r="A19303" s="83"/>
      <c r="H19303" s="83"/>
      <c r="K19303" s="82"/>
      <c r="M19303" s="112"/>
      <c r="N19303" s="84"/>
    </row>
    <row r="19304" spans="1:14" s="2" customFormat="1">
      <c r="A19304" s="83"/>
      <c r="H19304" s="83"/>
      <c r="K19304" s="82"/>
      <c r="M19304" s="112"/>
      <c r="N19304" s="84"/>
    </row>
    <row r="19305" spans="1:14" s="2" customFormat="1">
      <c r="A19305" s="83"/>
      <c r="H19305" s="83"/>
      <c r="K19305" s="82"/>
      <c r="M19305" s="112"/>
      <c r="N19305" s="84"/>
    </row>
    <row r="19306" spans="1:14" s="2" customFormat="1">
      <c r="A19306" s="83"/>
      <c r="H19306" s="83"/>
      <c r="K19306" s="82"/>
      <c r="M19306" s="112"/>
      <c r="N19306" s="84"/>
    </row>
    <row r="19307" spans="1:14" s="2" customFormat="1">
      <c r="A19307" s="83"/>
      <c r="H19307" s="83"/>
      <c r="K19307" s="82"/>
      <c r="M19307" s="112"/>
      <c r="N19307" s="84"/>
    </row>
    <row r="19308" spans="1:14" s="2" customFormat="1">
      <c r="A19308" s="83"/>
      <c r="H19308" s="83"/>
      <c r="K19308" s="82"/>
      <c r="M19308" s="112"/>
      <c r="N19308" s="84"/>
    </row>
    <row r="19309" spans="1:14" s="2" customFormat="1">
      <c r="A19309" s="83"/>
      <c r="H19309" s="83"/>
      <c r="K19309" s="82"/>
      <c r="M19309" s="112"/>
      <c r="N19309" s="84"/>
    </row>
    <row r="19310" spans="1:14" s="2" customFormat="1">
      <c r="A19310" s="83"/>
      <c r="H19310" s="83"/>
      <c r="K19310" s="82"/>
      <c r="M19310" s="112"/>
      <c r="N19310" s="84"/>
    </row>
    <row r="19311" spans="1:14" s="2" customFormat="1">
      <c r="A19311" s="83"/>
      <c r="H19311" s="83"/>
      <c r="K19311" s="82"/>
      <c r="M19311" s="112"/>
      <c r="N19311" s="84"/>
    </row>
    <row r="19312" spans="1:14" s="2" customFormat="1">
      <c r="A19312" s="83"/>
      <c r="H19312" s="83"/>
      <c r="K19312" s="82"/>
      <c r="M19312" s="112"/>
      <c r="N19312" s="84"/>
    </row>
    <row r="19313" spans="1:14" s="2" customFormat="1">
      <c r="A19313" s="83"/>
      <c r="H19313" s="83"/>
      <c r="K19313" s="82"/>
      <c r="M19313" s="112"/>
      <c r="N19313" s="84"/>
    </row>
    <row r="19314" spans="1:14" s="2" customFormat="1">
      <c r="A19314" s="83"/>
      <c r="H19314" s="83"/>
      <c r="K19314" s="82"/>
      <c r="M19314" s="112"/>
      <c r="N19314" s="84"/>
    </row>
    <row r="19315" spans="1:14" s="2" customFormat="1">
      <c r="A19315" s="83"/>
      <c r="H19315" s="83"/>
      <c r="K19315" s="82"/>
      <c r="M19315" s="112"/>
      <c r="N19315" s="84"/>
    </row>
    <row r="19316" spans="1:14" s="2" customFormat="1">
      <c r="A19316" s="83"/>
      <c r="H19316" s="83"/>
      <c r="K19316" s="82"/>
      <c r="M19316" s="112"/>
      <c r="N19316" s="84"/>
    </row>
    <row r="19317" spans="1:14" s="2" customFormat="1">
      <c r="A19317" s="83"/>
      <c r="H19317" s="83"/>
      <c r="K19317" s="82"/>
      <c r="M19317" s="112"/>
      <c r="N19317" s="84"/>
    </row>
    <row r="19318" spans="1:14" s="2" customFormat="1">
      <c r="A19318" s="83"/>
      <c r="H19318" s="83"/>
      <c r="K19318" s="82"/>
      <c r="M19318" s="112"/>
      <c r="N19318" s="84"/>
    </row>
    <row r="19319" spans="1:14" s="2" customFormat="1">
      <c r="A19319" s="83"/>
      <c r="H19319" s="83"/>
      <c r="K19319" s="82"/>
      <c r="M19319" s="112"/>
      <c r="N19319" s="84"/>
    </row>
    <row r="19320" spans="1:14" s="2" customFormat="1">
      <c r="A19320" s="83"/>
      <c r="H19320" s="83"/>
      <c r="K19320" s="82"/>
      <c r="M19320" s="112"/>
      <c r="N19320" s="84"/>
    </row>
    <row r="19321" spans="1:14" s="2" customFormat="1">
      <c r="A19321" s="83"/>
      <c r="H19321" s="83"/>
      <c r="K19321" s="82"/>
      <c r="M19321" s="112"/>
      <c r="N19321" s="84"/>
    </row>
    <row r="19322" spans="1:14" s="2" customFormat="1">
      <c r="A19322" s="83"/>
      <c r="H19322" s="83"/>
      <c r="K19322" s="82"/>
      <c r="M19322" s="112"/>
      <c r="N19322" s="84"/>
    </row>
    <row r="19323" spans="1:14" s="2" customFormat="1">
      <c r="A19323" s="83"/>
      <c r="H19323" s="83"/>
      <c r="K19323" s="82"/>
      <c r="M19323" s="112"/>
      <c r="N19323" s="84"/>
    </row>
    <row r="19324" spans="1:14" s="2" customFormat="1">
      <c r="A19324" s="83"/>
      <c r="H19324" s="83"/>
      <c r="K19324" s="82"/>
      <c r="M19324" s="112"/>
      <c r="N19324" s="84"/>
    </row>
    <row r="19325" spans="1:14" s="2" customFormat="1">
      <c r="A19325" s="83"/>
      <c r="H19325" s="83"/>
      <c r="K19325" s="82"/>
      <c r="M19325" s="112"/>
      <c r="N19325" s="84"/>
    </row>
    <row r="19326" spans="1:14" s="2" customFormat="1">
      <c r="A19326" s="83"/>
      <c r="H19326" s="83"/>
      <c r="K19326" s="82"/>
      <c r="M19326" s="112"/>
      <c r="N19326" s="84"/>
    </row>
    <row r="19327" spans="1:14" s="2" customFormat="1">
      <c r="A19327" s="83"/>
      <c r="H19327" s="83"/>
      <c r="K19327" s="82"/>
      <c r="M19327" s="112"/>
      <c r="N19327" s="84"/>
    </row>
    <row r="19328" spans="1:14" s="2" customFormat="1">
      <c r="A19328" s="83"/>
      <c r="H19328" s="83"/>
      <c r="K19328" s="82"/>
      <c r="M19328" s="112"/>
      <c r="N19328" s="84"/>
    </row>
    <row r="19329" spans="1:14" s="2" customFormat="1">
      <c r="A19329" s="83"/>
      <c r="H19329" s="83"/>
      <c r="K19329" s="82"/>
      <c r="M19329" s="112"/>
      <c r="N19329" s="84"/>
    </row>
    <row r="19330" spans="1:14" s="2" customFormat="1">
      <c r="A19330" s="83"/>
      <c r="H19330" s="83"/>
      <c r="K19330" s="82"/>
      <c r="M19330" s="112"/>
      <c r="N19330" s="84"/>
    </row>
    <row r="19331" spans="1:14" s="2" customFormat="1">
      <c r="A19331" s="83"/>
      <c r="H19331" s="83"/>
      <c r="K19331" s="82"/>
      <c r="M19331" s="112"/>
      <c r="N19331" s="84"/>
    </row>
    <row r="19332" spans="1:14" s="2" customFormat="1">
      <c r="A19332" s="83"/>
      <c r="H19332" s="83"/>
      <c r="K19332" s="82"/>
      <c r="M19332" s="112"/>
      <c r="N19332" s="84"/>
    </row>
    <row r="19333" spans="1:14" s="2" customFormat="1">
      <c r="A19333" s="83"/>
      <c r="H19333" s="83"/>
      <c r="K19333" s="82"/>
      <c r="M19333" s="112"/>
      <c r="N19333" s="84"/>
    </row>
    <row r="19334" spans="1:14" s="2" customFormat="1">
      <c r="A19334" s="83"/>
      <c r="H19334" s="83"/>
      <c r="K19334" s="82"/>
      <c r="M19334" s="112"/>
      <c r="N19334" s="84"/>
    </row>
    <row r="19335" spans="1:14" s="2" customFormat="1">
      <c r="A19335" s="83"/>
      <c r="H19335" s="83"/>
      <c r="K19335" s="82"/>
      <c r="M19335" s="112"/>
      <c r="N19335" s="84"/>
    </row>
    <row r="19336" spans="1:14" s="2" customFormat="1">
      <c r="A19336" s="83"/>
      <c r="H19336" s="83"/>
      <c r="K19336" s="82"/>
      <c r="M19336" s="112"/>
      <c r="N19336" s="84"/>
    </row>
    <row r="19337" spans="1:14" s="2" customFormat="1">
      <c r="A19337" s="83"/>
      <c r="H19337" s="83"/>
      <c r="K19337" s="82"/>
      <c r="M19337" s="112"/>
      <c r="N19337" s="84"/>
    </row>
    <row r="19338" spans="1:14" s="2" customFormat="1">
      <c r="A19338" s="83"/>
      <c r="H19338" s="83"/>
      <c r="K19338" s="82"/>
      <c r="M19338" s="112"/>
      <c r="N19338" s="84"/>
    </row>
    <row r="19339" spans="1:14" s="2" customFormat="1">
      <c r="A19339" s="83"/>
      <c r="H19339" s="83"/>
      <c r="K19339" s="82"/>
      <c r="M19339" s="112"/>
      <c r="N19339" s="84"/>
    </row>
    <row r="19340" spans="1:14" s="2" customFormat="1">
      <c r="A19340" s="83"/>
      <c r="H19340" s="83"/>
      <c r="K19340" s="82"/>
      <c r="M19340" s="112"/>
      <c r="N19340" s="84"/>
    </row>
    <row r="19341" spans="1:14" s="2" customFormat="1">
      <c r="A19341" s="83"/>
      <c r="H19341" s="83"/>
      <c r="K19341" s="82"/>
      <c r="M19341" s="112"/>
      <c r="N19341" s="84"/>
    </row>
    <row r="19342" spans="1:14" s="2" customFormat="1">
      <c r="A19342" s="83"/>
      <c r="H19342" s="83"/>
      <c r="K19342" s="82"/>
      <c r="M19342" s="112"/>
      <c r="N19342" s="84"/>
    </row>
    <row r="19343" spans="1:14" s="2" customFormat="1">
      <c r="A19343" s="83"/>
      <c r="H19343" s="83"/>
      <c r="K19343" s="82"/>
      <c r="M19343" s="112"/>
      <c r="N19343" s="84"/>
    </row>
    <row r="19344" spans="1:14" s="2" customFormat="1">
      <c r="A19344" s="83"/>
      <c r="H19344" s="83"/>
      <c r="K19344" s="82"/>
      <c r="M19344" s="112"/>
      <c r="N19344" s="84"/>
    </row>
    <row r="19345" spans="1:14" s="2" customFormat="1">
      <c r="A19345" s="83"/>
      <c r="H19345" s="83"/>
      <c r="K19345" s="82"/>
      <c r="M19345" s="112"/>
      <c r="N19345" s="84"/>
    </row>
    <row r="19346" spans="1:14" s="2" customFormat="1">
      <c r="A19346" s="83"/>
      <c r="H19346" s="83"/>
      <c r="K19346" s="82"/>
      <c r="M19346" s="112"/>
      <c r="N19346" s="84"/>
    </row>
    <row r="19347" spans="1:14" s="2" customFormat="1">
      <c r="A19347" s="83"/>
      <c r="H19347" s="83"/>
      <c r="K19347" s="82"/>
      <c r="M19347" s="112"/>
      <c r="N19347" s="84"/>
    </row>
    <row r="19348" spans="1:14" s="2" customFormat="1">
      <c r="A19348" s="83"/>
      <c r="H19348" s="83"/>
      <c r="K19348" s="82"/>
      <c r="M19348" s="112"/>
      <c r="N19348" s="84"/>
    </row>
    <row r="19349" spans="1:14" s="2" customFormat="1">
      <c r="A19349" s="83"/>
      <c r="H19349" s="83"/>
      <c r="K19349" s="82"/>
      <c r="M19349" s="112"/>
      <c r="N19349" s="84"/>
    </row>
    <row r="19350" spans="1:14" s="2" customFormat="1">
      <c r="A19350" s="83"/>
      <c r="H19350" s="83"/>
      <c r="K19350" s="82"/>
      <c r="M19350" s="112"/>
      <c r="N19350" s="84"/>
    </row>
    <row r="19351" spans="1:14" s="2" customFormat="1">
      <c r="A19351" s="83"/>
      <c r="H19351" s="83"/>
      <c r="K19351" s="82"/>
      <c r="M19351" s="112"/>
      <c r="N19351" s="84"/>
    </row>
    <row r="19352" spans="1:14" s="2" customFormat="1">
      <c r="A19352" s="83"/>
      <c r="H19352" s="83"/>
      <c r="K19352" s="82"/>
      <c r="M19352" s="112"/>
      <c r="N19352" s="84"/>
    </row>
    <row r="19353" spans="1:14" s="2" customFormat="1">
      <c r="A19353" s="83"/>
      <c r="H19353" s="83"/>
      <c r="K19353" s="82"/>
      <c r="M19353" s="112"/>
      <c r="N19353" s="84"/>
    </row>
    <row r="19354" spans="1:14" s="2" customFormat="1">
      <c r="A19354" s="83"/>
      <c r="H19354" s="83"/>
      <c r="K19354" s="82"/>
      <c r="M19354" s="112"/>
      <c r="N19354" s="84"/>
    </row>
    <row r="19355" spans="1:14" s="2" customFormat="1">
      <c r="A19355" s="83"/>
      <c r="H19355" s="83"/>
      <c r="K19355" s="82"/>
      <c r="M19355" s="112"/>
      <c r="N19355" s="84"/>
    </row>
    <row r="19356" spans="1:14" s="2" customFormat="1">
      <c r="A19356" s="83"/>
      <c r="H19356" s="83"/>
      <c r="K19356" s="82"/>
      <c r="M19356" s="112"/>
      <c r="N19356" s="84"/>
    </row>
    <row r="19357" spans="1:14" s="2" customFormat="1">
      <c r="A19357" s="83"/>
      <c r="H19357" s="83"/>
      <c r="K19357" s="82"/>
      <c r="M19357" s="112"/>
      <c r="N19357" s="84"/>
    </row>
    <row r="19358" spans="1:14" s="2" customFormat="1">
      <c r="A19358" s="83"/>
      <c r="H19358" s="83"/>
      <c r="K19358" s="82"/>
      <c r="M19358" s="112"/>
      <c r="N19358" s="84"/>
    </row>
    <row r="19359" spans="1:14" s="2" customFormat="1">
      <c r="A19359" s="83"/>
      <c r="H19359" s="83"/>
      <c r="K19359" s="82"/>
      <c r="M19359" s="112"/>
      <c r="N19359" s="84"/>
    </row>
    <row r="19360" spans="1:14" s="2" customFormat="1">
      <c r="A19360" s="83"/>
      <c r="H19360" s="83"/>
      <c r="K19360" s="82"/>
      <c r="M19360" s="112"/>
      <c r="N19360" s="84"/>
    </row>
    <row r="19361" spans="1:14" s="2" customFormat="1">
      <c r="A19361" s="83"/>
      <c r="H19361" s="83"/>
      <c r="K19361" s="82"/>
      <c r="M19361" s="112"/>
      <c r="N19361" s="84"/>
    </row>
    <row r="19362" spans="1:14" s="2" customFormat="1">
      <c r="A19362" s="83"/>
      <c r="H19362" s="83"/>
      <c r="K19362" s="82"/>
      <c r="M19362" s="112"/>
      <c r="N19362" s="84"/>
    </row>
    <row r="19363" spans="1:14" s="2" customFormat="1">
      <c r="A19363" s="83"/>
      <c r="H19363" s="83"/>
      <c r="K19363" s="82"/>
      <c r="M19363" s="112"/>
      <c r="N19363" s="84"/>
    </row>
    <row r="19364" spans="1:14" s="2" customFormat="1">
      <c r="A19364" s="83"/>
      <c r="H19364" s="83"/>
      <c r="K19364" s="82"/>
      <c r="M19364" s="112"/>
      <c r="N19364" s="84"/>
    </row>
    <row r="19365" spans="1:14" s="2" customFormat="1">
      <c r="A19365" s="83"/>
      <c r="H19365" s="83"/>
      <c r="K19365" s="82"/>
      <c r="M19365" s="112"/>
      <c r="N19365" s="84"/>
    </row>
    <row r="19366" spans="1:14" s="2" customFormat="1">
      <c r="A19366" s="83"/>
      <c r="H19366" s="83"/>
      <c r="K19366" s="82"/>
      <c r="M19366" s="112"/>
      <c r="N19366" s="84"/>
    </row>
    <row r="19367" spans="1:14" s="2" customFormat="1">
      <c r="A19367" s="83"/>
      <c r="H19367" s="83"/>
      <c r="K19367" s="82"/>
      <c r="M19367" s="112"/>
      <c r="N19367" s="84"/>
    </row>
    <row r="19368" spans="1:14" s="2" customFormat="1">
      <c r="A19368" s="83"/>
      <c r="H19368" s="83"/>
      <c r="K19368" s="82"/>
      <c r="M19368" s="112"/>
      <c r="N19368" s="84"/>
    </row>
    <row r="19369" spans="1:14" s="2" customFormat="1">
      <c r="A19369" s="83"/>
      <c r="H19369" s="83"/>
      <c r="K19369" s="82"/>
      <c r="M19369" s="112"/>
      <c r="N19369" s="84"/>
    </row>
    <row r="19370" spans="1:14" s="2" customFormat="1">
      <c r="A19370" s="83"/>
      <c r="H19370" s="83"/>
      <c r="K19370" s="82"/>
      <c r="M19370" s="112"/>
      <c r="N19370" s="84"/>
    </row>
    <row r="19371" spans="1:14" s="2" customFormat="1">
      <c r="A19371" s="83"/>
      <c r="H19371" s="83"/>
      <c r="K19371" s="82"/>
      <c r="M19371" s="112"/>
      <c r="N19371" s="84"/>
    </row>
    <row r="19372" spans="1:14" s="2" customFormat="1">
      <c r="A19372" s="83"/>
      <c r="H19372" s="83"/>
      <c r="K19372" s="82"/>
      <c r="M19372" s="112"/>
      <c r="N19372" s="84"/>
    </row>
    <row r="19373" spans="1:14" s="2" customFormat="1">
      <c r="A19373" s="83"/>
      <c r="H19373" s="83"/>
      <c r="K19373" s="82"/>
      <c r="M19373" s="112"/>
      <c r="N19373" s="84"/>
    </row>
    <row r="19374" spans="1:14" s="2" customFormat="1">
      <c r="A19374" s="83"/>
      <c r="H19374" s="83"/>
      <c r="K19374" s="82"/>
      <c r="M19374" s="112"/>
      <c r="N19374" s="84"/>
    </row>
    <row r="19375" spans="1:14" s="2" customFormat="1">
      <c r="A19375" s="83"/>
      <c r="H19375" s="83"/>
      <c r="K19375" s="82"/>
      <c r="M19375" s="112"/>
      <c r="N19375" s="84"/>
    </row>
    <row r="19376" spans="1:14" s="2" customFormat="1">
      <c r="A19376" s="83"/>
      <c r="H19376" s="83"/>
      <c r="K19376" s="82"/>
      <c r="M19376" s="112"/>
      <c r="N19376" s="84"/>
    </row>
    <row r="19377" spans="1:14" s="2" customFormat="1">
      <c r="A19377" s="83"/>
      <c r="H19377" s="83"/>
      <c r="K19377" s="82"/>
      <c r="M19377" s="112"/>
      <c r="N19377" s="84"/>
    </row>
    <row r="19378" spans="1:14" s="2" customFormat="1">
      <c r="A19378" s="83"/>
      <c r="H19378" s="83"/>
      <c r="K19378" s="82"/>
      <c r="M19378" s="112"/>
      <c r="N19378" s="84"/>
    </row>
    <row r="19379" spans="1:14" s="2" customFormat="1">
      <c r="A19379" s="83"/>
      <c r="H19379" s="83"/>
      <c r="K19379" s="82"/>
      <c r="M19379" s="112"/>
      <c r="N19379" s="84"/>
    </row>
    <row r="19380" spans="1:14" s="2" customFormat="1">
      <c r="A19380" s="83"/>
      <c r="H19380" s="83"/>
      <c r="K19380" s="82"/>
      <c r="M19380" s="112"/>
      <c r="N19380" s="84"/>
    </row>
    <row r="19381" spans="1:14" s="2" customFormat="1">
      <c r="A19381" s="83"/>
      <c r="H19381" s="83"/>
      <c r="K19381" s="82"/>
      <c r="M19381" s="112"/>
      <c r="N19381" s="84"/>
    </row>
    <row r="19382" spans="1:14" s="2" customFormat="1">
      <c r="A19382" s="83"/>
      <c r="H19382" s="83"/>
      <c r="K19382" s="82"/>
      <c r="M19382" s="112"/>
      <c r="N19382" s="84"/>
    </row>
    <row r="19383" spans="1:14" s="2" customFormat="1">
      <c r="A19383" s="83"/>
      <c r="H19383" s="83"/>
      <c r="K19383" s="82"/>
      <c r="M19383" s="112"/>
      <c r="N19383" s="84"/>
    </row>
    <row r="19384" spans="1:14" s="2" customFormat="1">
      <c r="A19384" s="83"/>
      <c r="H19384" s="83"/>
      <c r="K19384" s="82"/>
      <c r="M19384" s="112"/>
      <c r="N19384" s="84"/>
    </row>
    <row r="19385" spans="1:14" s="2" customFormat="1">
      <c r="A19385" s="83"/>
      <c r="H19385" s="83"/>
      <c r="K19385" s="82"/>
      <c r="M19385" s="112"/>
      <c r="N19385" s="84"/>
    </row>
    <row r="19386" spans="1:14" s="2" customFormat="1">
      <c r="A19386" s="83"/>
      <c r="H19386" s="83"/>
      <c r="K19386" s="82"/>
      <c r="M19386" s="112"/>
      <c r="N19386" s="84"/>
    </row>
    <row r="19387" spans="1:14" s="2" customFormat="1">
      <c r="A19387" s="83"/>
      <c r="H19387" s="83"/>
      <c r="K19387" s="82"/>
      <c r="M19387" s="112"/>
      <c r="N19387" s="84"/>
    </row>
    <row r="19388" spans="1:14" s="2" customFormat="1">
      <c r="A19388" s="83"/>
      <c r="H19388" s="83"/>
      <c r="K19388" s="82"/>
      <c r="M19388" s="112"/>
      <c r="N19388" s="84"/>
    </row>
    <row r="19389" spans="1:14" s="2" customFormat="1">
      <c r="A19389" s="83"/>
      <c r="H19389" s="83"/>
      <c r="K19389" s="82"/>
      <c r="M19389" s="112"/>
      <c r="N19389" s="84"/>
    </row>
    <row r="19390" spans="1:14" s="2" customFormat="1">
      <c r="A19390" s="83"/>
      <c r="H19390" s="83"/>
      <c r="K19390" s="82"/>
      <c r="M19390" s="112"/>
      <c r="N19390" s="84"/>
    </row>
    <row r="19391" spans="1:14" s="2" customFormat="1">
      <c r="A19391" s="83"/>
      <c r="H19391" s="83"/>
      <c r="K19391" s="82"/>
      <c r="M19391" s="112"/>
      <c r="N19391" s="84"/>
    </row>
    <row r="19392" spans="1:14" s="2" customFormat="1">
      <c r="A19392" s="83"/>
      <c r="H19392" s="83"/>
      <c r="K19392" s="82"/>
      <c r="M19392" s="112"/>
      <c r="N19392" s="84"/>
    </row>
    <row r="19393" spans="1:14" s="2" customFormat="1">
      <c r="A19393" s="83"/>
      <c r="H19393" s="83"/>
      <c r="K19393" s="82"/>
      <c r="M19393" s="112"/>
      <c r="N19393" s="84"/>
    </row>
    <row r="19394" spans="1:14" s="2" customFormat="1">
      <c r="A19394" s="83"/>
      <c r="H19394" s="83"/>
      <c r="K19394" s="82"/>
      <c r="M19394" s="112"/>
      <c r="N19394" s="84"/>
    </row>
    <row r="19395" spans="1:14" s="2" customFormat="1">
      <c r="A19395" s="83"/>
      <c r="H19395" s="83"/>
      <c r="K19395" s="82"/>
      <c r="M19395" s="112"/>
      <c r="N19395" s="84"/>
    </row>
    <row r="19396" spans="1:14" s="2" customFormat="1">
      <c r="A19396" s="83"/>
      <c r="H19396" s="83"/>
      <c r="K19396" s="82"/>
      <c r="M19396" s="112"/>
      <c r="N19396" s="84"/>
    </row>
    <row r="19397" spans="1:14" s="2" customFormat="1">
      <c r="A19397" s="83"/>
      <c r="H19397" s="83"/>
      <c r="K19397" s="82"/>
      <c r="M19397" s="112"/>
      <c r="N19397" s="84"/>
    </row>
    <row r="19398" spans="1:14" s="2" customFormat="1">
      <c r="A19398" s="83"/>
      <c r="H19398" s="83"/>
      <c r="K19398" s="82"/>
      <c r="M19398" s="112"/>
      <c r="N19398" s="84"/>
    </row>
    <row r="19399" spans="1:14" s="2" customFormat="1">
      <c r="A19399" s="83"/>
      <c r="H19399" s="83"/>
      <c r="K19399" s="82"/>
      <c r="M19399" s="112"/>
      <c r="N19399" s="84"/>
    </row>
    <row r="19400" spans="1:14" s="2" customFormat="1">
      <c r="A19400" s="83"/>
      <c r="H19400" s="83"/>
      <c r="K19400" s="82"/>
      <c r="M19400" s="112"/>
      <c r="N19400" s="84"/>
    </row>
    <row r="19401" spans="1:14" s="2" customFormat="1">
      <c r="A19401" s="83"/>
      <c r="H19401" s="83"/>
      <c r="K19401" s="82"/>
      <c r="M19401" s="112"/>
      <c r="N19401" s="84"/>
    </row>
    <row r="19402" spans="1:14" s="2" customFormat="1">
      <c r="A19402" s="83"/>
      <c r="H19402" s="83"/>
      <c r="K19402" s="82"/>
      <c r="M19402" s="112"/>
      <c r="N19402" s="84"/>
    </row>
    <row r="19403" spans="1:14" s="2" customFormat="1">
      <c r="A19403" s="83"/>
      <c r="H19403" s="83"/>
      <c r="K19403" s="82"/>
      <c r="M19403" s="112"/>
      <c r="N19403" s="84"/>
    </row>
    <row r="19404" spans="1:14" s="2" customFormat="1">
      <c r="A19404" s="83"/>
      <c r="H19404" s="83"/>
      <c r="K19404" s="82"/>
      <c r="M19404" s="112"/>
      <c r="N19404" s="84"/>
    </row>
    <row r="19405" spans="1:14" s="2" customFormat="1">
      <c r="A19405" s="83"/>
      <c r="H19405" s="83"/>
      <c r="K19405" s="82"/>
      <c r="M19405" s="112"/>
      <c r="N19405" s="84"/>
    </row>
    <row r="19406" spans="1:14" s="2" customFormat="1">
      <c r="A19406" s="83"/>
      <c r="H19406" s="83"/>
      <c r="K19406" s="82"/>
      <c r="M19406" s="112"/>
      <c r="N19406" s="84"/>
    </row>
    <row r="19407" spans="1:14" s="2" customFormat="1">
      <c r="A19407" s="83"/>
      <c r="H19407" s="83"/>
      <c r="K19407" s="82"/>
      <c r="M19407" s="112"/>
      <c r="N19407" s="84"/>
    </row>
    <row r="19408" spans="1:14" s="2" customFormat="1">
      <c r="A19408" s="83"/>
      <c r="H19408" s="83"/>
      <c r="K19408" s="82"/>
      <c r="M19408" s="112"/>
      <c r="N19408" s="84"/>
    </row>
    <row r="19409" spans="1:14" s="2" customFormat="1">
      <c r="A19409" s="83"/>
      <c r="H19409" s="83"/>
      <c r="K19409" s="82"/>
      <c r="M19409" s="112"/>
      <c r="N19409" s="84"/>
    </row>
    <row r="19410" spans="1:14" s="2" customFormat="1">
      <c r="A19410" s="83"/>
      <c r="H19410" s="83"/>
      <c r="K19410" s="82"/>
      <c r="M19410" s="112"/>
      <c r="N19410" s="84"/>
    </row>
    <row r="19411" spans="1:14" s="2" customFormat="1">
      <c r="A19411" s="83"/>
      <c r="H19411" s="83"/>
      <c r="K19411" s="82"/>
      <c r="M19411" s="112"/>
      <c r="N19411" s="84"/>
    </row>
    <row r="19412" spans="1:14" s="2" customFormat="1">
      <c r="A19412" s="83"/>
      <c r="H19412" s="83"/>
      <c r="K19412" s="82"/>
      <c r="M19412" s="112"/>
      <c r="N19412" s="84"/>
    </row>
    <row r="19413" spans="1:14" s="2" customFormat="1">
      <c r="A19413" s="83"/>
      <c r="H19413" s="83"/>
      <c r="K19413" s="82"/>
      <c r="M19413" s="112"/>
      <c r="N19413" s="84"/>
    </row>
    <row r="19414" spans="1:14" s="2" customFormat="1">
      <c r="A19414" s="83"/>
      <c r="H19414" s="83"/>
      <c r="K19414" s="82"/>
      <c r="M19414" s="112"/>
      <c r="N19414" s="84"/>
    </row>
    <row r="19415" spans="1:14" s="2" customFormat="1">
      <c r="A19415" s="83"/>
      <c r="H19415" s="83"/>
      <c r="K19415" s="82"/>
      <c r="M19415" s="112"/>
      <c r="N19415" s="84"/>
    </row>
    <row r="19416" spans="1:14" s="2" customFormat="1">
      <c r="A19416" s="83"/>
      <c r="H19416" s="83"/>
      <c r="K19416" s="82"/>
      <c r="M19416" s="112"/>
      <c r="N19416" s="84"/>
    </row>
    <row r="19417" spans="1:14" s="2" customFormat="1">
      <c r="A19417" s="83"/>
      <c r="H19417" s="83"/>
      <c r="K19417" s="82"/>
      <c r="M19417" s="112"/>
      <c r="N19417" s="84"/>
    </row>
    <row r="19418" spans="1:14" s="2" customFormat="1">
      <c r="A19418" s="83"/>
      <c r="H19418" s="83"/>
      <c r="K19418" s="82"/>
      <c r="M19418" s="112"/>
      <c r="N19418" s="84"/>
    </row>
    <row r="19419" spans="1:14" s="2" customFormat="1">
      <c r="A19419" s="83"/>
      <c r="H19419" s="83"/>
      <c r="K19419" s="82"/>
      <c r="M19419" s="112"/>
      <c r="N19419" s="84"/>
    </row>
    <row r="19420" spans="1:14" s="2" customFormat="1">
      <c r="A19420" s="83"/>
      <c r="H19420" s="83"/>
      <c r="K19420" s="82"/>
      <c r="M19420" s="112"/>
      <c r="N19420" s="84"/>
    </row>
    <row r="19421" spans="1:14" s="2" customFormat="1">
      <c r="A19421" s="83"/>
      <c r="H19421" s="83"/>
      <c r="K19421" s="82"/>
      <c r="M19421" s="112"/>
      <c r="N19421" s="84"/>
    </row>
    <row r="19422" spans="1:14" s="2" customFormat="1">
      <c r="A19422" s="83"/>
      <c r="H19422" s="83"/>
      <c r="K19422" s="82"/>
      <c r="M19422" s="112"/>
      <c r="N19422" s="84"/>
    </row>
    <row r="19423" spans="1:14" s="2" customFormat="1">
      <c r="A19423" s="83"/>
      <c r="H19423" s="83"/>
      <c r="K19423" s="82"/>
      <c r="M19423" s="112"/>
      <c r="N19423" s="84"/>
    </row>
    <row r="19424" spans="1:14" s="2" customFormat="1">
      <c r="A19424" s="83"/>
      <c r="H19424" s="83"/>
      <c r="K19424" s="82"/>
      <c r="M19424" s="112"/>
      <c r="N19424" s="84"/>
    </row>
    <row r="19425" spans="1:14" s="2" customFormat="1">
      <c r="A19425" s="83"/>
      <c r="H19425" s="83"/>
      <c r="K19425" s="82"/>
      <c r="M19425" s="112"/>
      <c r="N19425" s="84"/>
    </row>
    <row r="19426" spans="1:14" s="2" customFormat="1">
      <c r="A19426" s="83"/>
      <c r="H19426" s="83"/>
      <c r="K19426" s="82"/>
      <c r="M19426" s="112"/>
      <c r="N19426" s="84"/>
    </row>
    <row r="19427" spans="1:14" s="2" customFormat="1">
      <c r="A19427" s="83"/>
      <c r="H19427" s="83"/>
      <c r="K19427" s="82"/>
      <c r="M19427" s="112"/>
      <c r="N19427" s="84"/>
    </row>
    <row r="19428" spans="1:14" s="2" customFormat="1">
      <c r="A19428" s="83"/>
      <c r="H19428" s="83"/>
      <c r="K19428" s="82"/>
      <c r="M19428" s="112"/>
      <c r="N19428" s="84"/>
    </row>
    <row r="19429" spans="1:14" s="2" customFormat="1">
      <c r="A19429" s="83"/>
      <c r="H19429" s="83"/>
      <c r="K19429" s="82"/>
      <c r="M19429" s="112"/>
      <c r="N19429" s="84"/>
    </row>
    <row r="19430" spans="1:14" s="2" customFormat="1">
      <c r="A19430" s="83"/>
      <c r="H19430" s="83"/>
      <c r="K19430" s="82"/>
      <c r="M19430" s="112"/>
      <c r="N19430" s="84"/>
    </row>
    <row r="19431" spans="1:14" s="2" customFormat="1">
      <c r="A19431" s="83"/>
      <c r="H19431" s="83"/>
      <c r="K19431" s="82"/>
      <c r="M19431" s="112"/>
      <c r="N19431" s="84"/>
    </row>
    <row r="19432" spans="1:14" s="2" customFormat="1">
      <c r="A19432" s="83"/>
      <c r="H19432" s="83"/>
      <c r="K19432" s="82"/>
      <c r="M19432" s="112"/>
      <c r="N19432" s="84"/>
    </row>
    <row r="19433" spans="1:14" s="2" customFormat="1">
      <c r="A19433" s="83"/>
      <c r="H19433" s="83"/>
      <c r="K19433" s="82"/>
      <c r="M19433" s="112"/>
      <c r="N19433" s="84"/>
    </row>
    <row r="19434" spans="1:14" s="2" customFormat="1">
      <c r="A19434" s="83"/>
      <c r="H19434" s="83"/>
      <c r="K19434" s="82"/>
      <c r="M19434" s="112"/>
      <c r="N19434" s="84"/>
    </row>
    <row r="19435" spans="1:14" s="2" customFormat="1">
      <c r="A19435" s="83"/>
      <c r="H19435" s="83"/>
      <c r="K19435" s="82"/>
      <c r="M19435" s="112"/>
      <c r="N19435" s="84"/>
    </row>
    <row r="19436" spans="1:14" s="2" customFormat="1">
      <c r="A19436" s="83"/>
      <c r="H19436" s="83"/>
      <c r="K19436" s="82"/>
      <c r="M19436" s="112"/>
      <c r="N19436" s="84"/>
    </row>
    <row r="19437" spans="1:14" s="2" customFormat="1">
      <c r="A19437" s="83"/>
      <c r="H19437" s="83"/>
      <c r="K19437" s="82"/>
      <c r="M19437" s="112"/>
      <c r="N19437" s="84"/>
    </row>
    <row r="19438" spans="1:14" s="2" customFormat="1">
      <c r="A19438" s="83"/>
      <c r="H19438" s="83"/>
      <c r="K19438" s="82"/>
      <c r="M19438" s="112"/>
      <c r="N19438" s="84"/>
    </row>
    <row r="19439" spans="1:14" s="2" customFormat="1">
      <c r="A19439" s="83"/>
      <c r="H19439" s="83"/>
      <c r="K19439" s="82"/>
      <c r="M19439" s="112"/>
      <c r="N19439" s="84"/>
    </row>
    <row r="19440" spans="1:14" s="2" customFormat="1">
      <c r="A19440" s="83"/>
      <c r="H19440" s="83"/>
      <c r="K19440" s="82"/>
      <c r="M19440" s="112"/>
      <c r="N19440" s="84"/>
    </row>
    <row r="19441" spans="1:14" s="2" customFormat="1">
      <c r="A19441" s="83"/>
      <c r="H19441" s="83"/>
      <c r="K19441" s="82"/>
      <c r="M19441" s="112"/>
      <c r="N19441" s="84"/>
    </row>
    <row r="19442" spans="1:14" s="2" customFormat="1">
      <c r="A19442" s="83"/>
      <c r="H19442" s="83"/>
      <c r="K19442" s="82"/>
      <c r="M19442" s="112"/>
      <c r="N19442" s="84"/>
    </row>
    <row r="19443" spans="1:14" s="2" customFormat="1">
      <c r="A19443" s="83"/>
      <c r="H19443" s="83"/>
      <c r="K19443" s="82"/>
      <c r="M19443" s="112"/>
      <c r="N19443" s="84"/>
    </row>
    <row r="19444" spans="1:14" s="2" customFormat="1">
      <c r="A19444" s="83"/>
      <c r="H19444" s="83"/>
      <c r="K19444" s="82"/>
      <c r="M19444" s="112"/>
      <c r="N19444" s="84"/>
    </row>
    <row r="19445" spans="1:14" s="2" customFormat="1">
      <c r="A19445" s="83"/>
      <c r="H19445" s="83"/>
      <c r="K19445" s="82"/>
      <c r="M19445" s="112"/>
      <c r="N19445" s="84"/>
    </row>
    <row r="19446" spans="1:14" s="2" customFormat="1">
      <c r="A19446" s="83"/>
      <c r="H19446" s="83"/>
      <c r="K19446" s="82"/>
      <c r="M19446" s="112"/>
      <c r="N19446" s="84"/>
    </row>
    <row r="19447" spans="1:14" s="2" customFormat="1">
      <c r="A19447" s="83"/>
      <c r="H19447" s="83"/>
      <c r="K19447" s="82"/>
      <c r="M19447" s="112"/>
      <c r="N19447" s="84"/>
    </row>
    <row r="19448" spans="1:14" s="2" customFormat="1">
      <c r="A19448" s="83"/>
      <c r="H19448" s="83"/>
      <c r="K19448" s="82"/>
      <c r="M19448" s="112"/>
      <c r="N19448" s="84"/>
    </row>
    <row r="19449" spans="1:14" s="2" customFormat="1">
      <c r="A19449" s="83"/>
      <c r="H19449" s="83"/>
      <c r="K19449" s="82"/>
      <c r="M19449" s="112"/>
      <c r="N19449" s="84"/>
    </row>
    <row r="19450" spans="1:14" s="2" customFormat="1">
      <c r="A19450" s="83"/>
      <c r="H19450" s="83"/>
      <c r="K19450" s="82"/>
      <c r="M19450" s="112"/>
      <c r="N19450" s="84"/>
    </row>
    <row r="19451" spans="1:14" s="2" customFormat="1">
      <c r="A19451" s="83"/>
      <c r="H19451" s="83"/>
      <c r="K19451" s="82"/>
      <c r="M19451" s="112"/>
      <c r="N19451" s="84"/>
    </row>
    <row r="19452" spans="1:14" s="2" customFormat="1">
      <c r="A19452" s="83"/>
      <c r="H19452" s="83"/>
      <c r="K19452" s="82"/>
      <c r="M19452" s="112"/>
      <c r="N19452" s="84"/>
    </row>
    <row r="19453" spans="1:14" s="2" customFormat="1">
      <c r="A19453" s="83"/>
      <c r="H19453" s="83"/>
      <c r="K19453" s="82"/>
      <c r="M19453" s="112"/>
      <c r="N19453" s="84"/>
    </row>
    <row r="19454" spans="1:14" s="2" customFormat="1">
      <c r="A19454" s="83"/>
      <c r="H19454" s="83"/>
      <c r="K19454" s="82"/>
      <c r="M19454" s="112"/>
      <c r="N19454" s="84"/>
    </row>
    <row r="19455" spans="1:14" s="2" customFormat="1">
      <c r="A19455" s="83"/>
      <c r="H19455" s="83"/>
      <c r="K19455" s="82"/>
      <c r="M19455" s="112"/>
      <c r="N19455" s="84"/>
    </row>
    <row r="19456" spans="1:14" s="2" customFormat="1">
      <c r="A19456" s="83"/>
      <c r="H19456" s="83"/>
      <c r="K19456" s="82"/>
      <c r="M19456" s="112"/>
      <c r="N19456" s="84"/>
    </row>
    <row r="19457" spans="1:14" s="2" customFormat="1">
      <c r="A19457" s="83"/>
      <c r="H19457" s="83"/>
      <c r="K19457" s="82"/>
      <c r="M19457" s="112"/>
      <c r="N19457" s="84"/>
    </row>
    <row r="19458" spans="1:14" s="2" customFormat="1">
      <c r="A19458" s="83"/>
      <c r="H19458" s="83"/>
      <c r="K19458" s="82"/>
      <c r="M19458" s="112"/>
      <c r="N19458" s="84"/>
    </row>
    <row r="19459" spans="1:14" s="2" customFormat="1">
      <c r="A19459" s="83"/>
      <c r="H19459" s="83"/>
      <c r="K19459" s="82"/>
      <c r="M19459" s="112"/>
      <c r="N19459" s="84"/>
    </row>
    <row r="19460" spans="1:14" s="2" customFormat="1">
      <c r="A19460" s="83"/>
      <c r="H19460" s="83"/>
      <c r="K19460" s="82"/>
      <c r="M19460" s="112"/>
      <c r="N19460" s="84"/>
    </row>
    <row r="19461" spans="1:14" s="2" customFormat="1">
      <c r="A19461" s="83"/>
      <c r="H19461" s="83"/>
      <c r="K19461" s="82"/>
      <c r="M19461" s="112"/>
      <c r="N19461" s="84"/>
    </row>
    <row r="19462" spans="1:14" s="2" customFormat="1">
      <c r="A19462" s="83"/>
      <c r="H19462" s="83"/>
      <c r="K19462" s="82"/>
      <c r="M19462" s="112"/>
      <c r="N19462" s="84"/>
    </row>
    <row r="19463" spans="1:14" s="2" customFormat="1">
      <c r="A19463" s="83"/>
      <c r="H19463" s="83"/>
      <c r="K19463" s="82"/>
      <c r="M19463" s="112"/>
      <c r="N19463" s="84"/>
    </row>
    <row r="19464" spans="1:14" s="2" customFormat="1">
      <c r="A19464" s="83"/>
      <c r="H19464" s="83"/>
      <c r="K19464" s="82"/>
      <c r="M19464" s="112"/>
      <c r="N19464" s="84"/>
    </row>
    <row r="19465" spans="1:14" s="2" customFormat="1">
      <c r="A19465" s="83"/>
      <c r="H19465" s="83"/>
      <c r="K19465" s="82"/>
      <c r="M19465" s="112"/>
      <c r="N19465" s="84"/>
    </row>
    <row r="19466" spans="1:14" s="2" customFormat="1">
      <c r="A19466" s="83"/>
      <c r="H19466" s="83"/>
      <c r="K19466" s="82"/>
      <c r="M19466" s="112"/>
      <c r="N19466" s="84"/>
    </row>
    <row r="19467" spans="1:14" s="2" customFormat="1">
      <c r="A19467" s="83"/>
      <c r="H19467" s="83"/>
      <c r="K19467" s="82"/>
      <c r="M19467" s="112"/>
      <c r="N19467" s="84"/>
    </row>
    <row r="19468" spans="1:14" s="2" customFormat="1">
      <c r="A19468" s="83"/>
      <c r="H19468" s="83"/>
      <c r="K19468" s="82"/>
      <c r="M19468" s="112"/>
      <c r="N19468" s="84"/>
    </row>
    <row r="19469" spans="1:14" s="2" customFormat="1">
      <c r="A19469" s="83"/>
      <c r="H19469" s="83"/>
      <c r="K19469" s="82"/>
      <c r="M19469" s="112"/>
      <c r="N19469" s="84"/>
    </row>
    <row r="19470" spans="1:14" s="2" customFormat="1">
      <c r="A19470" s="83"/>
      <c r="H19470" s="83"/>
      <c r="K19470" s="82"/>
      <c r="M19470" s="112"/>
      <c r="N19470" s="84"/>
    </row>
    <row r="19471" spans="1:14" s="2" customFormat="1">
      <c r="A19471" s="83"/>
      <c r="H19471" s="83"/>
      <c r="K19471" s="82"/>
      <c r="M19471" s="112"/>
      <c r="N19471" s="84"/>
    </row>
    <row r="19472" spans="1:14" s="2" customFormat="1">
      <c r="A19472" s="83"/>
      <c r="H19472" s="83"/>
      <c r="K19472" s="82"/>
      <c r="M19472" s="112"/>
      <c r="N19472" s="84"/>
    </row>
    <row r="19473" spans="1:14" s="2" customFormat="1">
      <c r="A19473" s="83"/>
      <c r="H19473" s="83"/>
      <c r="K19473" s="82"/>
      <c r="M19473" s="112"/>
      <c r="N19473" s="84"/>
    </row>
    <row r="19474" spans="1:14" s="2" customFormat="1">
      <c r="A19474" s="83"/>
      <c r="H19474" s="83"/>
      <c r="K19474" s="82"/>
      <c r="M19474" s="112"/>
      <c r="N19474" s="84"/>
    </row>
    <row r="19475" spans="1:14" s="2" customFormat="1">
      <c r="A19475" s="83"/>
      <c r="H19475" s="83"/>
      <c r="K19475" s="82"/>
      <c r="M19475" s="112"/>
      <c r="N19475" s="84"/>
    </row>
    <row r="19476" spans="1:14" s="2" customFormat="1">
      <c r="A19476" s="83"/>
      <c r="H19476" s="83"/>
      <c r="K19476" s="82"/>
      <c r="M19476" s="112"/>
      <c r="N19476" s="84"/>
    </row>
    <row r="19477" spans="1:14" s="2" customFormat="1">
      <c r="A19477" s="83"/>
      <c r="H19477" s="83"/>
      <c r="K19477" s="82"/>
      <c r="M19477" s="112"/>
      <c r="N19477" s="84"/>
    </row>
    <row r="19478" spans="1:14" s="2" customFormat="1">
      <c r="A19478" s="83"/>
      <c r="H19478" s="83"/>
      <c r="K19478" s="82"/>
      <c r="M19478" s="112"/>
      <c r="N19478" s="84"/>
    </row>
    <row r="19479" spans="1:14" s="2" customFormat="1">
      <c r="A19479" s="83"/>
      <c r="H19479" s="83"/>
      <c r="K19479" s="82"/>
      <c r="M19479" s="112"/>
      <c r="N19479" s="84"/>
    </row>
    <row r="19480" spans="1:14" s="2" customFormat="1">
      <c r="A19480" s="83"/>
      <c r="H19480" s="83"/>
      <c r="K19480" s="82"/>
      <c r="M19480" s="112"/>
      <c r="N19480" s="84"/>
    </row>
    <row r="19481" spans="1:14" s="2" customFormat="1">
      <c r="A19481" s="83"/>
      <c r="H19481" s="83"/>
      <c r="K19481" s="82"/>
      <c r="M19481" s="112"/>
      <c r="N19481" s="84"/>
    </row>
    <row r="19482" spans="1:14" s="2" customFormat="1">
      <c r="A19482" s="83"/>
      <c r="H19482" s="83"/>
      <c r="K19482" s="82"/>
      <c r="M19482" s="112"/>
      <c r="N19482" s="84"/>
    </row>
    <row r="19483" spans="1:14" s="2" customFormat="1">
      <c r="A19483" s="83"/>
      <c r="H19483" s="83"/>
      <c r="K19483" s="82"/>
      <c r="M19483" s="112"/>
      <c r="N19483" s="84"/>
    </row>
    <row r="19484" spans="1:14" s="2" customFormat="1">
      <c r="A19484" s="83"/>
      <c r="H19484" s="83"/>
      <c r="K19484" s="82"/>
      <c r="M19484" s="112"/>
      <c r="N19484" s="84"/>
    </row>
    <row r="19485" spans="1:14" s="2" customFormat="1">
      <c r="A19485" s="83"/>
      <c r="H19485" s="83"/>
      <c r="K19485" s="82"/>
      <c r="M19485" s="112"/>
      <c r="N19485" s="84"/>
    </row>
    <row r="19486" spans="1:14" s="2" customFormat="1">
      <c r="A19486" s="83"/>
      <c r="H19486" s="83"/>
      <c r="K19486" s="82"/>
      <c r="M19486" s="112"/>
      <c r="N19486" s="84"/>
    </row>
    <row r="19487" spans="1:14" s="2" customFormat="1">
      <c r="A19487" s="83"/>
      <c r="H19487" s="83"/>
      <c r="K19487" s="82"/>
      <c r="M19487" s="112"/>
      <c r="N19487" s="84"/>
    </row>
    <row r="19488" spans="1:14" s="2" customFormat="1">
      <c r="A19488" s="83"/>
      <c r="H19488" s="83"/>
      <c r="K19488" s="82"/>
      <c r="M19488" s="112"/>
      <c r="N19488" s="84"/>
    </row>
    <row r="19489" spans="1:14" s="2" customFormat="1">
      <c r="A19489" s="83"/>
      <c r="H19489" s="83"/>
      <c r="K19489" s="82"/>
      <c r="M19489" s="112"/>
      <c r="N19489" s="84"/>
    </row>
    <row r="19490" spans="1:14" s="2" customFormat="1">
      <c r="A19490" s="83"/>
      <c r="H19490" s="83"/>
      <c r="K19490" s="82"/>
      <c r="M19490" s="112"/>
      <c r="N19490" s="84"/>
    </row>
    <row r="19491" spans="1:14" s="2" customFormat="1">
      <c r="A19491" s="83"/>
      <c r="H19491" s="83"/>
      <c r="K19491" s="82"/>
      <c r="M19491" s="112"/>
      <c r="N19491" s="84"/>
    </row>
    <row r="19492" spans="1:14" s="2" customFormat="1">
      <c r="A19492" s="83"/>
      <c r="H19492" s="83"/>
      <c r="K19492" s="82"/>
      <c r="M19492" s="112"/>
      <c r="N19492" s="84"/>
    </row>
    <row r="19493" spans="1:14" s="2" customFormat="1">
      <c r="A19493" s="83"/>
      <c r="H19493" s="83"/>
      <c r="K19493" s="82"/>
      <c r="M19493" s="112"/>
      <c r="N19493" s="84"/>
    </row>
    <row r="19494" spans="1:14" s="2" customFormat="1">
      <c r="A19494" s="83"/>
      <c r="H19494" s="83"/>
      <c r="K19494" s="82"/>
      <c r="M19494" s="112"/>
      <c r="N19494" s="84"/>
    </row>
    <row r="19495" spans="1:14" s="2" customFormat="1">
      <c r="A19495" s="83"/>
      <c r="H19495" s="83"/>
      <c r="K19495" s="82"/>
      <c r="M19495" s="112"/>
      <c r="N19495" s="84"/>
    </row>
    <row r="19496" spans="1:14" s="2" customFormat="1">
      <c r="A19496" s="83"/>
      <c r="H19496" s="83"/>
      <c r="K19496" s="82"/>
      <c r="M19496" s="112"/>
      <c r="N19496" s="84"/>
    </row>
    <row r="19497" spans="1:14" s="2" customFormat="1">
      <c r="A19497" s="83"/>
      <c r="H19497" s="83"/>
      <c r="K19497" s="82"/>
      <c r="M19497" s="112"/>
      <c r="N19497" s="84"/>
    </row>
    <row r="19498" spans="1:14" s="2" customFormat="1">
      <c r="A19498" s="83"/>
      <c r="H19498" s="83"/>
      <c r="K19498" s="82"/>
      <c r="M19498" s="112"/>
      <c r="N19498" s="84"/>
    </row>
    <row r="19499" spans="1:14" s="2" customFormat="1">
      <c r="A19499" s="83"/>
      <c r="H19499" s="83"/>
      <c r="K19499" s="82"/>
      <c r="M19499" s="112"/>
      <c r="N19499" s="84"/>
    </row>
    <row r="19500" spans="1:14" s="2" customFormat="1">
      <c r="A19500" s="83"/>
      <c r="H19500" s="83"/>
      <c r="K19500" s="82"/>
      <c r="M19500" s="112"/>
      <c r="N19500" s="84"/>
    </row>
    <row r="19501" spans="1:14" s="2" customFormat="1">
      <c r="A19501" s="83"/>
      <c r="H19501" s="83"/>
      <c r="K19501" s="82"/>
      <c r="M19501" s="112"/>
      <c r="N19501" s="84"/>
    </row>
    <row r="19502" spans="1:14" s="2" customFormat="1">
      <c r="A19502" s="83"/>
      <c r="H19502" s="83"/>
      <c r="K19502" s="82"/>
      <c r="M19502" s="112"/>
      <c r="N19502" s="84"/>
    </row>
    <row r="19503" spans="1:14" s="2" customFormat="1">
      <c r="A19503" s="83"/>
      <c r="H19503" s="83"/>
      <c r="K19503" s="82"/>
      <c r="M19503" s="112"/>
      <c r="N19503" s="84"/>
    </row>
    <row r="19504" spans="1:14" s="2" customFormat="1">
      <c r="A19504" s="83"/>
      <c r="H19504" s="83"/>
      <c r="K19504" s="82"/>
      <c r="M19504" s="112"/>
      <c r="N19504" s="84"/>
    </row>
    <row r="19505" spans="1:14" s="2" customFormat="1">
      <c r="A19505" s="83"/>
      <c r="H19505" s="83"/>
      <c r="K19505" s="82"/>
      <c r="M19505" s="112"/>
      <c r="N19505" s="84"/>
    </row>
    <row r="19506" spans="1:14" s="2" customFormat="1">
      <c r="A19506" s="83"/>
      <c r="H19506" s="83"/>
      <c r="K19506" s="82"/>
      <c r="M19506" s="112"/>
      <c r="N19506" s="84"/>
    </row>
    <row r="19507" spans="1:14" s="2" customFormat="1">
      <c r="A19507" s="83"/>
      <c r="H19507" s="83"/>
      <c r="K19507" s="82"/>
      <c r="M19507" s="112"/>
      <c r="N19507" s="84"/>
    </row>
    <row r="19508" spans="1:14" s="2" customFormat="1">
      <c r="A19508" s="83"/>
      <c r="H19508" s="83"/>
      <c r="K19508" s="82"/>
      <c r="M19508" s="112"/>
      <c r="N19508" s="84"/>
    </row>
    <row r="19509" spans="1:14" s="2" customFormat="1">
      <c r="A19509" s="83"/>
      <c r="H19509" s="83"/>
      <c r="K19509" s="82"/>
      <c r="M19509" s="112"/>
      <c r="N19509" s="84"/>
    </row>
    <row r="19510" spans="1:14" s="2" customFormat="1">
      <c r="A19510" s="83"/>
      <c r="H19510" s="83"/>
      <c r="K19510" s="82"/>
      <c r="M19510" s="112"/>
      <c r="N19510" s="84"/>
    </row>
    <row r="19511" spans="1:14" s="2" customFormat="1">
      <c r="A19511" s="83"/>
      <c r="H19511" s="83"/>
      <c r="K19511" s="82"/>
      <c r="M19511" s="112"/>
      <c r="N19511" s="84"/>
    </row>
    <row r="19512" spans="1:14" s="2" customFormat="1">
      <c r="A19512" s="83"/>
      <c r="H19512" s="83"/>
      <c r="K19512" s="82"/>
      <c r="M19512" s="112"/>
      <c r="N19512" s="84"/>
    </row>
    <row r="19513" spans="1:14" s="2" customFormat="1">
      <c r="A19513" s="83"/>
      <c r="H19513" s="83"/>
      <c r="K19513" s="82"/>
      <c r="M19513" s="112"/>
      <c r="N19513" s="84"/>
    </row>
    <row r="19514" spans="1:14" s="2" customFormat="1">
      <c r="A19514" s="83"/>
      <c r="H19514" s="83"/>
      <c r="K19514" s="82"/>
      <c r="M19514" s="112"/>
      <c r="N19514" s="84"/>
    </row>
    <row r="19515" spans="1:14" s="2" customFormat="1">
      <c r="A19515" s="83"/>
      <c r="H19515" s="83"/>
      <c r="K19515" s="82"/>
      <c r="M19515" s="112"/>
      <c r="N19515" s="84"/>
    </row>
    <row r="19516" spans="1:14" s="2" customFormat="1">
      <c r="A19516" s="83"/>
      <c r="H19516" s="83"/>
      <c r="K19516" s="82"/>
      <c r="M19516" s="112"/>
      <c r="N19516" s="84"/>
    </row>
    <row r="19517" spans="1:14" s="2" customFormat="1">
      <c r="A19517" s="83"/>
      <c r="H19517" s="83"/>
      <c r="K19517" s="82"/>
      <c r="M19517" s="112"/>
      <c r="N19517" s="84"/>
    </row>
    <row r="19518" spans="1:14" s="2" customFormat="1">
      <c r="A19518" s="83"/>
      <c r="H19518" s="83"/>
      <c r="K19518" s="82"/>
      <c r="M19518" s="112"/>
      <c r="N19518" s="84"/>
    </row>
    <row r="19519" spans="1:14" s="2" customFormat="1">
      <c r="A19519" s="83"/>
      <c r="H19519" s="83"/>
      <c r="K19519" s="82"/>
      <c r="M19519" s="112"/>
      <c r="N19519" s="84"/>
    </row>
    <row r="19520" spans="1:14" s="2" customFormat="1">
      <c r="A19520" s="83"/>
      <c r="H19520" s="83"/>
      <c r="K19520" s="82"/>
      <c r="M19520" s="112"/>
      <c r="N19520" s="84"/>
    </row>
    <row r="19521" spans="1:14" s="2" customFormat="1">
      <c r="A19521" s="83"/>
      <c r="H19521" s="83"/>
      <c r="K19521" s="82"/>
      <c r="M19521" s="112"/>
      <c r="N19521" s="84"/>
    </row>
    <row r="19522" spans="1:14" s="2" customFormat="1">
      <c r="A19522" s="83"/>
      <c r="H19522" s="83"/>
      <c r="K19522" s="82"/>
      <c r="M19522" s="112"/>
      <c r="N19522" s="84"/>
    </row>
    <row r="19523" spans="1:14" s="2" customFormat="1">
      <c r="A19523" s="83"/>
      <c r="H19523" s="83"/>
      <c r="K19523" s="82"/>
      <c r="M19523" s="112"/>
      <c r="N19523" s="84"/>
    </row>
    <row r="19524" spans="1:14" s="2" customFormat="1">
      <c r="A19524" s="83"/>
      <c r="H19524" s="83"/>
      <c r="K19524" s="82"/>
      <c r="M19524" s="112"/>
      <c r="N19524" s="84"/>
    </row>
    <row r="19525" spans="1:14" s="2" customFormat="1">
      <c r="A19525" s="83"/>
      <c r="H19525" s="83"/>
      <c r="K19525" s="82"/>
      <c r="M19525" s="112"/>
      <c r="N19525" s="84"/>
    </row>
    <row r="19526" spans="1:14" s="2" customFormat="1">
      <c r="A19526" s="83"/>
      <c r="H19526" s="83"/>
      <c r="K19526" s="82"/>
      <c r="M19526" s="112"/>
      <c r="N19526" s="84"/>
    </row>
    <row r="19527" spans="1:14" s="2" customFormat="1">
      <c r="A19527" s="83"/>
      <c r="H19527" s="83"/>
      <c r="K19527" s="82"/>
      <c r="M19527" s="112"/>
      <c r="N19527" s="84"/>
    </row>
    <row r="19528" spans="1:14" s="2" customFormat="1">
      <c r="A19528" s="83"/>
      <c r="H19528" s="83"/>
      <c r="K19528" s="82"/>
      <c r="M19528" s="112"/>
      <c r="N19528" s="84"/>
    </row>
    <row r="19529" spans="1:14" s="2" customFormat="1">
      <c r="A19529" s="83"/>
      <c r="H19529" s="83"/>
      <c r="K19529" s="82"/>
      <c r="M19529" s="112"/>
      <c r="N19529" s="84"/>
    </row>
    <row r="19530" spans="1:14" s="2" customFormat="1">
      <c r="A19530" s="83"/>
      <c r="H19530" s="83"/>
      <c r="K19530" s="82"/>
      <c r="M19530" s="112"/>
      <c r="N19530" s="84"/>
    </row>
    <row r="19531" spans="1:14" s="2" customFormat="1">
      <c r="A19531" s="83"/>
      <c r="H19531" s="83"/>
      <c r="K19531" s="82"/>
      <c r="M19531" s="112"/>
      <c r="N19531" s="84"/>
    </row>
    <row r="19532" spans="1:14" s="2" customFormat="1">
      <c r="A19532" s="83"/>
      <c r="H19532" s="83"/>
      <c r="K19532" s="82"/>
      <c r="M19532" s="112"/>
      <c r="N19532" s="84"/>
    </row>
    <row r="19533" spans="1:14" s="2" customFormat="1">
      <c r="A19533" s="83"/>
      <c r="H19533" s="83"/>
      <c r="K19533" s="82"/>
      <c r="M19533" s="112"/>
      <c r="N19533" s="84"/>
    </row>
    <row r="19534" spans="1:14" s="2" customFormat="1">
      <c r="A19534" s="83"/>
      <c r="H19534" s="83"/>
      <c r="K19534" s="82"/>
      <c r="M19534" s="112"/>
      <c r="N19534" s="84"/>
    </row>
    <row r="19535" spans="1:14" s="2" customFormat="1">
      <c r="A19535" s="83"/>
      <c r="H19535" s="83"/>
      <c r="K19535" s="82"/>
      <c r="M19535" s="112"/>
      <c r="N19535" s="84"/>
    </row>
    <row r="19536" spans="1:14" s="2" customFormat="1">
      <c r="A19536" s="83"/>
      <c r="H19536" s="83"/>
      <c r="K19536" s="82"/>
      <c r="M19536" s="112"/>
      <c r="N19536" s="84"/>
    </row>
    <row r="19537" spans="1:14" s="2" customFormat="1">
      <c r="A19537" s="83"/>
      <c r="H19537" s="83"/>
      <c r="K19537" s="82"/>
      <c r="M19537" s="112"/>
      <c r="N19537" s="84"/>
    </row>
    <row r="19538" spans="1:14" s="2" customFormat="1">
      <c r="A19538" s="83"/>
      <c r="H19538" s="83"/>
      <c r="K19538" s="82"/>
      <c r="M19538" s="112"/>
      <c r="N19538" s="84"/>
    </row>
    <row r="19539" spans="1:14" s="2" customFormat="1">
      <c r="A19539" s="83"/>
      <c r="H19539" s="83"/>
      <c r="K19539" s="82"/>
      <c r="M19539" s="112"/>
      <c r="N19539" s="84"/>
    </row>
    <row r="19540" spans="1:14" s="2" customFormat="1">
      <c r="A19540" s="83"/>
      <c r="H19540" s="83"/>
      <c r="K19540" s="82"/>
      <c r="M19540" s="112"/>
      <c r="N19540" s="84"/>
    </row>
    <row r="19541" spans="1:14" s="2" customFormat="1">
      <c r="A19541" s="83"/>
      <c r="H19541" s="83"/>
      <c r="K19541" s="82"/>
      <c r="M19541" s="112"/>
      <c r="N19541" s="84"/>
    </row>
    <row r="19542" spans="1:14" s="2" customFormat="1">
      <c r="A19542" s="83"/>
      <c r="H19542" s="83"/>
      <c r="K19542" s="82"/>
      <c r="M19542" s="112"/>
      <c r="N19542" s="84"/>
    </row>
    <row r="19543" spans="1:14" s="2" customFormat="1">
      <c r="A19543" s="83"/>
      <c r="H19543" s="83"/>
      <c r="K19543" s="82"/>
      <c r="M19543" s="112"/>
      <c r="N19543" s="84"/>
    </row>
    <row r="19544" spans="1:14" s="2" customFormat="1">
      <c r="A19544" s="83"/>
      <c r="H19544" s="83"/>
      <c r="K19544" s="82"/>
      <c r="M19544" s="112"/>
      <c r="N19544" s="84"/>
    </row>
    <row r="19545" spans="1:14" s="2" customFormat="1">
      <c r="A19545" s="83"/>
      <c r="H19545" s="83"/>
      <c r="K19545" s="82"/>
      <c r="M19545" s="112"/>
      <c r="N19545" s="84"/>
    </row>
    <row r="19546" spans="1:14" s="2" customFormat="1">
      <c r="A19546" s="83"/>
      <c r="H19546" s="83"/>
      <c r="K19546" s="82"/>
      <c r="M19546" s="112"/>
      <c r="N19546" s="84"/>
    </row>
    <row r="19547" spans="1:14" s="2" customFormat="1">
      <c r="A19547" s="83"/>
      <c r="H19547" s="83"/>
      <c r="K19547" s="82"/>
      <c r="M19547" s="112"/>
      <c r="N19547" s="84"/>
    </row>
    <row r="19548" spans="1:14" s="2" customFormat="1">
      <c r="A19548" s="83"/>
      <c r="H19548" s="83"/>
      <c r="K19548" s="82"/>
      <c r="M19548" s="112"/>
      <c r="N19548" s="84"/>
    </row>
    <row r="19549" spans="1:14" s="2" customFormat="1">
      <c r="A19549" s="83"/>
      <c r="H19549" s="83"/>
      <c r="K19549" s="82"/>
      <c r="M19549" s="112"/>
      <c r="N19549" s="84"/>
    </row>
    <row r="19550" spans="1:14" s="2" customFormat="1">
      <c r="A19550" s="83"/>
      <c r="H19550" s="83"/>
      <c r="K19550" s="82"/>
      <c r="M19550" s="112"/>
      <c r="N19550" s="84"/>
    </row>
    <row r="19551" spans="1:14" s="2" customFormat="1">
      <c r="A19551" s="83"/>
      <c r="H19551" s="83"/>
      <c r="K19551" s="82"/>
      <c r="M19551" s="112"/>
      <c r="N19551" s="84"/>
    </row>
    <row r="19552" spans="1:14" s="2" customFormat="1">
      <c r="A19552" s="83"/>
      <c r="H19552" s="83"/>
      <c r="K19552" s="82"/>
      <c r="M19552" s="112"/>
      <c r="N19552" s="84"/>
    </row>
    <row r="19553" spans="1:14" s="2" customFormat="1">
      <c r="A19553" s="83"/>
      <c r="H19553" s="83"/>
      <c r="K19553" s="82"/>
      <c r="M19553" s="112"/>
      <c r="N19553" s="84"/>
    </row>
    <row r="19554" spans="1:14" s="2" customFormat="1">
      <c r="A19554" s="83"/>
      <c r="H19554" s="83"/>
      <c r="K19554" s="82"/>
      <c r="M19554" s="112"/>
      <c r="N19554" s="84"/>
    </row>
    <row r="19555" spans="1:14" s="2" customFormat="1">
      <c r="A19555" s="83"/>
      <c r="H19555" s="83"/>
      <c r="K19555" s="82"/>
      <c r="M19555" s="112"/>
      <c r="N19555" s="84"/>
    </row>
    <row r="19556" spans="1:14" s="2" customFormat="1">
      <c r="A19556" s="83"/>
      <c r="H19556" s="83"/>
      <c r="K19556" s="82"/>
      <c r="M19556" s="112"/>
      <c r="N19556" s="84"/>
    </row>
    <row r="19557" spans="1:14" s="2" customFormat="1">
      <c r="A19557" s="83"/>
      <c r="H19557" s="83"/>
      <c r="K19557" s="82"/>
      <c r="M19557" s="112"/>
      <c r="N19557" s="84"/>
    </row>
    <row r="19558" spans="1:14" s="2" customFormat="1">
      <c r="A19558" s="83"/>
      <c r="H19558" s="83"/>
      <c r="K19558" s="82"/>
      <c r="M19558" s="112"/>
      <c r="N19558" s="84"/>
    </row>
    <row r="19559" spans="1:14" s="2" customFormat="1">
      <c r="A19559" s="83"/>
      <c r="H19559" s="83"/>
      <c r="K19559" s="82"/>
      <c r="M19559" s="112"/>
      <c r="N19559" s="84"/>
    </row>
    <row r="19560" spans="1:14" s="2" customFormat="1">
      <c r="A19560" s="83"/>
      <c r="H19560" s="83"/>
      <c r="K19560" s="82"/>
      <c r="M19560" s="112"/>
      <c r="N19560" s="84"/>
    </row>
    <row r="19561" spans="1:14" s="2" customFormat="1">
      <c r="A19561" s="83"/>
      <c r="H19561" s="83"/>
      <c r="K19561" s="82"/>
      <c r="M19561" s="112"/>
      <c r="N19561" s="84"/>
    </row>
    <row r="19562" spans="1:14" s="2" customFormat="1">
      <c r="A19562" s="83"/>
      <c r="H19562" s="83"/>
      <c r="K19562" s="82"/>
      <c r="M19562" s="112"/>
      <c r="N19562" s="84"/>
    </row>
    <row r="19563" spans="1:14" s="2" customFormat="1">
      <c r="A19563" s="83"/>
      <c r="H19563" s="83"/>
      <c r="K19563" s="82"/>
      <c r="M19563" s="112"/>
      <c r="N19563" s="84"/>
    </row>
    <row r="19564" spans="1:14" s="2" customFormat="1">
      <c r="A19564" s="83"/>
      <c r="H19564" s="83"/>
      <c r="K19564" s="82"/>
      <c r="M19564" s="112"/>
      <c r="N19564" s="84"/>
    </row>
    <row r="19565" spans="1:14" s="2" customFormat="1">
      <c r="A19565" s="83"/>
      <c r="H19565" s="83"/>
      <c r="K19565" s="82"/>
      <c r="M19565" s="112"/>
      <c r="N19565" s="84"/>
    </row>
    <row r="19566" spans="1:14" s="2" customFormat="1">
      <c r="A19566" s="83"/>
      <c r="H19566" s="83"/>
      <c r="K19566" s="82"/>
      <c r="M19566" s="112"/>
      <c r="N19566" s="84"/>
    </row>
    <row r="19567" spans="1:14" s="2" customFormat="1">
      <c r="A19567" s="83"/>
      <c r="H19567" s="83"/>
      <c r="K19567" s="82"/>
      <c r="M19567" s="112"/>
      <c r="N19567" s="84"/>
    </row>
    <row r="19568" spans="1:14" s="2" customFormat="1">
      <c r="A19568" s="83"/>
      <c r="H19568" s="83"/>
      <c r="K19568" s="82"/>
      <c r="M19568" s="112"/>
      <c r="N19568" s="84"/>
    </row>
    <row r="19569" spans="1:14" s="2" customFormat="1">
      <c r="A19569" s="83"/>
      <c r="H19569" s="83"/>
      <c r="K19569" s="82"/>
      <c r="M19569" s="112"/>
      <c r="N19569" s="84"/>
    </row>
    <row r="19570" spans="1:14" s="2" customFormat="1">
      <c r="A19570" s="83"/>
      <c r="H19570" s="83"/>
      <c r="K19570" s="82"/>
      <c r="M19570" s="112"/>
      <c r="N19570" s="84"/>
    </row>
    <row r="19571" spans="1:14" s="2" customFormat="1">
      <c r="A19571" s="83"/>
      <c r="H19571" s="83"/>
      <c r="K19571" s="82"/>
      <c r="M19571" s="112"/>
      <c r="N19571" s="84"/>
    </row>
    <row r="19572" spans="1:14" s="2" customFormat="1">
      <c r="A19572" s="83"/>
      <c r="H19572" s="83"/>
      <c r="K19572" s="82"/>
      <c r="M19572" s="112"/>
      <c r="N19572" s="84"/>
    </row>
    <row r="19573" spans="1:14" s="2" customFormat="1">
      <c r="A19573" s="83"/>
      <c r="H19573" s="83"/>
      <c r="K19573" s="82"/>
      <c r="M19573" s="112"/>
      <c r="N19573" s="84"/>
    </row>
    <row r="19574" spans="1:14" s="2" customFormat="1">
      <c r="A19574" s="83"/>
      <c r="H19574" s="83"/>
      <c r="K19574" s="82"/>
      <c r="M19574" s="112"/>
      <c r="N19574" s="84"/>
    </row>
    <row r="19575" spans="1:14" s="2" customFormat="1">
      <c r="A19575" s="83"/>
      <c r="H19575" s="83"/>
      <c r="K19575" s="82"/>
      <c r="M19575" s="112"/>
      <c r="N19575" s="84"/>
    </row>
    <row r="19576" spans="1:14" s="2" customFormat="1">
      <c r="A19576" s="83"/>
      <c r="H19576" s="83"/>
      <c r="K19576" s="82"/>
      <c r="M19576" s="112"/>
      <c r="N19576" s="84"/>
    </row>
    <row r="19577" spans="1:14" s="2" customFormat="1">
      <c r="A19577" s="83"/>
      <c r="H19577" s="83"/>
      <c r="K19577" s="82"/>
      <c r="M19577" s="112"/>
      <c r="N19577" s="84"/>
    </row>
    <row r="19578" spans="1:14" s="2" customFormat="1">
      <c r="A19578" s="83"/>
      <c r="H19578" s="83"/>
      <c r="K19578" s="82"/>
      <c r="M19578" s="112"/>
      <c r="N19578" s="84"/>
    </row>
    <row r="19579" spans="1:14" s="2" customFormat="1">
      <c r="A19579" s="83"/>
      <c r="H19579" s="83"/>
      <c r="K19579" s="82"/>
      <c r="M19579" s="112"/>
      <c r="N19579" s="84"/>
    </row>
    <row r="19580" spans="1:14" s="2" customFormat="1">
      <c r="A19580" s="83"/>
      <c r="H19580" s="83"/>
      <c r="K19580" s="82"/>
      <c r="M19580" s="112"/>
      <c r="N19580" s="84"/>
    </row>
    <row r="19581" spans="1:14" s="2" customFormat="1">
      <c r="A19581" s="83"/>
      <c r="H19581" s="83"/>
      <c r="K19581" s="82"/>
      <c r="M19581" s="112"/>
      <c r="N19581" s="84"/>
    </row>
    <row r="19582" spans="1:14" s="2" customFormat="1">
      <c r="A19582" s="83"/>
      <c r="H19582" s="83"/>
      <c r="K19582" s="82"/>
      <c r="M19582" s="112"/>
      <c r="N19582" s="84"/>
    </row>
    <row r="19583" spans="1:14" s="2" customFormat="1">
      <c r="A19583" s="83"/>
      <c r="H19583" s="83"/>
      <c r="K19583" s="82"/>
      <c r="M19583" s="112"/>
      <c r="N19583" s="84"/>
    </row>
    <row r="19584" spans="1:14" s="2" customFormat="1">
      <c r="A19584" s="83"/>
      <c r="H19584" s="83"/>
      <c r="K19584" s="82"/>
      <c r="M19584" s="112"/>
      <c r="N19584" s="84"/>
    </row>
    <row r="19585" spans="1:14" s="2" customFormat="1">
      <c r="A19585" s="83"/>
      <c r="H19585" s="83"/>
      <c r="K19585" s="82"/>
      <c r="M19585" s="112"/>
      <c r="N19585" s="84"/>
    </row>
    <row r="19586" spans="1:14" s="2" customFormat="1">
      <c r="A19586" s="83"/>
      <c r="H19586" s="83"/>
      <c r="K19586" s="82"/>
      <c r="M19586" s="112"/>
      <c r="N19586" s="84"/>
    </row>
    <row r="19587" spans="1:14" s="2" customFormat="1">
      <c r="A19587" s="83"/>
      <c r="H19587" s="83"/>
      <c r="K19587" s="82"/>
      <c r="M19587" s="112"/>
      <c r="N19587" s="84"/>
    </row>
    <row r="19588" spans="1:14" s="2" customFormat="1">
      <c r="A19588" s="83"/>
      <c r="H19588" s="83"/>
      <c r="K19588" s="82"/>
      <c r="M19588" s="112"/>
      <c r="N19588" s="84"/>
    </row>
    <row r="19589" spans="1:14" s="2" customFormat="1">
      <c r="A19589" s="83"/>
      <c r="H19589" s="83"/>
      <c r="K19589" s="82"/>
      <c r="M19589" s="112"/>
      <c r="N19589" s="84"/>
    </row>
    <row r="19590" spans="1:14" s="2" customFormat="1">
      <c r="A19590" s="83"/>
      <c r="H19590" s="83"/>
      <c r="K19590" s="82"/>
      <c r="M19590" s="112"/>
      <c r="N19590" s="84"/>
    </row>
    <row r="19591" spans="1:14" s="2" customFormat="1">
      <c r="A19591" s="83"/>
      <c r="H19591" s="83"/>
      <c r="K19591" s="82"/>
      <c r="M19591" s="112"/>
      <c r="N19591" s="84"/>
    </row>
    <row r="19592" spans="1:14" s="2" customFormat="1">
      <c r="A19592" s="83"/>
      <c r="H19592" s="83"/>
      <c r="K19592" s="82"/>
      <c r="M19592" s="112"/>
      <c r="N19592" s="84"/>
    </row>
    <row r="19593" spans="1:14" s="2" customFormat="1">
      <c r="A19593" s="83"/>
      <c r="H19593" s="83"/>
      <c r="K19593" s="82"/>
      <c r="M19593" s="112"/>
      <c r="N19593" s="84"/>
    </row>
    <row r="19594" spans="1:14" s="2" customFormat="1">
      <c r="A19594" s="83"/>
      <c r="H19594" s="83"/>
      <c r="K19594" s="82"/>
      <c r="M19594" s="112"/>
      <c r="N19594" s="84"/>
    </row>
    <row r="19595" spans="1:14" s="2" customFormat="1">
      <c r="A19595" s="83"/>
      <c r="H19595" s="83"/>
      <c r="K19595" s="82"/>
      <c r="M19595" s="112"/>
      <c r="N19595" s="84"/>
    </row>
    <row r="19596" spans="1:14" s="2" customFormat="1">
      <c r="A19596" s="83"/>
      <c r="H19596" s="83"/>
      <c r="K19596" s="82"/>
      <c r="M19596" s="112"/>
      <c r="N19596" s="84"/>
    </row>
    <row r="19597" spans="1:14" s="2" customFormat="1">
      <c r="A19597" s="83"/>
      <c r="H19597" s="83"/>
      <c r="K19597" s="82"/>
      <c r="M19597" s="112"/>
      <c r="N19597" s="84"/>
    </row>
    <row r="19598" spans="1:14" s="2" customFormat="1">
      <c r="A19598" s="83"/>
      <c r="H19598" s="83"/>
      <c r="K19598" s="82"/>
      <c r="M19598" s="112"/>
      <c r="N19598" s="84"/>
    </row>
    <row r="19599" spans="1:14" s="2" customFormat="1">
      <c r="A19599" s="83"/>
      <c r="H19599" s="83"/>
      <c r="K19599" s="82"/>
      <c r="M19599" s="112"/>
      <c r="N19599" s="84"/>
    </row>
    <row r="19600" spans="1:14" s="2" customFormat="1">
      <c r="A19600" s="83"/>
      <c r="H19600" s="83"/>
      <c r="K19600" s="82"/>
      <c r="M19600" s="112"/>
      <c r="N19600" s="84"/>
    </row>
    <row r="19601" spans="1:14" s="2" customFormat="1">
      <c r="A19601" s="83"/>
      <c r="H19601" s="83"/>
      <c r="K19601" s="82"/>
      <c r="M19601" s="112"/>
      <c r="N19601" s="84"/>
    </row>
    <row r="19602" spans="1:14" s="2" customFormat="1">
      <c r="A19602" s="83"/>
      <c r="H19602" s="83"/>
      <c r="K19602" s="82"/>
      <c r="M19602" s="112"/>
      <c r="N19602" s="84"/>
    </row>
    <row r="19603" spans="1:14" s="2" customFormat="1">
      <c r="A19603" s="83"/>
      <c r="H19603" s="83"/>
      <c r="K19603" s="82"/>
      <c r="M19603" s="112"/>
      <c r="N19603" s="84"/>
    </row>
    <row r="19604" spans="1:14" s="2" customFormat="1">
      <c r="A19604" s="83"/>
      <c r="H19604" s="83"/>
      <c r="K19604" s="82"/>
      <c r="M19604" s="112"/>
      <c r="N19604" s="84"/>
    </row>
    <row r="19605" spans="1:14" s="2" customFormat="1">
      <c r="A19605" s="83"/>
      <c r="H19605" s="83"/>
      <c r="K19605" s="82"/>
      <c r="M19605" s="112"/>
      <c r="N19605" s="84"/>
    </row>
    <row r="19606" spans="1:14" s="2" customFormat="1">
      <c r="A19606" s="83"/>
      <c r="H19606" s="83"/>
      <c r="K19606" s="82"/>
      <c r="M19606" s="112"/>
      <c r="N19606" s="84"/>
    </row>
    <row r="19607" spans="1:14" s="2" customFormat="1">
      <c r="A19607" s="83"/>
      <c r="H19607" s="83"/>
      <c r="K19607" s="82"/>
      <c r="M19607" s="112"/>
      <c r="N19607" s="84"/>
    </row>
    <row r="19608" spans="1:14" s="2" customFormat="1">
      <c r="A19608" s="83"/>
      <c r="H19608" s="83"/>
      <c r="K19608" s="82"/>
      <c r="M19608" s="112"/>
      <c r="N19608" s="84"/>
    </row>
    <row r="19609" spans="1:14" s="2" customFormat="1">
      <c r="A19609" s="83"/>
      <c r="H19609" s="83"/>
      <c r="K19609" s="82"/>
      <c r="M19609" s="112"/>
      <c r="N19609" s="84"/>
    </row>
    <row r="19610" spans="1:14" s="2" customFormat="1">
      <c r="A19610" s="83"/>
      <c r="H19610" s="83"/>
      <c r="K19610" s="82"/>
      <c r="M19610" s="112"/>
      <c r="N19610" s="84"/>
    </row>
    <row r="19611" spans="1:14" s="2" customFormat="1">
      <c r="A19611" s="83"/>
      <c r="H19611" s="83"/>
      <c r="K19611" s="82"/>
      <c r="M19611" s="112"/>
      <c r="N19611" s="84"/>
    </row>
    <row r="19612" spans="1:14" s="2" customFormat="1">
      <c r="A19612" s="83"/>
      <c r="H19612" s="83"/>
      <c r="K19612" s="82"/>
      <c r="M19612" s="112"/>
      <c r="N19612" s="84"/>
    </row>
    <row r="19613" spans="1:14" s="2" customFormat="1">
      <c r="A19613" s="83"/>
      <c r="H19613" s="83"/>
      <c r="K19613" s="82"/>
      <c r="M19613" s="112"/>
      <c r="N19613" s="84"/>
    </row>
    <row r="19614" spans="1:14" s="2" customFormat="1">
      <c r="A19614" s="83"/>
      <c r="H19614" s="83"/>
      <c r="K19614" s="82"/>
      <c r="M19614" s="112"/>
      <c r="N19614" s="84"/>
    </row>
    <row r="19615" spans="1:14" s="2" customFormat="1">
      <c r="A19615" s="83"/>
      <c r="H19615" s="83"/>
      <c r="K19615" s="82"/>
      <c r="M19615" s="112"/>
      <c r="N19615" s="84"/>
    </row>
    <row r="19616" spans="1:14" s="2" customFormat="1">
      <c r="A19616" s="83"/>
      <c r="H19616" s="83"/>
      <c r="K19616" s="82"/>
      <c r="M19616" s="112"/>
      <c r="N19616" s="84"/>
    </row>
    <row r="19617" spans="1:14" s="2" customFormat="1">
      <c r="A19617" s="83"/>
      <c r="H19617" s="83"/>
      <c r="K19617" s="82"/>
      <c r="M19617" s="112"/>
      <c r="N19617" s="84"/>
    </row>
    <row r="19618" spans="1:14" s="2" customFormat="1">
      <c r="A19618" s="83"/>
      <c r="H19618" s="83"/>
      <c r="K19618" s="82"/>
      <c r="M19618" s="112"/>
      <c r="N19618" s="84"/>
    </row>
    <row r="19619" spans="1:14" s="2" customFormat="1">
      <c r="A19619" s="83"/>
      <c r="H19619" s="83"/>
      <c r="K19619" s="82"/>
      <c r="M19619" s="112"/>
      <c r="N19619" s="84"/>
    </row>
    <row r="19620" spans="1:14" s="2" customFormat="1">
      <c r="A19620" s="83"/>
      <c r="H19620" s="83"/>
      <c r="K19620" s="82"/>
      <c r="M19620" s="112"/>
      <c r="N19620" s="84"/>
    </row>
    <row r="19621" spans="1:14" s="2" customFormat="1">
      <c r="A19621" s="83"/>
      <c r="H19621" s="83"/>
      <c r="K19621" s="82"/>
      <c r="M19621" s="112"/>
      <c r="N19621" s="84"/>
    </row>
    <row r="19622" spans="1:14" s="2" customFormat="1">
      <c r="A19622" s="83"/>
      <c r="H19622" s="83"/>
      <c r="K19622" s="82"/>
      <c r="M19622" s="112"/>
      <c r="N19622" s="84"/>
    </row>
    <row r="19623" spans="1:14" s="2" customFormat="1">
      <c r="A19623" s="83"/>
      <c r="H19623" s="83"/>
      <c r="K19623" s="82"/>
      <c r="M19623" s="112"/>
      <c r="N19623" s="84"/>
    </row>
    <row r="19624" spans="1:14" s="2" customFormat="1">
      <c r="A19624" s="83"/>
      <c r="H19624" s="83"/>
      <c r="K19624" s="82"/>
      <c r="M19624" s="112"/>
      <c r="N19624" s="84"/>
    </row>
    <row r="19625" spans="1:14" s="2" customFormat="1">
      <c r="A19625" s="83"/>
      <c r="H19625" s="83"/>
      <c r="K19625" s="82"/>
      <c r="M19625" s="112"/>
      <c r="N19625" s="84"/>
    </row>
    <row r="19626" spans="1:14" s="2" customFormat="1">
      <c r="A19626" s="83"/>
      <c r="H19626" s="83"/>
      <c r="K19626" s="82"/>
      <c r="M19626" s="112"/>
      <c r="N19626" s="84"/>
    </row>
    <row r="19627" spans="1:14" s="2" customFormat="1">
      <c r="A19627" s="83"/>
      <c r="H19627" s="83"/>
      <c r="K19627" s="82"/>
      <c r="M19627" s="112"/>
      <c r="N19627" s="84"/>
    </row>
    <row r="19628" spans="1:14" s="2" customFormat="1">
      <c r="A19628" s="83"/>
      <c r="H19628" s="83"/>
      <c r="K19628" s="82"/>
      <c r="M19628" s="112"/>
      <c r="N19628" s="84"/>
    </row>
    <row r="19629" spans="1:14" s="2" customFormat="1">
      <c r="A19629" s="83"/>
      <c r="H19629" s="83"/>
      <c r="K19629" s="82"/>
      <c r="M19629" s="112"/>
      <c r="N19629" s="84"/>
    </row>
    <row r="19630" spans="1:14" s="2" customFormat="1">
      <c r="A19630" s="83"/>
      <c r="H19630" s="83"/>
      <c r="K19630" s="82"/>
      <c r="M19630" s="112"/>
      <c r="N19630" s="84"/>
    </row>
    <row r="19631" spans="1:14" s="2" customFormat="1">
      <c r="A19631" s="83"/>
      <c r="H19631" s="83"/>
      <c r="K19631" s="82"/>
      <c r="M19631" s="112"/>
      <c r="N19631" s="84"/>
    </row>
    <row r="19632" spans="1:14" s="2" customFormat="1">
      <c r="A19632" s="83"/>
      <c r="H19632" s="83"/>
      <c r="K19632" s="82"/>
      <c r="M19632" s="112"/>
      <c r="N19632" s="84"/>
    </row>
    <row r="19633" spans="1:14" s="2" customFormat="1">
      <c r="A19633" s="83"/>
      <c r="H19633" s="83"/>
      <c r="K19633" s="82"/>
      <c r="M19633" s="112"/>
      <c r="N19633" s="84"/>
    </row>
    <row r="19634" spans="1:14" s="2" customFormat="1">
      <c r="A19634" s="83"/>
      <c r="H19634" s="83"/>
      <c r="K19634" s="82"/>
      <c r="M19634" s="112"/>
      <c r="N19634" s="84"/>
    </row>
    <row r="19635" spans="1:14" s="2" customFormat="1">
      <c r="A19635" s="83"/>
      <c r="H19635" s="83"/>
      <c r="K19635" s="82"/>
      <c r="M19635" s="112"/>
      <c r="N19635" s="84"/>
    </row>
    <row r="19636" spans="1:14" s="2" customFormat="1">
      <c r="A19636" s="83"/>
      <c r="H19636" s="83"/>
      <c r="K19636" s="82"/>
      <c r="M19636" s="112"/>
      <c r="N19636" s="84"/>
    </row>
    <row r="19637" spans="1:14" s="2" customFormat="1">
      <c r="A19637" s="83"/>
      <c r="H19637" s="83"/>
      <c r="K19637" s="82"/>
      <c r="M19637" s="112"/>
      <c r="N19637" s="84"/>
    </row>
    <row r="19638" spans="1:14" s="2" customFormat="1">
      <c r="A19638" s="83"/>
      <c r="H19638" s="83"/>
      <c r="K19638" s="82"/>
      <c r="M19638" s="112"/>
      <c r="N19638" s="84"/>
    </row>
    <row r="19639" spans="1:14" s="2" customFormat="1">
      <c r="A19639" s="83"/>
      <c r="H19639" s="83"/>
      <c r="K19639" s="82"/>
      <c r="M19639" s="112"/>
      <c r="N19639" s="84"/>
    </row>
    <row r="19640" spans="1:14" s="2" customFormat="1">
      <c r="A19640" s="83"/>
      <c r="H19640" s="83"/>
      <c r="K19640" s="82"/>
      <c r="M19640" s="112"/>
      <c r="N19640" s="84"/>
    </row>
    <row r="19641" spans="1:14" s="2" customFormat="1">
      <c r="A19641" s="83"/>
      <c r="H19641" s="83"/>
      <c r="K19641" s="82"/>
      <c r="M19641" s="112"/>
      <c r="N19641" s="84"/>
    </row>
    <row r="19642" spans="1:14" s="2" customFormat="1">
      <c r="A19642" s="83"/>
      <c r="H19642" s="83"/>
      <c r="K19642" s="82"/>
      <c r="M19642" s="112"/>
      <c r="N19642" s="84"/>
    </row>
    <row r="19643" spans="1:14" s="2" customFormat="1">
      <c r="A19643" s="83"/>
      <c r="H19643" s="83"/>
      <c r="K19643" s="82"/>
      <c r="M19643" s="112"/>
      <c r="N19643" s="84"/>
    </row>
    <row r="19644" spans="1:14" s="2" customFormat="1">
      <c r="A19644" s="83"/>
      <c r="H19644" s="83"/>
      <c r="K19644" s="82"/>
      <c r="M19644" s="112"/>
      <c r="N19644" s="84"/>
    </row>
    <row r="19645" spans="1:14" s="2" customFormat="1">
      <c r="A19645" s="83"/>
      <c r="H19645" s="83"/>
      <c r="K19645" s="82"/>
      <c r="M19645" s="112"/>
      <c r="N19645" s="84"/>
    </row>
    <row r="19646" spans="1:14" s="2" customFormat="1">
      <c r="A19646" s="83"/>
      <c r="H19646" s="83"/>
      <c r="K19646" s="82"/>
      <c r="M19646" s="112"/>
      <c r="N19646" s="84"/>
    </row>
    <row r="19647" spans="1:14" s="2" customFormat="1">
      <c r="A19647" s="83"/>
      <c r="H19647" s="83"/>
      <c r="K19647" s="82"/>
      <c r="M19647" s="112"/>
      <c r="N19647" s="84"/>
    </row>
    <row r="19648" spans="1:14" s="2" customFormat="1">
      <c r="A19648" s="83"/>
      <c r="H19648" s="83"/>
      <c r="K19648" s="82"/>
      <c r="M19648" s="112"/>
      <c r="N19648" s="84"/>
    </row>
    <row r="19649" spans="1:14" s="2" customFormat="1">
      <c r="A19649" s="83"/>
      <c r="H19649" s="83"/>
      <c r="K19649" s="82"/>
      <c r="M19649" s="112"/>
      <c r="N19649" s="84"/>
    </row>
    <row r="19650" spans="1:14" s="2" customFormat="1">
      <c r="A19650" s="83"/>
      <c r="H19650" s="83"/>
      <c r="K19650" s="82"/>
      <c r="M19650" s="112"/>
      <c r="N19650" s="84"/>
    </row>
    <row r="19651" spans="1:14" s="2" customFormat="1">
      <c r="A19651" s="83"/>
      <c r="H19651" s="83"/>
      <c r="K19651" s="82"/>
      <c r="M19651" s="112"/>
      <c r="N19651" s="84"/>
    </row>
    <row r="19652" spans="1:14" s="2" customFormat="1">
      <c r="A19652" s="83"/>
      <c r="H19652" s="83"/>
      <c r="K19652" s="82"/>
      <c r="M19652" s="112"/>
      <c r="N19652" s="84"/>
    </row>
    <row r="19653" spans="1:14" s="2" customFormat="1">
      <c r="A19653" s="83"/>
      <c r="H19653" s="83"/>
      <c r="K19653" s="82"/>
      <c r="M19653" s="112"/>
      <c r="N19653" s="84"/>
    </row>
    <row r="19654" spans="1:14" s="2" customFormat="1">
      <c r="A19654" s="83"/>
      <c r="H19654" s="83"/>
      <c r="K19654" s="82"/>
      <c r="M19654" s="112"/>
      <c r="N19654" s="84"/>
    </row>
    <row r="19655" spans="1:14" s="2" customFormat="1">
      <c r="A19655" s="83"/>
      <c r="H19655" s="83"/>
      <c r="K19655" s="82"/>
      <c r="M19655" s="112"/>
      <c r="N19655" s="84"/>
    </row>
    <row r="19656" spans="1:14" s="2" customFormat="1">
      <c r="A19656" s="83"/>
      <c r="H19656" s="83"/>
      <c r="K19656" s="82"/>
      <c r="M19656" s="112"/>
      <c r="N19656" s="84"/>
    </row>
    <row r="19657" spans="1:14" s="2" customFormat="1">
      <c r="A19657" s="83"/>
      <c r="H19657" s="83"/>
      <c r="K19657" s="82"/>
      <c r="M19657" s="112"/>
      <c r="N19657" s="84"/>
    </row>
    <row r="19658" spans="1:14" s="2" customFormat="1">
      <c r="A19658" s="83"/>
      <c r="H19658" s="83"/>
      <c r="K19658" s="82"/>
      <c r="M19658" s="112"/>
      <c r="N19658" s="84"/>
    </row>
    <row r="19659" spans="1:14" s="2" customFormat="1">
      <c r="A19659" s="83"/>
      <c r="H19659" s="83"/>
      <c r="K19659" s="82"/>
      <c r="M19659" s="112"/>
      <c r="N19659" s="84"/>
    </row>
    <row r="19660" spans="1:14" s="2" customFormat="1">
      <c r="A19660" s="83"/>
      <c r="H19660" s="83"/>
      <c r="K19660" s="82"/>
      <c r="M19660" s="112"/>
      <c r="N19660" s="84"/>
    </row>
    <row r="19661" spans="1:14" s="2" customFormat="1">
      <c r="A19661" s="83"/>
      <c r="H19661" s="83"/>
      <c r="K19661" s="82"/>
      <c r="M19661" s="112"/>
      <c r="N19661" s="84"/>
    </row>
    <row r="19662" spans="1:14" s="2" customFormat="1">
      <c r="A19662" s="83"/>
      <c r="H19662" s="83"/>
      <c r="K19662" s="82"/>
      <c r="M19662" s="112"/>
      <c r="N19662" s="84"/>
    </row>
    <row r="19663" spans="1:14" s="2" customFormat="1">
      <c r="A19663" s="83"/>
      <c r="H19663" s="83"/>
      <c r="K19663" s="82"/>
      <c r="M19663" s="112"/>
      <c r="N19663" s="84"/>
    </row>
    <row r="19664" spans="1:14" s="2" customFormat="1">
      <c r="A19664" s="83"/>
      <c r="H19664" s="83"/>
      <c r="K19664" s="82"/>
      <c r="M19664" s="112"/>
      <c r="N19664" s="84"/>
    </row>
    <row r="19665" spans="1:14" s="2" customFormat="1">
      <c r="A19665" s="83"/>
      <c r="H19665" s="83"/>
      <c r="K19665" s="82"/>
      <c r="M19665" s="112"/>
      <c r="N19665" s="84"/>
    </row>
    <row r="19666" spans="1:14" s="2" customFormat="1">
      <c r="A19666" s="83"/>
      <c r="H19666" s="83"/>
      <c r="K19666" s="82"/>
      <c r="M19666" s="112"/>
      <c r="N19666" s="84"/>
    </row>
    <row r="19667" spans="1:14" s="2" customFormat="1">
      <c r="A19667" s="83"/>
      <c r="H19667" s="83"/>
      <c r="K19667" s="82"/>
      <c r="M19667" s="112"/>
      <c r="N19667" s="84"/>
    </row>
    <row r="19668" spans="1:14" s="2" customFormat="1">
      <c r="A19668" s="83"/>
      <c r="H19668" s="83"/>
      <c r="K19668" s="82"/>
      <c r="M19668" s="112"/>
      <c r="N19668" s="84"/>
    </row>
    <row r="19669" spans="1:14" s="2" customFormat="1">
      <c r="A19669" s="83"/>
      <c r="H19669" s="83"/>
      <c r="K19669" s="82"/>
      <c r="M19669" s="112"/>
      <c r="N19669" s="84"/>
    </row>
    <row r="19670" spans="1:14" s="2" customFormat="1">
      <c r="A19670" s="83"/>
      <c r="H19670" s="83"/>
      <c r="K19670" s="82"/>
      <c r="M19670" s="112"/>
      <c r="N19670" s="84"/>
    </row>
    <row r="19671" spans="1:14" s="2" customFormat="1">
      <c r="A19671" s="83"/>
      <c r="H19671" s="83"/>
      <c r="K19671" s="82"/>
      <c r="M19671" s="112"/>
      <c r="N19671" s="84"/>
    </row>
    <row r="19672" spans="1:14" s="2" customFormat="1">
      <c r="A19672" s="83"/>
      <c r="H19672" s="83"/>
      <c r="K19672" s="82"/>
      <c r="M19672" s="112"/>
      <c r="N19672" s="84"/>
    </row>
    <row r="19673" spans="1:14" s="2" customFormat="1">
      <c r="A19673" s="83"/>
      <c r="H19673" s="83"/>
      <c r="K19673" s="82"/>
      <c r="M19673" s="112"/>
      <c r="N19673" s="84"/>
    </row>
    <row r="19674" spans="1:14" s="2" customFormat="1">
      <c r="A19674" s="83"/>
      <c r="H19674" s="83"/>
      <c r="K19674" s="82"/>
      <c r="M19674" s="112"/>
      <c r="N19674" s="84"/>
    </row>
    <row r="19675" spans="1:14" s="2" customFormat="1">
      <c r="A19675" s="83"/>
      <c r="H19675" s="83"/>
      <c r="K19675" s="82"/>
      <c r="M19675" s="112"/>
      <c r="N19675" s="84"/>
    </row>
    <row r="19676" spans="1:14" s="2" customFormat="1">
      <c r="A19676" s="83"/>
      <c r="H19676" s="83"/>
      <c r="K19676" s="82"/>
      <c r="M19676" s="112"/>
      <c r="N19676" s="84"/>
    </row>
    <row r="19677" spans="1:14" s="2" customFormat="1">
      <c r="A19677" s="83"/>
      <c r="H19677" s="83"/>
      <c r="K19677" s="82"/>
      <c r="M19677" s="112"/>
      <c r="N19677" s="84"/>
    </row>
    <row r="19678" spans="1:14" s="2" customFormat="1">
      <c r="A19678" s="83"/>
      <c r="H19678" s="83"/>
      <c r="K19678" s="82"/>
      <c r="M19678" s="112"/>
      <c r="N19678" s="84"/>
    </row>
    <row r="19679" spans="1:14" s="2" customFormat="1">
      <c r="A19679" s="83"/>
      <c r="H19679" s="83"/>
      <c r="K19679" s="82"/>
      <c r="M19679" s="112"/>
      <c r="N19679" s="84"/>
    </row>
    <row r="19680" spans="1:14" s="2" customFormat="1">
      <c r="A19680" s="83"/>
      <c r="H19680" s="83"/>
      <c r="K19680" s="82"/>
      <c r="M19680" s="112"/>
      <c r="N19680" s="84"/>
    </row>
    <row r="19681" spans="1:14" s="2" customFormat="1">
      <c r="A19681" s="83"/>
      <c r="H19681" s="83"/>
      <c r="K19681" s="82"/>
      <c r="M19681" s="112"/>
      <c r="N19681" s="84"/>
    </row>
    <row r="19682" spans="1:14" s="2" customFormat="1">
      <c r="A19682" s="83"/>
      <c r="H19682" s="83"/>
      <c r="K19682" s="82"/>
      <c r="M19682" s="112"/>
      <c r="N19682" s="84"/>
    </row>
    <row r="19683" spans="1:14" s="2" customFormat="1">
      <c r="A19683" s="83"/>
      <c r="H19683" s="83"/>
      <c r="K19683" s="82"/>
      <c r="M19683" s="112"/>
      <c r="N19683" s="84"/>
    </row>
    <row r="19684" spans="1:14" s="2" customFormat="1">
      <c r="A19684" s="83"/>
      <c r="H19684" s="83"/>
      <c r="K19684" s="82"/>
      <c r="M19684" s="112"/>
      <c r="N19684" s="84"/>
    </row>
    <row r="19685" spans="1:14" s="2" customFormat="1">
      <c r="A19685" s="83"/>
      <c r="H19685" s="83"/>
      <c r="K19685" s="82"/>
      <c r="M19685" s="112"/>
      <c r="N19685" s="84"/>
    </row>
    <row r="19686" spans="1:14" s="2" customFormat="1">
      <c r="A19686" s="83"/>
      <c r="H19686" s="83"/>
      <c r="K19686" s="82"/>
      <c r="M19686" s="112"/>
      <c r="N19686" s="84"/>
    </row>
    <row r="19687" spans="1:14" s="2" customFormat="1">
      <c r="A19687" s="83"/>
      <c r="H19687" s="83"/>
      <c r="K19687" s="82"/>
      <c r="M19687" s="112"/>
      <c r="N19687" s="84"/>
    </row>
    <row r="19688" spans="1:14" s="2" customFormat="1">
      <c r="A19688" s="83"/>
      <c r="H19688" s="83"/>
      <c r="K19688" s="82"/>
      <c r="M19688" s="112"/>
      <c r="N19688" s="84"/>
    </row>
    <row r="19689" spans="1:14" s="2" customFormat="1">
      <c r="A19689" s="83"/>
      <c r="H19689" s="83"/>
      <c r="K19689" s="82"/>
      <c r="M19689" s="112"/>
      <c r="N19689" s="84"/>
    </row>
    <row r="19690" spans="1:14" s="2" customFormat="1">
      <c r="A19690" s="83"/>
      <c r="H19690" s="83"/>
      <c r="K19690" s="82"/>
      <c r="M19690" s="112"/>
      <c r="N19690" s="84"/>
    </row>
    <row r="19691" spans="1:14" s="2" customFormat="1">
      <c r="A19691" s="83"/>
      <c r="H19691" s="83"/>
      <c r="K19691" s="82"/>
      <c r="M19691" s="112"/>
      <c r="N19691" s="84"/>
    </row>
    <row r="19692" spans="1:14" s="2" customFormat="1">
      <c r="A19692" s="83"/>
      <c r="H19692" s="83"/>
      <c r="K19692" s="82"/>
      <c r="M19692" s="112"/>
      <c r="N19692" s="84"/>
    </row>
    <row r="19693" spans="1:14" s="2" customFormat="1">
      <c r="A19693" s="83"/>
      <c r="H19693" s="83"/>
      <c r="K19693" s="82"/>
      <c r="M19693" s="112"/>
      <c r="N19693" s="84"/>
    </row>
    <row r="19694" spans="1:14" s="2" customFormat="1">
      <c r="A19694" s="83"/>
      <c r="H19694" s="83"/>
      <c r="K19694" s="82"/>
      <c r="M19694" s="112"/>
      <c r="N19694" s="84"/>
    </row>
    <row r="19695" spans="1:14" s="2" customFormat="1">
      <c r="A19695" s="83"/>
      <c r="H19695" s="83"/>
      <c r="K19695" s="82"/>
      <c r="M19695" s="112"/>
      <c r="N19695" s="84"/>
    </row>
    <row r="19696" spans="1:14" s="2" customFormat="1">
      <c r="A19696" s="83"/>
      <c r="H19696" s="83"/>
      <c r="K19696" s="82"/>
      <c r="M19696" s="112"/>
      <c r="N19696" s="84"/>
    </row>
    <row r="19697" spans="1:14" s="2" customFormat="1">
      <c r="A19697" s="83"/>
      <c r="H19697" s="83"/>
      <c r="K19697" s="82"/>
      <c r="M19697" s="112"/>
      <c r="N19697" s="84"/>
    </row>
    <row r="19698" spans="1:14" s="2" customFormat="1">
      <c r="A19698" s="83"/>
      <c r="H19698" s="83"/>
      <c r="K19698" s="82"/>
      <c r="M19698" s="112"/>
      <c r="N19698" s="84"/>
    </row>
    <row r="19699" spans="1:14" s="2" customFormat="1">
      <c r="A19699" s="83"/>
      <c r="H19699" s="83"/>
      <c r="K19699" s="82"/>
      <c r="M19699" s="112"/>
      <c r="N19699" s="84"/>
    </row>
    <row r="19700" spans="1:14" s="2" customFormat="1">
      <c r="A19700" s="83"/>
      <c r="H19700" s="83"/>
      <c r="K19700" s="82"/>
      <c r="M19700" s="112"/>
      <c r="N19700" s="84"/>
    </row>
    <row r="19701" spans="1:14" s="2" customFormat="1">
      <c r="A19701" s="83"/>
      <c r="H19701" s="83"/>
      <c r="K19701" s="82"/>
      <c r="M19701" s="112"/>
      <c r="N19701" s="84"/>
    </row>
    <row r="19702" spans="1:14" s="2" customFormat="1">
      <c r="A19702" s="83"/>
      <c r="H19702" s="83"/>
      <c r="K19702" s="82"/>
      <c r="M19702" s="112"/>
      <c r="N19702" s="84"/>
    </row>
    <row r="19703" spans="1:14" s="2" customFormat="1">
      <c r="A19703" s="83"/>
      <c r="H19703" s="83"/>
      <c r="K19703" s="82"/>
      <c r="M19703" s="112"/>
      <c r="N19703" s="84"/>
    </row>
    <row r="19704" spans="1:14" s="2" customFormat="1">
      <c r="A19704" s="83"/>
      <c r="H19704" s="83"/>
      <c r="K19704" s="82"/>
      <c r="M19704" s="112"/>
      <c r="N19704" s="84"/>
    </row>
    <row r="19705" spans="1:14" s="2" customFormat="1">
      <c r="A19705" s="83"/>
      <c r="H19705" s="83"/>
      <c r="K19705" s="82"/>
      <c r="M19705" s="112"/>
      <c r="N19705" s="84"/>
    </row>
    <row r="19706" spans="1:14" s="2" customFormat="1">
      <c r="A19706" s="83"/>
      <c r="H19706" s="83"/>
      <c r="K19706" s="82"/>
      <c r="M19706" s="112"/>
      <c r="N19706" s="84"/>
    </row>
    <row r="19707" spans="1:14" s="2" customFormat="1">
      <c r="A19707" s="83"/>
      <c r="H19707" s="83"/>
      <c r="K19707" s="82"/>
      <c r="M19707" s="112"/>
      <c r="N19707" s="84"/>
    </row>
    <row r="19708" spans="1:14" s="2" customFormat="1">
      <c r="A19708" s="83"/>
      <c r="H19708" s="83"/>
      <c r="K19708" s="82"/>
      <c r="M19708" s="112"/>
      <c r="N19708" s="84"/>
    </row>
    <row r="19709" spans="1:14" s="2" customFormat="1">
      <c r="A19709" s="83"/>
      <c r="H19709" s="83"/>
      <c r="K19709" s="82"/>
      <c r="M19709" s="112"/>
      <c r="N19709" s="84"/>
    </row>
    <row r="19710" spans="1:14" s="2" customFormat="1">
      <c r="A19710" s="83"/>
      <c r="H19710" s="83"/>
      <c r="K19710" s="82"/>
      <c r="M19710" s="112"/>
      <c r="N19710" s="84"/>
    </row>
    <row r="19711" spans="1:14" s="2" customFormat="1">
      <c r="A19711" s="83"/>
      <c r="H19711" s="83"/>
      <c r="K19711" s="82"/>
      <c r="M19711" s="112"/>
      <c r="N19711" s="84"/>
    </row>
    <row r="19712" spans="1:14" s="2" customFormat="1">
      <c r="A19712" s="83"/>
      <c r="H19712" s="83"/>
      <c r="K19712" s="82"/>
      <c r="M19712" s="112"/>
      <c r="N19712" s="84"/>
    </row>
    <row r="19713" spans="1:14" s="2" customFormat="1">
      <c r="A19713" s="83"/>
      <c r="H19713" s="83"/>
      <c r="K19713" s="82"/>
      <c r="M19713" s="112"/>
      <c r="N19713" s="84"/>
    </row>
    <row r="19714" spans="1:14" s="2" customFormat="1">
      <c r="A19714" s="83"/>
      <c r="H19714" s="83"/>
      <c r="K19714" s="82"/>
      <c r="M19714" s="112"/>
      <c r="N19714" s="84"/>
    </row>
    <row r="19715" spans="1:14" s="2" customFormat="1">
      <c r="A19715" s="83"/>
      <c r="H19715" s="83"/>
      <c r="K19715" s="82"/>
      <c r="M19715" s="112"/>
      <c r="N19715" s="84"/>
    </row>
    <row r="19716" spans="1:14" s="2" customFormat="1">
      <c r="A19716" s="83"/>
      <c r="H19716" s="83"/>
      <c r="K19716" s="82"/>
      <c r="M19716" s="112"/>
      <c r="N19716" s="84"/>
    </row>
    <row r="19717" spans="1:14" s="2" customFormat="1">
      <c r="A19717" s="83"/>
      <c r="H19717" s="83"/>
      <c r="K19717" s="82"/>
      <c r="M19717" s="112"/>
      <c r="N19717" s="84"/>
    </row>
    <row r="19718" spans="1:14" s="2" customFormat="1">
      <c r="A19718" s="83"/>
      <c r="H19718" s="83"/>
      <c r="K19718" s="82"/>
      <c r="M19718" s="112"/>
      <c r="N19718" s="84"/>
    </row>
    <row r="19719" spans="1:14" s="2" customFormat="1">
      <c r="A19719" s="83"/>
      <c r="H19719" s="83"/>
      <c r="K19719" s="82"/>
      <c r="M19719" s="112"/>
      <c r="N19719" s="84"/>
    </row>
    <row r="19720" spans="1:14" s="2" customFormat="1">
      <c r="A19720" s="83"/>
      <c r="H19720" s="83"/>
      <c r="K19720" s="82"/>
      <c r="M19720" s="112"/>
      <c r="N19720" s="84"/>
    </row>
    <row r="19721" spans="1:14" s="2" customFormat="1">
      <c r="A19721" s="83"/>
      <c r="H19721" s="83"/>
      <c r="K19721" s="82"/>
      <c r="M19721" s="112"/>
      <c r="N19721" s="84"/>
    </row>
    <row r="19722" spans="1:14" s="2" customFormat="1">
      <c r="A19722" s="83"/>
      <c r="H19722" s="83"/>
      <c r="K19722" s="82"/>
      <c r="M19722" s="112"/>
      <c r="N19722" s="84"/>
    </row>
    <row r="19723" spans="1:14" s="2" customFormat="1">
      <c r="A19723" s="83"/>
      <c r="H19723" s="83"/>
      <c r="K19723" s="82"/>
      <c r="M19723" s="112"/>
      <c r="N19723" s="84"/>
    </row>
    <row r="19724" spans="1:14" s="2" customFormat="1">
      <c r="A19724" s="83"/>
      <c r="H19724" s="83"/>
      <c r="K19724" s="82"/>
      <c r="M19724" s="112"/>
      <c r="N19724" s="84"/>
    </row>
    <row r="19725" spans="1:14" s="2" customFormat="1">
      <c r="A19725" s="83"/>
      <c r="H19725" s="83"/>
      <c r="K19725" s="82"/>
      <c r="M19725" s="112"/>
      <c r="N19725" s="84"/>
    </row>
    <row r="19726" spans="1:14" s="2" customFormat="1">
      <c r="A19726" s="83"/>
      <c r="H19726" s="83"/>
      <c r="K19726" s="82"/>
      <c r="M19726" s="112"/>
      <c r="N19726" s="84"/>
    </row>
    <row r="19727" spans="1:14" s="2" customFormat="1">
      <c r="A19727" s="83"/>
      <c r="H19727" s="83"/>
      <c r="K19727" s="82"/>
      <c r="M19727" s="112"/>
      <c r="N19727" s="84"/>
    </row>
    <row r="19728" spans="1:14" s="2" customFormat="1">
      <c r="A19728" s="83"/>
      <c r="H19728" s="83"/>
      <c r="K19728" s="82"/>
      <c r="M19728" s="112"/>
      <c r="N19728" s="84"/>
    </row>
    <row r="19729" spans="1:14" s="2" customFormat="1">
      <c r="A19729" s="83"/>
      <c r="H19729" s="83"/>
      <c r="K19729" s="82"/>
      <c r="M19729" s="112"/>
      <c r="N19729" s="84"/>
    </row>
    <row r="19730" spans="1:14" s="2" customFormat="1">
      <c r="A19730" s="83"/>
      <c r="H19730" s="83"/>
      <c r="K19730" s="82"/>
      <c r="M19730" s="112"/>
      <c r="N19730" s="84"/>
    </row>
    <row r="19731" spans="1:14" s="2" customFormat="1">
      <c r="A19731" s="83"/>
      <c r="H19731" s="83"/>
      <c r="K19731" s="82"/>
      <c r="M19731" s="112"/>
      <c r="N19731" s="84"/>
    </row>
    <row r="19732" spans="1:14" s="2" customFormat="1">
      <c r="A19732" s="83"/>
      <c r="H19732" s="83"/>
      <c r="K19732" s="82"/>
      <c r="M19732" s="112"/>
      <c r="N19732" s="84"/>
    </row>
    <row r="19733" spans="1:14" s="2" customFormat="1">
      <c r="A19733" s="83"/>
      <c r="H19733" s="83"/>
      <c r="K19733" s="82"/>
      <c r="M19733" s="112"/>
      <c r="N19733" s="84"/>
    </row>
    <row r="19734" spans="1:14" s="2" customFormat="1">
      <c r="A19734" s="83"/>
      <c r="H19734" s="83"/>
      <c r="K19734" s="82"/>
      <c r="M19734" s="112"/>
      <c r="N19734" s="84"/>
    </row>
    <row r="19735" spans="1:14" s="2" customFormat="1">
      <c r="A19735" s="83"/>
      <c r="H19735" s="83"/>
      <c r="K19735" s="82"/>
      <c r="M19735" s="112"/>
      <c r="N19735" s="84"/>
    </row>
    <row r="19736" spans="1:14" s="2" customFormat="1">
      <c r="A19736" s="83"/>
      <c r="H19736" s="83"/>
      <c r="K19736" s="82"/>
      <c r="M19736" s="112"/>
      <c r="N19736" s="84"/>
    </row>
    <row r="19737" spans="1:14" s="2" customFormat="1">
      <c r="A19737" s="83"/>
      <c r="H19737" s="83"/>
      <c r="K19737" s="82"/>
      <c r="M19737" s="112"/>
      <c r="N19737" s="84"/>
    </row>
    <row r="19738" spans="1:14" s="2" customFormat="1">
      <c r="A19738" s="83"/>
      <c r="H19738" s="83"/>
      <c r="K19738" s="82"/>
      <c r="M19738" s="112"/>
      <c r="N19738" s="84"/>
    </row>
    <row r="19739" spans="1:14" s="2" customFormat="1">
      <c r="A19739" s="83"/>
      <c r="H19739" s="83"/>
      <c r="K19739" s="82"/>
      <c r="M19739" s="112"/>
      <c r="N19739" s="84"/>
    </row>
    <row r="19740" spans="1:14" s="2" customFormat="1">
      <c r="A19740" s="83"/>
      <c r="H19740" s="83"/>
      <c r="K19740" s="82"/>
      <c r="M19740" s="112"/>
      <c r="N19740" s="84"/>
    </row>
    <row r="19741" spans="1:14" s="2" customFormat="1">
      <c r="A19741" s="83"/>
      <c r="H19741" s="83"/>
      <c r="K19741" s="82"/>
      <c r="M19741" s="112"/>
      <c r="N19741" s="84"/>
    </row>
    <row r="19742" spans="1:14" s="2" customFormat="1">
      <c r="A19742" s="83"/>
      <c r="H19742" s="83"/>
      <c r="K19742" s="82"/>
      <c r="M19742" s="112"/>
      <c r="N19742" s="84"/>
    </row>
    <row r="19743" spans="1:14" s="2" customFormat="1">
      <c r="A19743" s="83"/>
      <c r="H19743" s="83"/>
      <c r="K19743" s="82"/>
      <c r="M19743" s="112"/>
      <c r="N19743" s="84"/>
    </row>
    <row r="19744" spans="1:14" s="2" customFormat="1">
      <c r="A19744" s="83"/>
      <c r="H19744" s="83"/>
      <c r="K19744" s="82"/>
      <c r="M19744" s="112"/>
      <c r="N19744" s="84"/>
    </row>
    <row r="19745" spans="1:14" s="2" customFormat="1">
      <c r="A19745" s="83"/>
      <c r="H19745" s="83"/>
      <c r="K19745" s="82"/>
      <c r="M19745" s="112"/>
      <c r="N19745" s="84"/>
    </row>
    <row r="19746" spans="1:14" s="2" customFormat="1">
      <c r="A19746" s="83"/>
      <c r="H19746" s="83"/>
      <c r="K19746" s="82"/>
      <c r="M19746" s="112"/>
      <c r="N19746" s="84"/>
    </row>
    <row r="19747" spans="1:14" s="2" customFormat="1">
      <c r="A19747" s="83"/>
      <c r="H19747" s="83"/>
      <c r="K19747" s="82"/>
      <c r="M19747" s="112"/>
      <c r="N19747" s="84"/>
    </row>
    <row r="19748" spans="1:14" s="2" customFormat="1">
      <c r="A19748" s="83"/>
      <c r="H19748" s="83"/>
      <c r="K19748" s="82"/>
      <c r="M19748" s="112"/>
      <c r="N19748" s="84"/>
    </row>
    <row r="19749" spans="1:14" s="2" customFormat="1">
      <c r="A19749" s="83"/>
      <c r="H19749" s="83"/>
      <c r="K19749" s="82"/>
      <c r="M19749" s="112"/>
      <c r="N19749" s="84"/>
    </row>
    <row r="19750" spans="1:14" s="2" customFormat="1">
      <c r="A19750" s="83"/>
      <c r="H19750" s="83"/>
      <c r="K19750" s="82"/>
      <c r="M19750" s="112"/>
      <c r="N19750" s="84"/>
    </row>
    <row r="19751" spans="1:14" s="2" customFormat="1">
      <c r="A19751" s="83"/>
      <c r="H19751" s="83"/>
      <c r="K19751" s="82"/>
      <c r="M19751" s="112"/>
      <c r="N19751" s="84"/>
    </row>
    <row r="19752" spans="1:14" s="2" customFormat="1">
      <c r="A19752" s="83"/>
      <c r="H19752" s="83"/>
      <c r="K19752" s="82"/>
      <c r="M19752" s="112"/>
      <c r="N19752" s="84"/>
    </row>
    <row r="19753" spans="1:14" s="2" customFormat="1">
      <c r="A19753" s="83"/>
      <c r="H19753" s="83"/>
      <c r="K19753" s="82"/>
      <c r="M19753" s="112"/>
      <c r="N19753" s="84"/>
    </row>
    <row r="19754" spans="1:14" s="2" customFormat="1">
      <c r="A19754" s="83"/>
      <c r="H19754" s="83"/>
      <c r="K19754" s="82"/>
      <c r="M19754" s="112"/>
      <c r="N19754" s="84"/>
    </row>
    <row r="19755" spans="1:14" s="2" customFormat="1">
      <c r="A19755" s="83"/>
      <c r="H19755" s="83"/>
      <c r="K19755" s="82"/>
      <c r="M19755" s="112"/>
      <c r="N19755" s="84"/>
    </row>
    <row r="19756" spans="1:14" s="2" customFormat="1">
      <c r="A19756" s="83"/>
      <c r="H19756" s="83"/>
      <c r="K19756" s="82"/>
      <c r="M19756" s="112"/>
      <c r="N19756" s="84"/>
    </row>
    <row r="19757" spans="1:14" s="2" customFormat="1">
      <c r="A19757" s="83"/>
      <c r="H19757" s="83"/>
      <c r="K19757" s="82"/>
      <c r="M19757" s="112"/>
      <c r="N19757" s="84"/>
    </row>
    <row r="19758" spans="1:14" s="2" customFormat="1">
      <c r="A19758" s="83"/>
      <c r="H19758" s="83"/>
      <c r="K19758" s="82"/>
      <c r="M19758" s="112"/>
      <c r="N19758" s="84"/>
    </row>
    <row r="19759" spans="1:14" s="2" customFormat="1">
      <c r="A19759" s="83"/>
      <c r="H19759" s="83"/>
      <c r="K19759" s="82"/>
      <c r="M19759" s="112"/>
      <c r="N19759" s="84"/>
    </row>
    <row r="19760" spans="1:14" s="2" customFormat="1">
      <c r="A19760" s="83"/>
      <c r="H19760" s="83"/>
      <c r="K19760" s="82"/>
      <c r="M19760" s="112"/>
      <c r="N19760" s="84"/>
    </row>
    <row r="19761" spans="1:14" s="2" customFormat="1">
      <c r="A19761" s="83"/>
      <c r="H19761" s="83"/>
      <c r="K19761" s="82"/>
      <c r="M19761" s="112"/>
      <c r="N19761" s="84"/>
    </row>
    <row r="19762" spans="1:14" s="2" customFormat="1">
      <c r="A19762" s="83"/>
      <c r="H19762" s="83"/>
      <c r="K19762" s="82"/>
      <c r="M19762" s="112"/>
      <c r="N19762" s="84"/>
    </row>
    <row r="19763" spans="1:14" s="2" customFormat="1">
      <c r="A19763" s="83"/>
      <c r="H19763" s="83"/>
      <c r="K19763" s="82"/>
      <c r="M19763" s="112"/>
      <c r="N19763" s="84"/>
    </row>
    <row r="19764" spans="1:14" s="2" customFormat="1">
      <c r="A19764" s="83"/>
      <c r="H19764" s="83"/>
      <c r="K19764" s="82"/>
      <c r="M19764" s="112"/>
      <c r="N19764" s="84"/>
    </row>
    <row r="19765" spans="1:14" s="2" customFormat="1">
      <c r="A19765" s="83"/>
      <c r="H19765" s="83"/>
      <c r="K19765" s="82"/>
      <c r="M19765" s="112"/>
      <c r="N19765" s="84"/>
    </row>
    <row r="19766" spans="1:14" s="2" customFormat="1">
      <c r="A19766" s="83"/>
      <c r="H19766" s="83"/>
      <c r="K19766" s="82"/>
      <c r="M19766" s="112"/>
      <c r="N19766" s="84"/>
    </row>
    <row r="19767" spans="1:14" s="2" customFormat="1">
      <c r="A19767" s="83"/>
      <c r="H19767" s="83"/>
      <c r="K19767" s="82"/>
      <c r="M19767" s="112"/>
      <c r="N19767" s="84"/>
    </row>
    <row r="19768" spans="1:14" s="2" customFormat="1">
      <c r="A19768" s="83"/>
      <c r="H19768" s="83"/>
      <c r="K19768" s="82"/>
      <c r="M19768" s="112"/>
      <c r="N19768" s="84"/>
    </row>
    <row r="19769" spans="1:14" s="2" customFormat="1">
      <c r="A19769" s="83"/>
      <c r="H19769" s="83"/>
      <c r="K19769" s="82"/>
      <c r="M19769" s="112"/>
      <c r="N19769" s="84"/>
    </row>
    <row r="19770" spans="1:14" s="2" customFormat="1">
      <c r="A19770" s="83"/>
      <c r="H19770" s="83"/>
      <c r="K19770" s="82"/>
      <c r="M19770" s="112"/>
      <c r="N19770" s="84"/>
    </row>
    <row r="19771" spans="1:14" s="2" customFormat="1">
      <c r="A19771" s="83"/>
      <c r="H19771" s="83"/>
      <c r="K19771" s="82"/>
      <c r="M19771" s="112"/>
      <c r="N19771" s="84"/>
    </row>
    <row r="19772" spans="1:14" s="2" customFormat="1">
      <c r="A19772" s="83"/>
      <c r="H19772" s="83"/>
      <c r="K19772" s="82"/>
      <c r="M19772" s="112"/>
      <c r="N19772" s="84"/>
    </row>
    <row r="19773" spans="1:14" s="2" customFormat="1">
      <c r="A19773" s="83"/>
      <c r="H19773" s="83"/>
      <c r="K19773" s="82"/>
      <c r="M19773" s="112"/>
      <c r="N19773" s="84"/>
    </row>
    <row r="19774" spans="1:14" s="2" customFormat="1">
      <c r="A19774" s="83"/>
      <c r="H19774" s="83"/>
      <c r="K19774" s="82"/>
      <c r="M19774" s="112"/>
      <c r="N19774" s="84"/>
    </row>
    <row r="19775" spans="1:14" s="2" customFormat="1">
      <c r="A19775" s="83"/>
      <c r="H19775" s="83"/>
      <c r="K19775" s="82"/>
      <c r="M19775" s="112"/>
      <c r="N19775" s="84"/>
    </row>
    <row r="19776" spans="1:14" s="2" customFormat="1">
      <c r="A19776" s="83"/>
      <c r="H19776" s="83"/>
      <c r="K19776" s="82"/>
      <c r="M19776" s="112"/>
      <c r="N19776" s="84"/>
    </row>
    <row r="19777" spans="1:14" s="2" customFormat="1">
      <c r="A19777" s="83"/>
      <c r="H19777" s="83"/>
      <c r="K19777" s="82"/>
      <c r="M19777" s="112"/>
      <c r="N19777" s="84"/>
    </row>
    <row r="19778" spans="1:14" s="2" customFormat="1">
      <c r="A19778" s="83"/>
      <c r="H19778" s="83"/>
      <c r="K19778" s="82"/>
      <c r="M19778" s="112"/>
      <c r="N19778" s="84"/>
    </row>
    <row r="19779" spans="1:14" s="2" customFormat="1">
      <c r="A19779" s="83"/>
      <c r="H19779" s="83"/>
      <c r="K19779" s="82"/>
      <c r="M19779" s="112"/>
      <c r="N19779" s="84"/>
    </row>
    <row r="19780" spans="1:14" s="2" customFormat="1">
      <c r="A19780" s="83"/>
      <c r="H19780" s="83"/>
      <c r="K19780" s="82"/>
      <c r="M19780" s="112"/>
      <c r="N19780" s="84"/>
    </row>
    <row r="19781" spans="1:14" s="2" customFormat="1">
      <c r="A19781" s="83"/>
      <c r="H19781" s="83"/>
      <c r="K19781" s="82"/>
      <c r="M19781" s="112"/>
      <c r="N19781" s="84"/>
    </row>
    <row r="19782" spans="1:14" s="2" customFormat="1">
      <c r="A19782" s="83"/>
      <c r="H19782" s="83"/>
      <c r="K19782" s="82"/>
      <c r="M19782" s="112"/>
      <c r="N19782" s="84"/>
    </row>
    <row r="19783" spans="1:14" s="2" customFormat="1">
      <c r="A19783" s="83"/>
      <c r="H19783" s="83"/>
      <c r="K19783" s="82"/>
      <c r="M19783" s="112"/>
      <c r="N19783" s="84"/>
    </row>
    <row r="19784" spans="1:14" s="2" customFormat="1">
      <c r="A19784" s="83"/>
      <c r="H19784" s="83"/>
      <c r="K19784" s="82"/>
      <c r="M19784" s="112"/>
      <c r="N19784" s="84"/>
    </row>
    <row r="19785" spans="1:14" s="2" customFormat="1">
      <c r="A19785" s="83"/>
      <c r="H19785" s="83"/>
      <c r="K19785" s="82"/>
      <c r="M19785" s="112"/>
      <c r="N19785" s="84"/>
    </row>
    <row r="19786" spans="1:14" s="2" customFormat="1">
      <c r="A19786" s="83"/>
      <c r="H19786" s="83"/>
      <c r="K19786" s="82"/>
      <c r="M19786" s="112"/>
      <c r="N19786" s="84"/>
    </row>
    <row r="19787" spans="1:14" s="2" customFormat="1">
      <c r="A19787" s="83"/>
      <c r="H19787" s="83"/>
      <c r="K19787" s="82"/>
      <c r="M19787" s="112"/>
      <c r="N19787" s="84"/>
    </row>
    <row r="19788" spans="1:14" s="2" customFormat="1">
      <c r="A19788" s="83"/>
      <c r="H19788" s="83"/>
      <c r="K19788" s="82"/>
      <c r="M19788" s="112"/>
      <c r="N19788" s="84"/>
    </row>
    <row r="19789" spans="1:14" s="2" customFormat="1">
      <c r="A19789" s="83"/>
      <c r="H19789" s="83"/>
      <c r="K19789" s="82"/>
      <c r="M19789" s="112"/>
      <c r="N19789" s="84"/>
    </row>
    <row r="19790" spans="1:14" s="2" customFormat="1">
      <c r="A19790" s="83"/>
      <c r="H19790" s="83"/>
      <c r="K19790" s="82"/>
      <c r="M19790" s="112"/>
      <c r="N19790" s="84"/>
    </row>
    <row r="19791" spans="1:14" s="2" customFormat="1">
      <c r="A19791" s="83"/>
      <c r="H19791" s="83"/>
      <c r="K19791" s="82"/>
      <c r="M19791" s="112"/>
      <c r="N19791" s="84"/>
    </row>
    <row r="19792" spans="1:14" s="2" customFormat="1">
      <c r="A19792" s="83"/>
      <c r="H19792" s="83"/>
      <c r="K19792" s="82"/>
      <c r="M19792" s="112"/>
      <c r="N19792" s="84"/>
    </row>
    <row r="19793" spans="1:14" s="2" customFormat="1">
      <c r="A19793" s="83"/>
      <c r="H19793" s="83"/>
      <c r="K19793" s="82"/>
      <c r="M19793" s="112"/>
      <c r="N19793" s="84"/>
    </row>
    <row r="19794" spans="1:14" s="2" customFormat="1">
      <c r="A19794" s="83"/>
      <c r="H19794" s="83"/>
      <c r="K19794" s="82"/>
      <c r="M19794" s="112"/>
      <c r="N19794" s="84"/>
    </row>
    <row r="19795" spans="1:14" s="2" customFormat="1">
      <c r="A19795" s="83"/>
      <c r="H19795" s="83"/>
      <c r="K19795" s="82"/>
      <c r="M19795" s="112"/>
      <c r="N19795" s="84"/>
    </row>
    <row r="19796" spans="1:14" s="2" customFormat="1">
      <c r="A19796" s="83"/>
      <c r="H19796" s="83"/>
      <c r="K19796" s="82"/>
      <c r="M19796" s="112"/>
      <c r="N19796" s="84"/>
    </row>
    <row r="19797" spans="1:14" s="2" customFormat="1">
      <c r="A19797" s="83"/>
      <c r="H19797" s="83"/>
      <c r="K19797" s="82"/>
      <c r="M19797" s="112"/>
      <c r="N19797" s="84"/>
    </row>
    <row r="19798" spans="1:14" s="2" customFormat="1">
      <c r="A19798" s="83"/>
      <c r="H19798" s="83"/>
      <c r="K19798" s="82"/>
      <c r="M19798" s="112"/>
      <c r="N19798" s="84"/>
    </row>
    <row r="19799" spans="1:14" s="2" customFormat="1">
      <c r="A19799" s="83"/>
      <c r="H19799" s="83"/>
      <c r="K19799" s="82"/>
      <c r="M19799" s="112"/>
      <c r="N19799" s="84"/>
    </row>
    <row r="19800" spans="1:14" s="2" customFormat="1">
      <c r="A19800" s="83"/>
      <c r="H19800" s="83"/>
      <c r="K19800" s="82"/>
      <c r="M19800" s="112"/>
      <c r="N19800" s="84"/>
    </row>
    <row r="19801" spans="1:14" s="2" customFormat="1">
      <c r="A19801" s="83"/>
      <c r="H19801" s="83"/>
      <c r="K19801" s="82"/>
      <c r="M19801" s="112"/>
      <c r="N19801" s="84"/>
    </row>
    <row r="19802" spans="1:14" s="2" customFormat="1">
      <c r="A19802" s="83"/>
      <c r="H19802" s="83"/>
      <c r="K19802" s="82"/>
      <c r="M19802" s="112"/>
      <c r="N19802" s="84"/>
    </row>
    <row r="19803" spans="1:14" s="2" customFormat="1">
      <c r="A19803" s="83"/>
      <c r="H19803" s="83"/>
      <c r="K19803" s="82"/>
      <c r="M19803" s="112"/>
      <c r="N19803" s="84"/>
    </row>
    <row r="19804" spans="1:14" s="2" customFormat="1">
      <c r="A19804" s="83"/>
      <c r="H19804" s="83"/>
      <c r="K19804" s="82"/>
      <c r="M19804" s="112"/>
      <c r="N19804" s="84"/>
    </row>
    <row r="19805" spans="1:14" s="2" customFormat="1">
      <c r="A19805" s="83"/>
      <c r="H19805" s="83"/>
      <c r="K19805" s="82"/>
      <c r="M19805" s="112"/>
      <c r="N19805" s="84"/>
    </row>
    <row r="19806" spans="1:14" s="2" customFormat="1">
      <c r="A19806" s="83"/>
      <c r="H19806" s="83"/>
      <c r="K19806" s="82"/>
      <c r="M19806" s="112"/>
      <c r="N19806" s="84"/>
    </row>
    <row r="19807" spans="1:14" s="2" customFormat="1">
      <c r="A19807" s="83"/>
      <c r="H19807" s="83"/>
      <c r="K19807" s="82"/>
      <c r="M19807" s="112"/>
      <c r="N19807" s="84"/>
    </row>
    <row r="19808" spans="1:14" s="2" customFormat="1">
      <c r="A19808" s="83"/>
      <c r="H19808" s="83"/>
      <c r="K19808" s="82"/>
      <c r="M19808" s="112"/>
      <c r="N19808" s="84"/>
    </row>
    <row r="19809" spans="1:14" s="2" customFormat="1">
      <c r="A19809" s="83"/>
      <c r="H19809" s="83"/>
      <c r="K19809" s="82"/>
      <c r="M19809" s="112"/>
      <c r="N19809" s="84"/>
    </row>
    <row r="19810" spans="1:14" s="2" customFormat="1">
      <c r="A19810" s="83"/>
      <c r="H19810" s="83"/>
      <c r="K19810" s="82"/>
      <c r="M19810" s="112"/>
      <c r="N19810" s="84"/>
    </row>
    <row r="19811" spans="1:14" s="2" customFormat="1">
      <c r="A19811" s="83"/>
      <c r="H19811" s="83"/>
      <c r="K19811" s="82"/>
      <c r="M19811" s="112"/>
      <c r="N19811" s="84"/>
    </row>
    <row r="19812" spans="1:14" s="2" customFormat="1">
      <c r="A19812" s="83"/>
      <c r="H19812" s="83"/>
      <c r="K19812" s="82"/>
      <c r="M19812" s="112"/>
      <c r="N19812" s="84"/>
    </row>
    <row r="19813" spans="1:14" s="2" customFormat="1">
      <c r="A19813" s="83"/>
      <c r="H19813" s="83"/>
      <c r="K19813" s="82"/>
      <c r="M19813" s="112"/>
      <c r="N19813" s="84"/>
    </row>
    <row r="19814" spans="1:14" s="2" customFormat="1">
      <c r="A19814" s="83"/>
      <c r="H19814" s="83"/>
      <c r="K19814" s="82"/>
      <c r="M19814" s="112"/>
      <c r="N19814" s="84"/>
    </row>
    <row r="19815" spans="1:14" s="2" customFormat="1">
      <c r="A19815" s="83"/>
      <c r="H19815" s="83"/>
      <c r="K19815" s="82"/>
      <c r="M19815" s="112"/>
      <c r="N19815" s="84"/>
    </row>
    <row r="19816" spans="1:14" s="2" customFormat="1">
      <c r="A19816" s="83"/>
      <c r="H19816" s="83"/>
      <c r="K19816" s="82"/>
      <c r="M19816" s="112"/>
      <c r="N19816" s="84"/>
    </row>
    <row r="19817" spans="1:14" s="2" customFormat="1">
      <c r="A19817" s="83"/>
      <c r="H19817" s="83"/>
      <c r="K19817" s="82"/>
      <c r="M19817" s="112"/>
      <c r="N19817" s="84"/>
    </row>
    <row r="19818" spans="1:14" s="2" customFormat="1">
      <c r="A19818" s="83"/>
      <c r="H19818" s="83"/>
      <c r="K19818" s="82"/>
      <c r="M19818" s="112"/>
      <c r="N19818" s="84"/>
    </row>
    <row r="19819" spans="1:14" s="2" customFormat="1">
      <c r="A19819" s="83"/>
      <c r="H19819" s="83"/>
      <c r="K19819" s="82"/>
      <c r="M19819" s="112"/>
      <c r="N19819" s="84"/>
    </row>
    <row r="19820" spans="1:14" s="2" customFormat="1">
      <c r="A19820" s="83"/>
      <c r="H19820" s="83"/>
      <c r="K19820" s="82"/>
      <c r="M19820" s="112"/>
      <c r="N19820" s="84"/>
    </row>
    <row r="19821" spans="1:14" s="2" customFormat="1">
      <c r="A19821" s="83"/>
      <c r="H19821" s="83"/>
      <c r="K19821" s="82"/>
      <c r="M19821" s="112"/>
      <c r="N19821" s="84"/>
    </row>
    <row r="19822" spans="1:14" s="2" customFormat="1">
      <c r="A19822" s="83"/>
      <c r="H19822" s="83"/>
      <c r="K19822" s="82"/>
      <c r="M19822" s="112"/>
      <c r="N19822" s="84"/>
    </row>
    <row r="19823" spans="1:14" s="2" customFormat="1">
      <c r="A19823" s="83"/>
      <c r="H19823" s="83"/>
      <c r="K19823" s="82"/>
      <c r="M19823" s="112"/>
      <c r="N19823" s="84"/>
    </row>
    <row r="19824" spans="1:14" s="2" customFormat="1">
      <c r="A19824" s="83"/>
      <c r="H19824" s="83"/>
      <c r="K19824" s="82"/>
      <c r="M19824" s="112"/>
      <c r="N19824" s="84"/>
    </row>
    <row r="19825" spans="1:14" s="2" customFormat="1">
      <c r="A19825" s="83"/>
      <c r="H19825" s="83"/>
      <c r="K19825" s="82"/>
      <c r="M19825" s="112"/>
      <c r="N19825" s="84"/>
    </row>
    <row r="19826" spans="1:14" s="2" customFormat="1">
      <c r="A19826" s="83"/>
      <c r="H19826" s="83"/>
      <c r="K19826" s="82"/>
      <c r="M19826" s="112"/>
      <c r="N19826" s="84"/>
    </row>
    <row r="19827" spans="1:14" s="2" customFormat="1">
      <c r="A19827" s="83"/>
      <c r="H19827" s="83"/>
      <c r="K19827" s="82"/>
      <c r="M19827" s="112"/>
      <c r="N19827" s="84"/>
    </row>
    <row r="19828" spans="1:14" s="2" customFormat="1">
      <c r="A19828" s="83"/>
      <c r="H19828" s="83"/>
      <c r="K19828" s="82"/>
      <c r="M19828" s="112"/>
      <c r="N19828" s="84"/>
    </row>
    <row r="19829" spans="1:14" s="2" customFormat="1">
      <c r="A19829" s="83"/>
      <c r="H19829" s="83"/>
      <c r="K19829" s="82"/>
      <c r="M19829" s="112"/>
      <c r="N19829" s="84"/>
    </row>
    <row r="19830" spans="1:14" s="2" customFormat="1">
      <c r="A19830" s="83"/>
      <c r="H19830" s="83"/>
      <c r="K19830" s="82"/>
      <c r="M19830" s="112"/>
      <c r="N19830" s="84"/>
    </row>
    <row r="19831" spans="1:14" s="2" customFormat="1">
      <c r="A19831" s="83"/>
      <c r="H19831" s="83"/>
      <c r="K19831" s="82"/>
      <c r="M19831" s="112"/>
      <c r="N19831" s="84"/>
    </row>
    <row r="19832" spans="1:14" s="2" customFormat="1">
      <c r="A19832" s="83"/>
      <c r="H19832" s="83"/>
      <c r="K19832" s="82"/>
      <c r="M19832" s="112"/>
      <c r="N19832" s="84"/>
    </row>
    <row r="19833" spans="1:14" s="2" customFormat="1">
      <c r="A19833" s="83"/>
      <c r="H19833" s="83"/>
      <c r="K19833" s="82"/>
      <c r="M19833" s="112"/>
      <c r="N19833" s="84"/>
    </row>
    <row r="19834" spans="1:14" s="2" customFormat="1">
      <c r="A19834" s="83"/>
      <c r="H19834" s="83"/>
      <c r="K19834" s="82"/>
      <c r="M19834" s="112"/>
      <c r="N19834" s="84"/>
    </row>
    <row r="19835" spans="1:14" s="2" customFormat="1">
      <c r="A19835" s="83"/>
      <c r="H19835" s="83"/>
      <c r="K19835" s="82"/>
      <c r="M19835" s="112"/>
      <c r="N19835" s="84"/>
    </row>
    <row r="19836" spans="1:14" s="2" customFormat="1">
      <c r="A19836" s="83"/>
      <c r="H19836" s="83"/>
      <c r="K19836" s="82"/>
      <c r="M19836" s="112"/>
      <c r="N19836" s="84"/>
    </row>
    <row r="19837" spans="1:14" s="2" customFormat="1">
      <c r="A19837" s="83"/>
      <c r="H19837" s="83"/>
      <c r="K19837" s="82"/>
      <c r="M19837" s="112"/>
      <c r="N19837" s="84"/>
    </row>
    <row r="19838" spans="1:14" s="2" customFormat="1">
      <c r="A19838" s="83"/>
      <c r="H19838" s="83"/>
      <c r="K19838" s="82"/>
      <c r="M19838" s="112"/>
      <c r="N19838" s="84"/>
    </row>
    <row r="19839" spans="1:14" s="2" customFormat="1">
      <c r="A19839" s="83"/>
      <c r="H19839" s="83"/>
      <c r="K19839" s="82"/>
      <c r="M19839" s="112"/>
      <c r="N19839" s="84"/>
    </row>
    <row r="19840" spans="1:14" s="2" customFormat="1">
      <c r="A19840" s="83"/>
      <c r="H19840" s="83"/>
      <c r="K19840" s="82"/>
      <c r="M19840" s="112"/>
      <c r="N19840" s="84"/>
    </row>
    <row r="19841" spans="1:14" s="2" customFormat="1">
      <c r="A19841" s="83"/>
      <c r="H19841" s="83"/>
      <c r="K19841" s="82"/>
      <c r="M19841" s="112"/>
      <c r="N19841" s="84"/>
    </row>
    <row r="19842" spans="1:14" s="2" customFormat="1">
      <c r="A19842" s="83"/>
      <c r="H19842" s="83"/>
      <c r="K19842" s="82"/>
      <c r="M19842" s="112"/>
      <c r="N19842" s="84"/>
    </row>
    <row r="19843" spans="1:14" s="2" customFormat="1">
      <c r="A19843" s="83"/>
      <c r="H19843" s="83"/>
      <c r="K19843" s="82"/>
      <c r="M19843" s="112"/>
      <c r="N19843" s="84"/>
    </row>
    <row r="19844" spans="1:14" s="2" customFormat="1">
      <c r="A19844" s="83"/>
      <c r="H19844" s="83"/>
      <c r="K19844" s="82"/>
      <c r="M19844" s="112"/>
      <c r="N19844" s="84"/>
    </row>
    <row r="19845" spans="1:14" s="2" customFormat="1">
      <c r="A19845" s="83"/>
      <c r="H19845" s="83"/>
      <c r="K19845" s="82"/>
      <c r="M19845" s="112"/>
      <c r="N19845" s="84"/>
    </row>
    <row r="19846" spans="1:14" s="2" customFormat="1">
      <c r="A19846" s="83"/>
      <c r="H19846" s="83"/>
      <c r="K19846" s="82"/>
      <c r="M19846" s="112"/>
      <c r="N19846" s="84"/>
    </row>
    <row r="19847" spans="1:14" s="2" customFormat="1">
      <c r="A19847" s="83"/>
      <c r="H19847" s="83"/>
      <c r="K19847" s="82"/>
      <c r="M19847" s="112"/>
      <c r="N19847" s="84"/>
    </row>
    <row r="19848" spans="1:14" s="2" customFormat="1">
      <c r="A19848" s="83"/>
      <c r="H19848" s="83"/>
      <c r="K19848" s="82"/>
      <c r="M19848" s="112"/>
      <c r="N19848" s="84"/>
    </row>
    <row r="19849" spans="1:14" s="2" customFormat="1">
      <c r="A19849" s="83"/>
      <c r="H19849" s="83"/>
      <c r="K19849" s="82"/>
      <c r="M19849" s="112"/>
      <c r="N19849" s="84"/>
    </row>
    <row r="19850" spans="1:14" s="2" customFormat="1">
      <c r="A19850" s="83"/>
      <c r="H19850" s="83"/>
      <c r="K19850" s="82"/>
      <c r="M19850" s="112"/>
      <c r="N19850" s="84"/>
    </row>
    <row r="19851" spans="1:14" s="2" customFormat="1">
      <c r="A19851" s="83"/>
      <c r="H19851" s="83"/>
      <c r="K19851" s="82"/>
      <c r="M19851" s="112"/>
      <c r="N19851" s="84"/>
    </row>
    <row r="19852" spans="1:14" s="2" customFormat="1">
      <c r="A19852" s="83"/>
      <c r="H19852" s="83"/>
      <c r="K19852" s="82"/>
      <c r="M19852" s="112"/>
      <c r="N19852" s="84"/>
    </row>
    <row r="19853" spans="1:14" s="2" customFormat="1">
      <c r="A19853" s="83"/>
      <c r="H19853" s="83"/>
      <c r="K19853" s="82"/>
      <c r="M19853" s="112"/>
      <c r="N19853" s="84"/>
    </row>
    <row r="19854" spans="1:14" s="2" customFormat="1">
      <c r="A19854" s="83"/>
      <c r="H19854" s="83"/>
      <c r="K19854" s="82"/>
      <c r="M19854" s="112"/>
      <c r="N19854" s="84"/>
    </row>
    <row r="19855" spans="1:14" s="2" customFormat="1">
      <c r="A19855" s="83"/>
      <c r="H19855" s="83"/>
      <c r="K19855" s="82"/>
      <c r="M19855" s="112"/>
      <c r="N19855" s="84"/>
    </row>
    <row r="19856" spans="1:14" s="2" customFormat="1">
      <c r="A19856" s="83"/>
      <c r="H19856" s="83"/>
      <c r="K19856" s="82"/>
      <c r="M19856" s="112"/>
      <c r="N19856" s="84"/>
    </row>
    <row r="19857" spans="1:14" s="2" customFormat="1">
      <c r="A19857" s="83"/>
      <c r="H19857" s="83"/>
      <c r="K19857" s="82"/>
      <c r="M19857" s="112"/>
      <c r="N19857" s="84"/>
    </row>
    <row r="19858" spans="1:14" s="2" customFormat="1">
      <c r="A19858" s="83"/>
      <c r="H19858" s="83"/>
      <c r="K19858" s="82"/>
      <c r="M19858" s="112"/>
      <c r="N19858" s="84"/>
    </row>
    <row r="19859" spans="1:14" s="2" customFormat="1">
      <c r="A19859" s="83"/>
      <c r="H19859" s="83"/>
      <c r="K19859" s="82"/>
      <c r="M19859" s="112"/>
      <c r="N19859" s="84"/>
    </row>
    <row r="19860" spans="1:14" s="2" customFormat="1">
      <c r="A19860" s="83"/>
      <c r="H19860" s="83"/>
      <c r="K19860" s="82"/>
      <c r="M19860" s="112"/>
      <c r="N19860" s="84"/>
    </row>
    <row r="19861" spans="1:14" s="2" customFormat="1">
      <c r="A19861" s="83"/>
      <c r="H19861" s="83"/>
      <c r="K19861" s="82"/>
      <c r="M19861" s="112"/>
      <c r="N19861" s="84"/>
    </row>
    <row r="19862" spans="1:14" s="2" customFormat="1">
      <c r="A19862" s="83"/>
      <c r="H19862" s="83"/>
      <c r="K19862" s="82"/>
      <c r="M19862" s="112"/>
      <c r="N19862" s="84"/>
    </row>
    <row r="19863" spans="1:14" s="2" customFormat="1">
      <c r="A19863" s="83"/>
      <c r="H19863" s="83"/>
      <c r="K19863" s="82"/>
      <c r="M19863" s="112"/>
      <c r="N19863" s="84"/>
    </row>
    <row r="19864" spans="1:14" s="2" customFormat="1">
      <c r="A19864" s="83"/>
      <c r="H19864" s="83"/>
      <c r="K19864" s="82"/>
      <c r="M19864" s="112"/>
      <c r="N19864" s="84"/>
    </row>
    <row r="19865" spans="1:14" s="2" customFormat="1">
      <c r="A19865" s="83"/>
      <c r="H19865" s="83"/>
      <c r="K19865" s="82"/>
      <c r="M19865" s="112"/>
      <c r="N19865" s="84"/>
    </row>
    <row r="19866" spans="1:14" s="2" customFormat="1">
      <c r="A19866" s="83"/>
      <c r="H19866" s="83"/>
      <c r="K19866" s="82"/>
      <c r="M19866" s="112"/>
      <c r="N19866" s="84"/>
    </row>
    <row r="19867" spans="1:14" s="2" customFormat="1">
      <c r="A19867" s="83"/>
      <c r="H19867" s="83"/>
      <c r="K19867" s="82"/>
      <c r="M19867" s="112"/>
      <c r="N19867" s="84"/>
    </row>
    <row r="19868" spans="1:14" s="2" customFormat="1">
      <c r="A19868" s="83"/>
      <c r="H19868" s="83"/>
      <c r="K19868" s="82"/>
      <c r="M19868" s="112"/>
      <c r="N19868" s="84"/>
    </row>
    <row r="19869" spans="1:14" s="2" customFormat="1">
      <c r="A19869" s="83"/>
      <c r="H19869" s="83"/>
      <c r="K19869" s="82"/>
      <c r="M19869" s="112"/>
      <c r="N19869" s="84"/>
    </row>
    <row r="19870" spans="1:14" s="2" customFormat="1">
      <c r="A19870" s="83"/>
      <c r="H19870" s="83"/>
      <c r="K19870" s="82"/>
      <c r="M19870" s="112"/>
      <c r="N19870" s="84"/>
    </row>
    <row r="19871" spans="1:14" s="2" customFormat="1">
      <c r="A19871" s="83"/>
      <c r="H19871" s="83"/>
      <c r="K19871" s="82"/>
      <c r="M19871" s="112"/>
      <c r="N19871" s="84"/>
    </row>
    <row r="19872" spans="1:14" s="2" customFormat="1">
      <c r="A19872" s="83"/>
      <c r="H19872" s="83"/>
      <c r="K19872" s="82"/>
      <c r="M19872" s="112"/>
      <c r="N19872" s="84"/>
    </row>
    <row r="19873" spans="1:14" s="2" customFormat="1">
      <c r="A19873" s="83"/>
      <c r="H19873" s="83"/>
      <c r="K19873" s="82"/>
      <c r="M19873" s="112"/>
      <c r="N19873" s="84"/>
    </row>
    <row r="19874" spans="1:14" s="2" customFormat="1">
      <c r="A19874" s="83"/>
      <c r="H19874" s="83"/>
      <c r="K19874" s="82"/>
      <c r="M19874" s="112"/>
      <c r="N19874" s="84"/>
    </row>
    <row r="19875" spans="1:14" s="2" customFormat="1">
      <c r="A19875" s="83"/>
      <c r="H19875" s="83"/>
      <c r="K19875" s="82"/>
      <c r="M19875" s="112"/>
      <c r="N19875" s="84"/>
    </row>
    <row r="19876" spans="1:14" s="2" customFormat="1">
      <c r="A19876" s="83"/>
      <c r="H19876" s="83"/>
      <c r="K19876" s="82"/>
      <c r="M19876" s="112"/>
      <c r="N19876" s="84"/>
    </row>
    <row r="19877" spans="1:14" s="2" customFormat="1">
      <c r="A19877" s="83"/>
      <c r="H19877" s="83"/>
      <c r="K19877" s="82"/>
      <c r="M19877" s="112"/>
      <c r="N19877" s="84"/>
    </row>
    <row r="19878" spans="1:14" s="2" customFormat="1">
      <c r="A19878" s="83"/>
      <c r="H19878" s="83"/>
      <c r="K19878" s="82"/>
      <c r="M19878" s="112"/>
      <c r="N19878" s="84"/>
    </row>
    <row r="19879" spans="1:14" s="2" customFormat="1">
      <c r="A19879" s="83"/>
      <c r="H19879" s="83"/>
      <c r="K19879" s="82"/>
      <c r="M19879" s="112"/>
      <c r="N19879" s="84"/>
    </row>
    <row r="19880" spans="1:14" s="2" customFormat="1">
      <c r="A19880" s="83"/>
      <c r="H19880" s="83"/>
      <c r="K19880" s="82"/>
      <c r="M19880" s="112"/>
      <c r="N19880" s="84"/>
    </row>
    <row r="19881" spans="1:14" s="2" customFormat="1">
      <c r="A19881" s="83"/>
      <c r="H19881" s="83"/>
      <c r="K19881" s="82"/>
      <c r="M19881" s="112"/>
      <c r="N19881" s="84"/>
    </row>
    <row r="19882" spans="1:14" s="2" customFormat="1">
      <c r="A19882" s="83"/>
      <c r="H19882" s="83"/>
      <c r="K19882" s="82"/>
      <c r="M19882" s="112"/>
      <c r="N19882" s="84"/>
    </row>
    <row r="19883" spans="1:14" s="2" customFormat="1">
      <c r="A19883" s="83"/>
      <c r="H19883" s="83"/>
      <c r="K19883" s="82"/>
      <c r="M19883" s="112"/>
      <c r="N19883" s="84"/>
    </row>
    <row r="19884" spans="1:14" s="2" customFormat="1">
      <c r="A19884" s="83"/>
      <c r="H19884" s="83"/>
      <c r="K19884" s="82"/>
      <c r="M19884" s="112"/>
      <c r="N19884" s="84"/>
    </row>
    <row r="19885" spans="1:14" s="2" customFormat="1">
      <c r="A19885" s="83"/>
      <c r="H19885" s="83"/>
      <c r="K19885" s="82"/>
      <c r="M19885" s="112"/>
      <c r="N19885" s="84"/>
    </row>
    <row r="19886" spans="1:14" s="2" customFormat="1">
      <c r="A19886" s="83"/>
      <c r="H19886" s="83"/>
      <c r="K19886" s="82"/>
      <c r="M19886" s="112"/>
      <c r="N19886" s="84"/>
    </row>
    <row r="19887" spans="1:14" s="2" customFormat="1">
      <c r="A19887" s="83"/>
      <c r="H19887" s="83"/>
      <c r="K19887" s="82"/>
      <c r="M19887" s="112"/>
      <c r="N19887" s="84"/>
    </row>
    <row r="19888" spans="1:14" s="2" customFormat="1">
      <c r="A19888" s="83"/>
      <c r="H19888" s="83"/>
      <c r="K19888" s="82"/>
      <c r="M19888" s="112"/>
      <c r="N19888" s="84"/>
    </row>
    <row r="19889" spans="1:14" s="2" customFormat="1">
      <c r="A19889" s="83"/>
      <c r="H19889" s="83"/>
      <c r="K19889" s="82"/>
      <c r="M19889" s="112"/>
      <c r="N19889" s="84"/>
    </row>
    <row r="19890" spans="1:14" s="2" customFormat="1">
      <c r="A19890" s="83"/>
      <c r="H19890" s="83"/>
      <c r="K19890" s="82"/>
      <c r="M19890" s="112"/>
      <c r="N19890" s="84"/>
    </row>
    <row r="19891" spans="1:14" s="2" customFormat="1">
      <c r="A19891" s="83"/>
      <c r="H19891" s="83"/>
      <c r="K19891" s="82"/>
      <c r="M19891" s="112"/>
      <c r="N19891" s="84"/>
    </row>
    <row r="19892" spans="1:14" s="2" customFormat="1">
      <c r="A19892" s="83"/>
      <c r="H19892" s="83"/>
      <c r="K19892" s="82"/>
      <c r="M19892" s="112"/>
      <c r="N19892" s="84"/>
    </row>
    <row r="19893" spans="1:14" s="2" customFormat="1">
      <c r="A19893" s="83"/>
      <c r="H19893" s="83"/>
      <c r="K19893" s="82"/>
      <c r="M19893" s="112"/>
      <c r="N19893" s="84"/>
    </row>
    <row r="19894" spans="1:14" s="2" customFormat="1">
      <c r="A19894" s="83"/>
      <c r="H19894" s="83"/>
      <c r="K19894" s="82"/>
      <c r="M19894" s="112"/>
      <c r="N19894" s="84"/>
    </row>
    <row r="19895" spans="1:14" s="2" customFormat="1">
      <c r="A19895" s="83"/>
      <c r="H19895" s="83"/>
      <c r="K19895" s="82"/>
      <c r="M19895" s="112"/>
      <c r="N19895" s="84"/>
    </row>
    <row r="19896" spans="1:14" s="2" customFormat="1">
      <c r="A19896" s="83"/>
      <c r="H19896" s="83"/>
      <c r="K19896" s="82"/>
      <c r="M19896" s="112"/>
      <c r="N19896" s="84"/>
    </row>
    <row r="19897" spans="1:14" s="2" customFormat="1">
      <c r="A19897" s="83"/>
      <c r="H19897" s="83"/>
      <c r="K19897" s="82"/>
      <c r="M19897" s="112"/>
      <c r="N19897" s="84"/>
    </row>
    <row r="19898" spans="1:14" s="2" customFormat="1">
      <c r="A19898" s="83"/>
      <c r="H19898" s="83"/>
      <c r="K19898" s="82"/>
      <c r="M19898" s="112"/>
      <c r="N19898" s="84"/>
    </row>
    <row r="19899" spans="1:14" s="2" customFormat="1">
      <c r="A19899" s="83"/>
      <c r="H19899" s="83"/>
      <c r="K19899" s="82"/>
      <c r="M19899" s="112"/>
      <c r="N19899" s="84"/>
    </row>
    <row r="19900" spans="1:14" s="2" customFormat="1">
      <c r="A19900" s="83"/>
      <c r="H19900" s="83"/>
      <c r="K19900" s="82"/>
      <c r="M19900" s="112"/>
      <c r="N19900" s="84"/>
    </row>
    <row r="19901" spans="1:14" s="2" customFormat="1">
      <c r="A19901" s="83"/>
      <c r="H19901" s="83"/>
      <c r="K19901" s="82"/>
      <c r="M19901" s="112"/>
      <c r="N19901" s="84"/>
    </row>
    <row r="19902" spans="1:14" s="2" customFormat="1">
      <c r="A19902" s="83"/>
      <c r="H19902" s="83"/>
      <c r="K19902" s="82"/>
      <c r="M19902" s="112"/>
      <c r="N19902" s="84"/>
    </row>
    <row r="19903" spans="1:14" s="2" customFormat="1">
      <c r="A19903" s="83"/>
      <c r="H19903" s="83"/>
      <c r="K19903" s="82"/>
      <c r="M19903" s="112"/>
      <c r="N19903" s="84"/>
    </row>
    <row r="19904" spans="1:14" s="2" customFormat="1">
      <c r="A19904" s="83"/>
      <c r="H19904" s="83"/>
      <c r="K19904" s="82"/>
      <c r="M19904" s="112"/>
      <c r="N19904" s="84"/>
    </row>
    <row r="19905" spans="1:14" s="2" customFormat="1">
      <c r="A19905" s="83"/>
      <c r="H19905" s="83"/>
      <c r="K19905" s="82"/>
      <c r="M19905" s="112"/>
      <c r="N19905" s="84"/>
    </row>
    <row r="19906" spans="1:14" s="2" customFormat="1">
      <c r="A19906" s="83"/>
      <c r="H19906" s="83"/>
      <c r="K19906" s="82"/>
      <c r="M19906" s="112"/>
      <c r="N19906" s="84"/>
    </row>
    <row r="19907" spans="1:14" s="2" customFormat="1">
      <c r="A19907" s="83"/>
      <c r="H19907" s="83"/>
      <c r="K19907" s="82"/>
      <c r="M19907" s="112"/>
      <c r="N19907" s="84"/>
    </row>
    <row r="19908" spans="1:14" s="2" customFormat="1">
      <c r="A19908" s="83"/>
      <c r="H19908" s="83"/>
      <c r="K19908" s="82"/>
      <c r="M19908" s="112"/>
      <c r="N19908" s="84"/>
    </row>
    <row r="19909" spans="1:14" s="2" customFormat="1">
      <c r="A19909" s="83"/>
      <c r="H19909" s="83"/>
      <c r="K19909" s="82"/>
      <c r="M19909" s="112"/>
      <c r="N19909" s="84"/>
    </row>
    <row r="19910" spans="1:14" s="2" customFormat="1">
      <c r="A19910" s="83"/>
      <c r="H19910" s="83"/>
      <c r="K19910" s="82"/>
      <c r="M19910" s="112"/>
      <c r="N19910" s="84"/>
    </row>
    <row r="19911" spans="1:14" s="2" customFormat="1">
      <c r="A19911" s="83"/>
      <c r="H19911" s="83"/>
      <c r="K19911" s="82"/>
      <c r="M19911" s="112"/>
      <c r="N19911" s="84"/>
    </row>
    <row r="19912" spans="1:14" s="2" customFormat="1">
      <c r="A19912" s="83"/>
      <c r="H19912" s="83"/>
      <c r="K19912" s="82"/>
      <c r="M19912" s="112"/>
      <c r="N19912" s="84"/>
    </row>
    <row r="19913" spans="1:14" s="2" customFormat="1">
      <c r="A19913" s="83"/>
      <c r="H19913" s="83"/>
      <c r="K19913" s="82"/>
      <c r="M19913" s="112"/>
      <c r="N19913" s="84"/>
    </row>
    <row r="19914" spans="1:14" s="2" customFormat="1">
      <c r="A19914" s="83"/>
      <c r="H19914" s="83"/>
      <c r="K19914" s="82"/>
      <c r="M19914" s="112"/>
      <c r="N19914" s="84"/>
    </row>
    <row r="19915" spans="1:14" s="2" customFormat="1">
      <c r="A19915" s="83"/>
      <c r="H19915" s="83"/>
      <c r="K19915" s="82"/>
      <c r="M19915" s="112"/>
      <c r="N19915" s="84"/>
    </row>
    <row r="19916" spans="1:14" s="2" customFormat="1">
      <c r="A19916" s="83"/>
      <c r="H19916" s="83"/>
      <c r="K19916" s="82"/>
      <c r="M19916" s="112"/>
      <c r="N19916" s="84"/>
    </row>
    <row r="19917" spans="1:14" s="2" customFormat="1">
      <c r="A19917" s="83"/>
      <c r="H19917" s="83"/>
      <c r="K19917" s="82"/>
      <c r="M19917" s="112"/>
      <c r="N19917" s="84"/>
    </row>
    <row r="19918" spans="1:14" s="2" customFormat="1">
      <c r="A19918" s="83"/>
      <c r="H19918" s="83"/>
      <c r="K19918" s="82"/>
      <c r="M19918" s="112"/>
      <c r="N19918" s="84"/>
    </row>
    <row r="19919" spans="1:14" s="2" customFormat="1">
      <c r="A19919" s="83"/>
      <c r="H19919" s="83"/>
      <c r="K19919" s="82"/>
      <c r="M19919" s="112"/>
      <c r="N19919" s="84"/>
    </row>
    <row r="19920" spans="1:14" s="2" customFormat="1">
      <c r="A19920" s="83"/>
      <c r="H19920" s="83"/>
      <c r="K19920" s="82"/>
      <c r="M19920" s="112"/>
      <c r="N19920" s="84"/>
    </row>
    <row r="19921" spans="1:14" s="2" customFormat="1">
      <c r="A19921" s="83"/>
      <c r="H19921" s="83"/>
      <c r="K19921" s="82"/>
      <c r="M19921" s="112"/>
      <c r="N19921" s="84"/>
    </row>
    <row r="19922" spans="1:14" s="2" customFormat="1">
      <c r="A19922" s="83"/>
      <c r="H19922" s="83"/>
      <c r="K19922" s="82"/>
      <c r="M19922" s="112"/>
      <c r="N19922" s="84"/>
    </row>
    <row r="19923" spans="1:14" s="2" customFormat="1">
      <c r="A19923" s="83"/>
      <c r="H19923" s="83"/>
      <c r="K19923" s="82"/>
      <c r="M19923" s="112"/>
      <c r="N19923" s="84"/>
    </row>
    <row r="19924" spans="1:14" s="2" customFormat="1">
      <c r="A19924" s="83"/>
      <c r="H19924" s="83"/>
      <c r="K19924" s="82"/>
      <c r="M19924" s="112"/>
      <c r="N19924" s="84"/>
    </row>
    <row r="19925" spans="1:14" s="2" customFormat="1">
      <c r="A19925" s="83"/>
      <c r="H19925" s="83"/>
      <c r="K19925" s="82"/>
      <c r="M19925" s="112"/>
      <c r="N19925" s="84"/>
    </row>
    <row r="19926" spans="1:14" s="2" customFormat="1">
      <c r="A19926" s="83"/>
      <c r="H19926" s="83"/>
      <c r="K19926" s="82"/>
      <c r="M19926" s="112"/>
      <c r="N19926" s="84"/>
    </row>
    <row r="19927" spans="1:14" s="2" customFormat="1">
      <c r="A19927" s="83"/>
      <c r="H19927" s="83"/>
      <c r="K19927" s="82"/>
      <c r="M19927" s="112"/>
      <c r="N19927" s="84"/>
    </row>
    <row r="19928" spans="1:14" s="2" customFormat="1">
      <c r="A19928" s="83"/>
      <c r="H19928" s="83"/>
      <c r="K19928" s="82"/>
      <c r="M19928" s="112"/>
      <c r="N19928" s="84"/>
    </row>
    <row r="19929" spans="1:14" s="2" customFormat="1">
      <c r="A19929" s="83"/>
      <c r="H19929" s="83"/>
      <c r="K19929" s="82"/>
      <c r="M19929" s="112"/>
      <c r="N19929" s="84"/>
    </row>
    <row r="19930" spans="1:14" s="2" customFormat="1">
      <c r="A19930" s="83"/>
      <c r="H19930" s="83"/>
      <c r="K19930" s="82"/>
      <c r="M19930" s="112"/>
      <c r="N19930" s="84"/>
    </row>
    <row r="19931" spans="1:14" s="2" customFormat="1">
      <c r="A19931" s="83"/>
      <c r="H19931" s="83"/>
      <c r="K19931" s="82"/>
      <c r="M19931" s="112"/>
      <c r="N19931" s="84"/>
    </row>
    <row r="19932" spans="1:14" s="2" customFormat="1">
      <c r="A19932" s="83"/>
      <c r="H19932" s="83"/>
      <c r="K19932" s="82"/>
      <c r="M19932" s="112"/>
      <c r="N19932" s="84"/>
    </row>
    <row r="19933" spans="1:14" s="2" customFormat="1">
      <c r="A19933" s="83"/>
      <c r="H19933" s="83"/>
      <c r="K19933" s="82"/>
      <c r="M19933" s="112"/>
      <c r="N19933" s="84"/>
    </row>
    <row r="19934" spans="1:14" s="2" customFormat="1">
      <c r="A19934" s="83"/>
      <c r="H19934" s="83"/>
      <c r="K19934" s="82"/>
      <c r="M19934" s="112"/>
      <c r="N19934" s="84"/>
    </row>
    <row r="19935" spans="1:14" s="2" customFormat="1">
      <c r="A19935" s="83"/>
      <c r="H19935" s="83"/>
      <c r="K19935" s="82"/>
      <c r="M19935" s="112"/>
      <c r="N19935" s="84"/>
    </row>
    <row r="19936" spans="1:14" s="2" customFormat="1">
      <c r="A19936" s="83"/>
      <c r="H19936" s="83"/>
      <c r="K19936" s="82"/>
      <c r="M19936" s="112"/>
      <c r="N19936" s="84"/>
    </row>
    <row r="19937" spans="1:14" s="2" customFormat="1">
      <c r="A19937" s="83"/>
      <c r="H19937" s="83"/>
      <c r="K19937" s="82"/>
      <c r="M19937" s="112"/>
      <c r="N19937" s="84"/>
    </row>
    <row r="19938" spans="1:14" s="2" customFormat="1">
      <c r="A19938" s="83"/>
      <c r="H19938" s="83"/>
      <c r="K19938" s="82"/>
      <c r="M19938" s="112"/>
      <c r="N19938" s="84"/>
    </row>
    <row r="19939" spans="1:14" s="2" customFormat="1">
      <c r="A19939" s="83"/>
      <c r="H19939" s="83"/>
      <c r="K19939" s="82"/>
      <c r="M19939" s="112"/>
      <c r="N19939" s="84"/>
    </row>
    <row r="19940" spans="1:14" s="2" customFormat="1">
      <c r="A19940" s="83"/>
      <c r="H19940" s="83"/>
      <c r="K19940" s="82"/>
      <c r="M19940" s="112"/>
      <c r="N19940" s="84"/>
    </row>
    <row r="19941" spans="1:14" s="2" customFormat="1">
      <c r="A19941" s="83"/>
      <c r="H19941" s="83"/>
      <c r="K19941" s="82"/>
      <c r="M19941" s="112"/>
      <c r="N19941" s="84"/>
    </row>
    <row r="19942" spans="1:14" s="2" customFormat="1">
      <c r="A19942" s="83"/>
      <c r="H19942" s="83"/>
      <c r="K19942" s="82"/>
      <c r="M19942" s="112"/>
      <c r="N19942" s="84"/>
    </row>
    <row r="19943" spans="1:14" s="2" customFormat="1">
      <c r="A19943" s="83"/>
      <c r="H19943" s="83"/>
      <c r="K19943" s="82"/>
      <c r="M19943" s="112"/>
      <c r="N19943" s="84"/>
    </row>
    <row r="19944" spans="1:14" s="2" customFormat="1">
      <c r="A19944" s="83"/>
      <c r="H19944" s="83"/>
      <c r="K19944" s="82"/>
      <c r="M19944" s="112"/>
      <c r="N19944" s="84"/>
    </row>
    <row r="19945" spans="1:14" s="2" customFormat="1">
      <c r="A19945" s="83"/>
      <c r="H19945" s="83"/>
      <c r="K19945" s="82"/>
      <c r="M19945" s="112"/>
      <c r="N19945" s="84"/>
    </row>
    <row r="19946" spans="1:14" s="2" customFormat="1">
      <c r="A19946" s="83"/>
      <c r="H19946" s="83"/>
      <c r="K19946" s="82"/>
      <c r="M19946" s="112"/>
      <c r="N19946" s="84"/>
    </row>
    <row r="19947" spans="1:14" s="2" customFormat="1">
      <c r="A19947" s="83"/>
      <c r="H19947" s="83"/>
      <c r="K19947" s="82"/>
      <c r="M19947" s="112"/>
      <c r="N19947" s="84"/>
    </row>
    <row r="19948" spans="1:14" s="2" customFormat="1">
      <c r="A19948" s="83"/>
      <c r="H19948" s="83"/>
      <c r="K19948" s="82"/>
      <c r="M19948" s="112"/>
      <c r="N19948" s="84"/>
    </row>
    <row r="19949" spans="1:14" s="2" customFormat="1">
      <c r="A19949" s="83"/>
      <c r="H19949" s="83"/>
      <c r="K19949" s="82"/>
      <c r="M19949" s="112"/>
      <c r="N19949" s="84"/>
    </row>
    <row r="19950" spans="1:14" s="2" customFormat="1">
      <c r="A19950" s="83"/>
      <c r="H19950" s="83"/>
      <c r="K19950" s="82"/>
      <c r="M19950" s="112"/>
      <c r="N19950" s="84"/>
    </row>
    <row r="19951" spans="1:14" s="2" customFormat="1">
      <c r="A19951" s="83"/>
      <c r="H19951" s="83"/>
      <c r="K19951" s="82"/>
      <c r="M19951" s="112"/>
      <c r="N19951" s="84"/>
    </row>
    <row r="19952" spans="1:14" s="2" customFormat="1">
      <c r="A19952" s="83"/>
      <c r="H19952" s="83"/>
      <c r="K19952" s="82"/>
      <c r="M19952" s="112"/>
      <c r="N19952" s="84"/>
    </row>
    <row r="19953" spans="1:14" s="2" customFormat="1">
      <c r="A19953" s="83"/>
      <c r="H19953" s="83"/>
      <c r="K19953" s="82"/>
      <c r="M19953" s="112"/>
      <c r="N19953" s="84"/>
    </row>
    <row r="19954" spans="1:14" s="2" customFormat="1">
      <c r="A19954" s="83"/>
      <c r="H19954" s="83"/>
      <c r="K19954" s="82"/>
      <c r="M19954" s="112"/>
      <c r="N19954" s="84"/>
    </row>
    <row r="19955" spans="1:14" s="2" customFormat="1">
      <c r="A19955" s="83"/>
      <c r="H19955" s="83"/>
      <c r="K19955" s="82"/>
      <c r="M19955" s="112"/>
      <c r="N19955" s="84"/>
    </row>
    <row r="19956" spans="1:14" s="2" customFormat="1">
      <c r="A19956" s="83"/>
      <c r="H19956" s="83"/>
      <c r="K19956" s="82"/>
      <c r="M19956" s="112"/>
      <c r="N19956" s="84"/>
    </row>
    <row r="19957" spans="1:14" s="2" customFormat="1">
      <c r="A19957" s="83"/>
      <c r="H19957" s="83"/>
      <c r="K19957" s="82"/>
      <c r="M19957" s="112"/>
      <c r="N19957" s="84"/>
    </row>
    <row r="19958" spans="1:14" s="2" customFormat="1">
      <c r="A19958" s="83"/>
      <c r="H19958" s="83"/>
      <c r="K19958" s="82"/>
      <c r="M19958" s="112"/>
      <c r="N19958" s="84"/>
    </row>
    <row r="19959" spans="1:14" s="2" customFormat="1">
      <c r="A19959" s="83"/>
      <c r="H19959" s="83"/>
      <c r="K19959" s="82"/>
      <c r="M19959" s="112"/>
      <c r="N19959" s="84"/>
    </row>
    <row r="19960" spans="1:14" s="2" customFormat="1">
      <c r="A19960" s="83"/>
      <c r="H19960" s="83"/>
      <c r="K19960" s="82"/>
      <c r="M19960" s="112"/>
      <c r="N19960" s="84"/>
    </row>
    <row r="19961" spans="1:14" s="2" customFormat="1">
      <c r="A19961" s="83"/>
      <c r="H19961" s="83"/>
      <c r="K19961" s="82"/>
      <c r="M19961" s="112"/>
      <c r="N19961" s="84"/>
    </row>
    <row r="19962" spans="1:14" s="2" customFormat="1">
      <c r="A19962" s="83"/>
      <c r="H19962" s="83"/>
      <c r="K19962" s="82"/>
      <c r="M19962" s="112"/>
      <c r="N19962" s="84"/>
    </row>
    <row r="19963" spans="1:14" s="2" customFormat="1">
      <c r="A19963" s="83"/>
      <c r="H19963" s="83"/>
      <c r="K19963" s="82"/>
      <c r="M19963" s="112"/>
      <c r="N19963" s="84"/>
    </row>
    <row r="19964" spans="1:14" s="2" customFormat="1">
      <c r="A19964" s="83"/>
      <c r="H19964" s="83"/>
      <c r="K19964" s="82"/>
      <c r="M19964" s="112"/>
      <c r="N19964" s="84"/>
    </row>
    <row r="19965" spans="1:14" s="2" customFormat="1">
      <c r="A19965" s="83"/>
      <c r="H19965" s="83"/>
      <c r="K19965" s="82"/>
      <c r="M19965" s="112"/>
      <c r="N19965" s="84"/>
    </row>
    <row r="19966" spans="1:14" s="2" customFormat="1">
      <c r="A19966" s="83"/>
      <c r="H19966" s="83"/>
      <c r="K19966" s="82"/>
      <c r="M19966" s="112"/>
      <c r="N19966" s="84"/>
    </row>
    <row r="19967" spans="1:14" s="2" customFormat="1">
      <c r="A19967" s="83"/>
      <c r="H19967" s="83"/>
      <c r="K19967" s="82"/>
      <c r="M19967" s="112"/>
      <c r="N19967" s="84"/>
    </row>
    <row r="19968" spans="1:14" s="2" customFormat="1">
      <c r="A19968" s="83"/>
      <c r="H19968" s="83"/>
      <c r="K19968" s="82"/>
      <c r="M19968" s="112"/>
      <c r="N19968" s="84"/>
    </row>
    <row r="19969" spans="1:14" s="2" customFormat="1">
      <c r="A19969" s="83"/>
      <c r="H19969" s="83"/>
      <c r="K19969" s="82"/>
      <c r="M19969" s="112"/>
      <c r="N19969" s="84"/>
    </row>
    <row r="19970" spans="1:14" s="2" customFormat="1">
      <c r="A19970" s="83"/>
      <c r="H19970" s="83"/>
      <c r="K19970" s="82"/>
      <c r="M19970" s="112"/>
      <c r="N19970" s="84"/>
    </row>
    <row r="19971" spans="1:14" s="2" customFormat="1">
      <c r="A19971" s="83"/>
      <c r="H19971" s="83"/>
      <c r="K19971" s="82"/>
      <c r="M19971" s="112"/>
      <c r="N19971" s="84"/>
    </row>
    <row r="19972" spans="1:14" s="2" customFormat="1">
      <c r="A19972" s="83"/>
      <c r="H19972" s="83"/>
      <c r="K19972" s="82"/>
      <c r="M19972" s="112"/>
      <c r="N19972" s="84"/>
    </row>
    <row r="19973" spans="1:14" s="2" customFormat="1">
      <c r="A19973" s="83"/>
      <c r="H19973" s="83"/>
      <c r="K19973" s="82"/>
      <c r="M19973" s="112"/>
      <c r="N19973" s="84"/>
    </row>
    <row r="19974" spans="1:14" s="2" customFormat="1">
      <c r="A19974" s="83"/>
      <c r="H19974" s="83"/>
      <c r="K19974" s="82"/>
      <c r="M19974" s="112"/>
      <c r="N19974" s="84"/>
    </row>
    <row r="19975" spans="1:14" s="2" customFormat="1">
      <c r="A19975" s="83"/>
      <c r="H19975" s="83"/>
      <c r="K19975" s="82"/>
      <c r="M19975" s="112"/>
      <c r="N19975" s="84"/>
    </row>
    <row r="19976" spans="1:14" s="2" customFormat="1">
      <c r="A19976" s="83"/>
      <c r="H19976" s="83"/>
      <c r="K19976" s="82"/>
      <c r="M19976" s="112"/>
      <c r="N19976" s="84"/>
    </row>
    <row r="19977" spans="1:14" s="2" customFormat="1">
      <c r="A19977" s="83"/>
      <c r="H19977" s="83"/>
      <c r="K19977" s="82"/>
      <c r="M19977" s="112"/>
      <c r="N19977" s="84"/>
    </row>
    <row r="19978" spans="1:14" s="2" customFormat="1">
      <c r="A19978" s="83"/>
      <c r="H19978" s="83"/>
      <c r="K19978" s="82"/>
      <c r="M19978" s="112"/>
      <c r="N19978" s="84"/>
    </row>
    <row r="19979" spans="1:14" s="2" customFormat="1">
      <c r="A19979" s="83"/>
      <c r="H19979" s="83"/>
      <c r="K19979" s="82"/>
      <c r="M19979" s="112"/>
      <c r="N19979" s="84"/>
    </row>
    <row r="19980" spans="1:14" s="2" customFormat="1">
      <c r="A19980" s="83"/>
      <c r="H19980" s="83"/>
      <c r="K19980" s="82"/>
      <c r="M19980" s="112"/>
      <c r="N19980" s="84"/>
    </row>
    <row r="19981" spans="1:14" s="2" customFormat="1">
      <c r="A19981" s="83"/>
      <c r="H19981" s="83"/>
      <c r="K19981" s="82"/>
      <c r="M19981" s="112"/>
      <c r="N19981" s="84"/>
    </row>
    <row r="19982" spans="1:14" s="2" customFormat="1">
      <c r="A19982" s="83"/>
      <c r="H19982" s="83"/>
      <c r="K19982" s="82"/>
      <c r="M19982" s="112"/>
      <c r="N19982" s="84"/>
    </row>
    <row r="19983" spans="1:14" s="2" customFormat="1">
      <c r="A19983" s="83"/>
      <c r="H19983" s="83"/>
      <c r="K19983" s="82"/>
      <c r="M19983" s="112"/>
      <c r="N19983" s="84"/>
    </row>
    <row r="19984" spans="1:14" s="2" customFormat="1">
      <c r="A19984" s="83"/>
      <c r="H19984" s="83"/>
      <c r="K19984" s="82"/>
      <c r="M19984" s="112"/>
      <c r="N19984" s="84"/>
    </row>
    <row r="19985" spans="1:14" s="2" customFormat="1">
      <c r="A19985" s="83"/>
      <c r="H19985" s="83"/>
      <c r="K19985" s="82"/>
      <c r="M19985" s="112"/>
      <c r="N19985" s="84"/>
    </row>
    <row r="19986" spans="1:14" s="2" customFormat="1">
      <c r="A19986" s="83"/>
      <c r="H19986" s="83"/>
      <c r="K19986" s="82"/>
      <c r="M19986" s="112"/>
      <c r="N19986" s="84"/>
    </row>
    <row r="19987" spans="1:14" s="2" customFormat="1">
      <c r="A19987" s="83"/>
      <c r="H19987" s="83"/>
      <c r="K19987" s="82"/>
      <c r="M19987" s="112"/>
      <c r="N19987" s="84"/>
    </row>
    <row r="19988" spans="1:14" s="2" customFormat="1">
      <c r="A19988" s="83"/>
      <c r="H19988" s="83"/>
      <c r="K19988" s="82"/>
      <c r="M19988" s="112"/>
      <c r="N19988" s="84"/>
    </row>
    <row r="19989" spans="1:14" s="2" customFormat="1">
      <c r="A19989" s="83"/>
      <c r="H19989" s="83"/>
      <c r="K19989" s="82"/>
      <c r="M19989" s="112"/>
      <c r="N19989" s="84"/>
    </row>
    <row r="19990" spans="1:14" s="2" customFormat="1">
      <c r="A19990" s="83"/>
      <c r="H19990" s="83"/>
      <c r="K19990" s="82"/>
      <c r="M19990" s="112"/>
      <c r="N19990" s="84"/>
    </row>
    <row r="19991" spans="1:14" s="2" customFormat="1">
      <c r="A19991" s="83"/>
      <c r="H19991" s="83"/>
      <c r="K19991" s="82"/>
      <c r="M19991" s="112"/>
      <c r="N19991" s="84"/>
    </row>
    <row r="19992" spans="1:14" s="2" customFormat="1">
      <c r="A19992" s="83"/>
      <c r="H19992" s="83"/>
      <c r="K19992" s="82"/>
      <c r="M19992" s="112"/>
      <c r="N19992" s="84"/>
    </row>
    <row r="19993" spans="1:14" s="2" customFormat="1">
      <c r="A19993" s="83"/>
      <c r="H19993" s="83"/>
      <c r="K19993" s="82"/>
      <c r="M19993" s="112"/>
      <c r="N19993" s="84"/>
    </row>
    <row r="19994" spans="1:14" s="2" customFormat="1">
      <c r="A19994" s="83"/>
      <c r="H19994" s="83"/>
      <c r="K19994" s="82"/>
      <c r="M19994" s="112"/>
      <c r="N19994" s="84"/>
    </row>
    <row r="19995" spans="1:14" s="2" customFormat="1">
      <c r="A19995" s="83"/>
      <c r="H19995" s="83"/>
      <c r="K19995" s="82"/>
      <c r="M19995" s="112"/>
      <c r="N19995" s="84"/>
    </row>
    <row r="19996" spans="1:14" s="2" customFormat="1">
      <c r="A19996" s="83"/>
      <c r="H19996" s="83"/>
      <c r="K19996" s="82"/>
      <c r="M19996" s="112"/>
      <c r="N19996" s="84"/>
    </row>
    <row r="19997" spans="1:14" s="2" customFormat="1">
      <c r="A19997" s="83"/>
      <c r="H19997" s="83"/>
      <c r="K19997" s="82"/>
      <c r="M19997" s="112"/>
      <c r="N19997" s="84"/>
    </row>
    <row r="19998" spans="1:14" s="2" customFormat="1">
      <c r="A19998" s="83"/>
      <c r="H19998" s="83"/>
      <c r="K19998" s="82"/>
      <c r="M19998" s="112"/>
      <c r="N19998" s="84"/>
    </row>
    <row r="19999" spans="1:14" s="2" customFormat="1">
      <c r="A19999" s="83"/>
      <c r="H19999" s="83"/>
      <c r="K19999" s="82"/>
      <c r="M19999" s="112"/>
      <c r="N19999" s="84"/>
    </row>
    <row r="20000" spans="1:14" s="2" customFormat="1">
      <c r="A20000" s="83"/>
      <c r="H20000" s="83"/>
      <c r="K20000" s="82"/>
      <c r="M20000" s="112"/>
      <c r="N20000" s="84"/>
    </row>
    <row r="20001" spans="1:14" s="2" customFormat="1">
      <c r="A20001" s="83"/>
      <c r="H20001" s="83"/>
      <c r="K20001" s="82"/>
      <c r="M20001" s="112"/>
      <c r="N20001" s="84"/>
    </row>
    <row r="20002" spans="1:14" s="2" customFormat="1">
      <c r="A20002" s="83"/>
      <c r="H20002" s="83"/>
      <c r="K20002" s="82"/>
      <c r="M20002" s="112"/>
      <c r="N20002" s="84"/>
    </row>
    <row r="20003" spans="1:14" s="2" customFormat="1">
      <c r="A20003" s="83"/>
      <c r="H20003" s="83"/>
      <c r="K20003" s="82"/>
      <c r="M20003" s="112"/>
      <c r="N20003" s="84"/>
    </row>
    <row r="20004" spans="1:14" s="2" customFormat="1">
      <c r="A20004" s="83"/>
      <c r="H20004" s="83"/>
      <c r="K20004" s="82"/>
      <c r="M20004" s="112"/>
      <c r="N20004" s="84"/>
    </row>
    <row r="20005" spans="1:14" s="2" customFormat="1">
      <c r="A20005" s="83"/>
      <c r="H20005" s="83"/>
      <c r="K20005" s="82"/>
      <c r="M20005" s="112"/>
      <c r="N20005" s="84"/>
    </row>
    <row r="20006" spans="1:14" s="2" customFormat="1">
      <c r="A20006" s="83"/>
      <c r="H20006" s="83"/>
      <c r="K20006" s="82"/>
      <c r="M20006" s="112"/>
      <c r="N20006" s="84"/>
    </row>
    <row r="20007" spans="1:14" s="2" customFormat="1">
      <c r="A20007" s="83"/>
      <c r="H20007" s="83"/>
      <c r="K20007" s="82"/>
      <c r="M20007" s="112"/>
      <c r="N20007" s="84"/>
    </row>
    <row r="20008" spans="1:14" s="2" customFormat="1">
      <c r="A20008" s="83"/>
      <c r="H20008" s="83"/>
      <c r="K20008" s="82"/>
      <c r="M20008" s="112"/>
      <c r="N20008" s="84"/>
    </row>
    <row r="20009" spans="1:14" s="2" customFormat="1">
      <c r="A20009" s="83"/>
      <c r="H20009" s="83"/>
      <c r="K20009" s="82"/>
      <c r="M20009" s="112"/>
      <c r="N20009" s="84"/>
    </row>
    <row r="20010" spans="1:14" s="2" customFormat="1">
      <c r="A20010" s="83"/>
      <c r="H20010" s="83"/>
      <c r="K20010" s="82"/>
      <c r="M20010" s="112"/>
      <c r="N20010" s="84"/>
    </row>
    <row r="20011" spans="1:14" s="2" customFormat="1">
      <c r="A20011" s="83"/>
      <c r="H20011" s="83"/>
      <c r="K20011" s="82"/>
      <c r="M20011" s="112"/>
      <c r="N20011" s="84"/>
    </row>
    <row r="20012" spans="1:14" s="2" customFormat="1">
      <c r="A20012" s="83"/>
      <c r="H20012" s="83"/>
      <c r="K20012" s="82"/>
      <c r="M20012" s="112"/>
      <c r="N20012" s="84"/>
    </row>
    <row r="20013" spans="1:14" s="2" customFormat="1">
      <c r="A20013" s="83"/>
      <c r="H20013" s="83"/>
      <c r="K20013" s="82"/>
      <c r="M20013" s="112"/>
      <c r="N20013" s="84"/>
    </row>
    <row r="20014" spans="1:14" s="2" customFormat="1">
      <c r="A20014" s="83"/>
      <c r="H20014" s="83"/>
      <c r="K20014" s="82"/>
      <c r="M20014" s="112"/>
      <c r="N20014" s="84"/>
    </row>
    <row r="20015" spans="1:14" s="2" customFormat="1">
      <c r="A20015" s="83"/>
      <c r="H20015" s="83"/>
      <c r="K20015" s="82"/>
      <c r="M20015" s="112"/>
      <c r="N20015" s="84"/>
    </row>
    <row r="20016" spans="1:14" s="2" customFormat="1">
      <c r="A20016" s="83"/>
      <c r="H20016" s="83"/>
      <c r="K20016" s="82"/>
      <c r="M20016" s="112"/>
      <c r="N20016" s="84"/>
    </row>
    <row r="20017" spans="1:14" s="2" customFormat="1">
      <c r="A20017" s="83"/>
      <c r="H20017" s="83"/>
      <c r="K20017" s="82"/>
      <c r="M20017" s="112"/>
      <c r="N20017" s="84"/>
    </row>
    <row r="20018" spans="1:14" s="2" customFormat="1">
      <c r="A20018" s="83"/>
      <c r="H20018" s="83"/>
      <c r="K20018" s="82"/>
      <c r="M20018" s="112"/>
      <c r="N20018" s="84"/>
    </row>
    <row r="20019" spans="1:14" s="2" customFormat="1">
      <c r="A20019" s="83"/>
      <c r="H20019" s="83"/>
      <c r="K20019" s="82"/>
      <c r="M20019" s="112"/>
      <c r="N20019" s="84"/>
    </row>
    <row r="20020" spans="1:14" s="2" customFormat="1">
      <c r="A20020" s="83"/>
      <c r="H20020" s="83"/>
      <c r="K20020" s="82"/>
      <c r="M20020" s="112"/>
      <c r="N20020" s="84"/>
    </row>
    <row r="20021" spans="1:14" s="2" customFormat="1">
      <c r="A20021" s="83"/>
      <c r="H20021" s="83"/>
      <c r="K20021" s="82"/>
      <c r="M20021" s="112"/>
      <c r="N20021" s="84"/>
    </row>
    <row r="20022" spans="1:14" s="2" customFormat="1">
      <c r="A20022" s="83"/>
      <c r="H20022" s="83"/>
      <c r="K20022" s="82"/>
      <c r="M20022" s="112"/>
      <c r="N20022" s="84"/>
    </row>
    <row r="20023" spans="1:14" s="2" customFormat="1">
      <c r="A20023" s="83"/>
      <c r="H20023" s="83"/>
      <c r="K20023" s="82"/>
      <c r="M20023" s="112"/>
      <c r="N20023" s="84"/>
    </row>
    <row r="20024" spans="1:14" s="2" customFormat="1">
      <c r="A20024" s="83"/>
      <c r="H20024" s="83"/>
      <c r="K20024" s="82"/>
      <c r="M20024" s="112"/>
      <c r="N20024" s="84"/>
    </row>
    <row r="20025" spans="1:14" s="2" customFormat="1">
      <c r="A20025" s="83"/>
      <c r="H20025" s="83"/>
      <c r="K20025" s="82"/>
      <c r="M20025" s="112"/>
      <c r="N20025" s="84"/>
    </row>
    <row r="20026" spans="1:14" s="2" customFormat="1">
      <c r="A20026" s="83"/>
      <c r="H20026" s="83"/>
      <c r="K20026" s="82"/>
      <c r="M20026" s="112"/>
      <c r="N20026" s="84"/>
    </row>
    <row r="20027" spans="1:14" s="2" customFormat="1">
      <c r="A20027" s="83"/>
      <c r="H20027" s="83"/>
      <c r="K20027" s="82"/>
      <c r="M20027" s="112"/>
      <c r="N20027" s="84"/>
    </row>
    <row r="20028" spans="1:14" s="2" customFormat="1">
      <c r="A20028" s="83"/>
      <c r="H20028" s="83"/>
      <c r="K20028" s="82"/>
      <c r="M20028" s="112"/>
      <c r="N20028" s="84"/>
    </row>
    <row r="20029" spans="1:14" s="2" customFormat="1">
      <c r="A20029" s="83"/>
      <c r="H20029" s="83"/>
      <c r="K20029" s="82"/>
      <c r="M20029" s="112"/>
      <c r="N20029" s="84"/>
    </row>
    <row r="20030" spans="1:14" s="2" customFormat="1">
      <c r="A20030" s="83"/>
      <c r="H20030" s="83"/>
      <c r="K20030" s="82"/>
      <c r="M20030" s="112"/>
      <c r="N20030" s="84"/>
    </row>
    <row r="20031" spans="1:14" s="2" customFormat="1">
      <c r="A20031" s="83"/>
      <c r="H20031" s="83"/>
      <c r="K20031" s="82"/>
      <c r="M20031" s="112"/>
      <c r="N20031" s="84"/>
    </row>
    <row r="20032" spans="1:14" s="2" customFormat="1">
      <c r="A20032" s="83"/>
      <c r="H20032" s="83"/>
      <c r="K20032" s="82"/>
      <c r="M20032" s="112"/>
      <c r="N20032" s="84"/>
    </row>
    <row r="20033" spans="1:14" s="2" customFormat="1">
      <c r="A20033" s="83"/>
      <c r="H20033" s="83"/>
      <c r="K20033" s="82"/>
      <c r="M20033" s="112"/>
      <c r="N20033" s="84"/>
    </row>
    <row r="20034" spans="1:14" s="2" customFormat="1">
      <c r="A20034" s="83"/>
      <c r="H20034" s="83"/>
      <c r="K20034" s="82"/>
      <c r="M20034" s="112"/>
      <c r="N20034" s="84"/>
    </row>
    <row r="20035" spans="1:14" s="2" customFormat="1">
      <c r="A20035" s="83"/>
      <c r="H20035" s="83"/>
      <c r="K20035" s="82"/>
      <c r="M20035" s="112"/>
      <c r="N20035" s="84"/>
    </row>
    <row r="20036" spans="1:14" s="2" customFormat="1">
      <c r="A20036" s="83"/>
      <c r="H20036" s="83"/>
      <c r="K20036" s="82"/>
      <c r="M20036" s="112"/>
      <c r="N20036" s="84"/>
    </row>
    <row r="20037" spans="1:14" s="2" customFormat="1">
      <c r="A20037" s="83"/>
      <c r="H20037" s="83"/>
      <c r="K20037" s="82"/>
      <c r="M20037" s="112"/>
      <c r="N20037" s="84"/>
    </row>
    <row r="20038" spans="1:14" s="2" customFormat="1">
      <c r="A20038" s="83"/>
      <c r="H20038" s="83"/>
      <c r="K20038" s="82"/>
      <c r="M20038" s="112"/>
      <c r="N20038" s="84"/>
    </row>
    <row r="20039" spans="1:14" s="2" customFormat="1">
      <c r="A20039" s="83"/>
      <c r="H20039" s="83"/>
      <c r="K20039" s="82"/>
      <c r="M20039" s="112"/>
      <c r="N20039" s="84"/>
    </row>
    <row r="20040" spans="1:14" s="2" customFormat="1">
      <c r="A20040" s="83"/>
      <c r="H20040" s="83"/>
      <c r="K20040" s="82"/>
      <c r="M20040" s="112"/>
      <c r="N20040" s="84"/>
    </row>
    <row r="20041" spans="1:14" s="2" customFormat="1">
      <c r="A20041" s="83"/>
      <c r="H20041" s="83"/>
      <c r="K20041" s="82"/>
      <c r="M20041" s="112"/>
      <c r="N20041" s="84"/>
    </row>
    <row r="20042" spans="1:14" s="2" customFormat="1">
      <c r="A20042" s="83"/>
      <c r="H20042" s="83"/>
      <c r="K20042" s="82"/>
      <c r="M20042" s="112"/>
      <c r="N20042" s="84"/>
    </row>
    <row r="20043" spans="1:14" s="2" customFormat="1">
      <c r="A20043" s="83"/>
      <c r="H20043" s="83"/>
      <c r="K20043" s="82"/>
      <c r="M20043" s="112"/>
      <c r="N20043" s="84"/>
    </row>
    <row r="20044" spans="1:14" s="2" customFormat="1">
      <c r="A20044" s="83"/>
      <c r="H20044" s="83"/>
      <c r="K20044" s="82"/>
      <c r="M20044" s="112"/>
      <c r="N20044" s="84"/>
    </row>
    <row r="20045" spans="1:14" s="2" customFormat="1">
      <c r="A20045" s="83"/>
      <c r="H20045" s="83"/>
      <c r="K20045" s="82"/>
      <c r="M20045" s="112"/>
      <c r="N20045" s="84"/>
    </row>
    <row r="20046" spans="1:14" s="2" customFormat="1">
      <c r="A20046" s="83"/>
      <c r="H20046" s="83"/>
      <c r="K20046" s="82"/>
      <c r="M20046" s="112"/>
      <c r="N20046" s="84"/>
    </row>
    <row r="20047" spans="1:14" s="2" customFormat="1">
      <c r="A20047" s="83"/>
      <c r="H20047" s="83"/>
      <c r="K20047" s="82"/>
      <c r="M20047" s="112"/>
      <c r="N20047" s="84"/>
    </row>
    <row r="20048" spans="1:14" s="2" customFormat="1">
      <c r="A20048" s="83"/>
      <c r="H20048" s="83"/>
      <c r="K20048" s="82"/>
      <c r="M20048" s="112"/>
      <c r="N20048" s="84"/>
    </row>
    <row r="20049" spans="1:14" s="2" customFormat="1">
      <c r="A20049" s="83"/>
      <c r="H20049" s="83"/>
      <c r="K20049" s="82"/>
      <c r="M20049" s="112"/>
      <c r="N20049" s="84"/>
    </row>
    <row r="20050" spans="1:14" s="2" customFormat="1">
      <c r="A20050" s="83"/>
      <c r="H20050" s="83"/>
      <c r="K20050" s="82"/>
      <c r="M20050" s="112"/>
      <c r="N20050" s="84"/>
    </row>
    <row r="20051" spans="1:14" s="2" customFormat="1">
      <c r="A20051" s="83"/>
      <c r="H20051" s="83"/>
      <c r="K20051" s="82"/>
      <c r="M20051" s="112"/>
      <c r="N20051" s="84"/>
    </row>
    <row r="20052" spans="1:14" s="2" customFormat="1">
      <c r="A20052" s="83"/>
      <c r="H20052" s="83"/>
      <c r="K20052" s="82"/>
      <c r="M20052" s="112"/>
      <c r="N20052" s="84"/>
    </row>
    <row r="20053" spans="1:14" s="2" customFormat="1">
      <c r="A20053" s="83"/>
      <c r="H20053" s="83"/>
      <c r="K20053" s="82"/>
      <c r="M20053" s="112"/>
      <c r="N20053" s="84"/>
    </row>
    <row r="20054" spans="1:14" s="2" customFormat="1">
      <c r="A20054" s="83"/>
      <c r="H20054" s="83"/>
      <c r="K20054" s="82"/>
      <c r="M20054" s="112"/>
      <c r="N20054" s="84"/>
    </row>
    <row r="20055" spans="1:14" s="2" customFormat="1">
      <c r="A20055" s="83"/>
      <c r="H20055" s="83"/>
      <c r="K20055" s="82"/>
      <c r="M20055" s="112"/>
      <c r="N20055" s="84"/>
    </row>
    <row r="20056" spans="1:14" s="2" customFormat="1">
      <c r="A20056" s="83"/>
      <c r="H20056" s="83"/>
      <c r="K20056" s="82"/>
      <c r="M20056" s="112"/>
      <c r="N20056" s="84"/>
    </row>
    <row r="20057" spans="1:14" s="2" customFormat="1">
      <c r="A20057" s="83"/>
      <c r="H20057" s="83"/>
      <c r="K20057" s="82"/>
      <c r="M20057" s="112"/>
      <c r="N20057" s="84"/>
    </row>
    <row r="20058" spans="1:14" s="2" customFormat="1">
      <c r="A20058" s="83"/>
      <c r="H20058" s="83"/>
      <c r="K20058" s="82"/>
      <c r="M20058" s="112"/>
      <c r="N20058" s="84"/>
    </row>
    <row r="20059" spans="1:14" s="2" customFormat="1">
      <c r="A20059" s="83"/>
      <c r="H20059" s="83"/>
      <c r="K20059" s="82"/>
      <c r="M20059" s="112"/>
      <c r="N20059" s="84"/>
    </row>
    <row r="20060" spans="1:14" s="2" customFormat="1">
      <c r="A20060" s="83"/>
      <c r="H20060" s="83"/>
      <c r="K20060" s="82"/>
      <c r="M20060" s="112"/>
      <c r="N20060" s="84"/>
    </row>
    <row r="20061" spans="1:14" s="2" customFormat="1">
      <c r="A20061" s="83"/>
      <c r="H20061" s="83"/>
      <c r="K20061" s="82"/>
      <c r="M20061" s="112"/>
      <c r="N20061" s="84"/>
    </row>
    <row r="20062" spans="1:14" s="2" customFormat="1">
      <c r="A20062" s="83"/>
      <c r="H20062" s="83"/>
      <c r="K20062" s="82"/>
      <c r="M20062" s="112"/>
      <c r="N20062" s="84"/>
    </row>
    <row r="20063" spans="1:14" s="2" customFormat="1">
      <c r="A20063" s="83"/>
      <c r="H20063" s="83"/>
      <c r="K20063" s="82"/>
      <c r="M20063" s="112"/>
      <c r="N20063" s="84"/>
    </row>
    <row r="20064" spans="1:14" s="2" customFormat="1">
      <c r="A20064" s="83"/>
      <c r="H20064" s="83"/>
      <c r="K20064" s="82"/>
      <c r="M20064" s="112"/>
      <c r="N20064" s="84"/>
    </row>
    <row r="20065" spans="1:14" s="2" customFormat="1">
      <c r="A20065" s="83"/>
      <c r="H20065" s="83"/>
      <c r="K20065" s="82"/>
      <c r="M20065" s="112"/>
      <c r="N20065" s="84"/>
    </row>
    <row r="20066" spans="1:14" s="2" customFormat="1">
      <c r="A20066" s="83"/>
      <c r="H20066" s="83"/>
      <c r="K20066" s="82"/>
      <c r="M20066" s="112"/>
      <c r="N20066" s="84"/>
    </row>
    <row r="20067" spans="1:14" s="2" customFormat="1">
      <c r="A20067" s="83"/>
      <c r="H20067" s="83"/>
      <c r="K20067" s="82"/>
      <c r="M20067" s="112"/>
      <c r="N20067" s="84"/>
    </row>
    <row r="20068" spans="1:14" s="2" customFormat="1">
      <c r="A20068" s="83"/>
      <c r="H20068" s="83"/>
      <c r="K20068" s="82"/>
      <c r="M20068" s="112"/>
      <c r="N20068" s="84"/>
    </row>
    <row r="20069" spans="1:14" s="2" customFormat="1">
      <c r="A20069" s="83"/>
      <c r="H20069" s="83"/>
      <c r="K20069" s="82"/>
      <c r="M20069" s="112"/>
      <c r="N20069" s="84"/>
    </row>
    <row r="20070" spans="1:14" s="2" customFormat="1">
      <c r="A20070" s="83"/>
      <c r="H20070" s="83"/>
      <c r="K20070" s="82"/>
      <c r="M20070" s="112"/>
      <c r="N20070" s="84"/>
    </row>
    <row r="20071" spans="1:14" s="2" customFormat="1">
      <c r="A20071" s="83"/>
      <c r="H20071" s="83"/>
      <c r="K20071" s="82"/>
      <c r="M20071" s="112"/>
      <c r="N20071" s="84"/>
    </row>
    <row r="20072" spans="1:14" s="2" customFormat="1">
      <c r="A20072" s="83"/>
      <c r="H20072" s="83"/>
      <c r="K20072" s="82"/>
      <c r="M20072" s="112"/>
      <c r="N20072" s="84"/>
    </row>
    <row r="20073" spans="1:14" s="2" customFormat="1">
      <c r="A20073" s="83"/>
      <c r="H20073" s="83"/>
      <c r="K20073" s="82"/>
      <c r="M20073" s="112"/>
      <c r="N20073" s="84"/>
    </row>
    <row r="20074" spans="1:14" s="2" customFormat="1">
      <c r="A20074" s="83"/>
      <c r="H20074" s="83"/>
      <c r="K20074" s="82"/>
      <c r="M20074" s="112"/>
      <c r="N20074" s="84"/>
    </row>
    <row r="20075" spans="1:14" s="2" customFormat="1">
      <c r="A20075" s="83"/>
      <c r="H20075" s="83"/>
      <c r="K20075" s="82"/>
      <c r="M20075" s="112"/>
      <c r="N20075" s="84"/>
    </row>
    <row r="20076" spans="1:14" s="2" customFormat="1">
      <c r="A20076" s="83"/>
      <c r="H20076" s="83"/>
      <c r="K20076" s="82"/>
      <c r="M20076" s="112"/>
      <c r="N20076" s="84"/>
    </row>
    <row r="20077" spans="1:14" s="2" customFormat="1">
      <c r="A20077" s="83"/>
      <c r="H20077" s="83"/>
      <c r="K20077" s="82"/>
      <c r="M20077" s="112"/>
      <c r="N20077" s="84"/>
    </row>
    <row r="20078" spans="1:14" s="2" customFormat="1">
      <c r="A20078" s="83"/>
      <c r="H20078" s="83"/>
      <c r="K20078" s="82"/>
      <c r="M20078" s="112"/>
      <c r="N20078" s="84"/>
    </row>
    <row r="20079" spans="1:14" s="2" customFormat="1">
      <c r="A20079" s="83"/>
      <c r="H20079" s="83"/>
      <c r="K20079" s="82"/>
      <c r="M20079" s="112"/>
      <c r="N20079" s="84"/>
    </row>
    <row r="20080" spans="1:14" s="2" customFormat="1">
      <c r="A20080" s="83"/>
      <c r="H20080" s="83"/>
      <c r="K20080" s="82"/>
      <c r="M20080" s="112"/>
      <c r="N20080" s="84"/>
    </row>
    <row r="20081" spans="1:14" s="2" customFormat="1">
      <c r="A20081" s="83"/>
      <c r="H20081" s="83"/>
      <c r="K20081" s="82"/>
      <c r="M20081" s="112"/>
      <c r="N20081" s="84"/>
    </row>
    <row r="20082" spans="1:14" s="2" customFormat="1">
      <c r="A20082" s="83"/>
      <c r="H20082" s="83"/>
      <c r="K20082" s="82"/>
      <c r="M20082" s="112"/>
      <c r="N20082" s="84"/>
    </row>
    <row r="20083" spans="1:14" s="2" customFormat="1">
      <c r="A20083" s="83"/>
      <c r="H20083" s="83"/>
      <c r="K20083" s="82"/>
      <c r="M20083" s="112"/>
      <c r="N20083" s="84"/>
    </row>
    <row r="20084" spans="1:14" s="2" customFormat="1">
      <c r="A20084" s="83"/>
      <c r="H20084" s="83"/>
      <c r="K20084" s="82"/>
      <c r="M20084" s="112"/>
      <c r="N20084" s="84"/>
    </row>
    <row r="20085" spans="1:14" s="2" customFormat="1">
      <c r="A20085" s="83"/>
      <c r="H20085" s="83"/>
      <c r="K20085" s="82"/>
      <c r="M20085" s="112"/>
      <c r="N20085" s="84"/>
    </row>
    <row r="20086" spans="1:14" s="2" customFormat="1">
      <c r="A20086" s="83"/>
      <c r="H20086" s="83"/>
      <c r="K20086" s="82"/>
      <c r="M20086" s="112"/>
      <c r="N20086" s="84"/>
    </row>
    <row r="20087" spans="1:14" s="2" customFormat="1">
      <c r="A20087" s="83"/>
      <c r="H20087" s="83"/>
      <c r="K20087" s="82"/>
      <c r="M20087" s="112"/>
      <c r="N20087" s="84"/>
    </row>
    <row r="20088" spans="1:14" s="2" customFormat="1">
      <c r="A20088" s="83"/>
      <c r="H20088" s="83"/>
      <c r="K20088" s="82"/>
      <c r="M20088" s="112"/>
      <c r="N20088" s="84"/>
    </row>
    <row r="20089" spans="1:14" s="2" customFormat="1">
      <c r="A20089" s="83"/>
      <c r="H20089" s="83"/>
      <c r="K20089" s="82"/>
      <c r="M20089" s="112"/>
      <c r="N20089" s="84"/>
    </row>
    <row r="20090" spans="1:14" s="2" customFormat="1">
      <c r="A20090" s="83"/>
      <c r="H20090" s="83"/>
      <c r="K20090" s="82"/>
      <c r="M20090" s="112"/>
      <c r="N20090" s="84"/>
    </row>
    <row r="20091" spans="1:14" s="2" customFormat="1">
      <c r="A20091" s="83"/>
      <c r="H20091" s="83"/>
      <c r="K20091" s="82"/>
      <c r="M20091" s="112"/>
      <c r="N20091" s="84"/>
    </row>
    <row r="20092" spans="1:14" s="2" customFormat="1">
      <c r="A20092" s="83"/>
      <c r="H20092" s="83"/>
      <c r="K20092" s="82"/>
      <c r="M20092" s="112"/>
      <c r="N20092" s="84"/>
    </row>
    <row r="20093" spans="1:14" s="2" customFormat="1">
      <c r="A20093" s="83"/>
      <c r="H20093" s="83"/>
      <c r="K20093" s="82"/>
      <c r="M20093" s="112"/>
      <c r="N20093" s="84"/>
    </row>
    <row r="20094" spans="1:14" s="2" customFormat="1">
      <c r="A20094" s="83"/>
      <c r="H20094" s="83"/>
      <c r="K20094" s="82"/>
      <c r="M20094" s="112"/>
      <c r="N20094" s="84"/>
    </row>
    <row r="20095" spans="1:14" s="2" customFormat="1">
      <c r="A20095" s="83"/>
      <c r="H20095" s="83"/>
      <c r="K20095" s="82"/>
      <c r="M20095" s="112"/>
      <c r="N20095" s="84"/>
    </row>
    <row r="20096" spans="1:14" s="2" customFormat="1">
      <c r="A20096" s="83"/>
      <c r="H20096" s="83"/>
      <c r="K20096" s="82"/>
      <c r="M20096" s="112"/>
      <c r="N20096" s="84"/>
    </row>
    <row r="20097" spans="1:14" s="2" customFormat="1">
      <c r="A20097" s="83"/>
      <c r="H20097" s="83"/>
      <c r="K20097" s="82"/>
      <c r="M20097" s="112"/>
      <c r="N20097" s="84"/>
    </row>
    <row r="20098" spans="1:14" s="2" customFormat="1">
      <c r="A20098" s="83"/>
      <c r="H20098" s="83"/>
      <c r="K20098" s="82"/>
      <c r="M20098" s="112"/>
      <c r="N20098" s="84"/>
    </row>
    <row r="20099" spans="1:14" s="2" customFormat="1">
      <c r="A20099" s="83"/>
      <c r="H20099" s="83"/>
      <c r="K20099" s="82"/>
      <c r="M20099" s="112"/>
      <c r="N20099" s="84"/>
    </row>
    <row r="20100" spans="1:14" s="2" customFormat="1">
      <c r="A20100" s="83"/>
      <c r="H20100" s="83"/>
      <c r="K20100" s="82"/>
      <c r="M20100" s="112"/>
      <c r="N20100" s="84"/>
    </row>
    <row r="20101" spans="1:14" s="2" customFormat="1">
      <c r="A20101" s="83"/>
      <c r="H20101" s="83"/>
      <c r="K20101" s="82"/>
      <c r="M20101" s="112"/>
      <c r="N20101" s="84"/>
    </row>
    <row r="20102" spans="1:14" s="2" customFormat="1">
      <c r="A20102" s="83"/>
      <c r="H20102" s="83"/>
      <c r="K20102" s="82"/>
      <c r="M20102" s="112"/>
      <c r="N20102" s="84"/>
    </row>
    <row r="20103" spans="1:14" s="2" customFormat="1">
      <c r="A20103" s="83"/>
      <c r="H20103" s="83"/>
      <c r="K20103" s="82"/>
      <c r="M20103" s="112"/>
      <c r="N20103" s="84"/>
    </row>
    <row r="20104" spans="1:14" s="2" customFormat="1">
      <c r="A20104" s="83"/>
      <c r="H20104" s="83"/>
      <c r="K20104" s="82"/>
      <c r="M20104" s="112"/>
      <c r="N20104" s="84"/>
    </row>
    <row r="20105" spans="1:14" s="2" customFormat="1">
      <c r="A20105" s="83"/>
      <c r="H20105" s="83"/>
      <c r="K20105" s="82"/>
      <c r="M20105" s="112"/>
      <c r="N20105" s="84"/>
    </row>
    <row r="20106" spans="1:14" s="2" customFormat="1">
      <c r="A20106" s="83"/>
      <c r="H20106" s="83"/>
      <c r="K20106" s="82"/>
      <c r="M20106" s="112"/>
      <c r="N20106" s="84"/>
    </row>
    <row r="20107" spans="1:14" s="2" customFormat="1">
      <c r="A20107" s="83"/>
      <c r="H20107" s="83"/>
      <c r="K20107" s="82"/>
      <c r="M20107" s="112"/>
      <c r="N20107" s="84"/>
    </row>
    <row r="20108" spans="1:14" s="2" customFormat="1">
      <c r="A20108" s="83"/>
      <c r="H20108" s="83"/>
      <c r="K20108" s="82"/>
      <c r="M20108" s="112"/>
      <c r="N20108" s="84"/>
    </row>
    <row r="20109" spans="1:14" s="2" customFormat="1">
      <c r="A20109" s="83"/>
      <c r="H20109" s="83"/>
      <c r="K20109" s="82"/>
      <c r="M20109" s="112"/>
      <c r="N20109" s="84"/>
    </row>
    <row r="20110" spans="1:14" s="2" customFormat="1">
      <c r="A20110" s="83"/>
      <c r="H20110" s="83"/>
      <c r="K20110" s="82"/>
      <c r="M20110" s="112"/>
      <c r="N20110" s="84"/>
    </row>
    <row r="20111" spans="1:14" s="2" customFormat="1">
      <c r="A20111" s="83"/>
      <c r="H20111" s="83"/>
      <c r="K20111" s="82"/>
      <c r="M20111" s="112"/>
      <c r="N20111" s="84"/>
    </row>
    <row r="20112" spans="1:14" s="2" customFormat="1">
      <c r="A20112" s="83"/>
      <c r="H20112" s="83"/>
      <c r="K20112" s="82"/>
      <c r="M20112" s="112"/>
      <c r="N20112" s="84"/>
    </row>
    <row r="20113" spans="1:14" s="2" customFormat="1">
      <c r="A20113" s="83"/>
      <c r="H20113" s="83"/>
      <c r="K20113" s="82"/>
      <c r="M20113" s="112"/>
      <c r="N20113" s="84"/>
    </row>
    <row r="20114" spans="1:14" s="2" customFormat="1">
      <c r="A20114" s="83"/>
      <c r="H20114" s="83"/>
      <c r="K20114" s="82"/>
      <c r="M20114" s="112"/>
      <c r="N20114" s="84"/>
    </row>
    <row r="20115" spans="1:14" s="2" customFormat="1">
      <c r="A20115" s="83"/>
      <c r="H20115" s="83"/>
      <c r="K20115" s="82"/>
      <c r="M20115" s="112"/>
      <c r="N20115" s="84"/>
    </row>
    <row r="20116" spans="1:14" s="2" customFormat="1">
      <c r="A20116" s="83"/>
      <c r="H20116" s="83"/>
      <c r="K20116" s="82"/>
      <c r="M20116" s="112"/>
      <c r="N20116" s="84"/>
    </row>
    <row r="20117" spans="1:14" s="2" customFormat="1">
      <c r="A20117" s="83"/>
      <c r="H20117" s="83"/>
      <c r="K20117" s="82"/>
      <c r="M20117" s="112"/>
      <c r="N20117" s="84"/>
    </row>
    <row r="20118" spans="1:14" s="2" customFormat="1">
      <c r="A20118" s="83"/>
      <c r="H20118" s="83"/>
      <c r="K20118" s="82"/>
      <c r="M20118" s="112"/>
      <c r="N20118" s="84"/>
    </row>
    <row r="20119" spans="1:14" s="2" customFormat="1">
      <c r="A20119" s="83"/>
      <c r="H20119" s="83"/>
      <c r="K20119" s="82"/>
      <c r="M20119" s="112"/>
      <c r="N20119" s="84"/>
    </row>
    <row r="20120" spans="1:14" s="2" customFormat="1">
      <c r="A20120" s="83"/>
      <c r="H20120" s="83"/>
      <c r="K20120" s="82"/>
      <c r="M20120" s="112"/>
      <c r="N20120" s="84"/>
    </row>
    <row r="20121" spans="1:14" s="2" customFormat="1">
      <c r="A20121" s="83"/>
      <c r="H20121" s="83"/>
      <c r="K20121" s="82"/>
      <c r="M20121" s="112"/>
      <c r="N20121" s="84"/>
    </row>
    <row r="20122" spans="1:14" s="2" customFormat="1">
      <c r="A20122" s="83"/>
      <c r="H20122" s="83"/>
      <c r="K20122" s="82"/>
      <c r="M20122" s="112"/>
      <c r="N20122" s="84"/>
    </row>
    <row r="20123" spans="1:14" s="2" customFormat="1">
      <c r="A20123" s="83"/>
      <c r="H20123" s="83"/>
      <c r="K20123" s="82"/>
      <c r="M20123" s="112"/>
      <c r="N20123" s="84"/>
    </row>
    <row r="20124" spans="1:14" s="2" customFormat="1">
      <c r="A20124" s="83"/>
      <c r="H20124" s="83"/>
      <c r="K20124" s="82"/>
      <c r="M20124" s="112"/>
      <c r="N20124" s="84"/>
    </row>
    <row r="20125" spans="1:14" s="2" customFormat="1">
      <c r="A20125" s="83"/>
      <c r="H20125" s="83"/>
      <c r="K20125" s="82"/>
      <c r="M20125" s="112"/>
      <c r="N20125" s="84"/>
    </row>
    <row r="20126" spans="1:14" s="2" customFormat="1">
      <c r="A20126" s="83"/>
      <c r="H20126" s="83"/>
      <c r="K20126" s="82"/>
      <c r="M20126" s="112"/>
      <c r="N20126" s="84"/>
    </row>
    <row r="20127" spans="1:14" s="2" customFormat="1">
      <c r="A20127" s="83"/>
      <c r="H20127" s="83"/>
      <c r="K20127" s="82"/>
      <c r="M20127" s="112"/>
      <c r="N20127" s="84"/>
    </row>
    <row r="20128" spans="1:14" s="2" customFormat="1">
      <c r="A20128" s="83"/>
      <c r="H20128" s="83"/>
      <c r="K20128" s="82"/>
      <c r="M20128" s="112"/>
      <c r="N20128" s="84"/>
    </row>
    <row r="20129" spans="1:14" s="2" customFormat="1">
      <c r="A20129" s="83"/>
      <c r="H20129" s="83"/>
      <c r="K20129" s="82"/>
      <c r="M20129" s="112"/>
      <c r="N20129" s="84"/>
    </row>
    <row r="20130" spans="1:14" s="2" customFormat="1">
      <c r="A20130" s="83"/>
      <c r="H20130" s="83"/>
      <c r="K20130" s="82"/>
      <c r="M20130" s="112"/>
      <c r="N20130" s="84"/>
    </row>
    <row r="20131" spans="1:14" s="2" customFormat="1">
      <c r="A20131" s="83"/>
      <c r="H20131" s="83"/>
      <c r="K20131" s="82"/>
      <c r="M20131" s="112"/>
      <c r="N20131" s="84"/>
    </row>
    <row r="20132" spans="1:14" s="2" customFormat="1">
      <c r="A20132" s="83"/>
      <c r="H20132" s="83"/>
      <c r="K20132" s="82"/>
      <c r="M20132" s="112"/>
      <c r="N20132" s="84"/>
    </row>
    <row r="20133" spans="1:14" s="2" customFormat="1">
      <c r="A20133" s="83"/>
      <c r="H20133" s="83"/>
      <c r="K20133" s="82"/>
      <c r="M20133" s="112"/>
      <c r="N20133" s="84"/>
    </row>
    <row r="20134" spans="1:14" s="2" customFormat="1">
      <c r="A20134" s="83"/>
      <c r="H20134" s="83"/>
      <c r="K20134" s="82"/>
      <c r="M20134" s="112"/>
      <c r="N20134" s="84"/>
    </row>
    <row r="20135" spans="1:14" s="2" customFormat="1">
      <c r="A20135" s="83"/>
      <c r="H20135" s="83"/>
      <c r="K20135" s="82"/>
      <c r="M20135" s="112"/>
      <c r="N20135" s="84"/>
    </row>
    <row r="20136" spans="1:14" s="2" customFormat="1">
      <c r="A20136" s="83"/>
      <c r="H20136" s="83"/>
      <c r="K20136" s="82"/>
      <c r="M20136" s="112"/>
      <c r="N20136" s="84"/>
    </row>
    <row r="20137" spans="1:14" s="2" customFormat="1">
      <c r="A20137" s="83"/>
      <c r="H20137" s="83"/>
      <c r="K20137" s="82"/>
      <c r="M20137" s="112"/>
      <c r="N20137" s="84"/>
    </row>
    <row r="20138" spans="1:14" s="2" customFormat="1">
      <c r="A20138" s="83"/>
      <c r="H20138" s="83"/>
      <c r="K20138" s="82"/>
      <c r="M20138" s="112"/>
      <c r="N20138" s="84"/>
    </row>
    <row r="20139" spans="1:14" s="2" customFormat="1">
      <c r="A20139" s="83"/>
      <c r="H20139" s="83"/>
      <c r="K20139" s="82"/>
      <c r="M20139" s="112"/>
      <c r="N20139" s="84"/>
    </row>
    <row r="20140" spans="1:14" s="2" customFormat="1">
      <c r="A20140" s="83"/>
      <c r="H20140" s="83"/>
      <c r="K20140" s="82"/>
      <c r="M20140" s="112"/>
      <c r="N20140" s="84"/>
    </row>
    <row r="20141" spans="1:14" s="2" customFormat="1">
      <c r="A20141" s="83"/>
      <c r="H20141" s="83"/>
      <c r="K20141" s="82"/>
      <c r="M20141" s="112"/>
      <c r="N20141" s="84"/>
    </row>
    <row r="20142" spans="1:14" s="2" customFormat="1">
      <c r="A20142" s="83"/>
      <c r="H20142" s="83"/>
      <c r="K20142" s="82"/>
      <c r="M20142" s="112"/>
      <c r="N20142" s="84"/>
    </row>
    <row r="20143" spans="1:14" s="2" customFormat="1">
      <c r="A20143" s="83"/>
      <c r="H20143" s="83"/>
      <c r="K20143" s="82"/>
      <c r="M20143" s="112"/>
      <c r="N20143" s="84"/>
    </row>
    <row r="20144" spans="1:14" s="2" customFormat="1">
      <c r="A20144" s="83"/>
      <c r="H20144" s="83"/>
      <c r="K20144" s="82"/>
      <c r="M20144" s="112"/>
      <c r="N20144" s="84"/>
    </row>
    <row r="20145" spans="1:14" s="2" customFormat="1">
      <c r="A20145" s="83"/>
      <c r="H20145" s="83"/>
      <c r="K20145" s="82"/>
      <c r="M20145" s="112"/>
      <c r="N20145" s="84"/>
    </row>
    <row r="20146" spans="1:14" s="2" customFormat="1">
      <c r="A20146" s="83"/>
      <c r="H20146" s="83"/>
      <c r="K20146" s="82"/>
      <c r="M20146" s="112"/>
      <c r="N20146" s="84"/>
    </row>
    <row r="20147" spans="1:14" s="2" customFormat="1">
      <c r="A20147" s="83"/>
      <c r="H20147" s="83"/>
      <c r="K20147" s="82"/>
      <c r="M20147" s="112"/>
      <c r="N20147" s="84"/>
    </row>
    <row r="20148" spans="1:14" s="2" customFormat="1">
      <c r="A20148" s="83"/>
      <c r="H20148" s="83"/>
      <c r="K20148" s="82"/>
      <c r="M20148" s="112"/>
      <c r="N20148" s="84"/>
    </row>
    <row r="20149" spans="1:14" s="2" customFormat="1">
      <c r="A20149" s="83"/>
      <c r="H20149" s="83"/>
      <c r="K20149" s="82"/>
      <c r="M20149" s="112"/>
      <c r="N20149" s="84"/>
    </row>
    <row r="20150" spans="1:14" s="2" customFormat="1">
      <c r="A20150" s="83"/>
      <c r="H20150" s="83"/>
      <c r="K20150" s="82"/>
      <c r="M20150" s="112"/>
      <c r="N20150" s="84"/>
    </row>
    <row r="20151" spans="1:14" s="2" customFormat="1">
      <c r="A20151" s="83"/>
      <c r="H20151" s="83"/>
      <c r="K20151" s="82"/>
      <c r="M20151" s="112"/>
      <c r="N20151" s="84"/>
    </row>
    <row r="20152" spans="1:14" s="2" customFormat="1">
      <c r="A20152" s="83"/>
      <c r="H20152" s="83"/>
      <c r="K20152" s="82"/>
      <c r="M20152" s="112"/>
      <c r="N20152" s="84"/>
    </row>
    <row r="20153" spans="1:14" s="2" customFormat="1">
      <c r="A20153" s="83"/>
      <c r="H20153" s="83"/>
      <c r="K20153" s="82"/>
      <c r="M20153" s="112"/>
      <c r="N20153" s="84"/>
    </row>
    <row r="20154" spans="1:14" s="2" customFormat="1">
      <c r="A20154" s="83"/>
      <c r="H20154" s="83"/>
      <c r="K20154" s="82"/>
      <c r="M20154" s="112"/>
      <c r="N20154" s="84"/>
    </row>
    <row r="20155" spans="1:14" s="2" customFormat="1">
      <c r="A20155" s="83"/>
      <c r="H20155" s="83"/>
      <c r="K20155" s="82"/>
      <c r="M20155" s="112"/>
      <c r="N20155" s="84"/>
    </row>
    <row r="20156" spans="1:14" s="2" customFormat="1">
      <c r="A20156" s="83"/>
      <c r="H20156" s="83"/>
      <c r="K20156" s="82"/>
      <c r="M20156" s="112"/>
      <c r="N20156" s="84"/>
    </row>
    <row r="20157" spans="1:14" s="2" customFormat="1">
      <c r="A20157" s="83"/>
      <c r="H20157" s="83"/>
      <c r="K20157" s="82"/>
      <c r="M20157" s="112"/>
      <c r="N20157" s="84"/>
    </row>
    <row r="20158" spans="1:14" s="2" customFormat="1">
      <c r="A20158" s="83"/>
      <c r="H20158" s="83"/>
      <c r="K20158" s="82"/>
      <c r="M20158" s="112"/>
      <c r="N20158" s="84"/>
    </row>
    <row r="20159" spans="1:14" s="2" customFormat="1">
      <c r="A20159" s="83"/>
      <c r="H20159" s="83"/>
      <c r="K20159" s="82"/>
      <c r="M20159" s="112"/>
      <c r="N20159" s="84"/>
    </row>
    <row r="20160" spans="1:14" s="2" customFormat="1">
      <c r="A20160" s="83"/>
      <c r="H20160" s="83"/>
      <c r="K20160" s="82"/>
      <c r="M20160" s="112"/>
      <c r="N20160" s="84"/>
    </row>
    <row r="20161" spans="1:14" s="2" customFormat="1">
      <c r="A20161" s="83"/>
      <c r="H20161" s="83"/>
      <c r="K20161" s="82"/>
      <c r="M20161" s="112"/>
      <c r="N20161" s="84"/>
    </row>
    <row r="20162" spans="1:14" s="2" customFormat="1">
      <c r="A20162" s="83"/>
      <c r="H20162" s="83"/>
      <c r="K20162" s="82"/>
      <c r="M20162" s="112"/>
      <c r="N20162" s="84"/>
    </row>
    <row r="20163" spans="1:14" s="2" customFormat="1">
      <c r="A20163" s="83"/>
      <c r="H20163" s="83"/>
      <c r="K20163" s="82"/>
      <c r="M20163" s="112"/>
      <c r="N20163" s="84"/>
    </row>
    <row r="20164" spans="1:14" s="2" customFormat="1">
      <c r="A20164" s="83"/>
      <c r="H20164" s="83"/>
      <c r="K20164" s="82"/>
      <c r="M20164" s="112"/>
      <c r="N20164" s="84"/>
    </row>
    <row r="20165" spans="1:14" s="2" customFormat="1">
      <c r="A20165" s="83"/>
      <c r="H20165" s="83"/>
      <c r="K20165" s="82"/>
      <c r="M20165" s="112"/>
      <c r="N20165" s="84"/>
    </row>
    <row r="20166" spans="1:14" s="2" customFormat="1">
      <c r="A20166" s="83"/>
      <c r="H20166" s="83"/>
      <c r="K20166" s="82"/>
      <c r="M20166" s="112"/>
      <c r="N20166" s="84"/>
    </row>
    <row r="20167" spans="1:14" s="2" customFormat="1">
      <c r="A20167" s="83"/>
      <c r="H20167" s="83"/>
      <c r="K20167" s="82"/>
      <c r="M20167" s="112"/>
      <c r="N20167" s="84"/>
    </row>
    <row r="20168" spans="1:14" s="2" customFormat="1">
      <c r="A20168" s="83"/>
      <c r="H20168" s="83"/>
      <c r="K20168" s="82"/>
      <c r="M20168" s="112"/>
      <c r="N20168" s="84"/>
    </row>
    <row r="20169" spans="1:14" s="2" customFormat="1">
      <c r="A20169" s="83"/>
      <c r="H20169" s="83"/>
      <c r="K20169" s="82"/>
      <c r="M20169" s="112"/>
      <c r="N20169" s="84"/>
    </row>
    <row r="20170" spans="1:14" s="2" customFormat="1">
      <c r="A20170" s="83"/>
      <c r="H20170" s="83"/>
      <c r="K20170" s="82"/>
      <c r="M20170" s="112"/>
      <c r="N20170" s="84"/>
    </row>
    <row r="20171" spans="1:14" s="2" customFormat="1">
      <c r="A20171" s="83"/>
      <c r="H20171" s="83"/>
      <c r="K20171" s="82"/>
      <c r="M20171" s="112"/>
      <c r="N20171" s="84"/>
    </row>
    <row r="20172" spans="1:14" s="2" customFormat="1">
      <c r="A20172" s="83"/>
      <c r="H20172" s="83"/>
      <c r="K20172" s="82"/>
      <c r="M20172" s="112"/>
      <c r="N20172" s="84"/>
    </row>
    <row r="20173" spans="1:14" s="2" customFormat="1">
      <c r="A20173" s="83"/>
      <c r="H20173" s="83"/>
      <c r="K20173" s="82"/>
      <c r="M20173" s="112"/>
      <c r="N20173" s="84"/>
    </row>
    <row r="20174" spans="1:14" s="2" customFormat="1">
      <c r="A20174" s="83"/>
      <c r="H20174" s="83"/>
      <c r="K20174" s="82"/>
      <c r="M20174" s="112"/>
      <c r="N20174" s="84"/>
    </row>
    <row r="20175" spans="1:14" s="2" customFormat="1">
      <c r="A20175" s="83"/>
      <c r="H20175" s="83"/>
      <c r="K20175" s="82"/>
      <c r="M20175" s="112"/>
      <c r="N20175" s="84"/>
    </row>
    <row r="20176" spans="1:14" s="2" customFormat="1">
      <c r="A20176" s="83"/>
      <c r="H20176" s="83"/>
      <c r="K20176" s="82"/>
      <c r="M20176" s="112"/>
      <c r="N20176" s="84"/>
    </row>
    <row r="20177" spans="1:14" s="2" customFormat="1">
      <c r="A20177" s="83"/>
      <c r="H20177" s="83"/>
      <c r="K20177" s="82"/>
      <c r="M20177" s="112"/>
      <c r="N20177" s="84"/>
    </row>
    <row r="20178" spans="1:14" s="2" customFormat="1">
      <c r="A20178" s="83"/>
      <c r="H20178" s="83"/>
      <c r="K20178" s="82"/>
      <c r="M20178" s="112"/>
      <c r="N20178" s="84"/>
    </row>
    <row r="20179" spans="1:14" s="2" customFormat="1">
      <c r="A20179" s="83"/>
      <c r="H20179" s="83"/>
      <c r="K20179" s="82"/>
      <c r="M20179" s="112"/>
      <c r="N20179" s="84"/>
    </row>
    <row r="20180" spans="1:14" s="2" customFormat="1">
      <c r="A20180" s="83"/>
      <c r="H20180" s="83"/>
      <c r="K20180" s="82"/>
      <c r="M20180" s="112"/>
      <c r="N20180" s="84"/>
    </row>
    <row r="20181" spans="1:14" s="2" customFormat="1">
      <c r="A20181" s="83"/>
      <c r="H20181" s="83"/>
      <c r="K20181" s="82"/>
      <c r="M20181" s="112"/>
      <c r="N20181" s="84"/>
    </row>
    <row r="20182" spans="1:14" s="2" customFormat="1">
      <c r="A20182" s="83"/>
      <c r="H20182" s="83"/>
      <c r="K20182" s="82"/>
      <c r="M20182" s="112"/>
      <c r="N20182" s="84"/>
    </row>
    <row r="20183" spans="1:14" s="2" customFormat="1">
      <c r="A20183" s="83"/>
      <c r="H20183" s="83"/>
      <c r="K20183" s="82"/>
      <c r="M20183" s="112"/>
      <c r="N20183" s="84"/>
    </row>
    <row r="20184" spans="1:14" s="2" customFormat="1">
      <c r="A20184" s="83"/>
      <c r="H20184" s="83"/>
      <c r="K20184" s="82"/>
      <c r="M20184" s="112"/>
      <c r="N20184" s="84"/>
    </row>
    <row r="20185" spans="1:14" s="2" customFormat="1">
      <c r="A20185" s="83"/>
      <c r="H20185" s="83"/>
      <c r="K20185" s="82"/>
      <c r="M20185" s="112"/>
      <c r="N20185" s="84"/>
    </row>
    <row r="20186" spans="1:14" s="2" customFormat="1">
      <c r="A20186" s="83"/>
      <c r="H20186" s="83"/>
      <c r="K20186" s="82"/>
      <c r="M20186" s="112"/>
      <c r="N20186" s="84"/>
    </row>
    <row r="20187" spans="1:14" s="2" customFormat="1">
      <c r="A20187" s="83"/>
      <c r="H20187" s="83"/>
      <c r="K20187" s="82"/>
      <c r="M20187" s="112"/>
      <c r="N20187" s="84"/>
    </row>
    <row r="20188" spans="1:14" s="2" customFormat="1">
      <c r="A20188" s="83"/>
      <c r="H20188" s="83"/>
      <c r="K20188" s="82"/>
      <c r="M20188" s="112"/>
      <c r="N20188" s="84"/>
    </row>
    <row r="20189" spans="1:14" s="2" customFormat="1">
      <c r="A20189" s="83"/>
      <c r="H20189" s="83"/>
      <c r="K20189" s="82"/>
      <c r="M20189" s="112"/>
      <c r="N20189" s="84"/>
    </row>
    <row r="20190" spans="1:14" s="2" customFormat="1">
      <c r="A20190" s="83"/>
      <c r="H20190" s="83"/>
      <c r="K20190" s="82"/>
      <c r="M20190" s="112"/>
      <c r="N20190" s="84"/>
    </row>
    <row r="20191" spans="1:14" s="2" customFormat="1">
      <c r="A20191" s="83"/>
      <c r="H20191" s="83"/>
      <c r="K20191" s="82"/>
      <c r="M20191" s="112"/>
      <c r="N20191" s="84"/>
    </row>
    <row r="20192" spans="1:14" s="2" customFormat="1">
      <c r="A20192" s="83"/>
      <c r="H20192" s="83"/>
      <c r="K20192" s="82"/>
      <c r="M20192" s="112"/>
      <c r="N20192" s="84"/>
    </row>
    <row r="20193" spans="1:14" s="2" customFormat="1">
      <c r="A20193" s="83"/>
      <c r="H20193" s="83"/>
      <c r="K20193" s="82"/>
      <c r="M20193" s="112"/>
      <c r="N20193" s="84"/>
    </row>
    <row r="20194" spans="1:14" s="2" customFormat="1">
      <c r="A20194" s="83"/>
      <c r="H20194" s="83"/>
      <c r="K20194" s="82"/>
      <c r="M20194" s="112"/>
      <c r="N20194" s="84"/>
    </row>
    <row r="20195" spans="1:14" s="2" customFormat="1">
      <c r="A20195" s="83"/>
      <c r="H20195" s="83"/>
      <c r="K20195" s="82"/>
      <c r="M20195" s="112"/>
      <c r="N20195" s="84"/>
    </row>
    <row r="20196" spans="1:14" s="2" customFormat="1">
      <c r="A20196" s="83"/>
      <c r="H20196" s="83"/>
      <c r="K20196" s="82"/>
      <c r="M20196" s="112"/>
      <c r="N20196" s="84"/>
    </row>
    <row r="20197" spans="1:14" s="2" customFormat="1">
      <c r="A20197" s="83"/>
      <c r="H20197" s="83"/>
      <c r="K20197" s="82"/>
      <c r="M20197" s="112"/>
      <c r="N20197" s="84"/>
    </row>
    <row r="20198" spans="1:14" s="2" customFormat="1">
      <c r="A20198" s="83"/>
      <c r="H20198" s="83"/>
      <c r="K20198" s="82"/>
      <c r="M20198" s="112"/>
      <c r="N20198" s="84"/>
    </row>
    <row r="20199" spans="1:14" s="2" customFormat="1">
      <c r="A20199" s="83"/>
      <c r="H20199" s="83"/>
      <c r="K20199" s="82"/>
      <c r="M20199" s="112"/>
      <c r="N20199" s="84"/>
    </row>
    <row r="20200" spans="1:14" s="2" customFormat="1">
      <c r="A20200" s="83"/>
      <c r="H20200" s="83"/>
      <c r="K20200" s="82"/>
      <c r="M20200" s="112"/>
      <c r="N20200" s="84"/>
    </row>
    <row r="20201" spans="1:14" s="2" customFormat="1">
      <c r="A20201" s="83"/>
      <c r="H20201" s="83"/>
      <c r="K20201" s="82"/>
      <c r="M20201" s="112"/>
      <c r="N20201" s="84"/>
    </row>
    <row r="20202" spans="1:14" s="2" customFormat="1">
      <c r="A20202" s="83"/>
      <c r="H20202" s="83"/>
      <c r="K20202" s="82"/>
      <c r="M20202" s="112"/>
      <c r="N20202" s="84"/>
    </row>
    <row r="20203" spans="1:14" s="2" customFormat="1">
      <c r="A20203" s="83"/>
      <c r="H20203" s="83"/>
      <c r="K20203" s="82"/>
      <c r="M20203" s="112"/>
      <c r="N20203" s="84"/>
    </row>
    <row r="20204" spans="1:14" s="2" customFormat="1">
      <c r="A20204" s="83"/>
      <c r="H20204" s="83"/>
      <c r="K20204" s="82"/>
      <c r="M20204" s="112"/>
      <c r="N20204" s="84"/>
    </row>
    <row r="20205" spans="1:14" s="2" customFormat="1">
      <c r="A20205" s="83"/>
      <c r="H20205" s="83"/>
      <c r="K20205" s="82"/>
      <c r="M20205" s="112"/>
      <c r="N20205" s="84"/>
    </row>
    <row r="20206" spans="1:14" s="2" customFormat="1">
      <c r="A20206" s="83"/>
      <c r="H20206" s="83"/>
      <c r="K20206" s="82"/>
      <c r="M20206" s="112"/>
      <c r="N20206" s="84"/>
    </row>
    <row r="20207" spans="1:14" s="2" customFormat="1">
      <c r="A20207" s="83"/>
      <c r="H20207" s="83"/>
      <c r="K20207" s="82"/>
      <c r="M20207" s="112"/>
      <c r="N20207" s="84"/>
    </row>
    <row r="20208" spans="1:14" s="2" customFormat="1">
      <c r="A20208" s="83"/>
      <c r="H20208" s="83"/>
      <c r="K20208" s="82"/>
      <c r="M20208" s="112"/>
      <c r="N20208" s="84"/>
    </row>
    <row r="20209" spans="1:14" s="2" customFormat="1">
      <c r="A20209" s="83"/>
      <c r="H20209" s="83"/>
      <c r="K20209" s="82"/>
      <c r="M20209" s="112"/>
      <c r="N20209" s="84"/>
    </row>
    <row r="20210" spans="1:14" s="2" customFormat="1">
      <c r="A20210" s="83"/>
      <c r="H20210" s="83"/>
      <c r="K20210" s="82"/>
      <c r="M20210" s="112"/>
      <c r="N20210" s="84"/>
    </row>
    <row r="20211" spans="1:14" s="2" customFormat="1">
      <c r="A20211" s="83"/>
      <c r="H20211" s="83"/>
      <c r="K20211" s="82"/>
      <c r="M20211" s="112"/>
      <c r="N20211" s="84"/>
    </row>
    <row r="20212" spans="1:14" s="2" customFormat="1">
      <c r="A20212" s="83"/>
      <c r="H20212" s="83"/>
      <c r="K20212" s="82"/>
      <c r="M20212" s="112"/>
      <c r="N20212" s="84"/>
    </row>
    <row r="20213" spans="1:14" s="2" customFormat="1">
      <c r="A20213" s="83"/>
      <c r="H20213" s="83"/>
      <c r="K20213" s="82"/>
      <c r="M20213" s="112"/>
      <c r="N20213" s="84"/>
    </row>
    <row r="20214" spans="1:14" s="2" customFormat="1">
      <c r="A20214" s="83"/>
      <c r="H20214" s="83"/>
      <c r="K20214" s="82"/>
      <c r="M20214" s="112"/>
      <c r="N20214" s="84"/>
    </row>
    <row r="20215" spans="1:14" s="2" customFormat="1">
      <c r="A20215" s="83"/>
      <c r="H20215" s="83"/>
      <c r="K20215" s="82"/>
      <c r="M20215" s="112"/>
      <c r="N20215" s="84"/>
    </row>
    <row r="20216" spans="1:14" s="2" customFormat="1">
      <c r="A20216" s="83"/>
      <c r="H20216" s="83"/>
      <c r="K20216" s="82"/>
      <c r="M20216" s="112"/>
      <c r="N20216" s="84"/>
    </row>
    <row r="20217" spans="1:14" s="2" customFormat="1">
      <c r="A20217" s="83"/>
      <c r="H20217" s="83"/>
      <c r="K20217" s="82"/>
      <c r="M20217" s="112"/>
      <c r="N20217" s="84"/>
    </row>
    <row r="20218" spans="1:14" s="2" customFormat="1">
      <c r="A20218" s="83"/>
      <c r="H20218" s="83"/>
      <c r="K20218" s="82"/>
      <c r="M20218" s="112"/>
      <c r="N20218" s="84"/>
    </row>
    <row r="20219" spans="1:14" s="2" customFormat="1">
      <c r="A20219" s="83"/>
      <c r="H20219" s="83"/>
      <c r="K20219" s="82"/>
      <c r="M20219" s="112"/>
      <c r="N20219" s="84"/>
    </row>
    <row r="20220" spans="1:14" s="2" customFormat="1">
      <c r="A20220" s="83"/>
      <c r="H20220" s="83"/>
      <c r="K20220" s="82"/>
      <c r="M20220" s="112"/>
      <c r="N20220" s="84"/>
    </row>
    <row r="20221" spans="1:14" s="2" customFormat="1">
      <c r="A20221" s="83"/>
      <c r="H20221" s="83"/>
      <c r="K20221" s="82"/>
      <c r="M20221" s="112"/>
      <c r="N20221" s="84"/>
    </row>
    <row r="20222" spans="1:14" s="2" customFormat="1">
      <c r="A20222" s="83"/>
      <c r="H20222" s="83"/>
      <c r="K20222" s="82"/>
      <c r="M20222" s="112"/>
      <c r="N20222" s="84"/>
    </row>
    <row r="20223" spans="1:14" s="2" customFormat="1">
      <c r="A20223" s="83"/>
      <c r="H20223" s="83"/>
      <c r="K20223" s="82"/>
      <c r="M20223" s="112"/>
      <c r="N20223" s="84"/>
    </row>
    <row r="20224" spans="1:14" s="2" customFormat="1">
      <c r="A20224" s="83"/>
      <c r="H20224" s="83"/>
      <c r="K20224" s="82"/>
      <c r="M20224" s="112"/>
      <c r="N20224" s="84"/>
    </row>
    <row r="20225" spans="1:14" s="2" customFormat="1">
      <c r="A20225" s="83"/>
      <c r="H20225" s="83"/>
      <c r="K20225" s="82"/>
      <c r="M20225" s="112"/>
      <c r="N20225" s="84"/>
    </row>
    <row r="20226" spans="1:14" s="2" customFormat="1">
      <c r="A20226" s="83"/>
      <c r="H20226" s="83"/>
      <c r="K20226" s="82"/>
      <c r="M20226" s="112"/>
      <c r="N20226" s="84"/>
    </row>
    <row r="20227" spans="1:14" s="2" customFormat="1">
      <c r="A20227" s="83"/>
      <c r="H20227" s="83"/>
      <c r="K20227" s="82"/>
      <c r="M20227" s="112"/>
      <c r="N20227" s="84"/>
    </row>
    <row r="20228" spans="1:14" s="2" customFormat="1">
      <c r="A20228" s="83"/>
      <c r="H20228" s="83"/>
      <c r="K20228" s="82"/>
      <c r="M20228" s="112"/>
      <c r="N20228" s="84"/>
    </row>
    <row r="20229" spans="1:14" s="2" customFormat="1">
      <c r="A20229" s="83"/>
      <c r="H20229" s="83"/>
      <c r="K20229" s="82"/>
      <c r="M20229" s="112"/>
      <c r="N20229" s="84"/>
    </row>
    <row r="20230" spans="1:14" s="2" customFormat="1">
      <c r="A20230" s="83"/>
      <c r="H20230" s="83"/>
      <c r="K20230" s="82"/>
      <c r="M20230" s="112"/>
      <c r="N20230" s="84"/>
    </row>
    <row r="20231" spans="1:14" s="2" customFormat="1">
      <c r="A20231" s="83"/>
      <c r="H20231" s="83"/>
      <c r="K20231" s="82"/>
      <c r="M20231" s="112"/>
      <c r="N20231" s="84"/>
    </row>
    <row r="20232" spans="1:14" s="2" customFormat="1">
      <c r="A20232" s="83"/>
      <c r="H20232" s="83"/>
      <c r="K20232" s="82"/>
      <c r="M20232" s="112"/>
      <c r="N20232" s="84"/>
    </row>
    <row r="20233" spans="1:14" s="2" customFormat="1">
      <c r="A20233" s="83"/>
      <c r="H20233" s="83"/>
      <c r="K20233" s="82"/>
      <c r="M20233" s="112"/>
      <c r="N20233" s="84"/>
    </row>
    <row r="20234" spans="1:14" s="2" customFormat="1">
      <c r="A20234" s="83"/>
      <c r="H20234" s="83"/>
      <c r="K20234" s="82"/>
      <c r="M20234" s="112"/>
      <c r="N20234" s="84"/>
    </row>
    <row r="20235" spans="1:14" s="2" customFormat="1">
      <c r="A20235" s="83"/>
      <c r="H20235" s="83"/>
      <c r="K20235" s="82"/>
      <c r="M20235" s="112"/>
      <c r="N20235" s="84"/>
    </row>
    <row r="20236" spans="1:14" s="2" customFormat="1">
      <c r="A20236" s="83"/>
      <c r="H20236" s="83"/>
      <c r="K20236" s="82"/>
      <c r="M20236" s="112"/>
      <c r="N20236" s="84"/>
    </row>
    <row r="20237" spans="1:14" s="2" customFormat="1">
      <c r="A20237" s="83"/>
      <c r="H20237" s="83"/>
      <c r="K20237" s="82"/>
      <c r="M20237" s="112"/>
      <c r="N20237" s="84"/>
    </row>
    <row r="20238" spans="1:14" s="2" customFormat="1">
      <c r="A20238" s="83"/>
      <c r="H20238" s="83"/>
      <c r="K20238" s="82"/>
      <c r="M20238" s="112"/>
      <c r="N20238" s="84"/>
    </row>
    <row r="20239" spans="1:14" s="2" customFormat="1">
      <c r="A20239" s="83"/>
      <c r="H20239" s="83"/>
      <c r="K20239" s="82"/>
      <c r="M20239" s="112"/>
      <c r="N20239" s="84"/>
    </row>
    <row r="20240" spans="1:14" s="2" customFormat="1">
      <c r="A20240" s="83"/>
      <c r="H20240" s="83"/>
      <c r="K20240" s="82"/>
      <c r="M20240" s="112"/>
      <c r="N20240" s="84"/>
    </row>
    <row r="20241" spans="1:14" s="2" customFormat="1">
      <c r="A20241" s="83"/>
      <c r="H20241" s="83"/>
      <c r="K20241" s="82"/>
      <c r="M20241" s="112"/>
      <c r="N20241" s="84"/>
    </row>
    <row r="20242" spans="1:14" s="2" customFormat="1">
      <c r="A20242" s="83"/>
      <c r="H20242" s="83"/>
      <c r="K20242" s="82"/>
      <c r="M20242" s="112"/>
      <c r="N20242" s="84"/>
    </row>
    <row r="20243" spans="1:14" s="2" customFormat="1">
      <c r="A20243" s="83"/>
      <c r="H20243" s="83"/>
      <c r="K20243" s="82"/>
      <c r="M20243" s="112"/>
      <c r="N20243" s="84"/>
    </row>
    <row r="20244" spans="1:14" s="2" customFormat="1">
      <c r="A20244" s="83"/>
      <c r="H20244" s="83"/>
      <c r="K20244" s="82"/>
      <c r="M20244" s="112"/>
      <c r="N20244" s="84"/>
    </row>
    <row r="20245" spans="1:14" s="2" customFormat="1">
      <c r="A20245" s="83"/>
      <c r="H20245" s="83"/>
      <c r="K20245" s="82"/>
      <c r="M20245" s="112"/>
      <c r="N20245" s="84"/>
    </row>
    <row r="20246" spans="1:14" s="2" customFormat="1">
      <c r="A20246" s="83"/>
      <c r="H20246" s="83"/>
      <c r="K20246" s="82"/>
      <c r="M20246" s="112"/>
      <c r="N20246" s="84"/>
    </row>
    <row r="20247" spans="1:14" s="2" customFormat="1">
      <c r="A20247" s="83"/>
      <c r="H20247" s="83"/>
      <c r="K20247" s="82"/>
      <c r="M20247" s="112"/>
      <c r="N20247" s="84"/>
    </row>
    <row r="20248" spans="1:14" s="2" customFormat="1">
      <c r="A20248" s="83"/>
      <c r="H20248" s="83"/>
      <c r="K20248" s="82"/>
      <c r="M20248" s="112"/>
      <c r="N20248" s="84"/>
    </row>
    <row r="20249" spans="1:14" s="2" customFormat="1">
      <c r="A20249" s="83"/>
      <c r="H20249" s="83"/>
      <c r="K20249" s="82"/>
      <c r="M20249" s="112"/>
      <c r="N20249" s="84"/>
    </row>
    <row r="20250" spans="1:14" s="2" customFormat="1">
      <c r="A20250" s="83"/>
      <c r="H20250" s="83"/>
      <c r="K20250" s="82"/>
      <c r="M20250" s="112"/>
      <c r="N20250" s="84"/>
    </row>
    <row r="20251" spans="1:14" s="2" customFormat="1">
      <c r="A20251" s="83"/>
      <c r="H20251" s="83"/>
      <c r="K20251" s="82"/>
      <c r="M20251" s="112"/>
      <c r="N20251" s="84"/>
    </row>
    <row r="20252" spans="1:14" s="2" customFormat="1">
      <c r="A20252" s="83"/>
      <c r="H20252" s="83"/>
      <c r="K20252" s="82"/>
      <c r="M20252" s="112"/>
      <c r="N20252" s="84"/>
    </row>
    <row r="20253" spans="1:14" s="2" customFormat="1">
      <c r="A20253" s="83"/>
      <c r="H20253" s="83"/>
      <c r="K20253" s="82"/>
      <c r="M20253" s="112"/>
      <c r="N20253" s="84"/>
    </row>
    <row r="20254" spans="1:14" s="2" customFormat="1">
      <c r="A20254" s="83"/>
      <c r="H20254" s="83"/>
      <c r="K20254" s="82"/>
      <c r="M20254" s="112"/>
      <c r="N20254" s="84"/>
    </row>
    <row r="20255" spans="1:14" s="2" customFormat="1">
      <c r="A20255" s="83"/>
      <c r="H20255" s="83"/>
      <c r="K20255" s="82"/>
      <c r="M20255" s="112"/>
      <c r="N20255" s="84"/>
    </row>
    <row r="20256" spans="1:14" s="2" customFormat="1">
      <c r="A20256" s="83"/>
      <c r="H20256" s="83"/>
      <c r="K20256" s="82"/>
      <c r="M20256" s="112"/>
      <c r="N20256" s="84"/>
    </row>
    <row r="20257" spans="1:14" s="2" customFormat="1">
      <c r="A20257" s="83"/>
      <c r="H20257" s="83"/>
      <c r="K20257" s="82"/>
      <c r="M20257" s="112"/>
      <c r="N20257" s="84"/>
    </row>
    <row r="20258" spans="1:14" s="2" customFormat="1">
      <c r="A20258" s="83"/>
      <c r="H20258" s="83"/>
      <c r="K20258" s="82"/>
      <c r="M20258" s="112"/>
      <c r="N20258" s="84"/>
    </row>
    <row r="20259" spans="1:14" s="2" customFormat="1">
      <c r="A20259" s="83"/>
      <c r="H20259" s="83"/>
      <c r="K20259" s="82"/>
      <c r="M20259" s="112"/>
      <c r="N20259" s="84"/>
    </row>
    <row r="20260" spans="1:14" s="2" customFormat="1">
      <c r="A20260" s="83"/>
      <c r="H20260" s="83"/>
      <c r="K20260" s="82"/>
      <c r="M20260" s="112"/>
      <c r="N20260" s="84"/>
    </row>
    <row r="20261" spans="1:14" s="2" customFormat="1">
      <c r="A20261" s="83"/>
      <c r="H20261" s="83"/>
      <c r="K20261" s="82"/>
      <c r="M20261" s="112"/>
      <c r="N20261" s="84"/>
    </row>
    <row r="20262" spans="1:14" s="2" customFormat="1">
      <c r="A20262" s="83"/>
      <c r="H20262" s="83"/>
      <c r="K20262" s="82"/>
      <c r="M20262" s="112"/>
      <c r="N20262" s="84"/>
    </row>
    <row r="20263" spans="1:14" s="2" customFormat="1">
      <c r="A20263" s="83"/>
      <c r="H20263" s="83"/>
      <c r="K20263" s="82"/>
      <c r="M20263" s="112"/>
      <c r="N20263" s="84"/>
    </row>
    <row r="20264" spans="1:14" s="2" customFormat="1">
      <c r="A20264" s="83"/>
      <c r="H20264" s="83"/>
      <c r="K20264" s="82"/>
      <c r="M20264" s="112"/>
      <c r="N20264" s="84"/>
    </row>
    <row r="20265" spans="1:14" s="2" customFormat="1">
      <c r="A20265" s="83"/>
      <c r="H20265" s="83"/>
      <c r="K20265" s="82"/>
      <c r="M20265" s="112"/>
      <c r="N20265" s="84"/>
    </row>
    <row r="20266" spans="1:14" s="2" customFormat="1">
      <c r="A20266" s="83"/>
      <c r="H20266" s="83"/>
      <c r="K20266" s="82"/>
      <c r="M20266" s="112"/>
      <c r="N20266" s="84"/>
    </row>
    <row r="20267" spans="1:14" s="2" customFormat="1">
      <c r="A20267" s="83"/>
      <c r="H20267" s="83"/>
      <c r="K20267" s="82"/>
      <c r="M20267" s="112"/>
      <c r="N20267" s="84"/>
    </row>
    <row r="20268" spans="1:14" s="2" customFormat="1">
      <c r="A20268" s="83"/>
      <c r="H20268" s="83"/>
      <c r="K20268" s="82"/>
      <c r="M20268" s="112"/>
      <c r="N20268" s="84"/>
    </row>
    <row r="20269" spans="1:14" s="2" customFormat="1">
      <c r="A20269" s="83"/>
      <c r="H20269" s="83"/>
      <c r="K20269" s="82"/>
      <c r="M20269" s="112"/>
      <c r="N20269" s="84"/>
    </row>
    <row r="20270" spans="1:14" s="2" customFormat="1">
      <c r="A20270" s="83"/>
      <c r="H20270" s="83"/>
      <c r="K20270" s="82"/>
      <c r="M20270" s="112"/>
      <c r="N20270" s="84"/>
    </row>
    <row r="20271" spans="1:14" s="2" customFormat="1">
      <c r="A20271" s="83"/>
      <c r="H20271" s="83"/>
      <c r="K20271" s="82"/>
      <c r="M20271" s="112"/>
      <c r="N20271" s="84"/>
    </row>
    <row r="20272" spans="1:14" s="2" customFormat="1">
      <c r="A20272" s="83"/>
      <c r="H20272" s="83"/>
      <c r="K20272" s="82"/>
      <c r="M20272" s="112"/>
      <c r="N20272" s="84"/>
    </row>
    <row r="20273" spans="1:14" s="2" customFormat="1">
      <c r="A20273" s="83"/>
      <c r="H20273" s="83"/>
      <c r="K20273" s="82"/>
      <c r="M20273" s="112"/>
      <c r="N20273" s="84"/>
    </row>
    <row r="20274" spans="1:14" s="2" customFormat="1">
      <c r="A20274" s="83"/>
      <c r="H20274" s="83"/>
      <c r="K20274" s="82"/>
      <c r="M20274" s="112"/>
      <c r="N20274" s="84"/>
    </row>
    <row r="20275" spans="1:14" s="2" customFormat="1">
      <c r="A20275" s="83"/>
      <c r="H20275" s="83"/>
      <c r="K20275" s="82"/>
      <c r="M20275" s="112"/>
      <c r="N20275" s="84"/>
    </row>
    <row r="20276" spans="1:14" s="2" customFormat="1">
      <c r="A20276" s="83"/>
      <c r="H20276" s="83"/>
      <c r="K20276" s="82"/>
      <c r="M20276" s="112"/>
      <c r="N20276" s="84"/>
    </row>
    <row r="20277" spans="1:14" s="2" customFormat="1">
      <c r="A20277" s="83"/>
      <c r="H20277" s="83"/>
      <c r="K20277" s="82"/>
      <c r="M20277" s="112"/>
      <c r="N20277" s="84"/>
    </row>
    <row r="20278" spans="1:14" s="2" customFormat="1">
      <c r="A20278" s="83"/>
      <c r="H20278" s="83"/>
      <c r="K20278" s="82"/>
      <c r="M20278" s="112"/>
      <c r="N20278" s="84"/>
    </row>
    <row r="20279" spans="1:14" s="2" customFormat="1">
      <c r="A20279" s="83"/>
      <c r="H20279" s="83"/>
      <c r="K20279" s="82"/>
      <c r="M20279" s="112"/>
      <c r="N20279" s="84"/>
    </row>
    <row r="20280" spans="1:14" s="2" customFormat="1">
      <c r="A20280" s="83"/>
      <c r="H20280" s="83"/>
      <c r="K20280" s="82"/>
      <c r="M20280" s="112"/>
      <c r="N20280" s="84"/>
    </row>
    <row r="20281" spans="1:14" s="2" customFormat="1">
      <c r="A20281" s="83"/>
      <c r="H20281" s="83"/>
      <c r="K20281" s="82"/>
      <c r="M20281" s="112"/>
      <c r="N20281" s="84"/>
    </row>
    <row r="20282" spans="1:14" s="2" customFormat="1">
      <c r="A20282" s="83"/>
      <c r="H20282" s="83"/>
      <c r="K20282" s="82"/>
      <c r="M20282" s="112"/>
      <c r="N20282" s="84"/>
    </row>
    <row r="20283" spans="1:14" s="2" customFormat="1">
      <c r="A20283" s="83"/>
      <c r="H20283" s="83"/>
      <c r="K20283" s="82"/>
      <c r="M20283" s="112"/>
      <c r="N20283" s="84"/>
    </row>
    <row r="20284" spans="1:14" s="2" customFormat="1">
      <c r="A20284" s="83"/>
      <c r="H20284" s="83"/>
      <c r="K20284" s="82"/>
      <c r="M20284" s="112"/>
      <c r="N20284" s="84"/>
    </row>
    <row r="20285" spans="1:14" s="2" customFormat="1">
      <c r="A20285" s="83"/>
      <c r="H20285" s="83"/>
      <c r="K20285" s="82"/>
      <c r="M20285" s="112"/>
      <c r="N20285" s="84"/>
    </row>
    <row r="20286" spans="1:14" s="2" customFormat="1">
      <c r="A20286" s="83"/>
      <c r="H20286" s="83"/>
      <c r="K20286" s="82"/>
      <c r="M20286" s="112"/>
      <c r="N20286" s="84"/>
    </row>
    <row r="20287" spans="1:14" s="2" customFormat="1">
      <c r="A20287" s="83"/>
      <c r="H20287" s="83"/>
      <c r="K20287" s="82"/>
      <c r="M20287" s="112"/>
      <c r="N20287" s="84"/>
    </row>
    <row r="20288" spans="1:14" s="2" customFormat="1">
      <c r="A20288" s="83"/>
      <c r="H20288" s="83"/>
      <c r="K20288" s="82"/>
      <c r="M20288" s="112"/>
      <c r="N20288" s="84"/>
    </row>
    <row r="20289" spans="1:14" s="2" customFormat="1">
      <c r="A20289" s="83"/>
      <c r="H20289" s="83"/>
      <c r="K20289" s="82"/>
      <c r="M20289" s="112"/>
      <c r="N20289" s="84"/>
    </row>
    <row r="20290" spans="1:14" s="2" customFormat="1">
      <c r="A20290" s="83"/>
      <c r="H20290" s="83"/>
      <c r="K20290" s="82"/>
      <c r="M20290" s="112"/>
      <c r="N20290" s="84"/>
    </row>
    <row r="20291" spans="1:14" s="2" customFormat="1">
      <c r="A20291" s="83"/>
      <c r="H20291" s="83"/>
      <c r="K20291" s="82"/>
      <c r="M20291" s="112"/>
      <c r="N20291" s="84"/>
    </row>
    <row r="20292" spans="1:14" s="2" customFormat="1">
      <c r="A20292" s="83"/>
      <c r="H20292" s="83"/>
      <c r="K20292" s="82"/>
      <c r="M20292" s="112"/>
      <c r="N20292" s="84"/>
    </row>
    <row r="20293" spans="1:14" s="2" customFormat="1">
      <c r="A20293" s="83"/>
      <c r="H20293" s="83"/>
      <c r="K20293" s="82"/>
      <c r="M20293" s="112"/>
      <c r="N20293" s="84"/>
    </row>
    <row r="20294" spans="1:14" s="2" customFormat="1">
      <c r="A20294" s="83"/>
      <c r="H20294" s="83"/>
      <c r="K20294" s="82"/>
      <c r="M20294" s="112"/>
      <c r="N20294" s="84"/>
    </row>
    <row r="20295" spans="1:14" s="2" customFormat="1">
      <c r="A20295" s="83"/>
      <c r="H20295" s="83"/>
      <c r="K20295" s="82"/>
      <c r="M20295" s="112"/>
      <c r="N20295" s="84"/>
    </row>
    <row r="20296" spans="1:14" s="2" customFormat="1">
      <c r="A20296" s="83"/>
      <c r="H20296" s="83"/>
      <c r="K20296" s="82"/>
      <c r="M20296" s="112"/>
      <c r="N20296" s="84"/>
    </row>
    <row r="20297" spans="1:14" s="2" customFormat="1">
      <c r="A20297" s="83"/>
      <c r="H20297" s="83"/>
      <c r="K20297" s="82"/>
      <c r="M20297" s="112"/>
      <c r="N20297" s="84"/>
    </row>
    <row r="20298" spans="1:14" s="2" customFormat="1">
      <c r="A20298" s="83"/>
      <c r="H20298" s="83"/>
      <c r="K20298" s="82"/>
      <c r="M20298" s="112"/>
      <c r="N20298" s="84"/>
    </row>
    <row r="20299" spans="1:14" s="2" customFormat="1">
      <c r="A20299" s="83"/>
      <c r="H20299" s="83"/>
      <c r="K20299" s="82"/>
      <c r="M20299" s="112"/>
      <c r="N20299" s="84"/>
    </row>
    <row r="20300" spans="1:14" s="2" customFormat="1">
      <c r="A20300" s="83"/>
      <c r="H20300" s="83"/>
      <c r="K20300" s="82"/>
      <c r="M20300" s="112"/>
      <c r="N20300" s="84"/>
    </row>
    <row r="20301" spans="1:14" s="2" customFormat="1">
      <c r="A20301" s="83"/>
      <c r="H20301" s="83"/>
      <c r="K20301" s="82"/>
      <c r="M20301" s="112"/>
      <c r="N20301" s="84"/>
    </row>
    <row r="20302" spans="1:14" s="2" customFormat="1">
      <c r="A20302" s="83"/>
      <c r="H20302" s="83"/>
      <c r="K20302" s="82"/>
      <c r="M20302" s="112"/>
      <c r="N20302" s="84"/>
    </row>
    <row r="20303" spans="1:14" s="2" customFormat="1">
      <c r="A20303" s="83"/>
      <c r="H20303" s="83"/>
      <c r="K20303" s="82"/>
      <c r="M20303" s="112"/>
      <c r="N20303" s="84"/>
    </row>
    <row r="20304" spans="1:14" s="2" customFormat="1">
      <c r="A20304" s="83"/>
      <c r="H20304" s="83"/>
      <c r="K20304" s="82"/>
      <c r="M20304" s="112"/>
      <c r="N20304" s="84"/>
    </row>
    <row r="20305" spans="1:14" s="2" customFormat="1">
      <c r="A20305" s="83"/>
      <c r="H20305" s="83"/>
      <c r="K20305" s="82"/>
      <c r="M20305" s="112"/>
      <c r="N20305" s="84"/>
    </row>
    <row r="20306" spans="1:14" s="2" customFormat="1">
      <c r="A20306" s="83"/>
      <c r="H20306" s="83"/>
      <c r="K20306" s="82"/>
      <c r="M20306" s="112"/>
      <c r="N20306" s="84"/>
    </row>
    <row r="20307" spans="1:14" s="2" customFormat="1">
      <c r="A20307" s="83"/>
      <c r="H20307" s="83"/>
      <c r="K20307" s="82"/>
      <c r="M20307" s="112"/>
      <c r="N20307" s="84"/>
    </row>
    <row r="20308" spans="1:14" s="2" customFormat="1">
      <c r="A20308" s="83"/>
      <c r="H20308" s="83"/>
      <c r="K20308" s="82"/>
      <c r="M20308" s="112"/>
      <c r="N20308" s="84"/>
    </row>
    <row r="20309" spans="1:14" s="2" customFormat="1">
      <c r="A20309" s="83"/>
      <c r="H20309" s="83"/>
      <c r="K20309" s="82"/>
      <c r="M20309" s="112"/>
      <c r="N20309" s="84"/>
    </row>
    <row r="20310" spans="1:14" s="2" customFormat="1">
      <c r="A20310" s="83"/>
      <c r="H20310" s="83"/>
      <c r="K20310" s="82"/>
      <c r="M20310" s="112"/>
      <c r="N20310" s="84"/>
    </row>
    <row r="20311" spans="1:14" s="2" customFormat="1">
      <c r="A20311" s="83"/>
      <c r="H20311" s="83"/>
      <c r="K20311" s="82"/>
      <c r="M20311" s="112"/>
      <c r="N20311" s="84"/>
    </row>
    <row r="20312" spans="1:14" s="2" customFormat="1">
      <c r="A20312" s="83"/>
      <c r="H20312" s="83"/>
      <c r="K20312" s="82"/>
      <c r="M20312" s="112"/>
      <c r="N20312" s="84"/>
    </row>
    <row r="20313" spans="1:14" s="2" customFormat="1">
      <c r="A20313" s="83"/>
      <c r="H20313" s="83"/>
      <c r="K20313" s="82"/>
      <c r="M20313" s="112"/>
      <c r="N20313" s="84"/>
    </row>
    <row r="20314" spans="1:14" s="2" customFormat="1">
      <c r="A20314" s="83"/>
      <c r="H20314" s="83"/>
      <c r="K20314" s="82"/>
      <c r="M20314" s="112"/>
      <c r="N20314" s="84"/>
    </row>
    <row r="20315" spans="1:14" s="2" customFormat="1">
      <c r="A20315" s="83"/>
      <c r="H20315" s="83"/>
      <c r="K20315" s="82"/>
      <c r="M20315" s="112"/>
      <c r="N20315" s="84"/>
    </row>
    <row r="20316" spans="1:14" s="2" customFormat="1">
      <c r="A20316" s="83"/>
      <c r="H20316" s="83"/>
      <c r="K20316" s="82"/>
      <c r="M20316" s="112"/>
      <c r="N20316" s="84"/>
    </row>
    <row r="20317" spans="1:14" s="2" customFormat="1">
      <c r="A20317" s="83"/>
      <c r="H20317" s="83"/>
      <c r="K20317" s="82"/>
      <c r="M20317" s="112"/>
      <c r="N20317" s="84"/>
    </row>
    <row r="20318" spans="1:14" s="2" customFormat="1">
      <c r="A20318" s="83"/>
      <c r="H20318" s="83"/>
      <c r="K20318" s="82"/>
      <c r="M20318" s="112"/>
      <c r="N20318" s="84"/>
    </row>
    <row r="20319" spans="1:14" s="2" customFormat="1">
      <c r="A20319" s="83"/>
      <c r="H20319" s="83"/>
      <c r="K20319" s="82"/>
      <c r="M20319" s="112"/>
      <c r="N20319" s="84"/>
    </row>
    <row r="20320" spans="1:14" s="2" customFormat="1">
      <c r="A20320" s="83"/>
      <c r="H20320" s="83"/>
      <c r="K20320" s="82"/>
      <c r="M20320" s="112"/>
      <c r="N20320" s="84"/>
    </row>
    <row r="20321" spans="1:14" s="2" customFormat="1">
      <c r="A20321" s="83"/>
      <c r="H20321" s="83"/>
      <c r="K20321" s="82"/>
      <c r="M20321" s="112"/>
      <c r="N20321" s="84"/>
    </row>
    <row r="20322" spans="1:14" s="2" customFormat="1">
      <c r="A20322" s="83"/>
      <c r="H20322" s="83"/>
      <c r="K20322" s="82"/>
      <c r="M20322" s="112"/>
      <c r="N20322" s="84"/>
    </row>
    <row r="20323" spans="1:14" s="2" customFormat="1">
      <c r="A20323" s="83"/>
      <c r="H20323" s="83"/>
      <c r="K20323" s="82"/>
      <c r="M20323" s="112"/>
      <c r="N20323" s="84"/>
    </row>
    <row r="20324" spans="1:14" s="2" customFormat="1">
      <c r="A20324" s="83"/>
      <c r="H20324" s="83"/>
      <c r="K20324" s="82"/>
      <c r="M20324" s="112"/>
      <c r="N20324" s="84"/>
    </row>
    <row r="20325" spans="1:14" s="2" customFormat="1">
      <c r="A20325" s="83"/>
      <c r="H20325" s="83"/>
      <c r="K20325" s="82"/>
      <c r="M20325" s="112"/>
      <c r="N20325" s="84"/>
    </row>
    <row r="20326" spans="1:14" s="2" customFormat="1">
      <c r="A20326" s="83"/>
      <c r="H20326" s="83"/>
      <c r="K20326" s="82"/>
      <c r="M20326" s="112"/>
      <c r="N20326" s="84"/>
    </row>
    <row r="20327" spans="1:14" s="2" customFormat="1">
      <c r="A20327" s="83"/>
      <c r="H20327" s="83"/>
      <c r="K20327" s="82"/>
      <c r="M20327" s="112"/>
      <c r="N20327" s="84"/>
    </row>
    <row r="20328" spans="1:14" s="2" customFormat="1">
      <c r="A20328" s="83"/>
      <c r="H20328" s="83"/>
      <c r="K20328" s="82"/>
      <c r="M20328" s="112"/>
      <c r="N20328" s="84"/>
    </row>
    <row r="20329" spans="1:14" s="2" customFormat="1">
      <c r="A20329" s="83"/>
      <c r="H20329" s="83"/>
      <c r="K20329" s="82"/>
      <c r="M20329" s="112"/>
      <c r="N20329" s="84"/>
    </row>
    <row r="20330" spans="1:14" s="2" customFormat="1">
      <c r="A20330" s="83"/>
      <c r="H20330" s="83"/>
      <c r="K20330" s="82"/>
      <c r="M20330" s="112"/>
      <c r="N20330" s="84"/>
    </row>
    <row r="20331" spans="1:14" s="2" customFormat="1">
      <c r="A20331" s="83"/>
      <c r="H20331" s="83"/>
      <c r="K20331" s="82"/>
      <c r="M20331" s="112"/>
      <c r="N20331" s="84"/>
    </row>
    <row r="20332" spans="1:14" s="2" customFormat="1">
      <c r="A20332" s="83"/>
      <c r="H20332" s="83"/>
      <c r="K20332" s="82"/>
      <c r="M20332" s="112"/>
      <c r="N20332" s="84"/>
    </row>
    <row r="20333" spans="1:14" s="2" customFormat="1">
      <c r="A20333" s="83"/>
      <c r="H20333" s="83"/>
      <c r="K20333" s="82"/>
      <c r="M20333" s="112"/>
      <c r="N20333" s="84"/>
    </row>
    <row r="20334" spans="1:14" s="2" customFormat="1">
      <c r="A20334" s="83"/>
      <c r="H20334" s="83"/>
      <c r="K20334" s="82"/>
      <c r="M20334" s="112"/>
      <c r="N20334" s="84"/>
    </row>
    <row r="20335" spans="1:14" s="2" customFormat="1">
      <c r="A20335" s="83"/>
      <c r="H20335" s="83"/>
      <c r="K20335" s="82"/>
      <c r="M20335" s="112"/>
      <c r="N20335" s="84"/>
    </row>
    <row r="20336" spans="1:14" s="2" customFormat="1">
      <c r="A20336" s="83"/>
      <c r="H20336" s="83"/>
      <c r="K20336" s="82"/>
      <c r="M20336" s="112"/>
      <c r="N20336" s="84"/>
    </row>
    <row r="20337" spans="1:14" s="2" customFormat="1">
      <c r="A20337" s="83"/>
      <c r="H20337" s="83"/>
      <c r="K20337" s="82"/>
      <c r="M20337" s="112"/>
      <c r="N20337" s="84"/>
    </row>
    <row r="20338" spans="1:14" s="2" customFormat="1">
      <c r="A20338" s="83"/>
      <c r="H20338" s="83"/>
      <c r="K20338" s="82"/>
      <c r="M20338" s="112"/>
      <c r="N20338" s="84"/>
    </row>
    <row r="20339" spans="1:14" s="2" customFormat="1">
      <c r="A20339" s="83"/>
      <c r="H20339" s="83"/>
      <c r="K20339" s="82"/>
      <c r="M20339" s="112"/>
      <c r="N20339" s="84"/>
    </row>
    <row r="20340" spans="1:14" s="2" customFormat="1">
      <c r="A20340" s="83"/>
      <c r="H20340" s="83"/>
      <c r="K20340" s="82"/>
      <c r="M20340" s="112"/>
      <c r="N20340" s="84"/>
    </row>
    <row r="20341" spans="1:14" s="2" customFormat="1">
      <c r="A20341" s="83"/>
      <c r="H20341" s="83"/>
      <c r="K20341" s="82"/>
      <c r="M20341" s="112"/>
      <c r="N20341" s="84"/>
    </row>
    <row r="20342" spans="1:14" s="2" customFormat="1">
      <c r="A20342" s="83"/>
      <c r="H20342" s="83"/>
      <c r="K20342" s="82"/>
      <c r="M20342" s="112"/>
      <c r="N20342" s="84"/>
    </row>
    <row r="20343" spans="1:14" s="2" customFormat="1">
      <c r="A20343" s="83"/>
      <c r="H20343" s="83"/>
      <c r="K20343" s="82"/>
      <c r="M20343" s="112"/>
      <c r="N20343" s="84"/>
    </row>
    <row r="20344" spans="1:14" s="2" customFormat="1">
      <c r="A20344" s="83"/>
      <c r="H20344" s="83"/>
      <c r="K20344" s="82"/>
      <c r="M20344" s="112"/>
      <c r="N20344" s="84"/>
    </row>
    <row r="20345" spans="1:14" s="2" customFormat="1">
      <c r="A20345" s="83"/>
      <c r="H20345" s="83"/>
      <c r="K20345" s="82"/>
      <c r="M20345" s="112"/>
      <c r="N20345" s="84"/>
    </row>
    <row r="20346" spans="1:14" s="2" customFormat="1">
      <c r="A20346" s="83"/>
      <c r="H20346" s="83"/>
      <c r="K20346" s="82"/>
      <c r="M20346" s="112"/>
      <c r="N20346" s="84"/>
    </row>
    <row r="20347" spans="1:14" s="2" customFormat="1">
      <c r="A20347" s="83"/>
      <c r="H20347" s="83"/>
      <c r="K20347" s="82"/>
      <c r="M20347" s="112"/>
      <c r="N20347" s="84"/>
    </row>
    <row r="20348" spans="1:14" s="2" customFormat="1">
      <c r="A20348" s="83"/>
      <c r="H20348" s="83"/>
      <c r="K20348" s="82"/>
      <c r="M20348" s="112"/>
      <c r="N20348" s="84"/>
    </row>
    <row r="20349" spans="1:14" s="2" customFormat="1">
      <c r="A20349" s="83"/>
      <c r="H20349" s="83"/>
      <c r="K20349" s="82"/>
      <c r="M20349" s="112"/>
      <c r="N20349" s="84"/>
    </row>
    <row r="20350" spans="1:14" s="2" customFormat="1">
      <c r="A20350" s="83"/>
      <c r="H20350" s="83"/>
      <c r="K20350" s="82"/>
      <c r="M20350" s="112"/>
      <c r="N20350" s="84"/>
    </row>
    <row r="20351" spans="1:14" s="2" customFormat="1">
      <c r="A20351" s="83"/>
      <c r="H20351" s="83"/>
      <c r="K20351" s="82"/>
      <c r="M20351" s="112"/>
      <c r="N20351" s="84"/>
    </row>
    <row r="20352" spans="1:14" s="2" customFormat="1">
      <c r="A20352" s="83"/>
      <c r="H20352" s="83"/>
      <c r="K20352" s="82"/>
      <c r="M20352" s="112"/>
      <c r="N20352" s="84"/>
    </row>
    <row r="20353" spans="1:14" s="2" customFormat="1">
      <c r="A20353" s="83"/>
      <c r="H20353" s="83"/>
      <c r="K20353" s="82"/>
      <c r="M20353" s="112"/>
      <c r="N20353" s="84"/>
    </row>
    <row r="20354" spans="1:14" s="2" customFormat="1">
      <c r="A20354" s="83"/>
      <c r="H20354" s="83"/>
      <c r="K20354" s="82"/>
      <c r="M20354" s="112"/>
      <c r="N20354" s="84"/>
    </row>
    <row r="20355" spans="1:14" s="2" customFormat="1">
      <c r="A20355" s="83"/>
      <c r="H20355" s="83"/>
      <c r="K20355" s="82"/>
      <c r="M20355" s="112"/>
      <c r="N20355" s="84"/>
    </row>
    <row r="20356" spans="1:14" s="2" customFormat="1">
      <c r="A20356" s="83"/>
      <c r="H20356" s="83"/>
      <c r="K20356" s="82"/>
      <c r="M20356" s="112"/>
      <c r="N20356" s="84"/>
    </row>
    <row r="20357" spans="1:14" s="2" customFormat="1">
      <c r="A20357" s="83"/>
      <c r="H20357" s="83"/>
      <c r="K20357" s="82"/>
      <c r="M20357" s="112"/>
      <c r="N20357" s="84"/>
    </row>
    <row r="20358" spans="1:14" s="2" customFormat="1">
      <c r="A20358" s="83"/>
      <c r="H20358" s="83"/>
      <c r="K20358" s="82"/>
      <c r="M20358" s="112"/>
      <c r="N20358" s="84"/>
    </row>
    <row r="20359" spans="1:14" s="2" customFormat="1">
      <c r="A20359" s="83"/>
      <c r="H20359" s="83"/>
      <c r="K20359" s="82"/>
      <c r="M20359" s="112"/>
      <c r="N20359" s="84"/>
    </row>
    <row r="20360" spans="1:14" s="2" customFormat="1">
      <c r="A20360" s="83"/>
      <c r="H20360" s="83"/>
      <c r="K20360" s="82"/>
      <c r="M20360" s="112"/>
      <c r="N20360" s="84"/>
    </row>
    <row r="20361" spans="1:14" s="2" customFormat="1">
      <c r="A20361" s="83"/>
      <c r="H20361" s="83"/>
      <c r="K20361" s="82"/>
      <c r="M20361" s="112"/>
      <c r="N20361" s="84"/>
    </row>
    <row r="20362" spans="1:14" s="2" customFormat="1">
      <c r="A20362" s="83"/>
      <c r="H20362" s="83"/>
      <c r="K20362" s="82"/>
      <c r="M20362" s="112"/>
      <c r="N20362" s="84"/>
    </row>
    <row r="20363" spans="1:14" s="2" customFormat="1">
      <c r="A20363" s="83"/>
      <c r="H20363" s="83"/>
      <c r="K20363" s="82"/>
      <c r="M20363" s="112"/>
      <c r="N20363" s="84"/>
    </row>
    <row r="20364" spans="1:14" s="2" customFormat="1">
      <c r="A20364" s="83"/>
      <c r="H20364" s="83"/>
      <c r="K20364" s="82"/>
      <c r="M20364" s="112"/>
      <c r="N20364" s="84"/>
    </row>
    <row r="20365" spans="1:14" s="2" customFormat="1">
      <c r="A20365" s="83"/>
      <c r="H20365" s="83"/>
      <c r="K20365" s="82"/>
      <c r="M20365" s="112"/>
      <c r="N20365" s="84"/>
    </row>
    <row r="20366" spans="1:14" s="2" customFormat="1">
      <c r="A20366" s="83"/>
      <c r="H20366" s="83"/>
      <c r="K20366" s="82"/>
      <c r="M20366" s="112"/>
      <c r="N20366" s="84"/>
    </row>
    <row r="20367" spans="1:14" s="2" customFormat="1">
      <c r="A20367" s="83"/>
      <c r="H20367" s="83"/>
      <c r="K20367" s="82"/>
      <c r="M20367" s="112"/>
      <c r="N20367" s="84"/>
    </row>
    <row r="20368" spans="1:14" s="2" customFormat="1">
      <c r="A20368" s="83"/>
      <c r="H20368" s="83"/>
      <c r="K20368" s="82"/>
      <c r="M20368" s="112"/>
      <c r="N20368" s="84"/>
    </row>
    <row r="20369" spans="1:14" s="2" customFormat="1">
      <c r="A20369" s="83"/>
      <c r="H20369" s="83"/>
      <c r="K20369" s="82"/>
      <c r="M20369" s="112"/>
      <c r="N20369" s="84"/>
    </row>
    <row r="20370" spans="1:14" s="2" customFormat="1">
      <c r="A20370" s="83"/>
      <c r="H20370" s="83"/>
      <c r="K20370" s="82"/>
      <c r="M20370" s="112"/>
      <c r="N20370" s="84"/>
    </row>
    <row r="20371" spans="1:14" s="2" customFormat="1">
      <c r="A20371" s="83"/>
      <c r="H20371" s="83"/>
      <c r="K20371" s="82"/>
      <c r="M20371" s="112"/>
      <c r="N20371" s="84"/>
    </row>
    <row r="20372" spans="1:14" s="2" customFormat="1">
      <c r="A20372" s="83"/>
      <c r="H20372" s="83"/>
      <c r="K20372" s="82"/>
      <c r="M20372" s="112"/>
      <c r="N20372" s="84"/>
    </row>
    <row r="20373" spans="1:14" s="2" customFormat="1">
      <c r="A20373" s="83"/>
      <c r="H20373" s="83"/>
      <c r="K20373" s="82"/>
      <c r="M20373" s="112"/>
      <c r="N20373" s="84"/>
    </row>
    <row r="20374" spans="1:14" s="2" customFormat="1">
      <c r="A20374" s="83"/>
      <c r="H20374" s="83"/>
      <c r="K20374" s="82"/>
      <c r="M20374" s="112"/>
      <c r="N20374" s="84"/>
    </row>
    <row r="20375" spans="1:14" s="2" customFormat="1">
      <c r="A20375" s="83"/>
      <c r="H20375" s="83"/>
      <c r="K20375" s="82"/>
      <c r="M20375" s="112"/>
      <c r="N20375" s="84"/>
    </row>
    <row r="20376" spans="1:14" s="2" customFormat="1">
      <c r="A20376" s="83"/>
      <c r="H20376" s="83"/>
      <c r="K20376" s="82"/>
      <c r="M20376" s="112"/>
      <c r="N20376" s="84"/>
    </row>
    <row r="20377" spans="1:14" s="2" customFormat="1">
      <c r="A20377" s="83"/>
      <c r="H20377" s="83"/>
      <c r="K20377" s="82"/>
      <c r="M20377" s="112"/>
      <c r="N20377" s="84"/>
    </row>
    <row r="20378" spans="1:14" s="2" customFormat="1">
      <c r="A20378" s="83"/>
      <c r="H20378" s="83"/>
      <c r="K20378" s="82"/>
      <c r="M20378" s="112"/>
      <c r="N20378" s="84"/>
    </row>
    <row r="20379" spans="1:14" s="2" customFormat="1">
      <c r="A20379" s="83"/>
      <c r="H20379" s="83"/>
      <c r="K20379" s="82"/>
      <c r="M20379" s="112"/>
      <c r="N20379" s="84"/>
    </row>
    <row r="20380" spans="1:14" s="2" customFormat="1">
      <c r="A20380" s="83"/>
      <c r="H20380" s="83"/>
      <c r="K20380" s="82"/>
      <c r="M20380" s="112"/>
      <c r="N20380" s="84"/>
    </row>
    <row r="20381" spans="1:14" s="2" customFormat="1">
      <c r="A20381" s="83"/>
      <c r="H20381" s="83"/>
      <c r="K20381" s="82"/>
      <c r="M20381" s="112"/>
      <c r="N20381" s="84"/>
    </row>
    <row r="20382" spans="1:14" s="2" customFormat="1">
      <c r="A20382" s="83"/>
      <c r="H20382" s="83"/>
      <c r="K20382" s="82"/>
      <c r="M20382" s="112"/>
      <c r="N20382" s="84"/>
    </row>
    <row r="20383" spans="1:14" s="2" customFormat="1">
      <c r="A20383" s="83"/>
      <c r="H20383" s="83"/>
      <c r="K20383" s="82"/>
      <c r="M20383" s="112"/>
      <c r="N20383" s="84"/>
    </row>
    <row r="20384" spans="1:14" s="2" customFormat="1">
      <c r="A20384" s="83"/>
      <c r="H20384" s="83"/>
      <c r="K20384" s="82"/>
      <c r="M20384" s="112"/>
      <c r="N20384" s="84"/>
    </row>
    <row r="20385" spans="1:14" s="2" customFormat="1">
      <c r="A20385" s="83"/>
      <c r="H20385" s="83"/>
      <c r="K20385" s="82"/>
      <c r="M20385" s="112"/>
      <c r="N20385" s="84"/>
    </row>
    <row r="20386" spans="1:14" s="2" customFormat="1">
      <c r="A20386" s="83"/>
      <c r="H20386" s="83"/>
      <c r="K20386" s="82"/>
      <c r="M20386" s="112"/>
      <c r="N20386" s="84"/>
    </row>
    <row r="20387" spans="1:14" s="2" customFormat="1">
      <c r="A20387" s="83"/>
      <c r="H20387" s="83"/>
      <c r="K20387" s="82"/>
      <c r="M20387" s="112"/>
      <c r="N20387" s="84"/>
    </row>
    <row r="20388" spans="1:14" s="2" customFormat="1">
      <c r="A20388" s="83"/>
      <c r="H20388" s="83"/>
      <c r="K20388" s="82"/>
      <c r="M20388" s="112"/>
      <c r="N20388" s="84"/>
    </row>
    <row r="20389" spans="1:14" s="2" customFormat="1">
      <c r="A20389" s="83"/>
      <c r="H20389" s="83"/>
      <c r="K20389" s="82"/>
      <c r="M20389" s="112"/>
      <c r="N20389" s="84"/>
    </row>
    <row r="20390" spans="1:14" s="2" customFormat="1">
      <c r="A20390" s="83"/>
      <c r="H20390" s="83"/>
      <c r="K20390" s="82"/>
      <c r="M20390" s="112"/>
      <c r="N20390" s="84"/>
    </row>
    <row r="20391" spans="1:14" s="2" customFormat="1">
      <c r="A20391" s="83"/>
      <c r="H20391" s="83"/>
      <c r="K20391" s="82"/>
      <c r="M20391" s="112"/>
      <c r="N20391" s="84"/>
    </row>
    <row r="20392" spans="1:14" s="2" customFormat="1">
      <c r="A20392" s="83"/>
      <c r="H20392" s="83"/>
      <c r="K20392" s="82"/>
      <c r="M20392" s="112"/>
      <c r="N20392" s="84"/>
    </row>
    <row r="20393" spans="1:14" s="2" customFormat="1">
      <c r="A20393" s="83"/>
      <c r="H20393" s="83"/>
      <c r="K20393" s="82"/>
      <c r="M20393" s="112"/>
      <c r="N20393" s="84"/>
    </row>
    <row r="20394" spans="1:14" s="2" customFormat="1">
      <c r="A20394" s="83"/>
      <c r="H20394" s="83"/>
      <c r="K20394" s="82"/>
      <c r="M20394" s="112"/>
      <c r="N20394" s="84"/>
    </row>
    <row r="20395" spans="1:14" s="2" customFormat="1">
      <c r="A20395" s="83"/>
      <c r="H20395" s="83"/>
      <c r="K20395" s="82"/>
      <c r="M20395" s="112"/>
      <c r="N20395" s="84"/>
    </row>
    <row r="20396" spans="1:14" s="2" customFormat="1">
      <c r="A20396" s="83"/>
      <c r="H20396" s="83"/>
      <c r="K20396" s="82"/>
      <c r="M20396" s="112"/>
      <c r="N20396" s="84"/>
    </row>
    <row r="20397" spans="1:14" s="2" customFormat="1">
      <c r="A20397" s="83"/>
      <c r="H20397" s="83"/>
      <c r="K20397" s="82"/>
      <c r="M20397" s="112"/>
      <c r="N20397" s="84"/>
    </row>
    <row r="20398" spans="1:14" s="2" customFormat="1">
      <c r="A20398" s="83"/>
      <c r="H20398" s="83"/>
      <c r="K20398" s="82"/>
      <c r="M20398" s="112"/>
      <c r="N20398" s="84"/>
    </row>
    <row r="20399" spans="1:14" s="2" customFormat="1">
      <c r="A20399" s="83"/>
      <c r="H20399" s="83"/>
      <c r="K20399" s="82"/>
      <c r="M20399" s="112"/>
      <c r="N20399" s="84"/>
    </row>
    <row r="20400" spans="1:14" s="2" customFormat="1">
      <c r="A20400" s="83"/>
      <c r="H20400" s="83"/>
      <c r="K20400" s="82"/>
      <c r="M20400" s="112"/>
      <c r="N20400" s="84"/>
    </row>
    <row r="20401" spans="1:14" s="2" customFormat="1">
      <c r="A20401" s="83"/>
      <c r="H20401" s="83"/>
      <c r="K20401" s="82"/>
      <c r="M20401" s="112"/>
      <c r="N20401" s="84"/>
    </row>
    <row r="20402" spans="1:14" s="2" customFormat="1">
      <c r="A20402" s="83"/>
      <c r="H20402" s="83"/>
      <c r="K20402" s="82"/>
      <c r="M20402" s="112"/>
      <c r="N20402" s="84"/>
    </row>
    <row r="20403" spans="1:14" s="2" customFormat="1">
      <c r="A20403" s="83"/>
      <c r="H20403" s="83"/>
      <c r="K20403" s="82"/>
      <c r="M20403" s="112"/>
      <c r="N20403" s="84"/>
    </row>
    <row r="20404" spans="1:14" s="2" customFormat="1">
      <c r="A20404" s="83"/>
      <c r="H20404" s="83"/>
      <c r="K20404" s="82"/>
      <c r="M20404" s="112"/>
      <c r="N20404" s="84"/>
    </row>
    <row r="20405" spans="1:14" s="2" customFormat="1">
      <c r="A20405" s="83"/>
      <c r="H20405" s="83"/>
      <c r="K20405" s="82"/>
      <c r="M20405" s="112"/>
      <c r="N20405" s="84"/>
    </row>
    <row r="20406" spans="1:14" s="2" customFormat="1">
      <c r="A20406" s="83"/>
      <c r="H20406" s="83"/>
      <c r="K20406" s="82"/>
      <c r="M20406" s="112"/>
      <c r="N20406" s="84"/>
    </row>
    <row r="20407" spans="1:14" s="2" customFormat="1">
      <c r="A20407" s="83"/>
      <c r="H20407" s="83"/>
      <c r="K20407" s="82"/>
      <c r="M20407" s="112"/>
      <c r="N20407" s="84"/>
    </row>
    <row r="20408" spans="1:14" s="2" customFormat="1">
      <c r="A20408" s="83"/>
      <c r="H20408" s="83"/>
      <c r="K20408" s="82"/>
      <c r="M20408" s="112"/>
      <c r="N20408" s="84"/>
    </row>
    <row r="20409" spans="1:14" s="2" customFormat="1">
      <c r="A20409" s="83"/>
      <c r="H20409" s="83"/>
      <c r="K20409" s="82"/>
      <c r="M20409" s="112"/>
      <c r="N20409" s="84"/>
    </row>
    <row r="20410" spans="1:14" s="2" customFormat="1">
      <c r="A20410" s="83"/>
      <c r="H20410" s="83"/>
      <c r="K20410" s="82"/>
      <c r="M20410" s="112"/>
      <c r="N20410" s="84"/>
    </row>
    <row r="20411" spans="1:14" s="2" customFormat="1">
      <c r="A20411" s="83"/>
      <c r="H20411" s="83"/>
      <c r="K20411" s="82"/>
      <c r="M20411" s="112"/>
      <c r="N20411" s="84"/>
    </row>
    <row r="20412" spans="1:14" s="2" customFormat="1">
      <c r="A20412" s="83"/>
      <c r="H20412" s="83"/>
      <c r="K20412" s="82"/>
      <c r="M20412" s="112"/>
      <c r="N20412" s="84"/>
    </row>
    <row r="20413" spans="1:14" s="2" customFormat="1">
      <c r="A20413" s="83"/>
      <c r="H20413" s="83"/>
      <c r="K20413" s="82"/>
      <c r="M20413" s="112"/>
      <c r="N20413" s="84"/>
    </row>
    <row r="20414" spans="1:14" s="2" customFormat="1">
      <c r="A20414" s="83"/>
      <c r="H20414" s="83"/>
      <c r="K20414" s="82"/>
      <c r="M20414" s="112"/>
      <c r="N20414" s="84"/>
    </row>
    <row r="20415" spans="1:14" s="2" customFormat="1">
      <c r="A20415" s="83"/>
      <c r="H20415" s="83"/>
      <c r="K20415" s="82"/>
      <c r="M20415" s="112"/>
      <c r="N20415" s="84"/>
    </row>
    <row r="20416" spans="1:14" s="2" customFormat="1">
      <c r="A20416" s="83"/>
      <c r="H20416" s="83"/>
      <c r="K20416" s="82"/>
      <c r="M20416" s="112"/>
      <c r="N20416" s="84"/>
    </row>
    <row r="20417" spans="1:14" s="2" customFormat="1">
      <c r="A20417" s="83"/>
      <c r="H20417" s="83"/>
      <c r="K20417" s="82"/>
      <c r="M20417" s="112"/>
      <c r="N20417" s="84"/>
    </row>
    <row r="20418" spans="1:14" s="2" customFormat="1">
      <c r="A20418" s="83"/>
      <c r="H20418" s="83"/>
      <c r="K20418" s="82"/>
      <c r="M20418" s="112"/>
      <c r="N20418" s="84"/>
    </row>
    <row r="20419" spans="1:14" s="2" customFormat="1">
      <c r="A20419" s="83"/>
      <c r="H20419" s="83"/>
      <c r="K20419" s="82"/>
      <c r="M20419" s="112"/>
      <c r="N20419" s="84"/>
    </row>
    <row r="20420" spans="1:14" s="2" customFormat="1">
      <c r="A20420" s="83"/>
      <c r="H20420" s="83"/>
      <c r="K20420" s="82"/>
      <c r="M20420" s="112"/>
      <c r="N20420" s="84"/>
    </row>
    <row r="20421" spans="1:14" s="2" customFormat="1">
      <c r="A20421" s="83"/>
      <c r="H20421" s="83"/>
      <c r="K20421" s="82"/>
      <c r="M20421" s="112"/>
      <c r="N20421" s="84"/>
    </row>
    <row r="20422" spans="1:14" s="2" customFormat="1">
      <c r="A20422" s="83"/>
      <c r="H20422" s="83"/>
      <c r="K20422" s="82"/>
      <c r="M20422" s="112"/>
      <c r="N20422" s="84"/>
    </row>
    <row r="20423" spans="1:14" s="2" customFormat="1">
      <c r="A20423" s="83"/>
      <c r="H20423" s="83"/>
      <c r="K20423" s="82"/>
      <c r="M20423" s="112"/>
      <c r="N20423" s="84"/>
    </row>
    <row r="20424" spans="1:14" s="2" customFormat="1">
      <c r="A20424" s="83"/>
      <c r="H20424" s="83"/>
      <c r="K20424" s="82"/>
      <c r="M20424" s="112"/>
      <c r="N20424" s="84"/>
    </row>
    <row r="20425" spans="1:14" s="2" customFormat="1">
      <c r="A20425" s="83"/>
      <c r="H20425" s="83"/>
      <c r="K20425" s="82"/>
      <c r="M20425" s="112"/>
      <c r="N20425" s="84"/>
    </row>
    <row r="20426" spans="1:14" s="2" customFormat="1">
      <c r="A20426" s="83"/>
      <c r="H20426" s="83"/>
      <c r="K20426" s="82"/>
      <c r="M20426" s="112"/>
      <c r="N20426" s="84"/>
    </row>
    <row r="20427" spans="1:14" s="2" customFormat="1">
      <c r="A20427" s="83"/>
      <c r="H20427" s="83"/>
      <c r="K20427" s="82"/>
      <c r="M20427" s="112"/>
      <c r="N20427" s="84"/>
    </row>
    <row r="20428" spans="1:14" s="2" customFormat="1">
      <c r="A20428" s="83"/>
      <c r="H20428" s="83"/>
      <c r="K20428" s="82"/>
      <c r="M20428" s="112"/>
      <c r="N20428" s="84"/>
    </row>
    <row r="20429" spans="1:14" s="2" customFormat="1">
      <c r="A20429" s="83"/>
      <c r="H20429" s="83"/>
      <c r="K20429" s="82"/>
      <c r="M20429" s="112"/>
      <c r="N20429" s="84"/>
    </row>
    <row r="20430" spans="1:14" s="2" customFormat="1">
      <c r="A20430" s="83"/>
      <c r="H20430" s="83"/>
      <c r="K20430" s="82"/>
      <c r="M20430" s="112"/>
      <c r="N20430" s="84"/>
    </row>
    <row r="20431" spans="1:14" s="2" customFormat="1">
      <c r="A20431" s="83"/>
      <c r="H20431" s="83"/>
      <c r="K20431" s="82"/>
      <c r="M20431" s="112"/>
      <c r="N20431" s="84"/>
    </row>
    <row r="20432" spans="1:14" s="2" customFormat="1">
      <c r="A20432" s="83"/>
      <c r="H20432" s="83"/>
      <c r="K20432" s="82"/>
      <c r="M20432" s="112"/>
      <c r="N20432" s="84"/>
    </row>
    <row r="20433" spans="1:14" s="2" customFormat="1">
      <c r="A20433" s="83"/>
      <c r="H20433" s="83"/>
      <c r="K20433" s="82"/>
      <c r="M20433" s="112"/>
      <c r="N20433" s="84"/>
    </row>
    <row r="20434" spans="1:14" s="2" customFormat="1">
      <c r="A20434" s="83"/>
      <c r="H20434" s="83"/>
      <c r="K20434" s="82"/>
      <c r="M20434" s="112"/>
      <c r="N20434" s="84"/>
    </row>
    <row r="20435" spans="1:14" s="2" customFormat="1">
      <c r="A20435" s="83"/>
      <c r="H20435" s="83"/>
      <c r="K20435" s="82"/>
      <c r="M20435" s="112"/>
      <c r="N20435" s="84"/>
    </row>
    <row r="20436" spans="1:14" s="2" customFormat="1">
      <c r="A20436" s="83"/>
      <c r="H20436" s="83"/>
      <c r="K20436" s="82"/>
      <c r="M20436" s="112"/>
      <c r="N20436" s="84"/>
    </row>
    <row r="20437" spans="1:14" s="2" customFormat="1">
      <c r="A20437" s="83"/>
      <c r="H20437" s="83"/>
      <c r="K20437" s="82"/>
      <c r="M20437" s="112"/>
      <c r="N20437" s="84"/>
    </row>
    <row r="20438" spans="1:14" s="2" customFormat="1">
      <c r="A20438" s="83"/>
      <c r="H20438" s="83"/>
      <c r="K20438" s="82"/>
      <c r="M20438" s="112"/>
      <c r="N20438" s="84"/>
    </row>
    <row r="20439" spans="1:14" s="2" customFormat="1">
      <c r="A20439" s="83"/>
      <c r="H20439" s="83"/>
      <c r="K20439" s="82"/>
      <c r="M20439" s="112"/>
      <c r="N20439" s="84"/>
    </row>
    <row r="20440" spans="1:14" s="2" customFormat="1">
      <c r="A20440" s="83"/>
      <c r="H20440" s="83"/>
      <c r="K20440" s="82"/>
      <c r="M20440" s="112"/>
      <c r="N20440" s="84"/>
    </row>
    <row r="20441" spans="1:14" s="2" customFormat="1">
      <c r="A20441" s="83"/>
      <c r="H20441" s="83"/>
      <c r="K20441" s="82"/>
      <c r="M20441" s="112"/>
      <c r="N20441" s="84"/>
    </row>
    <row r="20442" spans="1:14" s="2" customFormat="1">
      <c r="A20442" s="83"/>
      <c r="H20442" s="83"/>
      <c r="K20442" s="82"/>
      <c r="M20442" s="112"/>
      <c r="N20442" s="84"/>
    </row>
    <row r="20443" spans="1:14" s="2" customFormat="1">
      <c r="A20443" s="83"/>
      <c r="H20443" s="83"/>
      <c r="K20443" s="82"/>
      <c r="M20443" s="112"/>
      <c r="N20443" s="84"/>
    </row>
    <row r="20444" spans="1:14" s="2" customFormat="1">
      <c r="A20444" s="83"/>
      <c r="H20444" s="83"/>
      <c r="K20444" s="82"/>
      <c r="M20444" s="112"/>
      <c r="N20444" s="84"/>
    </row>
    <row r="20445" spans="1:14" s="2" customFormat="1">
      <c r="A20445" s="83"/>
      <c r="H20445" s="83"/>
      <c r="K20445" s="82"/>
      <c r="M20445" s="112"/>
      <c r="N20445" s="84"/>
    </row>
    <row r="20446" spans="1:14" s="2" customFormat="1">
      <c r="A20446" s="83"/>
      <c r="H20446" s="83"/>
      <c r="K20446" s="82"/>
      <c r="M20446" s="112"/>
      <c r="N20446" s="84"/>
    </row>
    <row r="20447" spans="1:14" s="2" customFormat="1">
      <c r="A20447" s="83"/>
      <c r="H20447" s="83"/>
      <c r="K20447" s="82"/>
      <c r="M20447" s="112"/>
      <c r="N20447" s="84"/>
    </row>
    <row r="20448" spans="1:14" s="2" customFormat="1">
      <c r="A20448" s="83"/>
      <c r="H20448" s="83"/>
      <c r="K20448" s="82"/>
      <c r="M20448" s="112"/>
      <c r="N20448" s="84"/>
    </row>
    <row r="20449" spans="1:14" s="2" customFormat="1">
      <c r="A20449" s="83"/>
      <c r="H20449" s="83"/>
      <c r="K20449" s="82"/>
      <c r="M20449" s="112"/>
      <c r="N20449" s="84"/>
    </row>
    <row r="20450" spans="1:14" s="2" customFormat="1">
      <c r="A20450" s="83"/>
      <c r="H20450" s="83"/>
      <c r="K20450" s="82"/>
      <c r="M20450" s="112"/>
      <c r="N20450" s="84"/>
    </row>
    <row r="20451" spans="1:14" s="2" customFormat="1">
      <c r="A20451" s="83"/>
      <c r="H20451" s="83"/>
      <c r="K20451" s="82"/>
      <c r="M20451" s="112"/>
      <c r="N20451" s="84"/>
    </row>
    <row r="20452" spans="1:14" s="2" customFormat="1">
      <c r="A20452" s="83"/>
      <c r="H20452" s="83"/>
      <c r="K20452" s="82"/>
      <c r="M20452" s="112"/>
      <c r="N20452" s="84"/>
    </row>
    <row r="20453" spans="1:14" s="2" customFormat="1">
      <c r="A20453" s="83"/>
      <c r="H20453" s="83"/>
      <c r="K20453" s="82"/>
      <c r="M20453" s="112"/>
      <c r="N20453" s="84"/>
    </row>
    <row r="20454" spans="1:14" s="2" customFormat="1">
      <c r="A20454" s="83"/>
      <c r="H20454" s="83"/>
      <c r="K20454" s="82"/>
      <c r="M20454" s="112"/>
      <c r="N20454" s="84"/>
    </row>
    <row r="20455" spans="1:14" s="2" customFormat="1">
      <c r="A20455" s="83"/>
      <c r="H20455" s="83"/>
      <c r="K20455" s="82"/>
      <c r="M20455" s="112"/>
      <c r="N20455" s="84"/>
    </row>
    <row r="20456" spans="1:14" s="2" customFormat="1">
      <c r="A20456" s="83"/>
      <c r="H20456" s="83"/>
      <c r="K20456" s="82"/>
      <c r="M20456" s="112"/>
      <c r="N20456" s="84"/>
    </row>
    <row r="20457" spans="1:14" s="2" customFormat="1">
      <c r="A20457" s="83"/>
      <c r="H20457" s="83"/>
      <c r="K20457" s="82"/>
      <c r="M20457" s="112"/>
      <c r="N20457" s="84"/>
    </row>
    <row r="20458" spans="1:14" s="2" customFormat="1">
      <c r="A20458" s="83"/>
      <c r="H20458" s="83"/>
      <c r="K20458" s="82"/>
      <c r="M20458" s="112"/>
      <c r="N20458" s="84"/>
    </row>
    <row r="20459" spans="1:14" s="2" customFormat="1">
      <c r="A20459" s="83"/>
      <c r="H20459" s="83"/>
      <c r="K20459" s="82"/>
      <c r="M20459" s="112"/>
      <c r="N20459" s="84"/>
    </row>
    <row r="20460" spans="1:14" s="2" customFormat="1">
      <c r="A20460" s="83"/>
      <c r="H20460" s="83"/>
      <c r="K20460" s="82"/>
      <c r="M20460" s="112"/>
      <c r="N20460" s="84"/>
    </row>
    <row r="20461" spans="1:14" s="2" customFormat="1">
      <c r="A20461" s="83"/>
      <c r="H20461" s="83"/>
      <c r="K20461" s="82"/>
      <c r="M20461" s="112"/>
      <c r="N20461" s="84"/>
    </row>
    <row r="20462" spans="1:14" s="2" customFormat="1">
      <c r="A20462" s="83"/>
      <c r="H20462" s="83"/>
      <c r="K20462" s="82"/>
      <c r="M20462" s="112"/>
      <c r="N20462" s="84"/>
    </row>
    <row r="20463" spans="1:14" s="2" customFormat="1">
      <c r="A20463" s="83"/>
      <c r="H20463" s="83"/>
      <c r="K20463" s="82"/>
      <c r="M20463" s="112"/>
      <c r="N20463" s="84"/>
    </row>
    <row r="20464" spans="1:14" s="2" customFormat="1">
      <c r="A20464" s="83"/>
      <c r="H20464" s="83"/>
      <c r="K20464" s="82"/>
      <c r="M20464" s="112"/>
      <c r="N20464" s="84"/>
    </row>
    <row r="20465" spans="1:14" s="2" customFormat="1">
      <c r="A20465" s="83"/>
      <c r="H20465" s="83"/>
      <c r="K20465" s="82"/>
      <c r="M20465" s="112"/>
      <c r="N20465" s="84"/>
    </row>
    <row r="20466" spans="1:14" s="2" customFormat="1">
      <c r="A20466" s="83"/>
      <c r="H20466" s="83"/>
      <c r="K20466" s="82"/>
      <c r="M20466" s="112"/>
      <c r="N20466" s="84"/>
    </row>
    <row r="20467" spans="1:14" s="2" customFormat="1">
      <c r="A20467" s="83"/>
      <c r="H20467" s="83"/>
      <c r="K20467" s="82"/>
      <c r="M20467" s="112"/>
      <c r="N20467" s="84"/>
    </row>
    <row r="20468" spans="1:14" s="2" customFormat="1">
      <c r="A20468" s="83"/>
      <c r="H20468" s="83"/>
      <c r="K20468" s="82"/>
      <c r="M20468" s="112"/>
      <c r="N20468" s="84"/>
    </row>
    <row r="20469" spans="1:14" s="2" customFormat="1">
      <c r="A20469" s="83"/>
      <c r="H20469" s="83"/>
      <c r="K20469" s="82"/>
      <c r="M20469" s="112"/>
      <c r="N20469" s="84"/>
    </row>
    <row r="20470" spans="1:14" s="2" customFormat="1">
      <c r="A20470" s="83"/>
      <c r="H20470" s="83"/>
      <c r="K20470" s="82"/>
      <c r="M20470" s="112"/>
      <c r="N20470" s="84"/>
    </row>
    <row r="20471" spans="1:14" s="2" customFormat="1">
      <c r="A20471" s="83"/>
      <c r="H20471" s="83"/>
      <c r="K20471" s="82"/>
      <c r="M20471" s="112"/>
      <c r="N20471" s="84"/>
    </row>
    <row r="20472" spans="1:14" s="2" customFormat="1">
      <c r="A20472" s="83"/>
      <c r="H20472" s="83"/>
      <c r="K20472" s="82"/>
      <c r="M20472" s="112"/>
      <c r="N20472" s="84"/>
    </row>
    <row r="20473" spans="1:14" s="2" customFormat="1">
      <c r="A20473" s="83"/>
      <c r="H20473" s="83"/>
      <c r="K20473" s="82"/>
      <c r="M20473" s="112"/>
      <c r="N20473" s="84"/>
    </row>
    <row r="20474" spans="1:14" s="2" customFormat="1">
      <c r="A20474" s="83"/>
      <c r="H20474" s="83"/>
      <c r="K20474" s="82"/>
      <c r="M20474" s="112"/>
      <c r="N20474" s="84"/>
    </row>
    <row r="20475" spans="1:14" s="2" customFormat="1">
      <c r="A20475" s="83"/>
      <c r="H20475" s="83"/>
      <c r="K20475" s="82"/>
      <c r="M20475" s="112"/>
      <c r="N20475" s="84"/>
    </row>
    <row r="20476" spans="1:14" s="2" customFormat="1">
      <c r="A20476" s="83"/>
      <c r="H20476" s="83"/>
      <c r="K20476" s="82"/>
      <c r="M20476" s="112"/>
      <c r="N20476" s="84"/>
    </row>
    <row r="20477" spans="1:14" s="2" customFormat="1">
      <c r="A20477" s="83"/>
      <c r="H20477" s="83"/>
      <c r="K20477" s="82"/>
      <c r="M20477" s="112"/>
      <c r="N20477" s="84"/>
    </row>
    <row r="20478" spans="1:14" s="2" customFormat="1">
      <c r="A20478" s="83"/>
      <c r="H20478" s="83"/>
      <c r="K20478" s="82"/>
      <c r="M20478" s="112"/>
      <c r="N20478" s="84"/>
    </row>
    <row r="20479" spans="1:14" s="2" customFormat="1">
      <c r="A20479" s="83"/>
      <c r="H20479" s="83"/>
      <c r="K20479" s="82"/>
      <c r="M20479" s="112"/>
      <c r="N20479" s="84"/>
    </row>
    <row r="20480" spans="1:14" s="2" customFormat="1">
      <c r="A20480" s="83"/>
      <c r="H20480" s="83"/>
      <c r="K20480" s="82"/>
      <c r="M20480" s="112"/>
      <c r="N20480" s="84"/>
    </row>
    <row r="20481" spans="1:14" s="2" customFormat="1">
      <c r="A20481" s="83"/>
      <c r="H20481" s="83"/>
      <c r="K20481" s="82"/>
      <c r="M20481" s="112"/>
      <c r="N20481" s="84"/>
    </row>
    <row r="20482" spans="1:14" s="2" customFormat="1">
      <c r="A20482" s="83"/>
      <c r="H20482" s="83"/>
      <c r="K20482" s="82"/>
      <c r="M20482" s="112"/>
      <c r="N20482" s="84"/>
    </row>
    <row r="20483" spans="1:14" s="2" customFormat="1">
      <c r="A20483" s="83"/>
      <c r="H20483" s="83"/>
      <c r="K20483" s="82"/>
      <c r="M20483" s="112"/>
      <c r="N20483" s="84"/>
    </row>
    <row r="20484" spans="1:14" s="2" customFormat="1">
      <c r="A20484" s="83"/>
      <c r="H20484" s="83"/>
      <c r="K20484" s="82"/>
      <c r="M20484" s="112"/>
      <c r="N20484" s="84"/>
    </row>
    <row r="20485" spans="1:14" s="2" customFormat="1">
      <c r="A20485" s="83"/>
      <c r="H20485" s="83"/>
      <c r="K20485" s="82"/>
      <c r="M20485" s="112"/>
      <c r="N20485" s="84"/>
    </row>
    <row r="20486" spans="1:14" s="2" customFormat="1">
      <c r="A20486" s="83"/>
      <c r="H20486" s="83"/>
      <c r="K20486" s="82"/>
      <c r="M20486" s="112"/>
      <c r="N20486" s="84"/>
    </row>
    <row r="20487" spans="1:14" s="2" customFormat="1">
      <c r="A20487" s="83"/>
      <c r="H20487" s="83"/>
      <c r="K20487" s="82"/>
      <c r="M20487" s="112"/>
      <c r="N20487" s="84"/>
    </row>
    <row r="20488" spans="1:14" s="2" customFormat="1">
      <c r="A20488" s="83"/>
      <c r="H20488" s="83"/>
      <c r="K20488" s="82"/>
      <c r="M20488" s="112"/>
      <c r="N20488" s="84"/>
    </row>
    <row r="20489" spans="1:14" s="2" customFormat="1">
      <c r="A20489" s="83"/>
      <c r="H20489" s="83"/>
      <c r="K20489" s="82"/>
      <c r="M20489" s="112"/>
      <c r="N20489" s="84"/>
    </row>
    <row r="20490" spans="1:14" s="2" customFormat="1">
      <c r="A20490" s="83"/>
      <c r="H20490" s="83"/>
      <c r="K20490" s="82"/>
      <c r="M20490" s="112"/>
      <c r="N20490" s="84"/>
    </row>
    <row r="20491" spans="1:14" s="2" customFormat="1">
      <c r="A20491" s="83"/>
      <c r="H20491" s="83"/>
      <c r="K20491" s="82"/>
      <c r="M20491" s="112"/>
      <c r="N20491" s="84"/>
    </row>
    <row r="20492" spans="1:14" s="2" customFormat="1">
      <c r="A20492" s="83"/>
      <c r="H20492" s="83"/>
      <c r="K20492" s="82"/>
      <c r="M20492" s="112"/>
      <c r="N20492" s="84"/>
    </row>
    <row r="20493" spans="1:14" s="2" customFormat="1">
      <c r="A20493" s="83"/>
      <c r="H20493" s="83"/>
      <c r="K20493" s="82"/>
      <c r="M20493" s="112"/>
      <c r="N20493" s="84"/>
    </row>
    <row r="20494" spans="1:14" s="2" customFormat="1">
      <c r="A20494" s="83"/>
      <c r="H20494" s="83"/>
      <c r="K20494" s="82"/>
      <c r="M20494" s="112"/>
      <c r="N20494" s="84"/>
    </row>
    <row r="20495" spans="1:14" s="2" customFormat="1">
      <c r="A20495" s="83"/>
      <c r="H20495" s="83"/>
      <c r="K20495" s="82"/>
      <c r="M20495" s="112"/>
      <c r="N20495" s="84"/>
    </row>
    <row r="20496" spans="1:14" s="2" customFormat="1">
      <c r="A20496" s="83"/>
      <c r="H20496" s="83"/>
      <c r="K20496" s="82"/>
      <c r="M20496" s="112"/>
      <c r="N20496" s="84"/>
    </row>
    <row r="20497" spans="1:14" s="2" customFormat="1">
      <c r="A20497" s="83"/>
      <c r="H20497" s="83"/>
      <c r="K20497" s="82"/>
      <c r="M20497" s="112"/>
      <c r="N20497" s="84"/>
    </row>
    <row r="20498" spans="1:14" s="2" customFormat="1">
      <c r="A20498" s="83"/>
      <c r="H20498" s="83"/>
      <c r="K20498" s="82"/>
      <c r="M20498" s="112"/>
      <c r="N20498" s="84"/>
    </row>
    <row r="20499" spans="1:14" s="2" customFormat="1">
      <c r="A20499" s="83"/>
      <c r="H20499" s="83"/>
      <c r="K20499" s="82"/>
      <c r="M20499" s="112"/>
      <c r="N20499" s="84"/>
    </row>
    <row r="20500" spans="1:14" s="2" customFormat="1">
      <c r="A20500" s="83"/>
      <c r="H20500" s="83"/>
      <c r="K20500" s="82"/>
      <c r="M20500" s="112"/>
      <c r="N20500" s="84"/>
    </row>
    <row r="20501" spans="1:14" s="2" customFormat="1">
      <c r="A20501" s="83"/>
      <c r="H20501" s="83"/>
      <c r="K20501" s="82"/>
      <c r="M20501" s="112"/>
      <c r="N20501" s="84"/>
    </row>
    <row r="20502" spans="1:14" s="2" customFormat="1">
      <c r="A20502" s="83"/>
      <c r="H20502" s="83"/>
      <c r="K20502" s="82"/>
      <c r="M20502" s="112"/>
      <c r="N20502" s="84"/>
    </row>
    <row r="20503" spans="1:14" s="2" customFormat="1">
      <c r="A20503" s="83"/>
      <c r="H20503" s="83"/>
      <c r="K20503" s="82"/>
      <c r="M20503" s="112"/>
      <c r="N20503" s="84"/>
    </row>
    <row r="20504" spans="1:14" s="2" customFormat="1">
      <c r="A20504" s="83"/>
      <c r="H20504" s="83"/>
      <c r="K20504" s="82"/>
      <c r="M20504" s="112"/>
      <c r="N20504" s="84"/>
    </row>
    <row r="20505" spans="1:14" s="2" customFormat="1">
      <c r="A20505" s="83"/>
      <c r="H20505" s="83"/>
      <c r="K20505" s="82"/>
      <c r="M20505" s="112"/>
      <c r="N20505" s="84"/>
    </row>
    <row r="20506" spans="1:14" s="2" customFormat="1">
      <c r="A20506" s="83"/>
      <c r="H20506" s="83"/>
      <c r="K20506" s="82"/>
      <c r="M20506" s="112"/>
      <c r="N20506" s="84"/>
    </row>
    <row r="20507" spans="1:14" s="2" customFormat="1">
      <c r="A20507" s="83"/>
      <c r="H20507" s="83"/>
      <c r="K20507" s="82"/>
      <c r="M20507" s="112"/>
      <c r="N20507" s="84"/>
    </row>
    <row r="20508" spans="1:14" s="2" customFormat="1">
      <c r="A20508" s="83"/>
      <c r="H20508" s="83"/>
      <c r="K20508" s="82"/>
      <c r="M20508" s="112"/>
      <c r="N20508" s="84"/>
    </row>
    <row r="20509" spans="1:14" s="2" customFormat="1">
      <c r="A20509" s="83"/>
      <c r="H20509" s="83"/>
      <c r="K20509" s="82"/>
      <c r="M20509" s="112"/>
      <c r="N20509" s="84"/>
    </row>
    <row r="20510" spans="1:14" s="2" customFormat="1">
      <c r="A20510" s="83"/>
      <c r="H20510" s="83"/>
      <c r="K20510" s="82"/>
      <c r="M20510" s="112"/>
      <c r="N20510" s="84"/>
    </row>
    <row r="20511" spans="1:14" s="2" customFormat="1">
      <c r="A20511" s="83"/>
      <c r="H20511" s="83"/>
      <c r="K20511" s="82"/>
      <c r="M20511" s="112"/>
      <c r="N20511" s="84"/>
    </row>
    <row r="20512" spans="1:14" s="2" customFormat="1">
      <c r="A20512" s="83"/>
      <c r="H20512" s="83"/>
      <c r="K20512" s="82"/>
      <c r="M20512" s="112"/>
      <c r="N20512" s="84"/>
    </row>
    <row r="20513" spans="1:14" s="2" customFormat="1">
      <c r="A20513" s="83"/>
      <c r="H20513" s="83"/>
      <c r="K20513" s="82"/>
      <c r="M20513" s="112"/>
      <c r="N20513" s="84"/>
    </row>
    <row r="20514" spans="1:14" s="2" customFormat="1">
      <c r="A20514" s="83"/>
      <c r="H20514" s="83"/>
      <c r="K20514" s="82"/>
      <c r="M20514" s="112"/>
      <c r="N20514" s="84"/>
    </row>
    <row r="20515" spans="1:14" s="2" customFormat="1">
      <c r="A20515" s="83"/>
      <c r="H20515" s="83"/>
      <c r="K20515" s="82"/>
      <c r="M20515" s="112"/>
      <c r="N20515" s="84"/>
    </row>
    <row r="20516" spans="1:14" s="2" customFormat="1">
      <c r="A20516" s="83"/>
      <c r="H20516" s="83"/>
      <c r="K20516" s="82"/>
      <c r="M20516" s="112"/>
      <c r="N20516" s="84"/>
    </row>
    <row r="20517" spans="1:14" s="2" customFormat="1">
      <c r="A20517" s="83"/>
      <c r="H20517" s="83"/>
      <c r="K20517" s="82"/>
      <c r="M20517" s="112"/>
      <c r="N20517" s="84"/>
    </row>
    <row r="20518" spans="1:14" s="2" customFormat="1">
      <c r="A20518" s="83"/>
      <c r="H20518" s="83"/>
      <c r="K20518" s="82"/>
      <c r="M20518" s="112"/>
      <c r="N20518" s="84"/>
    </row>
    <row r="20519" spans="1:14" s="2" customFormat="1">
      <c r="A20519" s="83"/>
      <c r="H20519" s="83"/>
      <c r="K20519" s="82"/>
      <c r="M20519" s="112"/>
      <c r="N20519" s="84"/>
    </row>
    <row r="20520" spans="1:14" s="2" customFormat="1">
      <c r="A20520" s="83"/>
      <c r="H20520" s="83"/>
      <c r="K20520" s="82"/>
      <c r="M20520" s="112"/>
      <c r="N20520" s="84"/>
    </row>
    <row r="20521" spans="1:14" s="2" customFormat="1">
      <c r="A20521" s="83"/>
      <c r="H20521" s="83"/>
      <c r="K20521" s="82"/>
      <c r="M20521" s="112"/>
      <c r="N20521" s="84"/>
    </row>
    <row r="20522" spans="1:14" s="2" customFormat="1">
      <c r="A20522" s="83"/>
      <c r="H20522" s="83"/>
      <c r="K20522" s="82"/>
      <c r="M20522" s="112"/>
      <c r="N20522" s="84"/>
    </row>
    <row r="20523" spans="1:14" s="2" customFormat="1">
      <c r="A20523" s="83"/>
      <c r="H20523" s="83"/>
      <c r="K20523" s="82"/>
      <c r="M20523" s="112"/>
      <c r="N20523" s="84"/>
    </row>
    <row r="20524" spans="1:14" s="2" customFormat="1">
      <c r="A20524" s="83"/>
      <c r="H20524" s="83"/>
      <c r="K20524" s="82"/>
      <c r="M20524" s="112"/>
      <c r="N20524" s="84"/>
    </row>
    <row r="20525" spans="1:14" s="2" customFormat="1">
      <c r="A20525" s="83"/>
      <c r="H20525" s="83"/>
      <c r="K20525" s="82"/>
      <c r="M20525" s="112"/>
      <c r="N20525" s="84"/>
    </row>
    <row r="20526" spans="1:14" s="2" customFormat="1">
      <c r="A20526" s="83"/>
      <c r="H20526" s="83"/>
      <c r="K20526" s="82"/>
      <c r="M20526" s="112"/>
      <c r="N20526" s="84"/>
    </row>
    <row r="20527" spans="1:14" s="2" customFormat="1">
      <c r="A20527" s="83"/>
      <c r="H20527" s="83"/>
      <c r="K20527" s="82"/>
      <c r="M20527" s="112"/>
      <c r="N20527" s="84"/>
    </row>
    <row r="20528" spans="1:14" s="2" customFormat="1">
      <c r="A20528" s="83"/>
      <c r="H20528" s="83"/>
      <c r="K20528" s="82"/>
      <c r="M20528" s="112"/>
      <c r="N20528" s="84"/>
    </row>
    <row r="20529" spans="1:14" s="2" customFormat="1">
      <c r="A20529" s="83"/>
      <c r="H20529" s="83"/>
      <c r="K20529" s="82"/>
      <c r="M20529" s="112"/>
      <c r="N20529" s="84"/>
    </row>
    <row r="20530" spans="1:14" s="2" customFormat="1">
      <c r="A20530" s="83"/>
      <c r="H20530" s="83"/>
      <c r="K20530" s="82"/>
      <c r="M20530" s="112"/>
      <c r="N20530" s="84"/>
    </row>
    <row r="20531" spans="1:14" s="2" customFormat="1">
      <c r="A20531" s="83"/>
      <c r="H20531" s="83"/>
      <c r="K20531" s="82"/>
      <c r="M20531" s="112"/>
      <c r="N20531" s="84"/>
    </row>
    <row r="20532" spans="1:14" s="2" customFormat="1">
      <c r="A20532" s="83"/>
      <c r="H20532" s="83"/>
      <c r="K20532" s="82"/>
      <c r="M20532" s="112"/>
      <c r="N20532" s="84"/>
    </row>
    <row r="20533" spans="1:14" s="2" customFormat="1">
      <c r="A20533" s="83"/>
      <c r="H20533" s="83"/>
      <c r="K20533" s="82"/>
      <c r="M20533" s="112"/>
      <c r="N20533" s="84"/>
    </row>
    <row r="20534" spans="1:14" s="2" customFormat="1">
      <c r="A20534" s="83"/>
      <c r="H20534" s="83"/>
      <c r="K20534" s="82"/>
      <c r="M20534" s="112"/>
      <c r="N20534" s="84"/>
    </row>
    <row r="20535" spans="1:14" s="2" customFormat="1">
      <c r="A20535" s="83"/>
      <c r="H20535" s="83"/>
      <c r="K20535" s="82"/>
      <c r="M20535" s="112"/>
      <c r="N20535" s="84"/>
    </row>
    <row r="20536" spans="1:14" s="2" customFormat="1">
      <c r="A20536" s="83"/>
      <c r="H20536" s="83"/>
      <c r="K20536" s="82"/>
      <c r="M20536" s="112"/>
      <c r="N20536" s="84"/>
    </row>
    <row r="20537" spans="1:14" s="2" customFormat="1">
      <c r="A20537" s="83"/>
      <c r="H20537" s="83"/>
      <c r="K20537" s="82"/>
      <c r="M20537" s="112"/>
      <c r="N20537" s="84"/>
    </row>
    <row r="20538" spans="1:14" s="2" customFormat="1">
      <c r="A20538" s="83"/>
      <c r="H20538" s="83"/>
      <c r="K20538" s="82"/>
      <c r="M20538" s="112"/>
      <c r="N20538" s="84"/>
    </row>
    <row r="20539" spans="1:14" s="2" customFormat="1">
      <c r="A20539" s="83"/>
      <c r="H20539" s="83"/>
      <c r="K20539" s="82"/>
      <c r="M20539" s="112"/>
      <c r="N20539" s="84"/>
    </row>
    <row r="20540" spans="1:14" s="2" customFormat="1">
      <c r="A20540" s="83"/>
      <c r="H20540" s="83"/>
      <c r="K20540" s="82"/>
      <c r="M20540" s="112"/>
      <c r="N20540" s="84"/>
    </row>
    <row r="20541" spans="1:14" s="2" customFormat="1">
      <c r="A20541" s="83"/>
      <c r="H20541" s="83"/>
      <c r="K20541" s="82"/>
      <c r="M20541" s="112"/>
      <c r="N20541" s="84"/>
    </row>
    <row r="20542" spans="1:14" s="2" customFormat="1">
      <c r="A20542" s="83"/>
      <c r="H20542" s="83"/>
      <c r="K20542" s="82"/>
      <c r="M20542" s="112"/>
      <c r="N20542" s="84"/>
    </row>
    <row r="20543" spans="1:14" s="2" customFormat="1">
      <c r="A20543" s="83"/>
      <c r="H20543" s="83"/>
      <c r="K20543" s="82"/>
      <c r="M20543" s="112"/>
      <c r="N20543" s="84"/>
    </row>
    <row r="20544" spans="1:14" s="2" customFormat="1">
      <c r="A20544" s="83"/>
      <c r="H20544" s="83"/>
      <c r="K20544" s="82"/>
      <c r="M20544" s="112"/>
      <c r="N20544" s="84"/>
    </row>
    <row r="20545" spans="1:14" s="2" customFormat="1">
      <c r="A20545" s="83"/>
      <c r="H20545" s="83"/>
      <c r="K20545" s="82"/>
      <c r="M20545" s="112"/>
      <c r="N20545" s="84"/>
    </row>
    <row r="20546" spans="1:14" s="2" customFormat="1">
      <c r="A20546" s="83"/>
      <c r="H20546" s="83"/>
      <c r="K20546" s="82"/>
      <c r="M20546" s="112"/>
      <c r="N20546" s="84"/>
    </row>
    <row r="20547" spans="1:14" s="2" customFormat="1">
      <c r="A20547" s="83"/>
      <c r="H20547" s="83"/>
      <c r="K20547" s="82"/>
      <c r="M20547" s="112"/>
      <c r="N20547" s="84"/>
    </row>
    <row r="20548" spans="1:14" s="2" customFormat="1">
      <c r="A20548" s="83"/>
      <c r="H20548" s="83"/>
      <c r="K20548" s="82"/>
      <c r="M20548" s="112"/>
      <c r="N20548" s="84"/>
    </row>
    <row r="20549" spans="1:14" s="2" customFormat="1">
      <c r="A20549" s="83"/>
      <c r="H20549" s="83"/>
      <c r="K20549" s="82"/>
      <c r="M20549" s="112"/>
      <c r="N20549" s="84"/>
    </row>
    <row r="20550" spans="1:14" s="2" customFormat="1">
      <c r="A20550" s="83"/>
      <c r="H20550" s="83"/>
      <c r="K20550" s="82"/>
      <c r="M20550" s="112"/>
      <c r="N20550" s="84"/>
    </row>
    <row r="20551" spans="1:14" s="2" customFormat="1">
      <c r="A20551" s="83"/>
      <c r="H20551" s="83"/>
      <c r="K20551" s="82"/>
      <c r="M20551" s="112"/>
      <c r="N20551" s="84"/>
    </row>
    <row r="20552" spans="1:14" s="2" customFormat="1">
      <c r="A20552" s="83"/>
      <c r="H20552" s="83"/>
      <c r="K20552" s="82"/>
      <c r="M20552" s="112"/>
      <c r="N20552" s="84"/>
    </row>
    <row r="20553" spans="1:14" s="2" customFormat="1">
      <c r="A20553" s="83"/>
      <c r="H20553" s="83"/>
      <c r="K20553" s="82"/>
      <c r="M20553" s="112"/>
      <c r="N20553" s="84"/>
    </row>
    <row r="20554" spans="1:14" s="2" customFormat="1">
      <c r="A20554" s="83"/>
      <c r="H20554" s="83"/>
      <c r="K20554" s="82"/>
      <c r="M20554" s="112"/>
      <c r="N20554" s="84"/>
    </row>
    <row r="20555" spans="1:14" s="2" customFormat="1">
      <c r="A20555" s="83"/>
      <c r="H20555" s="83"/>
      <c r="K20555" s="82"/>
      <c r="M20555" s="112"/>
      <c r="N20555" s="84"/>
    </row>
    <row r="20556" spans="1:14" s="2" customFormat="1">
      <c r="A20556" s="83"/>
      <c r="H20556" s="83"/>
      <c r="K20556" s="82"/>
      <c r="M20556" s="112"/>
      <c r="N20556" s="84"/>
    </row>
    <row r="20557" spans="1:14" s="2" customFormat="1">
      <c r="A20557" s="83"/>
      <c r="H20557" s="83"/>
      <c r="K20557" s="82"/>
      <c r="M20557" s="112"/>
      <c r="N20557" s="84"/>
    </row>
    <row r="20558" spans="1:14" s="2" customFormat="1">
      <c r="A20558" s="83"/>
      <c r="H20558" s="83"/>
      <c r="K20558" s="82"/>
      <c r="M20558" s="112"/>
      <c r="N20558" s="84"/>
    </row>
    <row r="20559" spans="1:14" s="2" customFormat="1">
      <c r="A20559" s="83"/>
      <c r="H20559" s="83"/>
      <c r="K20559" s="82"/>
      <c r="M20559" s="112"/>
      <c r="N20559" s="84"/>
    </row>
    <row r="20560" spans="1:14" s="2" customFormat="1">
      <c r="A20560" s="83"/>
      <c r="H20560" s="83"/>
      <c r="K20560" s="82"/>
      <c r="M20560" s="112"/>
      <c r="N20560" s="84"/>
    </row>
    <row r="20561" spans="1:14" s="2" customFormat="1">
      <c r="A20561" s="83"/>
      <c r="H20561" s="83"/>
      <c r="K20561" s="82"/>
      <c r="M20561" s="112"/>
      <c r="N20561" s="84"/>
    </row>
    <row r="20562" spans="1:14" s="2" customFormat="1">
      <c r="A20562" s="83"/>
      <c r="H20562" s="83"/>
      <c r="K20562" s="82"/>
      <c r="M20562" s="112"/>
      <c r="N20562" s="84"/>
    </row>
    <row r="20563" spans="1:14" s="2" customFormat="1">
      <c r="A20563" s="83"/>
      <c r="H20563" s="83"/>
      <c r="K20563" s="82"/>
      <c r="M20563" s="112"/>
      <c r="N20563" s="84"/>
    </row>
    <row r="20564" spans="1:14" s="2" customFormat="1">
      <c r="A20564" s="83"/>
      <c r="H20564" s="83"/>
      <c r="K20564" s="82"/>
      <c r="M20564" s="112"/>
      <c r="N20564" s="84"/>
    </row>
    <row r="20565" spans="1:14" s="2" customFormat="1">
      <c r="A20565" s="83"/>
      <c r="H20565" s="83"/>
      <c r="K20565" s="82"/>
      <c r="M20565" s="112"/>
      <c r="N20565" s="84"/>
    </row>
    <row r="20566" spans="1:14" s="2" customFormat="1">
      <c r="A20566" s="83"/>
      <c r="H20566" s="83"/>
      <c r="K20566" s="82"/>
      <c r="M20566" s="112"/>
      <c r="N20566" s="84"/>
    </row>
    <row r="20567" spans="1:14" s="2" customFormat="1">
      <c r="A20567" s="83"/>
      <c r="H20567" s="83"/>
      <c r="K20567" s="82"/>
      <c r="M20567" s="112"/>
      <c r="N20567" s="84"/>
    </row>
    <row r="20568" spans="1:14" s="2" customFormat="1">
      <c r="A20568" s="83"/>
      <c r="H20568" s="83"/>
      <c r="K20568" s="82"/>
      <c r="M20568" s="112"/>
      <c r="N20568" s="84"/>
    </row>
    <row r="20569" spans="1:14" s="2" customFormat="1">
      <c r="A20569" s="83"/>
      <c r="H20569" s="83"/>
      <c r="K20569" s="82"/>
      <c r="M20569" s="112"/>
      <c r="N20569" s="84"/>
    </row>
    <row r="20570" spans="1:14" s="2" customFormat="1">
      <c r="A20570" s="83"/>
      <c r="H20570" s="83"/>
      <c r="K20570" s="82"/>
      <c r="M20570" s="112"/>
      <c r="N20570" s="84"/>
    </row>
    <row r="20571" spans="1:14" s="2" customFormat="1">
      <c r="A20571" s="83"/>
      <c r="H20571" s="83"/>
      <c r="K20571" s="82"/>
      <c r="M20571" s="112"/>
      <c r="N20571" s="84"/>
    </row>
    <row r="20572" spans="1:14" s="2" customFormat="1">
      <c r="A20572" s="83"/>
      <c r="H20572" s="83"/>
      <c r="K20572" s="82"/>
      <c r="M20572" s="112"/>
      <c r="N20572" s="84"/>
    </row>
    <row r="20573" spans="1:14" s="2" customFormat="1">
      <c r="A20573" s="83"/>
      <c r="H20573" s="83"/>
      <c r="K20573" s="82"/>
      <c r="M20573" s="112"/>
      <c r="N20573" s="84"/>
    </row>
    <row r="20574" spans="1:14" s="2" customFormat="1">
      <c r="A20574" s="83"/>
      <c r="H20574" s="83"/>
      <c r="K20574" s="82"/>
      <c r="M20574" s="112"/>
      <c r="N20574" s="84"/>
    </row>
    <row r="20575" spans="1:14" s="2" customFormat="1">
      <c r="A20575" s="83"/>
      <c r="H20575" s="83"/>
      <c r="K20575" s="82"/>
      <c r="M20575" s="112"/>
      <c r="N20575" s="84"/>
    </row>
    <row r="20576" spans="1:14" s="2" customFormat="1">
      <c r="A20576" s="83"/>
      <c r="H20576" s="83"/>
      <c r="K20576" s="82"/>
      <c r="M20576" s="112"/>
      <c r="N20576" s="84"/>
    </row>
    <row r="20577" spans="1:14" s="2" customFormat="1">
      <c r="A20577" s="83"/>
      <c r="H20577" s="83"/>
      <c r="K20577" s="82"/>
      <c r="M20577" s="112"/>
      <c r="N20577" s="84"/>
    </row>
    <row r="20578" spans="1:14" s="2" customFormat="1">
      <c r="A20578" s="83"/>
      <c r="H20578" s="83"/>
      <c r="K20578" s="82"/>
      <c r="M20578" s="112"/>
      <c r="N20578" s="84"/>
    </row>
    <row r="20579" spans="1:14" s="2" customFormat="1">
      <c r="A20579" s="83"/>
      <c r="H20579" s="83"/>
      <c r="K20579" s="82"/>
      <c r="M20579" s="112"/>
      <c r="N20579" s="84"/>
    </row>
    <row r="20580" spans="1:14" s="2" customFormat="1">
      <c r="A20580" s="83"/>
      <c r="H20580" s="83"/>
      <c r="K20580" s="82"/>
      <c r="M20580" s="112"/>
      <c r="N20580" s="84"/>
    </row>
    <row r="20581" spans="1:14" s="2" customFormat="1">
      <c r="A20581" s="83"/>
      <c r="H20581" s="83"/>
      <c r="K20581" s="82"/>
      <c r="M20581" s="112"/>
      <c r="N20581" s="84"/>
    </row>
    <row r="20582" spans="1:14" s="2" customFormat="1">
      <c r="A20582" s="83"/>
      <c r="H20582" s="83"/>
      <c r="K20582" s="82"/>
      <c r="M20582" s="112"/>
      <c r="N20582" s="84"/>
    </row>
    <row r="20583" spans="1:14" s="2" customFormat="1">
      <c r="A20583" s="83"/>
      <c r="H20583" s="83"/>
      <c r="K20583" s="82"/>
      <c r="M20583" s="112"/>
      <c r="N20583" s="84"/>
    </row>
    <row r="20584" spans="1:14" s="2" customFormat="1">
      <c r="A20584" s="83"/>
      <c r="H20584" s="83"/>
      <c r="K20584" s="82"/>
      <c r="M20584" s="112"/>
      <c r="N20584" s="84"/>
    </row>
    <row r="20585" spans="1:14" s="2" customFormat="1">
      <c r="A20585" s="83"/>
      <c r="H20585" s="83"/>
      <c r="K20585" s="82"/>
      <c r="M20585" s="112"/>
      <c r="N20585" s="84"/>
    </row>
    <row r="20586" spans="1:14" s="2" customFormat="1">
      <c r="A20586" s="83"/>
      <c r="H20586" s="83"/>
      <c r="K20586" s="82"/>
      <c r="M20586" s="112"/>
      <c r="N20586" s="84"/>
    </row>
    <row r="20587" spans="1:14" s="2" customFormat="1">
      <c r="A20587" s="83"/>
      <c r="H20587" s="83"/>
      <c r="K20587" s="82"/>
      <c r="M20587" s="112"/>
      <c r="N20587" s="84"/>
    </row>
    <row r="20588" spans="1:14" s="2" customFormat="1">
      <c r="A20588" s="83"/>
      <c r="H20588" s="83"/>
      <c r="K20588" s="82"/>
      <c r="M20588" s="112"/>
      <c r="N20588" s="84"/>
    </row>
    <row r="20589" spans="1:14" s="2" customFormat="1">
      <c r="A20589" s="83"/>
      <c r="H20589" s="83"/>
      <c r="K20589" s="82"/>
      <c r="M20589" s="112"/>
      <c r="N20589" s="84"/>
    </row>
    <row r="20590" spans="1:14" s="2" customFormat="1">
      <c r="A20590" s="83"/>
      <c r="H20590" s="83"/>
      <c r="K20590" s="82"/>
      <c r="M20590" s="112"/>
      <c r="N20590" s="84"/>
    </row>
    <row r="20591" spans="1:14" s="2" customFormat="1">
      <c r="A20591" s="83"/>
      <c r="H20591" s="83"/>
      <c r="K20591" s="82"/>
      <c r="M20591" s="112"/>
      <c r="N20591" s="84"/>
    </row>
    <row r="20592" spans="1:14" s="2" customFormat="1">
      <c r="A20592" s="83"/>
      <c r="H20592" s="83"/>
      <c r="K20592" s="82"/>
      <c r="M20592" s="112"/>
      <c r="N20592" s="84"/>
    </row>
    <row r="20593" spans="1:14" s="2" customFormat="1">
      <c r="A20593" s="83"/>
      <c r="H20593" s="83"/>
      <c r="K20593" s="82"/>
      <c r="M20593" s="112"/>
      <c r="N20593" s="84"/>
    </row>
    <row r="20594" spans="1:14" s="2" customFormat="1">
      <c r="A20594" s="83"/>
      <c r="H20594" s="83"/>
      <c r="K20594" s="82"/>
      <c r="M20594" s="112"/>
      <c r="N20594" s="84"/>
    </row>
    <row r="20595" spans="1:14" s="2" customFormat="1">
      <c r="A20595" s="83"/>
      <c r="H20595" s="83"/>
      <c r="K20595" s="82"/>
      <c r="M20595" s="112"/>
      <c r="N20595" s="84"/>
    </row>
    <row r="20596" spans="1:14" s="2" customFormat="1">
      <c r="A20596" s="83"/>
      <c r="H20596" s="83"/>
      <c r="K20596" s="82"/>
      <c r="M20596" s="112"/>
      <c r="N20596" s="84"/>
    </row>
    <row r="20597" spans="1:14" s="2" customFormat="1">
      <c r="A20597" s="83"/>
      <c r="H20597" s="83"/>
      <c r="K20597" s="82"/>
      <c r="M20597" s="112"/>
      <c r="N20597" s="84"/>
    </row>
    <row r="20598" spans="1:14" s="2" customFormat="1">
      <c r="A20598" s="83"/>
      <c r="H20598" s="83"/>
      <c r="K20598" s="82"/>
      <c r="M20598" s="112"/>
      <c r="N20598" s="84"/>
    </row>
    <row r="20599" spans="1:14" s="2" customFormat="1">
      <c r="A20599" s="83"/>
      <c r="H20599" s="83"/>
      <c r="K20599" s="82"/>
      <c r="M20599" s="112"/>
      <c r="N20599" s="84"/>
    </row>
    <row r="20600" spans="1:14" s="2" customFormat="1">
      <c r="A20600" s="83"/>
      <c r="H20600" s="83"/>
      <c r="K20600" s="82"/>
      <c r="M20600" s="112"/>
      <c r="N20600" s="84"/>
    </row>
    <row r="20601" spans="1:14" s="2" customFormat="1">
      <c r="A20601" s="83"/>
      <c r="H20601" s="83"/>
      <c r="K20601" s="82"/>
      <c r="M20601" s="112"/>
      <c r="N20601" s="84"/>
    </row>
    <row r="20602" spans="1:14" s="2" customFormat="1">
      <c r="A20602" s="83"/>
      <c r="H20602" s="83"/>
      <c r="K20602" s="82"/>
      <c r="M20602" s="112"/>
      <c r="N20602" s="84"/>
    </row>
    <row r="20603" spans="1:14" s="2" customFormat="1">
      <c r="A20603" s="83"/>
      <c r="H20603" s="83"/>
      <c r="K20603" s="82"/>
      <c r="M20603" s="112"/>
      <c r="N20603" s="84"/>
    </row>
    <row r="20604" spans="1:14" s="2" customFormat="1">
      <c r="A20604" s="83"/>
      <c r="H20604" s="83"/>
      <c r="K20604" s="82"/>
      <c r="M20604" s="112"/>
      <c r="N20604" s="84"/>
    </row>
    <row r="20605" spans="1:14" s="2" customFormat="1">
      <c r="A20605" s="83"/>
      <c r="H20605" s="83"/>
      <c r="K20605" s="82"/>
      <c r="M20605" s="112"/>
      <c r="N20605" s="84"/>
    </row>
    <row r="20606" spans="1:14" s="2" customFormat="1">
      <c r="A20606" s="83"/>
      <c r="H20606" s="83"/>
      <c r="K20606" s="82"/>
      <c r="M20606" s="112"/>
      <c r="N20606" s="84"/>
    </row>
    <row r="20607" spans="1:14" s="2" customFormat="1">
      <c r="A20607" s="83"/>
      <c r="H20607" s="83"/>
      <c r="K20607" s="82"/>
      <c r="M20607" s="112"/>
      <c r="N20607" s="84"/>
    </row>
    <row r="20608" spans="1:14" s="2" customFormat="1">
      <c r="A20608" s="83"/>
      <c r="H20608" s="83"/>
      <c r="K20608" s="82"/>
      <c r="M20608" s="112"/>
      <c r="N20608" s="84"/>
    </row>
    <row r="20609" spans="1:14" s="2" customFormat="1">
      <c r="A20609" s="83"/>
      <c r="H20609" s="83"/>
      <c r="K20609" s="82"/>
      <c r="M20609" s="112"/>
      <c r="N20609" s="84"/>
    </row>
    <row r="20610" spans="1:14" s="2" customFormat="1">
      <c r="A20610" s="83"/>
      <c r="H20610" s="83"/>
      <c r="K20610" s="82"/>
      <c r="M20610" s="112"/>
      <c r="N20610" s="84"/>
    </row>
    <row r="20611" spans="1:14" s="2" customFormat="1">
      <c r="A20611" s="83"/>
      <c r="H20611" s="83"/>
      <c r="K20611" s="82"/>
      <c r="M20611" s="112"/>
      <c r="N20611" s="84"/>
    </row>
    <row r="20612" spans="1:14" s="2" customFormat="1">
      <c r="A20612" s="83"/>
      <c r="H20612" s="83"/>
      <c r="K20612" s="82"/>
      <c r="M20612" s="112"/>
      <c r="N20612" s="84"/>
    </row>
    <row r="20613" spans="1:14" s="2" customFormat="1">
      <c r="A20613" s="83"/>
      <c r="H20613" s="83"/>
      <c r="K20613" s="82"/>
      <c r="M20613" s="112"/>
      <c r="N20613" s="84"/>
    </row>
    <row r="20614" spans="1:14" s="2" customFormat="1">
      <c r="A20614" s="83"/>
      <c r="H20614" s="83"/>
      <c r="K20614" s="82"/>
      <c r="M20614" s="112"/>
      <c r="N20614" s="84"/>
    </row>
    <row r="20615" spans="1:14" s="2" customFormat="1">
      <c r="A20615" s="83"/>
      <c r="H20615" s="83"/>
      <c r="K20615" s="82"/>
      <c r="M20615" s="112"/>
      <c r="N20615" s="84"/>
    </row>
    <row r="20616" spans="1:14" s="2" customFormat="1">
      <c r="A20616" s="83"/>
      <c r="H20616" s="83"/>
      <c r="K20616" s="82"/>
      <c r="M20616" s="112"/>
      <c r="N20616" s="84"/>
    </row>
    <row r="20617" spans="1:14" s="2" customFormat="1">
      <c r="A20617" s="83"/>
      <c r="H20617" s="83"/>
      <c r="K20617" s="82"/>
      <c r="M20617" s="112"/>
      <c r="N20617" s="84"/>
    </row>
    <row r="20618" spans="1:14" s="2" customFormat="1">
      <c r="A20618" s="83"/>
      <c r="H20618" s="83"/>
      <c r="K20618" s="82"/>
      <c r="M20618" s="112"/>
      <c r="N20618" s="84"/>
    </row>
    <row r="20619" spans="1:14" s="2" customFormat="1">
      <c r="A20619" s="83"/>
      <c r="H20619" s="83"/>
      <c r="K20619" s="82"/>
      <c r="M20619" s="112"/>
      <c r="N20619" s="84"/>
    </row>
    <row r="20620" spans="1:14" s="2" customFormat="1">
      <c r="A20620" s="83"/>
      <c r="H20620" s="83"/>
      <c r="K20620" s="82"/>
      <c r="M20620" s="112"/>
      <c r="N20620" s="84"/>
    </row>
    <row r="20621" spans="1:14" s="2" customFormat="1">
      <c r="A20621" s="83"/>
      <c r="H20621" s="83"/>
      <c r="K20621" s="82"/>
      <c r="M20621" s="112"/>
      <c r="N20621" s="84"/>
    </row>
    <row r="20622" spans="1:14" s="2" customFormat="1">
      <c r="A20622" s="83"/>
      <c r="H20622" s="83"/>
      <c r="K20622" s="82"/>
      <c r="M20622" s="112"/>
      <c r="N20622" s="84"/>
    </row>
    <row r="20623" spans="1:14" s="2" customFormat="1">
      <c r="A20623" s="83"/>
      <c r="H20623" s="83"/>
      <c r="K20623" s="82"/>
      <c r="M20623" s="112"/>
      <c r="N20623" s="84"/>
    </row>
    <row r="20624" spans="1:14" s="2" customFormat="1">
      <c r="A20624" s="83"/>
      <c r="H20624" s="83"/>
      <c r="K20624" s="82"/>
      <c r="M20624" s="112"/>
      <c r="N20624" s="84"/>
    </row>
    <row r="20625" spans="1:14" s="2" customFormat="1">
      <c r="A20625" s="83"/>
      <c r="H20625" s="83"/>
      <c r="K20625" s="82"/>
      <c r="M20625" s="112"/>
      <c r="N20625" s="84"/>
    </row>
    <row r="20626" spans="1:14" s="2" customFormat="1">
      <c r="A20626" s="83"/>
      <c r="H20626" s="83"/>
      <c r="K20626" s="82"/>
      <c r="M20626" s="112"/>
      <c r="N20626" s="84"/>
    </row>
    <row r="20627" spans="1:14" s="2" customFormat="1">
      <c r="A20627" s="83"/>
      <c r="H20627" s="83"/>
      <c r="K20627" s="82"/>
      <c r="M20627" s="112"/>
      <c r="N20627" s="84"/>
    </row>
    <row r="20628" spans="1:14" s="2" customFormat="1">
      <c r="A20628" s="83"/>
      <c r="H20628" s="83"/>
      <c r="K20628" s="82"/>
      <c r="M20628" s="112"/>
      <c r="N20628" s="84"/>
    </row>
    <row r="20629" spans="1:14" s="2" customFormat="1">
      <c r="A20629" s="83"/>
      <c r="H20629" s="83"/>
      <c r="K20629" s="82"/>
      <c r="M20629" s="112"/>
      <c r="N20629" s="84"/>
    </row>
    <row r="20630" spans="1:14" s="2" customFormat="1">
      <c r="A20630" s="83"/>
      <c r="H20630" s="83"/>
      <c r="K20630" s="82"/>
      <c r="M20630" s="112"/>
      <c r="N20630" s="84"/>
    </row>
    <row r="20631" spans="1:14" s="2" customFormat="1">
      <c r="A20631" s="83"/>
      <c r="H20631" s="83"/>
      <c r="K20631" s="82"/>
      <c r="M20631" s="112"/>
      <c r="N20631" s="84"/>
    </row>
    <row r="20632" spans="1:14" s="2" customFormat="1">
      <c r="A20632" s="83"/>
      <c r="H20632" s="83"/>
      <c r="K20632" s="82"/>
      <c r="M20632" s="112"/>
      <c r="N20632" s="84"/>
    </row>
    <row r="20633" spans="1:14" s="2" customFormat="1">
      <c r="A20633" s="83"/>
      <c r="H20633" s="83"/>
      <c r="K20633" s="82"/>
      <c r="M20633" s="112"/>
      <c r="N20633" s="84"/>
    </row>
    <row r="20634" spans="1:14" s="2" customFormat="1">
      <c r="A20634" s="83"/>
      <c r="H20634" s="83"/>
      <c r="K20634" s="82"/>
      <c r="M20634" s="112"/>
      <c r="N20634" s="84"/>
    </row>
    <row r="20635" spans="1:14" s="2" customFormat="1">
      <c r="A20635" s="83"/>
      <c r="H20635" s="83"/>
      <c r="K20635" s="82"/>
      <c r="M20635" s="112"/>
      <c r="N20635" s="84"/>
    </row>
    <row r="20636" spans="1:14" s="2" customFormat="1">
      <c r="A20636" s="83"/>
      <c r="H20636" s="83"/>
      <c r="K20636" s="82"/>
      <c r="M20636" s="112"/>
      <c r="N20636" s="84"/>
    </row>
    <row r="20637" spans="1:14" s="2" customFormat="1">
      <c r="A20637" s="83"/>
      <c r="H20637" s="83"/>
      <c r="K20637" s="82"/>
      <c r="M20637" s="112"/>
      <c r="N20637" s="84"/>
    </row>
    <row r="20638" spans="1:14" s="2" customFormat="1">
      <c r="A20638" s="83"/>
      <c r="H20638" s="83"/>
      <c r="K20638" s="82"/>
      <c r="M20638" s="112"/>
      <c r="N20638" s="84"/>
    </row>
    <row r="20639" spans="1:14" s="2" customFormat="1">
      <c r="A20639" s="83"/>
      <c r="H20639" s="83"/>
      <c r="K20639" s="82"/>
      <c r="M20639" s="112"/>
      <c r="N20639" s="84"/>
    </row>
    <row r="20640" spans="1:14" s="2" customFormat="1">
      <c r="A20640" s="83"/>
      <c r="H20640" s="83"/>
      <c r="K20640" s="82"/>
      <c r="M20640" s="112"/>
      <c r="N20640" s="84"/>
    </row>
    <row r="20641" spans="1:14" s="2" customFormat="1">
      <c r="A20641" s="83"/>
      <c r="H20641" s="83"/>
      <c r="K20641" s="82"/>
      <c r="M20641" s="112"/>
      <c r="N20641" s="84"/>
    </row>
    <row r="20642" spans="1:14" s="2" customFormat="1">
      <c r="A20642" s="83"/>
      <c r="H20642" s="83"/>
      <c r="K20642" s="82"/>
      <c r="M20642" s="112"/>
      <c r="N20642" s="84"/>
    </row>
    <row r="20643" spans="1:14" s="2" customFormat="1">
      <c r="A20643" s="83"/>
      <c r="H20643" s="83"/>
      <c r="K20643" s="82"/>
      <c r="M20643" s="112"/>
      <c r="N20643" s="84"/>
    </row>
    <row r="20644" spans="1:14" s="2" customFormat="1">
      <c r="A20644" s="83"/>
      <c r="H20644" s="83"/>
      <c r="K20644" s="82"/>
      <c r="M20644" s="112"/>
      <c r="N20644" s="84"/>
    </row>
    <row r="20645" spans="1:14" s="2" customFormat="1">
      <c r="A20645" s="83"/>
      <c r="H20645" s="83"/>
      <c r="K20645" s="82"/>
      <c r="M20645" s="112"/>
      <c r="N20645" s="84"/>
    </row>
    <row r="20646" spans="1:14" s="2" customFormat="1">
      <c r="A20646" s="83"/>
      <c r="H20646" s="83"/>
      <c r="K20646" s="82"/>
      <c r="M20646" s="112"/>
      <c r="N20646" s="84"/>
    </row>
    <row r="20647" spans="1:14" s="2" customFormat="1">
      <c r="A20647" s="83"/>
      <c r="H20647" s="83"/>
      <c r="K20647" s="82"/>
      <c r="M20647" s="112"/>
      <c r="N20647" s="84"/>
    </row>
    <row r="20648" spans="1:14" s="2" customFormat="1">
      <c r="A20648" s="83"/>
      <c r="H20648" s="83"/>
      <c r="K20648" s="82"/>
      <c r="M20648" s="112"/>
      <c r="N20648" s="84"/>
    </row>
    <row r="20649" spans="1:14" s="2" customFormat="1">
      <c r="A20649" s="83"/>
      <c r="H20649" s="83"/>
      <c r="K20649" s="82"/>
      <c r="M20649" s="112"/>
      <c r="N20649" s="84"/>
    </row>
    <row r="20650" spans="1:14" s="2" customFormat="1">
      <c r="A20650" s="83"/>
      <c r="H20650" s="83"/>
      <c r="K20650" s="82"/>
      <c r="M20650" s="112"/>
      <c r="N20650" s="84"/>
    </row>
    <row r="20651" spans="1:14" s="2" customFormat="1">
      <c r="A20651" s="83"/>
      <c r="H20651" s="83"/>
      <c r="K20651" s="82"/>
      <c r="M20651" s="112"/>
      <c r="N20651" s="84"/>
    </row>
    <row r="20652" spans="1:14" s="2" customFormat="1">
      <c r="A20652" s="83"/>
      <c r="H20652" s="83"/>
      <c r="K20652" s="82"/>
      <c r="M20652" s="112"/>
      <c r="N20652" s="84"/>
    </row>
    <row r="20653" spans="1:14" s="2" customFormat="1">
      <c r="A20653" s="83"/>
      <c r="H20653" s="83"/>
      <c r="K20653" s="82"/>
      <c r="M20653" s="112"/>
      <c r="N20653" s="84"/>
    </row>
    <row r="20654" spans="1:14" s="2" customFormat="1">
      <c r="A20654" s="83"/>
      <c r="H20654" s="83"/>
      <c r="K20654" s="82"/>
      <c r="M20654" s="112"/>
      <c r="N20654" s="84"/>
    </row>
    <row r="20655" spans="1:14" s="2" customFormat="1">
      <c r="A20655" s="83"/>
      <c r="H20655" s="83"/>
      <c r="K20655" s="82"/>
      <c r="M20655" s="112"/>
      <c r="N20655" s="84"/>
    </row>
    <row r="20656" spans="1:14" s="2" customFormat="1">
      <c r="A20656" s="83"/>
      <c r="H20656" s="83"/>
      <c r="K20656" s="82"/>
      <c r="M20656" s="112"/>
      <c r="N20656" s="84"/>
    </row>
    <row r="20657" spans="1:14" s="2" customFormat="1">
      <c r="A20657" s="83"/>
      <c r="H20657" s="83"/>
      <c r="K20657" s="82"/>
      <c r="M20657" s="112"/>
      <c r="N20657" s="84"/>
    </row>
    <row r="20658" spans="1:14" s="2" customFormat="1">
      <c r="A20658" s="83"/>
      <c r="H20658" s="83"/>
      <c r="K20658" s="82"/>
      <c r="M20658" s="112"/>
      <c r="N20658" s="84"/>
    </row>
    <row r="20659" spans="1:14" s="2" customFormat="1">
      <c r="A20659" s="83"/>
      <c r="H20659" s="83"/>
      <c r="K20659" s="82"/>
      <c r="M20659" s="112"/>
      <c r="N20659" s="84"/>
    </row>
    <row r="20660" spans="1:14" s="2" customFormat="1">
      <c r="A20660" s="83"/>
      <c r="H20660" s="83"/>
      <c r="K20660" s="82"/>
      <c r="M20660" s="112"/>
      <c r="N20660" s="84"/>
    </row>
    <row r="20661" spans="1:14" s="2" customFormat="1">
      <c r="A20661" s="83"/>
      <c r="H20661" s="83"/>
      <c r="K20661" s="82"/>
      <c r="M20661" s="112"/>
      <c r="N20661" s="84"/>
    </row>
    <row r="20662" spans="1:14" s="2" customFormat="1">
      <c r="A20662" s="83"/>
      <c r="H20662" s="83"/>
      <c r="K20662" s="82"/>
      <c r="M20662" s="112"/>
      <c r="N20662" s="84"/>
    </row>
    <row r="20663" spans="1:14" s="2" customFormat="1">
      <c r="A20663" s="83"/>
      <c r="H20663" s="83"/>
      <c r="K20663" s="82"/>
      <c r="M20663" s="112"/>
      <c r="N20663" s="84"/>
    </row>
    <row r="20664" spans="1:14" s="2" customFormat="1">
      <c r="A20664" s="83"/>
      <c r="H20664" s="83"/>
      <c r="K20664" s="82"/>
      <c r="M20664" s="112"/>
      <c r="N20664" s="84"/>
    </row>
    <row r="20665" spans="1:14" s="2" customFormat="1">
      <c r="A20665" s="83"/>
      <c r="H20665" s="83"/>
      <c r="K20665" s="82"/>
      <c r="M20665" s="112"/>
      <c r="N20665" s="84"/>
    </row>
    <row r="20666" spans="1:14" s="2" customFormat="1">
      <c r="A20666" s="83"/>
      <c r="H20666" s="83"/>
      <c r="K20666" s="82"/>
      <c r="M20666" s="112"/>
      <c r="N20666" s="84"/>
    </row>
    <row r="20667" spans="1:14" s="2" customFormat="1">
      <c r="A20667" s="83"/>
      <c r="H20667" s="83"/>
      <c r="K20667" s="82"/>
      <c r="M20667" s="112"/>
      <c r="N20667" s="84"/>
    </row>
    <row r="20668" spans="1:14" s="2" customFormat="1">
      <c r="A20668" s="83"/>
      <c r="H20668" s="83"/>
      <c r="K20668" s="82"/>
      <c r="M20668" s="112"/>
      <c r="N20668" s="84"/>
    </row>
    <row r="20669" spans="1:14" s="2" customFormat="1">
      <c r="A20669" s="83"/>
      <c r="H20669" s="83"/>
      <c r="K20669" s="82"/>
      <c r="M20669" s="112"/>
      <c r="N20669" s="84"/>
    </row>
    <row r="20670" spans="1:14" s="2" customFormat="1">
      <c r="A20670" s="83"/>
      <c r="H20670" s="83"/>
      <c r="K20670" s="82"/>
      <c r="M20670" s="112"/>
      <c r="N20670" s="84"/>
    </row>
    <row r="20671" spans="1:14" s="2" customFormat="1">
      <c r="A20671" s="83"/>
      <c r="H20671" s="83"/>
      <c r="K20671" s="82"/>
      <c r="M20671" s="112"/>
      <c r="N20671" s="84"/>
    </row>
    <row r="20672" spans="1:14" s="2" customFormat="1">
      <c r="A20672" s="83"/>
      <c r="H20672" s="83"/>
      <c r="K20672" s="82"/>
      <c r="M20672" s="112"/>
      <c r="N20672" s="84"/>
    </row>
    <row r="20673" spans="1:14" s="2" customFormat="1">
      <c r="A20673" s="83"/>
      <c r="H20673" s="83"/>
      <c r="K20673" s="82"/>
      <c r="M20673" s="112"/>
      <c r="N20673" s="84"/>
    </row>
    <row r="20674" spans="1:14" s="2" customFormat="1">
      <c r="A20674" s="83"/>
      <c r="H20674" s="83"/>
      <c r="K20674" s="82"/>
      <c r="M20674" s="112"/>
      <c r="N20674" s="84"/>
    </row>
    <row r="20675" spans="1:14" s="2" customFormat="1">
      <c r="A20675" s="83"/>
      <c r="H20675" s="83"/>
      <c r="K20675" s="82"/>
      <c r="M20675" s="112"/>
      <c r="N20675" s="84"/>
    </row>
    <row r="20676" spans="1:14" s="2" customFormat="1">
      <c r="A20676" s="83"/>
      <c r="H20676" s="83"/>
      <c r="K20676" s="82"/>
      <c r="M20676" s="112"/>
      <c r="N20676" s="84"/>
    </row>
    <row r="20677" spans="1:14" s="2" customFormat="1">
      <c r="A20677" s="83"/>
      <c r="H20677" s="83"/>
      <c r="K20677" s="82"/>
      <c r="M20677" s="112"/>
      <c r="N20677" s="84"/>
    </row>
    <row r="20678" spans="1:14" s="2" customFormat="1">
      <c r="A20678" s="83"/>
      <c r="H20678" s="83"/>
      <c r="K20678" s="82"/>
      <c r="M20678" s="112"/>
      <c r="N20678" s="84"/>
    </row>
    <row r="20679" spans="1:14" s="2" customFormat="1">
      <c r="A20679" s="83"/>
      <c r="H20679" s="83"/>
      <c r="K20679" s="82"/>
      <c r="M20679" s="112"/>
      <c r="N20679" s="84"/>
    </row>
    <row r="20680" spans="1:14" s="2" customFormat="1">
      <c r="A20680" s="83"/>
      <c r="H20680" s="83"/>
      <c r="K20680" s="82"/>
      <c r="M20680" s="112"/>
      <c r="N20680" s="84"/>
    </row>
    <row r="20681" spans="1:14" s="2" customFormat="1">
      <c r="A20681" s="83"/>
      <c r="H20681" s="83"/>
      <c r="K20681" s="82"/>
      <c r="M20681" s="112"/>
      <c r="N20681" s="84"/>
    </row>
    <row r="20682" spans="1:14" s="2" customFormat="1">
      <c r="A20682" s="83"/>
      <c r="H20682" s="83"/>
      <c r="K20682" s="82"/>
      <c r="M20682" s="112"/>
      <c r="N20682" s="84"/>
    </row>
    <row r="20683" spans="1:14" s="2" customFormat="1">
      <c r="A20683" s="83"/>
      <c r="H20683" s="83"/>
      <c r="K20683" s="82"/>
      <c r="M20683" s="112"/>
      <c r="N20683" s="84"/>
    </row>
    <row r="20684" spans="1:14" s="2" customFormat="1">
      <c r="A20684" s="83"/>
      <c r="H20684" s="83"/>
      <c r="K20684" s="82"/>
      <c r="M20684" s="112"/>
      <c r="N20684" s="84"/>
    </row>
    <row r="20685" spans="1:14" s="2" customFormat="1">
      <c r="A20685" s="83"/>
      <c r="H20685" s="83"/>
      <c r="K20685" s="82"/>
      <c r="M20685" s="112"/>
      <c r="N20685" s="84"/>
    </row>
    <row r="20686" spans="1:14" s="2" customFormat="1">
      <c r="A20686" s="83"/>
      <c r="H20686" s="83"/>
      <c r="K20686" s="82"/>
      <c r="M20686" s="112"/>
      <c r="N20686" s="84"/>
    </row>
    <row r="20687" spans="1:14" s="2" customFormat="1">
      <c r="A20687" s="83"/>
      <c r="H20687" s="83"/>
      <c r="K20687" s="82"/>
      <c r="M20687" s="112"/>
      <c r="N20687" s="84"/>
    </row>
    <row r="20688" spans="1:14" s="2" customFormat="1">
      <c r="A20688" s="83"/>
      <c r="H20688" s="83"/>
      <c r="K20688" s="82"/>
      <c r="M20688" s="112"/>
      <c r="N20688" s="84"/>
    </row>
    <row r="20689" spans="1:14" s="2" customFormat="1">
      <c r="A20689" s="83"/>
      <c r="H20689" s="83"/>
      <c r="K20689" s="82"/>
      <c r="M20689" s="112"/>
      <c r="N20689" s="84"/>
    </row>
    <row r="20690" spans="1:14" s="2" customFormat="1">
      <c r="A20690" s="83"/>
      <c r="H20690" s="83"/>
      <c r="K20690" s="82"/>
      <c r="M20690" s="112"/>
      <c r="N20690" s="84"/>
    </row>
    <row r="20691" spans="1:14" s="2" customFormat="1">
      <c r="A20691" s="83"/>
      <c r="H20691" s="83"/>
      <c r="K20691" s="82"/>
      <c r="M20691" s="112"/>
      <c r="N20691" s="84"/>
    </row>
    <row r="20692" spans="1:14" s="2" customFormat="1">
      <c r="A20692" s="83"/>
      <c r="H20692" s="83"/>
      <c r="K20692" s="82"/>
      <c r="M20692" s="112"/>
      <c r="N20692" s="84"/>
    </row>
    <row r="20693" spans="1:14" s="2" customFormat="1">
      <c r="A20693" s="83"/>
      <c r="H20693" s="83"/>
      <c r="K20693" s="82"/>
      <c r="M20693" s="112"/>
      <c r="N20693" s="84"/>
    </row>
    <row r="20694" spans="1:14" s="2" customFormat="1">
      <c r="A20694" s="83"/>
      <c r="H20694" s="83"/>
      <c r="K20694" s="82"/>
      <c r="M20694" s="112"/>
      <c r="N20694" s="84"/>
    </row>
    <row r="20695" spans="1:14" s="2" customFormat="1">
      <c r="A20695" s="83"/>
      <c r="H20695" s="83"/>
      <c r="K20695" s="82"/>
      <c r="M20695" s="112"/>
      <c r="N20695" s="84"/>
    </row>
    <row r="20696" spans="1:14" s="2" customFormat="1">
      <c r="A20696" s="83"/>
      <c r="H20696" s="83"/>
      <c r="K20696" s="82"/>
      <c r="M20696" s="112"/>
      <c r="N20696" s="84"/>
    </row>
    <row r="20697" spans="1:14" s="2" customFormat="1">
      <c r="A20697" s="83"/>
      <c r="H20697" s="83"/>
      <c r="K20697" s="82"/>
      <c r="M20697" s="112"/>
      <c r="N20697" s="84"/>
    </row>
    <row r="20698" spans="1:14" s="2" customFormat="1">
      <c r="A20698" s="83"/>
      <c r="H20698" s="83"/>
      <c r="K20698" s="82"/>
      <c r="M20698" s="112"/>
      <c r="N20698" s="84"/>
    </row>
    <row r="20699" spans="1:14" s="2" customFormat="1">
      <c r="A20699" s="83"/>
      <c r="H20699" s="83"/>
      <c r="K20699" s="82"/>
      <c r="M20699" s="112"/>
      <c r="N20699" s="84"/>
    </row>
    <row r="20700" spans="1:14" s="2" customFormat="1">
      <c r="A20700" s="83"/>
      <c r="H20700" s="83"/>
      <c r="K20700" s="82"/>
      <c r="M20700" s="112"/>
      <c r="N20700" s="84"/>
    </row>
    <row r="20701" spans="1:14" s="2" customFormat="1">
      <c r="A20701" s="83"/>
      <c r="H20701" s="83"/>
      <c r="K20701" s="82"/>
      <c r="M20701" s="112"/>
      <c r="N20701" s="84"/>
    </row>
    <row r="20702" spans="1:14" s="2" customFormat="1">
      <c r="A20702" s="83"/>
      <c r="H20702" s="83"/>
      <c r="K20702" s="82"/>
      <c r="M20702" s="112"/>
      <c r="N20702" s="84"/>
    </row>
    <row r="20703" spans="1:14" s="2" customFormat="1">
      <c r="A20703" s="83"/>
      <c r="H20703" s="83"/>
      <c r="K20703" s="82"/>
      <c r="M20703" s="112"/>
      <c r="N20703" s="84"/>
    </row>
    <row r="20704" spans="1:14" s="2" customFormat="1">
      <c r="A20704" s="83"/>
      <c r="H20704" s="83"/>
      <c r="K20704" s="82"/>
      <c r="M20704" s="112"/>
      <c r="N20704" s="84"/>
    </row>
    <row r="20705" spans="1:14" s="2" customFormat="1">
      <c r="A20705" s="83"/>
      <c r="H20705" s="83"/>
      <c r="K20705" s="82"/>
      <c r="M20705" s="112"/>
      <c r="N20705" s="84"/>
    </row>
    <row r="20706" spans="1:14" s="2" customFormat="1">
      <c r="A20706" s="83"/>
      <c r="H20706" s="83"/>
      <c r="K20706" s="82"/>
      <c r="M20706" s="112"/>
      <c r="N20706" s="84"/>
    </row>
    <row r="20707" spans="1:14" s="2" customFormat="1">
      <c r="A20707" s="83"/>
      <c r="H20707" s="83"/>
      <c r="K20707" s="82"/>
      <c r="M20707" s="112"/>
      <c r="N20707" s="84"/>
    </row>
    <row r="20708" spans="1:14" s="2" customFormat="1">
      <c r="A20708" s="83"/>
      <c r="H20708" s="83"/>
      <c r="K20708" s="82"/>
      <c r="M20708" s="112"/>
      <c r="N20708" s="84"/>
    </row>
    <row r="20709" spans="1:14" s="2" customFormat="1">
      <c r="A20709" s="83"/>
      <c r="H20709" s="83"/>
      <c r="K20709" s="82"/>
      <c r="M20709" s="112"/>
      <c r="N20709" s="84"/>
    </row>
    <row r="20710" spans="1:14" s="2" customFormat="1">
      <c r="A20710" s="83"/>
      <c r="H20710" s="83"/>
      <c r="K20710" s="82"/>
      <c r="M20710" s="112"/>
      <c r="N20710" s="84"/>
    </row>
    <row r="20711" spans="1:14" s="2" customFormat="1">
      <c r="A20711" s="83"/>
      <c r="H20711" s="83"/>
      <c r="K20711" s="82"/>
      <c r="M20711" s="112"/>
      <c r="N20711" s="84"/>
    </row>
    <row r="20712" spans="1:14" s="2" customFormat="1">
      <c r="A20712" s="83"/>
      <c r="H20712" s="83"/>
      <c r="K20712" s="82"/>
      <c r="M20712" s="112"/>
      <c r="N20712" s="84"/>
    </row>
    <row r="20713" spans="1:14" s="2" customFormat="1">
      <c r="A20713" s="83"/>
      <c r="H20713" s="83"/>
      <c r="K20713" s="82"/>
      <c r="M20713" s="112"/>
      <c r="N20713" s="84"/>
    </row>
    <row r="20714" spans="1:14" s="2" customFormat="1">
      <c r="A20714" s="83"/>
      <c r="H20714" s="83"/>
      <c r="K20714" s="82"/>
      <c r="M20714" s="112"/>
      <c r="N20714" s="84"/>
    </row>
    <row r="20715" spans="1:14" s="2" customFormat="1">
      <c r="A20715" s="83"/>
      <c r="H20715" s="83"/>
      <c r="K20715" s="82"/>
      <c r="M20715" s="112"/>
      <c r="N20715" s="84"/>
    </row>
    <row r="20716" spans="1:14" s="2" customFormat="1">
      <c r="A20716" s="83"/>
      <c r="H20716" s="83"/>
      <c r="K20716" s="82"/>
      <c r="M20716" s="112"/>
      <c r="N20716" s="84"/>
    </row>
    <row r="20717" spans="1:14" s="2" customFormat="1">
      <c r="A20717" s="83"/>
      <c r="H20717" s="83"/>
      <c r="K20717" s="82"/>
      <c r="M20717" s="112"/>
      <c r="N20717" s="84"/>
    </row>
    <row r="20718" spans="1:14" s="2" customFormat="1">
      <c r="A20718" s="83"/>
      <c r="H20718" s="83"/>
      <c r="K20718" s="82"/>
      <c r="M20718" s="112"/>
      <c r="N20718" s="84"/>
    </row>
    <row r="20719" spans="1:14" s="2" customFormat="1">
      <c r="A20719" s="83"/>
      <c r="H20719" s="83"/>
      <c r="K20719" s="82"/>
      <c r="M20719" s="112"/>
      <c r="N20719" s="84"/>
    </row>
    <row r="20720" spans="1:14" s="2" customFormat="1">
      <c r="A20720" s="83"/>
      <c r="H20720" s="83"/>
      <c r="K20720" s="82"/>
      <c r="M20720" s="112"/>
      <c r="N20720" s="84"/>
    </row>
    <row r="20721" spans="1:14" s="2" customFormat="1">
      <c r="A20721" s="83"/>
      <c r="H20721" s="83"/>
      <c r="K20721" s="82"/>
      <c r="M20721" s="112"/>
      <c r="N20721" s="84"/>
    </row>
    <row r="20722" spans="1:14" s="2" customFormat="1">
      <c r="A20722" s="83"/>
      <c r="H20722" s="83"/>
      <c r="K20722" s="82"/>
      <c r="M20722" s="112"/>
      <c r="N20722" s="84"/>
    </row>
    <row r="20723" spans="1:14" s="2" customFormat="1">
      <c r="A20723" s="83"/>
      <c r="H20723" s="83"/>
      <c r="K20723" s="82"/>
      <c r="M20723" s="112"/>
      <c r="N20723" s="84"/>
    </row>
    <row r="20724" spans="1:14" s="2" customFormat="1">
      <c r="A20724" s="83"/>
      <c r="H20724" s="83"/>
      <c r="K20724" s="82"/>
      <c r="M20724" s="112"/>
      <c r="N20724" s="84"/>
    </row>
    <row r="20725" spans="1:14" s="2" customFormat="1">
      <c r="A20725" s="83"/>
      <c r="H20725" s="83"/>
      <c r="K20725" s="82"/>
      <c r="M20725" s="112"/>
      <c r="N20725" s="84"/>
    </row>
    <row r="20726" spans="1:14" s="2" customFormat="1">
      <c r="A20726" s="83"/>
      <c r="H20726" s="83"/>
      <c r="K20726" s="82"/>
      <c r="M20726" s="112"/>
      <c r="N20726" s="84"/>
    </row>
    <row r="20727" spans="1:14" s="2" customFormat="1">
      <c r="A20727" s="83"/>
      <c r="H20727" s="83"/>
      <c r="K20727" s="82"/>
      <c r="M20727" s="112"/>
      <c r="N20727" s="84"/>
    </row>
    <row r="20728" spans="1:14" s="2" customFormat="1">
      <c r="A20728" s="83"/>
      <c r="H20728" s="83"/>
      <c r="K20728" s="82"/>
      <c r="M20728" s="112"/>
      <c r="N20728" s="84"/>
    </row>
    <row r="20729" spans="1:14" s="2" customFormat="1">
      <c r="A20729" s="83"/>
      <c r="H20729" s="83"/>
      <c r="K20729" s="82"/>
      <c r="M20729" s="112"/>
      <c r="N20729" s="84"/>
    </row>
    <row r="20730" spans="1:14" s="2" customFormat="1">
      <c r="A20730" s="83"/>
      <c r="H20730" s="83"/>
      <c r="K20730" s="82"/>
      <c r="M20730" s="112"/>
      <c r="N20730" s="84"/>
    </row>
    <row r="20731" spans="1:14" s="2" customFormat="1">
      <c r="A20731" s="83"/>
      <c r="H20731" s="83"/>
      <c r="K20731" s="82"/>
      <c r="M20731" s="112"/>
      <c r="N20731" s="84"/>
    </row>
    <row r="20732" spans="1:14" s="2" customFormat="1">
      <c r="A20732" s="83"/>
      <c r="H20732" s="83"/>
      <c r="K20732" s="82"/>
      <c r="M20732" s="112"/>
      <c r="N20732" s="84"/>
    </row>
    <row r="20733" spans="1:14" s="2" customFormat="1">
      <c r="A20733" s="83"/>
      <c r="H20733" s="83"/>
      <c r="K20733" s="82"/>
      <c r="M20733" s="112"/>
      <c r="N20733" s="84"/>
    </row>
    <row r="20734" spans="1:14" s="2" customFormat="1">
      <c r="A20734" s="83"/>
      <c r="H20734" s="83"/>
      <c r="K20734" s="82"/>
      <c r="M20734" s="112"/>
      <c r="N20734" s="84"/>
    </row>
    <row r="20735" spans="1:14" s="2" customFormat="1">
      <c r="A20735" s="83"/>
      <c r="H20735" s="83"/>
      <c r="K20735" s="82"/>
      <c r="M20735" s="112"/>
      <c r="N20735" s="84"/>
    </row>
    <row r="20736" spans="1:14" s="2" customFormat="1">
      <c r="A20736" s="83"/>
      <c r="H20736" s="83"/>
      <c r="K20736" s="82"/>
      <c r="M20736" s="112"/>
      <c r="N20736" s="84"/>
    </row>
    <row r="20737" spans="1:14" s="2" customFormat="1">
      <c r="A20737" s="83"/>
      <c r="H20737" s="83"/>
      <c r="K20737" s="82"/>
      <c r="M20737" s="112"/>
      <c r="N20737" s="84"/>
    </row>
    <row r="20738" spans="1:14" s="2" customFormat="1">
      <c r="A20738" s="83"/>
      <c r="H20738" s="83"/>
      <c r="K20738" s="82"/>
      <c r="M20738" s="112"/>
      <c r="N20738" s="84"/>
    </row>
    <row r="20739" spans="1:14" s="2" customFormat="1">
      <c r="A20739" s="83"/>
      <c r="H20739" s="83"/>
      <c r="K20739" s="82"/>
      <c r="M20739" s="112"/>
      <c r="N20739" s="84"/>
    </row>
    <row r="20740" spans="1:14" s="2" customFormat="1">
      <c r="A20740" s="83"/>
      <c r="H20740" s="83"/>
      <c r="K20740" s="82"/>
      <c r="M20740" s="112"/>
      <c r="N20740" s="84"/>
    </row>
    <row r="20741" spans="1:14" s="2" customFormat="1">
      <c r="A20741" s="83"/>
      <c r="H20741" s="83"/>
      <c r="K20741" s="82"/>
      <c r="M20741" s="112"/>
      <c r="N20741" s="84"/>
    </row>
    <row r="20742" spans="1:14" s="2" customFormat="1">
      <c r="A20742" s="83"/>
      <c r="H20742" s="83"/>
      <c r="K20742" s="82"/>
      <c r="M20742" s="112"/>
      <c r="N20742" s="84"/>
    </row>
    <row r="20743" spans="1:14" s="2" customFormat="1">
      <c r="A20743" s="83"/>
      <c r="H20743" s="83"/>
      <c r="K20743" s="82"/>
      <c r="M20743" s="112"/>
      <c r="N20743" s="84"/>
    </row>
    <row r="20744" spans="1:14" s="2" customFormat="1">
      <c r="A20744" s="83"/>
      <c r="H20744" s="83"/>
      <c r="K20744" s="82"/>
      <c r="M20744" s="112"/>
      <c r="N20744" s="84"/>
    </row>
    <row r="20745" spans="1:14" s="2" customFormat="1">
      <c r="A20745" s="83"/>
      <c r="H20745" s="83"/>
      <c r="K20745" s="82"/>
      <c r="M20745" s="112"/>
      <c r="N20745" s="84"/>
    </row>
    <row r="20746" spans="1:14" s="2" customFormat="1">
      <c r="A20746" s="83"/>
      <c r="H20746" s="83"/>
      <c r="K20746" s="82"/>
      <c r="M20746" s="112"/>
      <c r="N20746" s="84"/>
    </row>
    <row r="20747" spans="1:14" s="2" customFormat="1">
      <c r="A20747" s="83"/>
      <c r="H20747" s="83"/>
      <c r="K20747" s="82"/>
      <c r="M20747" s="112"/>
      <c r="N20747" s="84"/>
    </row>
    <row r="20748" spans="1:14" s="2" customFormat="1">
      <c r="A20748" s="83"/>
      <c r="H20748" s="83"/>
      <c r="K20748" s="82"/>
      <c r="M20748" s="112"/>
      <c r="N20748" s="84"/>
    </row>
    <row r="20749" spans="1:14" s="2" customFormat="1">
      <c r="A20749" s="83"/>
      <c r="H20749" s="83"/>
      <c r="K20749" s="82"/>
      <c r="M20749" s="112"/>
      <c r="N20749" s="84"/>
    </row>
    <row r="20750" spans="1:14" s="2" customFormat="1">
      <c r="A20750" s="83"/>
      <c r="H20750" s="83"/>
      <c r="K20750" s="82"/>
      <c r="M20750" s="112"/>
      <c r="N20750" s="84"/>
    </row>
    <row r="20751" spans="1:14" s="2" customFormat="1">
      <c r="A20751" s="83"/>
      <c r="H20751" s="83"/>
      <c r="K20751" s="82"/>
      <c r="M20751" s="112"/>
      <c r="N20751" s="84"/>
    </row>
    <row r="20752" spans="1:14" s="2" customFormat="1">
      <c r="A20752" s="83"/>
      <c r="H20752" s="83"/>
      <c r="K20752" s="82"/>
      <c r="M20752" s="112"/>
      <c r="N20752" s="84"/>
    </row>
    <row r="20753" spans="1:14" s="2" customFormat="1">
      <c r="A20753" s="83"/>
      <c r="H20753" s="83"/>
      <c r="K20753" s="82"/>
      <c r="M20753" s="112"/>
      <c r="N20753" s="84"/>
    </row>
    <row r="20754" spans="1:14" s="2" customFormat="1">
      <c r="A20754" s="83"/>
      <c r="H20754" s="83"/>
      <c r="K20754" s="82"/>
      <c r="M20754" s="112"/>
      <c r="N20754" s="84"/>
    </row>
    <row r="20755" spans="1:14" s="2" customFormat="1">
      <c r="A20755" s="83"/>
      <c r="H20755" s="83"/>
      <c r="K20755" s="82"/>
      <c r="M20755" s="112"/>
      <c r="N20755" s="84"/>
    </row>
    <row r="20756" spans="1:14" s="2" customFormat="1">
      <c r="A20756" s="83"/>
      <c r="H20756" s="83"/>
      <c r="K20756" s="82"/>
      <c r="M20756" s="112"/>
      <c r="N20756" s="84"/>
    </row>
    <row r="20757" spans="1:14" s="2" customFormat="1">
      <c r="A20757" s="83"/>
      <c r="H20757" s="83"/>
      <c r="K20757" s="82"/>
      <c r="M20757" s="112"/>
      <c r="N20757" s="84"/>
    </row>
    <row r="20758" spans="1:14" s="2" customFormat="1">
      <c r="A20758" s="83"/>
      <c r="H20758" s="83"/>
      <c r="K20758" s="82"/>
      <c r="M20758" s="112"/>
      <c r="N20758" s="84"/>
    </row>
    <row r="20759" spans="1:14" s="2" customFormat="1">
      <c r="A20759" s="83"/>
      <c r="H20759" s="83"/>
      <c r="K20759" s="82"/>
      <c r="M20759" s="112"/>
      <c r="N20759" s="84"/>
    </row>
    <row r="20760" spans="1:14" s="2" customFormat="1">
      <c r="A20760" s="83"/>
      <c r="H20760" s="83"/>
      <c r="K20760" s="82"/>
      <c r="M20760" s="112"/>
      <c r="N20760" s="84"/>
    </row>
    <row r="20761" spans="1:14" s="2" customFormat="1">
      <c r="A20761" s="83"/>
      <c r="H20761" s="83"/>
      <c r="K20761" s="82"/>
      <c r="M20761" s="112"/>
      <c r="N20761" s="84"/>
    </row>
    <row r="20762" spans="1:14" s="2" customFormat="1">
      <c r="A20762" s="83"/>
      <c r="H20762" s="83"/>
      <c r="K20762" s="82"/>
      <c r="M20762" s="112"/>
      <c r="N20762" s="84"/>
    </row>
    <row r="20763" spans="1:14" s="2" customFormat="1">
      <c r="A20763" s="83"/>
      <c r="H20763" s="83"/>
      <c r="K20763" s="82"/>
      <c r="M20763" s="112"/>
      <c r="N20763" s="84"/>
    </row>
    <row r="20764" spans="1:14" s="2" customFormat="1">
      <c r="A20764" s="83"/>
      <c r="H20764" s="83"/>
      <c r="K20764" s="82"/>
      <c r="M20764" s="112"/>
      <c r="N20764" s="84"/>
    </row>
    <row r="20765" spans="1:14" s="2" customFormat="1">
      <c r="A20765" s="83"/>
      <c r="H20765" s="83"/>
      <c r="K20765" s="82"/>
      <c r="M20765" s="112"/>
      <c r="N20765" s="84"/>
    </row>
    <row r="20766" spans="1:14" s="2" customFormat="1">
      <c r="A20766" s="83"/>
      <c r="H20766" s="83"/>
      <c r="K20766" s="82"/>
      <c r="M20766" s="112"/>
      <c r="N20766" s="84"/>
    </row>
    <row r="20767" spans="1:14" s="2" customFormat="1">
      <c r="A20767" s="83"/>
      <c r="H20767" s="83"/>
      <c r="K20767" s="82"/>
      <c r="M20767" s="112"/>
      <c r="N20767" s="84"/>
    </row>
    <row r="20768" spans="1:14" s="2" customFormat="1">
      <c r="A20768" s="83"/>
      <c r="H20768" s="83"/>
      <c r="K20768" s="82"/>
      <c r="M20768" s="112"/>
      <c r="N20768" s="84"/>
    </row>
    <row r="20769" spans="1:14" s="2" customFormat="1">
      <c r="A20769" s="83"/>
      <c r="H20769" s="83"/>
      <c r="K20769" s="82"/>
      <c r="M20769" s="112"/>
      <c r="N20769" s="84"/>
    </row>
    <row r="20770" spans="1:14" s="2" customFormat="1">
      <c r="A20770" s="83"/>
      <c r="H20770" s="83"/>
      <c r="K20770" s="82"/>
      <c r="M20770" s="112"/>
      <c r="N20770" s="84"/>
    </row>
    <row r="20771" spans="1:14" s="2" customFormat="1">
      <c r="A20771" s="83"/>
      <c r="H20771" s="83"/>
      <c r="K20771" s="82"/>
      <c r="M20771" s="112"/>
      <c r="N20771" s="84"/>
    </row>
    <row r="20772" spans="1:14" s="2" customFormat="1">
      <c r="A20772" s="83"/>
      <c r="H20772" s="83"/>
      <c r="K20772" s="82"/>
      <c r="M20772" s="112"/>
      <c r="N20772" s="84"/>
    </row>
    <row r="20773" spans="1:14" s="2" customFormat="1">
      <c r="A20773" s="83"/>
      <c r="H20773" s="83"/>
      <c r="K20773" s="82"/>
      <c r="M20773" s="112"/>
      <c r="N20773" s="84"/>
    </row>
    <row r="20774" spans="1:14" s="2" customFormat="1">
      <c r="A20774" s="83"/>
      <c r="H20774" s="83"/>
      <c r="K20774" s="82"/>
      <c r="M20774" s="112"/>
      <c r="N20774" s="84"/>
    </row>
    <row r="20775" spans="1:14" s="2" customFormat="1">
      <c r="A20775" s="83"/>
      <c r="H20775" s="83"/>
      <c r="K20775" s="82"/>
      <c r="M20775" s="112"/>
      <c r="N20775" s="84"/>
    </row>
    <row r="20776" spans="1:14" s="2" customFormat="1">
      <c r="A20776" s="83"/>
      <c r="H20776" s="83"/>
      <c r="K20776" s="82"/>
      <c r="M20776" s="112"/>
      <c r="N20776" s="84"/>
    </row>
    <row r="20777" spans="1:14" s="2" customFormat="1">
      <c r="A20777" s="83"/>
      <c r="H20777" s="83"/>
      <c r="K20777" s="82"/>
      <c r="M20777" s="112"/>
      <c r="N20777" s="84"/>
    </row>
    <row r="20778" spans="1:14" s="2" customFormat="1">
      <c r="A20778" s="83"/>
      <c r="H20778" s="83"/>
      <c r="K20778" s="82"/>
      <c r="M20778" s="112"/>
      <c r="N20778" s="84"/>
    </row>
    <row r="20779" spans="1:14" s="2" customFormat="1">
      <c r="A20779" s="83"/>
      <c r="H20779" s="83"/>
      <c r="K20779" s="82"/>
      <c r="M20779" s="112"/>
      <c r="N20779" s="84"/>
    </row>
    <row r="20780" spans="1:14" s="2" customFormat="1">
      <c r="A20780" s="83"/>
      <c r="H20780" s="83"/>
      <c r="K20780" s="82"/>
      <c r="M20780" s="112"/>
      <c r="N20780" s="84"/>
    </row>
    <row r="20781" spans="1:14" s="2" customFormat="1">
      <c r="A20781" s="83"/>
      <c r="H20781" s="83"/>
      <c r="K20781" s="82"/>
      <c r="M20781" s="112"/>
      <c r="N20781" s="84"/>
    </row>
    <row r="20782" spans="1:14" s="2" customFormat="1">
      <c r="A20782" s="83"/>
      <c r="H20782" s="83"/>
      <c r="K20782" s="82"/>
      <c r="M20782" s="112"/>
      <c r="N20782" s="84"/>
    </row>
    <row r="20783" spans="1:14" s="2" customFormat="1">
      <c r="A20783" s="83"/>
      <c r="H20783" s="83"/>
      <c r="K20783" s="82"/>
      <c r="M20783" s="112"/>
      <c r="N20783" s="84"/>
    </row>
    <row r="20784" spans="1:14" s="2" customFormat="1">
      <c r="A20784" s="83"/>
      <c r="H20784" s="83"/>
      <c r="K20784" s="82"/>
      <c r="M20784" s="112"/>
      <c r="N20784" s="84"/>
    </row>
    <row r="20785" spans="1:14" s="2" customFormat="1">
      <c r="A20785" s="83"/>
      <c r="H20785" s="83"/>
      <c r="K20785" s="82"/>
      <c r="M20785" s="112"/>
      <c r="N20785" s="84"/>
    </row>
    <row r="20786" spans="1:14" s="2" customFormat="1">
      <c r="A20786" s="83"/>
      <c r="H20786" s="83"/>
      <c r="K20786" s="82"/>
      <c r="M20786" s="112"/>
      <c r="N20786" s="84"/>
    </row>
    <row r="20787" spans="1:14" s="2" customFormat="1">
      <c r="A20787" s="83"/>
      <c r="H20787" s="83"/>
      <c r="K20787" s="82"/>
      <c r="M20787" s="112"/>
      <c r="N20787" s="84"/>
    </row>
    <row r="20788" spans="1:14" s="2" customFormat="1">
      <c r="A20788" s="83"/>
      <c r="H20788" s="83"/>
      <c r="K20788" s="82"/>
      <c r="M20788" s="112"/>
      <c r="N20788" s="84"/>
    </row>
    <row r="20789" spans="1:14" s="2" customFormat="1">
      <c r="A20789" s="83"/>
      <c r="H20789" s="83"/>
      <c r="K20789" s="82"/>
      <c r="M20789" s="112"/>
      <c r="N20789" s="84"/>
    </row>
    <row r="20790" spans="1:14" s="2" customFormat="1">
      <c r="A20790" s="83"/>
      <c r="H20790" s="83"/>
      <c r="K20790" s="82"/>
      <c r="M20790" s="112"/>
      <c r="N20790" s="84"/>
    </row>
    <row r="20791" spans="1:14" s="2" customFormat="1">
      <c r="A20791" s="83"/>
      <c r="H20791" s="83"/>
      <c r="K20791" s="82"/>
      <c r="M20791" s="112"/>
      <c r="N20791" s="84"/>
    </row>
    <row r="20792" spans="1:14" s="2" customFormat="1">
      <c r="A20792" s="83"/>
      <c r="H20792" s="83"/>
      <c r="K20792" s="82"/>
      <c r="M20792" s="112"/>
      <c r="N20792" s="84"/>
    </row>
    <row r="20793" spans="1:14" s="2" customFormat="1">
      <c r="A20793" s="83"/>
      <c r="H20793" s="83"/>
      <c r="K20793" s="82"/>
      <c r="M20793" s="112"/>
      <c r="N20793" s="84"/>
    </row>
    <row r="20794" spans="1:14" s="2" customFormat="1">
      <c r="A20794" s="83"/>
      <c r="H20794" s="83"/>
      <c r="K20794" s="82"/>
      <c r="M20794" s="112"/>
      <c r="N20794" s="84"/>
    </row>
    <row r="20795" spans="1:14" s="2" customFormat="1">
      <c r="A20795" s="83"/>
      <c r="H20795" s="83"/>
      <c r="K20795" s="82"/>
      <c r="M20795" s="112"/>
      <c r="N20795" s="84"/>
    </row>
    <row r="20796" spans="1:14" s="2" customFormat="1">
      <c r="A20796" s="83"/>
      <c r="H20796" s="83"/>
      <c r="K20796" s="82"/>
      <c r="M20796" s="112"/>
      <c r="N20796" s="84"/>
    </row>
    <row r="20797" spans="1:14" s="2" customFormat="1">
      <c r="A20797" s="83"/>
      <c r="H20797" s="83"/>
      <c r="K20797" s="82"/>
      <c r="M20797" s="112"/>
      <c r="N20797" s="84"/>
    </row>
    <row r="20798" spans="1:14" s="2" customFormat="1">
      <c r="A20798" s="83"/>
      <c r="H20798" s="83"/>
      <c r="K20798" s="82"/>
      <c r="M20798" s="112"/>
      <c r="N20798" s="84"/>
    </row>
    <row r="20799" spans="1:14" s="2" customFormat="1">
      <c r="A20799" s="83"/>
      <c r="H20799" s="83"/>
      <c r="K20799" s="82"/>
      <c r="M20799" s="112"/>
      <c r="N20799" s="84"/>
    </row>
    <row r="20800" spans="1:14" s="2" customFormat="1">
      <c r="A20800" s="83"/>
      <c r="H20800" s="83"/>
      <c r="K20800" s="82"/>
      <c r="M20800" s="112"/>
      <c r="N20800" s="84"/>
    </row>
    <row r="20801" spans="1:14" s="2" customFormat="1">
      <c r="A20801" s="83"/>
      <c r="H20801" s="83"/>
      <c r="K20801" s="82"/>
      <c r="M20801" s="112"/>
      <c r="N20801" s="84"/>
    </row>
    <row r="20802" spans="1:14" s="2" customFormat="1">
      <c r="A20802" s="83"/>
      <c r="H20802" s="83"/>
      <c r="K20802" s="82"/>
      <c r="M20802" s="112"/>
      <c r="N20802" s="84"/>
    </row>
    <row r="20803" spans="1:14" s="2" customFormat="1">
      <c r="A20803" s="83"/>
      <c r="H20803" s="83"/>
      <c r="K20803" s="82"/>
      <c r="M20803" s="112"/>
      <c r="N20803" s="84"/>
    </row>
    <row r="20804" spans="1:14" s="2" customFormat="1">
      <c r="A20804" s="83"/>
      <c r="H20804" s="83"/>
      <c r="K20804" s="82"/>
      <c r="M20804" s="112"/>
      <c r="N20804" s="84"/>
    </row>
    <row r="20805" spans="1:14" s="2" customFormat="1">
      <c r="A20805" s="83"/>
      <c r="H20805" s="83"/>
      <c r="K20805" s="82"/>
      <c r="M20805" s="112"/>
      <c r="N20805" s="84"/>
    </row>
    <row r="20806" spans="1:14" s="2" customFormat="1">
      <c r="A20806" s="83"/>
      <c r="H20806" s="83"/>
      <c r="K20806" s="82"/>
      <c r="M20806" s="112"/>
      <c r="N20806" s="84"/>
    </row>
    <row r="20807" spans="1:14" s="2" customFormat="1">
      <c r="A20807" s="83"/>
      <c r="H20807" s="83"/>
      <c r="K20807" s="82"/>
      <c r="M20807" s="112"/>
      <c r="N20807" s="84"/>
    </row>
    <row r="20808" spans="1:14" s="2" customFormat="1">
      <c r="A20808" s="83"/>
      <c r="H20808" s="83"/>
      <c r="K20808" s="82"/>
      <c r="M20808" s="112"/>
      <c r="N20808" s="84"/>
    </row>
    <row r="20809" spans="1:14" s="2" customFormat="1">
      <c r="A20809" s="83"/>
      <c r="H20809" s="83"/>
      <c r="K20809" s="82"/>
      <c r="M20809" s="112"/>
      <c r="N20809" s="84"/>
    </row>
    <row r="20810" spans="1:14" s="2" customFormat="1">
      <c r="A20810" s="83"/>
      <c r="H20810" s="83"/>
      <c r="K20810" s="82"/>
      <c r="M20810" s="112"/>
      <c r="N20810" s="84"/>
    </row>
    <row r="20811" spans="1:14" s="2" customFormat="1">
      <c r="A20811" s="83"/>
      <c r="H20811" s="83"/>
      <c r="K20811" s="82"/>
      <c r="M20811" s="112"/>
      <c r="N20811" s="84"/>
    </row>
    <row r="20812" spans="1:14" s="2" customFormat="1">
      <c r="A20812" s="83"/>
      <c r="H20812" s="83"/>
      <c r="K20812" s="82"/>
      <c r="M20812" s="112"/>
      <c r="N20812" s="84"/>
    </row>
    <row r="20813" spans="1:14" s="2" customFormat="1">
      <c r="A20813" s="83"/>
      <c r="H20813" s="83"/>
      <c r="K20813" s="82"/>
      <c r="M20813" s="112"/>
      <c r="N20813" s="84"/>
    </row>
    <row r="20814" spans="1:14" s="2" customFormat="1">
      <c r="A20814" s="83"/>
      <c r="H20814" s="83"/>
      <c r="K20814" s="82"/>
      <c r="M20814" s="112"/>
      <c r="N20814" s="84"/>
    </row>
    <row r="20815" spans="1:14" s="2" customFormat="1">
      <c r="A20815" s="83"/>
      <c r="H20815" s="83"/>
      <c r="K20815" s="82"/>
      <c r="M20815" s="112"/>
      <c r="N20815" s="84"/>
    </row>
    <row r="20816" spans="1:14" s="2" customFormat="1">
      <c r="A20816" s="83"/>
      <c r="H20816" s="83"/>
      <c r="K20816" s="82"/>
      <c r="M20816" s="112"/>
      <c r="N20816" s="84"/>
    </row>
    <row r="20817" spans="1:14" s="2" customFormat="1">
      <c r="A20817" s="83"/>
      <c r="H20817" s="83"/>
      <c r="K20817" s="82"/>
      <c r="M20817" s="112"/>
      <c r="N20817" s="84"/>
    </row>
    <row r="20818" spans="1:14" s="2" customFormat="1">
      <c r="A20818" s="83"/>
      <c r="H20818" s="83"/>
      <c r="K20818" s="82"/>
      <c r="M20818" s="112"/>
      <c r="N20818" s="84"/>
    </row>
    <row r="20819" spans="1:14" s="2" customFormat="1">
      <c r="A20819" s="83"/>
      <c r="H20819" s="83"/>
      <c r="K20819" s="82"/>
      <c r="M20819" s="112"/>
      <c r="N20819" s="84"/>
    </row>
    <row r="20820" spans="1:14" s="2" customFormat="1">
      <c r="A20820" s="83"/>
      <c r="H20820" s="83"/>
      <c r="K20820" s="82"/>
      <c r="M20820" s="112"/>
      <c r="N20820" s="84"/>
    </row>
    <row r="20821" spans="1:14" s="2" customFormat="1">
      <c r="A20821" s="83"/>
      <c r="H20821" s="83"/>
      <c r="K20821" s="82"/>
      <c r="M20821" s="112"/>
      <c r="N20821" s="84"/>
    </row>
    <row r="20822" spans="1:14" s="2" customFormat="1">
      <c r="A20822" s="83"/>
      <c r="H20822" s="83"/>
      <c r="K20822" s="82"/>
      <c r="M20822" s="112"/>
      <c r="N20822" s="84"/>
    </row>
    <row r="20823" spans="1:14" s="2" customFormat="1">
      <c r="A20823" s="83"/>
      <c r="H20823" s="83"/>
      <c r="K20823" s="82"/>
      <c r="M20823" s="112"/>
      <c r="N20823" s="84"/>
    </row>
    <row r="20824" spans="1:14" s="2" customFormat="1">
      <c r="A20824" s="83"/>
      <c r="H20824" s="83"/>
      <c r="K20824" s="82"/>
      <c r="M20824" s="112"/>
      <c r="N20824" s="84"/>
    </row>
    <row r="20825" spans="1:14" s="2" customFormat="1">
      <c r="A20825" s="83"/>
      <c r="H20825" s="83"/>
      <c r="K20825" s="82"/>
      <c r="M20825" s="112"/>
      <c r="N20825" s="84"/>
    </row>
    <row r="20826" spans="1:14" s="2" customFormat="1">
      <c r="A20826" s="83"/>
      <c r="H20826" s="83"/>
      <c r="K20826" s="82"/>
      <c r="M20826" s="112"/>
      <c r="N20826" s="84"/>
    </row>
    <row r="20827" spans="1:14" s="2" customFormat="1">
      <c r="A20827" s="83"/>
      <c r="H20827" s="83"/>
      <c r="K20827" s="82"/>
      <c r="M20827" s="112"/>
      <c r="N20827" s="84"/>
    </row>
    <row r="20828" spans="1:14" s="2" customFormat="1">
      <c r="A20828" s="83"/>
      <c r="H20828" s="83"/>
      <c r="K20828" s="82"/>
      <c r="M20828" s="112"/>
      <c r="N20828" s="84"/>
    </row>
    <row r="20829" spans="1:14" s="2" customFormat="1">
      <c r="A20829" s="83"/>
      <c r="H20829" s="83"/>
      <c r="K20829" s="82"/>
      <c r="M20829" s="112"/>
      <c r="N20829" s="84"/>
    </row>
    <row r="20830" spans="1:14" s="2" customFormat="1">
      <c r="A20830" s="83"/>
      <c r="H20830" s="83"/>
      <c r="K20830" s="82"/>
      <c r="M20830" s="112"/>
      <c r="N20830" s="84"/>
    </row>
    <row r="20831" spans="1:14" s="2" customFormat="1">
      <c r="A20831" s="83"/>
      <c r="H20831" s="83"/>
      <c r="K20831" s="82"/>
      <c r="M20831" s="112"/>
      <c r="N20831" s="84"/>
    </row>
    <row r="20832" spans="1:14" s="2" customFormat="1">
      <c r="A20832" s="83"/>
      <c r="H20832" s="83"/>
      <c r="K20832" s="82"/>
      <c r="M20832" s="112"/>
      <c r="N20832" s="84"/>
    </row>
    <row r="20833" spans="1:14" s="2" customFormat="1">
      <c r="A20833" s="83"/>
      <c r="H20833" s="83"/>
      <c r="K20833" s="82"/>
      <c r="M20833" s="112"/>
      <c r="N20833" s="84"/>
    </row>
    <row r="20834" spans="1:14" s="2" customFormat="1">
      <c r="A20834" s="83"/>
      <c r="H20834" s="83"/>
      <c r="K20834" s="82"/>
      <c r="M20834" s="112"/>
      <c r="N20834" s="84"/>
    </row>
    <row r="20835" spans="1:14" s="2" customFormat="1">
      <c r="A20835" s="83"/>
      <c r="H20835" s="83"/>
      <c r="K20835" s="82"/>
      <c r="M20835" s="112"/>
      <c r="N20835" s="84"/>
    </row>
    <row r="20836" spans="1:14" s="2" customFormat="1">
      <c r="A20836" s="83"/>
      <c r="H20836" s="83"/>
      <c r="K20836" s="82"/>
      <c r="M20836" s="112"/>
      <c r="N20836" s="84"/>
    </row>
    <row r="20837" spans="1:14" s="2" customFormat="1">
      <c r="A20837" s="83"/>
      <c r="H20837" s="83"/>
      <c r="K20837" s="82"/>
      <c r="M20837" s="112"/>
      <c r="N20837" s="84"/>
    </row>
    <row r="20838" spans="1:14" s="2" customFormat="1">
      <c r="A20838" s="83"/>
      <c r="H20838" s="83"/>
      <c r="K20838" s="82"/>
      <c r="M20838" s="112"/>
      <c r="N20838" s="84"/>
    </row>
    <row r="20839" spans="1:14" s="2" customFormat="1">
      <c r="A20839" s="83"/>
      <c r="H20839" s="83"/>
      <c r="K20839" s="82"/>
      <c r="M20839" s="112"/>
      <c r="N20839" s="84"/>
    </row>
    <row r="20840" spans="1:14" s="2" customFormat="1">
      <c r="A20840" s="83"/>
      <c r="H20840" s="83"/>
      <c r="K20840" s="82"/>
      <c r="M20840" s="112"/>
      <c r="N20840" s="84"/>
    </row>
    <row r="20841" spans="1:14" s="2" customFormat="1">
      <c r="A20841" s="83"/>
      <c r="H20841" s="83"/>
      <c r="K20841" s="82"/>
      <c r="M20841" s="112"/>
      <c r="N20841" s="84"/>
    </row>
    <row r="20842" spans="1:14" s="2" customFormat="1">
      <c r="A20842" s="83"/>
      <c r="H20842" s="83"/>
      <c r="K20842" s="82"/>
      <c r="M20842" s="112"/>
      <c r="N20842" s="84"/>
    </row>
    <row r="20843" spans="1:14" s="2" customFormat="1">
      <c r="A20843" s="83"/>
      <c r="H20843" s="83"/>
      <c r="K20843" s="82"/>
      <c r="M20843" s="112"/>
      <c r="N20843" s="84"/>
    </row>
    <row r="20844" spans="1:14" s="2" customFormat="1">
      <c r="A20844" s="83"/>
      <c r="H20844" s="83"/>
      <c r="K20844" s="82"/>
      <c r="M20844" s="112"/>
      <c r="N20844" s="84"/>
    </row>
    <row r="20845" spans="1:14" s="2" customFormat="1">
      <c r="A20845" s="83"/>
      <c r="H20845" s="83"/>
      <c r="K20845" s="82"/>
      <c r="M20845" s="112"/>
      <c r="N20845" s="84"/>
    </row>
    <row r="20846" spans="1:14" s="2" customFormat="1">
      <c r="A20846" s="83"/>
      <c r="H20846" s="83"/>
      <c r="K20846" s="82"/>
      <c r="M20846" s="112"/>
      <c r="N20846" s="84"/>
    </row>
    <row r="20847" spans="1:14" s="2" customFormat="1">
      <c r="A20847" s="83"/>
      <c r="H20847" s="83"/>
      <c r="K20847" s="82"/>
      <c r="M20847" s="112"/>
      <c r="N20847" s="84"/>
    </row>
    <row r="20848" spans="1:14" s="2" customFormat="1">
      <c r="A20848" s="83"/>
      <c r="H20848" s="83"/>
      <c r="K20848" s="82"/>
      <c r="M20848" s="112"/>
      <c r="N20848" s="84"/>
    </row>
    <row r="20849" spans="1:14" s="2" customFormat="1">
      <c r="A20849" s="83"/>
      <c r="H20849" s="83"/>
      <c r="K20849" s="82"/>
      <c r="M20849" s="112"/>
      <c r="N20849" s="84"/>
    </row>
    <row r="20850" spans="1:14" s="2" customFormat="1">
      <c r="A20850" s="83"/>
      <c r="H20850" s="83"/>
      <c r="K20850" s="82"/>
      <c r="M20850" s="112"/>
      <c r="N20850" s="84"/>
    </row>
    <row r="20851" spans="1:14" s="2" customFormat="1">
      <c r="A20851" s="83"/>
      <c r="H20851" s="83"/>
      <c r="K20851" s="82"/>
      <c r="M20851" s="112"/>
      <c r="N20851" s="84"/>
    </row>
    <row r="20852" spans="1:14" s="2" customFormat="1">
      <c r="A20852" s="83"/>
      <c r="H20852" s="83"/>
      <c r="K20852" s="82"/>
      <c r="M20852" s="112"/>
      <c r="N20852" s="84"/>
    </row>
    <row r="20853" spans="1:14" s="2" customFormat="1">
      <c r="A20853" s="83"/>
      <c r="H20853" s="83"/>
      <c r="K20853" s="82"/>
      <c r="M20853" s="112"/>
      <c r="N20853" s="84"/>
    </row>
    <row r="20854" spans="1:14" s="2" customFormat="1">
      <c r="A20854" s="83"/>
      <c r="H20854" s="83"/>
      <c r="K20854" s="82"/>
      <c r="M20854" s="112"/>
      <c r="N20854" s="84"/>
    </row>
    <row r="20855" spans="1:14" s="2" customFormat="1">
      <c r="A20855" s="83"/>
      <c r="H20855" s="83"/>
      <c r="K20855" s="82"/>
      <c r="M20855" s="112"/>
      <c r="N20855" s="84"/>
    </row>
    <row r="20856" spans="1:14" s="2" customFormat="1">
      <c r="A20856" s="83"/>
      <c r="H20856" s="83"/>
      <c r="K20856" s="82"/>
      <c r="M20856" s="112"/>
      <c r="N20856" s="84"/>
    </row>
    <row r="20857" spans="1:14" s="2" customFormat="1">
      <c r="A20857" s="83"/>
      <c r="H20857" s="83"/>
      <c r="K20857" s="82"/>
      <c r="M20857" s="112"/>
      <c r="N20857" s="84"/>
    </row>
    <row r="20858" spans="1:14" s="2" customFormat="1">
      <c r="A20858" s="83"/>
      <c r="H20858" s="83"/>
      <c r="K20858" s="82"/>
      <c r="M20858" s="112"/>
      <c r="N20858" s="84"/>
    </row>
    <row r="20859" spans="1:14" s="2" customFormat="1">
      <c r="A20859" s="83"/>
      <c r="H20859" s="83"/>
      <c r="K20859" s="82"/>
      <c r="M20859" s="112"/>
      <c r="N20859" s="84"/>
    </row>
    <row r="20860" spans="1:14" s="2" customFormat="1">
      <c r="A20860" s="83"/>
      <c r="H20860" s="83"/>
      <c r="K20860" s="82"/>
      <c r="M20860" s="112"/>
      <c r="N20860" s="84"/>
    </row>
    <row r="20861" spans="1:14" s="2" customFormat="1">
      <c r="A20861" s="83"/>
      <c r="H20861" s="83"/>
      <c r="K20861" s="82"/>
      <c r="M20861" s="112"/>
      <c r="N20861" s="84"/>
    </row>
    <row r="20862" spans="1:14" s="2" customFormat="1">
      <c r="A20862" s="83"/>
      <c r="H20862" s="83"/>
      <c r="K20862" s="82"/>
      <c r="M20862" s="112"/>
      <c r="N20862" s="84"/>
    </row>
    <row r="20863" spans="1:14" s="2" customFormat="1">
      <c r="A20863" s="83"/>
      <c r="H20863" s="83"/>
      <c r="K20863" s="82"/>
      <c r="M20863" s="112"/>
      <c r="N20863" s="84"/>
    </row>
    <row r="20864" spans="1:14" s="2" customFormat="1">
      <c r="A20864" s="83"/>
      <c r="H20864" s="83"/>
      <c r="K20864" s="82"/>
      <c r="M20864" s="112"/>
      <c r="N20864" s="84"/>
    </row>
    <row r="20865" spans="1:14" s="2" customFormat="1">
      <c r="A20865" s="83"/>
      <c r="H20865" s="83"/>
      <c r="K20865" s="82"/>
      <c r="M20865" s="112"/>
      <c r="N20865" s="84"/>
    </row>
    <row r="20866" spans="1:14" s="2" customFormat="1">
      <c r="A20866" s="83"/>
      <c r="H20866" s="83"/>
      <c r="K20866" s="82"/>
      <c r="M20866" s="112"/>
      <c r="N20866" s="84"/>
    </row>
    <row r="20867" spans="1:14" s="2" customFormat="1">
      <c r="A20867" s="83"/>
      <c r="H20867" s="83"/>
      <c r="K20867" s="82"/>
      <c r="M20867" s="112"/>
      <c r="N20867" s="84"/>
    </row>
    <row r="20868" spans="1:14" s="2" customFormat="1">
      <c r="A20868" s="83"/>
      <c r="H20868" s="83"/>
      <c r="K20868" s="82"/>
      <c r="M20868" s="112"/>
      <c r="N20868" s="84"/>
    </row>
    <row r="20869" spans="1:14" s="2" customFormat="1">
      <c r="A20869" s="83"/>
      <c r="H20869" s="83"/>
      <c r="K20869" s="82"/>
      <c r="M20869" s="112"/>
      <c r="N20869" s="84"/>
    </row>
    <row r="20870" spans="1:14" s="2" customFormat="1">
      <c r="A20870" s="83"/>
      <c r="H20870" s="83"/>
      <c r="K20870" s="82"/>
      <c r="M20870" s="112"/>
      <c r="N20870" s="84"/>
    </row>
    <row r="20871" spans="1:14" s="2" customFormat="1">
      <c r="A20871" s="83"/>
      <c r="H20871" s="83"/>
      <c r="K20871" s="82"/>
      <c r="M20871" s="112"/>
      <c r="N20871" s="84"/>
    </row>
    <row r="20872" spans="1:14" s="2" customFormat="1">
      <c r="A20872" s="83"/>
      <c r="H20872" s="83"/>
      <c r="K20872" s="82"/>
      <c r="M20872" s="112"/>
      <c r="N20872" s="84"/>
    </row>
    <row r="20873" spans="1:14" s="2" customFormat="1">
      <c r="A20873" s="83"/>
      <c r="H20873" s="83"/>
      <c r="K20873" s="82"/>
      <c r="M20873" s="112"/>
      <c r="N20873" s="84"/>
    </row>
    <row r="20874" spans="1:14" s="2" customFormat="1">
      <c r="A20874" s="83"/>
      <c r="H20874" s="83"/>
      <c r="K20874" s="82"/>
      <c r="M20874" s="112"/>
      <c r="N20874" s="84"/>
    </row>
    <row r="20875" spans="1:14" s="2" customFormat="1">
      <c r="A20875" s="83"/>
      <c r="H20875" s="83"/>
      <c r="K20875" s="82"/>
      <c r="M20875" s="112"/>
      <c r="N20875" s="84"/>
    </row>
    <row r="20876" spans="1:14" s="2" customFormat="1">
      <c r="A20876" s="83"/>
      <c r="H20876" s="83"/>
      <c r="K20876" s="82"/>
      <c r="M20876" s="112"/>
      <c r="N20876" s="84"/>
    </row>
    <row r="20877" spans="1:14" s="2" customFormat="1">
      <c r="A20877" s="83"/>
      <c r="H20877" s="83"/>
      <c r="K20877" s="82"/>
      <c r="M20877" s="112"/>
      <c r="N20877" s="84"/>
    </row>
    <row r="20878" spans="1:14" s="2" customFormat="1">
      <c r="A20878" s="83"/>
      <c r="H20878" s="83"/>
      <c r="K20878" s="82"/>
      <c r="M20878" s="112"/>
      <c r="N20878" s="84"/>
    </row>
    <row r="20879" spans="1:14" s="2" customFormat="1">
      <c r="A20879" s="83"/>
      <c r="H20879" s="83"/>
      <c r="K20879" s="82"/>
      <c r="M20879" s="112"/>
      <c r="N20879" s="84"/>
    </row>
    <row r="20880" spans="1:14" s="2" customFormat="1">
      <c r="A20880" s="83"/>
      <c r="H20880" s="83"/>
      <c r="K20880" s="82"/>
      <c r="M20880" s="112"/>
      <c r="N20880" s="84"/>
    </row>
    <row r="20881" spans="1:14" s="2" customFormat="1">
      <c r="A20881" s="83"/>
      <c r="H20881" s="83"/>
      <c r="K20881" s="82"/>
      <c r="M20881" s="112"/>
      <c r="N20881" s="84"/>
    </row>
    <row r="20882" spans="1:14" s="2" customFormat="1">
      <c r="A20882" s="83"/>
      <c r="H20882" s="83"/>
      <c r="K20882" s="82"/>
      <c r="M20882" s="112"/>
      <c r="N20882" s="84"/>
    </row>
    <row r="20883" spans="1:14" s="2" customFormat="1">
      <c r="A20883" s="83"/>
      <c r="H20883" s="83"/>
      <c r="K20883" s="82"/>
      <c r="M20883" s="112"/>
      <c r="N20883" s="84"/>
    </row>
    <row r="20884" spans="1:14" s="2" customFormat="1">
      <c r="A20884" s="83"/>
      <c r="H20884" s="83"/>
      <c r="K20884" s="82"/>
      <c r="M20884" s="112"/>
      <c r="N20884" s="84"/>
    </row>
    <row r="20885" spans="1:14" s="2" customFormat="1">
      <c r="A20885" s="83"/>
      <c r="H20885" s="83"/>
      <c r="K20885" s="82"/>
      <c r="M20885" s="112"/>
      <c r="N20885" s="84"/>
    </row>
    <row r="20886" spans="1:14" s="2" customFormat="1">
      <c r="A20886" s="83"/>
      <c r="H20886" s="83"/>
      <c r="K20886" s="82"/>
      <c r="M20886" s="112"/>
      <c r="N20886" s="84"/>
    </row>
    <row r="20887" spans="1:14" s="2" customFormat="1">
      <c r="A20887" s="83"/>
      <c r="H20887" s="83"/>
      <c r="K20887" s="82"/>
      <c r="M20887" s="112"/>
      <c r="N20887" s="84"/>
    </row>
    <row r="20888" spans="1:14" s="2" customFormat="1">
      <c r="A20888" s="83"/>
      <c r="H20888" s="83"/>
      <c r="K20888" s="82"/>
      <c r="M20888" s="112"/>
      <c r="N20888" s="84"/>
    </row>
    <row r="20889" spans="1:14" s="2" customFormat="1">
      <c r="A20889" s="83"/>
      <c r="H20889" s="83"/>
      <c r="K20889" s="82"/>
      <c r="M20889" s="112"/>
      <c r="N20889" s="84"/>
    </row>
    <row r="20890" spans="1:14" s="2" customFormat="1">
      <c r="A20890" s="83"/>
      <c r="H20890" s="83"/>
      <c r="K20890" s="82"/>
      <c r="M20890" s="112"/>
      <c r="N20890" s="84"/>
    </row>
    <row r="20891" spans="1:14" s="2" customFormat="1">
      <c r="A20891" s="83"/>
      <c r="H20891" s="83"/>
      <c r="K20891" s="82"/>
      <c r="M20891" s="112"/>
      <c r="N20891" s="84"/>
    </row>
    <row r="20892" spans="1:14" s="2" customFormat="1">
      <c r="A20892" s="83"/>
      <c r="H20892" s="83"/>
      <c r="K20892" s="82"/>
      <c r="M20892" s="112"/>
      <c r="N20892" s="84"/>
    </row>
    <row r="20893" spans="1:14" s="2" customFormat="1">
      <c r="A20893" s="83"/>
      <c r="H20893" s="83"/>
      <c r="K20893" s="82"/>
      <c r="M20893" s="112"/>
      <c r="N20893" s="84"/>
    </row>
    <row r="20894" spans="1:14" s="2" customFormat="1">
      <c r="A20894" s="83"/>
      <c r="H20894" s="83"/>
      <c r="K20894" s="82"/>
      <c r="M20894" s="112"/>
      <c r="N20894" s="84"/>
    </row>
    <row r="20895" spans="1:14" s="2" customFormat="1">
      <c r="A20895" s="83"/>
      <c r="H20895" s="83"/>
      <c r="K20895" s="82"/>
      <c r="M20895" s="112"/>
      <c r="N20895" s="84"/>
    </row>
    <row r="20896" spans="1:14" s="2" customFormat="1">
      <c r="A20896" s="83"/>
      <c r="H20896" s="83"/>
      <c r="K20896" s="82"/>
      <c r="M20896" s="112"/>
      <c r="N20896" s="84"/>
    </row>
    <row r="20897" spans="1:14" s="2" customFormat="1">
      <c r="A20897" s="83"/>
      <c r="H20897" s="83"/>
      <c r="K20897" s="82"/>
      <c r="M20897" s="112"/>
      <c r="N20897" s="84"/>
    </row>
    <row r="20898" spans="1:14" s="2" customFormat="1">
      <c r="A20898" s="83"/>
      <c r="H20898" s="83"/>
      <c r="K20898" s="82"/>
      <c r="M20898" s="112"/>
      <c r="N20898" s="84"/>
    </row>
    <row r="20899" spans="1:14" s="2" customFormat="1">
      <c r="A20899" s="83"/>
      <c r="H20899" s="83"/>
      <c r="K20899" s="82"/>
      <c r="M20899" s="112"/>
      <c r="N20899" s="84"/>
    </row>
    <row r="20900" spans="1:14" s="2" customFormat="1">
      <c r="A20900" s="83"/>
      <c r="H20900" s="83"/>
      <c r="K20900" s="82"/>
      <c r="M20900" s="112"/>
      <c r="N20900" s="84"/>
    </row>
    <row r="20901" spans="1:14" s="2" customFormat="1">
      <c r="A20901" s="83"/>
      <c r="H20901" s="83"/>
      <c r="K20901" s="82"/>
      <c r="M20901" s="112"/>
      <c r="N20901" s="84"/>
    </row>
    <row r="20902" spans="1:14" s="2" customFormat="1">
      <c r="A20902" s="83"/>
      <c r="H20902" s="83"/>
      <c r="K20902" s="82"/>
      <c r="M20902" s="112"/>
      <c r="N20902" s="84"/>
    </row>
    <row r="20903" spans="1:14" s="2" customFormat="1">
      <c r="A20903" s="83"/>
      <c r="H20903" s="83"/>
      <c r="K20903" s="82"/>
      <c r="M20903" s="112"/>
      <c r="N20903" s="84"/>
    </row>
    <row r="20904" spans="1:14" s="2" customFormat="1">
      <c r="A20904" s="83"/>
      <c r="H20904" s="83"/>
      <c r="K20904" s="82"/>
      <c r="M20904" s="112"/>
      <c r="N20904" s="84"/>
    </row>
    <row r="20905" spans="1:14" s="2" customFormat="1">
      <c r="A20905" s="83"/>
      <c r="H20905" s="83"/>
      <c r="K20905" s="82"/>
      <c r="M20905" s="112"/>
      <c r="N20905" s="84"/>
    </row>
    <row r="20906" spans="1:14" s="2" customFormat="1">
      <c r="A20906" s="83"/>
      <c r="H20906" s="83"/>
      <c r="K20906" s="82"/>
      <c r="M20906" s="112"/>
      <c r="N20906" s="84"/>
    </row>
    <row r="20907" spans="1:14" s="2" customFormat="1">
      <c r="A20907" s="83"/>
      <c r="H20907" s="83"/>
      <c r="K20907" s="82"/>
      <c r="M20907" s="112"/>
      <c r="N20907" s="84"/>
    </row>
    <row r="20908" spans="1:14" s="2" customFormat="1">
      <c r="A20908" s="83"/>
      <c r="H20908" s="83"/>
      <c r="K20908" s="82"/>
      <c r="M20908" s="112"/>
      <c r="N20908" s="84"/>
    </row>
    <row r="20909" spans="1:14" s="2" customFormat="1">
      <c r="A20909" s="83"/>
      <c r="H20909" s="83"/>
      <c r="K20909" s="82"/>
      <c r="M20909" s="112"/>
      <c r="N20909" s="84"/>
    </row>
    <row r="20910" spans="1:14" s="2" customFormat="1">
      <c r="A20910" s="83"/>
      <c r="H20910" s="83"/>
      <c r="K20910" s="82"/>
      <c r="M20910" s="112"/>
      <c r="N20910" s="84"/>
    </row>
    <row r="20911" spans="1:14" s="2" customFormat="1">
      <c r="A20911" s="83"/>
      <c r="H20911" s="83"/>
      <c r="K20911" s="82"/>
      <c r="M20911" s="112"/>
      <c r="N20911" s="84"/>
    </row>
    <row r="20912" spans="1:14" s="2" customFormat="1">
      <c r="A20912" s="83"/>
      <c r="H20912" s="83"/>
      <c r="K20912" s="82"/>
      <c r="M20912" s="112"/>
      <c r="N20912" s="84"/>
    </row>
    <row r="20913" spans="1:14" s="2" customFormat="1">
      <c r="A20913" s="83"/>
      <c r="H20913" s="83"/>
      <c r="K20913" s="82"/>
      <c r="M20913" s="112"/>
      <c r="N20913" s="84"/>
    </row>
    <row r="20914" spans="1:14" s="2" customFormat="1">
      <c r="A20914" s="83"/>
      <c r="H20914" s="83"/>
      <c r="K20914" s="82"/>
      <c r="M20914" s="112"/>
      <c r="N20914" s="84"/>
    </row>
    <row r="20915" spans="1:14" s="2" customFormat="1">
      <c r="A20915" s="83"/>
      <c r="H20915" s="83"/>
      <c r="K20915" s="82"/>
      <c r="M20915" s="112"/>
      <c r="N20915" s="84"/>
    </row>
    <row r="20916" spans="1:14" s="2" customFormat="1">
      <c r="A20916" s="83"/>
      <c r="H20916" s="83"/>
      <c r="K20916" s="82"/>
      <c r="M20916" s="112"/>
      <c r="N20916" s="84"/>
    </row>
    <row r="20917" spans="1:14" s="2" customFormat="1">
      <c r="A20917" s="83"/>
      <c r="H20917" s="83"/>
      <c r="K20917" s="82"/>
      <c r="M20917" s="112"/>
      <c r="N20917" s="84"/>
    </row>
    <row r="20918" spans="1:14" s="2" customFormat="1">
      <c r="A20918" s="83"/>
      <c r="H20918" s="83"/>
      <c r="K20918" s="82"/>
      <c r="M20918" s="112"/>
      <c r="N20918" s="84"/>
    </row>
    <row r="20919" spans="1:14" s="2" customFormat="1">
      <c r="A20919" s="83"/>
      <c r="H20919" s="83"/>
      <c r="K20919" s="82"/>
      <c r="M20919" s="112"/>
      <c r="N20919" s="84"/>
    </row>
    <row r="20920" spans="1:14" s="2" customFormat="1">
      <c r="A20920" s="83"/>
      <c r="H20920" s="83"/>
      <c r="K20920" s="82"/>
      <c r="M20920" s="112"/>
      <c r="N20920" s="84"/>
    </row>
    <row r="20921" spans="1:14" s="2" customFormat="1">
      <c r="A20921" s="83"/>
      <c r="H20921" s="83"/>
      <c r="K20921" s="82"/>
      <c r="M20921" s="112"/>
      <c r="N20921" s="84"/>
    </row>
    <row r="20922" spans="1:14" s="2" customFormat="1">
      <c r="A20922" s="83"/>
      <c r="H20922" s="83"/>
      <c r="K20922" s="82"/>
      <c r="M20922" s="112"/>
      <c r="N20922" s="84"/>
    </row>
    <row r="20923" spans="1:14" s="2" customFormat="1">
      <c r="A20923" s="83"/>
      <c r="H20923" s="83"/>
      <c r="K20923" s="82"/>
      <c r="M20923" s="112"/>
      <c r="N20923" s="84"/>
    </row>
    <row r="20924" spans="1:14" s="2" customFormat="1">
      <c r="A20924" s="83"/>
      <c r="H20924" s="83"/>
      <c r="K20924" s="82"/>
      <c r="M20924" s="112"/>
      <c r="N20924" s="84"/>
    </row>
    <row r="20925" spans="1:14" s="2" customFormat="1">
      <c r="A20925" s="83"/>
      <c r="H20925" s="83"/>
      <c r="K20925" s="82"/>
      <c r="M20925" s="112"/>
      <c r="N20925" s="84"/>
    </row>
    <row r="20926" spans="1:14" s="2" customFormat="1">
      <c r="A20926" s="83"/>
      <c r="H20926" s="83"/>
      <c r="K20926" s="82"/>
      <c r="M20926" s="112"/>
      <c r="N20926" s="84"/>
    </row>
    <row r="20927" spans="1:14" s="2" customFormat="1">
      <c r="A20927" s="83"/>
      <c r="H20927" s="83"/>
      <c r="K20927" s="82"/>
      <c r="M20927" s="112"/>
      <c r="N20927" s="84"/>
    </row>
    <row r="20928" spans="1:14" s="2" customFormat="1">
      <c r="A20928" s="83"/>
      <c r="H20928" s="83"/>
      <c r="K20928" s="82"/>
      <c r="M20928" s="112"/>
      <c r="N20928" s="84"/>
    </row>
    <row r="20929" spans="1:14" s="2" customFormat="1">
      <c r="A20929" s="83"/>
      <c r="H20929" s="83"/>
      <c r="K20929" s="82"/>
      <c r="M20929" s="112"/>
      <c r="N20929" s="84"/>
    </row>
    <row r="20930" spans="1:14" s="2" customFormat="1">
      <c r="A20930" s="83"/>
      <c r="H20930" s="83"/>
      <c r="K20930" s="82"/>
      <c r="M20930" s="112"/>
      <c r="N20930" s="84"/>
    </row>
    <row r="20931" spans="1:14" s="2" customFormat="1">
      <c r="A20931" s="83"/>
      <c r="H20931" s="83"/>
      <c r="K20931" s="82"/>
      <c r="M20931" s="112"/>
      <c r="N20931" s="84"/>
    </row>
    <row r="20932" spans="1:14" s="2" customFormat="1">
      <c r="A20932" s="83"/>
      <c r="H20932" s="83"/>
      <c r="K20932" s="82"/>
      <c r="M20932" s="112"/>
      <c r="N20932" s="84"/>
    </row>
    <row r="20933" spans="1:14" s="2" customFormat="1">
      <c r="A20933" s="83"/>
      <c r="H20933" s="83"/>
      <c r="K20933" s="82"/>
      <c r="M20933" s="112"/>
      <c r="N20933" s="84"/>
    </row>
    <row r="20934" spans="1:14" s="2" customFormat="1">
      <c r="A20934" s="83"/>
      <c r="H20934" s="83"/>
      <c r="K20934" s="82"/>
      <c r="M20934" s="112"/>
      <c r="N20934" s="84"/>
    </row>
    <row r="20935" spans="1:14" s="2" customFormat="1">
      <c r="A20935" s="83"/>
      <c r="H20935" s="83"/>
      <c r="K20935" s="82"/>
      <c r="M20935" s="112"/>
      <c r="N20935" s="84"/>
    </row>
    <row r="20936" spans="1:14" s="2" customFormat="1">
      <c r="A20936" s="83"/>
      <c r="H20936" s="83"/>
      <c r="K20936" s="82"/>
      <c r="M20936" s="112"/>
      <c r="N20936" s="84"/>
    </row>
    <row r="20937" spans="1:14" s="2" customFormat="1">
      <c r="A20937" s="83"/>
      <c r="H20937" s="83"/>
      <c r="K20937" s="82"/>
      <c r="M20937" s="112"/>
      <c r="N20937" s="84"/>
    </row>
    <row r="20938" spans="1:14" s="2" customFormat="1">
      <c r="A20938" s="83"/>
      <c r="H20938" s="83"/>
      <c r="K20938" s="82"/>
      <c r="M20938" s="112"/>
      <c r="N20938" s="84"/>
    </row>
    <row r="20939" spans="1:14" s="2" customFormat="1">
      <c r="A20939" s="83"/>
      <c r="H20939" s="83"/>
      <c r="K20939" s="82"/>
      <c r="M20939" s="112"/>
      <c r="N20939" s="84"/>
    </row>
    <row r="20940" spans="1:14" s="2" customFormat="1">
      <c r="A20940" s="83"/>
      <c r="H20940" s="83"/>
      <c r="K20940" s="82"/>
      <c r="M20940" s="112"/>
      <c r="N20940" s="84"/>
    </row>
    <row r="20941" spans="1:14" s="2" customFormat="1">
      <c r="A20941" s="83"/>
      <c r="H20941" s="83"/>
      <c r="K20941" s="82"/>
      <c r="M20941" s="112"/>
      <c r="N20941" s="84"/>
    </row>
    <row r="20942" spans="1:14" s="2" customFormat="1">
      <c r="A20942" s="83"/>
      <c r="H20942" s="83"/>
      <c r="K20942" s="82"/>
      <c r="M20942" s="112"/>
      <c r="N20942" s="84"/>
    </row>
    <row r="20943" spans="1:14" s="2" customFormat="1">
      <c r="A20943" s="83"/>
      <c r="H20943" s="83"/>
      <c r="K20943" s="82"/>
      <c r="M20943" s="112"/>
      <c r="N20943" s="84"/>
    </row>
    <row r="20944" spans="1:14" s="2" customFormat="1">
      <c r="A20944" s="83"/>
      <c r="H20944" s="83"/>
      <c r="K20944" s="82"/>
      <c r="M20944" s="112"/>
      <c r="N20944" s="84"/>
    </row>
    <row r="20945" spans="1:14" s="2" customFormat="1">
      <c r="A20945" s="83"/>
      <c r="H20945" s="83"/>
      <c r="K20945" s="82"/>
      <c r="M20945" s="112"/>
      <c r="N20945" s="84"/>
    </row>
    <row r="20946" spans="1:14" s="2" customFormat="1">
      <c r="A20946" s="83"/>
      <c r="H20946" s="83"/>
      <c r="K20946" s="82"/>
      <c r="M20946" s="112"/>
      <c r="N20946" s="84"/>
    </row>
    <row r="20947" spans="1:14" s="2" customFormat="1">
      <c r="A20947" s="83"/>
      <c r="H20947" s="83"/>
      <c r="K20947" s="82"/>
      <c r="M20947" s="112"/>
      <c r="N20947" s="84"/>
    </row>
    <row r="20948" spans="1:14" s="2" customFormat="1">
      <c r="A20948" s="83"/>
      <c r="H20948" s="83"/>
      <c r="K20948" s="82"/>
      <c r="M20948" s="112"/>
      <c r="N20948" s="84"/>
    </row>
    <row r="20949" spans="1:14" s="2" customFormat="1">
      <c r="A20949" s="83"/>
      <c r="H20949" s="83"/>
      <c r="K20949" s="82"/>
      <c r="M20949" s="112"/>
      <c r="N20949" s="84"/>
    </row>
    <row r="20950" spans="1:14" s="2" customFormat="1">
      <c r="A20950" s="83"/>
      <c r="H20950" s="83"/>
      <c r="K20950" s="82"/>
      <c r="M20950" s="112"/>
      <c r="N20950" s="84"/>
    </row>
    <row r="20951" spans="1:14" s="2" customFormat="1">
      <c r="A20951" s="83"/>
      <c r="H20951" s="83"/>
      <c r="K20951" s="82"/>
      <c r="M20951" s="112"/>
      <c r="N20951" s="84"/>
    </row>
    <row r="20952" spans="1:14" s="2" customFormat="1">
      <c r="A20952" s="83"/>
      <c r="H20952" s="83"/>
      <c r="K20952" s="82"/>
      <c r="M20952" s="112"/>
      <c r="N20952" s="84"/>
    </row>
    <row r="20953" spans="1:14" s="2" customFormat="1">
      <c r="A20953" s="83"/>
      <c r="H20953" s="83"/>
      <c r="K20953" s="82"/>
      <c r="M20953" s="112"/>
      <c r="N20953" s="84"/>
    </row>
    <row r="20954" spans="1:14" s="2" customFormat="1">
      <c r="A20954" s="83"/>
      <c r="H20954" s="83"/>
      <c r="K20954" s="82"/>
      <c r="M20954" s="112"/>
      <c r="N20954" s="84"/>
    </row>
    <row r="20955" spans="1:14" s="2" customFormat="1">
      <c r="A20955" s="83"/>
      <c r="H20955" s="83"/>
      <c r="K20955" s="82"/>
      <c r="M20955" s="112"/>
      <c r="N20955" s="84"/>
    </row>
    <row r="20956" spans="1:14" s="2" customFormat="1">
      <c r="A20956" s="83"/>
      <c r="H20956" s="83"/>
      <c r="K20956" s="82"/>
      <c r="M20956" s="112"/>
      <c r="N20956" s="84"/>
    </row>
    <row r="20957" spans="1:14" s="2" customFormat="1">
      <c r="A20957" s="83"/>
      <c r="H20957" s="83"/>
      <c r="K20957" s="82"/>
      <c r="M20957" s="112"/>
      <c r="N20957" s="84"/>
    </row>
    <row r="20958" spans="1:14" s="2" customFormat="1">
      <c r="A20958" s="83"/>
      <c r="H20958" s="83"/>
      <c r="K20958" s="82"/>
      <c r="M20958" s="112"/>
      <c r="N20958" s="84"/>
    </row>
    <row r="20959" spans="1:14" s="2" customFormat="1">
      <c r="A20959" s="83"/>
      <c r="H20959" s="83"/>
      <c r="K20959" s="82"/>
      <c r="M20959" s="112"/>
      <c r="N20959" s="84"/>
    </row>
    <row r="20960" spans="1:14" s="2" customFormat="1">
      <c r="A20960" s="83"/>
      <c r="H20960" s="83"/>
      <c r="K20960" s="82"/>
      <c r="M20960" s="112"/>
      <c r="N20960" s="84"/>
    </row>
    <row r="20961" spans="1:14" s="2" customFormat="1">
      <c r="A20961" s="83"/>
      <c r="H20961" s="83"/>
      <c r="K20961" s="82"/>
      <c r="M20961" s="112"/>
      <c r="N20961" s="84"/>
    </row>
    <row r="20962" spans="1:14" s="2" customFormat="1">
      <c r="A20962" s="83"/>
      <c r="H20962" s="83"/>
      <c r="K20962" s="82"/>
      <c r="M20962" s="112"/>
      <c r="N20962" s="84"/>
    </row>
    <row r="20963" spans="1:14" s="2" customFormat="1">
      <c r="A20963" s="83"/>
      <c r="H20963" s="83"/>
      <c r="K20963" s="82"/>
      <c r="M20963" s="112"/>
      <c r="N20963" s="84"/>
    </row>
    <row r="20964" spans="1:14" s="2" customFormat="1">
      <c r="A20964" s="83"/>
      <c r="H20964" s="83"/>
      <c r="K20964" s="82"/>
      <c r="M20964" s="112"/>
      <c r="N20964" s="84"/>
    </row>
    <row r="20965" spans="1:14" s="2" customFormat="1">
      <c r="A20965" s="83"/>
      <c r="H20965" s="83"/>
      <c r="K20965" s="82"/>
      <c r="M20965" s="112"/>
      <c r="N20965" s="84"/>
    </row>
    <row r="20966" spans="1:14" s="2" customFormat="1">
      <c r="A20966" s="83"/>
      <c r="H20966" s="83"/>
      <c r="K20966" s="82"/>
      <c r="M20966" s="112"/>
      <c r="N20966" s="84"/>
    </row>
    <row r="20967" spans="1:14" s="2" customFormat="1">
      <c r="A20967" s="83"/>
      <c r="H20967" s="83"/>
      <c r="K20967" s="82"/>
      <c r="M20967" s="112"/>
      <c r="N20967" s="84"/>
    </row>
    <row r="20968" spans="1:14" s="2" customFormat="1">
      <c r="A20968" s="83"/>
      <c r="H20968" s="83"/>
      <c r="K20968" s="82"/>
      <c r="M20968" s="112"/>
      <c r="N20968" s="84"/>
    </row>
    <row r="20969" spans="1:14" s="2" customFormat="1">
      <c r="A20969" s="83"/>
      <c r="H20969" s="83"/>
      <c r="K20969" s="82"/>
      <c r="M20969" s="112"/>
      <c r="N20969" s="84"/>
    </row>
    <row r="20970" spans="1:14" s="2" customFormat="1">
      <c r="A20970" s="83"/>
      <c r="H20970" s="83"/>
      <c r="K20970" s="82"/>
      <c r="M20970" s="112"/>
      <c r="N20970" s="84"/>
    </row>
    <row r="20971" spans="1:14" s="2" customFormat="1">
      <c r="A20971" s="83"/>
      <c r="H20971" s="83"/>
      <c r="K20971" s="82"/>
      <c r="M20971" s="112"/>
      <c r="N20971" s="84"/>
    </row>
    <row r="20972" spans="1:14" s="2" customFormat="1">
      <c r="A20972" s="83"/>
      <c r="H20972" s="83"/>
      <c r="K20972" s="82"/>
      <c r="M20972" s="112"/>
      <c r="N20972" s="84"/>
    </row>
    <row r="20973" spans="1:14" s="2" customFormat="1">
      <c r="A20973" s="83"/>
      <c r="H20973" s="83"/>
      <c r="K20973" s="82"/>
      <c r="M20973" s="112"/>
      <c r="N20973" s="84"/>
    </row>
    <row r="20974" spans="1:14" s="2" customFormat="1">
      <c r="A20974" s="83"/>
      <c r="H20974" s="83"/>
      <c r="K20974" s="82"/>
      <c r="M20974" s="112"/>
      <c r="N20974" s="84"/>
    </row>
    <row r="20975" spans="1:14" s="2" customFormat="1">
      <c r="A20975" s="83"/>
      <c r="H20975" s="83"/>
      <c r="K20975" s="82"/>
      <c r="M20975" s="112"/>
      <c r="N20975" s="84"/>
    </row>
    <row r="20976" spans="1:14" s="2" customFormat="1">
      <c r="A20976" s="83"/>
      <c r="H20976" s="83"/>
      <c r="K20976" s="82"/>
      <c r="M20976" s="112"/>
      <c r="N20976" s="84"/>
    </row>
    <row r="20977" spans="1:14" s="2" customFormat="1">
      <c r="A20977" s="83"/>
      <c r="H20977" s="83"/>
      <c r="K20977" s="82"/>
      <c r="M20977" s="112"/>
      <c r="N20977" s="84"/>
    </row>
    <row r="20978" spans="1:14" s="2" customFormat="1">
      <c r="A20978" s="83"/>
      <c r="H20978" s="83"/>
      <c r="K20978" s="82"/>
      <c r="M20978" s="112"/>
      <c r="N20978" s="84"/>
    </row>
    <row r="20979" spans="1:14" s="2" customFormat="1">
      <c r="A20979" s="83"/>
      <c r="H20979" s="83"/>
      <c r="K20979" s="82"/>
      <c r="M20979" s="112"/>
      <c r="N20979" s="84"/>
    </row>
    <row r="20980" spans="1:14" s="2" customFormat="1">
      <c r="A20980" s="83"/>
      <c r="H20980" s="83"/>
      <c r="K20980" s="82"/>
      <c r="M20980" s="112"/>
      <c r="N20980" s="84"/>
    </row>
    <row r="20981" spans="1:14" s="2" customFormat="1">
      <c r="A20981" s="83"/>
      <c r="H20981" s="83"/>
      <c r="K20981" s="82"/>
      <c r="M20981" s="112"/>
      <c r="N20981" s="84"/>
    </row>
    <row r="20982" spans="1:14" s="2" customFormat="1">
      <c r="A20982" s="83"/>
      <c r="H20982" s="83"/>
      <c r="K20982" s="82"/>
      <c r="M20982" s="112"/>
      <c r="N20982" s="84"/>
    </row>
    <row r="20983" spans="1:14" s="2" customFormat="1">
      <c r="A20983" s="83"/>
      <c r="H20983" s="83"/>
      <c r="K20983" s="82"/>
      <c r="M20983" s="112"/>
      <c r="N20983" s="84"/>
    </row>
    <row r="20984" spans="1:14" s="2" customFormat="1">
      <c r="A20984" s="83"/>
      <c r="H20984" s="83"/>
      <c r="K20984" s="82"/>
      <c r="M20984" s="112"/>
      <c r="N20984" s="84"/>
    </row>
    <row r="20985" spans="1:14" s="2" customFormat="1">
      <c r="A20985" s="83"/>
      <c r="H20985" s="83"/>
      <c r="K20985" s="82"/>
      <c r="M20985" s="112"/>
      <c r="N20985" s="84"/>
    </row>
    <row r="20986" spans="1:14" s="2" customFormat="1">
      <c r="A20986" s="83"/>
      <c r="H20986" s="83"/>
      <c r="K20986" s="82"/>
      <c r="M20986" s="112"/>
      <c r="N20986" s="84"/>
    </row>
    <row r="20987" spans="1:14" s="2" customFormat="1">
      <c r="A20987" s="83"/>
      <c r="H20987" s="83"/>
      <c r="K20987" s="82"/>
      <c r="M20987" s="112"/>
      <c r="N20987" s="84"/>
    </row>
    <row r="20988" spans="1:14" s="2" customFormat="1">
      <c r="A20988" s="83"/>
      <c r="H20988" s="83"/>
      <c r="K20988" s="82"/>
      <c r="M20988" s="112"/>
      <c r="N20988" s="84"/>
    </row>
    <row r="20989" spans="1:14" s="2" customFormat="1">
      <c r="A20989" s="83"/>
      <c r="H20989" s="83"/>
      <c r="K20989" s="82"/>
      <c r="M20989" s="112"/>
      <c r="N20989" s="84"/>
    </row>
    <row r="20990" spans="1:14" s="2" customFormat="1">
      <c r="A20990" s="83"/>
      <c r="H20990" s="83"/>
      <c r="K20990" s="82"/>
      <c r="M20990" s="112"/>
      <c r="N20990" s="84"/>
    </row>
    <row r="20991" spans="1:14" s="2" customFormat="1">
      <c r="A20991" s="83"/>
      <c r="H20991" s="83"/>
      <c r="K20991" s="82"/>
      <c r="M20991" s="112"/>
      <c r="N20991" s="84"/>
    </row>
    <row r="20992" spans="1:14" s="2" customFormat="1">
      <c r="A20992" s="83"/>
      <c r="H20992" s="83"/>
      <c r="K20992" s="82"/>
      <c r="M20992" s="112"/>
      <c r="N20992" s="84"/>
    </row>
    <row r="20993" spans="1:14" s="2" customFormat="1">
      <c r="A20993" s="83"/>
      <c r="H20993" s="83"/>
      <c r="K20993" s="82"/>
      <c r="M20993" s="112"/>
      <c r="N20993" s="84"/>
    </row>
    <row r="20994" spans="1:14" s="2" customFormat="1">
      <c r="A20994" s="83"/>
      <c r="H20994" s="83"/>
      <c r="K20994" s="82"/>
      <c r="M20994" s="112"/>
      <c r="N20994" s="84"/>
    </row>
    <row r="20995" spans="1:14" s="2" customFormat="1">
      <c r="A20995" s="83"/>
      <c r="H20995" s="83"/>
      <c r="K20995" s="82"/>
      <c r="M20995" s="112"/>
      <c r="N20995" s="84"/>
    </row>
    <row r="20996" spans="1:14" s="2" customFormat="1">
      <c r="A20996" s="83"/>
      <c r="H20996" s="83"/>
      <c r="K20996" s="82"/>
      <c r="M20996" s="112"/>
      <c r="N20996" s="84"/>
    </row>
    <row r="20997" spans="1:14" s="2" customFormat="1">
      <c r="A20997" s="83"/>
      <c r="H20997" s="83"/>
      <c r="K20997" s="82"/>
      <c r="M20997" s="112"/>
      <c r="N20997" s="84"/>
    </row>
    <row r="20998" spans="1:14" s="2" customFormat="1">
      <c r="A20998" s="83"/>
      <c r="H20998" s="83"/>
      <c r="K20998" s="82"/>
      <c r="M20998" s="112"/>
      <c r="N20998" s="84"/>
    </row>
    <row r="20999" spans="1:14" s="2" customFormat="1">
      <c r="A20999" s="83"/>
      <c r="H20999" s="83"/>
      <c r="K20999" s="82"/>
      <c r="M20999" s="112"/>
      <c r="N20999" s="84"/>
    </row>
    <row r="21000" spans="1:14" s="2" customFormat="1">
      <c r="A21000" s="83"/>
      <c r="H21000" s="83"/>
      <c r="K21000" s="82"/>
      <c r="M21000" s="112"/>
      <c r="N21000" s="84"/>
    </row>
    <row r="21001" spans="1:14" s="2" customFormat="1">
      <c r="A21001" s="83"/>
      <c r="H21001" s="83"/>
      <c r="K21001" s="82"/>
      <c r="M21001" s="112"/>
      <c r="N21001" s="84"/>
    </row>
    <row r="21002" spans="1:14" s="2" customFormat="1">
      <c r="A21002" s="83"/>
      <c r="H21002" s="83"/>
      <c r="K21002" s="82"/>
      <c r="M21002" s="112"/>
      <c r="N21002" s="84"/>
    </row>
    <row r="21003" spans="1:14" s="2" customFormat="1">
      <c r="A21003" s="83"/>
      <c r="H21003" s="83"/>
      <c r="K21003" s="82"/>
      <c r="M21003" s="112"/>
      <c r="N21003" s="84"/>
    </row>
    <row r="21004" spans="1:14" s="2" customFormat="1">
      <c r="A21004" s="83"/>
      <c r="H21004" s="83"/>
      <c r="K21004" s="82"/>
      <c r="M21004" s="112"/>
      <c r="N21004" s="84"/>
    </row>
    <row r="21005" spans="1:14" s="2" customFormat="1">
      <c r="A21005" s="83"/>
      <c r="H21005" s="83"/>
      <c r="K21005" s="82"/>
      <c r="M21005" s="112"/>
      <c r="N21005" s="84"/>
    </row>
    <row r="21006" spans="1:14" s="2" customFormat="1">
      <c r="A21006" s="83"/>
      <c r="H21006" s="83"/>
      <c r="K21006" s="82"/>
      <c r="M21006" s="112"/>
      <c r="N21006" s="84"/>
    </row>
    <row r="21007" spans="1:14" s="2" customFormat="1">
      <c r="A21007" s="83"/>
      <c r="H21007" s="83"/>
      <c r="K21007" s="82"/>
      <c r="M21007" s="112"/>
      <c r="N21007" s="84"/>
    </row>
    <row r="21008" spans="1:14" s="2" customFormat="1">
      <c r="A21008" s="83"/>
      <c r="H21008" s="83"/>
      <c r="K21008" s="82"/>
      <c r="M21008" s="112"/>
      <c r="N21008" s="84"/>
    </row>
    <row r="21009" spans="1:14" s="2" customFormat="1">
      <c r="A21009" s="83"/>
      <c r="H21009" s="83"/>
      <c r="K21009" s="82"/>
      <c r="M21009" s="112"/>
      <c r="N21009" s="84"/>
    </row>
    <row r="21010" spans="1:14" s="2" customFormat="1">
      <c r="A21010" s="83"/>
      <c r="H21010" s="83"/>
      <c r="K21010" s="82"/>
      <c r="M21010" s="112"/>
      <c r="N21010" s="84"/>
    </row>
    <row r="21011" spans="1:14" s="2" customFormat="1">
      <c r="A21011" s="83"/>
      <c r="H21011" s="83"/>
      <c r="K21011" s="82"/>
      <c r="M21011" s="112"/>
      <c r="N21011" s="84"/>
    </row>
    <row r="21012" spans="1:14" s="2" customFormat="1">
      <c r="A21012" s="83"/>
      <c r="H21012" s="83"/>
      <c r="K21012" s="82"/>
      <c r="M21012" s="112"/>
      <c r="N21012" s="84"/>
    </row>
    <row r="21013" spans="1:14" s="2" customFormat="1">
      <c r="A21013" s="83"/>
      <c r="H21013" s="83"/>
      <c r="K21013" s="82"/>
      <c r="M21013" s="112"/>
      <c r="N21013" s="84"/>
    </row>
    <row r="21014" spans="1:14" s="2" customFormat="1">
      <c r="A21014" s="83"/>
      <c r="H21014" s="83"/>
      <c r="K21014" s="82"/>
      <c r="M21014" s="112"/>
      <c r="N21014" s="84"/>
    </row>
    <row r="21015" spans="1:14" s="2" customFormat="1">
      <c r="A21015" s="83"/>
      <c r="H21015" s="83"/>
      <c r="K21015" s="82"/>
      <c r="M21015" s="112"/>
      <c r="N21015" s="84"/>
    </row>
    <row r="21016" spans="1:14" s="2" customFormat="1">
      <c r="A21016" s="83"/>
      <c r="H21016" s="83"/>
      <c r="K21016" s="82"/>
      <c r="M21016" s="112"/>
      <c r="N21016" s="84"/>
    </row>
    <row r="21017" spans="1:14" s="2" customFormat="1">
      <c r="A21017" s="83"/>
      <c r="H21017" s="83"/>
      <c r="K21017" s="82"/>
      <c r="M21017" s="112"/>
      <c r="N21017" s="84"/>
    </row>
    <row r="21018" spans="1:14" s="2" customFormat="1">
      <c r="A21018" s="83"/>
      <c r="H21018" s="83"/>
      <c r="K21018" s="82"/>
      <c r="M21018" s="112"/>
      <c r="N21018" s="84"/>
    </row>
    <row r="21019" spans="1:14" s="2" customFormat="1">
      <c r="A21019" s="83"/>
      <c r="H21019" s="83"/>
      <c r="K21019" s="82"/>
      <c r="M21019" s="112"/>
      <c r="N21019" s="84"/>
    </row>
    <row r="21020" spans="1:14" s="2" customFormat="1">
      <c r="A21020" s="83"/>
      <c r="H21020" s="83"/>
      <c r="K21020" s="82"/>
      <c r="M21020" s="112"/>
      <c r="N21020" s="84"/>
    </row>
    <row r="21021" spans="1:14" s="2" customFormat="1">
      <c r="A21021" s="83"/>
      <c r="H21021" s="83"/>
      <c r="K21021" s="82"/>
      <c r="M21021" s="112"/>
      <c r="N21021" s="84"/>
    </row>
    <row r="21022" spans="1:14" s="2" customFormat="1">
      <c r="A21022" s="83"/>
      <c r="H21022" s="83"/>
      <c r="K21022" s="82"/>
      <c r="M21022" s="112"/>
      <c r="N21022" s="84"/>
    </row>
    <row r="21023" spans="1:14" s="2" customFormat="1">
      <c r="A21023" s="83"/>
      <c r="H21023" s="83"/>
      <c r="K21023" s="82"/>
      <c r="M21023" s="112"/>
      <c r="N21023" s="84"/>
    </row>
    <row r="21024" spans="1:14" s="2" customFormat="1">
      <c r="A21024" s="83"/>
      <c r="H21024" s="83"/>
      <c r="K21024" s="82"/>
      <c r="M21024" s="112"/>
      <c r="N21024" s="84"/>
    </row>
    <row r="21025" spans="1:14" s="2" customFormat="1">
      <c r="A21025" s="83"/>
      <c r="H21025" s="83"/>
      <c r="K21025" s="82"/>
      <c r="M21025" s="112"/>
      <c r="N21025" s="84"/>
    </row>
    <row r="21026" spans="1:14" s="2" customFormat="1">
      <c r="A21026" s="83"/>
      <c r="H21026" s="83"/>
      <c r="K21026" s="82"/>
      <c r="M21026" s="112"/>
      <c r="N21026" s="84"/>
    </row>
    <row r="21027" spans="1:14" s="2" customFormat="1">
      <c r="A21027" s="83"/>
      <c r="H21027" s="83"/>
      <c r="K21027" s="82"/>
      <c r="M21027" s="112"/>
      <c r="N21027" s="84"/>
    </row>
    <row r="21028" spans="1:14" s="2" customFormat="1">
      <c r="A21028" s="83"/>
      <c r="H21028" s="83"/>
      <c r="K21028" s="82"/>
      <c r="M21028" s="112"/>
      <c r="N21028" s="84"/>
    </row>
    <row r="21029" spans="1:14" s="2" customFormat="1">
      <c r="A21029" s="83"/>
      <c r="H21029" s="83"/>
      <c r="K21029" s="82"/>
      <c r="M21029" s="112"/>
      <c r="N21029" s="84"/>
    </row>
    <row r="21030" spans="1:14" s="2" customFormat="1">
      <c r="A21030" s="83"/>
      <c r="H21030" s="83"/>
      <c r="K21030" s="82"/>
      <c r="M21030" s="112"/>
      <c r="N21030" s="84"/>
    </row>
    <row r="21031" spans="1:14" s="2" customFormat="1">
      <c r="A21031" s="83"/>
      <c r="H21031" s="83"/>
      <c r="K21031" s="82"/>
      <c r="M21031" s="112"/>
      <c r="N21031" s="84"/>
    </row>
    <row r="21032" spans="1:14" s="2" customFormat="1">
      <c r="A21032" s="83"/>
      <c r="H21032" s="83"/>
      <c r="K21032" s="82"/>
      <c r="M21032" s="112"/>
      <c r="N21032" s="84"/>
    </row>
    <row r="21033" spans="1:14" s="2" customFormat="1">
      <c r="A21033" s="83"/>
      <c r="H21033" s="83"/>
      <c r="K21033" s="82"/>
      <c r="M21033" s="112"/>
      <c r="N21033" s="84"/>
    </row>
    <row r="21034" spans="1:14" s="2" customFormat="1">
      <c r="A21034" s="83"/>
      <c r="H21034" s="83"/>
      <c r="K21034" s="82"/>
      <c r="M21034" s="112"/>
      <c r="N21034" s="84"/>
    </row>
    <row r="21035" spans="1:14" s="2" customFormat="1">
      <c r="A21035" s="83"/>
      <c r="H21035" s="83"/>
      <c r="K21035" s="82"/>
      <c r="M21035" s="112"/>
      <c r="N21035" s="84"/>
    </row>
    <row r="21036" spans="1:14" s="2" customFormat="1">
      <c r="A21036" s="83"/>
      <c r="H21036" s="83"/>
      <c r="K21036" s="82"/>
      <c r="M21036" s="112"/>
      <c r="N21036" s="84"/>
    </row>
    <row r="21037" spans="1:14" s="2" customFormat="1">
      <c r="A21037" s="83"/>
      <c r="H21037" s="83"/>
      <c r="K21037" s="82"/>
      <c r="M21037" s="112"/>
      <c r="N21037" s="84"/>
    </row>
    <row r="21038" spans="1:14" s="2" customFormat="1">
      <c r="A21038" s="83"/>
      <c r="H21038" s="83"/>
      <c r="K21038" s="82"/>
      <c r="M21038" s="112"/>
      <c r="N21038" s="84"/>
    </row>
    <row r="21039" spans="1:14" s="2" customFormat="1">
      <c r="A21039" s="83"/>
      <c r="H21039" s="83"/>
      <c r="K21039" s="82"/>
      <c r="M21039" s="112"/>
      <c r="N21039" s="84"/>
    </row>
    <row r="21040" spans="1:14" s="2" customFormat="1">
      <c r="A21040" s="83"/>
      <c r="H21040" s="83"/>
      <c r="K21040" s="82"/>
      <c r="M21040" s="112"/>
      <c r="N21040" s="84"/>
    </row>
    <row r="21041" spans="1:14" s="2" customFormat="1">
      <c r="A21041" s="83"/>
      <c r="H21041" s="83"/>
      <c r="K21041" s="82"/>
      <c r="M21041" s="112"/>
      <c r="N21041" s="84"/>
    </row>
    <row r="21042" spans="1:14" s="2" customFormat="1">
      <c r="A21042" s="83"/>
      <c r="H21042" s="83"/>
      <c r="K21042" s="82"/>
      <c r="M21042" s="112"/>
      <c r="N21042" s="84"/>
    </row>
    <row r="21043" spans="1:14" s="2" customFormat="1">
      <c r="A21043" s="83"/>
      <c r="H21043" s="83"/>
      <c r="K21043" s="82"/>
      <c r="M21043" s="112"/>
      <c r="N21043" s="84"/>
    </row>
    <row r="21044" spans="1:14" s="2" customFormat="1">
      <c r="A21044" s="83"/>
      <c r="H21044" s="83"/>
      <c r="K21044" s="82"/>
      <c r="M21044" s="112"/>
      <c r="N21044" s="84"/>
    </row>
    <row r="21045" spans="1:14" s="2" customFormat="1">
      <c r="A21045" s="83"/>
      <c r="H21045" s="83"/>
      <c r="K21045" s="82"/>
      <c r="M21045" s="112"/>
      <c r="N21045" s="84"/>
    </row>
    <row r="21046" spans="1:14" s="2" customFormat="1">
      <c r="A21046" s="83"/>
      <c r="H21046" s="83"/>
      <c r="K21046" s="82"/>
      <c r="M21046" s="112"/>
      <c r="N21046" s="84"/>
    </row>
    <row r="21047" spans="1:14" s="2" customFormat="1">
      <c r="A21047" s="83"/>
      <c r="H21047" s="83"/>
      <c r="K21047" s="82"/>
      <c r="M21047" s="112"/>
      <c r="N21047" s="84"/>
    </row>
    <row r="21048" spans="1:14" s="2" customFormat="1">
      <c r="A21048" s="83"/>
      <c r="H21048" s="83"/>
      <c r="K21048" s="82"/>
      <c r="M21048" s="112"/>
      <c r="N21048" s="84"/>
    </row>
    <row r="21049" spans="1:14" s="2" customFormat="1">
      <c r="A21049" s="83"/>
      <c r="H21049" s="83"/>
      <c r="K21049" s="82"/>
      <c r="M21049" s="112"/>
      <c r="N21049" s="84"/>
    </row>
    <row r="21050" spans="1:14" s="2" customFormat="1">
      <c r="A21050" s="83"/>
      <c r="H21050" s="83"/>
      <c r="K21050" s="82"/>
      <c r="M21050" s="112"/>
      <c r="N21050" s="84"/>
    </row>
    <row r="21051" spans="1:14" s="2" customFormat="1">
      <c r="A21051" s="83"/>
      <c r="H21051" s="83"/>
      <c r="K21051" s="82"/>
      <c r="M21051" s="112"/>
      <c r="N21051" s="84"/>
    </row>
    <row r="21052" spans="1:14" s="2" customFormat="1">
      <c r="A21052" s="83"/>
      <c r="H21052" s="83"/>
      <c r="K21052" s="82"/>
      <c r="M21052" s="112"/>
      <c r="N21052" s="84"/>
    </row>
    <row r="21053" spans="1:14" s="2" customFormat="1">
      <c r="A21053" s="83"/>
      <c r="H21053" s="83"/>
      <c r="K21053" s="82"/>
      <c r="M21053" s="112"/>
      <c r="N21053" s="84"/>
    </row>
    <row r="21054" spans="1:14" s="2" customFormat="1">
      <c r="A21054" s="83"/>
      <c r="H21054" s="83"/>
      <c r="K21054" s="82"/>
      <c r="M21054" s="112"/>
      <c r="N21054" s="84"/>
    </row>
    <row r="21055" spans="1:14" s="2" customFormat="1">
      <c r="A21055" s="83"/>
      <c r="H21055" s="83"/>
      <c r="K21055" s="82"/>
      <c r="M21055" s="112"/>
      <c r="N21055" s="84"/>
    </row>
    <row r="21056" spans="1:14" s="2" customFormat="1">
      <c r="A21056" s="83"/>
      <c r="H21056" s="83"/>
      <c r="K21056" s="82"/>
      <c r="M21056" s="112"/>
      <c r="N21056" s="84"/>
    </row>
    <row r="21057" spans="1:14" s="2" customFormat="1">
      <c r="A21057" s="83"/>
      <c r="H21057" s="83"/>
      <c r="K21057" s="82"/>
      <c r="M21057" s="112"/>
      <c r="N21057" s="84"/>
    </row>
    <row r="21058" spans="1:14" s="2" customFormat="1">
      <c r="A21058" s="83"/>
      <c r="H21058" s="83"/>
      <c r="K21058" s="82"/>
      <c r="M21058" s="112"/>
      <c r="N21058" s="84"/>
    </row>
    <row r="21059" spans="1:14" s="2" customFormat="1">
      <c r="A21059" s="83"/>
      <c r="H21059" s="83"/>
      <c r="K21059" s="82"/>
      <c r="M21059" s="112"/>
      <c r="N21059" s="84"/>
    </row>
    <row r="21060" spans="1:14" s="2" customFormat="1">
      <c r="A21060" s="83"/>
      <c r="H21060" s="83"/>
      <c r="K21060" s="82"/>
      <c r="M21060" s="112"/>
      <c r="N21060" s="84"/>
    </row>
    <row r="21061" spans="1:14" s="2" customFormat="1">
      <c r="A21061" s="83"/>
      <c r="H21061" s="83"/>
      <c r="K21061" s="82"/>
      <c r="M21061" s="112"/>
      <c r="N21061" s="84"/>
    </row>
    <row r="21062" spans="1:14" s="2" customFormat="1">
      <c r="A21062" s="83"/>
      <c r="H21062" s="83"/>
      <c r="K21062" s="82"/>
      <c r="M21062" s="112"/>
      <c r="N21062" s="84"/>
    </row>
    <row r="21063" spans="1:14" s="2" customFormat="1">
      <c r="A21063" s="83"/>
      <c r="H21063" s="83"/>
      <c r="K21063" s="82"/>
      <c r="M21063" s="112"/>
      <c r="N21063" s="84"/>
    </row>
    <row r="21064" spans="1:14" s="2" customFormat="1">
      <c r="A21064" s="83"/>
      <c r="H21064" s="83"/>
      <c r="K21064" s="82"/>
      <c r="M21064" s="112"/>
      <c r="N21064" s="84"/>
    </row>
    <row r="21065" spans="1:14" s="2" customFormat="1">
      <c r="A21065" s="83"/>
      <c r="H21065" s="83"/>
      <c r="K21065" s="82"/>
      <c r="M21065" s="112"/>
      <c r="N21065" s="84"/>
    </row>
    <row r="21066" spans="1:14" s="2" customFormat="1">
      <c r="A21066" s="83"/>
      <c r="H21066" s="83"/>
      <c r="K21066" s="82"/>
      <c r="M21066" s="112"/>
      <c r="N21066" s="84"/>
    </row>
    <row r="21067" spans="1:14" s="2" customFormat="1">
      <c r="A21067" s="83"/>
      <c r="H21067" s="83"/>
      <c r="K21067" s="82"/>
      <c r="M21067" s="112"/>
      <c r="N21067" s="84"/>
    </row>
    <row r="21068" spans="1:14" s="2" customFormat="1">
      <c r="A21068" s="83"/>
      <c r="H21068" s="83"/>
      <c r="K21068" s="82"/>
      <c r="M21068" s="112"/>
      <c r="N21068" s="84"/>
    </row>
    <row r="21069" spans="1:14" s="2" customFormat="1">
      <c r="A21069" s="83"/>
      <c r="H21069" s="83"/>
      <c r="K21069" s="82"/>
      <c r="M21069" s="112"/>
      <c r="N21069" s="84"/>
    </row>
    <row r="21070" spans="1:14" s="2" customFormat="1">
      <c r="A21070" s="83"/>
      <c r="H21070" s="83"/>
      <c r="K21070" s="82"/>
      <c r="M21070" s="112"/>
      <c r="N21070" s="84"/>
    </row>
    <row r="21071" spans="1:14" s="2" customFormat="1">
      <c r="A21071" s="83"/>
      <c r="H21071" s="83"/>
      <c r="K21071" s="82"/>
      <c r="M21071" s="112"/>
      <c r="N21071" s="84"/>
    </row>
    <row r="21072" spans="1:14" s="2" customFormat="1">
      <c r="A21072" s="83"/>
      <c r="H21072" s="83"/>
      <c r="K21072" s="82"/>
      <c r="M21072" s="112"/>
      <c r="N21072" s="84"/>
    </row>
    <row r="21073" spans="1:14" s="2" customFormat="1">
      <c r="A21073" s="83"/>
      <c r="H21073" s="83"/>
      <c r="K21073" s="82"/>
      <c r="M21073" s="112"/>
      <c r="N21073" s="84"/>
    </row>
    <row r="21074" spans="1:14" s="2" customFormat="1">
      <c r="A21074" s="83"/>
      <c r="H21074" s="83"/>
      <c r="K21074" s="82"/>
      <c r="M21074" s="112"/>
      <c r="N21074" s="84"/>
    </row>
    <row r="21075" spans="1:14" s="2" customFormat="1">
      <c r="A21075" s="83"/>
      <c r="H21075" s="83"/>
      <c r="K21075" s="82"/>
      <c r="M21075" s="112"/>
      <c r="N21075" s="84"/>
    </row>
    <row r="21076" spans="1:14" s="2" customFormat="1">
      <c r="A21076" s="83"/>
      <c r="H21076" s="83"/>
      <c r="K21076" s="82"/>
      <c r="M21076" s="112"/>
      <c r="N21076" s="84"/>
    </row>
    <row r="21077" spans="1:14" s="2" customFormat="1">
      <c r="A21077" s="83"/>
      <c r="H21077" s="83"/>
      <c r="K21077" s="82"/>
      <c r="M21077" s="112"/>
      <c r="N21077" s="84"/>
    </row>
    <row r="21078" spans="1:14" s="2" customFormat="1">
      <c r="A21078" s="83"/>
      <c r="H21078" s="83"/>
      <c r="K21078" s="82"/>
      <c r="M21078" s="112"/>
      <c r="N21078" s="84"/>
    </row>
    <row r="21079" spans="1:14" s="2" customFormat="1">
      <c r="A21079" s="83"/>
      <c r="H21079" s="83"/>
      <c r="K21079" s="82"/>
      <c r="M21079" s="112"/>
      <c r="N21079" s="84"/>
    </row>
    <row r="21080" spans="1:14" s="2" customFormat="1">
      <c r="A21080" s="83"/>
      <c r="H21080" s="83"/>
      <c r="K21080" s="82"/>
      <c r="M21080" s="112"/>
      <c r="N21080" s="84"/>
    </row>
    <row r="21081" spans="1:14" s="2" customFormat="1">
      <c r="A21081" s="83"/>
      <c r="H21081" s="83"/>
      <c r="K21081" s="82"/>
      <c r="M21081" s="112"/>
      <c r="N21081" s="84"/>
    </row>
    <row r="21082" spans="1:14" s="2" customFormat="1">
      <c r="A21082" s="83"/>
      <c r="H21082" s="83"/>
      <c r="K21082" s="82"/>
      <c r="M21082" s="112"/>
      <c r="N21082" s="84"/>
    </row>
    <row r="21083" spans="1:14" s="2" customFormat="1">
      <c r="A21083" s="83"/>
      <c r="H21083" s="83"/>
      <c r="K21083" s="82"/>
      <c r="M21083" s="112"/>
      <c r="N21083" s="84"/>
    </row>
    <row r="21084" spans="1:14" s="2" customFormat="1">
      <c r="A21084" s="83"/>
      <c r="H21084" s="83"/>
      <c r="K21084" s="82"/>
      <c r="M21084" s="112"/>
      <c r="N21084" s="84"/>
    </row>
    <row r="21085" spans="1:14" s="2" customFormat="1">
      <c r="A21085" s="83"/>
      <c r="H21085" s="83"/>
      <c r="K21085" s="82"/>
      <c r="M21085" s="112"/>
      <c r="N21085" s="84"/>
    </row>
    <row r="21086" spans="1:14" s="2" customFormat="1">
      <c r="A21086" s="83"/>
      <c r="H21086" s="83"/>
      <c r="K21086" s="82"/>
      <c r="M21086" s="112"/>
      <c r="N21086" s="84"/>
    </row>
    <row r="21087" spans="1:14" s="2" customFormat="1">
      <c r="A21087" s="83"/>
      <c r="H21087" s="83"/>
      <c r="K21087" s="82"/>
      <c r="M21087" s="112"/>
      <c r="N21087" s="84"/>
    </row>
    <row r="21088" spans="1:14" s="2" customFormat="1">
      <c r="A21088" s="83"/>
      <c r="H21088" s="83"/>
      <c r="K21088" s="82"/>
      <c r="M21088" s="112"/>
      <c r="N21088" s="84"/>
    </row>
    <row r="21089" spans="1:14" s="2" customFormat="1">
      <c r="A21089" s="83"/>
      <c r="H21089" s="83"/>
      <c r="K21089" s="82"/>
      <c r="M21089" s="112"/>
      <c r="N21089" s="84"/>
    </row>
    <row r="21090" spans="1:14" s="2" customFormat="1">
      <c r="A21090" s="83"/>
      <c r="H21090" s="83"/>
      <c r="K21090" s="82"/>
      <c r="M21090" s="112"/>
      <c r="N21090" s="84"/>
    </row>
    <row r="21091" spans="1:14" s="2" customFormat="1">
      <c r="A21091" s="83"/>
      <c r="H21091" s="83"/>
      <c r="K21091" s="82"/>
      <c r="M21091" s="112"/>
      <c r="N21091" s="84"/>
    </row>
    <row r="21092" spans="1:14" s="2" customFormat="1">
      <c r="A21092" s="83"/>
      <c r="H21092" s="83"/>
      <c r="K21092" s="82"/>
      <c r="M21092" s="112"/>
      <c r="N21092" s="84"/>
    </row>
    <row r="21093" spans="1:14" s="2" customFormat="1">
      <c r="A21093" s="83"/>
      <c r="H21093" s="83"/>
      <c r="K21093" s="82"/>
      <c r="M21093" s="112"/>
      <c r="N21093" s="84"/>
    </row>
    <row r="21094" spans="1:14" s="2" customFormat="1">
      <c r="A21094" s="83"/>
      <c r="H21094" s="83"/>
      <c r="K21094" s="82"/>
      <c r="M21094" s="112"/>
      <c r="N21094" s="84"/>
    </row>
    <row r="21095" spans="1:14" s="2" customFormat="1">
      <c r="A21095" s="83"/>
      <c r="H21095" s="83"/>
      <c r="K21095" s="82"/>
      <c r="M21095" s="112"/>
      <c r="N21095" s="84"/>
    </row>
    <row r="21096" spans="1:14" s="2" customFormat="1">
      <c r="A21096" s="83"/>
      <c r="H21096" s="83"/>
      <c r="K21096" s="82"/>
      <c r="M21096" s="112"/>
      <c r="N21096" s="84"/>
    </row>
    <row r="21097" spans="1:14" s="2" customFormat="1">
      <c r="A21097" s="83"/>
      <c r="H21097" s="83"/>
      <c r="K21097" s="82"/>
      <c r="M21097" s="112"/>
      <c r="N21097" s="84"/>
    </row>
    <row r="21098" spans="1:14" s="2" customFormat="1">
      <c r="A21098" s="83"/>
      <c r="H21098" s="83"/>
      <c r="K21098" s="82"/>
      <c r="M21098" s="112"/>
      <c r="N21098" s="84"/>
    </row>
    <row r="21099" spans="1:14" s="2" customFormat="1">
      <c r="A21099" s="83"/>
      <c r="H21099" s="83"/>
      <c r="K21099" s="82"/>
      <c r="M21099" s="112"/>
      <c r="N21099" s="84"/>
    </row>
    <row r="21100" spans="1:14" s="2" customFormat="1">
      <c r="A21100" s="83"/>
      <c r="H21100" s="83"/>
      <c r="K21100" s="82"/>
      <c r="M21100" s="112"/>
      <c r="N21100" s="84"/>
    </row>
    <row r="21101" spans="1:14" s="2" customFormat="1">
      <c r="A21101" s="83"/>
      <c r="H21101" s="83"/>
      <c r="K21101" s="82"/>
      <c r="M21101" s="112"/>
      <c r="N21101" s="84"/>
    </row>
    <row r="21102" spans="1:14" s="2" customFormat="1">
      <c r="A21102" s="83"/>
      <c r="H21102" s="83"/>
      <c r="K21102" s="82"/>
      <c r="M21102" s="112"/>
      <c r="N21102" s="84"/>
    </row>
    <row r="21103" spans="1:14" s="2" customFormat="1">
      <c r="A21103" s="83"/>
      <c r="H21103" s="83"/>
      <c r="K21103" s="82"/>
      <c r="M21103" s="112"/>
      <c r="N21103" s="84"/>
    </row>
    <row r="21104" spans="1:14" s="2" customFormat="1">
      <c r="A21104" s="83"/>
      <c r="H21104" s="83"/>
      <c r="K21104" s="82"/>
      <c r="M21104" s="112"/>
      <c r="N21104" s="84"/>
    </row>
    <row r="21105" spans="1:14" s="2" customFormat="1">
      <c r="A21105" s="83"/>
      <c r="H21105" s="83"/>
      <c r="K21105" s="82"/>
      <c r="M21105" s="112"/>
      <c r="N21105" s="84"/>
    </row>
    <row r="21106" spans="1:14" s="2" customFormat="1">
      <c r="A21106" s="83"/>
      <c r="H21106" s="83"/>
      <c r="K21106" s="82"/>
      <c r="M21106" s="112"/>
      <c r="N21106" s="84"/>
    </row>
    <row r="21107" spans="1:14" s="2" customFormat="1">
      <c r="A21107" s="83"/>
      <c r="H21107" s="83"/>
      <c r="K21107" s="82"/>
      <c r="M21107" s="112"/>
      <c r="N21107" s="84"/>
    </row>
    <row r="21108" spans="1:14" s="2" customFormat="1">
      <c r="A21108" s="83"/>
      <c r="H21108" s="83"/>
      <c r="K21108" s="82"/>
      <c r="M21108" s="112"/>
      <c r="N21108" s="84"/>
    </row>
    <row r="21109" spans="1:14" s="2" customFormat="1">
      <c r="A21109" s="83"/>
      <c r="H21109" s="83"/>
      <c r="K21109" s="82"/>
      <c r="M21109" s="112"/>
      <c r="N21109" s="84"/>
    </row>
    <row r="21110" spans="1:14" s="2" customFormat="1">
      <c r="A21110" s="83"/>
      <c r="H21110" s="83"/>
      <c r="K21110" s="82"/>
      <c r="M21110" s="112"/>
      <c r="N21110" s="84"/>
    </row>
    <row r="21111" spans="1:14" s="2" customFormat="1">
      <c r="A21111" s="83"/>
      <c r="H21111" s="83"/>
      <c r="K21111" s="82"/>
      <c r="M21111" s="112"/>
      <c r="N21111" s="84"/>
    </row>
    <row r="21112" spans="1:14" s="2" customFormat="1">
      <c r="A21112" s="83"/>
      <c r="H21112" s="83"/>
      <c r="K21112" s="82"/>
      <c r="M21112" s="112"/>
      <c r="N21112" s="84"/>
    </row>
    <row r="21113" spans="1:14" s="2" customFormat="1">
      <c r="A21113" s="83"/>
      <c r="H21113" s="83"/>
      <c r="K21113" s="82"/>
      <c r="M21113" s="112"/>
      <c r="N21113" s="84"/>
    </row>
    <row r="21114" spans="1:14" s="2" customFormat="1">
      <c r="A21114" s="83"/>
      <c r="H21114" s="83"/>
      <c r="K21114" s="82"/>
      <c r="M21114" s="112"/>
      <c r="N21114" s="84"/>
    </row>
    <row r="21115" spans="1:14" s="2" customFormat="1">
      <c r="A21115" s="83"/>
      <c r="H21115" s="83"/>
      <c r="K21115" s="82"/>
      <c r="M21115" s="112"/>
      <c r="N21115" s="84"/>
    </row>
    <row r="21116" spans="1:14" s="2" customFormat="1">
      <c r="A21116" s="83"/>
      <c r="H21116" s="83"/>
      <c r="K21116" s="82"/>
      <c r="M21116" s="112"/>
      <c r="N21116" s="84"/>
    </row>
    <row r="21117" spans="1:14" s="2" customFormat="1">
      <c r="A21117" s="83"/>
      <c r="H21117" s="83"/>
      <c r="K21117" s="82"/>
      <c r="M21117" s="112"/>
      <c r="N21117" s="84"/>
    </row>
    <row r="21118" spans="1:14" s="2" customFormat="1">
      <c r="A21118" s="83"/>
      <c r="H21118" s="83"/>
      <c r="K21118" s="82"/>
      <c r="M21118" s="112"/>
      <c r="N21118" s="84"/>
    </row>
    <row r="21119" spans="1:14" s="2" customFormat="1">
      <c r="A21119" s="83"/>
      <c r="H21119" s="83"/>
      <c r="K21119" s="82"/>
      <c r="M21119" s="112"/>
      <c r="N21119" s="84"/>
    </row>
    <row r="21120" spans="1:14" s="2" customFormat="1">
      <c r="A21120" s="83"/>
      <c r="H21120" s="83"/>
      <c r="K21120" s="82"/>
      <c r="M21120" s="112"/>
      <c r="N21120" s="84"/>
    </row>
    <row r="21121" spans="1:14" s="2" customFormat="1">
      <c r="A21121" s="83"/>
      <c r="H21121" s="83"/>
      <c r="K21121" s="82"/>
      <c r="M21121" s="112"/>
      <c r="N21121" s="84"/>
    </row>
    <row r="21122" spans="1:14" s="2" customFormat="1">
      <c r="A21122" s="83"/>
      <c r="H21122" s="83"/>
      <c r="K21122" s="82"/>
      <c r="M21122" s="112"/>
      <c r="N21122" s="84"/>
    </row>
    <row r="21123" spans="1:14" s="2" customFormat="1">
      <c r="A21123" s="83"/>
      <c r="H21123" s="83"/>
      <c r="K21123" s="82"/>
      <c r="M21123" s="112"/>
      <c r="N21123" s="84"/>
    </row>
    <row r="21124" spans="1:14" s="2" customFormat="1">
      <c r="A21124" s="83"/>
      <c r="H21124" s="83"/>
      <c r="K21124" s="82"/>
      <c r="M21124" s="112"/>
      <c r="N21124" s="84"/>
    </row>
    <row r="21125" spans="1:14" s="2" customFormat="1">
      <c r="A21125" s="83"/>
      <c r="H21125" s="83"/>
      <c r="K21125" s="82"/>
      <c r="M21125" s="112"/>
      <c r="N21125" s="84"/>
    </row>
    <row r="21126" spans="1:14" s="2" customFormat="1">
      <c r="A21126" s="83"/>
      <c r="H21126" s="83"/>
      <c r="K21126" s="82"/>
      <c r="M21126" s="112"/>
      <c r="N21126" s="84"/>
    </row>
    <row r="21127" spans="1:14" s="2" customFormat="1">
      <c r="A21127" s="83"/>
      <c r="H21127" s="83"/>
      <c r="K21127" s="82"/>
      <c r="M21127" s="112"/>
      <c r="N21127" s="84"/>
    </row>
    <row r="21128" spans="1:14" s="2" customFormat="1">
      <c r="A21128" s="83"/>
      <c r="H21128" s="83"/>
      <c r="K21128" s="82"/>
      <c r="M21128" s="112"/>
      <c r="N21128" s="84"/>
    </row>
    <row r="21129" spans="1:14" s="2" customFormat="1">
      <c r="A21129" s="83"/>
      <c r="H21129" s="83"/>
      <c r="K21129" s="82"/>
      <c r="M21129" s="112"/>
      <c r="N21129" s="84"/>
    </row>
    <row r="21130" spans="1:14" s="2" customFormat="1">
      <c r="A21130" s="83"/>
      <c r="H21130" s="83"/>
      <c r="K21130" s="82"/>
      <c r="M21130" s="112"/>
      <c r="N21130" s="84"/>
    </row>
    <row r="21131" spans="1:14" s="2" customFormat="1">
      <c r="A21131" s="83"/>
      <c r="H21131" s="83"/>
      <c r="K21131" s="82"/>
      <c r="M21131" s="112"/>
      <c r="N21131" s="84"/>
    </row>
    <row r="21132" spans="1:14" s="2" customFormat="1">
      <c r="A21132" s="83"/>
      <c r="H21132" s="83"/>
      <c r="K21132" s="82"/>
      <c r="M21132" s="112"/>
      <c r="N21132" s="84"/>
    </row>
    <row r="21133" spans="1:14" s="2" customFormat="1">
      <c r="A21133" s="83"/>
      <c r="H21133" s="83"/>
      <c r="K21133" s="82"/>
      <c r="M21133" s="112"/>
      <c r="N21133" s="84"/>
    </row>
    <row r="21134" spans="1:14" s="2" customFormat="1">
      <c r="A21134" s="83"/>
      <c r="H21134" s="83"/>
      <c r="K21134" s="82"/>
      <c r="M21134" s="112"/>
      <c r="N21134" s="84"/>
    </row>
    <row r="21135" spans="1:14" s="2" customFormat="1">
      <c r="A21135" s="83"/>
      <c r="H21135" s="83"/>
      <c r="K21135" s="82"/>
      <c r="M21135" s="112"/>
      <c r="N21135" s="84"/>
    </row>
    <row r="21136" spans="1:14" s="2" customFormat="1">
      <c r="A21136" s="83"/>
      <c r="H21136" s="83"/>
      <c r="K21136" s="82"/>
      <c r="M21136" s="112"/>
      <c r="N21136" s="84"/>
    </row>
    <row r="21137" spans="1:14" s="2" customFormat="1">
      <c r="A21137" s="83"/>
      <c r="H21137" s="83"/>
      <c r="K21137" s="82"/>
      <c r="M21137" s="112"/>
      <c r="N21137" s="84"/>
    </row>
    <row r="21138" spans="1:14" s="2" customFormat="1">
      <c r="A21138" s="83"/>
      <c r="H21138" s="83"/>
      <c r="K21138" s="82"/>
      <c r="M21138" s="112"/>
      <c r="N21138" s="84"/>
    </row>
    <row r="21139" spans="1:14" s="2" customFormat="1">
      <c r="A21139" s="83"/>
      <c r="H21139" s="83"/>
      <c r="K21139" s="82"/>
      <c r="M21139" s="112"/>
      <c r="N21139" s="84"/>
    </row>
    <row r="21140" spans="1:14" s="2" customFormat="1">
      <c r="A21140" s="83"/>
      <c r="H21140" s="83"/>
      <c r="K21140" s="82"/>
      <c r="M21140" s="112"/>
      <c r="N21140" s="84"/>
    </row>
    <row r="21141" spans="1:14" s="2" customFormat="1">
      <c r="A21141" s="83"/>
      <c r="H21141" s="83"/>
      <c r="K21141" s="82"/>
      <c r="M21141" s="112"/>
      <c r="N21141" s="84"/>
    </row>
    <row r="21142" spans="1:14" s="2" customFormat="1">
      <c r="A21142" s="83"/>
      <c r="H21142" s="83"/>
      <c r="K21142" s="82"/>
      <c r="M21142" s="112"/>
      <c r="N21142" s="84"/>
    </row>
    <row r="21143" spans="1:14" s="2" customFormat="1">
      <c r="A21143" s="83"/>
      <c r="H21143" s="83"/>
      <c r="K21143" s="82"/>
      <c r="M21143" s="112"/>
      <c r="N21143" s="84"/>
    </row>
    <row r="21144" spans="1:14" s="2" customFormat="1">
      <c r="A21144" s="83"/>
      <c r="H21144" s="83"/>
      <c r="K21144" s="82"/>
      <c r="M21144" s="112"/>
      <c r="N21144" s="84"/>
    </row>
    <row r="21145" spans="1:14" s="2" customFormat="1">
      <c r="A21145" s="83"/>
      <c r="H21145" s="83"/>
      <c r="K21145" s="82"/>
      <c r="M21145" s="112"/>
      <c r="N21145" s="84"/>
    </row>
    <row r="21146" spans="1:14" s="2" customFormat="1">
      <c r="A21146" s="83"/>
      <c r="H21146" s="83"/>
      <c r="K21146" s="82"/>
      <c r="M21146" s="112"/>
      <c r="N21146" s="84"/>
    </row>
    <row r="21147" spans="1:14" s="2" customFormat="1">
      <c r="A21147" s="83"/>
      <c r="H21147" s="83"/>
      <c r="K21147" s="82"/>
      <c r="M21147" s="112"/>
      <c r="N21147" s="84"/>
    </row>
    <row r="21148" spans="1:14" s="2" customFormat="1">
      <c r="A21148" s="83"/>
      <c r="H21148" s="83"/>
      <c r="K21148" s="82"/>
      <c r="M21148" s="112"/>
      <c r="N21148" s="84"/>
    </row>
    <row r="21149" spans="1:14" s="2" customFormat="1">
      <c r="A21149" s="83"/>
      <c r="H21149" s="83"/>
      <c r="K21149" s="82"/>
      <c r="M21149" s="112"/>
      <c r="N21149" s="84"/>
    </row>
    <row r="21150" spans="1:14" s="2" customFormat="1">
      <c r="A21150" s="83"/>
      <c r="H21150" s="83"/>
      <c r="K21150" s="82"/>
      <c r="M21150" s="112"/>
      <c r="N21150" s="84"/>
    </row>
    <row r="21151" spans="1:14" s="2" customFormat="1">
      <c r="A21151" s="83"/>
      <c r="H21151" s="83"/>
      <c r="K21151" s="82"/>
      <c r="M21151" s="112"/>
      <c r="N21151" s="84"/>
    </row>
    <row r="21152" spans="1:14" s="2" customFormat="1">
      <c r="A21152" s="83"/>
      <c r="H21152" s="83"/>
      <c r="K21152" s="82"/>
      <c r="M21152" s="112"/>
      <c r="N21152" s="84"/>
    </row>
    <row r="21153" spans="1:14" s="2" customFormat="1">
      <c r="A21153" s="83"/>
      <c r="H21153" s="83"/>
      <c r="K21153" s="82"/>
      <c r="M21153" s="112"/>
      <c r="N21153" s="84"/>
    </row>
    <row r="21154" spans="1:14" s="2" customFormat="1">
      <c r="A21154" s="83"/>
      <c r="H21154" s="83"/>
      <c r="K21154" s="82"/>
      <c r="M21154" s="112"/>
      <c r="N21154" s="84"/>
    </row>
    <row r="21155" spans="1:14" s="2" customFormat="1">
      <c r="A21155" s="83"/>
      <c r="H21155" s="83"/>
      <c r="K21155" s="82"/>
      <c r="M21155" s="112"/>
      <c r="N21155" s="84"/>
    </row>
    <row r="21156" spans="1:14" s="2" customFormat="1">
      <c r="A21156" s="83"/>
      <c r="H21156" s="83"/>
      <c r="K21156" s="82"/>
      <c r="M21156" s="112"/>
      <c r="N21156" s="84"/>
    </row>
    <row r="21157" spans="1:14" s="2" customFormat="1">
      <c r="A21157" s="83"/>
      <c r="H21157" s="83"/>
      <c r="K21157" s="82"/>
      <c r="M21157" s="112"/>
      <c r="N21157" s="84"/>
    </row>
    <row r="21158" spans="1:14" s="2" customFormat="1">
      <c r="A21158" s="83"/>
      <c r="H21158" s="83"/>
      <c r="K21158" s="82"/>
      <c r="M21158" s="112"/>
      <c r="N21158" s="84"/>
    </row>
    <row r="21159" spans="1:14" s="2" customFormat="1">
      <c r="A21159" s="83"/>
      <c r="H21159" s="83"/>
      <c r="K21159" s="82"/>
      <c r="M21159" s="112"/>
      <c r="N21159" s="84"/>
    </row>
    <row r="21160" spans="1:14" s="2" customFormat="1">
      <c r="A21160" s="83"/>
      <c r="H21160" s="83"/>
      <c r="K21160" s="82"/>
      <c r="M21160" s="112"/>
      <c r="N21160" s="84"/>
    </row>
    <row r="21161" spans="1:14" s="2" customFormat="1">
      <c r="A21161" s="83"/>
      <c r="H21161" s="83"/>
      <c r="K21161" s="82"/>
      <c r="M21161" s="112"/>
      <c r="N21161" s="84"/>
    </row>
    <row r="21162" spans="1:14" s="2" customFormat="1">
      <c r="A21162" s="83"/>
      <c r="H21162" s="83"/>
      <c r="K21162" s="82"/>
      <c r="M21162" s="112"/>
      <c r="N21162" s="84"/>
    </row>
    <row r="21163" spans="1:14" s="2" customFormat="1">
      <c r="A21163" s="83"/>
      <c r="H21163" s="83"/>
      <c r="K21163" s="82"/>
      <c r="M21163" s="112"/>
      <c r="N21163" s="84"/>
    </row>
    <row r="21164" spans="1:14" s="2" customFormat="1">
      <c r="A21164" s="83"/>
      <c r="H21164" s="83"/>
      <c r="K21164" s="82"/>
      <c r="M21164" s="112"/>
      <c r="N21164" s="84"/>
    </row>
    <row r="21165" spans="1:14" s="2" customFormat="1">
      <c r="A21165" s="83"/>
      <c r="H21165" s="83"/>
      <c r="K21165" s="82"/>
      <c r="M21165" s="112"/>
      <c r="N21165" s="84"/>
    </row>
    <row r="21166" spans="1:14" s="2" customFormat="1">
      <c r="A21166" s="83"/>
      <c r="H21166" s="83"/>
      <c r="K21166" s="82"/>
      <c r="M21166" s="112"/>
      <c r="N21166" s="84"/>
    </row>
    <row r="21167" spans="1:14" s="2" customFormat="1">
      <c r="A21167" s="83"/>
      <c r="H21167" s="83"/>
      <c r="K21167" s="82"/>
      <c r="M21167" s="112"/>
      <c r="N21167" s="84"/>
    </row>
    <row r="21168" spans="1:14" s="2" customFormat="1">
      <c r="A21168" s="83"/>
      <c r="H21168" s="83"/>
      <c r="K21168" s="82"/>
      <c r="M21168" s="112"/>
      <c r="N21168" s="84"/>
    </row>
    <row r="21169" spans="1:14" s="2" customFormat="1">
      <c r="A21169" s="83"/>
      <c r="H21169" s="83"/>
      <c r="K21169" s="82"/>
      <c r="M21169" s="112"/>
      <c r="N21169" s="84"/>
    </row>
    <row r="21170" spans="1:14" s="2" customFormat="1">
      <c r="A21170" s="83"/>
      <c r="H21170" s="83"/>
      <c r="K21170" s="82"/>
      <c r="M21170" s="112"/>
      <c r="N21170" s="84"/>
    </row>
    <row r="21171" spans="1:14" s="2" customFormat="1">
      <c r="A21171" s="83"/>
      <c r="H21171" s="83"/>
      <c r="K21171" s="82"/>
      <c r="M21171" s="112"/>
      <c r="N21171" s="84"/>
    </row>
    <row r="21172" spans="1:14" s="2" customFormat="1">
      <c r="A21172" s="83"/>
      <c r="H21172" s="83"/>
      <c r="K21172" s="82"/>
      <c r="M21172" s="112"/>
      <c r="N21172" s="84"/>
    </row>
    <row r="21173" spans="1:14" s="2" customFormat="1">
      <c r="A21173" s="83"/>
      <c r="H21173" s="83"/>
      <c r="K21173" s="82"/>
      <c r="M21173" s="112"/>
      <c r="N21173" s="84"/>
    </row>
    <row r="21174" spans="1:14" s="2" customFormat="1">
      <c r="A21174" s="83"/>
      <c r="H21174" s="83"/>
      <c r="K21174" s="82"/>
      <c r="M21174" s="112"/>
      <c r="N21174" s="84"/>
    </row>
    <row r="21175" spans="1:14" s="2" customFormat="1">
      <c r="A21175" s="83"/>
      <c r="H21175" s="83"/>
      <c r="K21175" s="82"/>
      <c r="M21175" s="112"/>
      <c r="N21175" s="84"/>
    </row>
    <row r="21176" spans="1:14" s="2" customFormat="1">
      <c r="A21176" s="83"/>
      <c r="H21176" s="83"/>
      <c r="K21176" s="82"/>
      <c r="M21176" s="112"/>
      <c r="N21176" s="84"/>
    </row>
    <row r="21177" spans="1:14" s="2" customFormat="1">
      <c r="A21177" s="83"/>
      <c r="H21177" s="83"/>
      <c r="K21177" s="82"/>
      <c r="M21177" s="112"/>
      <c r="N21177" s="84"/>
    </row>
    <row r="21178" spans="1:14" s="2" customFormat="1">
      <c r="A21178" s="83"/>
      <c r="H21178" s="83"/>
      <c r="K21178" s="82"/>
      <c r="M21178" s="112"/>
      <c r="N21178" s="84"/>
    </row>
    <row r="21179" spans="1:14" s="2" customFormat="1">
      <c r="A21179" s="83"/>
      <c r="H21179" s="83"/>
      <c r="K21179" s="82"/>
      <c r="M21179" s="112"/>
      <c r="N21179" s="84"/>
    </row>
    <row r="21180" spans="1:14" s="2" customFormat="1">
      <c r="A21180" s="83"/>
      <c r="H21180" s="83"/>
      <c r="K21180" s="82"/>
      <c r="M21180" s="112"/>
      <c r="N21180" s="84"/>
    </row>
    <row r="21181" spans="1:14" s="2" customFormat="1">
      <c r="A21181" s="83"/>
      <c r="H21181" s="83"/>
      <c r="K21181" s="82"/>
      <c r="M21181" s="112"/>
      <c r="N21181" s="84"/>
    </row>
    <row r="21182" spans="1:14" s="2" customFormat="1">
      <c r="A21182" s="83"/>
      <c r="H21182" s="83"/>
      <c r="K21182" s="82"/>
      <c r="M21182" s="112"/>
      <c r="N21182" s="84"/>
    </row>
    <row r="21183" spans="1:14" s="2" customFormat="1">
      <c r="A21183" s="83"/>
      <c r="H21183" s="83"/>
      <c r="K21183" s="82"/>
      <c r="M21183" s="112"/>
      <c r="N21183" s="84"/>
    </row>
    <row r="21184" spans="1:14" s="2" customFormat="1">
      <c r="A21184" s="83"/>
      <c r="H21184" s="83"/>
      <c r="K21184" s="82"/>
      <c r="M21184" s="112"/>
      <c r="N21184" s="84"/>
    </row>
    <row r="21185" spans="1:14" s="2" customFormat="1">
      <c r="A21185" s="83"/>
      <c r="H21185" s="83"/>
      <c r="K21185" s="82"/>
      <c r="M21185" s="112"/>
      <c r="N21185" s="84"/>
    </row>
    <row r="21186" spans="1:14" s="2" customFormat="1">
      <c r="A21186" s="83"/>
      <c r="H21186" s="83"/>
      <c r="K21186" s="82"/>
      <c r="M21186" s="112"/>
      <c r="N21186" s="84"/>
    </row>
    <row r="21187" spans="1:14" s="2" customFormat="1">
      <c r="A21187" s="83"/>
      <c r="H21187" s="83"/>
      <c r="K21187" s="82"/>
      <c r="M21187" s="112"/>
      <c r="N21187" s="84"/>
    </row>
    <row r="21188" spans="1:14" s="2" customFormat="1">
      <c r="A21188" s="83"/>
      <c r="H21188" s="83"/>
      <c r="K21188" s="82"/>
      <c r="M21188" s="112"/>
      <c r="N21188" s="84"/>
    </row>
    <row r="21189" spans="1:14" s="2" customFormat="1">
      <c r="A21189" s="83"/>
      <c r="H21189" s="83"/>
      <c r="K21189" s="82"/>
      <c r="M21189" s="112"/>
      <c r="N21189" s="84"/>
    </row>
    <row r="21190" spans="1:14" s="2" customFormat="1">
      <c r="A21190" s="83"/>
      <c r="H21190" s="83"/>
      <c r="K21190" s="82"/>
      <c r="M21190" s="112"/>
      <c r="N21190" s="84"/>
    </row>
    <row r="21191" spans="1:14" s="2" customFormat="1">
      <c r="A21191" s="83"/>
      <c r="H21191" s="83"/>
      <c r="K21191" s="82"/>
      <c r="M21191" s="112"/>
      <c r="N21191" s="84"/>
    </row>
    <row r="21192" spans="1:14" s="2" customFormat="1">
      <c r="A21192" s="83"/>
      <c r="H21192" s="83"/>
      <c r="K21192" s="82"/>
      <c r="M21192" s="112"/>
      <c r="N21192" s="84"/>
    </row>
    <row r="21193" spans="1:14" s="2" customFormat="1">
      <c r="A21193" s="83"/>
      <c r="H21193" s="83"/>
      <c r="K21193" s="82"/>
      <c r="M21193" s="112"/>
      <c r="N21193" s="84"/>
    </row>
    <row r="21194" spans="1:14" s="2" customFormat="1">
      <c r="A21194" s="83"/>
      <c r="H21194" s="83"/>
      <c r="K21194" s="82"/>
      <c r="M21194" s="112"/>
      <c r="N21194" s="84"/>
    </row>
    <row r="21195" spans="1:14" s="2" customFormat="1">
      <c r="A21195" s="83"/>
      <c r="H21195" s="83"/>
      <c r="K21195" s="82"/>
      <c r="M21195" s="112"/>
      <c r="N21195" s="84"/>
    </row>
    <row r="21196" spans="1:14" s="2" customFormat="1">
      <c r="A21196" s="83"/>
      <c r="H21196" s="83"/>
      <c r="K21196" s="82"/>
      <c r="M21196" s="112"/>
      <c r="N21196" s="84"/>
    </row>
    <row r="21197" spans="1:14" s="2" customFormat="1">
      <c r="A21197" s="83"/>
      <c r="H21197" s="83"/>
      <c r="K21197" s="82"/>
      <c r="M21197" s="112"/>
      <c r="N21197" s="84"/>
    </row>
    <row r="21198" spans="1:14" s="2" customFormat="1">
      <c r="A21198" s="83"/>
      <c r="H21198" s="83"/>
      <c r="K21198" s="82"/>
      <c r="M21198" s="112"/>
      <c r="N21198" s="84"/>
    </row>
    <row r="21199" spans="1:14" s="2" customFormat="1">
      <c r="A21199" s="83"/>
      <c r="H21199" s="83"/>
      <c r="K21199" s="82"/>
      <c r="M21199" s="112"/>
      <c r="N21199" s="84"/>
    </row>
    <row r="21200" spans="1:14" s="2" customFormat="1">
      <c r="A21200" s="83"/>
      <c r="H21200" s="83"/>
      <c r="K21200" s="82"/>
      <c r="M21200" s="112"/>
      <c r="N21200" s="84"/>
    </row>
    <row r="21201" spans="1:14" s="2" customFormat="1">
      <c r="A21201" s="83"/>
      <c r="H21201" s="83"/>
      <c r="K21201" s="82"/>
      <c r="M21201" s="112"/>
      <c r="N21201" s="84"/>
    </row>
    <row r="21202" spans="1:14" s="2" customFormat="1">
      <c r="A21202" s="83"/>
      <c r="H21202" s="83"/>
      <c r="K21202" s="82"/>
      <c r="M21202" s="112"/>
      <c r="N21202" s="84"/>
    </row>
    <row r="21203" spans="1:14" s="2" customFormat="1">
      <c r="A21203" s="83"/>
      <c r="H21203" s="83"/>
      <c r="K21203" s="82"/>
      <c r="M21203" s="112"/>
      <c r="N21203" s="84"/>
    </row>
    <row r="21204" spans="1:14" s="2" customFormat="1">
      <c r="A21204" s="83"/>
      <c r="H21204" s="83"/>
      <c r="K21204" s="82"/>
      <c r="M21204" s="112"/>
      <c r="N21204" s="84"/>
    </row>
    <row r="21205" spans="1:14" s="2" customFormat="1">
      <c r="A21205" s="83"/>
      <c r="H21205" s="83"/>
      <c r="K21205" s="82"/>
      <c r="M21205" s="112"/>
      <c r="N21205" s="84"/>
    </row>
    <row r="21206" spans="1:14" s="2" customFormat="1">
      <c r="A21206" s="83"/>
      <c r="H21206" s="83"/>
      <c r="K21206" s="82"/>
      <c r="M21206" s="112"/>
      <c r="N21206" s="84"/>
    </row>
    <row r="21207" spans="1:14" s="2" customFormat="1">
      <c r="A21207" s="83"/>
      <c r="H21207" s="83"/>
      <c r="K21207" s="82"/>
      <c r="M21207" s="112"/>
      <c r="N21207" s="84"/>
    </row>
    <row r="21208" spans="1:14" s="2" customFormat="1">
      <c r="A21208" s="83"/>
      <c r="H21208" s="83"/>
      <c r="K21208" s="82"/>
      <c r="M21208" s="112"/>
      <c r="N21208" s="84"/>
    </row>
    <row r="21209" spans="1:14" s="2" customFormat="1">
      <c r="A21209" s="83"/>
      <c r="H21209" s="83"/>
      <c r="K21209" s="82"/>
      <c r="M21209" s="112"/>
      <c r="N21209" s="84"/>
    </row>
    <row r="21210" spans="1:14" s="2" customFormat="1">
      <c r="A21210" s="83"/>
      <c r="H21210" s="83"/>
      <c r="K21210" s="82"/>
      <c r="M21210" s="112"/>
      <c r="N21210" s="84"/>
    </row>
    <row r="21211" spans="1:14" s="2" customFormat="1">
      <c r="A21211" s="83"/>
      <c r="H21211" s="83"/>
      <c r="K21211" s="82"/>
      <c r="M21211" s="112"/>
      <c r="N21211" s="84"/>
    </row>
    <row r="21212" spans="1:14" s="2" customFormat="1">
      <c r="A21212" s="83"/>
      <c r="H21212" s="83"/>
      <c r="K21212" s="82"/>
      <c r="M21212" s="112"/>
      <c r="N21212" s="84"/>
    </row>
    <row r="21213" spans="1:14" s="2" customFormat="1">
      <c r="A21213" s="83"/>
      <c r="H21213" s="83"/>
      <c r="K21213" s="82"/>
      <c r="M21213" s="112"/>
      <c r="N21213" s="84"/>
    </row>
    <row r="21214" spans="1:14" s="2" customFormat="1">
      <c r="A21214" s="83"/>
      <c r="H21214" s="83"/>
      <c r="K21214" s="82"/>
      <c r="M21214" s="112"/>
      <c r="N21214" s="84"/>
    </row>
    <row r="21215" spans="1:14" s="2" customFormat="1">
      <c r="A21215" s="83"/>
      <c r="H21215" s="83"/>
      <c r="K21215" s="82"/>
      <c r="M21215" s="112"/>
      <c r="N21215" s="84"/>
    </row>
    <row r="21216" spans="1:14" s="2" customFormat="1">
      <c r="A21216" s="83"/>
      <c r="H21216" s="83"/>
      <c r="K21216" s="82"/>
      <c r="M21216" s="112"/>
      <c r="N21216" s="84"/>
    </row>
    <row r="21217" spans="1:14" s="2" customFormat="1">
      <c r="A21217" s="83"/>
      <c r="H21217" s="83"/>
      <c r="K21217" s="82"/>
      <c r="M21217" s="112"/>
      <c r="N21217" s="84"/>
    </row>
    <row r="21218" spans="1:14" s="2" customFormat="1">
      <c r="A21218" s="83"/>
      <c r="H21218" s="83"/>
      <c r="K21218" s="82"/>
      <c r="M21218" s="112"/>
      <c r="N21218" s="84"/>
    </row>
    <row r="21219" spans="1:14" s="2" customFormat="1">
      <c r="A21219" s="83"/>
      <c r="H21219" s="83"/>
      <c r="K21219" s="82"/>
      <c r="M21219" s="112"/>
      <c r="N21219" s="84"/>
    </row>
    <row r="21220" spans="1:14" s="2" customFormat="1">
      <c r="A21220" s="83"/>
      <c r="H21220" s="83"/>
      <c r="K21220" s="82"/>
      <c r="M21220" s="112"/>
      <c r="N21220" s="84"/>
    </row>
    <row r="21221" spans="1:14" s="2" customFormat="1">
      <c r="A21221" s="83"/>
      <c r="H21221" s="83"/>
      <c r="K21221" s="82"/>
      <c r="M21221" s="112"/>
      <c r="N21221" s="84"/>
    </row>
    <row r="21222" spans="1:14" s="2" customFormat="1">
      <c r="A21222" s="83"/>
      <c r="H21222" s="83"/>
      <c r="K21222" s="82"/>
      <c r="M21222" s="112"/>
      <c r="N21222" s="84"/>
    </row>
    <row r="21223" spans="1:14" s="2" customFormat="1">
      <c r="A21223" s="83"/>
      <c r="H21223" s="83"/>
      <c r="K21223" s="82"/>
      <c r="M21223" s="112"/>
      <c r="N21223" s="84"/>
    </row>
    <row r="21224" spans="1:14" s="2" customFormat="1">
      <c r="A21224" s="83"/>
      <c r="H21224" s="83"/>
      <c r="K21224" s="82"/>
      <c r="M21224" s="112"/>
      <c r="N21224" s="84"/>
    </row>
    <row r="21225" spans="1:14" s="2" customFormat="1">
      <c r="A21225" s="83"/>
      <c r="H21225" s="83"/>
      <c r="K21225" s="82"/>
      <c r="M21225" s="112"/>
      <c r="N21225" s="84"/>
    </row>
    <row r="21226" spans="1:14" s="2" customFormat="1">
      <c r="A21226" s="83"/>
      <c r="H21226" s="83"/>
      <c r="K21226" s="82"/>
      <c r="M21226" s="112"/>
      <c r="N21226" s="84"/>
    </row>
    <row r="21227" spans="1:14" s="2" customFormat="1">
      <c r="A21227" s="83"/>
      <c r="H21227" s="83"/>
      <c r="K21227" s="82"/>
      <c r="M21227" s="112"/>
      <c r="N21227" s="84"/>
    </row>
    <row r="21228" spans="1:14" s="2" customFormat="1">
      <c r="A21228" s="83"/>
      <c r="H21228" s="83"/>
      <c r="K21228" s="82"/>
      <c r="M21228" s="112"/>
      <c r="N21228" s="84"/>
    </row>
    <row r="21229" spans="1:14" s="2" customFormat="1">
      <c r="A21229" s="83"/>
      <c r="H21229" s="83"/>
      <c r="K21229" s="82"/>
      <c r="M21229" s="112"/>
      <c r="N21229" s="84"/>
    </row>
    <row r="21230" spans="1:14" s="2" customFormat="1">
      <c r="A21230" s="83"/>
      <c r="H21230" s="83"/>
      <c r="K21230" s="82"/>
      <c r="M21230" s="112"/>
      <c r="N21230" s="84"/>
    </row>
    <row r="21231" spans="1:14" s="2" customFormat="1">
      <c r="A21231" s="83"/>
      <c r="H21231" s="83"/>
      <c r="K21231" s="82"/>
      <c r="M21231" s="112"/>
      <c r="N21231" s="84"/>
    </row>
    <row r="21232" spans="1:14" s="2" customFormat="1">
      <c r="A21232" s="83"/>
      <c r="H21232" s="83"/>
      <c r="K21232" s="82"/>
      <c r="M21232" s="112"/>
      <c r="N21232" s="84"/>
    </row>
    <row r="21233" spans="1:14" s="2" customFormat="1">
      <c r="A21233" s="83"/>
      <c r="H21233" s="83"/>
      <c r="K21233" s="82"/>
      <c r="M21233" s="112"/>
      <c r="N21233" s="84"/>
    </row>
    <row r="21234" spans="1:14" s="2" customFormat="1">
      <c r="A21234" s="83"/>
      <c r="H21234" s="83"/>
      <c r="K21234" s="82"/>
      <c r="M21234" s="112"/>
      <c r="N21234" s="84"/>
    </row>
    <row r="21235" spans="1:14" s="2" customFormat="1">
      <c r="A21235" s="83"/>
      <c r="H21235" s="83"/>
      <c r="K21235" s="82"/>
      <c r="M21235" s="112"/>
      <c r="N21235" s="84"/>
    </row>
    <row r="21236" spans="1:14" s="2" customFormat="1">
      <c r="A21236" s="83"/>
      <c r="H21236" s="83"/>
      <c r="K21236" s="82"/>
      <c r="M21236" s="112"/>
      <c r="N21236" s="84"/>
    </row>
    <row r="21237" spans="1:14" s="2" customFormat="1">
      <c r="A21237" s="83"/>
      <c r="H21237" s="83"/>
      <c r="K21237" s="82"/>
      <c r="M21237" s="112"/>
      <c r="N21237" s="84"/>
    </row>
    <row r="21238" spans="1:14" s="2" customFormat="1">
      <c r="A21238" s="83"/>
      <c r="H21238" s="83"/>
      <c r="K21238" s="82"/>
      <c r="M21238" s="112"/>
      <c r="N21238" s="84"/>
    </row>
    <row r="21239" spans="1:14" s="2" customFormat="1">
      <c r="A21239" s="83"/>
      <c r="H21239" s="83"/>
      <c r="K21239" s="82"/>
      <c r="M21239" s="112"/>
      <c r="N21239" s="84"/>
    </row>
    <row r="21240" spans="1:14" s="2" customFormat="1">
      <c r="A21240" s="83"/>
      <c r="H21240" s="83"/>
      <c r="K21240" s="82"/>
      <c r="M21240" s="112"/>
      <c r="N21240" s="84"/>
    </row>
    <row r="21241" spans="1:14" s="2" customFormat="1">
      <c r="A21241" s="83"/>
      <c r="H21241" s="83"/>
      <c r="K21241" s="82"/>
      <c r="M21241" s="112"/>
      <c r="N21241" s="84"/>
    </row>
    <row r="21242" spans="1:14" s="2" customFormat="1">
      <c r="A21242" s="83"/>
      <c r="H21242" s="83"/>
      <c r="K21242" s="82"/>
      <c r="M21242" s="112"/>
      <c r="N21242" s="84"/>
    </row>
    <row r="21243" spans="1:14" s="2" customFormat="1">
      <c r="A21243" s="83"/>
      <c r="H21243" s="83"/>
      <c r="K21243" s="82"/>
      <c r="M21243" s="112"/>
      <c r="N21243" s="84"/>
    </row>
    <row r="21244" spans="1:14" s="2" customFormat="1">
      <c r="A21244" s="83"/>
      <c r="H21244" s="83"/>
      <c r="K21244" s="82"/>
      <c r="M21244" s="112"/>
      <c r="N21244" s="84"/>
    </row>
    <row r="21245" spans="1:14" s="2" customFormat="1">
      <c r="A21245" s="83"/>
      <c r="H21245" s="83"/>
      <c r="K21245" s="82"/>
      <c r="M21245" s="112"/>
      <c r="N21245" s="84"/>
    </row>
    <row r="21246" spans="1:14" s="2" customFormat="1">
      <c r="A21246" s="83"/>
      <c r="H21246" s="83"/>
      <c r="K21246" s="82"/>
      <c r="M21246" s="112"/>
      <c r="N21246" s="84"/>
    </row>
    <row r="21247" spans="1:14" s="2" customFormat="1">
      <c r="A21247" s="83"/>
      <c r="H21247" s="83"/>
      <c r="K21247" s="82"/>
      <c r="M21247" s="112"/>
      <c r="N21247" s="84"/>
    </row>
    <row r="21248" spans="1:14" s="2" customFormat="1">
      <c r="A21248" s="83"/>
      <c r="H21248" s="83"/>
      <c r="K21248" s="82"/>
      <c r="M21248" s="112"/>
      <c r="N21248" s="84"/>
    </row>
    <row r="21249" spans="1:14" s="2" customFormat="1">
      <c r="A21249" s="83"/>
      <c r="H21249" s="83"/>
      <c r="K21249" s="82"/>
      <c r="M21249" s="112"/>
      <c r="N21249" s="84"/>
    </row>
    <row r="21250" spans="1:14" s="2" customFormat="1">
      <c r="A21250" s="83"/>
      <c r="H21250" s="83"/>
      <c r="K21250" s="82"/>
      <c r="M21250" s="112"/>
      <c r="N21250" s="84"/>
    </row>
    <row r="21251" spans="1:14" s="2" customFormat="1">
      <c r="A21251" s="83"/>
      <c r="H21251" s="83"/>
      <c r="K21251" s="82"/>
      <c r="M21251" s="112"/>
      <c r="N21251" s="84"/>
    </row>
    <row r="21252" spans="1:14" s="2" customFormat="1">
      <c r="A21252" s="83"/>
      <c r="H21252" s="83"/>
      <c r="K21252" s="82"/>
      <c r="M21252" s="112"/>
      <c r="N21252" s="84"/>
    </row>
    <row r="21253" spans="1:14" s="2" customFormat="1">
      <c r="A21253" s="83"/>
      <c r="H21253" s="83"/>
      <c r="K21253" s="82"/>
      <c r="M21253" s="112"/>
      <c r="N21253" s="84"/>
    </row>
    <row r="21254" spans="1:14" s="2" customFormat="1">
      <c r="A21254" s="83"/>
      <c r="H21254" s="83"/>
      <c r="K21254" s="82"/>
      <c r="M21254" s="112"/>
      <c r="N21254" s="84"/>
    </row>
    <row r="21255" spans="1:14" s="2" customFormat="1">
      <c r="A21255" s="83"/>
      <c r="H21255" s="83"/>
      <c r="K21255" s="82"/>
      <c r="M21255" s="112"/>
      <c r="N21255" s="84"/>
    </row>
    <row r="21256" spans="1:14" s="2" customFormat="1">
      <c r="A21256" s="83"/>
      <c r="H21256" s="83"/>
      <c r="K21256" s="82"/>
      <c r="M21256" s="112"/>
      <c r="N21256" s="84"/>
    </row>
    <row r="21257" spans="1:14" s="2" customFormat="1">
      <c r="A21257" s="83"/>
      <c r="H21257" s="83"/>
      <c r="K21257" s="82"/>
      <c r="M21257" s="112"/>
      <c r="N21257" s="84"/>
    </row>
    <row r="21258" spans="1:14" s="2" customFormat="1">
      <c r="A21258" s="83"/>
      <c r="H21258" s="83"/>
      <c r="K21258" s="82"/>
      <c r="M21258" s="112"/>
      <c r="N21258" s="84"/>
    </row>
    <row r="21259" spans="1:14" s="2" customFormat="1">
      <c r="A21259" s="83"/>
      <c r="H21259" s="83"/>
      <c r="K21259" s="82"/>
      <c r="M21259" s="112"/>
      <c r="N21259" s="84"/>
    </row>
    <row r="21260" spans="1:14" s="2" customFormat="1">
      <c r="A21260" s="83"/>
      <c r="H21260" s="83"/>
      <c r="K21260" s="82"/>
      <c r="M21260" s="112"/>
      <c r="N21260" s="84"/>
    </row>
    <row r="21261" spans="1:14" s="2" customFormat="1">
      <c r="A21261" s="83"/>
      <c r="H21261" s="83"/>
      <c r="K21261" s="82"/>
      <c r="M21261" s="112"/>
      <c r="N21261" s="84"/>
    </row>
    <row r="21262" spans="1:14" s="2" customFormat="1">
      <c r="A21262" s="83"/>
      <c r="H21262" s="83"/>
      <c r="K21262" s="82"/>
      <c r="M21262" s="112"/>
      <c r="N21262" s="84"/>
    </row>
    <row r="21263" spans="1:14" s="2" customFormat="1">
      <c r="A21263" s="83"/>
      <c r="H21263" s="83"/>
      <c r="K21263" s="82"/>
      <c r="M21263" s="112"/>
      <c r="N21263" s="84"/>
    </row>
    <row r="21264" spans="1:14" s="2" customFormat="1">
      <c r="A21264" s="83"/>
      <c r="H21264" s="83"/>
      <c r="K21264" s="82"/>
      <c r="M21264" s="112"/>
      <c r="N21264" s="84"/>
    </row>
    <row r="21265" spans="1:14" s="2" customFormat="1">
      <c r="A21265" s="83"/>
      <c r="H21265" s="83"/>
      <c r="K21265" s="82"/>
      <c r="M21265" s="112"/>
      <c r="N21265" s="84"/>
    </row>
    <row r="21266" spans="1:14" s="2" customFormat="1">
      <c r="A21266" s="83"/>
      <c r="H21266" s="83"/>
      <c r="K21266" s="82"/>
      <c r="M21266" s="112"/>
      <c r="N21266" s="84"/>
    </row>
    <row r="21267" spans="1:14" s="2" customFormat="1">
      <c r="A21267" s="83"/>
      <c r="H21267" s="83"/>
      <c r="K21267" s="82"/>
      <c r="M21267" s="112"/>
      <c r="N21267" s="84"/>
    </row>
    <row r="21268" spans="1:14" s="2" customFormat="1">
      <c r="A21268" s="83"/>
      <c r="H21268" s="83"/>
      <c r="K21268" s="82"/>
      <c r="M21268" s="112"/>
      <c r="N21268" s="84"/>
    </row>
    <row r="21269" spans="1:14" s="2" customFormat="1">
      <c r="A21269" s="83"/>
      <c r="H21269" s="83"/>
      <c r="K21269" s="82"/>
      <c r="M21269" s="112"/>
      <c r="N21269" s="84"/>
    </row>
    <row r="21270" spans="1:14" s="2" customFormat="1">
      <c r="A21270" s="83"/>
      <c r="H21270" s="83"/>
      <c r="K21270" s="82"/>
      <c r="M21270" s="112"/>
      <c r="N21270" s="84"/>
    </row>
    <row r="21271" spans="1:14" s="2" customFormat="1">
      <c r="A21271" s="83"/>
      <c r="H21271" s="83"/>
      <c r="K21271" s="82"/>
      <c r="M21271" s="112"/>
      <c r="N21271" s="84"/>
    </row>
    <row r="21272" spans="1:14" s="2" customFormat="1">
      <c r="A21272" s="83"/>
      <c r="H21272" s="83"/>
      <c r="K21272" s="82"/>
      <c r="M21272" s="112"/>
      <c r="N21272" s="84"/>
    </row>
    <row r="21273" spans="1:14" s="2" customFormat="1">
      <c r="A21273" s="83"/>
      <c r="H21273" s="83"/>
      <c r="K21273" s="82"/>
      <c r="M21273" s="112"/>
      <c r="N21273" s="84"/>
    </row>
    <row r="21274" spans="1:14" s="2" customFormat="1">
      <c r="A21274" s="83"/>
      <c r="H21274" s="83"/>
      <c r="K21274" s="82"/>
      <c r="M21274" s="112"/>
      <c r="N21274" s="84"/>
    </row>
    <row r="21275" spans="1:14" s="2" customFormat="1">
      <c r="A21275" s="83"/>
      <c r="H21275" s="83"/>
      <c r="K21275" s="82"/>
      <c r="M21275" s="112"/>
      <c r="N21275" s="84"/>
    </row>
    <row r="21276" spans="1:14" s="2" customFormat="1">
      <c r="A21276" s="83"/>
      <c r="H21276" s="83"/>
      <c r="K21276" s="82"/>
      <c r="M21276" s="112"/>
      <c r="N21276" s="84"/>
    </row>
    <row r="21277" spans="1:14" s="2" customFormat="1">
      <c r="A21277" s="83"/>
      <c r="H21277" s="83"/>
      <c r="K21277" s="82"/>
      <c r="M21277" s="112"/>
      <c r="N21277" s="84"/>
    </row>
    <row r="21278" spans="1:14" s="2" customFormat="1">
      <c r="A21278" s="83"/>
      <c r="H21278" s="83"/>
      <c r="K21278" s="82"/>
      <c r="M21278" s="112"/>
      <c r="N21278" s="84"/>
    </row>
    <row r="21279" spans="1:14" s="2" customFormat="1">
      <c r="A21279" s="83"/>
      <c r="H21279" s="83"/>
      <c r="K21279" s="82"/>
      <c r="M21279" s="112"/>
      <c r="N21279" s="84"/>
    </row>
    <row r="21280" spans="1:14" s="2" customFormat="1">
      <c r="A21280" s="83"/>
      <c r="H21280" s="83"/>
      <c r="K21280" s="82"/>
      <c r="M21280" s="112"/>
      <c r="N21280" s="84"/>
    </row>
    <row r="21281" spans="1:14" s="2" customFormat="1">
      <c r="A21281" s="83"/>
      <c r="H21281" s="83"/>
      <c r="K21281" s="82"/>
      <c r="M21281" s="112"/>
      <c r="N21281" s="84"/>
    </row>
    <row r="21282" spans="1:14" s="2" customFormat="1">
      <c r="A21282" s="83"/>
      <c r="H21282" s="83"/>
      <c r="K21282" s="82"/>
      <c r="M21282" s="112"/>
      <c r="N21282" s="84"/>
    </row>
    <row r="21283" spans="1:14" s="2" customFormat="1">
      <c r="A21283" s="83"/>
      <c r="H21283" s="83"/>
      <c r="K21283" s="82"/>
      <c r="M21283" s="112"/>
      <c r="N21283" s="84"/>
    </row>
    <row r="21284" spans="1:14" s="2" customFormat="1">
      <c r="A21284" s="83"/>
      <c r="H21284" s="83"/>
      <c r="K21284" s="82"/>
      <c r="M21284" s="112"/>
      <c r="N21284" s="84"/>
    </row>
    <row r="21285" spans="1:14" s="2" customFormat="1">
      <c r="A21285" s="83"/>
      <c r="H21285" s="83"/>
      <c r="K21285" s="82"/>
      <c r="M21285" s="112"/>
      <c r="N21285" s="84"/>
    </row>
    <row r="21286" spans="1:14" s="2" customFormat="1">
      <c r="A21286" s="83"/>
      <c r="H21286" s="83"/>
      <c r="K21286" s="82"/>
      <c r="M21286" s="112"/>
      <c r="N21286" s="84"/>
    </row>
    <row r="21287" spans="1:14" s="2" customFormat="1">
      <c r="A21287" s="83"/>
      <c r="H21287" s="83"/>
      <c r="K21287" s="82"/>
      <c r="M21287" s="112"/>
      <c r="N21287" s="84"/>
    </row>
    <row r="21288" spans="1:14" s="2" customFormat="1">
      <c r="A21288" s="83"/>
      <c r="H21288" s="83"/>
      <c r="K21288" s="82"/>
      <c r="M21288" s="112"/>
      <c r="N21288" s="84"/>
    </row>
    <row r="21289" spans="1:14" s="2" customFormat="1">
      <c r="A21289" s="83"/>
      <c r="H21289" s="83"/>
      <c r="K21289" s="82"/>
      <c r="M21289" s="112"/>
      <c r="N21289" s="84"/>
    </row>
    <row r="21290" spans="1:14" s="2" customFormat="1">
      <c r="A21290" s="83"/>
      <c r="H21290" s="83"/>
      <c r="K21290" s="82"/>
      <c r="M21290" s="112"/>
      <c r="N21290" s="84"/>
    </row>
    <row r="21291" spans="1:14" s="2" customFormat="1">
      <c r="A21291" s="83"/>
      <c r="H21291" s="83"/>
      <c r="K21291" s="82"/>
      <c r="M21291" s="112"/>
      <c r="N21291" s="84"/>
    </row>
    <row r="21292" spans="1:14" s="2" customFormat="1">
      <c r="A21292" s="83"/>
      <c r="H21292" s="83"/>
      <c r="K21292" s="82"/>
      <c r="M21292" s="112"/>
      <c r="N21292" s="84"/>
    </row>
    <row r="21293" spans="1:14" s="2" customFormat="1">
      <c r="A21293" s="83"/>
      <c r="H21293" s="83"/>
      <c r="K21293" s="82"/>
      <c r="M21293" s="112"/>
      <c r="N21293" s="84"/>
    </row>
    <row r="21294" spans="1:14" s="2" customFormat="1">
      <c r="A21294" s="83"/>
      <c r="H21294" s="83"/>
      <c r="K21294" s="82"/>
      <c r="M21294" s="112"/>
      <c r="N21294" s="84"/>
    </row>
    <row r="21295" spans="1:14" s="2" customFormat="1">
      <c r="A21295" s="83"/>
      <c r="H21295" s="83"/>
      <c r="K21295" s="82"/>
      <c r="M21295" s="112"/>
      <c r="N21295" s="84"/>
    </row>
    <row r="21296" spans="1:14" s="2" customFormat="1">
      <c r="A21296" s="83"/>
      <c r="H21296" s="83"/>
      <c r="K21296" s="82"/>
      <c r="M21296" s="112"/>
      <c r="N21296" s="84"/>
    </row>
    <row r="21297" spans="1:14" s="2" customFormat="1">
      <c r="A21297" s="83"/>
      <c r="H21297" s="83"/>
      <c r="K21297" s="82"/>
      <c r="M21297" s="112"/>
      <c r="N21297" s="84"/>
    </row>
    <row r="21298" spans="1:14" s="2" customFormat="1">
      <c r="A21298" s="83"/>
      <c r="H21298" s="83"/>
      <c r="K21298" s="82"/>
      <c r="M21298" s="112"/>
      <c r="N21298" s="84"/>
    </row>
    <row r="21299" spans="1:14" s="2" customFormat="1">
      <c r="A21299" s="83"/>
      <c r="H21299" s="83"/>
      <c r="K21299" s="82"/>
      <c r="M21299" s="112"/>
      <c r="N21299" s="84"/>
    </row>
    <row r="21300" spans="1:14" s="2" customFormat="1">
      <c r="A21300" s="83"/>
      <c r="H21300" s="83"/>
      <c r="K21300" s="82"/>
      <c r="M21300" s="112"/>
      <c r="N21300" s="84"/>
    </row>
    <row r="21301" spans="1:14" s="2" customFormat="1">
      <c r="A21301" s="83"/>
      <c r="H21301" s="83"/>
      <c r="K21301" s="82"/>
      <c r="M21301" s="112"/>
      <c r="N21301" s="84"/>
    </row>
    <row r="21302" spans="1:14" s="2" customFormat="1">
      <c r="A21302" s="83"/>
      <c r="H21302" s="83"/>
      <c r="K21302" s="82"/>
      <c r="M21302" s="112"/>
      <c r="N21302" s="84"/>
    </row>
    <row r="21303" spans="1:14" s="2" customFormat="1">
      <c r="A21303" s="83"/>
      <c r="H21303" s="83"/>
      <c r="K21303" s="82"/>
      <c r="M21303" s="112"/>
      <c r="N21303" s="84"/>
    </row>
    <row r="21304" spans="1:14" s="2" customFormat="1">
      <c r="A21304" s="83"/>
      <c r="H21304" s="83"/>
      <c r="K21304" s="82"/>
      <c r="M21304" s="112"/>
      <c r="N21304" s="84"/>
    </row>
    <row r="21305" spans="1:14" s="2" customFormat="1">
      <c r="A21305" s="83"/>
      <c r="H21305" s="83"/>
      <c r="K21305" s="82"/>
      <c r="M21305" s="112"/>
      <c r="N21305" s="84"/>
    </row>
    <row r="21306" spans="1:14" s="2" customFormat="1">
      <c r="A21306" s="83"/>
      <c r="H21306" s="83"/>
      <c r="K21306" s="82"/>
      <c r="M21306" s="112"/>
      <c r="N21306" s="84"/>
    </row>
    <row r="21307" spans="1:14" s="2" customFormat="1">
      <c r="A21307" s="83"/>
      <c r="H21307" s="83"/>
      <c r="K21307" s="82"/>
      <c r="M21307" s="112"/>
      <c r="N21307" s="84"/>
    </row>
    <row r="21308" spans="1:14" s="2" customFormat="1">
      <c r="A21308" s="83"/>
      <c r="H21308" s="83"/>
      <c r="K21308" s="82"/>
      <c r="M21308" s="112"/>
      <c r="N21308" s="84"/>
    </row>
    <row r="21309" spans="1:14" s="2" customFormat="1">
      <c r="A21309" s="83"/>
      <c r="H21309" s="83"/>
      <c r="K21309" s="82"/>
      <c r="M21309" s="112"/>
      <c r="N21309" s="84"/>
    </row>
    <row r="21310" spans="1:14" s="2" customFormat="1">
      <c r="A21310" s="83"/>
      <c r="H21310" s="83"/>
      <c r="K21310" s="82"/>
      <c r="M21310" s="112"/>
      <c r="N21310" s="84"/>
    </row>
    <row r="21311" spans="1:14" s="2" customFormat="1">
      <c r="A21311" s="83"/>
      <c r="H21311" s="83"/>
      <c r="K21311" s="82"/>
      <c r="M21311" s="112"/>
      <c r="N21311" s="84"/>
    </row>
    <row r="21312" spans="1:14" s="2" customFormat="1">
      <c r="A21312" s="83"/>
      <c r="H21312" s="83"/>
      <c r="K21312" s="82"/>
      <c r="M21312" s="112"/>
      <c r="N21312" s="84"/>
    </row>
    <row r="21313" spans="1:14" s="2" customFormat="1">
      <c r="A21313" s="83"/>
      <c r="H21313" s="83"/>
      <c r="K21313" s="82"/>
      <c r="M21313" s="112"/>
      <c r="N21313" s="84"/>
    </row>
    <row r="21314" spans="1:14" s="2" customFormat="1">
      <c r="A21314" s="83"/>
      <c r="H21314" s="83"/>
      <c r="K21314" s="82"/>
      <c r="M21314" s="112"/>
      <c r="N21314" s="84"/>
    </row>
    <row r="21315" spans="1:14" s="2" customFormat="1">
      <c r="A21315" s="83"/>
      <c r="H21315" s="83"/>
      <c r="K21315" s="82"/>
      <c r="M21315" s="112"/>
      <c r="N21315" s="84"/>
    </row>
    <row r="21316" spans="1:14" s="2" customFormat="1">
      <c r="A21316" s="83"/>
      <c r="H21316" s="83"/>
      <c r="K21316" s="82"/>
      <c r="M21316" s="112"/>
      <c r="N21316" s="84"/>
    </row>
    <row r="21317" spans="1:14" s="2" customFormat="1">
      <c r="A21317" s="83"/>
      <c r="H21317" s="83"/>
      <c r="K21317" s="82"/>
      <c r="M21317" s="112"/>
      <c r="N21317" s="84"/>
    </row>
    <row r="21318" spans="1:14" s="2" customFormat="1">
      <c r="A21318" s="83"/>
      <c r="H21318" s="83"/>
      <c r="K21318" s="82"/>
      <c r="M21318" s="112"/>
      <c r="N21318" s="84"/>
    </row>
    <row r="21319" spans="1:14" s="2" customFormat="1">
      <c r="A21319" s="83"/>
      <c r="H21319" s="83"/>
      <c r="K21319" s="82"/>
      <c r="M21319" s="112"/>
      <c r="N21319" s="84"/>
    </row>
    <row r="21320" spans="1:14" s="2" customFormat="1">
      <c r="A21320" s="83"/>
      <c r="H21320" s="83"/>
      <c r="K21320" s="82"/>
      <c r="M21320" s="112"/>
      <c r="N21320" s="84"/>
    </row>
    <row r="21321" spans="1:14" s="2" customFormat="1">
      <c r="A21321" s="83"/>
      <c r="H21321" s="83"/>
      <c r="K21321" s="82"/>
      <c r="M21321" s="112"/>
      <c r="N21321" s="84"/>
    </row>
    <row r="21322" spans="1:14" s="2" customFormat="1">
      <c r="A21322" s="83"/>
      <c r="H21322" s="83"/>
      <c r="K21322" s="82"/>
      <c r="M21322" s="112"/>
      <c r="N21322" s="84"/>
    </row>
    <row r="21323" spans="1:14" s="2" customFormat="1">
      <c r="A21323" s="83"/>
      <c r="H21323" s="83"/>
      <c r="K21323" s="82"/>
      <c r="M21323" s="112"/>
      <c r="N21323" s="84"/>
    </row>
    <row r="21324" spans="1:14" s="2" customFormat="1">
      <c r="A21324" s="83"/>
      <c r="H21324" s="83"/>
      <c r="K21324" s="82"/>
      <c r="M21324" s="112"/>
      <c r="N21324" s="84"/>
    </row>
    <row r="21325" spans="1:14" s="2" customFormat="1">
      <c r="A21325" s="83"/>
      <c r="H21325" s="83"/>
      <c r="K21325" s="82"/>
      <c r="M21325" s="112"/>
      <c r="N21325" s="84"/>
    </row>
    <row r="21326" spans="1:14" s="2" customFormat="1">
      <c r="A21326" s="83"/>
      <c r="H21326" s="83"/>
      <c r="K21326" s="82"/>
      <c r="M21326" s="112"/>
      <c r="N21326" s="84"/>
    </row>
    <row r="21327" spans="1:14" s="2" customFormat="1">
      <c r="A21327" s="83"/>
      <c r="H21327" s="83"/>
      <c r="K21327" s="82"/>
      <c r="M21327" s="112"/>
      <c r="N21327" s="84"/>
    </row>
    <row r="21328" spans="1:14" s="2" customFormat="1">
      <c r="A21328" s="83"/>
      <c r="H21328" s="83"/>
      <c r="K21328" s="82"/>
      <c r="M21328" s="112"/>
      <c r="N21328" s="84"/>
    </row>
    <row r="21329" spans="1:14" s="2" customFormat="1">
      <c r="A21329" s="83"/>
      <c r="H21329" s="83"/>
      <c r="K21329" s="82"/>
      <c r="M21329" s="112"/>
      <c r="N21329" s="84"/>
    </row>
    <row r="21330" spans="1:14" s="2" customFormat="1">
      <c r="A21330" s="83"/>
      <c r="H21330" s="83"/>
      <c r="K21330" s="82"/>
      <c r="M21330" s="112"/>
      <c r="N21330" s="84"/>
    </row>
    <row r="21331" spans="1:14" s="2" customFormat="1">
      <c r="A21331" s="83"/>
      <c r="H21331" s="83"/>
      <c r="K21331" s="82"/>
      <c r="M21331" s="112"/>
      <c r="N21331" s="84"/>
    </row>
    <row r="21332" spans="1:14" s="2" customFormat="1">
      <c r="A21332" s="83"/>
      <c r="H21332" s="83"/>
      <c r="K21332" s="82"/>
      <c r="M21332" s="112"/>
      <c r="N21332" s="84"/>
    </row>
    <row r="21333" spans="1:14" s="2" customFormat="1">
      <c r="A21333" s="83"/>
      <c r="H21333" s="83"/>
      <c r="K21333" s="82"/>
      <c r="M21333" s="112"/>
      <c r="N21333" s="84"/>
    </row>
    <row r="21334" spans="1:14" s="2" customFormat="1">
      <c r="A21334" s="83"/>
      <c r="H21334" s="83"/>
      <c r="K21334" s="82"/>
      <c r="M21334" s="112"/>
      <c r="N21334" s="84"/>
    </row>
    <row r="21335" spans="1:14" s="2" customFormat="1">
      <c r="A21335" s="83"/>
      <c r="H21335" s="83"/>
      <c r="K21335" s="82"/>
      <c r="M21335" s="112"/>
      <c r="N21335" s="84"/>
    </row>
    <row r="21336" spans="1:14" s="2" customFormat="1">
      <c r="A21336" s="83"/>
      <c r="H21336" s="83"/>
      <c r="K21336" s="82"/>
      <c r="M21336" s="112"/>
      <c r="N21336" s="84"/>
    </row>
    <row r="21337" spans="1:14" s="2" customFormat="1">
      <c r="A21337" s="83"/>
      <c r="H21337" s="83"/>
      <c r="K21337" s="82"/>
      <c r="M21337" s="112"/>
      <c r="N21337" s="84"/>
    </row>
    <row r="21338" spans="1:14" s="2" customFormat="1">
      <c r="A21338" s="83"/>
      <c r="H21338" s="83"/>
      <c r="K21338" s="82"/>
      <c r="M21338" s="112"/>
      <c r="N21338" s="84"/>
    </row>
    <row r="21339" spans="1:14" s="2" customFormat="1">
      <c r="A21339" s="83"/>
      <c r="H21339" s="83"/>
      <c r="K21339" s="82"/>
      <c r="M21339" s="112"/>
      <c r="N21339" s="84"/>
    </row>
    <row r="21340" spans="1:14" s="2" customFormat="1">
      <c r="A21340" s="83"/>
      <c r="H21340" s="83"/>
      <c r="K21340" s="82"/>
      <c r="M21340" s="112"/>
      <c r="N21340" s="84"/>
    </row>
    <row r="21341" spans="1:14" s="2" customFormat="1">
      <c r="A21341" s="83"/>
      <c r="H21341" s="83"/>
      <c r="K21341" s="82"/>
      <c r="M21341" s="112"/>
      <c r="N21341" s="84"/>
    </row>
    <row r="21342" spans="1:14" s="2" customFormat="1">
      <c r="A21342" s="83"/>
      <c r="H21342" s="83"/>
      <c r="K21342" s="82"/>
      <c r="M21342" s="112"/>
      <c r="N21342" s="84"/>
    </row>
    <row r="21343" spans="1:14" s="2" customFormat="1">
      <c r="A21343" s="83"/>
      <c r="H21343" s="83"/>
      <c r="K21343" s="82"/>
      <c r="M21343" s="112"/>
      <c r="N21343" s="84"/>
    </row>
    <row r="21344" spans="1:14" s="2" customFormat="1">
      <c r="A21344" s="83"/>
      <c r="H21344" s="83"/>
      <c r="K21344" s="82"/>
      <c r="M21344" s="112"/>
      <c r="N21344" s="84"/>
    </row>
    <row r="21345" spans="1:14" s="2" customFormat="1">
      <c r="A21345" s="83"/>
      <c r="H21345" s="83"/>
      <c r="K21345" s="82"/>
      <c r="M21345" s="112"/>
      <c r="N21345" s="84"/>
    </row>
    <row r="21346" spans="1:14" s="2" customFormat="1">
      <c r="A21346" s="83"/>
      <c r="H21346" s="83"/>
      <c r="K21346" s="82"/>
      <c r="M21346" s="112"/>
      <c r="N21346" s="84"/>
    </row>
    <row r="21347" spans="1:14" s="2" customFormat="1">
      <c r="A21347" s="83"/>
      <c r="H21347" s="83"/>
      <c r="K21347" s="82"/>
      <c r="M21347" s="112"/>
      <c r="N21347" s="84"/>
    </row>
    <row r="21348" spans="1:14" s="2" customFormat="1">
      <c r="A21348" s="83"/>
      <c r="H21348" s="83"/>
      <c r="K21348" s="82"/>
      <c r="M21348" s="112"/>
      <c r="N21348" s="84"/>
    </row>
    <row r="21349" spans="1:14" s="2" customFormat="1">
      <c r="A21349" s="83"/>
      <c r="H21349" s="83"/>
      <c r="K21349" s="82"/>
      <c r="M21349" s="112"/>
      <c r="N21349" s="84"/>
    </row>
    <row r="21350" spans="1:14" s="2" customFormat="1">
      <c r="A21350" s="83"/>
      <c r="H21350" s="83"/>
      <c r="K21350" s="82"/>
      <c r="M21350" s="112"/>
      <c r="N21350" s="84"/>
    </row>
    <row r="21351" spans="1:14" s="2" customFormat="1">
      <c r="A21351" s="83"/>
      <c r="H21351" s="83"/>
      <c r="K21351" s="82"/>
      <c r="M21351" s="112"/>
      <c r="N21351" s="84"/>
    </row>
    <row r="21352" spans="1:14" s="2" customFormat="1">
      <c r="A21352" s="83"/>
      <c r="H21352" s="83"/>
      <c r="K21352" s="82"/>
      <c r="M21352" s="112"/>
      <c r="N21352" s="84"/>
    </row>
    <row r="21353" spans="1:14" s="2" customFormat="1">
      <c r="A21353" s="83"/>
      <c r="H21353" s="83"/>
      <c r="K21353" s="82"/>
      <c r="M21353" s="112"/>
      <c r="N21353" s="84"/>
    </row>
    <row r="21354" spans="1:14" s="2" customFormat="1">
      <c r="A21354" s="83"/>
      <c r="H21354" s="83"/>
      <c r="K21354" s="82"/>
      <c r="M21354" s="112"/>
      <c r="N21354" s="84"/>
    </row>
    <row r="21355" spans="1:14" s="2" customFormat="1">
      <c r="A21355" s="83"/>
      <c r="H21355" s="83"/>
      <c r="K21355" s="82"/>
      <c r="M21355" s="112"/>
      <c r="N21355" s="84"/>
    </row>
    <row r="21356" spans="1:14" s="2" customFormat="1">
      <c r="A21356" s="83"/>
      <c r="H21356" s="83"/>
      <c r="K21356" s="82"/>
      <c r="M21356" s="112"/>
      <c r="N21356" s="84"/>
    </row>
    <row r="21357" spans="1:14" s="2" customFormat="1">
      <c r="A21357" s="83"/>
      <c r="H21357" s="83"/>
      <c r="K21357" s="82"/>
      <c r="M21357" s="112"/>
      <c r="N21357" s="84"/>
    </row>
    <row r="21358" spans="1:14" s="2" customFormat="1">
      <c r="A21358" s="83"/>
      <c r="H21358" s="83"/>
      <c r="K21358" s="82"/>
      <c r="M21358" s="112"/>
      <c r="N21358" s="84"/>
    </row>
    <row r="21359" spans="1:14" s="2" customFormat="1">
      <c r="A21359" s="83"/>
      <c r="H21359" s="83"/>
      <c r="K21359" s="82"/>
      <c r="M21359" s="112"/>
      <c r="N21359" s="84"/>
    </row>
    <row r="21360" spans="1:14" s="2" customFormat="1">
      <c r="A21360" s="83"/>
      <c r="H21360" s="83"/>
      <c r="K21360" s="82"/>
      <c r="M21360" s="112"/>
      <c r="N21360" s="84"/>
    </row>
    <row r="21361" spans="1:14" s="2" customFormat="1">
      <c r="A21361" s="83"/>
      <c r="H21361" s="83"/>
      <c r="K21361" s="82"/>
      <c r="M21361" s="112"/>
      <c r="N21361" s="84"/>
    </row>
    <row r="21362" spans="1:14" s="2" customFormat="1">
      <c r="A21362" s="83"/>
      <c r="H21362" s="83"/>
      <c r="K21362" s="82"/>
      <c r="M21362" s="112"/>
      <c r="N21362" s="84"/>
    </row>
    <row r="21363" spans="1:14" s="2" customFormat="1">
      <c r="A21363" s="83"/>
      <c r="H21363" s="83"/>
      <c r="K21363" s="82"/>
      <c r="M21363" s="112"/>
      <c r="N21363" s="84"/>
    </row>
    <row r="21364" spans="1:14" s="2" customFormat="1">
      <c r="A21364" s="83"/>
      <c r="H21364" s="83"/>
      <c r="K21364" s="82"/>
      <c r="M21364" s="112"/>
      <c r="N21364" s="84"/>
    </row>
    <row r="21365" spans="1:14" s="2" customFormat="1">
      <c r="A21365" s="83"/>
      <c r="H21365" s="83"/>
      <c r="K21365" s="82"/>
      <c r="M21365" s="112"/>
      <c r="N21365" s="84"/>
    </row>
    <row r="21366" spans="1:14" s="2" customFormat="1">
      <c r="A21366" s="83"/>
      <c r="H21366" s="83"/>
      <c r="K21366" s="82"/>
      <c r="M21366" s="112"/>
      <c r="N21366" s="84"/>
    </row>
    <row r="21367" spans="1:14" s="2" customFormat="1">
      <c r="A21367" s="83"/>
      <c r="H21367" s="83"/>
      <c r="K21367" s="82"/>
      <c r="M21367" s="112"/>
      <c r="N21367" s="84"/>
    </row>
    <row r="21368" spans="1:14" s="2" customFormat="1">
      <c r="A21368" s="83"/>
      <c r="H21368" s="83"/>
      <c r="K21368" s="82"/>
      <c r="M21368" s="112"/>
      <c r="N21368" s="84"/>
    </row>
    <row r="21369" spans="1:14" s="2" customFormat="1">
      <c r="A21369" s="83"/>
      <c r="H21369" s="83"/>
      <c r="K21369" s="82"/>
      <c r="M21369" s="112"/>
      <c r="N21369" s="84"/>
    </row>
    <row r="21370" spans="1:14" s="2" customFormat="1">
      <c r="A21370" s="83"/>
      <c r="H21370" s="83"/>
      <c r="K21370" s="82"/>
      <c r="M21370" s="112"/>
      <c r="N21370" s="84"/>
    </row>
    <row r="21371" spans="1:14" s="2" customFormat="1">
      <c r="A21371" s="83"/>
      <c r="H21371" s="83"/>
      <c r="K21371" s="82"/>
      <c r="M21371" s="112"/>
      <c r="N21371" s="84"/>
    </row>
    <row r="21372" spans="1:14" s="2" customFormat="1">
      <c r="A21372" s="83"/>
      <c r="H21372" s="83"/>
      <c r="K21372" s="82"/>
      <c r="M21372" s="112"/>
      <c r="N21372" s="84"/>
    </row>
    <row r="21373" spans="1:14" s="2" customFormat="1">
      <c r="A21373" s="83"/>
      <c r="H21373" s="83"/>
      <c r="K21373" s="82"/>
      <c r="M21373" s="112"/>
      <c r="N21373" s="84"/>
    </row>
    <row r="21374" spans="1:14" s="2" customFormat="1">
      <c r="A21374" s="83"/>
      <c r="H21374" s="83"/>
      <c r="K21374" s="82"/>
      <c r="M21374" s="112"/>
      <c r="N21374" s="84"/>
    </row>
    <row r="21375" spans="1:14" s="2" customFormat="1">
      <c r="A21375" s="83"/>
      <c r="H21375" s="83"/>
      <c r="K21375" s="82"/>
      <c r="M21375" s="112"/>
      <c r="N21375" s="84"/>
    </row>
    <row r="21376" spans="1:14" s="2" customFormat="1">
      <c r="A21376" s="83"/>
      <c r="H21376" s="83"/>
      <c r="K21376" s="82"/>
      <c r="M21376" s="112"/>
      <c r="N21376" s="84"/>
    </row>
    <row r="21377" spans="1:14" s="2" customFormat="1">
      <c r="A21377" s="83"/>
      <c r="H21377" s="83"/>
      <c r="K21377" s="82"/>
      <c r="M21377" s="112"/>
      <c r="N21377" s="84"/>
    </row>
    <row r="21378" spans="1:14" s="2" customFormat="1">
      <c r="A21378" s="83"/>
      <c r="H21378" s="83"/>
      <c r="K21378" s="82"/>
      <c r="M21378" s="112"/>
      <c r="N21378" s="84"/>
    </row>
    <row r="21379" spans="1:14" s="2" customFormat="1">
      <c r="A21379" s="83"/>
      <c r="H21379" s="83"/>
      <c r="K21379" s="82"/>
      <c r="M21379" s="112"/>
      <c r="N21379" s="84"/>
    </row>
    <row r="21380" spans="1:14" s="2" customFormat="1">
      <c r="A21380" s="83"/>
      <c r="H21380" s="83"/>
      <c r="K21380" s="82"/>
      <c r="M21380" s="112"/>
      <c r="N21380" s="84"/>
    </row>
    <row r="21381" spans="1:14" s="2" customFormat="1">
      <c r="A21381" s="83"/>
      <c r="H21381" s="83"/>
      <c r="K21381" s="82"/>
      <c r="M21381" s="112"/>
      <c r="N21381" s="84"/>
    </row>
    <row r="21382" spans="1:14" s="2" customFormat="1">
      <c r="A21382" s="83"/>
      <c r="H21382" s="83"/>
      <c r="K21382" s="82"/>
      <c r="M21382" s="112"/>
      <c r="N21382" s="84"/>
    </row>
    <row r="21383" spans="1:14" s="2" customFormat="1">
      <c r="A21383" s="83"/>
      <c r="H21383" s="83"/>
      <c r="K21383" s="82"/>
      <c r="M21383" s="112"/>
      <c r="N21383" s="84"/>
    </row>
    <row r="21384" spans="1:14" s="2" customFormat="1">
      <c r="A21384" s="83"/>
      <c r="H21384" s="83"/>
      <c r="K21384" s="82"/>
      <c r="M21384" s="112"/>
      <c r="N21384" s="84"/>
    </row>
    <row r="21385" spans="1:14" s="2" customFormat="1">
      <c r="A21385" s="83"/>
      <c r="H21385" s="83"/>
      <c r="K21385" s="82"/>
      <c r="M21385" s="112"/>
      <c r="N21385" s="84"/>
    </row>
    <row r="21386" spans="1:14" s="2" customFormat="1">
      <c r="A21386" s="83"/>
      <c r="H21386" s="83"/>
      <c r="K21386" s="82"/>
      <c r="M21386" s="112"/>
      <c r="N21386" s="84"/>
    </row>
    <row r="21387" spans="1:14" s="2" customFormat="1">
      <c r="A21387" s="83"/>
      <c r="H21387" s="83"/>
      <c r="K21387" s="82"/>
      <c r="M21387" s="112"/>
      <c r="N21387" s="84"/>
    </row>
    <row r="21388" spans="1:14" s="2" customFormat="1">
      <c r="A21388" s="83"/>
      <c r="H21388" s="83"/>
      <c r="K21388" s="82"/>
      <c r="M21388" s="112"/>
      <c r="N21388" s="84"/>
    </row>
    <row r="21389" spans="1:14" s="2" customFormat="1">
      <c r="A21389" s="83"/>
      <c r="H21389" s="83"/>
      <c r="K21389" s="82"/>
      <c r="M21389" s="112"/>
      <c r="N21389" s="84"/>
    </row>
    <row r="21390" spans="1:14" s="2" customFormat="1">
      <c r="A21390" s="83"/>
      <c r="H21390" s="83"/>
      <c r="K21390" s="82"/>
      <c r="M21390" s="112"/>
      <c r="N21390" s="84"/>
    </row>
    <row r="21391" spans="1:14" s="2" customFormat="1">
      <c r="A21391" s="83"/>
      <c r="H21391" s="83"/>
      <c r="K21391" s="82"/>
      <c r="M21391" s="112"/>
      <c r="N21391" s="84"/>
    </row>
    <row r="21392" spans="1:14" s="2" customFormat="1">
      <c r="A21392" s="83"/>
      <c r="H21392" s="83"/>
      <c r="K21392" s="82"/>
      <c r="M21392" s="112"/>
      <c r="N21392" s="84"/>
    </row>
    <row r="21393" spans="1:14" s="2" customFormat="1">
      <c r="A21393" s="83"/>
      <c r="H21393" s="83"/>
      <c r="K21393" s="82"/>
      <c r="M21393" s="112"/>
      <c r="N21393" s="84"/>
    </row>
    <row r="21394" spans="1:14" s="2" customFormat="1">
      <c r="A21394" s="83"/>
      <c r="H21394" s="83"/>
      <c r="K21394" s="82"/>
      <c r="M21394" s="112"/>
      <c r="N21394" s="84"/>
    </row>
    <row r="21395" spans="1:14" s="2" customFormat="1">
      <c r="A21395" s="83"/>
      <c r="H21395" s="83"/>
      <c r="K21395" s="82"/>
      <c r="M21395" s="112"/>
      <c r="N21395" s="84"/>
    </row>
    <row r="21396" spans="1:14" s="2" customFormat="1">
      <c r="A21396" s="83"/>
      <c r="H21396" s="83"/>
      <c r="K21396" s="82"/>
      <c r="M21396" s="112"/>
      <c r="N21396" s="84"/>
    </row>
    <row r="21397" spans="1:14" s="2" customFormat="1">
      <c r="A21397" s="83"/>
      <c r="H21397" s="83"/>
      <c r="K21397" s="82"/>
      <c r="M21397" s="112"/>
      <c r="N21397" s="84"/>
    </row>
    <row r="21398" spans="1:14" s="2" customFormat="1">
      <c r="A21398" s="83"/>
      <c r="H21398" s="83"/>
      <c r="K21398" s="82"/>
      <c r="M21398" s="112"/>
      <c r="N21398" s="84"/>
    </row>
    <row r="21399" spans="1:14" s="2" customFormat="1">
      <c r="A21399" s="83"/>
      <c r="H21399" s="83"/>
      <c r="K21399" s="82"/>
      <c r="M21399" s="112"/>
      <c r="N21399" s="84"/>
    </row>
    <row r="21400" spans="1:14" s="2" customFormat="1">
      <c r="A21400" s="83"/>
      <c r="H21400" s="83"/>
      <c r="K21400" s="82"/>
      <c r="M21400" s="112"/>
      <c r="N21400" s="84"/>
    </row>
    <row r="21401" spans="1:14" s="2" customFormat="1">
      <c r="A21401" s="83"/>
      <c r="H21401" s="83"/>
      <c r="K21401" s="82"/>
      <c r="M21401" s="112"/>
      <c r="N21401" s="84"/>
    </row>
    <row r="21402" spans="1:14" s="2" customFormat="1">
      <c r="A21402" s="83"/>
      <c r="H21402" s="83"/>
      <c r="K21402" s="82"/>
      <c r="M21402" s="112"/>
      <c r="N21402" s="84"/>
    </row>
    <row r="21403" spans="1:14" s="2" customFormat="1">
      <c r="A21403" s="83"/>
      <c r="H21403" s="83"/>
      <c r="K21403" s="82"/>
      <c r="M21403" s="112"/>
      <c r="N21403" s="84"/>
    </row>
    <row r="21404" spans="1:14" s="2" customFormat="1">
      <c r="A21404" s="83"/>
      <c r="H21404" s="83"/>
      <c r="K21404" s="82"/>
      <c r="M21404" s="112"/>
      <c r="N21404" s="84"/>
    </row>
    <row r="21405" spans="1:14" s="2" customFormat="1">
      <c r="A21405" s="83"/>
      <c r="H21405" s="83"/>
      <c r="K21405" s="82"/>
      <c r="M21405" s="112"/>
      <c r="N21405" s="84"/>
    </row>
    <row r="21406" spans="1:14" s="2" customFormat="1">
      <c r="A21406" s="83"/>
      <c r="H21406" s="83"/>
      <c r="K21406" s="82"/>
      <c r="M21406" s="112"/>
      <c r="N21406" s="84"/>
    </row>
    <row r="21407" spans="1:14" s="2" customFormat="1">
      <c r="A21407" s="83"/>
      <c r="H21407" s="83"/>
      <c r="K21407" s="82"/>
      <c r="M21407" s="112"/>
      <c r="N21407" s="84"/>
    </row>
    <row r="21408" spans="1:14" s="2" customFormat="1">
      <c r="A21408" s="83"/>
      <c r="H21408" s="83"/>
      <c r="K21408" s="82"/>
      <c r="M21408" s="112"/>
      <c r="N21408" s="84"/>
    </row>
    <row r="21409" spans="1:14" s="2" customFormat="1">
      <c r="A21409" s="83"/>
      <c r="H21409" s="83"/>
      <c r="K21409" s="82"/>
      <c r="M21409" s="112"/>
      <c r="N21409" s="84"/>
    </row>
    <row r="21410" spans="1:14" s="2" customFormat="1">
      <c r="A21410" s="83"/>
      <c r="H21410" s="83"/>
      <c r="K21410" s="82"/>
      <c r="M21410" s="112"/>
      <c r="N21410" s="84"/>
    </row>
    <row r="21411" spans="1:14" s="2" customFormat="1">
      <c r="A21411" s="83"/>
      <c r="H21411" s="83"/>
      <c r="K21411" s="82"/>
      <c r="M21411" s="112"/>
      <c r="N21411" s="84"/>
    </row>
    <row r="21412" spans="1:14" s="2" customFormat="1">
      <c r="A21412" s="83"/>
      <c r="H21412" s="83"/>
      <c r="K21412" s="82"/>
      <c r="M21412" s="112"/>
      <c r="N21412" s="84"/>
    </row>
    <row r="21413" spans="1:14" s="2" customFormat="1">
      <c r="A21413" s="83"/>
      <c r="H21413" s="83"/>
      <c r="K21413" s="82"/>
      <c r="M21413" s="112"/>
      <c r="N21413" s="84"/>
    </row>
    <row r="21414" spans="1:14" s="2" customFormat="1">
      <c r="A21414" s="83"/>
      <c r="H21414" s="83"/>
      <c r="K21414" s="82"/>
      <c r="M21414" s="112"/>
      <c r="N21414" s="84"/>
    </row>
    <row r="21415" spans="1:14" s="2" customFormat="1">
      <c r="A21415" s="83"/>
      <c r="H21415" s="83"/>
      <c r="K21415" s="82"/>
      <c r="M21415" s="112"/>
      <c r="N21415" s="84"/>
    </row>
    <row r="21416" spans="1:14" s="2" customFormat="1">
      <c r="A21416" s="83"/>
      <c r="H21416" s="83"/>
      <c r="K21416" s="82"/>
      <c r="M21416" s="112"/>
      <c r="N21416" s="84"/>
    </row>
    <row r="21417" spans="1:14" s="2" customFormat="1">
      <c r="A21417" s="83"/>
      <c r="H21417" s="83"/>
      <c r="K21417" s="82"/>
      <c r="M21417" s="112"/>
      <c r="N21417" s="84"/>
    </row>
    <row r="21418" spans="1:14" s="2" customFormat="1">
      <c r="A21418" s="83"/>
      <c r="H21418" s="83"/>
      <c r="K21418" s="82"/>
      <c r="M21418" s="112"/>
      <c r="N21418" s="84"/>
    </row>
    <row r="21419" spans="1:14" s="2" customFormat="1">
      <c r="A21419" s="83"/>
      <c r="H21419" s="83"/>
      <c r="K21419" s="82"/>
      <c r="M21419" s="112"/>
      <c r="N21419" s="84"/>
    </row>
    <row r="21420" spans="1:14" s="2" customFormat="1">
      <c r="A21420" s="83"/>
      <c r="H21420" s="83"/>
      <c r="K21420" s="82"/>
      <c r="M21420" s="112"/>
      <c r="N21420" s="84"/>
    </row>
    <row r="21421" spans="1:14" s="2" customFormat="1">
      <c r="A21421" s="83"/>
      <c r="H21421" s="83"/>
      <c r="K21421" s="82"/>
      <c r="M21421" s="112"/>
      <c r="N21421" s="84"/>
    </row>
    <row r="21422" spans="1:14" s="2" customFormat="1">
      <c r="A21422" s="83"/>
      <c r="H21422" s="83"/>
      <c r="K21422" s="82"/>
      <c r="M21422" s="112"/>
      <c r="N21422" s="84"/>
    </row>
    <row r="21423" spans="1:14" s="2" customFormat="1">
      <c r="A21423" s="83"/>
      <c r="H21423" s="83"/>
      <c r="K21423" s="82"/>
      <c r="M21423" s="112"/>
      <c r="N21423" s="84"/>
    </row>
    <row r="21424" spans="1:14" s="2" customFormat="1">
      <c r="A21424" s="83"/>
      <c r="H21424" s="83"/>
      <c r="K21424" s="82"/>
      <c r="M21424" s="112"/>
      <c r="N21424" s="84"/>
    </row>
    <row r="21425" spans="1:14" s="2" customFormat="1">
      <c r="A21425" s="83"/>
      <c r="H21425" s="83"/>
      <c r="K21425" s="82"/>
      <c r="M21425" s="112"/>
      <c r="N21425" s="84"/>
    </row>
    <row r="21426" spans="1:14" s="2" customFormat="1">
      <c r="A21426" s="83"/>
      <c r="H21426" s="83"/>
      <c r="K21426" s="82"/>
      <c r="M21426" s="112"/>
      <c r="N21426" s="84"/>
    </row>
    <row r="21427" spans="1:14" s="2" customFormat="1">
      <c r="A21427" s="83"/>
      <c r="H21427" s="83"/>
      <c r="K21427" s="82"/>
      <c r="M21427" s="112"/>
      <c r="N21427" s="84"/>
    </row>
    <row r="21428" spans="1:14" s="2" customFormat="1">
      <c r="A21428" s="83"/>
      <c r="H21428" s="83"/>
      <c r="K21428" s="82"/>
      <c r="M21428" s="112"/>
      <c r="N21428" s="84"/>
    </row>
    <row r="21429" spans="1:14" s="2" customFormat="1">
      <c r="A21429" s="83"/>
      <c r="H21429" s="83"/>
      <c r="K21429" s="82"/>
      <c r="M21429" s="112"/>
      <c r="N21429" s="84"/>
    </row>
    <row r="21430" spans="1:14" s="2" customFormat="1">
      <c r="A21430" s="83"/>
      <c r="H21430" s="83"/>
      <c r="K21430" s="82"/>
      <c r="M21430" s="112"/>
      <c r="N21430" s="84"/>
    </row>
    <row r="21431" spans="1:14" s="2" customFormat="1">
      <c r="A21431" s="83"/>
      <c r="H21431" s="83"/>
      <c r="K21431" s="82"/>
      <c r="M21431" s="112"/>
      <c r="N21431" s="84"/>
    </row>
    <row r="21432" spans="1:14" s="2" customFormat="1">
      <c r="A21432" s="83"/>
      <c r="H21432" s="83"/>
      <c r="K21432" s="82"/>
      <c r="M21432" s="112"/>
      <c r="N21432" s="84"/>
    </row>
    <row r="21433" spans="1:14" s="2" customFormat="1">
      <c r="A21433" s="83"/>
      <c r="H21433" s="83"/>
      <c r="K21433" s="82"/>
      <c r="M21433" s="112"/>
      <c r="N21433" s="84"/>
    </row>
    <row r="21434" spans="1:14" s="2" customFormat="1">
      <c r="A21434" s="83"/>
      <c r="H21434" s="83"/>
      <c r="K21434" s="82"/>
      <c r="M21434" s="112"/>
      <c r="N21434" s="84"/>
    </row>
    <row r="21435" spans="1:14" s="2" customFormat="1">
      <c r="A21435" s="83"/>
      <c r="H21435" s="83"/>
      <c r="K21435" s="82"/>
      <c r="M21435" s="112"/>
      <c r="N21435" s="84"/>
    </row>
    <row r="21436" spans="1:14" s="2" customFormat="1">
      <c r="A21436" s="83"/>
      <c r="H21436" s="83"/>
      <c r="K21436" s="82"/>
      <c r="M21436" s="112"/>
      <c r="N21436" s="84"/>
    </row>
    <row r="21437" spans="1:14" s="2" customFormat="1">
      <c r="A21437" s="83"/>
      <c r="H21437" s="83"/>
      <c r="K21437" s="82"/>
      <c r="M21437" s="112"/>
      <c r="N21437" s="84"/>
    </row>
    <row r="21438" spans="1:14" s="2" customFormat="1">
      <c r="A21438" s="83"/>
      <c r="H21438" s="83"/>
      <c r="K21438" s="82"/>
      <c r="M21438" s="112"/>
      <c r="N21438" s="84"/>
    </row>
    <row r="21439" spans="1:14" s="2" customFormat="1">
      <c r="A21439" s="83"/>
      <c r="H21439" s="83"/>
      <c r="K21439" s="82"/>
      <c r="M21439" s="112"/>
      <c r="N21439" s="84"/>
    </row>
    <row r="21440" spans="1:14" s="2" customFormat="1">
      <c r="A21440" s="83"/>
      <c r="H21440" s="83"/>
      <c r="K21440" s="82"/>
      <c r="M21440" s="112"/>
      <c r="N21440" s="84"/>
    </row>
    <row r="21441" spans="1:14" s="2" customFormat="1">
      <c r="A21441" s="83"/>
      <c r="H21441" s="83"/>
      <c r="K21441" s="82"/>
      <c r="M21441" s="112"/>
      <c r="N21441" s="84"/>
    </row>
    <row r="21442" spans="1:14" s="2" customFormat="1">
      <c r="A21442" s="83"/>
      <c r="H21442" s="83"/>
      <c r="K21442" s="82"/>
      <c r="M21442" s="112"/>
      <c r="N21442" s="84"/>
    </row>
    <row r="21443" spans="1:14" s="2" customFormat="1">
      <c r="A21443" s="83"/>
      <c r="H21443" s="83"/>
      <c r="K21443" s="82"/>
      <c r="M21443" s="112"/>
      <c r="N21443" s="84"/>
    </row>
    <row r="21444" spans="1:14" s="2" customFormat="1">
      <c r="A21444" s="83"/>
      <c r="H21444" s="83"/>
      <c r="K21444" s="82"/>
      <c r="M21444" s="112"/>
      <c r="N21444" s="84"/>
    </row>
    <row r="21445" spans="1:14" s="2" customFormat="1">
      <c r="A21445" s="83"/>
      <c r="H21445" s="83"/>
      <c r="K21445" s="82"/>
      <c r="M21445" s="112"/>
      <c r="N21445" s="84"/>
    </row>
    <row r="21446" spans="1:14" s="2" customFormat="1">
      <c r="A21446" s="83"/>
      <c r="H21446" s="83"/>
      <c r="K21446" s="82"/>
      <c r="M21446" s="112"/>
      <c r="N21446" s="84"/>
    </row>
    <row r="21447" spans="1:14" s="2" customFormat="1">
      <c r="A21447" s="83"/>
      <c r="H21447" s="83"/>
      <c r="K21447" s="82"/>
      <c r="M21447" s="112"/>
      <c r="N21447" s="84"/>
    </row>
    <row r="21448" spans="1:14" s="2" customFormat="1">
      <c r="A21448" s="83"/>
      <c r="H21448" s="83"/>
      <c r="K21448" s="82"/>
      <c r="M21448" s="112"/>
      <c r="N21448" s="84"/>
    </row>
    <row r="21449" spans="1:14" s="2" customFormat="1">
      <c r="A21449" s="83"/>
      <c r="H21449" s="83"/>
      <c r="K21449" s="82"/>
      <c r="M21449" s="112"/>
      <c r="N21449" s="84"/>
    </row>
    <row r="21450" spans="1:14" s="2" customFormat="1">
      <c r="A21450" s="83"/>
      <c r="H21450" s="83"/>
      <c r="K21450" s="82"/>
      <c r="M21450" s="112"/>
      <c r="N21450" s="84"/>
    </row>
    <row r="21451" spans="1:14" s="2" customFormat="1">
      <c r="A21451" s="83"/>
      <c r="H21451" s="83"/>
      <c r="K21451" s="82"/>
      <c r="M21451" s="112"/>
      <c r="N21451" s="84"/>
    </row>
    <row r="21452" spans="1:14" s="2" customFormat="1">
      <c r="A21452" s="83"/>
      <c r="H21452" s="83"/>
      <c r="K21452" s="82"/>
      <c r="M21452" s="112"/>
      <c r="N21452" s="84"/>
    </row>
    <row r="21453" spans="1:14" s="2" customFormat="1">
      <c r="A21453" s="83"/>
      <c r="H21453" s="83"/>
      <c r="K21453" s="82"/>
      <c r="M21453" s="112"/>
      <c r="N21453" s="84"/>
    </row>
    <row r="21454" spans="1:14" s="2" customFormat="1">
      <c r="A21454" s="83"/>
      <c r="H21454" s="83"/>
      <c r="K21454" s="82"/>
      <c r="M21454" s="112"/>
      <c r="N21454" s="84"/>
    </row>
    <row r="21455" spans="1:14" s="2" customFormat="1">
      <c r="A21455" s="83"/>
      <c r="H21455" s="83"/>
      <c r="K21455" s="82"/>
      <c r="M21455" s="112"/>
      <c r="N21455" s="84"/>
    </row>
    <row r="21456" spans="1:14" s="2" customFormat="1">
      <c r="A21456" s="83"/>
      <c r="H21456" s="83"/>
      <c r="K21456" s="82"/>
      <c r="M21456" s="112"/>
      <c r="N21456" s="84"/>
    </row>
    <row r="21457" spans="1:14" s="2" customFormat="1">
      <c r="A21457" s="83"/>
      <c r="H21457" s="83"/>
      <c r="K21457" s="82"/>
      <c r="M21457" s="112"/>
      <c r="N21457" s="84"/>
    </row>
    <row r="21458" spans="1:14" s="2" customFormat="1">
      <c r="A21458" s="83"/>
      <c r="H21458" s="83"/>
      <c r="K21458" s="82"/>
      <c r="M21458" s="112"/>
      <c r="N21458" s="84"/>
    </row>
    <row r="21459" spans="1:14" s="2" customFormat="1">
      <c r="A21459" s="83"/>
      <c r="H21459" s="83"/>
      <c r="K21459" s="82"/>
      <c r="M21459" s="112"/>
      <c r="N21459" s="84"/>
    </row>
    <row r="21460" spans="1:14" s="2" customFormat="1">
      <c r="A21460" s="83"/>
      <c r="H21460" s="83"/>
      <c r="K21460" s="82"/>
      <c r="M21460" s="112"/>
      <c r="N21460" s="84"/>
    </row>
    <row r="21461" spans="1:14" s="2" customFormat="1">
      <c r="A21461" s="83"/>
      <c r="H21461" s="83"/>
      <c r="K21461" s="82"/>
      <c r="M21461" s="112"/>
      <c r="N21461" s="84"/>
    </row>
    <row r="21462" spans="1:14" s="2" customFormat="1">
      <c r="A21462" s="83"/>
      <c r="H21462" s="83"/>
      <c r="K21462" s="82"/>
      <c r="M21462" s="112"/>
      <c r="N21462" s="84"/>
    </row>
    <row r="21463" spans="1:14" s="2" customFormat="1">
      <c r="A21463" s="83"/>
      <c r="H21463" s="83"/>
      <c r="K21463" s="82"/>
      <c r="M21463" s="112"/>
      <c r="N21463" s="84"/>
    </row>
    <row r="21464" spans="1:14" s="2" customFormat="1">
      <c r="A21464" s="83"/>
      <c r="H21464" s="83"/>
      <c r="K21464" s="82"/>
      <c r="M21464" s="112"/>
      <c r="N21464" s="84"/>
    </row>
    <row r="21465" spans="1:14" s="2" customFormat="1">
      <c r="A21465" s="83"/>
      <c r="H21465" s="83"/>
      <c r="K21465" s="82"/>
      <c r="M21465" s="112"/>
      <c r="N21465" s="84"/>
    </row>
    <row r="21466" spans="1:14" s="2" customFormat="1">
      <c r="A21466" s="83"/>
      <c r="H21466" s="83"/>
      <c r="K21466" s="82"/>
      <c r="M21466" s="112"/>
      <c r="N21466" s="84"/>
    </row>
    <row r="21467" spans="1:14" s="2" customFormat="1">
      <c r="A21467" s="83"/>
      <c r="H21467" s="83"/>
      <c r="K21467" s="82"/>
      <c r="M21467" s="112"/>
      <c r="N21467" s="84"/>
    </row>
    <row r="21468" spans="1:14" s="2" customFormat="1">
      <c r="A21468" s="83"/>
      <c r="H21468" s="83"/>
      <c r="K21468" s="82"/>
      <c r="M21468" s="112"/>
      <c r="N21468" s="84"/>
    </row>
    <row r="21469" spans="1:14" s="2" customFormat="1">
      <c r="A21469" s="83"/>
      <c r="H21469" s="83"/>
      <c r="K21469" s="82"/>
      <c r="M21469" s="112"/>
      <c r="N21469" s="84"/>
    </row>
    <row r="21470" spans="1:14" s="2" customFormat="1">
      <c r="A21470" s="83"/>
      <c r="H21470" s="83"/>
      <c r="K21470" s="82"/>
      <c r="M21470" s="112"/>
      <c r="N21470" s="84"/>
    </row>
    <row r="21471" spans="1:14" s="2" customFormat="1">
      <c r="A21471" s="83"/>
      <c r="H21471" s="83"/>
      <c r="K21471" s="82"/>
      <c r="M21471" s="112"/>
      <c r="N21471" s="84"/>
    </row>
    <row r="21472" spans="1:14" s="2" customFormat="1">
      <c r="A21472" s="83"/>
      <c r="H21472" s="83"/>
      <c r="K21472" s="82"/>
      <c r="M21472" s="112"/>
      <c r="N21472" s="84"/>
    </row>
    <row r="21473" spans="1:14" s="2" customFormat="1">
      <c r="A21473" s="83"/>
      <c r="H21473" s="83"/>
      <c r="K21473" s="82"/>
      <c r="M21473" s="112"/>
      <c r="N21473" s="84"/>
    </row>
    <row r="21474" spans="1:14" s="2" customFormat="1">
      <c r="A21474" s="83"/>
      <c r="H21474" s="83"/>
      <c r="K21474" s="82"/>
      <c r="M21474" s="112"/>
      <c r="N21474" s="84"/>
    </row>
    <row r="21475" spans="1:14" s="2" customFormat="1">
      <c r="A21475" s="83"/>
      <c r="H21475" s="83"/>
      <c r="K21475" s="82"/>
      <c r="M21475" s="112"/>
      <c r="N21475" s="84"/>
    </row>
    <row r="21476" spans="1:14" s="2" customFormat="1">
      <c r="A21476" s="83"/>
      <c r="H21476" s="83"/>
      <c r="K21476" s="82"/>
      <c r="M21476" s="112"/>
      <c r="N21476" s="84"/>
    </row>
    <row r="21477" spans="1:14" s="2" customFormat="1">
      <c r="A21477" s="83"/>
      <c r="H21477" s="83"/>
      <c r="K21477" s="82"/>
      <c r="M21477" s="112"/>
      <c r="N21477" s="84"/>
    </row>
    <row r="21478" spans="1:14" s="2" customFormat="1">
      <c r="A21478" s="83"/>
      <c r="H21478" s="83"/>
      <c r="K21478" s="82"/>
      <c r="M21478" s="112"/>
      <c r="N21478" s="84"/>
    </row>
    <row r="21479" spans="1:14" s="2" customFormat="1">
      <c r="A21479" s="83"/>
      <c r="H21479" s="83"/>
      <c r="K21479" s="82"/>
      <c r="M21479" s="112"/>
      <c r="N21479" s="84"/>
    </row>
    <row r="21480" spans="1:14" s="2" customFormat="1">
      <c r="A21480" s="83"/>
      <c r="H21480" s="83"/>
      <c r="K21480" s="82"/>
      <c r="M21480" s="112"/>
      <c r="N21480" s="84"/>
    </row>
    <row r="21481" spans="1:14" s="2" customFormat="1">
      <c r="A21481" s="83"/>
      <c r="H21481" s="83"/>
      <c r="K21481" s="82"/>
      <c r="M21481" s="112"/>
      <c r="N21481" s="84"/>
    </row>
    <row r="21482" spans="1:14" s="2" customFormat="1">
      <c r="A21482" s="83"/>
      <c r="H21482" s="83"/>
      <c r="K21482" s="82"/>
      <c r="M21482" s="112"/>
      <c r="N21482" s="84"/>
    </row>
    <row r="21483" spans="1:14" s="2" customFormat="1">
      <c r="A21483" s="83"/>
      <c r="H21483" s="83"/>
      <c r="K21483" s="82"/>
      <c r="M21483" s="112"/>
      <c r="N21483" s="84"/>
    </row>
    <row r="21484" spans="1:14" s="2" customFormat="1">
      <c r="A21484" s="83"/>
      <c r="H21484" s="83"/>
      <c r="K21484" s="82"/>
      <c r="M21484" s="112"/>
      <c r="N21484" s="84"/>
    </row>
    <row r="21485" spans="1:14" s="2" customFormat="1">
      <c r="A21485" s="83"/>
      <c r="H21485" s="83"/>
      <c r="K21485" s="82"/>
      <c r="M21485" s="112"/>
      <c r="N21485" s="84"/>
    </row>
    <row r="21486" spans="1:14" s="2" customFormat="1">
      <c r="A21486" s="83"/>
      <c r="H21486" s="83"/>
      <c r="K21486" s="82"/>
      <c r="M21486" s="112"/>
      <c r="N21486" s="84"/>
    </row>
    <row r="21487" spans="1:14" s="2" customFormat="1">
      <c r="A21487" s="83"/>
      <c r="H21487" s="83"/>
      <c r="K21487" s="82"/>
      <c r="M21487" s="112"/>
      <c r="N21487" s="84"/>
    </row>
    <row r="21488" spans="1:14" s="2" customFormat="1">
      <c r="A21488" s="83"/>
      <c r="H21488" s="83"/>
      <c r="K21488" s="82"/>
      <c r="M21488" s="112"/>
      <c r="N21488" s="84"/>
    </row>
    <row r="21489" spans="1:14" s="2" customFormat="1">
      <c r="A21489" s="83"/>
      <c r="H21489" s="83"/>
      <c r="K21489" s="82"/>
      <c r="M21489" s="112"/>
      <c r="N21489" s="84"/>
    </row>
    <row r="21490" spans="1:14" s="2" customFormat="1">
      <c r="A21490" s="83"/>
      <c r="H21490" s="83"/>
      <c r="K21490" s="82"/>
      <c r="M21490" s="112"/>
      <c r="N21490" s="84"/>
    </row>
    <row r="21491" spans="1:14" s="2" customFormat="1">
      <c r="A21491" s="83"/>
      <c r="H21491" s="83"/>
      <c r="K21491" s="82"/>
      <c r="M21491" s="112"/>
      <c r="N21491" s="84"/>
    </row>
    <row r="21492" spans="1:14" s="2" customFormat="1">
      <c r="A21492" s="83"/>
      <c r="H21492" s="83"/>
      <c r="K21492" s="82"/>
      <c r="M21492" s="112"/>
      <c r="N21492" s="84"/>
    </row>
    <row r="21493" spans="1:14" s="2" customFormat="1">
      <c r="A21493" s="83"/>
      <c r="H21493" s="83"/>
      <c r="K21493" s="82"/>
      <c r="M21493" s="112"/>
      <c r="N21493" s="84"/>
    </row>
    <row r="21494" spans="1:14" s="2" customFormat="1">
      <c r="A21494" s="83"/>
      <c r="H21494" s="83"/>
      <c r="K21494" s="82"/>
      <c r="M21494" s="112"/>
      <c r="N21494" s="84"/>
    </row>
    <row r="21495" spans="1:14" s="2" customFormat="1">
      <c r="A21495" s="83"/>
      <c r="H21495" s="83"/>
      <c r="K21495" s="82"/>
      <c r="M21495" s="112"/>
      <c r="N21495" s="84"/>
    </row>
    <row r="21496" spans="1:14" s="2" customFormat="1">
      <c r="A21496" s="83"/>
      <c r="H21496" s="83"/>
      <c r="K21496" s="82"/>
      <c r="M21496" s="112"/>
      <c r="N21496" s="84"/>
    </row>
    <row r="21497" spans="1:14" s="2" customFormat="1">
      <c r="A21497" s="83"/>
      <c r="H21497" s="83"/>
      <c r="K21497" s="82"/>
      <c r="M21497" s="112"/>
      <c r="N21497" s="84"/>
    </row>
    <row r="21498" spans="1:14" s="2" customFormat="1">
      <c r="A21498" s="83"/>
      <c r="H21498" s="83"/>
      <c r="K21498" s="82"/>
      <c r="M21498" s="112"/>
      <c r="N21498" s="84"/>
    </row>
    <row r="21499" spans="1:14" s="2" customFormat="1">
      <c r="A21499" s="83"/>
      <c r="H21499" s="83"/>
      <c r="K21499" s="82"/>
      <c r="M21499" s="112"/>
      <c r="N21499" s="84"/>
    </row>
    <row r="21500" spans="1:14" s="2" customFormat="1">
      <c r="A21500" s="83"/>
      <c r="H21500" s="83"/>
      <c r="K21500" s="82"/>
      <c r="M21500" s="112"/>
      <c r="N21500" s="84"/>
    </row>
    <row r="21501" spans="1:14" s="2" customFormat="1">
      <c r="A21501" s="83"/>
      <c r="H21501" s="83"/>
      <c r="K21501" s="82"/>
      <c r="M21501" s="112"/>
      <c r="N21501" s="84"/>
    </row>
    <row r="21502" spans="1:14" s="2" customFormat="1">
      <c r="A21502" s="83"/>
      <c r="H21502" s="83"/>
      <c r="K21502" s="82"/>
      <c r="M21502" s="112"/>
      <c r="N21502" s="84"/>
    </row>
    <row r="21503" spans="1:14" s="2" customFormat="1">
      <c r="A21503" s="83"/>
      <c r="H21503" s="83"/>
      <c r="K21503" s="82"/>
      <c r="M21503" s="112"/>
      <c r="N21503" s="84"/>
    </row>
    <row r="21504" spans="1:14" s="2" customFormat="1">
      <c r="A21504" s="83"/>
      <c r="H21504" s="83"/>
      <c r="K21504" s="82"/>
      <c r="M21504" s="112"/>
      <c r="N21504" s="84"/>
    </row>
    <row r="21505" spans="1:14" s="2" customFormat="1">
      <c r="A21505" s="83"/>
      <c r="H21505" s="83"/>
      <c r="K21505" s="82"/>
      <c r="M21505" s="112"/>
      <c r="N21505" s="84"/>
    </row>
    <row r="21506" spans="1:14" s="2" customFormat="1">
      <c r="A21506" s="83"/>
      <c r="H21506" s="83"/>
      <c r="K21506" s="82"/>
      <c r="M21506" s="112"/>
      <c r="N21506" s="84"/>
    </row>
    <row r="21507" spans="1:14" s="2" customFormat="1">
      <c r="A21507" s="83"/>
      <c r="H21507" s="83"/>
      <c r="K21507" s="82"/>
      <c r="M21507" s="112"/>
      <c r="N21507" s="84"/>
    </row>
    <row r="21508" spans="1:14" s="2" customFormat="1">
      <c r="A21508" s="83"/>
      <c r="H21508" s="83"/>
      <c r="K21508" s="82"/>
      <c r="M21508" s="112"/>
      <c r="N21508" s="84"/>
    </row>
    <row r="21509" spans="1:14" s="2" customFormat="1">
      <c r="A21509" s="83"/>
      <c r="H21509" s="83"/>
      <c r="K21509" s="82"/>
      <c r="M21509" s="112"/>
      <c r="N21509" s="84"/>
    </row>
    <row r="21510" spans="1:14" s="2" customFormat="1">
      <c r="A21510" s="83"/>
      <c r="H21510" s="83"/>
      <c r="K21510" s="82"/>
      <c r="M21510" s="112"/>
      <c r="N21510" s="84"/>
    </row>
    <row r="21511" spans="1:14" s="2" customFormat="1">
      <c r="A21511" s="83"/>
      <c r="H21511" s="83"/>
      <c r="K21511" s="82"/>
      <c r="M21511" s="112"/>
      <c r="N21511" s="84"/>
    </row>
    <row r="21512" spans="1:14" s="2" customFormat="1">
      <c r="A21512" s="83"/>
      <c r="H21512" s="83"/>
      <c r="K21512" s="82"/>
      <c r="M21512" s="112"/>
      <c r="N21512" s="84"/>
    </row>
    <row r="21513" spans="1:14" s="2" customFormat="1">
      <c r="A21513" s="83"/>
      <c r="H21513" s="83"/>
      <c r="K21513" s="82"/>
      <c r="M21513" s="112"/>
      <c r="N21513" s="84"/>
    </row>
    <row r="21514" spans="1:14" s="2" customFormat="1">
      <c r="A21514" s="83"/>
      <c r="H21514" s="83"/>
      <c r="K21514" s="82"/>
      <c r="M21514" s="112"/>
      <c r="N21514" s="84"/>
    </row>
    <row r="21515" spans="1:14" s="2" customFormat="1">
      <c r="A21515" s="83"/>
      <c r="H21515" s="83"/>
      <c r="K21515" s="82"/>
      <c r="M21515" s="112"/>
      <c r="N21515" s="84"/>
    </row>
    <row r="21516" spans="1:14" s="2" customFormat="1">
      <c r="A21516" s="83"/>
      <c r="H21516" s="83"/>
      <c r="K21516" s="82"/>
      <c r="M21516" s="112"/>
      <c r="N21516" s="84"/>
    </row>
    <row r="21517" spans="1:14" s="2" customFormat="1">
      <c r="A21517" s="83"/>
      <c r="H21517" s="83"/>
      <c r="K21517" s="82"/>
      <c r="M21517" s="112"/>
      <c r="N21517" s="84"/>
    </row>
    <row r="21518" spans="1:14" s="2" customFormat="1">
      <c r="A21518" s="83"/>
      <c r="H21518" s="83"/>
      <c r="K21518" s="82"/>
      <c r="M21518" s="112"/>
      <c r="N21518" s="84"/>
    </row>
    <row r="21519" spans="1:14" s="2" customFormat="1">
      <c r="A21519" s="83"/>
      <c r="H21519" s="83"/>
      <c r="K21519" s="82"/>
      <c r="M21519" s="112"/>
      <c r="N21519" s="84"/>
    </row>
    <row r="21520" spans="1:14" s="2" customFormat="1">
      <c r="A21520" s="83"/>
      <c r="H21520" s="83"/>
      <c r="K21520" s="82"/>
      <c r="M21520" s="112"/>
      <c r="N21520" s="84"/>
    </row>
    <row r="21521" spans="1:14" s="2" customFormat="1">
      <c r="A21521" s="83"/>
      <c r="H21521" s="83"/>
      <c r="K21521" s="82"/>
      <c r="M21521" s="112"/>
      <c r="N21521" s="84"/>
    </row>
    <row r="21522" spans="1:14" s="2" customFormat="1">
      <c r="A21522" s="83"/>
      <c r="H21522" s="83"/>
      <c r="K21522" s="82"/>
      <c r="M21522" s="112"/>
      <c r="N21522" s="84"/>
    </row>
    <row r="21523" spans="1:14" s="2" customFormat="1">
      <c r="A21523" s="83"/>
      <c r="H21523" s="83"/>
      <c r="K21523" s="82"/>
      <c r="M21523" s="112"/>
      <c r="N21523" s="84"/>
    </row>
    <row r="21524" spans="1:14" s="2" customFormat="1">
      <c r="A21524" s="83"/>
      <c r="H21524" s="83"/>
      <c r="K21524" s="82"/>
      <c r="M21524" s="112"/>
      <c r="N21524" s="84"/>
    </row>
    <row r="21525" spans="1:14" s="2" customFormat="1">
      <c r="A21525" s="83"/>
      <c r="H21525" s="83"/>
      <c r="K21525" s="82"/>
      <c r="M21525" s="112"/>
      <c r="N21525" s="84"/>
    </row>
    <row r="21526" spans="1:14" s="2" customFormat="1">
      <c r="A21526" s="83"/>
      <c r="H21526" s="83"/>
      <c r="K21526" s="82"/>
      <c r="M21526" s="112"/>
      <c r="N21526" s="84"/>
    </row>
    <row r="21527" spans="1:14" s="2" customFormat="1">
      <c r="A21527" s="83"/>
      <c r="H21527" s="83"/>
      <c r="K21527" s="82"/>
      <c r="M21527" s="112"/>
      <c r="N21527" s="84"/>
    </row>
    <row r="21528" spans="1:14" s="2" customFormat="1">
      <c r="A21528" s="83"/>
      <c r="H21528" s="83"/>
      <c r="K21528" s="82"/>
      <c r="M21528" s="112"/>
      <c r="N21528" s="84"/>
    </row>
    <row r="21529" spans="1:14" s="2" customFormat="1">
      <c r="A21529" s="83"/>
      <c r="H21529" s="83"/>
      <c r="K21529" s="82"/>
      <c r="M21529" s="112"/>
      <c r="N21529" s="84"/>
    </row>
    <row r="21530" spans="1:14" s="2" customFormat="1">
      <c r="A21530" s="83"/>
      <c r="H21530" s="83"/>
      <c r="K21530" s="82"/>
      <c r="M21530" s="112"/>
      <c r="N21530" s="84"/>
    </row>
    <row r="21531" spans="1:14" s="2" customFormat="1">
      <c r="A21531" s="83"/>
      <c r="H21531" s="83"/>
      <c r="K21531" s="82"/>
      <c r="M21531" s="112"/>
      <c r="N21531" s="84"/>
    </row>
    <row r="21532" spans="1:14" s="2" customFormat="1">
      <c r="A21532" s="83"/>
      <c r="H21532" s="83"/>
      <c r="K21532" s="82"/>
      <c r="M21532" s="112"/>
      <c r="N21532" s="84"/>
    </row>
    <row r="21533" spans="1:14" s="2" customFormat="1">
      <c r="A21533" s="83"/>
      <c r="H21533" s="83"/>
      <c r="K21533" s="82"/>
      <c r="M21533" s="112"/>
      <c r="N21533" s="84"/>
    </row>
    <row r="21534" spans="1:14" s="2" customFormat="1">
      <c r="A21534" s="83"/>
      <c r="H21534" s="83"/>
      <c r="K21534" s="82"/>
      <c r="M21534" s="112"/>
      <c r="N21534" s="84"/>
    </row>
    <row r="21535" spans="1:14" s="2" customFormat="1">
      <c r="A21535" s="83"/>
      <c r="H21535" s="83"/>
      <c r="K21535" s="82"/>
      <c r="M21535" s="112"/>
      <c r="N21535" s="84"/>
    </row>
    <row r="21536" spans="1:14" s="2" customFormat="1">
      <c r="A21536" s="83"/>
      <c r="H21536" s="83"/>
      <c r="K21536" s="82"/>
      <c r="M21536" s="112"/>
      <c r="N21536" s="84"/>
    </row>
    <row r="21537" spans="1:14" s="2" customFormat="1">
      <c r="A21537" s="83"/>
      <c r="H21537" s="83"/>
      <c r="K21537" s="82"/>
      <c r="M21537" s="112"/>
      <c r="N21537" s="84"/>
    </row>
    <row r="21538" spans="1:14" s="2" customFormat="1">
      <c r="A21538" s="83"/>
      <c r="H21538" s="83"/>
      <c r="K21538" s="82"/>
      <c r="M21538" s="112"/>
      <c r="N21538" s="84"/>
    </row>
    <row r="21539" spans="1:14" s="2" customFormat="1">
      <c r="A21539" s="83"/>
      <c r="H21539" s="83"/>
      <c r="K21539" s="82"/>
      <c r="M21539" s="112"/>
      <c r="N21539" s="84"/>
    </row>
    <row r="21540" spans="1:14" s="2" customFormat="1">
      <c r="A21540" s="83"/>
      <c r="H21540" s="83"/>
      <c r="K21540" s="82"/>
      <c r="M21540" s="112"/>
      <c r="N21540" s="84"/>
    </row>
    <row r="21541" spans="1:14" s="2" customFormat="1">
      <c r="A21541" s="83"/>
      <c r="H21541" s="83"/>
      <c r="K21541" s="82"/>
      <c r="M21541" s="112"/>
      <c r="N21541" s="84"/>
    </row>
    <row r="21542" spans="1:14" s="2" customFormat="1">
      <c r="A21542" s="83"/>
      <c r="H21542" s="83"/>
      <c r="K21542" s="82"/>
      <c r="M21542" s="112"/>
      <c r="N21542" s="84"/>
    </row>
    <row r="21543" spans="1:14" s="2" customFormat="1">
      <c r="A21543" s="83"/>
      <c r="H21543" s="83"/>
      <c r="K21543" s="82"/>
      <c r="M21543" s="112"/>
      <c r="N21543" s="84"/>
    </row>
    <row r="21544" spans="1:14" s="2" customFormat="1">
      <c r="A21544" s="83"/>
      <c r="H21544" s="83"/>
      <c r="K21544" s="82"/>
      <c r="M21544" s="112"/>
      <c r="N21544" s="84"/>
    </row>
    <row r="21545" spans="1:14" s="2" customFormat="1">
      <c r="A21545" s="83"/>
      <c r="H21545" s="83"/>
      <c r="K21545" s="82"/>
      <c r="M21545" s="112"/>
      <c r="N21545" s="84"/>
    </row>
    <row r="21546" spans="1:14" s="2" customFormat="1">
      <c r="A21546" s="83"/>
      <c r="H21546" s="83"/>
      <c r="K21546" s="82"/>
      <c r="M21546" s="112"/>
      <c r="N21546" s="84"/>
    </row>
    <row r="21547" spans="1:14" s="2" customFormat="1">
      <c r="A21547" s="83"/>
      <c r="H21547" s="83"/>
      <c r="K21547" s="82"/>
      <c r="M21547" s="112"/>
      <c r="N21547" s="84"/>
    </row>
    <row r="21548" spans="1:14" s="2" customFormat="1">
      <c r="A21548" s="83"/>
      <c r="H21548" s="83"/>
      <c r="K21548" s="82"/>
      <c r="M21548" s="112"/>
      <c r="N21548" s="84"/>
    </row>
    <row r="21549" spans="1:14" s="2" customFormat="1">
      <c r="A21549" s="83"/>
      <c r="H21549" s="83"/>
      <c r="K21549" s="82"/>
      <c r="M21549" s="112"/>
      <c r="N21549" s="84"/>
    </row>
    <row r="21550" spans="1:14" s="2" customFormat="1">
      <c r="A21550" s="83"/>
      <c r="H21550" s="83"/>
      <c r="K21550" s="82"/>
      <c r="M21550" s="112"/>
      <c r="N21550" s="84"/>
    </row>
    <row r="21551" spans="1:14" s="2" customFormat="1">
      <c r="A21551" s="83"/>
      <c r="H21551" s="83"/>
      <c r="K21551" s="82"/>
      <c r="M21551" s="112"/>
      <c r="N21551" s="84"/>
    </row>
    <row r="21552" spans="1:14" s="2" customFormat="1">
      <c r="A21552" s="83"/>
      <c r="H21552" s="83"/>
      <c r="K21552" s="82"/>
      <c r="M21552" s="112"/>
      <c r="N21552" s="84"/>
    </row>
    <row r="21553" spans="1:14" s="2" customFormat="1">
      <c r="A21553" s="83"/>
      <c r="H21553" s="83"/>
      <c r="K21553" s="82"/>
      <c r="M21553" s="112"/>
      <c r="N21553" s="84"/>
    </row>
    <row r="21554" spans="1:14" s="2" customFormat="1">
      <c r="A21554" s="83"/>
      <c r="H21554" s="83"/>
      <c r="K21554" s="82"/>
      <c r="M21554" s="112"/>
      <c r="N21554" s="84"/>
    </row>
    <row r="21555" spans="1:14" s="2" customFormat="1">
      <c r="A21555" s="83"/>
      <c r="H21555" s="83"/>
      <c r="K21555" s="82"/>
      <c r="M21555" s="112"/>
      <c r="N21555" s="84"/>
    </row>
    <row r="21556" spans="1:14" s="2" customFormat="1">
      <c r="A21556" s="83"/>
      <c r="H21556" s="83"/>
      <c r="K21556" s="82"/>
      <c r="M21556" s="112"/>
      <c r="N21556" s="84"/>
    </row>
    <row r="21557" spans="1:14" s="2" customFormat="1">
      <c r="A21557" s="83"/>
      <c r="H21557" s="83"/>
      <c r="K21557" s="82"/>
      <c r="M21557" s="112"/>
      <c r="N21557" s="84"/>
    </row>
    <row r="21558" spans="1:14" s="2" customFormat="1">
      <c r="A21558" s="83"/>
      <c r="H21558" s="83"/>
      <c r="K21558" s="82"/>
      <c r="M21558" s="112"/>
      <c r="N21558" s="84"/>
    </row>
    <row r="21559" spans="1:14" s="2" customFormat="1">
      <c r="A21559" s="83"/>
      <c r="H21559" s="83"/>
      <c r="K21559" s="82"/>
      <c r="M21559" s="112"/>
      <c r="N21559" s="84"/>
    </row>
    <row r="21560" spans="1:14" s="2" customFormat="1">
      <c r="A21560" s="83"/>
      <c r="H21560" s="83"/>
      <c r="K21560" s="82"/>
      <c r="M21560" s="112"/>
      <c r="N21560" s="84"/>
    </row>
    <row r="21561" spans="1:14" s="2" customFormat="1">
      <c r="A21561" s="83"/>
      <c r="H21561" s="83"/>
      <c r="K21561" s="82"/>
      <c r="M21561" s="112"/>
      <c r="N21561" s="84"/>
    </row>
    <row r="21562" spans="1:14" s="2" customFormat="1">
      <c r="A21562" s="83"/>
      <c r="H21562" s="83"/>
      <c r="K21562" s="82"/>
      <c r="M21562" s="112"/>
      <c r="N21562" s="84"/>
    </row>
    <row r="21563" spans="1:14" s="2" customFormat="1">
      <c r="A21563" s="83"/>
      <c r="H21563" s="83"/>
      <c r="K21563" s="82"/>
      <c r="M21563" s="112"/>
      <c r="N21563" s="84"/>
    </row>
    <row r="21564" spans="1:14" s="2" customFormat="1">
      <c r="A21564" s="83"/>
      <c r="H21564" s="83"/>
      <c r="K21564" s="82"/>
      <c r="M21564" s="112"/>
      <c r="N21564" s="84"/>
    </row>
    <row r="21565" spans="1:14" s="2" customFormat="1">
      <c r="A21565" s="83"/>
      <c r="H21565" s="83"/>
      <c r="K21565" s="82"/>
      <c r="M21565" s="112"/>
      <c r="N21565" s="84"/>
    </row>
    <row r="21566" spans="1:14" s="2" customFormat="1">
      <c r="A21566" s="83"/>
      <c r="H21566" s="83"/>
      <c r="K21566" s="82"/>
      <c r="M21566" s="112"/>
      <c r="N21566" s="84"/>
    </row>
    <row r="21567" spans="1:14" s="2" customFormat="1">
      <c r="A21567" s="83"/>
      <c r="H21567" s="83"/>
      <c r="K21567" s="82"/>
      <c r="M21567" s="112"/>
      <c r="N21567" s="84"/>
    </row>
    <row r="21568" spans="1:14" s="2" customFormat="1">
      <c r="A21568" s="83"/>
      <c r="H21568" s="83"/>
      <c r="K21568" s="82"/>
      <c r="M21568" s="112"/>
      <c r="N21568" s="84"/>
    </row>
    <row r="21569" spans="1:14" s="2" customFormat="1">
      <c r="A21569" s="83"/>
      <c r="H21569" s="83"/>
      <c r="K21569" s="82"/>
      <c r="M21569" s="112"/>
      <c r="N21569" s="84"/>
    </row>
    <row r="21570" spans="1:14" s="2" customFormat="1">
      <c r="A21570" s="83"/>
      <c r="H21570" s="83"/>
      <c r="K21570" s="82"/>
      <c r="M21570" s="112"/>
      <c r="N21570" s="84"/>
    </row>
    <row r="21571" spans="1:14" s="2" customFormat="1">
      <c r="A21571" s="83"/>
      <c r="H21571" s="83"/>
      <c r="K21571" s="82"/>
      <c r="M21571" s="112"/>
      <c r="N21571" s="84"/>
    </row>
    <row r="21572" spans="1:14" s="2" customFormat="1">
      <c r="A21572" s="83"/>
      <c r="H21572" s="83"/>
      <c r="K21572" s="82"/>
      <c r="M21572" s="112"/>
      <c r="N21572" s="84"/>
    </row>
    <row r="21573" spans="1:14" s="2" customFormat="1">
      <c r="A21573" s="83"/>
      <c r="H21573" s="83"/>
      <c r="K21573" s="82"/>
      <c r="M21573" s="112"/>
      <c r="N21573" s="84"/>
    </row>
    <row r="21574" spans="1:14" s="2" customFormat="1">
      <c r="A21574" s="83"/>
      <c r="H21574" s="83"/>
      <c r="K21574" s="82"/>
      <c r="M21574" s="112"/>
      <c r="N21574" s="84"/>
    </row>
    <row r="21575" spans="1:14" s="2" customFormat="1">
      <c r="A21575" s="83"/>
      <c r="H21575" s="83"/>
      <c r="K21575" s="82"/>
      <c r="M21575" s="112"/>
      <c r="N21575" s="84"/>
    </row>
    <row r="21576" spans="1:14" s="2" customFormat="1">
      <c r="A21576" s="83"/>
      <c r="H21576" s="83"/>
      <c r="K21576" s="82"/>
      <c r="M21576" s="112"/>
      <c r="N21576" s="84"/>
    </row>
    <row r="21577" spans="1:14" s="2" customFormat="1">
      <c r="A21577" s="83"/>
      <c r="H21577" s="83"/>
      <c r="K21577" s="82"/>
      <c r="M21577" s="112"/>
      <c r="N21577" s="84"/>
    </row>
    <row r="21578" spans="1:14" s="2" customFormat="1">
      <c r="A21578" s="83"/>
      <c r="H21578" s="83"/>
      <c r="K21578" s="82"/>
      <c r="M21578" s="112"/>
      <c r="N21578" s="84"/>
    </row>
    <row r="21579" spans="1:14" s="2" customFormat="1">
      <c r="A21579" s="83"/>
      <c r="H21579" s="83"/>
      <c r="K21579" s="82"/>
      <c r="M21579" s="112"/>
      <c r="N21579" s="84"/>
    </row>
    <row r="21580" spans="1:14" s="2" customFormat="1">
      <c r="A21580" s="83"/>
      <c r="H21580" s="83"/>
      <c r="K21580" s="82"/>
      <c r="M21580" s="112"/>
      <c r="N21580" s="84"/>
    </row>
    <row r="21581" spans="1:14" s="2" customFormat="1">
      <c r="A21581" s="83"/>
      <c r="H21581" s="83"/>
      <c r="K21581" s="82"/>
      <c r="M21581" s="112"/>
      <c r="N21581" s="84"/>
    </row>
    <row r="21582" spans="1:14" s="2" customFormat="1">
      <c r="A21582" s="83"/>
      <c r="H21582" s="83"/>
      <c r="K21582" s="82"/>
      <c r="M21582" s="112"/>
      <c r="N21582" s="84"/>
    </row>
    <row r="21583" spans="1:14" s="2" customFormat="1">
      <c r="A21583" s="83"/>
      <c r="H21583" s="83"/>
      <c r="K21583" s="82"/>
      <c r="M21583" s="112"/>
      <c r="N21583" s="84"/>
    </row>
    <row r="21584" spans="1:14" s="2" customFormat="1">
      <c r="A21584" s="83"/>
      <c r="H21584" s="83"/>
      <c r="K21584" s="82"/>
      <c r="M21584" s="112"/>
      <c r="N21584" s="84"/>
    </row>
    <row r="21585" spans="1:14" s="2" customFormat="1">
      <c r="A21585" s="83"/>
      <c r="H21585" s="83"/>
      <c r="K21585" s="82"/>
      <c r="M21585" s="112"/>
      <c r="N21585" s="84"/>
    </row>
    <row r="21586" spans="1:14" s="2" customFormat="1">
      <c r="A21586" s="83"/>
      <c r="H21586" s="83"/>
      <c r="K21586" s="82"/>
      <c r="M21586" s="112"/>
      <c r="N21586" s="84"/>
    </row>
    <row r="21587" spans="1:14" s="2" customFormat="1">
      <c r="A21587" s="83"/>
      <c r="H21587" s="83"/>
      <c r="K21587" s="82"/>
      <c r="M21587" s="112"/>
      <c r="N21587" s="84"/>
    </row>
    <row r="21588" spans="1:14" s="2" customFormat="1">
      <c r="A21588" s="83"/>
      <c r="H21588" s="83"/>
      <c r="K21588" s="82"/>
      <c r="M21588" s="112"/>
      <c r="N21588" s="84"/>
    </row>
    <row r="21589" spans="1:14" s="2" customFormat="1">
      <c r="A21589" s="83"/>
      <c r="H21589" s="83"/>
      <c r="K21589" s="82"/>
      <c r="M21589" s="112"/>
      <c r="N21589" s="84"/>
    </row>
    <row r="21590" spans="1:14" s="2" customFormat="1">
      <c r="A21590" s="83"/>
      <c r="H21590" s="83"/>
      <c r="K21590" s="82"/>
      <c r="M21590" s="112"/>
      <c r="N21590" s="84"/>
    </row>
    <row r="21591" spans="1:14" s="2" customFormat="1">
      <c r="A21591" s="83"/>
      <c r="H21591" s="83"/>
      <c r="K21591" s="82"/>
      <c r="M21591" s="112"/>
      <c r="N21591" s="84"/>
    </row>
    <row r="21592" spans="1:14" s="2" customFormat="1">
      <c r="A21592" s="83"/>
      <c r="H21592" s="83"/>
      <c r="K21592" s="82"/>
      <c r="M21592" s="112"/>
      <c r="N21592" s="84"/>
    </row>
    <row r="21593" spans="1:14" s="2" customFormat="1">
      <c r="A21593" s="83"/>
      <c r="H21593" s="83"/>
      <c r="K21593" s="82"/>
      <c r="M21593" s="112"/>
      <c r="N21593" s="84"/>
    </row>
    <row r="21594" spans="1:14" s="2" customFormat="1">
      <c r="A21594" s="83"/>
      <c r="H21594" s="83"/>
      <c r="K21594" s="82"/>
      <c r="M21594" s="112"/>
      <c r="N21594" s="84"/>
    </row>
    <row r="21595" spans="1:14" s="2" customFormat="1">
      <c r="A21595" s="83"/>
      <c r="H21595" s="83"/>
      <c r="K21595" s="82"/>
      <c r="M21595" s="112"/>
      <c r="N21595" s="84"/>
    </row>
    <row r="21596" spans="1:14" s="2" customFormat="1">
      <c r="A21596" s="83"/>
      <c r="H21596" s="83"/>
      <c r="K21596" s="82"/>
      <c r="M21596" s="112"/>
      <c r="N21596" s="84"/>
    </row>
    <row r="21597" spans="1:14" s="2" customFormat="1">
      <c r="A21597" s="83"/>
      <c r="H21597" s="83"/>
      <c r="K21597" s="82"/>
      <c r="M21597" s="112"/>
      <c r="N21597" s="84"/>
    </row>
    <row r="21598" spans="1:14" s="2" customFormat="1">
      <c r="A21598" s="83"/>
      <c r="H21598" s="83"/>
      <c r="K21598" s="82"/>
      <c r="M21598" s="112"/>
      <c r="N21598" s="84"/>
    </row>
    <row r="21599" spans="1:14" s="2" customFormat="1">
      <c r="A21599" s="83"/>
      <c r="H21599" s="83"/>
      <c r="K21599" s="82"/>
      <c r="M21599" s="112"/>
      <c r="N21599" s="84"/>
    </row>
    <row r="21600" spans="1:14" s="2" customFormat="1">
      <c r="A21600" s="83"/>
      <c r="H21600" s="83"/>
      <c r="K21600" s="82"/>
      <c r="M21600" s="112"/>
      <c r="N21600" s="84"/>
    </row>
    <row r="21601" spans="1:14" s="2" customFormat="1">
      <c r="A21601" s="83"/>
      <c r="H21601" s="83"/>
      <c r="K21601" s="82"/>
      <c r="M21601" s="112"/>
      <c r="N21601" s="84"/>
    </row>
    <row r="21602" spans="1:14" s="2" customFormat="1">
      <c r="A21602" s="83"/>
      <c r="H21602" s="83"/>
      <c r="K21602" s="82"/>
      <c r="M21602" s="112"/>
      <c r="N21602" s="84"/>
    </row>
    <row r="21603" spans="1:14" s="2" customFormat="1">
      <c r="A21603" s="83"/>
      <c r="H21603" s="83"/>
      <c r="K21603" s="82"/>
      <c r="M21603" s="112"/>
      <c r="N21603" s="84"/>
    </row>
    <row r="21604" spans="1:14" s="2" customFormat="1">
      <c r="A21604" s="83"/>
      <c r="H21604" s="83"/>
      <c r="K21604" s="82"/>
      <c r="M21604" s="112"/>
      <c r="N21604" s="84"/>
    </row>
    <row r="21605" spans="1:14" s="2" customFormat="1">
      <c r="A21605" s="83"/>
      <c r="H21605" s="83"/>
      <c r="K21605" s="82"/>
      <c r="M21605" s="112"/>
      <c r="N21605" s="84"/>
    </row>
    <row r="21606" spans="1:14" s="2" customFormat="1">
      <c r="A21606" s="83"/>
      <c r="H21606" s="83"/>
      <c r="K21606" s="82"/>
      <c r="M21606" s="112"/>
      <c r="N21606" s="84"/>
    </row>
    <row r="21607" spans="1:14" s="2" customFormat="1">
      <c r="A21607" s="83"/>
      <c r="H21607" s="83"/>
      <c r="K21607" s="82"/>
      <c r="M21607" s="112"/>
      <c r="N21607" s="84"/>
    </row>
    <row r="21608" spans="1:14" s="2" customFormat="1">
      <c r="A21608" s="83"/>
      <c r="H21608" s="83"/>
      <c r="K21608" s="82"/>
      <c r="M21608" s="112"/>
      <c r="N21608" s="84"/>
    </row>
    <row r="21609" spans="1:14" s="2" customFormat="1">
      <c r="A21609" s="83"/>
      <c r="H21609" s="83"/>
      <c r="K21609" s="82"/>
      <c r="M21609" s="112"/>
      <c r="N21609" s="84"/>
    </row>
    <row r="21610" spans="1:14" s="2" customFormat="1">
      <c r="A21610" s="83"/>
      <c r="H21610" s="83"/>
      <c r="K21610" s="82"/>
      <c r="M21610" s="112"/>
      <c r="N21610" s="84"/>
    </row>
    <row r="21611" spans="1:14" s="2" customFormat="1">
      <c r="A21611" s="83"/>
      <c r="H21611" s="83"/>
      <c r="K21611" s="82"/>
      <c r="M21611" s="112"/>
      <c r="N21611" s="84"/>
    </row>
    <row r="21612" spans="1:14" s="2" customFormat="1">
      <c r="A21612" s="83"/>
      <c r="H21612" s="83"/>
      <c r="K21612" s="82"/>
      <c r="M21612" s="112"/>
      <c r="N21612" s="84"/>
    </row>
    <row r="21613" spans="1:14" s="2" customFormat="1">
      <c r="A21613" s="83"/>
      <c r="H21613" s="83"/>
      <c r="K21613" s="82"/>
      <c r="M21613" s="112"/>
      <c r="N21613" s="84"/>
    </row>
    <row r="21614" spans="1:14" s="2" customFormat="1">
      <c r="A21614" s="83"/>
      <c r="H21614" s="83"/>
      <c r="K21614" s="82"/>
      <c r="M21614" s="112"/>
      <c r="N21614" s="84"/>
    </row>
    <row r="21615" spans="1:14" s="2" customFormat="1">
      <c r="A21615" s="83"/>
      <c r="H21615" s="83"/>
      <c r="K21615" s="82"/>
      <c r="M21615" s="112"/>
      <c r="N21615" s="84"/>
    </row>
    <row r="21616" spans="1:14" s="2" customFormat="1">
      <c r="A21616" s="83"/>
      <c r="H21616" s="83"/>
      <c r="K21616" s="82"/>
      <c r="M21616" s="112"/>
      <c r="N21616" s="84"/>
    </row>
    <row r="21617" spans="1:14" s="2" customFormat="1">
      <c r="A21617" s="83"/>
      <c r="H21617" s="83"/>
      <c r="K21617" s="82"/>
      <c r="M21617" s="112"/>
      <c r="N21617" s="84"/>
    </row>
    <row r="21618" spans="1:14" s="2" customFormat="1">
      <c r="A21618" s="83"/>
      <c r="H21618" s="83"/>
      <c r="K21618" s="82"/>
      <c r="M21618" s="112"/>
      <c r="N21618" s="84"/>
    </row>
    <row r="21619" spans="1:14" s="2" customFormat="1">
      <c r="A21619" s="83"/>
      <c r="H21619" s="83"/>
      <c r="K21619" s="82"/>
      <c r="M21619" s="112"/>
      <c r="N21619" s="84"/>
    </row>
    <row r="21620" spans="1:14" s="2" customFormat="1">
      <c r="A21620" s="83"/>
      <c r="H21620" s="83"/>
      <c r="K21620" s="82"/>
      <c r="M21620" s="112"/>
      <c r="N21620" s="84"/>
    </row>
    <row r="21621" spans="1:14" s="2" customFormat="1">
      <c r="A21621" s="83"/>
      <c r="H21621" s="83"/>
      <c r="K21621" s="82"/>
      <c r="M21621" s="112"/>
      <c r="N21621" s="84"/>
    </row>
    <row r="21622" spans="1:14" s="2" customFormat="1">
      <c r="A21622" s="83"/>
      <c r="H21622" s="83"/>
      <c r="K21622" s="82"/>
      <c r="M21622" s="112"/>
      <c r="N21622" s="84"/>
    </row>
    <row r="21623" spans="1:14" s="2" customFormat="1">
      <c r="A21623" s="83"/>
      <c r="H21623" s="83"/>
      <c r="K21623" s="82"/>
      <c r="M21623" s="112"/>
      <c r="N21623" s="84"/>
    </row>
    <row r="21624" spans="1:14" s="2" customFormat="1">
      <c r="A21624" s="83"/>
      <c r="H21624" s="83"/>
      <c r="K21624" s="82"/>
      <c r="M21624" s="112"/>
      <c r="N21624" s="84"/>
    </row>
    <row r="21625" spans="1:14" s="2" customFormat="1">
      <c r="A21625" s="83"/>
      <c r="H21625" s="83"/>
      <c r="K21625" s="82"/>
      <c r="M21625" s="112"/>
      <c r="N21625" s="84"/>
    </row>
    <row r="21626" spans="1:14" s="2" customFormat="1">
      <c r="A21626" s="83"/>
      <c r="H21626" s="83"/>
      <c r="K21626" s="82"/>
      <c r="M21626" s="112"/>
      <c r="N21626" s="84"/>
    </row>
    <row r="21627" spans="1:14" s="2" customFormat="1">
      <c r="A21627" s="83"/>
      <c r="H21627" s="83"/>
      <c r="K21627" s="82"/>
      <c r="M21627" s="112"/>
      <c r="N21627" s="84"/>
    </row>
    <row r="21628" spans="1:14" s="2" customFormat="1">
      <c r="A21628" s="83"/>
      <c r="H21628" s="83"/>
      <c r="K21628" s="82"/>
      <c r="M21628" s="112"/>
      <c r="N21628" s="84"/>
    </row>
    <row r="21629" spans="1:14" s="2" customFormat="1">
      <c r="A21629" s="83"/>
      <c r="H21629" s="83"/>
      <c r="K21629" s="82"/>
      <c r="M21629" s="112"/>
      <c r="N21629" s="84"/>
    </row>
    <row r="21630" spans="1:14" s="2" customFormat="1">
      <c r="A21630" s="83"/>
      <c r="H21630" s="83"/>
      <c r="K21630" s="82"/>
      <c r="M21630" s="112"/>
      <c r="N21630" s="84"/>
    </row>
    <row r="21631" spans="1:14" s="2" customFormat="1">
      <c r="A21631" s="83"/>
      <c r="H21631" s="83"/>
      <c r="K21631" s="82"/>
      <c r="M21631" s="112"/>
      <c r="N21631" s="84"/>
    </row>
    <row r="21632" spans="1:14" s="2" customFormat="1">
      <c r="A21632" s="83"/>
      <c r="H21632" s="83"/>
      <c r="K21632" s="82"/>
      <c r="M21632" s="112"/>
      <c r="N21632" s="84"/>
    </row>
    <row r="21633" spans="1:14" s="2" customFormat="1">
      <c r="A21633" s="83"/>
      <c r="H21633" s="83"/>
      <c r="K21633" s="82"/>
      <c r="M21633" s="112"/>
      <c r="N21633" s="84"/>
    </row>
    <row r="21634" spans="1:14" s="2" customFormat="1">
      <c r="A21634" s="83"/>
      <c r="H21634" s="83"/>
      <c r="K21634" s="82"/>
      <c r="M21634" s="112"/>
      <c r="N21634" s="84"/>
    </row>
    <row r="21635" spans="1:14" s="2" customFormat="1">
      <c r="A21635" s="83"/>
      <c r="H21635" s="83"/>
      <c r="K21635" s="82"/>
      <c r="M21635" s="112"/>
      <c r="N21635" s="84"/>
    </row>
    <row r="21636" spans="1:14" s="2" customFormat="1">
      <c r="A21636" s="83"/>
      <c r="H21636" s="83"/>
      <c r="K21636" s="82"/>
      <c r="M21636" s="112"/>
      <c r="N21636" s="84"/>
    </row>
    <row r="21637" spans="1:14" s="2" customFormat="1">
      <c r="A21637" s="83"/>
      <c r="H21637" s="83"/>
      <c r="K21637" s="82"/>
      <c r="M21637" s="112"/>
      <c r="N21637" s="84"/>
    </row>
    <row r="21638" spans="1:14" s="2" customFormat="1">
      <c r="A21638" s="83"/>
      <c r="H21638" s="83"/>
      <c r="K21638" s="82"/>
      <c r="M21638" s="112"/>
      <c r="N21638" s="84"/>
    </row>
    <row r="21639" spans="1:14" s="2" customFormat="1">
      <c r="A21639" s="83"/>
      <c r="H21639" s="83"/>
      <c r="K21639" s="82"/>
      <c r="M21639" s="112"/>
      <c r="N21639" s="84"/>
    </row>
    <row r="21640" spans="1:14" s="2" customFormat="1">
      <c r="A21640" s="83"/>
      <c r="H21640" s="83"/>
      <c r="K21640" s="82"/>
      <c r="M21640" s="112"/>
      <c r="N21640" s="84"/>
    </row>
    <row r="21641" spans="1:14" s="2" customFormat="1">
      <c r="A21641" s="83"/>
      <c r="H21641" s="83"/>
      <c r="K21641" s="82"/>
      <c r="M21641" s="112"/>
      <c r="N21641" s="84"/>
    </row>
    <row r="21642" spans="1:14" s="2" customFormat="1">
      <c r="A21642" s="83"/>
      <c r="H21642" s="83"/>
      <c r="K21642" s="82"/>
      <c r="M21642" s="112"/>
      <c r="N21642" s="84"/>
    </row>
    <row r="21643" spans="1:14" s="2" customFormat="1">
      <c r="A21643" s="83"/>
      <c r="H21643" s="83"/>
      <c r="K21643" s="82"/>
      <c r="M21643" s="112"/>
      <c r="N21643" s="84"/>
    </row>
    <row r="21644" spans="1:14" s="2" customFormat="1">
      <c r="A21644" s="83"/>
      <c r="H21644" s="83"/>
      <c r="K21644" s="82"/>
      <c r="M21644" s="112"/>
      <c r="N21644" s="84"/>
    </row>
    <row r="21645" spans="1:14" s="2" customFormat="1">
      <c r="A21645" s="83"/>
      <c r="H21645" s="83"/>
      <c r="K21645" s="82"/>
      <c r="M21645" s="112"/>
      <c r="N21645" s="84"/>
    </row>
    <row r="21646" spans="1:14" s="2" customFormat="1">
      <c r="A21646" s="83"/>
      <c r="H21646" s="83"/>
      <c r="K21646" s="82"/>
      <c r="M21646" s="112"/>
      <c r="N21646" s="84"/>
    </row>
    <row r="21647" spans="1:14" s="2" customFormat="1">
      <c r="A21647" s="83"/>
      <c r="H21647" s="83"/>
      <c r="K21647" s="82"/>
      <c r="M21647" s="112"/>
      <c r="N21647" s="84"/>
    </row>
    <row r="21648" spans="1:14" s="2" customFormat="1">
      <c r="A21648" s="83"/>
      <c r="H21648" s="83"/>
      <c r="K21648" s="82"/>
      <c r="M21648" s="112"/>
      <c r="N21648" s="84"/>
    </row>
    <row r="21649" spans="1:14" s="2" customFormat="1">
      <c r="A21649" s="83"/>
      <c r="H21649" s="83"/>
      <c r="K21649" s="82"/>
      <c r="M21649" s="112"/>
      <c r="N21649" s="84"/>
    </row>
    <row r="21650" spans="1:14" s="2" customFormat="1">
      <c r="A21650" s="83"/>
      <c r="H21650" s="83"/>
      <c r="K21650" s="82"/>
      <c r="M21650" s="112"/>
      <c r="N21650" s="84"/>
    </row>
    <row r="21651" spans="1:14" s="2" customFormat="1">
      <c r="A21651" s="83"/>
      <c r="H21651" s="83"/>
      <c r="K21651" s="82"/>
      <c r="M21651" s="112"/>
      <c r="N21651" s="84"/>
    </row>
    <row r="21652" spans="1:14" s="2" customFormat="1">
      <c r="A21652" s="83"/>
      <c r="H21652" s="83"/>
      <c r="K21652" s="82"/>
      <c r="M21652" s="112"/>
      <c r="N21652" s="84"/>
    </row>
    <row r="21653" spans="1:14" s="2" customFormat="1">
      <c r="A21653" s="83"/>
      <c r="H21653" s="83"/>
      <c r="K21653" s="82"/>
      <c r="M21653" s="112"/>
      <c r="N21653" s="84"/>
    </row>
    <row r="21654" spans="1:14" s="2" customFormat="1">
      <c r="A21654" s="83"/>
      <c r="H21654" s="83"/>
      <c r="K21654" s="82"/>
      <c r="M21654" s="112"/>
      <c r="N21654" s="84"/>
    </row>
    <row r="21655" spans="1:14" s="2" customFormat="1">
      <c r="A21655" s="83"/>
      <c r="H21655" s="83"/>
      <c r="K21655" s="82"/>
      <c r="M21655" s="112"/>
      <c r="N21655" s="84"/>
    </row>
    <row r="21656" spans="1:14" s="2" customFormat="1">
      <c r="A21656" s="83"/>
      <c r="H21656" s="83"/>
      <c r="K21656" s="82"/>
      <c r="M21656" s="112"/>
      <c r="N21656" s="84"/>
    </row>
    <row r="21657" spans="1:14" s="2" customFormat="1">
      <c r="A21657" s="83"/>
      <c r="H21657" s="83"/>
      <c r="K21657" s="82"/>
      <c r="M21657" s="112"/>
      <c r="N21657" s="84"/>
    </row>
    <row r="21658" spans="1:14" s="2" customFormat="1">
      <c r="A21658" s="83"/>
      <c r="H21658" s="83"/>
      <c r="K21658" s="82"/>
      <c r="M21658" s="112"/>
      <c r="N21658" s="84"/>
    </row>
    <row r="21659" spans="1:14" s="2" customFormat="1">
      <c r="A21659" s="83"/>
      <c r="H21659" s="83"/>
      <c r="K21659" s="82"/>
      <c r="M21659" s="112"/>
      <c r="N21659" s="84"/>
    </row>
    <row r="21660" spans="1:14" s="2" customFormat="1">
      <c r="A21660" s="83"/>
      <c r="H21660" s="83"/>
      <c r="K21660" s="82"/>
      <c r="M21660" s="112"/>
      <c r="N21660" s="84"/>
    </row>
    <row r="21661" spans="1:14" s="2" customFormat="1">
      <c r="A21661" s="83"/>
      <c r="H21661" s="83"/>
      <c r="K21661" s="82"/>
      <c r="M21661" s="112"/>
      <c r="N21661" s="84"/>
    </row>
    <row r="21662" spans="1:14" s="2" customFormat="1">
      <c r="A21662" s="83"/>
      <c r="H21662" s="83"/>
      <c r="K21662" s="82"/>
      <c r="M21662" s="112"/>
      <c r="N21662" s="84"/>
    </row>
    <row r="21663" spans="1:14" s="2" customFormat="1">
      <c r="A21663" s="83"/>
      <c r="H21663" s="83"/>
      <c r="K21663" s="82"/>
      <c r="M21663" s="112"/>
      <c r="N21663" s="84"/>
    </row>
    <row r="21664" spans="1:14" s="2" customFormat="1">
      <c r="A21664" s="83"/>
      <c r="H21664" s="83"/>
      <c r="K21664" s="82"/>
      <c r="M21664" s="112"/>
      <c r="N21664" s="84"/>
    </row>
    <row r="21665" spans="1:14" s="2" customFormat="1">
      <c r="A21665" s="83"/>
      <c r="H21665" s="83"/>
      <c r="K21665" s="82"/>
      <c r="M21665" s="112"/>
      <c r="N21665" s="84"/>
    </row>
    <row r="21666" spans="1:14" s="2" customFormat="1">
      <c r="A21666" s="83"/>
      <c r="H21666" s="83"/>
      <c r="K21666" s="82"/>
      <c r="M21666" s="112"/>
      <c r="N21666" s="84"/>
    </row>
    <row r="21667" spans="1:14" s="2" customFormat="1">
      <c r="A21667" s="83"/>
      <c r="H21667" s="83"/>
      <c r="K21667" s="82"/>
      <c r="M21667" s="112"/>
      <c r="N21667" s="84"/>
    </row>
    <row r="21668" spans="1:14" s="2" customFormat="1">
      <c r="A21668" s="83"/>
      <c r="H21668" s="83"/>
      <c r="K21668" s="82"/>
      <c r="M21668" s="112"/>
      <c r="N21668" s="84"/>
    </row>
    <row r="21669" spans="1:14" s="2" customFormat="1">
      <c r="A21669" s="83"/>
      <c r="H21669" s="83"/>
      <c r="K21669" s="82"/>
      <c r="M21669" s="112"/>
      <c r="N21669" s="84"/>
    </row>
    <row r="21670" spans="1:14" s="2" customFormat="1">
      <c r="A21670" s="83"/>
      <c r="H21670" s="83"/>
      <c r="K21670" s="82"/>
      <c r="M21670" s="112"/>
      <c r="N21670" s="84"/>
    </row>
    <row r="21671" spans="1:14" s="2" customFormat="1">
      <c r="A21671" s="83"/>
      <c r="H21671" s="83"/>
      <c r="K21671" s="82"/>
      <c r="M21671" s="112"/>
      <c r="N21671" s="84"/>
    </row>
    <row r="21672" spans="1:14" s="2" customFormat="1">
      <c r="A21672" s="83"/>
      <c r="H21672" s="83"/>
      <c r="K21672" s="82"/>
      <c r="M21672" s="112"/>
      <c r="N21672" s="84"/>
    </row>
    <row r="21673" spans="1:14" s="2" customFormat="1">
      <c r="A21673" s="83"/>
      <c r="H21673" s="83"/>
      <c r="K21673" s="82"/>
      <c r="M21673" s="112"/>
      <c r="N21673" s="84"/>
    </row>
    <row r="21674" spans="1:14" s="2" customFormat="1">
      <c r="A21674" s="83"/>
      <c r="H21674" s="83"/>
      <c r="K21674" s="82"/>
      <c r="M21674" s="112"/>
      <c r="N21674" s="84"/>
    </row>
    <row r="21675" spans="1:14" s="2" customFormat="1">
      <c r="A21675" s="83"/>
      <c r="H21675" s="83"/>
      <c r="K21675" s="82"/>
      <c r="M21675" s="112"/>
      <c r="N21675" s="84"/>
    </row>
    <row r="21676" spans="1:14" s="2" customFormat="1">
      <c r="A21676" s="83"/>
      <c r="H21676" s="83"/>
      <c r="K21676" s="82"/>
      <c r="M21676" s="112"/>
      <c r="N21676" s="84"/>
    </row>
    <row r="21677" spans="1:14" s="2" customFormat="1">
      <c r="A21677" s="83"/>
      <c r="H21677" s="83"/>
      <c r="K21677" s="82"/>
      <c r="M21677" s="112"/>
      <c r="N21677" s="84"/>
    </row>
    <row r="21678" spans="1:14" s="2" customFormat="1">
      <c r="A21678" s="83"/>
      <c r="H21678" s="83"/>
      <c r="K21678" s="82"/>
      <c r="M21678" s="112"/>
      <c r="N21678" s="84"/>
    </row>
    <row r="21679" spans="1:14" s="2" customFormat="1">
      <c r="A21679" s="83"/>
      <c r="H21679" s="83"/>
      <c r="K21679" s="82"/>
      <c r="M21679" s="112"/>
      <c r="N21679" s="84"/>
    </row>
    <row r="21680" spans="1:14" s="2" customFormat="1">
      <c r="A21680" s="83"/>
      <c r="H21680" s="83"/>
      <c r="K21680" s="82"/>
      <c r="M21680" s="112"/>
      <c r="N21680" s="84"/>
    </row>
    <row r="21681" spans="1:14" s="2" customFormat="1">
      <c r="A21681" s="83"/>
      <c r="H21681" s="83"/>
      <c r="K21681" s="82"/>
      <c r="M21681" s="112"/>
      <c r="N21681" s="84"/>
    </row>
    <row r="21682" spans="1:14" s="2" customFormat="1">
      <c r="A21682" s="83"/>
      <c r="H21682" s="83"/>
      <c r="K21682" s="82"/>
      <c r="M21682" s="112"/>
      <c r="N21682" s="84"/>
    </row>
    <row r="21683" spans="1:14" s="2" customFormat="1">
      <c r="A21683" s="83"/>
      <c r="H21683" s="83"/>
      <c r="K21683" s="82"/>
      <c r="M21683" s="112"/>
      <c r="N21683" s="84"/>
    </row>
    <row r="21684" spans="1:14" s="2" customFormat="1">
      <c r="A21684" s="83"/>
      <c r="H21684" s="83"/>
      <c r="K21684" s="82"/>
      <c r="M21684" s="112"/>
      <c r="N21684" s="84"/>
    </row>
    <row r="21685" spans="1:14" s="2" customFormat="1">
      <c r="A21685" s="83"/>
      <c r="H21685" s="83"/>
      <c r="K21685" s="82"/>
      <c r="M21685" s="112"/>
      <c r="N21685" s="84"/>
    </row>
    <row r="21686" spans="1:14" s="2" customFormat="1">
      <c r="A21686" s="83"/>
      <c r="H21686" s="83"/>
      <c r="K21686" s="82"/>
      <c r="M21686" s="112"/>
      <c r="N21686" s="84"/>
    </row>
    <row r="21687" spans="1:14" s="2" customFormat="1">
      <c r="A21687" s="83"/>
      <c r="H21687" s="83"/>
      <c r="K21687" s="82"/>
      <c r="M21687" s="112"/>
      <c r="N21687" s="84"/>
    </row>
    <row r="21688" spans="1:14" s="2" customFormat="1">
      <c r="A21688" s="83"/>
      <c r="H21688" s="83"/>
      <c r="K21688" s="82"/>
      <c r="M21688" s="112"/>
      <c r="N21688" s="84"/>
    </row>
    <row r="21689" spans="1:14" s="2" customFormat="1">
      <c r="A21689" s="83"/>
      <c r="H21689" s="83"/>
      <c r="K21689" s="82"/>
      <c r="M21689" s="112"/>
      <c r="N21689" s="84"/>
    </row>
    <row r="21690" spans="1:14" s="2" customFormat="1">
      <c r="A21690" s="83"/>
      <c r="H21690" s="83"/>
      <c r="K21690" s="82"/>
      <c r="M21690" s="112"/>
      <c r="N21690" s="84"/>
    </row>
    <row r="21691" spans="1:14" s="2" customFormat="1">
      <c r="A21691" s="83"/>
      <c r="H21691" s="83"/>
      <c r="K21691" s="82"/>
      <c r="M21691" s="112"/>
      <c r="N21691" s="84"/>
    </row>
    <row r="21692" spans="1:14" s="2" customFormat="1">
      <c r="A21692" s="83"/>
      <c r="H21692" s="83"/>
      <c r="K21692" s="82"/>
      <c r="M21692" s="112"/>
      <c r="N21692" s="84"/>
    </row>
    <row r="21693" spans="1:14" s="2" customFormat="1">
      <c r="A21693" s="83"/>
      <c r="H21693" s="83"/>
      <c r="K21693" s="82"/>
      <c r="M21693" s="112"/>
      <c r="N21693" s="84"/>
    </row>
    <row r="21694" spans="1:14" s="2" customFormat="1">
      <c r="A21694" s="83"/>
      <c r="H21694" s="83"/>
      <c r="K21694" s="82"/>
      <c r="M21694" s="112"/>
      <c r="N21694" s="84"/>
    </row>
    <row r="21695" spans="1:14" s="2" customFormat="1">
      <c r="A21695" s="83"/>
      <c r="H21695" s="83"/>
      <c r="K21695" s="82"/>
      <c r="M21695" s="112"/>
      <c r="N21695" s="84"/>
    </row>
    <row r="21696" spans="1:14" s="2" customFormat="1">
      <c r="A21696" s="83"/>
      <c r="H21696" s="83"/>
      <c r="K21696" s="82"/>
      <c r="M21696" s="112"/>
      <c r="N21696" s="84"/>
    </row>
    <row r="21697" spans="1:14" s="2" customFormat="1">
      <c r="A21697" s="83"/>
      <c r="H21697" s="83"/>
      <c r="K21697" s="82"/>
      <c r="M21697" s="112"/>
      <c r="N21697" s="84"/>
    </row>
    <row r="21698" spans="1:14" s="2" customFormat="1">
      <c r="A21698" s="83"/>
      <c r="H21698" s="83"/>
      <c r="K21698" s="82"/>
      <c r="M21698" s="112"/>
      <c r="N21698" s="84"/>
    </row>
    <row r="21699" spans="1:14" s="2" customFormat="1">
      <c r="A21699" s="83"/>
      <c r="H21699" s="83"/>
      <c r="K21699" s="82"/>
      <c r="M21699" s="112"/>
      <c r="N21699" s="84"/>
    </row>
    <row r="21700" spans="1:14" s="2" customFormat="1">
      <c r="A21700" s="83"/>
      <c r="H21700" s="83"/>
      <c r="K21700" s="82"/>
      <c r="M21700" s="112"/>
      <c r="N21700" s="84"/>
    </row>
    <row r="21701" spans="1:14" s="2" customFormat="1">
      <c r="A21701" s="83"/>
      <c r="H21701" s="83"/>
      <c r="K21701" s="82"/>
      <c r="M21701" s="112"/>
      <c r="N21701" s="84"/>
    </row>
    <row r="21702" spans="1:14" s="2" customFormat="1">
      <c r="A21702" s="83"/>
      <c r="H21702" s="83"/>
      <c r="K21702" s="82"/>
      <c r="M21702" s="112"/>
      <c r="N21702" s="84"/>
    </row>
    <row r="21703" spans="1:14" s="2" customFormat="1">
      <c r="A21703" s="83"/>
      <c r="H21703" s="83"/>
      <c r="K21703" s="82"/>
      <c r="M21703" s="112"/>
      <c r="N21703" s="84"/>
    </row>
    <row r="21704" spans="1:14" s="2" customFormat="1">
      <c r="A21704" s="83"/>
      <c r="H21704" s="83"/>
      <c r="K21704" s="82"/>
      <c r="M21704" s="112"/>
      <c r="N21704" s="84"/>
    </row>
    <row r="21705" spans="1:14" s="2" customFormat="1">
      <c r="A21705" s="83"/>
      <c r="H21705" s="83"/>
      <c r="K21705" s="82"/>
      <c r="M21705" s="112"/>
      <c r="N21705" s="84"/>
    </row>
    <row r="21706" spans="1:14" s="2" customFormat="1">
      <c r="A21706" s="83"/>
      <c r="H21706" s="83"/>
      <c r="K21706" s="82"/>
      <c r="M21706" s="112"/>
      <c r="N21706" s="84"/>
    </row>
    <row r="21707" spans="1:14" s="2" customFormat="1">
      <c r="A21707" s="83"/>
      <c r="H21707" s="83"/>
      <c r="K21707" s="82"/>
      <c r="M21707" s="112"/>
      <c r="N21707" s="84"/>
    </row>
    <row r="21708" spans="1:14" s="2" customFormat="1">
      <c r="A21708" s="83"/>
      <c r="H21708" s="83"/>
      <c r="K21708" s="82"/>
      <c r="M21708" s="112"/>
      <c r="N21708" s="84"/>
    </row>
    <row r="21709" spans="1:14" s="2" customFormat="1">
      <c r="A21709" s="83"/>
      <c r="H21709" s="83"/>
      <c r="K21709" s="82"/>
      <c r="M21709" s="112"/>
      <c r="N21709" s="84"/>
    </row>
    <row r="21710" spans="1:14" s="2" customFormat="1">
      <c r="A21710" s="83"/>
      <c r="H21710" s="83"/>
      <c r="K21710" s="82"/>
      <c r="M21710" s="112"/>
      <c r="N21710" s="84"/>
    </row>
    <row r="21711" spans="1:14" s="2" customFormat="1">
      <c r="A21711" s="83"/>
      <c r="H21711" s="83"/>
      <c r="K21711" s="82"/>
      <c r="M21711" s="112"/>
      <c r="N21711" s="84"/>
    </row>
    <row r="21712" spans="1:14" s="2" customFormat="1">
      <c r="A21712" s="83"/>
      <c r="H21712" s="83"/>
      <c r="K21712" s="82"/>
      <c r="M21712" s="112"/>
      <c r="N21712" s="84"/>
    </row>
    <row r="21713" spans="1:14" s="2" customFormat="1">
      <c r="A21713" s="83"/>
      <c r="H21713" s="83"/>
      <c r="K21713" s="82"/>
      <c r="M21713" s="112"/>
      <c r="N21713" s="84"/>
    </row>
    <row r="21714" spans="1:14" s="2" customFormat="1">
      <c r="A21714" s="83"/>
      <c r="H21714" s="83"/>
      <c r="K21714" s="82"/>
      <c r="M21714" s="112"/>
      <c r="N21714" s="84"/>
    </row>
    <row r="21715" spans="1:14" s="2" customFormat="1">
      <c r="A21715" s="83"/>
      <c r="H21715" s="83"/>
      <c r="K21715" s="82"/>
      <c r="M21715" s="112"/>
      <c r="N21715" s="84"/>
    </row>
    <row r="21716" spans="1:14" s="2" customFormat="1">
      <c r="A21716" s="83"/>
      <c r="H21716" s="83"/>
      <c r="K21716" s="82"/>
      <c r="M21716" s="112"/>
      <c r="N21716" s="84"/>
    </row>
    <row r="21717" spans="1:14" s="2" customFormat="1">
      <c r="A21717" s="83"/>
      <c r="H21717" s="83"/>
      <c r="K21717" s="82"/>
      <c r="M21717" s="112"/>
      <c r="N21717" s="84"/>
    </row>
    <row r="21718" spans="1:14" s="2" customFormat="1">
      <c r="A21718" s="83"/>
      <c r="H21718" s="83"/>
      <c r="K21718" s="82"/>
      <c r="M21718" s="112"/>
      <c r="N21718" s="84"/>
    </row>
    <row r="21719" spans="1:14" s="2" customFormat="1">
      <c r="A21719" s="83"/>
      <c r="H21719" s="83"/>
      <c r="K21719" s="82"/>
      <c r="M21719" s="112"/>
      <c r="N21719" s="84"/>
    </row>
    <row r="21720" spans="1:14" s="2" customFormat="1">
      <c r="A21720" s="83"/>
      <c r="H21720" s="83"/>
      <c r="K21720" s="82"/>
      <c r="M21720" s="112"/>
      <c r="N21720" s="84"/>
    </row>
    <row r="21721" spans="1:14" s="2" customFormat="1">
      <c r="A21721" s="83"/>
      <c r="H21721" s="83"/>
      <c r="K21721" s="82"/>
      <c r="M21721" s="112"/>
      <c r="N21721" s="84"/>
    </row>
    <row r="21722" spans="1:14" s="2" customFormat="1">
      <c r="A21722" s="83"/>
      <c r="H21722" s="83"/>
      <c r="K21722" s="82"/>
      <c r="M21722" s="112"/>
      <c r="N21722" s="84"/>
    </row>
    <row r="21723" spans="1:14" s="2" customFormat="1">
      <c r="A21723" s="83"/>
      <c r="H21723" s="83"/>
      <c r="K21723" s="82"/>
      <c r="M21723" s="112"/>
      <c r="N21723" s="84"/>
    </row>
    <row r="21724" spans="1:14" s="2" customFormat="1">
      <c r="A21724" s="83"/>
      <c r="H21724" s="83"/>
      <c r="K21724" s="82"/>
      <c r="M21724" s="112"/>
      <c r="N21724" s="84"/>
    </row>
    <row r="21725" spans="1:14" s="2" customFormat="1">
      <c r="A21725" s="83"/>
      <c r="H21725" s="83"/>
      <c r="K21725" s="82"/>
      <c r="M21725" s="112"/>
      <c r="N21725" s="84"/>
    </row>
    <row r="21726" spans="1:14" s="2" customFormat="1">
      <c r="A21726" s="83"/>
      <c r="H21726" s="83"/>
      <c r="K21726" s="82"/>
      <c r="M21726" s="112"/>
      <c r="N21726" s="84"/>
    </row>
    <row r="21727" spans="1:14" s="2" customFormat="1">
      <c r="A21727" s="83"/>
      <c r="H21727" s="83"/>
      <c r="K21727" s="82"/>
      <c r="M21727" s="112"/>
      <c r="N21727" s="84"/>
    </row>
    <row r="21728" spans="1:14" s="2" customFormat="1">
      <c r="A21728" s="83"/>
      <c r="H21728" s="83"/>
      <c r="K21728" s="82"/>
      <c r="M21728" s="112"/>
      <c r="N21728" s="84"/>
    </row>
    <row r="21729" spans="1:14" s="2" customFormat="1">
      <c r="A21729" s="83"/>
      <c r="H21729" s="83"/>
      <c r="K21729" s="82"/>
      <c r="M21729" s="112"/>
      <c r="N21729" s="84"/>
    </row>
    <row r="21730" spans="1:14" s="2" customFormat="1">
      <c r="A21730" s="83"/>
      <c r="H21730" s="83"/>
      <c r="K21730" s="82"/>
      <c r="M21730" s="112"/>
      <c r="N21730" s="84"/>
    </row>
    <row r="21731" spans="1:14" s="2" customFormat="1">
      <c r="A21731" s="83"/>
      <c r="H21731" s="83"/>
      <c r="K21731" s="82"/>
      <c r="M21731" s="112"/>
      <c r="N21731" s="84"/>
    </row>
    <row r="21732" spans="1:14" s="2" customFormat="1">
      <c r="A21732" s="83"/>
      <c r="H21732" s="83"/>
      <c r="K21732" s="82"/>
      <c r="M21732" s="112"/>
      <c r="N21732" s="84"/>
    </row>
    <row r="21733" spans="1:14" s="2" customFormat="1">
      <c r="A21733" s="83"/>
      <c r="H21733" s="83"/>
      <c r="K21733" s="82"/>
      <c r="M21733" s="112"/>
      <c r="N21733" s="84"/>
    </row>
    <row r="21734" spans="1:14" s="2" customFormat="1">
      <c r="A21734" s="83"/>
      <c r="H21734" s="83"/>
      <c r="K21734" s="82"/>
      <c r="M21734" s="112"/>
      <c r="N21734" s="84"/>
    </row>
    <row r="21735" spans="1:14" s="2" customFormat="1">
      <c r="A21735" s="83"/>
      <c r="H21735" s="83"/>
      <c r="K21735" s="82"/>
      <c r="M21735" s="112"/>
      <c r="N21735" s="84"/>
    </row>
    <row r="21736" spans="1:14" s="2" customFormat="1">
      <c r="A21736" s="83"/>
      <c r="H21736" s="83"/>
      <c r="K21736" s="82"/>
      <c r="M21736" s="112"/>
      <c r="N21736" s="84"/>
    </row>
    <row r="21737" spans="1:14" s="2" customFormat="1">
      <c r="A21737" s="83"/>
      <c r="H21737" s="83"/>
      <c r="K21737" s="82"/>
      <c r="M21737" s="112"/>
      <c r="N21737" s="84"/>
    </row>
    <row r="21738" spans="1:14" s="2" customFormat="1">
      <c r="A21738" s="83"/>
      <c r="H21738" s="83"/>
      <c r="K21738" s="82"/>
      <c r="M21738" s="112"/>
      <c r="N21738" s="84"/>
    </row>
    <row r="21739" spans="1:14" s="2" customFormat="1">
      <c r="A21739" s="83"/>
      <c r="H21739" s="83"/>
      <c r="K21739" s="82"/>
      <c r="M21739" s="112"/>
      <c r="N21739" s="84"/>
    </row>
    <row r="21740" spans="1:14" s="2" customFormat="1">
      <c r="A21740" s="83"/>
      <c r="H21740" s="83"/>
      <c r="K21740" s="82"/>
      <c r="M21740" s="112"/>
      <c r="N21740" s="84"/>
    </row>
    <row r="21741" spans="1:14" s="2" customFormat="1">
      <c r="A21741" s="83"/>
      <c r="H21741" s="83"/>
      <c r="K21741" s="82"/>
      <c r="M21741" s="112"/>
      <c r="N21741" s="84"/>
    </row>
    <row r="21742" spans="1:14" s="2" customFormat="1">
      <c r="A21742" s="83"/>
      <c r="H21742" s="83"/>
      <c r="K21742" s="82"/>
      <c r="M21742" s="112"/>
      <c r="N21742" s="84"/>
    </row>
    <row r="21743" spans="1:14" s="2" customFormat="1">
      <c r="A21743" s="83"/>
      <c r="H21743" s="83"/>
      <c r="K21743" s="82"/>
      <c r="M21743" s="112"/>
      <c r="N21743" s="84"/>
    </row>
    <row r="21744" spans="1:14" s="2" customFormat="1">
      <c r="A21744" s="83"/>
      <c r="H21744" s="83"/>
      <c r="K21744" s="82"/>
      <c r="M21744" s="112"/>
      <c r="N21744" s="84"/>
    </row>
    <row r="21745" spans="1:14" s="2" customFormat="1">
      <c r="A21745" s="83"/>
      <c r="H21745" s="83"/>
      <c r="K21745" s="82"/>
      <c r="M21745" s="112"/>
      <c r="N21745" s="84"/>
    </row>
    <row r="21746" spans="1:14" s="2" customFormat="1">
      <c r="A21746" s="83"/>
      <c r="H21746" s="83"/>
      <c r="K21746" s="82"/>
      <c r="M21746" s="112"/>
      <c r="N21746" s="84"/>
    </row>
    <row r="21747" spans="1:14" s="2" customFormat="1">
      <c r="A21747" s="83"/>
      <c r="H21747" s="83"/>
      <c r="K21747" s="82"/>
      <c r="M21747" s="112"/>
      <c r="N21747" s="84"/>
    </row>
    <row r="21748" spans="1:14" s="2" customFormat="1">
      <c r="A21748" s="83"/>
      <c r="H21748" s="83"/>
      <c r="K21748" s="82"/>
      <c r="M21748" s="112"/>
      <c r="N21748" s="84"/>
    </row>
    <row r="21749" spans="1:14" s="2" customFormat="1">
      <c r="A21749" s="83"/>
      <c r="H21749" s="83"/>
      <c r="K21749" s="82"/>
      <c r="M21749" s="112"/>
      <c r="N21749" s="84"/>
    </row>
    <row r="21750" spans="1:14" s="2" customFormat="1">
      <c r="A21750" s="83"/>
      <c r="H21750" s="83"/>
      <c r="K21750" s="82"/>
      <c r="M21750" s="112"/>
      <c r="N21750" s="84"/>
    </row>
    <row r="21751" spans="1:14" s="2" customFormat="1">
      <c r="A21751" s="83"/>
      <c r="H21751" s="83"/>
      <c r="K21751" s="82"/>
      <c r="M21751" s="112"/>
      <c r="N21751" s="84"/>
    </row>
    <row r="21752" spans="1:14" s="2" customFormat="1">
      <c r="A21752" s="83"/>
      <c r="H21752" s="83"/>
      <c r="K21752" s="82"/>
      <c r="M21752" s="112"/>
      <c r="N21752" s="84"/>
    </row>
    <row r="21753" spans="1:14" s="2" customFormat="1">
      <c r="A21753" s="83"/>
      <c r="H21753" s="83"/>
      <c r="K21753" s="82"/>
      <c r="M21753" s="112"/>
      <c r="N21753" s="84"/>
    </row>
    <row r="21754" spans="1:14" s="2" customFormat="1">
      <c r="A21754" s="83"/>
      <c r="H21754" s="83"/>
      <c r="K21754" s="82"/>
      <c r="M21754" s="112"/>
      <c r="N21754" s="84"/>
    </row>
    <row r="21755" spans="1:14" s="2" customFormat="1">
      <c r="A21755" s="83"/>
      <c r="H21755" s="83"/>
      <c r="K21755" s="82"/>
      <c r="M21755" s="112"/>
      <c r="N21755" s="84"/>
    </row>
    <row r="21756" spans="1:14" s="2" customFormat="1">
      <c r="A21756" s="83"/>
      <c r="H21756" s="83"/>
      <c r="K21756" s="82"/>
      <c r="M21756" s="112"/>
      <c r="N21756" s="84"/>
    </row>
    <row r="21757" spans="1:14" s="2" customFormat="1">
      <c r="A21757" s="83"/>
      <c r="H21757" s="83"/>
      <c r="K21757" s="82"/>
      <c r="M21757" s="112"/>
      <c r="N21757" s="84"/>
    </row>
    <row r="21758" spans="1:14" s="2" customFormat="1">
      <c r="A21758" s="83"/>
      <c r="H21758" s="83"/>
      <c r="K21758" s="82"/>
      <c r="M21758" s="112"/>
      <c r="N21758" s="84"/>
    </row>
    <row r="21759" spans="1:14" s="2" customFormat="1">
      <c r="A21759" s="83"/>
      <c r="H21759" s="83"/>
      <c r="K21759" s="82"/>
      <c r="M21759" s="112"/>
      <c r="N21759" s="84"/>
    </row>
    <row r="21760" spans="1:14" s="2" customFormat="1">
      <c r="A21760" s="83"/>
      <c r="H21760" s="83"/>
      <c r="K21760" s="82"/>
      <c r="M21760" s="112"/>
      <c r="N21760" s="84"/>
    </row>
    <row r="21761" spans="1:14" s="2" customFormat="1">
      <c r="A21761" s="83"/>
      <c r="H21761" s="83"/>
      <c r="K21761" s="82"/>
      <c r="M21761" s="112"/>
      <c r="N21761" s="84"/>
    </row>
    <row r="21762" spans="1:14" s="2" customFormat="1">
      <c r="A21762" s="83"/>
      <c r="H21762" s="83"/>
      <c r="K21762" s="82"/>
      <c r="M21762" s="112"/>
      <c r="N21762" s="84"/>
    </row>
    <row r="21763" spans="1:14" s="2" customFormat="1">
      <c r="A21763" s="83"/>
      <c r="H21763" s="83"/>
      <c r="K21763" s="82"/>
      <c r="M21763" s="112"/>
      <c r="N21763" s="84"/>
    </row>
    <row r="21764" spans="1:14" s="2" customFormat="1">
      <c r="A21764" s="83"/>
      <c r="H21764" s="83"/>
      <c r="K21764" s="82"/>
      <c r="M21764" s="112"/>
      <c r="N21764" s="84"/>
    </row>
    <row r="21765" spans="1:14" s="2" customFormat="1">
      <c r="A21765" s="83"/>
      <c r="H21765" s="83"/>
      <c r="K21765" s="82"/>
      <c r="M21765" s="112"/>
      <c r="N21765" s="84"/>
    </row>
    <row r="21766" spans="1:14" s="2" customFormat="1">
      <c r="A21766" s="83"/>
      <c r="H21766" s="83"/>
      <c r="K21766" s="82"/>
      <c r="M21766" s="112"/>
      <c r="N21766" s="84"/>
    </row>
    <row r="21767" spans="1:14" s="2" customFormat="1">
      <c r="A21767" s="83"/>
      <c r="H21767" s="83"/>
      <c r="K21767" s="82"/>
      <c r="M21767" s="112"/>
      <c r="N21767" s="84"/>
    </row>
    <row r="21768" spans="1:14" s="2" customFormat="1">
      <c r="A21768" s="83"/>
      <c r="H21768" s="83"/>
      <c r="K21768" s="82"/>
      <c r="M21768" s="112"/>
      <c r="N21768" s="84"/>
    </row>
    <row r="21769" spans="1:14" s="2" customFormat="1">
      <c r="A21769" s="83"/>
      <c r="H21769" s="83"/>
      <c r="K21769" s="82"/>
      <c r="M21769" s="112"/>
      <c r="N21769" s="84"/>
    </row>
    <row r="21770" spans="1:14" s="2" customFormat="1">
      <c r="A21770" s="83"/>
      <c r="H21770" s="83"/>
      <c r="K21770" s="82"/>
      <c r="M21770" s="112"/>
      <c r="N21770" s="84"/>
    </row>
    <row r="21771" spans="1:14" s="2" customFormat="1">
      <c r="A21771" s="83"/>
      <c r="H21771" s="83"/>
      <c r="K21771" s="82"/>
      <c r="M21771" s="112"/>
      <c r="N21771" s="84"/>
    </row>
    <row r="21772" spans="1:14" s="2" customFormat="1">
      <c r="A21772" s="83"/>
      <c r="H21772" s="83"/>
      <c r="K21772" s="82"/>
      <c r="M21772" s="112"/>
      <c r="N21772" s="84"/>
    </row>
    <row r="21773" spans="1:14" s="2" customFormat="1">
      <c r="A21773" s="83"/>
      <c r="H21773" s="83"/>
      <c r="K21773" s="82"/>
      <c r="M21773" s="112"/>
      <c r="N21773" s="84"/>
    </row>
    <row r="21774" spans="1:14" s="2" customFormat="1">
      <c r="A21774" s="83"/>
      <c r="H21774" s="83"/>
      <c r="K21774" s="82"/>
      <c r="M21774" s="112"/>
      <c r="N21774" s="84"/>
    </row>
    <row r="21775" spans="1:14" s="2" customFormat="1">
      <c r="A21775" s="83"/>
      <c r="H21775" s="83"/>
      <c r="K21775" s="82"/>
      <c r="M21775" s="112"/>
      <c r="N21775" s="84"/>
    </row>
    <row r="21776" spans="1:14" s="2" customFormat="1">
      <c r="A21776" s="83"/>
      <c r="H21776" s="83"/>
      <c r="K21776" s="82"/>
      <c r="M21776" s="112"/>
      <c r="N21776" s="84"/>
    </row>
    <row r="21777" spans="1:14" s="2" customFormat="1">
      <c r="A21777" s="83"/>
      <c r="H21777" s="83"/>
      <c r="K21777" s="82"/>
      <c r="M21777" s="112"/>
      <c r="N21777" s="84"/>
    </row>
    <row r="21778" spans="1:14" s="2" customFormat="1">
      <c r="A21778" s="83"/>
      <c r="H21778" s="83"/>
      <c r="K21778" s="82"/>
      <c r="M21778" s="112"/>
      <c r="N21778" s="84"/>
    </row>
    <row r="21779" spans="1:14" s="2" customFormat="1">
      <c r="A21779" s="83"/>
      <c r="H21779" s="83"/>
      <c r="K21779" s="82"/>
      <c r="M21779" s="112"/>
      <c r="N21779" s="84"/>
    </row>
    <row r="21780" spans="1:14" s="2" customFormat="1">
      <c r="A21780" s="83"/>
      <c r="H21780" s="83"/>
      <c r="K21780" s="82"/>
      <c r="M21780" s="112"/>
      <c r="N21780" s="84"/>
    </row>
    <row r="21781" spans="1:14" s="2" customFormat="1">
      <c r="A21781" s="83"/>
      <c r="H21781" s="83"/>
      <c r="K21781" s="82"/>
      <c r="M21781" s="112"/>
      <c r="N21781" s="84"/>
    </row>
    <row r="21782" spans="1:14" s="2" customFormat="1">
      <c r="A21782" s="83"/>
      <c r="H21782" s="83"/>
      <c r="K21782" s="82"/>
      <c r="M21782" s="112"/>
      <c r="N21782" s="84"/>
    </row>
    <row r="21783" spans="1:14" s="2" customFormat="1">
      <c r="A21783" s="83"/>
      <c r="H21783" s="83"/>
      <c r="K21783" s="82"/>
      <c r="M21783" s="112"/>
      <c r="N21783" s="84"/>
    </row>
    <row r="21784" spans="1:14" s="2" customFormat="1">
      <c r="A21784" s="83"/>
      <c r="H21784" s="83"/>
      <c r="K21784" s="82"/>
      <c r="M21784" s="112"/>
      <c r="N21784" s="84"/>
    </row>
    <row r="21785" spans="1:14" s="2" customFormat="1">
      <c r="A21785" s="83"/>
      <c r="H21785" s="83"/>
      <c r="K21785" s="82"/>
      <c r="M21785" s="112"/>
      <c r="N21785" s="84"/>
    </row>
    <row r="21786" spans="1:14" s="2" customFormat="1">
      <c r="A21786" s="83"/>
      <c r="H21786" s="83"/>
      <c r="K21786" s="82"/>
      <c r="M21786" s="112"/>
      <c r="N21786" s="84"/>
    </row>
    <row r="21787" spans="1:14" s="2" customFormat="1">
      <c r="A21787" s="83"/>
      <c r="H21787" s="83"/>
      <c r="K21787" s="82"/>
      <c r="M21787" s="112"/>
      <c r="N21787" s="84"/>
    </row>
    <row r="21788" spans="1:14" s="2" customFormat="1">
      <c r="A21788" s="83"/>
      <c r="H21788" s="83"/>
      <c r="K21788" s="82"/>
      <c r="M21788" s="112"/>
      <c r="N21788" s="84"/>
    </row>
    <row r="21789" spans="1:14" s="2" customFormat="1">
      <c r="A21789" s="83"/>
      <c r="H21789" s="83"/>
      <c r="K21789" s="82"/>
      <c r="M21789" s="112"/>
      <c r="N21789" s="84"/>
    </row>
    <row r="21790" spans="1:14" s="2" customFormat="1">
      <c r="A21790" s="83"/>
      <c r="H21790" s="83"/>
      <c r="K21790" s="82"/>
      <c r="M21790" s="112"/>
      <c r="N21790" s="84"/>
    </row>
    <row r="21791" spans="1:14" s="2" customFormat="1">
      <c r="A21791" s="83"/>
      <c r="H21791" s="83"/>
      <c r="K21791" s="82"/>
      <c r="M21791" s="112"/>
      <c r="N21791" s="84"/>
    </row>
    <row r="21792" spans="1:14" s="2" customFormat="1">
      <c r="A21792" s="83"/>
      <c r="H21792" s="83"/>
      <c r="K21792" s="82"/>
      <c r="M21792" s="112"/>
      <c r="N21792" s="84"/>
    </row>
    <row r="21793" spans="1:14" s="2" customFormat="1">
      <c r="A21793" s="83"/>
      <c r="H21793" s="83"/>
      <c r="K21793" s="82"/>
      <c r="M21793" s="112"/>
      <c r="N21793" s="84"/>
    </row>
    <row r="21794" spans="1:14" s="2" customFormat="1">
      <c r="A21794" s="83"/>
      <c r="H21794" s="83"/>
      <c r="K21794" s="82"/>
      <c r="M21794" s="112"/>
      <c r="N21794" s="84"/>
    </row>
    <row r="21795" spans="1:14" s="2" customFormat="1">
      <c r="A21795" s="83"/>
      <c r="H21795" s="83"/>
      <c r="K21795" s="82"/>
      <c r="M21795" s="112"/>
      <c r="N21795" s="84"/>
    </row>
    <row r="21796" spans="1:14" s="2" customFormat="1">
      <c r="A21796" s="83"/>
      <c r="H21796" s="83"/>
      <c r="K21796" s="82"/>
      <c r="M21796" s="112"/>
      <c r="N21796" s="84"/>
    </row>
    <row r="21797" spans="1:14" s="2" customFormat="1">
      <c r="A21797" s="83"/>
      <c r="H21797" s="83"/>
      <c r="K21797" s="82"/>
      <c r="M21797" s="112"/>
      <c r="N21797" s="84"/>
    </row>
    <row r="21798" spans="1:14" s="2" customFormat="1">
      <c r="A21798" s="83"/>
      <c r="H21798" s="83"/>
      <c r="K21798" s="82"/>
      <c r="M21798" s="112"/>
      <c r="N21798" s="84"/>
    </row>
    <row r="21799" spans="1:14" s="2" customFormat="1">
      <c r="A21799" s="83"/>
      <c r="H21799" s="83"/>
      <c r="K21799" s="82"/>
      <c r="M21799" s="112"/>
      <c r="N21799" s="84"/>
    </row>
    <row r="21800" spans="1:14" s="2" customFormat="1">
      <c r="A21800" s="83"/>
      <c r="H21800" s="83"/>
      <c r="K21800" s="82"/>
      <c r="M21800" s="112"/>
      <c r="N21800" s="84"/>
    </row>
    <row r="21801" spans="1:14" s="2" customFormat="1">
      <c r="A21801" s="83"/>
      <c r="H21801" s="83"/>
      <c r="K21801" s="82"/>
      <c r="M21801" s="112"/>
      <c r="N21801" s="84"/>
    </row>
    <row r="21802" spans="1:14" s="2" customFormat="1">
      <c r="A21802" s="83"/>
      <c r="H21802" s="83"/>
      <c r="K21802" s="82"/>
      <c r="M21802" s="112"/>
      <c r="N21802" s="84"/>
    </row>
    <row r="21803" spans="1:14" s="2" customFormat="1">
      <c r="A21803" s="83"/>
      <c r="H21803" s="83"/>
      <c r="K21803" s="82"/>
      <c r="M21803" s="112"/>
      <c r="N21803" s="84"/>
    </row>
    <row r="21804" spans="1:14" s="2" customFormat="1">
      <c r="A21804" s="83"/>
      <c r="H21804" s="83"/>
      <c r="K21804" s="82"/>
      <c r="M21804" s="112"/>
      <c r="N21804" s="84"/>
    </row>
    <row r="21805" spans="1:14" s="2" customFormat="1">
      <c r="A21805" s="83"/>
      <c r="H21805" s="83"/>
      <c r="K21805" s="82"/>
      <c r="M21805" s="112"/>
      <c r="N21805" s="84"/>
    </row>
    <row r="21806" spans="1:14" s="2" customFormat="1">
      <c r="A21806" s="83"/>
      <c r="H21806" s="83"/>
      <c r="K21806" s="82"/>
      <c r="M21806" s="112"/>
      <c r="N21806" s="84"/>
    </row>
    <row r="21807" spans="1:14" s="2" customFormat="1">
      <c r="A21807" s="83"/>
      <c r="H21807" s="83"/>
      <c r="K21807" s="82"/>
      <c r="M21807" s="112"/>
      <c r="N21807" s="84"/>
    </row>
    <row r="21808" spans="1:14" s="2" customFormat="1">
      <c r="A21808" s="83"/>
      <c r="H21808" s="83"/>
      <c r="K21808" s="82"/>
      <c r="M21808" s="112"/>
      <c r="N21808" s="84"/>
    </row>
    <row r="21809" spans="1:14" s="2" customFormat="1">
      <c r="A21809" s="83"/>
      <c r="H21809" s="83"/>
      <c r="K21809" s="82"/>
      <c r="M21809" s="112"/>
      <c r="N21809" s="84"/>
    </row>
    <row r="21810" spans="1:14" s="2" customFormat="1">
      <c r="A21810" s="83"/>
      <c r="H21810" s="83"/>
      <c r="K21810" s="82"/>
      <c r="M21810" s="112"/>
      <c r="N21810" s="84"/>
    </row>
    <row r="21811" spans="1:14" s="2" customFormat="1">
      <c r="A21811" s="83"/>
      <c r="H21811" s="83"/>
      <c r="K21811" s="82"/>
      <c r="M21811" s="112"/>
      <c r="N21811" s="84"/>
    </row>
    <row r="21812" spans="1:14" s="2" customFormat="1">
      <c r="A21812" s="83"/>
      <c r="H21812" s="83"/>
      <c r="K21812" s="82"/>
      <c r="M21812" s="112"/>
      <c r="N21812" s="84"/>
    </row>
    <row r="21813" spans="1:14" s="2" customFormat="1">
      <c r="A21813" s="83"/>
      <c r="H21813" s="83"/>
      <c r="K21813" s="82"/>
      <c r="M21813" s="112"/>
      <c r="N21813" s="84"/>
    </row>
    <row r="21814" spans="1:14" s="2" customFormat="1">
      <c r="A21814" s="83"/>
      <c r="H21814" s="83"/>
      <c r="K21814" s="82"/>
      <c r="M21814" s="112"/>
      <c r="N21814" s="84"/>
    </row>
    <row r="21815" spans="1:14" s="2" customFormat="1">
      <c r="A21815" s="83"/>
      <c r="H21815" s="83"/>
      <c r="K21815" s="82"/>
      <c r="M21815" s="112"/>
      <c r="N21815" s="84"/>
    </row>
    <row r="21816" spans="1:14" s="2" customFormat="1">
      <c r="A21816" s="83"/>
      <c r="H21816" s="83"/>
      <c r="K21816" s="82"/>
      <c r="M21816" s="112"/>
      <c r="N21816" s="84"/>
    </row>
    <row r="21817" spans="1:14" s="2" customFormat="1">
      <c r="A21817" s="83"/>
      <c r="H21817" s="83"/>
      <c r="K21817" s="82"/>
      <c r="M21817" s="112"/>
      <c r="N21817" s="84"/>
    </row>
    <row r="21818" spans="1:14" s="2" customFormat="1">
      <c r="A21818" s="83"/>
      <c r="H21818" s="83"/>
      <c r="K21818" s="82"/>
      <c r="M21818" s="112"/>
      <c r="N21818" s="84"/>
    </row>
    <row r="21819" spans="1:14" s="2" customFormat="1">
      <c r="A21819" s="83"/>
      <c r="H21819" s="83"/>
      <c r="K21819" s="82"/>
      <c r="M21819" s="112"/>
      <c r="N21819" s="84"/>
    </row>
    <row r="21820" spans="1:14" s="2" customFormat="1">
      <c r="A21820" s="83"/>
      <c r="H21820" s="83"/>
      <c r="K21820" s="82"/>
      <c r="M21820" s="112"/>
      <c r="N21820" s="84"/>
    </row>
    <row r="21821" spans="1:14" s="2" customFormat="1">
      <c r="A21821" s="83"/>
      <c r="H21821" s="83"/>
      <c r="K21821" s="82"/>
      <c r="M21821" s="112"/>
      <c r="N21821" s="84"/>
    </row>
    <row r="21822" spans="1:14" s="2" customFormat="1">
      <c r="A21822" s="83"/>
      <c r="H21822" s="83"/>
      <c r="K21822" s="82"/>
      <c r="M21822" s="112"/>
      <c r="N21822" s="84"/>
    </row>
    <row r="21823" spans="1:14" s="2" customFormat="1">
      <c r="A21823" s="83"/>
      <c r="H21823" s="83"/>
      <c r="K21823" s="82"/>
      <c r="M21823" s="112"/>
      <c r="N21823" s="84"/>
    </row>
    <row r="21824" spans="1:14" s="2" customFormat="1">
      <c r="A21824" s="83"/>
      <c r="H21824" s="83"/>
      <c r="K21824" s="82"/>
      <c r="M21824" s="112"/>
      <c r="N21824" s="84"/>
    </row>
    <row r="21825" spans="1:14" s="2" customFormat="1">
      <c r="A21825" s="83"/>
      <c r="H21825" s="83"/>
      <c r="K21825" s="82"/>
      <c r="M21825" s="112"/>
      <c r="N21825" s="84"/>
    </row>
    <row r="21826" spans="1:14" s="2" customFormat="1">
      <c r="A21826" s="83"/>
      <c r="H21826" s="83"/>
      <c r="K21826" s="82"/>
      <c r="M21826" s="112"/>
      <c r="N21826" s="84"/>
    </row>
    <row r="21827" spans="1:14" s="2" customFormat="1">
      <c r="A21827" s="83"/>
      <c r="H21827" s="83"/>
      <c r="K21827" s="82"/>
      <c r="M21827" s="112"/>
      <c r="N21827" s="84"/>
    </row>
    <row r="21828" spans="1:14" s="2" customFormat="1">
      <c r="A21828" s="83"/>
      <c r="H21828" s="83"/>
      <c r="K21828" s="82"/>
      <c r="M21828" s="112"/>
      <c r="N21828" s="84"/>
    </row>
    <row r="21829" spans="1:14" s="2" customFormat="1">
      <c r="A21829" s="83"/>
      <c r="H21829" s="83"/>
      <c r="K21829" s="82"/>
      <c r="M21829" s="112"/>
      <c r="N21829" s="84"/>
    </row>
    <row r="21830" spans="1:14" s="2" customFormat="1">
      <c r="A21830" s="83"/>
      <c r="H21830" s="83"/>
      <c r="K21830" s="82"/>
      <c r="M21830" s="112"/>
      <c r="N21830" s="84"/>
    </row>
    <row r="21831" spans="1:14" s="2" customFormat="1">
      <c r="A21831" s="83"/>
      <c r="H21831" s="83"/>
      <c r="K21831" s="82"/>
      <c r="M21831" s="112"/>
      <c r="N21831" s="84"/>
    </row>
    <row r="21832" spans="1:14" s="2" customFormat="1">
      <c r="A21832" s="83"/>
      <c r="H21832" s="83"/>
      <c r="K21832" s="82"/>
      <c r="M21832" s="112"/>
      <c r="N21832" s="84"/>
    </row>
    <row r="21833" spans="1:14" s="2" customFormat="1">
      <c r="A21833" s="83"/>
      <c r="H21833" s="83"/>
      <c r="K21833" s="82"/>
      <c r="M21833" s="112"/>
      <c r="N21833" s="84"/>
    </row>
    <row r="21834" spans="1:14" s="2" customFormat="1">
      <c r="A21834" s="83"/>
      <c r="H21834" s="83"/>
      <c r="K21834" s="82"/>
      <c r="M21834" s="112"/>
      <c r="N21834" s="84"/>
    </row>
    <row r="21835" spans="1:14" s="2" customFormat="1">
      <c r="A21835" s="83"/>
      <c r="H21835" s="83"/>
      <c r="K21835" s="82"/>
      <c r="M21835" s="112"/>
      <c r="N21835" s="84"/>
    </row>
    <row r="21836" spans="1:14" s="2" customFormat="1">
      <c r="A21836" s="83"/>
      <c r="H21836" s="83"/>
      <c r="K21836" s="82"/>
      <c r="M21836" s="112"/>
      <c r="N21836" s="84"/>
    </row>
    <row r="21837" spans="1:14" s="2" customFormat="1">
      <c r="A21837" s="83"/>
      <c r="H21837" s="83"/>
      <c r="K21837" s="82"/>
      <c r="M21837" s="112"/>
      <c r="N21837" s="84"/>
    </row>
    <row r="21838" spans="1:14" s="2" customFormat="1">
      <c r="A21838" s="83"/>
      <c r="H21838" s="83"/>
      <c r="K21838" s="82"/>
      <c r="M21838" s="112"/>
      <c r="N21838" s="84"/>
    </row>
    <row r="21839" spans="1:14" s="2" customFormat="1">
      <c r="A21839" s="83"/>
      <c r="H21839" s="83"/>
      <c r="K21839" s="82"/>
      <c r="M21839" s="112"/>
      <c r="N21839" s="84"/>
    </row>
    <row r="21840" spans="1:14" s="2" customFormat="1">
      <c r="A21840" s="83"/>
      <c r="H21840" s="83"/>
      <c r="K21840" s="82"/>
      <c r="M21840" s="112"/>
      <c r="N21840" s="84"/>
    </row>
    <row r="21841" spans="1:14" s="2" customFormat="1">
      <c r="A21841" s="83"/>
      <c r="H21841" s="83"/>
      <c r="K21841" s="82"/>
      <c r="M21841" s="112"/>
      <c r="N21841" s="84"/>
    </row>
    <row r="21842" spans="1:14" s="2" customFormat="1">
      <c r="A21842" s="83"/>
      <c r="H21842" s="83"/>
      <c r="K21842" s="82"/>
      <c r="M21842" s="112"/>
      <c r="N21842" s="84"/>
    </row>
    <row r="21843" spans="1:14" s="2" customFormat="1">
      <c r="A21843" s="83"/>
      <c r="H21843" s="83"/>
      <c r="K21843" s="82"/>
      <c r="M21843" s="112"/>
      <c r="N21843" s="84"/>
    </row>
    <row r="21844" spans="1:14" s="2" customFormat="1">
      <c r="A21844" s="83"/>
      <c r="H21844" s="83"/>
      <c r="K21844" s="82"/>
      <c r="M21844" s="112"/>
      <c r="N21844" s="84"/>
    </row>
    <row r="21845" spans="1:14" s="2" customFormat="1">
      <c r="A21845" s="83"/>
      <c r="H21845" s="83"/>
      <c r="K21845" s="82"/>
      <c r="M21845" s="112"/>
      <c r="N21845" s="84"/>
    </row>
    <row r="21846" spans="1:14" s="2" customFormat="1">
      <c r="A21846" s="83"/>
      <c r="H21846" s="83"/>
      <c r="K21846" s="82"/>
      <c r="M21846" s="112"/>
      <c r="N21846" s="84"/>
    </row>
    <row r="21847" spans="1:14" s="2" customFormat="1">
      <c r="A21847" s="83"/>
      <c r="H21847" s="83"/>
      <c r="K21847" s="82"/>
      <c r="M21847" s="112"/>
      <c r="N21847" s="84"/>
    </row>
    <row r="21848" spans="1:14" s="2" customFormat="1">
      <c r="A21848" s="83"/>
      <c r="H21848" s="83"/>
      <c r="K21848" s="82"/>
      <c r="M21848" s="112"/>
      <c r="N21848" s="84"/>
    </row>
    <row r="21849" spans="1:14" s="2" customFormat="1">
      <c r="A21849" s="83"/>
      <c r="H21849" s="83"/>
      <c r="K21849" s="82"/>
      <c r="M21849" s="112"/>
      <c r="N21849" s="84"/>
    </row>
    <row r="21850" spans="1:14" s="2" customFormat="1">
      <c r="A21850" s="83"/>
      <c r="H21850" s="83"/>
      <c r="K21850" s="82"/>
      <c r="M21850" s="112"/>
      <c r="N21850" s="84"/>
    </row>
    <row r="21851" spans="1:14" s="2" customFormat="1">
      <c r="A21851" s="83"/>
      <c r="H21851" s="83"/>
      <c r="K21851" s="82"/>
      <c r="M21851" s="112"/>
      <c r="N21851" s="84"/>
    </row>
    <row r="21852" spans="1:14" s="2" customFormat="1">
      <c r="A21852" s="83"/>
      <c r="H21852" s="83"/>
      <c r="K21852" s="82"/>
      <c r="M21852" s="112"/>
      <c r="N21852" s="84"/>
    </row>
    <row r="21853" spans="1:14" s="2" customFormat="1">
      <c r="A21853" s="83"/>
      <c r="H21853" s="83"/>
      <c r="K21853" s="82"/>
      <c r="M21853" s="112"/>
      <c r="N21853" s="84"/>
    </row>
    <row r="21854" spans="1:14" s="2" customFormat="1">
      <c r="A21854" s="83"/>
      <c r="H21854" s="83"/>
      <c r="K21854" s="82"/>
      <c r="M21854" s="112"/>
      <c r="N21854" s="84"/>
    </row>
    <row r="21855" spans="1:14" s="2" customFormat="1">
      <c r="A21855" s="83"/>
      <c r="H21855" s="83"/>
      <c r="K21855" s="82"/>
      <c r="M21855" s="112"/>
      <c r="N21855" s="84"/>
    </row>
    <row r="21856" spans="1:14" s="2" customFormat="1">
      <c r="A21856" s="83"/>
      <c r="H21856" s="83"/>
      <c r="K21856" s="82"/>
      <c r="M21856" s="112"/>
      <c r="N21856" s="84"/>
    </row>
    <row r="21857" spans="1:14" s="2" customFormat="1">
      <c r="A21857" s="83"/>
      <c r="H21857" s="83"/>
      <c r="K21857" s="82"/>
      <c r="M21857" s="112"/>
      <c r="N21857" s="84"/>
    </row>
    <row r="21858" spans="1:14" s="2" customFormat="1">
      <c r="A21858" s="83"/>
      <c r="H21858" s="83"/>
      <c r="K21858" s="82"/>
      <c r="M21858" s="112"/>
      <c r="N21858" s="84"/>
    </row>
    <row r="21859" spans="1:14" s="2" customFormat="1">
      <c r="A21859" s="83"/>
      <c r="H21859" s="83"/>
      <c r="K21859" s="82"/>
      <c r="M21859" s="112"/>
      <c r="N21859" s="84"/>
    </row>
    <row r="21860" spans="1:14" s="2" customFormat="1">
      <c r="A21860" s="83"/>
      <c r="H21860" s="83"/>
      <c r="K21860" s="82"/>
      <c r="M21860" s="112"/>
      <c r="N21860" s="84"/>
    </row>
    <row r="21861" spans="1:14" s="2" customFormat="1">
      <c r="A21861" s="83"/>
      <c r="H21861" s="83"/>
      <c r="K21861" s="82"/>
      <c r="M21861" s="112"/>
      <c r="N21861" s="84"/>
    </row>
    <row r="21862" spans="1:14" s="2" customFormat="1">
      <c r="A21862" s="83"/>
      <c r="H21862" s="83"/>
      <c r="K21862" s="82"/>
      <c r="M21862" s="112"/>
      <c r="N21862" s="84"/>
    </row>
    <row r="21863" spans="1:14" s="2" customFormat="1">
      <c r="A21863" s="83"/>
      <c r="H21863" s="83"/>
      <c r="K21863" s="82"/>
      <c r="M21863" s="112"/>
      <c r="N21863" s="84"/>
    </row>
    <row r="21864" spans="1:14" s="2" customFormat="1">
      <c r="A21864" s="83"/>
      <c r="H21864" s="83"/>
      <c r="K21864" s="82"/>
      <c r="M21864" s="112"/>
      <c r="N21864" s="84"/>
    </row>
    <row r="21865" spans="1:14" s="2" customFormat="1">
      <c r="A21865" s="83"/>
      <c r="H21865" s="83"/>
      <c r="K21865" s="82"/>
      <c r="M21865" s="112"/>
      <c r="N21865" s="84"/>
    </row>
    <row r="21866" spans="1:14" s="2" customFormat="1">
      <c r="A21866" s="83"/>
      <c r="H21866" s="83"/>
      <c r="K21866" s="82"/>
      <c r="M21866" s="112"/>
      <c r="N21866" s="84"/>
    </row>
    <row r="21867" spans="1:14" s="2" customFormat="1">
      <c r="A21867" s="83"/>
      <c r="H21867" s="83"/>
      <c r="K21867" s="82"/>
      <c r="M21867" s="112"/>
      <c r="N21867" s="84"/>
    </row>
    <row r="21868" spans="1:14" s="2" customFormat="1">
      <c r="A21868" s="83"/>
      <c r="H21868" s="83"/>
      <c r="K21868" s="82"/>
      <c r="M21868" s="112"/>
      <c r="N21868" s="84"/>
    </row>
    <row r="21869" spans="1:14" s="2" customFormat="1">
      <c r="A21869" s="83"/>
      <c r="H21869" s="83"/>
      <c r="K21869" s="82"/>
      <c r="M21869" s="112"/>
      <c r="N21869" s="84"/>
    </row>
    <row r="21870" spans="1:14" s="2" customFormat="1">
      <c r="A21870" s="83"/>
      <c r="H21870" s="83"/>
      <c r="K21870" s="82"/>
      <c r="M21870" s="112"/>
      <c r="N21870" s="84"/>
    </row>
    <row r="21871" spans="1:14" s="2" customFormat="1">
      <c r="A21871" s="83"/>
      <c r="H21871" s="83"/>
      <c r="K21871" s="82"/>
      <c r="M21871" s="112"/>
      <c r="N21871" s="84"/>
    </row>
    <row r="21872" spans="1:14" s="2" customFormat="1">
      <c r="A21872" s="83"/>
      <c r="H21872" s="83"/>
      <c r="K21872" s="82"/>
      <c r="M21872" s="112"/>
      <c r="N21872" s="84"/>
    </row>
    <row r="21873" spans="1:14" s="2" customFormat="1">
      <c r="A21873" s="83"/>
      <c r="H21873" s="83"/>
      <c r="K21873" s="82"/>
      <c r="M21873" s="112"/>
      <c r="N21873" s="84"/>
    </row>
    <row r="21874" spans="1:14" s="2" customFormat="1">
      <c r="A21874" s="83"/>
      <c r="H21874" s="83"/>
      <c r="K21874" s="82"/>
      <c r="M21874" s="112"/>
      <c r="N21874" s="84"/>
    </row>
    <row r="21875" spans="1:14" s="2" customFormat="1">
      <c r="A21875" s="83"/>
      <c r="H21875" s="83"/>
      <c r="K21875" s="82"/>
      <c r="M21875" s="112"/>
      <c r="N21875" s="84"/>
    </row>
    <row r="21876" spans="1:14" s="2" customFormat="1">
      <c r="A21876" s="83"/>
      <c r="H21876" s="83"/>
      <c r="K21876" s="82"/>
      <c r="M21876" s="112"/>
      <c r="N21876" s="84"/>
    </row>
    <row r="21877" spans="1:14" s="2" customFormat="1">
      <c r="A21877" s="83"/>
      <c r="H21877" s="83"/>
      <c r="K21877" s="82"/>
      <c r="M21877" s="112"/>
      <c r="N21877" s="84"/>
    </row>
    <row r="21878" spans="1:14" s="2" customFormat="1">
      <c r="A21878" s="83"/>
      <c r="H21878" s="83"/>
      <c r="K21878" s="82"/>
      <c r="M21878" s="112"/>
      <c r="N21878" s="84"/>
    </row>
    <row r="21879" spans="1:14" s="2" customFormat="1">
      <c r="A21879" s="83"/>
      <c r="H21879" s="83"/>
      <c r="K21879" s="82"/>
      <c r="M21879" s="112"/>
      <c r="N21879" s="84"/>
    </row>
    <row r="21880" spans="1:14" s="2" customFormat="1">
      <c r="A21880" s="83"/>
      <c r="H21880" s="83"/>
      <c r="K21880" s="82"/>
      <c r="M21880" s="112"/>
      <c r="N21880" s="84"/>
    </row>
    <row r="21881" spans="1:14" s="2" customFormat="1">
      <c r="A21881" s="83"/>
      <c r="H21881" s="83"/>
      <c r="K21881" s="82"/>
      <c r="M21881" s="112"/>
      <c r="N21881" s="84"/>
    </row>
    <row r="21882" spans="1:14" s="2" customFormat="1">
      <c r="A21882" s="83"/>
      <c r="H21882" s="83"/>
      <c r="K21882" s="82"/>
      <c r="M21882" s="112"/>
      <c r="N21882" s="84"/>
    </row>
    <row r="21883" spans="1:14" s="2" customFormat="1">
      <c r="A21883" s="83"/>
      <c r="H21883" s="83"/>
      <c r="K21883" s="82"/>
      <c r="M21883" s="112"/>
      <c r="N21883" s="84"/>
    </row>
    <row r="21884" spans="1:14" s="2" customFormat="1">
      <c r="A21884" s="83"/>
      <c r="H21884" s="83"/>
      <c r="K21884" s="82"/>
      <c r="M21884" s="112"/>
      <c r="N21884" s="84"/>
    </row>
    <row r="21885" spans="1:14" s="2" customFormat="1">
      <c r="A21885" s="83"/>
      <c r="H21885" s="83"/>
      <c r="K21885" s="82"/>
      <c r="M21885" s="112"/>
      <c r="N21885" s="84"/>
    </row>
    <row r="21886" spans="1:14" s="2" customFormat="1">
      <c r="A21886" s="83"/>
      <c r="H21886" s="83"/>
      <c r="K21886" s="82"/>
      <c r="M21886" s="112"/>
      <c r="N21886" s="84"/>
    </row>
    <row r="21887" spans="1:14" s="2" customFormat="1">
      <c r="A21887" s="83"/>
      <c r="H21887" s="83"/>
      <c r="K21887" s="82"/>
      <c r="M21887" s="112"/>
      <c r="N21887" s="84"/>
    </row>
    <row r="21888" spans="1:14" s="2" customFormat="1">
      <c r="A21888" s="83"/>
      <c r="H21888" s="83"/>
      <c r="K21888" s="82"/>
      <c r="M21888" s="112"/>
      <c r="N21888" s="84"/>
    </row>
    <row r="21889" spans="1:14" s="2" customFormat="1">
      <c r="A21889" s="83"/>
      <c r="H21889" s="83"/>
      <c r="K21889" s="82"/>
      <c r="M21889" s="112"/>
      <c r="N21889" s="84"/>
    </row>
    <row r="21890" spans="1:14" s="2" customFormat="1">
      <c r="A21890" s="83"/>
      <c r="H21890" s="83"/>
      <c r="K21890" s="82"/>
      <c r="M21890" s="112"/>
      <c r="N21890" s="84"/>
    </row>
    <row r="21891" spans="1:14" s="2" customFormat="1">
      <c r="A21891" s="83"/>
      <c r="H21891" s="83"/>
      <c r="K21891" s="82"/>
      <c r="M21891" s="112"/>
      <c r="N21891" s="84"/>
    </row>
    <row r="21892" spans="1:14" s="2" customFormat="1">
      <c r="A21892" s="83"/>
      <c r="H21892" s="83"/>
      <c r="K21892" s="82"/>
      <c r="M21892" s="112"/>
      <c r="N21892" s="84"/>
    </row>
    <row r="21893" spans="1:14" s="2" customFormat="1">
      <c r="A21893" s="83"/>
      <c r="H21893" s="83"/>
      <c r="K21893" s="82"/>
      <c r="M21893" s="112"/>
      <c r="N21893" s="84"/>
    </row>
    <row r="21894" spans="1:14" s="2" customFormat="1">
      <c r="A21894" s="83"/>
      <c r="H21894" s="83"/>
      <c r="K21894" s="82"/>
      <c r="M21894" s="112"/>
      <c r="N21894" s="84"/>
    </row>
    <row r="21895" spans="1:14" s="2" customFormat="1">
      <c r="A21895" s="83"/>
      <c r="H21895" s="83"/>
      <c r="K21895" s="82"/>
      <c r="M21895" s="112"/>
      <c r="N21895" s="84"/>
    </row>
    <row r="21896" spans="1:14" s="2" customFormat="1">
      <c r="A21896" s="83"/>
      <c r="H21896" s="83"/>
      <c r="K21896" s="82"/>
      <c r="M21896" s="112"/>
      <c r="N21896" s="84"/>
    </row>
    <row r="21897" spans="1:14" s="2" customFormat="1">
      <c r="A21897" s="83"/>
      <c r="H21897" s="83"/>
      <c r="K21897" s="82"/>
      <c r="M21897" s="112"/>
      <c r="N21897" s="84"/>
    </row>
    <row r="21898" spans="1:14" s="2" customFormat="1">
      <c r="A21898" s="83"/>
      <c r="H21898" s="83"/>
      <c r="K21898" s="82"/>
      <c r="M21898" s="112"/>
      <c r="N21898" s="84"/>
    </row>
    <row r="21899" spans="1:14" s="2" customFormat="1">
      <c r="A21899" s="83"/>
      <c r="H21899" s="83"/>
      <c r="K21899" s="82"/>
      <c r="M21899" s="112"/>
      <c r="N21899" s="84"/>
    </row>
    <row r="21900" spans="1:14" s="2" customFormat="1">
      <c r="A21900" s="83"/>
      <c r="H21900" s="83"/>
      <c r="K21900" s="82"/>
      <c r="M21900" s="112"/>
      <c r="N21900" s="84"/>
    </row>
    <row r="21901" spans="1:14" s="2" customFormat="1">
      <c r="A21901" s="83"/>
      <c r="H21901" s="83"/>
      <c r="K21901" s="82"/>
      <c r="M21901" s="112"/>
      <c r="N21901" s="84"/>
    </row>
    <row r="21902" spans="1:14" s="2" customFormat="1">
      <c r="A21902" s="83"/>
      <c r="H21902" s="83"/>
      <c r="K21902" s="82"/>
      <c r="M21902" s="112"/>
      <c r="N21902" s="84"/>
    </row>
    <row r="21903" spans="1:14" s="2" customFormat="1">
      <c r="A21903" s="83"/>
      <c r="H21903" s="83"/>
      <c r="K21903" s="82"/>
      <c r="M21903" s="112"/>
      <c r="N21903" s="84"/>
    </row>
    <row r="21904" spans="1:14" s="2" customFormat="1">
      <c r="A21904" s="83"/>
      <c r="H21904" s="83"/>
      <c r="K21904" s="82"/>
      <c r="M21904" s="112"/>
      <c r="N21904" s="84"/>
    </row>
    <row r="21905" spans="1:14" s="2" customFormat="1">
      <c r="A21905" s="83"/>
      <c r="H21905" s="83"/>
      <c r="K21905" s="82"/>
      <c r="M21905" s="112"/>
      <c r="N21905" s="84"/>
    </row>
    <row r="21906" spans="1:14" s="2" customFormat="1">
      <c r="A21906" s="83"/>
      <c r="H21906" s="83"/>
      <c r="K21906" s="82"/>
      <c r="M21906" s="112"/>
      <c r="N21906" s="84"/>
    </row>
    <row r="21907" spans="1:14" s="2" customFormat="1">
      <c r="A21907" s="83"/>
      <c r="H21907" s="83"/>
      <c r="K21907" s="82"/>
      <c r="M21907" s="112"/>
      <c r="N21907" s="84"/>
    </row>
    <row r="21908" spans="1:14" s="2" customFormat="1">
      <c r="A21908" s="83"/>
      <c r="H21908" s="83"/>
      <c r="K21908" s="82"/>
      <c r="M21908" s="112"/>
      <c r="N21908" s="84"/>
    </row>
    <row r="21909" spans="1:14" s="2" customFormat="1">
      <c r="A21909" s="83"/>
      <c r="H21909" s="83"/>
      <c r="K21909" s="82"/>
      <c r="M21909" s="112"/>
      <c r="N21909" s="84"/>
    </row>
    <row r="21910" spans="1:14" s="2" customFormat="1">
      <c r="A21910" s="83"/>
      <c r="H21910" s="83"/>
      <c r="K21910" s="82"/>
      <c r="M21910" s="112"/>
      <c r="N21910" s="84"/>
    </row>
    <row r="21911" spans="1:14" s="2" customFormat="1">
      <c r="A21911" s="83"/>
      <c r="H21911" s="83"/>
      <c r="K21911" s="82"/>
      <c r="M21911" s="112"/>
      <c r="N21911" s="84"/>
    </row>
    <row r="21912" spans="1:14" s="2" customFormat="1">
      <c r="A21912" s="83"/>
      <c r="H21912" s="83"/>
      <c r="K21912" s="82"/>
      <c r="M21912" s="112"/>
      <c r="N21912" s="84"/>
    </row>
    <row r="21913" spans="1:14" s="2" customFormat="1">
      <c r="A21913" s="83"/>
      <c r="H21913" s="83"/>
      <c r="K21913" s="82"/>
      <c r="M21913" s="112"/>
      <c r="N21913" s="84"/>
    </row>
    <row r="21914" spans="1:14" s="2" customFormat="1">
      <c r="A21914" s="83"/>
      <c r="H21914" s="83"/>
      <c r="K21914" s="82"/>
      <c r="M21914" s="112"/>
      <c r="N21914" s="84"/>
    </row>
    <row r="21915" spans="1:14" s="2" customFormat="1">
      <c r="A21915" s="83"/>
      <c r="H21915" s="83"/>
      <c r="K21915" s="82"/>
      <c r="M21915" s="112"/>
      <c r="N21915" s="84"/>
    </row>
    <row r="21916" spans="1:14" s="2" customFormat="1">
      <c r="A21916" s="83"/>
      <c r="H21916" s="83"/>
      <c r="K21916" s="82"/>
      <c r="M21916" s="112"/>
      <c r="N21916" s="84"/>
    </row>
    <row r="21917" spans="1:14" s="2" customFormat="1">
      <c r="A21917" s="83"/>
      <c r="H21917" s="83"/>
      <c r="K21917" s="82"/>
      <c r="M21917" s="112"/>
      <c r="N21917" s="84"/>
    </row>
    <row r="21918" spans="1:14" s="2" customFormat="1">
      <c r="A21918" s="83"/>
      <c r="H21918" s="83"/>
      <c r="K21918" s="82"/>
      <c r="M21918" s="112"/>
      <c r="N21918" s="84"/>
    </row>
    <row r="21919" spans="1:14" s="2" customFormat="1">
      <c r="A21919" s="83"/>
      <c r="H21919" s="83"/>
      <c r="K21919" s="82"/>
      <c r="M21919" s="112"/>
      <c r="N21919" s="84"/>
    </row>
    <row r="21920" spans="1:14" s="2" customFormat="1">
      <c r="A21920" s="83"/>
      <c r="H21920" s="83"/>
      <c r="K21920" s="82"/>
      <c r="M21920" s="112"/>
      <c r="N21920" s="84"/>
    </row>
    <row r="21921" spans="1:14" s="2" customFormat="1">
      <c r="A21921" s="83"/>
      <c r="H21921" s="83"/>
      <c r="K21921" s="82"/>
      <c r="M21921" s="112"/>
      <c r="N21921" s="84"/>
    </row>
    <row r="21922" spans="1:14" s="2" customFormat="1">
      <c r="A21922" s="83"/>
      <c r="H21922" s="83"/>
      <c r="K21922" s="82"/>
      <c r="M21922" s="112"/>
      <c r="N21922" s="84"/>
    </row>
    <row r="21923" spans="1:14" s="2" customFormat="1">
      <c r="A21923" s="83"/>
      <c r="H21923" s="83"/>
      <c r="K21923" s="82"/>
      <c r="M21923" s="112"/>
      <c r="N21923" s="84"/>
    </row>
    <row r="21924" spans="1:14" s="2" customFormat="1">
      <c r="A21924" s="83"/>
      <c r="H21924" s="83"/>
      <c r="K21924" s="82"/>
      <c r="M21924" s="112"/>
      <c r="N21924" s="84"/>
    </row>
    <row r="21925" spans="1:14" s="2" customFormat="1">
      <c r="A21925" s="83"/>
      <c r="H21925" s="83"/>
      <c r="K21925" s="82"/>
      <c r="M21925" s="112"/>
      <c r="N21925" s="84"/>
    </row>
    <row r="21926" spans="1:14" s="2" customFormat="1">
      <c r="A21926" s="83"/>
      <c r="H21926" s="83"/>
      <c r="K21926" s="82"/>
      <c r="M21926" s="112"/>
      <c r="N21926" s="84"/>
    </row>
    <row r="21927" spans="1:14" s="2" customFormat="1">
      <c r="A21927" s="83"/>
      <c r="H21927" s="83"/>
      <c r="K21927" s="82"/>
      <c r="M21927" s="112"/>
      <c r="N21927" s="84"/>
    </row>
    <row r="21928" spans="1:14" s="2" customFormat="1">
      <c r="A21928" s="83"/>
      <c r="H21928" s="83"/>
      <c r="K21928" s="82"/>
      <c r="M21928" s="112"/>
      <c r="N21928" s="84"/>
    </row>
    <row r="21929" spans="1:14" s="2" customFormat="1">
      <c r="A21929" s="83"/>
      <c r="H21929" s="83"/>
      <c r="K21929" s="82"/>
      <c r="M21929" s="112"/>
      <c r="N21929" s="84"/>
    </row>
    <row r="21930" spans="1:14" s="2" customFormat="1">
      <c r="A21930" s="83"/>
      <c r="H21930" s="83"/>
      <c r="K21930" s="82"/>
      <c r="M21930" s="112"/>
      <c r="N21930" s="84"/>
    </row>
    <row r="21931" spans="1:14" s="2" customFormat="1">
      <c r="A21931" s="83"/>
      <c r="H21931" s="83"/>
      <c r="K21931" s="82"/>
      <c r="M21931" s="112"/>
      <c r="N21931" s="84"/>
    </row>
    <row r="21932" spans="1:14" s="2" customFormat="1">
      <c r="A21932" s="83"/>
      <c r="H21932" s="83"/>
      <c r="K21932" s="82"/>
      <c r="M21932" s="112"/>
      <c r="N21932" s="84"/>
    </row>
    <row r="21933" spans="1:14" s="2" customFormat="1">
      <c r="A21933" s="83"/>
      <c r="H21933" s="83"/>
      <c r="K21933" s="82"/>
      <c r="M21933" s="112"/>
      <c r="N21933" s="84"/>
    </row>
    <row r="21934" spans="1:14" s="2" customFormat="1">
      <c r="A21934" s="83"/>
      <c r="H21934" s="83"/>
      <c r="K21934" s="82"/>
      <c r="M21934" s="112"/>
      <c r="N21934" s="84"/>
    </row>
    <row r="21935" spans="1:14" s="2" customFormat="1">
      <c r="A21935" s="83"/>
      <c r="H21935" s="83"/>
      <c r="K21935" s="82"/>
      <c r="M21935" s="112"/>
      <c r="N21935" s="84"/>
    </row>
    <row r="21936" spans="1:14" s="2" customFormat="1">
      <c r="A21936" s="83"/>
      <c r="H21936" s="83"/>
      <c r="K21936" s="82"/>
      <c r="M21936" s="112"/>
      <c r="N21936" s="84"/>
    </row>
    <row r="21937" spans="1:14" s="2" customFormat="1">
      <c r="A21937" s="83"/>
      <c r="H21937" s="83"/>
      <c r="K21937" s="82"/>
      <c r="M21937" s="112"/>
      <c r="N21937" s="84"/>
    </row>
    <row r="21938" spans="1:14" s="2" customFormat="1">
      <c r="A21938" s="83"/>
      <c r="H21938" s="83"/>
      <c r="K21938" s="82"/>
      <c r="M21938" s="112"/>
      <c r="N21938" s="84"/>
    </row>
    <row r="21939" spans="1:14" s="2" customFormat="1">
      <c r="A21939" s="83"/>
      <c r="H21939" s="83"/>
      <c r="K21939" s="82"/>
      <c r="M21939" s="112"/>
      <c r="N21939" s="84"/>
    </row>
    <row r="21940" spans="1:14" s="2" customFormat="1">
      <c r="A21940" s="83"/>
      <c r="H21940" s="83"/>
      <c r="K21940" s="82"/>
      <c r="M21940" s="112"/>
      <c r="N21940" s="84"/>
    </row>
    <row r="21941" spans="1:14" s="2" customFormat="1">
      <c r="A21941" s="83"/>
      <c r="H21941" s="83"/>
      <c r="K21941" s="82"/>
      <c r="M21941" s="112"/>
      <c r="N21941" s="84"/>
    </row>
    <row r="21942" spans="1:14" s="2" customFormat="1">
      <c r="A21942" s="83"/>
      <c r="H21942" s="83"/>
      <c r="K21942" s="82"/>
      <c r="M21942" s="112"/>
      <c r="N21942" s="84"/>
    </row>
    <row r="21943" spans="1:14" s="2" customFormat="1">
      <c r="A21943" s="83"/>
      <c r="H21943" s="83"/>
      <c r="K21943" s="82"/>
      <c r="M21943" s="112"/>
      <c r="N21943" s="84"/>
    </row>
    <row r="21944" spans="1:14" s="2" customFormat="1">
      <c r="A21944" s="83"/>
      <c r="H21944" s="83"/>
      <c r="K21944" s="82"/>
      <c r="M21944" s="112"/>
      <c r="N21944" s="84"/>
    </row>
    <row r="21945" spans="1:14" s="2" customFormat="1">
      <c r="A21945" s="83"/>
      <c r="H21945" s="83"/>
      <c r="K21945" s="82"/>
      <c r="M21945" s="112"/>
      <c r="N21945" s="84"/>
    </row>
    <row r="21946" spans="1:14" s="2" customFormat="1">
      <c r="A21946" s="83"/>
      <c r="H21946" s="83"/>
      <c r="K21946" s="82"/>
      <c r="M21946" s="112"/>
      <c r="N21946" s="84"/>
    </row>
    <row r="21947" spans="1:14" s="2" customFormat="1">
      <c r="A21947" s="83"/>
      <c r="H21947" s="83"/>
      <c r="K21947" s="82"/>
      <c r="M21947" s="112"/>
      <c r="N21947" s="84"/>
    </row>
    <row r="21948" spans="1:14" s="2" customFormat="1">
      <c r="A21948" s="83"/>
      <c r="H21948" s="83"/>
      <c r="K21948" s="82"/>
      <c r="M21948" s="112"/>
      <c r="N21948" s="84"/>
    </row>
    <row r="21949" spans="1:14" s="2" customFormat="1">
      <c r="A21949" s="83"/>
      <c r="H21949" s="83"/>
      <c r="K21949" s="82"/>
      <c r="M21949" s="112"/>
      <c r="N21949" s="84"/>
    </row>
    <row r="21950" spans="1:14" s="2" customFormat="1">
      <c r="A21950" s="83"/>
      <c r="H21950" s="83"/>
      <c r="K21950" s="82"/>
      <c r="M21950" s="112"/>
      <c r="N21950" s="84"/>
    </row>
    <row r="21951" spans="1:14" s="2" customFormat="1">
      <c r="A21951" s="83"/>
      <c r="H21951" s="83"/>
      <c r="K21951" s="82"/>
      <c r="M21951" s="112"/>
      <c r="N21951" s="84"/>
    </row>
    <row r="21952" spans="1:14" s="2" customFormat="1">
      <c r="A21952" s="83"/>
      <c r="H21952" s="83"/>
      <c r="K21952" s="82"/>
      <c r="M21952" s="112"/>
      <c r="N21952" s="84"/>
    </row>
    <row r="21953" spans="1:14" s="2" customFormat="1">
      <c r="A21953" s="83"/>
      <c r="H21953" s="83"/>
      <c r="K21953" s="82"/>
      <c r="M21953" s="112"/>
      <c r="N21953" s="84"/>
    </row>
    <row r="21954" spans="1:14" s="2" customFormat="1">
      <c r="A21954" s="83"/>
      <c r="H21954" s="83"/>
      <c r="K21954" s="82"/>
      <c r="M21954" s="112"/>
      <c r="N21954" s="84"/>
    </row>
    <row r="21955" spans="1:14" s="2" customFormat="1">
      <c r="A21955" s="83"/>
      <c r="H21955" s="83"/>
      <c r="K21955" s="82"/>
      <c r="M21955" s="112"/>
      <c r="N21955" s="84"/>
    </row>
    <row r="21956" spans="1:14" s="2" customFormat="1">
      <c r="A21956" s="83"/>
      <c r="H21956" s="83"/>
      <c r="K21956" s="82"/>
      <c r="M21956" s="112"/>
      <c r="N21956" s="84"/>
    </row>
    <row r="21957" spans="1:14" s="2" customFormat="1">
      <c r="A21957" s="83"/>
      <c r="H21957" s="83"/>
      <c r="K21957" s="82"/>
      <c r="M21957" s="112"/>
      <c r="N21957" s="84"/>
    </row>
    <row r="21958" spans="1:14" s="2" customFormat="1">
      <c r="A21958" s="83"/>
      <c r="H21958" s="83"/>
      <c r="K21958" s="82"/>
      <c r="M21958" s="112"/>
      <c r="N21958" s="84"/>
    </row>
    <row r="21959" spans="1:14" s="2" customFormat="1">
      <c r="A21959" s="83"/>
      <c r="H21959" s="83"/>
      <c r="K21959" s="82"/>
      <c r="M21959" s="112"/>
      <c r="N21959" s="84"/>
    </row>
    <row r="21960" spans="1:14" s="2" customFormat="1">
      <c r="A21960" s="83"/>
      <c r="H21960" s="83"/>
      <c r="K21960" s="82"/>
      <c r="M21960" s="112"/>
      <c r="N21960" s="84"/>
    </row>
    <row r="21961" spans="1:14" s="2" customFormat="1">
      <c r="A21961" s="83"/>
      <c r="H21961" s="83"/>
      <c r="K21961" s="82"/>
      <c r="M21961" s="112"/>
      <c r="N21961" s="84"/>
    </row>
    <row r="21962" spans="1:14" s="2" customFormat="1">
      <c r="A21962" s="83"/>
      <c r="H21962" s="83"/>
      <c r="K21962" s="82"/>
      <c r="M21962" s="112"/>
      <c r="N21962" s="84"/>
    </row>
    <row r="21963" spans="1:14" s="2" customFormat="1">
      <c r="A21963" s="83"/>
      <c r="H21963" s="83"/>
      <c r="K21963" s="82"/>
      <c r="M21963" s="112"/>
      <c r="N21963" s="84"/>
    </row>
    <row r="21964" spans="1:14" s="2" customFormat="1">
      <c r="A21964" s="83"/>
      <c r="H21964" s="83"/>
      <c r="K21964" s="82"/>
      <c r="M21964" s="112"/>
      <c r="N21964" s="84"/>
    </row>
    <row r="21965" spans="1:14" s="2" customFormat="1">
      <c r="A21965" s="83"/>
      <c r="H21965" s="83"/>
      <c r="K21965" s="82"/>
      <c r="M21965" s="112"/>
      <c r="N21965" s="84"/>
    </row>
    <row r="21966" spans="1:14" s="2" customFormat="1">
      <c r="A21966" s="83"/>
      <c r="H21966" s="83"/>
      <c r="K21966" s="82"/>
      <c r="M21966" s="112"/>
      <c r="N21966" s="84"/>
    </row>
    <row r="21967" spans="1:14" s="2" customFormat="1">
      <c r="A21967" s="83"/>
      <c r="H21967" s="83"/>
      <c r="K21967" s="82"/>
      <c r="M21967" s="112"/>
      <c r="N21967" s="84"/>
    </row>
    <row r="21968" spans="1:14" s="2" customFormat="1">
      <c r="A21968" s="83"/>
      <c r="H21968" s="83"/>
      <c r="K21968" s="82"/>
      <c r="M21968" s="112"/>
      <c r="N21968" s="84"/>
    </row>
    <row r="21969" spans="1:14" s="2" customFormat="1">
      <c r="A21969" s="83"/>
      <c r="H21969" s="83"/>
      <c r="K21969" s="82"/>
      <c r="M21969" s="112"/>
      <c r="N21969" s="84"/>
    </row>
    <row r="21970" spans="1:14" s="2" customFormat="1">
      <c r="A21970" s="83"/>
      <c r="H21970" s="83"/>
      <c r="K21970" s="82"/>
      <c r="M21970" s="112"/>
      <c r="N21970" s="84"/>
    </row>
    <row r="21971" spans="1:14" s="2" customFormat="1">
      <c r="A21971" s="83"/>
      <c r="H21971" s="83"/>
      <c r="K21971" s="82"/>
      <c r="M21971" s="112"/>
      <c r="N21971" s="84"/>
    </row>
    <row r="21972" spans="1:14" s="2" customFormat="1">
      <c r="A21972" s="83"/>
      <c r="H21972" s="83"/>
      <c r="K21972" s="82"/>
      <c r="M21972" s="112"/>
      <c r="N21972" s="84"/>
    </row>
    <row r="21973" spans="1:14" s="2" customFormat="1">
      <c r="A21973" s="83"/>
      <c r="H21973" s="83"/>
      <c r="K21973" s="82"/>
      <c r="M21973" s="112"/>
      <c r="N21973" s="84"/>
    </row>
    <row r="21974" spans="1:14" s="2" customFormat="1">
      <c r="A21974" s="83"/>
      <c r="H21974" s="83"/>
      <c r="K21974" s="82"/>
      <c r="M21974" s="112"/>
      <c r="N21974" s="84"/>
    </row>
    <row r="21975" spans="1:14" s="2" customFormat="1">
      <c r="A21975" s="83"/>
      <c r="H21975" s="83"/>
      <c r="K21975" s="82"/>
      <c r="M21975" s="112"/>
      <c r="N21975" s="84"/>
    </row>
    <row r="21976" spans="1:14" s="2" customFormat="1">
      <c r="A21976" s="83"/>
      <c r="H21976" s="83"/>
      <c r="K21976" s="82"/>
      <c r="M21976" s="112"/>
      <c r="N21976" s="84"/>
    </row>
    <row r="21977" spans="1:14" s="2" customFormat="1">
      <c r="A21977" s="83"/>
      <c r="H21977" s="83"/>
      <c r="K21977" s="82"/>
      <c r="M21977" s="112"/>
      <c r="N21977" s="84"/>
    </row>
    <row r="21978" spans="1:14" s="2" customFormat="1">
      <c r="A21978" s="83"/>
      <c r="H21978" s="83"/>
      <c r="K21978" s="82"/>
      <c r="M21978" s="112"/>
      <c r="N21978" s="84"/>
    </row>
    <row r="21979" spans="1:14" s="2" customFormat="1">
      <c r="A21979" s="83"/>
      <c r="H21979" s="83"/>
      <c r="K21979" s="82"/>
      <c r="M21979" s="112"/>
      <c r="N21979" s="84"/>
    </row>
    <row r="21980" spans="1:14" s="2" customFormat="1">
      <c r="A21980" s="83"/>
      <c r="H21980" s="83"/>
      <c r="K21980" s="82"/>
      <c r="M21980" s="112"/>
      <c r="N21980" s="84"/>
    </row>
    <row r="21981" spans="1:14" s="2" customFormat="1">
      <c r="A21981" s="83"/>
      <c r="H21981" s="83"/>
      <c r="K21981" s="82"/>
      <c r="M21981" s="112"/>
      <c r="N21981" s="84"/>
    </row>
    <row r="21982" spans="1:14" s="2" customFormat="1">
      <c r="A21982" s="83"/>
      <c r="H21982" s="83"/>
      <c r="K21982" s="82"/>
      <c r="M21982" s="112"/>
      <c r="N21982" s="84"/>
    </row>
    <row r="21983" spans="1:14" s="2" customFormat="1">
      <c r="A21983" s="83"/>
      <c r="H21983" s="83"/>
      <c r="K21983" s="82"/>
      <c r="M21983" s="112"/>
      <c r="N21983" s="84"/>
    </row>
    <row r="21984" spans="1:14" s="2" customFormat="1">
      <c r="A21984" s="83"/>
      <c r="H21984" s="83"/>
      <c r="K21984" s="82"/>
      <c r="M21984" s="112"/>
      <c r="N21984" s="84"/>
    </row>
    <row r="21985" spans="1:14" s="2" customFormat="1">
      <c r="A21985" s="83"/>
      <c r="H21985" s="83"/>
      <c r="K21985" s="82"/>
      <c r="M21985" s="112"/>
      <c r="N21985" s="84"/>
    </row>
    <row r="21986" spans="1:14" s="2" customFormat="1">
      <c r="A21986" s="83"/>
      <c r="H21986" s="83"/>
      <c r="K21986" s="82"/>
      <c r="M21986" s="112"/>
      <c r="N21986" s="84"/>
    </row>
    <row r="21987" spans="1:14" s="2" customFormat="1">
      <c r="A21987" s="83"/>
      <c r="H21987" s="83"/>
      <c r="K21987" s="82"/>
      <c r="M21987" s="112"/>
      <c r="N21987" s="84"/>
    </row>
    <row r="21988" spans="1:14" s="2" customFormat="1">
      <c r="A21988" s="83"/>
      <c r="H21988" s="83"/>
      <c r="K21988" s="82"/>
      <c r="M21988" s="112"/>
      <c r="N21988" s="84"/>
    </row>
    <row r="21989" spans="1:14" s="2" customFormat="1">
      <c r="A21989" s="83"/>
      <c r="H21989" s="83"/>
      <c r="K21989" s="82"/>
      <c r="M21989" s="112"/>
      <c r="N21989" s="84"/>
    </row>
    <row r="21990" spans="1:14" s="2" customFormat="1">
      <c r="A21990" s="83"/>
      <c r="H21990" s="83"/>
      <c r="K21990" s="82"/>
      <c r="M21990" s="112"/>
      <c r="N21990" s="84"/>
    </row>
    <row r="21991" spans="1:14" s="2" customFormat="1">
      <c r="A21991" s="83"/>
      <c r="H21991" s="83"/>
      <c r="K21991" s="82"/>
      <c r="M21991" s="112"/>
      <c r="N21991" s="84"/>
    </row>
    <row r="21992" spans="1:14" s="2" customFormat="1">
      <c r="A21992" s="83"/>
      <c r="H21992" s="83"/>
      <c r="K21992" s="82"/>
      <c r="M21992" s="112"/>
      <c r="N21992" s="84"/>
    </row>
    <row r="21993" spans="1:14" s="2" customFormat="1">
      <c r="A21993" s="83"/>
      <c r="H21993" s="83"/>
      <c r="K21993" s="82"/>
      <c r="M21993" s="112"/>
      <c r="N21993" s="84"/>
    </row>
    <row r="21994" spans="1:14" s="2" customFormat="1">
      <c r="A21994" s="83"/>
      <c r="H21994" s="83"/>
      <c r="K21994" s="82"/>
      <c r="M21994" s="112"/>
      <c r="N21994" s="84"/>
    </row>
    <row r="21995" spans="1:14" s="2" customFormat="1">
      <c r="A21995" s="83"/>
      <c r="H21995" s="83"/>
      <c r="K21995" s="82"/>
      <c r="M21995" s="112"/>
      <c r="N21995" s="84"/>
    </row>
    <row r="21996" spans="1:14" s="2" customFormat="1">
      <c r="A21996" s="83"/>
      <c r="H21996" s="83"/>
      <c r="K21996" s="82"/>
      <c r="M21996" s="112"/>
      <c r="N21996" s="84"/>
    </row>
    <row r="21997" spans="1:14" s="2" customFormat="1">
      <c r="A21997" s="83"/>
      <c r="H21997" s="83"/>
      <c r="K21997" s="82"/>
      <c r="M21997" s="112"/>
      <c r="N21997" s="84"/>
    </row>
    <row r="21998" spans="1:14" s="2" customFormat="1">
      <c r="A21998" s="83"/>
      <c r="H21998" s="83"/>
      <c r="K21998" s="82"/>
      <c r="M21998" s="112"/>
      <c r="N21998" s="84"/>
    </row>
    <row r="21999" spans="1:14" s="2" customFormat="1">
      <c r="A21999" s="83"/>
      <c r="H21999" s="83"/>
      <c r="K21999" s="82"/>
      <c r="M21999" s="112"/>
      <c r="N21999" s="84"/>
    </row>
    <row r="22000" spans="1:14" s="2" customFormat="1">
      <c r="A22000" s="83"/>
      <c r="H22000" s="83"/>
      <c r="K22000" s="82"/>
      <c r="M22000" s="112"/>
      <c r="N22000" s="84"/>
    </row>
    <row r="22001" spans="1:14" s="2" customFormat="1">
      <c r="A22001" s="83"/>
      <c r="H22001" s="83"/>
      <c r="K22001" s="82"/>
      <c r="M22001" s="112"/>
      <c r="N22001" s="84"/>
    </row>
    <row r="22002" spans="1:14" s="2" customFormat="1">
      <c r="A22002" s="83"/>
      <c r="H22002" s="83"/>
      <c r="K22002" s="82"/>
      <c r="M22002" s="112"/>
      <c r="N22002" s="84"/>
    </row>
    <row r="22003" spans="1:14" s="2" customFormat="1">
      <c r="A22003" s="83"/>
      <c r="H22003" s="83"/>
      <c r="K22003" s="82"/>
      <c r="M22003" s="112"/>
      <c r="N22003" s="84"/>
    </row>
    <row r="22004" spans="1:14" s="2" customFormat="1">
      <c r="A22004" s="83"/>
      <c r="H22004" s="83"/>
      <c r="K22004" s="82"/>
      <c r="M22004" s="112"/>
      <c r="N22004" s="84"/>
    </row>
    <row r="22005" spans="1:14" s="2" customFormat="1">
      <c r="A22005" s="83"/>
      <c r="H22005" s="83"/>
      <c r="K22005" s="82"/>
      <c r="M22005" s="112"/>
      <c r="N22005" s="84"/>
    </row>
    <row r="22006" spans="1:14" s="2" customFormat="1">
      <c r="A22006" s="83"/>
      <c r="H22006" s="83"/>
      <c r="K22006" s="82"/>
      <c r="M22006" s="112"/>
      <c r="N22006" s="84"/>
    </row>
    <row r="22007" spans="1:14" s="2" customFormat="1">
      <c r="A22007" s="83"/>
      <c r="H22007" s="83"/>
      <c r="K22007" s="82"/>
      <c r="M22007" s="112"/>
      <c r="N22007" s="84"/>
    </row>
    <row r="22008" spans="1:14" s="2" customFormat="1">
      <c r="A22008" s="83"/>
      <c r="H22008" s="83"/>
      <c r="K22008" s="82"/>
      <c r="M22008" s="112"/>
      <c r="N22008" s="84"/>
    </row>
    <row r="22009" spans="1:14" s="2" customFormat="1">
      <c r="A22009" s="83"/>
      <c r="H22009" s="83"/>
      <c r="K22009" s="82"/>
      <c r="M22009" s="112"/>
      <c r="N22009" s="84"/>
    </row>
    <row r="22010" spans="1:14" s="2" customFormat="1">
      <c r="A22010" s="83"/>
      <c r="H22010" s="83"/>
      <c r="K22010" s="82"/>
      <c r="M22010" s="112"/>
      <c r="N22010" s="84"/>
    </row>
    <row r="22011" spans="1:14" s="2" customFormat="1">
      <c r="A22011" s="83"/>
      <c r="H22011" s="83"/>
      <c r="K22011" s="82"/>
      <c r="M22011" s="112"/>
      <c r="N22011" s="84"/>
    </row>
    <row r="22012" spans="1:14" s="2" customFormat="1">
      <c r="A22012" s="83"/>
      <c r="H22012" s="83"/>
      <c r="K22012" s="82"/>
      <c r="M22012" s="112"/>
      <c r="N22012" s="84"/>
    </row>
    <row r="22013" spans="1:14" s="2" customFormat="1">
      <c r="A22013" s="83"/>
      <c r="H22013" s="83"/>
      <c r="K22013" s="82"/>
      <c r="M22013" s="112"/>
      <c r="N22013" s="84"/>
    </row>
    <row r="22014" spans="1:14" s="2" customFormat="1">
      <c r="A22014" s="83"/>
      <c r="H22014" s="83"/>
      <c r="K22014" s="82"/>
      <c r="M22014" s="112"/>
      <c r="N22014" s="84"/>
    </row>
    <row r="22015" spans="1:14" s="2" customFormat="1">
      <c r="A22015" s="83"/>
      <c r="H22015" s="83"/>
      <c r="K22015" s="82"/>
      <c r="M22015" s="112"/>
      <c r="N22015" s="84"/>
    </row>
    <row r="22016" spans="1:14" s="2" customFormat="1">
      <c r="A22016" s="83"/>
      <c r="H22016" s="83"/>
      <c r="K22016" s="82"/>
      <c r="M22016" s="112"/>
      <c r="N22016" s="84"/>
    </row>
    <row r="22017" spans="1:14" s="2" customFormat="1">
      <c r="A22017" s="83"/>
      <c r="H22017" s="83"/>
      <c r="K22017" s="82"/>
      <c r="M22017" s="112"/>
      <c r="N22017" s="84"/>
    </row>
    <row r="22018" spans="1:14" s="2" customFormat="1">
      <c r="A22018" s="83"/>
      <c r="H22018" s="83"/>
      <c r="K22018" s="82"/>
      <c r="M22018" s="112"/>
      <c r="N22018" s="84"/>
    </row>
    <row r="22019" spans="1:14" s="2" customFormat="1">
      <c r="A22019" s="83"/>
      <c r="H22019" s="83"/>
      <c r="K22019" s="82"/>
      <c r="M22019" s="112"/>
      <c r="N22019" s="84"/>
    </row>
    <row r="22020" spans="1:14" s="2" customFormat="1">
      <c r="A22020" s="83"/>
      <c r="H22020" s="83"/>
      <c r="K22020" s="82"/>
      <c r="M22020" s="112"/>
      <c r="N22020" s="84"/>
    </row>
    <row r="22021" spans="1:14" s="2" customFormat="1">
      <c r="A22021" s="83"/>
      <c r="H22021" s="83"/>
      <c r="K22021" s="82"/>
      <c r="M22021" s="112"/>
      <c r="N22021" s="84"/>
    </row>
    <row r="22022" spans="1:14" s="2" customFormat="1">
      <c r="A22022" s="83"/>
      <c r="H22022" s="83"/>
      <c r="K22022" s="82"/>
      <c r="M22022" s="112"/>
      <c r="N22022" s="84"/>
    </row>
    <row r="22023" spans="1:14" s="2" customFormat="1">
      <c r="A22023" s="83"/>
      <c r="H22023" s="83"/>
      <c r="K22023" s="82"/>
      <c r="M22023" s="112"/>
      <c r="N22023" s="84"/>
    </row>
    <row r="22024" spans="1:14" s="2" customFormat="1">
      <c r="A22024" s="83"/>
      <c r="H22024" s="83"/>
      <c r="K22024" s="82"/>
      <c r="M22024" s="112"/>
      <c r="N22024" s="84"/>
    </row>
    <row r="22025" spans="1:14" s="2" customFormat="1">
      <c r="A22025" s="83"/>
      <c r="H22025" s="83"/>
      <c r="K22025" s="82"/>
      <c r="M22025" s="112"/>
      <c r="N22025" s="84"/>
    </row>
    <row r="22026" spans="1:14" s="2" customFormat="1">
      <c r="A22026" s="83"/>
      <c r="H22026" s="83"/>
      <c r="K22026" s="82"/>
      <c r="M22026" s="112"/>
      <c r="N22026" s="84"/>
    </row>
    <row r="22027" spans="1:14" s="2" customFormat="1">
      <c r="A22027" s="83"/>
      <c r="H22027" s="83"/>
      <c r="K22027" s="82"/>
      <c r="M22027" s="112"/>
      <c r="N22027" s="84"/>
    </row>
    <row r="22028" spans="1:14" s="2" customFormat="1">
      <c r="A22028" s="83"/>
      <c r="H22028" s="83"/>
      <c r="K22028" s="82"/>
      <c r="M22028" s="112"/>
      <c r="N22028" s="84"/>
    </row>
    <row r="22029" spans="1:14" s="2" customFormat="1">
      <c r="A22029" s="83"/>
      <c r="H22029" s="83"/>
      <c r="K22029" s="82"/>
      <c r="M22029" s="112"/>
      <c r="N22029" s="84"/>
    </row>
    <row r="22030" spans="1:14" s="2" customFormat="1">
      <c r="A22030" s="83"/>
      <c r="H22030" s="83"/>
      <c r="K22030" s="82"/>
      <c r="M22030" s="112"/>
      <c r="N22030" s="84"/>
    </row>
    <row r="22031" spans="1:14" s="2" customFormat="1">
      <c r="A22031" s="83"/>
      <c r="H22031" s="83"/>
      <c r="K22031" s="82"/>
      <c r="M22031" s="112"/>
      <c r="N22031" s="84"/>
    </row>
    <row r="22032" spans="1:14" s="2" customFormat="1">
      <c r="A22032" s="83"/>
      <c r="H22032" s="83"/>
      <c r="K22032" s="82"/>
      <c r="M22032" s="112"/>
      <c r="N22032" s="84"/>
    </row>
    <row r="22033" spans="1:14" s="2" customFormat="1">
      <c r="A22033" s="83"/>
      <c r="H22033" s="83"/>
      <c r="K22033" s="82"/>
      <c r="M22033" s="112"/>
      <c r="N22033" s="84"/>
    </row>
    <row r="22034" spans="1:14" s="2" customFormat="1">
      <c r="A22034" s="83"/>
      <c r="H22034" s="83"/>
      <c r="K22034" s="82"/>
      <c r="M22034" s="112"/>
      <c r="N22034" s="84"/>
    </row>
    <row r="22035" spans="1:14" s="2" customFormat="1">
      <c r="A22035" s="83"/>
      <c r="H22035" s="83"/>
      <c r="K22035" s="82"/>
      <c r="M22035" s="112"/>
      <c r="N22035" s="84"/>
    </row>
    <row r="22036" spans="1:14" s="2" customFormat="1">
      <c r="A22036" s="83"/>
      <c r="H22036" s="83"/>
      <c r="K22036" s="82"/>
      <c r="M22036" s="112"/>
      <c r="N22036" s="84"/>
    </row>
    <row r="22037" spans="1:14" s="2" customFormat="1">
      <c r="A22037" s="83"/>
      <c r="H22037" s="83"/>
      <c r="K22037" s="82"/>
      <c r="M22037" s="112"/>
      <c r="N22037" s="84"/>
    </row>
    <row r="22038" spans="1:14" s="2" customFormat="1">
      <c r="A22038" s="83"/>
      <c r="H22038" s="83"/>
      <c r="K22038" s="82"/>
      <c r="M22038" s="112"/>
      <c r="N22038" s="84"/>
    </row>
    <row r="22039" spans="1:14" s="2" customFormat="1">
      <c r="A22039" s="83"/>
      <c r="H22039" s="83"/>
      <c r="K22039" s="82"/>
      <c r="M22039" s="112"/>
      <c r="N22039" s="84"/>
    </row>
    <row r="22040" spans="1:14" s="2" customFormat="1">
      <c r="A22040" s="83"/>
      <c r="H22040" s="83"/>
      <c r="K22040" s="82"/>
      <c r="M22040" s="112"/>
      <c r="N22040" s="84"/>
    </row>
    <row r="22041" spans="1:14" s="2" customFormat="1">
      <c r="A22041" s="83"/>
      <c r="H22041" s="83"/>
      <c r="K22041" s="82"/>
      <c r="M22041" s="112"/>
      <c r="N22041" s="84"/>
    </row>
    <row r="22042" spans="1:14" s="2" customFormat="1">
      <c r="A22042" s="83"/>
      <c r="H22042" s="83"/>
      <c r="K22042" s="82"/>
      <c r="M22042" s="112"/>
      <c r="N22042" s="84"/>
    </row>
    <row r="22043" spans="1:14" s="2" customFormat="1">
      <c r="A22043" s="83"/>
      <c r="H22043" s="83"/>
      <c r="K22043" s="82"/>
      <c r="M22043" s="112"/>
      <c r="N22043" s="84"/>
    </row>
    <row r="22044" spans="1:14" s="2" customFormat="1">
      <c r="A22044" s="83"/>
      <c r="H22044" s="83"/>
      <c r="K22044" s="82"/>
      <c r="M22044" s="112"/>
      <c r="N22044" s="84"/>
    </row>
    <row r="22045" spans="1:14" s="2" customFormat="1">
      <c r="A22045" s="83"/>
      <c r="H22045" s="83"/>
      <c r="K22045" s="82"/>
      <c r="M22045" s="112"/>
      <c r="N22045" s="84"/>
    </row>
    <row r="22046" spans="1:14" s="2" customFormat="1">
      <c r="A22046" s="83"/>
      <c r="H22046" s="83"/>
      <c r="K22046" s="82"/>
      <c r="M22046" s="112"/>
      <c r="N22046" s="84"/>
    </row>
    <row r="22047" spans="1:14" s="2" customFormat="1">
      <c r="A22047" s="83"/>
      <c r="H22047" s="83"/>
      <c r="K22047" s="82"/>
      <c r="M22047" s="112"/>
      <c r="N22047" s="84"/>
    </row>
    <row r="22048" spans="1:14" s="2" customFormat="1">
      <c r="A22048" s="83"/>
      <c r="H22048" s="83"/>
      <c r="K22048" s="82"/>
      <c r="M22048" s="112"/>
      <c r="N22048" s="84"/>
    </row>
    <row r="22049" spans="1:14" s="2" customFormat="1">
      <c r="A22049" s="83"/>
      <c r="H22049" s="83"/>
      <c r="K22049" s="82"/>
      <c r="M22049" s="112"/>
      <c r="N22049" s="84"/>
    </row>
    <row r="22050" spans="1:14" s="2" customFormat="1">
      <c r="A22050" s="83"/>
      <c r="H22050" s="83"/>
      <c r="K22050" s="82"/>
      <c r="M22050" s="112"/>
      <c r="N22050" s="84"/>
    </row>
    <row r="22051" spans="1:14" s="2" customFormat="1">
      <c r="A22051" s="83"/>
      <c r="H22051" s="83"/>
      <c r="K22051" s="82"/>
      <c r="M22051" s="112"/>
      <c r="N22051" s="84"/>
    </row>
    <row r="22052" spans="1:14" s="2" customFormat="1">
      <c r="A22052" s="83"/>
      <c r="H22052" s="83"/>
      <c r="K22052" s="82"/>
      <c r="M22052" s="112"/>
      <c r="N22052" s="84"/>
    </row>
    <row r="22053" spans="1:14" s="2" customFormat="1">
      <c r="A22053" s="83"/>
      <c r="H22053" s="83"/>
      <c r="K22053" s="82"/>
      <c r="M22053" s="112"/>
      <c r="N22053" s="84"/>
    </row>
    <row r="22054" spans="1:14" s="2" customFormat="1">
      <c r="A22054" s="83"/>
      <c r="H22054" s="83"/>
      <c r="K22054" s="82"/>
      <c r="M22054" s="112"/>
      <c r="N22054" s="84"/>
    </row>
    <row r="22055" spans="1:14" s="2" customFormat="1">
      <c r="A22055" s="83"/>
      <c r="H22055" s="83"/>
      <c r="K22055" s="82"/>
      <c r="M22055" s="112"/>
      <c r="N22055" s="84"/>
    </row>
    <row r="22056" spans="1:14" s="2" customFormat="1">
      <c r="A22056" s="83"/>
      <c r="H22056" s="83"/>
      <c r="K22056" s="82"/>
      <c r="M22056" s="112"/>
      <c r="N22056" s="84"/>
    </row>
    <row r="22057" spans="1:14" s="2" customFormat="1">
      <c r="A22057" s="83"/>
      <c r="H22057" s="83"/>
      <c r="K22057" s="82"/>
      <c r="M22057" s="112"/>
      <c r="N22057" s="84"/>
    </row>
    <row r="22058" spans="1:14" s="2" customFormat="1">
      <c r="A22058" s="83"/>
      <c r="H22058" s="83"/>
      <c r="K22058" s="82"/>
      <c r="M22058" s="112"/>
      <c r="N22058" s="84"/>
    </row>
    <row r="22059" spans="1:14" s="2" customFormat="1">
      <c r="A22059" s="83"/>
      <c r="H22059" s="83"/>
      <c r="K22059" s="82"/>
      <c r="M22059" s="112"/>
      <c r="N22059" s="84"/>
    </row>
    <row r="22060" spans="1:14" s="2" customFormat="1">
      <c r="A22060" s="83"/>
      <c r="H22060" s="83"/>
      <c r="K22060" s="82"/>
      <c r="M22060" s="112"/>
      <c r="N22060" s="84"/>
    </row>
    <row r="22061" spans="1:14" s="2" customFormat="1">
      <c r="A22061" s="83"/>
      <c r="H22061" s="83"/>
      <c r="K22061" s="82"/>
      <c r="M22061" s="112"/>
      <c r="N22061" s="84"/>
    </row>
    <row r="22062" spans="1:14" s="2" customFormat="1">
      <c r="A22062" s="83"/>
      <c r="H22062" s="83"/>
      <c r="K22062" s="82"/>
      <c r="M22062" s="112"/>
      <c r="N22062" s="84"/>
    </row>
    <row r="22063" spans="1:14" s="2" customFormat="1">
      <c r="A22063" s="83"/>
      <c r="H22063" s="83"/>
      <c r="K22063" s="82"/>
      <c r="M22063" s="112"/>
      <c r="N22063" s="84"/>
    </row>
    <row r="22064" spans="1:14" s="2" customFormat="1">
      <c r="A22064" s="83"/>
      <c r="H22064" s="83"/>
      <c r="K22064" s="82"/>
      <c r="M22064" s="112"/>
      <c r="N22064" s="84"/>
    </row>
    <row r="22065" spans="1:14" s="2" customFormat="1">
      <c r="A22065" s="83"/>
      <c r="H22065" s="83"/>
      <c r="K22065" s="82"/>
      <c r="M22065" s="112"/>
      <c r="N22065" s="84"/>
    </row>
    <row r="22066" spans="1:14" s="2" customFormat="1">
      <c r="A22066" s="83"/>
      <c r="H22066" s="83"/>
      <c r="K22066" s="82"/>
      <c r="M22066" s="112"/>
      <c r="N22066" s="84"/>
    </row>
    <row r="22067" spans="1:14" s="2" customFormat="1">
      <c r="A22067" s="83"/>
      <c r="H22067" s="83"/>
      <c r="K22067" s="82"/>
      <c r="M22067" s="112"/>
      <c r="N22067" s="84"/>
    </row>
    <row r="22068" spans="1:14" s="2" customFormat="1">
      <c r="A22068" s="83"/>
      <c r="H22068" s="83"/>
      <c r="K22068" s="82"/>
      <c r="M22068" s="112"/>
      <c r="N22068" s="84"/>
    </row>
    <row r="22069" spans="1:14" s="2" customFormat="1">
      <c r="A22069" s="83"/>
      <c r="H22069" s="83"/>
      <c r="K22069" s="82"/>
      <c r="M22069" s="112"/>
      <c r="N22069" s="84"/>
    </row>
    <row r="22070" spans="1:14" s="2" customFormat="1">
      <c r="A22070" s="83"/>
      <c r="H22070" s="83"/>
      <c r="K22070" s="82"/>
      <c r="M22070" s="112"/>
      <c r="N22070" s="84"/>
    </row>
    <row r="22071" spans="1:14" s="2" customFormat="1">
      <c r="A22071" s="83"/>
      <c r="H22071" s="83"/>
      <c r="K22071" s="82"/>
      <c r="M22071" s="112"/>
      <c r="N22071" s="84"/>
    </row>
    <row r="22072" spans="1:14" s="2" customFormat="1">
      <c r="A22072" s="83"/>
      <c r="H22072" s="83"/>
      <c r="K22072" s="82"/>
      <c r="M22072" s="112"/>
      <c r="N22072" s="84"/>
    </row>
    <row r="22073" spans="1:14" s="2" customFormat="1">
      <c r="A22073" s="83"/>
      <c r="H22073" s="83"/>
      <c r="K22073" s="82"/>
      <c r="M22073" s="112"/>
      <c r="N22073" s="84"/>
    </row>
    <row r="22074" spans="1:14" s="2" customFormat="1">
      <c r="A22074" s="83"/>
      <c r="H22074" s="83"/>
      <c r="K22074" s="82"/>
      <c r="M22074" s="112"/>
      <c r="N22074" s="84"/>
    </row>
    <row r="22075" spans="1:14" s="2" customFormat="1">
      <c r="A22075" s="83"/>
      <c r="H22075" s="83"/>
      <c r="K22075" s="82"/>
      <c r="M22075" s="112"/>
      <c r="N22075" s="84"/>
    </row>
    <row r="22076" spans="1:14" s="2" customFormat="1">
      <c r="A22076" s="83"/>
      <c r="H22076" s="83"/>
      <c r="K22076" s="82"/>
      <c r="M22076" s="112"/>
      <c r="N22076" s="84"/>
    </row>
    <row r="22077" spans="1:14" s="2" customFormat="1">
      <c r="A22077" s="83"/>
      <c r="H22077" s="83"/>
      <c r="K22077" s="82"/>
      <c r="M22077" s="112"/>
      <c r="N22077" s="84"/>
    </row>
    <row r="22078" spans="1:14" s="2" customFormat="1">
      <c r="A22078" s="83"/>
      <c r="H22078" s="83"/>
      <c r="K22078" s="82"/>
      <c r="M22078" s="112"/>
      <c r="N22078" s="84"/>
    </row>
    <row r="22079" spans="1:14" s="2" customFormat="1">
      <c r="A22079" s="83"/>
      <c r="H22079" s="83"/>
      <c r="K22079" s="82"/>
      <c r="M22079" s="112"/>
      <c r="N22079" s="84"/>
    </row>
    <row r="22080" spans="1:14" s="2" customFormat="1">
      <c r="A22080" s="83"/>
      <c r="H22080" s="83"/>
      <c r="K22080" s="82"/>
      <c r="M22080" s="112"/>
      <c r="N22080" s="84"/>
    </row>
    <row r="22081" spans="1:14" s="2" customFormat="1">
      <c r="A22081" s="83"/>
      <c r="H22081" s="83"/>
      <c r="K22081" s="82"/>
      <c r="M22081" s="112"/>
      <c r="N22081" s="84"/>
    </row>
    <row r="22082" spans="1:14" s="2" customFormat="1">
      <c r="A22082" s="83"/>
      <c r="H22082" s="83"/>
      <c r="K22082" s="82"/>
      <c r="M22082" s="112"/>
      <c r="N22082" s="84"/>
    </row>
    <row r="22083" spans="1:14" s="2" customFormat="1">
      <c r="A22083" s="83"/>
      <c r="H22083" s="83"/>
      <c r="K22083" s="82"/>
      <c r="M22083" s="112"/>
      <c r="N22083" s="84"/>
    </row>
    <row r="22084" spans="1:14" s="2" customFormat="1">
      <c r="A22084" s="83"/>
      <c r="H22084" s="83"/>
      <c r="K22084" s="82"/>
      <c r="M22084" s="112"/>
      <c r="N22084" s="84"/>
    </row>
    <row r="22085" spans="1:14" s="2" customFormat="1">
      <c r="A22085" s="83"/>
      <c r="H22085" s="83"/>
      <c r="K22085" s="82"/>
      <c r="M22085" s="112"/>
      <c r="N22085" s="84"/>
    </row>
    <row r="22086" spans="1:14" s="2" customFormat="1">
      <c r="A22086" s="83"/>
      <c r="H22086" s="83"/>
      <c r="K22086" s="82"/>
      <c r="M22086" s="112"/>
      <c r="N22086" s="84"/>
    </row>
    <row r="22087" spans="1:14" s="2" customFormat="1">
      <c r="A22087" s="83"/>
      <c r="H22087" s="83"/>
      <c r="K22087" s="82"/>
      <c r="M22087" s="112"/>
      <c r="N22087" s="84"/>
    </row>
    <row r="22088" spans="1:14" s="2" customFormat="1">
      <c r="A22088" s="83"/>
      <c r="H22088" s="83"/>
      <c r="K22088" s="82"/>
      <c r="M22088" s="112"/>
      <c r="N22088" s="84"/>
    </row>
    <row r="22089" spans="1:14" s="2" customFormat="1">
      <c r="A22089" s="83"/>
      <c r="H22089" s="83"/>
      <c r="K22089" s="82"/>
      <c r="M22089" s="112"/>
      <c r="N22089" s="84"/>
    </row>
    <row r="22090" spans="1:14" s="2" customFormat="1">
      <c r="A22090" s="83"/>
      <c r="H22090" s="83"/>
      <c r="K22090" s="82"/>
      <c r="M22090" s="112"/>
      <c r="N22090" s="84"/>
    </row>
    <row r="22091" spans="1:14" s="2" customFormat="1">
      <c r="A22091" s="83"/>
      <c r="H22091" s="83"/>
      <c r="K22091" s="82"/>
      <c r="M22091" s="112"/>
      <c r="N22091" s="84"/>
    </row>
    <row r="22092" spans="1:14" s="2" customFormat="1">
      <c r="A22092" s="83"/>
      <c r="H22092" s="83"/>
      <c r="K22092" s="82"/>
      <c r="M22092" s="112"/>
      <c r="N22092" s="84"/>
    </row>
    <row r="22093" spans="1:14" s="2" customFormat="1">
      <c r="A22093" s="83"/>
      <c r="H22093" s="83"/>
      <c r="K22093" s="82"/>
      <c r="M22093" s="112"/>
      <c r="N22093" s="84"/>
    </row>
    <row r="22094" spans="1:14" s="2" customFormat="1">
      <c r="A22094" s="83"/>
      <c r="H22094" s="83"/>
      <c r="K22094" s="82"/>
      <c r="M22094" s="112"/>
      <c r="N22094" s="84"/>
    </row>
    <row r="22095" spans="1:14" s="2" customFormat="1">
      <c r="A22095" s="83"/>
      <c r="H22095" s="83"/>
      <c r="K22095" s="82"/>
      <c r="M22095" s="112"/>
      <c r="N22095" s="84"/>
    </row>
    <row r="22096" spans="1:14" s="2" customFormat="1">
      <c r="A22096" s="83"/>
      <c r="H22096" s="83"/>
      <c r="K22096" s="82"/>
      <c r="M22096" s="112"/>
      <c r="N22096" s="84"/>
    </row>
    <row r="22097" spans="1:14" s="2" customFormat="1">
      <c r="A22097" s="83"/>
      <c r="H22097" s="83"/>
      <c r="K22097" s="82"/>
      <c r="M22097" s="112"/>
      <c r="N22097" s="84"/>
    </row>
    <row r="22098" spans="1:14" s="2" customFormat="1">
      <c r="A22098" s="83"/>
      <c r="H22098" s="83"/>
      <c r="K22098" s="82"/>
      <c r="M22098" s="112"/>
      <c r="N22098" s="84"/>
    </row>
    <row r="22099" spans="1:14" s="2" customFormat="1">
      <c r="A22099" s="83"/>
      <c r="H22099" s="83"/>
      <c r="K22099" s="82"/>
      <c r="M22099" s="112"/>
      <c r="N22099" s="84"/>
    </row>
    <row r="22100" spans="1:14" s="2" customFormat="1">
      <c r="A22100" s="83"/>
      <c r="H22100" s="83"/>
      <c r="K22100" s="82"/>
      <c r="M22100" s="112"/>
      <c r="N22100" s="84"/>
    </row>
    <row r="22101" spans="1:14" s="2" customFormat="1">
      <c r="A22101" s="83"/>
      <c r="H22101" s="83"/>
      <c r="K22101" s="82"/>
      <c r="M22101" s="112"/>
      <c r="N22101" s="84"/>
    </row>
    <row r="22102" spans="1:14" s="2" customFormat="1">
      <c r="A22102" s="83"/>
      <c r="H22102" s="83"/>
      <c r="K22102" s="82"/>
      <c r="M22102" s="112"/>
      <c r="N22102" s="84"/>
    </row>
    <row r="22103" spans="1:14" s="2" customFormat="1">
      <c r="A22103" s="83"/>
      <c r="H22103" s="83"/>
      <c r="K22103" s="82"/>
      <c r="M22103" s="112"/>
      <c r="N22103" s="84"/>
    </row>
    <row r="22104" spans="1:14" s="2" customFormat="1">
      <c r="A22104" s="83"/>
      <c r="H22104" s="83"/>
      <c r="K22104" s="82"/>
      <c r="M22104" s="112"/>
      <c r="N22104" s="84"/>
    </row>
    <row r="22105" spans="1:14" s="2" customFormat="1">
      <c r="A22105" s="83"/>
      <c r="H22105" s="83"/>
      <c r="K22105" s="82"/>
      <c r="M22105" s="112"/>
      <c r="N22105" s="84"/>
    </row>
    <row r="22106" spans="1:14" s="2" customFormat="1">
      <c r="A22106" s="83"/>
      <c r="H22106" s="83"/>
      <c r="K22106" s="82"/>
      <c r="M22106" s="112"/>
      <c r="N22106" s="84"/>
    </row>
    <row r="22107" spans="1:14" s="2" customFormat="1">
      <c r="A22107" s="83"/>
      <c r="H22107" s="83"/>
      <c r="K22107" s="82"/>
      <c r="M22107" s="112"/>
      <c r="N22107" s="84"/>
    </row>
    <row r="22108" spans="1:14" s="2" customFormat="1">
      <c r="A22108" s="83"/>
      <c r="H22108" s="83"/>
      <c r="K22108" s="82"/>
      <c r="M22108" s="112"/>
      <c r="N22108" s="84"/>
    </row>
    <row r="22109" spans="1:14" s="2" customFormat="1">
      <c r="A22109" s="83"/>
      <c r="H22109" s="83"/>
      <c r="K22109" s="82"/>
      <c r="M22109" s="112"/>
      <c r="N22109" s="84"/>
    </row>
    <row r="22110" spans="1:14" s="2" customFormat="1">
      <c r="A22110" s="83"/>
      <c r="H22110" s="83"/>
      <c r="K22110" s="82"/>
      <c r="M22110" s="112"/>
      <c r="N22110" s="84"/>
    </row>
    <row r="22111" spans="1:14" s="2" customFormat="1">
      <c r="A22111" s="83"/>
      <c r="H22111" s="83"/>
      <c r="K22111" s="82"/>
      <c r="M22111" s="112"/>
      <c r="N22111" s="84"/>
    </row>
    <row r="22112" spans="1:14" s="2" customFormat="1">
      <c r="A22112" s="83"/>
      <c r="H22112" s="83"/>
      <c r="K22112" s="82"/>
      <c r="M22112" s="112"/>
      <c r="N22112" s="84"/>
    </row>
    <row r="22113" spans="1:14" s="2" customFormat="1">
      <c r="A22113" s="83"/>
      <c r="H22113" s="83"/>
      <c r="K22113" s="82"/>
      <c r="M22113" s="112"/>
      <c r="N22113" s="84"/>
    </row>
    <row r="22114" spans="1:14" s="2" customFormat="1">
      <c r="A22114" s="83"/>
      <c r="H22114" s="83"/>
      <c r="K22114" s="82"/>
      <c r="M22114" s="112"/>
      <c r="N22114" s="84"/>
    </row>
    <row r="22115" spans="1:14" s="2" customFormat="1">
      <c r="A22115" s="83"/>
      <c r="H22115" s="83"/>
      <c r="K22115" s="82"/>
      <c r="M22115" s="112"/>
      <c r="N22115" s="84"/>
    </row>
    <row r="22116" spans="1:14" s="2" customFormat="1">
      <c r="A22116" s="83"/>
      <c r="H22116" s="83"/>
      <c r="K22116" s="82"/>
      <c r="M22116" s="112"/>
      <c r="N22116" s="84"/>
    </row>
    <row r="22117" spans="1:14" s="2" customFormat="1">
      <c r="A22117" s="83"/>
      <c r="H22117" s="83"/>
      <c r="K22117" s="82"/>
      <c r="M22117" s="112"/>
      <c r="N22117" s="84"/>
    </row>
    <row r="22118" spans="1:14" s="2" customFormat="1">
      <c r="A22118" s="83"/>
      <c r="H22118" s="83"/>
      <c r="K22118" s="82"/>
      <c r="M22118" s="112"/>
      <c r="N22118" s="84"/>
    </row>
    <row r="22119" spans="1:14" s="2" customFormat="1">
      <c r="A22119" s="83"/>
      <c r="H22119" s="83"/>
      <c r="K22119" s="82"/>
      <c r="M22119" s="112"/>
      <c r="N22119" s="84"/>
    </row>
    <row r="22120" spans="1:14" s="2" customFormat="1">
      <c r="A22120" s="83"/>
      <c r="H22120" s="83"/>
      <c r="K22120" s="82"/>
      <c r="M22120" s="112"/>
      <c r="N22120" s="84"/>
    </row>
    <row r="22121" spans="1:14" s="2" customFormat="1">
      <c r="A22121" s="83"/>
      <c r="H22121" s="83"/>
      <c r="K22121" s="82"/>
      <c r="M22121" s="112"/>
      <c r="N22121" s="84"/>
    </row>
    <row r="22122" spans="1:14" s="2" customFormat="1">
      <c r="A22122" s="83"/>
      <c r="H22122" s="83"/>
      <c r="K22122" s="82"/>
      <c r="M22122" s="112"/>
      <c r="N22122" s="84"/>
    </row>
    <row r="22123" spans="1:14" s="2" customFormat="1">
      <c r="A22123" s="83"/>
      <c r="H22123" s="83"/>
      <c r="K22123" s="82"/>
      <c r="M22123" s="112"/>
      <c r="N22123" s="84"/>
    </row>
    <row r="22124" spans="1:14" s="2" customFormat="1">
      <c r="A22124" s="83"/>
      <c r="H22124" s="83"/>
      <c r="K22124" s="82"/>
      <c r="M22124" s="112"/>
      <c r="N22124" s="84"/>
    </row>
    <row r="22125" spans="1:14" s="2" customFormat="1">
      <c r="A22125" s="83"/>
      <c r="H22125" s="83"/>
      <c r="K22125" s="82"/>
      <c r="M22125" s="112"/>
      <c r="N22125" s="84"/>
    </row>
    <row r="22126" spans="1:14" s="2" customFormat="1">
      <c r="A22126" s="83"/>
      <c r="H22126" s="83"/>
      <c r="K22126" s="82"/>
      <c r="M22126" s="112"/>
      <c r="N22126" s="84"/>
    </row>
    <row r="22127" spans="1:14" s="2" customFormat="1">
      <c r="A22127" s="83"/>
      <c r="H22127" s="83"/>
      <c r="K22127" s="82"/>
      <c r="M22127" s="112"/>
      <c r="N22127" s="84"/>
    </row>
    <row r="22128" spans="1:14" s="2" customFormat="1">
      <c r="A22128" s="83"/>
      <c r="H22128" s="83"/>
      <c r="K22128" s="82"/>
      <c r="M22128" s="112"/>
      <c r="N22128" s="84"/>
    </row>
    <row r="22129" spans="1:14" s="2" customFormat="1">
      <c r="A22129" s="83"/>
      <c r="H22129" s="83"/>
      <c r="K22129" s="82"/>
      <c r="M22129" s="112"/>
      <c r="N22129" s="84"/>
    </row>
    <row r="22130" spans="1:14" s="2" customFormat="1">
      <c r="A22130" s="83"/>
      <c r="H22130" s="83"/>
      <c r="K22130" s="82"/>
      <c r="M22130" s="112"/>
      <c r="N22130" s="84"/>
    </row>
    <row r="22131" spans="1:14" s="2" customFormat="1">
      <c r="A22131" s="83"/>
      <c r="H22131" s="83"/>
      <c r="K22131" s="82"/>
      <c r="M22131" s="112"/>
      <c r="N22131" s="84"/>
    </row>
    <row r="22132" spans="1:14" s="2" customFormat="1">
      <c r="A22132" s="83"/>
      <c r="H22132" s="83"/>
      <c r="K22132" s="82"/>
      <c r="M22132" s="112"/>
      <c r="N22132" s="84"/>
    </row>
    <row r="22133" spans="1:14" s="2" customFormat="1">
      <c r="A22133" s="83"/>
      <c r="H22133" s="83"/>
      <c r="K22133" s="82"/>
      <c r="M22133" s="112"/>
      <c r="N22133" s="84"/>
    </row>
    <row r="22134" spans="1:14" s="2" customFormat="1">
      <c r="A22134" s="83"/>
      <c r="H22134" s="83"/>
      <c r="K22134" s="82"/>
      <c r="M22134" s="112"/>
      <c r="N22134" s="84"/>
    </row>
    <row r="22135" spans="1:14" s="2" customFormat="1">
      <c r="A22135" s="83"/>
      <c r="H22135" s="83"/>
      <c r="K22135" s="82"/>
      <c r="M22135" s="112"/>
      <c r="N22135" s="84"/>
    </row>
    <row r="22136" spans="1:14" s="2" customFormat="1">
      <c r="A22136" s="83"/>
      <c r="H22136" s="83"/>
      <c r="K22136" s="82"/>
      <c r="M22136" s="112"/>
      <c r="N22136" s="84"/>
    </row>
    <row r="22137" spans="1:14" s="2" customFormat="1">
      <c r="A22137" s="83"/>
      <c r="H22137" s="83"/>
      <c r="K22137" s="82"/>
      <c r="M22137" s="112"/>
      <c r="N22137" s="84"/>
    </row>
    <row r="22138" spans="1:14" s="2" customFormat="1">
      <c r="A22138" s="83"/>
      <c r="H22138" s="83"/>
      <c r="K22138" s="82"/>
      <c r="M22138" s="112"/>
      <c r="N22138" s="84"/>
    </row>
    <row r="22139" spans="1:14" s="2" customFormat="1">
      <c r="A22139" s="83"/>
      <c r="H22139" s="83"/>
      <c r="K22139" s="82"/>
      <c r="M22139" s="112"/>
      <c r="N22139" s="84"/>
    </row>
    <row r="22140" spans="1:14" s="2" customFormat="1">
      <c r="A22140" s="83"/>
      <c r="H22140" s="83"/>
      <c r="K22140" s="82"/>
      <c r="M22140" s="112"/>
      <c r="N22140" s="84"/>
    </row>
    <row r="22141" spans="1:14" s="2" customFormat="1">
      <c r="A22141" s="83"/>
      <c r="H22141" s="83"/>
      <c r="K22141" s="82"/>
      <c r="M22141" s="112"/>
      <c r="N22141" s="84"/>
    </row>
    <row r="22142" spans="1:14" s="2" customFormat="1">
      <c r="A22142" s="83"/>
      <c r="H22142" s="83"/>
      <c r="K22142" s="82"/>
      <c r="M22142" s="112"/>
      <c r="N22142" s="84"/>
    </row>
    <row r="22143" spans="1:14" s="2" customFormat="1">
      <c r="A22143" s="83"/>
      <c r="H22143" s="83"/>
      <c r="K22143" s="82"/>
      <c r="M22143" s="112"/>
      <c r="N22143" s="84"/>
    </row>
    <row r="22144" spans="1:14" s="2" customFormat="1">
      <c r="A22144" s="83"/>
      <c r="H22144" s="83"/>
      <c r="K22144" s="82"/>
      <c r="M22144" s="112"/>
      <c r="N22144" s="84"/>
    </row>
    <row r="22145" spans="1:14" s="2" customFormat="1">
      <c r="A22145" s="83"/>
      <c r="H22145" s="83"/>
      <c r="K22145" s="82"/>
      <c r="M22145" s="112"/>
      <c r="N22145" s="84"/>
    </row>
    <row r="22146" spans="1:14" s="2" customFormat="1">
      <c r="A22146" s="83"/>
      <c r="H22146" s="83"/>
      <c r="K22146" s="82"/>
      <c r="M22146" s="112"/>
      <c r="N22146" s="84"/>
    </row>
    <row r="22147" spans="1:14" s="2" customFormat="1">
      <c r="A22147" s="83"/>
      <c r="H22147" s="83"/>
      <c r="K22147" s="82"/>
      <c r="M22147" s="112"/>
      <c r="N22147" s="84"/>
    </row>
    <row r="22148" spans="1:14" s="2" customFormat="1">
      <c r="A22148" s="83"/>
      <c r="H22148" s="83"/>
      <c r="K22148" s="82"/>
      <c r="M22148" s="112"/>
      <c r="N22148" s="84"/>
    </row>
    <row r="22149" spans="1:14" s="2" customFormat="1">
      <c r="A22149" s="83"/>
      <c r="H22149" s="83"/>
      <c r="K22149" s="82"/>
      <c r="M22149" s="112"/>
      <c r="N22149" s="84"/>
    </row>
    <row r="22150" spans="1:14" s="2" customFormat="1">
      <c r="A22150" s="83"/>
      <c r="H22150" s="83"/>
      <c r="K22150" s="82"/>
      <c r="M22150" s="112"/>
      <c r="N22150" s="84"/>
    </row>
    <row r="22151" spans="1:14" s="2" customFormat="1">
      <c r="A22151" s="83"/>
      <c r="H22151" s="83"/>
      <c r="K22151" s="82"/>
      <c r="M22151" s="112"/>
      <c r="N22151" s="84"/>
    </row>
    <row r="22152" spans="1:14" s="2" customFormat="1">
      <c r="A22152" s="83"/>
      <c r="H22152" s="83"/>
      <c r="K22152" s="82"/>
      <c r="M22152" s="112"/>
      <c r="N22152" s="84"/>
    </row>
    <row r="22153" spans="1:14" s="2" customFormat="1">
      <c r="A22153" s="83"/>
      <c r="H22153" s="83"/>
      <c r="K22153" s="82"/>
      <c r="M22153" s="112"/>
      <c r="N22153" s="84"/>
    </row>
    <row r="22154" spans="1:14" s="2" customFormat="1">
      <c r="A22154" s="83"/>
      <c r="H22154" s="83"/>
      <c r="K22154" s="82"/>
      <c r="M22154" s="112"/>
      <c r="N22154" s="84"/>
    </row>
    <row r="22155" spans="1:14" s="2" customFormat="1">
      <c r="A22155" s="83"/>
      <c r="H22155" s="83"/>
      <c r="K22155" s="82"/>
      <c r="M22155" s="112"/>
      <c r="N22155" s="84"/>
    </row>
    <row r="22156" spans="1:14" s="2" customFormat="1">
      <c r="A22156" s="83"/>
      <c r="H22156" s="83"/>
      <c r="K22156" s="82"/>
      <c r="M22156" s="112"/>
      <c r="N22156" s="84"/>
    </row>
    <row r="22157" spans="1:14" s="2" customFormat="1">
      <c r="A22157" s="83"/>
      <c r="H22157" s="83"/>
      <c r="K22157" s="82"/>
      <c r="M22157" s="112"/>
      <c r="N22157" s="84"/>
    </row>
    <row r="22158" spans="1:14" s="2" customFormat="1">
      <c r="A22158" s="83"/>
      <c r="H22158" s="83"/>
      <c r="K22158" s="82"/>
      <c r="M22158" s="112"/>
      <c r="N22158" s="84"/>
    </row>
    <row r="22159" spans="1:14" s="2" customFormat="1">
      <c r="A22159" s="83"/>
      <c r="H22159" s="83"/>
      <c r="K22159" s="82"/>
      <c r="M22159" s="112"/>
      <c r="N22159" s="84"/>
    </row>
    <row r="22160" spans="1:14" s="2" customFormat="1">
      <c r="A22160" s="83"/>
      <c r="H22160" s="83"/>
      <c r="K22160" s="82"/>
      <c r="M22160" s="112"/>
      <c r="N22160" s="84"/>
    </row>
    <row r="22161" spans="1:14" s="2" customFormat="1">
      <c r="A22161" s="83"/>
      <c r="H22161" s="83"/>
      <c r="K22161" s="82"/>
      <c r="M22161" s="112"/>
      <c r="N22161" s="84"/>
    </row>
    <row r="22162" spans="1:14" s="2" customFormat="1">
      <c r="A22162" s="83"/>
      <c r="H22162" s="83"/>
      <c r="K22162" s="82"/>
      <c r="M22162" s="112"/>
      <c r="N22162" s="84"/>
    </row>
    <row r="22163" spans="1:14" s="2" customFormat="1">
      <c r="A22163" s="83"/>
      <c r="H22163" s="83"/>
      <c r="K22163" s="82"/>
      <c r="M22163" s="112"/>
      <c r="N22163" s="84"/>
    </row>
    <row r="22164" spans="1:14" s="2" customFormat="1">
      <c r="A22164" s="83"/>
      <c r="H22164" s="83"/>
      <c r="K22164" s="82"/>
      <c r="M22164" s="112"/>
      <c r="N22164" s="84"/>
    </row>
    <row r="22165" spans="1:14" s="2" customFormat="1">
      <c r="A22165" s="83"/>
      <c r="H22165" s="83"/>
      <c r="K22165" s="82"/>
      <c r="M22165" s="112"/>
      <c r="N22165" s="84"/>
    </row>
    <row r="22166" spans="1:14" s="2" customFormat="1">
      <c r="A22166" s="83"/>
      <c r="H22166" s="83"/>
      <c r="K22166" s="82"/>
      <c r="M22166" s="112"/>
      <c r="N22166" s="84"/>
    </row>
    <row r="22167" spans="1:14" s="2" customFormat="1">
      <c r="A22167" s="83"/>
      <c r="H22167" s="83"/>
      <c r="K22167" s="82"/>
      <c r="M22167" s="112"/>
      <c r="N22167" s="84"/>
    </row>
    <row r="22168" spans="1:14" s="2" customFormat="1">
      <c r="A22168" s="83"/>
      <c r="H22168" s="83"/>
      <c r="K22168" s="82"/>
      <c r="M22168" s="112"/>
      <c r="N22168" s="84"/>
    </row>
    <row r="22169" spans="1:14" s="2" customFormat="1">
      <c r="A22169" s="83"/>
      <c r="H22169" s="83"/>
      <c r="K22169" s="82"/>
      <c r="M22169" s="112"/>
      <c r="N22169" s="84"/>
    </row>
    <row r="22170" spans="1:14" s="2" customFormat="1">
      <c r="A22170" s="83"/>
      <c r="H22170" s="83"/>
      <c r="K22170" s="82"/>
      <c r="M22170" s="112"/>
      <c r="N22170" s="84"/>
    </row>
    <row r="22171" spans="1:14" s="2" customFormat="1">
      <c r="A22171" s="83"/>
      <c r="H22171" s="83"/>
      <c r="K22171" s="82"/>
      <c r="M22171" s="112"/>
      <c r="N22171" s="84"/>
    </row>
    <row r="22172" spans="1:14" s="2" customFormat="1">
      <c r="A22172" s="83"/>
      <c r="H22172" s="83"/>
      <c r="K22172" s="82"/>
      <c r="M22172" s="112"/>
      <c r="N22172" s="84"/>
    </row>
    <row r="22173" spans="1:14" s="2" customFormat="1">
      <c r="A22173" s="83"/>
      <c r="H22173" s="83"/>
      <c r="K22173" s="82"/>
      <c r="M22173" s="112"/>
      <c r="N22173" s="84"/>
    </row>
    <row r="22174" spans="1:14" s="2" customFormat="1">
      <c r="A22174" s="83"/>
      <c r="H22174" s="83"/>
      <c r="K22174" s="82"/>
      <c r="M22174" s="112"/>
      <c r="N22174" s="84"/>
    </row>
    <row r="22175" spans="1:14" s="2" customFormat="1">
      <c r="A22175" s="83"/>
      <c r="H22175" s="83"/>
      <c r="K22175" s="82"/>
      <c r="M22175" s="112"/>
      <c r="N22175" s="84"/>
    </row>
    <row r="22176" spans="1:14" s="2" customFormat="1">
      <c r="A22176" s="83"/>
      <c r="H22176" s="83"/>
      <c r="K22176" s="82"/>
      <c r="M22176" s="112"/>
      <c r="N22176" s="84"/>
    </row>
    <row r="22177" spans="1:14" s="2" customFormat="1">
      <c r="A22177" s="83"/>
      <c r="H22177" s="83"/>
      <c r="K22177" s="82"/>
      <c r="M22177" s="112"/>
      <c r="N22177" s="84"/>
    </row>
    <row r="22178" spans="1:14" s="2" customFormat="1">
      <c r="A22178" s="83"/>
      <c r="H22178" s="83"/>
      <c r="K22178" s="82"/>
      <c r="M22178" s="112"/>
      <c r="N22178" s="84"/>
    </row>
    <row r="22179" spans="1:14" s="2" customFormat="1">
      <c r="A22179" s="83"/>
      <c r="H22179" s="83"/>
      <c r="K22179" s="82"/>
      <c r="M22179" s="112"/>
      <c r="N22179" s="84"/>
    </row>
    <row r="22180" spans="1:14" s="2" customFormat="1">
      <c r="A22180" s="83"/>
      <c r="H22180" s="83"/>
      <c r="K22180" s="82"/>
      <c r="M22180" s="112"/>
      <c r="N22180" s="84"/>
    </row>
    <row r="22181" spans="1:14" s="2" customFormat="1">
      <c r="A22181" s="83"/>
      <c r="H22181" s="83"/>
      <c r="K22181" s="82"/>
      <c r="M22181" s="112"/>
      <c r="N22181" s="84"/>
    </row>
    <row r="22182" spans="1:14" s="2" customFormat="1">
      <c r="A22182" s="83"/>
      <c r="H22182" s="83"/>
      <c r="K22182" s="82"/>
      <c r="M22182" s="112"/>
      <c r="N22182" s="84"/>
    </row>
    <row r="22183" spans="1:14" s="2" customFormat="1">
      <c r="A22183" s="83"/>
      <c r="H22183" s="83"/>
      <c r="K22183" s="82"/>
      <c r="M22183" s="112"/>
      <c r="N22183" s="84"/>
    </row>
    <row r="22184" spans="1:14" s="2" customFormat="1">
      <c r="A22184" s="83"/>
      <c r="H22184" s="83"/>
      <c r="K22184" s="82"/>
      <c r="M22184" s="112"/>
      <c r="N22184" s="84"/>
    </row>
    <row r="22185" spans="1:14" s="2" customFormat="1">
      <c r="A22185" s="83"/>
      <c r="H22185" s="83"/>
      <c r="K22185" s="82"/>
      <c r="M22185" s="112"/>
      <c r="N22185" s="84"/>
    </row>
    <row r="22186" spans="1:14" s="2" customFormat="1">
      <c r="A22186" s="83"/>
      <c r="H22186" s="83"/>
      <c r="K22186" s="82"/>
      <c r="M22186" s="112"/>
      <c r="N22186" s="84"/>
    </row>
    <row r="22187" spans="1:14" s="2" customFormat="1">
      <c r="A22187" s="83"/>
      <c r="H22187" s="83"/>
      <c r="K22187" s="82"/>
      <c r="M22187" s="112"/>
      <c r="N22187" s="84"/>
    </row>
    <row r="22188" spans="1:14" s="2" customFormat="1">
      <c r="A22188" s="83"/>
      <c r="H22188" s="83"/>
      <c r="K22188" s="82"/>
      <c r="M22188" s="112"/>
      <c r="N22188" s="84"/>
    </row>
    <row r="22189" spans="1:14" s="2" customFormat="1">
      <c r="A22189" s="83"/>
      <c r="H22189" s="83"/>
      <c r="K22189" s="82"/>
      <c r="M22189" s="112"/>
      <c r="N22189" s="84"/>
    </row>
    <row r="22190" spans="1:14" s="2" customFormat="1">
      <c r="A22190" s="83"/>
      <c r="H22190" s="83"/>
      <c r="K22190" s="82"/>
      <c r="M22190" s="112"/>
      <c r="N22190" s="84"/>
    </row>
    <row r="22191" spans="1:14" s="2" customFormat="1">
      <c r="A22191" s="83"/>
      <c r="H22191" s="83"/>
      <c r="K22191" s="82"/>
      <c r="M22191" s="112"/>
      <c r="N22191" s="84"/>
    </row>
    <row r="22192" spans="1:14" s="2" customFormat="1">
      <c r="A22192" s="83"/>
      <c r="H22192" s="83"/>
      <c r="K22192" s="82"/>
      <c r="M22192" s="112"/>
      <c r="N22192" s="84"/>
    </row>
    <row r="22193" spans="1:14" s="2" customFormat="1">
      <c r="A22193" s="83"/>
      <c r="H22193" s="83"/>
      <c r="K22193" s="82"/>
      <c r="M22193" s="112"/>
      <c r="N22193" s="84"/>
    </row>
    <row r="22194" spans="1:14" s="2" customFormat="1">
      <c r="A22194" s="83"/>
      <c r="H22194" s="83"/>
      <c r="K22194" s="82"/>
      <c r="M22194" s="112"/>
      <c r="N22194" s="84"/>
    </row>
    <row r="22195" spans="1:14" s="2" customFormat="1">
      <c r="A22195" s="83"/>
      <c r="H22195" s="83"/>
      <c r="K22195" s="82"/>
      <c r="M22195" s="112"/>
      <c r="N22195" s="84"/>
    </row>
    <row r="22196" spans="1:14" s="2" customFormat="1">
      <c r="A22196" s="83"/>
      <c r="H22196" s="83"/>
      <c r="K22196" s="82"/>
      <c r="M22196" s="112"/>
      <c r="N22196" s="84"/>
    </row>
    <row r="22197" spans="1:14" s="2" customFormat="1">
      <c r="A22197" s="83"/>
      <c r="H22197" s="83"/>
      <c r="K22197" s="82"/>
      <c r="M22197" s="112"/>
      <c r="N22197" s="84"/>
    </row>
    <row r="22198" spans="1:14" s="2" customFormat="1">
      <c r="A22198" s="83"/>
      <c r="H22198" s="83"/>
      <c r="K22198" s="82"/>
      <c r="M22198" s="112"/>
      <c r="N22198" s="84"/>
    </row>
    <row r="22199" spans="1:14" s="2" customFormat="1">
      <c r="A22199" s="83"/>
      <c r="H22199" s="83"/>
      <c r="K22199" s="82"/>
      <c r="M22199" s="112"/>
      <c r="N22199" s="84"/>
    </row>
    <row r="22200" spans="1:14" s="2" customFormat="1">
      <c r="A22200" s="83"/>
      <c r="H22200" s="83"/>
      <c r="K22200" s="82"/>
      <c r="M22200" s="112"/>
      <c r="N22200" s="84"/>
    </row>
    <row r="22201" spans="1:14" s="2" customFormat="1">
      <c r="A22201" s="83"/>
      <c r="H22201" s="83"/>
      <c r="K22201" s="82"/>
      <c r="M22201" s="112"/>
      <c r="N22201" s="84"/>
    </row>
    <row r="22202" spans="1:14" s="2" customFormat="1">
      <c r="A22202" s="83"/>
      <c r="H22202" s="83"/>
      <c r="K22202" s="82"/>
      <c r="M22202" s="112"/>
      <c r="N22202" s="84"/>
    </row>
    <row r="22203" spans="1:14" s="2" customFormat="1">
      <c r="A22203" s="83"/>
      <c r="H22203" s="83"/>
      <c r="K22203" s="82"/>
      <c r="M22203" s="112"/>
      <c r="N22203" s="84"/>
    </row>
    <row r="22204" spans="1:14" s="2" customFormat="1">
      <c r="A22204" s="83"/>
      <c r="H22204" s="83"/>
      <c r="K22204" s="82"/>
      <c r="M22204" s="112"/>
      <c r="N22204" s="84"/>
    </row>
    <row r="22205" spans="1:14" s="2" customFormat="1">
      <c r="A22205" s="83"/>
      <c r="H22205" s="83"/>
      <c r="K22205" s="82"/>
      <c r="M22205" s="112"/>
      <c r="N22205" s="84"/>
    </row>
    <row r="22206" spans="1:14" s="2" customFormat="1">
      <c r="A22206" s="83"/>
      <c r="H22206" s="83"/>
      <c r="K22206" s="82"/>
      <c r="M22206" s="112"/>
      <c r="N22206" s="84"/>
    </row>
    <row r="22207" spans="1:14" s="2" customFormat="1">
      <c r="A22207" s="83"/>
      <c r="H22207" s="83"/>
      <c r="K22207" s="82"/>
      <c r="M22207" s="112"/>
      <c r="N22207" s="84"/>
    </row>
    <row r="22208" spans="1:14" s="2" customFormat="1">
      <c r="A22208" s="83"/>
      <c r="H22208" s="83"/>
      <c r="K22208" s="82"/>
      <c r="M22208" s="112"/>
      <c r="N22208" s="84"/>
    </row>
    <row r="22209" spans="1:14" s="2" customFormat="1">
      <c r="A22209" s="83"/>
      <c r="H22209" s="83"/>
      <c r="K22209" s="82"/>
      <c r="M22209" s="112"/>
      <c r="N22209" s="84"/>
    </row>
    <row r="22210" spans="1:14" s="2" customFormat="1">
      <c r="A22210" s="83"/>
      <c r="H22210" s="83"/>
      <c r="K22210" s="82"/>
      <c r="M22210" s="112"/>
      <c r="N22210" s="84"/>
    </row>
    <row r="22211" spans="1:14" s="2" customFormat="1">
      <c r="A22211" s="83"/>
      <c r="H22211" s="83"/>
      <c r="K22211" s="82"/>
      <c r="M22211" s="112"/>
      <c r="N22211" s="84"/>
    </row>
    <row r="22212" spans="1:14" s="2" customFormat="1">
      <c r="A22212" s="83"/>
      <c r="H22212" s="83"/>
      <c r="K22212" s="82"/>
      <c r="M22212" s="112"/>
      <c r="N22212" s="84"/>
    </row>
    <row r="22213" spans="1:14" s="2" customFormat="1">
      <c r="A22213" s="83"/>
      <c r="H22213" s="83"/>
      <c r="K22213" s="82"/>
      <c r="M22213" s="112"/>
      <c r="N22213" s="84"/>
    </row>
    <row r="22214" spans="1:14" s="2" customFormat="1">
      <c r="A22214" s="83"/>
      <c r="H22214" s="83"/>
      <c r="K22214" s="82"/>
      <c r="M22214" s="112"/>
      <c r="N22214" s="84"/>
    </row>
    <row r="22215" spans="1:14" s="2" customFormat="1">
      <c r="A22215" s="83"/>
      <c r="H22215" s="83"/>
      <c r="K22215" s="82"/>
      <c r="M22215" s="112"/>
      <c r="N22215" s="84"/>
    </row>
    <row r="22216" spans="1:14" s="2" customFormat="1">
      <c r="A22216" s="83"/>
      <c r="H22216" s="83"/>
      <c r="K22216" s="82"/>
      <c r="M22216" s="112"/>
      <c r="N22216" s="84"/>
    </row>
    <row r="22217" spans="1:14" s="2" customFormat="1">
      <c r="A22217" s="83"/>
      <c r="H22217" s="83"/>
      <c r="K22217" s="82"/>
      <c r="M22217" s="112"/>
      <c r="N22217" s="84"/>
    </row>
    <row r="22218" spans="1:14" s="2" customFormat="1">
      <c r="A22218" s="83"/>
      <c r="H22218" s="83"/>
      <c r="K22218" s="82"/>
      <c r="M22218" s="112"/>
      <c r="N22218" s="84"/>
    </row>
    <row r="22219" spans="1:14" s="2" customFormat="1">
      <c r="A22219" s="83"/>
      <c r="H22219" s="83"/>
      <c r="K22219" s="82"/>
      <c r="M22219" s="112"/>
      <c r="N22219" s="84"/>
    </row>
    <row r="22220" spans="1:14" s="2" customFormat="1">
      <c r="A22220" s="83"/>
      <c r="H22220" s="83"/>
      <c r="K22220" s="82"/>
      <c r="M22220" s="112"/>
      <c r="N22220" s="84"/>
    </row>
    <row r="22221" spans="1:14" s="2" customFormat="1">
      <c r="A22221" s="83"/>
      <c r="H22221" s="83"/>
      <c r="K22221" s="82"/>
      <c r="M22221" s="112"/>
      <c r="N22221" s="84"/>
    </row>
    <row r="22222" spans="1:14" s="2" customFormat="1">
      <c r="A22222" s="83"/>
      <c r="H22222" s="83"/>
      <c r="K22222" s="82"/>
      <c r="M22222" s="112"/>
      <c r="N22222" s="84"/>
    </row>
    <row r="22223" spans="1:14" s="2" customFormat="1">
      <c r="A22223" s="83"/>
      <c r="H22223" s="83"/>
      <c r="K22223" s="82"/>
      <c r="M22223" s="112"/>
      <c r="N22223" s="84"/>
    </row>
    <row r="22224" spans="1:14" s="2" customFormat="1">
      <c r="A22224" s="83"/>
      <c r="H22224" s="83"/>
      <c r="K22224" s="82"/>
      <c r="M22224" s="112"/>
      <c r="N22224" s="84"/>
    </row>
    <row r="22225" spans="1:14" s="2" customFormat="1">
      <c r="A22225" s="83"/>
      <c r="H22225" s="83"/>
      <c r="K22225" s="82"/>
      <c r="M22225" s="112"/>
      <c r="N22225" s="84"/>
    </row>
    <row r="22226" spans="1:14" s="2" customFormat="1">
      <c r="A22226" s="83"/>
      <c r="H22226" s="83"/>
      <c r="K22226" s="82"/>
      <c r="M22226" s="112"/>
      <c r="N22226" s="84"/>
    </row>
    <row r="22227" spans="1:14" s="2" customFormat="1">
      <c r="A22227" s="83"/>
      <c r="H22227" s="83"/>
      <c r="K22227" s="82"/>
      <c r="M22227" s="112"/>
      <c r="N22227" s="84"/>
    </row>
    <row r="22228" spans="1:14" s="2" customFormat="1">
      <c r="A22228" s="83"/>
      <c r="H22228" s="83"/>
      <c r="K22228" s="82"/>
      <c r="M22228" s="112"/>
      <c r="N22228" s="84"/>
    </row>
    <row r="22229" spans="1:14" s="2" customFormat="1">
      <c r="A22229" s="83"/>
      <c r="H22229" s="83"/>
      <c r="K22229" s="82"/>
      <c r="M22229" s="112"/>
      <c r="N22229" s="84"/>
    </row>
    <row r="22230" spans="1:14" s="2" customFormat="1">
      <c r="A22230" s="83"/>
      <c r="H22230" s="83"/>
      <c r="K22230" s="82"/>
      <c r="M22230" s="112"/>
      <c r="N22230" s="84"/>
    </row>
    <row r="22231" spans="1:14" s="2" customFormat="1">
      <c r="A22231" s="83"/>
      <c r="H22231" s="83"/>
      <c r="K22231" s="82"/>
      <c r="M22231" s="112"/>
      <c r="N22231" s="84"/>
    </row>
    <row r="22232" spans="1:14" s="2" customFormat="1">
      <c r="A22232" s="83"/>
      <c r="H22232" s="83"/>
      <c r="K22232" s="82"/>
      <c r="M22232" s="112"/>
      <c r="N22232" s="84"/>
    </row>
    <row r="22233" spans="1:14" s="2" customFormat="1">
      <c r="A22233" s="83"/>
      <c r="H22233" s="83"/>
      <c r="K22233" s="82"/>
      <c r="M22233" s="112"/>
      <c r="N22233" s="84"/>
    </row>
    <row r="22234" spans="1:14" s="2" customFormat="1">
      <c r="A22234" s="83"/>
      <c r="H22234" s="83"/>
      <c r="K22234" s="82"/>
      <c r="M22234" s="112"/>
      <c r="N22234" s="84"/>
    </row>
    <row r="22235" spans="1:14" s="2" customFormat="1">
      <c r="A22235" s="83"/>
      <c r="H22235" s="83"/>
      <c r="K22235" s="82"/>
      <c r="M22235" s="112"/>
      <c r="N22235" s="84"/>
    </row>
    <row r="22236" spans="1:14" s="2" customFormat="1">
      <c r="A22236" s="83"/>
      <c r="H22236" s="83"/>
      <c r="K22236" s="82"/>
      <c r="M22236" s="112"/>
      <c r="N22236" s="84"/>
    </row>
    <row r="22237" spans="1:14" s="2" customFormat="1">
      <c r="A22237" s="83"/>
      <c r="H22237" s="83"/>
      <c r="K22237" s="82"/>
      <c r="M22237" s="112"/>
      <c r="N22237" s="84"/>
    </row>
    <row r="22238" spans="1:14" s="2" customFormat="1">
      <c r="A22238" s="83"/>
      <c r="H22238" s="83"/>
      <c r="K22238" s="82"/>
      <c r="M22238" s="112"/>
      <c r="N22238" s="84"/>
    </row>
    <row r="22239" spans="1:14" s="2" customFormat="1">
      <c r="A22239" s="83"/>
      <c r="H22239" s="83"/>
      <c r="K22239" s="82"/>
      <c r="M22239" s="112"/>
      <c r="N22239" s="84"/>
    </row>
    <row r="22240" spans="1:14" s="2" customFormat="1">
      <c r="A22240" s="83"/>
      <c r="H22240" s="83"/>
      <c r="K22240" s="82"/>
      <c r="M22240" s="112"/>
      <c r="N22240" s="84"/>
    </row>
    <row r="22241" spans="1:14" s="2" customFormat="1">
      <c r="A22241" s="83"/>
      <c r="H22241" s="83"/>
      <c r="K22241" s="82"/>
      <c r="M22241" s="112"/>
      <c r="N22241" s="84"/>
    </row>
    <row r="22242" spans="1:14" s="2" customFormat="1">
      <c r="A22242" s="83"/>
      <c r="H22242" s="83"/>
      <c r="K22242" s="82"/>
      <c r="M22242" s="112"/>
      <c r="N22242" s="84"/>
    </row>
    <row r="22243" spans="1:14" s="2" customFormat="1">
      <c r="A22243" s="83"/>
      <c r="H22243" s="83"/>
      <c r="K22243" s="82"/>
      <c r="M22243" s="112"/>
      <c r="N22243" s="84"/>
    </row>
    <row r="22244" spans="1:14" s="2" customFormat="1">
      <c r="A22244" s="83"/>
      <c r="H22244" s="83"/>
      <c r="K22244" s="82"/>
      <c r="M22244" s="112"/>
      <c r="N22244" s="84"/>
    </row>
    <row r="22245" spans="1:14" s="2" customFormat="1">
      <c r="A22245" s="83"/>
      <c r="H22245" s="83"/>
      <c r="K22245" s="82"/>
      <c r="M22245" s="112"/>
      <c r="N22245" s="84"/>
    </row>
    <row r="22246" spans="1:14" s="2" customFormat="1">
      <c r="A22246" s="83"/>
      <c r="H22246" s="83"/>
      <c r="K22246" s="82"/>
      <c r="M22246" s="112"/>
      <c r="N22246" s="84"/>
    </row>
    <row r="22247" spans="1:14" s="2" customFormat="1">
      <c r="A22247" s="83"/>
      <c r="H22247" s="83"/>
      <c r="K22247" s="82"/>
      <c r="M22247" s="112"/>
      <c r="N22247" s="84"/>
    </row>
    <row r="22248" spans="1:14" s="2" customFormat="1">
      <c r="A22248" s="83"/>
      <c r="H22248" s="83"/>
      <c r="K22248" s="82"/>
      <c r="M22248" s="112"/>
      <c r="N22248" s="84"/>
    </row>
    <row r="22249" spans="1:14" s="2" customFormat="1">
      <c r="A22249" s="83"/>
      <c r="H22249" s="83"/>
      <c r="K22249" s="82"/>
      <c r="M22249" s="112"/>
      <c r="N22249" s="84"/>
    </row>
    <row r="22250" spans="1:14" s="2" customFormat="1">
      <c r="A22250" s="83"/>
      <c r="H22250" s="83"/>
      <c r="K22250" s="82"/>
      <c r="M22250" s="112"/>
      <c r="N22250" s="84"/>
    </row>
    <row r="22251" spans="1:14" s="2" customFormat="1">
      <c r="A22251" s="83"/>
      <c r="H22251" s="83"/>
      <c r="K22251" s="82"/>
      <c r="M22251" s="112"/>
      <c r="N22251" s="84"/>
    </row>
    <row r="22252" spans="1:14" s="2" customFormat="1">
      <c r="A22252" s="83"/>
      <c r="H22252" s="83"/>
      <c r="K22252" s="82"/>
      <c r="M22252" s="112"/>
      <c r="N22252" s="84"/>
    </row>
    <row r="22253" spans="1:14" s="2" customFormat="1">
      <c r="A22253" s="83"/>
      <c r="H22253" s="83"/>
      <c r="K22253" s="82"/>
      <c r="M22253" s="112"/>
      <c r="N22253" s="84"/>
    </row>
    <row r="22254" spans="1:14" s="2" customFormat="1">
      <c r="A22254" s="83"/>
      <c r="H22254" s="83"/>
      <c r="K22254" s="82"/>
      <c r="M22254" s="112"/>
      <c r="N22254" s="84"/>
    </row>
    <row r="22255" spans="1:14" s="2" customFormat="1">
      <c r="A22255" s="83"/>
      <c r="H22255" s="83"/>
      <c r="K22255" s="82"/>
      <c r="M22255" s="112"/>
      <c r="N22255" s="84"/>
    </row>
    <row r="22256" spans="1:14" s="2" customFormat="1">
      <c r="A22256" s="83"/>
      <c r="H22256" s="83"/>
      <c r="K22256" s="82"/>
      <c r="M22256" s="112"/>
      <c r="N22256" s="84"/>
    </row>
    <row r="22257" spans="1:14" s="2" customFormat="1">
      <c r="A22257" s="83"/>
      <c r="H22257" s="83"/>
      <c r="K22257" s="82"/>
      <c r="M22257" s="112"/>
      <c r="N22257" s="84"/>
    </row>
    <row r="22258" spans="1:14" s="2" customFormat="1">
      <c r="A22258" s="83"/>
      <c r="H22258" s="83"/>
      <c r="K22258" s="82"/>
      <c r="M22258" s="112"/>
      <c r="N22258" s="84"/>
    </row>
    <row r="22259" spans="1:14" s="2" customFormat="1">
      <c r="A22259" s="83"/>
      <c r="H22259" s="83"/>
      <c r="K22259" s="82"/>
      <c r="M22259" s="112"/>
      <c r="N22259" s="84"/>
    </row>
    <row r="22260" spans="1:14" s="2" customFormat="1">
      <c r="A22260" s="83"/>
      <c r="H22260" s="83"/>
      <c r="K22260" s="82"/>
      <c r="M22260" s="112"/>
      <c r="N22260" s="84"/>
    </row>
    <row r="22261" spans="1:14" s="2" customFormat="1">
      <c r="A22261" s="83"/>
      <c r="H22261" s="83"/>
      <c r="K22261" s="82"/>
      <c r="M22261" s="112"/>
      <c r="N22261" s="84"/>
    </row>
    <row r="22262" spans="1:14" s="2" customFormat="1">
      <c r="A22262" s="83"/>
      <c r="H22262" s="83"/>
      <c r="K22262" s="82"/>
      <c r="M22262" s="112"/>
      <c r="N22262" s="84"/>
    </row>
    <row r="22263" spans="1:14" s="2" customFormat="1">
      <c r="A22263" s="83"/>
      <c r="H22263" s="83"/>
      <c r="K22263" s="82"/>
      <c r="M22263" s="112"/>
      <c r="N22263" s="84"/>
    </row>
    <row r="22264" spans="1:14" s="2" customFormat="1">
      <c r="A22264" s="83"/>
      <c r="H22264" s="83"/>
      <c r="K22264" s="82"/>
      <c r="M22264" s="112"/>
      <c r="N22264" s="84"/>
    </row>
    <row r="22265" spans="1:14" s="2" customFormat="1">
      <c r="A22265" s="83"/>
      <c r="H22265" s="83"/>
      <c r="K22265" s="82"/>
      <c r="M22265" s="112"/>
      <c r="N22265" s="84"/>
    </row>
    <row r="22266" spans="1:14" s="2" customFormat="1">
      <c r="A22266" s="83"/>
      <c r="H22266" s="83"/>
      <c r="K22266" s="82"/>
      <c r="M22266" s="112"/>
      <c r="N22266" s="84"/>
    </row>
    <row r="22267" spans="1:14" s="2" customFormat="1">
      <c r="A22267" s="83"/>
      <c r="H22267" s="83"/>
      <c r="K22267" s="82"/>
      <c r="M22267" s="112"/>
      <c r="N22267" s="84"/>
    </row>
    <row r="22268" spans="1:14" s="2" customFormat="1">
      <c r="A22268" s="83"/>
      <c r="H22268" s="83"/>
      <c r="K22268" s="82"/>
      <c r="M22268" s="112"/>
      <c r="N22268" s="84"/>
    </row>
    <row r="22269" spans="1:14" s="2" customFormat="1">
      <c r="A22269" s="83"/>
      <c r="H22269" s="83"/>
      <c r="K22269" s="82"/>
      <c r="M22269" s="112"/>
      <c r="N22269" s="84"/>
    </row>
    <row r="22270" spans="1:14" s="2" customFormat="1">
      <c r="A22270" s="83"/>
      <c r="H22270" s="83"/>
      <c r="K22270" s="82"/>
      <c r="M22270" s="112"/>
      <c r="N22270" s="84"/>
    </row>
    <row r="22271" spans="1:14" s="2" customFormat="1">
      <c r="A22271" s="83"/>
      <c r="H22271" s="83"/>
      <c r="K22271" s="82"/>
      <c r="M22271" s="112"/>
      <c r="N22271" s="84"/>
    </row>
    <row r="22272" spans="1:14" s="2" customFormat="1">
      <c r="A22272" s="83"/>
      <c r="H22272" s="83"/>
      <c r="K22272" s="82"/>
      <c r="M22272" s="112"/>
      <c r="N22272" s="84"/>
    </row>
    <row r="22273" spans="1:14" s="2" customFormat="1">
      <c r="A22273" s="83"/>
      <c r="H22273" s="83"/>
      <c r="K22273" s="82"/>
      <c r="M22273" s="112"/>
      <c r="N22273" s="84"/>
    </row>
    <row r="22274" spans="1:14" s="2" customFormat="1">
      <c r="A22274" s="83"/>
      <c r="H22274" s="83"/>
      <c r="K22274" s="82"/>
      <c r="M22274" s="112"/>
      <c r="N22274" s="84"/>
    </row>
    <row r="22275" spans="1:14" s="2" customFormat="1">
      <c r="A22275" s="83"/>
      <c r="H22275" s="83"/>
      <c r="K22275" s="82"/>
      <c r="M22275" s="112"/>
      <c r="N22275" s="84"/>
    </row>
    <row r="22276" spans="1:14" s="2" customFormat="1">
      <c r="A22276" s="83"/>
      <c r="H22276" s="83"/>
      <c r="K22276" s="82"/>
      <c r="M22276" s="112"/>
      <c r="N22276" s="84"/>
    </row>
    <row r="22277" spans="1:14" s="2" customFormat="1">
      <c r="A22277" s="83"/>
      <c r="H22277" s="83"/>
      <c r="K22277" s="82"/>
      <c r="M22277" s="112"/>
      <c r="N22277" s="84"/>
    </row>
    <row r="22278" spans="1:14" s="2" customFormat="1">
      <c r="A22278" s="83"/>
      <c r="H22278" s="83"/>
      <c r="K22278" s="82"/>
      <c r="M22278" s="112"/>
      <c r="N22278" s="84"/>
    </row>
    <row r="22279" spans="1:14" s="2" customFormat="1">
      <c r="A22279" s="83"/>
      <c r="H22279" s="83"/>
      <c r="K22279" s="82"/>
      <c r="M22279" s="112"/>
      <c r="N22279" s="84"/>
    </row>
    <row r="22280" spans="1:14" s="2" customFormat="1">
      <c r="A22280" s="83"/>
      <c r="H22280" s="83"/>
      <c r="K22280" s="82"/>
      <c r="M22280" s="112"/>
      <c r="N22280" s="84"/>
    </row>
    <row r="22281" spans="1:14" s="2" customFormat="1">
      <c r="A22281" s="83"/>
      <c r="H22281" s="83"/>
      <c r="K22281" s="82"/>
      <c r="M22281" s="112"/>
      <c r="N22281" s="84"/>
    </row>
    <row r="22282" spans="1:14" s="2" customFormat="1">
      <c r="A22282" s="83"/>
      <c r="H22282" s="83"/>
      <c r="K22282" s="82"/>
      <c r="M22282" s="112"/>
      <c r="N22282" s="84"/>
    </row>
    <row r="22283" spans="1:14" s="2" customFormat="1">
      <c r="A22283" s="83"/>
      <c r="H22283" s="83"/>
      <c r="K22283" s="82"/>
      <c r="M22283" s="112"/>
      <c r="N22283" s="84"/>
    </row>
    <row r="22284" spans="1:14" s="2" customFormat="1">
      <c r="A22284" s="83"/>
      <c r="H22284" s="83"/>
      <c r="K22284" s="82"/>
      <c r="M22284" s="112"/>
      <c r="N22284" s="84"/>
    </row>
    <row r="22285" spans="1:14" s="2" customFormat="1">
      <c r="A22285" s="83"/>
      <c r="H22285" s="83"/>
      <c r="K22285" s="82"/>
      <c r="M22285" s="112"/>
      <c r="N22285" s="84"/>
    </row>
    <row r="22286" spans="1:14" s="2" customFormat="1">
      <c r="A22286" s="83"/>
      <c r="H22286" s="83"/>
      <c r="K22286" s="82"/>
      <c r="M22286" s="112"/>
      <c r="N22286" s="84"/>
    </row>
    <row r="22287" spans="1:14" s="2" customFormat="1">
      <c r="A22287" s="83"/>
      <c r="H22287" s="83"/>
      <c r="K22287" s="82"/>
      <c r="M22287" s="112"/>
      <c r="N22287" s="84"/>
    </row>
    <row r="22288" spans="1:14" s="2" customFormat="1">
      <c r="A22288" s="83"/>
      <c r="H22288" s="83"/>
      <c r="K22288" s="82"/>
      <c r="M22288" s="112"/>
      <c r="N22288" s="84"/>
    </row>
    <row r="22289" spans="1:14" s="2" customFormat="1">
      <c r="A22289" s="83"/>
      <c r="H22289" s="83"/>
      <c r="K22289" s="82"/>
      <c r="M22289" s="112"/>
      <c r="N22289" s="84"/>
    </row>
    <row r="22290" spans="1:14" s="2" customFormat="1">
      <c r="A22290" s="83"/>
      <c r="H22290" s="83"/>
      <c r="K22290" s="82"/>
      <c r="M22290" s="112"/>
      <c r="N22290" s="84"/>
    </row>
    <row r="22291" spans="1:14" s="2" customFormat="1">
      <c r="A22291" s="83"/>
      <c r="H22291" s="83"/>
      <c r="K22291" s="82"/>
      <c r="M22291" s="112"/>
      <c r="N22291" s="84"/>
    </row>
    <row r="22292" spans="1:14" s="2" customFormat="1">
      <c r="A22292" s="83"/>
      <c r="H22292" s="83"/>
      <c r="K22292" s="82"/>
      <c r="M22292" s="112"/>
      <c r="N22292" s="84"/>
    </row>
    <row r="22293" spans="1:14" s="2" customFormat="1">
      <c r="A22293" s="83"/>
      <c r="H22293" s="83"/>
      <c r="K22293" s="82"/>
      <c r="M22293" s="112"/>
      <c r="N22293" s="84"/>
    </row>
    <row r="22294" spans="1:14" s="2" customFormat="1">
      <c r="A22294" s="83"/>
      <c r="H22294" s="83"/>
      <c r="K22294" s="82"/>
      <c r="M22294" s="112"/>
      <c r="N22294" s="84"/>
    </row>
    <row r="22295" spans="1:14" s="2" customFormat="1">
      <c r="A22295" s="83"/>
      <c r="H22295" s="83"/>
      <c r="K22295" s="82"/>
      <c r="M22295" s="112"/>
      <c r="N22295" s="84"/>
    </row>
    <row r="22296" spans="1:14" s="2" customFormat="1">
      <c r="A22296" s="83"/>
      <c r="H22296" s="83"/>
      <c r="K22296" s="82"/>
      <c r="M22296" s="112"/>
      <c r="N22296" s="84"/>
    </row>
    <row r="22297" spans="1:14" s="2" customFormat="1">
      <c r="A22297" s="83"/>
      <c r="H22297" s="83"/>
      <c r="K22297" s="82"/>
      <c r="M22297" s="112"/>
      <c r="N22297" s="84"/>
    </row>
    <row r="22298" spans="1:14" s="2" customFormat="1">
      <c r="A22298" s="83"/>
      <c r="H22298" s="83"/>
      <c r="K22298" s="82"/>
      <c r="M22298" s="112"/>
      <c r="N22298" s="84"/>
    </row>
    <row r="22299" spans="1:14" s="2" customFormat="1">
      <c r="A22299" s="83"/>
      <c r="H22299" s="83"/>
      <c r="K22299" s="82"/>
      <c r="M22299" s="112"/>
      <c r="N22299" s="84"/>
    </row>
    <row r="22300" spans="1:14" s="2" customFormat="1">
      <c r="A22300" s="83"/>
      <c r="H22300" s="83"/>
      <c r="K22300" s="82"/>
      <c r="M22300" s="112"/>
      <c r="N22300" s="84"/>
    </row>
    <row r="22301" spans="1:14" s="2" customFormat="1">
      <c r="A22301" s="83"/>
      <c r="H22301" s="83"/>
      <c r="K22301" s="82"/>
      <c r="M22301" s="112"/>
      <c r="N22301" s="84"/>
    </row>
    <row r="22302" spans="1:14" s="2" customFormat="1">
      <c r="A22302" s="83"/>
      <c r="H22302" s="83"/>
      <c r="K22302" s="82"/>
      <c r="M22302" s="112"/>
      <c r="N22302" s="84"/>
    </row>
    <row r="22303" spans="1:14" s="2" customFormat="1">
      <c r="A22303" s="83"/>
      <c r="H22303" s="83"/>
      <c r="K22303" s="82"/>
      <c r="M22303" s="112"/>
      <c r="N22303" s="84"/>
    </row>
    <row r="22304" spans="1:14" s="2" customFormat="1">
      <c r="A22304" s="83"/>
      <c r="H22304" s="83"/>
      <c r="K22304" s="82"/>
      <c r="M22304" s="112"/>
      <c r="N22304" s="84"/>
    </row>
    <row r="22305" spans="1:14" s="2" customFormat="1">
      <c r="A22305" s="83"/>
      <c r="H22305" s="83"/>
      <c r="K22305" s="82"/>
      <c r="M22305" s="112"/>
      <c r="N22305" s="84"/>
    </row>
    <row r="22306" spans="1:14" s="2" customFormat="1">
      <c r="A22306" s="83"/>
      <c r="H22306" s="83"/>
      <c r="K22306" s="82"/>
      <c r="M22306" s="112"/>
      <c r="N22306" s="84"/>
    </row>
    <row r="22307" spans="1:14" s="2" customFormat="1">
      <c r="A22307" s="83"/>
      <c r="H22307" s="83"/>
      <c r="K22307" s="82"/>
      <c r="M22307" s="112"/>
      <c r="N22307" s="84"/>
    </row>
    <row r="22308" spans="1:14" s="2" customFormat="1">
      <c r="A22308" s="83"/>
      <c r="H22308" s="83"/>
      <c r="K22308" s="82"/>
      <c r="M22308" s="112"/>
      <c r="N22308" s="84"/>
    </row>
    <row r="22309" spans="1:14" s="2" customFormat="1">
      <c r="A22309" s="83"/>
      <c r="H22309" s="83"/>
      <c r="K22309" s="82"/>
      <c r="M22309" s="112"/>
      <c r="N22309" s="84"/>
    </row>
    <row r="22310" spans="1:14" s="2" customFormat="1">
      <c r="A22310" s="83"/>
      <c r="H22310" s="83"/>
      <c r="K22310" s="82"/>
      <c r="M22310" s="112"/>
      <c r="N22310" s="84"/>
    </row>
    <row r="22311" spans="1:14" s="2" customFormat="1">
      <c r="A22311" s="83"/>
      <c r="H22311" s="83"/>
      <c r="K22311" s="82"/>
      <c r="M22311" s="112"/>
      <c r="N22311" s="84"/>
    </row>
    <row r="22312" spans="1:14" s="2" customFormat="1">
      <c r="A22312" s="83"/>
      <c r="H22312" s="83"/>
      <c r="K22312" s="82"/>
      <c r="M22312" s="112"/>
      <c r="N22312" s="84"/>
    </row>
    <row r="22313" spans="1:14" s="2" customFormat="1">
      <c r="A22313" s="83"/>
      <c r="H22313" s="83"/>
      <c r="K22313" s="82"/>
      <c r="M22313" s="112"/>
      <c r="N22313" s="84"/>
    </row>
    <row r="22314" spans="1:14" s="2" customFormat="1">
      <c r="A22314" s="83"/>
      <c r="H22314" s="83"/>
      <c r="K22314" s="82"/>
      <c r="M22314" s="112"/>
      <c r="N22314" s="84"/>
    </row>
    <row r="22315" spans="1:14" s="2" customFormat="1">
      <c r="A22315" s="83"/>
      <c r="H22315" s="83"/>
      <c r="K22315" s="82"/>
      <c r="M22315" s="112"/>
      <c r="N22315" s="84"/>
    </row>
    <row r="22316" spans="1:14" s="2" customFormat="1">
      <c r="A22316" s="83"/>
      <c r="H22316" s="83"/>
      <c r="K22316" s="82"/>
      <c r="M22316" s="112"/>
      <c r="N22316" s="84"/>
    </row>
    <row r="22317" spans="1:14" s="2" customFormat="1">
      <c r="A22317" s="83"/>
      <c r="H22317" s="83"/>
      <c r="K22317" s="82"/>
      <c r="M22317" s="112"/>
      <c r="N22317" s="84"/>
    </row>
    <row r="22318" spans="1:14" s="2" customFormat="1">
      <c r="A22318" s="83"/>
      <c r="H22318" s="83"/>
      <c r="K22318" s="82"/>
      <c r="M22318" s="112"/>
      <c r="N22318" s="84"/>
    </row>
    <row r="22319" spans="1:14" s="2" customFormat="1">
      <c r="A22319" s="83"/>
      <c r="H22319" s="83"/>
      <c r="K22319" s="82"/>
      <c r="M22319" s="112"/>
      <c r="N22319" s="84"/>
    </row>
    <row r="22320" spans="1:14" s="2" customFormat="1">
      <c r="A22320" s="83"/>
      <c r="H22320" s="83"/>
      <c r="K22320" s="82"/>
      <c r="M22320" s="112"/>
      <c r="N22320" s="84"/>
    </row>
    <row r="22321" spans="1:14" s="2" customFormat="1">
      <c r="A22321" s="83"/>
      <c r="H22321" s="83"/>
      <c r="K22321" s="82"/>
      <c r="M22321" s="112"/>
      <c r="N22321" s="84"/>
    </row>
    <row r="22322" spans="1:14" s="2" customFormat="1">
      <c r="A22322" s="83"/>
      <c r="H22322" s="83"/>
      <c r="K22322" s="82"/>
      <c r="M22322" s="112"/>
      <c r="N22322" s="84"/>
    </row>
    <row r="22323" spans="1:14" s="2" customFormat="1">
      <c r="A22323" s="83"/>
      <c r="H22323" s="83"/>
      <c r="K22323" s="82"/>
      <c r="M22323" s="112"/>
      <c r="N22323" s="84"/>
    </row>
    <row r="22324" spans="1:14" s="2" customFormat="1">
      <c r="A22324" s="83"/>
      <c r="H22324" s="83"/>
      <c r="K22324" s="82"/>
      <c r="M22324" s="112"/>
      <c r="N22324" s="84"/>
    </row>
    <row r="22325" spans="1:14" s="2" customFormat="1">
      <c r="A22325" s="83"/>
      <c r="H22325" s="83"/>
      <c r="K22325" s="82"/>
      <c r="M22325" s="112"/>
      <c r="N22325" s="84"/>
    </row>
    <row r="22326" spans="1:14" s="2" customFormat="1">
      <c r="A22326" s="83"/>
      <c r="H22326" s="83"/>
      <c r="K22326" s="82"/>
      <c r="M22326" s="112"/>
      <c r="N22326" s="84"/>
    </row>
    <row r="22327" spans="1:14" s="2" customFormat="1">
      <c r="A22327" s="83"/>
      <c r="H22327" s="83"/>
      <c r="K22327" s="82"/>
      <c r="M22327" s="112"/>
      <c r="N22327" s="84"/>
    </row>
    <row r="22328" spans="1:14" s="2" customFormat="1">
      <c r="A22328" s="83"/>
      <c r="H22328" s="83"/>
      <c r="K22328" s="82"/>
      <c r="M22328" s="112"/>
      <c r="N22328" s="84"/>
    </row>
    <row r="22329" spans="1:14" s="2" customFormat="1">
      <c r="A22329" s="83"/>
      <c r="H22329" s="83"/>
      <c r="K22329" s="82"/>
      <c r="M22329" s="112"/>
      <c r="N22329" s="84"/>
    </row>
    <row r="22330" spans="1:14" s="2" customFormat="1">
      <c r="A22330" s="83"/>
      <c r="H22330" s="83"/>
      <c r="K22330" s="82"/>
      <c r="M22330" s="112"/>
      <c r="N22330" s="84"/>
    </row>
    <row r="22331" spans="1:14" s="2" customFormat="1">
      <c r="A22331" s="83"/>
      <c r="H22331" s="83"/>
      <c r="K22331" s="82"/>
      <c r="M22331" s="112"/>
      <c r="N22331" s="84"/>
    </row>
    <row r="22332" spans="1:14" s="2" customFormat="1">
      <c r="A22332" s="83"/>
      <c r="H22332" s="83"/>
      <c r="K22332" s="82"/>
      <c r="M22332" s="112"/>
      <c r="N22332" s="84"/>
    </row>
    <row r="22333" spans="1:14" s="2" customFormat="1">
      <c r="A22333" s="83"/>
      <c r="H22333" s="83"/>
      <c r="K22333" s="82"/>
      <c r="M22333" s="112"/>
      <c r="N22333" s="84"/>
    </row>
    <row r="22334" spans="1:14" s="2" customFormat="1">
      <c r="A22334" s="83"/>
      <c r="H22334" s="83"/>
      <c r="K22334" s="82"/>
      <c r="M22334" s="112"/>
      <c r="N22334" s="84"/>
    </row>
    <row r="22335" spans="1:14" s="2" customFormat="1">
      <c r="A22335" s="83"/>
      <c r="H22335" s="83"/>
      <c r="K22335" s="82"/>
      <c r="M22335" s="112"/>
      <c r="N22335" s="84"/>
    </row>
    <row r="22336" spans="1:14" s="2" customFormat="1">
      <c r="A22336" s="83"/>
      <c r="H22336" s="83"/>
      <c r="K22336" s="82"/>
      <c r="M22336" s="112"/>
      <c r="N22336" s="84"/>
    </row>
    <row r="22337" spans="1:14" s="2" customFormat="1">
      <c r="A22337" s="83"/>
      <c r="H22337" s="83"/>
      <c r="K22337" s="82"/>
      <c r="M22337" s="112"/>
      <c r="N22337" s="84"/>
    </row>
    <row r="22338" spans="1:14" s="2" customFormat="1">
      <c r="A22338" s="83"/>
      <c r="H22338" s="83"/>
      <c r="K22338" s="82"/>
      <c r="M22338" s="112"/>
      <c r="N22338" s="84"/>
    </row>
    <row r="22339" spans="1:14" s="2" customFormat="1">
      <c r="A22339" s="83"/>
      <c r="H22339" s="83"/>
      <c r="K22339" s="82"/>
      <c r="M22339" s="112"/>
      <c r="N22339" s="84"/>
    </row>
    <row r="22340" spans="1:14" s="2" customFormat="1">
      <c r="A22340" s="83"/>
      <c r="H22340" s="83"/>
      <c r="K22340" s="82"/>
      <c r="M22340" s="112"/>
      <c r="N22340" s="84"/>
    </row>
    <row r="22341" spans="1:14" s="2" customFormat="1">
      <c r="A22341" s="83"/>
      <c r="H22341" s="83"/>
      <c r="K22341" s="82"/>
      <c r="M22341" s="112"/>
      <c r="N22341" s="84"/>
    </row>
    <row r="22342" spans="1:14" s="2" customFormat="1">
      <c r="A22342" s="83"/>
      <c r="H22342" s="83"/>
      <c r="K22342" s="82"/>
      <c r="M22342" s="112"/>
      <c r="N22342" s="84"/>
    </row>
    <row r="22343" spans="1:14" s="2" customFormat="1">
      <c r="A22343" s="83"/>
      <c r="H22343" s="83"/>
      <c r="K22343" s="82"/>
      <c r="M22343" s="112"/>
      <c r="N22343" s="84"/>
    </row>
    <row r="22344" spans="1:14" s="2" customFormat="1">
      <c r="A22344" s="83"/>
      <c r="H22344" s="83"/>
      <c r="K22344" s="82"/>
      <c r="M22344" s="112"/>
      <c r="N22344" s="84"/>
    </row>
    <row r="22345" spans="1:14" s="2" customFormat="1">
      <c r="A22345" s="83"/>
      <c r="H22345" s="83"/>
      <c r="K22345" s="82"/>
      <c r="M22345" s="112"/>
      <c r="N22345" s="84"/>
    </row>
    <row r="22346" spans="1:14" s="2" customFormat="1">
      <c r="A22346" s="83"/>
      <c r="H22346" s="83"/>
      <c r="K22346" s="82"/>
      <c r="M22346" s="112"/>
      <c r="N22346" s="84"/>
    </row>
    <row r="22347" spans="1:14" s="2" customFormat="1">
      <c r="A22347" s="83"/>
      <c r="H22347" s="83"/>
      <c r="K22347" s="82"/>
      <c r="M22347" s="112"/>
      <c r="N22347" s="84"/>
    </row>
    <row r="22348" spans="1:14" s="2" customFormat="1">
      <c r="A22348" s="83"/>
      <c r="H22348" s="83"/>
      <c r="K22348" s="82"/>
      <c r="M22348" s="112"/>
      <c r="N22348" s="84"/>
    </row>
    <row r="22349" spans="1:14" s="2" customFormat="1">
      <c r="A22349" s="83"/>
      <c r="H22349" s="83"/>
      <c r="K22349" s="82"/>
      <c r="M22349" s="112"/>
      <c r="N22349" s="84"/>
    </row>
    <row r="22350" spans="1:14" s="2" customFormat="1">
      <c r="A22350" s="83"/>
      <c r="H22350" s="83"/>
      <c r="K22350" s="82"/>
      <c r="M22350" s="112"/>
      <c r="N22350" s="84"/>
    </row>
    <row r="22351" spans="1:14" s="2" customFormat="1">
      <c r="A22351" s="83"/>
      <c r="H22351" s="83"/>
      <c r="K22351" s="82"/>
      <c r="M22351" s="112"/>
      <c r="N22351" s="84"/>
    </row>
    <row r="22352" spans="1:14" s="2" customFormat="1">
      <c r="A22352" s="83"/>
      <c r="H22352" s="83"/>
      <c r="K22352" s="82"/>
      <c r="M22352" s="112"/>
      <c r="N22352" s="84"/>
    </row>
    <row r="22353" spans="1:14" s="2" customFormat="1">
      <c r="A22353" s="83"/>
      <c r="H22353" s="83"/>
      <c r="K22353" s="82"/>
      <c r="M22353" s="112"/>
      <c r="N22353" s="84"/>
    </row>
    <row r="22354" spans="1:14" s="2" customFormat="1">
      <c r="A22354" s="83"/>
      <c r="H22354" s="83"/>
      <c r="K22354" s="82"/>
      <c r="M22354" s="112"/>
      <c r="N22354" s="84"/>
    </row>
    <row r="22355" spans="1:14" s="2" customFormat="1">
      <c r="A22355" s="83"/>
      <c r="H22355" s="83"/>
      <c r="K22355" s="82"/>
      <c r="M22355" s="112"/>
      <c r="N22355" s="84"/>
    </row>
    <row r="22356" spans="1:14" s="2" customFormat="1">
      <c r="A22356" s="83"/>
      <c r="H22356" s="83"/>
      <c r="K22356" s="82"/>
      <c r="M22356" s="112"/>
      <c r="N22356" s="84"/>
    </row>
    <row r="22357" spans="1:14" s="2" customFormat="1">
      <c r="A22357" s="83"/>
      <c r="H22357" s="83"/>
      <c r="K22357" s="82"/>
      <c r="M22357" s="112"/>
      <c r="N22357" s="84"/>
    </row>
    <row r="22358" spans="1:14" s="2" customFormat="1">
      <c r="A22358" s="83"/>
      <c r="H22358" s="83"/>
      <c r="K22358" s="82"/>
      <c r="M22358" s="112"/>
      <c r="N22358" s="84"/>
    </row>
    <row r="22359" spans="1:14" s="2" customFormat="1">
      <c r="A22359" s="83"/>
      <c r="H22359" s="83"/>
      <c r="K22359" s="82"/>
      <c r="M22359" s="112"/>
      <c r="N22359" s="84"/>
    </row>
    <row r="22360" spans="1:14" s="2" customFormat="1">
      <c r="A22360" s="83"/>
      <c r="H22360" s="83"/>
      <c r="K22360" s="82"/>
      <c r="M22360" s="112"/>
      <c r="N22360" s="84"/>
    </row>
    <row r="22361" spans="1:14" s="2" customFormat="1">
      <c r="A22361" s="83"/>
      <c r="H22361" s="83"/>
      <c r="K22361" s="82"/>
      <c r="M22361" s="112"/>
      <c r="N22361" s="84"/>
    </row>
    <row r="22362" spans="1:14" s="2" customFormat="1">
      <c r="A22362" s="83"/>
      <c r="H22362" s="83"/>
      <c r="K22362" s="82"/>
      <c r="M22362" s="112"/>
      <c r="N22362" s="84"/>
    </row>
    <row r="22363" spans="1:14" s="2" customFormat="1">
      <c r="A22363" s="83"/>
      <c r="H22363" s="83"/>
      <c r="K22363" s="82"/>
      <c r="M22363" s="112"/>
      <c r="N22363" s="84"/>
    </row>
    <row r="22364" spans="1:14" s="2" customFormat="1">
      <c r="A22364" s="83"/>
      <c r="H22364" s="83"/>
      <c r="K22364" s="82"/>
      <c r="M22364" s="112"/>
      <c r="N22364" s="84"/>
    </row>
    <row r="22365" spans="1:14" s="2" customFormat="1">
      <c r="A22365" s="83"/>
      <c r="H22365" s="83"/>
      <c r="K22365" s="82"/>
      <c r="M22365" s="112"/>
      <c r="N22365" s="84"/>
    </row>
    <row r="22366" spans="1:14" s="2" customFormat="1">
      <c r="A22366" s="83"/>
      <c r="H22366" s="83"/>
      <c r="K22366" s="82"/>
      <c r="M22366" s="112"/>
      <c r="N22366" s="84"/>
    </row>
    <row r="22367" spans="1:14" s="2" customFormat="1">
      <c r="A22367" s="83"/>
      <c r="H22367" s="83"/>
      <c r="K22367" s="82"/>
      <c r="M22367" s="112"/>
      <c r="N22367" s="84"/>
    </row>
    <row r="22368" spans="1:14" s="2" customFormat="1">
      <c r="A22368" s="83"/>
      <c r="H22368" s="83"/>
      <c r="K22368" s="82"/>
      <c r="M22368" s="112"/>
      <c r="N22368" s="84"/>
    </row>
    <row r="22369" spans="1:14" s="2" customFormat="1">
      <c r="A22369" s="83"/>
      <c r="H22369" s="83"/>
      <c r="K22369" s="82"/>
      <c r="M22369" s="112"/>
      <c r="N22369" s="84"/>
    </row>
    <row r="22370" spans="1:14" s="2" customFormat="1">
      <c r="A22370" s="83"/>
      <c r="H22370" s="83"/>
      <c r="K22370" s="82"/>
      <c r="M22370" s="112"/>
      <c r="N22370" s="84"/>
    </row>
    <row r="22371" spans="1:14" s="2" customFormat="1">
      <c r="A22371" s="83"/>
      <c r="H22371" s="83"/>
      <c r="K22371" s="82"/>
      <c r="M22371" s="112"/>
      <c r="N22371" s="84"/>
    </row>
    <row r="22372" spans="1:14" s="2" customFormat="1">
      <c r="A22372" s="83"/>
      <c r="H22372" s="83"/>
      <c r="K22372" s="82"/>
      <c r="M22372" s="112"/>
      <c r="N22372" s="84"/>
    </row>
    <row r="22373" spans="1:14" s="2" customFormat="1">
      <c r="A22373" s="83"/>
      <c r="H22373" s="83"/>
      <c r="K22373" s="82"/>
      <c r="M22373" s="112"/>
      <c r="N22373" s="84"/>
    </row>
    <row r="22374" spans="1:14" s="2" customFormat="1">
      <c r="A22374" s="83"/>
      <c r="H22374" s="83"/>
      <c r="K22374" s="82"/>
      <c r="M22374" s="112"/>
      <c r="N22374" s="84"/>
    </row>
    <row r="22375" spans="1:14" s="2" customFormat="1">
      <c r="A22375" s="83"/>
      <c r="H22375" s="83"/>
      <c r="K22375" s="82"/>
      <c r="M22375" s="112"/>
      <c r="N22375" s="84"/>
    </row>
    <row r="22376" spans="1:14" s="2" customFormat="1">
      <c r="A22376" s="83"/>
      <c r="H22376" s="83"/>
      <c r="K22376" s="82"/>
      <c r="M22376" s="112"/>
      <c r="N22376" s="84"/>
    </row>
    <row r="22377" spans="1:14" s="2" customFormat="1">
      <c r="A22377" s="83"/>
      <c r="H22377" s="83"/>
      <c r="K22377" s="82"/>
      <c r="M22377" s="112"/>
      <c r="N22377" s="84"/>
    </row>
    <row r="22378" spans="1:14" s="2" customFormat="1">
      <c r="A22378" s="83"/>
      <c r="H22378" s="83"/>
      <c r="K22378" s="82"/>
      <c r="M22378" s="112"/>
      <c r="N22378" s="84"/>
    </row>
    <row r="22379" spans="1:14" s="2" customFormat="1">
      <c r="A22379" s="83"/>
      <c r="H22379" s="83"/>
      <c r="K22379" s="82"/>
      <c r="M22379" s="112"/>
      <c r="N22379" s="84"/>
    </row>
    <row r="22380" spans="1:14" s="2" customFormat="1">
      <c r="A22380" s="83"/>
      <c r="H22380" s="83"/>
      <c r="K22380" s="82"/>
      <c r="M22380" s="112"/>
      <c r="N22380" s="84"/>
    </row>
    <row r="22381" spans="1:14" s="2" customFormat="1">
      <c r="A22381" s="83"/>
      <c r="H22381" s="83"/>
      <c r="K22381" s="82"/>
      <c r="M22381" s="112"/>
      <c r="N22381" s="84"/>
    </row>
    <row r="22382" spans="1:14" s="2" customFormat="1">
      <c r="A22382" s="83"/>
      <c r="H22382" s="83"/>
      <c r="K22382" s="82"/>
      <c r="M22382" s="112"/>
      <c r="N22382" s="84"/>
    </row>
    <row r="22383" spans="1:14" s="2" customFormat="1">
      <c r="A22383" s="83"/>
      <c r="H22383" s="83"/>
      <c r="K22383" s="82"/>
      <c r="M22383" s="112"/>
      <c r="N22383" s="84"/>
    </row>
    <row r="22384" spans="1:14" s="2" customFormat="1">
      <c r="A22384" s="83"/>
      <c r="H22384" s="83"/>
      <c r="K22384" s="82"/>
      <c r="M22384" s="112"/>
      <c r="N22384" s="84"/>
    </row>
    <row r="22385" spans="1:14" s="2" customFormat="1">
      <c r="A22385" s="83"/>
      <c r="H22385" s="83"/>
      <c r="K22385" s="82"/>
      <c r="M22385" s="112"/>
      <c r="N22385" s="84"/>
    </row>
    <row r="22386" spans="1:14" s="2" customFormat="1">
      <c r="A22386" s="83"/>
      <c r="H22386" s="83"/>
      <c r="K22386" s="82"/>
      <c r="M22386" s="112"/>
      <c r="N22386" s="84"/>
    </row>
    <row r="22387" spans="1:14" s="2" customFormat="1">
      <c r="A22387" s="83"/>
      <c r="H22387" s="83"/>
      <c r="K22387" s="82"/>
      <c r="M22387" s="112"/>
      <c r="N22387" s="84"/>
    </row>
    <row r="22388" spans="1:14" s="2" customFormat="1">
      <c r="A22388" s="83"/>
      <c r="H22388" s="83"/>
      <c r="K22388" s="82"/>
      <c r="M22388" s="112"/>
      <c r="N22388" s="84"/>
    </row>
    <row r="22389" spans="1:14" s="2" customFormat="1">
      <c r="A22389" s="83"/>
      <c r="H22389" s="83"/>
      <c r="K22389" s="82"/>
      <c r="M22389" s="112"/>
      <c r="N22389" s="84"/>
    </row>
    <row r="22390" spans="1:14" s="2" customFormat="1">
      <c r="A22390" s="83"/>
      <c r="H22390" s="83"/>
      <c r="K22390" s="82"/>
      <c r="M22390" s="112"/>
      <c r="N22390" s="84"/>
    </row>
    <row r="22391" spans="1:14" s="2" customFormat="1">
      <c r="A22391" s="83"/>
      <c r="H22391" s="83"/>
      <c r="K22391" s="82"/>
      <c r="M22391" s="112"/>
      <c r="N22391" s="84"/>
    </row>
    <row r="22392" spans="1:14" s="2" customFormat="1">
      <c r="A22392" s="83"/>
      <c r="H22392" s="83"/>
      <c r="K22392" s="82"/>
      <c r="M22392" s="112"/>
      <c r="N22392" s="84"/>
    </row>
    <row r="22393" spans="1:14" s="2" customFormat="1">
      <c r="A22393" s="83"/>
      <c r="H22393" s="83"/>
      <c r="K22393" s="82"/>
      <c r="M22393" s="112"/>
      <c r="N22393" s="84"/>
    </row>
    <row r="22394" spans="1:14" s="2" customFormat="1">
      <c r="A22394" s="83"/>
      <c r="H22394" s="83"/>
      <c r="K22394" s="82"/>
      <c r="M22394" s="112"/>
      <c r="N22394" s="84"/>
    </row>
    <row r="22395" spans="1:14" s="2" customFormat="1">
      <c r="A22395" s="83"/>
      <c r="H22395" s="83"/>
      <c r="K22395" s="82"/>
      <c r="M22395" s="112"/>
      <c r="N22395" s="84"/>
    </row>
    <row r="22396" spans="1:14" s="2" customFormat="1">
      <c r="A22396" s="83"/>
      <c r="H22396" s="83"/>
      <c r="K22396" s="82"/>
      <c r="M22396" s="112"/>
      <c r="N22396" s="84"/>
    </row>
    <row r="22397" spans="1:14" s="2" customFormat="1">
      <c r="A22397" s="83"/>
      <c r="H22397" s="83"/>
      <c r="K22397" s="82"/>
      <c r="M22397" s="112"/>
      <c r="N22397" s="84"/>
    </row>
    <row r="22398" spans="1:14" s="2" customFormat="1">
      <c r="A22398" s="83"/>
      <c r="H22398" s="83"/>
      <c r="K22398" s="82"/>
      <c r="M22398" s="112"/>
      <c r="N22398" s="84"/>
    </row>
    <row r="22399" spans="1:14" s="2" customFormat="1">
      <c r="A22399" s="83"/>
      <c r="H22399" s="83"/>
      <c r="K22399" s="82"/>
      <c r="M22399" s="112"/>
      <c r="N22399" s="84"/>
    </row>
    <row r="22400" spans="1:14" s="2" customFormat="1">
      <c r="A22400" s="83"/>
      <c r="H22400" s="83"/>
      <c r="K22400" s="82"/>
      <c r="M22400" s="112"/>
      <c r="N22400" s="84"/>
    </row>
    <row r="22401" spans="1:14" s="2" customFormat="1">
      <c r="A22401" s="83"/>
      <c r="H22401" s="83"/>
      <c r="K22401" s="82"/>
      <c r="M22401" s="112"/>
      <c r="N22401" s="84"/>
    </row>
    <row r="22402" spans="1:14" s="2" customFormat="1">
      <c r="A22402" s="83"/>
      <c r="H22402" s="83"/>
      <c r="K22402" s="82"/>
      <c r="M22402" s="112"/>
      <c r="N22402" s="84"/>
    </row>
    <row r="22403" spans="1:14" s="2" customFormat="1">
      <c r="A22403" s="83"/>
      <c r="H22403" s="83"/>
      <c r="K22403" s="82"/>
      <c r="M22403" s="112"/>
      <c r="N22403" s="84"/>
    </row>
    <row r="22404" spans="1:14" s="2" customFormat="1">
      <c r="A22404" s="83"/>
      <c r="H22404" s="83"/>
      <c r="K22404" s="82"/>
      <c r="M22404" s="112"/>
      <c r="N22404" s="84"/>
    </row>
    <row r="22405" spans="1:14" s="2" customFormat="1">
      <c r="A22405" s="83"/>
      <c r="H22405" s="83"/>
      <c r="K22405" s="82"/>
      <c r="M22405" s="112"/>
      <c r="N22405" s="84"/>
    </row>
    <row r="22406" spans="1:14" s="2" customFormat="1">
      <c r="A22406" s="83"/>
      <c r="H22406" s="83"/>
      <c r="K22406" s="82"/>
      <c r="M22406" s="112"/>
      <c r="N22406" s="84"/>
    </row>
    <row r="22407" spans="1:14" s="2" customFormat="1">
      <c r="A22407" s="83"/>
      <c r="H22407" s="83"/>
      <c r="K22407" s="82"/>
      <c r="M22407" s="112"/>
      <c r="N22407" s="84"/>
    </row>
    <row r="22408" spans="1:14" s="2" customFormat="1">
      <c r="A22408" s="83"/>
      <c r="H22408" s="83"/>
      <c r="K22408" s="82"/>
      <c r="M22408" s="112"/>
      <c r="N22408" s="84"/>
    </row>
    <row r="22409" spans="1:14" s="2" customFormat="1">
      <c r="A22409" s="83"/>
      <c r="H22409" s="83"/>
      <c r="K22409" s="82"/>
      <c r="M22409" s="112"/>
      <c r="N22409" s="84"/>
    </row>
    <row r="22410" spans="1:14" s="2" customFormat="1">
      <c r="A22410" s="83"/>
      <c r="H22410" s="83"/>
      <c r="K22410" s="82"/>
      <c r="M22410" s="112"/>
      <c r="N22410" s="84"/>
    </row>
    <row r="22411" spans="1:14" s="2" customFormat="1">
      <c r="A22411" s="83"/>
      <c r="H22411" s="83"/>
      <c r="K22411" s="82"/>
      <c r="M22411" s="112"/>
      <c r="N22411" s="84"/>
    </row>
    <row r="22412" spans="1:14" s="2" customFormat="1">
      <c r="A22412" s="83"/>
      <c r="H22412" s="83"/>
      <c r="K22412" s="82"/>
      <c r="M22412" s="112"/>
      <c r="N22412" s="84"/>
    </row>
    <row r="22413" spans="1:14" s="2" customFormat="1">
      <c r="A22413" s="83"/>
      <c r="H22413" s="83"/>
      <c r="K22413" s="82"/>
      <c r="M22413" s="112"/>
      <c r="N22413" s="84"/>
    </row>
    <row r="22414" spans="1:14" s="2" customFormat="1">
      <c r="A22414" s="83"/>
      <c r="H22414" s="83"/>
      <c r="K22414" s="82"/>
      <c r="M22414" s="112"/>
      <c r="N22414" s="84"/>
    </row>
    <row r="22415" spans="1:14" s="2" customFormat="1">
      <c r="A22415" s="83"/>
      <c r="H22415" s="83"/>
      <c r="K22415" s="82"/>
      <c r="M22415" s="112"/>
      <c r="N22415" s="84"/>
    </row>
    <row r="22416" spans="1:14" s="2" customFormat="1">
      <c r="A22416" s="83"/>
      <c r="H22416" s="83"/>
      <c r="K22416" s="82"/>
      <c r="M22416" s="112"/>
      <c r="N22416" s="84"/>
    </row>
    <row r="22417" spans="1:14" s="2" customFormat="1">
      <c r="A22417" s="83"/>
      <c r="H22417" s="83"/>
      <c r="K22417" s="82"/>
      <c r="M22417" s="112"/>
      <c r="N22417" s="84"/>
    </row>
    <row r="22418" spans="1:14" s="2" customFormat="1">
      <c r="A22418" s="83"/>
      <c r="H22418" s="83"/>
      <c r="K22418" s="82"/>
      <c r="M22418" s="112"/>
      <c r="N22418" s="84"/>
    </row>
    <row r="22419" spans="1:14" s="2" customFormat="1">
      <c r="A22419" s="83"/>
      <c r="H22419" s="83"/>
      <c r="K22419" s="82"/>
      <c r="M22419" s="112"/>
      <c r="N22419" s="84"/>
    </row>
    <row r="22420" spans="1:14" s="2" customFormat="1">
      <c r="A22420" s="83"/>
      <c r="H22420" s="83"/>
      <c r="K22420" s="82"/>
      <c r="M22420" s="112"/>
      <c r="N22420" s="84"/>
    </row>
    <row r="22421" spans="1:14" s="2" customFormat="1">
      <c r="A22421" s="83"/>
      <c r="H22421" s="83"/>
      <c r="K22421" s="82"/>
      <c r="M22421" s="112"/>
      <c r="N22421" s="84"/>
    </row>
    <row r="22422" spans="1:14" s="2" customFormat="1">
      <c r="A22422" s="83"/>
      <c r="H22422" s="83"/>
      <c r="K22422" s="82"/>
      <c r="M22422" s="112"/>
      <c r="N22422" s="84"/>
    </row>
    <row r="22423" spans="1:14" s="2" customFormat="1">
      <c r="A22423" s="83"/>
      <c r="H22423" s="83"/>
      <c r="K22423" s="82"/>
      <c r="M22423" s="112"/>
      <c r="N22423" s="84"/>
    </row>
    <row r="22424" spans="1:14" s="2" customFormat="1">
      <c r="A22424" s="83"/>
      <c r="H22424" s="83"/>
      <c r="K22424" s="82"/>
      <c r="M22424" s="112"/>
      <c r="N22424" s="84"/>
    </row>
    <row r="22425" spans="1:14" s="2" customFormat="1">
      <c r="A22425" s="83"/>
      <c r="H22425" s="83"/>
      <c r="K22425" s="82"/>
      <c r="M22425" s="112"/>
      <c r="N22425" s="84"/>
    </row>
    <row r="22426" spans="1:14" s="2" customFormat="1">
      <c r="A22426" s="83"/>
      <c r="H22426" s="83"/>
      <c r="K22426" s="82"/>
      <c r="M22426" s="112"/>
      <c r="N22426" s="84"/>
    </row>
    <row r="22427" spans="1:14" s="2" customFormat="1">
      <c r="A22427" s="83"/>
      <c r="H22427" s="83"/>
      <c r="K22427" s="82"/>
      <c r="M22427" s="112"/>
      <c r="N22427" s="84"/>
    </row>
    <row r="22428" spans="1:14" s="2" customFormat="1">
      <c r="A22428" s="83"/>
      <c r="H22428" s="83"/>
      <c r="K22428" s="82"/>
      <c r="M22428" s="112"/>
      <c r="N22428" s="84"/>
    </row>
    <row r="22429" spans="1:14" s="2" customFormat="1">
      <c r="A22429" s="83"/>
      <c r="H22429" s="83"/>
      <c r="K22429" s="82"/>
      <c r="M22429" s="112"/>
      <c r="N22429" s="84"/>
    </row>
    <row r="22430" spans="1:14" s="2" customFormat="1">
      <c r="A22430" s="83"/>
      <c r="H22430" s="83"/>
      <c r="K22430" s="82"/>
      <c r="M22430" s="112"/>
      <c r="N22430" s="84"/>
    </row>
    <row r="22431" spans="1:14" s="2" customFormat="1">
      <c r="A22431" s="83"/>
      <c r="H22431" s="83"/>
      <c r="K22431" s="82"/>
      <c r="M22431" s="112"/>
      <c r="N22431" s="84"/>
    </row>
    <row r="22432" spans="1:14" s="2" customFormat="1">
      <c r="A22432" s="83"/>
      <c r="H22432" s="83"/>
      <c r="K22432" s="82"/>
      <c r="M22432" s="112"/>
      <c r="N22432" s="84"/>
    </row>
    <row r="22433" spans="1:14" s="2" customFormat="1">
      <c r="A22433" s="83"/>
      <c r="H22433" s="83"/>
      <c r="K22433" s="82"/>
      <c r="M22433" s="112"/>
      <c r="N22433" s="84"/>
    </row>
    <row r="22434" spans="1:14" s="2" customFormat="1">
      <c r="A22434" s="83"/>
      <c r="H22434" s="83"/>
      <c r="K22434" s="82"/>
      <c r="M22434" s="112"/>
      <c r="N22434" s="84"/>
    </row>
    <row r="22435" spans="1:14" s="2" customFormat="1">
      <c r="A22435" s="83"/>
      <c r="H22435" s="83"/>
      <c r="K22435" s="82"/>
      <c r="M22435" s="112"/>
      <c r="N22435" s="84"/>
    </row>
    <row r="22436" spans="1:14" s="2" customFormat="1">
      <c r="A22436" s="83"/>
      <c r="H22436" s="83"/>
      <c r="K22436" s="82"/>
      <c r="M22436" s="112"/>
      <c r="N22436" s="84"/>
    </row>
    <row r="22437" spans="1:14" s="2" customFormat="1">
      <c r="A22437" s="83"/>
      <c r="H22437" s="83"/>
      <c r="K22437" s="82"/>
      <c r="M22437" s="112"/>
      <c r="N22437" s="84"/>
    </row>
    <row r="22438" spans="1:14" s="2" customFormat="1">
      <c r="A22438" s="83"/>
      <c r="H22438" s="83"/>
      <c r="K22438" s="82"/>
      <c r="M22438" s="112"/>
      <c r="N22438" s="84"/>
    </row>
    <row r="22439" spans="1:14" s="2" customFormat="1">
      <c r="A22439" s="83"/>
      <c r="H22439" s="83"/>
      <c r="K22439" s="82"/>
      <c r="M22439" s="112"/>
      <c r="N22439" s="84"/>
    </row>
    <row r="22440" spans="1:14" s="2" customFormat="1">
      <c r="A22440" s="83"/>
      <c r="H22440" s="83"/>
      <c r="K22440" s="82"/>
      <c r="M22440" s="112"/>
      <c r="N22440" s="84"/>
    </row>
    <row r="22441" spans="1:14" s="2" customFormat="1">
      <c r="A22441" s="83"/>
      <c r="H22441" s="83"/>
      <c r="K22441" s="82"/>
      <c r="M22441" s="112"/>
      <c r="N22441" s="84"/>
    </row>
    <row r="22442" spans="1:14" s="2" customFormat="1">
      <c r="A22442" s="83"/>
      <c r="H22442" s="83"/>
      <c r="K22442" s="82"/>
      <c r="M22442" s="112"/>
      <c r="N22442" s="84"/>
    </row>
    <row r="22443" spans="1:14" s="2" customFormat="1">
      <c r="A22443" s="83"/>
      <c r="H22443" s="83"/>
      <c r="K22443" s="82"/>
      <c r="M22443" s="112"/>
      <c r="N22443" s="84"/>
    </row>
    <row r="22444" spans="1:14" s="2" customFormat="1">
      <c r="A22444" s="83"/>
      <c r="H22444" s="83"/>
      <c r="K22444" s="82"/>
      <c r="M22444" s="112"/>
      <c r="N22444" s="84"/>
    </row>
    <row r="22445" spans="1:14" s="2" customFormat="1">
      <c r="A22445" s="83"/>
      <c r="H22445" s="83"/>
      <c r="K22445" s="82"/>
      <c r="M22445" s="112"/>
      <c r="N22445" s="84"/>
    </row>
    <row r="22446" spans="1:14" s="2" customFormat="1">
      <c r="A22446" s="83"/>
      <c r="H22446" s="83"/>
      <c r="K22446" s="82"/>
      <c r="M22446" s="112"/>
      <c r="N22446" s="84"/>
    </row>
    <row r="22447" spans="1:14" s="2" customFormat="1">
      <c r="A22447" s="83"/>
      <c r="H22447" s="83"/>
      <c r="K22447" s="82"/>
      <c r="M22447" s="112"/>
      <c r="N22447" s="84"/>
    </row>
    <row r="22448" spans="1:14" s="2" customFormat="1">
      <c r="A22448" s="83"/>
      <c r="H22448" s="83"/>
      <c r="K22448" s="82"/>
      <c r="M22448" s="112"/>
      <c r="N22448" s="84"/>
    </row>
    <row r="22449" spans="1:14" s="2" customFormat="1">
      <c r="A22449" s="83"/>
      <c r="H22449" s="83"/>
      <c r="K22449" s="82"/>
      <c r="M22449" s="112"/>
      <c r="N22449" s="84"/>
    </row>
    <row r="22450" spans="1:14" s="2" customFormat="1">
      <c r="A22450" s="83"/>
      <c r="H22450" s="83"/>
      <c r="K22450" s="82"/>
      <c r="M22450" s="112"/>
      <c r="N22450" s="84"/>
    </row>
    <row r="22451" spans="1:14" s="2" customFormat="1">
      <c r="A22451" s="83"/>
      <c r="H22451" s="83"/>
      <c r="K22451" s="82"/>
      <c r="M22451" s="112"/>
      <c r="N22451" s="84"/>
    </row>
    <row r="22452" spans="1:14" s="2" customFormat="1">
      <c r="A22452" s="83"/>
      <c r="H22452" s="83"/>
      <c r="K22452" s="82"/>
      <c r="M22452" s="112"/>
      <c r="N22452" s="84"/>
    </row>
    <row r="22453" spans="1:14" s="2" customFormat="1">
      <c r="A22453" s="83"/>
      <c r="H22453" s="83"/>
      <c r="K22453" s="82"/>
      <c r="M22453" s="112"/>
      <c r="N22453" s="84"/>
    </row>
    <row r="22454" spans="1:14" s="2" customFormat="1">
      <c r="A22454" s="83"/>
      <c r="H22454" s="83"/>
      <c r="K22454" s="82"/>
      <c r="M22454" s="112"/>
      <c r="N22454" s="84"/>
    </row>
    <row r="22455" spans="1:14" s="2" customFormat="1">
      <c r="A22455" s="83"/>
      <c r="H22455" s="83"/>
      <c r="K22455" s="82"/>
      <c r="M22455" s="112"/>
      <c r="N22455" s="84"/>
    </row>
    <row r="22456" spans="1:14" s="2" customFormat="1">
      <c r="A22456" s="83"/>
      <c r="H22456" s="83"/>
      <c r="K22456" s="82"/>
      <c r="M22456" s="112"/>
      <c r="N22456" s="84"/>
    </row>
    <row r="22457" spans="1:14" s="2" customFormat="1">
      <c r="A22457" s="83"/>
      <c r="H22457" s="83"/>
      <c r="K22457" s="82"/>
      <c r="M22457" s="112"/>
      <c r="N22457" s="84"/>
    </row>
    <row r="22458" spans="1:14" s="2" customFormat="1">
      <c r="A22458" s="83"/>
      <c r="H22458" s="83"/>
      <c r="K22458" s="82"/>
      <c r="M22458" s="112"/>
      <c r="N22458" s="84"/>
    </row>
    <row r="22459" spans="1:14" s="2" customFormat="1">
      <c r="A22459" s="83"/>
      <c r="H22459" s="83"/>
      <c r="K22459" s="82"/>
      <c r="M22459" s="112"/>
      <c r="N22459" s="84"/>
    </row>
    <row r="22460" spans="1:14" s="2" customFormat="1">
      <c r="A22460" s="83"/>
      <c r="H22460" s="83"/>
      <c r="K22460" s="82"/>
      <c r="M22460" s="112"/>
      <c r="N22460" s="84"/>
    </row>
    <row r="22461" spans="1:14" s="2" customFormat="1">
      <c r="A22461" s="83"/>
      <c r="H22461" s="83"/>
      <c r="K22461" s="82"/>
      <c r="M22461" s="112"/>
      <c r="N22461" s="84"/>
    </row>
    <row r="22462" spans="1:14" s="2" customFormat="1">
      <c r="A22462" s="83"/>
      <c r="H22462" s="83"/>
      <c r="K22462" s="82"/>
      <c r="M22462" s="112"/>
      <c r="N22462" s="84"/>
    </row>
    <row r="22463" spans="1:14" s="2" customFormat="1">
      <c r="A22463" s="83"/>
      <c r="H22463" s="83"/>
      <c r="K22463" s="82"/>
      <c r="M22463" s="112"/>
      <c r="N22463" s="84"/>
    </row>
    <row r="22464" spans="1:14" s="2" customFormat="1">
      <c r="A22464" s="83"/>
      <c r="H22464" s="83"/>
      <c r="K22464" s="82"/>
      <c r="M22464" s="112"/>
      <c r="N22464" s="84"/>
    </row>
    <row r="22465" spans="1:14" s="2" customFormat="1">
      <c r="A22465" s="83"/>
      <c r="H22465" s="83"/>
      <c r="K22465" s="82"/>
      <c r="M22465" s="112"/>
      <c r="N22465" s="84"/>
    </row>
    <row r="22466" spans="1:14" s="2" customFormat="1">
      <c r="A22466" s="83"/>
      <c r="H22466" s="83"/>
      <c r="K22466" s="82"/>
      <c r="M22466" s="112"/>
      <c r="N22466" s="84"/>
    </row>
    <row r="22467" spans="1:14" s="2" customFormat="1">
      <c r="A22467" s="83"/>
      <c r="H22467" s="83"/>
      <c r="K22467" s="82"/>
      <c r="M22467" s="112"/>
      <c r="N22467" s="84"/>
    </row>
    <row r="22468" spans="1:14" s="2" customFormat="1">
      <c r="A22468" s="83"/>
      <c r="H22468" s="83"/>
      <c r="K22468" s="82"/>
      <c r="M22468" s="112"/>
      <c r="N22468" s="84"/>
    </row>
    <row r="22469" spans="1:14" s="2" customFormat="1">
      <c r="A22469" s="83"/>
      <c r="H22469" s="83"/>
      <c r="K22469" s="82"/>
      <c r="M22469" s="112"/>
      <c r="N22469" s="84"/>
    </row>
    <row r="22470" spans="1:14" s="2" customFormat="1">
      <c r="A22470" s="83"/>
      <c r="H22470" s="83"/>
      <c r="K22470" s="82"/>
      <c r="M22470" s="112"/>
      <c r="N22470" s="84"/>
    </row>
    <row r="22471" spans="1:14" s="2" customFormat="1">
      <c r="A22471" s="83"/>
      <c r="H22471" s="83"/>
      <c r="K22471" s="82"/>
      <c r="M22471" s="112"/>
      <c r="N22471" s="84"/>
    </row>
    <row r="22472" spans="1:14" s="2" customFormat="1">
      <c r="A22472" s="83"/>
      <c r="H22472" s="83"/>
      <c r="K22472" s="82"/>
      <c r="M22472" s="112"/>
      <c r="N22472" s="84"/>
    </row>
    <row r="22473" spans="1:14" s="2" customFormat="1">
      <c r="A22473" s="83"/>
      <c r="H22473" s="83"/>
      <c r="K22473" s="82"/>
      <c r="M22473" s="112"/>
      <c r="N22473" s="84"/>
    </row>
    <row r="22474" spans="1:14" s="2" customFormat="1">
      <c r="A22474" s="83"/>
      <c r="H22474" s="83"/>
      <c r="K22474" s="82"/>
      <c r="M22474" s="112"/>
      <c r="N22474" s="84"/>
    </row>
    <row r="22475" spans="1:14" s="2" customFormat="1">
      <c r="A22475" s="83"/>
      <c r="H22475" s="83"/>
      <c r="K22475" s="82"/>
      <c r="M22475" s="112"/>
      <c r="N22475" s="84"/>
    </row>
    <row r="22476" spans="1:14" s="2" customFormat="1">
      <c r="A22476" s="83"/>
      <c r="H22476" s="83"/>
      <c r="K22476" s="82"/>
      <c r="M22476" s="112"/>
      <c r="N22476" s="84"/>
    </row>
    <row r="22477" spans="1:14" s="2" customFormat="1">
      <c r="A22477" s="83"/>
      <c r="H22477" s="83"/>
      <c r="K22477" s="82"/>
      <c r="M22477" s="112"/>
      <c r="N22477" s="84"/>
    </row>
    <row r="22478" spans="1:14" s="2" customFormat="1">
      <c r="A22478" s="83"/>
      <c r="H22478" s="83"/>
      <c r="K22478" s="82"/>
      <c r="M22478" s="112"/>
      <c r="N22478" s="84"/>
    </row>
    <row r="22479" spans="1:14" s="2" customFormat="1">
      <c r="A22479" s="83"/>
      <c r="H22479" s="83"/>
      <c r="K22479" s="82"/>
      <c r="M22479" s="112"/>
      <c r="N22479" s="84"/>
    </row>
    <row r="22480" spans="1:14" s="2" customFormat="1">
      <c r="A22480" s="83"/>
      <c r="H22480" s="83"/>
      <c r="K22480" s="82"/>
      <c r="M22480" s="112"/>
      <c r="N22480" s="84"/>
    </row>
    <row r="22481" spans="1:14" s="2" customFormat="1">
      <c r="A22481" s="83"/>
      <c r="H22481" s="83"/>
      <c r="K22481" s="82"/>
      <c r="M22481" s="112"/>
      <c r="N22481" s="84"/>
    </row>
    <row r="22482" spans="1:14" s="2" customFormat="1">
      <c r="A22482" s="83"/>
      <c r="H22482" s="83"/>
      <c r="K22482" s="82"/>
      <c r="M22482" s="112"/>
      <c r="N22482" s="84"/>
    </row>
    <row r="22483" spans="1:14" s="2" customFormat="1">
      <c r="A22483" s="83"/>
      <c r="H22483" s="83"/>
      <c r="K22483" s="82"/>
      <c r="M22483" s="112"/>
      <c r="N22483" s="84"/>
    </row>
    <row r="22484" spans="1:14" s="2" customFormat="1">
      <c r="A22484" s="83"/>
      <c r="H22484" s="83"/>
      <c r="K22484" s="82"/>
      <c r="M22484" s="112"/>
      <c r="N22484" s="84"/>
    </row>
    <row r="22485" spans="1:14" s="2" customFormat="1">
      <c r="A22485" s="83"/>
      <c r="H22485" s="83"/>
      <c r="K22485" s="82"/>
      <c r="M22485" s="112"/>
      <c r="N22485" s="84"/>
    </row>
    <row r="22486" spans="1:14" s="2" customFormat="1">
      <c r="A22486" s="83"/>
      <c r="H22486" s="83"/>
      <c r="K22486" s="82"/>
      <c r="M22486" s="112"/>
      <c r="N22486" s="84"/>
    </row>
    <row r="22487" spans="1:14" s="2" customFormat="1">
      <c r="A22487" s="83"/>
      <c r="H22487" s="83"/>
      <c r="K22487" s="82"/>
      <c r="M22487" s="112"/>
      <c r="N22487" s="84"/>
    </row>
    <row r="22488" spans="1:14" s="2" customFormat="1">
      <c r="A22488" s="83"/>
      <c r="H22488" s="83"/>
      <c r="K22488" s="82"/>
      <c r="M22488" s="112"/>
      <c r="N22488" s="84"/>
    </row>
    <row r="22489" spans="1:14" s="2" customFormat="1">
      <c r="A22489" s="83"/>
      <c r="H22489" s="83"/>
      <c r="K22489" s="82"/>
      <c r="M22489" s="112"/>
      <c r="N22489" s="84"/>
    </row>
    <row r="22490" spans="1:14" s="2" customFormat="1">
      <c r="A22490" s="83"/>
      <c r="H22490" s="83"/>
      <c r="K22490" s="82"/>
      <c r="M22490" s="112"/>
      <c r="N22490" s="84"/>
    </row>
    <row r="22491" spans="1:14" s="2" customFormat="1">
      <c r="A22491" s="83"/>
      <c r="H22491" s="83"/>
      <c r="K22491" s="82"/>
      <c r="M22491" s="112"/>
      <c r="N22491" s="84"/>
    </row>
    <row r="22492" spans="1:14" s="2" customFormat="1">
      <c r="A22492" s="83"/>
      <c r="H22492" s="83"/>
      <c r="K22492" s="82"/>
      <c r="M22492" s="112"/>
      <c r="N22492" s="84"/>
    </row>
    <row r="22493" spans="1:14" s="2" customFormat="1">
      <c r="A22493" s="83"/>
      <c r="H22493" s="83"/>
      <c r="K22493" s="82"/>
      <c r="M22493" s="112"/>
      <c r="N22493" s="84"/>
    </row>
    <row r="22494" spans="1:14" s="2" customFormat="1">
      <c r="A22494" s="83"/>
      <c r="H22494" s="83"/>
      <c r="K22494" s="82"/>
      <c r="M22494" s="112"/>
      <c r="N22494" s="84"/>
    </row>
    <row r="22495" spans="1:14" s="2" customFormat="1">
      <c r="A22495" s="83"/>
      <c r="H22495" s="83"/>
      <c r="K22495" s="82"/>
      <c r="M22495" s="112"/>
      <c r="N22495" s="84"/>
    </row>
    <row r="22496" spans="1:14" s="2" customFormat="1">
      <c r="A22496" s="83"/>
      <c r="H22496" s="83"/>
      <c r="K22496" s="82"/>
      <c r="M22496" s="112"/>
      <c r="N22496" s="84"/>
    </row>
    <row r="22497" spans="1:14" s="2" customFormat="1">
      <c r="A22497" s="83"/>
      <c r="H22497" s="83"/>
      <c r="K22497" s="82"/>
      <c r="M22497" s="112"/>
      <c r="N22497" s="84"/>
    </row>
    <row r="22498" spans="1:14" s="2" customFormat="1">
      <c r="A22498" s="83"/>
      <c r="H22498" s="83"/>
      <c r="K22498" s="82"/>
      <c r="M22498" s="112"/>
      <c r="N22498" s="84"/>
    </row>
    <row r="22499" spans="1:14" s="2" customFormat="1">
      <c r="A22499" s="83"/>
      <c r="H22499" s="83"/>
      <c r="K22499" s="82"/>
      <c r="M22499" s="112"/>
      <c r="N22499" s="84"/>
    </row>
    <row r="22500" spans="1:14" s="2" customFormat="1">
      <c r="A22500" s="83"/>
      <c r="H22500" s="83"/>
      <c r="K22500" s="82"/>
      <c r="M22500" s="112"/>
      <c r="N22500" s="84"/>
    </row>
    <row r="22501" spans="1:14" s="2" customFormat="1">
      <c r="A22501" s="83"/>
      <c r="H22501" s="83"/>
      <c r="K22501" s="82"/>
      <c r="M22501" s="112"/>
      <c r="N22501" s="84"/>
    </row>
    <row r="22502" spans="1:14" s="2" customFormat="1">
      <c r="A22502" s="83"/>
      <c r="H22502" s="83"/>
      <c r="K22502" s="82"/>
      <c r="M22502" s="112"/>
      <c r="N22502" s="84"/>
    </row>
    <row r="22503" spans="1:14" s="2" customFormat="1">
      <c r="A22503" s="83"/>
      <c r="H22503" s="83"/>
      <c r="K22503" s="82"/>
      <c r="M22503" s="112"/>
      <c r="N22503" s="84"/>
    </row>
    <row r="22504" spans="1:14" s="2" customFormat="1">
      <c r="A22504" s="83"/>
      <c r="H22504" s="83"/>
      <c r="K22504" s="82"/>
      <c r="M22504" s="112"/>
      <c r="N22504" s="84"/>
    </row>
    <row r="22505" spans="1:14" s="2" customFormat="1">
      <c r="A22505" s="83"/>
      <c r="H22505" s="83"/>
      <c r="K22505" s="82"/>
      <c r="M22505" s="112"/>
      <c r="N22505" s="84"/>
    </row>
    <row r="22506" spans="1:14" s="2" customFormat="1">
      <c r="A22506" s="83"/>
      <c r="H22506" s="83"/>
      <c r="K22506" s="82"/>
      <c r="M22506" s="112"/>
      <c r="N22506" s="84"/>
    </row>
    <row r="22507" spans="1:14" s="2" customFormat="1">
      <c r="A22507" s="83"/>
      <c r="H22507" s="83"/>
      <c r="K22507" s="82"/>
      <c r="M22507" s="112"/>
      <c r="N22507" s="84"/>
    </row>
    <row r="22508" spans="1:14" s="2" customFormat="1">
      <c r="A22508" s="83"/>
      <c r="H22508" s="83"/>
      <c r="K22508" s="82"/>
      <c r="M22508" s="112"/>
      <c r="N22508" s="84"/>
    </row>
    <row r="22509" spans="1:14" s="2" customFormat="1">
      <c r="A22509" s="83"/>
      <c r="H22509" s="83"/>
      <c r="K22509" s="82"/>
      <c r="M22509" s="112"/>
      <c r="N22509" s="84"/>
    </row>
    <row r="22510" spans="1:14" s="2" customFormat="1">
      <c r="A22510" s="83"/>
      <c r="H22510" s="83"/>
      <c r="K22510" s="82"/>
      <c r="M22510" s="112"/>
      <c r="N22510" s="84"/>
    </row>
    <row r="22511" spans="1:14" s="2" customFormat="1">
      <c r="A22511" s="83"/>
      <c r="H22511" s="83"/>
      <c r="K22511" s="82"/>
      <c r="M22511" s="112"/>
      <c r="N22511" s="84"/>
    </row>
    <row r="22512" spans="1:14" s="2" customFormat="1">
      <c r="A22512" s="83"/>
      <c r="H22512" s="83"/>
      <c r="K22512" s="82"/>
      <c r="M22512" s="112"/>
      <c r="N22512" s="84"/>
    </row>
    <row r="22513" spans="1:14" s="2" customFormat="1">
      <c r="A22513" s="83"/>
      <c r="H22513" s="83"/>
      <c r="K22513" s="82"/>
      <c r="M22513" s="112"/>
      <c r="N22513" s="84"/>
    </row>
    <row r="22514" spans="1:14" s="2" customFormat="1">
      <c r="A22514" s="83"/>
      <c r="H22514" s="83"/>
      <c r="K22514" s="82"/>
      <c r="M22514" s="112"/>
      <c r="N22514" s="84"/>
    </row>
    <row r="22515" spans="1:14" s="2" customFormat="1">
      <c r="A22515" s="83"/>
      <c r="H22515" s="83"/>
      <c r="K22515" s="82"/>
      <c r="M22515" s="112"/>
      <c r="N22515" s="84"/>
    </row>
    <row r="22516" spans="1:14" s="2" customFormat="1">
      <c r="A22516" s="83"/>
      <c r="H22516" s="83"/>
      <c r="K22516" s="82"/>
      <c r="M22516" s="112"/>
      <c r="N22516" s="84"/>
    </row>
    <row r="22517" spans="1:14" s="2" customFormat="1">
      <c r="A22517" s="83"/>
      <c r="H22517" s="83"/>
      <c r="K22517" s="82"/>
      <c r="M22517" s="112"/>
      <c r="N22517" s="84"/>
    </row>
    <row r="22518" spans="1:14" s="2" customFormat="1">
      <c r="A22518" s="83"/>
      <c r="H22518" s="83"/>
      <c r="K22518" s="82"/>
      <c r="M22518" s="112"/>
      <c r="N22518" s="84"/>
    </row>
    <row r="22519" spans="1:14" s="2" customFormat="1">
      <c r="A22519" s="83"/>
      <c r="H22519" s="83"/>
      <c r="K22519" s="82"/>
      <c r="M22519" s="112"/>
      <c r="N22519" s="84"/>
    </row>
    <row r="22520" spans="1:14" s="2" customFormat="1">
      <c r="A22520" s="83"/>
      <c r="H22520" s="83"/>
      <c r="K22520" s="82"/>
      <c r="M22520" s="112"/>
      <c r="N22520" s="84"/>
    </row>
    <row r="22521" spans="1:14" s="2" customFormat="1">
      <c r="A22521" s="83"/>
      <c r="H22521" s="83"/>
      <c r="K22521" s="82"/>
      <c r="M22521" s="112"/>
      <c r="N22521" s="84"/>
    </row>
    <row r="22522" spans="1:14" s="2" customFormat="1">
      <c r="A22522" s="83"/>
      <c r="H22522" s="83"/>
      <c r="K22522" s="82"/>
      <c r="M22522" s="112"/>
      <c r="N22522" s="84"/>
    </row>
    <row r="22523" spans="1:14" s="2" customFormat="1">
      <c r="A22523" s="83"/>
      <c r="H22523" s="83"/>
      <c r="K22523" s="82"/>
      <c r="M22523" s="112"/>
      <c r="N22523" s="84"/>
    </row>
    <row r="22524" spans="1:14" s="2" customFormat="1">
      <c r="A22524" s="83"/>
      <c r="H22524" s="83"/>
      <c r="K22524" s="82"/>
      <c r="M22524" s="112"/>
      <c r="N22524" s="84"/>
    </row>
    <row r="22525" spans="1:14" s="2" customFormat="1">
      <c r="A22525" s="83"/>
      <c r="H22525" s="83"/>
      <c r="K22525" s="82"/>
      <c r="M22525" s="112"/>
      <c r="N22525" s="84"/>
    </row>
    <row r="22526" spans="1:14" s="2" customFormat="1">
      <c r="A22526" s="83"/>
      <c r="H22526" s="83"/>
      <c r="K22526" s="82"/>
      <c r="M22526" s="112"/>
      <c r="N22526" s="84"/>
    </row>
    <row r="22527" spans="1:14" s="2" customFormat="1">
      <c r="A22527" s="83"/>
      <c r="H22527" s="83"/>
      <c r="K22527" s="82"/>
      <c r="M22527" s="112"/>
      <c r="N22527" s="84"/>
    </row>
    <row r="22528" spans="1:14" s="2" customFormat="1">
      <c r="A22528" s="83"/>
      <c r="H22528" s="83"/>
      <c r="K22528" s="82"/>
      <c r="M22528" s="112"/>
      <c r="N22528" s="84"/>
    </row>
    <row r="22529" spans="1:14" s="2" customFormat="1">
      <c r="A22529" s="83"/>
      <c r="H22529" s="83"/>
      <c r="K22529" s="82"/>
      <c r="M22529" s="112"/>
      <c r="N22529" s="84"/>
    </row>
    <row r="22530" spans="1:14" s="2" customFormat="1">
      <c r="A22530" s="83"/>
      <c r="H22530" s="83"/>
      <c r="K22530" s="82"/>
      <c r="M22530" s="112"/>
      <c r="N22530" s="84"/>
    </row>
    <row r="22531" spans="1:14" s="2" customFormat="1">
      <c r="A22531" s="83"/>
      <c r="H22531" s="83"/>
      <c r="K22531" s="82"/>
      <c r="M22531" s="112"/>
      <c r="N22531" s="84"/>
    </row>
    <row r="22532" spans="1:14" s="2" customFormat="1">
      <c r="A22532" s="83"/>
      <c r="H22532" s="83"/>
      <c r="K22532" s="82"/>
      <c r="M22532" s="112"/>
      <c r="N22532" s="84"/>
    </row>
    <row r="22533" spans="1:14" s="2" customFormat="1">
      <c r="A22533" s="83"/>
      <c r="H22533" s="83"/>
      <c r="K22533" s="82"/>
      <c r="M22533" s="112"/>
      <c r="N22533" s="84"/>
    </row>
    <row r="22534" spans="1:14" s="2" customFormat="1">
      <c r="A22534" s="83"/>
      <c r="H22534" s="83"/>
      <c r="K22534" s="82"/>
      <c r="M22534" s="112"/>
      <c r="N22534" s="84"/>
    </row>
    <row r="22535" spans="1:14" s="2" customFormat="1">
      <c r="A22535" s="83"/>
      <c r="H22535" s="83"/>
      <c r="K22535" s="82"/>
      <c r="M22535" s="112"/>
      <c r="N22535" s="84"/>
    </row>
    <row r="22536" spans="1:14" s="2" customFormat="1">
      <c r="A22536" s="83"/>
      <c r="H22536" s="83"/>
      <c r="K22536" s="82"/>
      <c r="M22536" s="112"/>
      <c r="N22536" s="84"/>
    </row>
    <row r="22537" spans="1:14" s="2" customFormat="1">
      <c r="A22537" s="83"/>
      <c r="H22537" s="83"/>
      <c r="K22537" s="82"/>
      <c r="M22537" s="112"/>
      <c r="N22537" s="84"/>
    </row>
    <row r="22538" spans="1:14" s="2" customFormat="1">
      <c r="A22538" s="83"/>
      <c r="H22538" s="83"/>
      <c r="K22538" s="82"/>
      <c r="M22538" s="112"/>
      <c r="N22538" s="84"/>
    </row>
    <row r="22539" spans="1:14" s="2" customFormat="1">
      <c r="A22539" s="83"/>
      <c r="H22539" s="83"/>
      <c r="K22539" s="82"/>
      <c r="M22539" s="112"/>
      <c r="N22539" s="84"/>
    </row>
    <row r="22540" spans="1:14" s="2" customFormat="1">
      <c r="A22540" s="83"/>
      <c r="H22540" s="83"/>
      <c r="K22540" s="82"/>
      <c r="M22540" s="112"/>
      <c r="N22540" s="84"/>
    </row>
    <row r="22541" spans="1:14" s="2" customFormat="1">
      <c r="A22541" s="83"/>
      <c r="H22541" s="83"/>
      <c r="K22541" s="82"/>
      <c r="M22541" s="112"/>
      <c r="N22541" s="84"/>
    </row>
    <row r="22542" spans="1:14" s="2" customFormat="1">
      <c r="A22542" s="83"/>
      <c r="H22542" s="83"/>
      <c r="K22542" s="82"/>
      <c r="M22542" s="112"/>
      <c r="N22542" s="84"/>
    </row>
    <row r="22543" spans="1:14" s="2" customFormat="1">
      <c r="A22543" s="83"/>
      <c r="H22543" s="83"/>
      <c r="K22543" s="82"/>
      <c r="M22543" s="112"/>
      <c r="N22543" s="84"/>
    </row>
    <row r="22544" spans="1:14" s="2" customFormat="1">
      <c r="A22544" s="83"/>
      <c r="H22544" s="83"/>
      <c r="K22544" s="82"/>
      <c r="M22544" s="112"/>
      <c r="N22544" s="84"/>
    </row>
    <row r="22545" spans="1:14" s="2" customFormat="1">
      <c r="A22545" s="83"/>
      <c r="H22545" s="83"/>
      <c r="K22545" s="82"/>
      <c r="M22545" s="112"/>
      <c r="N22545" s="84"/>
    </row>
    <row r="22546" spans="1:14" s="2" customFormat="1">
      <c r="A22546" s="83"/>
      <c r="H22546" s="83"/>
      <c r="K22546" s="82"/>
      <c r="M22546" s="112"/>
      <c r="N22546" s="84"/>
    </row>
    <row r="22547" spans="1:14" s="2" customFormat="1">
      <c r="A22547" s="83"/>
      <c r="H22547" s="83"/>
      <c r="K22547" s="82"/>
      <c r="M22547" s="112"/>
      <c r="N22547" s="84"/>
    </row>
    <row r="22548" spans="1:14" s="2" customFormat="1">
      <c r="A22548" s="83"/>
      <c r="H22548" s="83"/>
      <c r="K22548" s="82"/>
      <c r="M22548" s="112"/>
      <c r="N22548" s="84"/>
    </row>
    <row r="22549" spans="1:14" s="2" customFormat="1">
      <c r="A22549" s="83"/>
      <c r="H22549" s="83"/>
      <c r="K22549" s="82"/>
      <c r="M22549" s="112"/>
      <c r="N22549" s="84"/>
    </row>
    <row r="22550" spans="1:14" s="2" customFormat="1">
      <c r="A22550" s="83"/>
      <c r="H22550" s="83"/>
      <c r="K22550" s="82"/>
      <c r="M22550" s="112"/>
      <c r="N22550" s="84"/>
    </row>
    <row r="22551" spans="1:14" s="2" customFormat="1">
      <c r="A22551" s="83"/>
      <c r="H22551" s="83"/>
      <c r="K22551" s="82"/>
      <c r="M22551" s="112"/>
      <c r="N22551" s="84"/>
    </row>
    <row r="22552" spans="1:14" s="2" customFormat="1">
      <c r="A22552" s="83"/>
      <c r="H22552" s="83"/>
      <c r="K22552" s="82"/>
      <c r="M22552" s="112"/>
      <c r="N22552" s="84"/>
    </row>
    <row r="22553" spans="1:14" s="2" customFormat="1">
      <c r="A22553" s="83"/>
      <c r="H22553" s="83"/>
      <c r="K22553" s="82"/>
      <c r="M22553" s="112"/>
      <c r="N22553" s="84"/>
    </row>
    <row r="22554" spans="1:14" s="2" customFormat="1">
      <c r="A22554" s="83"/>
      <c r="H22554" s="83"/>
      <c r="K22554" s="82"/>
      <c r="M22554" s="112"/>
      <c r="N22554" s="84"/>
    </row>
    <row r="22555" spans="1:14" s="2" customFormat="1">
      <c r="A22555" s="83"/>
      <c r="H22555" s="83"/>
      <c r="K22555" s="82"/>
      <c r="M22555" s="112"/>
      <c r="N22555" s="84"/>
    </row>
    <row r="22556" spans="1:14" s="2" customFormat="1">
      <c r="A22556" s="83"/>
      <c r="H22556" s="83"/>
      <c r="K22556" s="82"/>
      <c r="M22556" s="112"/>
      <c r="N22556" s="84"/>
    </row>
    <row r="22557" spans="1:14" s="2" customFormat="1">
      <c r="A22557" s="83"/>
      <c r="H22557" s="83"/>
      <c r="K22557" s="82"/>
      <c r="M22557" s="112"/>
      <c r="N22557" s="84"/>
    </row>
    <row r="22558" spans="1:14" s="2" customFormat="1">
      <c r="A22558" s="83"/>
      <c r="H22558" s="83"/>
      <c r="K22558" s="82"/>
      <c r="M22558" s="112"/>
      <c r="N22558" s="84"/>
    </row>
    <row r="22559" spans="1:14" s="2" customFormat="1">
      <c r="A22559" s="83"/>
      <c r="H22559" s="83"/>
      <c r="K22559" s="82"/>
      <c r="M22559" s="112"/>
      <c r="N22559" s="84"/>
    </row>
    <row r="22560" spans="1:14" s="2" customFormat="1">
      <c r="A22560" s="83"/>
      <c r="H22560" s="83"/>
      <c r="K22560" s="82"/>
      <c r="M22560" s="112"/>
      <c r="N22560" s="84"/>
    </row>
    <row r="22561" spans="1:14" s="2" customFormat="1">
      <c r="A22561" s="83"/>
      <c r="H22561" s="83"/>
      <c r="K22561" s="82"/>
      <c r="M22561" s="112"/>
      <c r="N22561" s="84"/>
    </row>
    <row r="22562" spans="1:14" s="2" customFormat="1">
      <c r="A22562" s="83"/>
      <c r="H22562" s="83"/>
      <c r="K22562" s="82"/>
      <c r="M22562" s="112"/>
      <c r="N22562" s="84"/>
    </row>
    <row r="22563" spans="1:14" s="2" customFormat="1">
      <c r="A22563" s="83"/>
      <c r="H22563" s="83"/>
      <c r="K22563" s="82"/>
      <c r="M22563" s="112"/>
      <c r="N22563" s="84"/>
    </row>
    <row r="22564" spans="1:14" s="2" customFormat="1">
      <c r="A22564" s="83"/>
      <c r="H22564" s="83"/>
      <c r="K22564" s="82"/>
      <c r="M22564" s="112"/>
      <c r="N22564" s="84"/>
    </row>
    <row r="22565" spans="1:14" s="2" customFormat="1">
      <c r="A22565" s="83"/>
      <c r="H22565" s="83"/>
      <c r="K22565" s="82"/>
      <c r="M22565" s="112"/>
      <c r="N22565" s="84"/>
    </row>
    <row r="22566" spans="1:14" s="2" customFormat="1">
      <c r="A22566" s="83"/>
      <c r="H22566" s="83"/>
      <c r="K22566" s="82"/>
      <c r="M22566" s="112"/>
      <c r="N22566" s="84"/>
    </row>
    <row r="22567" spans="1:14" s="2" customFormat="1">
      <c r="A22567" s="83"/>
      <c r="H22567" s="83"/>
      <c r="K22567" s="82"/>
      <c r="M22567" s="112"/>
      <c r="N22567" s="84"/>
    </row>
    <row r="22568" spans="1:14" s="2" customFormat="1">
      <c r="A22568" s="83"/>
      <c r="H22568" s="83"/>
      <c r="K22568" s="82"/>
      <c r="M22568" s="112"/>
      <c r="N22568" s="84"/>
    </row>
    <row r="22569" spans="1:14" s="2" customFormat="1">
      <c r="A22569" s="83"/>
      <c r="H22569" s="83"/>
      <c r="K22569" s="82"/>
      <c r="M22569" s="112"/>
      <c r="N22569" s="84"/>
    </row>
    <row r="22570" spans="1:14" s="2" customFormat="1">
      <c r="A22570" s="83"/>
      <c r="H22570" s="83"/>
      <c r="K22570" s="82"/>
      <c r="M22570" s="112"/>
      <c r="N22570" s="84"/>
    </row>
    <row r="22571" spans="1:14" s="2" customFormat="1">
      <c r="A22571" s="83"/>
      <c r="H22571" s="83"/>
      <c r="K22571" s="82"/>
      <c r="M22571" s="112"/>
      <c r="N22571" s="84"/>
    </row>
    <row r="22572" spans="1:14" s="2" customFormat="1">
      <c r="A22572" s="83"/>
      <c r="H22572" s="83"/>
      <c r="K22572" s="82"/>
      <c r="M22572" s="112"/>
      <c r="N22572" s="84"/>
    </row>
    <row r="22573" spans="1:14" s="2" customFormat="1">
      <c r="A22573" s="83"/>
      <c r="H22573" s="83"/>
      <c r="K22573" s="82"/>
      <c r="M22573" s="112"/>
      <c r="N22573" s="84"/>
    </row>
    <row r="22574" spans="1:14" s="2" customFormat="1">
      <c r="A22574" s="83"/>
      <c r="H22574" s="83"/>
      <c r="K22574" s="82"/>
      <c r="M22574" s="112"/>
      <c r="N22574" s="84"/>
    </row>
    <row r="22575" spans="1:14" s="2" customFormat="1">
      <c r="A22575" s="83"/>
      <c r="H22575" s="83"/>
      <c r="K22575" s="82"/>
      <c r="M22575" s="112"/>
      <c r="N22575" s="84"/>
    </row>
    <row r="22576" spans="1:14" s="2" customFormat="1">
      <c r="A22576" s="83"/>
      <c r="H22576" s="83"/>
      <c r="K22576" s="82"/>
      <c r="M22576" s="112"/>
      <c r="N22576" s="84"/>
    </row>
    <row r="22577" spans="1:14" s="2" customFormat="1">
      <c r="A22577" s="83"/>
      <c r="H22577" s="83"/>
      <c r="K22577" s="82"/>
      <c r="M22577" s="112"/>
      <c r="N22577" s="84"/>
    </row>
    <row r="22578" spans="1:14" s="2" customFormat="1">
      <c r="A22578" s="83"/>
      <c r="H22578" s="83"/>
      <c r="K22578" s="82"/>
      <c r="M22578" s="112"/>
      <c r="N22578" s="84"/>
    </row>
    <row r="22579" spans="1:14" s="2" customFormat="1">
      <c r="A22579" s="83"/>
      <c r="H22579" s="83"/>
      <c r="K22579" s="82"/>
      <c r="M22579" s="112"/>
      <c r="N22579" s="84"/>
    </row>
    <row r="22580" spans="1:14" s="2" customFormat="1">
      <c r="A22580" s="83"/>
      <c r="H22580" s="83"/>
      <c r="K22580" s="82"/>
      <c r="M22580" s="112"/>
      <c r="N22580" s="84"/>
    </row>
    <row r="22581" spans="1:14" s="2" customFormat="1">
      <c r="A22581" s="83"/>
      <c r="H22581" s="83"/>
      <c r="K22581" s="82"/>
      <c r="M22581" s="112"/>
      <c r="N22581" s="84"/>
    </row>
    <row r="22582" spans="1:14" s="2" customFormat="1">
      <c r="A22582" s="83"/>
      <c r="H22582" s="83"/>
      <c r="K22582" s="82"/>
      <c r="M22582" s="112"/>
      <c r="N22582" s="84"/>
    </row>
    <row r="22583" spans="1:14" s="2" customFormat="1">
      <c r="A22583" s="83"/>
      <c r="H22583" s="83"/>
      <c r="K22583" s="82"/>
      <c r="M22583" s="112"/>
      <c r="N22583" s="84"/>
    </row>
    <row r="22584" spans="1:14" s="2" customFormat="1">
      <c r="A22584" s="83"/>
      <c r="H22584" s="83"/>
      <c r="K22584" s="82"/>
      <c r="M22584" s="112"/>
      <c r="N22584" s="84"/>
    </row>
    <row r="22585" spans="1:14" s="2" customFormat="1">
      <c r="A22585" s="83"/>
      <c r="H22585" s="83"/>
      <c r="K22585" s="82"/>
      <c r="M22585" s="112"/>
      <c r="N22585" s="84"/>
    </row>
    <row r="22586" spans="1:14" s="2" customFormat="1">
      <c r="A22586" s="83"/>
      <c r="H22586" s="83"/>
      <c r="K22586" s="82"/>
      <c r="M22586" s="112"/>
      <c r="N22586" s="84"/>
    </row>
    <row r="22587" spans="1:14" s="2" customFormat="1">
      <c r="A22587" s="83"/>
      <c r="H22587" s="83"/>
      <c r="K22587" s="82"/>
      <c r="M22587" s="112"/>
      <c r="N22587" s="84"/>
    </row>
    <row r="22588" spans="1:14" s="2" customFormat="1">
      <c r="A22588" s="83"/>
      <c r="H22588" s="83"/>
      <c r="K22588" s="82"/>
      <c r="M22588" s="112"/>
      <c r="N22588" s="84"/>
    </row>
    <row r="22589" spans="1:14" s="2" customFormat="1">
      <c r="A22589" s="83"/>
      <c r="H22589" s="83"/>
      <c r="K22589" s="82"/>
      <c r="M22589" s="112"/>
      <c r="N22589" s="84"/>
    </row>
    <row r="22590" spans="1:14" s="2" customFormat="1">
      <c r="A22590" s="83"/>
      <c r="H22590" s="83"/>
      <c r="K22590" s="82"/>
      <c r="M22590" s="112"/>
      <c r="N22590" s="84"/>
    </row>
    <row r="22591" spans="1:14" s="2" customFormat="1">
      <c r="A22591" s="83"/>
      <c r="H22591" s="83"/>
      <c r="K22591" s="82"/>
      <c r="M22591" s="112"/>
      <c r="N22591" s="84"/>
    </row>
    <row r="22592" spans="1:14" s="2" customFormat="1">
      <c r="A22592" s="83"/>
      <c r="H22592" s="83"/>
      <c r="K22592" s="82"/>
      <c r="M22592" s="112"/>
      <c r="N22592" s="84"/>
    </row>
    <row r="22593" spans="1:14" s="2" customFormat="1">
      <c r="A22593" s="83"/>
      <c r="H22593" s="83"/>
      <c r="K22593" s="82"/>
      <c r="M22593" s="112"/>
      <c r="N22593" s="84"/>
    </row>
    <row r="22594" spans="1:14" s="2" customFormat="1">
      <c r="A22594" s="83"/>
      <c r="H22594" s="83"/>
      <c r="K22594" s="82"/>
      <c r="M22594" s="112"/>
      <c r="N22594" s="84"/>
    </row>
    <row r="22595" spans="1:14" s="2" customFormat="1">
      <c r="A22595" s="83"/>
      <c r="H22595" s="83"/>
      <c r="K22595" s="82"/>
      <c r="M22595" s="112"/>
      <c r="N22595" s="84"/>
    </row>
    <row r="22596" spans="1:14" s="2" customFormat="1">
      <c r="A22596" s="83"/>
      <c r="H22596" s="83"/>
      <c r="K22596" s="82"/>
      <c r="M22596" s="112"/>
      <c r="N22596" s="84"/>
    </row>
    <row r="22597" spans="1:14" s="2" customFormat="1">
      <c r="A22597" s="83"/>
      <c r="H22597" s="83"/>
      <c r="K22597" s="82"/>
      <c r="M22597" s="112"/>
      <c r="N22597" s="84"/>
    </row>
    <row r="22598" spans="1:14" s="2" customFormat="1">
      <c r="A22598" s="83"/>
      <c r="H22598" s="83"/>
      <c r="K22598" s="82"/>
      <c r="M22598" s="112"/>
      <c r="N22598" s="84"/>
    </row>
    <row r="22599" spans="1:14" s="2" customFormat="1">
      <c r="A22599" s="83"/>
      <c r="H22599" s="83"/>
      <c r="K22599" s="82"/>
      <c r="M22599" s="112"/>
      <c r="N22599" s="84"/>
    </row>
    <row r="22600" spans="1:14" s="2" customFormat="1">
      <c r="A22600" s="83"/>
      <c r="H22600" s="83"/>
      <c r="K22600" s="82"/>
      <c r="M22600" s="112"/>
      <c r="N22600" s="84"/>
    </row>
    <row r="22601" spans="1:14" s="2" customFormat="1">
      <c r="A22601" s="83"/>
      <c r="H22601" s="83"/>
      <c r="K22601" s="82"/>
      <c r="M22601" s="112"/>
      <c r="N22601" s="84"/>
    </row>
    <row r="22602" spans="1:14" s="2" customFormat="1">
      <c r="A22602" s="83"/>
      <c r="H22602" s="83"/>
      <c r="K22602" s="82"/>
      <c r="M22602" s="112"/>
      <c r="N22602" s="84"/>
    </row>
    <row r="22603" spans="1:14" s="2" customFormat="1">
      <c r="A22603" s="83"/>
      <c r="H22603" s="83"/>
      <c r="K22603" s="82"/>
      <c r="M22603" s="112"/>
      <c r="N22603" s="84"/>
    </row>
    <row r="22604" spans="1:14" s="2" customFormat="1">
      <c r="A22604" s="83"/>
      <c r="H22604" s="83"/>
      <c r="K22604" s="82"/>
      <c r="M22604" s="112"/>
      <c r="N22604" s="84"/>
    </row>
    <row r="22605" spans="1:14" s="2" customFormat="1">
      <c r="A22605" s="83"/>
      <c r="H22605" s="83"/>
      <c r="K22605" s="82"/>
      <c r="M22605" s="112"/>
      <c r="N22605" s="84"/>
    </row>
    <row r="22606" spans="1:14" s="2" customFormat="1">
      <c r="A22606" s="83"/>
      <c r="H22606" s="83"/>
      <c r="K22606" s="82"/>
      <c r="M22606" s="112"/>
      <c r="N22606" s="84"/>
    </row>
    <row r="22607" spans="1:14" s="2" customFormat="1">
      <c r="A22607" s="83"/>
      <c r="H22607" s="83"/>
      <c r="K22607" s="82"/>
      <c r="M22607" s="112"/>
      <c r="N22607" s="84"/>
    </row>
    <row r="22608" spans="1:14" s="2" customFormat="1">
      <c r="A22608" s="83"/>
      <c r="H22608" s="83"/>
      <c r="K22608" s="82"/>
      <c r="M22608" s="112"/>
      <c r="N22608" s="84"/>
    </row>
    <row r="22609" spans="1:14" s="2" customFormat="1">
      <c r="A22609" s="83"/>
      <c r="H22609" s="83"/>
      <c r="K22609" s="82"/>
      <c r="M22609" s="112"/>
      <c r="N22609" s="84"/>
    </row>
    <row r="22610" spans="1:14" s="2" customFormat="1">
      <c r="A22610" s="83"/>
      <c r="H22610" s="83"/>
      <c r="K22610" s="82"/>
      <c r="M22610" s="112"/>
      <c r="N22610" s="84"/>
    </row>
    <row r="22611" spans="1:14" s="2" customFormat="1">
      <c r="A22611" s="83"/>
      <c r="H22611" s="83"/>
      <c r="K22611" s="82"/>
      <c r="M22611" s="112"/>
      <c r="N22611" s="84"/>
    </row>
    <row r="22612" spans="1:14" s="2" customFormat="1">
      <c r="A22612" s="83"/>
      <c r="H22612" s="83"/>
      <c r="K22612" s="82"/>
      <c r="M22612" s="112"/>
      <c r="N22612" s="84"/>
    </row>
    <row r="22613" spans="1:14" s="2" customFormat="1">
      <c r="A22613" s="83"/>
      <c r="H22613" s="83"/>
      <c r="K22613" s="82"/>
      <c r="M22613" s="112"/>
      <c r="N22613" s="84"/>
    </row>
    <row r="22614" spans="1:14" s="2" customFormat="1">
      <c r="A22614" s="83"/>
      <c r="H22614" s="83"/>
      <c r="K22614" s="82"/>
      <c r="M22614" s="112"/>
      <c r="N22614" s="84"/>
    </row>
    <row r="22615" spans="1:14" s="2" customFormat="1">
      <c r="A22615" s="83"/>
      <c r="H22615" s="83"/>
      <c r="K22615" s="82"/>
      <c r="M22615" s="112"/>
      <c r="N22615" s="84"/>
    </row>
    <row r="22616" spans="1:14" s="2" customFormat="1">
      <c r="A22616" s="83"/>
      <c r="H22616" s="83"/>
      <c r="K22616" s="82"/>
      <c r="M22616" s="112"/>
      <c r="N22616" s="84"/>
    </row>
    <row r="22617" spans="1:14" s="2" customFormat="1">
      <c r="A22617" s="83"/>
      <c r="H22617" s="83"/>
      <c r="K22617" s="82"/>
      <c r="M22617" s="112"/>
      <c r="N22617" s="84"/>
    </row>
    <row r="22618" spans="1:14" s="2" customFormat="1">
      <c r="A22618" s="83"/>
      <c r="H22618" s="83"/>
      <c r="K22618" s="82"/>
      <c r="M22618" s="112"/>
      <c r="N22618" s="84"/>
    </row>
    <row r="22619" spans="1:14" s="2" customFormat="1">
      <c r="A22619" s="83"/>
      <c r="H22619" s="83"/>
      <c r="K22619" s="82"/>
      <c r="M22619" s="112"/>
      <c r="N22619" s="84"/>
    </row>
    <row r="22620" spans="1:14" s="2" customFormat="1">
      <c r="A22620" s="83"/>
      <c r="H22620" s="83"/>
      <c r="K22620" s="82"/>
      <c r="M22620" s="112"/>
      <c r="N22620" s="84"/>
    </row>
    <row r="22621" spans="1:14" s="2" customFormat="1">
      <c r="A22621" s="83"/>
      <c r="H22621" s="83"/>
      <c r="K22621" s="82"/>
      <c r="M22621" s="112"/>
      <c r="N22621" s="84"/>
    </row>
    <row r="22622" spans="1:14" s="2" customFormat="1">
      <c r="A22622" s="83"/>
      <c r="H22622" s="83"/>
      <c r="K22622" s="82"/>
      <c r="M22622" s="112"/>
      <c r="N22622" s="84"/>
    </row>
    <row r="22623" spans="1:14" s="2" customFormat="1">
      <c r="A22623" s="83"/>
      <c r="H22623" s="83"/>
      <c r="K22623" s="82"/>
      <c r="M22623" s="112"/>
      <c r="N22623" s="84"/>
    </row>
    <row r="22624" spans="1:14" s="2" customFormat="1">
      <c r="A22624" s="83"/>
      <c r="H22624" s="83"/>
      <c r="K22624" s="82"/>
      <c r="M22624" s="112"/>
      <c r="N22624" s="84"/>
    </row>
    <row r="22625" spans="1:14" s="2" customFormat="1">
      <c r="A22625" s="83"/>
      <c r="H22625" s="83"/>
      <c r="K22625" s="82"/>
      <c r="M22625" s="112"/>
      <c r="N22625" s="84"/>
    </row>
    <row r="22626" spans="1:14" s="2" customFormat="1">
      <c r="A22626" s="83"/>
      <c r="H22626" s="83"/>
      <c r="K22626" s="82"/>
      <c r="M22626" s="112"/>
      <c r="N22626" s="84"/>
    </row>
    <row r="22627" spans="1:14" s="2" customFormat="1">
      <c r="A22627" s="83"/>
      <c r="H22627" s="83"/>
      <c r="K22627" s="82"/>
      <c r="M22627" s="112"/>
      <c r="N22627" s="84"/>
    </row>
    <row r="22628" spans="1:14" s="2" customFormat="1">
      <c r="A22628" s="83"/>
      <c r="H22628" s="83"/>
      <c r="K22628" s="82"/>
      <c r="M22628" s="112"/>
      <c r="N22628" s="84"/>
    </row>
    <row r="22629" spans="1:14" s="2" customFormat="1">
      <c r="A22629" s="83"/>
      <c r="H22629" s="83"/>
      <c r="K22629" s="82"/>
      <c r="M22629" s="112"/>
      <c r="N22629" s="84"/>
    </row>
    <row r="22630" spans="1:14" s="2" customFormat="1">
      <c r="A22630" s="83"/>
      <c r="H22630" s="83"/>
      <c r="K22630" s="82"/>
      <c r="M22630" s="112"/>
      <c r="N22630" s="84"/>
    </row>
    <row r="22631" spans="1:14" s="2" customFormat="1">
      <c r="A22631" s="83"/>
      <c r="H22631" s="83"/>
      <c r="K22631" s="82"/>
      <c r="M22631" s="112"/>
      <c r="N22631" s="84"/>
    </row>
    <row r="22632" spans="1:14" s="2" customFormat="1">
      <c r="A22632" s="83"/>
      <c r="H22632" s="83"/>
      <c r="K22632" s="82"/>
      <c r="M22632" s="112"/>
      <c r="N22632" s="84"/>
    </row>
    <row r="22633" spans="1:14" s="2" customFormat="1">
      <c r="A22633" s="83"/>
      <c r="H22633" s="83"/>
      <c r="K22633" s="82"/>
      <c r="M22633" s="112"/>
      <c r="N22633" s="84"/>
    </row>
    <row r="22634" spans="1:14" s="2" customFormat="1">
      <c r="A22634" s="83"/>
      <c r="H22634" s="83"/>
      <c r="K22634" s="82"/>
      <c r="M22634" s="112"/>
      <c r="N22634" s="84"/>
    </row>
    <row r="22635" spans="1:14" s="2" customFormat="1">
      <c r="A22635" s="83"/>
      <c r="H22635" s="83"/>
      <c r="K22635" s="82"/>
      <c r="M22635" s="112"/>
      <c r="N22635" s="84"/>
    </row>
    <row r="22636" spans="1:14" s="2" customFormat="1">
      <c r="A22636" s="83"/>
      <c r="H22636" s="83"/>
      <c r="K22636" s="82"/>
      <c r="M22636" s="112"/>
      <c r="N22636" s="84"/>
    </row>
    <row r="22637" spans="1:14" s="2" customFormat="1">
      <c r="A22637" s="83"/>
      <c r="H22637" s="83"/>
      <c r="K22637" s="82"/>
      <c r="M22637" s="112"/>
      <c r="N22637" s="84"/>
    </row>
    <row r="22638" spans="1:14" s="2" customFormat="1">
      <c r="A22638" s="83"/>
      <c r="H22638" s="83"/>
      <c r="K22638" s="82"/>
      <c r="M22638" s="112"/>
      <c r="N22638" s="84"/>
    </row>
    <row r="22639" spans="1:14" s="2" customFormat="1">
      <c r="A22639" s="83"/>
      <c r="H22639" s="83"/>
      <c r="K22639" s="82"/>
      <c r="M22639" s="112"/>
      <c r="N22639" s="84"/>
    </row>
    <row r="22640" spans="1:14" s="2" customFormat="1">
      <c r="A22640" s="83"/>
      <c r="H22640" s="83"/>
      <c r="K22640" s="82"/>
      <c r="M22640" s="112"/>
      <c r="N22640" s="84"/>
    </row>
    <row r="22641" spans="1:14" s="2" customFormat="1">
      <c r="A22641" s="83"/>
      <c r="H22641" s="83"/>
      <c r="K22641" s="82"/>
      <c r="M22641" s="112"/>
      <c r="N22641" s="84"/>
    </row>
    <row r="22642" spans="1:14" s="2" customFormat="1">
      <c r="A22642" s="83"/>
      <c r="H22642" s="83"/>
      <c r="K22642" s="82"/>
      <c r="M22642" s="112"/>
      <c r="N22642" s="84"/>
    </row>
    <row r="22643" spans="1:14" s="2" customFormat="1">
      <c r="A22643" s="83"/>
      <c r="H22643" s="83"/>
      <c r="K22643" s="82"/>
      <c r="M22643" s="112"/>
      <c r="N22643" s="84"/>
    </row>
    <row r="22644" spans="1:14" s="2" customFormat="1">
      <c r="A22644" s="83"/>
      <c r="H22644" s="83"/>
      <c r="K22644" s="82"/>
      <c r="M22644" s="112"/>
      <c r="N22644" s="84"/>
    </row>
    <row r="22645" spans="1:14" s="2" customFormat="1">
      <c r="A22645" s="83"/>
      <c r="H22645" s="83"/>
      <c r="K22645" s="82"/>
      <c r="M22645" s="112"/>
      <c r="N22645" s="84"/>
    </row>
    <row r="22646" spans="1:14" s="2" customFormat="1">
      <c r="A22646" s="83"/>
      <c r="H22646" s="83"/>
      <c r="K22646" s="82"/>
      <c r="M22646" s="112"/>
      <c r="N22646" s="84"/>
    </row>
    <row r="22647" spans="1:14" s="2" customFormat="1">
      <c r="A22647" s="83"/>
      <c r="H22647" s="83"/>
      <c r="K22647" s="82"/>
      <c r="M22647" s="112"/>
      <c r="N22647" s="84"/>
    </row>
    <row r="22648" spans="1:14" s="2" customFormat="1">
      <c r="A22648" s="83"/>
      <c r="H22648" s="83"/>
      <c r="K22648" s="82"/>
      <c r="M22648" s="112"/>
      <c r="N22648" s="84"/>
    </row>
    <row r="22649" spans="1:14" s="2" customFormat="1">
      <c r="A22649" s="83"/>
      <c r="H22649" s="83"/>
      <c r="K22649" s="82"/>
      <c r="M22649" s="112"/>
      <c r="N22649" s="84"/>
    </row>
    <row r="22650" spans="1:14" s="2" customFormat="1">
      <c r="A22650" s="83"/>
      <c r="H22650" s="83"/>
      <c r="K22650" s="82"/>
      <c r="M22650" s="112"/>
      <c r="N22650" s="84"/>
    </row>
    <row r="22651" spans="1:14" s="2" customFormat="1">
      <c r="A22651" s="83"/>
      <c r="H22651" s="83"/>
      <c r="K22651" s="82"/>
      <c r="M22651" s="112"/>
      <c r="N22651" s="84"/>
    </row>
    <row r="22652" spans="1:14" s="2" customFormat="1">
      <c r="A22652" s="83"/>
      <c r="H22652" s="83"/>
      <c r="K22652" s="82"/>
      <c r="M22652" s="112"/>
      <c r="N22652" s="84"/>
    </row>
    <row r="22653" spans="1:14" s="2" customFormat="1">
      <c r="A22653" s="83"/>
      <c r="H22653" s="83"/>
      <c r="K22653" s="82"/>
      <c r="M22653" s="112"/>
      <c r="N22653" s="84"/>
    </row>
    <row r="22654" spans="1:14" s="2" customFormat="1">
      <c r="A22654" s="83"/>
      <c r="H22654" s="83"/>
      <c r="K22654" s="82"/>
      <c r="M22654" s="112"/>
      <c r="N22654" s="84"/>
    </row>
    <row r="22655" spans="1:14" s="2" customFormat="1">
      <c r="A22655" s="83"/>
      <c r="H22655" s="83"/>
      <c r="K22655" s="82"/>
      <c r="M22655" s="112"/>
      <c r="N22655" s="84"/>
    </row>
    <row r="22656" spans="1:14" s="2" customFormat="1">
      <c r="A22656" s="83"/>
      <c r="H22656" s="83"/>
      <c r="K22656" s="82"/>
      <c r="M22656" s="112"/>
      <c r="N22656" s="84"/>
    </row>
    <row r="22657" spans="1:14" s="2" customFormat="1">
      <c r="A22657" s="83"/>
      <c r="H22657" s="83"/>
      <c r="K22657" s="82"/>
      <c r="M22657" s="112"/>
      <c r="N22657" s="84"/>
    </row>
    <row r="22658" spans="1:14" s="2" customFormat="1">
      <c r="A22658" s="83"/>
      <c r="H22658" s="83"/>
      <c r="K22658" s="82"/>
      <c r="M22658" s="112"/>
      <c r="N22658" s="84"/>
    </row>
    <row r="22659" spans="1:14" s="2" customFormat="1">
      <c r="A22659" s="83"/>
      <c r="H22659" s="83"/>
      <c r="K22659" s="82"/>
      <c r="M22659" s="112"/>
      <c r="N22659" s="84"/>
    </row>
    <row r="22660" spans="1:14" s="2" customFormat="1">
      <c r="A22660" s="83"/>
      <c r="H22660" s="83"/>
      <c r="K22660" s="82"/>
      <c r="M22660" s="112"/>
      <c r="N22660" s="84"/>
    </row>
    <row r="22661" spans="1:14" s="2" customFormat="1">
      <c r="A22661" s="83"/>
      <c r="H22661" s="83"/>
      <c r="K22661" s="82"/>
      <c r="M22661" s="112"/>
      <c r="N22661" s="84"/>
    </row>
    <row r="22662" spans="1:14" s="2" customFormat="1">
      <c r="A22662" s="83"/>
      <c r="H22662" s="83"/>
      <c r="K22662" s="82"/>
      <c r="M22662" s="112"/>
      <c r="N22662" s="84"/>
    </row>
    <row r="22663" spans="1:14" s="2" customFormat="1">
      <c r="A22663" s="83"/>
      <c r="H22663" s="83"/>
      <c r="K22663" s="82"/>
      <c r="M22663" s="112"/>
      <c r="N22663" s="84"/>
    </row>
    <row r="22664" spans="1:14" s="2" customFormat="1">
      <c r="A22664" s="83"/>
      <c r="H22664" s="83"/>
      <c r="K22664" s="82"/>
      <c r="M22664" s="112"/>
      <c r="N22664" s="84"/>
    </row>
    <row r="22665" spans="1:14" s="2" customFormat="1">
      <c r="A22665" s="83"/>
      <c r="H22665" s="83"/>
      <c r="K22665" s="82"/>
      <c r="M22665" s="112"/>
      <c r="N22665" s="84"/>
    </row>
    <row r="22666" spans="1:14" s="2" customFormat="1">
      <c r="A22666" s="83"/>
      <c r="H22666" s="83"/>
      <c r="K22666" s="82"/>
      <c r="M22666" s="112"/>
      <c r="N22666" s="84"/>
    </row>
    <row r="22667" spans="1:14" s="2" customFormat="1">
      <c r="A22667" s="83"/>
      <c r="H22667" s="83"/>
      <c r="K22667" s="82"/>
      <c r="M22667" s="112"/>
      <c r="N22667" s="84"/>
    </row>
    <row r="22668" spans="1:14" s="2" customFormat="1">
      <c r="A22668" s="83"/>
      <c r="H22668" s="83"/>
      <c r="K22668" s="82"/>
      <c r="M22668" s="112"/>
      <c r="N22668" s="84"/>
    </row>
    <row r="22669" spans="1:14" s="2" customFormat="1">
      <c r="A22669" s="83"/>
      <c r="H22669" s="83"/>
      <c r="K22669" s="82"/>
      <c r="M22669" s="112"/>
      <c r="N22669" s="84"/>
    </row>
    <row r="22670" spans="1:14" s="2" customFormat="1">
      <c r="A22670" s="83"/>
      <c r="H22670" s="83"/>
      <c r="K22670" s="82"/>
      <c r="M22670" s="112"/>
      <c r="N22670" s="84"/>
    </row>
    <row r="22671" spans="1:14" s="2" customFormat="1">
      <c r="A22671" s="83"/>
      <c r="H22671" s="83"/>
      <c r="K22671" s="82"/>
      <c r="M22671" s="112"/>
      <c r="N22671" s="84"/>
    </row>
    <row r="22672" spans="1:14" s="2" customFormat="1">
      <c r="A22672" s="83"/>
      <c r="H22672" s="83"/>
      <c r="K22672" s="82"/>
      <c r="M22672" s="112"/>
      <c r="N22672" s="84"/>
    </row>
    <row r="22673" spans="1:14" s="2" customFormat="1">
      <c r="A22673" s="83"/>
      <c r="H22673" s="83"/>
      <c r="K22673" s="82"/>
      <c r="M22673" s="112"/>
      <c r="N22673" s="84"/>
    </row>
    <row r="22674" spans="1:14" s="2" customFormat="1">
      <c r="A22674" s="83"/>
      <c r="H22674" s="83"/>
      <c r="K22674" s="82"/>
      <c r="M22674" s="112"/>
      <c r="N22674" s="84"/>
    </row>
    <row r="22675" spans="1:14" s="2" customFormat="1">
      <c r="A22675" s="83"/>
      <c r="H22675" s="83"/>
      <c r="K22675" s="82"/>
      <c r="M22675" s="112"/>
      <c r="N22675" s="84"/>
    </row>
    <row r="22676" spans="1:14" s="2" customFormat="1">
      <c r="A22676" s="83"/>
      <c r="H22676" s="83"/>
      <c r="K22676" s="82"/>
      <c r="M22676" s="112"/>
      <c r="N22676" s="84"/>
    </row>
    <row r="22677" spans="1:14" s="2" customFormat="1">
      <c r="A22677" s="83"/>
      <c r="H22677" s="83"/>
      <c r="K22677" s="82"/>
      <c r="M22677" s="112"/>
      <c r="N22677" s="84"/>
    </row>
    <row r="22678" spans="1:14" s="2" customFormat="1">
      <c r="A22678" s="83"/>
      <c r="H22678" s="83"/>
      <c r="K22678" s="82"/>
      <c r="M22678" s="112"/>
      <c r="N22678" s="84"/>
    </row>
    <row r="22679" spans="1:14" s="2" customFormat="1">
      <c r="A22679" s="83"/>
      <c r="H22679" s="83"/>
      <c r="K22679" s="82"/>
      <c r="M22679" s="112"/>
      <c r="N22679" s="84"/>
    </row>
    <row r="22680" spans="1:14" s="2" customFormat="1">
      <c r="A22680" s="83"/>
      <c r="H22680" s="83"/>
      <c r="K22680" s="82"/>
      <c r="M22680" s="112"/>
      <c r="N22680" s="84"/>
    </row>
    <row r="22681" spans="1:14" s="2" customFormat="1">
      <c r="A22681" s="83"/>
      <c r="H22681" s="83"/>
      <c r="K22681" s="82"/>
      <c r="M22681" s="112"/>
      <c r="N22681" s="84"/>
    </row>
    <row r="22682" spans="1:14" s="2" customFormat="1">
      <c r="A22682" s="83"/>
      <c r="H22682" s="83"/>
      <c r="K22682" s="82"/>
      <c r="M22682" s="112"/>
      <c r="N22682" s="84"/>
    </row>
    <row r="22683" spans="1:14" s="2" customFormat="1">
      <c r="A22683" s="83"/>
      <c r="H22683" s="83"/>
      <c r="K22683" s="82"/>
      <c r="M22683" s="112"/>
      <c r="N22683" s="84"/>
    </row>
    <row r="22684" spans="1:14" s="2" customFormat="1">
      <c r="A22684" s="83"/>
      <c r="H22684" s="83"/>
      <c r="K22684" s="82"/>
      <c r="M22684" s="112"/>
      <c r="N22684" s="84"/>
    </row>
    <row r="22685" spans="1:14" s="2" customFormat="1">
      <c r="A22685" s="83"/>
      <c r="H22685" s="83"/>
      <c r="K22685" s="82"/>
      <c r="M22685" s="112"/>
      <c r="N22685" s="84"/>
    </row>
    <row r="22686" spans="1:14" s="2" customFormat="1">
      <c r="A22686" s="83"/>
      <c r="H22686" s="83"/>
      <c r="K22686" s="82"/>
      <c r="M22686" s="112"/>
      <c r="N22686" s="84"/>
    </row>
    <row r="22687" spans="1:14" s="2" customFormat="1">
      <c r="A22687" s="83"/>
      <c r="H22687" s="83"/>
      <c r="K22687" s="82"/>
      <c r="M22687" s="112"/>
      <c r="N22687" s="84"/>
    </row>
    <row r="22688" spans="1:14" s="2" customFormat="1">
      <c r="A22688" s="83"/>
      <c r="H22688" s="83"/>
      <c r="K22688" s="82"/>
      <c r="M22688" s="112"/>
      <c r="N22688" s="84"/>
    </row>
    <row r="22689" spans="1:14" s="2" customFormat="1">
      <c r="A22689" s="83"/>
      <c r="H22689" s="83"/>
      <c r="K22689" s="82"/>
      <c r="M22689" s="112"/>
      <c r="N22689" s="84"/>
    </row>
    <row r="22690" spans="1:14" s="2" customFormat="1">
      <c r="A22690" s="83"/>
      <c r="H22690" s="83"/>
      <c r="K22690" s="82"/>
      <c r="M22690" s="112"/>
      <c r="N22690" s="84"/>
    </row>
    <row r="22691" spans="1:14" s="2" customFormat="1">
      <c r="A22691" s="83"/>
      <c r="H22691" s="83"/>
      <c r="K22691" s="82"/>
      <c r="M22691" s="112"/>
      <c r="N22691" s="84"/>
    </row>
    <row r="22692" spans="1:14" s="2" customFormat="1">
      <c r="A22692" s="83"/>
      <c r="H22692" s="83"/>
      <c r="K22692" s="82"/>
      <c r="M22692" s="112"/>
      <c r="N22692" s="84"/>
    </row>
    <row r="22693" spans="1:14" s="2" customFormat="1">
      <c r="A22693" s="83"/>
      <c r="H22693" s="83"/>
      <c r="K22693" s="82"/>
      <c r="M22693" s="112"/>
      <c r="N22693" s="84"/>
    </row>
    <row r="22694" spans="1:14" s="2" customFormat="1">
      <c r="A22694" s="83"/>
      <c r="H22694" s="83"/>
      <c r="K22694" s="82"/>
      <c r="M22694" s="112"/>
      <c r="N22694" s="84"/>
    </row>
    <row r="22695" spans="1:14" s="2" customFormat="1">
      <c r="A22695" s="83"/>
      <c r="H22695" s="83"/>
      <c r="K22695" s="82"/>
      <c r="M22695" s="112"/>
      <c r="N22695" s="84"/>
    </row>
    <row r="22696" spans="1:14" s="2" customFormat="1">
      <c r="A22696" s="83"/>
      <c r="H22696" s="83"/>
      <c r="K22696" s="82"/>
      <c r="M22696" s="112"/>
      <c r="N22696" s="84"/>
    </row>
    <row r="22697" spans="1:14" s="2" customFormat="1">
      <c r="A22697" s="83"/>
      <c r="H22697" s="83"/>
      <c r="K22697" s="82"/>
      <c r="M22697" s="112"/>
      <c r="N22697" s="84"/>
    </row>
    <row r="22698" spans="1:14" s="2" customFormat="1">
      <c r="A22698" s="83"/>
      <c r="H22698" s="83"/>
      <c r="K22698" s="82"/>
      <c r="M22698" s="112"/>
      <c r="N22698" s="84"/>
    </row>
    <row r="22699" spans="1:14" s="2" customFormat="1">
      <c r="A22699" s="83"/>
      <c r="H22699" s="83"/>
      <c r="K22699" s="82"/>
      <c r="M22699" s="112"/>
      <c r="N22699" s="84"/>
    </row>
    <row r="22700" spans="1:14" s="2" customFormat="1">
      <c r="A22700" s="83"/>
      <c r="H22700" s="83"/>
      <c r="K22700" s="82"/>
      <c r="M22700" s="112"/>
      <c r="N22700" s="84"/>
    </row>
    <row r="22701" spans="1:14" s="2" customFormat="1">
      <c r="A22701" s="83"/>
      <c r="H22701" s="83"/>
      <c r="K22701" s="82"/>
      <c r="M22701" s="112"/>
      <c r="N22701" s="84"/>
    </row>
    <row r="22702" spans="1:14" s="2" customFormat="1">
      <c r="A22702" s="83"/>
      <c r="H22702" s="83"/>
      <c r="K22702" s="82"/>
      <c r="M22702" s="112"/>
      <c r="N22702" s="84"/>
    </row>
    <row r="22703" spans="1:14" s="2" customFormat="1">
      <c r="A22703" s="83"/>
      <c r="H22703" s="83"/>
      <c r="K22703" s="82"/>
      <c r="M22703" s="112"/>
      <c r="N22703" s="84"/>
    </row>
    <row r="22704" spans="1:14" s="2" customFormat="1">
      <c r="A22704" s="83"/>
      <c r="H22704" s="83"/>
      <c r="K22704" s="82"/>
      <c r="M22704" s="112"/>
      <c r="N22704" s="84"/>
    </row>
    <row r="22705" spans="1:14" s="2" customFormat="1">
      <c r="A22705" s="83"/>
      <c r="H22705" s="83"/>
      <c r="K22705" s="82"/>
      <c r="M22705" s="112"/>
      <c r="N22705" s="84"/>
    </row>
    <row r="22706" spans="1:14" s="2" customFormat="1">
      <c r="A22706" s="83"/>
      <c r="H22706" s="83"/>
      <c r="K22706" s="82"/>
      <c r="M22706" s="112"/>
      <c r="N22706" s="84"/>
    </row>
    <row r="22707" spans="1:14" s="2" customFormat="1">
      <c r="A22707" s="83"/>
      <c r="H22707" s="83"/>
      <c r="K22707" s="82"/>
      <c r="M22707" s="112"/>
      <c r="N22707" s="84"/>
    </row>
    <row r="22708" spans="1:14" s="2" customFormat="1">
      <c r="A22708" s="83"/>
      <c r="H22708" s="83"/>
      <c r="K22708" s="82"/>
      <c r="M22708" s="112"/>
      <c r="N22708" s="84"/>
    </row>
    <row r="22709" spans="1:14" s="2" customFormat="1">
      <c r="A22709" s="83"/>
      <c r="H22709" s="83"/>
      <c r="K22709" s="82"/>
      <c r="M22709" s="112"/>
      <c r="N22709" s="84"/>
    </row>
    <row r="22710" spans="1:14" s="2" customFormat="1">
      <c r="A22710" s="83"/>
      <c r="H22710" s="83"/>
      <c r="K22710" s="82"/>
      <c r="M22710" s="112"/>
      <c r="N22710" s="84"/>
    </row>
    <row r="22711" spans="1:14" s="2" customFormat="1">
      <c r="A22711" s="83"/>
      <c r="H22711" s="83"/>
      <c r="K22711" s="82"/>
      <c r="M22711" s="112"/>
      <c r="N22711" s="84"/>
    </row>
    <row r="22712" spans="1:14" s="2" customFormat="1">
      <c r="A22712" s="83"/>
      <c r="H22712" s="83"/>
      <c r="K22712" s="82"/>
      <c r="M22712" s="112"/>
      <c r="N22712" s="84"/>
    </row>
    <row r="22713" spans="1:14" s="2" customFormat="1">
      <c r="A22713" s="83"/>
      <c r="H22713" s="83"/>
      <c r="K22713" s="82"/>
      <c r="M22713" s="112"/>
      <c r="N22713" s="84"/>
    </row>
    <row r="22714" spans="1:14" s="2" customFormat="1">
      <c r="A22714" s="83"/>
      <c r="H22714" s="83"/>
      <c r="K22714" s="82"/>
      <c r="M22714" s="112"/>
      <c r="N22714" s="84"/>
    </row>
    <row r="22715" spans="1:14" s="2" customFormat="1">
      <c r="A22715" s="83"/>
      <c r="H22715" s="83"/>
      <c r="K22715" s="82"/>
      <c r="M22715" s="112"/>
      <c r="N22715" s="84"/>
    </row>
    <row r="22716" spans="1:14" s="2" customFormat="1">
      <c r="A22716" s="83"/>
      <c r="H22716" s="83"/>
      <c r="K22716" s="82"/>
      <c r="M22716" s="112"/>
      <c r="N22716" s="84"/>
    </row>
    <row r="22717" spans="1:14" s="2" customFormat="1">
      <c r="A22717" s="83"/>
      <c r="H22717" s="83"/>
      <c r="K22717" s="82"/>
      <c r="M22717" s="112"/>
      <c r="N22717" s="84"/>
    </row>
    <row r="22718" spans="1:14" s="2" customFormat="1">
      <c r="A22718" s="83"/>
      <c r="H22718" s="83"/>
      <c r="K22718" s="82"/>
      <c r="M22718" s="112"/>
      <c r="N22718" s="84"/>
    </row>
    <row r="22719" spans="1:14" s="2" customFormat="1">
      <c r="A22719" s="83"/>
      <c r="H22719" s="83"/>
      <c r="K22719" s="82"/>
      <c r="M22719" s="112"/>
      <c r="N22719" s="84"/>
    </row>
    <row r="22720" spans="1:14" s="2" customFormat="1">
      <c r="A22720" s="83"/>
      <c r="H22720" s="83"/>
      <c r="K22720" s="82"/>
      <c r="M22720" s="112"/>
      <c r="N22720" s="84"/>
    </row>
    <row r="22721" spans="1:14" s="2" customFormat="1">
      <c r="A22721" s="83"/>
      <c r="H22721" s="83"/>
      <c r="K22721" s="82"/>
      <c r="M22721" s="112"/>
      <c r="N22721" s="84"/>
    </row>
    <row r="22722" spans="1:14" s="2" customFormat="1">
      <c r="A22722" s="83"/>
      <c r="H22722" s="83"/>
      <c r="K22722" s="82"/>
      <c r="M22722" s="112"/>
      <c r="N22722" s="84"/>
    </row>
    <row r="22723" spans="1:14" s="2" customFormat="1">
      <c r="A22723" s="83"/>
      <c r="H22723" s="83"/>
      <c r="K22723" s="82"/>
      <c r="M22723" s="112"/>
      <c r="N22723" s="84"/>
    </row>
    <row r="22724" spans="1:14" s="2" customFormat="1">
      <c r="A22724" s="83"/>
      <c r="H22724" s="83"/>
      <c r="K22724" s="82"/>
      <c r="M22724" s="112"/>
      <c r="N22724" s="84"/>
    </row>
    <row r="22725" spans="1:14" s="2" customFormat="1">
      <c r="A22725" s="83"/>
      <c r="H22725" s="83"/>
      <c r="K22725" s="82"/>
      <c r="M22725" s="112"/>
      <c r="N22725" s="84"/>
    </row>
    <row r="22726" spans="1:14" s="2" customFormat="1">
      <c r="A22726" s="83"/>
      <c r="H22726" s="83"/>
      <c r="K22726" s="82"/>
      <c r="M22726" s="112"/>
      <c r="N22726" s="84"/>
    </row>
    <row r="22727" spans="1:14" s="2" customFormat="1">
      <c r="A22727" s="83"/>
      <c r="H22727" s="83"/>
      <c r="K22727" s="82"/>
      <c r="M22727" s="112"/>
      <c r="N22727" s="84"/>
    </row>
    <row r="22728" spans="1:14" s="2" customFormat="1">
      <c r="A22728" s="83"/>
      <c r="H22728" s="83"/>
      <c r="K22728" s="82"/>
      <c r="M22728" s="112"/>
      <c r="N22728" s="84"/>
    </row>
    <row r="22729" spans="1:14" s="2" customFormat="1">
      <c r="A22729" s="83"/>
      <c r="H22729" s="83"/>
      <c r="K22729" s="82"/>
      <c r="M22729" s="112"/>
      <c r="N22729" s="84"/>
    </row>
    <row r="22730" spans="1:14" s="2" customFormat="1">
      <c r="A22730" s="83"/>
      <c r="H22730" s="83"/>
      <c r="K22730" s="82"/>
      <c r="M22730" s="112"/>
      <c r="N22730" s="84"/>
    </row>
    <row r="22731" spans="1:14" s="2" customFormat="1">
      <c r="A22731" s="83"/>
      <c r="H22731" s="83"/>
      <c r="K22731" s="82"/>
      <c r="M22731" s="112"/>
      <c r="N22731" s="84"/>
    </row>
    <row r="22732" spans="1:14" s="2" customFormat="1">
      <c r="A22732" s="83"/>
      <c r="H22732" s="83"/>
      <c r="K22732" s="82"/>
      <c r="M22732" s="112"/>
      <c r="N22732" s="84"/>
    </row>
    <row r="22733" spans="1:14" s="2" customFormat="1">
      <c r="A22733" s="83"/>
      <c r="H22733" s="83"/>
      <c r="K22733" s="82"/>
      <c r="M22733" s="112"/>
      <c r="N22733" s="84"/>
    </row>
    <row r="22734" spans="1:14" s="2" customFormat="1">
      <c r="A22734" s="83"/>
      <c r="H22734" s="83"/>
      <c r="K22734" s="82"/>
      <c r="M22734" s="112"/>
      <c r="N22734" s="84"/>
    </row>
    <row r="22735" spans="1:14" s="2" customFormat="1">
      <c r="A22735" s="83"/>
      <c r="H22735" s="83"/>
      <c r="K22735" s="82"/>
      <c r="M22735" s="112"/>
      <c r="N22735" s="84"/>
    </row>
    <row r="22736" spans="1:14" s="2" customFormat="1">
      <c r="A22736" s="83"/>
      <c r="H22736" s="83"/>
      <c r="K22736" s="82"/>
      <c r="M22736" s="112"/>
      <c r="N22736" s="84"/>
    </row>
    <row r="22737" spans="1:14" s="2" customFormat="1">
      <c r="A22737" s="83"/>
      <c r="H22737" s="83"/>
      <c r="K22737" s="82"/>
      <c r="M22737" s="112"/>
      <c r="N22737" s="84"/>
    </row>
    <row r="22738" spans="1:14" s="2" customFormat="1">
      <c r="A22738" s="83"/>
      <c r="H22738" s="83"/>
      <c r="K22738" s="82"/>
      <c r="M22738" s="112"/>
      <c r="N22738" s="84"/>
    </row>
    <row r="22739" spans="1:14" s="2" customFormat="1">
      <c r="A22739" s="83"/>
      <c r="H22739" s="83"/>
      <c r="K22739" s="82"/>
      <c r="M22739" s="112"/>
      <c r="N22739" s="84"/>
    </row>
    <row r="22740" spans="1:14" s="2" customFormat="1">
      <c r="A22740" s="83"/>
      <c r="H22740" s="83"/>
      <c r="K22740" s="82"/>
      <c r="M22740" s="112"/>
      <c r="N22740" s="84"/>
    </row>
    <row r="22741" spans="1:14" s="2" customFormat="1">
      <c r="A22741" s="83"/>
      <c r="H22741" s="83"/>
      <c r="K22741" s="82"/>
      <c r="M22741" s="112"/>
      <c r="N22741" s="84"/>
    </row>
    <row r="22742" spans="1:14" s="2" customFormat="1">
      <c r="A22742" s="83"/>
      <c r="H22742" s="83"/>
      <c r="K22742" s="82"/>
      <c r="M22742" s="112"/>
      <c r="N22742" s="84"/>
    </row>
    <row r="22743" spans="1:14" s="2" customFormat="1">
      <c r="A22743" s="83"/>
      <c r="H22743" s="83"/>
      <c r="K22743" s="82"/>
      <c r="M22743" s="112"/>
      <c r="N22743" s="84"/>
    </row>
    <row r="22744" spans="1:14" s="2" customFormat="1">
      <c r="A22744" s="83"/>
      <c r="H22744" s="83"/>
      <c r="K22744" s="82"/>
      <c r="M22744" s="112"/>
      <c r="N22744" s="84"/>
    </row>
    <row r="22745" spans="1:14" s="2" customFormat="1">
      <c r="A22745" s="83"/>
      <c r="H22745" s="83"/>
      <c r="K22745" s="82"/>
      <c r="M22745" s="112"/>
      <c r="N22745" s="84"/>
    </row>
    <row r="22746" spans="1:14" s="2" customFormat="1">
      <c r="A22746" s="83"/>
      <c r="H22746" s="83"/>
      <c r="K22746" s="82"/>
      <c r="M22746" s="112"/>
      <c r="N22746" s="84"/>
    </row>
    <row r="22747" spans="1:14" s="2" customFormat="1">
      <c r="A22747" s="83"/>
      <c r="H22747" s="83"/>
      <c r="K22747" s="82"/>
      <c r="M22747" s="112"/>
      <c r="N22747" s="84"/>
    </row>
    <row r="22748" spans="1:14" s="2" customFormat="1">
      <c r="A22748" s="83"/>
      <c r="H22748" s="83"/>
      <c r="K22748" s="82"/>
      <c r="M22748" s="112"/>
      <c r="N22748" s="84"/>
    </row>
    <row r="22749" spans="1:14" s="2" customFormat="1">
      <c r="A22749" s="83"/>
      <c r="H22749" s="83"/>
      <c r="K22749" s="82"/>
      <c r="M22749" s="112"/>
      <c r="N22749" s="84"/>
    </row>
    <row r="22750" spans="1:14" s="2" customFormat="1">
      <c r="A22750" s="83"/>
      <c r="H22750" s="83"/>
      <c r="K22750" s="82"/>
      <c r="M22750" s="112"/>
      <c r="N22750" s="84"/>
    </row>
    <row r="22751" spans="1:14" s="2" customFormat="1">
      <c r="A22751" s="83"/>
      <c r="H22751" s="83"/>
      <c r="K22751" s="82"/>
      <c r="M22751" s="112"/>
      <c r="N22751" s="84"/>
    </row>
    <row r="22752" spans="1:14" s="2" customFormat="1">
      <c r="A22752" s="83"/>
      <c r="H22752" s="83"/>
      <c r="K22752" s="82"/>
      <c r="M22752" s="112"/>
      <c r="N22752" s="84"/>
    </row>
    <row r="22753" spans="1:14" s="2" customFormat="1">
      <c r="A22753" s="83"/>
      <c r="H22753" s="83"/>
      <c r="K22753" s="82"/>
      <c r="M22753" s="112"/>
      <c r="N22753" s="84"/>
    </row>
    <row r="22754" spans="1:14" s="2" customFormat="1">
      <c r="A22754" s="83"/>
      <c r="H22754" s="83"/>
      <c r="K22754" s="82"/>
      <c r="M22754" s="112"/>
      <c r="N22754" s="84"/>
    </row>
    <row r="22755" spans="1:14" s="2" customFormat="1">
      <c r="A22755" s="83"/>
      <c r="H22755" s="83"/>
      <c r="K22755" s="82"/>
      <c r="M22755" s="112"/>
      <c r="N22755" s="84"/>
    </row>
    <row r="22756" spans="1:14" s="2" customFormat="1">
      <c r="A22756" s="83"/>
      <c r="H22756" s="83"/>
      <c r="K22756" s="82"/>
      <c r="M22756" s="112"/>
      <c r="N22756" s="84"/>
    </row>
    <row r="22757" spans="1:14" s="2" customFormat="1">
      <c r="A22757" s="83"/>
      <c r="H22757" s="83"/>
      <c r="K22757" s="82"/>
      <c r="M22757" s="112"/>
      <c r="N22757" s="84"/>
    </row>
    <row r="22758" spans="1:14" s="2" customFormat="1">
      <c r="A22758" s="83"/>
      <c r="H22758" s="83"/>
      <c r="K22758" s="82"/>
      <c r="M22758" s="112"/>
      <c r="N22758" s="84"/>
    </row>
    <row r="22759" spans="1:14" s="2" customFormat="1">
      <c r="A22759" s="83"/>
      <c r="H22759" s="83"/>
      <c r="K22759" s="82"/>
      <c r="M22759" s="112"/>
      <c r="N22759" s="84"/>
    </row>
    <row r="22760" spans="1:14" s="2" customFormat="1">
      <c r="A22760" s="83"/>
      <c r="H22760" s="83"/>
      <c r="K22760" s="82"/>
      <c r="M22760" s="112"/>
      <c r="N22760" s="84"/>
    </row>
    <row r="22761" spans="1:14" s="2" customFormat="1">
      <c r="A22761" s="83"/>
      <c r="H22761" s="83"/>
      <c r="K22761" s="82"/>
      <c r="M22761" s="112"/>
      <c r="N22761" s="84"/>
    </row>
    <row r="22762" spans="1:14" s="2" customFormat="1">
      <c r="A22762" s="83"/>
      <c r="H22762" s="83"/>
      <c r="K22762" s="82"/>
      <c r="M22762" s="112"/>
      <c r="N22762" s="84"/>
    </row>
    <row r="22763" spans="1:14" s="2" customFormat="1">
      <c r="A22763" s="83"/>
      <c r="H22763" s="83"/>
      <c r="K22763" s="82"/>
      <c r="M22763" s="112"/>
      <c r="N22763" s="84"/>
    </row>
    <row r="22764" spans="1:14" s="2" customFormat="1">
      <c r="A22764" s="83"/>
      <c r="H22764" s="83"/>
      <c r="K22764" s="82"/>
      <c r="M22764" s="112"/>
      <c r="N22764" s="84"/>
    </row>
    <row r="22765" spans="1:14" s="2" customFormat="1">
      <c r="A22765" s="83"/>
      <c r="H22765" s="83"/>
      <c r="K22765" s="82"/>
      <c r="M22765" s="112"/>
      <c r="N22765" s="84"/>
    </row>
    <row r="22766" spans="1:14" s="2" customFormat="1">
      <c r="A22766" s="83"/>
      <c r="H22766" s="83"/>
      <c r="K22766" s="82"/>
      <c r="M22766" s="112"/>
      <c r="N22766" s="84"/>
    </row>
    <row r="22767" spans="1:14" s="2" customFormat="1">
      <c r="A22767" s="83"/>
      <c r="H22767" s="83"/>
      <c r="K22767" s="82"/>
      <c r="M22767" s="112"/>
      <c r="N22767" s="84"/>
    </row>
    <row r="22768" spans="1:14" s="2" customFormat="1">
      <c r="A22768" s="83"/>
      <c r="H22768" s="83"/>
      <c r="K22768" s="82"/>
      <c r="M22768" s="112"/>
      <c r="N22768" s="84"/>
    </row>
    <row r="22769" spans="1:14" s="2" customFormat="1">
      <c r="A22769" s="83"/>
      <c r="H22769" s="83"/>
      <c r="K22769" s="82"/>
      <c r="M22769" s="112"/>
      <c r="N22769" s="84"/>
    </row>
    <row r="22770" spans="1:14" s="2" customFormat="1">
      <c r="A22770" s="83"/>
      <c r="H22770" s="83"/>
      <c r="K22770" s="82"/>
      <c r="M22770" s="112"/>
      <c r="N22770" s="84"/>
    </row>
    <row r="22771" spans="1:14" s="2" customFormat="1">
      <c r="A22771" s="83"/>
      <c r="H22771" s="83"/>
      <c r="K22771" s="82"/>
      <c r="M22771" s="112"/>
      <c r="N22771" s="84"/>
    </row>
    <row r="22772" spans="1:14" s="2" customFormat="1">
      <c r="A22772" s="83"/>
      <c r="H22772" s="83"/>
      <c r="K22772" s="82"/>
      <c r="M22772" s="112"/>
      <c r="N22772" s="84"/>
    </row>
    <row r="22773" spans="1:14" s="2" customFormat="1">
      <c r="A22773" s="83"/>
      <c r="H22773" s="83"/>
      <c r="K22773" s="82"/>
      <c r="M22773" s="112"/>
      <c r="N22773" s="84"/>
    </row>
    <row r="22774" spans="1:14" s="2" customFormat="1">
      <c r="A22774" s="83"/>
      <c r="H22774" s="83"/>
      <c r="K22774" s="82"/>
      <c r="M22774" s="112"/>
      <c r="N22774" s="84"/>
    </row>
    <row r="22775" spans="1:14" s="2" customFormat="1">
      <c r="A22775" s="83"/>
      <c r="H22775" s="83"/>
      <c r="K22775" s="82"/>
      <c r="M22775" s="112"/>
      <c r="N22775" s="84"/>
    </row>
    <row r="22776" spans="1:14" s="2" customFormat="1">
      <c r="A22776" s="83"/>
      <c r="H22776" s="83"/>
      <c r="K22776" s="82"/>
      <c r="M22776" s="112"/>
      <c r="N22776" s="84"/>
    </row>
    <row r="22777" spans="1:14" s="2" customFormat="1">
      <c r="A22777" s="83"/>
      <c r="H22777" s="83"/>
      <c r="K22777" s="82"/>
      <c r="M22777" s="112"/>
      <c r="N22777" s="84"/>
    </row>
    <row r="22778" spans="1:14" s="2" customFormat="1">
      <c r="A22778" s="83"/>
      <c r="H22778" s="83"/>
      <c r="K22778" s="82"/>
      <c r="M22778" s="112"/>
      <c r="N22778" s="84"/>
    </row>
    <row r="22779" spans="1:14" s="2" customFormat="1">
      <c r="A22779" s="83"/>
      <c r="H22779" s="83"/>
      <c r="K22779" s="82"/>
      <c r="M22779" s="112"/>
      <c r="N22779" s="84"/>
    </row>
    <row r="22780" spans="1:14" s="2" customFormat="1">
      <c r="A22780" s="83"/>
      <c r="H22780" s="83"/>
      <c r="K22780" s="82"/>
      <c r="M22780" s="112"/>
      <c r="N22780" s="84"/>
    </row>
    <row r="22781" spans="1:14" s="2" customFormat="1">
      <c r="A22781" s="83"/>
      <c r="H22781" s="83"/>
      <c r="K22781" s="82"/>
      <c r="M22781" s="112"/>
      <c r="N22781" s="84"/>
    </row>
    <row r="22782" spans="1:14" s="2" customFormat="1">
      <c r="A22782" s="83"/>
      <c r="H22782" s="83"/>
      <c r="K22782" s="82"/>
      <c r="M22782" s="112"/>
      <c r="N22782" s="84"/>
    </row>
    <row r="22783" spans="1:14" s="2" customFormat="1">
      <c r="A22783" s="83"/>
      <c r="H22783" s="83"/>
      <c r="K22783" s="82"/>
      <c r="M22783" s="112"/>
      <c r="N22783" s="84"/>
    </row>
    <row r="22784" spans="1:14" s="2" customFormat="1">
      <c r="A22784" s="83"/>
      <c r="H22784" s="83"/>
      <c r="K22784" s="82"/>
      <c r="M22784" s="112"/>
      <c r="N22784" s="84"/>
    </row>
    <row r="22785" spans="1:14" s="2" customFormat="1">
      <c r="A22785" s="83"/>
      <c r="H22785" s="83"/>
      <c r="K22785" s="82"/>
      <c r="M22785" s="112"/>
      <c r="N22785" s="84"/>
    </row>
    <row r="22786" spans="1:14" s="2" customFormat="1">
      <c r="A22786" s="83"/>
      <c r="H22786" s="83"/>
      <c r="K22786" s="82"/>
      <c r="M22786" s="112"/>
      <c r="N22786" s="84"/>
    </row>
    <row r="22787" spans="1:14" s="2" customFormat="1">
      <c r="A22787" s="83"/>
      <c r="H22787" s="83"/>
      <c r="K22787" s="82"/>
      <c r="M22787" s="112"/>
      <c r="N22787" s="84"/>
    </row>
    <row r="22788" spans="1:14" s="2" customFormat="1">
      <c r="A22788" s="83"/>
      <c r="H22788" s="83"/>
      <c r="K22788" s="82"/>
      <c r="M22788" s="112"/>
      <c r="N22788" s="84"/>
    </row>
    <row r="22789" spans="1:14" s="2" customFormat="1">
      <c r="A22789" s="83"/>
      <c r="H22789" s="83"/>
      <c r="K22789" s="82"/>
      <c r="M22789" s="112"/>
      <c r="N22789" s="84"/>
    </row>
    <row r="22790" spans="1:14" s="2" customFormat="1">
      <c r="A22790" s="83"/>
      <c r="H22790" s="83"/>
      <c r="K22790" s="82"/>
      <c r="M22790" s="112"/>
      <c r="N22790" s="84"/>
    </row>
    <row r="22791" spans="1:14" s="2" customFormat="1">
      <c r="A22791" s="83"/>
      <c r="H22791" s="83"/>
      <c r="K22791" s="82"/>
      <c r="M22791" s="112"/>
      <c r="N22791" s="84"/>
    </row>
    <row r="22792" spans="1:14" s="2" customFormat="1">
      <c r="A22792" s="83"/>
      <c r="H22792" s="83"/>
      <c r="K22792" s="82"/>
      <c r="M22792" s="112"/>
      <c r="N22792" s="84"/>
    </row>
    <row r="22793" spans="1:14" s="2" customFormat="1">
      <c r="A22793" s="83"/>
      <c r="H22793" s="83"/>
      <c r="K22793" s="82"/>
      <c r="M22793" s="112"/>
      <c r="N22793" s="84"/>
    </row>
    <row r="22794" spans="1:14" s="2" customFormat="1">
      <c r="A22794" s="83"/>
      <c r="H22794" s="83"/>
      <c r="K22794" s="82"/>
      <c r="M22794" s="112"/>
      <c r="N22794" s="84"/>
    </row>
    <row r="22795" spans="1:14" s="2" customFormat="1">
      <c r="A22795" s="83"/>
      <c r="H22795" s="83"/>
      <c r="K22795" s="82"/>
      <c r="M22795" s="112"/>
      <c r="N22795" s="84"/>
    </row>
    <row r="22796" spans="1:14" s="2" customFormat="1">
      <c r="A22796" s="83"/>
      <c r="H22796" s="83"/>
      <c r="K22796" s="82"/>
      <c r="M22796" s="112"/>
      <c r="N22796" s="84"/>
    </row>
    <row r="22797" spans="1:14" s="2" customFormat="1">
      <c r="A22797" s="83"/>
      <c r="H22797" s="83"/>
      <c r="K22797" s="82"/>
      <c r="M22797" s="112"/>
      <c r="N22797" s="84"/>
    </row>
    <row r="22798" spans="1:14" s="2" customFormat="1">
      <c r="A22798" s="83"/>
      <c r="H22798" s="83"/>
      <c r="K22798" s="82"/>
      <c r="M22798" s="112"/>
      <c r="N22798" s="84"/>
    </row>
    <row r="22799" spans="1:14" s="2" customFormat="1">
      <c r="A22799" s="83"/>
      <c r="H22799" s="83"/>
      <c r="K22799" s="82"/>
      <c r="M22799" s="112"/>
      <c r="N22799" s="84"/>
    </row>
    <row r="22800" spans="1:14" s="2" customFormat="1">
      <c r="A22800" s="83"/>
      <c r="H22800" s="83"/>
      <c r="K22800" s="82"/>
      <c r="M22800" s="112"/>
      <c r="N22800" s="84"/>
    </row>
    <row r="22801" spans="1:14" s="2" customFormat="1">
      <c r="A22801" s="83"/>
      <c r="H22801" s="83"/>
      <c r="K22801" s="82"/>
      <c r="M22801" s="112"/>
      <c r="N22801" s="84"/>
    </row>
    <row r="22802" spans="1:14" s="2" customFormat="1">
      <c r="A22802" s="83"/>
      <c r="H22802" s="83"/>
      <c r="K22802" s="82"/>
      <c r="M22802" s="112"/>
      <c r="N22802" s="84"/>
    </row>
    <row r="22803" spans="1:14" s="2" customFormat="1">
      <c r="A22803" s="83"/>
      <c r="H22803" s="83"/>
      <c r="K22803" s="82"/>
      <c r="M22803" s="112"/>
      <c r="N22803" s="84"/>
    </row>
    <row r="22804" spans="1:14" s="2" customFormat="1">
      <c r="A22804" s="83"/>
      <c r="H22804" s="83"/>
      <c r="K22804" s="82"/>
      <c r="M22804" s="112"/>
      <c r="N22804" s="84"/>
    </row>
    <row r="22805" spans="1:14" s="2" customFormat="1">
      <c r="A22805" s="83"/>
      <c r="H22805" s="83"/>
      <c r="K22805" s="82"/>
      <c r="M22805" s="112"/>
      <c r="N22805" s="84"/>
    </row>
    <row r="22806" spans="1:14" s="2" customFormat="1">
      <c r="A22806" s="83"/>
      <c r="H22806" s="83"/>
      <c r="K22806" s="82"/>
      <c r="M22806" s="112"/>
      <c r="N22806" s="84"/>
    </row>
    <row r="22807" spans="1:14" s="2" customFormat="1">
      <c r="A22807" s="83"/>
      <c r="H22807" s="83"/>
      <c r="K22807" s="82"/>
      <c r="M22807" s="112"/>
      <c r="N22807" s="84"/>
    </row>
    <row r="22808" spans="1:14" s="2" customFormat="1">
      <c r="A22808" s="83"/>
      <c r="H22808" s="83"/>
      <c r="K22808" s="82"/>
      <c r="M22808" s="112"/>
      <c r="N22808" s="84"/>
    </row>
    <row r="22809" spans="1:14" s="2" customFormat="1">
      <c r="A22809" s="83"/>
      <c r="H22809" s="83"/>
      <c r="K22809" s="82"/>
      <c r="M22809" s="112"/>
      <c r="N22809" s="84"/>
    </row>
    <row r="22810" spans="1:14" s="2" customFormat="1">
      <c r="A22810" s="83"/>
      <c r="H22810" s="83"/>
      <c r="K22810" s="82"/>
      <c r="M22810" s="112"/>
      <c r="N22810" s="84"/>
    </row>
    <row r="22811" spans="1:14" s="2" customFormat="1">
      <c r="A22811" s="83"/>
      <c r="H22811" s="83"/>
      <c r="K22811" s="82"/>
      <c r="M22811" s="112"/>
      <c r="N22811" s="84"/>
    </row>
    <row r="22812" spans="1:14" s="2" customFormat="1">
      <c r="A22812" s="83"/>
      <c r="H22812" s="83"/>
      <c r="K22812" s="82"/>
      <c r="M22812" s="112"/>
      <c r="N22812" s="84"/>
    </row>
    <row r="22813" spans="1:14" s="2" customFormat="1">
      <c r="A22813" s="83"/>
      <c r="H22813" s="83"/>
      <c r="K22813" s="82"/>
      <c r="M22813" s="112"/>
      <c r="N22813" s="84"/>
    </row>
    <row r="22814" spans="1:14" s="2" customFormat="1">
      <c r="A22814" s="83"/>
      <c r="H22814" s="83"/>
      <c r="K22814" s="82"/>
      <c r="M22814" s="112"/>
      <c r="N22814" s="84"/>
    </row>
    <row r="22815" spans="1:14" s="2" customFormat="1">
      <c r="A22815" s="83"/>
      <c r="H22815" s="83"/>
      <c r="K22815" s="82"/>
      <c r="M22815" s="112"/>
      <c r="N22815" s="84"/>
    </row>
    <row r="22816" spans="1:14" s="2" customFormat="1">
      <c r="A22816" s="83"/>
      <c r="H22816" s="83"/>
      <c r="K22816" s="82"/>
      <c r="M22816" s="112"/>
      <c r="N22816" s="84"/>
    </row>
    <row r="22817" spans="1:14" s="2" customFormat="1">
      <c r="A22817" s="83"/>
      <c r="H22817" s="83"/>
      <c r="K22817" s="82"/>
      <c r="M22817" s="112"/>
      <c r="N22817" s="84"/>
    </row>
    <row r="22818" spans="1:14" s="2" customFormat="1">
      <c r="A22818" s="83"/>
      <c r="H22818" s="83"/>
      <c r="K22818" s="82"/>
      <c r="M22818" s="112"/>
      <c r="N22818" s="84"/>
    </row>
    <row r="22819" spans="1:14" s="2" customFormat="1">
      <c r="A22819" s="83"/>
      <c r="H22819" s="83"/>
      <c r="K22819" s="82"/>
      <c r="M22819" s="112"/>
      <c r="N22819" s="84"/>
    </row>
    <row r="22820" spans="1:14" s="2" customFormat="1">
      <c r="A22820" s="83"/>
      <c r="H22820" s="83"/>
      <c r="K22820" s="82"/>
      <c r="M22820" s="112"/>
      <c r="N22820" s="84"/>
    </row>
    <row r="22821" spans="1:14" s="2" customFormat="1">
      <c r="A22821" s="83"/>
      <c r="H22821" s="83"/>
      <c r="K22821" s="82"/>
      <c r="M22821" s="112"/>
      <c r="N22821" s="84"/>
    </row>
    <row r="22822" spans="1:14" s="2" customFormat="1">
      <c r="A22822" s="83"/>
      <c r="H22822" s="83"/>
      <c r="K22822" s="82"/>
      <c r="M22822" s="112"/>
      <c r="N22822" s="84"/>
    </row>
    <row r="22823" spans="1:14" s="2" customFormat="1">
      <c r="A22823" s="83"/>
      <c r="H22823" s="83"/>
      <c r="K22823" s="82"/>
      <c r="M22823" s="112"/>
      <c r="N22823" s="84"/>
    </row>
    <row r="22824" spans="1:14" s="2" customFormat="1">
      <c r="A22824" s="83"/>
      <c r="H22824" s="83"/>
      <c r="K22824" s="82"/>
      <c r="M22824" s="112"/>
      <c r="N22824" s="84"/>
    </row>
    <row r="22825" spans="1:14" s="2" customFormat="1">
      <c r="A22825" s="83"/>
      <c r="H22825" s="83"/>
      <c r="K22825" s="82"/>
      <c r="M22825" s="112"/>
      <c r="N22825" s="84"/>
    </row>
    <row r="22826" spans="1:14" s="2" customFormat="1">
      <c r="A22826" s="83"/>
      <c r="H22826" s="83"/>
      <c r="K22826" s="82"/>
      <c r="M22826" s="112"/>
      <c r="N22826" s="84"/>
    </row>
    <row r="22827" spans="1:14" s="2" customFormat="1">
      <c r="A22827" s="83"/>
      <c r="H22827" s="83"/>
      <c r="K22827" s="82"/>
      <c r="M22827" s="112"/>
      <c r="N22827" s="84"/>
    </row>
    <row r="22828" spans="1:14" s="2" customFormat="1">
      <c r="A22828" s="83"/>
      <c r="H22828" s="83"/>
      <c r="K22828" s="82"/>
      <c r="M22828" s="112"/>
      <c r="N22828" s="84"/>
    </row>
    <row r="22829" spans="1:14" s="2" customFormat="1">
      <c r="A22829" s="83"/>
      <c r="H22829" s="83"/>
      <c r="K22829" s="82"/>
      <c r="M22829" s="112"/>
      <c r="N22829" s="84"/>
    </row>
    <row r="22830" spans="1:14" s="2" customFormat="1">
      <c r="A22830" s="83"/>
      <c r="H22830" s="83"/>
      <c r="K22830" s="82"/>
      <c r="M22830" s="112"/>
      <c r="N22830" s="84"/>
    </row>
    <row r="22831" spans="1:14" s="2" customFormat="1">
      <c r="A22831" s="83"/>
      <c r="H22831" s="83"/>
      <c r="K22831" s="82"/>
      <c r="M22831" s="112"/>
      <c r="N22831" s="84"/>
    </row>
    <row r="22832" spans="1:14" s="2" customFormat="1">
      <c r="A22832" s="83"/>
      <c r="H22832" s="83"/>
      <c r="K22832" s="82"/>
      <c r="M22832" s="112"/>
      <c r="N22832" s="84"/>
    </row>
    <row r="22833" spans="1:14" s="2" customFormat="1">
      <c r="A22833" s="83"/>
      <c r="H22833" s="83"/>
      <c r="K22833" s="82"/>
      <c r="M22833" s="112"/>
      <c r="N22833" s="84"/>
    </row>
    <row r="22834" spans="1:14" s="2" customFormat="1">
      <c r="A22834" s="83"/>
      <c r="H22834" s="83"/>
      <c r="K22834" s="82"/>
      <c r="M22834" s="112"/>
      <c r="N22834" s="84"/>
    </row>
    <row r="22835" spans="1:14" s="2" customFormat="1">
      <c r="A22835" s="83"/>
      <c r="H22835" s="83"/>
      <c r="K22835" s="82"/>
      <c r="M22835" s="112"/>
      <c r="N22835" s="84"/>
    </row>
    <row r="22836" spans="1:14" s="2" customFormat="1">
      <c r="A22836" s="83"/>
      <c r="H22836" s="83"/>
      <c r="K22836" s="82"/>
      <c r="M22836" s="112"/>
      <c r="N22836" s="84"/>
    </row>
    <row r="22837" spans="1:14" s="2" customFormat="1">
      <c r="A22837" s="83"/>
      <c r="H22837" s="83"/>
      <c r="K22837" s="82"/>
      <c r="M22837" s="112"/>
      <c r="N22837" s="84"/>
    </row>
    <row r="22838" spans="1:14" s="2" customFormat="1">
      <c r="A22838" s="83"/>
      <c r="H22838" s="83"/>
      <c r="K22838" s="82"/>
      <c r="M22838" s="112"/>
      <c r="N22838" s="84"/>
    </row>
    <row r="22839" spans="1:14" s="2" customFormat="1">
      <c r="A22839" s="83"/>
      <c r="H22839" s="83"/>
      <c r="K22839" s="82"/>
      <c r="M22839" s="112"/>
      <c r="N22839" s="84"/>
    </row>
    <row r="22840" spans="1:14" s="2" customFormat="1">
      <c r="A22840" s="83"/>
      <c r="H22840" s="83"/>
      <c r="K22840" s="82"/>
      <c r="M22840" s="112"/>
      <c r="N22840" s="84"/>
    </row>
    <row r="22841" spans="1:14" s="2" customFormat="1">
      <c r="A22841" s="83"/>
      <c r="H22841" s="83"/>
      <c r="K22841" s="82"/>
      <c r="M22841" s="112"/>
      <c r="N22841" s="84"/>
    </row>
    <row r="22842" spans="1:14" s="2" customFormat="1">
      <c r="A22842" s="83"/>
      <c r="H22842" s="83"/>
      <c r="K22842" s="82"/>
      <c r="M22842" s="112"/>
      <c r="N22842" s="84"/>
    </row>
    <row r="22843" spans="1:14" s="2" customFormat="1">
      <c r="A22843" s="83"/>
      <c r="H22843" s="83"/>
      <c r="K22843" s="82"/>
      <c r="M22843" s="112"/>
      <c r="N22843" s="84"/>
    </row>
    <row r="22844" spans="1:14" s="2" customFormat="1">
      <c r="A22844" s="83"/>
      <c r="H22844" s="83"/>
      <c r="K22844" s="82"/>
      <c r="M22844" s="112"/>
      <c r="N22844" s="84"/>
    </row>
    <row r="22845" spans="1:14" s="2" customFormat="1">
      <c r="A22845" s="83"/>
      <c r="H22845" s="83"/>
      <c r="K22845" s="82"/>
      <c r="M22845" s="112"/>
      <c r="N22845" s="84"/>
    </row>
    <row r="22846" spans="1:14" s="2" customFormat="1">
      <c r="A22846" s="83"/>
      <c r="H22846" s="83"/>
      <c r="K22846" s="82"/>
      <c r="M22846" s="112"/>
      <c r="N22846" s="84"/>
    </row>
    <row r="22847" spans="1:14" s="2" customFormat="1">
      <c r="A22847" s="83"/>
      <c r="H22847" s="83"/>
      <c r="K22847" s="82"/>
      <c r="M22847" s="112"/>
      <c r="N22847" s="84"/>
    </row>
    <row r="22848" spans="1:14" s="2" customFormat="1">
      <c r="A22848" s="83"/>
      <c r="H22848" s="83"/>
      <c r="K22848" s="82"/>
      <c r="M22848" s="112"/>
      <c r="N22848" s="84"/>
    </row>
    <row r="22849" spans="1:14" s="2" customFormat="1">
      <c r="A22849" s="83"/>
      <c r="H22849" s="83"/>
      <c r="K22849" s="82"/>
      <c r="M22849" s="112"/>
      <c r="N22849" s="84"/>
    </row>
    <row r="22850" spans="1:14" s="2" customFormat="1">
      <c r="A22850" s="83"/>
      <c r="H22850" s="83"/>
      <c r="K22850" s="82"/>
      <c r="M22850" s="112"/>
      <c r="N22850" s="84"/>
    </row>
    <row r="22851" spans="1:14" s="2" customFormat="1">
      <c r="A22851" s="83"/>
      <c r="H22851" s="83"/>
      <c r="K22851" s="82"/>
      <c r="M22851" s="112"/>
      <c r="N22851" s="84"/>
    </row>
    <row r="22852" spans="1:14" s="2" customFormat="1">
      <c r="A22852" s="83"/>
      <c r="H22852" s="83"/>
      <c r="K22852" s="82"/>
      <c r="M22852" s="112"/>
      <c r="N22852" s="84"/>
    </row>
    <row r="22853" spans="1:14" s="2" customFormat="1">
      <c r="A22853" s="83"/>
      <c r="H22853" s="83"/>
      <c r="K22853" s="82"/>
      <c r="M22853" s="112"/>
      <c r="N22853" s="84"/>
    </row>
    <row r="22854" spans="1:14" s="2" customFormat="1">
      <c r="A22854" s="83"/>
      <c r="H22854" s="83"/>
      <c r="K22854" s="82"/>
      <c r="M22854" s="112"/>
      <c r="N22854" s="84"/>
    </row>
    <row r="22855" spans="1:14" s="2" customFormat="1">
      <c r="A22855" s="83"/>
      <c r="H22855" s="83"/>
      <c r="K22855" s="82"/>
      <c r="M22855" s="112"/>
      <c r="N22855" s="84"/>
    </row>
    <row r="22856" spans="1:14" s="2" customFormat="1">
      <c r="A22856" s="83"/>
      <c r="H22856" s="83"/>
      <c r="K22856" s="82"/>
      <c r="M22856" s="112"/>
      <c r="N22856" s="84"/>
    </row>
    <row r="22857" spans="1:14" s="2" customFormat="1">
      <c r="A22857" s="83"/>
      <c r="H22857" s="83"/>
      <c r="K22857" s="82"/>
      <c r="M22857" s="112"/>
      <c r="N22857" s="84"/>
    </row>
    <row r="22858" spans="1:14" s="2" customFormat="1">
      <c r="A22858" s="83"/>
      <c r="H22858" s="83"/>
      <c r="K22858" s="82"/>
      <c r="M22858" s="112"/>
      <c r="N22858" s="84"/>
    </row>
    <row r="22859" spans="1:14" s="2" customFormat="1">
      <c r="A22859" s="83"/>
      <c r="H22859" s="83"/>
      <c r="K22859" s="82"/>
      <c r="M22859" s="112"/>
      <c r="N22859" s="84"/>
    </row>
    <row r="22860" spans="1:14" s="2" customFormat="1">
      <c r="A22860" s="83"/>
      <c r="H22860" s="83"/>
      <c r="K22860" s="82"/>
      <c r="M22860" s="112"/>
      <c r="N22860" s="84"/>
    </row>
    <row r="22861" spans="1:14" s="2" customFormat="1">
      <c r="A22861" s="83"/>
      <c r="H22861" s="83"/>
      <c r="K22861" s="82"/>
      <c r="M22861" s="112"/>
      <c r="N22861" s="84"/>
    </row>
    <row r="22862" spans="1:14" s="2" customFormat="1">
      <c r="A22862" s="83"/>
      <c r="H22862" s="83"/>
      <c r="K22862" s="82"/>
      <c r="M22862" s="112"/>
      <c r="N22862" s="84"/>
    </row>
    <row r="22863" spans="1:14" s="2" customFormat="1">
      <c r="A22863" s="83"/>
      <c r="H22863" s="83"/>
      <c r="K22863" s="82"/>
      <c r="M22863" s="112"/>
      <c r="N22863" s="84"/>
    </row>
    <row r="22864" spans="1:14" s="2" customFormat="1">
      <c r="A22864" s="83"/>
      <c r="H22864" s="83"/>
      <c r="K22864" s="82"/>
      <c r="M22864" s="112"/>
      <c r="N22864" s="84"/>
    </row>
    <row r="22865" spans="1:14" s="2" customFormat="1">
      <c r="A22865" s="83"/>
      <c r="H22865" s="83"/>
      <c r="K22865" s="82"/>
      <c r="M22865" s="112"/>
      <c r="N22865" s="84"/>
    </row>
    <row r="22866" spans="1:14" s="2" customFormat="1">
      <c r="A22866" s="83"/>
      <c r="H22866" s="83"/>
      <c r="K22866" s="82"/>
      <c r="M22866" s="112"/>
      <c r="N22866" s="84"/>
    </row>
    <row r="22867" spans="1:14" s="2" customFormat="1">
      <c r="A22867" s="83"/>
      <c r="H22867" s="83"/>
      <c r="K22867" s="82"/>
      <c r="M22867" s="112"/>
      <c r="N22867" s="84"/>
    </row>
    <row r="22868" spans="1:14" s="2" customFormat="1">
      <c r="A22868" s="83"/>
      <c r="H22868" s="83"/>
      <c r="K22868" s="82"/>
      <c r="M22868" s="112"/>
      <c r="N22868" s="84"/>
    </row>
    <row r="22869" spans="1:14" s="2" customFormat="1">
      <c r="A22869" s="83"/>
      <c r="H22869" s="83"/>
      <c r="K22869" s="82"/>
      <c r="M22869" s="112"/>
      <c r="N22869" s="84"/>
    </row>
    <row r="22870" spans="1:14" s="2" customFormat="1">
      <c r="A22870" s="83"/>
      <c r="H22870" s="83"/>
      <c r="K22870" s="82"/>
      <c r="M22870" s="112"/>
      <c r="N22870" s="84"/>
    </row>
    <row r="22871" spans="1:14" s="2" customFormat="1">
      <c r="A22871" s="83"/>
      <c r="H22871" s="83"/>
      <c r="K22871" s="82"/>
      <c r="M22871" s="112"/>
      <c r="N22871" s="84"/>
    </row>
    <row r="22872" spans="1:14" s="2" customFormat="1">
      <c r="A22872" s="83"/>
      <c r="H22872" s="83"/>
      <c r="K22872" s="82"/>
      <c r="M22872" s="112"/>
      <c r="N22872" s="84"/>
    </row>
    <row r="22873" spans="1:14" s="2" customFormat="1">
      <c r="A22873" s="83"/>
      <c r="H22873" s="83"/>
      <c r="K22873" s="82"/>
      <c r="M22873" s="112"/>
      <c r="N22873" s="84"/>
    </row>
    <row r="22874" spans="1:14" s="2" customFormat="1">
      <c r="A22874" s="83"/>
      <c r="H22874" s="83"/>
      <c r="K22874" s="82"/>
      <c r="M22874" s="112"/>
      <c r="N22874" s="84"/>
    </row>
    <row r="22875" spans="1:14" s="2" customFormat="1">
      <c r="A22875" s="83"/>
      <c r="H22875" s="83"/>
      <c r="K22875" s="82"/>
      <c r="M22875" s="112"/>
      <c r="N22875" s="84"/>
    </row>
    <row r="22876" spans="1:14" s="2" customFormat="1">
      <c r="A22876" s="83"/>
      <c r="H22876" s="83"/>
      <c r="K22876" s="82"/>
      <c r="M22876" s="112"/>
      <c r="N22876" s="84"/>
    </row>
    <row r="22877" spans="1:14" s="2" customFormat="1">
      <c r="A22877" s="83"/>
      <c r="H22877" s="83"/>
      <c r="K22877" s="82"/>
      <c r="M22877" s="112"/>
      <c r="N22877" s="84"/>
    </row>
    <row r="22878" spans="1:14" s="2" customFormat="1">
      <c r="A22878" s="83"/>
      <c r="H22878" s="83"/>
      <c r="K22878" s="82"/>
      <c r="M22878" s="112"/>
      <c r="N22878" s="84"/>
    </row>
    <row r="22879" spans="1:14" s="2" customFormat="1">
      <c r="A22879" s="83"/>
      <c r="H22879" s="83"/>
      <c r="K22879" s="82"/>
      <c r="M22879" s="112"/>
      <c r="N22879" s="84"/>
    </row>
    <row r="22880" spans="1:14" s="2" customFormat="1">
      <c r="A22880" s="83"/>
      <c r="H22880" s="83"/>
      <c r="K22880" s="82"/>
      <c r="M22880" s="112"/>
      <c r="N22880" s="84"/>
    </row>
    <row r="22881" spans="1:14" s="2" customFormat="1">
      <c r="A22881" s="83"/>
      <c r="H22881" s="83"/>
      <c r="K22881" s="82"/>
      <c r="M22881" s="112"/>
      <c r="N22881" s="84"/>
    </row>
    <row r="22882" spans="1:14" s="2" customFormat="1">
      <c r="A22882" s="83"/>
      <c r="H22882" s="83"/>
      <c r="K22882" s="82"/>
      <c r="M22882" s="112"/>
      <c r="N22882" s="84"/>
    </row>
    <row r="22883" spans="1:14" s="2" customFormat="1">
      <c r="A22883" s="83"/>
      <c r="H22883" s="83"/>
      <c r="K22883" s="82"/>
      <c r="M22883" s="112"/>
      <c r="N22883" s="84"/>
    </row>
    <row r="22884" spans="1:14" s="2" customFormat="1">
      <c r="A22884" s="83"/>
      <c r="H22884" s="83"/>
      <c r="K22884" s="82"/>
      <c r="M22884" s="112"/>
      <c r="N22884" s="84"/>
    </row>
    <row r="22885" spans="1:14" s="2" customFormat="1">
      <c r="A22885" s="83"/>
      <c r="H22885" s="83"/>
      <c r="K22885" s="82"/>
      <c r="M22885" s="112"/>
      <c r="N22885" s="84"/>
    </row>
    <row r="22886" spans="1:14" s="2" customFormat="1">
      <c r="A22886" s="83"/>
      <c r="H22886" s="83"/>
      <c r="K22886" s="82"/>
      <c r="M22886" s="112"/>
      <c r="N22886" s="84"/>
    </row>
    <row r="22887" spans="1:14" s="2" customFormat="1">
      <c r="A22887" s="83"/>
      <c r="H22887" s="83"/>
      <c r="K22887" s="82"/>
      <c r="M22887" s="112"/>
      <c r="N22887" s="84"/>
    </row>
    <row r="22888" spans="1:14" s="2" customFormat="1">
      <c r="A22888" s="83"/>
      <c r="H22888" s="83"/>
      <c r="K22888" s="82"/>
      <c r="M22888" s="112"/>
      <c r="N22888" s="84"/>
    </row>
    <row r="22889" spans="1:14" s="2" customFormat="1">
      <c r="A22889" s="83"/>
      <c r="H22889" s="83"/>
      <c r="K22889" s="82"/>
      <c r="M22889" s="112"/>
      <c r="N22889" s="84"/>
    </row>
    <row r="22890" spans="1:14" s="2" customFormat="1">
      <c r="A22890" s="83"/>
      <c r="H22890" s="83"/>
      <c r="K22890" s="82"/>
      <c r="M22890" s="112"/>
      <c r="N22890" s="84"/>
    </row>
    <row r="22891" spans="1:14" s="2" customFormat="1">
      <c r="A22891" s="83"/>
      <c r="H22891" s="83"/>
      <c r="K22891" s="82"/>
      <c r="M22891" s="112"/>
      <c r="N22891" s="84"/>
    </row>
    <row r="22892" spans="1:14" s="2" customFormat="1">
      <c r="A22892" s="83"/>
      <c r="H22892" s="83"/>
      <c r="K22892" s="82"/>
      <c r="M22892" s="112"/>
      <c r="N22892" s="84"/>
    </row>
    <row r="22893" spans="1:14" s="2" customFormat="1">
      <c r="A22893" s="83"/>
      <c r="H22893" s="83"/>
      <c r="K22893" s="82"/>
      <c r="M22893" s="112"/>
      <c r="N22893" s="84"/>
    </row>
    <row r="22894" spans="1:14" s="2" customFormat="1">
      <c r="A22894" s="83"/>
      <c r="H22894" s="83"/>
      <c r="K22894" s="82"/>
      <c r="M22894" s="112"/>
      <c r="N22894" s="84"/>
    </row>
    <row r="22895" spans="1:14" s="2" customFormat="1">
      <c r="A22895" s="83"/>
      <c r="H22895" s="83"/>
      <c r="K22895" s="82"/>
      <c r="M22895" s="112"/>
      <c r="N22895" s="84"/>
    </row>
    <row r="22896" spans="1:14" s="2" customFormat="1">
      <c r="A22896" s="83"/>
      <c r="H22896" s="83"/>
      <c r="K22896" s="82"/>
      <c r="M22896" s="112"/>
      <c r="N22896" s="84"/>
    </row>
    <row r="22897" spans="1:14" s="2" customFormat="1">
      <c r="A22897" s="83"/>
      <c r="H22897" s="83"/>
      <c r="K22897" s="82"/>
      <c r="M22897" s="112"/>
      <c r="N22897" s="84"/>
    </row>
    <row r="22898" spans="1:14" s="2" customFormat="1">
      <c r="A22898" s="83"/>
      <c r="H22898" s="83"/>
      <c r="K22898" s="82"/>
      <c r="M22898" s="112"/>
      <c r="N22898" s="84"/>
    </row>
    <row r="22899" spans="1:14" s="2" customFormat="1">
      <c r="A22899" s="83"/>
      <c r="H22899" s="83"/>
      <c r="K22899" s="82"/>
      <c r="M22899" s="112"/>
      <c r="N22899" s="84"/>
    </row>
    <row r="22900" spans="1:14" s="2" customFormat="1">
      <c r="A22900" s="83"/>
      <c r="H22900" s="83"/>
      <c r="K22900" s="82"/>
      <c r="M22900" s="112"/>
      <c r="N22900" s="84"/>
    </row>
    <row r="22901" spans="1:14" s="2" customFormat="1">
      <c r="A22901" s="83"/>
      <c r="H22901" s="83"/>
      <c r="K22901" s="82"/>
      <c r="M22901" s="112"/>
      <c r="N22901" s="84"/>
    </row>
    <row r="22902" spans="1:14" s="2" customFormat="1">
      <c r="A22902" s="83"/>
      <c r="H22902" s="83"/>
      <c r="K22902" s="82"/>
      <c r="M22902" s="112"/>
      <c r="N22902" s="84"/>
    </row>
    <row r="22903" spans="1:14" s="2" customFormat="1">
      <c r="A22903" s="83"/>
      <c r="H22903" s="83"/>
      <c r="K22903" s="82"/>
      <c r="M22903" s="112"/>
      <c r="N22903" s="84"/>
    </row>
    <row r="22904" spans="1:14" s="2" customFormat="1">
      <c r="A22904" s="83"/>
      <c r="H22904" s="83"/>
      <c r="K22904" s="82"/>
      <c r="M22904" s="112"/>
      <c r="N22904" s="84"/>
    </row>
    <row r="22905" spans="1:14" s="2" customFormat="1">
      <c r="A22905" s="83"/>
      <c r="H22905" s="83"/>
      <c r="K22905" s="82"/>
      <c r="M22905" s="112"/>
      <c r="N22905" s="84"/>
    </row>
    <row r="22906" spans="1:14" s="2" customFormat="1">
      <c r="A22906" s="83"/>
      <c r="H22906" s="83"/>
      <c r="K22906" s="82"/>
      <c r="M22906" s="112"/>
      <c r="N22906" s="84"/>
    </row>
    <row r="22907" spans="1:14" s="2" customFormat="1">
      <c r="A22907" s="83"/>
      <c r="H22907" s="83"/>
      <c r="K22907" s="82"/>
      <c r="M22907" s="112"/>
      <c r="N22907" s="84"/>
    </row>
    <row r="22908" spans="1:14" s="2" customFormat="1">
      <c r="A22908" s="83"/>
      <c r="H22908" s="83"/>
      <c r="K22908" s="82"/>
      <c r="M22908" s="112"/>
      <c r="N22908" s="84"/>
    </row>
    <row r="22909" spans="1:14" s="2" customFormat="1">
      <c r="A22909" s="83"/>
      <c r="H22909" s="83"/>
      <c r="K22909" s="82"/>
      <c r="M22909" s="112"/>
      <c r="N22909" s="84"/>
    </row>
    <row r="22910" spans="1:14" s="2" customFormat="1">
      <c r="A22910" s="83"/>
      <c r="H22910" s="83"/>
      <c r="K22910" s="82"/>
      <c r="M22910" s="112"/>
      <c r="N22910" s="84"/>
    </row>
    <row r="22911" spans="1:14" s="2" customFormat="1">
      <c r="A22911" s="83"/>
      <c r="H22911" s="83"/>
      <c r="K22911" s="82"/>
      <c r="M22911" s="112"/>
      <c r="N22911" s="84"/>
    </row>
    <row r="22912" spans="1:14" s="2" customFormat="1">
      <c r="A22912" s="83"/>
      <c r="H22912" s="83"/>
      <c r="K22912" s="82"/>
      <c r="M22912" s="112"/>
      <c r="N22912" s="84"/>
    </row>
    <row r="22913" spans="1:14" s="2" customFormat="1">
      <c r="A22913" s="83"/>
      <c r="H22913" s="83"/>
      <c r="K22913" s="82"/>
      <c r="M22913" s="112"/>
      <c r="N22913" s="84"/>
    </row>
    <row r="22914" spans="1:14" s="2" customFormat="1">
      <c r="A22914" s="83"/>
      <c r="H22914" s="83"/>
      <c r="K22914" s="82"/>
      <c r="M22914" s="112"/>
      <c r="N22914" s="84"/>
    </row>
    <row r="22915" spans="1:14" s="2" customFormat="1">
      <c r="A22915" s="83"/>
      <c r="H22915" s="83"/>
      <c r="K22915" s="82"/>
      <c r="M22915" s="112"/>
      <c r="N22915" s="84"/>
    </row>
    <row r="22916" spans="1:14" s="2" customFormat="1">
      <c r="A22916" s="83"/>
      <c r="H22916" s="83"/>
      <c r="K22916" s="82"/>
      <c r="M22916" s="112"/>
      <c r="N22916" s="84"/>
    </row>
    <row r="22917" spans="1:14" s="2" customFormat="1">
      <c r="A22917" s="83"/>
      <c r="H22917" s="83"/>
      <c r="K22917" s="82"/>
      <c r="M22917" s="112"/>
      <c r="N22917" s="84"/>
    </row>
    <row r="22918" spans="1:14" s="2" customFormat="1">
      <c r="A22918" s="83"/>
      <c r="H22918" s="83"/>
      <c r="K22918" s="82"/>
      <c r="M22918" s="112"/>
      <c r="N22918" s="84"/>
    </row>
    <row r="22919" spans="1:14" s="2" customFormat="1">
      <c r="A22919" s="83"/>
      <c r="H22919" s="83"/>
      <c r="K22919" s="82"/>
      <c r="M22919" s="112"/>
      <c r="N22919" s="84"/>
    </row>
    <row r="22920" spans="1:14" s="2" customFormat="1">
      <c r="A22920" s="83"/>
      <c r="H22920" s="83"/>
      <c r="K22920" s="82"/>
      <c r="M22920" s="112"/>
      <c r="N22920" s="84"/>
    </row>
    <row r="22921" spans="1:14" s="2" customFormat="1">
      <c r="A22921" s="83"/>
      <c r="H22921" s="83"/>
      <c r="K22921" s="82"/>
      <c r="M22921" s="112"/>
      <c r="N22921" s="84"/>
    </row>
    <row r="22922" spans="1:14" s="2" customFormat="1">
      <c r="A22922" s="83"/>
      <c r="H22922" s="83"/>
      <c r="K22922" s="82"/>
      <c r="M22922" s="112"/>
      <c r="N22922" s="84"/>
    </row>
    <row r="22923" spans="1:14" s="2" customFormat="1">
      <c r="A22923" s="83"/>
      <c r="H22923" s="83"/>
      <c r="K22923" s="82"/>
      <c r="M22923" s="112"/>
      <c r="N22923" s="84"/>
    </row>
    <row r="22924" spans="1:14" s="2" customFormat="1">
      <c r="A22924" s="83"/>
      <c r="H22924" s="83"/>
      <c r="K22924" s="82"/>
      <c r="M22924" s="112"/>
      <c r="N22924" s="84"/>
    </row>
    <row r="22925" spans="1:14" s="2" customFormat="1">
      <c r="A22925" s="83"/>
      <c r="H22925" s="83"/>
      <c r="K22925" s="82"/>
      <c r="M22925" s="112"/>
      <c r="N22925" s="84"/>
    </row>
    <row r="22926" spans="1:14" s="2" customFormat="1">
      <c r="A22926" s="83"/>
      <c r="H22926" s="83"/>
      <c r="K22926" s="82"/>
      <c r="M22926" s="112"/>
      <c r="N22926" s="84"/>
    </row>
    <row r="22927" spans="1:14" s="2" customFormat="1">
      <c r="A22927" s="83"/>
      <c r="H22927" s="83"/>
      <c r="K22927" s="82"/>
      <c r="M22927" s="112"/>
      <c r="N22927" s="84"/>
    </row>
    <row r="22928" spans="1:14" s="2" customFormat="1">
      <c r="A22928" s="83"/>
      <c r="H22928" s="83"/>
      <c r="K22928" s="82"/>
      <c r="M22928" s="112"/>
      <c r="N22928" s="84"/>
    </row>
    <row r="22929" spans="1:14" s="2" customFormat="1">
      <c r="A22929" s="83"/>
      <c r="H22929" s="83"/>
      <c r="K22929" s="82"/>
      <c r="M22929" s="112"/>
      <c r="N22929" s="84"/>
    </row>
    <row r="22930" spans="1:14" s="2" customFormat="1">
      <c r="A22930" s="83"/>
      <c r="H22930" s="83"/>
      <c r="K22930" s="82"/>
      <c r="M22930" s="112"/>
      <c r="N22930" s="84"/>
    </row>
    <row r="22931" spans="1:14" s="2" customFormat="1">
      <c r="A22931" s="83"/>
      <c r="H22931" s="83"/>
      <c r="K22931" s="82"/>
      <c r="M22931" s="112"/>
      <c r="N22931" s="84"/>
    </row>
    <row r="22932" spans="1:14" s="2" customFormat="1">
      <c r="A22932" s="83"/>
      <c r="H22932" s="83"/>
      <c r="K22932" s="82"/>
      <c r="M22932" s="112"/>
      <c r="N22932" s="84"/>
    </row>
    <row r="22933" spans="1:14" s="2" customFormat="1">
      <c r="A22933" s="83"/>
      <c r="H22933" s="83"/>
      <c r="K22933" s="82"/>
      <c r="M22933" s="112"/>
      <c r="N22933" s="84"/>
    </row>
    <row r="22934" spans="1:14" s="2" customFormat="1">
      <c r="A22934" s="83"/>
      <c r="H22934" s="83"/>
      <c r="K22934" s="82"/>
      <c r="M22934" s="112"/>
      <c r="N22934" s="84"/>
    </row>
    <row r="22935" spans="1:14" s="2" customFormat="1">
      <c r="A22935" s="83"/>
      <c r="H22935" s="83"/>
      <c r="K22935" s="82"/>
      <c r="M22935" s="112"/>
      <c r="N22935" s="84"/>
    </row>
    <row r="22936" spans="1:14" s="2" customFormat="1">
      <c r="A22936" s="83"/>
      <c r="H22936" s="83"/>
      <c r="K22936" s="82"/>
      <c r="M22936" s="112"/>
      <c r="N22936" s="84"/>
    </row>
    <row r="22937" spans="1:14" s="2" customFormat="1">
      <c r="A22937" s="83"/>
      <c r="H22937" s="83"/>
      <c r="K22937" s="82"/>
      <c r="M22937" s="112"/>
      <c r="N22937" s="84"/>
    </row>
    <row r="22938" spans="1:14" s="2" customFormat="1">
      <c r="A22938" s="83"/>
      <c r="H22938" s="83"/>
      <c r="K22938" s="82"/>
      <c r="M22938" s="112"/>
      <c r="N22938" s="84"/>
    </row>
    <row r="22939" spans="1:14" s="2" customFormat="1">
      <c r="A22939" s="83"/>
      <c r="H22939" s="83"/>
      <c r="K22939" s="82"/>
      <c r="M22939" s="112"/>
      <c r="N22939" s="84"/>
    </row>
    <row r="22940" spans="1:14" s="2" customFormat="1">
      <c r="A22940" s="83"/>
      <c r="H22940" s="83"/>
      <c r="K22940" s="82"/>
      <c r="M22940" s="112"/>
      <c r="N22940" s="84"/>
    </row>
    <row r="22941" spans="1:14" s="2" customFormat="1">
      <c r="A22941" s="83"/>
      <c r="H22941" s="83"/>
      <c r="K22941" s="82"/>
      <c r="M22941" s="112"/>
      <c r="N22941" s="84"/>
    </row>
    <row r="22942" spans="1:14" s="2" customFormat="1">
      <c r="A22942" s="83"/>
      <c r="H22942" s="83"/>
      <c r="K22942" s="82"/>
      <c r="M22942" s="112"/>
      <c r="N22942" s="84"/>
    </row>
    <row r="22943" spans="1:14" s="2" customFormat="1">
      <c r="A22943" s="83"/>
      <c r="H22943" s="83"/>
      <c r="K22943" s="82"/>
      <c r="M22943" s="112"/>
      <c r="N22943" s="84"/>
    </row>
    <row r="22944" spans="1:14" s="2" customFormat="1">
      <c r="A22944" s="83"/>
      <c r="H22944" s="83"/>
      <c r="K22944" s="82"/>
      <c r="M22944" s="112"/>
      <c r="N22944" s="84"/>
    </row>
    <row r="22945" spans="1:14" s="2" customFormat="1">
      <c r="A22945" s="83"/>
      <c r="H22945" s="83"/>
      <c r="K22945" s="82"/>
      <c r="M22945" s="112"/>
      <c r="N22945" s="84"/>
    </row>
    <row r="22946" spans="1:14" s="2" customFormat="1">
      <c r="A22946" s="83"/>
      <c r="H22946" s="83"/>
      <c r="K22946" s="82"/>
      <c r="M22946" s="112"/>
      <c r="N22946" s="84"/>
    </row>
    <row r="22947" spans="1:14" s="2" customFormat="1">
      <c r="A22947" s="83"/>
      <c r="H22947" s="83"/>
      <c r="K22947" s="82"/>
      <c r="M22947" s="112"/>
      <c r="N22947" s="84"/>
    </row>
    <row r="22948" spans="1:14" s="2" customFormat="1">
      <c r="A22948" s="83"/>
      <c r="H22948" s="83"/>
      <c r="K22948" s="82"/>
      <c r="M22948" s="112"/>
      <c r="N22948" s="84"/>
    </row>
    <row r="22949" spans="1:14" s="2" customFormat="1">
      <c r="A22949" s="83"/>
      <c r="H22949" s="83"/>
      <c r="K22949" s="82"/>
      <c r="M22949" s="112"/>
      <c r="N22949" s="84"/>
    </row>
    <row r="22950" spans="1:14" s="2" customFormat="1">
      <c r="A22950" s="83"/>
      <c r="H22950" s="83"/>
      <c r="K22950" s="82"/>
      <c r="M22950" s="112"/>
      <c r="N22950" s="84"/>
    </row>
    <row r="22951" spans="1:14" s="2" customFormat="1">
      <c r="A22951" s="83"/>
      <c r="H22951" s="83"/>
      <c r="K22951" s="82"/>
      <c r="M22951" s="112"/>
      <c r="N22951" s="84"/>
    </row>
    <row r="22952" spans="1:14" s="2" customFormat="1">
      <c r="A22952" s="83"/>
      <c r="H22952" s="83"/>
      <c r="K22952" s="82"/>
      <c r="M22952" s="112"/>
      <c r="N22952" s="84"/>
    </row>
    <row r="22953" spans="1:14" s="2" customFormat="1">
      <c r="A22953" s="83"/>
      <c r="H22953" s="83"/>
      <c r="K22953" s="82"/>
      <c r="M22953" s="112"/>
      <c r="N22953" s="84"/>
    </row>
    <row r="22954" spans="1:14" s="2" customFormat="1">
      <c r="A22954" s="83"/>
      <c r="H22954" s="83"/>
      <c r="K22954" s="82"/>
      <c r="M22954" s="112"/>
      <c r="N22954" s="84"/>
    </row>
    <row r="22955" spans="1:14" s="2" customFormat="1">
      <c r="A22955" s="83"/>
      <c r="H22955" s="83"/>
      <c r="K22955" s="82"/>
      <c r="M22955" s="112"/>
      <c r="N22955" s="84"/>
    </row>
    <row r="22956" spans="1:14" s="2" customFormat="1">
      <c r="A22956" s="83"/>
      <c r="H22956" s="83"/>
      <c r="K22956" s="82"/>
      <c r="M22956" s="112"/>
      <c r="N22956" s="84"/>
    </row>
    <row r="22957" spans="1:14" s="2" customFormat="1">
      <c r="A22957" s="83"/>
      <c r="H22957" s="83"/>
      <c r="K22957" s="82"/>
      <c r="M22957" s="112"/>
      <c r="N22957" s="84"/>
    </row>
    <row r="22958" spans="1:14" s="2" customFormat="1">
      <c r="A22958" s="83"/>
      <c r="H22958" s="83"/>
      <c r="K22958" s="82"/>
      <c r="M22958" s="112"/>
      <c r="N22958" s="84"/>
    </row>
    <row r="22959" spans="1:14" s="2" customFormat="1">
      <c r="A22959" s="83"/>
      <c r="H22959" s="83"/>
      <c r="K22959" s="82"/>
      <c r="M22959" s="112"/>
      <c r="N22959" s="84"/>
    </row>
    <row r="22960" spans="1:14" s="2" customFormat="1">
      <c r="A22960" s="83"/>
      <c r="H22960" s="83"/>
      <c r="K22960" s="82"/>
      <c r="M22960" s="112"/>
      <c r="N22960" s="84"/>
    </row>
    <row r="22961" spans="1:14" s="2" customFormat="1">
      <c r="A22961" s="83"/>
      <c r="H22961" s="83"/>
      <c r="K22961" s="82"/>
      <c r="M22961" s="112"/>
      <c r="N22961" s="84"/>
    </row>
    <row r="22962" spans="1:14" s="2" customFormat="1">
      <c r="A22962" s="83"/>
      <c r="H22962" s="83"/>
      <c r="K22962" s="82"/>
      <c r="M22962" s="112"/>
      <c r="N22962" s="84"/>
    </row>
    <row r="22963" spans="1:14" s="2" customFormat="1">
      <c r="A22963" s="83"/>
      <c r="H22963" s="83"/>
      <c r="K22963" s="82"/>
      <c r="M22963" s="112"/>
      <c r="N22963" s="84"/>
    </row>
    <row r="22964" spans="1:14" s="2" customFormat="1">
      <c r="A22964" s="83"/>
      <c r="H22964" s="83"/>
      <c r="K22964" s="82"/>
      <c r="M22964" s="112"/>
      <c r="N22964" s="84"/>
    </row>
    <row r="22965" spans="1:14" s="2" customFormat="1">
      <c r="A22965" s="83"/>
      <c r="H22965" s="83"/>
      <c r="K22965" s="82"/>
      <c r="M22965" s="112"/>
      <c r="N22965" s="84"/>
    </row>
    <row r="22966" spans="1:14" s="2" customFormat="1">
      <c r="A22966" s="83"/>
      <c r="H22966" s="83"/>
      <c r="K22966" s="82"/>
      <c r="M22966" s="112"/>
      <c r="N22966" s="84"/>
    </row>
    <row r="22967" spans="1:14" s="2" customFormat="1">
      <c r="A22967" s="83"/>
      <c r="H22967" s="83"/>
      <c r="K22967" s="82"/>
      <c r="M22967" s="112"/>
      <c r="N22967" s="84"/>
    </row>
    <row r="22968" spans="1:14" s="2" customFormat="1">
      <c r="A22968" s="83"/>
      <c r="H22968" s="83"/>
      <c r="K22968" s="82"/>
      <c r="M22968" s="112"/>
      <c r="N22968" s="84"/>
    </row>
    <row r="22969" spans="1:14" s="2" customFormat="1">
      <c r="A22969" s="83"/>
      <c r="H22969" s="83"/>
      <c r="K22969" s="82"/>
      <c r="M22969" s="112"/>
      <c r="N22969" s="84"/>
    </row>
    <row r="22970" spans="1:14" s="2" customFormat="1">
      <c r="A22970" s="83"/>
      <c r="H22970" s="83"/>
      <c r="K22970" s="82"/>
      <c r="M22970" s="112"/>
      <c r="N22970" s="84"/>
    </row>
    <row r="22971" spans="1:14" s="2" customFormat="1">
      <c r="A22971" s="83"/>
      <c r="H22971" s="83"/>
      <c r="K22971" s="82"/>
      <c r="M22971" s="112"/>
      <c r="N22971" s="84"/>
    </row>
    <row r="22972" spans="1:14" s="2" customFormat="1">
      <c r="A22972" s="83"/>
      <c r="H22972" s="83"/>
      <c r="K22972" s="82"/>
      <c r="M22972" s="112"/>
      <c r="N22972" s="84"/>
    </row>
    <row r="22973" spans="1:14" s="2" customFormat="1">
      <c r="A22973" s="83"/>
      <c r="H22973" s="83"/>
      <c r="K22973" s="82"/>
      <c r="M22973" s="112"/>
      <c r="N22973" s="84"/>
    </row>
    <row r="22974" spans="1:14" s="2" customFormat="1">
      <c r="A22974" s="83"/>
      <c r="H22974" s="83"/>
      <c r="K22974" s="82"/>
      <c r="M22974" s="112"/>
      <c r="N22974" s="84"/>
    </row>
    <row r="22975" spans="1:14" s="2" customFormat="1">
      <c r="A22975" s="83"/>
      <c r="H22975" s="83"/>
      <c r="K22975" s="82"/>
      <c r="M22975" s="112"/>
      <c r="N22975" s="84"/>
    </row>
    <row r="22976" spans="1:14" s="2" customFormat="1">
      <c r="A22976" s="83"/>
      <c r="H22976" s="83"/>
      <c r="K22976" s="82"/>
      <c r="M22976" s="112"/>
      <c r="N22976" s="84"/>
    </row>
    <row r="22977" spans="1:14" s="2" customFormat="1">
      <c r="A22977" s="83"/>
      <c r="H22977" s="83"/>
      <c r="K22977" s="82"/>
      <c r="M22977" s="112"/>
      <c r="N22977" s="84"/>
    </row>
    <row r="22978" spans="1:14" s="2" customFormat="1">
      <c r="A22978" s="83"/>
      <c r="H22978" s="83"/>
      <c r="K22978" s="82"/>
      <c r="M22978" s="112"/>
      <c r="N22978" s="84"/>
    </row>
    <row r="22979" spans="1:14" s="2" customFormat="1">
      <c r="A22979" s="83"/>
      <c r="H22979" s="83"/>
      <c r="K22979" s="82"/>
      <c r="M22979" s="112"/>
      <c r="N22979" s="84"/>
    </row>
    <row r="22980" spans="1:14" s="2" customFormat="1">
      <c r="A22980" s="83"/>
      <c r="H22980" s="83"/>
      <c r="K22980" s="82"/>
      <c r="M22980" s="112"/>
      <c r="N22980" s="84"/>
    </row>
    <row r="22981" spans="1:14" s="2" customFormat="1">
      <c r="A22981" s="83"/>
      <c r="H22981" s="83"/>
      <c r="K22981" s="82"/>
      <c r="M22981" s="112"/>
      <c r="N22981" s="84"/>
    </row>
    <row r="22982" spans="1:14" s="2" customFormat="1">
      <c r="A22982" s="83"/>
      <c r="H22982" s="83"/>
      <c r="K22982" s="82"/>
      <c r="M22982" s="112"/>
      <c r="N22982" s="84"/>
    </row>
    <row r="22983" spans="1:14" s="2" customFormat="1">
      <c r="A22983" s="83"/>
      <c r="H22983" s="83"/>
      <c r="K22983" s="82"/>
      <c r="M22983" s="112"/>
      <c r="N22983" s="84"/>
    </row>
    <row r="22984" spans="1:14" s="2" customFormat="1">
      <c r="A22984" s="83"/>
      <c r="H22984" s="83"/>
      <c r="K22984" s="82"/>
      <c r="M22984" s="112"/>
      <c r="N22984" s="84"/>
    </row>
    <row r="22985" spans="1:14" s="2" customFormat="1">
      <c r="A22985" s="83"/>
      <c r="H22985" s="83"/>
      <c r="K22985" s="82"/>
      <c r="M22985" s="112"/>
      <c r="N22985" s="84"/>
    </row>
    <row r="22986" spans="1:14" s="2" customFormat="1">
      <c r="A22986" s="83"/>
      <c r="H22986" s="83"/>
      <c r="K22986" s="82"/>
      <c r="M22986" s="112"/>
      <c r="N22986" s="84"/>
    </row>
    <row r="22987" spans="1:14" s="2" customFormat="1">
      <c r="A22987" s="83"/>
      <c r="H22987" s="83"/>
      <c r="K22987" s="82"/>
      <c r="M22987" s="112"/>
      <c r="N22987" s="84"/>
    </row>
    <row r="22988" spans="1:14" s="2" customFormat="1">
      <c r="A22988" s="83"/>
      <c r="H22988" s="83"/>
      <c r="K22988" s="82"/>
      <c r="M22988" s="112"/>
      <c r="N22988" s="84"/>
    </row>
    <row r="22989" spans="1:14" s="2" customFormat="1">
      <c r="A22989" s="83"/>
      <c r="H22989" s="83"/>
      <c r="K22989" s="82"/>
      <c r="M22989" s="112"/>
      <c r="N22989" s="84"/>
    </row>
    <row r="22990" spans="1:14" s="2" customFormat="1">
      <c r="A22990" s="83"/>
      <c r="H22990" s="83"/>
      <c r="K22990" s="82"/>
      <c r="M22990" s="112"/>
      <c r="N22990" s="84"/>
    </row>
    <row r="22991" spans="1:14" s="2" customFormat="1">
      <c r="A22991" s="83"/>
      <c r="H22991" s="83"/>
      <c r="K22991" s="82"/>
      <c r="M22991" s="112"/>
      <c r="N22991" s="84"/>
    </row>
    <row r="22992" spans="1:14" s="2" customFormat="1">
      <c r="A22992" s="83"/>
      <c r="H22992" s="83"/>
      <c r="K22992" s="82"/>
      <c r="M22992" s="112"/>
      <c r="N22992" s="84"/>
    </row>
    <row r="22993" spans="1:14" s="2" customFormat="1">
      <c r="A22993" s="83"/>
      <c r="H22993" s="83"/>
      <c r="K22993" s="82"/>
      <c r="M22993" s="112"/>
      <c r="N22993" s="84"/>
    </row>
    <row r="22994" spans="1:14" s="2" customFormat="1">
      <c r="A22994" s="83"/>
      <c r="H22994" s="83"/>
      <c r="K22994" s="82"/>
      <c r="M22994" s="112"/>
      <c r="N22994" s="84"/>
    </row>
    <row r="22995" spans="1:14" s="2" customFormat="1">
      <c r="A22995" s="83"/>
      <c r="H22995" s="83"/>
      <c r="K22995" s="82"/>
      <c r="M22995" s="112"/>
      <c r="N22995" s="84"/>
    </row>
    <row r="22996" spans="1:14" s="2" customFormat="1">
      <c r="A22996" s="83"/>
      <c r="H22996" s="83"/>
      <c r="K22996" s="82"/>
      <c r="M22996" s="112"/>
      <c r="N22996" s="84"/>
    </row>
    <row r="22997" spans="1:14" s="2" customFormat="1">
      <c r="A22997" s="83"/>
      <c r="H22997" s="83"/>
      <c r="K22997" s="82"/>
      <c r="M22997" s="112"/>
      <c r="N22997" s="84"/>
    </row>
    <row r="22998" spans="1:14" s="2" customFormat="1">
      <c r="A22998" s="83"/>
      <c r="H22998" s="83"/>
      <c r="K22998" s="82"/>
      <c r="M22998" s="112"/>
      <c r="N22998" s="84"/>
    </row>
    <row r="22999" spans="1:14" s="2" customFormat="1">
      <c r="A22999" s="83"/>
      <c r="H22999" s="83"/>
      <c r="K22999" s="82"/>
      <c r="M22999" s="112"/>
      <c r="N22999" s="84"/>
    </row>
    <row r="23000" spans="1:14" s="2" customFormat="1">
      <c r="A23000" s="83"/>
      <c r="H23000" s="83"/>
      <c r="K23000" s="82"/>
      <c r="M23000" s="112"/>
      <c r="N23000" s="84"/>
    </row>
    <row r="23001" spans="1:14" s="2" customFormat="1">
      <c r="A23001" s="83"/>
      <c r="H23001" s="83"/>
      <c r="K23001" s="82"/>
      <c r="M23001" s="112"/>
      <c r="N23001" s="84"/>
    </row>
    <row r="23002" spans="1:14" s="2" customFormat="1">
      <c r="A23002" s="83"/>
      <c r="H23002" s="83"/>
      <c r="K23002" s="82"/>
      <c r="M23002" s="112"/>
      <c r="N23002" s="84"/>
    </row>
    <row r="23003" spans="1:14" s="2" customFormat="1">
      <c r="A23003" s="83"/>
      <c r="H23003" s="83"/>
      <c r="K23003" s="82"/>
      <c r="M23003" s="112"/>
      <c r="N23003" s="84"/>
    </row>
    <row r="23004" spans="1:14" s="2" customFormat="1">
      <c r="A23004" s="83"/>
      <c r="H23004" s="83"/>
      <c r="K23004" s="82"/>
      <c r="M23004" s="112"/>
      <c r="N23004" s="84"/>
    </row>
    <row r="23005" spans="1:14" s="2" customFormat="1">
      <c r="A23005" s="83"/>
      <c r="H23005" s="83"/>
      <c r="K23005" s="82"/>
      <c r="M23005" s="112"/>
      <c r="N23005" s="84"/>
    </row>
    <row r="23006" spans="1:14" s="2" customFormat="1">
      <c r="A23006" s="83"/>
      <c r="H23006" s="83"/>
      <c r="K23006" s="82"/>
      <c r="M23006" s="112"/>
      <c r="N23006" s="84"/>
    </row>
    <row r="23007" spans="1:14" s="2" customFormat="1">
      <c r="A23007" s="83"/>
      <c r="H23007" s="83"/>
      <c r="K23007" s="82"/>
      <c r="M23007" s="112"/>
      <c r="N23007" s="84"/>
    </row>
    <row r="23008" spans="1:14" s="2" customFormat="1">
      <c r="A23008" s="83"/>
      <c r="H23008" s="83"/>
      <c r="K23008" s="82"/>
      <c r="M23008" s="112"/>
      <c r="N23008" s="84"/>
    </row>
    <row r="23009" spans="1:14" s="2" customFormat="1">
      <c r="A23009" s="83"/>
      <c r="H23009" s="83"/>
      <c r="K23009" s="82"/>
      <c r="M23009" s="112"/>
      <c r="N23009" s="84"/>
    </row>
    <row r="23010" spans="1:14" s="2" customFormat="1">
      <c r="A23010" s="83"/>
      <c r="H23010" s="83"/>
      <c r="K23010" s="82"/>
      <c r="M23010" s="112"/>
      <c r="N23010" s="84"/>
    </row>
    <row r="23011" spans="1:14" s="2" customFormat="1">
      <c r="A23011" s="83"/>
      <c r="H23011" s="83"/>
      <c r="K23011" s="82"/>
      <c r="M23011" s="112"/>
      <c r="N23011" s="84"/>
    </row>
    <row r="23012" spans="1:14" s="2" customFormat="1">
      <c r="A23012" s="83"/>
      <c r="H23012" s="83"/>
      <c r="K23012" s="82"/>
      <c r="M23012" s="112"/>
      <c r="N23012" s="84"/>
    </row>
    <row r="23013" spans="1:14" s="2" customFormat="1">
      <c r="A23013" s="83"/>
      <c r="H23013" s="83"/>
      <c r="K23013" s="82"/>
      <c r="M23013" s="112"/>
      <c r="N23013" s="84"/>
    </row>
    <row r="23014" spans="1:14" s="2" customFormat="1">
      <c r="A23014" s="83"/>
      <c r="H23014" s="83"/>
      <c r="K23014" s="82"/>
      <c r="M23014" s="112"/>
      <c r="N23014" s="84"/>
    </row>
    <row r="23015" spans="1:14" s="2" customFormat="1">
      <c r="A23015" s="83"/>
      <c r="H23015" s="83"/>
      <c r="K23015" s="82"/>
      <c r="M23015" s="112"/>
      <c r="N23015" s="84"/>
    </row>
    <row r="23016" spans="1:14" s="2" customFormat="1">
      <c r="A23016" s="83"/>
      <c r="H23016" s="83"/>
      <c r="K23016" s="82"/>
      <c r="M23016" s="112"/>
      <c r="N23016" s="84"/>
    </row>
    <row r="23017" spans="1:14" s="2" customFormat="1">
      <c r="A23017" s="83"/>
      <c r="H23017" s="83"/>
      <c r="K23017" s="82"/>
      <c r="M23017" s="112"/>
      <c r="N23017" s="84"/>
    </row>
    <row r="23018" spans="1:14" s="2" customFormat="1">
      <c r="A23018" s="83"/>
      <c r="H23018" s="83"/>
      <c r="K23018" s="82"/>
      <c r="M23018" s="112"/>
      <c r="N23018" s="84"/>
    </row>
    <row r="23019" spans="1:14" s="2" customFormat="1">
      <c r="A23019" s="83"/>
      <c r="H23019" s="83"/>
      <c r="K23019" s="82"/>
      <c r="M23019" s="112"/>
      <c r="N23019" s="84"/>
    </row>
    <row r="23020" spans="1:14" s="2" customFormat="1">
      <c r="A23020" s="83"/>
      <c r="H23020" s="83"/>
      <c r="K23020" s="82"/>
      <c r="M23020" s="112"/>
      <c r="N23020" s="84"/>
    </row>
    <row r="23021" spans="1:14" s="2" customFormat="1">
      <c r="A23021" s="83"/>
      <c r="H23021" s="83"/>
      <c r="K23021" s="82"/>
      <c r="M23021" s="112"/>
      <c r="N23021" s="84"/>
    </row>
    <row r="23022" spans="1:14" s="2" customFormat="1">
      <c r="A23022" s="83"/>
      <c r="H23022" s="83"/>
      <c r="K23022" s="82"/>
      <c r="M23022" s="112"/>
      <c r="N23022" s="84"/>
    </row>
    <row r="23023" spans="1:14" s="2" customFormat="1">
      <c r="A23023" s="83"/>
      <c r="H23023" s="83"/>
      <c r="K23023" s="82"/>
      <c r="M23023" s="112"/>
      <c r="N23023" s="84"/>
    </row>
    <row r="23024" spans="1:14" s="2" customFormat="1">
      <c r="A23024" s="83"/>
      <c r="H23024" s="83"/>
      <c r="K23024" s="82"/>
      <c r="M23024" s="112"/>
      <c r="N23024" s="84"/>
    </row>
    <row r="23025" spans="1:14" s="2" customFormat="1">
      <c r="A23025" s="83"/>
      <c r="H23025" s="83"/>
      <c r="K23025" s="82"/>
      <c r="M23025" s="112"/>
      <c r="N23025" s="84"/>
    </row>
    <row r="23026" spans="1:14" s="2" customFormat="1">
      <c r="A23026" s="83"/>
      <c r="H23026" s="83"/>
      <c r="K23026" s="82"/>
      <c r="M23026" s="112"/>
      <c r="N23026" s="84"/>
    </row>
    <row r="23027" spans="1:14" s="2" customFormat="1">
      <c r="A23027" s="83"/>
      <c r="H23027" s="83"/>
      <c r="K23027" s="82"/>
      <c r="M23027" s="112"/>
      <c r="N23027" s="84"/>
    </row>
    <row r="23028" spans="1:14" s="2" customFormat="1">
      <c r="A23028" s="83"/>
      <c r="H23028" s="83"/>
      <c r="K23028" s="82"/>
      <c r="M23028" s="112"/>
      <c r="N23028" s="84"/>
    </row>
    <row r="23029" spans="1:14" s="2" customFormat="1">
      <c r="A23029" s="83"/>
      <c r="H23029" s="83"/>
      <c r="K23029" s="82"/>
      <c r="M23029" s="112"/>
      <c r="N23029" s="84"/>
    </row>
    <row r="23030" spans="1:14" s="2" customFormat="1">
      <c r="A23030" s="83"/>
      <c r="H23030" s="83"/>
      <c r="K23030" s="82"/>
      <c r="M23030" s="112"/>
      <c r="N23030" s="84"/>
    </row>
    <row r="23031" spans="1:14" s="2" customFormat="1">
      <c r="A23031" s="83"/>
      <c r="H23031" s="83"/>
      <c r="K23031" s="82"/>
      <c r="M23031" s="112"/>
      <c r="N23031" s="84"/>
    </row>
    <row r="23032" spans="1:14" s="2" customFormat="1">
      <c r="A23032" s="83"/>
      <c r="H23032" s="83"/>
      <c r="K23032" s="82"/>
      <c r="M23032" s="112"/>
      <c r="N23032" s="84"/>
    </row>
    <row r="23033" spans="1:14" s="2" customFormat="1">
      <c r="A23033" s="83"/>
      <c r="H23033" s="83"/>
      <c r="K23033" s="82"/>
      <c r="M23033" s="112"/>
      <c r="N23033" s="84"/>
    </row>
    <row r="23034" spans="1:14" s="2" customFormat="1">
      <c r="A23034" s="83"/>
      <c r="H23034" s="83"/>
      <c r="K23034" s="82"/>
      <c r="M23034" s="112"/>
      <c r="N23034" s="84"/>
    </row>
    <row r="23035" spans="1:14" s="2" customFormat="1">
      <c r="A23035" s="83"/>
      <c r="H23035" s="83"/>
      <c r="K23035" s="82"/>
      <c r="M23035" s="112"/>
      <c r="N23035" s="84"/>
    </row>
    <row r="23036" spans="1:14" s="2" customFormat="1">
      <c r="A23036" s="83"/>
      <c r="H23036" s="83"/>
      <c r="K23036" s="82"/>
      <c r="M23036" s="112"/>
      <c r="N23036" s="84"/>
    </row>
    <row r="23037" spans="1:14" s="2" customFormat="1">
      <c r="A23037" s="83"/>
      <c r="H23037" s="83"/>
      <c r="K23037" s="82"/>
      <c r="M23037" s="112"/>
      <c r="N23037" s="84"/>
    </row>
    <row r="23038" spans="1:14" s="2" customFormat="1">
      <c r="A23038" s="83"/>
      <c r="H23038" s="83"/>
      <c r="K23038" s="82"/>
      <c r="M23038" s="112"/>
      <c r="N23038" s="84"/>
    </row>
    <row r="23039" spans="1:14" s="2" customFormat="1">
      <c r="A23039" s="83"/>
      <c r="H23039" s="83"/>
      <c r="K23039" s="82"/>
      <c r="M23039" s="112"/>
      <c r="N23039" s="84"/>
    </row>
    <row r="23040" spans="1:14" s="2" customFormat="1">
      <c r="A23040" s="83"/>
      <c r="H23040" s="83"/>
      <c r="K23040" s="82"/>
      <c r="M23040" s="112"/>
      <c r="N23040" s="84"/>
    </row>
    <row r="23041" spans="1:14" s="2" customFormat="1">
      <c r="A23041" s="83"/>
      <c r="H23041" s="83"/>
      <c r="K23041" s="82"/>
      <c r="M23041" s="112"/>
      <c r="N23041" s="84"/>
    </row>
    <row r="23042" spans="1:14" s="2" customFormat="1">
      <c r="A23042" s="83"/>
      <c r="H23042" s="83"/>
      <c r="K23042" s="82"/>
      <c r="M23042" s="112"/>
      <c r="N23042" s="84"/>
    </row>
    <row r="23043" spans="1:14" s="2" customFormat="1">
      <c r="A23043" s="83"/>
      <c r="H23043" s="83"/>
      <c r="K23043" s="82"/>
      <c r="M23043" s="112"/>
      <c r="N23043" s="84"/>
    </row>
    <row r="23044" spans="1:14" s="2" customFormat="1">
      <c r="A23044" s="83"/>
      <c r="H23044" s="83"/>
      <c r="K23044" s="82"/>
      <c r="M23044" s="112"/>
      <c r="N23044" s="84"/>
    </row>
    <row r="23045" spans="1:14" s="2" customFormat="1">
      <c r="A23045" s="83"/>
      <c r="H23045" s="83"/>
      <c r="K23045" s="82"/>
      <c r="M23045" s="112"/>
      <c r="N23045" s="84"/>
    </row>
    <row r="23046" spans="1:14" s="2" customFormat="1">
      <c r="A23046" s="83"/>
      <c r="H23046" s="83"/>
      <c r="K23046" s="82"/>
      <c r="M23046" s="112"/>
      <c r="N23046" s="84"/>
    </row>
    <row r="23047" spans="1:14" s="2" customFormat="1">
      <c r="A23047" s="83"/>
      <c r="H23047" s="83"/>
      <c r="K23047" s="82"/>
      <c r="M23047" s="112"/>
      <c r="N23047" s="84"/>
    </row>
    <row r="23048" spans="1:14" s="2" customFormat="1">
      <c r="A23048" s="83"/>
      <c r="H23048" s="83"/>
      <c r="K23048" s="82"/>
      <c r="M23048" s="112"/>
      <c r="N23048" s="84"/>
    </row>
    <row r="23049" spans="1:14" s="2" customFormat="1">
      <c r="A23049" s="83"/>
      <c r="H23049" s="83"/>
      <c r="K23049" s="82"/>
      <c r="M23049" s="112"/>
      <c r="N23049" s="84"/>
    </row>
    <row r="23050" spans="1:14" s="2" customFormat="1">
      <c r="A23050" s="83"/>
      <c r="H23050" s="83"/>
      <c r="K23050" s="82"/>
      <c r="M23050" s="112"/>
      <c r="N23050" s="84"/>
    </row>
    <row r="23051" spans="1:14" s="2" customFormat="1">
      <c r="A23051" s="83"/>
      <c r="H23051" s="83"/>
      <c r="K23051" s="82"/>
      <c r="M23051" s="112"/>
      <c r="N23051" s="84"/>
    </row>
    <row r="23052" spans="1:14" s="2" customFormat="1">
      <c r="A23052" s="83"/>
      <c r="H23052" s="83"/>
      <c r="K23052" s="82"/>
      <c r="M23052" s="112"/>
      <c r="N23052" s="84"/>
    </row>
    <row r="23053" spans="1:14" s="2" customFormat="1">
      <c r="A23053" s="83"/>
      <c r="H23053" s="83"/>
      <c r="K23053" s="82"/>
      <c r="M23053" s="112"/>
      <c r="N23053" s="84"/>
    </row>
    <row r="23054" spans="1:14" s="2" customFormat="1">
      <c r="A23054" s="83"/>
      <c r="H23054" s="83"/>
      <c r="K23054" s="82"/>
      <c r="M23054" s="112"/>
      <c r="N23054" s="84"/>
    </row>
    <row r="23055" spans="1:14" s="2" customFormat="1">
      <c r="A23055" s="83"/>
      <c r="H23055" s="83"/>
      <c r="K23055" s="82"/>
      <c r="M23055" s="112"/>
      <c r="N23055" s="84"/>
    </row>
    <row r="23056" spans="1:14" s="2" customFormat="1">
      <c r="A23056" s="83"/>
      <c r="H23056" s="83"/>
      <c r="K23056" s="82"/>
      <c r="M23056" s="112"/>
      <c r="N23056" s="84"/>
    </row>
    <row r="23057" spans="1:14" s="2" customFormat="1">
      <c r="A23057" s="83"/>
      <c r="H23057" s="83"/>
      <c r="K23057" s="82"/>
      <c r="M23057" s="112"/>
      <c r="N23057" s="84"/>
    </row>
    <row r="23058" spans="1:14" s="2" customFormat="1">
      <c r="A23058" s="83"/>
      <c r="H23058" s="83"/>
      <c r="K23058" s="82"/>
      <c r="M23058" s="112"/>
      <c r="N23058" s="84"/>
    </row>
    <row r="23059" spans="1:14" s="2" customFormat="1">
      <c r="A23059" s="83"/>
      <c r="H23059" s="83"/>
      <c r="K23059" s="82"/>
      <c r="M23059" s="112"/>
      <c r="N23059" s="84"/>
    </row>
    <row r="23060" spans="1:14" s="2" customFormat="1">
      <c r="A23060" s="83"/>
      <c r="H23060" s="83"/>
      <c r="K23060" s="82"/>
      <c r="M23060" s="112"/>
      <c r="N23060" s="84"/>
    </row>
    <row r="23061" spans="1:14" s="2" customFormat="1">
      <c r="A23061" s="83"/>
      <c r="H23061" s="83"/>
      <c r="K23061" s="82"/>
      <c r="M23061" s="112"/>
      <c r="N23061" s="84"/>
    </row>
    <row r="23062" spans="1:14" s="2" customFormat="1">
      <c r="A23062" s="83"/>
      <c r="H23062" s="83"/>
      <c r="K23062" s="82"/>
      <c r="M23062" s="112"/>
      <c r="N23062" s="84"/>
    </row>
    <row r="23063" spans="1:14" s="2" customFormat="1">
      <c r="A23063" s="83"/>
      <c r="H23063" s="83"/>
      <c r="K23063" s="82"/>
      <c r="M23063" s="112"/>
      <c r="N23063" s="84"/>
    </row>
    <row r="23064" spans="1:14" s="2" customFormat="1">
      <c r="A23064" s="83"/>
      <c r="H23064" s="83"/>
      <c r="K23064" s="82"/>
      <c r="M23064" s="112"/>
      <c r="N23064" s="84"/>
    </row>
    <row r="23065" spans="1:14" s="2" customFormat="1">
      <c r="A23065" s="83"/>
      <c r="H23065" s="83"/>
      <c r="K23065" s="82"/>
      <c r="M23065" s="112"/>
      <c r="N23065" s="84"/>
    </row>
    <row r="23066" spans="1:14" s="2" customFormat="1">
      <c r="A23066" s="83"/>
      <c r="H23066" s="83"/>
      <c r="K23066" s="82"/>
      <c r="M23066" s="112"/>
      <c r="N23066" s="84"/>
    </row>
    <row r="23067" spans="1:14" s="2" customFormat="1">
      <c r="A23067" s="83"/>
      <c r="H23067" s="83"/>
      <c r="K23067" s="82"/>
      <c r="M23067" s="112"/>
      <c r="N23067" s="84"/>
    </row>
    <row r="23068" spans="1:14" s="2" customFormat="1">
      <c r="A23068" s="83"/>
      <c r="H23068" s="83"/>
      <c r="K23068" s="82"/>
      <c r="M23068" s="112"/>
      <c r="N23068" s="84"/>
    </row>
    <row r="23069" spans="1:14" s="2" customFormat="1">
      <c r="A23069" s="83"/>
      <c r="H23069" s="83"/>
      <c r="K23069" s="82"/>
      <c r="M23069" s="112"/>
      <c r="N23069" s="84"/>
    </row>
    <row r="23070" spans="1:14" s="2" customFormat="1">
      <c r="A23070" s="83"/>
      <c r="H23070" s="83"/>
      <c r="K23070" s="82"/>
      <c r="M23070" s="112"/>
      <c r="N23070" s="84"/>
    </row>
    <row r="23071" spans="1:14" s="2" customFormat="1">
      <c r="A23071" s="83"/>
      <c r="H23071" s="83"/>
      <c r="K23071" s="82"/>
      <c r="M23071" s="112"/>
      <c r="N23071" s="84"/>
    </row>
    <row r="23072" spans="1:14" s="2" customFormat="1">
      <c r="A23072" s="83"/>
      <c r="H23072" s="83"/>
      <c r="K23072" s="82"/>
      <c r="M23072" s="112"/>
      <c r="N23072" s="84"/>
    </row>
    <row r="23073" spans="1:14" s="2" customFormat="1">
      <c r="A23073" s="83"/>
      <c r="H23073" s="83"/>
      <c r="K23073" s="82"/>
      <c r="M23073" s="112"/>
      <c r="N23073" s="84"/>
    </row>
    <row r="23074" spans="1:14" s="2" customFormat="1">
      <c r="A23074" s="83"/>
      <c r="H23074" s="83"/>
      <c r="K23074" s="82"/>
      <c r="M23074" s="112"/>
      <c r="N23074" s="84"/>
    </row>
    <row r="23075" spans="1:14" s="2" customFormat="1">
      <c r="A23075" s="83"/>
      <c r="H23075" s="83"/>
      <c r="K23075" s="82"/>
      <c r="M23075" s="112"/>
      <c r="N23075" s="84"/>
    </row>
    <row r="23076" spans="1:14" s="2" customFormat="1">
      <c r="A23076" s="83"/>
      <c r="H23076" s="83"/>
      <c r="K23076" s="82"/>
      <c r="M23076" s="112"/>
      <c r="N23076" s="84"/>
    </row>
    <row r="23077" spans="1:14" s="2" customFormat="1">
      <c r="A23077" s="83"/>
      <c r="H23077" s="83"/>
      <c r="K23077" s="82"/>
      <c r="M23077" s="112"/>
      <c r="N23077" s="84"/>
    </row>
    <row r="23078" spans="1:14" s="2" customFormat="1">
      <c r="A23078" s="83"/>
      <c r="H23078" s="83"/>
      <c r="K23078" s="82"/>
      <c r="M23078" s="112"/>
      <c r="N23078" s="84"/>
    </row>
    <row r="23079" spans="1:14" s="2" customFormat="1">
      <c r="A23079" s="83"/>
      <c r="H23079" s="83"/>
      <c r="K23079" s="82"/>
      <c r="M23079" s="112"/>
      <c r="N23079" s="84"/>
    </row>
    <row r="23080" spans="1:14" s="2" customFormat="1">
      <c r="A23080" s="83"/>
      <c r="H23080" s="83"/>
      <c r="K23080" s="82"/>
      <c r="M23080" s="112"/>
      <c r="N23080" s="84"/>
    </row>
    <row r="23081" spans="1:14" s="2" customFormat="1">
      <c r="A23081" s="83"/>
      <c r="H23081" s="83"/>
      <c r="K23081" s="82"/>
      <c r="M23081" s="112"/>
      <c r="N23081" s="84"/>
    </row>
    <row r="23082" spans="1:14" s="2" customFormat="1">
      <c r="A23082" s="83"/>
      <c r="H23082" s="83"/>
      <c r="K23082" s="82"/>
      <c r="M23082" s="112"/>
      <c r="N23082" s="84"/>
    </row>
    <row r="23083" spans="1:14" s="2" customFormat="1">
      <c r="A23083" s="83"/>
      <c r="H23083" s="83"/>
      <c r="K23083" s="82"/>
      <c r="M23083" s="112"/>
      <c r="N23083" s="84"/>
    </row>
    <row r="23084" spans="1:14" s="2" customFormat="1">
      <c r="A23084" s="83"/>
      <c r="H23084" s="83"/>
      <c r="K23084" s="82"/>
      <c r="M23084" s="112"/>
      <c r="N23084" s="84"/>
    </row>
    <row r="23085" spans="1:14" s="2" customFormat="1">
      <c r="A23085" s="83"/>
      <c r="H23085" s="83"/>
      <c r="K23085" s="82"/>
      <c r="M23085" s="112"/>
      <c r="N23085" s="84"/>
    </row>
    <row r="23086" spans="1:14" s="2" customFormat="1">
      <c r="A23086" s="83"/>
      <c r="H23086" s="83"/>
      <c r="K23086" s="82"/>
      <c r="M23086" s="112"/>
      <c r="N23086" s="84"/>
    </row>
    <row r="23087" spans="1:14" s="2" customFormat="1">
      <c r="A23087" s="83"/>
      <c r="H23087" s="83"/>
      <c r="K23087" s="82"/>
      <c r="M23087" s="112"/>
      <c r="N23087" s="84"/>
    </row>
    <row r="23088" spans="1:14" s="2" customFormat="1">
      <c r="A23088" s="83"/>
      <c r="H23088" s="83"/>
      <c r="K23088" s="82"/>
      <c r="M23088" s="112"/>
      <c r="N23088" s="84"/>
    </row>
    <row r="23089" spans="1:14" s="2" customFormat="1">
      <c r="A23089" s="83"/>
      <c r="H23089" s="83"/>
      <c r="K23089" s="82"/>
      <c r="M23089" s="112"/>
      <c r="N23089" s="84"/>
    </row>
    <row r="23090" spans="1:14" s="2" customFormat="1">
      <c r="A23090" s="83"/>
      <c r="H23090" s="83"/>
      <c r="K23090" s="82"/>
      <c r="M23090" s="112"/>
      <c r="N23090" s="84"/>
    </row>
    <row r="23091" spans="1:14" s="2" customFormat="1">
      <c r="A23091" s="83"/>
      <c r="H23091" s="83"/>
      <c r="K23091" s="82"/>
      <c r="M23091" s="112"/>
      <c r="N23091" s="84"/>
    </row>
    <row r="23092" spans="1:14" s="2" customFormat="1">
      <c r="A23092" s="83"/>
      <c r="H23092" s="83"/>
      <c r="K23092" s="82"/>
      <c r="M23092" s="112"/>
      <c r="N23092" s="84"/>
    </row>
    <row r="23093" spans="1:14" s="2" customFormat="1">
      <c r="A23093" s="83"/>
      <c r="H23093" s="83"/>
      <c r="K23093" s="82"/>
      <c r="M23093" s="112"/>
      <c r="N23093" s="84"/>
    </row>
    <row r="23094" spans="1:14" s="2" customFormat="1">
      <c r="A23094" s="83"/>
      <c r="H23094" s="83"/>
      <c r="K23094" s="82"/>
      <c r="M23094" s="112"/>
      <c r="N23094" s="84"/>
    </row>
    <row r="23095" spans="1:14" s="2" customFormat="1">
      <c r="A23095" s="83"/>
      <c r="H23095" s="83"/>
      <c r="K23095" s="82"/>
      <c r="M23095" s="112"/>
      <c r="N23095" s="84"/>
    </row>
    <row r="23096" spans="1:14" s="2" customFormat="1">
      <c r="A23096" s="83"/>
      <c r="H23096" s="83"/>
      <c r="K23096" s="82"/>
      <c r="M23096" s="112"/>
      <c r="N23096" s="84"/>
    </row>
    <row r="23097" spans="1:14" s="2" customFormat="1">
      <c r="A23097" s="83"/>
      <c r="H23097" s="83"/>
      <c r="K23097" s="82"/>
      <c r="M23097" s="112"/>
      <c r="N23097" s="84"/>
    </row>
    <row r="23098" spans="1:14" s="2" customFormat="1">
      <c r="A23098" s="83"/>
      <c r="H23098" s="83"/>
      <c r="K23098" s="82"/>
      <c r="M23098" s="112"/>
      <c r="N23098" s="84"/>
    </row>
    <row r="23099" spans="1:14" s="2" customFormat="1">
      <c r="A23099" s="83"/>
      <c r="H23099" s="83"/>
      <c r="K23099" s="82"/>
      <c r="M23099" s="112"/>
      <c r="N23099" s="84"/>
    </row>
    <row r="23100" spans="1:14" s="2" customFormat="1">
      <c r="A23100" s="83"/>
      <c r="H23100" s="83"/>
      <c r="K23100" s="82"/>
      <c r="M23100" s="112"/>
      <c r="N23100" s="84"/>
    </row>
    <row r="23101" spans="1:14" s="2" customFormat="1">
      <c r="A23101" s="83"/>
      <c r="H23101" s="83"/>
      <c r="K23101" s="82"/>
      <c r="M23101" s="112"/>
      <c r="N23101" s="84"/>
    </row>
    <row r="23102" spans="1:14" s="2" customFormat="1">
      <c r="A23102" s="83"/>
      <c r="H23102" s="83"/>
      <c r="K23102" s="82"/>
      <c r="M23102" s="112"/>
      <c r="N23102" s="84"/>
    </row>
    <row r="23103" spans="1:14" s="2" customFormat="1">
      <c r="A23103" s="83"/>
      <c r="H23103" s="83"/>
      <c r="K23103" s="82"/>
      <c r="M23103" s="112"/>
      <c r="N23103" s="84"/>
    </row>
    <row r="23104" spans="1:14" s="2" customFormat="1">
      <c r="A23104" s="83"/>
      <c r="H23104" s="83"/>
      <c r="K23104" s="82"/>
      <c r="M23104" s="112"/>
      <c r="N23104" s="84"/>
    </row>
    <row r="23105" spans="1:14" s="2" customFormat="1">
      <c r="A23105" s="83"/>
      <c r="H23105" s="83"/>
      <c r="K23105" s="82"/>
      <c r="M23105" s="112"/>
      <c r="N23105" s="84"/>
    </row>
    <row r="23106" spans="1:14" s="2" customFormat="1">
      <c r="A23106" s="83"/>
      <c r="H23106" s="83"/>
      <c r="K23106" s="82"/>
      <c r="M23106" s="112"/>
      <c r="N23106" s="84"/>
    </row>
    <row r="23107" spans="1:14" s="2" customFormat="1">
      <c r="A23107" s="83"/>
      <c r="H23107" s="83"/>
      <c r="K23107" s="82"/>
      <c r="M23107" s="112"/>
      <c r="N23107" s="84"/>
    </row>
    <row r="23108" spans="1:14" s="2" customFormat="1">
      <c r="A23108" s="83"/>
      <c r="H23108" s="83"/>
      <c r="K23108" s="82"/>
      <c r="M23108" s="112"/>
      <c r="N23108" s="84"/>
    </row>
    <row r="23109" spans="1:14" s="2" customFormat="1">
      <c r="A23109" s="83"/>
      <c r="H23109" s="83"/>
      <c r="K23109" s="82"/>
      <c r="M23109" s="112"/>
      <c r="N23109" s="84"/>
    </row>
    <row r="23110" spans="1:14" s="2" customFormat="1">
      <c r="A23110" s="83"/>
      <c r="H23110" s="83"/>
      <c r="K23110" s="82"/>
      <c r="M23110" s="112"/>
      <c r="N23110" s="84"/>
    </row>
    <row r="23111" spans="1:14" s="2" customFormat="1">
      <c r="A23111" s="83"/>
      <c r="H23111" s="83"/>
      <c r="K23111" s="82"/>
      <c r="M23111" s="112"/>
      <c r="N23111" s="84"/>
    </row>
    <row r="23112" spans="1:14" s="2" customFormat="1">
      <c r="A23112" s="83"/>
      <c r="H23112" s="83"/>
      <c r="K23112" s="82"/>
      <c r="M23112" s="112"/>
      <c r="N23112" s="84"/>
    </row>
    <row r="23113" spans="1:14" s="2" customFormat="1">
      <c r="A23113" s="83"/>
      <c r="H23113" s="83"/>
      <c r="K23113" s="82"/>
      <c r="M23113" s="112"/>
      <c r="N23113" s="84"/>
    </row>
    <row r="23114" spans="1:14" s="2" customFormat="1">
      <c r="A23114" s="83"/>
      <c r="H23114" s="83"/>
      <c r="K23114" s="82"/>
      <c r="M23114" s="112"/>
      <c r="N23114" s="84"/>
    </row>
    <row r="23115" spans="1:14" s="2" customFormat="1">
      <c r="A23115" s="83"/>
      <c r="H23115" s="83"/>
      <c r="K23115" s="82"/>
      <c r="M23115" s="112"/>
      <c r="N23115" s="84"/>
    </row>
    <row r="23116" spans="1:14" s="2" customFormat="1">
      <c r="A23116" s="83"/>
      <c r="H23116" s="83"/>
      <c r="K23116" s="82"/>
      <c r="M23116" s="112"/>
      <c r="N23116" s="84"/>
    </row>
    <row r="23117" spans="1:14" s="2" customFormat="1">
      <c r="A23117" s="83"/>
      <c r="H23117" s="83"/>
      <c r="K23117" s="82"/>
      <c r="M23117" s="112"/>
      <c r="N23117" s="84"/>
    </row>
    <row r="23118" spans="1:14" s="2" customFormat="1">
      <c r="A23118" s="83"/>
      <c r="H23118" s="83"/>
      <c r="K23118" s="82"/>
      <c r="M23118" s="112"/>
      <c r="N23118" s="84"/>
    </row>
    <row r="23119" spans="1:14" s="2" customFormat="1">
      <c r="A23119" s="83"/>
      <c r="H23119" s="83"/>
      <c r="K23119" s="82"/>
      <c r="M23119" s="112"/>
      <c r="N23119" s="84"/>
    </row>
    <row r="23120" spans="1:14" s="2" customFormat="1">
      <c r="A23120" s="83"/>
      <c r="H23120" s="83"/>
      <c r="K23120" s="82"/>
      <c r="M23120" s="112"/>
      <c r="N23120" s="84"/>
    </row>
    <row r="23121" spans="1:14" s="2" customFormat="1">
      <c r="A23121" s="83"/>
      <c r="H23121" s="83"/>
      <c r="K23121" s="82"/>
      <c r="M23121" s="112"/>
      <c r="N23121" s="84"/>
    </row>
    <row r="23122" spans="1:14" s="2" customFormat="1">
      <c r="A23122" s="83"/>
      <c r="H23122" s="83"/>
      <c r="K23122" s="82"/>
      <c r="M23122" s="112"/>
      <c r="N23122" s="84"/>
    </row>
    <row r="23123" spans="1:14" s="2" customFormat="1">
      <c r="A23123" s="83"/>
      <c r="H23123" s="83"/>
      <c r="K23123" s="82"/>
      <c r="M23123" s="112"/>
      <c r="N23123" s="84"/>
    </row>
    <row r="23124" spans="1:14" s="2" customFormat="1">
      <c r="A23124" s="83"/>
      <c r="H23124" s="83"/>
      <c r="K23124" s="82"/>
      <c r="M23124" s="112"/>
      <c r="N23124" s="84"/>
    </row>
    <row r="23125" spans="1:14" s="2" customFormat="1">
      <c r="A23125" s="83"/>
      <c r="H23125" s="83"/>
      <c r="K23125" s="82"/>
      <c r="M23125" s="112"/>
      <c r="N23125" s="84"/>
    </row>
    <row r="23126" spans="1:14" s="2" customFormat="1">
      <c r="A23126" s="83"/>
      <c r="H23126" s="83"/>
      <c r="K23126" s="82"/>
      <c r="M23126" s="112"/>
      <c r="N23126" s="84"/>
    </row>
    <row r="23127" spans="1:14" s="2" customFormat="1">
      <c r="A23127" s="83"/>
      <c r="H23127" s="83"/>
      <c r="K23127" s="82"/>
      <c r="M23127" s="112"/>
      <c r="N23127" s="84"/>
    </row>
    <row r="23128" spans="1:14" s="2" customFormat="1">
      <c r="A23128" s="83"/>
      <c r="H23128" s="83"/>
      <c r="K23128" s="82"/>
      <c r="M23128" s="112"/>
      <c r="N23128" s="84"/>
    </row>
    <row r="23129" spans="1:14" s="2" customFormat="1">
      <c r="A23129" s="83"/>
      <c r="H23129" s="83"/>
      <c r="K23129" s="82"/>
      <c r="M23129" s="112"/>
      <c r="N23129" s="84"/>
    </row>
    <row r="23130" spans="1:14" s="2" customFormat="1">
      <c r="A23130" s="83"/>
      <c r="H23130" s="83"/>
      <c r="K23130" s="82"/>
      <c r="M23130" s="112"/>
      <c r="N23130" s="84"/>
    </row>
    <row r="23131" spans="1:14" s="2" customFormat="1">
      <c r="A23131" s="83"/>
      <c r="H23131" s="83"/>
      <c r="K23131" s="82"/>
      <c r="M23131" s="112"/>
      <c r="N23131" s="84"/>
    </row>
    <row r="23132" spans="1:14" s="2" customFormat="1">
      <c r="A23132" s="83"/>
      <c r="H23132" s="83"/>
      <c r="K23132" s="82"/>
      <c r="M23132" s="112"/>
      <c r="N23132" s="84"/>
    </row>
    <row r="23133" spans="1:14" s="2" customFormat="1">
      <c r="A23133" s="83"/>
      <c r="H23133" s="83"/>
      <c r="K23133" s="82"/>
      <c r="M23133" s="112"/>
      <c r="N23133" s="84"/>
    </row>
    <row r="23134" spans="1:14" s="2" customFormat="1">
      <c r="A23134" s="83"/>
      <c r="H23134" s="83"/>
      <c r="K23134" s="82"/>
      <c r="M23134" s="112"/>
      <c r="N23134" s="84"/>
    </row>
    <row r="23135" spans="1:14" s="2" customFormat="1">
      <c r="A23135" s="83"/>
      <c r="H23135" s="83"/>
      <c r="K23135" s="82"/>
      <c r="M23135" s="112"/>
      <c r="N23135" s="84"/>
    </row>
    <row r="23136" spans="1:14" s="2" customFormat="1">
      <c r="A23136" s="83"/>
      <c r="H23136" s="83"/>
      <c r="K23136" s="82"/>
      <c r="M23136" s="112"/>
      <c r="N23136" s="84"/>
    </row>
    <row r="23137" spans="1:14" s="2" customFormat="1">
      <c r="A23137" s="83"/>
      <c r="H23137" s="83"/>
      <c r="K23137" s="82"/>
      <c r="M23137" s="112"/>
      <c r="N23137" s="84"/>
    </row>
    <row r="23138" spans="1:14" s="2" customFormat="1">
      <c r="A23138" s="83"/>
      <c r="H23138" s="83"/>
      <c r="K23138" s="82"/>
      <c r="M23138" s="112"/>
      <c r="N23138" s="84"/>
    </row>
    <row r="23139" spans="1:14" s="2" customFormat="1">
      <c r="A23139" s="83"/>
      <c r="H23139" s="83"/>
      <c r="K23139" s="82"/>
      <c r="M23139" s="112"/>
      <c r="N23139" s="84"/>
    </row>
    <row r="23140" spans="1:14" s="2" customFormat="1">
      <c r="A23140" s="83"/>
      <c r="H23140" s="83"/>
      <c r="K23140" s="82"/>
      <c r="M23140" s="112"/>
      <c r="N23140" s="84"/>
    </row>
    <row r="23141" spans="1:14" s="2" customFormat="1">
      <c r="A23141" s="83"/>
      <c r="H23141" s="83"/>
      <c r="K23141" s="82"/>
      <c r="M23141" s="112"/>
      <c r="N23141" s="84"/>
    </row>
    <row r="23142" spans="1:14" s="2" customFormat="1">
      <c r="A23142" s="83"/>
      <c r="H23142" s="83"/>
      <c r="K23142" s="82"/>
      <c r="M23142" s="112"/>
      <c r="N23142" s="84"/>
    </row>
    <row r="23143" spans="1:14" s="2" customFormat="1">
      <c r="A23143" s="83"/>
      <c r="H23143" s="83"/>
      <c r="K23143" s="82"/>
      <c r="M23143" s="112"/>
      <c r="N23143" s="84"/>
    </row>
    <row r="23144" spans="1:14" s="2" customFormat="1">
      <c r="A23144" s="83"/>
      <c r="H23144" s="83"/>
      <c r="K23144" s="82"/>
      <c r="M23144" s="112"/>
      <c r="N23144" s="84"/>
    </row>
    <row r="23145" spans="1:14" s="2" customFormat="1">
      <c r="A23145" s="83"/>
      <c r="H23145" s="83"/>
      <c r="K23145" s="82"/>
      <c r="M23145" s="112"/>
      <c r="N23145" s="84"/>
    </row>
    <row r="23146" spans="1:14" s="2" customFormat="1">
      <c r="A23146" s="83"/>
      <c r="H23146" s="83"/>
      <c r="K23146" s="82"/>
      <c r="M23146" s="112"/>
      <c r="N23146" s="84"/>
    </row>
    <row r="23147" spans="1:14" s="2" customFormat="1">
      <c r="A23147" s="83"/>
      <c r="H23147" s="83"/>
      <c r="K23147" s="82"/>
      <c r="M23147" s="112"/>
      <c r="N23147" s="84"/>
    </row>
    <row r="23148" spans="1:14" s="2" customFormat="1">
      <c r="A23148" s="83"/>
      <c r="H23148" s="83"/>
      <c r="K23148" s="82"/>
      <c r="M23148" s="112"/>
      <c r="N23148" s="84"/>
    </row>
    <row r="23149" spans="1:14" s="2" customFormat="1">
      <c r="A23149" s="83"/>
      <c r="H23149" s="83"/>
      <c r="K23149" s="82"/>
      <c r="M23149" s="112"/>
      <c r="N23149" s="84"/>
    </row>
    <row r="23150" spans="1:14" s="2" customFormat="1">
      <c r="A23150" s="83"/>
      <c r="H23150" s="83"/>
      <c r="K23150" s="82"/>
      <c r="M23150" s="112"/>
      <c r="N23150" s="84"/>
    </row>
    <row r="23151" spans="1:14" s="2" customFormat="1">
      <c r="A23151" s="83"/>
      <c r="H23151" s="83"/>
      <c r="K23151" s="82"/>
      <c r="M23151" s="112"/>
      <c r="N23151" s="84"/>
    </row>
    <row r="23152" spans="1:14" s="2" customFormat="1">
      <c r="A23152" s="83"/>
      <c r="H23152" s="83"/>
      <c r="K23152" s="82"/>
      <c r="M23152" s="112"/>
      <c r="N23152" s="84"/>
    </row>
    <row r="23153" spans="1:14" s="2" customFormat="1">
      <c r="A23153" s="83"/>
      <c r="H23153" s="83"/>
      <c r="K23153" s="82"/>
      <c r="M23153" s="112"/>
      <c r="N23153" s="84"/>
    </row>
    <row r="23154" spans="1:14" s="2" customFormat="1">
      <c r="A23154" s="83"/>
      <c r="H23154" s="83"/>
      <c r="K23154" s="82"/>
      <c r="M23154" s="112"/>
      <c r="N23154" s="84"/>
    </row>
    <row r="23155" spans="1:14" s="2" customFormat="1">
      <c r="A23155" s="83"/>
      <c r="H23155" s="83"/>
      <c r="K23155" s="82"/>
      <c r="M23155" s="112"/>
      <c r="N23155" s="84"/>
    </row>
    <row r="23156" spans="1:14" s="2" customFormat="1">
      <c r="A23156" s="83"/>
      <c r="H23156" s="83"/>
      <c r="K23156" s="82"/>
      <c r="M23156" s="112"/>
      <c r="N23156" s="84"/>
    </row>
    <row r="23157" spans="1:14" s="2" customFormat="1">
      <c r="A23157" s="83"/>
      <c r="H23157" s="83"/>
      <c r="K23157" s="82"/>
      <c r="M23157" s="112"/>
      <c r="N23157" s="84"/>
    </row>
    <row r="23158" spans="1:14" s="2" customFormat="1">
      <c r="A23158" s="83"/>
      <c r="H23158" s="83"/>
      <c r="K23158" s="82"/>
      <c r="M23158" s="112"/>
      <c r="N23158" s="84"/>
    </row>
    <row r="23159" spans="1:14" s="2" customFormat="1">
      <c r="A23159" s="83"/>
      <c r="H23159" s="83"/>
      <c r="K23159" s="82"/>
      <c r="M23159" s="112"/>
      <c r="N23159" s="84"/>
    </row>
    <row r="23160" spans="1:14" s="2" customFormat="1">
      <c r="A23160" s="83"/>
      <c r="H23160" s="83"/>
      <c r="K23160" s="82"/>
      <c r="M23160" s="112"/>
      <c r="N23160" s="84"/>
    </row>
    <row r="23161" spans="1:14" s="2" customFormat="1">
      <c r="A23161" s="83"/>
      <c r="H23161" s="83"/>
      <c r="K23161" s="82"/>
      <c r="M23161" s="112"/>
      <c r="N23161" s="84"/>
    </row>
    <row r="23162" spans="1:14" s="2" customFormat="1">
      <c r="A23162" s="83"/>
      <c r="H23162" s="83"/>
      <c r="K23162" s="82"/>
      <c r="M23162" s="112"/>
      <c r="N23162" s="84"/>
    </row>
    <row r="23163" spans="1:14" s="2" customFormat="1">
      <c r="A23163" s="83"/>
      <c r="H23163" s="83"/>
      <c r="K23163" s="82"/>
      <c r="M23163" s="112"/>
      <c r="N23163" s="84"/>
    </row>
    <row r="23164" spans="1:14" s="2" customFormat="1">
      <c r="A23164" s="83"/>
      <c r="H23164" s="83"/>
      <c r="K23164" s="82"/>
      <c r="M23164" s="112"/>
      <c r="N23164" s="84"/>
    </row>
    <row r="23165" spans="1:14" s="2" customFormat="1">
      <c r="A23165" s="83"/>
      <c r="H23165" s="83"/>
      <c r="K23165" s="82"/>
      <c r="M23165" s="112"/>
      <c r="N23165" s="84"/>
    </row>
    <row r="23166" spans="1:14" s="2" customFormat="1">
      <c r="A23166" s="83"/>
      <c r="H23166" s="83"/>
      <c r="K23166" s="82"/>
      <c r="M23166" s="112"/>
      <c r="N23166" s="84"/>
    </row>
    <row r="23167" spans="1:14" s="2" customFormat="1">
      <c r="A23167" s="83"/>
      <c r="H23167" s="83"/>
      <c r="K23167" s="82"/>
      <c r="M23167" s="112"/>
      <c r="N23167" s="84"/>
    </row>
    <row r="23168" spans="1:14" s="2" customFormat="1">
      <c r="A23168" s="83"/>
      <c r="H23168" s="83"/>
      <c r="K23168" s="82"/>
      <c r="M23168" s="112"/>
      <c r="N23168" s="84"/>
    </row>
    <row r="23169" spans="1:14" s="2" customFormat="1">
      <c r="A23169" s="83"/>
      <c r="H23169" s="83"/>
      <c r="K23169" s="82"/>
      <c r="M23169" s="112"/>
      <c r="N23169" s="84"/>
    </row>
    <row r="23170" spans="1:14" s="2" customFormat="1">
      <c r="A23170" s="83"/>
      <c r="H23170" s="83"/>
      <c r="K23170" s="82"/>
      <c r="M23170" s="112"/>
      <c r="N23170" s="84"/>
    </row>
    <row r="23171" spans="1:14" s="2" customFormat="1">
      <c r="A23171" s="83"/>
      <c r="H23171" s="83"/>
      <c r="K23171" s="82"/>
      <c r="M23171" s="112"/>
      <c r="N23171" s="84"/>
    </row>
    <row r="23172" spans="1:14" s="2" customFormat="1">
      <c r="A23172" s="83"/>
      <c r="H23172" s="83"/>
      <c r="K23172" s="82"/>
      <c r="M23172" s="112"/>
      <c r="N23172" s="84"/>
    </row>
    <row r="23173" spans="1:14" s="2" customFormat="1">
      <c r="A23173" s="83"/>
      <c r="H23173" s="83"/>
      <c r="K23173" s="82"/>
      <c r="M23173" s="112"/>
      <c r="N23173" s="84"/>
    </row>
    <row r="23174" spans="1:14" s="2" customFormat="1">
      <c r="A23174" s="83"/>
      <c r="H23174" s="83"/>
      <c r="K23174" s="82"/>
      <c r="M23174" s="112"/>
      <c r="N23174" s="84"/>
    </row>
    <row r="23175" spans="1:14" s="2" customFormat="1">
      <c r="A23175" s="83"/>
      <c r="H23175" s="83"/>
      <c r="K23175" s="82"/>
      <c r="M23175" s="112"/>
      <c r="N23175" s="84"/>
    </row>
    <row r="23176" spans="1:14" s="2" customFormat="1">
      <c r="A23176" s="83"/>
      <c r="H23176" s="83"/>
      <c r="K23176" s="82"/>
      <c r="M23176" s="112"/>
      <c r="N23176" s="84"/>
    </row>
    <row r="23177" spans="1:14" s="2" customFormat="1">
      <c r="A23177" s="83"/>
      <c r="H23177" s="83"/>
      <c r="K23177" s="82"/>
      <c r="M23177" s="112"/>
      <c r="N23177" s="84"/>
    </row>
    <row r="23178" spans="1:14" s="2" customFormat="1">
      <c r="A23178" s="83"/>
      <c r="H23178" s="83"/>
      <c r="K23178" s="82"/>
      <c r="M23178" s="112"/>
      <c r="N23178" s="84"/>
    </row>
    <row r="23179" spans="1:14" s="2" customFormat="1">
      <c r="A23179" s="83"/>
      <c r="H23179" s="83"/>
      <c r="K23179" s="82"/>
      <c r="M23179" s="112"/>
      <c r="N23179" s="84"/>
    </row>
    <row r="23180" spans="1:14" s="2" customFormat="1">
      <c r="A23180" s="83"/>
      <c r="H23180" s="83"/>
      <c r="K23180" s="82"/>
      <c r="M23180" s="112"/>
      <c r="N23180" s="84"/>
    </row>
    <row r="23181" spans="1:14" s="2" customFormat="1">
      <c r="A23181" s="83"/>
      <c r="H23181" s="83"/>
      <c r="K23181" s="82"/>
      <c r="M23181" s="112"/>
      <c r="N23181" s="84"/>
    </row>
    <row r="23182" spans="1:14" s="2" customFormat="1">
      <c r="A23182" s="83"/>
      <c r="H23182" s="83"/>
      <c r="K23182" s="82"/>
      <c r="M23182" s="112"/>
      <c r="N23182" s="84"/>
    </row>
    <row r="23183" spans="1:14" s="2" customFormat="1">
      <c r="A23183" s="83"/>
      <c r="H23183" s="83"/>
      <c r="K23183" s="82"/>
      <c r="M23183" s="112"/>
      <c r="N23183" s="84"/>
    </row>
    <row r="23184" spans="1:14" s="2" customFormat="1">
      <c r="A23184" s="83"/>
      <c r="H23184" s="83"/>
      <c r="K23184" s="82"/>
      <c r="M23184" s="112"/>
      <c r="N23184" s="84"/>
    </row>
    <row r="23185" spans="1:14" s="2" customFormat="1">
      <c r="A23185" s="83"/>
      <c r="H23185" s="83"/>
      <c r="K23185" s="82"/>
      <c r="M23185" s="112"/>
      <c r="N23185" s="84"/>
    </row>
    <row r="23186" spans="1:14" s="2" customFormat="1">
      <c r="A23186" s="83"/>
      <c r="H23186" s="83"/>
      <c r="K23186" s="82"/>
      <c r="M23186" s="112"/>
      <c r="N23186" s="84"/>
    </row>
    <row r="23187" spans="1:14" s="2" customFormat="1">
      <c r="A23187" s="83"/>
      <c r="H23187" s="83"/>
      <c r="K23187" s="82"/>
      <c r="M23187" s="112"/>
      <c r="N23187" s="84"/>
    </row>
    <row r="23188" spans="1:14" s="2" customFormat="1">
      <c r="A23188" s="83"/>
      <c r="H23188" s="83"/>
      <c r="K23188" s="82"/>
      <c r="M23188" s="112"/>
      <c r="N23188" s="84"/>
    </row>
    <row r="23189" spans="1:14" s="2" customFormat="1">
      <c r="A23189" s="83"/>
      <c r="H23189" s="83"/>
      <c r="K23189" s="82"/>
      <c r="M23189" s="112"/>
      <c r="N23189" s="84"/>
    </row>
    <row r="23190" spans="1:14" s="2" customFormat="1">
      <c r="A23190" s="83"/>
      <c r="H23190" s="83"/>
      <c r="K23190" s="82"/>
      <c r="M23190" s="112"/>
      <c r="N23190" s="84"/>
    </row>
    <row r="23191" spans="1:14" s="2" customFormat="1">
      <c r="A23191" s="83"/>
      <c r="H23191" s="83"/>
      <c r="K23191" s="82"/>
      <c r="M23191" s="112"/>
      <c r="N23191" s="84"/>
    </row>
    <row r="23192" spans="1:14" s="2" customFormat="1">
      <c r="A23192" s="83"/>
      <c r="H23192" s="83"/>
      <c r="K23192" s="82"/>
      <c r="M23192" s="112"/>
      <c r="N23192" s="84"/>
    </row>
    <row r="23193" spans="1:14" s="2" customFormat="1">
      <c r="A23193" s="83"/>
      <c r="H23193" s="83"/>
      <c r="K23193" s="82"/>
      <c r="M23193" s="112"/>
      <c r="N23193" s="84"/>
    </row>
    <row r="23194" spans="1:14" s="2" customFormat="1">
      <c r="A23194" s="83"/>
      <c r="H23194" s="83"/>
      <c r="K23194" s="82"/>
      <c r="M23194" s="112"/>
      <c r="N23194" s="84"/>
    </row>
    <row r="23195" spans="1:14" s="2" customFormat="1">
      <c r="A23195" s="83"/>
      <c r="H23195" s="83"/>
      <c r="K23195" s="82"/>
      <c r="M23195" s="112"/>
      <c r="N23195" s="84"/>
    </row>
    <row r="23196" spans="1:14" s="2" customFormat="1">
      <c r="A23196" s="83"/>
      <c r="H23196" s="83"/>
      <c r="K23196" s="82"/>
      <c r="M23196" s="112"/>
      <c r="N23196" s="84"/>
    </row>
    <row r="23197" spans="1:14" s="2" customFormat="1">
      <c r="A23197" s="83"/>
      <c r="H23197" s="83"/>
      <c r="K23197" s="82"/>
      <c r="M23197" s="112"/>
      <c r="N23197" s="84"/>
    </row>
    <row r="23198" spans="1:14" s="2" customFormat="1">
      <c r="A23198" s="83"/>
      <c r="H23198" s="83"/>
      <c r="K23198" s="82"/>
      <c r="M23198" s="112"/>
      <c r="N23198" s="84"/>
    </row>
    <row r="23199" spans="1:14" s="2" customFormat="1">
      <c r="A23199" s="83"/>
      <c r="H23199" s="83"/>
      <c r="K23199" s="82"/>
      <c r="M23199" s="112"/>
      <c r="N23199" s="84"/>
    </row>
    <row r="23200" spans="1:14" s="2" customFormat="1">
      <c r="A23200" s="83"/>
      <c r="H23200" s="83"/>
      <c r="K23200" s="82"/>
      <c r="M23200" s="112"/>
      <c r="N23200" s="84"/>
    </row>
    <row r="23201" spans="1:14" s="2" customFormat="1">
      <c r="A23201" s="83"/>
      <c r="H23201" s="83"/>
      <c r="K23201" s="82"/>
      <c r="M23201" s="112"/>
      <c r="N23201" s="84"/>
    </row>
    <row r="23202" spans="1:14" s="2" customFormat="1">
      <c r="A23202" s="83"/>
      <c r="H23202" s="83"/>
      <c r="K23202" s="82"/>
      <c r="M23202" s="112"/>
      <c r="N23202" s="84"/>
    </row>
    <row r="23203" spans="1:14" s="2" customFormat="1">
      <c r="A23203" s="83"/>
      <c r="H23203" s="83"/>
      <c r="K23203" s="82"/>
      <c r="M23203" s="112"/>
      <c r="N23203" s="84"/>
    </row>
    <row r="23204" spans="1:14" s="2" customFormat="1">
      <c r="A23204" s="83"/>
      <c r="H23204" s="83"/>
      <c r="K23204" s="82"/>
      <c r="M23204" s="112"/>
      <c r="N23204" s="84"/>
    </row>
    <row r="23205" spans="1:14" s="2" customFormat="1">
      <c r="A23205" s="83"/>
      <c r="H23205" s="83"/>
      <c r="K23205" s="82"/>
      <c r="M23205" s="112"/>
      <c r="N23205" s="84"/>
    </row>
    <row r="23206" spans="1:14" s="2" customFormat="1">
      <c r="A23206" s="83"/>
      <c r="H23206" s="83"/>
      <c r="K23206" s="82"/>
      <c r="M23206" s="112"/>
      <c r="N23206" s="84"/>
    </row>
    <row r="23207" spans="1:14" s="2" customFormat="1">
      <c r="A23207" s="83"/>
      <c r="H23207" s="83"/>
      <c r="K23207" s="82"/>
      <c r="M23207" s="112"/>
      <c r="N23207" s="84"/>
    </row>
    <row r="23208" spans="1:14" s="2" customFormat="1">
      <c r="A23208" s="83"/>
      <c r="H23208" s="83"/>
      <c r="K23208" s="82"/>
      <c r="M23208" s="112"/>
      <c r="N23208" s="84"/>
    </row>
    <row r="23209" spans="1:14" s="2" customFormat="1">
      <c r="A23209" s="83"/>
      <c r="H23209" s="83"/>
      <c r="K23209" s="82"/>
      <c r="M23209" s="112"/>
      <c r="N23209" s="84"/>
    </row>
    <row r="23210" spans="1:14" s="2" customFormat="1">
      <c r="A23210" s="83"/>
      <c r="H23210" s="83"/>
      <c r="K23210" s="82"/>
      <c r="M23210" s="112"/>
      <c r="N23210" s="84"/>
    </row>
    <row r="23211" spans="1:14" s="2" customFormat="1">
      <c r="A23211" s="83"/>
      <c r="H23211" s="83"/>
      <c r="K23211" s="82"/>
      <c r="M23211" s="112"/>
      <c r="N23211" s="84"/>
    </row>
    <row r="23212" spans="1:14" s="2" customFormat="1">
      <c r="A23212" s="83"/>
      <c r="H23212" s="83"/>
      <c r="K23212" s="82"/>
      <c r="M23212" s="112"/>
      <c r="N23212" s="84"/>
    </row>
    <row r="23213" spans="1:14" s="2" customFormat="1">
      <c r="A23213" s="83"/>
      <c r="H23213" s="83"/>
      <c r="K23213" s="82"/>
      <c r="M23213" s="112"/>
      <c r="N23213" s="84"/>
    </row>
    <row r="23214" spans="1:14" s="2" customFormat="1">
      <c r="A23214" s="83"/>
      <c r="H23214" s="83"/>
      <c r="K23214" s="82"/>
      <c r="M23214" s="112"/>
      <c r="N23214" s="84"/>
    </row>
    <row r="23215" spans="1:14" s="2" customFormat="1">
      <c r="A23215" s="83"/>
      <c r="H23215" s="83"/>
      <c r="K23215" s="82"/>
      <c r="M23215" s="112"/>
      <c r="N23215" s="84"/>
    </row>
    <row r="23216" spans="1:14" s="2" customFormat="1">
      <c r="A23216" s="83"/>
      <c r="H23216" s="83"/>
      <c r="K23216" s="82"/>
      <c r="M23216" s="112"/>
      <c r="N23216" s="84"/>
    </row>
    <row r="23217" spans="1:14" s="2" customFormat="1">
      <c r="A23217" s="83"/>
      <c r="H23217" s="83"/>
      <c r="K23217" s="82"/>
      <c r="M23217" s="112"/>
      <c r="N23217" s="84"/>
    </row>
    <row r="23218" spans="1:14" s="2" customFormat="1">
      <c r="A23218" s="83"/>
      <c r="H23218" s="83"/>
      <c r="K23218" s="82"/>
      <c r="M23218" s="112"/>
      <c r="N23218" s="84"/>
    </row>
    <row r="23219" spans="1:14" s="2" customFormat="1">
      <c r="A23219" s="83"/>
      <c r="H23219" s="83"/>
      <c r="K23219" s="82"/>
      <c r="M23219" s="112"/>
      <c r="N23219" s="84"/>
    </row>
    <row r="23220" spans="1:14" s="2" customFormat="1">
      <c r="A23220" s="83"/>
      <c r="H23220" s="83"/>
      <c r="K23220" s="82"/>
      <c r="M23220" s="112"/>
      <c r="N23220" s="84"/>
    </row>
    <row r="23221" spans="1:14" s="2" customFormat="1">
      <c r="A23221" s="83"/>
      <c r="H23221" s="83"/>
      <c r="K23221" s="82"/>
      <c r="M23221" s="112"/>
      <c r="N23221" s="84"/>
    </row>
    <row r="23222" spans="1:14" s="2" customFormat="1">
      <c r="A23222" s="83"/>
      <c r="H23222" s="83"/>
      <c r="K23222" s="82"/>
      <c r="M23222" s="112"/>
      <c r="N23222" s="84"/>
    </row>
    <row r="23223" spans="1:14" s="2" customFormat="1">
      <c r="A23223" s="83"/>
      <c r="H23223" s="83"/>
      <c r="K23223" s="82"/>
      <c r="M23223" s="112"/>
      <c r="N23223" s="84"/>
    </row>
    <row r="23224" spans="1:14" s="2" customFormat="1">
      <c r="A23224" s="83"/>
      <c r="H23224" s="83"/>
      <c r="K23224" s="82"/>
      <c r="M23224" s="112"/>
      <c r="N23224" s="84"/>
    </row>
    <row r="23225" spans="1:14" s="2" customFormat="1">
      <c r="A23225" s="83"/>
      <c r="H23225" s="83"/>
      <c r="K23225" s="82"/>
      <c r="M23225" s="112"/>
      <c r="N23225" s="84"/>
    </row>
    <row r="23226" spans="1:14" s="2" customFormat="1">
      <c r="A23226" s="83"/>
      <c r="H23226" s="83"/>
      <c r="K23226" s="82"/>
      <c r="M23226" s="112"/>
      <c r="N23226" s="84"/>
    </row>
    <row r="23227" spans="1:14" s="2" customFormat="1">
      <c r="A23227" s="83"/>
      <c r="H23227" s="83"/>
      <c r="K23227" s="82"/>
      <c r="M23227" s="112"/>
      <c r="N23227" s="84"/>
    </row>
    <row r="23228" spans="1:14" s="2" customFormat="1">
      <c r="A23228" s="83"/>
      <c r="H23228" s="83"/>
      <c r="K23228" s="82"/>
      <c r="M23228" s="112"/>
      <c r="N23228" s="84"/>
    </row>
    <row r="23229" spans="1:14" s="2" customFormat="1">
      <c r="A23229" s="83"/>
      <c r="H23229" s="83"/>
      <c r="K23229" s="82"/>
      <c r="M23229" s="112"/>
      <c r="N23229" s="84"/>
    </row>
    <row r="23230" spans="1:14" s="2" customFormat="1">
      <c r="A23230" s="83"/>
      <c r="H23230" s="83"/>
      <c r="K23230" s="82"/>
      <c r="M23230" s="112"/>
      <c r="N23230" s="84"/>
    </row>
    <row r="23231" spans="1:14" s="2" customFormat="1">
      <c r="A23231" s="83"/>
      <c r="H23231" s="83"/>
      <c r="K23231" s="82"/>
      <c r="M23231" s="112"/>
      <c r="N23231" s="84"/>
    </row>
    <row r="23232" spans="1:14" s="2" customFormat="1">
      <c r="A23232" s="83"/>
      <c r="H23232" s="83"/>
      <c r="K23232" s="82"/>
      <c r="M23232" s="112"/>
      <c r="N23232" s="84"/>
    </row>
    <row r="23233" spans="1:14" s="2" customFormat="1">
      <c r="A23233" s="83"/>
      <c r="H23233" s="83"/>
      <c r="K23233" s="82"/>
      <c r="M23233" s="112"/>
      <c r="N23233" s="84"/>
    </row>
    <row r="23234" spans="1:14" s="2" customFormat="1">
      <c r="A23234" s="83"/>
      <c r="H23234" s="83"/>
      <c r="K23234" s="82"/>
      <c r="M23234" s="112"/>
      <c r="N23234" s="84"/>
    </row>
    <row r="23235" spans="1:14" s="2" customFormat="1">
      <c r="A23235" s="83"/>
      <c r="H23235" s="83"/>
      <c r="K23235" s="82"/>
      <c r="M23235" s="112"/>
      <c r="N23235" s="84"/>
    </row>
    <row r="23236" spans="1:14" s="2" customFormat="1">
      <c r="A23236" s="83"/>
      <c r="H23236" s="83"/>
      <c r="K23236" s="82"/>
      <c r="M23236" s="112"/>
      <c r="N23236" s="84"/>
    </row>
    <row r="23237" spans="1:14" s="2" customFormat="1">
      <c r="A23237" s="83"/>
      <c r="H23237" s="83"/>
      <c r="K23237" s="82"/>
      <c r="M23237" s="112"/>
      <c r="N23237" s="84"/>
    </row>
    <row r="23238" spans="1:14" s="2" customFormat="1">
      <c r="A23238" s="83"/>
      <c r="H23238" s="83"/>
      <c r="K23238" s="82"/>
      <c r="M23238" s="112"/>
      <c r="N23238" s="84"/>
    </row>
    <row r="23239" spans="1:14" s="2" customFormat="1">
      <c r="A23239" s="83"/>
      <c r="H23239" s="83"/>
      <c r="K23239" s="82"/>
      <c r="M23239" s="112"/>
      <c r="N23239" s="84"/>
    </row>
    <row r="23240" spans="1:14" s="2" customFormat="1">
      <c r="A23240" s="83"/>
      <c r="H23240" s="83"/>
      <c r="K23240" s="82"/>
      <c r="M23240" s="112"/>
      <c r="N23240" s="84"/>
    </row>
    <row r="23241" spans="1:14" s="2" customFormat="1">
      <c r="A23241" s="83"/>
      <c r="H23241" s="83"/>
      <c r="K23241" s="82"/>
      <c r="M23241" s="112"/>
      <c r="N23241" s="84"/>
    </row>
    <row r="23242" spans="1:14" s="2" customFormat="1">
      <c r="A23242" s="83"/>
      <c r="H23242" s="83"/>
      <c r="K23242" s="82"/>
      <c r="M23242" s="112"/>
      <c r="N23242" s="84"/>
    </row>
    <row r="23243" spans="1:14" s="2" customFormat="1">
      <c r="A23243" s="83"/>
      <c r="H23243" s="83"/>
      <c r="K23243" s="82"/>
      <c r="M23243" s="112"/>
      <c r="N23243" s="84"/>
    </row>
    <row r="23244" spans="1:14" s="2" customFormat="1">
      <c r="A23244" s="83"/>
      <c r="H23244" s="83"/>
      <c r="K23244" s="82"/>
      <c r="M23244" s="112"/>
      <c r="N23244" s="84"/>
    </row>
    <row r="23245" spans="1:14" s="2" customFormat="1">
      <c r="A23245" s="83"/>
      <c r="H23245" s="83"/>
      <c r="K23245" s="82"/>
      <c r="M23245" s="112"/>
      <c r="N23245" s="84"/>
    </row>
    <row r="23246" spans="1:14" s="2" customFormat="1">
      <c r="A23246" s="83"/>
      <c r="H23246" s="83"/>
      <c r="K23246" s="82"/>
      <c r="M23246" s="112"/>
      <c r="N23246" s="84"/>
    </row>
    <row r="23247" spans="1:14" s="2" customFormat="1">
      <c r="A23247" s="83"/>
      <c r="H23247" s="83"/>
      <c r="K23247" s="82"/>
      <c r="M23247" s="112"/>
      <c r="N23247" s="84"/>
    </row>
    <row r="23248" spans="1:14" s="2" customFormat="1">
      <c r="A23248" s="83"/>
      <c r="H23248" s="83"/>
      <c r="K23248" s="82"/>
      <c r="M23248" s="112"/>
      <c r="N23248" s="84"/>
    </row>
    <row r="23249" spans="1:14" s="2" customFormat="1">
      <c r="A23249" s="83"/>
      <c r="H23249" s="83"/>
      <c r="K23249" s="82"/>
      <c r="M23249" s="112"/>
      <c r="N23249" s="84"/>
    </row>
    <row r="23250" spans="1:14" s="2" customFormat="1">
      <c r="A23250" s="83"/>
      <c r="H23250" s="83"/>
      <c r="K23250" s="82"/>
      <c r="M23250" s="112"/>
      <c r="N23250" s="84"/>
    </row>
    <row r="23251" spans="1:14" s="2" customFormat="1">
      <c r="A23251" s="83"/>
      <c r="H23251" s="83"/>
      <c r="K23251" s="82"/>
      <c r="M23251" s="112"/>
      <c r="N23251" s="84"/>
    </row>
    <row r="23252" spans="1:14" s="2" customFormat="1">
      <c r="A23252" s="83"/>
      <c r="H23252" s="83"/>
      <c r="K23252" s="82"/>
      <c r="M23252" s="112"/>
      <c r="N23252" s="84"/>
    </row>
    <row r="23253" spans="1:14" s="2" customFormat="1">
      <c r="A23253" s="83"/>
      <c r="H23253" s="83"/>
      <c r="K23253" s="82"/>
      <c r="M23253" s="112"/>
      <c r="N23253" s="84"/>
    </row>
    <row r="23254" spans="1:14" s="2" customFormat="1">
      <c r="A23254" s="83"/>
      <c r="H23254" s="83"/>
      <c r="K23254" s="82"/>
      <c r="M23254" s="112"/>
      <c r="N23254" s="84"/>
    </row>
    <row r="23255" spans="1:14" s="2" customFormat="1">
      <c r="A23255" s="83"/>
      <c r="H23255" s="83"/>
      <c r="K23255" s="82"/>
      <c r="M23255" s="112"/>
      <c r="N23255" s="84"/>
    </row>
    <row r="23256" spans="1:14" s="2" customFormat="1">
      <c r="A23256" s="83"/>
      <c r="H23256" s="83"/>
      <c r="K23256" s="82"/>
      <c r="M23256" s="112"/>
      <c r="N23256" s="84"/>
    </row>
    <row r="23257" spans="1:14" s="2" customFormat="1">
      <c r="A23257" s="83"/>
      <c r="H23257" s="83"/>
      <c r="K23257" s="82"/>
      <c r="M23257" s="112"/>
      <c r="N23257" s="84"/>
    </row>
    <row r="23258" spans="1:14" s="2" customFormat="1">
      <c r="A23258" s="83"/>
      <c r="H23258" s="83"/>
      <c r="K23258" s="82"/>
      <c r="M23258" s="112"/>
      <c r="N23258" s="84"/>
    </row>
    <row r="23259" spans="1:14" s="2" customFormat="1">
      <c r="A23259" s="83"/>
      <c r="H23259" s="83"/>
      <c r="K23259" s="82"/>
      <c r="M23259" s="112"/>
      <c r="N23259" s="84"/>
    </row>
    <row r="23260" spans="1:14" s="2" customFormat="1">
      <c r="A23260" s="83"/>
      <c r="H23260" s="83"/>
      <c r="K23260" s="82"/>
      <c r="M23260" s="112"/>
      <c r="N23260" s="84"/>
    </row>
    <row r="23261" spans="1:14" s="2" customFormat="1">
      <c r="A23261" s="83"/>
      <c r="H23261" s="83"/>
      <c r="K23261" s="82"/>
      <c r="M23261" s="112"/>
      <c r="N23261" s="84"/>
    </row>
    <row r="23262" spans="1:14" s="2" customFormat="1">
      <c r="A23262" s="83"/>
      <c r="H23262" s="83"/>
      <c r="K23262" s="82"/>
      <c r="M23262" s="112"/>
      <c r="N23262" s="84"/>
    </row>
    <row r="23263" spans="1:14" s="2" customFormat="1">
      <c r="A23263" s="83"/>
      <c r="H23263" s="83"/>
      <c r="K23263" s="82"/>
      <c r="M23263" s="112"/>
      <c r="N23263" s="84"/>
    </row>
    <row r="23264" spans="1:14" s="2" customFormat="1">
      <c r="A23264" s="83"/>
      <c r="H23264" s="83"/>
      <c r="K23264" s="82"/>
      <c r="M23264" s="112"/>
      <c r="N23264" s="84"/>
    </row>
    <row r="23265" spans="1:14" s="2" customFormat="1">
      <c r="A23265" s="83"/>
      <c r="H23265" s="83"/>
      <c r="K23265" s="82"/>
      <c r="M23265" s="112"/>
      <c r="N23265" s="84"/>
    </row>
    <row r="23266" spans="1:14" s="2" customFormat="1">
      <c r="A23266" s="83"/>
      <c r="H23266" s="83"/>
      <c r="K23266" s="82"/>
      <c r="M23266" s="112"/>
      <c r="N23266" s="84"/>
    </row>
    <row r="23267" spans="1:14" s="2" customFormat="1">
      <c r="A23267" s="83"/>
      <c r="H23267" s="83"/>
      <c r="K23267" s="82"/>
      <c r="M23267" s="112"/>
      <c r="N23267" s="84"/>
    </row>
    <row r="23268" spans="1:14" s="2" customFormat="1">
      <c r="A23268" s="83"/>
      <c r="H23268" s="83"/>
      <c r="K23268" s="82"/>
      <c r="M23268" s="112"/>
      <c r="N23268" s="84"/>
    </row>
    <row r="23269" spans="1:14" s="2" customFormat="1">
      <c r="A23269" s="83"/>
      <c r="H23269" s="83"/>
      <c r="K23269" s="82"/>
      <c r="M23269" s="112"/>
      <c r="N23269" s="84"/>
    </row>
    <row r="23270" spans="1:14" s="2" customFormat="1">
      <c r="A23270" s="83"/>
      <c r="H23270" s="83"/>
      <c r="K23270" s="82"/>
      <c r="M23270" s="112"/>
      <c r="N23270" s="84"/>
    </row>
    <row r="23271" spans="1:14" s="2" customFormat="1">
      <c r="A23271" s="83"/>
      <c r="H23271" s="83"/>
      <c r="K23271" s="82"/>
      <c r="M23271" s="112"/>
      <c r="N23271" s="84"/>
    </row>
    <row r="23272" spans="1:14" s="2" customFormat="1">
      <c r="A23272" s="83"/>
      <c r="H23272" s="83"/>
      <c r="K23272" s="82"/>
      <c r="M23272" s="112"/>
      <c r="N23272" s="84"/>
    </row>
    <row r="23273" spans="1:14" s="2" customFormat="1">
      <c r="A23273" s="83"/>
      <c r="H23273" s="83"/>
      <c r="K23273" s="82"/>
      <c r="M23273" s="112"/>
      <c r="N23273" s="84"/>
    </row>
    <row r="23274" spans="1:14" s="2" customFormat="1">
      <c r="A23274" s="83"/>
      <c r="H23274" s="83"/>
      <c r="K23274" s="82"/>
      <c r="M23274" s="112"/>
      <c r="N23274" s="84"/>
    </row>
    <row r="23275" spans="1:14" s="2" customFormat="1">
      <c r="A23275" s="83"/>
      <c r="H23275" s="83"/>
      <c r="K23275" s="82"/>
      <c r="M23275" s="112"/>
      <c r="N23275" s="84"/>
    </row>
    <row r="23276" spans="1:14" s="2" customFormat="1">
      <c r="A23276" s="83"/>
      <c r="H23276" s="83"/>
      <c r="K23276" s="82"/>
      <c r="M23276" s="112"/>
      <c r="N23276" s="84"/>
    </row>
    <row r="23277" spans="1:14" s="2" customFormat="1">
      <c r="A23277" s="83"/>
      <c r="H23277" s="83"/>
      <c r="K23277" s="82"/>
      <c r="M23277" s="112"/>
      <c r="N23277" s="84"/>
    </row>
    <row r="23278" spans="1:14" s="2" customFormat="1">
      <c r="A23278" s="83"/>
      <c r="H23278" s="83"/>
      <c r="K23278" s="82"/>
      <c r="M23278" s="112"/>
      <c r="N23278" s="84"/>
    </row>
    <row r="23279" spans="1:14" s="2" customFormat="1">
      <c r="A23279" s="83"/>
      <c r="H23279" s="83"/>
      <c r="K23279" s="82"/>
      <c r="M23279" s="112"/>
      <c r="N23279" s="84"/>
    </row>
    <row r="23280" spans="1:14" s="2" customFormat="1">
      <c r="A23280" s="83"/>
      <c r="H23280" s="83"/>
      <c r="K23280" s="82"/>
      <c r="M23280" s="112"/>
      <c r="N23280" s="84"/>
    </row>
    <row r="23281" spans="1:14" s="2" customFormat="1">
      <c r="A23281" s="83"/>
      <c r="H23281" s="83"/>
      <c r="K23281" s="82"/>
      <c r="M23281" s="112"/>
      <c r="N23281" s="84"/>
    </row>
    <row r="23282" spans="1:14" s="2" customFormat="1">
      <c r="A23282" s="83"/>
      <c r="H23282" s="83"/>
      <c r="K23282" s="82"/>
      <c r="M23282" s="112"/>
      <c r="N23282" s="84"/>
    </row>
    <row r="23283" spans="1:14" s="2" customFormat="1">
      <c r="A23283" s="83"/>
      <c r="H23283" s="83"/>
      <c r="K23283" s="82"/>
      <c r="M23283" s="112"/>
      <c r="N23283" s="84"/>
    </row>
    <row r="23284" spans="1:14" s="2" customFormat="1">
      <c r="A23284" s="83"/>
      <c r="H23284" s="83"/>
      <c r="K23284" s="82"/>
      <c r="M23284" s="112"/>
      <c r="N23284" s="84"/>
    </row>
    <row r="23285" spans="1:14" s="2" customFormat="1">
      <c r="A23285" s="83"/>
      <c r="H23285" s="83"/>
      <c r="K23285" s="82"/>
      <c r="M23285" s="112"/>
      <c r="N23285" s="84"/>
    </row>
    <row r="23286" spans="1:14" s="2" customFormat="1">
      <c r="A23286" s="83"/>
      <c r="H23286" s="83"/>
      <c r="K23286" s="82"/>
      <c r="M23286" s="112"/>
      <c r="N23286" s="84"/>
    </row>
    <row r="23287" spans="1:14" s="2" customFormat="1">
      <c r="A23287" s="83"/>
      <c r="H23287" s="83"/>
      <c r="K23287" s="82"/>
      <c r="M23287" s="112"/>
      <c r="N23287" s="84"/>
    </row>
    <row r="23288" spans="1:14" s="2" customFormat="1">
      <c r="A23288" s="83"/>
      <c r="H23288" s="83"/>
      <c r="K23288" s="82"/>
      <c r="M23288" s="112"/>
      <c r="N23288" s="84"/>
    </row>
    <row r="23289" spans="1:14" s="2" customFormat="1">
      <c r="A23289" s="83"/>
      <c r="H23289" s="83"/>
      <c r="K23289" s="82"/>
      <c r="M23289" s="112"/>
      <c r="N23289" s="84"/>
    </row>
    <row r="23290" spans="1:14" s="2" customFormat="1">
      <c r="A23290" s="83"/>
      <c r="H23290" s="83"/>
      <c r="K23290" s="82"/>
      <c r="M23290" s="112"/>
      <c r="N23290" s="84"/>
    </row>
    <row r="23291" spans="1:14" s="2" customFormat="1">
      <c r="A23291" s="83"/>
      <c r="H23291" s="83"/>
      <c r="K23291" s="82"/>
      <c r="M23291" s="112"/>
      <c r="N23291" s="84"/>
    </row>
    <row r="23292" spans="1:14" s="2" customFormat="1">
      <c r="A23292" s="83"/>
      <c r="H23292" s="83"/>
      <c r="K23292" s="82"/>
      <c r="M23292" s="112"/>
      <c r="N23292" s="84"/>
    </row>
    <row r="23293" spans="1:14" s="2" customFormat="1">
      <c r="A23293" s="83"/>
      <c r="H23293" s="83"/>
      <c r="K23293" s="82"/>
      <c r="M23293" s="112"/>
      <c r="N23293" s="84"/>
    </row>
    <row r="23294" spans="1:14" s="2" customFormat="1">
      <c r="A23294" s="83"/>
      <c r="H23294" s="83"/>
      <c r="K23294" s="82"/>
      <c r="M23294" s="112"/>
      <c r="N23294" s="84"/>
    </row>
    <row r="23295" spans="1:14" s="2" customFormat="1">
      <c r="A23295" s="83"/>
      <c r="H23295" s="83"/>
      <c r="K23295" s="82"/>
      <c r="M23295" s="112"/>
      <c r="N23295" s="84"/>
    </row>
    <row r="23296" spans="1:14" s="2" customFormat="1">
      <c r="A23296" s="83"/>
      <c r="H23296" s="83"/>
      <c r="K23296" s="82"/>
      <c r="M23296" s="112"/>
      <c r="N23296" s="84"/>
    </row>
    <row r="23297" spans="1:14" s="2" customFormat="1">
      <c r="A23297" s="83"/>
      <c r="H23297" s="83"/>
      <c r="K23297" s="82"/>
      <c r="M23297" s="112"/>
      <c r="N23297" s="84"/>
    </row>
    <row r="23298" spans="1:14" s="2" customFormat="1">
      <c r="A23298" s="83"/>
      <c r="H23298" s="83"/>
      <c r="K23298" s="82"/>
      <c r="M23298" s="112"/>
      <c r="N23298" s="84"/>
    </row>
    <row r="23299" spans="1:14" s="2" customFormat="1">
      <c r="A23299" s="83"/>
      <c r="H23299" s="83"/>
      <c r="K23299" s="82"/>
      <c r="M23299" s="112"/>
      <c r="N23299" s="84"/>
    </row>
    <row r="23300" spans="1:14" s="2" customFormat="1">
      <c r="A23300" s="83"/>
      <c r="H23300" s="83"/>
      <c r="K23300" s="82"/>
      <c r="M23300" s="112"/>
      <c r="N23300" s="84"/>
    </row>
    <row r="23301" spans="1:14" s="2" customFormat="1">
      <c r="A23301" s="83"/>
      <c r="H23301" s="83"/>
      <c r="K23301" s="82"/>
      <c r="M23301" s="112"/>
      <c r="N23301" s="84"/>
    </row>
    <row r="23302" spans="1:14" s="2" customFormat="1">
      <c r="A23302" s="83"/>
      <c r="H23302" s="83"/>
      <c r="K23302" s="82"/>
      <c r="M23302" s="112"/>
      <c r="N23302" s="84"/>
    </row>
    <row r="23303" spans="1:14" s="2" customFormat="1">
      <c r="A23303" s="83"/>
      <c r="H23303" s="83"/>
      <c r="K23303" s="82"/>
      <c r="M23303" s="112"/>
      <c r="N23303" s="84"/>
    </row>
    <row r="23304" spans="1:14" s="2" customFormat="1">
      <c r="A23304" s="83"/>
      <c r="H23304" s="83"/>
      <c r="K23304" s="82"/>
      <c r="M23304" s="112"/>
      <c r="N23304" s="84"/>
    </row>
    <row r="23305" spans="1:14" s="2" customFormat="1">
      <c r="A23305" s="83"/>
      <c r="H23305" s="83"/>
      <c r="K23305" s="82"/>
      <c r="M23305" s="112"/>
      <c r="N23305" s="84"/>
    </row>
    <row r="23306" spans="1:14" s="2" customFormat="1">
      <c r="A23306" s="83"/>
      <c r="H23306" s="83"/>
      <c r="K23306" s="82"/>
      <c r="M23306" s="112"/>
      <c r="N23306" s="84"/>
    </row>
    <row r="23307" spans="1:14" s="2" customFormat="1">
      <c r="A23307" s="83"/>
      <c r="H23307" s="83"/>
      <c r="K23307" s="82"/>
      <c r="M23307" s="112"/>
      <c r="N23307" s="84"/>
    </row>
    <row r="23308" spans="1:14" s="2" customFormat="1">
      <c r="A23308" s="83"/>
      <c r="H23308" s="83"/>
      <c r="K23308" s="82"/>
      <c r="M23308" s="112"/>
      <c r="N23308" s="84"/>
    </row>
    <row r="23309" spans="1:14" s="2" customFormat="1">
      <c r="A23309" s="83"/>
      <c r="H23309" s="83"/>
      <c r="K23309" s="82"/>
      <c r="M23309" s="112"/>
      <c r="N23309" s="84"/>
    </row>
    <row r="23310" spans="1:14" s="2" customFormat="1">
      <c r="A23310" s="83"/>
      <c r="H23310" s="83"/>
      <c r="K23310" s="82"/>
      <c r="M23310" s="112"/>
      <c r="N23310" s="84"/>
    </row>
    <row r="23311" spans="1:14" s="2" customFormat="1">
      <c r="A23311" s="83"/>
      <c r="H23311" s="83"/>
      <c r="K23311" s="82"/>
      <c r="M23311" s="112"/>
      <c r="N23311" s="84"/>
    </row>
    <row r="23312" spans="1:14" s="2" customFormat="1">
      <c r="A23312" s="83"/>
      <c r="H23312" s="83"/>
      <c r="K23312" s="82"/>
      <c r="M23312" s="112"/>
      <c r="N23312" s="84"/>
    </row>
    <row r="23313" spans="1:14" s="2" customFormat="1">
      <c r="A23313" s="83"/>
      <c r="H23313" s="83"/>
      <c r="K23313" s="82"/>
      <c r="M23313" s="112"/>
      <c r="N23313" s="84"/>
    </row>
    <row r="23314" spans="1:14" s="2" customFormat="1">
      <c r="A23314" s="83"/>
      <c r="H23314" s="83"/>
      <c r="K23314" s="82"/>
      <c r="M23314" s="112"/>
      <c r="N23314" s="84"/>
    </row>
    <row r="23315" spans="1:14" s="2" customFormat="1">
      <c r="A23315" s="83"/>
      <c r="H23315" s="83"/>
      <c r="K23315" s="82"/>
      <c r="M23315" s="112"/>
      <c r="N23315" s="84"/>
    </row>
    <row r="23316" spans="1:14" s="2" customFormat="1">
      <c r="A23316" s="83"/>
      <c r="H23316" s="83"/>
      <c r="K23316" s="82"/>
      <c r="M23316" s="112"/>
      <c r="N23316" s="84"/>
    </row>
    <row r="23317" spans="1:14" s="2" customFormat="1">
      <c r="A23317" s="83"/>
      <c r="H23317" s="83"/>
      <c r="K23317" s="82"/>
      <c r="M23317" s="112"/>
      <c r="N23317" s="84"/>
    </row>
    <row r="23318" spans="1:14" s="2" customFormat="1">
      <c r="A23318" s="83"/>
      <c r="H23318" s="83"/>
      <c r="K23318" s="82"/>
      <c r="M23318" s="112"/>
      <c r="N23318" s="84"/>
    </row>
    <row r="23319" spans="1:14" s="2" customFormat="1">
      <c r="A23319" s="83"/>
      <c r="H23319" s="83"/>
      <c r="K23319" s="82"/>
      <c r="M23319" s="112"/>
      <c r="N23319" s="84"/>
    </row>
    <row r="23320" spans="1:14" s="2" customFormat="1">
      <c r="A23320" s="83"/>
      <c r="H23320" s="83"/>
      <c r="K23320" s="82"/>
      <c r="M23320" s="112"/>
      <c r="N23320" s="84"/>
    </row>
    <row r="23321" spans="1:14" s="2" customFormat="1">
      <c r="A23321" s="83"/>
      <c r="H23321" s="83"/>
      <c r="K23321" s="82"/>
      <c r="M23321" s="112"/>
      <c r="N23321" s="84"/>
    </row>
    <row r="23322" spans="1:14" s="2" customFormat="1">
      <c r="A23322" s="83"/>
      <c r="H23322" s="83"/>
      <c r="K23322" s="82"/>
      <c r="M23322" s="112"/>
      <c r="N23322" s="84"/>
    </row>
    <row r="23323" spans="1:14" s="2" customFormat="1">
      <c r="A23323" s="83"/>
      <c r="H23323" s="83"/>
      <c r="K23323" s="82"/>
      <c r="M23323" s="112"/>
      <c r="N23323" s="84"/>
    </row>
    <row r="23324" spans="1:14" s="2" customFormat="1">
      <c r="A23324" s="83"/>
      <c r="H23324" s="83"/>
      <c r="K23324" s="82"/>
      <c r="M23324" s="112"/>
      <c r="N23324" s="84"/>
    </row>
    <row r="23325" spans="1:14" s="2" customFormat="1">
      <c r="A23325" s="83"/>
      <c r="H23325" s="83"/>
      <c r="K23325" s="82"/>
      <c r="M23325" s="112"/>
      <c r="N23325" s="84"/>
    </row>
    <row r="23326" spans="1:14" s="2" customFormat="1">
      <c r="A23326" s="83"/>
      <c r="H23326" s="83"/>
      <c r="K23326" s="82"/>
      <c r="M23326" s="112"/>
      <c r="N23326" s="84"/>
    </row>
    <row r="23327" spans="1:14" s="2" customFormat="1">
      <c r="A23327" s="83"/>
      <c r="H23327" s="83"/>
      <c r="K23327" s="82"/>
      <c r="M23327" s="112"/>
      <c r="N23327" s="84"/>
    </row>
    <row r="23328" spans="1:14" s="2" customFormat="1">
      <c r="A23328" s="83"/>
      <c r="H23328" s="83"/>
      <c r="K23328" s="82"/>
      <c r="M23328" s="112"/>
      <c r="N23328" s="84"/>
    </row>
    <row r="23329" spans="1:14" s="2" customFormat="1">
      <c r="A23329" s="83"/>
      <c r="H23329" s="83"/>
      <c r="K23329" s="82"/>
      <c r="M23329" s="112"/>
      <c r="N23329" s="84"/>
    </row>
    <row r="23330" spans="1:14" s="2" customFormat="1">
      <c r="A23330" s="83"/>
      <c r="H23330" s="83"/>
      <c r="K23330" s="82"/>
      <c r="M23330" s="112"/>
      <c r="N23330" s="84"/>
    </row>
    <row r="23331" spans="1:14" s="2" customFormat="1">
      <c r="A23331" s="83"/>
      <c r="H23331" s="83"/>
      <c r="K23331" s="82"/>
      <c r="M23331" s="112"/>
      <c r="N23331" s="84"/>
    </row>
    <row r="23332" spans="1:14" s="2" customFormat="1">
      <c r="A23332" s="83"/>
      <c r="H23332" s="83"/>
      <c r="K23332" s="82"/>
      <c r="M23332" s="112"/>
      <c r="N23332" s="84"/>
    </row>
    <row r="23333" spans="1:14" s="2" customFormat="1">
      <c r="A23333" s="83"/>
      <c r="H23333" s="83"/>
      <c r="K23333" s="82"/>
      <c r="M23333" s="112"/>
      <c r="N23333" s="84"/>
    </row>
    <row r="23334" spans="1:14" s="2" customFormat="1">
      <c r="A23334" s="83"/>
      <c r="H23334" s="83"/>
      <c r="K23334" s="82"/>
      <c r="M23334" s="112"/>
      <c r="N23334" s="84"/>
    </row>
    <row r="23335" spans="1:14" s="2" customFormat="1">
      <c r="A23335" s="83"/>
      <c r="H23335" s="83"/>
      <c r="K23335" s="82"/>
      <c r="M23335" s="112"/>
      <c r="N23335" s="84"/>
    </row>
    <row r="23336" spans="1:14" s="2" customFormat="1">
      <c r="A23336" s="83"/>
      <c r="H23336" s="83"/>
      <c r="K23336" s="82"/>
      <c r="M23336" s="112"/>
      <c r="N23336" s="84"/>
    </row>
    <row r="23337" spans="1:14" s="2" customFormat="1">
      <c r="A23337" s="83"/>
      <c r="H23337" s="83"/>
      <c r="K23337" s="82"/>
      <c r="M23337" s="112"/>
      <c r="N23337" s="84"/>
    </row>
    <row r="23338" spans="1:14" s="2" customFormat="1">
      <c r="A23338" s="83"/>
      <c r="H23338" s="83"/>
      <c r="K23338" s="82"/>
      <c r="M23338" s="112"/>
      <c r="N23338" s="84"/>
    </row>
    <row r="23339" spans="1:14" s="2" customFormat="1">
      <c r="A23339" s="83"/>
      <c r="H23339" s="83"/>
      <c r="K23339" s="82"/>
      <c r="M23339" s="112"/>
      <c r="N23339" s="84"/>
    </row>
    <row r="23340" spans="1:14" s="2" customFormat="1">
      <c r="A23340" s="83"/>
      <c r="H23340" s="83"/>
      <c r="K23340" s="82"/>
      <c r="M23340" s="112"/>
      <c r="N23340" s="84"/>
    </row>
    <row r="23341" spans="1:14" s="2" customFormat="1">
      <c r="A23341" s="83"/>
      <c r="H23341" s="83"/>
      <c r="K23341" s="82"/>
      <c r="M23341" s="112"/>
      <c r="N23341" s="84"/>
    </row>
    <row r="23342" spans="1:14" s="2" customFormat="1">
      <c r="A23342" s="83"/>
      <c r="H23342" s="83"/>
      <c r="K23342" s="82"/>
      <c r="M23342" s="112"/>
      <c r="N23342" s="84"/>
    </row>
    <row r="23343" spans="1:14" s="2" customFormat="1">
      <c r="A23343" s="83"/>
      <c r="H23343" s="83"/>
      <c r="K23343" s="82"/>
      <c r="M23343" s="112"/>
      <c r="N23343" s="84"/>
    </row>
    <row r="23344" spans="1:14" s="2" customFormat="1">
      <c r="A23344" s="83"/>
      <c r="H23344" s="83"/>
      <c r="K23344" s="82"/>
      <c r="M23344" s="112"/>
      <c r="N23344" s="84"/>
    </row>
    <row r="23345" spans="1:14" s="2" customFormat="1">
      <c r="A23345" s="83"/>
      <c r="H23345" s="83"/>
      <c r="K23345" s="82"/>
      <c r="M23345" s="112"/>
      <c r="N23345" s="84"/>
    </row>
    <row r="23346" spans="1:14" s="2" customFormat="1">
      <c r="A23346" s="83"/>
      <c r="H23346" s="83"/>
      <c r="K23346" s="82"/>
      <c r="M23346" s="112"/>
      <c r="N23346" s="84"/>
    </row>
    <row r="23347" spans="1:14" s="2" customFormat="1">
      <c r="A23347" s="83"/>
      <c r="H23347" s="83"/>
      <c r="K23347" s="82"/>
      <c r="M23347" s="112"/>
      <c r="N23347" s="84"/>
    </row>
    <row r="23348" spans="1:14" s="2" customFormat="1">
      <c r="A23348" s="83"/>
      <c r="H23348" s="83"/>
      <c r="K23348" s="82"/>
      <c r="M23348" s="112"/>
      <c r="N23348" s="84"/>
    </row>
    <row r="23349" spans="1:14" s="2" customFormat="1">
      <c r="A23349" s="83"/>
      <c r="H23349" s="83"/>
      <c r="K23349" s="82"/>
      <c r="M23349" s="112"/>
      <c r="N23349" s="84"/>
    </row>
    <row r="23350" spans="1:14" s="2" customFormat="1">
      <c r="A23350" s="83"/>
      <c r="H23350" s="83"/>
      <c r="K23350" s="82"/>
      <c r="M23350" s="112"/>
      <c r="N23350" s="84"/>
    </row>
    <row r="23351" spans="1:14" s="2" customFormat="1">
      <c r="A23351" s="83"/>
      <c r="H23351" s="83"/>
      <c r="K23351" s="82"/>
      <c r="M23351" s="112"/>
      <c r="N23351" s="84"/>
    </row>
    <row r="23352" spans="1:14" s="2" customFormat="1">
      <c r="A23352" s="83"/>
      <c r="H23352" s="83"/>
      <c r="K23352" s="82"/>
      <c r="M23352" s="112"/>
      <c r="N23352" s="84"/>
    </row>
    <row r="23353" spans="1:14" s="2" customFormat="1">
      <c r="A23353" s="83"/>
      <c r="H23353" s="83"/>
      <c r="K23353" s="82"/>
      <c r="M23353" s="112"/>
      <c r="N23353" s="84"/>
    </row>
    <row r="23354" spans="1:14" s="2" customFormat="1">
      <c r="A23354" s="83"/>
      <c r="H23354" s="83"/>
      <c r="K23354" s="82"/>
      <c r="M23354" s="112"/>
      <c r="N23354" s="84"/>
    </row>
    <row r="23355" spans="1:14" s="2" customFormat="1">
      <c r="A23355" s="83"/>
      <c r="H23355" s="83"/>
      <c r="K23355" s="82"/>
      <c r="M23355" s="112"/>
      <c r="N23355" s="84"/>
    </row>
    <row r="23356" spans="1:14" s="2" customFormat="1">
      <c r="A23356" s="83"/>
      <c r="H23356" s="83"/>
      <c r="K23356" s="82"/>
      <c r="M23356" s="112"/>
      <c r="N23356" s="84"/>
    </row>
    <row r="23357" spans="1:14" s="2" customFormat="1">
      <c r="A23357" s="83"/>
      <c r="H23357" s="83"/>
      <c r="K23357" s="82"/>
      <c r="M23357" s="112"/>
      <c r="N23357" s="84"/>
    </row>
    <row r="23358" spans="1:14" s="2" customFormat="1">
      <c r="A23358" s="83"/>
      <c r="H23358" s="83"/>
      <c r="K23358" s="82"/>
      <c r="M23358" s="112"/>
      <c r="N23358" s="84"/>
    </row>
    <row r="23359" spans="1:14" s="2" customFormat="1">
      <c r="A23359" s="83"/>
      <c r="H23359" s="83"/>
      <c r="K23359" s="82"/>
      <c r="M23359" s="112"/>
      <c r="N23359" s="84"/>
    </row>
    <row r="23360" spans="1:14" s="2" customFormat="1">
      <c r="A23360" s="83"/>
      <c r="H23360" s="83"/>
      <c r="K23360" s="82"/>
      <c r="M23360" s="112"/>
      <c r="N23360" s="84"/>
    </row>
    <row r="23361" spans="1:14" s="2" customFormat="1">
      <c r="A23361" s="83"/>
      <c r="H23361" s="83"/>
      <c r="K23361" s="82"/>
      <c r="M23361" s="112"/>
      <c r="N23361" s="84"/>
    </row>
    <row r="23362" spans="1:14" s="2" customFormat="1">
      <c r="A23362" s="83"/>
      <c r="H23362" s="83"/>
      <c r="K23362" s="82"/>
      <c r="M23362" s="112"/>
      <c r="N23362" s="84"/>
    </row>
    <row r="23363" spans="1:14" s="2" customFormat="1">
      <c r="A23363" s="83"/>
      <c r="H23363" s="83"/>
      <c r="K23363" s="82"/>
      <c r="M23363" s="112"/>
      <c r="N23363" s="84"/>
    </row>
    <row r="23364" spans="1:14" s="2" customFormat="1">
      <c r="A23364" s="83"/>
      <c r="H23364" s="83"/>
      <c r="K23364" s="82"/>
      <c r="M23364" s="112"/>
      <c r="N23364" s="84"/>
    </row>
    <row r="23365" spans="1:14" s="2" customFormat="1">
      <c r="A23365" s="83"/>
      <c r="H23365" s="83"/>
      <c r="K23365" s="82"/>
      <c r="M23365" s="112"/>
      <c r="N23365" s="84"/>
    </row>
    <row r="23366" spans="1:14" s="2" customFormat="1">
      <c r="A23366" s="83"/>
      <c r="H23366" s="83"/>
      <c r="K23366" s="82"/>
      <c r="M23366" s="112"/>
      <c r="N23366" s="84"/>
    </row>
    <row r="23367" spans="1:14" s="2" customFormat="1">
      <c r="A23367" s="83"/>
      <c r="H23367" s="83"/>
      <c r="K23367" s="82"/>
      <c r="M23367" s="112"/>
      <c r="N23367" s="84"/>
    </row>
    <row r="23368" spans="1:14" s="2" customFormat="1">
      <c r="A23368" s="83"/>
      <c r="H23368" s="83"/>
      <c r="K23368" s="82"/>
      <c r="M23368" s="112"/>
      <c r="N23368" s="84"/>
    </row>
    <row r="23369" spans="1:14" s="2" customFormat="1">
      <c r="A23369" s="83"/>
      <c r="H23369" s="83"/>
      <c r="K23369" s="82"/>
      <c r="M23369" s="112"/>
      <c r="N23369" s="84"/>
    </row>
    <row r="23370" spans="1:14" s="2" customFormat="1">
      <c r="A23370" s="83"/>
      <c r="H23370" s="83"/>
      <c r="K23370" s="82"/>
      <c r="M23370" s="112"/>
      <c r="N23370" s="84"/>
    </row>
    <row r="23371" spans="1:14" s="2" customFormat="1">
      <c r="A23371" s="83"/>
      <c r="H23371" s="83"/>
      <c r="K23371" s="82"/>
      <c r="M23371" s="112"/>
      <c r="N23371" s="84"/>
    </row>
    <row r="23372" spans="1:14" s="2" customFormat="1">
      <c r="A23372" s="83"/>
      <c r="H23372" s="83"/>
      <c r="K23372" s="82"/>
      <c r="M23372" s="112"/>
      <c r="N23372" s="84"/>
    </row>
    <row r="23373" spans="1:14" s="2" customFormat="1">
      <c r="A23373" s="83"/>
      <c r="H23373" s="83"/>
      <c r="K23373" s="82"/>
      <c r="M23373" s="112"/>
      <c r="N23373" s="84"/>
    </row>
    <row r="23374" spans="1:14" s="2" customFormat="1">
      <c r="A23374" s="83"/>
      <c r="H23374" s="83"/>
      <c r="K23374" s="82"/>
      <c r="M23374" s="112"/>
      <c r="N23374" s="84"/>
    </row>
    <row r="23375" spans="1:14" s="2" customFormat="1">
      <c r="A23375" s="83"/>
      <c r="H23375" s="83"/>
      <c r="K23375" s="82"/>
      <c r="M23375" s="112"/>
      <c r="N23375" s="84"/>
    </row>
    <row r="23376" spans="1:14" s="2" customFormat="1">
      <c r="A23376" s="83"/>
      <c r="H23376" s="83"/>
      <c r="K23376" s="82"/>
      <c r="M23376" s="112"/>
      <c r="N23376" s="84"/>
    </row>
    <row r="23377" spans="1:14" s="2" customFormat="1">
      <c r="A23377" s="83"/>
      <c r="H23377" s="83"/>
      <c r="K23377" s="82"/>
      <c r="M23377" s="112"/>
      <c r="N23377" s="84"/>
    </row>
    <row r="23378" spans="1:14" s="2" customFormat="1">
      <c r="A23378" s="83"/>
      <c r="H23378" s="83"/>
      <c r="K23378" s="82"/>
      <c r="M23378" s="112"/>
      <c r="N23378" s="84"/>
    </row>
    <row r="23379" spans="1:14" s="2" customFormat="1">
      <c r="A23379" s="83"/>
      <c r="H23379" s="83"/>
      <c r="K23379" s="82"/>
      <c r="M23379" s="112"/>
      <c r="N23379" s="84"/>
    </row>
    <row r="23380" spans="1:14" s="2" customFormat="1">
      <c r="A23380" s="83"/>
      <c r="H23380" s="83"/>
      <c r="K23380" s="82"/>
      <c r="M23380" s="112"/>
      <c r="N23380" s="84"/>
    </row>
    <row r="23381" spans="1:14" s="2" customFormat="1">
      <c r="A23381" s="83"/>
      <c r="H23381" s="83"/>
      <c r="K23381" s="82"/>
      <c r="M23381" s="112"/>
      <c r="N23381" s="84"/>
    </row>
    <row r="23382" spans="1:14" s="2" customFormat="1">
      <c r="A23382" s="83"/>
      <c r="H23382" s="83"/>
      <c r="K23382" s="82"/>
      <c r="M23382" s="112"/>
      <c r="N23382" s="84"/>
    </row>
    <row r="23383" spans="1:14" s="2" customFormat="1">
      <c r="A23383" s="83"/>
      <c r="H23383" s="83"/>
      <c r="K23383" s="82"/>
      <c r="M23383" s="112"/>
      <c r="N23383" s="84"/>
    </row>
    <row r="23384" spans="1:14" s="2" customFormat="1">
      <c r="A23384" s="83"/>
      <c r="H23384" s="83"/>
      <c r="K23384" s="82"/>
      <c r="M23384" s="112"/>
      <c r="N23384" s="84"/>
    </row>
    <row r="23385" spans="1:14" s="2" customFormat="1">
      <c r="A23385" s="83"/>
      <c r="H23385" s="83"/>
      <c r="K23385" s="82"/>
      <c r="M23385" s="112"/>
      <c r="N23385" s="84"/>
    </row>
    <row r="23386" spans="1:14" s="2" customFormat="1">
      <c r="A23386" s="83"/>
      <c r="H23386" s="83"/>
      <c r="K23386" s="82"/>
      <c r="M23386" s="112"/>
      <c r="N23386" s="84"/>
    </row>
    <row r="23387" spans="1:14" s="2" customFormat="1">
      <c r="A23387" s="83"/>
      <c r="H23387" s="83"/>
      <c r="K23387" s="82"/>
      <c r="M23387" s="112"/>
      <c r="N23387" s="84"/>
    </row>
    <row r="23388" spans="1:14" s="2" customFormat="1">
      <c r="A23388" s="83"/>
      <c r="H23388" s="83"/>
      <c r="K23388" s="82"/>
      <c r="M23388" s="112"/>
      <c r="N23388" s="84"/>
    </row>
    <row r="23389" spans="1:14" s="2" customFormat="1">
      <c r="A23389" s="83"/>
      <c r="H23389" s="83"/>
      <c r="K23389" s="82"/>
      <c r="M23389" s="112"/>
      <c r="N23389" s="84"/>
    </row>
    <row r="23390" spans="1:14" s="2" customFormat="1">
      <c r="A23390" s="83"/>
      <c r="H23390" s="83"/>
      <c r="K23390" s="82"/>
      <c r="M23390" s="112"/>
      <c r="N23390" s="84"/>
    </row>
    <row r="23391" spans="1:14" s="2" customFormat="1">
      <c r="A23391" s="83"/>
      <c r="H23391" s="83"/>
      <c r="K23391" s="82"/>
      <c r="M23391" s="112"/>
      <c r="N23391" s="84"/>
    </row>
    <row r="23392" spans="1:14" s="2" customFormat="1">
      <c r="A23392" s="83"/>
      <c r="H23392" s="83"/>
      <c r="K23392" s="82"/>
      <c r="M23392" s="112"/>
      <c r="N23392" s="84"/>
    </row>
    <row r="23393" spans="1:14" s="2" customFormat="1">
      <c r="A23393" s="83"/>
      <c r="H23393" s="83"/>
      <c r="K23393" s="82"/>
      <c r="M23393" s="112"/>
      <c r="N23393" s="84"/>
    </row>
    <row r="23394" spans="1:14" s="2" customFormat="1">
      <c r="A23394" s="83"/>
      <c r="H23394" s="83"/>
      <c r="K23394" s="82"/>
      <c r="M23394" s="112"/>
      <c r="N23394" s="84"/>
    </row>
    <row r="23395" spans="1:14" s="2" customFormat="1">
      <c r="A23395" s="83"/>
      <c r="H23395" s="83"/>
      <c r="K23395" s="82"/>
      <c r="M23395" s="112"/>
      <c r="N23395" s="84"/>
    </row>
    <row r="23396" spans="1:14" s="2" customFormat="1">
      <c r="A23396" s="83"/>
      <c r="H23396" s="83"/>
      <c r="K23396" s="82"/>
      <c r="M23396" s="112"/>
      <c r="N23396" s="84"/>
    </row>
    <row r="23397" spans="1:14" s="2" customFormat="1">
      <c r="A23397" s="83"/>
      <c r="H23397" s="83"/>
      <c r="K23397" s="82"/>
      <c r="M23397" s="112"/>
      <c r="N23397" s="84"/>
    </row>
    <row r="23398" spans="1:14" s="2" customFormat="1">
      <c r="A23398" s="83"/>
      <c r="H23398" s="83"/>
      <c r="K23398" s="82"/>
      <c r="M23398" s="112"/>
      <c r="N23398" s="84"/>
    </row>
    <row r="23399" spans="1:14" s="2" customFormat="1">
      <c r="A23399" s="83"/>
      <c r="H23399" s="83"/>
      <c r="K23399" s="82"/>
      <c r="M23399" s="112"/>
      <c r="N23399" s="84"/>
    </row>
    <row r="23400" spans="1:14" s="2" customFormat="1">
      <c r="A23400" s="83"/>
      <c r="H23400" s="83"/>
      <c r="K23400" s="82"/>
      <c r="M23400" s="112"/>
      <c r="N23400" s="84"/>
    </row>
    <row r="23401" spans="1:14" s="2" customFormat="1">
      <c r="A23401" s="83"/>
      <c r="H23401" s="83"/>
      <c r="K23401" s="82"/>
      <c r="M23401" s="112"/>
      <c r="N23401" s="84"/>
    </row>
    <row r="23402" spans="1:14" s="2" customFormat="1">
      <c r="A23402" s="83"/>
      <c r="H23402" s="83"/>
      <c r="K23402" s="82"/>
      <c r="M23402" s="112"/>
      <c r="N23402" s="84"/>
    </row>
    <row r="23403" spans="1:14" s="2" customFormat="1">
      <c r="A23403" s="83"/>
      <c r="H23403" s="83"/>
      <c r="K23403" s="82"/>
      <c r="M23403" s="112"/>
      <c r="N23403" s="84"/>
    </row>
    <row r="23404" spans="1:14" s="2" customFormat="1">
      <c r="A23404" s="83"/>
      <c r="H23404" s="83"/>
      <c r="K23404" s="82"/>
      <c r="M23404" s="112"/>
      <c r="N23404" s="84"/>
    </row>
    <row r="23405" spans="1:14" s="2" customFormat="1">
      <c r="A23405" s="83"/>
      <c r="H23405" s="83"/>
      <c r="K23405" s="82"/>
      <c r="M23405" s="112"/>
      <c r="N23405" s="84"/>
    </row>
    <row r="23406" spans="1:14" s="2" customFormat="1">
      <c r="A23406" s="83"/>
      <c r="H23406" s="83"/>
      <c r="K23406" s="82"/>
      <c r="M23406" s="112"/>
      <c r="N23406" s="84"/>
    </row>
    <row r="23407" spans="1:14" s="2" customFormat="1">
      <c r="A23407" s="83"/>
      <c r="H23407" s="83"/>
      <c r="K23407" s="82"/>
      <c r="M23407" s="112"/>
      <c r="N23407" s="84"/>
    </row>
    <row r="23408" spans="1:14" s="2" customFormat="1">
      <c r="A23408" s="83"/>
      <c r="H23408" s="83"/>
      <c r="K23408" s="82"/>
      <c r="M23408" s="112"/>
      <c r="N23408" s="84"/>
    </row>
    <row r="23409" spans="1:14" s="2" customFormat="1">
      <c r="A23409" s="83"/>
      <c r="H23409" s="83"/>
      <c r="K23409" s="82"/>
      <c r="M23409" s="112"/>
      <c r="N23409" s="84"/>
    </row>
    <row r="23410" spans="1:14" s="2" customFormat="1">
      <c r="A23410" s="83"/>
      <c r="H23410" s="83"/>
      <c r="K23410" s="82"/>
      <c r="M23410" s="112"/>
      <c r="N23410" s="84"/>
    </row>
    <row r="23411" spans="1:14" s="2" customFormat="1">
      <c r="A23411" s="83"/>
      <c r="H23411" s="83"/>
      <c r="K23411" s="82"/>
      <c r="M23411" s="112"/>
      <c r="N23411" s="84"/>
    </row>
    <row r="23412" spans="1:14" s="2" customFormat="1">
      <c r="A23412" s="83"/>
      <c r="H23412" s="83"/>
      <c r="K23412" s="82"/>
      <c r="M23412" s="112"/>
      <c r="N23412" s="84"/>
    </row>
    <row r="23413" spans="1:14" s="2" customFormat="1">
      <c r="A23413" s="83"/>
      <c r="H23413" s="83"/>
      <c r="K23413" s="82"/>
      <c r="M23413" s="112"/>
      <c r="N23413" s="84"/>
    </row>
    <row r="23414" spans="1:14" s="2" customFormat="1">
      <c r="A23414" s="83"/>
      <c r="H23414" s="83"/>
      <c r="K23414" s="82"/>
      <c r="M23414" s="112"/>
      <c r="N23414" s="84"/>
    </row>
    <row r="23415" spans="1:14" s="2" customFormat="1">
      <c r="A23415" s="83"/>
      <c r="H23415" s="83"/>
      <c r="K23415" s="82"/>
      <c r="M23415" s="112"/>
      <c r="N23415" s="84"/>
    </row>
    <row r="23416" spans="1:14" s="2" customFormat="1">
      <c r="A23416" s="83"/>
      <c r="H23416" s="83"/>
      <c r="K23416" s="82"/>
      <c r="M23416" s="112"/>
      <c r="N23416" s="84"/>
    </row>
    <row r="23417" spans="1:14" s="2" customFormat="1">
      <c r="A23417" s="83"/>
      <c r="H23417" s="83"/>
      <c r="K23417" s="82"/>
      <c r="M23417" s="112"/>
      <c r="N23417" s="84"/>
    </row>
    <row r="23418" spans="1:14" s="2" customFormat="1">
      <c r="A23418" s="83"/>
      <c r="H23418" s="83"/>
      <c r="K23418" s="82"/>
      <c r="M23418" s="112"/>
      <c r="N23418" s="84"/>
    </row>
    <row r="23419" spans="1:14" s="2" customFormat="1">
      <c r="A23419" s="83"/>
      <c r="H23419" s="83"/>
      <c r="K23419" s="82"/>
      <c r="M23419" s="112"/>
      <c r="N23419" s="84"/>
    </row>
    <row r="23420" spans="1:14" s="2" customFormat="1">
      <c r="A23420" s="83"/>
      <c r="H23420" s="83"/>
      <c r="K23420" s="82"/>
      <c r="M23420" s="112"/>
      <c r="N23420" s="84"/>
    </row>
    <row r="23421" spans="1:14" s="2" customFormat="1">
      <c r="A23421" s="83"/>
      <c r="H23421" s="83"/>
      <c r="K23421" s="82"/>
      <c r="M23421" s="112"/>
      <c r="N23421" s="84"/>
    </row>
    <row r="23422" spans="1:14" s="2" customFormat="1">
      <c r="A23422" s="83"/>
      <c r="H23422" s="83"/>
      <c r="K23422" s="82"/>
      <c r="M23422" s="112"/>
      <c r="N23422" s="84"/>
    </row>
    <row r="23423" spans="1:14" s="2" customFormat="1">
      <c r="A23423" s="83"/>
      <c r="H23423" s="83"/>
      <c r="K23423" s="82"/>
      <c r="M23423" s="112"/>
      <c r="N23423" s="84"/>
    </row>
    <row r="23424" spans="1:14" s="2" customFormat="1">
      <c r="A23424" s="83"/>
      <c r="H23424" s="83"/>
      <c r="K23424" s="82"/>
      <c r="M23424" s="112"/>
      <c r="N23424" s="84"/>
    </row>
    <row r="23425" spans="1:14" s="2" customFormat="1">
      <c r="A23425" s="83"/>
      <c r="H23425" s="83"/>
      <c r="K23425" s="82"/>
      <c r="M23425" s="112"/>
      <c r="N23425" s="84"/>
    </row>
    <row r="23426" spans="1:14" s="2" customFormat="1">
      <c r="A23426" s="83"/>
      <c r="H23426" s="83"/>
      <c r="K23426" s="82"/>
      <c r="M23426" s="112"/>
      <c r="N23426" s="84"/>
    </row>
    <row r="23427" spans="1:14" s="2" customFormat="1">
      <c r="A23427" s="83"/>
      <c r="H23427" s="83"/>
      <c r="K23427" s="82"/>
      <c r="M23427" s="112"/>
      <c r="N23427" s="84"/>
    </row>
    <row r="23428" spans="1:14" s="2" customFormat="1">
      <c r="A23428" s="83"/>
      <c r="H23428" s="83"/>
      <c r="K23428" s="82"/>
      <c r="M23428" s="112"/>
      <c r="N23428" s="84"/>
    </row>
    <row r="23429" spans="1:14" s="2" customFormat="1">
      <c r="A23429" s="83"/>
      <c r="H23429" s="83"/>
      <c r="K23429" s="82"/>
      <c r="M23429" s="112"/>
      <c r="N23429" s="84"/>
    </row>
    <row r="23430" spans="1:14" s="2" customFormat="1">
      <c r="A23430" s="83"/>
      <c r="H23430" s="83"/>
      <c r="K23430" s="82"/>
      <c r="M23430" s="112"/>
      <c r="N23430" s="84"/>
    </row>
    <row r="23431" spans="1:14" s="2" customFormat="1">
      <c r="A23431" s="83"/>
      <c r="H23431" s="83"/>
      <c r="K23431" s="82"/>
      <c r="M23431" s="112"/>
      <c r="N23431" s="84"/>
    </row>
    <row r="23432" spans="1:14" s="2" customFormat="1">
      <c r="A23432" s="83"/>
      <c r="H23432" s="83"/>
      <c r="K23432" s="82"/>
      <c r="M23432" s="112"/>
      <c r="N23432" s="84"/>
    </row>
    <row r="23433" spans="1:14" s="2" customFormat="1">
      <c r="A23433" s="83"/>
      <c r="H23433" s="83"/>
      <c r="K23433" s="82"/>
      <c r="M23433" s="112"/>
      <c r="N23433" s="84"/>
    </row>
    <row r="23434" spans="1:14" s="2" customFormat="1">
      <c r="A23434" s="83"/>
      <c r="H23434" s="83"/>
      <c r="K23434" s="82"/>
      <c r="M23434" s="112"/>
      <c r="N23434" s="84"/>
    </row>
    <row r="23435" spans="1:14" s="2" customFormat="1">
      <c r="A23435" s="83"/>
      <c r="H23435" s="83"/>
      <c r="K23435" s="82"/>
      <c r="M23435" s="112"/>
      <c r="N23435" s="84"/>
    </row>
    <row r="23436" spans="1:14" s="2" customFormat="1">
      <c r="A23436" s="83"/>
      <c r="H23436" s="83"/>
      <c r="K23436" s="82"/>
      <c r="M23436" s="112"/>
      <c r="N23436" s="84"/>
    </row>
    <row r="23437" spans="1:14" s="2" customFormat="1">
      <c r="A23437" s="83"/>
      <c r="H23437" s="83"/>
      <c r="K23437" s="82"/>
      <c r="M23437" s="112"/>
      <c r="N23437" s="84"/>
    </row>
    <row r="23438" spans="1:14" s="2" customFormat="1">
      <c r="A23438" s="83"/>
      <c r="H23438" s="83"/>
      <c r="K23438" s="82"/>
      <c r="M23438" s="112"/>
      <c r="N23438" s="84"/>
    </row>
    <row r="23439" spans="1:14" s="2" customFormat="1">
      <c r="A23439" s="83"/>
      <c r="H23439" s="83"/>
      <c r="K23439" s="82"/>
      <c r="M23439" s="112"/>
      <c r="N23439" s="84"/>
    </row>
    <row r="23440" spans="1:14" s="2" customFormat="1">
      <c r="A23440" s="83"/>
      <c r="H23440" s="83"/>
      <c r="K23440" s="82"/>
      <c r="M23440" s="112"/>
      <c r="N23440" s="84"/>
    </row>
    <row r="23441" spans="1:14" s="2" customFormat="1">
      <c r="A23441" s="83"/>
      <c r="H23441" s="83"/>
      <c r="K23441" s="82"/>
      <c r="M23441" s="112"/>
      <c r="N23441" s="84"/>
    </row>
    <row r="23442" spans="1:14" s="2" customFormat="1">
      <c r="A23442" s="83"/>
      <c r="H23442" s="83"/>
      <c r="K23442" s="82"/>
      <c r="M23442" s="112"/>
      <c r="N23442" s="84"/>
    </row>
    <row r="23443" spans="1:14" s="2" customFormat="1">
      <c r="A23443" s="83"/>
      <c r="H23443" s="83"/>
      <c r="K23443" s="82"/>
      <c r="M23443" s="112"/>
      <c r="N23443" s="84"/>
    </row>
    <row r="23444" spans="1:14" s="2" customFormat="1">
      <c r="A23444" s="83"/>
      <c r="H23444" s="83"/>
      <c r="K23444" s="82"/>
      <c r="M23444" s="112"/>
      <c r="N23444" s="84"/>
    </row>
    <row r="23445" spans="1:14" s="2" customFormat="1">
      <c r="A23445" s="83"/>
      <c r="H23445" s="83"/>
      <c r="K23445" s="82"/>
      <c r="M23445" s="112"/>
      <c r="N23445" s="84"/>
    </row>
    <row r="23446" spans="1:14" s="2" customFormat="1">
      <c r="A23446" s="83"/>
      <c r="H23446" s="83"/>
      <c r="K23446" s="82"/>
      <c r="M23446" s="112"/>
      <c r="N23446" s="84"/>
    </row>
    <row r="23447" spans="1:14" s="2" customFormat="1">
      <c r="A23447" s="83"/>
      <c r="H23447" s="83"/>
      <c r="K23447" s="82"/>
      <c r="M23447" s="112"/>
      <c r="N23447" s="84"/>
    </row>
    <row r="23448" spans="1:14" s="2" customFormat="1">
      <c r="A23448" s="83"/>
      <c r="H23448" s="83"/>
      <c r="K23448" s="82"/>
      <c r="M23448" s="112"/>
      <c r="N23448" s="84"/>
    </row>
    <row r="23449" spans="1:14" s="2" customFormat="1">
      <c r="A23449" s="83"/>
      <c r="H23449" s="83"/>
      <c r="K23449" s="82"/>
      <c r="M23449" s="112"/>
      <c r="N23449" s="84"/>
    </row>
    <row r="23450" spans="1:14" s="2" customFormat="1">
      <c r="A23450" s="83"/>
      <c r="H23450" s="83"/>
      <c r="K23450" s="82"/>
      <c r="M23450" s="112"/>
      <c r="N23450" s="84"/>
    </row>
    <row r="23451" spans="1:14" s="2" customFormat="1">
      <c r="A23451" s="83"/>
      <c r="H23451" s="83"/>
      <c r="K23451" s="82"/>
      <c r="M23451" s="112"/>
      <c r="N23451" s="84"/>
    </row>
    <row r="23452" spans="1:14" s="2" customFormat="1">
      <c r="A23452" s="83"/>
      <c r="H23452" s="83"/>
      <c r="K23452" s="82"/>
      <c r="M23452" s="112"/>
      <c r="N23452" s="84"/>
    </row>
    <row r="23453" spans="1:14" s="2" customFormat="1">
      <c r="A23453" s="83"/>
      <c r="H23453" s="83"/>
      <c r="K23453" s="82"/>
      <c r="M23453" s="112"/>
      <c r="N23453" s="84"/>
    </row>
    <row r="23454" spans="1:14" s="2" customFormat="1">
      <c r="A23454" s="83"/>
      <c r="H23454" s="83"/>
      <c r="K23454" s="82"/>
      <c r="M23454" s="112"/>
      <c r="N23454" s="84"/>
    </row>
    <row r="23455" spans="1:14" s="2" customFormat="1">
      <c r="A23455" s="83"/>
      <c r="H23455" s="83"/>
      <c r="K23455" s="82"/>
      <c r="M23455" s="112"/>
      <c r="N23455" s="84"/>
    </row>
    <row r="23456" spans="1:14" s="2" customFormat="1">
      <c r="A23456" s="83"/>
      <c r="H23456" s="83"/>
      <c r="K23456" s="82"/>
      <c r="M23456" s="112"/>
      <c r="N23456" s="84"/>
    </row>
    <row r="23457" spans="1:14" s="2" customFormat="1">
      <c r="A23457" s="83"/>
      <c r="H23457" s="83"/>
      <c r="K23457" s="82"/>
      <c r="M23457" s="112"/>
      <c r="N23457" s="84"/>
    </row>
    <row r="23458" spans="1:14" s="2" customFormat="1">
      <c r="A23458" s="83"/>
      <c r="H23458" s="83"/>
      <c r="K23458" s="82"/>
      <c r="M23458" s="112"/>
      <c r="N23458" s="84"/>
    </row>
    <row r="23459" spans="1:14" s="2" customFormat="1">
      <c r="A23459" s="83"/>
      <c r="H23459" s="83"/>
      <c r="K23459" s="82"/>
      <c r="M23459" s="112"/>
      <c r="N23459" s="84"/>
    </row>
    <row r="23460" spans="1:14" s="2" customFormat="1">
      <c r="A23460" s="83"/>
      <c r="H23460" s="83"/>
      <c r="K23460" s="82"/>
      <c r="M23460" s="112"/>
      <c r="N23460" s="84"/>
    </row>
    <row r="23461" spans="1:14" s="2" customFormat="1">
      <c r="A23461" s="83"/>
      <c r="H23461" s="83"/>
      <c r="K23461" s="82"/>
      <c r="M23461" s="112"/>
      <c r="N23461" s="84"/>
    </row>
    <row r="23462" spans="1:14" s="2" customFormat="1">
      <c r="A23462" s="83"/>
      <c r="H23462" s="83"/>
      <c r="K23462" s="82"/>
      <c r="M23462" s="112"/>
      <c r="N23462" s="84"/>
    </row>
    <row r="23463" spans="1:14" s="2" customFormat="1">
      <c r="A23463" s="83"/>
      <c r="H23463" s="83"/>
      <c r="K23463" s="82"/>
      <c r="M23463" s="112"/>
      <c r="N23463" s="84"/>
    </row>
    <row r="23464" spans="1:14" s="2" customFormat="1">
      <c r="A23464" s="83"/>
      <c r="H23464" s="83"/>
      <c r="K23464" s="82"/>
      <c r="M23464" s="112"/>
      <c r="N23464" s="84"/>
    </row>
    <row r="23465" spans="1:14" s="2" customFormat="1">
      <c r="A23465" s="83"/>
      <c r="H23465" s="83"/>
      <c r="K23465" s="82"/>
      <c r="M23465" s="112"/>
      <c r="N23465" s="84"/>
    </row>
    <row r="23466" spans="1:14" s="2" customFormat="1">
      <c r="A23466" s="83"/>
      <c r="H23466" s="83"/>
      <c r="K23466" s="82"/>
      <c r="M23466" s="112"/>
      <c r="N23466" s="84"/>
    </row>
    <row r="23467" spans="1:14" s="2" customFormat="1">
      <c r="A23467" s="83"/>
      <c r="H23467" s="83"/>
      <c r="K23467" s="82"/>
      <c r="M23467" s="112"/>
      <c r="N23467" s="84"/>
    </row>
    <row r="23468" spans="1:14" s="2" customFormat="1">
      <c r="A23468" s="83"/>
      <c r="H23468" s="83"/>
      <c r="K23468" s="82"/>
      <c r="M23468" s="112"/>
      <c r="N23468" s="84"/>
    </row>
    <row r="23469" spans="1:14" s="2" customFormat="1">
      <c r="A23469" s="83"/>
      <c r="H23469" s="83"/>
      <c r="K23469" s="82"/>
      <c r="M23469" s="112"/>
      <c r="N23469" s="84"/>
    </row>
    <row r="23470" spans="1:14" s="2" customFormat="1">
      <c r="A23470" s="83"/>
      <c r="H23470" s="83"/>
      <c r="K23470" s="82"/>
      <c r="M23470" s="112"/>
      <c r="N23470" s="84"/>
    </row>
    <row r="23471" spans="1:14" s="2" customFormat="1">
      <c r="A23471" s="83"/>
      <c r="H23471" s="83"/>
      <c r="K23471" s="82"/>
      <c r="M23471" s="112"/>
      <c r="N23471" s="84"/>
    </row>
    <row r="23472" spans="1:14" s="2" customFormat="1">
      <c r="A23472" s="83"/>
      <c r="H23472" s="83"/>
      <c r="K23472" s="82"/>
      <c r="M23472" s="112"/>
      <c r="N23472" s="84"/>
    </row>
    <row r="23473" spans="1:14" s="2" customFormat="1">
      <c r="A23473" s="83"/>
      <c r="H23473" s="83"/>
      <c r="K23473" s="82"/>
      <c r="M23473" s="112"/>
      <c r="N23473" s="84"/>
    </row>
    <row r="23474" spans="1:14" s="2" customFormat="1">
      <c r="A23474" s="83"/>
      <c r="H23474" s="83"/>
      <c r="K23474" s="82"/>
      <c r="M23474" s="112"/>
      <c r="N23474" s="84"/>
    </row>
    <row r="23475" spans="1:14" s="2" customFormat="1">
      <c r="A23475" s="83"/>
      <c r="H23475" s="83"/>
      <c r="K23475" s="82"/>
      <c r="M23475" s="112"/>
      <c r="N23475" s="84"/>
    </row>
    <row r="23476" spans="1:14" s="2" customFormat="1">
      <c r="A23476" s="83"/>
      <c r="H23476" s="83"/>
      <c r="K23476" s="82"/>
      <c r="M23476" s="112"/>
      <c r="N23476" s="84"/>
    </row>
    <row r="23477" spans="1:14" s="2" customFormat="1">
      <c r="A23477" s="83"/>
      <c r="H23477" s="83"/>
      <c r="K23477" s="82"/>
      <c r="M23477" s="112"/>
      <c r="N23477" s="84"/>
    </row>
    <row r="23478" spans="1:14" s="2" customFormat="1">
      <c r="A23478" s="83"/>
      <c r="H23478" s="83"/>
      <c r="K23478" s="82"/>
      <c r="M23478" s="112"/>
      <c r="N23478" s="84"/>
    </row>
    <row r="23479" spans="1:14" s="2" customFormat="1">
      <c r="A23479" s="83"/>
      <c r="H23479" s="83"/>
      <c r="K23479" s="82"/>
      <c r="M23479" s="112"/>
      <c r="N23479" s="84"/>
    </row>
    <row r="23480" spans="1:14" s="2" customFormat="1">
      <c r="A23480" s="83"/>
      <c r="H23480" s="83"/>
      <c r="K23480" s="82"/>
      <c r="M23480" s="112"/>
      <c r="N23480" s="84"/>
    </row>
    <row r="23481" spans="1:14" s="2" customFormat="1">
      <c r="A23481" s="83"/>
      <c r="H23481" s="83"/>
      <c r="K23481" s="82"/>
      <c r="M23481" s="112"/>
      <c r="N23481" s="84"/>
    </row>
    <row r="23482" spans="1:14" s="2" customFormat="1">
      <c r="A23482" s="83"/>
      <c r="H23482" s="83"/>
      <c r="K23482" s="82"/>
      <c r="M23482" s="112"/>
      <c r="N23482" s="84"/>
    </row>
    <row r="23483" spans="1:14" s="2" customFormat="1">
      <c r="A23483" s="83"/>
      <c r="H23483" s="83"/>
      <c r="K23483" s="82"/>
      <c r="M23483" s="112"/>
      <c r="N23483" s="84"/>
    </row>
    <row r="23484" spans="1:14" s="2" customFormat="1">
      <c r="A23484" s="83"/>
      <c r="H23484" s="83"/>
      <c r="K23484" s="82"/>
      <c r="M23484" s="112"/>
      <c r="N23484" s="84"/>
    </row>
    <row r="23485" spans="1:14" s="2" customFormat="1">
      <c r="A23485" s="83"/>
      <c r="H23485" s="83"/>
      <c r="K23485" s="82"/>
      <c r="M23485" s="112"/>
      <c r="N23485" s="84"/>
    </row>
    <row r="23486" spans="1:14" s="2" customFormat="1">
      <c r="A23486" s="83"/>
      <c r="H23486" s="83"/>
      <c r="K23486" s="82"/>
      <c r="M23486" s="112"/>
      <c r="N23486" s="84"/>
    </row>
    <row r="23487" spans="1:14" s="2" customFormat="1">
      <c r="A23487" s="83"/>
      <c r="H23487" s="83"/>
      <c r="K23487" s="82"/>
      <c r="M23487" s="112"/>
      <c r="N23487" s="84"/>
    </row>
    <row r="23488" spans="1:14" s="2" customFormat="1">
      <c r="A23488" s="83"/>
      <c r="H23488" s="83"/>
      <c r="K23488" s="82"/>
      <c r="M23488" s="112"/>
      <c r="N23488" s="84"/>
    </row>
    <row r="23489" spans="1:14" s="2" customFormat="1">
      <c r="A23489" s="83"/>
      <c r="H23489" s="83"/>
      <c r="K23489" s="82"/>
      <c r="M23489" s="112"/>
      <c r="N23489" s="84"/>
    </row>
    <row r="23490" spans="1:14" s="2" customFormat="1">
      <c r="A23490" s="83"/>
      <c r="H23490" s="83"/>
      <c r="K23490" s="82"/>
      <c r="M23490" s="112"/>
      <c r="N23490" s="84"/>
    </row>
    <row r="23491" spans="1:14" s="2" customFormat="1">
      <c r="A23491" s="83"/>
      <c r="H23491" s="83"/>
      <c r="K23491" s="82"/>
      <c r="M23491" s="112"/>
      <c r="N23491" s="84"/>
    </row>
    <row r="23492" spans="1:14" s="2" customFormat="1">
      <c r="A23492" s="83"/>
      <c r="H23492" s="83"/>
      <c r="K23492" s="82"/>
      <c r="M23492" s="112"/>
      <c r="N23492" s="84"/>
    </row>
    <row r="23493" spans="1:14" s="2" customFormat="1">
      <c r="A23493" s="83"/>
      <c r="H23493" s="83"/>
      <c r="K23493" s="82"/>
      <c r="M23493" s="112"/>
      <c r="N23493" s="84"/>
    </row>
    <row r="23494" spans="1:14" s="2" customFormat="1">
      <c r="A23494" s="83"/>
      <c r="H23494" s="83"/>
      <c r="K23494" s="82"/>
      <c r="M23494" s="112"/>
      <c r="N23494" s="84"/>
    </row>
    <row r="23495" spans="1:14" s="2" customFormat="1">
      <c r="A23495" s="83"/>
      <c r="H23495" s="83"/>
      <c r="K23495" s="82"/>
      <c r="M23495" s="112"/>
      <c r="N23495" s="84"/>
    </row>
    <row r="23496" spans="1:14" s="2" customFormat="1">
      <c r="A23496" s="83"/>
      <c r="H23496" s="83"/>
      <c r="K23496" s="82"/>
      <c r="M23496" s="112"/>
      <c r="N23496" s="84"/>
    </row>
    <row r="23497" spans="1:14" s="2" customFormat="1">
      <c r="A23497" s="83"/>
      <c r="H23497" s="83"/>
      <c r="K23497" s="82"/>
      <c r="M23497" s="112"/>
      <c r="N23497" s="84"/>
    </row>
    <row r="23498" spans="1:14" s="2" customFormat="1">
      <c r="A23498" s="83"/>
      <c r="H23498" s="83"/>
      <c r="K23498" s="82"/>
      <c r="M23498" s="112"/>
      <c r="N23498" s="84"/>
    </row>
    <row r="23499" spans="1:14" s="2" customFormat="1">
      <c r="A23499" s="83"/>
      <c r="H23499" s="83"/>
      <c r="K23499" s="82"/>
      <c r="M23499" s="112"/>
      <c r="N23499" s="84"/>
    </row>
    <row r="23500" spans="1:14" s="2" customFormat="1">
      <c r="A23500" s="83"/>
      <c r="H23500" s="83"/>
      <c r="K23500" s="82"/>
      <c r="M23500" s="112"/>
      <c r="N23500" s="84"/>
    </row>
    <row r="23501" spans="1:14" s="2" customFormat="1">
      <c r="A23501" s="83"/>
      <c r="H23501" s="83"/>
      <c r="K23501" s="82"/>
      <c r="M23501" s="112"/>
      <c r="N23501" s="84"/>
    </row>
    <row r="23502" spans="1:14" s="2" customFormat="1">
      <c r="A23502" s="83"/>
      <c r="H23502" s="83"/>
      <c r="K23502" s="82"/>
      <c r="M23502" s="112"/>
      <c r="N23502" s="84"/>
    </row>
    <row r="23503" spans="1:14" s="2" customFormat="1">
      <c r="A23503" s="83"/>
      <c r="H23503" s="83"/>
      <c r="K23503" s="82"/>
      <c r="M23503" s="112"/>
      <c r="N23503" s="84"/>
    </row>
    <row r="23504" spans="1:14" s="2" customFormat="1">
      <c r="A23504" s="83"/>
      <c r="H23504" s="83"/>
      <c r="K23504" s="82"/>
      <c r="M23504" s="112"/>
      <c r="N23504" s="84"/>
    </row>
    <row r="23505" spans="1:14" s="2" customFormat="1">
      <c r="A23505" s="83"/>
      <c r="H23505" s="83"/>
      <c r="K23505" s="82"/>
      <c r="M23505" s="112"/>
      <c r="N23505" s="84"/>
    </row>
    <row r="23506" spans="1:14" s="2" customFormat="1">
      <c r="A23506" s="83"/>
      <c r="H23506" s="83"/>
      <c r="K23506" s="82"/>
      <c r="M23506" s="112"/>
      <c r="N23506" s="84"/>
    </row>
    <row r="23507" spans="1:14" s="2" customFormat="1">
      <c r="A23507" s="83"/>
      <c r="H23507" s="83"/>
      <c r="K23507" s="82"/>
      <c r="M23507" s="112"/>
      <c r="N23507" s="84"/>
    </row>
    <row r="23508" spans="1:14" s="2" customFormat="1">
      <c r="A23508" s="83"/>
      <c r="H23508" s="83"/>
      <c r="K23508" s="82"/>
      <c r="M23508" s="112"/>
      <c r="N23508" s="84"/>
    </row>
    <row r="23509" spans="1:14" s="2" customFormat="1">
      <c r="A23509" s="83"/>
      <c r="H23509" s="83"/>
      <c r="K23509" s="82"/>
      <c r="M23509" s="112"/>
      <c r="N23509" s="84"/>
    </row>
    <row r="23510" spans="1:14" s="2" customFormat="1">
      <c r="A23510" s="83"/>
      <c r="H23510" s="83"/>
      <c r="K23510" s="82"/>
      <c r="M23510" s="112"/>
      <c r="N23510" s="84"/>
    </row>
    <row r="23511" spans="1:14" s="2" customFormat="1">
      <c r="A23511" s="83"/>
      <c r="H23511" s="83"/>
      <c r="K23511" s="82"/>
      <c r="M23511" s="112"/>
      <c r="N23511" s="84"/>
    </row>
    <row r="23512" spans="1:14" s="2" customFormat="1">
      <c r="A23512" s="83"/>
      <c r="H23512" s="83"/>
      <c r="K23512" s="82"/>
      <c r="M23512" s="112"/>
      <c r="N23512" s="84"/>
    </row>
    <row r="23513" spans="1:14" s="2" customFormat="1">
      <c r="A23513" s="83"/>
      <c r="H23513" s="83"/>
      <c r="K23513" s="82"/>
      <c r="M23513" s="112"/>
      <c r="N23513" s="84"/>
    </row>
    <row r="23514" spans="1:14" s="2" customFormat="1">
      <c r="A23514" s="83"/>
      <c r="H23514" s="83"/>
      <c r="K23514" s="82"/>
      <c r="M23514" s="112"/>
      <c r="N23514" s="84"/>
    </row>
    <row r="23515" spans="1:14" s="2" customFormat="1">
      <c r="A23515" s="83"/>
      <c r="H23515" s="83"/>
      <c r="K23515" s="82"/>
      <c r="M23515" s="112"/>
      <c r="N23515" s="84"/>
    </row>
    <row r="23516" spans="1:14" s="2" customFormat="1">
      <c r="A23516" s="83"/>
      <c r="H23516" s="83"/>
      <c r="K23516" s="82"/>
      <c r="M23516" s="112"/>
      <c r="N23516" s="84"/>
    </row>
    <row r="23517" spans="1:14" s="2" customFormat="1">
      <c r="A23517" s="83"/>
      <c r="H23517" s="83"/>
      <c r="K23517" s="82"/>
      <c r="M23517" s="112"/>
      <c r="N23517" s="84"/>
    </row>
    <row r="23518" spans="1:14" s="2" customFormat="1">
      <c r="A23518" s="83"/>
      <c r="H23518" s="83"/>
      <c r="K23518" s="82"/>
      <c r="M23518" s="112"/>
      <c r="N23518" s="84"/>
    </row>
    <row r="23519" spans="1:14" s="2" customFormat="1">
      <c r="A23519" s="83"/>
      <c r="H23519" s="83"/>
      <c r="K23519" s="82"/>
      <c r="M23519" s="112"/>
      <c r="N23519" s="84"/>
    </row>
    <row r="23520" spans="1:14" s="2" customFormat="1">
      <c r="A23520" s="83"/>
      <c r="H23520" s="83"/>
      <c r="K23520" s="82"/>
      <c r="M23520" s="112"/>
      <c r="N23520" s="84"/>
    </row>
    <row r="23521" spans="1:14" s="2" customFormat="1">
      <c r="A23521" s="83"/>
      <c r="H23521" s="83"/>
      <c r="K23521" s="82"/>
      <c r="M23521" s="112"/>
      <c r="N23521" s="84"/>
    </row>
    <row r="23522" spans="1:14" s="2" customFormat="1">
      <c r="A23522" s="83"/>
      <c r="H23522" s="83"/>
      <c r="K23522" s="82"/>
      <c r="M23522" s="112"/>
      <c r="N23522" s="84"/>
    </row>
    <row r="23523" spans="1:14" s="2" customFormat="1">
      <c r="A23523" s="83"/>
      <c r="H23523" s="83"/>
      <c r="K23523" s="82"/>
      <c r="M23523" s="112"/>
      <c r="N23523" s="84"/>
    </row>
    <row r="23524" spans="1:14" s="2" customFormat="1">
      <c r="A23524" s="83"/>
      <c r="H23524" s="83"/>
      <c r="K23524" s="82"/>
      <c r="M23524" s="112"/>
      <c r="N23524" s="84"/>
    </row>
    <row r="23525" spans="1:14" s="2" customFormat="1">
      <c r="A23525" s="83"/>
      <c r="H23525" s="83"/>
      <c r="K23525" s="82"/>
      <c r="M23525" s="112"/>
      <c r="N23525" s="84"/>
    </row>
    <row r="23526" spans="1:14" s="2" customFormat="1">
      <c r="A23526" s="83"/>
      <c r="H23526" s="83"/>
      <c r="K23526" s="82"/>
      <c r="M23526" s="112"/>
      <c r="N23526" s="84"/>
    </row>
    <row r="23527" spans="1:14" s="2" customFormat="1">
      <c r="A23527" s="83"/>
      <c r="H23527" s="83"/>
      <c r="K23527" s="82"/>
      <c r="M23527" s="112"/>
      <c r="N23527" s="84"/>
    </row>
    <row r="23528" spans="1:14" s="2" customFormat="1">
      <c r="A23528" s="83"/>
      <c r="H23528" s="83"/>
      <c r="K23528" s="82"/>
      <c r="M23528" s="112"/>
      <c r="N23528" s="84"/>
    </row>
    <row r="23529" spans="1:14" s="2" customFormat="1">
      <c r="A23529" s="83"/>
      <c r="H23529" s="83"/>
      <c r="K23529" s="82"/>
      <c r="M23529" s="112"/>
      <c r="N23529" s="84"/>
    </row>
    <row r="23530" spans="1:14" s="2" customFormat="1">
      <c r="A23530" s="83"/>
      <c r="H23530" s="83"/>
      <c r="K23530" s="82"/>
      <c r="M23530" s="112"/>
      <c r="N23530" s="84"/>
    </row>
    <row r="23531" spans="1:14" s="2" customFormat="1">
      <c r="A23531" s="83"/>
      <c r="H23531" s="83"/>
      <c r="K23531" s="82"/>
      <c r="M23531" s="112"/>
      <c r="N23531" s="84"/>
    </row>
    <row r="23532" spans="1:14" s="2" customFormat="1">
      <c r="A23532" s="83"/>
      <c r="H23532" s="83"/>
      <c r="K23532" s="82"/>
      <c r="M23532" s="112"/>
      <c r="N23532" s="84"/>
    </row>
    <row r="23533" spans="1:14" s="2" customFormat="1">
      <c r="A23533" s="83"/>
      <c r="H23533" s="83"/>
      <c r="K23533" s="82"/>
      <c r="M23533" s="112"/>
      <c r="N23533" s="84"/>
    </row>
    <row r="23534" spans="1:14" s="2" customFormat="1">
      <c r="A23534" s="83"/>
      <c r="H23534" s="83"/>
      <c r="K23534" s="82"/>
      <c r="M23534" s="112"/>
      <c r="N23534" s="84"/>
    </row>
    <row r="23535" spans="1:14" s="2" customFormat="1">
      <c r="A23535" s="83"/>
      <c r="H23535" s="83"/>
      <c r="K23535" s="82"/>
      <c r="M23535" s="112"/>
      <c r="N23535" s="84"/>
    </row>
    <row r="23536" spans="1:14" s="2" customFormat="1">
      <c r="A23536" s="83"/>
      <c r="H23536" s="83"/>
      <c r="K23536" s="82"/>
      <c r="M23536" s="112"/>
      <c r="N23536" s="84"/>
    </row>
    <row r="23537" spans="1:14" s="2" customFormat="1">
      <c r="A23537" s="83"/>
      <c r="H23537" s="83"/>
      <c r="K23537" s="82"/>
      <c r="M23537" s="112"/>
      <c r="N23537" s="84"/>
    </row>
    <row r="23538" spans="1:14" s="2" customFormat="1">
      <c r="A23538" s="83"/>
      <c r="H23538" s="83"/>
      <c r="K23538" s="82"/>
      <c r="M23538" s="112"/>
      <c r="N23538" s="84"/>
    </row>
    <row r="23539" spans="1:14" s="2" customFormat="1">
      <c r="A23539" s="83"/>
      <c r="H23539" s="83"/>
      <c r="K23539" s="82"/>
      <c r="M23539" s="112"/>
      <c r="N23539" s="84"/>
    </row>
    <row r="23540" spans="1:14" s="2" customFormat="1">
      <c r="A23540" s="83"/>
      <c r="H23540" s="83"/>
      <c r="K23540" s="82"/>
      <c r="M23540" s="112"/>
      <c r="N23540" s="84"/>
    </row>
    <row r="23541" spans="1:14" s="2" customFormat="1">
      <c r="A23541" s="83"/>
      <c r="H23541" s="83"/>
      <c r="K23541" s="82"/>
      <c r="M23541" s="112"/>
      <c r="N23541" s="84"/>
    </row>
    <row r="23542" spans="1:14" s="2" customFormat="1">
      <c r="A23542" s="83"/>
      <c r="H23542" s="83"/>
      <c r="K23542" s="82"/>
      <c r="M23542" s="112"/>
      <c r="N23542" s="84"/>
    </row>
    <row r="23543" spans="1:14" s="2" customFormat="1">
      <c r="A23543" s="83"/>
      <c r="H23543" s="83"/>
      <c r="K23543" s="82"/>
      <c r="M23543" s="112"/>
      <c r="N23543" s="84"/>
    </row>
    <row r="23544" spans="1:14" s="2" customFormat="1">
      <c r="A23544" s="83"/>
      <c r="H23544" s="83"/>
      <c r="K23544" s="82"/>
      <c r="M23544" s="112"/>
      <c r="N23544" s="84"/>
    </row>
    <row r="23545" spans="1:14" s="2" customFormat="1">
      <c r="A23545" s="83"/>
      <c r="H23545" s="83"/>
      <c r="K23545" s="82"/>
      <c r="M23545" s="112"/>
      <c r="N23545" s="84"/>
    </row>
    <row r="23546" spans="1:14" s="2" customFormat="1">
      <c r="A23546" s="83"/>
      <c r="H23546" s="83"/>
      <c r="K23546" s="82"/>
      <c r="M23546" s="112"/>
      <c r="N23546" s="84"/>
    </row>
    <row r="23547" spans="1:14" s="2" customFormat="1">
      <c r="A23547" s="83"/>
      <c r="H23547" s="83"/>
      <c r="K23547" s="82"/>
      <c r="M23547" s="112"/>
      <c r="N23547" s="84"/>
    </row>
    <row r="23548" spans="1:14" s="2" customFormat="1">
      <c r="A23548" s="83"/>
      <c r="H23548" s="83"/>
      <c r="K23548" s="82"/>
      <c r="M23548" s="112"/>
      <c r="N23548" s="84"/>
    </row>
    <row r="23549" spans="1:14" s="2" customFormat="1">
      <c r="A23549" s="83"/>
      <c r="H23549" s="83"/>
      <c r="K23549" s="82"/>
      <c r="M23549" s="112"/>
      <c r="N23549" s="84"/>
    </row>
    <row r="23550" spans="1:14" s="2" customFormat="1">
      <c r="A23550" s="83"/>
      <c r="H23550" s="83"/>
      <c r="K23550" s="82"/>
      <c r="M23550" s="112"/>
      <c r="N23550" s="84"/>
    </row>
    <row r="23551" spans="1:14" s="2" customFormat="1">
      <c r="A23551" s="83"/>
      <c r="H23551" s="83"/>
      <c r="K23551" s="82"/>
      <c r="M23551" s="112"/>
      <c r="N23551" s="84"/>
    </row>
    <row r="23552" spans="1:14" s="2" customFormat="1">
      <c r="A23552" s="83"/>
      <c r="H23552" s="83"/>
      <c r="K23552" s="82"/>
      <c r="M23552" s="112"/>
      <c r="N23552" s="84"/>
    </row>
    <row r="23553" spans="1:14" s="2" customFormat="1">
      <c r="A23553" s="83"/>
      <c r="H23553" s="83"/>
      <c r="K23553" s="82"/>
      <c r="M23553" s="112"/>
      <c r="N23553" s="84"/>
    </row>
    <row r="23554" spans="1:14" s="2" customFormat="1">
      <c r="A23554" s="83"/>
      <c r="H23554" s="83"/>
      <c r="K23554" s="82"/>
      <c r="M23554" s="112"/>
      <c r="N23554" s="84"/>
    </row>
    <row r="23555" spans="1:14" s="2" customFormat="1">
      <c r="A23555" s="83"/>
      <c r="H23555" s="83"/>
      <c r="K23555" s="82"/>
      <c r="M23555" s="112"/>
      <c r="N23555" s="84"/>
    </row>
    <row r="23556" spans="1:14" s="2" customFormat="1">
      <c r="A23556" s="83"/>
      <c r="H23556" s="83"/>
      <c r="K23556" s="82"/>
      <c r="M23556" s="112"/>
      <c r="N23556" s="84"/>
    </row>
    <row r="23557" spans="1:14" s="2" customFormat="1">
      <c r="A23557" s="83"/>
      <c r="H23557" s="83"/>
      <c r="K23557" s="82"/>
      <c r="M23557" s="112"/>
      <c r="N23557" s="84"/>
    </row>
    <row r="23558" spans="1:14" s="2" customFormat="1">
      <c r="A23558" s="83"/>
      <c r="H23558" s="83"/>
      <c r="K23558" s="82"/>
      <c r="M23558" s="112"/>
      <c r="N23558" s="84"/>
    </row>
    <row r="23559" spans="1:14" s="2" customFormat="1">
      <c r="A23559" s="83"/>
      <c r="H23559" s="83"/>
      <c r="K23559" s="82"/>
      <c r="M23559" s="112"/>
      <c r="N23559" s="84"/>
    </row>
    <row r="23560" spans="1:14" s="2" customFormat="1">
      <c r="A23560" s="83"/>
      <c r="H23560" s="83"/>
      <c r="K23560" s="82"/>
      <c r="M23560" s="112"/>
      <c r="N23560" s="84"/>
    </row>
    <row r="23561" spans="1:14" s="2" customFormat="1">
      <c r="A23561" s="83"/>
      <c r="H23561" s="83"/>
      <c r="K23561" s="82"/>
      <c r="M23561" s="112"/>
      <c r="N23561" s="84"/>
    </row>
    <row r="23562" spans="1:14" s="2" customFormat="1">
      <c r="A23562" s="83"/>
      <c r="H23562" s="83"/>
      <c r="K23562" s="82"/>
      <c r="M23562" s="112"/>
      <c r="N23562" s="84"/>
    </row>
    <row r="23563" spans="1:14" s="2" customFormat="1">
      <c r="A23563" s="83"/>
      <c r="H23563" s="83"/>
      <c r="K23563" s="82"/>
      <c r="M23563" s="112"/>
      <c r="N23563" s="84"/>
    </row>
    <row r="23564" spans="1:14" s="2" customFormat="1">
      <c r="A23564" s="83"/>
      <c r="H23564" s="83"/>
      <c r="K23564" s="82"/>
      <c r="M23564" s="112"/>
      <c r="N23564" s="84"/>
    </row>
    <row r="23565" spans="1:14" s="2" customFormat="1">
      <c r="A23565" s="83"/>
      <c r="H23565" s="83"/>
      <c r="K23565" s="82"/>
      <c r="M23565" s="112"/>
      <c r="N23565" s="84"/>
    </row>
    <row r="23566" spans="1:14" s="2" customFormat="1">
      <c r="A23566" s="83"/>
      <c r="H23566" s="83"/>
      <c r="K23566" s="82"/>
      <c r="M23566" s="112"/>
      <c r="N23566" s="84"/>
    </row>
    <row r="23567" spans="1:14" s="2" customFormat="1">
      <c r="A23567" s="83"/>
      <c r="H23567" s="83"/>
      <c r="K23567" s="82"/>
      <c r="M23567" s="112"/>
      <c r="N23567" s="84"/>
    </row>
    <row r="23568" spans="1:14" s="2" customFormat="1">
      <c r="A23568" s="83"/>
      <c r="H23568" s="83"/>
      <c r="K23568" s="82"/>
      <c r="M23568" s="112"/>
      <c r="N23568" s="84"/>
    </row>
    <row r="23569" spans="1:14" s="2" customFormat="1">
      <c r="A23569" s="83"/>
      <c r="H23569" s="83"/>
      <c r="K23569" s="82"/>
      <c r="M23569" s="112"/>
      <c r="N23569" s="84"/>
    </row>
    <row r="23570" spans="1:14" s="2" customFormat="1">
      <c r="A23570" s="83"/>
      <c r="H23570" s="83"/>
      <c r="K23570" s="82"/>
      <c r="M23570" s="112"/>
      <c r="N23570" s="84"/>
    </row>
    <row r="23571" spans="1:14" s="2" customFormat="1">
      <c r="A23571" s="83"/>
      <c r="H23571" s="83"/>
      <c r="K23571" s="82"/>
      <c r="M23571" s="112"/>
      <c r="N23571" s="84"/>
    </row>
    <row r="23572" spans="1:14" s="2" customFormat="1">
      <c r="A23572" s="83"/>
      <c r="H23572" s="83"/>
      <c r="K23572" s="82"/>
      <c r="M23572" s="112"/>
      <c r="N23572" s="84"/>
    </row>
    <row r="23573" spans="1:14" s="2" customFormat="1">
      <c r="A23573" s="83"/>
      <c r="H23573" s="83"/>
      <c r="K23573" s="82"/>
      <c r="M23573" s="112"/>
      <c r="N23573" s="84"/>
    </row>
    <row r="23574" spans="1:14" s="2" customFormat="1">
      <c r="A23574" s="83"/>
      <c r="H23574" s="83"/>
      <c r="K23574" s="82"/>
      <c r="M23574" s="112"/>
      <c r="N23574" s="84"/>
    </row>
    <row r="23575" spans="1:14" s="2" customFormat="1">
      <c r="A23575" s="83"/>
      <c r="H23575" s="83"/>
      <c r="K23575" s="82"/>
      <c r="M23575" s="112"/>
      <c r="N23575" s="84"/>
    </row>
    <row r="23576" spans="1:14" s="2" customFormat="1">
      <c r="A23576" s="83"/>
      <c r="H23576" s="83"/>
      <c r="K23576" s="82"/>
      <c r="M23576" s="112"/>
      <c r="N23576" s="84"/>
    </row>
    <row r="23577" spans="1:14" s="2" customFormat="1">
      <c r="A23577" s="83"/>
      <c r="H23577" s="83"/>
      <c r="K23577" s="82"/>
      <c r="M23577" s="112"/>
      <c r="N23577" s="84"/>
    </row>
    <row r="23578" spans="1:14" s="2" customFormat="1">
      <c r="A23578" s="83"/>
      <c r="H23578" s="83"/>
      <c r="K23578" s="82"/>
      <c r="M23578" s="112"/>
      <c r="N23578" s="84"/>
    </row>
    <row r="23579" spans="1:14" s="2" customFormat="1">
      <c r="A23579" s="83"/>
      <c r="H23579" s="83"/>
      <c r="K23579" s="82"/>
      <c r="M23579" s="112"/>
      <c r="N23579" s="84"/>
    </row>
    <row r="23580" spans="1:14" s="2" customFormat="1">
      <c r="A23580" s="83"/>
      <c r="H23580" s="83"/>
      <c r="K23580" s="82"/>
      <c r="M23580" s="112"/>
      <c r="N23580" s="84"/>
    </row>
    <row r="23581" spans="1:14" s="2" customFormat="1">
      <c r="A23581" s="83"/>
      <c r="H23581" s="83"/>
      <c r="K23581" s="82"/>
      <c r="M23581" s="112"/>
      <c r="N23581" s="84"/>
    </row>
    <row r="23582" spans="1:14" s="2" customFormat="1">
      <c r="A23582" s="83"/>
      <c r="H23582" s="83"/>
      <c r="K23582" s="82"/>
      <c r="M23582" s="112"/>
      <c r="N23582" s="84"/>
    </row>
    <row r="23583" spans="1:14" s="2" customFormat="1">
      <c r="A23583" s="83"/>
      <c r="H23583" s="83"/>
      <c r="K23583" s="82"/>
      <c r="M23583" s="112"/>
      <c r="N23583" s="84"/>
    </row>
    <row r="23584" spans="1:14" s="2" customFormat="1">
      <c r="A23584" s="83"/>
      <c r="H23584" s="83"/>
      <c r="K23584" s="82"/>
      <c r="M23584" s="112"/>
      <c r="N23584" s="84"/>
    </row>
    <row r="23585" spans="1:14" s="2" customFormat="1">
      <c r="A23585" s="83"/>
      <c r="H23585" s="83"/>
      <c r="K23585" s="82"/>
      <c r="M23585" s="112"/>
      <c r="N23585" s="84"/>
    </row>
    <row r="23586" spans="1:14" s="2" customFormat="1">
      <c r="A23586" s="83"/>
      <c r="H23586" s="83"/>
      <c r="K23586" s="82"/>
      <c r="M23586" s="112"/>
      <c r="N23586" s="84"/>
    </row>
    <row r="23587" spans="1:14" s="2" customFormat="1">
      <c r="A23587" s="83"/>
      <c r="H23587" s="83"/>
      <c r="K23587" s="82"/>
      <c r="M23587" s="112"/>
      <c r="N23587" s="84"/>
    </row>
    <row r="23588" spans="1:14" s="2" customFormat="1">
      <c r="A23588" s="83"/>
      <c r="H23588" s="83"/>
      <c r="K23588" s="82"/>
      <c r="M23588" s="112"/>
      <c r="N23588" s="84"/>
    </row>
    <row r="23589" spans="1:14" s="2" customFormat="1">
      <c r="A23589" s="83"/>
      <c r="H23589" s="83"/>
      <c r="K23589" s="82"/>
      <c r="M23589" s="112"/>
      <c r="N23589" s="84"/>
    </row>
    <row r="23590" spans="1:14" s="2" customFormat="1">
      <c r="A23590" s="83"/>
      <c r="H23590" s="83"/>
      <c r="K23590" s="82"/>
      <c r="M23590" s="112"/>
      <c r="N23590" s="84"/>
    </row>
    <row r="23591" spans="1:14" s="2" customFormat="1">
      <c r="A23591" s="83"/>
      <c r="H23591" s="83"/>
      <c r="K23591" s="82"/>
      <c r="M23591" s="112"/>
      <c r="N23591" s="84"/>
    </row>
    <row r="23592" spans="1:14" s="2" customFormat="1">
      <c r="A23592" s="83"/>
      <c r="H23592" s="83"/>
      <c r="K23592" s="82"/>
      <c r="M23592" s="112"/>
      <c r="N23592" s="84"/>
    </row>
    <row r="23593" spans="1:14" s="2" customFormat="1">
      <c r="A23593" s="83"/>
      <c r="H23593" s="83"/>
      <c r="K23593" s="82"/>
      <c r="M23593" s="112"/>
      <c r="N23593" s="84"/>
    </row>
    <row r="23594" spans="1:14" s="2" customFormat="1">
      <c r="A23594" s="83"/>
      <c r="H23594" s="83"/>
      <c r="K23594" s="82"/>
      <c r="M23594" s="112"/>
      <c r="N23594" s="84"/>
    </row>
    <row r="23595" spans="1:14" s="2" customFormat="1">
      <c r="A23595" s="83"/>
      <c r="H23595" s="83"/>
      <c r="K23595" s="82"/>
      <c r="M23595" s="112"/>
      <c r="N23595" s="84"/>
    </row>
    <row r="23596" spans="1:14" s="2" customFormat="1">
      <c r="A23596" s="83"/>
      <c r="H23596" s="83"/>
      <c r="K23596" s="82"/>
      <c r="M23596" s="112"/>
      <c r="N23596" s="84"/>
    </row>
    <row r="23597" spans="1:14" s="2" customFormat="1">
      <c r="A23597" s="83"/>
      <c r="H23597" s="83"/>
      <c r="K23597" s="82"/>
      <c r="M23597" s="112"/>
      <c r="N23597" s="84"/>
    </row>
    <row r="23598" spans="1:14" s="2" customFormat="1">
      <c r="A23598" s="83"/>
      <c r="H23598" s="83"/>
      <c r="K23598" s="82"/>
      <c r="M23598" s="112"/>
      <c r="N23598" s="84"/>
    </row>
    <row r="23599" spans="1:14" s="2" customFormat="1">
      <c r="A23599" s="83"/>
      <c r="H23599" s="83"/>
      <c r="K23599" s="82"/>
      <c r="M23599" s="112"/>
      <c r="N23599" s="84"/>
    </row>
    <row r="23600" spans="1:14" s="2" customFormat="1">
      <c r="A23600" s="83"/>
      <c r="H23600" s="83"/>
      <c r="K23600" s="82"/>
      <c r="M23600" s="112"/>
      <c r="N23600" s="84"/>
    </row>
    <row r="23601" spans="1:14" s="2" customFormat="1">
      <c r="A23601" s="83"/>
      <c r="H23601" s="83"/>
      <c r="K23601" s="82"/>
      <c r="M23601" s="112"/>
      <c r="N23601" s="84"/>
    </row>
    <row r="23602" spans="1:14" s="2" customFormat="1">
      <c r="A23602" s="83"/>
      <c r="H23602" s="83"/>
      <c r="K23602" s="82"/>
      <c r="M23602" s="112"/>
      <c r="N23602" s="84"/>
    </row>
    <row r="23603" spans="1:14" s="2" customFormat="1">
      <c r="A23603" s="83"/>
      <c r="H23603" s="83"/>
      <c r="K23603" s="82"/>
      <c r="M23603" s="112"/>
      <c r="N23603" s="84"/>
    </row>
    <row r="23604" spans="1:14" s="2" customFormat="1">
      <c r="A23604" s="83"/>
      <c r="H23604" s="83"/>
      <c r="K23604" s="82"/>
      <c r="M23604" s="112"/>
      <c r="N23604" s="84"/>
    </row>
    <row r="23605" spans="1:14" s="2" customFormat="1">
      <c r="A23605" s="83"/>
      <c r="H23605" s="83"/>
      <c r="K23605" s="82"/>
      <c r="M23605" s="112"/>
      <c r="N23605" s="84"/>
    </row>
    <row r="23606" spans="1:14" s="2" customFormat="1">
      <c r="A23606" s="83"/>
      <c r="H23606" s="83"/>
      <c r="K23606" s="82"/>
      <c r="M23606" s="112"/>
      <c r="N23606" s="84"/>
    </row>
    <row r="23607" spans="1:14" s="2" customFormat="1">
      <c r="A23607" s="83"/>
      <c r="H23607" s="83"/>
      <c r="K23607" s="82"/>
      <c r="M23607" s="112"/>
      <c r="N23607" s="84"/>
    </row>
    <row r="23608" spans="1:14" s="2" customFormat="1">
      <c r="A23608" s="83"/>
      <c r="H23608" s="83"/>
      <c r="K23608" s="82"/>
      <c r="M23608" s="112"/>
      <c r="N23608" s="84"/>
    </row>
    <row r="23609" spans="1:14" s="2" customFormat="1">
      <c r="A23609" s="83"/>
      <c r="H23609" s="83"/>
      <c r="K23609" s="82"/>
      <c r="M23609" s="112"/>
      <c r="N23609" s="84"/>
    </row>
    <row r="23610" spans="1:14" s="2" customFormat="1">
      <c r="A23610" s="83"/>
      <c r="H23610" s="83"/>
      <c r="K23610" s="82"/>
      <c r="M23610" s="112"/>
      <c r="N23610" s="84"/>
    </row>
    <row r="23611" spans="1:14" s="2" customFormat="1">
      <c r="A23611" s="83"/>
      <c r="H23611" s="83"/>
      <c r="K23611" s="82"/>
      <c r="M23611" s="112"/>
      <c r="N23611" s="84"/>
    </row>
    <row r="23612" spans="1:14" s="2" customFormat="1">
      <c r="A23612" s="83"/>
      <c r="H23612" s="83"/>
      <c r="K23612" s="82"/>
      <c r="M23612" s="112"/>
      <c r="N23612" s="84"/>
    </row>
    <row r="23613" spans="1:14" s="2" customFormat="1">
      <c r="A23613" s="83"/>
      <c r="H23613" s="83"/>
      <c r="K23613" s="82"/>
      <c r="M23613" s="112"/>
      <c r="N23613" s="84"/>
    </row>
    <row r="23614" spans="1:14" s="2" customFormat="1">
      <c r="A23614" s="83"/>
      <c r="H23614" s="83"/>
      <c r="K23614" s="82"/>
      <c r="M23614" s="112"/>
      <c r="N23614" s="84"/>
    </row>
    <row r="23615" spans="1:14" s="2" customFormat="1">
      <c r="A23615" s="83"/>
      <c r="H23615" s="83"/>
      <c r="K23615" s="82"/>
      <c r="M23615" s="112"/>
      <c r="N23615" s="84"/>
    </row>
    <row r="23616" spans="1:14" s="2" customFormat="1">
      <c r="A23616" s="83"/>
      <c r="H23616" s="83"/>
      <c r="K23616" s="82"/>
      <c r="M23616" s="112"/>
      <c r="N23616" s="84"/>
    </row>
    <row r="23617" spans="1:14" s="2" customFormat="1">
      <c r="A23617" s="83"/>
      <c r="H23617" s="83"/>
      <c r="K23617" s="82"/>
      <c r="M23617" s="112"/>
      <c r="N23617" s="84"/>
    </row>
    <row r="23618" spans="1:14" s="2" customFormat="1">
      <c r="A23618" s="83"/>
      <c r="H23618" s="83"/>
      <c r="K23618" s="82"/>
      <c r="M23618" s="112"/>
      <c r="N23618" s="84"/>
    </row>
    <row r="23619" spans="1:14" s="2" customFormat="1">
      <c r="A23619" s="83"/>
      <c r="H23619" s="83"/>
      <c r="K23619" s="82"/>
      <c r="M23619" s="112"/>
      <c r="N23619" s="84"/>
    </row>
    <row r="23620" spans="1:14" s="2" customFormat="1">
      <c r="A23620" s="83"/>
      <c r="H23620" s="83"/>
      <c r="K23620" s="82"/>
      <c r="M23620" s="112"/>
      <c r="N23620" s="84"/>
    </row>
    <row r="23621" spans="1:14" s="2" customFormat="1">
      <c r="A23621" s="83"/>
      <c r="H23621" s="83"/>
      <c r="K23621" s="82"/>
      <c r="M23621" s="112"/>
      <c r="N23621" s="84"/>
    </row>
    <row r="23622" spans="1:14" s="2" customFormat="1">
      <c r="A23622" s="83"/>
      <c r="H23622" s="83"/>
      <c r="K23622" s="82"/>
      <c r="M23622" s="112"/>
      <c r="N23622" s="84"/>
    </row>
    <row r="23623" spans="1:14" s="2" customFormat="1">
      <c r="A23623" s="83"/>
      <c r="H23623" s="83"/>
      <c r="K23623" s="82"/>
      <c r="M23623" s="112"/>
      <c r="N23623" s="84"/>
    </row>
    <row r="23624" spans="1:14" s="2" customFormat="1">
      <c r="A23624" s="83"/>
      <c r="H23624" s="83"/>
      <c r="K23624" s="82"/>
      <c r="M23624" s="112"/>
      <c r="N23624" s="84"/>
    </row>
    <row r="23625" spans="1:14" s="2" customFormat="1">
      <c r="A23625" s="83"/>
      <c r="H23625" s="83"/>
      <c r="K23625" s="82"/>
      <c r="M23625" s="112"/>
      <c r="N23625" s="84"/>
    </row>
    <row r="23626" spans="1:14" s="2" customFormat="1">
      <c r="A23626" s="83"/>
      <c r="H23626" s="83"/>
      <c r="K23626" s="82"/>
      <c r="M23626" s="112"/>
      <c r="N23626" s="84"/>
    </row>
    <row r="23627" spans="1:14" s="2" customFormat="1">
      <c r="A23627" s="83"/>
      <c r="H23627" s="83"/>
      <c r="K23627" s="82"/>
      <c r="M23627" s="112"/>
      <c r="N23627" s="84"/>
    </row>
    <row r="23628" spans="1:14" s="2" customFormat="1">
      <c r="A23628" s="83"/>
      <c r="H23628" s="83"/>
      <c r="K23628" s="82"/>
      <c r="M23628" s="112"/>
      <c r="N23628" s="84"/>
    </row>
    <row r="23629" spans="1:14" s="2" customFormat="1">
      <c r="A23629" s="83"/>
      <c r="H23629" s="83"/>
      <c r="K23629" s="82"/>
      <c r="M23629" s="112"/>
      <c r="N23629" s="84"/>
    </row>
    <row r="23630" spans="1:14" s="2" customFormat="1">
      <c r="A23630" s="83"/>
      <c r="H23630" s="83"/>
      <c r="K23630" s="82"/>
      <c r="M23630" s="112"/>
      <c r="N23630" s="84"/>
    </row>
    <row r="23631" spans="1:14" s="2" customFormat="1">
      <c r="A23631" s="83"/>
      <c r="H23631" s="83"/>
      <c r="K23631" s="82"/>
      <c r="M23631" s="112"/>
      <c r="N23631" s="84"/>
    </row>
    <row r="23632" spans="1:14" s="2" customFormat="1">
      <c r="A23632" s="83"/>
      <c r="H23632" s="83"/>
      <c r="K23632" s="82"/>
      <c r="M23632" s="112"/>
      <c r="N23632" s="84"/>
    </row>
    <row r="23633" spans="1:14" s="2" customFormat="1">
      <c r="A23633" s="83"/>
      <c r="H23633" s="83"/>
      <c r="K23633" s="82"/>
      <c r="M23633" s="112"/>
      <c r="N23633" s="84"/>
    </row>
    <row r="23634" spans="1:14" s="2" customFormat="1">
      <c r="A23634" s="83"/>
      <c r="H23634" s="83"/>
      <c r="K23634" s="82"/>
      <c r="M23634" s="112"/>
      <c r="N23634" s="84"/>
    </row>
    <row r="23635" spans="1:14" s="2" customFormat="1">
      <c r="A23635" s="83"/>
      <c r="H23635" s="83"/>
      <c r="K23635" s="82"/>
      <c r="M23635" s="112"/>
      <c r="N23635" s="84"/>
    </row>
    <row r="23636" spans="1:14" s="2" customFormat="1">
      <c r="A23636" s="83"/>
      <c r="H23636" s="83"/>
      <c r="K23636" s="82"/>
      <c r="M23636" s="112"/>
      <c r="N23636" s="84"/>
    </row>
    <row r="23637" spans="1:14" s="2" customFormat="1">
      <c r="A23637" s="83"/>
      <c r="H23637" s="83"/>
      <c r="K23637" s="82"/>
      <c r="M23637" s="112"/>
      <c r="N23637" s="84"/>
    </row>
    <row r="23638" spans="1:14" s="2" customFormat="1">
      <c r="A23638" s="83"/>
      <c r="H23638" s="83"/>
      <c r="K23638" s="82"/>
      <c r="M23638" s="112"/>
      <c r="N23638" s="84"/>
    </row>
    <row r="23639" spans="1:14" s="2" customFormat="1">
      <c r="A23639" s="83"/>
      <c r="H23639" s="83"/>
      <c r="K23639" s="82"/>
      <c r="M23639" s="112"/>
      <c r="N23639" s="84"/>
    </row>
    <row r="23640" spans="1:14" s="2" customFormat="1">
      <c r="A23640" s="83"/>
      <c r="H23640" s="83"/>
      <c r="K23640" s="82"/>
      <c r="M23640" s="112"/>
      <c r="N23640" s="84"/>
    </row>
    <row r="23641" spans="1:14" s="2" customFormat="1">
      <c r="A23641" s="83"/>
      <c r="H23641" s="83"/>
      <c r="K23641" s="82"/>
      <c r="M23641" s="112"/>
      <c r="N23641" s="84"/>
    </row>
    <row r="23642" spans="1:14" s="2" customFormat="1">
      <c r="A23642" s="83"/>
      <c r="H23642" s="83"/>
      <c r="K23642" s="82"/>
      <c r="M23642" s="112"/>
      <c r="N23642" s="84"/>
    </row>
    <row r="23643" spans="1:14" s="2" customFormat="1">
      <c r="A23643" s="83"/>
      <c r="H23643" s="83"/>
      <c r="K23643" s="82"/>
      <c r="M23643" s="112"/>
      <c r="N23643" s="84"/>
    </row>
    <row r="23644" spans="1:14" s="2" customFormat="1">
      <c r="A23644" s="83"/>
      <c r="H23644" s="83"/>
      <c r="K23644" s="82"/>
      <c r="M23644" s="112"/>
      <c r="N23644" s="84"/>
    </row>
    <row r="23645" spans="1:14" s="2" customFormat="1">
      <c r="A23645" s="83"/>
      <c r="H23645" s="83"/>
      <c r="K23645" s="82"/>
      <c r="M23645" s="112"/>
      <c r="N23645" s="84"/>
    </row>
    <row r="23646" spans="1:14" s="2" customFormat="1">
      <c r="A23646" s="83"/>
      <c r="H23646" s="83"/>
      <c r="K23646" s="82"/>
      <c r="M23646" s="112"/>
      <c r="N23646" s="84"/>
    </row>
    <row r="23647" spans="1:14" s="2" customFormat="1">
      <c r="A23647" s="83"/>
      <c r="H23647" s="83"/>
      <c r="K23647" s="82"/>
      <c r="M23647" s="112"/>
      <c r="N23647" s="84"/>
    </row>
    <row r="23648" spans="1:14" s="2" customFormat="1">
      <c r="A23648" s="83"/>
      <c r="H23648" s="83"/>
      <c r="K23648" s="82"/>
      <c r="M23648" s="112"/>
      <c r="N23648" s="84"/>
    </row>
    <row r="23649" spans="1:14" s="2" customFormat="1">
      <c r="A23649" s="83"/>
      <c r="H23649" s="83"/>
      <c r="K23649" s="82"/>
      <c r="M23649" s="112"/>
      <c r="N23649" s="84"/>
    </row>
    <row r="23650" spans="1:14" s="2" customFormat="1">
      <c r="A23650" s="83"/>
      <c r="H23650" s="83"/>
      <c r="K23650" s="82"/>
      <c r="M23650" s="112"/>
      <c r="N23650" s="84"/>
    </row>
    <row r="23651" spans="1:14" s="2" customFormat="1">
      <c r="A23651" s="83"/>
      <c r="H23651" s="83"/>
      <c r="K23651" s="82"/>
      <c r="M23651" s="112"/>
      <c r="N23651" s="84"/>
    </row>
    <row r="23652" spans="1:14" s="2" customFormat="1">
      <c r="A23652" s="83"/>
      <c r="H23652" s="83"/>
      <c r="K23652" s="82"/>
      <c r="M23652" s="112"/>
      <c r="N23652" s="84"/>
    </row>
    <row r="23653" spans="1:14" s="2" customFormat="1">
      <c r="A23653" s="83"/>
      <c r="H23653" s="83"/>
      <c r="K23653" s="82"/>
      <c r="M23653" s="112"/>
      <c r="N23653" s="84"/>
    </row>
    <row r="23654" spans="1:14" s="2" customFormat="1">
      <c r="A23654" s="83"/>
      <c r="H23654" s="83"/>
      <c r="K23654" s="82"/>
      <c r="M23654" s="112"/>
      <c r="N23654" s="84"/>
    </row>
    <row r="23655" spans="1:14" s="2" customFormat="1">
      <c r="A23655" s="83"/>
      <c r="H23655" s="83"/>
      <c r="K23655" s="82"/>
      <c r="M23655" s="112"/>
      <c r="N23655" s="84"/>
    </row>
    <row r="23656" spans="1:14" s="2" customFormat="1">
      <c r="A23656" s="83"/>
      <c r="H23656" s="83"/>
      <c r="K23656" s="82"/>
      <c r="M23656" s="112"/>
      <c r="N23656" s="84"/>
    </row>
    <row r="23657" spans="1:14" s="2" customFormat="1">
      <c r="A23657" s="83"/>
      <c r="H23657" s="83"/>
      <c r="K23657" s="82"/>
      <c r="M23657" s="112"/>
      <c r="N23657" s="84"/>
    </row>
    <row r="23658" spans="1:14" s="2" customFormat="1">
      <c r="A23658" s="83"/>
      <c r="H23658" s="83"/>
      <c r="K23658" s="82"/>
      <c r="M23658" s="112"/>
      <c r="N23658" s="84"/>
    </row>
    <row r="23659" spans="1:14" s="2" customFormat="1">
      <c r="A23659" s="83"/>
      <c r="H23659" s="83"/>
      <c r="K23659" s="82"/>
      <c r="M23659" s="112"/>
      <c r="N23659" s="84"/>
    </row>
    <row r="23660" spans="1:14" s="2" customFormat="1">
      <c r="A23660" s="83"/>
      <c r="H23660" s="83"/>
      <c r="K23660" s="82"/>
      <c r="M23660" s="112"/>
      <c r="N23660" s="84"/>
    </row>
    <row r="23661" spans="1:14" s="2" customFormat="1">
      <c r="A23661" s="83"/>
      <c r="H23661" s="83"/>
      <c r="K23661" s="82"/>
      <c r="M23661" s="112"/>
      <c r="N23661" s="84"/>
    </row>
    <row r="23662" spans="1:14" s="2" customFormat="1">
      <c r="A23662" s="83"/>
      <c r="H23662" s="83"/>
      <c r="K23662" s="82"/>
      <c r="M23662" s="112"/>
      <c r="N23662" s="84"/>
    </row>
    <row r="23663" spans="1:14" s="2" customFormat="1">
      <c r="A23663" s="83"/>
      <c r="H23663" s="83"/>
      <c r="K23663" s="82"/>
      <c r="M23663" s="112"/>
      <c r="N23663" s="84"/>
    </row>
    <row r="23664" spans="1:14" s="2" customFormat="1">
      <c r="A23664" s="83"/>
      <c r="H23664" s="83"/>
      <c r="K23664" s="82"/>
      <c r="M23664" s="112"/>
      <c r="N23664" s="84"/>
    </row>
    <row r="23665" spans="1:14" s="2" customFormat="1">
      <c r="A23665" s="83"/>
      <c r="H23665" s="83"/>
      <c r="K23665" s="82"/>
      <c r="M23665" s="112"/>
      <c r="N23665" s="84"/>
    </row>
    <row r="23666" spans="1:14" s="2" customFormat="1">
      <c r="A23666" s="83"/>
      <c r="H23666" s="83"/>
      <c r="K23666" s="82"/>
      <c r="M23666" s="112"/>
      <c r="N23666" s="84"/>
    </row>
    <row r="23667" spans="1:14" s="2" customFormat="1">
      <c r="A23667" s="83"/>
      <c r="H23667" s="83"/>
      <c r="K23667" s="82"/>
      <c r="M23667" s="112"/>
      <c r="N23667" s="84"/>
    </row>
    <row r="23668" spans="1:14" s="2" customFormat="1">
      <c r="A23668" s="83"/>
      <c r="H23668" s="83"/>
      <c r="K23668" s="82"/>
      <c r="M23668" s="112"/>
      <c r="N23668" s="84"/>
    </row>
    <row r="23669" spans="1:14" s="2" customFormat="1">
      <c r="A23669" s="83"/>
      <c r="H23669" s="83"/>
      <c r="K23669" s="82"/>
      <c r="M23669" s="112"/>
      <c r="N23669" s="84"/>
    </row>
    <row r="23670" spans="1:14" s="2" customFormat="1">
      <c r="A23670" s="83"/>
      <c r="H23670" s="83"/>
      <c r="K23670" s="82"/>
      <c r="M23670" s="112"/>
      <c r="N23670" s="84"/>
    </row>
    <row r="23671" spans="1:14" s="2" customFormat="1">
      <c r="A23671" s="83"/>
      <c r="H23671" s="83"/>
      <c r="K23671" s="82"/>
      <c r="M23671" s="112"/>
      <c r="N23671" s="84"/>
    </row>
    <row r="23672" spans="1:14" s="2" customFormat="1">
      <c r="A23672" s="83"/>
      <c r="H23672" s="83"/>
      <c r="K23672" s="82"/>
      <c r="M23672" s="112"/>
      <c r="N23672" s="84"/>
    </row>
    <row r="23673" spans="1:14" s="2" customFormat="1">
      <c r="A23673" s="83"/>
      <c r="H23673" s="83"/>
      <c r="K23673" s="82"/>
      <c r="M23673" s="112"/>
      <c r="N23673" s="84"/>
    </row>
    <row r="23674" spans="1:14" s="2" customFormat="1">
      <c r="A23674" s="83"/>
      <c r="H23674" s="83"/>
      <c r="K23674" s="82"/>
      <c r="M23674" s="112"/>
      <c r="N23674" s="84"/>
    </row>
    <row r="23675" spans="1:14" s="2" customFormat="1">
      <c r="A23675" s="83"/>
      <c r="H23675" s="83"/>
      <c r="K23675" s="82"/>
      <c r="M23675" s="112"/>
      <c r="N23675" s="84"/>
    </row>
    <row r="23676" spans="1:14" s="2" customFormat="1">
      <c r="A23676" s="83"/>
      <c r="H23676" s="83"/>
      <c r="K23676" s="82"/>
      <c r="M23676" s="112"/>
      <c r="N23676" s="84"/>
    </row>
    <row r="23677" spans="1:14" s="2" customFormat="1">
      <c r="A23677" s="83"/>
      <c r="H23677" s="83"/>
      <c r="K23677" s="82"/>
      <c r="M23677" s="112"/>
      <c r="N23677" s="84"/>
    </row>
    <row r="23678" spans="1:14" s="2" customFormat="1">
      <c r="A23678" s="83"/>
      <c r="H23678" s="83"/>
      <c r="K23678" s="82"/>
      <c r="M23678" s="112"/>
      <c r="N23678" s="84"/>
    </row>
    <row r="23679" spans="1:14" s="2" customFormat="1">
      <c r="A23679" s="83"/>
      <c r="H23679" s="83"/>
      <c r="K23679" s="82"/>
      <c r="M23679" s="112"/>
      <c r="N23679" s="84"/>
    </row>
    <row r="23680" spans="1:14" s="2" customFormat="1">
      <c r="A23680" s="83"/>
      <c r="H23680" s="83"/>
      <c r="K23680" s="82"/>
      <c r="M23680" s="112"/>
      <c r="N23680" s="84"/>
    </row>
    <row r="23681" spans="1:14" s="2" customFormat="1">
      <c r="A23681" s="83"/>
      <c r="H23681" s="83"/>
      <c r="K23681" s="82"/>
      <c r="M23681" s="112"/>
      <c r="N23681" s="84"/>
    </row>
    <row r="23682" spans="1:14" s="2" customFormat="1">
      <c r="A23682" s="83"/>
      <c r="H23682" s="83"/>
      <c r="K23682" s="82"/>
      <c r="M23682" s="112"/>
      <c r="N23682" s="84"/>
    </row>
    <row r="23683" spans="1:14" s="2" customFormat="1">
      <c r="A23683" s="83"/>
      <c r="H23683" s="83"/>
      <c r="K23683" s="82"/>
      <c r="M23683" s="112"/>
      <c r="N23683" s="84"/>
    </row>
    <row r="23684" spans="1:14" s="2" customFormat="1">
      <c r="A23684" s="83"/>
      <c r="H23684" s="83"/>
      <c r="K23684" s="82"/>
      <c r="M23684" s="112"/>
      <c r="N23684" s="84"/>
    </row>
    <row r="23685" spans="1:14" s="2" customFormat="1">
      <c r="A23685" s="83"/>
      <c r="H23685" s="83"/>
      <c r="K23685" s="82"/>
      <c r="M23685" s="112"/>
      <c r="N23685" s="84"/>
    </row>
    <row r="23686" spans="1:14" s="2" customFormat="1">
      <c r="A23686" s="83"/>
      <c r="H23686" s="83"/>
      <c r="K23686" s="82"/>
      <c r="M23686" s="112"/>
      <c r="N23686" s="84"/>
    </row>
    <row r="23687" spans="1:14" s="2" customFormat="1">
      <c r="A23687" s="83"/>
      <c r="H23687" s="83"/>
      <c r="K23687" s="82"/>
      <c r="M23687" s="112"/>
      <c r="N23687" s="84"/>
    </row>
    <row r="23688" spans="1:14" s="2" customFormat="1">
      <c r="A23688" s="83"/>
      <c r="H23688" s="83"/>
      <c r="K23688" s="82"/>
      <c r="M23688" s="112"/>
      <c r="N23688" s="84"/>
    </row>
    <row r="23689" spans="1:14" s="2" customFormat="1">
      <c r="A23689" s="83"/>
      <c r="H23689" s="83"/>
      <c r="K23689" s="82"/>
      <c r="M23689" s="112"/>
      <c r="N23689" s="84"/>
    </row>
    <row r="23690" spans="1:14" s="2" customFormat="1">
      <c r="A23690" s="83"/>
      <c r="H23690" s="83"/>
      <c r="K23690" s="82"/>
      <c r="M23690" s="112"/>
      <c r="N23690" s="84"/>
    </row>
    <row r="23691" spans="1:14" s="2" customFormat="1">
      <c r="A23691" s="83"/>
      <c r="H23691" s="83"/>
      <c r="K23691" s="82"/>
      <c r="M23691" s="112"/>
      <c r="N23691" s="84"/>
    </row>
    <row r="23692" spans="1:14" s="2" customFormat="1">
      <c r="A23692" s="83"/>
      <c r="H23692" s="83"/>
      <c r="K23692" s="82"/>
      <c r="M23692" s="112"/>
      <c r="N23692" s="84"/>
    </row>
    <row r="23693" spans="1:14" s="2" customFormat="1">
      <c r="A23693" s="83"/>
      <c r="H23693" s="83"/>
      <c r="K23693" s="82"/>
      <c r="M23693" s="112"/>
      <c r="N23693" s="84"/>
    </row>
    <row r="23694" spans="1:14" s="2" customFormat="1">
      <c r="A23694" s="83"/>
      <c r="H23694" s="83"/>
      <c r="K23694" s="82"/>
      <c r="M23694" s="112"/>
      <c r="N23694" s="84"/>
    </row>
    <row r="23695" spans="1:14" s="2" customFormat="1">
      <c r="A23695" s="83"/>
      <c r="H23695" s="83"/>
      <c r="K23695" s="82"/>
      <c r="M23695" s="112"/>
      <c r="N23695" s="84"/>
    </row>
    <row r="23696" spans="1:14" s="2" customFormat="1">
      <c r="A23696" s="83"/>
      <c r="H23696" s="83"/>
      <c r="K23696" s="82"/>
      <c r="M23696" s="112"/>
      <c r="N23696" s="84"/>
    </row>
    <row r="23697" spans="1:14" s="2" customFormat="1">
      <c r="A23697" s="83"/>
      <c r="H23697" s="83"/>
      <c r="K23697" s="82"/>
      <c r="M23697" s="112"/>
      <c r="N23697" s="84"/>
    </row>
    <row r="23698" spans="1:14" s="2" customFormat="1">
      <c r="A23698" s="83"/>
      <c r="H23698" s="83"/>
      <c r="K23698" s="82"/>
      <c r="M23698" s="112"/>
      <c r="N23698" s="84"/>
    </row>
    <row r="23699" spans="1:14" s="2" customFormat="1">
      <c r="A23699" s="83"/>
      <c r="H23699" s="83"/>
      <c r="K23699" s="82"/>
      <c r="M23699" s="112"/>
      <c r="N23699" s="84"/>
    </row>
    <row r="23700" spans="1:14" s="2" customFormat="1">
      <c r="A23700" s="83"/>
      <c r="H23700" s="83"/>
      <c r="K23700" s="82"/>
      <c r="M23700" s="112"/>
      <c r="N23700" s="84"/>
    </row>
    <row r="23701" spans="1:14" s="2" customFormat="1">
      <c r="A23701" s="83"/>
      <c r="H23701" s="83"/>
      <c r="K23701" s="82"/>
      <c r="M23701" s="112"/>
      <c r="N23701" s="84"/>
    </row>
    <row r="23702" spans="1:14" s="2" customFormat="1">
      <c r="A23702" s="83"/>
      <c r="H23702" s="83"/>
      <c r="K23702" s="82"/>
      <c r="M23702" s="112"/>
      <c r="N23702" s="84"/>
    </row>
    <row r="23703" spans="1:14" s="2" customFormat="1">
      <c r="A23703" s="83"/>
      <c r="H23703" s="83"/>
      <c r="K23703" s="82"/>
      <c r="M23703" s="112"/>
      <c r="N23703" s="84"/>
    </row>
    <row r="23704" spans="1:14" s="2" customFormat="1">
      <c r="A23704" s="83"/>
      <c r="H23704" s="83"/>
      <c r="K23704" s="82"/>
      <c r="M23704" s="112"/>
      <c r="N23704" s="84"/>
    </row>
    <row r="23705" spans="1:14" s="2" customFormat="1">
      <c r="A23705" s="83"/>
      <c r="H23705" s="83"/>
      <c r="K23705" s="82"/>
      <c r="M23705" s="112"/>
      <c r="N23705" s="84"/>
    </row>
    <row r="23706" spans="1:14" s="2" customFormat="1">
      <c r="A23706" s="83"/>
      <c r="H23706" s="83"/>
      <c r="K23706" s="82"/>
      <c r="M23706" s="112"/>
      <c r="N23706" s="84"/>
    </row>
    <row r="23707" spans="1:14" s="2" customFormat="1">
      <c r="A23707" s="83"/>
      <c r="H23707" s="83"/>
      <c r="K23707" s="82"/>
      <c r="M23707" s="112"/>
      <c r="N23707" s="84"/>
    </row>
    <row r="23708" spans="1:14" s="2" customFormat="1">
      <c r="A23708" s="83"/>
      <c r="H23708" s="83"/>
      <c r="K23708" s="82"/>
      <c r="M23708" s="112"/>
      <c r="N23708" s="84"/>
    </row>
    <row r="23709" spans="1:14" s="2" customFormat="1">
      <c r="A23709" s="83"/>
      <c r="H23709" s="83"/>
      <c r="K23709" s="82"/>
      <c r="M23709" s="112"/>
      <c r="N23709" s="84"/>
    </row>
    <row r="23710" spans="1:14" s="2" customFormat="1">
      <c r="A23710" s="83"/>
      <c r="H23710" s="83"/>
      <c r="K23710" s="82"/>
      <c r="M23710" s="112"/>
      <c r="N23710" s="84"/>
    </row>
    <row r="23711" spans="1:14" s="2" customFormat="1">
      <c r="A23711" s="83"/>
      <c r="H23711" s="83"/>
      <c r="K23711" s="82"/>
      <c r="M23711" s="112"/>
      <c r="N23711" s="84"/>
    </row>
    <row r="23712" spans="1:14" s="2" customFormat="1">
      <c r="A23712" s="83"/>
      <c r="H23712" s="83"/>
      <c r="K23712" s="82"/>
      <c r="M23712" s="112"/>
      <c r="N23712" s="84"/>
    </row>
    <row r="23713" spans="1:14" s="2" customFormat="1">
      <c r="A23713" s="83"/>
      <c r="H23713" s="83"/>
      <c r="K23713" s="82"/>
      <c r="M23713" s="112"/>
      <c r="N23713" s="84"/>
    </row>
    <row r="23714" spans="1:14" s="2" customFormat="1">
      <c r="A23714" s="83"/>
      <c r="H23714" s="83"/>
      <c r="K23714" s="82"/>
      <c r="M23714" s="112"/>
      <c r="N23714" s="84"/>
    </row>
    <row r="23715" spans="1:14" s="2" customFormat="1">
      <c r="A23715" s="83"/>
      <c r="H23715" s="83"/>
      <c r="K23715" s="82"/>
      <c r="M23715" s="112"/>
      <c r="N23715" s="84"/>
    </row>
    <row r="23716" spans="1:14" s="2" customFormat="1">
      <c r="A23716" s="83"/>
      <c r="H23716" s="83"/>
      <c r="K23716" s="82"/>
      <c r="M23716" s="112"/>
      <c r="N23716" s="84"/>
    </row>
    <row r="23717" spans="1:14" s="2" customFormat="1">
      <c r="A23717" s="83"/>
      <c r="H23717" s="83"/>
      <c r="K23717" s="82"/>
      <c r="M23717" s="112"/>
      <c r="N23717" s="84"/>
    </row>
    <row r="23718" spans="1:14" s="2" customFormat="1">
      <c r="A23718" s="83"/>
      <c r="H23718" s="83"/>
      <c r="K23718" s="82"/>
      <c r="M23718" s="112"/>
      <c r="N23718" s="84"/>
    </row>
    <row r="23719" spans="1:14" s="2" customFormat="1">
      <c r="A23719" s="83"/>
      <c r="H23719" s="83"/>
      <c r="K23719" s="82"/>
      <c r="M23719" s="112"/>
      <c r="N23719" s="84"/>
    </row>
    <row r="23720" spans="1:14" s="2" customFormat="1">
      <c r="A23720" s="83"/>
      <c r="H23720" s="83"/>
      <c r="K23720" s="82"/>
      <c r="M23720" s="112"/>
      <c r="N23720" s="84"/>
    </row>
    <row r="23721" spans="1:14" s="2" customFormat="1">
      <c r="A23721" s="83"/>
      <c r="H23721" s="83"/>
      <c r="K23721" s="82"/>
      <c r="M23721" s="112"/>
      <c r="N23721" s="84"/>
    </row>
    <row r="23722" spans="1:14" s="2" customFormat="1">
      <c r="A23722" s="83"/>
      <c r="H23722" s="83"/>
      <c r="K23722" s="82"/>
      <c r="M23722" s="112"/>
      <c r="N23722" s="84"/>
    </row>
    <row r="23723" spans="1:14" s="2" customFormat="1">
      <c r="A23723" s="83"/>
      <c r="H23723" s="83"/>
      <c r="K23723" s="82"/>
      <c r="M23723" s="112"/>
      <c r="N23723" s="84"/>
    </row>
    <row r="23724" spans="1:14" s="2" customFormat="1">
      <c r="A23724" s="83"/>
      <c r="H23724" s="83"/>
      <c r="K23724" s="82"/>
      <c r="M23724" s="112"/>
      <c r="N23724" s="84"/>
    </row>
    <row r="23725" spans="1:14" s="2" customFormat="1">
      <c r="A23725" s="83"/>
      <c r="H23725" s="83"/>
      <c r="K23725" s="82"/>
      <c r="M23725" s="112"/>
      <c r="N23725" s="84"/>
    </row>
    <row r="23726" spans="1:14" s="2" customFormat="1">
      <c r="A23726" s="83"/>
      <c r="H23726" s="83"/>
      <c r="K23726" s="82"/>
      <c r="M23726" s="112"/>
      <c r="N23726" s="84"/>
    </row>
    <row r="23727" spans="1:14" s="2" customFormat="1">
      <c r="A23727" s="83"/>
      <c r="H23727" s="83"/>
      <c r="K23727" s="82"/>
      <c r="M23727" s="112"/>
      <c r="N23727" s="84"/>
    </row>
    <row r="23728" spans="1:14" s="2" customFormat="1">
      <c r="A23728" s="83"/>
      <c r="H23728" s="83"/>
      <c r="K23728" s="82"/>
      <c r="M23728" s="112"/>
      <c r="N23728" s="84"/>
    </row>
    <row r="23729" spans="1:14" s="2" customFormat="1">
      <c r="A23729" s="83"/>
      <c r="H23729" s="83"/>
      <c r="K23729" s="82"/>
      <c r="M23729" s="112"/>
      <c r="N23729" s="84"/>
    </row>
    <row r="23730" spans="1:14" s="2" customFormat="1">
      <c r="A23730" s="83"/>
      <c r="H23730" s="83"/>
      <c r="K23730" s="82"/>
      <c r="M23730" s="112"/>
      <c r="N23730" s="84"/>
    </row>
    <row r="23731" spans="1:14" s="2" customFormat="1">
      <c r="A23731" s="83"/>
      <c r="H23731" s="83"/>
      <c r="K23731" s="82"/>
      <c r="M23731" s="112"/>
      <c r="N23731" s="84"/>
    </row>
    <row r="23732" spans="1:14" s="2" customFormat="1">
      <c r="A23732" s="83"/>
      <c r="H23732" s="83"/>
      <c r="K23732" s="82"/>
      <c r="M23732" s="112"/>
      <c r="N23732" s="84"/>
    </row>
    <row r="23733" spans="1:14" s="2" customFormat="1">
      <c r="A23733" s="83"/>
      <c r="H23733" s="83"/>
      <c r="K23733" s="82"/>
      <c r="M23733" s="112"/>
      <c r="N23733" s="84"/>
    </row>
    <row r="23734" spans="1:14" s="2" customFormat="1">
      <c r="A23734" s="83"/>
      <c r="H23734" s="83"/>
      <c r="K23734" s="82"/>
      <c r="M23734" s="112"/>
      <c r="N23734" s="84"/>
    </row>
    <row r="23735" spans="1:14" s="2" customFormat="1">
      <c r="A23735" s="83"/>
      <c r="H23735" s="83"/>
      <c r="K23735" s="82"/>
      <c r="M23735" s="112"/>
      <c r="N23735" s="84"/>
    </row>
    <row r="23736" spans="1:14" s="2" customFormat="1">
      <c r="A23736" s="83"/>
      <c r="H23736" s="83"/>
      <c r="K23736" s="82"/>
      <c r="M23736" s="112"/>
      <c r="N23736" s="84"/>
    </row>
    <row r="23737" spans="1:14" s="2" customFormat="1">
      <c r="A23737" s="83"/>
      <c r="H23737" s="83"/>
      <c r="K23737" s="82"/>
      <c r="M23737" s="112"/>
      <c r="N23737" s="84"/>
    </row>
    <row r="23738" spans="1:14" s="2" customFormat="1">
      <c r="A23738" s="83"/>
      <c r="H23738" s="83"/>
      <c r="K23738" s="82"/>
      <c r="M23738" s="112"/>
      <c r="N23738" s="84"/>
    </row>
    <row r="23739" spans="1:14" s="2" customFormat="1">
      <c r="A23739" s="83"/>
      <c r="H23739" s="83"/>
      <c r="K23739" s="82"/>
      <c r="M23739" s="112"/>
      <c r="N23739" s="84"/>
    </row>
    <row r="23740" spans="1:14" s="2" customFormat="1">
      <c r="A23740" s="83"/>
      <c r="H23740" s="83"/>
      <c r="K23740" s="82"/>
      <c r="M23740" s="112"/>
      <c r="N23740" s="84"/>
    </row>
    <row r="23741" spans="1:14" s="2" customFormat="1">
      <c r="A23741" s="83"/>
      <c r="H23741" s="83"/>
      <c r="K23741" s="82"/>
      <c r="M23741" s="112"/>
      <c r="N23741" s="84"/>
    </row>
    <row r="23742" spans="1:14" s="2" customFormat="1">
      <c r="A23742" s="83"/>
      <c r="H23742" s="83"/>
      <c r="K23742" s="82"/>
      <c r="M23742" s="112"/>
      <c r="N23742" s="84"/>
    </row>
    <row r="23743" spans="1:14" s="2" customFormat="1">
      <c r="A23743" s="83"/>
      <c r="H23743" s="83"/>
      <c r="K23743" s="82"/>
      <c r="M23743" s="112"/>
      <c r="N23743" s="84"/>
    </row>
    <row r="23744" spans="1:14" s="2" customFormat="1">
      <c r="A23744" s="83"/>
      <c r="H23744" s="83"/>
      <c r="K23744" s="82"/>
      <c r="M23744" s="112"/>
      <c r="N23744" s="84"/>
    </row>
    <row r="23745" spans="1:14" s="2" customFormat="1">
      <c r="A23745" s="83"/>
      <c r="H23745" s="83"/>
      <c r="K23745" s="82"/>
      <c r="M23745" s="112"/>
      <c r="N23745" s="84"/>
    </row>
    <row r="23746" spans="1:14" s="2" customFormat="1">
      <c r="A23746" s="83"/>
      <c r="H23746" s="83"/>
      <c r="K23746" s="82"/>
      <c r="M23746" s="112"/>
      <c r="N23746" s="84"/>
    </row>
    <row r="23747" spans="1:14" s="2" customFormat="1">
      <c r="A23747" s="83"/>
      <c r="H23747" s="83"/>
      <c r="K23747" s="82"/>
      <c r="M23747" s="112"/>
      <c r="N23747" s="84"/>
    </row>
    <row r="23748" spans="1:14" s="2" customFormat="1">
      <c r="A23748" s="83"/>
      <c r="H23748" s="83"/>
      <c r="K23748" s="82"/>
      <c r="M23748" s="112"/>
      <c r="N23748" s="84"/>
    </row>
    <row r="23749" spans="1:14" s="2" customFormat="1">
      <c r="A23749" s="83"/>
      <c r="H23749" s="83"/>
      <c r="K23749" s="82"/>
      <c r="M23749" s="112"/>
      <c r="N23749" s="84"/>
    </row>
    <row r="23750" spans="1:14" s="2" customFormat="1">
      <c r="A23750" s="83"/>
      <c r="H23750" s="83"/>
      <c r="K23750" s="82"/>
      <c r="M23750" s="112"/>
      <c r="N23750" s="84"/>
    </row>
    <row r="23751" spans="1:14" s="2" customFormat="1">
      <c r="A23751" s="83"/>
      <c r="H23751" s="83"/>
      <c r="K23751" s="82"/>
      <c r="M23751" s="112"/>
      <c r="N23751" s="84"/>
    </row>
    <row r="23752" spans="1:14" s="2" customFormat="1">
      <c r="A23752" s="83"/>
      <c r="H23752" s="83"/>
      <c r="K23752" s="82"/>
      <c r="M23752" s="112"/>
      <c r="N23752" s="84"/>
    </row>
    <row r="23753" spans="1:14" s="2" customFormat="1">
      <c r="A23753" s="83"/>
      <c r="H23753" s="83"/>
      <c r="K23753" s="82"/>
      <c r="M23753" s="112"/>
      <c r="N23753" s="84"/>
    </row>
    <row r="23754" spans="1:14" s="2" customFormat="1">
      <c r="A23754" s="83"/>
      <c r="H23754" s="83"/>
      <c r="K23754" s="82"/>
      <c r="M23754" s="112"/>
      <c r="N23754" s="84"/>
    </row>
    <row r="23755" spans="1:14" s="2" customFormat="1">
      <c r="A23755" s="83"/>
      <c r="H23755" s="83"/>
      <c r="K23755" s="82"/>
      <c r="M23755" s="112"/>
      <c r="N23755" s="84"/>
    </row>
    <row r="23756" spans="1:14" s="2" customFormat="1">
      <c r="A23756" s="83"/>
      <c r="H23756" s="83"/>
      <c r="K23756" s="82"/>
      <c r="M23756" s="112"/>
      <c r="N23756" s="84"/>
    </row>
    <row r="23757" spans="1:14" s="2" customFormat="1">
      <c r="A23757" s="83"/>
      <c r="H23757" s="83"/>
      <c r="K23757" s="82"/>
      <c r="M23757" s="112"/>
      <c r="N23757" s="84"/>
    </row>
    <row r="23758" spans="1:14" s="2" customFormat="1">
      <c r="A23758" s="83"/>
      <c r="H23758" s="83"/>
      <c r="K23758" s="82"/>
      <c r="M23758" s="112"/>
      <c r="N23758" s="84"/>
    </row>
    <row r="23759" spans="1:14" s="2" customFormat="1">
      <c r="A23759" s="83"/>
      <c r="H23759" s="83"/>
      <c r="K23759" s="82"/>
      <c r="M23759" s="112"/>
      <c r="N23759" s="84"/>
    </row>
    <row r="23760" spans="1:14" s="2" customFormat="1">
      <c r="A23760" s="83"/>
      <c r="H23760" s="83"/>
      <c r="K23760" s="82"/>
      <c r="M23760" s="112"/>
      <c r="N23760" s="84"/>
    </row>
    <row r="23761" spans="1:14" s="2" customFormat="1">
      <c r="A23761" s="83"/>
      <c r="H23761" s="83"/>
      <c r="K23761" s="82"/>
      <c r="M23761" s="112"/>
      <c r="N23761" s="84"/>
    </row>
    <row r="23762" spans="1:14" s="2" customFormat="1">
      <c r="A23762" s="83"/>
      <c r="H23762" s="83"/>
      <c r="K23762" s="82"/>
      <c r="M23762" s="112"/>
      <c r="N23762" s="84"/>
    </row>
    <row r="23763" spans="1:14" s="2" customFormat="1">
      <c r="A23763" s="83"/>
      <c r="H23763" s="83"/>
      <c r="K23763" s="82"/>
      <c r="M23763" s="112"/>
      <c r="N23763" s="84"/>
    </row>
    <row r="23764" spans="1:14" s="2" customFormat="1">
      <c r="A23764" s="83"/>
      <c r="H23764" s="83"/>
      <c r="K23764" s="82"/>
      <c r="M23764" s="112"/>
      <c r="N23764" s="84"/>
    </row>
    <row r="23765" spans="1:14" s="2" customFormat="1">
      <c r="A23765" s="83"/>
      <c r="H23765" s="83"/>
      <c r="K23765" s="82"/>
      <c r="M23765" s="112"/>
      <c r="N23765" s="84"/>
    </row>
    <row r="23766" spans="1:14" s="2" customFormat="1">
      <c r="A23766" s="83"/>
      <c r="H23766" s="83"/>
      <c r="K23766" s="82"/>
      <c r="M23766" s="112"/>
      <c r="N23766" s="84"/>
    </row>
    <row r="23767" spans="1:14" s="2" customFormat="1">
      <c r="A23767" s="83"/>
      <c r="H23767" s="83"/>
      <c r="K23767" s="82"/>
      <c r="M23767" s="112"/>
      <c r="N23767" s="84"/>
    </row>
    <row r="23768" spans="1:14" s="2" customFormat="1">
      <c r="A23768" s="83"/>
      <c r="H23768" s="83"/>
      <c r="K23768" s="82"/>
      <c r="M23768" s="112"/>
      <c r="N23768" s="84"/>
    </row>
    <row r="23769" spans="1:14" s="2" customFormat="1">
      <c r="A23769" s="83"/>
      <c r="H23769" s="83"/>
      <c r="K23769" s="82"/>
      <c r="M23769" s="112"/>
      <c r="N23769" s="84"/>
    </row>
    <row r="23770" spans="1:14" s="2" customFormat="1">
      <c r="A23770" s="83"/>
      <c r="H23770" s="83"/>
      <c r="K23770" s="82"/>
      <c r="M23770" s="112"/>
      <c r="N23770" s="84"/>
    </row>
    <row r="23771" spans="1:14" s="2" customFormat="1">
      <c r="A23771" s="83"/>
      <c r="H23771" s="83"/>
      <c r="K23771" s="82"/>
      <c r="M23771" s="112"/>
      <c r="N23771" s="84"/>
    </row>
    <row r="23772" spans="1:14" s="2" customFormat="1">
      <c r="A23772" s="83"/>
      <c r="H23772" s="83"/>
      <c r="K23772" s="82"/>
      <c r="M23772" s="112"/>
      <c r="N23772" s="84"/>
    </row>
    <row r="23773" spans="1:14" s="2" customFormat="1">
      <c r="A23773" s="83"/>
      <c r="H23773" s="83"/>
      <c r="K23773" s="82"/>
      <c r="M23773" s="112"/>
      <c r="N23773" s="84"/>
    </row>
    <row r="23774" spans="1:14" s="2" customFormat="1">
      <c r="A23774" s="83"/>
      <c r="H23774" s="83"/>
      <c r="K23774" s="82"/>
      <c r="M23774" s="112"/>
      <c r="N23774" s="84"/>
    </row>
    <row r="23775" spans="1:14" s="2" customFormat="1">
      <c r="A23775" s="83"/>
      <c r="H23775" s="83"/>
      <c r="K23775" s="82"/>
      <c r="M23775" s="112"/>
      <c r="N23775" s="84"/>
    </row>
    <row r="23776" spans="1:14" s="2" customFormat="1">
      <c r="A23776" s="83"/>
      <c r="H23776" s="83"/>
      <c r="K23776" s="82"/>
      <c r="M23776" s="112"/>
      <c r="N23776" s="84"/>
    </row>
    <row r="23777" spans="1:14" s="2" customFormat="1">
      <c r="A23777" s="83"/>
      <c r="H23777" s="83"/>
      <c r="K23777" s="82"/>
      <c r="M23777" s="112"/>
      <c r="N23777" s="84"/>
    </row>
    <row r="23778" spans="1:14" s="2" customFormat="1">
      <c r="A23778" s="83"/>
      <c r="H23778" s="83"/>
      <c r="K23778" s="82"/>
      <c r="M23778" s="112"/>
      <c r="N23778" s="84"/>
    </row>
    <row r="23779" spans="1:14" s="2" customFormat="1">
      <c r="A23779" s="83"/>
      <c r="H23779" s="83"/>
      <c r="K23779" s="82"/>
      <c r="M23779" s="112"/>
      <c r="N23779" s="84"/>
    </row>
    <row r="23780" spans="1:14" s="2" customFormat="1">
      <c r="A23780" s="83"/>
      <c r="H23780" s="83"/>
      <c r="K23780" s="82"/>
      <c r="M23780" s="112"/>
      <c r="N23780" s="84"/>
    </row>
    <row r="23781" spans="1:14" s="2" customFormat="1">
      <c r="A23781" s="83"/>
      <c r="H23781" s="83"/>
      <c r="K23781" s="82"/>
      <c r="M23781" s="112"/>
      <c r="N23781" s="84"/>
    </row>
    <row r="23782" spans="1:14" s="2" customFormat="1">
      <c r="A23782" s="83"/>
      <c r="H23782" s="83"/>
      <c r="K23782" s="82"/>
      <c r="M23782" s="112"/>
      <c r="N23782" s="84"/>
    </row>
    <row r="23783" spans="1:14" s="2" customFormat="1">
      <c r="A23783" s="83"/>
      <c r="H23783" s="83"/>
      <c r="K23783" s="82"/>
      <c r="M23783" s="112"/>
      <c r="N23783" s="84"/>
    </row>
    <row r="23784" spans="1:14" s="2" customFormat="1">
      <c r="A23784" s="83"/>
      <c r="H23784" s="83"/>
      <c r="K23784" s="82"/>
      <c r="M23784" s="112"/>
      <c r="N23784" s="84"/>
    </row>
    <row r="23785" spans="1:14" s="2" customFormat="1">
      <c r="A23785" s="83"/>
      <c r="H23785" s="83"/>
      <c r="K23785" s="82"/>
      <c r="M23785" s="112"/>
      <c r="N23785" s="84"/>
    </row>
    <row r="23786" spans="1:14" s="2" customFormat="1">
      <c r="A23786" s="83"/>
      <c r="H23786" s="83"/>
      <c r="K23786" s="82"/>
      <c r="M23786" s="112"/>
      <c r="N23786" s="84"/>
    </row>
    <row r="23787" spans="1:14" s="2" customFormat="1">
      <c r="A23787" s="83"/>
      <c r="H23787" s="83"/>
      <c r="K23787" s="82"/>
      <c r="M23787" s="112"/>
      <c r="N23787" s="84"/>
    </row>
    <row r="23788" spans="1:14" s="2" customFormat="1">
      <c r="A23788" s="83"/>
      <c r="H23788" s="83"/>
      <c r="K23788" s="82"/>
      <c r="M23788" s="112"/>
      <c r="N23788" s="84"/>
    </row>
    <row r="23789" spans="1:14" s="2" customFormat="1">
      <c r="A23789" s="83"/>
      <c r="H23789" s="83"/>
      <c r="K23789" s="82"/>
      <c r="M23789" s="112"/>
      <c r="N23789" s="84"/>
    </row>
    <row r="23790" spans="1:14" s="2" customFormat="1">
      <c r="A23790" s="83"/>
      <c r="H23790" s="83"/>
      <c r="K23790" s="82"/>
      <c r="M23790" s="112"/>
      <c r="N23790" s="84"/>
    </row>
    <row r="23791" spans="1:14" s="2" customFormat="1">
      <c r="A23791" s="83"/>
      <c r="H23791" s="83"/>
      <c r="K23791" s="82"/>
      <c r="M23791" s="112"/>
      <c r="N23791" s="84"/>
    </row>
    <row r="23792" spans="1:14" s="2" customFormat="1">
      <c r="A23792" s="83"/>
      <c r="H23792" s="83"/>
      <c r="K23792" s="82"/>
      <c r="M23792" s="112"/>
      <c r="N23792" s="84"/>
    </row>
    <row r="23793" spans="1:14" s="2" customFormat="1">
      <c r="A23793" s="83"/>
      <c r="H23793" s="83"/>
      <c r="K23793" s="82"/>
      <c r="M23793" s="112"/>
      <c r="N23793" s="84"/>
    </row>
    <row r="23794" spans="1:14" s="2" customFormat="1">
      <c r="A23794" s="83"/>
      <c r="H23794" s="83"/>
      <c r="K23794" s="82"/>
      <c r="M23794" s="112"/>
      <c r="N23794" s="84"/>
    </row>
    <row r="23795" spans="1:14" s="2" customFormat="1">
      <c r="A23795" s="83"/>
      <c r="H23795" s="83"/>
      <c r="K23795" s="82"/>
      <c r="M23795" s="112"/>
      <c r="N23795" s="84"/>
    </row>
    <row r="23796" spans="1:14" s="2" customFormat="1">
      <c r="A23796" s="83"/>
      <c r="H23796" s="83"/>
      <c r="K23796" s="82"/>
      <c r="M23796" s="112"/>
      <c r="N23796" s="84"/>
    </row>
    <row r="23797" spans="1:14" s="2" customFormat="1">
      <c r="A23797" s="83"/>
      <c r="H23797" s="83"/>
      <c r="K23797" s="82"/>
      <c r="M23797" s="112"/>
      <c r="N23797" s="84"/>
    </row>
    <row r="23798" spans="1:14" s="2" customFormat="1">
      <c r="A23798" s="83"/>
      <c r="H23798" s="83"/>
      <c r="K23798" s="82"/>
      <c r="M23798" s="112"/>
      <c r="N23798" s="84"/>
    </row>
    <row r="23799" spans="1:14" s="2" customFormat="1">
      <c r="A23799" s="83"/>
      <c r="H23799" s="83"/>
      <c r="K23799" s="82"/>
      <c r="M23799" s="112"/>
      <c r="N23799" s="84"/>
    </row>
    <row r="23800" spans="1:14" s="2" customFormat="1">
      <c r="A23800" s="83"/>
      <c r="H23800" s="83"/>
      <c r="K23800" s="82"/>
      <c r="M23800" s="112"/>
      <c r="N23800" s="84"/>
    </row>
    <row r="23801" spans="1:14" s="2" customFormat="1">
      <c r="A23801" s="83"/>
      <c r="H23801" s="83"/>
      <c r="K23801" s="82"/>
      <c r="M23801" s="112"/>
      <c r="N23801" s="84"/>
    </row>
    <row r="23802" spans="1:14" s="2" customFormat="1">
      <c r="A23802" s="83"/>
      <c r="H23802" s="83"/>
      <c r="K23802" s="82"/>
      <c r="M23802" s="112"/>
      <c r="N23802" s="84"/>
    </row>
    <row r="23803" spans="1:14" s="2" customFormat="1">
      <c r="A23803" s="83"/>
      <c r="H23803" s="83"/>
      <c r="K23803" s="82"/>
      <c r="M23803" s="112"/>
      <c r="N23803" s="84"/>
    </row>
    <row r="23804" spans="1:14" s="2" customFormat="1">
      <c r="A23804" s="83"/>
      <c r="H23804" s="83"/>
      <c r="K23804" s="82"/>
      <c r="M23804" s="112"/>
      <c r="N23804" s="84"/>
    </row>
    <row r="23805" spans="1:14" s="2" customFormat="1">
      <c r="A23805" s="83"/>
      <c r="H23805" s="83"/>
      <c r="K23805" s="82"/>
      <c r="M23805" s="112"/>
      <c r="N23805" s="84"/>
    </row>
    <row r="23806" spans="1:14" s="2" customFormat="1">
      <c r="A23806" s="83"/>
      <c r="H23806" s="83"/>
      <c r="K23806" s="82"/>
      <c r="M23806" s="112"/>
      <c r="N23806" s="84"/>
    </row>
    <row r="23807" spans="1:14" s="2" customFormat="1">
      <c r="A23807" s="83"/>
      <c r="H23807" s="83"/>
      <c r="K23807" s="82"/>
      <c r="M23807" s="112"/>
      <c r="N23807" s="84"/>
    </row>
    <row r="23808" spans="1:14" s="2" customFormat="1">
      <c r="A23808" s="83"/>
      <c r="H23808" s="83"/>
      <c r="K23808" s="82"/>
      <c r="M23808" s="112"/>
      <c r="N23808" s="84"/>
    </row>
    <row r="23809" spans="1:14" s="2" customFormat="1">
      <c r="A23809" s="83"/>
      <c r="H23809" s="83"/>
      <c r="K23809" s="82"/>
      <c r="M23809" s="112"/>
      <c r="N23809" s="84"/>
    </row>
    <row r="23810" spans="1:14" s="2" customFormat="1">
      <c r="A23810" s="83"/>
      <c r="H23810" s="83"/>
      <c r="K23810" s="82"/>
      <c r="M23810" s="112"/>
      <c r="N23810" s="84"/>
    </row>
    <row r="23811" spans="1:14" s="2" customFormat="1">
      <c r="A23811" s="83"/>
      <c r="H23811" s="83"/>
      <c r="K23811" s="82"/>
      <c r="M23811" s="112"/>
      <c r="N23811" s="84"/>
    </row>
    <row r="23812" spans="1:14" s="2" customFormat="1">
      <c r="A23812" s="83"/>
      <c r="H23812" s="83"/>
      <c r="K23812" s="82"/>
      <c r="M23812" s="112"/>
      <c r="N23812" s="84"/>
    </row>
    <row r="23813" spans="1:14" s="2" customFormat="1">
      <c r="A23813" s="83"/>
      <c r="H23813" s="83"/>
      <c r="K23813" s="82"/>
      <c r="M23813" s="112"/>
      <c r="N23813" s="84"/>
    </row>
    <row r="23814" spans="1:14" s="2" customFormat="1">
      <c r="A23814" s="83"/>
      <c r="H23814" s="83"/>
      <c r="K23814" s="82"/>
      <c r="M23814" s="112"/>
      <c r="N23814" s="84"/>
    </row>
    <row r="23815" spans="1:14" s="2" customFormat="1">
      <c r="A23815" s="83"/>
      <c r="H23815" s="83"/>
      <c r="K23815" s="82"/>
      <c r="M23815" s="112"/>
      <c r="N23815" s="84"/>
    </row>
    <row r="23816" spans="1:14" s="2" customFormat="1">
      <c r="A23816" s="83"/>
      <c r="H23816" s="83"/>
      <c r="K23816" s="82"/>
      <c r="M23816" s="112"/>
      <c r="N23816" s="84"/>
    </row>
    <row r="23817" spans="1:14" s="2" customFormat="1">
      <c r="A23817" s="83"/>
      <c r="H23817" s="83"/>
      <c r="K23817" s="82"/>
      <c r="M23817" s="112"/>
      <c r="N23817" s="84"/>
    </row>
    <row r="23818" spans="1:14" s="2" customFormat="1">
      <c r="A23818" s="83"/>
      <c r="H23818" s="83"/>
      <c r="K23818" s="82"/>
      <c r="M23818" s="112"/>
      <c r="N23818" s="84"/>
    </row>
    <row r="23819" spans="1:14" s="2" customFormat="1">
      <c r="A23819" s="83"/>
      <c r="H23819" s="83"/>
      <c r="K23819" s="82"/>
      <c r="M23819" s="112"/>
      <c r="N23819" s="84"/>
    </row>
    <row r="23820" spans="1:14" s="2" customFormat="1">
      <c r="A23820" s="83"/>
      <c r="H23820" s="83"/>
      <c r="K23820" s="82"/>
      <c r="M23820" s="112"/>
      <c r="N23820" s="84"/>
    </row>
    <row r="23821" spans="1:14" s="2" customFormat="1">
      <c r="A23821" s="83"/>
      <c r="H23821" s="83"/>
      <c r="K23821" s="82"/>
      <c r="M23821" s="112"/>
      <c r="N23821" s="84"/>
    </row>
    <row r="23822" spans="1:14" s="2" customFormat="1">
      <c r="A23822" s="83"/>
      <c r="H23822" s="83"/>
      <c r="K23822" s="82"/>
      <c r="M23822" s="112"/>
      <c r="N23822" s="84"/>
    </row>
    <row r="23823" spans="1:14" s="2" customFormat="1">
      <c r="A23823" s="83"/>
      <c r="H23823" s="83"/>
      <c r="K23823" s="82"/>
      <c r="M23823" s="112"/>
      <c r="N23823" s="84"/>
    </row>
    <row r="23824" spans="1:14" s="2" customFormat="1">
      <c r="A23824" s="83"/>
      <c r="H23824" s="83"/>
      <c r="K23824" s="82"/>
      <c r="M23824" s="112"/>
      <c r="N23824" s="84"/>
    </row>
    <row r="23825" spans="1:14" s="2" customFormat="1">
      <c r="A23825" s="83"/>
      <c r="H23825" s="83"/>
      <c r="K23825" s="82"/>
      <c r="M23825" s="112"/>
      <c r="N23825" s="84"/>
    </row>
    <row r="23826" spans="1:14" s="2" customFormat="1">
      <c r="A23826" s="83"/>
      <c r="H23826" s="83"/>
      <c r="K23826" s="82"/>
      <c r="M23826" s="112"/>
      <c r="N23826" s="84"/>
    </row>
    <row r="23827" spans="1:14" s="2" customFormat="1">
      <c r="A23827" s="83"/>
      <c r="H23827" s="83"/>
      <c r="K23827" s="82"/>
      <c r="M23827" s="112"/>
      <c r="N23827" s="84"/>
    </row>
    <row r="23828" spans="1:14" s="2" customFormat="1">
      <c r="A23828" s="83"/>
      <c r="H23828" s="83"/>
      <c r="K23828" s="82"/>
      <c r="M23828" s="112"/>
      <c r="N23828" s="84"/>
    </row>
    <row r="23829" spans="1:14" s="2" customFormat="1">
      <c r="A23829" s="83"/>
      <c r="H23829" s="83"/>
      <c r="K23829" s="82"/>
      <c r="M23829" s="112"/>
      <c r="N23829" s="84"/>
    </row>
    <row r="23830" spans="1:14" s="2" customFormat="1">
      <c r="A23830" s="83"/>
      <c r="H23830" s="83"/>
      <c r="K23830" s="82"/>
      <c r="M23830" s="112"/>
      <c r="N23830" s="84"/>
    </row>
    <row r="23831" spans="1:14" s="2" customFormat="1">
      <c r="A23831" s="83"/>
      <c r="H23831" s="83"/>
      <c r="K23831" s="82"/>
      <c r="M23831" s="112"/>
      <c r="N23831" s="84"/>
    </row>
    <row r="23832" spans="1:14" s="2" customFormat="1">
      <c r="A23832" s="83"/>
      <c r="H23832" s="83"/>
      <c r="K23832" s="82"/>
      <c r="M23832" s="112"/>
      <c r="N23832" s="84"/>
    </row>
    <row r="23833" spans="1:14" s="2" customFormat="1">
      <c r="A23833" s="83"/>
      <c r="H23833" s="83"/>
      <c r="K23833" s="82"/>
      <c r="M23833" s="112"/>
      <c r="N23833" s="84"/>
    </row>
    <row r="23834" spans="1:14" s="2" customFormat="1">
      <c r="A23834" s="83"/>
      <c r="H23834" s="83"/>
      <c r="K23834" s="82"/>
      <c r="M23834" s="112"/>
      <c r="N23834" s="84"/>
    </row>
    <row r="23835" spans="1:14" s="2" customFormat="1">
      <c r="A23835" s="83"/>
      <c r="H23835" s="83"/>
      <c r="K23835" s="82"/>
      <c r="M23835" s="112"/>
      <c r="N23835" s="84"/>
    </row>
    <row r="23836" spans="1:14" s="2" customFormat="1">
      <c r="A23836" s="83"/>
      <c r="H23836" s="83"/>
      <c r="K23836" s="82"/>
      <c r="M23836" s="112"/>
      <c r="N23836" s="84"/>
    </row>
    <row r="23837" spans="1:14" s="2" customFormat="1">
      <c r="A23837" s="83"/>
      <c r="H23837" s="83"/>
      <c r="K23837" s="82"/>
      <c r="M23837" s="112"/>
      <c r="N23837" s="84"/>
    </row>
    <row r="23838" spans="1:14" s="2" customFormat="1">
      <c r="A23838" s="83"/>
      <c r="H23838" s="83"/>
      <c r="K23838" s="82"/>
      <c r="M23838" s="112"/>
      <c r="N23838" s="84"/>
    </row>
    <row r="23839" spans="1:14" s="2" customFormat="1">
      <c r="A23839" s="83"/>
      <c r="H23839" s="83"/>
      <c r="K23839" s="82"/>
      <c r="M23839" s="112"/>
      <c r="N23839" s="84"/>
    </row>
    <row r="23840" spans="1:14" s="2" customFormat="1">
      <c r="A23840" s="83"/>
      <c r="H23840" s="83"/>
      <c r="K23840" s="82"/>
      <c r="M23840" s="112"/>
      <c r="N23840" s="84"/>
    </row>
    <row r="23841" spans="1:14" s="2" customFormat="1">
      <c r="A23841" s="83"/>
      <c r="H23841" s="83"/>
      <c r="K23841" s="82"/>
      <c r="M23841" s="112"/>
      <c r="N23841" s="84"/>
    </row>
    <row r="23842" spans="1:14" s="2" customFormat="1">
      <c r="A23842" s="83"/>
      <c r="H23842" s="83"/>
      <c r="K23842" s="82"/>
      <c r="M23842" s="112"/>
      <c r="N23842" s="84"/>
    </row>
    <row r="23843" spans="1:14" s="2" customFormat="1">
      <c r="A23843" s="83"/>
      <c r="H23843" s="83"/>
      <c r="K23843" s="82"/>
      <c r="M23843" s="112"/>
      <c r="N23843" s="84"/>
    </row>
    <row r="23844" spans="1:14" s="2" customFormat="1">
      <c r="A23844" s="83"/>
      <c r="H23844" s="83"/>
      <c r="K23844" s="82"/>
      <c r="M23844" s="112"/>
      <c r="N23844" s="84"/>
    </row>
    <row r="23845" spans="1:14" s="2" customFormat="1">
      <c r="A23845" s="83"/>
      <c r="H23845" s="83"/>
      <c r="K23845" s="82"/>
      <c r="M23845" s="112"/>
      <c r="N23845" s="84"/>
    </row>
    <row r="23846" spans="1:14" s="2" customFormat="1">
      <c r="A23846" s="83"/>
      <c r="H23846" s="83"/>
      <c r="K23846" s="82"/>
      <c r="M23846" s="112"/>
      <c r="N23846" s="84"/>
    </row>
    <row r="23847" spans="1:14" s="2" customFormat="1">
      <c r="A23847" s="83"/>
      <c r="H23847" s="83"/>
      <c r="K23847" s="82"/>
      <c r="M23847" s="112"/>
      <c r="N23847" s="84"/>
    </row>
    <row r="23848" spans="1:14" s="2" customFormat="1">
      <c r="A23848" s="83"/>
      <c r="H23848" s="83"/>
      <c r="K23848" s="82"/>
      <c r="M23848" s="112"/>
      <c r="N23848" s="84"/>
    </row>
    <row r="23849" spans="1:14" s="2" customFormat="1">
      <c r="A23849" s="83"/>
      <c r="H23849" s="83"/>
      <c r="K23849" s="82"/>
      <c r="M23849" s="112"/>
      <c r="N23849" s="84"/>
    </row>
    <row r="23850" spans="1:14" s="2" customFormat="1">
      <c r="A23850" s="83"/>
      <c r="H23850" s="83"/>
      <c r="K23850" s="82"/>
      <c r="M23850" s="112"/>
      <c r="N23850" s="84"/>
    </row>
    <row r="23851" spans="1:14" s="2" customFormat="1">
      <c r="A23851" s="83"/>
      <c r="H23851" s="83"/>
      <c r="K23851" s="82"/>
      <c r="M23851" s="112"/>
      <c r="N23851" s="84"/>
    </row>
    <row r="23852" spans="1:14" s="2" customFormat="1">
      <c r="A23852" s="83"/>
      <c r="H23852" s="83"/>
      <c r="K23852" s="82"/>
      <c r="M23852" s="112"/>
      <c r="N23852" s="84"/>
    </row>
    <row r="23853" spans="1:14" s="2" customFormat="1">
      <c r="A23853" s="83"/>
      <c r="H23853" s="83"/>
      <c r="K23853" s="82"/>
      <c r="M23853" s="112"/>
      <c r="N23853" s="84"/>
    </row>
    <row r="23854" spans="1:14" s="2" customFormat="1">
      <c r="A23854" s="83"/>
      <c r="H23854" s="83"/>
      <c r="K23854" s="82"/>
      <c r="M23854" s="112"/>
      <c r="N23854" s="84"/>
    </row>
    <row r="23855" spans="1:14" s="2" customFormat="1">
      <c r="A23855" s="83"/>
      <c r="H23855" s="83"/>
      <c r="K23855" s="82"/>
      <c r="M23855" s="112"/>
      <c r="N23855" s="84"/>
    </row>
    <row r="23856" spans="1:14" s="2" customFormat="1">
      <c r="A23856" s="83"/>
      <c r="H23856" s="83"/>
      <c r="K23856" s="82"/>
      <c r="M23856" s="112"/>
      <c r="N23856" s="84"/>
    </row>
    <row r="23857" spans="1:14" s="2" customFormat="1">
      <c r="A23857" s="83"/>
      <c r="H23857" s="83"/>
      <c r="K23857" s="82"/>
      <c r="M23857" s="112"/>
      <c r="N23857" s="84"/>
    </row>
    <row r="23858" spans="1:14" s="2" customFormat="1">
      <c r="A23858" s="83"/>
      <c r="H23858" s="83"/>
      <c r="K23858" s="82"/>
      <c r="M23858" s="112"/>
      <c r="N23858" s="84"/>
    </row>
    <row r="23859" spans="1:14" s="2" customFormat="1">
      <c r="A23859" s="83"/>
      <c r="H23859" s="83"/>
      <c r="K23859" s="82"/>
      <c r="M23859" s="112"/>
      <c r="N23859" s="84"/>
    </row>
    <row r="23860" spans="1:14" s="2" customFormat="1">
      <c r="A23860" s="83"/>
      <c r="H23860" s="83"/>
      <c r="K23860" s="82"/>
      <c r="M23860" s="112"/>
      <c r="N23860" s="84"/>
    </row>
    <row r="23861" spans="1:14" s="2" customFormat="1">
      <c r="A23861" s="83"/>
      <c r="H23861" s="83"/>
      <c r="K23861" s="82"/>
      <c r="M23861" s="112"/>
      <c r="N23861" s="84"/>
    </row>
    <row r="23862" spans="1:14" s="2" customFormat="1">
      <c r="A23862" s="83"/>
      <c r="H23862" s="83"/>
      <c r="K23862" s="82"/>
      <c r="M23862" s="112"/>
      <c r="N23862" s="84"/>
    </row>
    <row r="23863" spans="1:14" s="2" customFormat="1">
      <c r="A23863" s="83"/>
      <c r="H23863" s="83"/>
      <c r="K23863" s="82"/>
      <c r="M23863" s="112"/>
      <c r="N23863" s="84"/>
    </row>
    <row r="23864" spans="1:14" s="2" customFormat="1">
      <c r="A23864" s="83"/>
      <c r="H23864" s="83"/>
      <c r="K23864" s="82"/>
      <c r="M23864" s="112"/>
      <c r="N23864" s="84"/>
    </row>
    <row r="23865" spans="1:14" s="2" customFormat="1">
      <c r="A23865" s="83"/>
      <c r="H23865" s="83"/>
      <c r="K23865" s="82"/>
      <c r="M23865" s="112"/>
      <c r="N23865" s="84"/>
    </row>
    <row r="23866" spans="1:14" s="2" customFormat="1">
      <c r="A23866" s="83"/>
      <c r="H23866" s="83"/>
      <c r="K23866" s="82"/>
      <c r="M23866" s="112"/>
      <c r="N23866" s="84"/>
    </row>
    <row r="23867" spans="1:14" s="2" customFormat="1">
      <c r="A23867" s="83"/>
      <c r="H23867" s="83"/>
      <c r="K23867" s="82"/>
      <c r="M23867" s="112"/>
      <c r="N23867" s="84"/>
    </row>
    <row r="23868" spans="1:14" s="2" customFormat="1">
      <c r="A23868" s="83"/>
      <c r="H23868" s="83"/>
      <c r="K23868" s="82"/>
      <c r="M23868" s="112"/>
      <c r="N23868" s="84"/>
    </row>
    <row r="23869" spans="1:14" s="2" customFormat="1">
      <c r="A23869" s="83"/>
      <c r="H23869" s="83"/>
      <c r="K23869" s="82"/>
      <c r="M23869" s="112"/>
      <c r="N23869" s="84"/>
    </row>
    <row r="23870" spans="1:14" s="2" customFormat="1">
      <c r="A23870" s="83"/>
      <c r="H23870" s="83"/>
      <c r="K23870" s="82"/>
      <c r="M23870" s="112"/>
      <c r="N23870" s="84"/>
    </row>
    <row r="23871" spans="1:14" s="2" customFormat="1">
      <c r="A23871" s="83"/>
      <c r="H23871" s="83"/>
      <c r="K23871" s="82"/>
      <c r="M23871" s="112"/>
      <c r="N23871" s="84"/>
    </row>
    <row r="23872" spans="1:14" s="2" customFormat="1">
      <c r="A23872" s="83"/>
      <c r="H23872" s="83"/>
      <c r="K23872" s="82"/>
      <c r="M23872" s="112"/>
      <c r="N23872" s="84"/>
    </row>
    <row r="23873" spans="1:14" s="2" customFormat="1">
      <c r="A23873" s="83"/>
      <c r="H23873" s="83"/>
      <c r="K23873" s="82"/>
      <c r="M23873" s="112"/>
      <c r="N23873" s="84"/>
    </row>
    <row r="23874" spans="1:14" s="2" customFormat="1">
      <c r="A23874" s="83"/>
      <c r="H23874" s="83"/>
      <c r="K23874" s="82"/>
      <c r="M23874" s="112"/>
      <c r="N23874" s="84"/>
    </row>
    <row r="23875" spans="1:14" s="2" customFormat="1">
      <c r="A23875" s="83"/>
      <c r="H23875" s="83"/>
      <c r="K23875" s="82"/>
      <c r="M23875" s="112"/>
      <c r="N23875" s="84"/>
    </row>
    <row r="23876" spans="1:14" s="2" customFormat="1">
      <c r="A23876" s="83"/>
      <c r="H23876" s="83"/>
      <c r="K23876" s="82"/>
      <c r="M23876" s="112"/>
      <c r="N23876" s="84"/>
    </row>
    <row r="23877" spans="1:14" s="2" customFormat="1">
      <c r="A23877" s="83"/>
      <c r="H23877" s="83"/>
      <c r="K23877" s="82"/>
      <c r="M23877" s="112"/>
      <c r="N23877" s="84"/>
    </row>
    <row r="23878" spans="1:14" s="2" customFormat="1">
      <c r="A23878" s="83"/>
      <c r="H23878" s="83"/>
      <c r="K23878" s="82"/>
      <c r="M23878" s="112"/>
      <c r="N23878" s="84"/>
    </row>
    <row r="23879" spans="1:14" s="2" customFormat="1">
      <c r="A23879" s="83"/>
      <c r="H23879" s="83"/>
      <c r="K23879" s="82"/>
      <c r="M23879" s="112"/>
      <c r="N23879" s="84"/>
    </row>
    <row r="23880" spans="1:14" s="2" customFormat="1">
      <c r="A23880" s="83"/>
      <c r="H23880" s="83"/>
      <c r="K23880" s="82"/>
      <c r="M23880" s="112"/>
      <c r="N23880" s="84"/>
    </row>
    <row r="23881" spans="1:14" s="2" customFormat="1">
      <c r="A23881" s="83"/>
      <c r="H23881" s="83"/>
      <c r="K23881" s="82"/>
      <c r="M23881" s="112"/>
      <c r="N23881" s="84"/>
    </row>
    <row r="23882" spans="1:14" s="2" customFormat="1">
      <c r="A23882" s="83"/>
      <c r="H23882" s="83"/>
      <c r="K23882" s="82"/>
      <c r="M23882" s="112"/>
      <c r="N23882" s="84"/>
    </row>
    <row r="23883" spans="1:14" s="2" customFormat="1">
      <c r="A23883" s="83"/>
      <c r="H23883" s="83"/>
      <c r="K23883" s="82"/>
      <c r="M23883" s="112"/>
      <c r="N23883" s="84"/>
    </row>
    <row r="23884" spans="1:14" s="2" customFormat="1">
      <c r="A23884" s="83"/>
      <c r="H23884" s="83"/>
      <c r="K23884" s="82"/>
      <c r="M23884" s="112"/>
      <c r="N23884" s="84"/>
    </row>
    <row r="23885" spans="1:14" s="2" customFormat="1">
      <c r="A23885" s="83"/>
      <c r="H23885" s="83"/>
      <c r="K23885" s="82"/>
      <c r="M23885" s="112"/>
      <c r="N23885" s="84"/>
    </row>
    <row r="23886" spans="1:14" s="2" customFormat="1">
      <c r="A23886" s="83"/>
      <c r="H23886" s="83"/>
      <c r="K23886" s="82"/>
      <c r="M23886" s="112"/>
      <c r="N23886" s="84"/>
    </row>
    <row r="23887" spans="1:14" s="2" customFormat="1">
      <c r="A23887" s="83"/>
      <c r="H23887" s="83"/>
      <c r="K23887" s="82"/>
      <c r="M23887" s="112"/>
      <c r="N23887" s="84"/>
    </row>
    <row r="23888" spans="1:14" s="2" customFormat="1">
      <c r="A23888" s="83"/>
      <c r="H23888" s="83"/>
      <c r="K23888" s="82"/>
      <c r="M23888" s="112"/>
      <c r="N23888" s="84"/>
    </row>
    <row r="23889" spans="1:14" s="2" customFormat="1">
      <c r="A23889" s="83"/>
      <c r="H23889" s="83"/>
      <c r="K23889" s="82"/>
      <c r="M23889" s="112"/>
      <c r="N23889" s="84"/>
    </row>
    <row r="23890" spans="1:14" s="2" customFormat="1">
      <c r="A23890" s="83"/>
      <c r="H23890" s="83"/>
      <c r="K23890" s="82"/>
      <c r="M23890" s="112"/>
      <c r="N23890" s="84"/>
    </row>
    <row r="23891" spans="1:14" s="2" customFormat="1">
      <c r="A23891" s="83"/>
      <c r="H23891" s="83"/>
      <c r="K23891" s="82"/>
      <c r="M23891" s="112"/>
      <c r="N23891" s="84"/>
    </row>
    <row r="23892" spans="1:14" s="2" customFormat="1">
      <c r="A23892" s="83"/>
      <c r="H23892" s="83"/>
      <c r="K23892" s="82"/>
      <c r="M23892" s="112"/>
      <c r="N23892" s="84"/>
    </row>
    <row r="23893" spans="1:14" s="2" customFormat="1">
      <c r="A23893" s="83"/>
      <c r="H23893" s="83"/>
      <c r="K23893" s="82"/>
      <c r="M23893" s="112"/>
      <c r="N23893" s="84"/>
    </row>
    <row r="23894" spans="1:14" s="2" customFormat="1">
      <c r="A23894" s="83"/>
      <c r="H23894" s="83"/>
      <c r="K23894" s="82"/>
      <c r="M23894" s="112"/>
      <c r="N23894" s="84"/>
    </row>
    <row r="23895" spans="1:14" s="2" customFormat="1">
      <c r="A23895" s="83"/>
      <c r="H23895" s="83"/>
      <c r="K23895" s="82"/>
      <c r="M23895" s="112"/>
      <c r="N23895" s="84"/>
    </row>
    <row r="23896" spans="1:14" s="2" customFormat="1">
      <c r="A23896" s="83"/>
      <c r="H23896" s="83"/>
      <c r="K23896" s="82"/>
      <c r="M23896" s="112"/>
      <c r="N23896" s="84"/>
    </row>
    <row r="23897" spans="1:14" s="2" customFormat="1">
      <c r="A23897" s="83"/>
      <c r="H23897" s="83"/>
      <c r="K23897" s="82"/>
      <c r="M23897" s="112"/>
      <c r="N23897" s="84"/>
    </row>
    <row r="23898" spans="1:14" s="2" customFormat="1">
      <c r="A23898" s="83"/>
      <c r="H23898" s="83"/>
      <c r="K23898" s="82"/>
      <c r="M23898" s="112"/>
      <c r="N23898" s="84"/>
    </row>
    <row r="23899" spans="1:14" s="2" customFormat="1">
      <c r="A23899" s="83"/>
      <c r="H23899" s="83"/>
      <c r="K23899" s="82"/>
      <c r="M23899" s="112"/>
      <c r="N23899" s="84"/>
    </row>
    <row r="23900" spans="1:14" s="2" customFormat="1">
      <c r="A23900" s="83"/>
      <c r="H23900" s="83"/>
      <c r="K23900" s="82"/>
      <c r="M23900" s="112"/>
      <c r="N23900" s="84"/>
    </row>
    <row r="23901" spans="1:14" s="2" customFormat="1">
      <c r="A23901" s="83"/>
      <c r="H23901" s="83"/>
      <c r="K23901" s="82"/>
      <c r="M23901" s="112"/>
      <c r="N23901" s="84"/>
    </row>
    <row r="23902" spans="1:14" s="2" customFormat="1">
      <c r="A23902" s="83"/>
      <c r="H23902" s="83"/>
      <c r="K23902" s="82"/>
      <c r="M23902" s="112"/>
      <c r="N23902" s="84"/>
    </row>
    <row r="23903" spans="1:14" s="2" customFormat="1">
      <c r="A23903" s="83"/>
      <c r="H23903" s="83"/>
      <c r="K23903" s="82"/>
      <c r="M23903" s="112"/>
      <c r="N23903" s="84"/>
    </row>
    <row r="23904" spans="1:14" s="2" customFormat="1">
      <c r="A23904" s="83"/>
      <c r="H23904" s="83"/>
      <c r="K23904" s="82"/>
      <c r="M23904" s="112"/>
      <c r="N23904" s="84"/>
    </row>
    <row r="23905" spans="1:14" s="2" customFormat="1">
      <c r="A23905" s="83"/>
      <c r="H23905" s="83"/>
      <c r="K23905" s="82"/>
      <c r="M23905" s="112"/>
      <c r="N23905" s="84"/>
    </row>
    <row r="23906" spans="1:14" s="2" customFormat="1">
      <c r="A23906" s="83"/>
      <c r="H23906" s="83"/>
      <c r="K23906" s="82"/>
      <c r="M23906" s="112"/>
      <c r="N23906" s="84"/>
    </row>
    <row r="23907" spans="1:14" s="2" customFormat="1">
      <c r="A23907" s="83"/>
      <c r="H23907" s="83"/>
      <c r="K23907" s="82"/>
      <c r="M23907" s="112"/>
      <c r="N23907" s="84"/>
    </row>
    <row r="23908" spans="1:14" s="2" customFormat="1">
      <c r="A23908" s="83"/>
      <c r="H23908" s="83"/>
      <c r="K23908" s="82"/>
      <c r="M23908" s="112"/>
      <c r="N23908" s="84"/>
    </row>
    <row r="23909" spans="1:14" s="2" customFormat="1">
      <c r="A23909" s="83"/>
      <c r="H23909" s="83"/>
      <c r="K23909" s="82"/>
      <c r="M23909" s="112"/>
      <c r="N23909" s="84"/>
    </row>
    <row r="23910" spans="1:14" s="2" customFormat="1">
      <c r="A23910" s="83"/>
      <c r="H23910" s="83"/>
      <c r="K23910" s="82"/>
      <c r="M23910" s="112"/>
      <c r="N23910" s="84"/>
    </row>
    <row r="23911" spans="1:14" s="2" customFormat="1">
      <c r="A23911" s="83"/>
      <c r="H23911" s="83"/>
      <c r="K23911" s="82"/>
      <c r="M23911" s="112"/>
      <c r="N23911" s="84"/>
    </row>
    <row r="23912" spans="1:14" s="2" customFormat="1">
      <c r="A23912" s="83"/>
      <c r="H23912" s="83"/>
      <c r="K23912" s="82"/>
      <c r="M23912" s="112"/>
      <c r="N23912" s="84"/>
    </row>
    <row r="23913" spans="1:14" s="2" customFormat="1">
      <c r="A23913" s="83"/>
      <c r="H23913" s="83"/>
      <c r="K23913" s="82"/>
      <c r="M23913" s="112"/>
      <c r="N23913" s="84"/>
    </row>
    <row r="23914" spans="1:14" s="2" customFormat="1">
      <c r="A23914" s="83"/>
      <c r="H23914" s="83"/>
      <c r="K23914" s="82"/>
      <c r="M23914" s="112"/>
      <c r="N23914" s="84"/>
    </row>
    <row r="23915" spans="1:14" s="2" customFormat="1">
      <c r="A23915" s="83"/>
      <c r="H23915" s="83"/>
      <c r="K23915" s="82"/>
      <c r="M23915" s="112"/>
      <c r="N23915" s="84"/>
    </row>
    <row r="23916" spans="1:14" s="2" customFormat="1">
      <c r="A23916" s="83"/>
      <c r="H23916" s="83"/>
      <c r="K23916" s="82"/>
      <c r="M23916" s="112"/>
      <c r="N23916" s="84"/>
    </row>
    <row r="23917" spans="1:14" s="2" customFormat="1">
      <c r="A23917" s="83"/>
      <c r="H23917" s="83"/>
      <c r="K23917" s="82"/>
      <c r="M23917" s="112"/>
      <c r="N23917" s="84"/>
    </row>
    <row r="23918" spans="1:14" s="2" customFormat="1">
      <c r="A23918" s="83"/>
      <c r="H23918" s="83"/>
      <c r="K23918" s="82"/>
      <c r="M23918" s="112"/>
      <c r="N23918" s="84"/>
    </row>
    <row r="23919" spans="1:14" s="2" customFormat="1">
      <c r="A23919" s="83"/>
      <c r="H23919" s="83"/>
      <c r="K23919" s="82"/>
      <c r="M23919" s="112"/>
      <c r="N23919" s="84"/>
    </row>
    <row r="23920" spans="1:14" s="2" customFormat="1">
      <c r="A23920" s="83"/>
      <c r="H23920" s="83"/>
      <c r="K23920" s="82"/>
      <c r="M23920" s="112"/>
      <c r="N23920" s="84"/>
    </row>
    <row r="23921" spans="1:14" s="2" customFormat="1">
      <c r="A23921" s="83"/>
      <c r="H23921" s="83"/>
      <c r="K23921" s="82"/>
      <c r="M23921" s="112"/>
      <c r="N23921" s="84"/>
    </row>
    <row r="23922" spans="1:14" s="2" customFormat="1">
      <c r="A23922" s="83"/>
      <c r="H23922" s="83"/>
      <c r="K23922" s="82"/>
      <c r="M23922" s="112"/>
      <c r="N23922" s="84"/>
    </row>
    <row r="23923" spans="1:14" s="2" customFormat="1">
      <c r="A23923" s="83"/>
      <c r="H23923" s="83"/>
      <c r="K23923" s="82"/>
      <c r="M23923" s="112"/>
      <c r="N23923" s="84"/>
    </row>
    <row r="23924" spans="1:14" s="2" customFormat="1">
      <c r="A23924" s="83"/>
      <c r="H23924" s="83"/>
      <c r="K23924" s="82"/>
      <c r="M23924" s="112"/>
      <c r="N23924" s="84"/>
    </row>
    <row r="23925" spans="1:14" s="2" customFormat="1">
      <c r="A23925" s="83"/>
      <c r="H23925" s="83"/>
      <c r="K23925" s="82"/>
      <c r="M23925" s="112"/>
      <c r="N23925" s="84"/>
    </row>
    <row r="23926" spans="1:14" s="2" customFormat="1">
      <c r="A23926" s="83"/>
      <c r="H23926" s="83"/>
      <c r="K23926" s="82"/>
      <c r="M23926" s="112"/>
      <c r="N23926" s="84"/>
    </row>
    <row r="23927" spans="1:14" s="2" customFormat="1">
      <c r="A23927" s="83"/>
      <c r="H23927" s="83"/>
      <c r="K23927" s="82"/>
      <c r="M23927" s="112"/>
      <c r="N23927" s="84"/>
    </row>
    <row r="23928" spans="1:14" s="2" customFormat="1">
      <c r="A23928" s="83"/>
      <c r="H23928" s="83"/>
      <c r="K23928" s="82"/>
      <c r="M23928" s="112"/>
      <c r="N23928" s="84"/>
    </row>
    <row r="23929" spans="1:14" s="2" customFormat="1">
      <c r="A23929" s="83"/>
      <c r="H23929" s="83"/>
      <c r="K23929" s="82"/>
      <c r="M23929" s="112"/>
      <c r="N23929" s="84"/>
    </row>
    <row r="23930" spans="1:14" s="2" customFormat="1">
      <c r="A23930" s="83"/>
      <c r="H23930" s="83"/>
      <c r="K23930" s="82"/>
      <c r="M23930" s="112"/>
      <c r="N23930" s="84"/>
    </row>
    <row r="23931" spans="1:14" s="2" customFormat="1">
      <c r="A23931" s="83"/>
      <c r="H23931" s="83"/>
      <c r="K23931" s="82"/>
      <c r="M23931" s="112"/>
      <c r="N23931" s="84"/>
    </row>
    <row r="23932" spans="1:14" s="2" customFormat="1">
      <c r="A23932" s="83"/>
      <c r="H23932" s="83"/>
      <c r="K23932" s="82"/>
      <c r="M23932" s="112"/>
      <c r="N23932" s="84"/>
    </row>
    <row r="23933" spans="1:14" s="2" customFormat="1">
      <c r="A23933" s="83"/>
      <c r="H23933" s="83"/>
      <c r="K23933" s="82"/>
      <c r="M23933" s="112"/>
      <c r="N23933" s="84"/>
    </row>
    <row r="23934" spans="1:14" s="2" customFormat="1">
      <c r="A23934" s="83"/>
      <c r="H23934" s="83"/>
      <c r="K23934" s="82"/>
      <c r="M23934" s="112"/>
      <c r="N23934" s="84"/>
    </row>
    <row r="23935" spans="1:14" s="2" customFormat="1">
      <c r="A23935" s="83"/>
      <c r="H23935" s="83"/>
      <c r="K23935" s="82"/>
      <c r="M23935" s="112"/>
      <c r="N23935" s="84"/>
    </row>
    <row r="23936" spans="1:14" s="2" customFormat="1">
      <c r="A23936" s="83"/>
      <c r="H23936" s="83"/>
      <c r="K23936" s="82"/>
      <c r="M23936" s="112"/>
      <c r="N23936" s="84"/>
    </row>
    <row r="23937" spans="1:14" s="2" customFormat="1">
      <c r="A23937" s="83"/>
      <c r="H23937" s="83"/>
      <c r="K23937" s="82"/>
      <c r="M23937" s="112"/>
      <c r="N23937" s="84"/>
    </row>
    <row r="23938" spans="1:14" s="2" customFormat="1">
      <c r="A23938" s="83"/>
      <c r="H23938" s="83"/>
      <c r="K23938" s="82"/>
      <c r="M23938" s="112"/>
      <c r="N23938" s="84"/>
    </row>
    <row r="23939" spans="1:14" s="2" customFormat="1">
      <c r="A23939" s="83"/>
      <c r="H23939" s="83"/>
      <c r="K23939" s="82"/>
      <c r="M23939" s="112"/>
      <c r="N23939" s="84"/>
    </row>
    <row r="23940" spans="1:14" s="2" customFormat="1">
      <c r="A23940" s="83"/>
      <c r="H23940" s="83"/>
      <c r="K23940" s="82"/>
      <c r="M23940" s="112"/>
      <c r="N23940" s="84"/>
    </row>
    <row r="23941" spans="1:14" s="2" customFormat="1">
      <c r="A23941" s="83"/>
      <c r="H23941" s="83"/>
      <c r="K23941" s="82"/>
      <c r="M23941" s="112"/>
      <c r="N23941" s="84"/>
    </row>
    <row r="23942" spans="1:14" s="2" customFormat="1">
      <c r="A23942" s="83"/>
      <c r="H23942" s="83"/>
      <c r="K23942" s="82"/>
      <c r="M23942" s="112"/>
      <c r="N23942" s="84"/>
    </row>
    <row r="23943" spans="1:14" s="2" customFormat="1">
      <c r="A23943" s="83"/>
      <c r="H23943" s="83"/>
      <c r="K23943" s="82"/>
      <c r="M23943" s="112"/>
      <c r="N23943" s="84"/>
    </row>
    <row r="23944" spans="1:14" s="2" customFormat="1">
      <c r="A23944" s="83"/>
      <c r="H23944" s="83"/>
      <c r="K23944" s="82"/>
      <c r="M23944" s="112"/>
      <c r="N23944" s="84"/>
    </row>
    <row r="23945" spans="1:14" s="2" customFormat="1">
      <c r="A23945" s="83"/>
      <c r="H23945" s="83"/>
      <c r="K23945" s="82"/>
      <c r="M23945" s="112"/>
      <c r="N23945" s="84"/>
    </row>
    <row r="23946" spans="1:14" s="2" customFormat="1">
      <c r="A23946" s="83"/>
      <c r="H23946" s="83"/>
      <c r="K23946" s="82"/>
      <c r="M23946" s="112"/>
      <c r="N23946" s="84"/>
    </row>
    <row r="23947" spans="1:14" s="2" customFormat="1">
      <c r="A23947" s="83"/>
      <c r="H23947" s="83"/>
      <c r="K23947" s="82"/>
      <c r="M23947" s="112"/>
      <c r="N23947" s="84"/>
    </row>
    <row r="23948" spans="1:14" s="2" customFormat="1">
      <c r="A23948" s="83"/>
      <c r="H23948" s="83"/>
      <c r="K23948" s="82"/>
      <c r="M23948" s="112"/>
      <c r="N23948" s="84"/>
    </row>
    <row r="23949" spans="1:14" s="2" customFormat="1">
      <c r="A23949" s="83"/>
      <c r="H23949" s="83"/>
      <c r="K23949" s="82"/>
      <c r="M23949" s="112"/>
      <c r="N23949" s="84"/>
    </row>
    <row r="23950" spans="1:14" s="2" customFormat="1">
      <c r="A23950" s="83"/>
      <c r="H23950" s="83"/>
      <c r="K23950" s="82"/>
      <c r="M23950" s="112"/>
      <c r="N23950" s="84"/>
    </row>
    <row r="23951" spans="1:14" s="2" customFormat="1">
      <c r="A23951" s="83"/>
      <c r="H23951" s="83"/>
      <c r="K23951" s="82"/>
      <c r="M23951" s="112"/>
      <c r="N23951" s="84"/>
    </row>
    <row r="23952" spans="1:14" s="2" customFormat="1">
      <c r="A23952" s="83"/>
      <c r="H23952" s="83"/>
      <c r="K23952" s="82"/>
      <c r="M23952" s="112"/>
      <c r="N23952" s="84"/>
    </row>
    <row r="23953" spans="1:14" s="2" customFormat="1">
      <c r="A23953" s="83"/>
      <c r="H23953" s="83"/>
      <c r="K23953" s="82"/>
      <c r="M23953" s="112"/>
      <c r="N23953" s="84"/>
    </row>
    <row r="23954" spans="1:14" s="2" customFormat="1">
      <c r="A23954" s="83"/>
      <c r="H23954" s="83"/>
      <c r="K23954" s="82"/>
      <c r="M23954" s="112"/>
      <c r="N23954" s="84"/>
    </row>
    <row r="23955" spans="1:14" s="2" customFormat="1">
      <c r="A23955" s="83"/>
      <c r="H23955" s="83"/>
      <c r="K23955" s="82"/>
      <c r="M23955" s="112"/>
      <c r="N23955" s="84"/>
    </row>
    <row r="23956" spans="1:14" s="2" customFormat="1">
      <c r="A23956" s="83"/>
      <c r="H23956" s="83"/>
      <c r="K23956" s="82"/>
      <c r="M23956" s="112"/>
      <c r="N23956" s="84"/>
    </row>
    <row r="23957" spans="1:14" s="2" customFormat="1">
      <c r="A23957" s="83"/>
      <c r="H23957" s="83"/>
      <c r="K23957" s="82"/>
      <c r="M23957" s="112"/>
      <c r="N23957" s="84"/>
    </row>
    <row r="23958" spans="1:14" s="2" customFormat="1">
      <c r="A23958" s="83"/>
      <c r="H23958" s="83"/>
      <c r="K23958" s="82"/>
      <c r="M23958" s="112"/>
      <c r="N23958" s="84"/>
    </row>
    <row r="23959" spans="1:14" s="2" customFormat="1">
      <c r="A23959" s="83"/>
      <c r="H23959" s="83"/>
      <c r="K23959" s="82"/>
      <c r="M23959" s="112"/>
      <c r="N23959" s="84"/>
    </row>
    <row r="23960" spans="1:14" s="2" customFormat="1">
      <c r="A23960" s="83"/>
      <c r="H23960" s="83"/>
      <c r="K23960" s="82"/>
      <c r="M23960" s="112"/>
      <c r="N23960" s="84"/>
    </row>
    <row r="23961" spans="1:14" s="2" customFormat="1">
      <c r="A23961" s="83"/>
      <c r="H23961" s="83"/>
      <c r="K23961" s="82"/>
      <c r="M23961" s="112"/>
      <c r="N23961" s="84"/>
    </row>
    <row r="23962" spans="1:14" s="2" customFormat="1">
      <c r="A23962" s="83"/>
      <c r="H23962" s="83"/>
      <c r="K23962" s="82"/>
      <c r="M23962" s="112"/>
      <c r="N23962" s="84"/>
    </row>
    <row r="23963" spans="1:14" s="2" customFormat="1">
      <c r="A23963" s="83"/>
      <c r="H23963" s="83"/>
      <c r="K23963" s="82"/>
      <c r="M23963" s="112"/>
      <c r="N23963" s="84"/>
    </row>
    <row r="23964" spans="1:14" s="2" customFormat="1">
      <c r="A23964" s="83"/>
      <c r="H23964" s="83"/>
      <c r="K23964" s="82"/>
      <c r="M23964" s="112"/>
      <c r="N23964" s="84"/>
    </row>
    <row r="23965" spans="1:14" s="2" customFormat="1">
      <c r="A23965" s="83"/>
      <c r="H23965" s="83"/>
      <c r="K23965" s="82"/>
      <c r="M23965" s="112"/>
      <c r="N23965" s="84"/>
    </row>
    <row r="23966" spans="1:14" s="2" customFormat="1">
      <c r="A23966" s="83"/>
      <c r="H23966" s="83"/>
      <c r="K23966" s="82"/>
      <c r="M23966" s="112"/>
      <c r="N23966" s="84"/>
    </row>
    <row r="23967" spans="1:14" s="2" customFormat="1">
      <c r="A23967" s="83"/>
      <c r="H23967" s="83"/>
      <c r="K23967" s="82"/>
      <c r="M23967" s="112"/>
      <c r="N23967" s="84"/>
    </row>
    <row r="23968" spans="1:14" s="2" customFormat="1">
      <c r="A23968" s="83"/>
      <c r="H23968" s="83"/>
      <c r="K23968" s="82"/>
      <c r="M23968" s="112"/>
      <c r="N23968" s="84"/>
    </row>
    <row r="23969" spans="1:14" s="2" customFormat="1">
      <c r="A23969" s="83"/>
      <c r="H23969" s="83"/>
      <c r="K23969" s="82"/>
      <c r="M23969" s="112"/>
      <c r="N23969" s="84"/>
    </row>
    <row r="23970" spans="1:14" s="2" customFormat="1">
      <c r="A23970" s="83"/>
      <c r="H23970" s="83"/>
      <c r="K23970" s="82"/>
      <c r="M23970" s="112"/>
      <c r="N23970" s="84"/>
    </row>
    <row r="23971" spans="1:14" s="2" customFormat="1">
      <c r="A23971" s="83"/>
      <c r="H23971" s="83"/>
      <c r="K23971" s="82"/>
      <c r="M23971" s="112"/>
      <c r="N23971" s="84"/>
    </row>
    <row r="23972" spans="1:14" s="2" customFormat="1">
      <c r="A23972" s="83"/>
      <c r="H23972" s="83"/>
      <c r="K23972" s="82"/>
      <c r="M23972" s="112"/>
      <c r="N23972" s="84"/>
    </row>
    <row r="23973" spans="1:14" s="2" customFormat="1">
      <c r="A23973" s="83"/>
      <c r="H23973" s="83"/>
      <c r="K23973" s="82"/>
      <c r="M23973" s="112"/>
      <c r="N23973" s="84"/>
    </row>
    <row r="23974" spans="1:14" s="2" customFormat="1">
      <c r="A23974" s="83"/>
      <c r="H23974" s="83"/>
      <c r="K23974" s="82"/>
      <c r="M23974" s="112"/>
      <c r="N23974" s="84"/>
    </row>
    <row r="23975" spans="1:14" s="2" customFormat="1">
      <c r="A23975" s="83"/>
      <c r="H23975" s="83"/>
      <c r="K23975" s="82"/>
      <c r="M23975" s="112"/>
      <c r="N23975" s="84"/>
    </row>
    <row r="23976" spans="1:14" s="2" customFormat="1">
      <c r="A23976" s="83"/>
      <c r="H23976" s="83"/>
      <c r="K23976" s="82"/>
      <c r="M23976" s="112"/>
      <c r="N23976" s="84"/>
    </row>
    <row r="23977" spans="1:14" s="2" customFormat="1">
      <c r="A23977" s="83"/>
      <c r="H23977" s="83"/>
      <c r="K23977" s="82"/>
      <c r="M23977" s="112"/>
      <c r="N23977" s="84"/>
    </row>
    <row r="23978" spans="1:14" s="2" customFormat="1">
      <c r="A23978" s="83"/>
      <c r="H23978" s="83"/>
      <c r="K23978" s="82"/>
      <c r="M23978" s="112"/>
      <c r="N23978" s="84"/>
    </row>
    <row r="23979" spans="1:14" s="2" customFormat="1">
      <c r="A23979" s="83"/>
      <c r="H23979" s="83"/>
      <c r="K23979" s="82"/>
      <c r="M23979" s="112"/>
      <c r="N23979" s="84"/>
    </row>
    <row r="23980" spans="1:14" s="2" customFormat="1">
      <c r="A23980" s="83"/>
      <c r="H23980" s="83"/>
      <c r="K23980" s="82"/>
      <c r="M23980" s="112"/>
      <c r="N23980" s="84"/>
    </row>
    <row r="23981" spans="1:14" s="2" customFormat="1">
      <c r="A23981" s="83"/>
      <c r="H23981" s="83"/>
      <c r="K23981" s="82"/>
      <c r="M23981" s="112"/>
      <c r="N23981" s="84"/>
    </row>
    <row r="23982" spans="1:14" s="2" customFormat="1">
      <c r="A23982" s="83"/>
      <c r="H23982" s="83"/>
      <c r="K23982" s="82"/>
      <c r="M23982" s="112"/>
      <c r="N23982" s="84"/>
    </row>
    <row r="23983" spans="1:14" s="2" customFormat="1">
      <c r="A23983" s="83"/>
      <c r="H23983" s="83"/>
      <c r="K23983" s="82"/>
      <c r="M23983" s="112"/>
      <c r="N23983" s="84"/>
    </row>
    <row r="23984" spans="1:14" s="2" customFormat="1">
      <c r="A23984" s="83"/>
      <c r="H23984" s="83"/>
      <c r="K23984" s="82"/>
      <c r="M23984" s="112"/>
      <c r="N23984" s="84"/>
    </row>
    <row r="23985" spans="1:14" s="2" customFormat="1">
      <c r="A23985" s="83"/>
      <c r="H23985" s="83"/>
      <c r="K23985" s="82"/>
      <c r="M23985" s="112"/>
      <c r="N23985" s="84"/>
    </row>
    <row r="23986" spans="1:14" s="2" customFormat="1">
      <c r="A23986" s="83"/>
      <c r="H23986" s="83"/>
      <c r="K23986" s="82"/>
      <c r="M23986" s="112"/>
      <c r="N23986" s="84"/>
    </row>
    <row r="23987" spans="1:14" s="2" customFormat="1">
      <c r="A23987" s="83"/>
      <c r="H23987" s="83"/>
      <c r="K23987" s="82"/>
      <c r="M23987" s="112"/>
      <c r="N23987" s="84"/>
    </row>
    <row r="23988" spans="1:14" s="2" customFormat="1">
      <c r="A23988" s="83"/>
      <c r="H23988" s="83"/>
      <c r="K23988" s="82"/>
      <c r="M23988" s="112"/>
      <c r="N23988" s="84"/>
    </row>
    <row r="23989" spans="1:14" s="2" customFormat="1">
      <c r="A23989" s="83"/>
      <c r="H23989" s="83"/>
      <c r="K23989" s="82"/>
      <c r="M23989" s="112"/>
      <c r="N23989" s="84"/>
    </row>
    <row r="23990" spans="1:14" s="2" customFormat="1">
      <c r="A23990" s="83"/>
      <c r="H23990" s="83"/>
      <c r="K23990" s="82"/>
      <c r="M23990" s="112"/>
      <c r="N23990" s="84"/>
    </row>
    <row r="23991" spans="1:14" s="2" customFormat="1">
      <c r="A23991" s="83"/>
      <c r="H23991" s="83"/>
      <c r="K23991" s="82"/>
      <c r="M23991" s="112"/>
      <c r="N23991" s="84"/>
    </row>
    <row r="23992" spans="1:14" s="2" customFormat="1">
      <c r="A23992" s="83"/>
      <c r="H23992" s="83"/>
      <c r="K23992" s="82"/>
      <c r="M23992" s="112"/>
      <c r="N23992" s="84"/>
    </row>
    <row r="23993" spans="1:14" s="2" customFormat="1">
      <c r="A23993" s="83"/>
      <c r="H23993" s="83"/>
      <c r="K23993" s="82"/>
      <c r="M23993" s="112"/>
      <c r="N23993" s="84"/>
    </row>
    <row r="23994" spans="1:14" s="2" customFormat="1">
      <c r="A23994" s="83"/>
      <c r="H23994" s="83"/>
      <c r="K23994" s="82"/>
      <c r="M23994" s="112"/>
      <c r="N23994" s="84"/>
    </row>
    <row r="23995" spans="1:14" s="2" customFormat="1">
      <c r="A23995" s="83"/>
      <c r="H23995" s="83"/>
      <c r="K23995" s="82"/>
      <c r="M23995" s="112"/>
      <c r="N23995" s="84"/>
    </row>
    <row r="23996" spans="1:14" s="2" customFormat="1">
      <c r="A23996" s="83"/>
      <c r="H23996" s="83"/>
      <c r="K23996" s="82"/>
      <c r="M23996" s="112"/>
      <c r="N23996" s="84"/>
    </row>
    <row r="23997" spans="1:14" s="2" customFormat="1">
      <c r="A23997" s="83"/>
      <c r="H23997" s="83"/>
      <c r="K23997" s="82"/>
      <c r="M23997" s="112"/>
      <c r="N23997" s="84"/>
    </row>
    <row r="23998" spans="1:14" s="2" customFormat="1">
      <c r="A23998" s="83"/>
      <c r="H23998" s="83"/>
      <c r="K23998" s="82"/>
      <c r="M23998" s="112"/>
      <c r="N23998" s="84"/>
    </row>
    <row r="23999" spans="1:14" s="2" customFormat="1">
      <c r="A23999" s="83"/>
      <c r="H23999" s="83"/>
      <c r="K23999" s="82"/>
      <c r="M23999" s="112"/>
      <c r="N23999" s="84"/>
    </row>
    <row r="24000" spans="1:14" s="2" customFormat="1">
      <c r="A24000" s="83"/>
      <c r="H24000" s="83"/>
      <c r="K24000" s="82"/>
      <c r="M24000" s="112"/>
      <c r="N24000" s="84"/>
    </row>
    <row r="24001" spans="1:14" s="2" customFormat="1">
      <c r="A24001" s="83"/>
      <c r="H24001" s="83"/>
      <c r="K24001" s="82"/>
      <c r="M24001" s="112"/>
      <c r="N24001" s="84"/>
    </row>
    <row r="24002" spans="1:14" s="2" customFormat="1">
      <c r="A24002" s="83"/>
      <c r="H24002" s="83"/>
      <c r="K24002" s="82"/>
      <c r="M24002" s="112"/>
      <c r="N24002" s="84"/>
    </row>
    <row r="24003" spans="1:14" s="2" customFormat="1">
      <c r="A24003" s="83"/>
      <c r="H24003" s="83"/>
      <c r="K24003" s="82"/>
      <c r="M24003" s="112"/>
      <c r="N24003" s="84"/>
    </row>
    <row r="24004" spans="1:14" s="2" customFormat="1">
      <c r="A24004" s="83"/>
      <c r="H24004" s="83"/>
      <c r="K24004" s="82"/>
      <c r="M24004" s="112"/>
      <c r="N24004" s="84"/>
    </row>
    <row r="24005" spans="1:14" s="2" customFormat="1">
      <c r="A24005" s="83"/>
      <c r="H24005" s="83"/>
      <c r="K24005" s="82"/>
      <c r="M24005" s="112"/>
      <c r="N24005" s="84"/>
    </row>
    <row r="24006" spans="1:14" s="2" customFormat="1">
      <c r="A24006" s="83"/>
      <c r="H24006" s="83"/>
      <c r="K24006" s="82"/>
      <c r="M24006" s="112"/>
      <c r="N24006" s="84"/>
    </row>
    <row r="24007" spans="1:14" s="2" customFormat="1">
      <c r="A24007" s="83"/>
      <c r="H24007" s="83"/>
      <c r="K24007" s="82"/>
      <c r="M24007" s="112"/>
      <c r="N24007" s="84"/>
    </row>
    <row r="24008" spans="1:14" s="2" customFormat="1">
      <c r="A24008" s="83"/>
      <c r="H24008" s="83"/>
      <c r="K24008" s="82"/>
      <c r="M24008" s="112"/>
      <c r="N24008" s="84"/>
    </row>
    <row r="24009" spans="1:14" s="2" customFormat="1">
      <c r="A24009" s="83"/>
      <c r="H24009" s="83"/>
      <c r="K24009" s="82"/>
      <c r="M24009" s="112"/>
      <c r="N24009" s="84"/>
    </row>
    <row r="24010" spans="1:14" s="2" customFormat="1">
      <c r="A24010" s="83"/>
      <c r="H24010" s="83"/>
      <c r="K24010" s="82"/>
      <c r="M24010" s="112"/>
      <c r="N24010" s="84"/>
    </row>
    <row r="24011" spans="1:14" s="2" customFormat="1">
      <c r="A24011" s="83"/>
      <c r="H24011" s="83"/>
      <c r="K24011" s="82"/>
      <c r="M24011" s="112"/>
      <c r="N24011" s="84"/>
    </row>
    <row r="24012" spans="1:14" s="2" customFormat="1">
      <c r="A24012" s="83"/>
      <c r="H24012" s="83"/>
      <c r="K24012" s="82"/>
      <c r="M24012" s="112"/>
      <c r="N24012" s="84"/>
    </row>
    <row r="24013" spans="1:14" s="2" customFormat="1">
      <c r="A24013" s="83"/>
      <c r="H24013" s="83"/>
      <c r="K24013" s="82"/>
      <c r="M24013" s="112"/>
      <c r="N24013" s="84"/>
    </row>
    <row r="24014" spans="1:14" s="2" customFormat="1">
      <c r="A24014" s="83"/>
      <c r="H24014" s="83"/>
      <c r="K24014" s="82"/>
      <c r="M24014" s="112"/>
      <c r="N24014" s="84"/>
    </row>
    <row r="24015" spans="1:14" s="2" customFormat="1">
      <c r="A24015" s="83"/>
      <c r="H24015" s="83"/>
      <c r="K24015" s="82"/>
      <c r="M24015" s="112"/>
      <c r="N24015" s="84"/>
    </row>
    <row r="24016" spans="1:14" s="2" customFormat="1">
      <c r="A24016" s="83"/>
      <c r="H24016" s="83"/>
      <c r="K24016" s="82"/>
      <c r="M24016" s="112"/>
      <c r="N24016" s="84"/>
    </row>
    <row r="24017" spans="1:14" s="2" customFormat="1">
      <c r="A24017" s="83"/>
      <c r="H24017" s="83"/>
      <c r="K24017" s="82"/>
      <c r="M24017" s="112"/>
      <c r="N24017" s="84"/>
    </row>
    <row r="24018" spans="1:14" s="2" customFormat="1">
      <c r="A24018" s="83"/>
      <c r="H24018" s="83"/>
      <c r="K24018" s="82"/>
      <c r="M24018" s="112"/>
      <c r="N24018" s="84"/>
    </row>
    <row r="24019" spans="1:14" s="2" customFormat="1">
      <c r="A24019" s="83"/>
      <c r="H24019" s="83"/>
      <c r="K24019" s="82"/>
      <c r="M24019" s="112"/>
      <c r="N24019" s="84"/>
    </row>
    <row r="24020" spans="1:14" s="2" customFormat="1">
      <c r="A24020" s="83"/>
      <c r="H24020" s="83"/>
      <c r="K24020" s="82"/>
      <c r="M24020" s="112"/>
      <c r="N24020" s="84"/>
    </row>
    <row r="24021" spans="1:14" s="2" customFormat="1">
      <c r="A24021" s="83"/>
      <c r="H24021" s="83"/>
      <c r="K24021" s="82"/>
      <c r="M24021" s="112"/>
      <c r="N24021" s="84"/>
    </row>
    <row r="24022" spans="1:14" s="2" customFormat="1">
      <c r="A24022" s="83"/>
      <c r="H24022" s="83"/>
      <c r="K24022" s="82"/>
      <c r="M24022" s="112"/>
      <c r="N24022" s="84"/>
    </row>
    <row r="24023" spans="1:14" s="2" customFormat="1">
      <c r="A24023" s="83"/>
      <c r="H24023" s="83"/>
      <c r="K24023" s="82"/>
      <c r="M24023" s="112"/>
      <c r="N24023" s="84"/>
    </row>
    <row r="24024" spans="1:14" s="2" customFormat="1">
      <c r="A24024" s="83"/>
      <c r="H24024" s="83"/>
      <c r="K24024" s="82"/>
      <c r="M24024" s="112"/>
      <c r="N24024" s="84"/>
    </row>
    <row r="24025" spans="1:14" s="2" customFormat="1">
      <c r="A24025" s="83"/>
      <c r="H24025" s="83"/>
      <c r="K24025" s="82"/>
      <c r="M24025" s="112"/>
      <c r="N24025" s="84"/>
    </row>
    <row r="24026" spans="1:14" s="2" customFormat="1">
      <c r="A24026" s="83"/>
      <c r="H24026" s="83"/>
      <c r="K24026" s="82"/>
      <c r="M24026" s="112"/>
      <c r="N24026" s="84"/>
    </row>
    <row r="24027" spans="1:14" s="2" customFormat="1">
      <c r="A24027" s="83"/>
      <c r="H24027" s="83"/>
      <c r="K24027" s="82"/>
      <c r="M24027" s="112"/>
      <c r="N24027" s="84"/>
    </row>
    <row r="24028" spans="1:14" s="2" customFormat="1">
      <c r="A24028" s="83"/>
      <c r="H24028" s="83"/>
      <c r="K24028" s="82"/>
      <c r="M24028" s="112"/>
      <c r="N24028" s="84"/>
    </row>
    <row r="24029" spans="1:14" s="2" customFormat="1">
      <c r="A24029" s="83"/>
      <c r="H24029" s="83"/>
      <c r="K24029" s="82"/>
      <c r="M24029" s="112"/>
      <c r="N24029" s="84"/>
    </row>
    <row r="24030" spans="1:14" s="2" customFormat="1">
      <c r="A24030" s="83"/>
      <c r="H24030" s="83"/>
      <c r="K24030" s="82"/>
      <c r="M24030" s="112"/>
      <c r="N24030" s="84"/>
    </row>
    <row r="24031" spans="1:14" s="2" customFormat="1">
      <c r="A24031" s="83"/>
      <c r="H24031" s="83"/>
      <c r="K24031" s="82"/>
      <c r="M24031" s="112"/>
      <c r="N24031" s="84"/>
    </row>
    <row r="24032" spans="1:14" s="2" customFormat="1">
      <c r="A24032" s="83"/>
      <c r="H24032" s="83"/>
      <c r="K24032" s="82"/>
      <c r="M24032" s="112"/>
      <c r="N24032" s="84"/>
    </row>
    <row r="24033" spans="1:14" s="2" customFormat="1">
      <c r="A24033" s="83"/>
      <c r="H24033" s="83"/>
      <c r="K24033" s="82"/>
      <c r="M24033" s="112"/>
      <c r="N24033" s="84"/>
    </row>
    <row r="24034" spans="1:14" s="2" customFormat="1">
      <c r="A24034" s="83"/>
      <c r="H24034" s="83"/>
      <c r="K24034" s="82"/>
      <c r="M24034" s="112"/>
      <c r="N24034" s="84"/>
    </row>
    <row r="24035" spans="1:14" s="2" customFormat="1">
      <c r="A24035" s="83"/>
      <c r="H24035" s="83"/>
      <c r="K24035" s="82"/>
      <c r="M24035" s="112"/>
      <c r="N24035" s="84"/>
    </row>
    <row r="24036" spans="1:14" s="2" customFormat="1">
      <c r="A24036" s="83"/>
      <c r="H24036" s="83"/>
      <c r="K24036" s="82"/>
      <c r="M24036" s="112"/>
      <c r="N24036" s="84"/>
    </row>
    <row r="24037" spans="1:14" s="2" customFormat="1">
      <c r="A24037" s="83"/>
      <c r="H24037" s="83"/>
      <c r="K24037" s="82"/>
      <c r="M24037" s="112"/>
      <c r="N24037" s="84"/>
    </row>
    <row r="24038" spans="1:14" s="2" customFormat="1">
      <c r="A24038" s="83"/>
      <c r="H24038" s="83"/>
      <c r="K24038" s="82"/>
      <c r="M24038" s="112"/>
      <c r="N24038" s="84"/>
    </row>
    <row r="24039" spans="1:14" s="2" customFormat="1">
      <c r="A24039" s="83"/>
      <c r="H24039" s="83"/>
      <c r="K24039" s="82"/>
      <c r="M24039" s="112"/>
      <c r="N24039" s="84"/>
    </row>
    <row r="24040" spans="1:14" s="2" customFormat="1">
      <c r="A24040" s="83"/>
      <c r="H24040" s="83"/>
      <c r="K24040" s="82"/>
      <c r="M24040" s="112"/>
      <c r="N24040" s="84"/>
    </row>
    <row r="24041" spans="1:14" s="2" customFormat="1">
      <c r="A24041" s="83"/>
      <c r="H24041" s="83"/>
      <c r="K24041" s="82"/>
      <c r="M24041" s="112"/>
      <c r="N24041" s="84"/>
    </row>
    <row r="24042" spans="1:14" s="2" customFormat="1">
      <c r="A24042" s="83"/>
      <c r="H24042" s="83"/>
      <c r="K24042" s="82"/>
      <c r="M24042" s="112"/>
      <c r="N24042" s="84"/>
    </row>
    <row r="24043" spans="1:14" s="2" customFormat="1">
      <c r="A24043" s="83"/>
      <c r="H24043" s="83"/>
      <c r="K24043" s="82"/>
      <c r="M24043" s="112"/>
      <c r="N24043" s="84"/>
    </row>
    <row r="24044" spans="1:14" s="2" customFormat="1">
      <c r="A24044" s="83"/>
      <c r="H24044" s="83"/>
      <c r="K24044" s="82"/>
      <c r="M24044" s="112"/>
      <c r="N24044" s="84"/>
    </row>
    <row r="24045" spans="1:14" s="2" customFormat="1">
      <c r="A24045" s="83"/>
      <c r="H24045" s="83"/>
      <c r="K24045" s="82"/>
      <c r="M24045" s="112"/>
      <c r="N24045" s="84"/>
    </row>
    <row r="24046" spans="1:14" s="2" customFormat="1">
      <c r="A24046" s="83"/>
      <c r="H24046" s="83"/>
      <c r="K24046" s="82"/>
      <c r="M24046" s="112"/>
      <c r="N24046" s="84"/>
    </row>
    <row r="24047" spans="1:14" s="2" customFormat="1">
      <c r="A24047" s="83"/>
      <c r="H24047" s="83"/>
      <c r="K24047" s="82"/>
      <c r="M24047" s="112"/>
      <c r="N24047" s="84"/>
    </row>
    <row r="24048" spans="1:14" s="2" customFormat="1">
      <c r="A24048" s="83"/>
      <c r="H24048" s="83"/>
      <c r="K24048" s="82"/>
      <c r="M24048" s="112"/>
      <c r="N24048" s="84"/>
    </row>
    <row r="24049" spans="1:14" s="2" customFormat="1">
      <c r="A24049" s="83"/>
      <c r="H24049" s="83"/>
      <c r="K24049" s="82"/>
      <c r="M24049" s="112"/>
      <c r="N24049" s="84"/>
    </row>
    <row r="24050" spans="1:14" s="2" customFormat="1">
      <c r="A24050" s="83"/>
      <c r="H24050" s="83"/>
      <c r="K24050" s="82"/>
      <c r="M24050" s="112"/>
      <c r="N24050" s="84"/>
    </row>
    <row r="24051" spans="1:14" s="2" customFormat="1">
      <c r="A24051" s="83"/>
      <c r="H24051" s="83"/>
      <c r="K24051" s="82"/>
      <c r="M24051" s="112"/>
      <c r="N24051" s="84"/>
    </row>
    <row r="24052" spans="1:14" s="2" customFormat="1">
      <c r="A24052" s="83"/>
      <c r="H24052" s="83"/>
      <c r="K24052" s="82"/>
      <c r="M24052" s="112"/>
      <c r="N24052" s="84"/>
    </row>
    <row r="24053" spans="1:14" s="2" customFormat="1">
      <c r="A24053" s="83"/>
      <c r="H24053" s="83"/>
      <c r="K24053" s="82"/>
      <c r="M24053" s="112"/>
      <c r="N24053" s="84"/>
    </row>
    <row r="24054" spans="1:14" s="2" customFormat="1">
      <c r="A24054" s="83"/>
      <c r="H24054" s="83"/>
      <c r="K24054" s="82"/>
      <c r="M24054" s="112"/>
      <c r="N24054" s="84"/>
    </row>
    <row r="24055" spans="1:14" s="2" customFormat="1">
      <c r="A24055" s="83"/>
      <c r="H24055" s="83"/>
      <c r="K24055" s="82"/>
      <c r="M24055" s="112"/>
      <c r="N24055" s="84"/>
    </row>
    <row r="24056" spans="1:14" s="2" customFormat="1">
      <c r="A24056" s="83"/>
      <c r="H24056" s="83"/>
      <c r="K24056" s="82"/>
      <c r="M24056" s="112"/>
      <c r="N24056" s="84"/>
    </row>
    <row r="24057" spans="1:14" s="2" customFormat="1">
      <c r="A24057" s="83"/>
      <c r="H24057" s="83"/>
      <c r="K24057" s="82"/>
      <c r="M24057" s="112"/>
      <c r="N24057" s="84"/>
    </row>
    <row r="24058" spans="1:14" s="2" customFormat="1">
      <c r="A24058" s="83"/>
      <c r="H24058" s="83"/>
      <c r="K24058" s="82"/>
      <c r="M24058" s="112"/>
      <c r="N24058" s="84"/>
    </row>
    <row r="24059" spans="1:14" s="2" customFormat="1">
      <c r="A24059" s="83"/>
      <c r="H24059" s="83"/>
      <c r="K24059" s="82"/>
      <c r="M24059" s="112"/>
      <c r="N24059" s="84"/>
    </row>
    <row r="24060" spans="1:14" s="2" customFormat="1">
      <c r="A24060" s="83"/>
      <c r="H24060" s="83"/>
      <c r="K24060" s="82"/>
      <c r="M24060" s="112"/>
      <c r="N24060" s="84"/>
    </row>
    <row r="24061" spans="1:14" s="2" customFormat="1">
      <c r="A24061" s="83"/>
      <c r="H24061" s="83"/>
      <c r="K24061" s="82"/>
      <c r="M24061" s="112"/>
      <c r="N24061" s="84"/>
    </row>
    <row r="24062" spans="1:14" s="2" customFormat="1">
      <c r="A24062" s="83"/>
      <c r="H24062" s="83"/>
      <c r="K24062" s="82"/>
      <c r="M24062" s="112"/>
      <c r="N24062" s="84"/>
    </row>
    <row r="24063" spans="1:14" s="2" customFormat="1">
      <c r="A24063" s="83"/>
      <c r="H24063" s="83"/>
      <c r="K24063" s="82"/>
      <c r="M24063" s="112"/>
      <c r="N24063" s="84"/>
    </row>
    <row r="24064" spans="1:14" s="2" customFormat="1">
      <c r="A24064" s="83"/>
      <c r="H24064" s="83"/>
      <c r="K24064" s="82"/>
      <c r="M24064" s="112"/>
      <c r="N24064" s="84"/>
    </row>
    <row r="24065" spans="1:14" s="2" customFormat="1">
      <c r="A24065" s="83"/>
      <c r="H24065" s="83"/>
      <c r="K24065" s="82"/>
      <c r="M24065" s="112"/>
      <c r="N24065" s="84"/>
    </row>
    <row r="24066" spans="1:14" s="2" customFormat="1">
      <c r="A24066" s="83"/>
      <c r="H24066" s="83"/>
      <c r="K24066" s="82"/>
      <c r="M24066" s="112"/>
      <c r="N24066" s="84"/>
    </row>
    <row r="24067" spans="1:14" s="2" customFormat="1">
      <c r="A24067" s="83"/>
      <c r="H24067" s="83"/>
      <c r="K24067" s="82"/>
      <c r="M24067" s="112"/>
      <c r="N24067" s="84"/>
    </row>
    <row r="24068" spans="1:14" s="2" customFormat="1">
      <c r="A24068" s="83"/>
      <c r="H24068" s="83"/>
      <c r="K24068" s="82"/>
      <c r="M24068" s="112"/>
      <c r="N24068" s="84"/>
    </row>
    <row r="24069" spans="1:14" s="2" customFormat="1">
      <c r="A24069" s="83"/>
      <c r="H24069" s="83"/>
      <c r="K24069" s="82"/>
      <c r="M24069" s="112"/>
      <c r="N24069" s="84"/>
    </row>
    <row r="24070" spans="1:14" s="2" customFormat="1">
      <c r="A24070" s="83"/>
      <c r="H24070" s="83"/>
      <c r="K24070" s="82"/>
      <c r="M24070" s="112"/>
      <c r="N24070" s="84"/>
    </row>
    <row r="24071" spans="1:14" s="2" customFormat="1">
      <c r="A24071" s="83"/>
      <c r="H24071" s="83"/>
      <c r="K24071" s="82"/>
      <c r="M24071" s="112"/>
      <c r="N24071" s="84"/>
    </row>
    <row r="24072" spans="1:14" s="2" customFormat="1">
      <c r="A24072" s="83"/>
      <c r="H24072" s="83"/>
      <c r="K24072" s="82"/>
      <c r="M24072" s="112"/>
      <c r="N24072" s="84"/>
    </row>
    <row r="24073" spans="1:14" s="2" customFormat="1">
      <c r="A24073" s="83"/>
      <c r="H24073" s="83"/>
      <c r="K24073" s="82"/>
      <c r="M24073" s="112"/>
      <c r="N24073" s="84"/>
    </row>
    <row r="24074" spans="1:14" s="2" customFormat="1">
      <c r="A24074" s="83"/>
      <c r="H24074" s="83"/>
      <c r="K24074" s="82"/>
      <c r="M24074" s="112"/>
      <c r="N24074" s="84"/>
    </row>
    <row r="24075" spans="1:14" s="2" customFormat="1">
      <c r="A24075" s="83"/>
      <c r="H24075" s="83"/>
      <c r="K24075" s="82"/>
      <c r="M24075" s="112"/>
      <c r="N24075" s="84"/>
    </row>
    <row r="24076" spans="1:14" s="2" customFormat="1">
      <c r="A24076" s="83"/>
      <c r="H24076" s="83"/>
      <c r="K24076" s="82"/>
      <c r="M24076" s="112"/>
      <c r="N24076" s="84"/>
    </row>
    <row r="24077" spans="1:14" s="2" customFormat="1">
      <c r="A24077" s="83"/>
      <c r="H24077" s="83"/>
      <c r="K24077" s="82"/>
      <c r="M24077" s="112"/>
      <c r="N24077" s="84"/>
    </row>
    <row r="24078" spans="1:14" s="2" customFormat="1">
      <c r="A24078" s="83"/>
      <c r="H24078" s="83"/>
      <c r="K24078" s="82"/>
      <c r="M24078" s="112"/>
      <c r="N24078" s="84"/>
    </row>
    <row r="24079" spans="1:14" s="2" customFormat="1">
      <c r="A24079" s="83"/>
      <c r="H24079" s="83"/>
      <c r="K24079" s="82"/>
      <c r="M24079" s="112"/>
      <c r="N24079" s="84"/>
    </row>
    <row r="24080" spans="1:14" s="2" customFormat="1">
      <c r="A24080" s="83"/>
      <c r="H24080" s="83"/>
      <c r="K24080" s="82"/>
      <c r="M24080" s="112"/>
      <c r="N24080" s="84"/>
    </row>
    <row r="24081" spans="1:14" s="2" customFormat="1">
      <c r="A24081" s="83"/>
      <c r="H24081" s="83"/>
      <c r="K24081" s="82"/>
      <c r="M24081" s="112"/>
      <c r="N24081" s="84"/>
    </row>
    <row r="24082" spans="1:14" s="2" customFormat="1">
      <c r="A24082" s="83"/>
      <c r="H24082" s="83"/>
      <c r="K24082" s="82"/>
      <c r="M24082" s="112"/>
      <c r="N24082" s="84"/>
    </row>
    <row r="24083" spans="1:14" s="2" customFormat="1">
      <c r="A24083" s="83"/>
      <c r="H24083" s="83"/>
      <c r="K24083" s="82"/>
      <c r="M24083" s="112"/>
      <c r="N24083" s="84"/>
    </row>
    <row r="24084" spans="1:14" s="2" customFormat="1">
      <c r="A24084" s="83"/>
      <c r="H24084" s="83"/>
      <c r="K24084" s="82"/>
      <c r="M24084" s="112"/>
      <c r="N24084" s="84"/>
    </row>
    <row r="24085" spans="1:14" s="2" customFormat="1">
      <c r="A24085" s="83"/>
      <c r="H24085" s="83"/>
      <c r="K24085" s="82"/>
      <c r="M24085" s="112"/>
      <c r="N24085" s="84"/>
    </row>
    <row r="24086" spans="1:14" s="2" customFormat="1">
      <c r="A24086" s="83"/>
      <c r="H24086" s="83"/>
      <c r="K24086" s="82"/>
      <c r="M24086" s="112"/>
      <c r="N24086" s="84"/>
    </row>
    <row r="24087" spans="1:14" s="2" customFormat="1">
      <c r="A24087" s="83"/>
      <c r="H24087" s="83"/>
      <c r="K24087" s="82"/>
      <c r="M24087" s="112"/>
      <c r="N24087" s="84"/>
    </row>
    <row r="24088" spans="1:14" s="2" customFormat="1">
      <c r="A24088" s="83"/>
      <c r="H24088" s="83"/>
      <c r="K24088" s="82"/>
      <c r="M24088" s="112"/>
      <c r="N24088" s="84"/>
    </row>
    <row r="24089" spans="1:14" s="2" customFormat="1">
      <c r="A24089" s="83"/>
      <c r="H24089" s="83"/>
      <c r="K24089" s="82"/>
      <c r="M24089" s="112"/>
      <c r="N24089" s="84"/>
    </row>
    <row r="24090" spans="1:14" s="2" customFormat="1">
      <c r="A24090" s="83"/>
      <c r="H24090" s="83"/>
      <c r="K24090" s="82"/>
      <c r="M24090" s="112"/>
      <c r="N24090" s="84"/>
    </row>
    <row r="24091" spans="1:14" s="2" customFormat="1">
      <c r="A24091" s="83"/>
      <c r="H24091" s="83"/>
      <c r="K24091" s="82"/>
      <c r="M24091" s="112"/>
      <c r="N24091" s="84"/>
    </row>
    <row r="24092" spans="1:14" s="2" customFormat="1">
      <c r="A24092" s="83"/>
      <c r="H24092" s="83"/>
      <c r="K24092" s="82"/>
      <c r="M24092" s="112"/>
      <c r="N24092" s="84"/>
    </row>
    <row r="24093" spans="1:14" s="2" customFormat="1">
      <c r="A24093" s="83"/>
      <c r="H24093" s="83"/>
      <c r="K24093" s="82"/>
      <c r="M24093" s="112"/>
      <c r="N24093" s="84"/>
    </row>
    <row r="24094" spans="1:14" s="2" customFormat="1">
      <c r="A24094" s="83"/>
      <c r="H24094" s="83"/>
      <c r="K24094" s="82"/>
      <c r="M24094" s="112"/>
      <c r="N24094" s="84"/>
    </row>
    <row r="24095" spans="1:14" s="2" customFormat="1">
      <c r="A24095" s="83"/>
      <c r="H24095" s="83"/>
      <c r="K24095" s="82"/>
      <c r="M24095" s="112"/>
      <c r="N24095" s="84"/>
    </row>
    <row r="24096" spans="1:14" s="2" customFormat="1">
      <c r="A24096" s="83"/>
      <c r="H24096" s="83"/>
      <c r="K24096" s="82"/>
      <c r="M24096" s="112"/>
      <c r="N24096" s="84"/>
    </row>
    <row r="24097" spans="1:14" s="2" customFormat="1">
      <c r="A24097" s="83"/>
      <c r="H24097" s="83"/>
      <c r="K24097" s="82"/>
      <c r="M24097" s="112"/>
      <c r="N24097" s="84"/>
    </row>
    <row r="24098" spans="1:14" s="2" customFormat="1">
      <c r="A24098" s="83"/>
      <c r="H24098" s="83"/>
      <c r="K24098" s="82"/>
      <c r="M24098" s="112"/>
      <c r="N24098" s="84"/>
    </row>
    <row r="24099" spans="1:14" s="2" customFormat="1">
      <c r="A24099" s="83"/>
      <c r="H24099" s="83"/>
      <c r="K24099" s="82"/>
      <c r="M24099" s="112"/>
      <c r="N24099" s="84"/>
    </row>
    <row r="24100" spans="1:14" s="2" customFormat="1">
      <c r="A24100" s="83"/>
      <c r="H24100" s="83"/>
      <c r="K24100" s="82"/>
      <c r="M24100" s="112"/>
      <c r="N24100" s="84"/>
    </row>
    <row r="24101" spans="1:14" s="2" customFormat="1">
      <c r="A24101" s="83"/>
      <c r="H24101" s="83"/>
      <c r="K24101" s="82"/>
      <c r="M24101" s="112"/>
      <c r="N24101" s="84"/>
    </row>
    <row r="24102" spans="1:14" s="2" customFormat="1">
      <c r="A24102" s="83"/>
      <c r="H24102" s="83"/>
      <c r="K24102" s="82"/>
      <c r="M24102" s="112"/>
      <c r="N24102" s="84"/>
    </row>
    <row r="24103" spans="1:14" s="2" customFormat="1">
      <c r="A24103" s="83"/>
      <c r="H24103" s="83"/>
      <c r="K24103" s="82"/>
      <c r="M24103" s="112"/>
      <c r="N24103" s="84"/>
    </row>
    <row r="24104" spans="1:14" s="2" customFormat="1">
      <c r="A24104" s="83"/>
      <c r="H24104" s="83"/>
      <c r="K24104" s="82"/>
      <c r="M24104" s="112"/>
      <c r="N24104" s="84"/>
    </row>
    <row r="24105" spans="1:14" s="2" customFormat="1">
      <c r="A24105" s="83"/>
      <c r="H24105" s="83"/>
      <c r="K24105" s="82"/>
      <c r="M24105" s="112"/>
      <c r="N24105" s="84"/>
    </row>
    <row r="24106" spans="1:14" s="2" customFormat="1">
      <c r="A24106" s="83"/>
      <c r="H24106" s="83"/>
      <c r="K24106" s="82"/>
      <c r="M24106" s="112"/>
      <c r="N24106" s="84"/>
    </row>
    <row r="24107" spans="1:14" s="2" customFormat="1">
      <c r="A24107" s="83"/>
      <c r="H24107" s="83"/>
      <c r="K24107" s="82"/>
      <c r="M24107" s="112"/>
      <c r="N24107" s="84"/>
    </row>
    <row r="24108" spans="1:14" s="2" customFormat="1">
      <c r="A24108" s="83"/>
      <c r="H24108" s="83"/>
      <c r="K24108" s="82"/>
      <c r="M24108" s="112"/>
      <c r="N24108" s="84"/>
    </row>
    <row r="24109" spans="1:14" s="2" customFormat="1">
      <c r="A24109" s="83"/>
      <c r="H24109" s="83"/>
      <c r="K24109" s="82"/>
      <c r="M24109" s="112"/>
      <c r="N24109" s="84"/>
    </row>
    <row r="24110" spans="1:14" s="2" customFormat="1">
      <c r="A24110" s="83"/>
      <c r="H24110" s="83"/>
      <c r="K24110" s="82"/>
      <c r="M24110" s="112"/>
      <c r="N24110" s="84"/>
    </row>
    <row r="24111" spans="1:14" s="2" customFormat="1">
      <c r="A24111" s="83"/>
      <c r="H24111" s="83"/>
      <c r="K24111" s="82"/>
      <c r="M24111" s="112"/>
      <c r="N24111" s="84"/>
    </row>
    <row r="24112" spans="1:14" s="2" customFormat="1">
      <c r="A24112" s="83"/>
      <c r="H24112" s="83"/>
      <c r="K24112" s="82"/>
      <c r="M24112" s="112"/>
      <c r="N24112" s="84"/>
    </row>
    <row r="24113" spans="1:14" s="2" customFormat="1">
      <c r="A24113" s="83"/>
      <c r="H24113" s="83"/>
      <c r="K24113" s="82"/>
      <c r="M24113" s="112"/>
      <c r="N24113" s="84"/>
    </row>
    <row r="24114" spans="1:14" s="2" customFormat="1">
      <c r="A24114" s="83"/>
      <c r="H24114" s="83"/>
      <c r="K24114" s="82"/>
      <c r="M24114" s="112"/>
      <c r="N24114" s="84"/>
    </row>
    <row r="24115" spans="1:14" s="2" customFormat="1">
      <c r="A24115" s="83"/>
      <c r="H24115" s="83"/>
      <c r="K24115" s="82"/>
      <c r="M24115" s="112"/>
      <c r="N24115" s="84"/>
    </row>
    <row r="24116" spans="1:14" s="2" customFormat="1">
      <c r="A24116" s="83"/>
      <c r="H24116" s="83"/>
      <c r="K24116" s="82"/>
      <c r="M24116" s="112"/>
      <c r="N24116" s="84"/>
    </row>
    <row r="24117" spans="1:14" s="2" customFormat="1">
      <c r="A24117" s="83"/>
      <c r="H24117" s="83"/>
      <c r="K24117" s="82"/>
      <c r="M24117" s="112"/>
      <c r="N24117" s="84"/>
    </row>
    <row r="24118" spans="1:14" s="2" customFormat="1">
      <c r="A24118" s="83"/>
      <c r="H24118" s="83"/>
      <c r="K24118" s="82"/>
      <c r="M24118" s="112"/>
      <c r="N24118" s="84"/>
    </row>
    <row r="24119" spans="1:14" s="2" customFormat="1">
      <c r="A24119" s="83"/>
      <c r="H24119" s="83"/>
      <c r="K24119" s="82"/>
      <c r="M24119" s="112"/>
      <c r="N24119" s="84"/>
    </row>
    <row r="24120" spans="1:14" s="2" customFormat="1">
      <c r="A24120" s="83"/>
      <c r="H24120" s="83"/>
      <c r="K24120" s="82"/>
      <c r="M24120" s="112"/>
      <c r="N24120" s="84"/>
    </row>
    <row r="24121" spans="1:14" s="2" customFormat="1">
      <c r="A24121" s="83"/>
      <c r="H24121" s="83"/>
      <c r="K24121" s="82"/>
      <c r="M24121" s="112"/>
      <c r="N24121" s="84"/>
    </row>
    <row r="24122" spans="1:14" s="2" customFormat="1">
      <c r="A24122" s="83"/>
      <c r="H24122" s="83"/>
      <c r="K24122" s="82"/>
      <c r="M24122" s="112"/>
      <c r="N24122" s="84"/>
    </row>
    <row r="24123" spans="1:14" s="2" customFormat="1">
      <c r="A24123" s="83"/>
      <c r="H24123" s="83"/>
      <c r="K24123" s="82"/>
      <c r="M24123" s="112"/>
      <c r="N24123" s="84"/>
    </row>
    <row r="24124" spans="1:14" s="2" customFormat="1">
      <c r="A24124" s="83"/>
      <c r="H24124" s="83"/>
      <c r="K24124" s="82"/>
      <c r="M24124" s="112"/>
      <c r="N24124" s="84"/>
    </row>
    <row r="24125" spans="1:14" s="2" customFormat="1">
      <c r="A24125" s="83"/>
      <c r="H24125" s="83"/>
      <c r="K24125" s="82"/>
      <c r="M24125" s="112"/>
      <c r="N24125" s="84"/>
    </row>
    <row r="24126" spans="1:14" s="2" customFormat="1">
      <c r="A24126" s="83"/>
      <c r="H24126" s="83"/>
      <c r="K24126" s="82"/>
      <c r="M24126" s="112"/>
      <c r="N24126" s="84"/>
    </row>
    <row r="24127" spans="1:14" s="2" customFormat="1">
      <c r="A24127" s="83"/>
      <c r="H24127" s="83"/>
      <c r="K24127" s="82"/>
      <c r="M24127" s="112"/>
      <c r="N24127" s="84"/>
    </row>
    <row r="24128" spans="1:14" s="2" customFormat="1">
      <c r="A24128" s="83"/>
      <c r="H24128" s="83"/>
      <c r="K24128" s="82"/>
      <c r="M24128" s="112"/>
      <c r="N24128" s="84"/>
    </row>
    <row r="24129" spans="1:14" s="2" customFormat="1">
      <c r="A24129" s="83"/>
      <c r="H24129" s="83"/>
      <c r="K24129" s="82"/>
      <c r="M24129" s="112"/>
      <c r="N24129" s="84"/>
    </row>
    <row r="24130" spans="1:14" s="2" customFormat="1">
      <c r="A24130" s="83"/>
      <c r="H24130" s="83"/>
      <c r="K24130" s="82"/>
      <c r="M24130" s="112"/>
      <c r="N24130" s="84"/>
    </row>
    <row r="24131" spans="1:14" s="2" customFormat="1">
      <c r="A24131" s="83"/>
      <c r="H24131" s="83"/>
      <c r="K24131" s="82"/>
      <c r="M24131" s="112"/>
      <c r="N24131" s="84"/>
    </row>
    <row r="24132" spans="1:14" s="2" customFormat="1">
      <c r="A24132" s="83"/>
      <c r="H24132" s="83"/>
      <c r="K24132" s="82"/>
      <c r="M24132" s="112"/>
      <c r="N24132" s="84"/>
    </row>
    <row r="24133" spans="1:14" s="2" customFormat="1">
      <c r="A24133" s="83"/>
      <c r="H24133" s="83"/>
      <c r="K24133" s="82"/>
      <c r="M24133" s="112"/>
      <c r="N24133" s="84"/>
    </row>
    <row r="24134" spans="1:14" s="2" customFormat="1">
      <c r="A24134" s="83"/>
      <c r="H24134" s="83"/>
      <c r="K24134" s="82"/>
      <c r="M24134" s="112"/>
      <c r="N24134" s="84"/>
    </row>
    <row r="24135" spans="1:14" s="2" customFormat="1">
      <c r="A24135" s="83"/>
      <c r="H24135" s="83"/>
      <c r="K24135" s="82"/>
      <c r="M24135" s="112"/>
      <c r="N24135" s="84"/>
    </row>
    <row r="24136" spans="1:14" s="2" customFormat="1">
      <c r="A24136" s="83"/>
      <c r="H24136" s="83"/>
      <c r="K24136" s="82"/>
      <c r="M24136" s="112"/>
      <c r="N24136" s="84"/>
    </row>
    <row r="24137" spans="1:14" s="2" customFormat="1">
      <c r="A24137" s="83"/>
      <c r="H24137" s="83"/>
      <c r="K24137" s="82"/>
      <c r="M24137" s="112"/>
      <c r="N24137" s="84"/>
    </row>
    <row r="24138" spans="1:14" s="2" customFormat="1">
      <c r="A24138" s="83"/>
      <c r="H24138" s="83"/>
      <c r="K24138" s="82"/>
      <c r="M24138" s="112"/>
      <c r="N24138" s="84"/>
    </row>
    <row r="24139" spans="1:14" s="2" customFormat="1">
      <c r="A24139" s="83"/>
      <c r="H24139" s="83"/>
      <c r="K24139" s="82"/>
      <c r="M24139" s="112"/>
      <c r="N24139" s="84"/>
    </row>
    <row r="24140" spans="1:14" s="2" customFormat="1">
      <c r="A24140" s="83"/>
      <c r="H24140" s="83"/>
      <c r="K24140" s="82"/>
      <c r="M24140" s="112"/>
      <c r="N24140" s="84"/>
    </row>
    <row r="24141" spans="1:14" s="2" customFormat="1">
      <c r="A24141" s="83"/>
      <c r="H24141" s="83"/>
      <c r="K24141" s="82"/>
      <c r="M24141" s="112"/>
      <c r="N24141" s="84"/>
    </row>
    <row r="24142" spans="1:14" s="2" customFormat="1">
      <c r="A24142" s="83"/>
      <c r="H24142" s="83"/>
      <c r="K24142" s="82"/>
      <c r="M24142" s="112"/>
      <c r="N24142" s="84"/>
    </row>
    <row r="24143" spans="1:14" s="2" customFormat="1">
      <c r="A24143" s="83"/>
      <c r="H24143" s="83"/>
      <c r="K24143" s="82"/>
      <c r="M24143" s="112"/>
      <c r="N24143" s="84"/>
    </row>
    <row r="24144" spans="1:14" s="2" customFormat="1">
      <c r="A24144" s="83"/>
      <c r="H24144" s="83"/>
      <c r="K24144" s="82"/>
      <c r="M24144" s="112"/>
      <c r="N24144" s="84"/>
    </row>
    <row r="24145" spans="1:14" s="2" customFormat="1">
      <c r="A24145" s="83"/>
      <c r="H24145" s="83"/>
      <c r="K24145" s="82"/>
      <c r="M24145" s="112"/>
      <c r="N24145" s="84"/>
    </row>
    <row r="24146" spans="1:14" s="2" customFormat="1">
      <c r="A24146" s="83"/>
      <c r="H24146" s="83"/>
      <c r="K24146" s="82"/>
      <c r="M24146" s="112"/>
      <c r="N24146" s="84"/>
    </row>
    <row r="24147" spans="1:14" s="2" customFormat="1">
      <c r="A24147" s="83"/>
      <c r="H24147" s="83"/>
      <c r="K24147" s="82"/>
      <c r="M24147" s="112"/>
      <c r="N24147" s="84"/>
    </row>
    <row r="24148" spans="1:14" s="2" customFormat="1">
      <c r="A24148" s="83"/>
      <c r="H24148" s="83"/>
      <c r="K24148" s="82"/>
      <c r="M24148" s="112"/>
      <c r="N24148" s="84"/>
    </row>
    <row r="24149" spans="1:14" s="2" customFormat="1">
      <c r="A24149" s="83"/>
      <c r="H24149" s="83"/>
      <c r="K24149" s="82"/>
      <c r="M24149" s="112"/>
      <c r="N24149" s="84"/>
    </row>
    <row r="24150" spans="1:14" s="2" customFormat="1">
      <c r="A24150" s="83"/>
      <c r="H24150" s="83"/>
      <c r="K24150" s="82"/>
      <c r="M24150" s="112"/>
      <c r="N24150" s="84"/>
    </row>
    <row r="24151" spans="1:14" s="2" customFormat="1">
      <c r="A24151" s="83"/>
      <c r="H24151" s="83"/>
      <c r="K24151" s="82"/>
      <c r="M24151" s="112"/>
      <c r="N24151" s="84"/>
    </row>
    <row r="24152" spans="1:14" s="2" customFormat="1">
      <c r="A24152" s="83"/>
      <c r="H24152" s="83"/>
      <c r="K24152" s="82"/>
      <c r="M24152" s="112"/>
      <c r="N24152" s="84"/>
    </row>
    <row r="24153" spans="1:14" s="2" customFormat="1">
      <c r="A24153" s="83"/>
      <c r="H24153" s="83"/>
      <c r="K24153" s="82"/>
      <c r="M24153" s="112"/>
      <c r="N24153" s="84"/>
    </row>
    <row r="24154" spans="1:14" s="2" customFormat="1">
      <c r="A24154" s="83"/>
      <c r="H24154" s="83"/>
      <c r="K24154" s="82"/>
      <c r="M24154" s="112"/>
      <c r="N24154" s="84"/>
    </row>
    <row r="24155" spans="1:14" s="2" customFormat="1">
      <c r="A24155" s="83"/>
      <c r="H24155" s="83"/>
      <c r="K24155" s="82"/>
      <c r="M24155" s="112"/>
      <c r="N24155" s="84"/>
    </row>
    <row r="24156" spans="1:14" s="2" customFormat="1">
      <c r="A24156" s="83"/>
      <c r="H24156" s="83"/>
      <c r="K24156" s="82"/>
      <c r="M24156" s="112"/>
      <c r="N24156" s="84"/>
    </row>
    <row r="24157" spans="1:14" s="2" customFormat="1">
      <c r="A24157" s="83"/>
      <c r="H24157" s="83"/>
      <c r="K24157" s="82"/>
      <c r="M24157" s="112"/>
      <c r="N24157" s="84"/>
    </row>
    <row r="24158" spans="1:14" s="2" customFormat="1">
      <c r="A24158" s="83"/>
      <c r="H24158" s="83"/>
      <c r="K24158" s="82"/>
      <c r="M24158" s="112"/>
      <c r="N24158" s="84"/>
    </row>
    <row r="24159" spans="1:14" s="2" customFormat="1">
      <c r="A24159" s="83"/>
      <c r="H24159" s="83"/>
      <c r="K24159" s="82"/>
      <c r="M24159" s="112"/>
      <c r="N24159" s="84"/>
    </row>
    <row r="24160" spans="1:14" s="2" customFormat="1">
      <c r="A24160" s="83"/>
      <c r="H24160" s="83"/>
      <c r="K24160" s="82"/>
      <c r="M24160" s="112"/>
      <c r="N24160" s="84"/>
    </row>
    <row r="24161" spans="1:14" s="2" customFormat="1">
      <c r="A24161" s="83"/>
      <c r="H24161" s="83"/>
      <c r="K24161" s="82"/>
      <c r="M24161" s="112"/>
      <c r="N24161" s="84"/>
    </row>
    <row r="24162" spans="1:14" s="2" customFormat="1">
      <c r="A24162" s="83"/>
      <c r="H24162" s="83"/>
      <c r="K24162" s="82"/>
      <c r="M24162" s="112"/>
      <c r="N24162" s="84"/>
    </row>
    <row r="24163" spans="1:14" s="2" customFormat="1">
      <c r="A24163" s="83"/>
      <c r="H24163" s="83"/>
      <c r="K24163" s="82"/>
      <c r="M24163" s="112"/>
      <c r="N24163" s="84"/>
    </row>
    <row r="24164" spans="1:14" s="2" customFormat="1">
      <c r="A24164" s="83"/>
      <c r="H24164" s="83"/>
      <c r="K24164" s="82"/>
      <c r="M24164" s="112"/>
      <c r="N24164" s="84"/>
    </row>
    <row r="24165" spans="1:14" s="2" customFormat="1">
      <c r="A24165" s="83"/>
      <c r="H24165" s="83"/>
      <c r="K24165" s="82"/>
      <c r="M24165" s="112"/>
      <c r="N24165" s="84"/>
    </row>
    <row r="24166" spans="1:14" s="2" customFormat="1">
      <c r="A24166" s="83"/>
      <c r="H24166" s="83"/>
      <c r="K24166" s="82"/>
      <c r="M24166" s="112"/>
      <c r="N24166" s="84"/>
    </row>
    <row r="24167" spans="1:14" s="2" customFormat="1">
      <c r="A24167" s="83"/>
      <c r="H24167" s="83"/>
      <c r="K24167" s="82"/>
      <c r="M24167" s="112"/>
      <c r="N24167" s="84"/>
    </row>
    <row r="24168" spans="1:14" s="2" customFormat="1">
      <c r="A24168" s="83"/>
      <c r="H24168" s="83"/>
      <c r="K24168" s="82"/>
      <c r="M24168" s="112"/>
      <c r="N24168" s="84"/>
    </row>
    <row r="24169" spans="1:14" s="2" customFormat="1">
      <c r="A24169" s="83"/>
      <c r="H24169" s="83"/>
      <c r="K24169" s="82"/>
      <c r="M24169" s="112"/>
      <c r="N24169" s="84"/>
    </row>
    <row r="24170" spans="1:14" s="2" customFormat="1">
      <c r="A24170" s="83"/>
      <c r="H24170" s="83"/>
      <c r="K24170" s="82"/>
      <c r="M24170" s="112"/>
      <c r="N24170" s="84"/>
    </row>
    <row r="24171" spans="1:14" s="2" customFormat="1">
      <c r="A24171" s="83"/>
      <c r="H24171" s="83"/>
      <c r="K24171" s="82"/>
      <c r="M24171" s="112"/>
      <c r="N24171" s="84"/>
    </row>
    <row r="24172" spans="1:14" s="2" customFormat="1">
      <c r="A24172" s="83"/>
      <c r="H24172" s="83"/>
      <c r="K24172" s="82"/>
      <c r="M24172" s="112"/>
      <c r="N24172" s="84"/>
    </row>
    <row r="24173" spans="1:14" s="2" customFormat="1">
      <c r="A24173" s="83"/>
      <c r="H24173" s="83"/>
      <c r="K24173" s="82"/>
      <c r="M24173" s="112"/>
      <c r="N24173" s="84"/>
    </row>
    <row r="24174" spans="1:14" s="2" customFormat="1">
      <c r="A24174" s="83"/>
      <c r="H24174" s="83"/>
      <c r="K24174" s="82"/>
      <c r="M24174" s="112"/>
      <c r="N24174" s="84"/>
    </row>
    <row r="24175" spans="1:14" s="2" customFormat="1">
      <c r="A24175" s="83"/>
      <c r="H24175" s="83"/>
      <c r="K24175" s="82"/>
      <c r="M24175" s="112"/>
      <c r="N24175" s="84"/>
    </row>
    <row r="24176" spans="1:14" s="2" customFormat="1">
      <c r="A24176" s="83"/>
      <c r="H24176" s="83"/>
      <c r="K24176" s="82"/>
      <c r="M24176" s="112"/>
      <c r="N24176" s="84"/>
    </row>
    <row r="24177" spans="1:14" s="2" customFormat="1">
      <c r="A24177" s="83"/>
      <c r="H24177" s="83"/>
      <c r="K24177" s="82"/>
      <c r="M24177" s="112"/>
      <c r="N24177" s="84"/>
    </row>
    <row r="24178" spans="1:14" s="2" customFormat="1">
      <c r="A24178" s="83"/>
      <c r="H24178" s="83"/>
      <c r="K24178" s="82"/>
      <c r="M24178" s="112"/>
      <c r="N24178" s="84"/>
    </row>
    <row r="24179" spans="1:14" s="2" customFormat="1">
      <c r="A24179" s="83"/>
      <c r="H24179" s="83"/>
      <c r="K24179" s="82"/>
      <c r="M24179" s="112"/>
      <c r="N24179" s="84"/>
    </row>
    <row r="24180" spans="1:14" s="2" customFormat="1">
      <c r="A24180" s="83"/>
      <c r="H24180" s="83"/>
      <c r="K24180" s="82"/>
      <c r="M24180" s="112"/>
      <c r="N24180" s="84"/>
    </row>
    <row r="24181" spans="1:14" s="2" customFormat="1">
      <c r="A24181" s="83"/>
      <c r="H24181" s="83"/>
      <c r="K24181" s="82"/>
      <c r="M24181" s="112"/>
      <c r="N24181" s="84"/>
    </row>
    <row r="24182" spans="1:14" s="2" customFormat="1">
      <c r="A24182" s="83"/>
      <c r="H24182" s="83"/>
      <c r="K24182" s="82"/>
      <c r="M24182" s="112"/>
      <c r="N24182" s="84"/>
    </row>
    <row r="24183" spans="1:14" s="2" customFormat="1">
      <c r="A24183" s="83"/>
      <c r="H24183" s="83"/>
      <c r="K24183" s="82"/>
      <c r="M24183" s="112"/>
      <c r="N24183" s="84"/>
    </row>
    <row r="24184" spans="1:14" s="2" customFormat="1">
      <c r="A24184" s="83"/>
      <c r="H24184" s="83"/>
      <c r="K24184" s="82"/>
      <c r="M24184" s="112"/>
      <c r="N24184" s="84"/>
    </row>
    <row r="24185" spans="1:14" s="2" customFormat="1">
      <c r="A24185" s="83"/>
      <c r="H24185" s="83"/>
      <c r="K24185" s="82"/>
      <c r="M24185" s="112"/>
      <c r="N24185" s="84"/>
    </row>
    <row r="24186" spans="1:14" s="2" customFormat="1">
      <c r="A24186" s="83"/>
      <c r="H24186" s="83"/>
      <c r="K24186" s="82"/>
      <c r="M24186" s="112"/>
      <c r="N24186" s="84"/>
    </row>
    <row r="24187" spans="1:14" s="2" customFormat="1">
      <c r="A24187" s="83"/>
      <c r="H24187" s="83"/>
      <c r="K24187" s="82"/>
      <c r="M24187" s="112"/>
      <c r="N24187" s="84"/>
    </row>
    <row r="24188" spans="1:14" s="2" customFormat="1">
      <c r="A24188" s="83"/>
      <c r="H24188" s="83"/>
      <c r="K24188" s="82"/>
      <c r="M24188" s="112"/>
      <c r="N24188" s="84"/>
    </row>
    <row r="24189" spans="1:14" s="2" customFormat="1">
      <c r="A24189" s="83"/>
      <c r="H24189" s="83"/>
      <c r="K24189" s="82"/>
      <c r="M24189" s="112"/>
      <c r="N24189" s="84"/>
    </row>
    <row r="24190" spans="1:14" s="2" customFormat="1">
      <c r="A24190" s="83"/>
      <c r="H24190" s="83"/>
      <c r="K24190" s="82"/>
      <c r="M24190" s="112"/>
      <c r="N24190" s="84"/>
    </row>
    <row r="24191" spans="1:14" s="2" customFormat="1">
      <c r="A24191" s="83"/>
      <c r="H24191" s="83"/>
      <c r="K24191" s="82"/>
      <c r="M24191" s="112"/>
      <c r="N24191" s="84"/>
    </row>
    <row r="24192" spans="1:14" s="2" customFormat="1">
      <c r="A24192" s="83"/>
      <c r="H24192" s="83"/>
      <c r="K24192" s="82"/>
      <c r="M24192" s="112"/>
      <c r="N24192" s="84"/>
    </row>
    <row r="24193" spans="1:14" s="2" customFormat="1">
      <c r="A24193" s="83"/>
      <c r="H24193" s="83"/>
      <c r="K24193" s="82"/>
      <c r="M24193" s="112"/>
      <c r="N24193" s="84"/>
    </row>
    <row r="24194" spans="1:14" s="2" customFormat="1">
      <c r="A24194" s="83"/>
      <c r="H24194" s="83"/>
      <c r="K24194" s="82"/>
      <c r="M24194" s="112"/>
      <c r="N24194" s="84"/>
    </row>
    <row r="24195" spans="1:14" s="2" customFormat="1">
      <c r="A24195" s="83"/>
      <c r="H24195" s="83"/>
      <c r="K24195" s="82"/>
      <c r="M24195" s="112"/>
      <c r="N24195" s="84"/>
    </row>
    <row r="24196" spans="1:14" s="2" customFormat="1">
      <c r="A24196" s="83"/>
      <c r="H24196" s="83"/>
      <c r="K24196" s="82"/>
      <c r="M24196" s="112"/>
      <c r="N24196" s="84"/>
    </row>
    <row r="24197" spans="1:14" s="2" customFormat="1">
      <c r="A24197" s="83"/>
      <c r="H24197" s="83"/>
      <c r="K24197" s="82"/>
      <c r="M24197" s="112"/>
      <c r="N24197" s="84"/>
    </row>
    <row r="24198" spans="1:14" s="2" customFormat="1">
      <c r="A24198" s="83"/>
      <c r="H24198" s="83"/>
      <c r="K24198" s="82"/>
      <c r="M24198" s="112"/>
      <c r="N24198" s="84"/>
    </row>
    <row r="24199" spans="1:14" s="2" customFormat="1">
      <c r="A24199" s="83"/>
      <c r="H24199" s="83"/>
      <c r="K24199" s="82"/>
      <c r="M24199" s="112"/>
      <c r="N24199" s="84"/>
    </row>
    <row r="24200" spans="1:14" s="2" customFormat="1">
      <c r="A24200" s="83"/>
      <c r="H24200" s="83"/>
      <c r="K24200" s="82"/>
      <c r="M24200" s="112"/>
      <c r="N24200" s="84"/>
    </row>
    <row r="24201" spans="1:14" s="2" customFormat="1">
      <c r="A24201" s="83"/>
      <c r="H24201" s="83"/>
      <c r="K24201" s="82"/>
      <c r="M24201" s="112"/>
      <c r="N24201" s="84"/>
    </row>
    <row r="24202" spans="1:14" s="2" customFormat="1">
      <c r="A24202" s="83"/>
      <c r="H24202" s="83"/>
      <c r="K24202" s="82"/>
      <c r="M24202" s="112"/>
      <c r="N24202" s="84"/>
    </row>
    <row r="24203" spans="1:14" s="2" customFormat="1">
      <c r="A24203" s="83"/>
      <c r="H24203" s="83"/>
      <c r="K24203" s="82"/>
      <c r="M24203" s="112"/>
      <c r="N24203" s="84"/>
    </row>
    <row r="24204" spans="1:14" s="2" customFormat="1">
      <c r="A24204" s="83"/>
      <c r="H24204" s="83"/>
      <c r="K24204" s="82"/>
      <c r="M24204" s="112"/>
      <c r="N24204" s="84"/>
    </row>
    <row r="24205" spans="1:14" s="2" customFormat="1">
      <c r="A24205" s="83"/>
      <c r="H24205" s="83"/>
      <c r="K24205" s="82"/>
      <c r="M24205" s="112"/>
      <c r="N24205" s="84"/>
    </row>
    <row r="24206" spans="1:14" s="2" customFormat="1">
      <c r="A24206" s="83"/>
      <c r="H24206" s="83"/>
      <c r="K24206" s="82"/>
      <c r="M24206" s="112"/>
      <c r="N24206" s="84"/>
    </row>
    <row r="24207" spans="1:14" s="2" customFormat="1">
      <c r="A24207" s="83"/>
      <c r="H24207" s="83"/>
      <c r="K24207" s="82"/>
      <c r="M24207" s="112"/>
      <c r="N24207" s="84"/>
    </row>
    <row r="24208" spans="1:14" s="2" customFormat="1">
      <c r="A24208" s="83"/>
      <c r="H24208" s="83"/>
      <c r="K24208" s="82"/>
      <c r="M24208" s="112"/>
      <c r="N24208" s="84"/>
    </row>
    <row r="24209" spans="1:14" s="2" customFormat="1">
      <c r="A24209" s="83"/>
      <c r="H24209" s="83"/>
      <c r="K24209" s="82"/>
      <c r="M24209" s="112"/>
      <c r="N24209" s="84"/>
    </row>
    <row r="24210" spans="1:14" s="2" customFormat="1">
      <c r="A24210" s="83"/>
      <c r="H24210" s="83"/>
      <c r="K24210" s="82"/>
      <c r="M24210" s="112"/>
      <c r="N24210" s="84"/>
    </row>
    <row r="24211" spans="1:14" s="2" customFormat="1">
      <c r="A24211" s="83"/>
      <c r="H24211" s="83"/>
      <c r="K24211" s="82"/>
      <c r="M24211" s="112"/>
      <c r="N24211" s="84"/>
    </row>
    <row r="24212" spans="1:14" s="2" customFormat="1">
      <c r="A24212" s="83"/>
      <c r="H24212" s="83"/>
      <c r="K24212" s="82"/>
      <c r="M24212" s="112"/>
      <c r="N24212" s="84"/>
    </row>
    <row r="24213" spans="1:14" s="2" customFormat="1">
      <c r="A24213" s="83"/>
      <c r="H24213" s="83"/>
      <c r="K24213" s="82"/>
      <c r="M24213" s="112"/>
      <c r="N24213" s="84"/>
    </row>
    <row r="24214" spans="1:14" s="2" customFormat="1">
      <c r="A24214" s="83"/>
      <c r="H24214" s="83"/>
      <c r="K24214" s="82"/>
      <c r="M24214" s="112"/>
      <c r="N24214" s="84"/>
    </row>
    <row r="24215" spans="1:14" s="2" customFormat="1">
      <c r="A24215" s="83"/>
      <c r="H24215" s="83"/>
      <c r="K24215" s="82"/>
      <c r="M24215" s="112"/>
      <c r="N24215" s="84"/>
    </row>
    <row r="24216" spans="1:14" s="2" customFormat="1">
      <c r="A24216" s="83"/>
      <c r="H24216" s="83"/>
      <c r="K24216" s="82"/>
      <c r="M24216" s="112"/>
      <c r="N24216" s="84"/>
    </row>
    <row r="24217" spans="1:14" s="2" customFormat="1">
      <c r="A24217" s="83"/>
      <c r="H24217" s="83"/>
      <c r="K24217" s="82"/>
      <c r="M24217" s="112"/>
      <c r="N24217" s="84"/>
    </row>
    <row r="24218" spans="1:14" s="2" customFormat="1">
      <c r="A24218" s="83"/>
      <c r="H24218" s="83"/>
      <c r="K24218" s="82"/>
      <c r="M24218" s="112"/>
      <c r="N24218" s="84"/>
    </row>
    <row r="24219" spans="1:14" s="2" customFormat="1">
      <c r="A24219" s="83"/>
      <c r="H24219" s="83"/>
      <c r="K24219" s="82"/>
      <c r="M24219" s="112"/>
      <c r="N24219" s="84"/>
    </row>
    <row r="24220" spans="1:14" s="2" customFormat="1">
      <c r="A24220" s="83"/>
      <c r="H24220" s="83"/>
      <c r="K24220" s="82"/>
      <c r="M24220" s="112"/>
      <c r="N24220" s="84"/>
    </row>
    <row r="24221" spans="1:14" s="2" customFormat="1">
      <c r="A24221" s="83"/>
      <c r="H24221" s="83"/>
      <c r="K24221" s="82"/>
      <c r="M24221" s="112"/>
      <c r="N24221" s="84"/>
    </row>
    <row r="24222" spans="1:14" s="2" customFormat="1">
      <c r="A24222" s="83"/>
      <c r="H24222" s="83"/>
      <c r="K24222" s="82"/>
      <c r="M24222" s="112"/>
      <c r="N24222" s="84"/>
    </row>
    <row r="24223" spans="1:14" s="2" customFormat="1">
      <c r="A24223" s="83"/>
      <c r="H24223" s="83"/>
      <c r="K24223" s="82"/>
      <c r="M24223" s="112"/>
      <c r="N24223" s="84"/>
    </row>
    <row r="24224" spans="1:14" s="2" customFormat="1">
      <c r="A24224" s="83"/>
      <c r="H24224" s="83"/>
      <c r="K24224" s="82"/>
      <c r="M24224" s="112"/>
      <c r="N24224" s="84"/>
    </row>
    <row r="24225" spans="1:14" s="2" customFormat="1">
      <c r="A24225" s="83"/>
      <c r="H24225" s="83"/>
      <c r="K24225" s="82"/>
      <c r="M24225" s="112"/>
      <c r="N24225" s="84"/>
    </row>
    <row r="24226" spans="1:14" s="2" customFormat="1">
      <c r="A24226" s="83"/>
      <c r="H24226" s="83"/>
      <c r="K24226" s="82"/>
      <c r="M24226" s="112"/>
      <c r="N24226" s="84"/>
    </row>
    <row r="24227" spans="1:14" s="2" customFormat="1">
      <c r="A24227" s="83"/>
      <c r="H24227" s="83"/>
      <c r="K24227" s="82"/>
      <c r="M24227" s="112"/>
      <c r="N24227" s="84"/>
    </row>
    <row r="24228" spans="1:14" s="2" customFormat="1">
      <c r="A24228" s="83"/>
      <c r="H24228" s="83"/>
      <c r="K24228" s="82"/>
      <c r="M24228" s="112"/>
      <c r="N24228" s="84"/>
    </row>
    <row r="24229" spans="1:14" s="2" customFormat="1">
      <c r="A24229" s="83"/>
      <c r="H24229" s="83"/>
      <c r="K24229" s="82"/>
      <c r="M24229" s="112"/>
      <c r="N24229" s="84"/>
    </row>
    <row r="24230" spans="1:14" s="2" customFormat="1">
      <c r="A24230" s="83"/>
      <c r="H24230" s="83"/>
      <c r="K24230" s="82"/>
      <c r="M24230" s="112"/>
      <c r="N24230" s="84"/>
    </row>
    <row r="24231" spans="1:14" s="2" customFormat="1">
      <c r="A24231" s="83"/>
      <c r="H24231" s="83"/>
      <c r="K24231" s="82"/>
      <c r="M24231" s="112"/>
      <c r="N24231" s="84"/>
    </row>
    <row r="24232" spans="1:14" s="2" customFormat="1">
      <c r="A24232" s="83"/>
      <c r="H24232" s="83"/>
      <c r="K24232" s="82"/>
      <c r="M24232" s="112"/>
      <c r="N24232" s="84"/>
    </row>
    <row r="24233" spans="1:14" s="2" customFormat="1">
      <c r="A24233" s="83"/>
      <c r="H24233" s="83"/>
      <c r="K24233" s="82"/>
      <c r="M24233" s="112"/>
      <c r="N24233" s="84"/>
    </row>
    <row r="24234" spans="1:14" s="2" customFormat="1">
      <c r="A24234" s="83"/>
      <c r="H24234" s="83"/>
      <c r="K24234" s="82"/>
      <c r="M24234" s="112"/>
      <c r="N24234" s="84"/>
    </row>
    <row r="24235" spans="1:14" s="2" customFormat="1">
      <c r="A24235" s="83"/>
      <c r="H24235" s="83"/>
      <c r="K24235" s="82"/>
      <c r="M24235" s="112"/>
      <c r="N24235" s="84"/>
    </row>
    <row r="24236" spans="1:14" s="2" customFormat="1">
      <c r="A24236" s="83"/>
      <c r="H24236" s="83"/>
      <c r="K24236" s="82"/>
      <c r="M24236" s="112"/>
      <c r="N24236" s="84"/>
    </row>
    <row r="24237" spans="1:14" s="2" customFormat="1">
      <c r="A24237" s="83"/>
      <c r="H24237" s="83"/>
      <c r="K24237" s="82"/>
      <c r="M24237" s="112"/>
      <c r="N24237" s="84"/>
    </row>
    <row r="24238" spans="1:14" s="2" customFormat="1">
      <c r="A24238" s="83"/>
      <c r="H24238" s="83"/>
      <c r="K24238" s="82"/>
      <c r="M24238" s="112"/>
      <c r="N24238" s="84"/>
    </row>
    <row r="24239" spans="1:14" s="2" customFormat="1">
      <c r="A24239" s="83"/>
      <c r="H24239" s="83"/>
      <c r="K24239" s="82"/>
      <c r="M24239" s="112"/>
      <c r="N24239" s="84"/>
    </row>
    <row r="24240" spans="1:14" s="2" customFormat="1">
      <c r="A24240" s="83"/>
      <c r="H24240" s="83"/>
      <c r="K24240" s="82"/>
      <c r="M24240" s="112"/>
      <c r="N24240" s="84"/>
    </row>
    <row r="24241" spans="1:14" s="2" customFormat="1">
      <c r="A24241" s="83"/>
      <c r="H24241" s="83"/>
      <c r="K24241" s="82"/>
      <c r="M24241" s="112"/>
      <c r="N24241" s="84"/>
    </row>
    <row r="24242" spans="1:14" s="2" customFormat="1">
      <c r="A24242" s="83"/>
      <c r="H24242" s="83"/>
      <c r="K24242" s="82"/>
      <c r="M24242" s="112"/>
      <c r="N24242" s="84"/>
    </row>
    <row r="24243" spans="1:14" s="2" customFormat="1">
      <c r="A24243" s="83"/>
      <c r="H24243" s="83"/>
      <c r="K24243" s="82"/>
      <c r="M24243" s="112"/>
      <c r="N24243" s="84"/>
    </row>
    <row r="24244" spans="1:14" s="2" customFormat="1">
      <c r="A24244" s="83"/>
      <c r="H24244" s="83"/>
      <c r="K24244" s="82"/>
      <c r="M24244" s="112"/>
      <c r="N24244" s="84"/>
    </row>
    <row r="24245" spans="1:14" s="2" customFormat="1">
      <c r="A24245" s="83"/>
      <c r="H24245" s="83"/>
      <c r="K24245" s="82"/>
      <c r="M24245" s="112"/>
      <c r="N24245" s="84"/>
    </row>
    <row r="24246" spans="1:14" s="2" customFormat="1">
      <c r="A24246" s="83"/>
      <c r="H24246" s="83"/>
      <c r="K24246" s="82"/>
      <c r="M24246" s="112"/>
      <c r="N24246" s="84"/>
    </row>
    <row r="24247" spans="1:14" s="2" customFormat="1">
      <c r="A24247" s="83"/>
      <c r="H24247" s="83"/>
      <c r="K24247" s="82"/>
      <c r="M24247" s="112"/>
      <c r="N24247" s="84"/>
    </row>
    <row r="24248" spans="1:14" s="2" customFormat="1">
      <c r="A24248" s="83"/>
      <c r="H24248" s="83"/>
      <c r="K24248" s="82"/>
      <c r="M24248" s="112"/>
      <c r="N24248" s="84"/>
    </row>
    <row r="24249" spans="1:14" s="2" customFormat="1">
      <c r="A24249" s="83"/>
      <c r="H24249" s="83"/>
      <c r="K24249" s="82"/>
      <c r="M24249" s="112"/>
      <c r="N24249" s="84"/>
    </row>
    <row r="24250" spans="1:14" s="2" customFormat="1">
      <c r="A24250" s="83"/>
      <c r="H24250" s="83"/>
      <c r="K24250" s="82"/>
      <c r="M24250" s="112"/>
      <c r="N24250" s="84"/>
    </row>
    <row r="24251" spans="1:14" s="2" customFormat="1">
      <c r="A24251" s="83"/>
      <c r="H24251" s="83"/>
      <c r="K24251" s="82"/>
      <c r="M24251" s="112"/>
      <c r="N24251" s="84"/>
    </row>
    <row r="24252" spans="1:14" s="2" customFormat="1">
      <c r="A24252" s="83"/>
      <c r="H24252" s="83"/>
      <c r="K24252" s="82"/>
      <c r="M24252" s="112"/>
      <c r="N24252" s="84"/>
    </row>
    <row r="24253" spans="1:14" s="2" customFormat="1">
      <c r="A24253" s="83"/>
      <c r="H24253" s="83"/>
      <c r="K24253" s="82"/>
      <c r="M24253" s="112"/>
      <c r="N24253" s="84"/>
    </row>
    <row r="24254" spans="1:14" s="2" customFormat="1">
      <c r="A24254" s="83"/>
      <c r="H24254" s="83"/>
      <c r="K24254" s="82"/>
      <c r="M24254" s="112"/>
      <c r="N24254" s="84"/>
    </row>
    <row r="24255" spans="1:14" s="2" customFormat="1">
      <c r="A24255" s="83"/>
      <c r="H24255" s="83"/>
      <c r="K24255" s="82"/>
      <c r="M24255" s="112"/>
      <c r="N24255" s="84"/>
    </row>
    <row r="24256" spans="1:14" s="2" customFormat="1">
      <c r="A24256" s="83"/>
      <c r="H24256" s="83"/>
      <c r="K24256" s="82"/>
      <c r="M24256" s="112"/>
      <c r="N24256" s="84"/>
    </row>
    <row r="24257" spans="1:14" s="2" customFormat="1">
      <c r="A24257" s="83"/>
      <c r="H24257" s="83"/>
      <c r="K24257" s="82"/>
      <c r="M24257" s="112"/>
      <c r="N24257" s="84"/>
    </row>
    <row r="24258" spans="1:14" s="2" customFormat="1">
      <c r="A24258" s="83"/>
      <c r="H24258" s="83"/>
      <c r="K24258" s="82"/>
      <c r="M24258" s="112"/>
      <c r="N24258" s="84"/>
    </row>
    <row r="24259" spans="1:14" s="2" customFormat="1">
      <c r="A24259" s="83"/>
      <c r="H24259" s="83"/>
      <c r="K24259" s="82"/>
      <c r="M24259" s="112"/>
      <c r="N24259" s="84"/>
    </row>
    <row r="24260" spans="1:14" s="2" customFormat="1">
      <c r="A24260" s="83"/>
      <c r="H24260" s="83"/>
      <c r="K24260" s="82"/>
      <c r="M24260" s="112"/>
      <c r="N24260" s="84"/>
    </row>
    <row r="24261" spans="1:14" s="2" customFormat="1">
      <c r="A24261" s="83"/>
      <c r="H24261" s="83"/>
      <c r="K24261" s="82"/>
      <c r="M24261" s="112"/>
      <c r="N24261" s="84"/>
    </row>
    <row r="24262" spans="1:14" s="2" customFormat="1">
      <c r="A24262" s="83"/>
      <c r="H24262" s="83"/>
      <c r="K24262" s="82"/>
      <c r="M24262" s="112"/>
      <c r="N24262" s="84"/>
    </row>
    <row r="24263" spans="1:14" s="2" customFormat="1">
      <c r="A24263" s="83"/>
      <c r="H24263" s="83"/>
      <c r="K24263" s="82"/>
      <c r="M24263" s="112"/>
      <c r="N24263" s="84"/>
    </row>
    <row r="24264" spans="1:14" s="2" customFormat="1">
      <c r="A24264" s="83"/>
      <c r="H24264" s="83"/>
      <c r="K24264" s="82"/>
      <c r="M24264" s="112"/>
      <c r="N24264" s="84"/>
    </row>
    <row r="24265" spans="1:14" s="2" customFormat="1">
      <c r="A24265" s="83"/>
      <c r="H24265" s="83"/>
      <c r="K24265" s="82"/>
      <c r="M24265" s="112"/>
      <c r="N24265" s="84"/>
    </row>
    <row r="24266" spans="1:14" s="2" customFormat="1">
      <c r="A24266" s="83"/>
      <c r="H24266" s="83"/>
      <c r="K24266" s="82"/>
      <c r="M24266" s="112"/>
      <c r="N24266" s="84"/>
    </row>
    <row r="24267" spans="1:14" s="2" customFormat="1">
      <c r="A24267" s="83"/>
      <c r="H24267" s="83"/>
      <c r="K24267" s="82"/>
      <c r="M24267" s="112"/>
      <c r="N24267" s="84"/>
    </row>
    <row r="24268" spans="1:14" s="2" customFormat="1">
      <c r="A24268" s="83"/>
      <c r="H24268" s="83"/>
      <c r="K24268" s="82"/>
      <c r="M24268" s="112"/>
      <c r="N24268" s="84"/>
    </row>
    <row r="24269" spans="1:14" s="2" customFormat="1">
      <c r="A24269" s="83"/>
      <c r="H24269" s="83"/>
      <c r="K24269" s="82"/>
      <c r="M24269" s="112"/>
      <c r="N24269" s="84"/>
    </row>
    <row r="24270" spans="1:14" s="2" customFormat="1">
      <c r="A24270" s="83"/>
      <c r="H24270" s="83"/>
      <c r="K24270" s="82"/>
      <c r="M24270" s="112"/>
      <c r="N24270" s="84"/>
    </row>
    <row r="24271" spans="1:14" s="2" customFormat="1">
      <c r="A24271" s="83"/>
      <c r="H24271" s="83"/>
      <c r="K24271" s="82"/>
      <c r="M24271" s="112"/>
      <c r="N24271" s="84"/>
    </row>
    <row r="24272" spans="1:14" s="2" customFormat="1">
      <c r="A24272" s="83"/>
      <c r="H24272" s="83"/>
      <c r="K24272" s="82"/>
      <c r="M24272" s="112"/>
      <c r="N24272" s="84"/>
    </row>
    <row r="24273" spans="1:14" s="2" customFormat="1">
      <c r="A24273" s="83"/>
      <c r="H24273" s="83"/>
      <c r="K24273" s="82"/>
      <c r="M24273" s="112"/>
      <c r="N24273" s="84"/>
    </row>
    <row r="24274" spans="1:14" s="2" customFormat="1">
      <c r="A24274" s="83"/>
      <c r="H24274" s="83"/>
      <c r="K24274" s="82"/>
      <c r="M24274" s="112"/>
      <c r="N24274" s="84"/>
    </row>
    <row r="24275" spans="1:14" s="2" customFormat="1">
      <c r="A24275" s="83"/>
      <c r="H24275" s="83"/>
      <c r="K24275" s="82"/>
      <c r="M24275" s="112"/>
      <c r="N24275" s="84"/>
    </row>
    <row r="24276" spans="1:14" s="2" customFormat="1">
      <c r="A24276" s="83"/>
      <c r="H24276" s="83"/>
      <c r="K24276" s="82"/>
      <c r="M24276" s="112"/>
      <c r="N24276" s="84"/>
    </row>
    <row r="24277" spans="1:14" s="2" customFormat="1">
      <c r="A24277" s="83"/>
      <c r="H24277" s="83"/>
      <c r="K24277" s="82"/>
      <c r="M24277" s="112"/>
      <c r="N24277" s="84"/>
    </row>
    <row r="24278" spans="1:14" s="2" customFormat="1">
      <c r="A24278" s="83"/>
      <c r="H24278" s="83"/>
      <c r="K24278" s="82"/>
      <c r="M24278" s="112"/>
      <c r="N24278" s="84"/>
    </row>
    <row r="24279" spans="1:14" s="2" customFormat="1">
      <c r="A24279" s="83"/>
      <c r="H24279" s="83"/>
      <c r="K24279" s="82"/>
      <c r="M24279" s="112"/>
      <c r="N24279" s="84"/>
    </row>
    <row r="24280" spans="1:14" s="2" customFormat="1">
      <c r="A24280" s="83"/>
      <c r="H24280" s="83"/>
      <c r="K24280" s="82"/>
      <c r="M24280" s="112"/>
      <c r="N24280" s="84"/>
    </row>
    <row r="24281" spans="1:14" s="2" customFormat="1">
      <c r="A24281" s="83"/>
      <c r="H24281" s="83"/>
      <c r="K24281" s="82"/>
      <c r="M24281" s="112"/>
      <c r="N24281" s="84"/>
    </row>
    <row r="24282" spans="1:14" s="2" customFormat="1">
      <c r="A24282" s="83"/>
      <c r="H24282" s="83"/>
      <c r="K24282" s="82"/>
      <c r="M24282" s="112"/>
      <c r="N24282" s="84"/>
    </row>
    <row r="24283" spans="1:14" s="2" customFormat="1">
      <c r="A24283" s="83"/>
      <c r="H24283" s="83"/>
      <c r="K24283" s="82"/>
      <c r="M24283" s="112"/>
      <c r="N24283" s="84"/>
    </row>
    <row r="24284" spans="1:14" s="2" customFormat="1">
      <c r="A24284" s="83"/>
      <c r="H24284" s="83"/>
      <c r="K24284" s="82"/>
      <c r="M24284" s="112"/>
      <c r="N24284" s="84"/>
    </row>
    <row r="24285" spans="1:14" s="2" customFormat="1">
      <c r="A24285" s="83"/>
      <c r="H24285" s="83"/>
      <c r="K24285" s="82"/>
      <c r="M24285" s="112"/>
      <c r="N24285" s="84"/>
    </row>
    <row r="24286" spans="1:14" s="2" customFormat="1">
      <c r="A24286" s="83"/>
      <c r="H24286" s="83"/>
      <c r="K24286" s="82"/>
      <c r="M24286" s="112"/>
      <c r="N24286" s="84"/>
    </row>
    <row r="24287" spans="1:14" s="2" customFormat="1">
      <c r="A24287" s="83"/>
      <c r="H24287" s="83"/>
      <c r="K24287" s="82"/>
      <c r="M24287" s="112"/>
      <c r="N24287" s="84"/>
    </row>
    <row r="24288" spans="1:14" s="2" customFormat="1">
      <c r="A24288" s="83"/>
      <c r="H24288" s="83"/>
      <c r="K24288" s="82"/>
      <c r="M24288" s="112"/>
      <c r="N24288" s="84"/>
    </row>
    <row r="24289" spans="1:14" s="2" customFormat="1">
      <c r="A24289" s="83"/>
      <c r="H24289" s="83"/>
      <c r="K24289" s="82"/>
      <c r="M24289" s="112"/>
      <c r="N24289" s="84"/>
    </row>
    <row r="24290" spans="1:14" s="2" customFormat="1">
      <c r="A24290" s="83"/>
      <c r="H24290" s="83"/>
      <c r="K24290" s="82"/>
      <c r="M24290" s="112"/>
      <c r="N24290" s="84"/>
    </row>
    <row r="24291" spans="1:14" s="2" customFormat="1">
      <c r="A24291" s="83"/>
      <c r="H24291" s="83"/>
      <c r="K24291" s="82"/>
      <c r="M24291" s="112"/>
      <c r="N24291" s="84"/>
    </row>
    <row r="24292" spans="1:14" s="2" customFormat="1">
      <c r="A24292" s="83"/>
      <c r="H24292" s="83"/>
      <c r="K24292" s="82"/>
      <c r="M24292" s="112"/>
      <c r="N24292" s="84"/>
    </row>
    <row r="24293" spans="1:14" s="2" customFormat="1">
      <c r="A24293" s="83"/>
      <c r="H24293" s="83"/>
      <c r="K24293" s="82"/>
      <c r="M24293" s="112"/>
      <c r="N24293" s="84"/>
    </row>
    <row r="24294" spans="1:14" s="2" customFormat="1">
      <c r="A24294" s="83"/>
      <c r="H24294" s="83"/>
      <c r="K24294" s="82"/>
      <c r="M24294" s="112"/>
      <c r="N24294" s="84"/>
    </row>
    <row r="24295" spans="1:14" s="2" customFormat="1">
      <c r="A24295" s="83"/>
      <c r="H24295" s="83"/>
      <c r="K24295" s="82"/>
      <c r="M24295" s="112"/>
      <c r="N24295" s="84"/>
    </row>
    <row r="24296" spans="1:14" s="2" customFormat="1">
      <c r="A24296" s="83"/>
      <c r="H24296" s="83"/>
      <c r="K24296" s="82"/>
      <c r="M24296" s="112"/>
      <c r="N24296" s="84"/>
    </row>
    <row r="24297" spans="1:14" s="2" customFormat="1">
      <c r="A24297" s="83"/>
      <c r="H24297" s="83"/>
      <c r="K24297" s="82"/>
      <c r="M24297" s="112"/>
      <c r="N24297" s="84"/>
    </row>
    <row r="24298" spans="1:14" s="2" customFormat="1">
      <c r="A24298" s="83"/>
      <c r="H24298" s="83"/>
      <c r="K24298" s="82"/>
      <c r="M24298" s="112"/>
      <c r="N24298" s="84"/>
    </row>
    <row r="24299" spans="1:14" s="2" customFormat="1">
      <c r="A24299" s="83"/>
      <c r="H24299" s="83"/>
      <c r="K24299" s="82"/>
      <c r="M24299" s="112"/>
      <c r="N24299" s="84"/>
    </row>
    <row r="24300" spans="1:14" s="2" customFormat="1">
      <c r="A24300" s="83"/>
      <c r="H24300" s="83"/>
      <c r="K24300" s="82"/>
      <c r="M24300" s="112"/>
      <c r="N24300" s="84"/>
    </row>
    <row r="24301" spans="1:14" s="2" customFormat="1">
      <c r="A24301" s="83"/>
      <c r="H24301" s="83"/>
      <c r="K24301" s="82"/>
      <c r="M24301" s="112"/>
      <c r="N24301" s="84"/>
    </row>
    <row r="24302" spans="1:14" s="2" customFormat="1">
      <c r="A24302" s="83"/>
      <c r="H24302" s="83"/>
      <c r="K24302" s="82"/>
      <c r="M24302" s="112"/>
      <c r="N24302" s="84"/>
    </row>
    <row r="24303" spans="1:14" s="2" customFormat="1">
      <c r="A24303" s="83"/>
      <c r="H24303" s="83"/>
      <c r="K24303" s="82"/>
      <c r="M24303" s="112"/>
      <c r="N24303" s="84"/>
    </row>
    <row r="24304" spans="1:14" s="2" customFormat="1">
      <c r="A24304" s="83"/>
      <c r="H24304" s="83"/>
      <c r="K24304" s="82"/>
      <c r="M24304" s="112"/>
      <c r="N24304" s="84"/>
    </row>
    <row r="24305" spans="1:14" s="2" customFormat="1">
      <c r="A24305" s="83"/>
      <c r="H24305" s="83"/>
      <c r="K24305" s="82"/>
      <c r="M24305" s="112"/>
      <c r="N24305" s="84"/>
    </row>
    <row r="24306" spans="1:14" s="2" customFormat="1">
      <c r="A24306" s="83"/>
      <c r="H24306" s="83"/>
      <c r="K24306" s="82"/>
      <c r="M24306" s="112"/>
      <c r="N24306" s="84"/>
    </row>
    <row r="24307" spans="1:14" s="2" customFormat="1">
      <c r="A24307" s="83"/>
      <c r="H24307" s="83"/>
      <c r="K24307" s="82"/>
      <c r="M24307" s="112"/>
      <c r="N24307" s="84"/>
    </row>
    <row r="24308" spans="1:14" s="2" customFormat="1">
      <c r="A24308" s="83"/>
      <c r="H24308" s="83"/>
      <c r="K24308" s="82"/>
      <c r="M24308" s="112"/>
      <c r="N24308" s="84"/>
    </row>
    <row r="24309" spans="1:14" s="2" customFormat="1">
      <c r="A24309" s="83"/>
      <c r="H24309" s="83"/>
      <c r="K24309" s="82"/>
      <c r="M24309" s="112"/>
      <c r="N24309" s="84"/>
    </row>
    <row r="24310" spans="1:14" s="2" customFormat="1">
      <c r="A24310" s="83"/>
      <c r="H24310" s="83"/>
      <c r="K24310" s="82"/>
      <c r="M24310" s="112"/>
      <c r="N24310" s="84"/>
    </row>
    <row r="24311" spans="1:14" s="2" customFormat="1">
      <c r="A24311" s="83"/>
      <c r="H24311" s="83"/>
      <c r="K24311" s="82"/>
      <c r="M24311" s="112"/>
      <c r="N24311" s="84"/>
    </row>
    <row r="24312" spans="1:14" s="2" customFormat="1">
      <c r="A24312" s="83"/>
      <c r="H24312" s="83"/>
      <c r="K24312" s="82"/>
      <c r="M24312" s="112"/>
      <c r="N24312" s="84"/>
    </row>
    <row r="24313" spans="1:14" s="2" customFormat="1">
      <c r="A24313" s="83"/>
      <c r="H24313" s="83"/>
      <c r="K24313" s="82"/>
      <c r="M24313" s="112"/>
      <c r="N24313" s="84"/>
    </row>
    <row r="24314" spans="1:14" s="2" customFormat="1">
      <c r="A24314" s="83"/>
      <c r="H24314" s="83"/>
      <c r="K24314" s="82"/>
      <c r="M24314" s="112"/>
      <c r="N24314" s="84"/>
    </row>
    <row r="24315" spans="1:14" s="2" customFormat="1">
      <c r="A24315" s="83"/>
      <c r="H24315" s="83"/>
      <c r="K24315" s="82"/>
      <c r="M24315" s="112"/>
      <c r="N24315" s="84"/>
    </row>
    <row r="24316" spans="1:14" s="2" customFormat="1">
      <c r="A24316" s="83"/>
      <c r="H24316" s="83"/>
      <c r="K24316" s="82"/>
      <c r="M24316" s="112"/>
      <c r="N24316" s="84"/>
    </row>
    <row r="24317" spans="1:14" s="2" customFormat="1">
      <c r="A24317" s="83"/>
      <c r="H24317" s="83"/>
      <c r="K24317" s="82"/>
      <c r="M24317" s="112"/>
      <c r="N24317" s="84"/>
    </row>
    <row r="24318" spans="1:14" s="2" customFormat="1">
      <c r="A24318" s="83"/>
      <c r="H24318" s="83"/>
      <c r="K24318" s="82"/>
      <c r="M24318" s="112"/>
      <c r="N24318" s="84"/>
    </row>
    <row r="24319" spans="1:14" s="2" customFormat="1">
      <c r="A24319" s="83"/>
      <c r="H24319" s="83"/>
      <c r="K24319" s="82"/>
      <c r="M24319" s="112"/>
      <c r="N24319" s="84"/>
    </row>
    <row r="24320" spans="1:14" s="2" customFormat="1">
      <c r="A24320" s="83"/>
      <c r="H24320" s="83"/>
      <c r="K24320" s="82"/>
      <c r="M24320" s="112"/>
      <c r="N24320" s="84"/>
    </row>
    <row r="24321" spans="1:14" s="2" customFormat="1">
      <c r="A24321" s="83"/>
      <c r="H24321" s="83"/>
      <c r="K24321" s="82"/>
      <c r="M24321" s="112"/>
      <c r="N24321" s="84"/>
    </row>
    <row r="24322" spans="1:14" s="2" customFormat="1">
      <c r="A24322" s="83"/>
      <c r="H24322" s="83"/>
      <c r="K24322" s="82"/>
      <c r="M24322" s="112"/>
      <c r="N24322" s="84"/>
    </row>
    <row r="24323" spans="1:14" s="2" customFormat="1">
      <c r="A24323" s="83"/>
      <c r="H24323" s="83"/>
      <c r="K24323" s="82"/>
      <c r="M24323" s="112"/>
      <c r="N24323" s="84"/>
    </row>
    <row r="24324" spans="1:14" s="2" customFormat="1">
      <c r="A24324" s="83"/>
      <c r="H24324" s="83"/>
      <c r="K24324" s="82"/>
      <c r="M24324" s="112"/>
      <c r="N24324" s="84"/>
    </row>
    <row r="24325" spans="1:14" s="2" customFormat="1">
      <c r="A24325" s="83"/>
      <c r="H24325" s="83"/>
      <c r="K24325" s="82"/>
      <c r="M24325" s="112"/>
      <c r="N24325" s="84"/>
    </row>
    <row r="24326" spans="1:14" s="2" customFormat="1">
      <c r="A24326" s="83"/>
      <c r="H24326" s="83"/>
      <c r="K24326" s="82"/>
      <c r="M24326" s="112"/>
      <c r="N24326" s="84"/>
    </row>
    <row r="24327" spans="1:14" s="2" customFormat="1">
      <c r="A24327" s="83"/>
      <c r="H24327" s="83"/>
      <c r="K24327" s="82"/>
      <c r="M24327" s="112"/>
      <c r="N24327" s="84"/>
    </row>
    <row r="24328" spans="1:14" s="2" customFormat="1">
      <c r="A24328" s="83"/>
      <c r="H24328" s="83"/>
      <c r="K24328" s="82"/>
      <c r="M24328" s="112"/>
      <c r="N24328" s="84"/>
    </row>
    <row r="24329" spans="1:14" s="2" customFormat="1">
      <c r="A24329" s="83"/>
      <c r="H24329" s="83"/>
      <c r="K24329" s="82"/>
      <c r="M24329" s="112"/>
      <c r="N24329" s="84"/>
    </row>
    <row r="24330" spans="1:14" s="2" customFormat="1">
      <c r="A24330" s="83"/>
      <c r="H24330" s="83"/>
      <c r="K24330" s="82"/>
      <c r="M24330" s="112"/>
      <c r="N24330" s="84"/>
    </row>
    <row r="24331" spans="1:14" s="2" customFormat="1">
      <c r="A24331" s="83"/>
      <c r="H24331" s="83"/>
      <c r="K24331" s="82"/>
      <c r="M24331" s="112"/>
      <c r="N24331" s="84"/>
    </row>
    <row r="24332" spans="1:14" s="2" customFormat="1">
      <c r="A24332" s="83"/>
      <c r="H24332" s="83"/>
      <c r="K24332" s="82"/>
      <c r="M24332" s="112"/>
      <c r="N24332" s="84"/>
    </row>
    <row r="24333" spans="1:14" s="2" customFormat="1">
      <c r="A24333" s="83"/>
      <c r="H24333" s="83"/>
      <c r="K24333" s="82"/>
      <c r="M24333" s="112"/>
      <c r="N24333" s="84"/>
    </row>
    <row r="24334" spans="1:14" s="2" customFormat="1">
      <c r="A24334" s="83"/>
      <c r="H24334" s="83"/>
      <c r="K24334" s="82"/>
      <c r="M24334" s="112"/>
      <c r="N24334" s="84"/>
    </row>
    <row r="24335" spans="1:14" s="2" customFormat="1">
      <c r="A24335" s="83"/>
      <c r="H24335" s="83"/>
      <c r="K24335" s="82"/>
      <c r="M24335" s="112"/>
      <c r="N24335" s="84"/>
    </row>
    <row r="24336" spans="1:14" s="2" customFormat="1">
      <c r="A24336" s="83"/>
      <c r="H24336" s="83"/>
      <c r="K24336" s="82"/>
      <c r="M24336" s="112"/>
      <c r="N24336" s="84"/>
    </row>
    <row r="24337" spans="1:14" s="2" customFormat="1">
      <c r="A24337" s="83"/>
      <c r="H24337" s="83"/>
      <c r="K24337" s="82"/>
      <c r="M24337" s="112"/>
      <c r="N24337" s="84"/>
    </row>
    <row r="24338" spans="1:14" s="2" customFormat="1">
      <c r="A24338" s="83"/>
      <c r="H24338" s="83"/>
      <c r="K24338" s="82"/>
      <c r="M24338" s="112"/>
      <c r="N24338" s="84"/>
    </row>
    <row r="24339" spans="1:14" s="2" customFormat="1">
      <c r="A24339" s="83"/>
      <c r="H24339" s="83"/>
      <c r="K24339" s="82"/>
      <c r="M24339" s="112"/>
      <c r="N24339" s="84"/>
    </row>
    <row r="24340" spans="1:14" s="2" customFormat="1">
      <c r="A24340" s="83"/>
      <c r="H24340" s="83"/>
      <c r="K24340" s="82"/>
      <c r="M24340" s="112"/>
      <c r="N24340" s="84"/>
    </row>
    <row r="24341" spans="1:14" s="2" customFormat="1">
      <c r="A24341" s="83"/>
      <c r="H24341" s="83"/>
      <c r="K24341" s="82"/>
      <c r="M24341" s="112"/>
      <c r="N24341" s="84"/>
    </row>
    <row r="24342" spans="1:14" s="2" customFormat="1">
      <c r="A24342" s="83"/>
      <c r="H24342" s="83"/>
      <c r="K24342" s="82"/>
      <c r="M24342" s="112"/>
      <c r="N24342" s="84"/>
    </row>
    <row r="24343" spans="1:14" s="2" customFormat="1">
      <c r="A24343" s="83"/>
      <c r="H24343" s="83"/>
      <c r="K24343" s="82"/>
      <c r="M24343" s="112"/>
      <c r="N24343" s="84"/>
    </row>
    <row r="24344" spans="1:14" s="2" customFormat="1">
      <c r="A24344" s="83"/>
      <c r="H24344" s="83"/>
      <c r="K24344" s="82"/>
      <c r="M24344" s="112"/>
      <c r="N24344" s="84"/>
    </row>
    <row r="24345" spans="1:14" s="2" customFormat="1">
      <c r="A24345" s="83"/>
      <c r="H24345" s="83"/>
      <c r="K24345" s="82"/>
      <c r="M24345" s="112"/>
      <c r="N24345" s="84"/>
    </row>
    <row r="24346" spans="1:14" s="2" customFormat="1">
      <c r="A24346" s="83"/>
      <c r="H24346" s="83"/>
      <c r="K24346" s="82"/>
      <c r="M24346" s="112"/>
      <c r="N24346" s="84"/>
    </row>
    <row r="24347" spans="1:14" s="2" customFormat="1">
      <c r="A24347" s="83"/>
      <c r="H24347" s="83"/>
      <c r="K24347" s="82"/>
      <c r="M24347" s="112"/>
      <c r="N24347" s="84"/>
    </row>
    <row r="24348" spans="1:14" s="2" customFormat="1">
      <c r="A24348" s="83"/>
      <c r="H24348" s="83"/>
      <c r="K24348" s="82"/>
      <c r="M24348" s="112"/>
      <c r="N24348" s="84"/>
    </row>
    <row r="24349" spans="1:14" s="2" customFormat="1">
      <c r="A24349" s="83"/>
      <c r="H24349" s="83"/>
      <c r="K24349" s="82"/>
      <c r="M24349" s="112"/>
      <c r="N24349" s="84"/>
    </row>
    <row r="24350" spans="1:14" s="2" customFormat="1">
      <c r="A24350" s="83"/>
      <c r="H24350" s="83"/>
      <c r="K24350" s="82"/>
      <c r="M24350" s="112"/>
      <c r="N24350" s="84"/>
    </row>
    <row r="24351" spans="1:14" s="2" customFormat="1">
      <c r="A24351" s="83"/>
      <c r="H24351" s="83"/>
      <c r="K24351" s="82"/>
      <c r="M24351" s="112"/>
      <c r="N24351" s="84"/>
    </row>
    <row r="24352" spans="1:14" s="2" customFormat="1">
      <c r="A24352" s="83"/>
      <c r="H24352" s="83"/>
      <c r="K24352" s="82"/>
      <c r="M24352" s="112"/>
      <c r="N24352" s="84"/>
    </row>
    <row r="24353" spans="1:14" s="2" customFormat="1">
      <c r="A24353" s="83"/>
      <c r="H24353" s="83"/>
      <c r="K24353" s="82"/>
      <c r="M24353" s="112"/>
      <c r="N24353" s="84"/>
    </row>
    <row r="24354" spans="1:14" s="2" customFormat="1">
      <c r="A24354" s="83"/>
      <c r="H24354" s="83"/>
      <c r="K24354" s="82"/>
      <c r="M24354" s="112"/>
      <c r="N24354" s="84"/>
    </row>
    <row r="24355" spans="1:14" s="2" customFormat="1">
      <c r="A24355" s="83"/>
      <c r="H24355" s="83"/>
      <c r="K24355" s="82"/>
      <c r="M24355" s="112"/>
      <c r="N24355" s="84"/>
    </row>
    <row r="24356" spans="1:14" s="2" customFormat="1">
      <c r="A24356" s="83"/>
      <c r="H24356" s="83"/>
      <c r="K24356" s="82"/>
      <c r="M24356" s="112"/>
      <c r="N24356" s="84"/>
    </row>
    <row r="24357" spans="1:14" s="2" customFormat="1">
      <c r="A24357" s="83"/>
      <c r="H24357" s="83"/>
      <c r="K24357" s="82"/>
      <c r="M24357" s="112"/>
      <c r="N24357" s="84"/>
    </row>
    <row r="24358" spans="1:14" s="2" customFormat="1">
      <c r="A24358" s="83"/>
      <c r="H24358" s="83"/>
      <c r="K24358" s="82"/>
      <c r="M24358" s="112"/>
      <c r="N24358" s="84"/>
    </row>
    <row r="24359" spans="1:14" s="2" customFormat="1">
      <c r="A24359" s="83"/>
      <c r="H24359" s="83"/>
      <c r="K24359" s="82"/>
      <c r="M24359" s="112"/>
      <c r="N24359" s="84"/>
    </row>
    <row r="24360" spans="1:14" s="2" customFormat="1">
      <c r="A24360" s="83"/>
      <c r="H24360" s="83"/>
      <c r="K24360" s="82"/>
      <c r="M24360" s="112"/>
      <c r="N24360" s="84"/>
    </row>
    <row r="24361" spans="1:14" s="2" customFormat="1">
      <c r="A24361" s="83"/>
      <c r="H24361" s="83"/>
      <c r="K24361" s="82"/>
      <c r="M24361" s="112"/>
      <c r="N24361" s="84"/>
    </row>
    <row r="24362" spans="1:14" s="2" customFormat="1">
      <c r="A24362" s="83"/>
      <c r="H24362" s="83"/>
      <c r="K24362" s="82"/>
      <c r="M24362" s="112"/>
      <c r="N24362" s="84"/>
    </row>
    <row r="24363" spans="1:14" s="2" customFormat="1">
      <c r="A24363" s="83"/>
      <c r="H24363" s="83"/>
      <c r="K24363" s="82"/>
      <c r="M24363" s="112"/>
      <c r="N24363" s="84"/>
    </row>
    <row r="24364" spans="1:14" s="2" customFormat="1">
      <c r="A24364" s="83"/>
      <c r="H24364" s="83"/>
      <c r="K24364" s="82"/>
      <c r="M24364" s="112"/>
      <c r="N24364" s="84"/>
    </row>
    <row r="24365" spans="1:14" s="2" customFormat="1">
      <c r="A24365" s="83"/>
      <c r="H24365" s="83"/>
      <c r="K24365" s="82"/>
      <c r="M24365" s="112"/>
      <c r="N24365" s="84"/>
    </row>
    <row r="24366" spans="1:14" s="2" customFormat="1">
      <c r="A24366" s="83"/>
      <c r="H24366" s="83"/>
      <c r="K24366" s="82"/>
      <c r="M24366" s="112"/>
      <c r="N24366" s="84"/>
    </row>
    <row r="24367" spans="1:14" s="2" customFormat="1">
      <c r="A24367" s="83"/>
      <c r="H24367" s="83"/>
      <c r="K24367" s="82"/>
      <c r="M24367" s="112"/>
      <c r="N24367" s="84"/>
    </row>
    <row r="24368" spans="1:14" s="2" customFormat="1">
      <c r="A24368" s="83"/>
      <c r="H24368" s="83"/>
      <c r="K24368" s="82"/>
      <c r="M24368" s="112"/>
      <c r="N24368" s="84"/>
    </row>
    <row r="24369" spans="1:14" s="2" customFormat="1">
      <c r="A24369" s="83"/>
      <c r="H24369" s="83"/>
      <c r="K24369" s="82"/>
      <c r="M24369" s="112"/>
      <c r="N24369" s="84"/>
    </row>
    <row r="24370" spans="1:14" s="2" customFormat="1">
      <c r="A24370" s="83"/>
      <c r="H24370" s="83"/>
      <c r="K24370" s="82"/>
      <c r="M24370" s="112"/>
      <c r="N24370" s="84"/>
    </row>
    <row r="24371" spans="1:14" s="2" customFormat="1">
      <c r="A24371" s="83"/>
      <c r="H24371" s="83"/>
      <c r="K24371" s="82"/>
      <c r="M24371" s="112"/>
      <c r="N24371" s="84"/>
    </row>
    <row r="24372" spans="1:14" s="2" customFormat="1">
      <c r="A24372" s="83"/>
      <c r="H24372" s="83"/>
      <c r="K24372" s="82"/>
      <c r="M24372" s="112"/>
      <c r="N24372" s="84"/>
    </row>
    <row r="24373" spans="1:14" s="2" customFormat="1">
      <c r="A24373" s="83"/>
      <c r="H24373" s="83"/>
      <c r="K24373" s="82"/>
      <c r="M24373" s="112"/>
      <c r="N24373" s="84"/>
    </row>
    <row r="24374" spans="1:14" s="2" customFormat="1">
      <c r="A24374" s="83"/>
      <c r="H24374" s="83"/>
      <c r="K24374" s="82"/>
      <c r="M24374" s="112"/>
      <c r="N24374" s="84"/>
    </row>
    <row r="24375" spans="1:14" s="2" customFormat="1">
      <c r="A24375" s="83"/>
      <c r="H24375" s="83"/>
      <c r="K24375" s="82"/>
      <c r="M24375" s="112"/>
      <c r="N24375" s="84"/>
    </row>
    <row r="24376" spans="1:14" s="2" customFormat="1">
      <c r="A24376" s="83"/>
      <c r="H24376" s="83"/>
      <c r="K24376" s="82"/>
      <c r="M24376" s="112"/>
      <c r="N24376" s="84"/>
    </row>
    <row r="24377" spans="1:14" s="2" customFormat="1">
      <c r="A24377" s="83"/>
      <c r="H24377" s="83"/>
      <c r="K24377" s="82"/>
      <c r="M24377" s="112"/>
      <c r="N24377" s="84"/>
    </row>
    <row r="24378" spans="1:14" s="2" customFormat="1">
      <c r="A24378" s="83"/>
      <c r="H24378" s="83"/>
      <c r="K24378" s="82"/>
      <c r="M24378" s="112"/>
      <c r="N24378" s="84"/>
    </row>
    <row r="24379" spans="1:14" s="2" customFormat="1">
      <c r="A24379" s="83"/>
      <c r="H24379" s="83"/>
      <c r="K24379" s="82"/>
      <c r="M24379" s="112"/>
      <c r="N24379" s="84"/>
    </row>
    <row r="24380" spans="1:14" s="2" customFormat="1">
      <c r="A24380" s="83"/>
      <c r="H24380" s="83"/>
      <c r="K24380" s="82"/>
      <c r="M24380" s="112"/>
      <c r="N24380" s="84"/>
    </row>
    <row r="24381" spans="1:14" s="2" customFormat="1">
      <c r="A24381" s="83"/>
      <c r="H24381" s="83"/>
      <c r="K24381" s="82"/>
      <c r="M24381" s="112"/>
      <c r="N24381" s="84"/>
    </row>
    <row r="24382" spans="1:14" s="2" customFormat="1">
      <c r="A24382" s="83"/>
      <c r="H24382" s="83"/>
      <c r="K24382" s="82"/>
      <c r="M24382" s="112"/>
      <c r="N24382" s="84"/>
    </row>
    <row r="24383" spans="1:14" s="2" customFormat="1">
      <c r="A24383" s="83"/>
      <c r="H24383" s="83"/>
      <c r="K24383" s="82"/>
      <c r="M24383" s="112"/>
      <c r="N24383" s="84"/>
    </row>
    <row r="24384" spans="1:14" s="2" customFormat="1">
      <c r="A24384" s="83"/>
      <c r="H24384" s="83"/>
      <c r="K24384" s="82"/>
      <c r="M24384" s="112"/>
      <c r="N24384" s="84"/>
    </row>
    <row r="24385" spans="1:14" s="2" customFormat="1">
      <c r="A24385" s="83"/>
      <c r="H24385" s="83"/>
      <c r="K24385" s="82"/>
      <c r="M24385" s="112"/>
      <c r="N24385" s="84"/>
    </row>
    <row r="24386" spans="1:14" s="2" customFormat="1">
      <c r="A24386" s="83"/>
      <c r="H24386" s="83"/>
      <c r="K24386" s="82"/>
      <c r="M24386" s="112"/>
      <c r="N24386" s="84"/>
    </row>
    <row r="24387" spans="1:14" s="2" customFormat="1">
      <c r="A24387" s="83"/>
      <c r="H24387" s="83"/>
      <c r="K24387" s="82"/>
      <c r="M24387" s="112"/>
      <c r="N24387" s="84"/>
    </row>
    <row r="24388" spans="1:14" s="2" customFormat="1">
      <c r="A24388" s="83"/>
      <c r="H24388" s="83"/>
      <c r="K24388" s="82"/>
      <c r="M24388" s="112"/>
      <c r="N24388" s="84"/>
    </row>
    <row r="24389" spans="1:14" s="2" customFormat="1">
      <c r="A24389" s="83"/>
      <c r="H24389" s="83"/>
      <c r="K24389" s="82"/>
      <c r="M24389" s="112"/>
      <c r="N24389" s="84"/>
    </row>
    <row r="24390" spans="1:14" s="2" customFormat="1">
      <c r="A24390" s="83"/>
      <c r="H24390" s="83"/>
      <c r="K24390" s="82"/>
      <c r="M24390" s="112"/>
      <c r="N24390" s="84"/>
    </row>
    <row r="24391" spans="1:14" s="2" customFormat="1">
      <c r="A24391" s="83"/>
      <c r="H24391" s="83"/>
      <c r="K24391" s="82"/>
      <c r="M24391" s="112"/>
      <c r="N24391" s="84"/>
    </row>
    <row r="24392" spans="1:14" s="2" customFormat="1">
      <c r="A24392" s="83"/>
      <c r="H24392" s="83"/>
      <c r="K24392" s="82"/>
      <c r="M24392" s="112"/>
      <c r="N24392" s="84"/>
    </row>
    <row r="24393" spans="1:14" s="2" customFormat="1">
      <c r="A24393" s="83"/>
      <c r="H24393" s="83"/>
      <c r="K24393" s="82"/>
      <c r="M24393" s="112"/>
      <c r="N24393" s="84"/>
    </row>
    <row r="24394" spans="1:14" s="2" customFormat="1">
      <c r="A24394" s="83"/>
      <c r="H24394" s="83"/>
      <c r="K24394" s="82"/>
      <c r="M24394" s="112"/>
      <c r="N24394" s="84"/>
    </row>
    <row r="24395" spans="1:14" s="2" customFormat="1">
      <c r="A24395" s="83"/>
      <c r="H24395" s="83"/>
      <c r="K24395" s="82"/>
      <c r="M24395" s="112"/>
      <c r="N24395" s="84"/>
    </row>
    <row r="24396" spans="1:14" s="2" customFormat="1">
      <c r="A24396" s="83"/>
      <c r="H24396" s="83"/>
      <c r="K24396" s="82"/>
      <c r="M24396" s="112"/>
      <c r="N24396" s="84"/>
    </row>
    <row r="24397" spans="1:14" s="2" customFormat="1">
      <c r="A24397" s="83"/>
      <c r="H24397" s="83"/>
      <c r="K24397" s="82"/>
      <c r="M24397" s="112"/>
      <c r="N24397" s="84"/>
    </row>
    <row r="24398" spans="1:14" s="2" customFormat="1">
      <c r="A24398" s="83"/>
      <c r="H24398" s="83"/>
      <c r="K24398" s="82"/>
      <c r="M24398" s="112"/>
      <c r="N24398" s="84"/>
    </row>
    <row r="24399" spans="1:14" s="2" customFormat="1">
      <c r="A24399" s="83"/>
      <c r="H24399" s="83"/>
      <c r="K24399" s="82"/>
      <c r="M24399" s="112"/>
      <c r="N24399" s="84"/>
    </row>
    <row r="24400" spans="1:14" s="2" customFormat="1">
      <c r="A24400" s="83"/>
      <c r="H24400" s="83"/>
      <c r="K24400" s="82"/>
      <c r="M24400" s="112"/>
      <c r="N24400" s="84"/>
    </row>
    <row r="24401" spans="1:14" s="2" customFormat="1">
      <c r="A24401" s="83"/>
      <c r="H24401" s="83"/>
      <c r="K24401" s="82"/>
      <c r="M24401" s="112"/>
      <c r="N24401" s="84"/>
    </row>
    <row r="24402" spans="1:14" s="2" customFormat="1">
      <c r="A24402" s="83"/>
      <c r="H24402" s="83"/>
      <c r="K24402" s="82"/>
      <c r="M24402" s="112"/>
      <c r="N24402" s="84"/>
    </row>
    <row r="24403" spans="1:14" s="2" customFormat="1">
      <c r="A24403" s="83"/>
      <c r="H24403" s="83"/>
      <c r="K24403" s="82"/>
      <c r="M24403" s="112"/>
      <c r="N24403" s="84"/>
    </row>
    <row r="24404" spans="1:14" s="2" customFormat="1">
      <c r="A24404" s="83"/>
      <c r="H24404" s="83"/>
      <c r="K24404" s="82"/>
      <c r="M24404" s="112"/>
      <c r="N24404" s="84"/>
    </row>
    <row r="24405" spans="1:14" s="2" customFormat="1">
      <c r="A24405" s="83"/>
      <c r="H24405" s="83"/>
      <c r="K24405" s="82"/>
      <c r="M24405" s="112"/>
      <c r="N24405" s="84"/>
    </row>
    <row r="24406" spans="1:14" s="2" customFormat="1">
      <c r="A24406" s="83"/>
      <c r="H24406" s="83"/>
      <c r="K24406" s="82"/>
      <c r="M24406" s="112"/>
      <c r="N24406" s="84"/>
    </row>
    <row r="24407" spans="1:14" s="2" customFormat="1">
      <c r="A24407" s="83"/>
      <c r="H24407" s="83"/>
      <c r="K24407" s="82"/>
      <c r="M24407" s="112"/>
      <c r="N24407" s="84"/>
    </row>
    <row r="24408" spans="1:14" s="2" customFormat="1">
      <c r="A24408" s="83"/>
      <c r="H24408" s="83"/>
      <c r="K24408" s="82"/>
      <c r="M24408" s="112"/>
      <c r="N24408" s="84"/>
    </row>
    <row r="24409" spans="1:14" s="2" customFormat="1">
      <c r="A24409" s="83"/>
      <c r="H24409" s="83"/>
      <c r="K24409" s="82"/>
      <c r="M24409" s="112"/>
      <c r="N24409" s="84"/>
    </row>
    <row r="24410" spans="1:14" s="2" customFormat="1">
      <c r="A24410" s="83"/>
      <c r="H24410" s="83"/>
      <c r="K24410" s="82"/>
      <c r="M24410" s="112"/>
      <c r="N24410" s="84"/>
    </row>
    <row r="24411" spans="1:14" s="2" customFormat="1">
      <c r="A24411" s="83"/>
      <c r="H24411" s="83"/>
      <c r="K24411" s="82"/>
      <c r="M24411" s="112"/>
      <c r="N24411" s="84"/>
    </row>
    <row r="24412" spans="1:14" s="2" customFormat="1">
      <c r="A24412" s="83"/>
      <c r="H24412" s="83"/>
      <c r="K24412" s="82"/>
      <c r="M24412" s="112"/>
      <c r="N24412" s="84"/>
    </row>
    <row r="24413" spans="1:14" s="2" customFormat="1">
      <c r="A24413" s="83"/>
      <c r="H24413" s="83"/>
      <c r="K24413" s="82"/>
      <c r="M24413" s="112"/>
      <c r="N24413" s="84"/>
    </row>
    <row r="24414" spans="1:14" s="2" customFormat="1">
      <c r="A24414" s="83"/>
      <c r="H24414" s="83"/>
      <c r="K24414" s="82"/>
      <c r="M24414" s="112"/>
      <c r="N24414" s="84"/>
    </row>
    <row r="24415" spans="1:14" s="2" customFormat="1">
      <c r="A24415" s="83"/>
      <c r="H24415" s="83"/>
      <c r="K24415" s="82"/>
      <c r="M24415" s="112"/>
      <c r="N24415" s="84"/>
    </row>
    <row r="24416" spans="1:14" s="2" customFormat="1">
      <c r="A24416" s="83"/>
      <c r="H24416" s="83"/>
      <c r="K24416" s="82"/>
      <c r="M24416" s="112"/>
      <c r="N24416" s="84"/>
    </row>
    <row r="24417" spans="1:14" s="2" customFormat="1">
      <c r="A24417" s="83"/>
      <c r="H24417" s="83"/>
      <c r="K24417" s="82"/>
      <c r="M24417" s="112"/>
      <c r="N24417" s="84"/>
    </row>
    <row r="24418" spans="1:14" s="2" customFormat="1">
      <c r="A24418" s="83"/>
      <c r="H24418" s="83"/>
      <c r="K24418" s="82"/>
      <c r="M24418" s="112"/>
      <c r="N24418" s="84"/>
    </row>
    <row r="24419" spans="1:14" s="2" customFormat="1">
      <c r="A24419" s="83"/>
      <c r="H24419" s="83"/>
      <c r="K24419" s="82"/>
      <c r="M24419" s="112"/>
      <c r="N24419" s="84"/>
    </row>
    <row r="24420" spans="1:14" s="2" customFormat="1">
      <c r="A24420" s="83"/>
      <c r="H24420" s="83"/>
      <c r="K24420" s="82"/>
      <c r="M24420" s="112"/>
      <c r="N24420" s="84"/>
    </row>
    <row r="24421" spans="1:14" s="2" customFormat="1">
      <c r="A24421" s="83"/>
      <c r="H24421" s="83"/>
      <c r="K24421" s="82"/>
      <c r="M24421" s="112"/>
      <c r="N24421" s="84"/>
    </row>
    <row r="24422" spans="1:14" s="2" customFormat="1">
      <c r="A24422" s="83"/>
      <c r="H24422" s="83"/>
      <c r="K24422" s="82"/>
      <c r="M24422" s="112"/>
      <c r="N24422" s="84"/>
    </row>
    <row r="24423" spans="1:14" s="2" customFormat="1">
      <c r="A24423" s="83"/>
      <c r="H24423" s="83"/>
      <c r="K24423" s="82"/>
      <c r="M24423" s="112"/>
      <c r="N24423" s="84"/>
    </row>
    <row r="24424" spans="1:14" s="2" customFormat="1">
      <c r="A24424" s="83"/>
      <c r="H24424" s="83"/>
      <c r="K24424" s="82"/>
      <c r="M24424" s="112"/>
      <c r="N24424" s="84"/>
    </row>
    <row r="24425" spans="1:14" s="2" customFormat="1">
      <c r="A24425" s="83"/>
      <c r="H24425" s="83"/>
      <c r="K24425" s="82"/>
      <c r="M24425" s="112"/>
      <c r="N24425" s="84"/>
    </row>
    <row r="24426" spans="1:14" s="2" customFormat="1">
      <c r="A24426" s="83"/>
      <c r="H24426" s="83"/>
      <c r="K24426" s="82"/>
      <c r="M24426" s="112"/>
      <c r="N24426" s="84"/>
    </row>
    <row r="24427" spans="1:14" s="2" customFormat="1">
      <c r="A24427" s="83"/>
      <c r="H24427" s="83"/>
      <c r="K24427" s="82"/>
      <c r="M24427" s="112"/>
      <c r="N24427" s="84"/>
    </row>
    <row r="24428" spans="1:14" s="2" customFormat="1">
      <c r="A24428" s="83"/>
      <c r="H24428" s="83"/>
      <c r="K24428" s="82"/>
      <c r="M24428" s="112"/>
      <c r="N24428" s="84"/>
    </row>
    <row r="24429" spans="1:14" s="2" customFormat="1">
      <c r="A24429" s="83"/>
      <c r="H24429" s="83"/>
      <c r="K24429" s="82"/>
      <c r="M24429" s="112"/>
      <c r="N24429" s="84"/>
    </row>
    <row r="24430" spans="1:14" s="2" customFormat="1">
      <c r="A24430" s="83"/>
      <c r="H24430" s="83"/>
      <c r="K24430" s="82"/>
      <c r="M24430" s="112"/>
      <c r="N24430" s="84"/>
    </row>
    <row r="24431" spans="1:14" s="2" customFormat="1">
      <c r="A24431" s="83"/>
      <c r="H24431" s="83"/>
      <c r="K24431" s="82"/>
      <c r="M24431" s="112"/>
      <c r="N24431" s="84"/>
    </row>
    <row r="24432" spans="1:14" s="2" customFormat="1">
      <c r="A24432" s="83"/>
      <c r="H24432" s="83"/>
      <c r="K24432" s="82"/>
      <c r="M24432" s="112"/>
      <c r="N24432" s="84"/>
    </row>
    <row r="24433" spans="1:14" s="2" customFormat="1">
      <c r="A24433" s="83"/>
      <c r="H24433" s="83"/>
      <c r="K24433" s="82"/>
      <c r="M24433" s="112"/>
      <c r="N24433" s="84"/>
    </row>
    <row r="24434" spans="1:14" s="2" customFormat="1">
      <c r="A24434" s="83"/>
      <c r="H24434" s="83"/>
      <c r="K24434" s="82"/>
      <c r="M24434" s="112"/>
      <c r="N24434" s="84"/>
    </row>
    <row r="24435" spans="1:14" s="2" customFormat="1">
      <c r="A24435" s="83"/>
      <c r="H24435" s="83"/>
      <c r="K24435" s="82"/>
      <c r="M24435" s="112"/>
      <c r="N24435" s="84"/>
    </row>
    <row r="24436" spans="1:14" s="2" customFormat="1">
      <c r="A24436" s="83"/>
      <c r="H24436" s="83"/>
      <c r="K24436" s="82"/>
      <c r="M24436" s="112"/>
      <c r="N24436" s="84"/>
    </row>
    <row r="24437" spans="1:14" s="2" customFormat="1">
      <c r="A24437" s="83"/>
      <c r="H24437" s="83"/>
      <c r="K24437" s="82"/>
      <c r="M24437" s="112"/>
      <c r="N24437" s="84"/>
    </row>
    <row r="24438" spans="1:14" s="2" customFormat="1">
      <c r="A24438" s="83"/>
      <c r="H24438" s="83"/>
      <c r="K24438" s="82"/>
      <c r="M24438" s="112"/>
      <c r="N24438" s="84"/>
    </row>
    <row r="24439" spans="1:14" s="2" customFormat="1">
      <c r="A24439" s="83"/>
      <c r="H24439" s="83"/>
      <c r="K24439" s="82"/>
      <c r="M24439" s="112"/>
      <c r="N24439" s="84"/>
    </row>
    <row r="24440" spans="1:14" s="2" customFormat="1">
      <c r="A24440" s="83"/>
      <c r="H24440" s="83"/>
      <c r="K24440" s="82"/>
      <c r="M24440" s="112"/>
      <c r="N24440" s="84"/>
    </row>
    <row r="24441" spans="1:14" s="2" customFormat="1">
      <c r="A24441" s="83"/>
      <c r="H24441" s="83"/>
      <c r="K24441" s="82"/>
      <c r="M24441" s="112"/>
      <c r="N24441" s="84"/>
    </row>
    <row r="24442" spans="1:14" s="2" customFormat="1">
      <c r="A24442" s="83"/>
      <c r="H24442" s="83"/>
      <c r="K24442" s="82"/>
      <c r="M24442" s="112"/>
      <c r="N24442" s="84"/>
    </row>
    <row r="24443" spans="1:14" s="2" customFormat="1">
      <c r="A24443" s="83"/>
      <c r="H24443" s="83"/>
      <c r="K24443" s="82"/>
      <c r="M24443" s="112"/>
      <c r="N24443" s="84"/>
    </row>
    <row r="24444" spans="1:14" s="2" customFormat="1">
      <c r="A24444" s="83"/>
      <c r="H24444" s="83"/>
      <c r="K24444" s="82"/>
      <c r="M24444" s="112"/>
      <c r="N24444" s="84"/>
    </row>
    <row r="24445" spans="1:14" s="2" customFormat="1">
      <c r="A24445" s="83"/>
      <c r="H24445" s="83"/>
      <c r="K24445" s="82"/>
      <c r="M24445" s="112"/>
      <c r="N24445" s="84"/>
    </row>
    <row r="24446" spans="1:14" s="2" customFormat="1">
      <c r="A24446" s="83"/>
      <c r="H24446" s="83"/>
      <c r="K24446" s="82"/>
      <c r="M24446" s="112"/>
      <c r="N24446" s="84"/>
    </row>
    <row r="24447" spans="1:14" s="2" customFormat="1">
      <c r="A24447" s="83"/>
      <c r="H24447" s="83"/>
      <c r="K24447" s="82"/>
      <c r="M24447" s="112"/>
      <c r="N24447" s="84"/>
    </row>
    <row r="24448" spans="1:14" s="2" customFormat="1">
      <c r="A24448" s="83"/>
      <c r="H24448" s="83"/>
      <c r="K24448" s="82"/>
      <c r="M24448" s="112"/>
      <c r="N24448" s="84"/>
    </row>
    <row r="24449" spans="1:14" s="2" customFormat="1">
      <c r="A24449" s="83"/>
      <c r="H24449" s="83"/>
      <c r="K24449" s="82"/>
      <c r="M24449" s="112"/>
      <c r="N24449" s="84"/>
    </row>
    <row r="24450" spans="1:14" s="2" customFormat="1">
      <c r="A24450" s="83"/>
      <c r="H24450" s="83"/>
      <c r="K24450" s="82"/>
      <c r="M24450" s="112"/>
      <c r="N24450" s="84"/>
    </row>
    <row r="24451" spans="1:14" s="2" customFormat="1">
      <c r="A24451" s="83"/>
      <c r="H24451" s="83"/>
      <c r="K24451" s="82"/>
      <c r="M24451" s="112"/>
      <c r="N24451" s="84"/>
    </row>
    <row r="24452" spans="1:14" s="2" customFormat="1">
      <c r="A24452" s="83"/>
      <c r="H24452" s="83"/>
      <c r="K24452" s="82"/>
      <c r="M24452" s="112"/>
      <c r="N24452" s="84"/>
    </row>
    <row r="24453" spans="1:14" s="2" customFormat="1">
      <c r="A24453" s="83"/>
      <c r="H24453" s="83"/>
      <c r="K24453" s="82"/>
      <c r="M24453" s="112"/>
      <c r="N24453" s="84"/>
    </row>
    <row r="24454" spans="1:14" s="2" customFormat="1">
      <c r="A24454" s="83"/>
      <c r="H24454" s="83"/>
      <c r="K24454" s="82"/>
      <c r="M24454" s="112"/>
      <c r="N24454" s="84"/>
    </row>
    <row r="24455" spans="1:14" s="2" customFormat="1">
      <c r="A24455" s="83"/>
      <c r="H24455" s="83"/>
      <c r="K24455" s="82"/>
      <c r="M24455" s="112"/>
      <c r="N24455" s="84"/>
    </row>
    <row r="24456" spans="1:14" s="2" customFormat="1">
      <c r="A24456" s="83"/>
      <c r="H24456" s="83"/>
      <c r="K24456" s="82"/>
      <c r="M24456" s="112"/>
      <c r="N24456" s="84"/>
    </row>
    <row r="24457" spans="1:14" s="2" customFormat="1">
      <c r="A24457" s="83"/>
      <c r="H24457" s="83"/>
      <c r="K24457" s="82"/>
      <c r="M24457" s="112"/>
      <c r="N24457" s="84"/>
    </row>
    <row r="24458" spans="1:14" s="2" customFormat="1">
      <c r="A24458" s="83"/>
      <c r="H24458" s="83"/>
      <c r="K24458" s="82"/>
      <c r="M24458" s="112"/>
      <c r="N24458" s="84"/>
    </row>
    <row r="24459" spans="1:14" s="2" customFormat="1">
      <c r="A24459" s="83"/>
      <c r="H24459" s="83"/>
      <c r="K24459" s="82"/>
      <c r="M24459" s="112"/>
      <c r="N24459" s="84"/>
    </row>
    <row r="24460" spans="1:14" s="2" customFormat="1">
      <c r="A24460" s="83"/>
      <c r="H24460" s="83"/>
      <c r="K24460" s="82"/>
      <c r="M24460" s="112"/>
      <c r="N24460" s="84"/>
    </row>
    <row r="24461" spans="1:14" s="2" customFormat="1">
      <c r="A24461" s="83"/>
      <c r="H24461" s="83"/>
      <c r="K24461" s="82"/>
      <c r="M24461" s="112"/>
      <c r="N24461" s="84"/>
    </row>
    <row r="24462" spans="1:14" s="2" customFormat="1">
      <c r="A24462" s="83"/>
      <c r="H24462" s="83"/>
      <c r="K24462" s="82"/>
      <c r="M24462" s="112"/>
      <c r="N24462" s="84"/>
    </row>
    <row r="24463" spans="1:14" s="2" customFormat="1">
      <c r="A24463" s="83"/>
      <c r="H24463" s="83"/>
      <c r="K24463" s="82"/>
      <c r="M24463" s="112"/>
      <c r="N24463" s="84"/>
    </row>
    <row r="24464" spans="1:14" s="2" customFormat="1">
      <c r="A24464" s="83"/>
      <c r="H24464" s="83"/>
      <c r="K24464" s="82"/>
      <c r="M24464" s="112"/>
      <c r="N24464" s="84"/>
    </row>
    <row r="24465" spans="1:14" s="2" customFormat="1">
      <c r="A24465" s="83"/>
      <c r="H24465" s="83"/>
      <c r="K24465" s="82"/>
      <c r="M24465" s="112"/>
      <c r="N24465" s="84"/>
    </row>
    <row r="24466" spans="1:14" s="2" customFormat="1">
      <c r="A24466" s="83"/>
      <c r="H24466" s="83"/>
      <c r="K24466" s="82"/>
      <c r="M24466" s="112"/>
      <c r="N24466" s="84"/>
    </row>
    <row r="24467" spans="1:14" s="2" customFormat="1">
      <c r="A24467" s="83"/>
      <c r="H24467" s="83"/>
      <c r="K24467" s="82"/>
      <c r="M24467" s="112"/>
      <c r="N24467" s="84"/>
    </row>
    <row r="24468" spans="1:14" s="2" customFormat="1">
      <c r="A24468" s="83"/>
      <c r="H24468" s="83"/>
      <c r="K24468" s="82"/>
      <c r="M24468" s="112"/>
      <c r="N24468" s="84"/>
    </row>
    <row r="24469" spans="1:14" s="2" customFormat="1">
      <c r="A24469" s="83"/>
      <c r="H24469" s="83"/>
      <c r="K24469" s="82"/>
      <c r="M24469" s="112"/>
      <c r="N24469" s="84"/>
    </row>
    <row r="24470" spans="1:14" s="2" customFormat="1">
      <c r="A24470" s="83"/>
      <c r="H24470" s="83"/>
      <c r="K24470" s="82"/>
      <c r="M24470" s="112"/>
      <c r="N24470" s="84"/>
    </row>
    <row r="24471" spans="1:14" s="2" customFormat="1">
      <c r="A24471" s="83"/>
      <c r="H24471" s="83"/>
      <c r="K24471" s="82"/>
      <c r="M24471" s="112"/>
      <c r="N24471" s="84"/>
    </row>
    <row r="24472" spans="1:14" s="2" customFormat="1">
      <c r="A24472" s="83"/>
      <c r="H24472" s="83"/>
      <c r="K24472" s="82"/>
      <c r="M24472" s="112"/>
      <c r="N24472" s="84"/>
    </row>
    <row r="24473" spans="1:14" s="2" customFormat="1">
      <c r="A24473" s="83"/>
      <c r="H24473" s="83"/>
      <c r="K24473" s="82"/>
      <c r="M24473" s="112"/>
      <c r="N24473" s="84"/>
    </row>
    <row r="24474" spans="1:14" s="2" customFormat="1">
      <c r="A24474" s="83"/>
      <c r="H24474" s="83"/>
      <c r="K24474" s="82"/>
      <c r="M24474" s="112"/>
      <c r="N24474" s="84"/>
    </row>
    <row r="24475" spans="1:14" s="2" customFormat="1">
      <c r="A24475" s="83"/>
      <c r="H24475" s="83"/>
      <c r="K24475" s="82"/>
      <c r="M24475" s="112"/>
      <c r="N24475" s="84"/>
    </row>
    <row r="24476" spans="1:14" s="2" customFormat="1">
      <c r="A24476" s="83"/>
      <c r="H24476" s="83"/>
      <c r="K24476" s="82"/>
      <c r="M24476" s="112"/>
      <c r="N24476" s="84"/>
    </row>
    <row r="24477" spans="1:14" s="2" customFormat="1">
      <c r="A24477" s="83"/>
      <c r="H24477" s="83"/>
      <c r="K24477" s="82"/>
      <c r="M24477" s="112"/>
      <c r="N24477" s="84"/>
    </row>
    <row r="24478" spans="1:14" s="2" customFormat="1">
      <c r="A24478" s="83"/>
      <c r="H24478" s="83"/>
      <c r="K24478" s="82"/>
      <c r="M24478" s="112"/>
      <c r="N24478" s="84"/>
    </row>
    <row r="24479" spans="1:14" s="2" customFormat="1">
      <c r="A24479" s="83"/>
      <c r="H24479" s="83"/>
      <c r="K24479" s="82"/>
      <c r="M24479" s="112"/>
      <c r="N24479" s="84"/>
    </row>
    <row r="24480" spans="1:14" s="2" customFormat="1">
      <c r="A24480" s="83"/>
      <c r="H24480" s="83"/>
      <c r="K24480" s="82"/>
      <c r="M24480" s="112"/>
      <c r="N24480" s="84"/>
    </row>
    <row r="24481" spans="1:14" s="2" customFormat="1">
      <c r="A24481" s="83"/>
      <c r="H24481" s="83"/>
      <c r="K24481" s="82"/>
      <c r="M24481" s="112"/>
      <c r="N24481" s="84"/>
    </row>
    <row r="24482" spans="1:14" s="2" customFormat="1">
      <c r="A24482" s="83"/>
      <c r="H24482" s="83"/>
      <c r="K24482" s="82"/>
      <c r="M24482" s="112"/>
      <c r="N24482" s="84"/>
    </row>
    <row r="24483" spans="1:14" s="2" customFormat="1">
      <c r="A24483" s="83"/>
      <c r="H24483" s="83"/>
      <c r="K24483" s="82"/>
      <c r="M24483" s="112"/>
      <c r="N24483" s="84"/>
    </row>
    <row r="24484" spans="1:14" s="2" customFormat="1">
      <c r="A24484" s="83"/>
      <c r="H24484" s="83"/>
      <c r="K24484" s="82"/>
      <c r="M24484" s="112"/>
      <c r="N24484" s="84"/>
    </row>
    <row r="24485" spans="1:14" s="2" customFormat="1">
      <c r="A24485" s="83"/>
      <c r="H24485" s="83"/>
      <c r="K24485" s="82"/>
      <c r="M24485" s="112"/>
      <c r="N24485" s="84"/>
    </row>
    <row r="24486" spans="1:14" s="2" customFormat="1">
      <c r="A24486" s="83"/>
      <c r="H24486" s="83"/>
      <c r="K24486" s="82"/>
      <c r="M24486" s="112"/>
      <c r="N24486" s="84"/>
    </row>
    <row r="24487" spans="1:14" s="2" customFormat="1">
      <c r="A24487" s="83"/>
      <c r="H24487" s="83"/>
      <c r="K24487" s="82"/>
      <c r="M24487" s="112"/>
      <c r="N24487" s="84"/>
    </row>
    <row r="24488" spans="1:14" s="2" customFormat="1">
      <c r="A24488" s="83"/>
      <c r="H24488" s="83"/>
      <c r="K24488" s="82"/>
      <c r="M24488" s="112"/>
      <c r="N24488" s="84"/>
    </row>
    <row r="24489" spans="1:14" s="2" customFormat="1">
      <c r="A24489" s="83"/>
      <c r="H24489" s="83"/>
      <c r="K24489" s="82"/>
      <c r="M24489" s="112"/>
      <c r="N24489" s="84"/>
    </row>
    <row r="24490" spans="1:14" s="2" customFormat="1">
      <c r="A24490" s="83"/>
      <c r="H24490" s="83"/>
      <c r="K24490" s="82"/>
      <c r="M24490" s="112"/>
      <c r="N24490" s="84"/>
    </row>
    <row r="24491" spans="1:14" s="2" customFormat="1">
      <c r="A24491" s="83"/>
      <c r="H24491" s="83"/>
      <c r="K24491" s="82"/>
      <c r="M24491" s="112"/>
      <c r="N24491" s="84"/>
    </row>
    <row r="24492" spans="1:14" s="2" customFormat="1">
      <c r="A24492" s="83"/>
      <c r="H24492" s="83"/>
      <c r="K24492" s="82"/>
      <c r="M24492" s="112"/>
      <c r="N24492" s="84"/>
    </row>
    <row r="24493" spans="1:14" s="2" customFormat="1">
      <c r="A24493" s="83"/>
      <c r="H24493" s="83"/>
      <c r="K24493" s="82"/>
      <c r="M24493" s="112"/>
      <c r="N24493" s="84"/>
    </row>
    <row r="24494" spans="1:14" s="2" customFormat="1">
      <c r="A24494" s="83"/>
      <c r="H24494" s="83"/>
      <c r="K24494" s="82"/>
      <c r="M24494" s="112"/>
      <c r="N24494" s="84"/>
    </row>
    <row r="24495" spans="1:14" s="2" customFormat="1">
      <c r="A24495" s="83"/>
      <c r="H24495" s="83"/>
      <c r="K24495" s="82"/>
      <c r="M24495" s="112"/>
      <c r="N24495" s="84"/>
    </row>
    <row r="24496" spans="1:14" s="2" customFormat="1">
      <c r="A24496" s="83"/>
      <c r="H24496" s="83"/>
      <c r="K24496" s="82"/>
      <c r="M24496" s="112"/>
      <c r="N24496" s="84"/>
    </row>
    <row r="24497" spans="1:14" s="2" customFormat="1">
      <c r="A24497" s="83"/>
      <c r="H24497" s="83"/>
      <c r="K24497" s="82"/>
      <c r="M24497" s="112"/>
      <c r="N24497" s="84"/>
    </row>
    <row r="24498" spans="1:14" s="2" customFormat="1">
      <c r="A24498" s="83"/>
      <c r="H24498" s="83"/>
      <c r="K24498" s="82"/>
      <c r="M24498" s="112"/>
      <c r="N24498" s="84"/>
    </row>
    <row r="24499" spans="1:14" s="2" customFormat="1">
      <c r="A24499" s="83"/>
      <c r="H24499" s="83"/>
      <c r="K24499" s="82"/>
      <c r="M24499" s="112"/>
      <c r="N24499" s="84"/>
    </row>
    <row r="24500" spans="1:14" s="2" customFormat="1">
      <c r="A24500" s="83"/>
      <c r="H24500" s="83"/>
      <c r="K24500" s="82"/>
      <c r="M24500" s="112"/>
      <c r="N24500" s="84"/>
    </row>
    <row r="24501" spans="1:14" s="2" customFormat="1">
      <c r="A24501" s="83"/>
      <c r="H24501" s="83"/>
      <c r="K24501" s="82"/>
      <c r="M24501" s="112"/>
      <c r="N24501" s="84"/>
    </row>
    <row r="24502" spans="1:14" s="2" customFormat="1">
      <c r="A24502" s="83"/>
      <c r="H24502" s="83"/>
      <c r="K24502" s="82"/>
      <c r="M24502" s="112"/>
      <c r="N24502" s="84"/>
    </row>
    <row r="24503" spans="1:14" s="2" customFormat="1">
      <c r="A24503" s="83"/>
      <c r="H24503" s="83"/>
      <c r="K24503" s="82"/>
      <c r="M24503" s="112"/>
      <c r="N24503" s="84"/>
    </row>
    <row r="24504" spans="1:14" s="2" customFormat="1">
      <c r="A24504" s="83"/>
      <c r="H24504" s="83"/>
      <c r="K24504" s="82"/>
      <c r="M24504" s="112"/>
      <c r="N24504" s="84"/>
    </row>
    <row r="24505" spans="1:14" s="2" customFormat="1">
      <c r="A24505" s="83"/>
      <c r="H24505" s="83"/>
      <c r="K24505" s="82"/>
      <c r="M24505" s="112"/>
      <c r="N24505" s="84"/>
    </row>
    <row r="24506" spans="1:14" s="2" customFormat="1">
      <c r="A24506" s="83"/>
      <c r="H24506" s="83"/>
      <c r="K24506" s="82"/>
      <c r="M24506" s="112"/>
      <c r="N24506" s="84"/>
    </row>
    <row r="24507" spans="1:14" s="2" customFormat="1">
      <c r="A24507" s="83"/>
      <c r="H24507" s="83"/>
      <c r="K24507" s="82"/>
      <c r="M24507" s="112"/>
      <c r="N24507" s="84"/>
    </row>
    <row r="24508" spans="1:14" s="2" customFormat="1">
      <c r="A24508" s="83"/>
      <c r="H24508" s="83"/>
      <c r="K24508" s="82"/>
      <c r="M24508" s="112"/>
      <c r="N24508" s="84"/>
    </row>
    <row r="24509" spans="1:14" s="2" customFormat="1">
      <c r="A24509" s="83"/>
      <c r="H24509" s="83"/>
      <c r="K24509" s="82"/>
      <c r="M24509" s="112"/>
      <c r="N24509" s="84"/>
    </row>
    <row r="24510" spans="1:14" s="2" customFormat="1">
      <c r="A24510" s="83"/>
      <c r="H24510" s="83"/>
      <c r="K24510" s="82"/>
      <c r="M24510" s="112"/>
      <c r="N24510" s="84"/>
    </row>
    <row r="24511" spans="1:14" s="2" customFormat="1">
      <c r="A24511" s="83"/>
      <c r="H24511" s="83"/>
      <c r="K24511" s="82"/>
      <c r="M24511" s="112"/>
      <c r="N24511" s="84"/>
    </row>
    <row r="24512" spans="1:14" s="2" customFormat="1">
      <c r="A24512" s="83"/>
      <c r="H24512" s="83"/>
      <c r="K24512" s="82"/>
      <c r="M24512" s="112"/>
      <c r="N24512" s="84"/>
    </row>
    <row r="24513" spans="1:14" s="2" customFormat="1">
      <c r="A24513" s="83"/>
      <c r="H24513" s="83"/>
      <c r="K24513" s="82"/>
      <c r="M24513" s="112"/>
      <c r="N24513" s="84"/>
    </row>
    <row r="24514" spans="1:14" s="2" customFormat="1">
      <c r="A24514" s="83"/>
      <c r="H24514" s="83"/>
      <c r="K24514" s="82"/>
      <c r="M24514" s="112"/>
      <c r="N24514" s="84"/>
    </row>
    <row r="24515" spans="1:14" s="2" customFormat="1">
      <c r="A24515" s="83"/>
      <c r="H24515" s="83"/>
      <c r="K24515" s="82"/>
      <c r="M24515" s="112"/>
      <c r="N24515" s="84"/>
    </row>
    <row r="24516" spans="1:14" s="2" customFormat="1">
      <c r="A24516" s="83"/>
      <c r="H24516" s="83"/>
      <c r="K24516" s="82"/>
      <c r="M24516" s="112"/>
      <c r="N24516" s="84"/>
    </row>
    <row r="24517" spans="1:14" s="2" customFormat="1">
      <c r="A24517" s="83"/>
      <c r="H24517" s="83"/>
      <c r="K24517" s="82"/>
      <c r="M24517" s="112"/>
      <c r="N24517" s="84"/>
    </row>
    <row r="24518" spans="1:14" s="2" customFormat="1">
      <c r="A24518" s="83"/>
      <c r="H24518" s="83"/>
      <c r="K24518" s="82"/>
      <c r="M24518" s="112"/>
      <c r="N24518" s="84"/>
    </row>
    <row r="24519" spans="1:14" s="2" customFormat="1">
      <c r="A24519" s="83"/>
      <c r="H24519" s="83"/>
      <c r="K24519" s="82"/>
      <c r="M24519" s="112"/>
      <c r="N24519" s="84"/>
    </row>
    <row r="24520" spans="1:14" s="2" customFormat="1">
      <c r="A24520" s="83"/>
      <c r="H24520" s="83"/>
      <c r="K24520" s="82"/>
      <c r="M24520" s="112"/>
      <c r="N24520" s="84"/>
    </row>
    <row r="24521" spans="1:14" s="2" customFormat="1">
      <c r="A24521" s="83"/>
      <c r="H24521" s="83"/>
      <c r="K24521" s="82"/>
      <c r="M24521" s="112"/>
      <c r="N24521" s="84"/>
    </row>
    <row r="24522" spans="1:14" s="2" customFormat="1">
      <c r="A24522" s="83"/>
      <c r="H24522" s="83"/>
      <c r="K24522" s="82"/>
      <c r="M24522" s="112"/>
      <c r="N24522" s="84"/>
    </row>
    <row r="24523" spans="1:14" s="2" customFormat="1">
      <c r="A24523" s="83"/>
      <c r="H24523" s="83"/>
      <c r="K24523" s="82"/>
      <c r="M24523" s="112"/>
      <c r="N24523" s="84"/>
    </row>
    <row r="24524" spans="1:14" s="2" customFormat="1">
      <c r="A24524" s="83"/>
      <c r="H24524" s="83"/>
      <c r="K24524" s="82"/>
      <c r="M24524" s="112"/>
      <c r="N24524" s="84"/>
    </row>
    <row r="24525" spans="1:14" s="2" customFormat="1">
      <c r="A24525" s="83"/>
      <c r="H24525" s="83"/>
      <c r="K24525" s="82"/>
      <c r="M24525" s="112"/>
      <c r="N24525" s="84"/>
    </row>
    <row r="24526" spans="1:14" s="2" customFormat="1">
      <c r="A24526" s="83"/>
      <c r="H24526" s="83"/>
      <c r="K24526" s="82"/>
      <c r="M24526" s="112"/>
      <c r="N24526" s="84"/>
    </row>
    <row r="24527" spans="1:14" s="2" customFormat="1">
      <c r="A24527" s="83"/>
      <c r="H24527" s="83"/>
      <c r="K24527" s="82"/>
      <c r="M24527" s="112"/>
      <c r="N24527" s="84"/>
    </row>
    <row r="24528" spans="1:14" s="2" customFormat="1">
      <c r="A24528" s="83"/>
      <c r="H24528" s="83"/>
      <c r="K24528" s="82"/>
      <c r="M24528" s="112"/>
      <c r="N24528" s="84"/>
    </row>
    <row r="24529" spans="1:14" s="2" customFormat="1">
      <c r="A24529" s="83"/>
      <c r="H24529" s="83"/>
      <c r="K24529" s="82"/>
      <c r="M24529" s="112"/>
      <c r="N24529" s="84"/>
    </row>
    <row r="24530" spans="1:14" s="2" customFormat="1">
      <c r="A24530" s="83"/>
      <c r="H24530" s="83"/>
      <c r="K24530" s="82"/>
      <c r="M24530" s="112"/>
      <c r="N24530" s="84"/>
    </row>
    <row r="24531" spans="1:14" s="2" customFormat="1">
      <c r="A24531" s="83"/>
      <c r="H24531" s="83"/>
      <c r="K24531" s="82"/>
      <c r="M24531" s="112"/>
      <c r="N24531" s="84"/>
    </row>
    <row r="24532" spans="1:14" s="2" customFormat="1">
      <c r="A24532" s="83"/>
      <c r="H24532" s="83"/>
      <c r="K24532" s="82"/>
      <c r="M24532" s="112"/>
      <c r="N24532" s="84"/>
    </row>
    <row r="24533" spans="1:14" s="2" customFormat="1">
      <c r="A24533" s="83"/>
      <c r="H24533" s="83"/>
      <c r="K24533" s="82"/>
      <c r="M24533" s="112"/>
      <c r="N24533" s="84"/>
    </row>
    <row r="24534" spans="1:14" s="2" customFormat="1">
      <c r="A24534" s="83"/>
      <c r="H24534" s="83"/>
      <c r="K24534" s="82"/>
      <c r="M24534" s="112"/>
      <c r="N24534" s="84"/>
    </row>
    <row r="24535" spans="1:14" s="2" customFormat="1">
      <c r="A24535" s="83"/>
      <c r="H24535" s="83"/>
      <c r="K24535" s="82"/>
      <c r="M24535" s="112"/>
      <c r="N24535" s="84"/>
    </row>
    <row r="24536" spans="1:14" s="2" customFormat="1">
      <c r="A24536" s="83"/>
      <c r="H24536" s="83"/>
      <c r="K24536" s="82"/>
      <c r="M24536" s="112"/>
      <c r="N24536" s="84"/>
    </row>
    <row r="24537" spans="1:14" s="2" customFormat="1">
      <c r="A24537" s="83"/>
      <c r="H24537" s="83"/>
      <c r="K24537" s="82"/>
      <c r="M24537" s="112"/>
      <c r="N24537" s="84"/>
    </row>
    <row r="24538" spans="1:14" s="2" customFormat="1">
      <c r="A24538" s="83"/>
      <c r="H24538" s="83"/>
      <c r="K24538" s="82"/>
      <c r="M24538" s="112"/>
      <c r="N24538" s="84"/>
    </row>
    <row r="24539" spans="1:14" s="2" customFormat="1">
      <c r="A24539" s="83"/>
      <c r="H24539" s="83"/>
      <c r="K24539" s="82"/>
      <c r="M24539" s="112"/>
      <c r="N24539" s="84"/>
    </row>
    <row r="24540" spans="1:14" s="2" customFormat="1">
      <c r="A24540" s="83"/>
      <c r="H24540" s="83"/>
      <c r="K24540" s="82"/>
      <c r="M24540" s="112"/>
      <c r="N24540" s="84"/>
    </row>
    <row r="24541" spans="1:14" s="2" customFormat="1">
      <c r="A24541" s="83"/>
      <c r="H24541" s="83"/>
      <c r="K24541" s="82"/>
      <c r="M24541" s="112"/>
      <c r="N24541" s="84"/>
    </row>
    <row r="24542" spans="1:14" s="2" customFormat="1">
      <c r="A24542" s="83"/>
      <c r="H24542" s="83"/>
      <c r="K24542" s="82"/>
      <c r="M24542" s="112"/>
      <c r="N24542" s="84"/>
    </row>
    <row r="24543" spans="1:14" s="2" customFormat="1">
      <c r="A24543" s="83"/>
      <c r="H24543" s="83"/>
      <c r="K24543" s="82"/>
      <c r="M24543" s="112"/>
      <c r="N24543" s="84"/>
    </row>
    <row r="24544" spans="1:14" s="2" customFormat="1">
      <c r="A24544" s="83"/>
      <c r="H24544" s="83"/>
      <c r="K24544" s="82"/>
      <c r="M24544" s="112"/>
      <c r="N24544" s="84"/>
    </row>
    <row r="24545" spans="1:14" s="2" customFormat="1">
      <c r="A24545" s="83"/>
      <c r="H24545" s="83"/>
      <c r="K24545" s="82"/>
      <c r="M24545" s="112"/>
      <c r="N24545" s="84"/>
    </row>
    <row r="24546" spans="1:14" s="2" customFormat="1">
      <c r="A24546" s="83"/>
      <c r="H24546" s="83"/>
      <c r="K24546" s="82"/>
      <c r="M24546" s="112"/>
      <c r="N24546" s="84"/>
    </row>
    <row r="24547" spans="1:14" s="2" customFormat="1">
      <c r="A24547" s="83"/>
      <c r="H24547" s="83"/>
      <c r="K24547" s="82"/>
      <c r="M24547" s="112"/>
      <c r="N24547" s="84"/>
    </row>
    <row r="24548" spans="1:14" s="2" customFormat="1">
      <c r="A24548" s="83"/>
      <c r="H24548" s="83"/>
      <c r="K24548" s="82"/>
      <c r="M24548" s="112"/>
      <c r="N24548" s="84"/>
    </row>
    <row r="24549" spans="1:14" s="2" customFormat="1">
      <c r="A24549" s="83"/>
      <c r="H24549" s="83"/>
      <c r="K24549" s="82"/>
      <c r="M24549" s="112"/>
      <c r="N24549" s="84"/>
    </row>
    <row r="24550" spans="1:14" s="2" customFormat="1">
      <c r="A24550" s="83"/>
      <c r="H24550" s="83"/>
      <c r="K24550" s="82"/>
      <c r="M24550" s="112"/>
      <c r="N24550" s="84"/>
    </row>
    <row r="24551" spans="1:14" s="2" customFormat="1">
      <c r="A24551" s="83"/>
      <c r="H24551" s="83"/>
      <c r="K24551" s="82"/>
      <c r="M24551" s="112"/>
      <c r="N24551" s="84"/>
    </row>
    <row r="24552" spans="1:14" s="2" customFormat="1">
      <c r="A24552" s="83"/>
      <c r="H24552" s="83"/>
      <c r="K24552" s="82"/>
      <c r="M24552" s="112"/>
      <c r="N24552" s="84"/>
    </row>
    <row r="24553" spans="1:14" s="2" customFormat="1">
      <c r="A24553" s="83"/>
      <c r="H24553" s="83"/>
      <c r="K24553" s="82"/>
      <c r="M24553" s="112"/>
      <c r="N24553" s="84"/>
    </row>
    <row r="24554" spans="1:14" s="2" customFormat="1">
      <c r="A24554" s="83"/>
      <c r="H24554" s="83"/>
      <c r="K24554" s="82"/>
      <c r="M24554" s="112"/>
      <c r="N24554" s="84"/>
    </row>
    <row r="24555" spans="1:14" s="2" customFormat="1">
      <c r="A24555" s="83"/>
      <c r="H24555" s="83"/>
      <c r="K24555" s="82"/>
      <c r="M24555" s="112"/>
      <c r="N24555" s="84"/>
    </row>
    <row r="24556" spans="1:14" s="2" customFormat="1">
      <c r="A24556" s="83"/>
      <c r="H24556" s="83"/>
      <c r="K24556" s="82"/>
      <c r="M24556" s="112"/>
      <c r="N24556" s="84"/>
    </row>
    <row r="24557" spans="1:14" s="2" customFormat="1">
      <c r="A24557" s="83"/>
      <c r="H24557" s="83"/>
      <c r="K24557" s="82"/>
      <c r="M24557" s="112"/>
      <c r="N24557" s="84"/>
    </row>
    <row r="24558" spans="1:14" s="2" customFormat="1">
      <c r="A24558" s="83"/>
      <c r="H24558" s="83"/>
      <c r="K24558" s="82"/>
      <c r="M24558" s="112"/>
      <c r="N24558" s="84"/>
    </row>
    <row r="24559" spans="1:14" s="2" customFormat="1">
      <c r="A24559" s="83"/>
      <c r="H24559" s="83"/>
      <c r="K24559" s="82"/>
      <c r="M24559" s="112"/>
      <c r="N24559" s="84"/>
    </row>
    <row r="24560" spans="1:14" s="2" customFormat="1">
      <c r="A24560" s="83"/>
      <c r="H24560" s="83"/>
      <c r="K24560" s="82"/>
      <c r="M24560" s="112"/>
      <c r="N24560" s="84"/>
    </row>
    <row r="24561" spans="1:14" s="2" customFormat="1">
      <c r="A24561" s="83"/>
      <c r="H24561" s="83"/>
      <c r="K24561" s="82"/>
      <c r="M24561" s="112"/>
      <c r="N24561" s="84"/>
    </row>
    <row r="24562" spans="1:14" s="2" customFormat="1">
      <c r="A24562" s="83"/>
      <c r="H24562" s="83"/>
      <c r="K24562" s="82"/>
      <c r="M24562" s="112"/>
      <c r="N24562" s="84"/>
    </row>
    <row r="24563" spans="1:14" s="2" customFormat="1">
      <c r="A24563" s="83"/>
      <c r="H24563" s="83"/>
      <c r="K24563" s="82"/>
      <c r="M24563" s="112"/>
      <c r="N24563" s="84"/>
    </row>
    <row r="24564" spans="1:14" s="2" customFormat="1">
      <c r="A24564" s="83"/>
      <c r="H24564" s="83"/>
      <c r="K24564" s="82"/>
      <c r="M24564" s="112"/>
      <c r="N24564" s="84"/>
    </row>
    <row r="24565" spans="1:14" s="2" customFormat="1">
      <c r="A24565" s="83"/>
      <c r="H24565" s="83"/>
      <c r="K24565" s="82"/>
      <c r="M24565" s="112"/>
      <c r="N24565" s="84"/>
    </row>
    <row r="24566" spans="1:14" s="2" customFormat="1">
      <c r="A24566" s="83"/>
      <c r="H24566" s="83"/>
      <c r="K24566" s="82"/>
      <c r="M24566" s="112"/>
      <c r="N24566" s="84"/>
    </row>
    <row r="24567" spans="1:14" s="2" customFormat="1">
      <c r="A24567" s="83"/>
      <c r="H24567" s="83"/>
      <c r="K24567" s="82"/>
      <c r="M24567" s="112"/>
      <c r="N24567" s="84"/>
    </row>
    <row r="24568" spans="1:14" s="2" customFormat="1">
      <c r="A24568" s="83"/>
      <c r="H24568" s="83"/>
      <c r="K24568" s="82"/>
      <c r="M24568" s="112"/>
      <c r="N24568" s="84"/>
    </row>
    <row r="24569" spans="1:14" s="2" customFormat="1">
      <c r="A24569" s="83"/>
      <c r="H24569" s="83"/>
      <c r="K24569" s="82"/>
      <c r="M24569" s="112"/>
      <c r="N24569" s="84"/>
    </row>
    <row r="24570" spans="1:14" s="2" customFormat="1">
      <c r="A24570" s="83"/>
      <c r="H24570" s="83"/>
      <c r="K24570" s="82"/>
      <c r="M24570" s="112"/>
      <c r="N24570" s="84"/>
    </row>
    <row r="24571" spans="1:14" s="2" customFormat="1">
      <c r="A24571" s="83"/>
      <c r="H24571" s="83"/>
      <c r="K24571" s="82"/>
      <c r="M24571" s="112"/>
      <c r="N24571" s="84"/>
    </row>
    <row r="24572" spans="1:14" s="2" customFormat="1">
      <c r="A24572" s="83"/>
      <c r="H24572" s="83"/>
      <c r="K24572" s="82"/>
      <c r="M24572" s="112"/>
      <c r="N24572" s="84"/>
    </row>
    <row r="24573" spans="1:14" s="2" customFormat="1">
      <c r="A24573" s="83"/>
      <c r="H24573" s="83"/>
      <c r="K24573" s="82"/>
      <c r="M24573" s="112"/>
      <c r="N24573" s="84"/>
    </row>
    <row r="24574" spans="1:14" s="2" customFormat="1">
      <c r="A24574" s="83"/>
      <c r="H24574" s="83"/>
      <c r="K24574" s="82"/>
      <c r="M24574" s="112"/>
      <c r="N24574" s="84"/>
    </row>
    <row r="24575" spans="1:14" s="2" customFormat="1">
      <c r="A24575" s="83"/>
      <c r="H24575" s="83"/>
      <c r="K24575" s="82"/>
      <c r="M24575" s="112"/>
      <c r="N24575" s="84"/>
    </row>
    <row r="24576" spans="1:14" s="2" customFormat="1">
      <c r="A24576" s="83"/>
      <c r="H24576" s="83"/>
      <c r="K24576" s="82"/>
      <c r="M24576" s="112"/>
      <c r="N24576" s="84"/>
    </row>
    <row r="24577" spans="1:14" s="2" customFormat="1">
      <c r="A24577" s="83"/>
      <c r="H24577" s="83"/>
      <c r="K24577" s="82"/>
      <c r="M24577" s="112"/>
      <c r="N24577" s="84"/>
    </row>
    <row r="24578" spans="1:14" s="2" customFormat="1">
      <c r="A24578" s="83"/>
      <c r="H24578" s="83"/>
      <c r="K24578" s="82"/>
      <c r="M24578" s="112"/>
      <c r="N24578" s="84"/>
    </row>
    <row r="24579" spans="1:14" s="2" customFormat="1">
      <c r="A24579" s="83"/>
      <c r="H24579" s="83"/>
      <c r="K24579" s="82"/>
      <c r="M24579" s="112"/>
      <c r="N24579" s="84"/>
    </row>
    <row r="24580" spans="1:14" s="2" customFormat="1">
      <c r="A24580" s="83"/>
      <c r="H24580" s="83"/>
      <c r="K24580" s="82"/>
      <c r="M24580" s="112"/>
      <c r="N24580" s="84"/>
    </row>
    <row r="24581" spans="1:14" s="2" customFormat="1">
      <c r="A24581" s="83"/>
      <c r="H24581" s="83"/>
      <c r="K24581" s="82"/>
      <c r="M24581" s="112"/>
      <c r="N24581" s="84"/>
    </row>
    <row r="24582" spans="1:14" s="2" customFormat="1">
      <c r="A24582" s="83"/>
      <c r="H24582" s="83"/>
      <c r="K24582" s="82"/>
      <c r="M24582" s="112"/>
      <c r="N24582" s="84"/>
    </row>
    <row r="24583" spans="1:14" s="2" customFormat="1">
      <c r="A24583" s="83"/>
      <c r="H24583" s="83"/>
      <c r="K24583" s="82"/>
      <c r="M24583" s="112"/>
      <c r="N24583" s="84"/>
    </row>
    <row r="24584" spans="1:14" s="2" customFormat="1">
      <c r="A24584" s="83"/>
      <c r="H24584" s="83"/>
      <c r="K24584" s="82"/>
      <c r="M24584" s="112"/>
      <c r="N24584" s="84"/>
    </row>
    <row r="24585" spans="1:14" s="2" customFormat="1">
      <c r="A24585" s="83"/>
      <c r="H24585" s="83"/>
      <c r="K24585" s="82"/>
      <c r="M24585" s="112"/>
      <c r="N24585" s="84"/>
    </row>
    <row r="24586" spans="1:14" s="2" customFormat="1">
      <c r="A24586" s="83"/>
      <c r="H24586" s="83"/>
      <c r="K24586" s="82"/>
      <c r="M24586" s="112"/>
      <c r="N24586" s="84"/>
    </row>
    <row r="24587" spans="1:14" s="2" customFormat="1">
      <c r="A24587" s="83"/>
      <c r="H24587" s="83"/>
      <c r="K24587" s="82"/>
      <c r="M24587" s="112"/>
      <c r="N24587" s="84"/>
    </row>
    <row r="24588" spans="1:14" s="2" customFormat="1">
      <c r="A24588" s="83"/>
      <c r="H24588" s="83"/>
      <c r="K24588" s="82"/>
      <c r="M24588" s="112"/>
      <c r="N24588" s="84"/>
    </row>
    <row r="24589" spans="1:14" s="2" customFormat="1">
      <c r="A24589" s="83"/>
      <c r="H24589" s="83"/>
      <c r="K24589" s="82"/>
      <c r="M24589" s="112"/>
      <c r="N24589" s="84"/>
    </row>
    <row r="24590" spans="1:14" s="2" customFormat="1">
      <c r="A24590" s="83"/>
      <c r="H24590" s="83"/>
      <c r="K24590" s="82"/>
      <c r="M24590" s="112"/>
      <c r="N24590" s="84"/>
    </row>
    <row r="24591" spans="1:14" s="2" customFormat="1">
      <c r="A24591" s="83"/>
      <c r="H24591" s="83"/>
      <c r="K24591" s="82"/>
      <c r="M24591" s="112"/>
      <c r="N24591" s="84"/>
    </row>
    <row r="24592" spans="1:14" s="2" customFormat="1">
      <c r="A24592" s="83"/>
      <c r="H24592" s="83"/>
      <c r="K24592" s="82"/>
      <c r="M24592" s="112"/>
      <c r="N24592" s="84"/>
    </row>
    <row r="24593" spans="1:14" s="2" customFormat="1">
      <c r="A24593" s="83"/>
      <c r="H24593" s="83"/>
      <c r="K24593" s="82"/>
      <c r="M24593" s="112"/>
      <c r="N24593" s="84"/>
    </row>
    <row r="24594" spans="1:14" s="2" customFormat="1">
      <c r="A24594" s="83"/>
      <c r="H24594" s="83"/>
      <c r="K24594" s="82"/>
      <c r="M24594" s="112"/>
      <c r="N24594" s="84"/>
    </row>
    <row r="24595" spans="1:14" s="2" customFormat="1">
      <c r="A24595" s="83"/>
      <c r="H24595" s="83"/>
      <c r="K24595" s="82"/>
      <c r="M24595" s="112"/>
      <c r="N24595" s="84"/>
    </row>
    <row r="24596" spans="1:14" s="2" customFormat="1">
      <c r="A24596" s="83"/>
      <c r="H24596" s="83"/>
      <c r="K24596" s="82"/>
      <c r="M24596" s="112"/>
      <c r="N24596" s="84"/>
    </row>
    <row r="24597" spans="1:14" s="2" customFormat="1">
      <c r="A24597" s="83"/>
      <c r="H24597" s="83"/>
      <c r="K24597" s="82"/>
      <c r="M24597" s="112"/>
      <c r="N24597" s="84"/>
    </row>
    <row r="24598" spans="1:14" s="2" customFormat="1">
      <c r="A24598" s="83"/>
      <c r="H24598" s="83"/>
      <c r="K24598" s="82"/>
      <c r="M24598" s="112"/>
      <c r="N24598" s="84"/>
    </row>
    <row r="24599" spans="1:14" s="2" customFormat="1">
      <c r="A24599" s="83"/>
      <c r="H24599" s="83"/>
      <c r="K24599" s="82"/>
      <c r="M24599" s="112"/>
      <c r="N24599" s="84"/>
    </row>
    <row r="24600" spans="1:14" s="2" customFormat="1">
      <c r="A24600" s="83"/>
      <c r="H24600" s="83"/>
      <c r="K24600" s="82"/>
      <c r="M24600" s="112"/>
      <c r="N24600" s="84"/>
    </row>
    <row r="24601" spans="1:14" s="2" customFormat="1">
      <c r="A24601" s="83"/>
      <c r="H24601" s="83"/>
      <c r="K24601" s="82"/>
      <c r="M24601" s="112"/>
      <c r="N24601" s="84"/>
    </row>
    <row r="24602" spans="1:14" s="2" customFormat="1">
      <c r="A24602" s="83"/>
      <c r="H24602" s="83"/>
      <c r="K24602" s="82"/>
      <c r="M24602" s="112"/>
      <c r="N24602" s="84"/>
    </row>
    <row r="24603" spans="1:14" s="2" customFormat="1">
      <c r="A24603" s="83"/>
      <c r="H24603" s="83"/>
      <c r="K24603" s="82"/>
      <c r="M24603" s="112"/>
      <c r="N24603" s="84"/>
    </row>
    <row r="24604" spans="1:14" s="2" customFormat="1">
      <c r="A24604" s="83"/>
      <c r="H24604" s="83"/>
      <c r="K24604" s="82"/>
      <c r="M24604" s="112"/>
      <c r="N24604" s="84"/>
    </row>
    <row r="24605" spans="1:14" s="2" customFormat="1">
      <c r="A24605" s="83"/>
      <c r="H24605" s="83"/>
      <c r="K24605" s="82"/>
      <c r="M24605" s="112"/>
      <c r="N24605" s="84"/>
    </row>
    <row r="24606" spans="1:14" s="2" customFormat="1">
      <c r="A24606" s="83"/>
      <c r="H24606" s="83"/>
      <c r="K24606" s="82"/>
      <c r="M24606" s="112"/>
      <c r="N24606" s="84"/>
    </row>
    <row r="24607" spans="1:14" s="2" customFormat="1">
      <c r="A24607" s="83"/>
      <c r="H24607" s="83"/>
      <c r="K24607" s="82"/>
      <c r="M24607" s="112"/>
      <c r="N24607" s="84"/>
    </row>
    <row r="24608" spans="1:14" s="2" customFormat="1">
      <c r="A24608" s="83"/>
      <c r="H24608" s="83"/>
      <c r="K24608" s="82"/>
      <c r="M24608" s="112"/>
      <c r="N24608" s="84"/>
    </row>
    <row r="24609" spans="1:14" s="2" customFormat="1">
      <c r="A24609" s="83"/>
      <c r="H24609" s="83"/>
      <c r="K24609" s="82"/>
      <c r="M24609" s="112"/>
      <c r="N24609" s="84"/>
    </row>
    <row r="24610" spans="1:14" s="2" customFormat="1">
      <c r="A24610" s="83"/>
      <c r="H24610" s="83"/>
      <c r="K24610" s="82"/>
      <c r="M24610" s="112"/>
      <c r="N24610" s="84"/>
    </row>
    <row r="24611" spans="1:14" s="2" customFormat="1">
      <c r="A24611" s="83"/>
      <c r="H24611" s="83"/>
      <c r="K24611" s="82"/>
      <c r="M24611" s="112"/>
      <c r="N24611" s="84"/>
    </row>
    <row r="24612" spans="1:14" s="2" customFormat="1">
      <c r="A24612" s="83"/>
      <c r="H24612" s="83"/>
      <c r="K24612" s="82"/>
      <c r="M24612" s="112"/>
      <c r="N24612" s="84"/>
    </row>
    <row r="24613" spans="1:14" s="2" customFormat="1">
      <c r="A24613" s="83"/>
      <c r="H24613" s="83"/>
      <c r="K24613" s="82"/>
      <c r="M24613" s="112"/>
      <c r="N24613" s="84"/>
    </row>
    <row r="24614" spans="1:14" s="2" customFormat="1">
      <c r="A24614" s="83"/>
      <c r="H24614" s="83"/>
      <c r="K24614" s="82"/>
      <c r="M24614" s="112"/>
      <c r="N24614" s="84"/>
    </row>
    <row r="24615" spans="1:14" s="2" customFormat="1">
      <c r="A24615" s="83"/>
      <c r="H24615" s="83"/>
      <c r="K24615" s="82"/>
      <c r="M24615" s="112"/>
      <c r="N24615" s="84"/>
    </row>
    <row r="24616" spans="1:14" s="2" customFormat="1">
      <c r="A24616" s="83"/>
      <c r="H24616" s="83"/>
      <c r="K24616" s="82"/>
      <c r="M24616" s="112"/>
      <c r="N24616" s="84"/>
    </row>
    <row r="24617" spans="1:14" s="2" customFormat="1">
      <c r="A24617" s="83"/>
      <c r="H24617" s="83"/>
      <c r="K24617" s="82"/>
      <c r="M24617" s="112"/>
      <c r="N24617" s="84"/>
    </row>
    <row r="24618" spans="1:14" s="2" customFormat="1">
      <c r="A24618" s="83"/>
      <c r="H24618" s="83"/>
      <c r="K24618" s="82"/>
      <c r="M24618" s="112"/>
      <c r="N24618" s="84"/>
    </row>
    <row r="24619" spans="1:14" s="2" customFormat="1">
      <c r="A24619" s="83"/>
      <c r="H24619" s="83"/>
      <c r="K24619" s="82"/>
      <c r="M24619" s="112"/>
      <c r="N24619" s="84"/>
    </row>
    <row r="24620" spans="1:14" s="2" customFormat="1">
      <c r="A24620" s="83"/>
      <c r="H24620" s="83"/>
      <c r="K24620" s="82"/>
      <c r="M24620" s="112"/>
      <c r="N24620" s="84"/>
    </row>
    <row r="24621" spans="1:14" s="2" customFormat="1">
      <c r="A24621" s="83"/>
      <c r="H24621" s="83"/>
      <c r="K24621" s="82"/>
      <c r="M24621" s="112"/>
      <c r="N24621" s="84"/>
    </row>
    <row r="24622" spans="1:14" s="2" customFormat="1">
      <c r="A24622" s="83"/>
      <c r="H24622" s="83"/>
      <c r="K24622" s="82"/>
      <c r="M24622" s="112"/>
      <c r="N24622" s="84"/>
    </row>
    <row r="24623" spans="1:14" s="2" customFormat="1">
      <c r="A24623" s="83"/>
      <c r="H24623" s="83"/>
      <c r="K24623" s="82"/>
      <c r="M24623" s="112"/>
      <c r="N24623" s="84"/>
    </row>
    <row r="24624" spans="1:14" s="2" customFormat="1">
      <c r="A24624" s="83"/>
      <c r="H24624" s="83"/>
      <c r="K24624" s="82"/>
      <c r="M24624" s="112"/>
      <c r="N24624" s="84"/>
    </row>
    <row r="24625" spans="1:14" s="2" customFormat="1">
      <c r="A24625" s="83"/>
      <c r="H24625" s="83"/>
      <c r="K24625" s="82"/>
      <c r="M24625" s="112"/>
      <c r="N24625" s="84"/>
    </row>
    <row r="24626" spans="1:14" s="2" customFormat="1">
      <c r="A24626" s="83"/>
      <c r="H24626" s="83"/>
      <c r="K24626" s="82"/>
      <c r="M24626" s="112"/>
      <c r="N24626" s="84"/>
    </row>
    <row r="24627" spans="1:14" s="2" customFormat="1">
      <c r="A24627" s="83"/>
      <c r="H24627" s="83"/>
      <c r="K24627" s="82"/>
      <c r="M24627" s="112"/>
      <c r="N24627" s="84"/>
    </row>
    <row r="24628" spans="1:14" s="2" customFormat="1">
      <c r="A24628" s="83"/>
      <c r="H24628" s="83"/>
      <c r="K24628" s="82"/>
      <c r="M24628" s="112"/>
      <c r="N24628" s="84"/>
    </row>
    <row r="24629" spans="1:14" s="2" customFormat="1">
      <c r="A24629" s="83"/>
      <c r="H24629" s="83"/>
      <c r="K24629" s="82"/>
      <c r="M24629" s="112"/>
      <c r="N24629" s="84"/>
    </row>
    <row r="24630" spans="1:14" s="2" customFormat="1">
      <c r="A24630" s="83"/>
      <c r="H24630" s="83"/>
      <c r="K24630" s="82"/>
      <c r="M24630" s="112"/>
      <c r="N24630" s="84"/>
    </row>
    <row r="24631" spans="1:14" s="2" customFormat="1">
      <c r="A24631" s="83"/>
      <c r="H24631" s="83"/>
      <c r="K24631" s="82"/>
      <c r="M24631" s="112"/>
      <c r="N24631" s="84"/>
    </row>
    <row r="24632" spans="1:14" s="2" customFormat="1">
      <c r="A24632" s="83"/>
      <c r="H24632" s="83"/>
      <c r="K24632" s="82"/>
      <c r="M24632" s="112"/>
      <c r="N24632" s="84"/>
    </row>
    <row r="24633" spans="1:14" s="2" customFormat="1">
      <c r="A24633" s="83"/>
      <c r="H24633" s="83"/>
      <c r="K24633" s="82"/>
      <c r="M24633" s="112"/>
      <c r="N24633" s="84"/>
    </row>
    <row r="24634" spans="1:14" s="2" customFormat="1">
      <c r="A24634" s="83"/>
      <c r="H24634" s="83"/>
      <c r="K24634" s="82"/>
      <c r="M24634" s="112"/>
      <c r="N24634" s="84"/>
    </row>
    <row r="24635" spans="1:14" s="2" customFormat="1">
      <c r="A24635" s="83"/>
      <c r="H24635" s="83"/>
      <c r="K24635" s="82"/>
      <c r="M24635" s="112"/>
      <c r="N24635" s="84"/>
    </row>
    <row r="24636" spans="1:14" s="2" customFormat="1">
      <c r="A24636" s="83"/>
      <c r="H24636" s="83"/>
      <c r="K24636" s="82"/>
      <c r="M24636" s="112"/>
      <c r="N24636" s="84"/>
    </row>
    <row r="24637" spans="1:14" s="2" customFormat="1">
      <c r="A24637" s="83"/>
      <c r="H24637" s="83"/>
      <c r="K24637" s="82"/>
      <c r="M24637" s="112"/>
      <c r="N24637" s="84"/>
    </row>
    <row r="24638" spans="1:14" s="2" customFormat="1">
      <c r="A24638" s="83"/>
      <c r="H24638" s="83"/>
      <c r="K24638" s="82"/>
      <c r="M24638" s="112"/>
      <c r="N24638" s="84"/>
    </row>
    <row r="24639" spans="1:14" s="2" customFormat="1">
      <c r="A24639" s="83"/>
      <c r="H24639" s="83"/>
      <c r="K24639" s="82"/>
      <c r="M24639" s="112"/>
      <c r="N24639" s="84"/>
    </row>
    <row r="24640" spans="1:14" s="2" customFormat="1">
      <c r="A24640" s="83"/>
      <c r="H24640" s="83"/>
      <c r="K24640" s="82"/>
      <c r="M24640" s="112"/>
      <c r="N24640" s="84"/>
    </row>
    <row r="24641" spans="1:14" s="2" customFormat="1">
      <c r="A24641" s="83"/>
      <c r="H24641" s="83"/>
      <c r="K24641" s="82"/>
      <c r="M24641" s="112"/>
      <c r="N24641" s="84"/>
    </row>
    <row r="24642" spans="1:14" s="2" customFormat="1">
      <c r="A24642" s="83"/>
      <c r="H24642" s="83"/>
      <c r="K24642" s="82"/>
      <c r="M24642" s="112"/>
      <c r="N24642" s="84"/>
    </row>
    <row r="24643" spans="1:14" s="2" customFormat="1">
      <c r="A24643" s="83"/>
      <c r="H24643" s="83"/>
      <c r="K24643" s="82"/>
      <c r="M24643" s="112"/>
      <c r="N24643" s="84"/>
    </row>
    <row r="24644" spans="1:14" s="2" customFormat="1">
      <c r="A24644" s="83"/>
      <c r="H24644" s="83"/>
      <c r="K24644" s="82"/>
      <c r="M24644" s="112"/>
      <c r="N24644" s="84"/>
    </row>
    <row r="24645" spans="1:14" s="2" customFormat="1">
      <c r="A24645" s="83"/>
      <c r="H24645" s="83"/>
      <c r="K24645" s="82"/>
      <c r="M24645" s="112"/>
      <c r="N24645" s="84"/>
    </row>
    <row r="24646" spans="1:14" s="2" customFormat="1">
      <c r="A24646" s="83"/>
      <c r="H24646" s="83"/>
      <c r="K24646" s="82"/>
      <c r="M24646" s="112"/>
      <c r="N24646" s="84"/>
    </row>
    <row r="24647" spans="1:14" s="2" customFormat="1">
      <c r="A24647" s="83"/>
      <c r="H24647" s="83"/>
      <c r="K24647" s="82"/>
      <c r="M24647" s="112"/>
      <c r="N24647" s="84"/>
    </row>
    <row r="24648" spans="1:14" s="2" customFormat="1">
      <c r="A24648" s="83"/>
      <c r="H24648" s="83"/>
      <c r="K24648" s="82"/>
      <c r="M24648" s="112"/>
      <c r="N24648" s="84"/>
    </row>
    <row r="24649" spans="1:14" s="2" customFormat="1">
      <c r="A24649" s="83"/>
      <c r="H24649" s="83"/>
      <c r="K24649" s="82"/>
      <c r="M24649" s="112"/>
      <c r="N24649" s="84"/>
    </row>
    <row r="24650" spans="1:14" s="2" customFormat="1">
      <c r="A24650" s="83"/>
      <c r="H24650" s="83"/>
      <c r="K24650" s="82"/>
      <c r="M24650" s="112"/>
      <c r="N24650" s="84"/>
    </row>
    <row r="24651" spans="1:14" s="2" customFormat="1">
      <c r="A24651" s="83"/>
      <c r="H24651" s="83"/>
      <c r="K24651" s="82"/>
      <c r="M24651" s="112"/>
      <c r="N24651" s="84"/>
    </row>
    <row r="24652" spans="1:14" s="2" customFormat="1">
      <c r="A24652" s="83"/>
      <c r="H24652" s="83"/>
      <c r="K24652" s="82"/>
      <c r="M24652" s="112"/>
      <c r="N24652" s="84"/>
    </row>
    <row r="24653" spans="1:14" s="2" customFormat="1">
      <c r="A24653" s="83"/>
      <c r="H24653" s="83"/>
      <c r="K24653" s="82"/>
      <c r="M24653" s="112"/>
      <c r="N24653" s="84"/>
    </row>
    <row r="24654" spans="1:14" s="2" customFormat="1">
      <c r="A24654" s="83"/>
      <c r="H24654" s="83"/>
      <c r="K24654" s="82"/>
      <c r="M24654" s="112"/>
      <c r="N24654" s="84"/>
    </row>
    <row r="24655" spans="1:14" s="2" customFormat="1">
      <c r="A24655" s="83"/>
      <c r="H24655" s="83"/>
      <c r="K24655" s="82"/>
      <c r="M24655" s="112"/>
      <c r="N24655" s="84"/>
    </row>
    <row r="24656" spans="1:14" s="2" customFormat="1">
      <c r="A24656" s="83"/>
      <c r="H24656" s="83"/>
      <c r="K24656" s="82"/>
      <c r="M24656" s="112"/>
      <c r="N24656" s="84"/>
    </row>
    <row r="24657" spans="1:14" s="2" customFormat="1">
      <c r="A24657" s="83"/>
      <c r="H24657" s="83"/>
      <c r="K24657" s="82"/>
      <c r="M24657" s="112"/>
      <c r="N24657" s="84"/>
    </row>
    <row r="24658" spans="1:14" s="2" customFormat="1">
      <c r="A24658" s="83"/>
      <c r="H24658" s="83"/>
      <c r="K24658" s="82"/>
      <c r="M24658" s="112"/>
      <c r="N24658" s="84"/>
    </row>
    <row r="24659" spans="1:14" s="2" customFormat="1">
      <c r="A24659" s="83"/>
      <c r="H24659" s="83"/>
      <c r="K24659" s="82"/>
      <c r="M24659" s="112"/>
      <c r="N24659" s="84"/>
    </row>
    <row r="24660" spans="1:14" s="2" customFormat="1">
      <c r="A24660" s="83"/>
      <c r="H24660" s="83"/>
      <c r="K24660" s="82"/>
      <c r="M24660" s="112"/>
      <c r="N24660" s="84"/>
    </row>
    <row r="24661" spans="1:14" s="2" customFormat="1">
      <c r="A24661" s="83"/>
      <c r="H24661" s="83"/>
      <c r="K24661" s="82"/>
      <c r="M24661" s="112"/>
      <c r="N24661" s="84"/>
    </row>
    <row r="24662" spans="1:14" s="2" customFormat="1">
      <c r="A24662" s="83"/>
      <c r="H24662" s="83"/>
      <c r="K24662" s="82"/>
      <c r="M24662" s="112"/>
      <c r="N24662" s="84"/>
    </row>
    <row r="24663" spans="1:14" s="2" customFormat="1">
      <c r="A24663" s="83"/>
      <c r="H24663" s="83"/>
      <c r="K24663" s="82"/>
      <c r="M24663" s="112"/>
      <c r="N24663" s="84"/>
    </row>
    <row r="24664" spans="1:14" s="2" customFormat="1">
      <c r="A24664" s="83"/>
      <c r="H24664" s="83"/>
      <c r="K24664" s="82"/>
      <c r="M24664" s="112"/>
      <c r="N24664" s="84"/>
    </row>
    <row r="24665" spans="1:14" s="2" customFormat="1">
      <c r="A24665" s="83"/>
      <c r="H24665" s="83"/>
      <c r="K24665" s="82"/>
      <c r="M24665" s="112"/>
      <c r="N24665" s="84"/>
    </row>
    <row r="24666" spans="1:14" s="2" customFormat="1">
      <c r="A24666" s="83"/>
      <c r="H24666" s="83"/>
      <c r="K24666" s="82"/>
      <c r="M24666" s="112"/>
      <c r="N24666" s="84"/>
    </row>
    <row r="24667" spans="1:14" s="2" customFormat="1">
      <c r="A24667" s="83"/>
      <c r="H24667" s="83"/>
      <c r="K24667" s="82"/>
      <c r="M24667" s="112"/>
      <c r="N24667" s="84"/>
    </row>
    <row r="24668" spans="1:14" s="2" customFormat="1">
      <c r="A24668" s="83"/>
      <c r="H24668" s="83"/>
      <c r="K24668" s="82"/>
      <c r="M24668" s="112"/>
      <c r="N24668" s="84"/>
    </row>
    <row r="24669" spans="1:14" s="2" customFormat="1">
      <c r="A24669" s="83"/>
      <c r="H24669" s="83"/>
      <c r="K24669" s="82"/>
      <c r="M24669" s="112"/>
      <c r="N24669" s="84"/>
    </row>
    <row r="24670" spans="1:14" s="2" customFormat="1">
      <c r="A24670" s="83"/>
      <c r="H24670" s="83"/>
      <c r="K24670" s="82"/>
      <c r="M24670" s="112"/>
      <c r="N24670" s="84"/>
    </row>
    <row r="24671" spans="1:14" s="2" customFormat="1">
      <c r="A24671" s="83"/>
      <c r="H24671" s="83"/>
      <c r="K24671" s="82"/>
      <c r="M24671" s="112"/>
      <c r="N24671" s="84"/>
    </row>
    <row r="24672" spans="1:14" s="2" customFormat="1">
      <c r="A24672" s="83"/>
      <c r="H24672" s="83"/>
      <c r="K24672" s="82"/>
      <c r="M24672" s="112"/>
      <c r="N24672" s="84"/>
    </row>
    <row r="24673" spans="1:14" s="2" customFormat="1">
      <c r="A24673" s="83"/>
      <c r="H24673" s="83"/>
      <c r="K24673" s="82"/>
      <c r="M24673" s="112"/>
      <c r="N24673" s="84"/>
    </row>
    <row r="24674" spans="1:14" s="2" customFormat="1">
      <c r="A24674" s="83"/>
      <c r="H24674" s="83"/>
      <c r="K24674" s="82"/>
      <c r="M24674" s="112"/>
      <c r="N24674" s="84"/>
    </row>
    <row r="24675" spans="1:14" s="2" customFormat="1">
      <c r="A24675" s="83"/>
      <c r="H24675" s="83"/>
      <c r="K24675" s="82"/>
      <c r="M24675" s="112"/>
      <c r="N24675" s="84"/>
    </row>
    <row r="24676" spans="1:14" s="2" customFormat="1">
      <c r="A24676" s="83"/>
      <c r="H24676" s="83"/>
      <c r="K24676" s="82"/>
      <c r="M24676" s="112"/>
      <c r="N24676" s="84"/>
    </row>
    <row r="24677" spans="1:14" s="2" customFormat="1">
      <c r="A24677" s="83"/>
      <c r="H24677" s="83"/>
      <c r="K24677" s="82"/>
      <c r="M24677" s="112"/>
      <c r="N24677" s="84"/>
    </row>
    <row r="24678" spans="1:14" s="2" customFormat="1">
      <c r="A24678" s="83"/>
      <c r="H24678" s="83"/>
      <c r="K24678" s="82"/>
      <c r="M24678" s="112"/>
      <c r="N24678" s="84"/>
    </row>
    <row r="24679" spans="1:14" s="2" customFormat="1">
      <c r="A24679" s="83"/>
      <c r="H24679" s="83"/>
      <c r="K24679" s="82"/>
      <c r="M24679" s="112"/>
      <c r="N24679" s="84"/>
    </row>
    <row r="24680" spans="1:14" s="2" customFormat="1">
      <c r="A24680" s="83"/>
      <c r="H24680" s="83"/>
      <c r="K24680" s="82"/>
      <c r="M24680" s="112"/>
      <c r="N24680" s="84"/>
    </row>
    <row r="24681" spans="1:14" s="2" customFormat="1">
      <c r="A24681" s="83"/>
      <c r="H24681" s="83"/>
      <c r="K24681" s="82"/>
      <c r="M24681" s="112"/>
      <c r="N24681" s="84"/>
    </row>
    <row r="24682" spans="1:14" s="2" customFormat="1">
      <c r="A24682" s="83"/>
      <c r="H24682" s="83"/>
      <c r="K24682" s="82"/>
      <c r="M24682" s="112"/>
      <c r="N24682" s="84"/>
    </row>
    <row r="24683" spans="1:14" s="2" customFormat="1">
      <c r="A24683" s="83"/>
      <c r="H24683" s="83"/>
      <c r="K24683" s="82"/>
      <c r="M24683" s="112"/>
      <c r="N24683" s="84"/>
    </row>
    <row r="24684" spans="1:14" s="2" customFormat="1">
      <c r="A24684" s="83"/>
      <c r="H24684" s="83"/>
      <c r="K24684" s="82"/>
      <c r="M24684" s="112"/>
      <c r="N24684" s="84"/>
    </row>
    <row r="24685" spans="1:14" s="2" customFormat="1">
      <c r="A24685" s="83"/>
      <c r="H24685" s="83"/>
      <c r="K24685" s="82"/>
      <c r="M24685" s="112"/>
      <c r="N24685" s="84"/>
    </row>
    <row r="24686" spans="1:14" s="2" customFormat="1">
      <c r="A24686" s="83"/>
      <c r="H24686" s="83"/>
      <c r="K24686" s="82"/>
      <c r="M24686" s="112"/>
      <c r="N24686" s="84"/>
    </row>
    <row r="24687" spans="1:14" s="2" customFormat="1">
      <c r="A24687" s="83"/>
      <c r="H24687" s="83"/>
      <c r="K24687" s="82"/>
      <c r="M24687" s="112"/>
      <c r="N24687" s="84"/>
    </row>
    <row r="24688" spans="1:14" s="2" customFormat="1">
      <c r="A24688" s="83"/>
      <c r="H24688" s="83"/>
      <c r="K24688" s="82"/>
      <c r="M24688" s="112"/>
      <c r="N24688" s="84"/>
    </row>
    <row r="24689" spans="1:14" s="2" customFormat="1">
      <c r="A24689" s="83"/>
      <c r="H24689" s="83"/>
      <c r="K24689" s="82"/>
      <c r="M24689" s="112"/>
      <c r="N24689" s="84"/>
    </row>
    <row r="24690" spans="1:14" s="2" customFormat="1">
      <c r="A24690" s="83"/>
      <c r="H24690" s="83"/>
      <c r="K24690" s="82"/>
      <c r="M24690" s="112"/>
      <c r="N24690" s="84"/>
    </row>
    <row r="24691" spans="1:14" s="2" customFormat="1">
      <c r="A24691" s="83"/>
      <c r="H24691" s="83"/>
      <c r="K24691" s="82"/>
      <c r="M24691" s="112"/>
      <c r="N24691" s="84"/>
    </row>
    <row r="24692" spans="1:14" s="2" customFormat="1">
      <c r="A24692" s="83"/>
      <c r="H24692" s="83"/>
      <c r="K24692" s="82"/>
      <c r="M24692" s="112"/>
      <c r="N24692" s="84"/>
    </row>
    <row r="24693" spans="1:14" s="2" customFormat="1">
      <c r="A24693" s="83"/>
      <c r="H24693" s="83"/>
      <c r="K24693" s="82"/>
      <c r="M24693" s="112"/>
      <c r="N24693" s="84"/>
    </row>
    <row r="24694" spans="1:14" s="2" customFormat="1">
      <c r="A24694" s="83"/>
      <c r="H24694" s="83"/>
      <c r="K24694" s="82"/>
      <c r="M24694" s="112"/>
      <c r="N24694" s="84"/>
    </row>
    <row r="24695" spans="1:14" s="2" customFormat="1">
      <c r="A24695" s="83"/>
      <c r="H24695" s="83"/>
      <c r="K24695" s="82"/>
      <c r="M24695" s="112"/>
      <c r="N24695" s="84"/>
    </row>
    <row r="24696" spans="1:14" s="2" customFormat="1">
      <c r="A24696" s="83"/>
      <c r="H24696" s="83"/>
      <c r="K24696" s="82"/>
      <c r="M24696" s="112"/>
      <c r="N24696" s="84"/>
    </row>
    <row r="24697" spans="1:14" s="2" customFormat="1">
      <c r="A24697" s="83"/>
      <c r="H24697" s="83"/>
      <c r="K24697" s="82"/>
      <c r="M24697" s="112"/>
      <c r="N24697" s="84"/>
    </row>
    <row r="24698" spans="1:14" s="2" customFormat="1">
      <c r="A24698" s="83"/>
      <c r="H24698" s="83"/>
      <c r="K24698" s="82"/>
      <c r="M24698" s="112"/>
      <c r="N24698" s="84"/>
    </row>
    <row r="24699" spans="1:14" s="2" customFormat="1">
      <c r="A24699" s="83"/>
      <c r="H24699" s="83"/>
      <c r="K24699" s="82"/>
      <c r="M24699" s="112"/>
      <c r="N24699" s="84"/>
    </row>
    <row r="24700" spans="1:14" s="2" customFormat="1">
      <c r="A24700" s="83"/>
      <c r="H24700" s="83"/>
      <c r="K24700" s="82"/>
      <c r="M24700" s="112"/>
      <c r="N24700" s="84"/>
    </row>
    <row r="24701" spans="1:14" s="2" customFormat="1">
      <c r="A24701" s="83"/>
      <c r="H24701" s="83"/>
      <c r="K24701" s="82"/>
      <c r="M24701" s="112"/>
      <c r="N24701" s="84"/>
    </row>
    <row r="24702" spans="1:14" s="2" customFormat="1">
      <c r="A24702" s="83"/>
      <c r="H24702" s="83"/>
      <c r="K24702" s="82"/>
      <c r="M24702" s="112"/>
      <c r="N24702" s="84"/>
    </row>
    <row r="24703" spans="1:14" s="2" customFormat="1">
      <c r="A24703" s="83"/>
      <c r="H24703" s="83"/>
      <c r="K24703" s="82"/>
      <c r="M24703" s="112"/>
      <c r="N24703" s="84"/>
    </row>
    <row r="24704" spans="1:14" s="2" customFormat="1">
      <c r="A24704" s="83"/>
      <c r="H24704" s="83"/>
      <c r="K24704" s="82"/>
      <c r="M24704" s="112"/>
      <c r="N24704" s="84"/>
    </row>
    <row r="24705" spans="1:14" s="2" customFormat="1">
      <c r="A24705" s="83"/>
      <c r="H24705" s="83"/>
      <c r="K24705" s="82"/>
      <c r="M24705" s="112"/>
      <c r="N24705" s="84"/>
    </row>
    <row r="24706" spans="1:14" s="2" customFormat="1">
      <c r="A24706" s="83"/>
      <c r="H24706" s="83"/>
      <c r="K24706" s="82"/>
      <c r="M24706" s="112"/>
      <c r="N24706" s="84"/>
    </row>
    <row r="24707" spans="1:14" s="2" customFormat="1">
      <c r="A24707" s="83"/>
      <c r="H24707" s="83"/>
      <c r="K24707" s="82"/>
      <c r="M24707" s="112"/>
      <c r="N24707" s="84"/>
    </row>
    <row r="24708" spans="1:14" s="2" customFormat="1">
      <c r="A24708" s="83"/>
      <c r="H24708" s="83"/>
      <c r="K24708" s="82"/>
      <c r="M24708" s="112"/>
      <c r="N24708" s="84"/>
    </row>
    <row r="24709" spans="1:14" s="2" customFormat="1">
      <c r="A24709" s="83"/>
      <c r="H24709" s="83"/>
      <c r="K24709" s="82"/>
      <c r="M24709" s="112"/>
      <c r="N24709" s="84"/>
    </row>
    <row r="24710" spans="1:14" s="2" customFormat="1">
      <c r="A24710" s="83"/>
      <c r="H24710" s="83"/>
      <c r="K24710" s="82"/>
      <c r="M24710" s="112"/>
      <c r="N24710" s="84"/>
    </row>
    <row r="24711" spans="1:14" s="2" customFormat="1">
      <c r="A24711" s="83"/>
      <c r="H24711" s="83"/>
      <c r="K24711" s="82"/>
      <c r="M24711" s="112"/>
      <c r="N24711" s="84"/>
    </row>
    <row r="24712" spans="1:14" s="2" customFormat="1">
      <c r="A24712" s="83"/>
      <c r="H24712" s="83"/>
      <c r="K24712" s="82"/>
      <c r="M24712" s="112"/>
      <c r="N24712" s="84"/>
    </row>
    <row r="24713" spans="1:14" s="2" customFormat="1">
      <c r="A24713" s="83"/>
      <c r="H24713" s="83"/>
      <c r="K24713" s="82"/>
      <c r="M24713" s="112"/>
      <c r="N24713" s="84"/>
    </row>
    <row r="24714" spans="1:14" s="2" customFormat="1">
      <c r="A24714" s="83"/>
      <c r="H24714" s="83"/>
      <c r="K24714" s="82"/>
      <c r="M24714" s="112"/>
      <c r="N24714" s="84"/>
    </row>
    <row r="24715" spans="1:14" s="2" customFormat="1">
      <c r="A24715" s="83"/>
      <c r="H24715" s="83"/>
      <c r="K24715" s="82"/>
      <c r="M24715" s="112"/>
      <c r="N24715" s="84"/>
    </row>
    <row r="24716" spans="1:14" s="2" customFormat="1">
      <c r="A24716" s="83"/>
      <c r="H24716" s="83"/>
      <c r="K24716" s="82"/>
      <c r="M24716" s="112"/>
      <c r="N24716" s="84"/>
    </row>
    <row r="24717" spans="1:14" s="2" customFormat="1">
      <c r="A24717" s="83"/>
      <c r="H24717" s="83"/>
      <c r="K24717" s="82"/>
      <c r="M24717" s="112"/>
      <c r="N24717" s="84"/>
    </row>
    <row r="24718" spans="1:14" s="2" customFormat="1">
      <c r="A24718" s="83"/>
      <c r="H24718" s="83"/>
      <c r="K24718" s="82"/>
      <c r="M24718" s="112"/>
      <c r="N24718" s="84"/>
    </row>
    <row r="24719" spans="1:14" s="2" customFormat="1">
      <c r="A24719" s="83"/>
      <c r="H24719" s="83"/>
      <c r="K24719" s="82"/>
      <c r="M24719" s="112"/>
      <c r="N24719" s="84"/>
    </row>
    <row r="24720" spans="1:14" s="2" customFormat="1">
      <c r="A24720" s="83"/>
      <c r="H24720" s="83"/>
      <c r="K24720" s="82"/>
      <c r="M24720" s="112"/>
      <c r="N24720" s="84"/>
    </row>
    <row r="24721" spans="1:14" s="2" customFormat="1">
      <c r="A24721" s="83"/>
      <c r="H24721" s="83"/>
      <c r="K24721" s="82"/>
      <c r="M24721" s="112"/>
      <c r="N24721" s="84"/>
    </row>
    <row r="24722" spans="1:14" s="2" customFormat="1">
      <c r="A24722" s="83"/>
      <c r="H24722" s="83"/>
      <c r="K24722" s="82"/>
      <c r="M24722" s="112"/>
      <c r="N24722" s="84"/>
    </row>
    <row r="24723" spans="1:14" s="2" customFormat="1">
      <c r="A24723" s="83"/>
      <c r="H24723" s="83"/>
      <c r="K24723" s="82"/>
      <c r="M24723" s="112"/>
      <c r="N24723" s="84"/>
    </row>
    <row r="24724" spans="1:14" s="2" customFormat="1">
      <c r="A24724" s="83"/>
      <c r="H24724" s="83"/>
      <c r="K24724" s="82"/>
      <c r="M24724" s="112"/>
      <c r="N24724" s="84"/>
    </row>
    <row r="24725" spans="1:14" s="2" customFormat="1">
      <c r="A24725" s="83"/>
      <c r="H24725" s="83"/>
      <c r="K24725" s="82"/>
      <c r="M24725" s="112"/>
      <c r="N24725" s="84"/>
    </row>
    <row r="24726" spans="1:14" s="2" customFormat="1">
      <c r="A24726" s="83"/>
      <c r="H24726" s="83"/>
      <c r="K24726" s="82"/>
      <c r="M24726" s="112"/>
      <c r="N24726" s="84"/>
    </row>
    <row r="24727" spans="1:14" s="2" customFormat="1">
      <c r="A24727" s="83"/>
      <c r="H24727" s="83"/>
      <c r="K24727" s="82"/>
      <c r="M24727" s="112"/>
      <c r="N24727" s="84"/>
    </row>
    <row r="24728" spans="1:14" s="2" customFormat="1">
      <c r="A24728" s="83"/>
      <c r="H24728" s="83"/>
      <c r="K24728" s="82"/>
      <c r="M24728" s="112"/>
      <c r="N24728" s="84"/>
    </row>
    <row r="24729" spans="1:14" s="2" customFormat="1">
      <c r="A24729" s="83"/>
      <c r="H24729" s="83"/>
      <c r="K24729" s="82"/>
      <c r="M24729" s="112"/>
      <c r="N24729" s="84"/>
    </row>
    <row r="24730" spans="1:14" s="2" customFormat="1">
      <c r="A24730" s="83"/>
      <c r="H24730" s="83"/>
      <c r="K24730" s="82"/>
      <c r="M24730" s="112"/>
      <c r="N24730" s="84"/>
    </row>
    <row r="24731" spans="1:14" s="2" customFormat="1">
      <c r="A24731" s="83"/>
      <c r="H24731" s="83"/>
      <c r="K24731" s="82"/>
      <c r="M24731" s="112"/>
      <c r="N24731" s="84"/>
    </row>
    <row r="24732" spans="1:14" s="2" customFormat="1">
      <c r="A24732" s="83"/>
      <c r="H24732" s="83"/>
      <c r="K24732" s="82"/>
      <c r="M24732" s="112"/>
      <c r="N24732" s="84"/>
    </row>
    <row r="24733" spans="1:14" s="2" customFormat="1">
      <c r="A24733" s="83"/>
      <c r="H24733" s="83"/>
      <c r="K24733" s="82"/>
      <c r="M24733" s="112"/>
      <c r="N24733" s="84"/>
    </row>
    <row r="24734" spans="1:14" s="2" customFormat="1">
      <c r="A24734" s="83"/>
      <c r="H24734" s="83"/>
      <c r="K24734" s="82"/>
      <c r="M24734" s="112"/>
      <c r="N24734" s="84"/>
    </row>
    <row r="24735" spans="1:14" s="2" customFormat="1">
      <c r="A24735" s="83"/>
      <c r="H24735" s="83"/>
      <c r="K24735" s="82"/>
      <c r="M24735" s="112"/>
      <c r="N24735" s="84"/>
    </row>
    <row r="24736" spans="1:14" s="2" customFormat="1">
      <c r="A24736" s="83"/>
      <c r="H24736" s="83"/>
      <c r="K24736" s="82"/>
      <c r="M24736" s="112"/>
      <c r="N24736" s="84"/>
    </row>
    <row r="24737" spans="1:14" s="2" customFormat="1">
      <c r="A24737" s="83"/>
      <c r="H24737" s="83"/>
      <c r="K24737" s="82"/>
      <c r="M24737" s="112"/>
      <c r="N24737" s="84"/>
    </row>
    <row r="24738" spans="1:14" s="2" customFormat="1">
      <c r="A24738" s="83"/>
      <c r="H24738" s="83"/>
      <c r="K24738" s="82"/>
      <c r="M24738" s="112"/>
      <c r="N24738" s="84"/>
    </row>
    <row r="24739" spans="1:14" s="2" customFormat="1">
      <c r="A24739" s="83"/>
      <c r="H24739" s="83"/>
      <c r="K24739" s="82"/>
      <c r="M24739" s="112"/>
      <c r="N24739" s="84"/>
    </row>
    <row r="24740" spans="1:14" s="2" customFormat="1">
      <c r="A24740" s="83"/>
      <c r="H24740" s="83"/>
      <c r="K24740" s="82"/>
      <c r="M24740" s="112"/>
      <c r="N24740" s="84"/>
    </row>
    <row r="24741" spans="1:14" s="2" customFormat="1">
      <c r="A24741" s="83"/>
      <c r="H24741" s="83"/>
      <c r="K24741" s="82"/>
      <c r="M24741" s="112"/>
      <c r="N24741" s="84"/>
    </row>
    <row r="24742" spans="1:14" s="2" customFormat="1">
      <c r="A24742" s="83"/>
      <c r="H24742" s="83"/>
      <c r="K24742" s="82"/>
      <c r="M24742" s="112"/>
      <c r="N24742" s="84"/>
    </row>
    <row r="24743" spans="1:14" s="2" customFormat="1">
      <c r="A24743" s="83"/>
      <c r="H24743" s="83"/>
      <c r="K24743" s="82"/>
      <c r="M24743" s="112"/>
      <c r="N24743" s="84"/>
    </row>
    <row r="24744" spans="1:14" s="2" customFormat="1">
      <c r="A24744" s="83"/>
      <c r="H24744" s="83"/>
      <c r="K24744" s="82"/>
      <c r="M24744" s="112"/>
      <c r="N24744" s="84"/>
    </row>
    <row r="24745" spans="1:14" s="2" customFormat="1">
      <c r="A24745" s="83"/>
      <c r="H24745" s="83"/>
      <c r="K24745" s="82"/>
      <c r="M24745" s="112"/>
      <c r="N24745" s="84"/>
    </row>
    <row r="24746" spans="1:14" s="2" customFormat="1">
      <c r="A24746" s="83"/>
      <c r="H24746" s="83"/>
      <c r="K24746" s="82"/>
      <c r="M24746" s="112"/>
      <c r="N24746" s="84"/>
    </row>
    <row r="24747" spans="1:14" s="2" customFormat="1">
      <c r="A24747" s="83"/>
      <c r="H24747" s="83"/>
      <c r="K24747" s="82"/>
      <c r="M24747" s="112"/>
      <c r="N24747" s="84"/>
    </row>
    <row r="24748" spans="1:14" s="2" customFormat="1">
      <c r="A24748" s="83"/>
      <c r="H24748" s="83"/>
      <c r="K24748" s="82"/>
      <c r="M24748" s="112"/>
      <c r="N24748" s="84"/>
    </row>
    <row r="24749" spans="1:14" s="2" customFormat="1">
      <c r="A24749" s="83"/>
      <c r="H24749" s="83"/>
      <c r="K24749" s="82"/>
      <c r="M24749" s="112"/>
      <c r="N24749" s="84"/>
    </row>
    <row r="24750" spans="1:14" s="2" customFormat="1">
      <c r="A24750" s="83"/>
      <c r="H24750" s="83"/>
      <c r="K24750" s="82"/>
      <c r="M24750" s="112"/>
      <c r="N24750" s="84"/>
    </row>
    <row r="24751" spans="1:14" s="2" customFormat="1">
      <c r="A24751" s="83"/>
      <c r="H24751" s="83"/>
      <c r="K24751" s="82"/>
      <c r="M24751" s="112"/>
      <c r="N24751" s="84"/>
    </row>
    <row r="24752" spans="1:14" s="2" customFormat="1">
      <c r="A24752" s="83"/>
      <c r="H24752" s="83"/>
      <c r="K24752" s="82"/>
      <c r="M24752" s="112"/>
      <c r="N24752" s="84"/>
    </row>
    <row r="24753" spans="1:14" s="2" customFormat="1">
      <c r="A24753" s="83"/>
      <c r="H24753" s="83"/>
      <c r="K24753" s="82"/>
      <c r="M24753" s="112"/>
      <c r="N24753" s="84"/>
    </row>
    <row r="24754" spans="1:14" s="2" customFormat="1">
      <c r="A24754" s="83"/>
      <c r="H24754" s="83"/>
      <c r="K24754" s="82"/>
      <c r="M24754" s="112"/>
      <c r="N24754" s="84"/>
    </row>
    <row r="24755" spans="1:14" s="2" customFormat="1">
      <c r="A24755" s="83"/>
      <c r="H24755" s="83"/>
      <c r="K24755" s="82"/>
      <c r="M24755" s="112"/>
      <c r="N24755" s="84"/>
    </row>
    <row r="24756" spans="1:14" s="2" customFormat="1">
      <c r="A24756" s="83"/>
      <c r="H24756" s="83"/>
      <c r="K24756" s="82"/>
      <c r="M24756" s="112"/>
      <c r="N24756" s="84"/>
    </row>
    <row r="24757" spans="1:14" s="2" customFormat="1">
      <c r="A24757" s="83"/>
      <c r="H24757" s="83"/>
      <c r="K24757" s="82"/>
      <c r="M24757" s="112"/>
      <c r="N24757" s="84"/>
    </row>
    <row r="24758" spans="1:14" s="2" customFormat="1">
      <c r="A24758" s="83"/>
      <c r="H24758" s="83"/>
      <c r="K24758" s="82"/>
      <c r="M24758" s="112"/>
      <c r="N24758" s="84"/>
    </row>
    <row r="24759" spans="1:14" s="2" customFormat="1">
      <c r="A24759" s="83"/>
      <c r="H24759" s="83"/>
      <c r="K24759" s="82"/>
      <c r="M24759" s="112"/>
      <c r="N24759" s="84"/>
    </row>
    <row r="24760" spans="1:14" s="2" customFormat="1">
      <c r="A24760" s="83"/>
      <c r="H24760" s="83"/>
      <c r="K24760" s="82"/>
      <c r="M24760" s="112"/>
      <c r="N24760" s="84"/>
    </row>
    <row r="24761" spans="1:14" s="2" customFormat="1">
      <c r="A24761" s="83"/>
      <c r="H24761" s="83"/>
      <c r="K24761" s="82"/>
      <c r="M24761" s="112"/>
      <c r="N24761" s="84"/>
    </row>
    <row r="24762" spans="1:14" s="2" customFormat="1">
      <c r="A24762" s="83"/>
      <c r="H24762" s="83"/>
      <c r="K24762" s="82"/>
      <c r="M24762" s="112"/>
      <c r="N24762" s="84"/>
    </row>
    <row r="24763" spans="1:14" s="2" customFormat="1">
      <c r="A24763" s="83"/>
      <c r="H24763" s="83"/>
      <c r="K24763" s="82"/>
      <c r="M24763" s="112"/>
      <c r="N24763" s="84"/>
    </row>
    <row r="24764" spans="1:14" s="2" customFormat="1">
      <c r="A24764" s="83"/>
      <c r="H24764" s="83"/>
      <c r="K24764" s="82"/>
      <c r="M24764" s="112"/>
      <c r="N24764" s="84"/>
    </row>
    <row r="24765" spans="1:14" s="2" customFormat="1">
      <c r="A24765" s="83"/>
      <c r="H24765" s="83"/>
      <c r="K24765" s="82"/>
      <c r="M24765" s="112"/>
      <c r="N24765" s="84"/>
    </row>
    <row r="24766" spans="1:14" s="2" customFormat="1">
      <c r="A24766" s="83"/>
      <c r="H24766" s="83"/>
      <c r="K24766" s="82"/>
      <c r="M24766" s="112"/>
      <c r="N24766" s="84"/>
    </row>
    <row r="24767" spans="1:14" s="2" customFormat="1">
      <c r="A24767" s="83"/>
      <c r="H24767" s="83"/>
      <c r="K24767" s="82"/>
      <c r="M24767" s="112"/>
      <c r="N24767" s="84"/>
    </row>
    <row r="24768" spans="1:14" s="2" customFormat="1">
      <c r="A24768" s="83"/>
      <c r="H24768" s="83"/>
      <c r="K24768" s="82"/>
      <c r="M24768" s="112"/>
      <c r="N24768" s="84"/>
    </row>
    <row r="24769" spans="1:14" s="2" customFormat="1">
      <c r="A24769" s="83"/>
      <c r="H24769" s="83"/>
      <c r="K24769" s="82"/>
      <c r="M24769" s="112"/>
      <c r="N24769" s="84"/>
    </row>
    <row r="24770" spans="1:14" s="2" customFormat="1">
      <c r="A24770" s="83"/>
      <c r="H24770" s="83"/>
      <c r="K24770" s="82"/>
      <c r="M24770" s="112"/>
      <c r="N24770" s="84"/>
    </row>
    <row r="24771" spans="1:14" s="2" customFormat="1">
      <c r="A24771" s="83"/>
      <c r="H24771" s="83"/>
      <c r="K24771" s="82"/>
      <c r="M24771" s="112"/>
      <c r="N24771" s="84"/>
    </row>
    <row r="24772" spans="1:14" s="2" customFormat="1">
      <c r="A24772" s="83"/>
      <c r="H24772" s="83"/>
      <c r="K24772" s="82"/>
      <c r="M24772" s="112"/>
      <c r="N24772" s="84"/>
    </row>
    <row r="24773" spans="1:14" s="2" customFormat="1">
      <c r="A24773" s="83"/>
      <c r="H24773" s="83"/>
      <c r="K24773" s="82"/>
      <c r="M24773" s="112"/>
      <c r="N24773" s="84"/>
    </row>
    <row r="24774" spans="1:14" s="2" customFormat="1">
      <c r="A24774" s="83"/>
      <c r="H24774" s="83"/>
      <c r="K24774" s="82"/>
      <c r="M24774" s="112"/>
      <c r="N24774" s="84"/>
    </row>
    <row r="24775" spans="1:14" s="2" customFormat="1">
      <c r="A24775" s="83"/>
      <c r="H24775" s="83"/>
      <c r="K24775" s="82"/>
      <c r="M24775" s="112"/>
      <c r="N24775" s="84"/>
    </row>
    <row r="24776" spans="1:14" s="2" customFormat="1">
      <c r="A24776" s="83"/>
      <c r="H24776" s="83"/>
      <c r="K24776" s="82"/>
      <c r="M24776" s="112"/>
      <c r="N24776" s="84"/>
    </row>
    <row r="24777" spans="1:14" s="2" customFormat="1">
      <c r="A24777" s="83"/>
      <c r="H24777" s="83"/>
      <c r="K24777" s="82"/>
      <c r="M24777" s="112"/>
      <c r="N24777" s="84"/>
    </row>
    <row r="24778" spans="1:14" s="2" customFormat="1">
      <c r="A24778" s="83"/>
      <c r="H24778" s="83"/>
      <c r="K24778" s="82"/>
      <c r="M24778" s="112"/>
      <c r="N24778" s="84"/>
    </row>
    <row r="24779" spans="1:14" s="2" customFormat="1">
      <c r="A24779" s="83"/>
      <c r="H24779" s="83"/>
      <c r="K24779" s="82"/>
      <c r="M24779" s="112"/>
      <c r="N24779" s="84"/>
    </row>
    <row r="24780" spans="1:14" s="2" customFormat="1">
      <c r="A24780" s="83"/>
      <c r="H24780" s="83"/>
      <c r="K24780" s="82"/>
      <c r="M24780" s="112"/>
      <c r="N24780" s="84"/>
    </row>
    <row r="24781" spans="1:14" s="2" customFormat="1">
      <c r="A24781" s="83"/>
      <c r="H24781" s="83"/>
      <c r="K24781" s="82"/>
      <c r="M24781" s="112"/>
      <c r="N24781" s="84"/>
    </row>
    <row r="24782" spans="1:14" s="2" customFormat="1">
      <c r="A24782" s="83"/>
      <c r="H24782" s="83"/>
      <c r="K24782" s="82"/>
      <c r="M24782" s="112"/>
      <c r="N24782" s="84"/>
    </row>
    <row r="24783" spans="1:14" s="2" customFormat="1">
      <c r="A24783" s="83"/>
      <c r="H24783" s="83"/>
      <c r="K24783" s="82"/>
      <c r="M24783" s="112"/>
      <c r="N24783" s="84"/>
    </row>
    <row r="24784" spans="1:14" s="2" customFormat="1">
      <c r="A24784" s="83"/>
      <c r="H24784" s="83"/>
      <c r="K24784" s="82"/>
      <c r="M24784" s="112"/>
      <c r="N24784" s="84"/>
    </row>
    <row r="24785" spans="1:14" s="2" customFormat="1">
      <c r="A24785" s="83"/>
      <c r="H24785" s="83"/>
      <c r="K24785" s="82"/>
      <c r="M24785" s="112"/>
      <c r="N24785" s="84"/>
    </row>
    <row r="24786" spans="1:14" s="2" customFormat="1">
      <c r="A24786" s="83"/>
      <c r="H24786" s="83"/>
      <c r="K24786" s="82"/>
      <c r="M24786" s="112"/>
      <c r="N24786" s="84"/>
    </row>
    <row r="24787" spans="1:14" s="2" customFormat="1">
      <c r="A24787" s="83"/>
      <c r="H24787" s="83"/>
      <c r="K24787" s="82"/>
      <c r="M24787" s="112"/>
      <c r="N24787" s="84"/>
    </row>
    <row r="24788" spans="1:14" s="2" customFormat="1">
      <c r="A24788" s="83"/>
      <c r="H24788" s="83"/>
      <c r="K24788" s="82"/>
      <c r="M24788" s="112"/>
      <c r="N24788" s="84"/>
    </row>
    <row r="24789" spans="1:14" s="2" customFormat="1">
      <c r="A24789" s="83"/>
      <c r="H24789" s="83"/>
      <c r="K24789" s="82"/>
      <c r="M24789" s="112"/>
      <c r="N24789" s="84"/>
    </row>
    <row r="24790" spans="1:14" s="2" customFormat="1">
      <c r="A24790" s="83"/>
      <c r="H24790" s="83"/>
      <c r="K24790" s="82"/>
      <c r="M24790" s="112"/>
      <c r="N24790" s="84"/>
    </row>
    <row r="24791" spans="1:14" s="2" customFormat="1">
      <c r="A24791" s="83"/>
      <c r="H24791" s="83"/>
      <c r="K24791" s="82"/>
      <c r="M24791" s="112"/>
      <c r="N24791" s="84"/>
    </row>
    <row r="24792" spans="1:14" s="2" customFormat="1">
      <c r="A24792" s="83"/>
      <c r="H24792" s="83"/>
      <c r="K24792" s="82"/>
      <c r="M24792" s="112"/>
      <c r="N24792" s="84"/>
    </row>
    <row r="24793" spans="1:14" s="2" customFormat="1">
      <c r="A24793" s="83"/>
      <c r="H24793" s="83"/>
      <c r="K24793" s="82"/>
      <c r="M24793" s="112"/>
      <c r="N24793" s="84"/>
    </row>
    <row r="24794" spans="1:14" s="2" customFormat="1">
      <c r="A24794" s="83"/>
      <c r="H24794" s="83"/>
      <c r="K24794" s="82"/>
      <c r="M24794" s="112"/>
      <c r="N24794" s="84"/>
    </row>
    <row r="24795" spans="1:14" s="2" customFormat="1">
      <c r="A24795" s="83"/>
      <c r="H24795" s="83"/>
      <c r="K24795" s="82"/>
      <c r="M24795" s="112"/>
      <c r="N24795" s="84"/>
    </row>
    <row r="24796" spans="1:14" s="2" customFormat="1">
      <c r="A24796" s="83"/>
      <c r="H24796" s="83"/>
      <c r="K24796" s="82"/>
      <c r="M24796" s="112"/>
      <c r="N24796" s="84"/>
    </row>
    <row r="24797" spans="1:14" s="2" customFormat="1">
      <c r="A24797" s="83"/>
      <c r="H24797" s="83"/>
      <c r="K24797" s="82"/>
      <c r="M24797" s="112"/>
      <c r="N24797" s="84"/>
    </row>
    <row r="24798" spans="1:14" s="2" customFormat="1">
      <c r="A24798" s="83"/>
      <c r="H24798" s="83"/>
      <c r="K24798" s="82"/>
      <c r="M24798" s="112"/>
      <c r="N24798" s="84"/>
    </row>
    <row r="24799" spans="1:14" s="2" customFormat="1">
      <c r="A24799" s="83"/>
      <c r="H24799" s="83"/>
      <c r="K24799" s="82"/>
      <c r="M24799" s="112"/>
      <c r="N24799" s="84"/>
    </row>
    <row r="24800" spans="1:14" s="2" customFormat="1">
      <c r="A24800" s="83"/>
      <c r="H24800" s="83"/>
      <c r="K24800" s="82"/>
      <c r="M24800" s="112"/>
      <c r="N24800" s="84"/>
    </row>
    <row r="24801" spans="1:14" s="2" customFormat="1">
      <c r="A24801" s="83"/>
      <c r="H24801" s="83"/>
      <c r="K24801" s="82"/>
      <c r="M24801" s="112"/>
      <c r="N24801" s="84"/>
    </row>
    <row r="24802" spans="1:14" s="2" customFormat="1">
      <c r="A24802" s="83"/>
      <c r="H24802" s="83"/>
      <c r="K24802" s="82"/>
      <c r="M24802" s="112"/>
      <c r="N24802" s="84"/>
    </row>
    <row r="24803" spans="1:14" s="2" customFormat="1">
      <c r="A24803" s="83"/>
      <c r="H24803" s="83"/>
      <c r="K24803" s="82"/>
      <c r="M24803" s="112"/>
      <c r="N24803" s="84"/>
    </row>
    <row r="24804" spans="1:14" s="2" customFormat="1">
      <c r="A24804" s="83"/>
      <c r="H24804" s="83"/>
      <c r="K24804" s="82"/>
      <c r="M24804" s="112"/>
      <c r="N24804" s="84"/>
    </row>
    <row r="24805" spans="1:14" s="2" customFormat="1">
      <c r="A24805" s="83"/>
      <c r="H24805" s="83"/>
      <c r="K24805" s="82"/>
      <c r="M24805" s="112"/>
      <c r="N24805" s="84"/>
    </row>
    <row r="24806" spans="1:14" s="2" customFormat="1">
      <c r="A24806" s="83"/>
      <c r="H24806" s="83"/>
      <c r="K24806" s="82"/>
      <c r="M24806" s="112"/>
      <c r="N24806" s="84"/>
    </row>
    <row r="24807" spans="1:14" s="2" customFormat="1">
      <c r="A24807" s="83"/>
      <c r="H24807" s="83"/>
      <c r="K24807" s="82"/>
      <c r="M24807" s="112"/>
      <c r="N24807" s="84"/>
    </row>
    <row r="24808" spans="1:14" s="2" customFormat="1">
      <c r="A24808" s="83"/>
      <c r="H24808" s="83"/>
      <c r="K24808" s="82"/>
      <c r="M24808" s="112"/>
      <c r="N24808" s="84"/>
    </row>
    <row r="24809" spans="1:14" s="2" customFormat="1">
      <c r="A24809" s="83"/>
      <c r="H24809" s="83"/>
      <c r="K24809" s="82"/>
      <c r="M24809" s="112"/>
      <c r="N24809" s="84"/>
    </row>
    <row r="24810" spans="1:14" s="2" customFormat="1">
      <c r="A24810" s="83"/>
      <c r="H24810" s="83"/>
      <c r="K24810" s="82"/>
      <c r="M24810" s="112"/>
      <c r="N24810" s="84"/>
    </row>
    <row r="24811" spans="1:14" s="2" customFormat="1">
      <c r="A24811" s="83"/>
      <c r="H24811" s="83"/>
      <c r="K24811" s="82"/>
      <c r="M24811" s="112"/>
      <c r="N24811" s="84"/>
    </row>
    <row r="24812" spans="1:14" s="2" customFormat="1">
      <c r="A24812" s="83"/>
      <c r="H24812" s="83"/>
      <c r="K24812" s="82"/>
      <c r="M24812" s="112"/>
      <c r="N24812" s="84"/>
    </row>
    <row r="24813" spans="1:14" s="2" customFormat="1">
      <c r="A24813" s="83"/>
      <c r="H24813" s="83"/>
      <c r="K24813" s="82"/>
      <c r="M24813" s="112"/>
      <c r="N24813" s="84"/>
    </row>
    <row r="24814" spans="1:14" s="2" customFormat="1">
      <c r="A24814" s="83"/>
      <c r="H24814" s="83"/>
      <c r="K24814" s="82"/>
      <c r="M24814" s="112"/>
      <c r="N24814" s="84"/>
    </row>
    <row r="24815" spans="1:14" s="2" customFormat="1">
      <c r="A24815" s="83"/>
      <c r="H24815" s="83"/>
      <c r="K24815" s="82"/>
      <c r="M24815" s="112"/>
      <c r="N24815" s="84"/>
    </row>
    <row r="24816" spans="1:14" s="2" customFormat="1">
      <c r="A24816" s="83"/>
      <c r="H24816" s="83"/>
      <c r="K24816" s="82"/>
      <c r="M24816" s="112"/>
      <c r="N24816" s="84"/>
    </row>
    <row r="24817" spans="1:14" s="2" customFormat="1">
      <c r="A24817" s="83"/>
      <c r="H24817" s="83"/>
      <c r="K24817" s="82"/>
      <c r="M24817" s="112"/>
      <c r="N24817" s="84"/>
    </row>
    <row r="24818" spans="1:14" s="2" customFormat="1">
      <c r="A24818" s="83"/>
      <c r="H24818" s="83"/>
      <c r="K24818" s="82"/>
      <c r="M24818" s="112"/>
      <c r="N24818" s="84"/>
    </row>
    <row r="24819" spans="1:14" s="2" customFormat="1">
      <c r="A24819" s="83"/>
      <c r="H24819" s="83"/>
      <c r="K24819" s="82"/>
      <c r="M24819" s="112"/>
      <c r="N24819" s="84"/>
    </row>
    <row r="24820" spans="1:14" s="2" customFormat="1">
      <c r="A24820" s="83"/>
      <c r="H24820" s="83"/>
      <c r="K24820" s="82"/>
      <c r="M24820" s="112"/>
      <c r="N24820" s="84"/>
    </row>
    <row r="24821" spans="1:14" s="2" customFormat="1">
      <c r="A24821" s="83"/>
      <c r="H24821" s="83"/>
      <c r="K24821" s="82"/>
      <c r="M24821" s="112"/>
      <c r="N24821" s="84"/>
    </row>
    <row r="24822" spans="1:14" s="2" customFormat="1">
      <c r="A24822" s="83"/>
      <c r="H24822" s="83"/>
      <c r="K24822" s="82"/>
      <c r="M24822" s="112"/>
      <c r="N24822" s="84"/>
    </row>
    <row r="24823" spans="1:14" s="2" customFormat="1">
      <c r="A24823" s="83"/>
      <c r="H24823" s="83"/>
      <c r="K24823" s="82"/>
      <c r="M24823" s="112"/>
      <c r="N24823" s="84"/>
    </row>
    <row r="24824" spans="1:14" s="2" customFormat="1">
      <c r="A24824" s="83"/>
      <c r="H24824" s="83"/>
      <c r="K24824" s="82"/>
      <c r="M24824" s="112"/>
      <c r="N24824" s="84"/>
    </row>
    <row r="24825" spans="1:14" s="2" customFormat="1">
      <c r="A24825" s="83"/>
      <c r="H24825" s="83"/>
      <c r="K24825" s="82"/>
      <c r="M24825" s="112"/>
      <c r="N24825" s="84"/>
    </row>
    <row r="24826" spans="1:14" s="2" customFormat="1">
      <c r="A24826" s="83"/>
      <c r="H24826" s="83"/>
      <c r="K24826" s="82"/>
      <c r="M24826" s="112"/>
      <c r="N24826" s="84"/>
    </row>
    <row r="24827" spans="1:14" s="2" customFormat="1">
      <c r="A24827" s="83"/>
      <c r="H24827" s="83"/>
      <c r="K24827" s="82"/>
      <c r="M24827" s="112"/>
      <c r="N24827" s="84"/>
    </row>
    <row r="24828" spans="1:14" s="2" customFormat="1">
      <c r="A24828" s="83"/>
      <c r="H24828" s="83"/>
      <c r="K24828" s="82"/>
      <c r="M24828" s="112"/>
      <c r="N24828" s="84"/>
    </row>
    <row r="24829" spans="1:14" s="2" customFormat="1">
      <c r="A24829" s="83"/>
      <c r="H24829" s="83"/>
      <c r="K24829" s="82"/>
      <c r="M24829" s="112"/>
      <c r="N24829" s="84"/>
    </row>
    <row r="24830" spans="1:14" s="2" customFormat="1">
      <c r="A24830" s="83"/>
      <c r="H24830" s="83"/>
      <c r="K24830" s="82"/>
      <c r="M24830" s="112"/>
      <c r="N24830" s="84"/>
    </row>
    <row r="24831" spans="1:14" s="2" customFormat="1">
      <c r="A24831" s="83"/>
      <c r="H24831" s="83"/>
      <c r="K24831" s="82"/>
      <c r="M24831" s="112"/>
      <c r="N24831" s="84"/>
    </row>
    <row r="24832" spans="1:14" s="2" customFormat="1">
      <c r="A24832" s="83"/>
      <c r="H24832" s="83"/>
      <c r="K24832" s="82"/>
      <c r="M24832" s="112"/>
      <c r="N24832" s="84"/>
    </row>
    <row r="24833" spans="1:14" s="2" customFormat="1">
      <c r="A24833" s="83"/>
      <c r="H24833" s="83"/>
      <c r="K24833" s="82"/>
      <c r="M24833" s="112"/>
      <c r="N24833" s="84"/>
    </row>
    <row r="24834" spans="1:14" s="2" customFormat="1">
      <c r="A24834" s="83"/>
      <c r="H24834" s="83"/>
      <c r="K24834" s="82"/>
      <c r="M24834" s="112"/>
      <c r="N24834" s="84"/>
    </row>
    <row r="24835" spans="1:14" s="2" customFormat="1">
      <c r="A24835" s="83"/>
      <c r="H24835" s="83"/>
      <c r="K24835" s="82"/>
      <c r="M24835" s="112"/>
      <c r="N24835" s="84"/>
    </row>
    <row r="24836" spans="1:14" s="2" customFormat="1">
      <c r="A24836" s="83"/>
      <c r="H24836" s="83"/>
      <c r="K24836" s="82"/>
      <c r="M24836" s="112"/>
      <c r="N24836" s="84"/>
    </row>
    <row r="24837" spans="1:14" s="2" customFormat="1">
      <c r="A24837" s="83"/>
      <c r="H24837" s="83"/>
      <c r="K24837" s="82"/>
      <c r="M24837" s="112"/>
      <c r="N24837" s="84"/>
    </row>
    <row r="24838" spans="1:14" s="2" customFormat="1">
      <c r="A24838" s="83"/>
      <c r="H24838" s="83"/>
      <c r="K24838" s="82"/>
      <c r="M24838" s="112"/>
      <c r="N24838" s="84"/>
    </row>
    <row r="24839" spans="1:14" s="2" customFormat="1">
      <c r="A24839" s="83"/>
      <c r="H24839" s="83"/>
      <c r="K24839" s="82"/>
      <c r="M24839" s="112"/>
      <c r="N24839" s="84"/>
    </row>
    <row r="24840" spans="1:14" s="2" customFormat="1">
      <c r="A24840" s="83"/>
      <c r="H24840" s="83"/>
      <c r="K24840" s="82"/>
      <c r="M24840" s="112"/>
      <c r="N24840" s="84"/>
    </row>
    <row r="24841" spans="1:14" s="2" customFormat="1">
      <c r="A24841" s="83"/>
      <c r="H24841" s="83"/>
      <c r="K24841" s="82"/>
      <c r="M24841" s="112"/>
      <c r="N24841" s="84"/>
    </row>
    <row r="24842" spans="1:14" s="2" customFormat="1">
      <c r="A24842" s="83"/>
      <c r="H24842" s="83"/>
      <c r="K24842" s="82"/>
      <c r="M24842" s="112"/>
      <c r="N24842" s="84"/>
    </row>
    <row r="24843" spans="1:14" s="2" customFormat="1">
      <c r="A24843" s="83"/>
      <c r="H24843" s="83"/>
      <c r="K24843" s="82"/>
      <c r="M24843" s="112"/>
      <c r="N24843" s="84"/>
    </row>
    <row r="24844" spans="1:14" s="2" customFormat="1">
      <c r="A24844" s="83"/>
      <c r="H24844" s="83"/>
      <c r="K24844" s="82"/>
      <c r="M24844" s="112"/>
      <c r="N24844" s="84"/>
    </row>
    <row r="24845" spans="1:14" s="2" customFormat="1">
      <c r="A24845" s="83"/>
      <c r="H24845" s="83"/>
      <c r="K24845" s="82"/>
      <c r="M24845" s="112"/>
      <c r="N24845" s="84"/>
    </row>
    <row r="24846" spans="1:14" s="2" customFormat="1">
      <c r="A24846" s="83"/>
      <c r="H24846" s="83"/>
      <c r="K24846" s="82"/>
      <c r="M24846" s="112"/>
      <c r="N24846" s="84"/>
    </row>
    <row r="24847" spans="1:14" s="2" customFormat="1">
      <c r="A24847" s="83"/>
      <c r="H24847" s="83"/>
      <c r="K24847" s="82"/>
      <c r="M24847" s="112"/>
      <c r="N24847" s="84"/>
    </row>
    <row r="24848" spans="1:14" s="2" customFormat="1">
      <c r="A24848" s="83"/>
      <c r="H24848" s="83"/>
      <c r="K24848" s="82"/>
      <c r="M24848" s="112"/>
      <c r="N24848" s="84"/>
    </row>
    <row r="24849" spans="1:14" s="2" customFormat="1">
      <c r="A24849" s="83"/>
      <c r="H24849" s="83"/>
      <c r="K24849" s="82"/>
      <c r="M24849" s="112"/>
      <c r="N24849" s="84"/>
    </row>
    <row r="24850" spans="1:14" s="2" customFormat="1">
      <c r="A24850" s="83"/>
      <c r="H24850" s="83"/>
      <c r="K24850" s="82"/>
      <c r="M24850" s="112"/>
      <c r="N24850" s="84"/>
    </row>
    <row r="24851" spans="1:14" s="2" customFormat="1">
      <c r="A24851" s="83"/>
      <c r="H24851" s="83"/>
      <c r="K24851" s="82"/>
      <c r="M24851" s="112"/>
      <c r="N24851" s="84"/>
    </row>
    <row r="24852" spans="1:14" s="2" customFormat="1">
      <c r="A24852" s="83"/>
      <c r="H24852" s="83"/>
      <c r="K24852" s="82"/>
      <c r="M24852" s="112"/>
      <c r="N24852" s="84"/>
    </row>
    <row r="24853" spans="1:14" s="2" customFormat="1">
      <c r="A24853" s="83"/>
      <c r="H24853" s="83"/>
      <c r="K24853" s="82"/>
      <c r="M24853" s="112"/>
      <c r="N24853" s="84"/>
    </row>
    <row r="24854" spans="1:14" s="2" customFormat="1">
      <c r="A24854" s="83"/>
      <c r="H24854" s="83"/>
      <c r="K24854" s="82"/>
      <c r="M24854" s="112"/>
      <c r="N24854" s="84"/>
    </row>
    <row r="24855" spans="1:14" s="2" customFormat="1">
      <c r="A24855" s="83"/>
      <c r="H24855" s="83"/>
      <c r="K24855" s="82"/>
      <c r="M24855" s="112"/>
      <c r="N24855" s="84"/>
    </row>
    <row r="24856" spans="1:14" s="2" customFormat="1">
      <c r="A24856" s="83"/>
      <c r="H24856" s="83"/>
      <c r="K24856" s="82"/>
      <c r="M24856" s="112"/>
      <c r="N24856" s="84"/>
    </row>
    <row r="24857" spans="1:14" s="2" customFormat="1">
      <c r="A24857" s="83"/>
      <c r="H24857" s="83"/>
      <c r="K24857" s="82"/>
      <c r="M24857" s="112"/>
      <c r="N24857" s="84"/>
    </row>
    <row r="24858" spans="1:14" s="2" customFormat="1">
      <c r="A24858" s="83"/>
      <c r="H24858" s="83"/>
      <c r="K24858" s="82"/>
      <c r="M24858" s="112"/>
      <c r="N24858" s="84"/>
    </row>
    <row r="24859" spans="1:14" s="2" customFormat="1">
      <c r="A24859" s="83"/>
      <c r="H24859" s="83"/>
      <c r="K24859" s="82"/>
      <c r="M24859" s="112"/>
      <c r="N24859" s="84"/>
    </row>
    <row r="24860" spans="1:14" s="2" customFormat="1">
      <c r="A24860" s="83"/>
      <c r="H24860" s="83"/>
      <c r="K24860" s="82"/>
      <c r="M24860" s="112"/>
      <c r="N24860" s="84"/>
    </row>
    <row r="24861" spans="1:14" s="2" customFormat="1">
      <c r="A24861" s="83"/>
      <c r="H24861" s="83"/>
      <c r="K24861" s="82"/>
      <c r="M24861" s="112"/>
      <c r="N24861" s="84"/>
    </row>
    <row r="24862" spans="1:14" s="2" customFormat="1">
      <c r="A24862" s="83"/>
      <c r="H24862" s="83"/>
      <c r="K24862" s="82"/>
      <c r="M24862" s="112"/>
      <c r="N24862" s="84"/>
    </row>
    <row r="24863" spans="1:14" s="2" customFormat="1">
      <c r="A24863" s="83"/>
      <c r="H24863" s="83"/>
      <c r="K24863" s="82"/>
      <c r="M24863" s="112"/>
      <c r="N24863" s="84"/>
    </row>
    <row r="24864" spans="1:14" s="2" customFormat="1">
      <c r="A24864" s="83"/>
      <c r="H24864" s="83"/>
      <c r="K24864" s="82"/>
      <c r="M24864" s="112"/>
      <c r="N24864" s="84"/>
    </row>
    <row r="24865" spans="1:14" s="2" customFormat="1">
      <c r="A24865" s="83"/>
      <c r="H24865" s="83"/>
      <c r="K24865" s="82"/>
      <c r="M24865" s="112"/>
      <c r="N24865" s="84"/>
    </row>
    <row r="24866" spans="1:14" s="2" customFormat="1">
      <c r="A24866" s="83"/>
      <c r="H24866" s="83"/>
      <c r="K24866" s="82"/>
      <c r="M24866" s="112"/>
      <c r="N24866" s="84"/>
    </row>
    <row r="24867" spans="1:14" s="2" customFormat="1">
      <c r="A24867" s="83"/>
      <c r="H24867" s="83"/>
      <c r="K24867" s="82"/>
      <c r="M24867" s="112"/>
      <c r="N24867" s="84"/>
    </row>
    <row r="24868" spans="1:14" s="2" customFormat="1">
      <c r="A24868" s="83"/>
      <c r="H24868" s="83"/>
      <c r="K24868" s="82"/>
      <c r="M24868" s="112"/>
      <c r="N24868" s="84"/>
    </row>
    <row r="24869" spans="1:14" s="2" customFormat="1">
      <c r="A24869" s="83"/>
      <c r="H24869" s="83"/>
      <c r="K24869" s="82"/>
      <c r="M24869" s="112"/>
      <c r="N24869" s="84"/>
    </row>
    <row r="24870" spans="1:14" s="2" customFormat="1">
      <c r="A24870" s="83"/>
      <c r="H24870" s="83"/>
      <c r="K24870" s="82"/>
      <c r="M24870" s="112"/>
      <c r="N24870" s="84"/>
    </row>
    <row r="24871" spans="1:14" s="2" customFormat="1">
      <c r="A24871" s="83"/>
      <c r="H24871" s="83"/>
      <c r="K24871" s="82"/>
      <c r="M24871" s="112"/>
      <c r="N24871" s="84"/>
    </row>
    <row r="24872" spans="1:14" s="2" customFormat="1">
      <c r="A24872" s="83"/>
      <c r="H24872" s="83"/>
      <c r="K24872" s="82"/>
      <c r="M24872" s="112"/>
      <c r="N24872" s="84"/>
    </row>
    <row r="24873" spans="1:14" s="2" customFormat="1">
      <c r="A24873" s="83"/>
      <c r="H24873" s="83"/>
      <c r="K24873" s="82"/>
      <c r="M24873" s="112"/>
      <c r="N24873" s="84"/>
    </row>
    <row r="24874" spans="1:14" s="2" customFormat="1">
      <c r="A24874" s="83"/>
      <c r="H24874" s="83"/>
      <c r="K24874" s="82"/>
      <c r="M24874" s="112"/>
      <c r="N24874" s="84"/>
    </row>
    <row r="24875" spans="1:14" s="2" customFormat="1">
      <c r="A24875" s="83"/>
      <c r="H24875" s="83"/>
      <c r="K24875" s="82"/>
      <c r="M24875" s="112"/>
      <c r="N24875" s="84"/>
    </row>
    <row r="24876" spans="1:14" s="2" customFormat="1">
      <c r="A24876" s="83"/>
      <c r="H24876" s="83"/>
      <c r="K24876" s="82"/>
      <c r="M24876" s="112"/>
      <c r="N24876" s="84"/>
    </row>
    <row r="24877" spans="1:14" s="2" customFormat="1">
      <c r="A24877" s="83"/>
      <c r="H24877" s="83"/>
      <c r="K24877" s="82"/>
      <c r="M24877" s="112"/>
      <c r="N24877" s="84"/>
    </row>
    <row r="24878" spans="1:14" s="2" customFormat="1">
      <c r="A24878" s="83"/>
      <c r="H24878" s="83"/>
      <c r="K24878" s="82"/>
      <c r="M24878" s="112"/>
      <c r="N24878" s="84"/>
    </row>
    <row r="24879" spans="1:14" s="2" customFormat="1">
      <c r="A24879" s="83"/>
      <c r="H24879" s="83"/>
      <c r="K24879" s="82"/>
      <c r="M24879" s="112"/>
      <c r="N24879" s="84"/>
    </row>
    <row r="24880" spans="1:14" s="2" customFormat="1">
      <c r="A24880" s="83"/>
      <c r="H24880" s="83"/>
      <c r="K24880" s="82"/>
      <c r="M24880" s="112"/>
      <c r="N24880" s="84"/>
    </row>
    <row r="24881" spans="1:14" s="2" customFormat="1">
      <c r="A24881" s="83"/>
      <c r="H24881" s="83"/>
      <c r="K24881" s="82"/>
      <c r="M24881" s="112"/>
      <c r="N24881" s="84"/>
    </row>
    <row r="24882" spans="1:14" s="2" customFormat="1">
      <c r="A24882" s="83"/>
      <c r="H24882" s="83"/>
      <c r="K24882" s="82"/>
      <c r="M24882" s="112"/>
      <c r="N24882" s="84"/>
    </row>
    <row r="24883" spans="1:14" s="2" customFormat="1">
      <c r="A24883" s="83"/>
      <c r="H24883" s="83"/>
      <c r="K24883" s="82"/>
      <c r="M24883" s="112"/>
      <c r="N24883" s="84"/>
    </row>
    <row r="24884" spans="1:14" s="2" customFormat="1">
      <c r="A24884" s="83"/>
      <c r="H24884" s="83"/>
      <c r="K24884" s="82"/>
      <c r="M24884" s="112"/>
      <c r="N24884" s="84"/>
    </row>
    <row r="24885" spans="1:14" s="2" customFormat="1">
      <c r="A24885" s="83"/>
      <c r="H24885" s="83"/>
      <c r="K24885" s="82"/>
      <c r="M24885" s="112"/>
      <c r="N24885" s="84"/>
    </row>
    <row r="24886" spans="1:14" s="2" customFormat="1">
      <c r="A24886" s="83"/>
      <c r="H24886" s="83"/>
      <c r="K24886" s="82"/>
      <c r="M24886" s="112"/>
      <c r="N24886" s="84"/>
    </row>
    <row r="24887" spans="1:14" s="2" customFormat="1">
      <c r="A24887" s="83"/>
      <c r="H24887" s="83"/>
      <c r="K24887" s="82"/>
      <c r="M24887" s="112"/>
      <c r="N24887" s="84"/>
    </row>
    <row r="24888" spans="1:14" s="2" customFormat="1">
      <c r="A24888" s="83"/>
      <c r="H24888" s="83"/>
      <c r="K24888" s="82"/>
      <c r="M24888" s="112"/>
      <c r="N24888" s="84"/>
    </row>
    <row r="24889" spans="1:14" s="2" customFormat="1">
      <c r="A24889" s="83"/>
      <c r="H24889" s="83"/>
      <c r="K24889" s="82"/>
      <c r="M24889" s="112"/>
      <c r="N24889" s="84"/>
    </row>
    <row r="24890" spans="1:14" s="2" customFormat="1">
      <c r="A24890" s="83"/>
      <c r="H24890" s="83"/>
      <c r="K24890" s="82"/>
      <c r="M24890" s="112"/>
      <c r="N24890" s="84"/>
    </row>
    <row r="24891" spans="1:14" s="2" customFormat="1">
      <c r="A24891" s="83"/>
      <c r="H24891" s="83"/>
      <c r="K24891" s="82"/>
      <c r="M24891" s="112"/>
      <c r="N24891" s="84"/>
    </row>
    <row r="24892" spans="1:14" s="2" customFormat="1">
      <c r="A24892" s="83"/>
      <c r="H24892" s="83"/>
      <c r="K24892" s="82"/>
      <c r="M24892" s="112"/>
      <c r="N24892" s="84"/>
    </row>
    <row r="24893" spans="1:14" s="2" customFormat="1">
      <c r="A24893" s="83"/>
      <c r="H24893" s="83"/>
      <c r="K24893" s="82"/>
      <c r="M24893" s="112"/>
      <c r="N24893" s="84"/>
    </row>
    <row r="24894" spans="1:14" s="2" customFormat="1">
      <c r="A24894" s="83"/>
      <c r="H24894" s="83"/>
      <c r="K24894" s="82"/>
      <c r="M24894" s="112"/>
      <c r="N24894" s="84"/>
    </row>
    <row r="24895" spans="1:14" s="2" customFormat="1">
      <c r="A24895" s="83"/>
      <c r="H24895" s="83"/>
      <c r="K24895" s="82"/>
      <c r="M24895" s="112"/>
      <c r="N24895" s="84"/>
    </row>
    <row r="24896" spans="1:14" s="2" customFormat="1">
      <c r="A24896" s="83"/>
      <c r="H24896" s="83"/>
      <c r="K24896" s="82"/>
      <c r="M24896" s="112"/>
      <c r="N24896" s="84"/>
    </row>
    <row r="24897" spans="1:14" s="2" customFormat="1">
      <c r="A24897" s="83"/>
      <c r="H24897" s="83"/>
      <c r="K24897" s="82"/>
      <c r="M24897" s="112"/>
      <c r="N24897" s="84"/>
    </row>
    <row r="24898" spans="1:14" s="2" customFormat="1">
      <c r="A24898" s="83"/>
      <c r="H24898" s="83"/>
      <c r="K24898" s="82"/>
      <c r="M24898" s="112"/>
      <c r="N24898" s="84"/>
    </row>
    <row r="24899" spans="1:14" s="2" customFormat="1">
      <c r="A24899" s="83"/>
      <c r="H24899" s="83"/>
      <c r="K24899" s="82"/>
      <c r="M24899" s="112"/>
      <c r="N24899" s="84"/>
    </row>
    <row r="24900" spans="1:14" s="2" customFormat="1">
      <c r="A24900" s="83"/>
      <c r="H24900" s="83"/>
      <c r="K24900" s="82"/>
      <c r="M24900" s="112"/>
      <c r="N24900" s="84"/>
    </row>
    <row r="24901" spans="1:14" s="2" customFormat="1">
      <c r="A24901" s="83"/>
      <c r="H24901" s="83"/>
      <c r="K24901" s="82"/>
      <c r="M24901" s="112"/>
      <c r="N24901" s="84"/>
    </row>
    <row r="24902" spans="1:14" s="2" customFormat="1">
      <c r="A24902" s="83"/>
      <c r="H24902" s="83"/>
      <c r="K24902" s="82"/>
      <c r="M24902" s="112"/>
      <c r="N24902" s="84"/>
    </row>
    <row r="24903" spans="1:14" s="2" customFormat="1">
      <c r="A24903" s="83"/>
      <c r="H24903" s="83"/>
      <c r="K24903" s="82"/>
      <c r="M24903" s="112"/>
      <c r="N24903" s="84"/>
    </row>
    <row r="24904" spans="1:14" s="2" customFormat="1">
      <c r="A24904" s="83"/>
      <c r="H24904" s="83"/>
      <c r="K24904" s="82"/>
      <c r="M24904" s="112"/>
      <c r="N24904" s="84"/>
    </row>
    <row r="24905" spans="1:14" s="2" customFormat="1">
      <c r="A24905" s="83"/>
      <c r="H24905" s="83"/>
      <c r="K24905" s="82"/>
      <c r="M24905" s="112"/>
      <c r="N24905" s="84"/>
    </row>
    <row r="24906" spans="1:14" s="2" customFormat="1">
      <c r="A24906" s="83"/>
      <c r="H24906" s="83"/>
      <c r="K24906" s="82"/>
      <c r="M24906" s="112"/>
      <c r="N24906" s="84"/>
    </row>
    <row r="24907" spans="1:14" s="2" customFormat="1">
      <c r="A24907" s="83"/>
      <c r="H24907" s="83"/>
      <c r="K24907" s="82"/>
      <c r="M24907" s="112"/>
      <c r="N24907" s="84"/>
    </row>
    <row r="24908" spans="1:14" s="2" customFormat="1">
      <c r="A24908" s="83"/>
      <c r="H24908" s="83"/>
      <c r="K24908" s="82"/>
      <c r="M24908" s="112"/>
      <c r="N24908" s="84"/>
    </row>
    <row r="24909" spans="1:14" s="2" customFormat="1">
      <c r="A24909" s="83"/>
      <c r="H24909" s="83"/>
      <c r="K24909" s="82"/>
      <c r="M24909" s="112"/>
      <c r="N24909" s="84"/>
    </row>
    <row r="24910" spans="1:14" s="2" customFormat="1">
      <c r="A24910" s="83"/>
      <c r="H24910" s="83"/>
      <c r="K24910" s="82"/>
      <c r="M24910" s="112"/>
      <c r="N24910" s="84"/>
    </row>
    <row r="24911" spans="1:14" s="2" customFormat="1">
      <c r="A24911" s="83"/>
      <c r="H24911" s="83"/>
      <c r="K24911" s="82"/>
      <c r="M24911" s="112"/>
      <c r="N24911" s="84"/>
    </row>
    <row r="24912" spans="1:14" s="2" customFormat="1">
      <c r="A24912" s="83"/>
      <c r="H24912" s="83"/>
      <c r="K24912" s="82"/>
      <c r="M24912" s="112"/>
      <c r="N24912" s="84"/>
    </row>
    <row r="24913" spans="1:14" s="2" customFormat="1">
      <c r="A24913" s="83"/>
      <c r="H24913" s="83"/>
      <c r="K24913" s="82"/>
      <c r="M24913" s="112"/>
      <c r="N24913" s="84"/>
    </row>
    <row r="24914" spans="1:14" s="2" customFormat="1">
      <c r="A24914" s="83"/>
      <c r="H24914" s="83"/>
      <c r="K24914" s="82"/>
      <c r="M24914" s="112"/>
      <c r="N24914" s="84"/>
    </row>
    <row r="24915" spans="1:14" s="2" customFormat="1">
      <c r="A24915" s="83"/>
      <c r="H24915" s="83"/>
      <c r="K24915" s="82"/>
      <c r="M24915" s="112"/>
      <c r="N24915" s="84"/>
    </row>
    <row r="24916" spans="1:14" s="2" customFormat="1">
      <c r="A24916" s="83"/>
      <c r="H24916" s="83"/>
      <c r="K24916" s="82"/>
      <c r="M24916" s="112"/>
      <c r="N24916" s="84"/>
    </row>
    <row r="24917" spans="1:14" s="2" customFormat="1">
      <c r="A24917" s="83"/>
      <c r="H24917" s="83"/>
      <c r="K24917" s="82"/>
      <c r="M24917" s="112"/>
      <c r="N24917" s="84"/>
    </row>
    <row r="24918" spans="1:14" s="2" customFormat="1">
      <c r="A24918" s="83"/>
      <c r="H24918" s="83"/>
      <c r="K24918" s="82"/>
      <c r="M24918" s="112"/>
      <c r="N24918" s="84"/>
    </row>
    <row r="24919" spans="1:14" s="2" customFormat="1">
      <c r="A24919" s="83"/>
      <c r="H24919" s="83"/>
      <c r="K24919" s="82"/>
      <c r="M24919" s="112"/>
      <c r="N24919" s="84"/>
    </row>
    <row r="24920" spans="1:14" s="2" customFormat="1">
      <c r="A24920" s="83"/>
      <c r="H24920" s="83"/>
      <c r="K24920" s="82"/>
      <c r="M24920" s="112"/>
      <c r="N24920" s="84"/>
    </row>
    <row r="24921" spans="1:14" s="2" customFormat="1">
      <c r="A24921" s="83"/>
      <c r="H24921" s="83"/>
      <c r="K24921" s="82"/>
      <c r="M24921" s="112"/>
      <c r="N24921" s="84"/>
    </row>
    <row r="24922" spans="1:14" s="2" customFormat="1">
      <c r="A24922" s="83"/>
      <c r="H24922" s="83"/>
      <c r="K24922" s="82"/>
      <c r="M24922" s="112"/>
      <c r="N24922" s="84"/>
    </row>
    <row r="24923" spans="1:14" s="2" customFormat="1">
      <c r="A24923" s="83"/>
      <c r="H24923" s="83"/>
      <c r="K24923" s="82"/>
      <c r="M24923" s="112"/>
      <c r="N24923" s="84"/>
    </row>
    <row r="24924" spans="1:14" s="2" customFormat="1">
      <c r="A24924" s="83"/>
      <c r="H24924" s="83"/>
      <c r="K24924" s="82"/>
      <c r="M24924" s="112"/>
      <c r="N24924" s="84"/>
    </row>
    <row r="24925" spans="1:14" s="2" customFormat="1">
      <c r="A24925" s="83"/>
      <c r="H24925" s="83"/>
      <c r="K24925" s="82"/>
      <c r="M24925" s="112"/>
      <c r="N24925" s="84"/>
    </row>
    <row r="24926" spans="1:14" s="2" customFormat="1">
      <c r="A24926" s="83"/>
      <c r="H24926" s="83"/>
      <c r="K24926" s="82"/>
      <c r="M24926" s="112"/>
      <c r="N24926" s="84"/>
    </row>
    <row r="24927" spans="1:14" s="2" customFormat="1">
      <c r="A24927" s="83"/>
      <c r="H24927" s="83"/>
      <c r="K24927" s="82"/>
      <c r="M24927" s="112"/>
      <c r="N24927" s="84"/>
    </row>
    <row r="24928" spans="1:14" s="2" customFormat="1">
      <c r="A24928" s="83"/>
      <c r="H24928" s="83"/>
      <c r="K24928" s="82"/>
      <c r="M24928" s="112"/>
      <c r="N24928" s="84"/>
    </row>
    <row r="24929" spans="1:14" s="2" customFormat="1">
      <c r="A24929" s="83"/>
      <c r="H24929" s="83"/>
      <c r="K24929" s="82"/>
      <c r="M24929" s="112"/>
      <c r="N24929" s="84"/>
    </row>
    <row r="24930" spans="1:14" s="2" customFormat="1">
      <c r="A24930" s="83"/>
      <c r="H24930" s="83"/>
      <c r="K24930" s="82"/>
      <c r="M24930" s="112"/>
      <c r="N24930" s="84"/>
    </row>
    <row r="24931" spans="1:14" s="2" customFormat="1">
      <c r="A24931" s="83"/>
      <c r="H24931" s="83"/>
      <c r="K24931" s="82"/>
      <c r="M24931" s="112"/>
      <c r="N24931" s="84"/>
    </row>
    <row r="24932" spans="1:14" s="2" customFormat="1">
      <c r="A24932" s="83"/>
      <c r="H24932" s="83"/>
      <c r="K24932" s="82"/>
      <c r="M24932" s="112"/>
      <c r="N24932" s="84"/>
    </row>
    <row r="24933" spans="1:14" s="2" customFormat="1">
      <c r="A24933" s="83"/>
      <c r="H24933" s="83"/>
      <c r="K24933" s="82"/>
      <c r="M24933" s="112"/>
      <c r="N24933" s="84"/>
    </row>
    <row r="24934" spans="1:14" s="2" customFormat="1">
      <c r="A24934" s="83"/>
      <c r="H24934" s="83"/>
      <c r="K24934" s="82"/>
      <c r="M24934" s="112"/>
      <c r="N24934" s="84"/>
    </row>
    <row r="24935" spans="1:14" s="2" customFormat="1">
      <c r="A24935" s="83"/>
      <c r="H24935" s="83"/>
      <c r="K24935" s="82"/>
      <c r="M24935" s="112"/>
      <c r="N24935" s="84"/>
    </row>
    <row r="24936" spans="1:14" s="2" customFormat="1">
      <c r="A24936" s="83"/>
      <c r="H24936" s="83"/>
      <c r="K24936" s="82"/>
      <c r="M24936" s="112"/>
      <c r="N24936" s="84"/>
    </row>
    <row r="24937" spans="1:14" s="2" customFormat="1">
      <c r="A24937" s="83"/>
      <c r="H24937" s="83"/>
      <c r="K24937" s="82"/>
      <c r="M24937" s="112"/>
      <c r="N24937" s="84"/>
    </row>
    <row r="24938" spans="1:14" s="2" customFormat="1">
      <c r="A24938" s="83"/>
      <c r="H24938" s="83"/>
      <c r="K24938" s="82"/>
      <c r="M24938" s="112"/>
      <c r="N24938" s="84"/>
    </row>
    <row r="24939" spans="1:14" s="2" customFormat="1">
      <c r="A24939" s="83"/>
      <c r="H24939" s="83"/>
      <c r="K24939" s="82"/>
      <c r="M24939" s="112"/>
      <c r="N24939" s="84"/>
    </row>
    <row r="24940" spans="1:14" s="2" customFormat="1">
      <c r="A24940" s="83"/>
      <c r="H24940" s="83"/>
      <c r="K24940" s="82"/>
      <c r="M24940" s="112"/>
      <c r="N24940" s="84"/>
    </row>
    <row r="24941" spans="1:14" s="2" customFormat="1">
      <c r="A24941" s="83"/>
      <c r="H24941" s="83"/>
      <c r="K24941" s="82"/>
      <c r="M24941" s="112"/>
      <c r="N24941" s="84"/>
    </row>
    <row r="24942" spans="1:14" s="2" customFormat="1">
      <c r="A24942" s="83"/>
      <c r="H24942" s="83"/>
      <c r="K24942" s="82"/>
      <c r="M24942" s="112"/>
      <c r="N24942" s="84"/>
    </row>
    <row r="24943" spans="1:14" s="2" customFormat="1">
      <c r="A24943" s="83"/>
      <c r="H24943" s="83"/>
      <c r="K24943" s="82"/>
      <c r="M24943" s="112"/>
      <c r="N24943" s="84"/>
    </row>
    <row r="24944" spans="1:14" s="2" customFormat="1">
      <c r="A24944" s="83"/>
      <c r="H24944" s="83"/>
      <c r="K24944" s="82"/>
      <c r="M24944" s="112"/>
      <c r="N24944" s="84"/>
    </row>
    <row r="24945" spans="1:14" s="2" customFormat="1">
      <c r="A24945" s="83"/>
      <c r="H24945" s="83"/>
      <c r="K24945" s="82"/>
      <c r="M24945" s="112"/>
      <c r="N24945" s="84"/>
    </row>
    <row r="24946" spans="1:14" s="2" customFormat="1">
      <c r="A24946" s="83"/>
      <c r="H24946" s="83"/>
      <c r="K24946" s="82"/>
      <c r="M24946" s="112"/>
      <c r="N24946" s="84"/>
    </row>
    <row r="24947" spans="1:14" s="2" customFormat="1">
      <c r="A24947" s="83"/>
      <c r="H24947" s="83"/>
      <c r="K24947" s="82"/>
      <c r="M24947" s="112"/>
      <c r="N24947" s="84"/>
    </row>
    <row r="24948" spans="1:14" s="2" customFormat="1">
      <c r="A24948" s="83"/>
      <c r="H24948" s="83"/>
      <c r="K24948" s="82"/>
      <c r="M24948" s="112"/>
      <c r="N24948" s="84"/>
    </row>
    <row r="24949" spans="1:14" s="2" customFormat="1">
      <c r="A24949" s="83"/>
      <c r="H24949" s="83"/>
      <c r="K24949" s="82"/>
      <c r="M24949" s="112"/>
      <c r="N24949" s="84"/>
    </row>
    <row r="24950" spans="1:14" s="2" customFormat="1">
      <c r="A24950" s="83"/>
      <c r="H24950" s="83"/>
      <c r="K24950" s="82"/>
      <c r="M24950" s="112"/>
      <c r="N24950" s="84"/>
    </row>
    <row r="24951" spans="1:14" s="2" customFormat="1">
      <c r="A24951" s="83"/>
      <c r="H24951" s="83"/>
      <c r="K24951" s="82"/>
      <c r="M24951" s="112"/>
      <c r="N24951" s="84"/>
    </row>
    <row r="24952" spans="1:14" s="2" customFormat="1">
      <c r="A24952" s="83"/>
      <c r="H24952" s="83"/>
      <c r="K24952" s="82"/>
      <c r="M24952" s="112"/>
      <c r="N24952" s="84"/>
    </row>
    <row r="24953" spans="1:14" s="2" customFormat="1">
      <c r="A24953" s="83"/>
      <c r="H24953" s="83"/>
      <c r="K24953" s="82"/>
      <c r="M24953" s="112"/>
      <c r="N24953" s="84"/>
    </row>
    <row r="24954" spans="1:14" s="2" customFormat="1">
      <c r="A24954" s="83"/>
      <c r="H24954" s="83"/>
      <c r="K24954" s="82"/>
      <c r="M24954" s="112"/>
      <c r="N24954" s="84"/>
    </row>
    <row r="24955" spans="1:14" s="2" customFormat="1">
      <c r="A24955" s="83"/>
      <c r="H24955" s="83"/>
      <c r="K24955" s="82"/>
      <c r="M24955" s="112"/>
      <c r="N24955" s="84"/>
    </row>
    <row r="24956" spans="1:14" s="2" customFormat="1">
      <c r="A24956" s="83"/>
      <c r="H24956" s="83"/>
      <c r="K24956" s="82"/>
      <c r="M24956" s="112"/>
      <c r="N24956" s="84"/>
    </row>
    <row r="24957" spans="1:14" s="2" customFormat="1">
      <c r="A24957" s="83"/>
      <c r="H24957" s="83"/>
      <c r="K24957" s="82"/>
      <c r="M24957" s="112"/>
      <c r="N24957" s="84"/>
    </row>
    <row r="24958" spans="1:14" s="2" customFormat="1">
      <c r="A24958" s="83"/>
      <c r="H24958" s="83"/>
      <c r="K24958" s="82"/>
      <c r="M24958" s="112"/>
      <c r="N24958" s="84"/>
    </row>
    <row r="24959" spans="1:14" s="2" customFormat="1">
      <c r="A24959" s="83"/>
      <c r="H24959" s="83"/>
      <c r="K24959" s="82"/>
      <c r="M24959" s="112"/>
      <c r="N24959" s="84"/>
    </row>
    <row r="24960" spans="1:14" s="2" customFormat="1">
      <c r="A24960" s="83"/>
      <c r="H24960" s="83"/>
      <c r="K24960" s="82"/>
      <c r="M24960" s="112"/>
      <c r="N24960" s="84"/>
    </row>
    <row r="24961" spans="1:14" s="2" customFormat="1">
      <c r="A24961" s="83"/>
      <c r="H24961" s="83"/>
      <c r="K24961" s="82"/>
      <c r="M24961" s="112"/>
      <c r="N24961" s="84"/>
    </row>
    <row r="24962" spans="1:14" s="2" customFormat="1">
      <c r="A24962" s="83"/>
      <c r="H24962" s="83"/>
      <c r="K24962" s="82"/>
      <c r="M24962" s="112"/>
      <c r="N24962" s="84"/>
    </row>
    <row r="24963" spans="1:14" s="2" customFormat="1">
      <c r="A24963" s="83"/>
      <c r="H24963" s="83"/>
      <c r="K24963" s="82"/>
      <c r="M24963" s="112"/>
      <c r="N24963" s="84"/>
    </row>
    <row r="24964" spans="1:14" s="2" customFormat="1">
      <c r="A24964" s="83"/>
      <c r="H24964" s="83"/>
      <c r="K24964" s="82"/>
      <c r="M24964" s="112"/>
      <c r="N24964" s="84"/>
    </row>
    <row r="24965" spans="1:14" s="2" customFormat="1">
      <c r="A24965" s="83"/>
      <c r="H24965" s="83"/>
      <c r="K24965" s="82"/>
      <c r="M24965" s="112"/>
      <c r="N24965" s="84"/>
    </row>
    <row r="24966" spans="1:14" s="2" customFormat="1">
      <c r="A24966" s="83"/>
      <c r="H24966" s="83"/>
      <c r="K24966" s="82"/>
      <c r="M24966" s="112"/>
      <c r="N24966" s="84"/>
    </row>
    <row r="24967" spans="1:14" s="2" customFormat="1">
      <c r="A24967" s="83"/>
      <c r="H24967" s="83"/>
      <c r="K24967" s="82"/>
      <c r="M24967" s="112"/>
      <c r="N24967" s="84"/>
    </row>
    <row r="24968" spans="1:14" s="2" customFormat="1">
      <c r="A24968" s="83"/>
      <c r="H24968" s="83"/>
      <c r="K24968" s="82"/>
      <c r="M24968" s="112"/>
      <c r="N24968" s="84"/>
    </row>
    <row r="24969" spans="1:14" s="2" customFormat="1">
      <c r="A24969" s="83"/>
      <c r="H24969" s="83"/>
      <c r="K24969" s="82"/>
      <c r="M24969" s="112"/>
      <c r="N24969" s="84"/>
    </row>
    <row r="24970" spans="1:14" s="2" customFormat="1">
      <c r="A24970" s="83"/>
      <c r="H24970" s="83"/>
      <c r="K24970" s="82"/>
      <c r="M24970" s="112"/>
      <c r="N24970" s="84"/>
    </row>
    <row r="24971" spans="1:14" s="2" customFormat="1">
      <c r="A24971" s="83"/>
      <c r="H24971" s="83"/>
      <c r="K24971" s="82"/>
      <c r="M24971" s="112"/>
      <c r="N24971" s="84"/>
    </row>
    <row r="24972" spans="1:14" s="2" customFormat="1">
      <c r="A24972" s="83"/>
      <c r="H24972" s="83"/>
      <c r="K24972" s="82"/>
      <c r="M24972" s="112"/>
      <c r="N24972" s="84"/>
    </row>
    <row r="24973" spans="1:14" s="2" customFormat="1">
      <c r="A24973" s="83"/>
      <c r="H24973" s="83"/>
      <c r="K24973" s="82"/>
      <c r="M24973" s="112"/>
      <c r="N24973" s="84"/>
    </row>
    <row r="24974" spans="1:14" s="2" customFormat="1">
      <c r="A24974" s="83"/>
      <c r="H24974" s="83"/>
      <c r="K24974" s="82"/>
      <c r="M24974" s="112"/>
      <c r="N24974" s="84"/>
    </row>
    <row r="24975" spans="1:14" s="2" customFormat="1">
      <c r="A24975" s="83"/>
      <c r="H24975" s="83"/>
      <c r="K24975" s="82"/>
      <c r="M24975" s="112"/>
      <c r="N24975" s="84"/>
    </row>
    <row r="24976" spans="1:14" s="2" customFormat="1">
      <c r="A24976" s="83"/>
      <c r="H24976" s="83"/>
      <c r="K24976" s="82"/>
      <c r="M24976" s="112"/>
      <c r="N24976" s="84"/>
    </row>
    <row r="24977" spans="1:14" s="2" customFormat="1">
      <c r="A24977" s="83"/>
      <c r="H24977" s="83"/>
      <c r="K24977" s="82"/>
      <c r="M24977" s="112"/>
      <c r="N24977" s="84"/>
    </row>
    <row r="24978" spans="1:14" s="2" customFormat="1">
      <c r="A24978" s="83"/>
      <c r="H24978" s="83"/>
      <c r="K24978" s="82"/>
      <c r="M24978" s="112"/>
      <c r="N24978" s="84"/>
    </row>
    <row r="24979" spans="1:14" s="2" customFormat="1">
      <c r="A24979" s="83"/>
      <c r="H24979" s="83"/>
      <c r="K24979" s="82"/>
      <c r="M24979" s="112"/>
      <c r="N24979" s="84"/>
    </row>
    <row r="24980" spans="1:14" s="2" customFormat="1">
      <c r="A24980" s="83"/>
      <c r="H24980" s="83"/>
      <c r="K24980" s="82"/>
      <c r="M24980" s="112"/>
      <c r="N24980" s="84"/>
    </row>
    <row r="24981" spans="1:14" s="2" customFormat="1">
      <c r="A24981" s="83"/>
      <c r="H24981" s="83"/>
      <c r="K24981" s="82"/>
      <c r="M24981" s="112"/>
      <c r="N24981" s="84"/>
    </row>
    <row r="24982" spans="1:14" s="2" customFormat="1">
      <c r="A24982" s="83"/>
      <c r="H24982" s="83"/>
      <c r="K24982" s="82"/>
      <c r="M24982" s="112"/>
      <c r="N24982" s="84"/>
    </row>
    <row r="24983" spans="1:14" s="2" customFormat="1">
      <c r="A24983" s="83"/>
      <c r="H24983" s="83"/>
      <c r="K24983" s="82"/>
      <c r="M24983" s="112"/>
      <c r="N24983" s="84"/>
    </row>
    <row r="24984" spans="1:14" s="2" customFormat="1">
      <c r="A24984" s="83"/>
      <c r="H24984" s="83"/>
      <c r="K24984" s="82"/>
      <c r="M24984" s="112"/>
      <c r="N24984" s="84"/>
    </row>
    <row r="24985" spans="1:14" s="2" customFormat="1">
      <c r="A24985" s="83"/>
      <c r="H24985" s="83"/>
      <c r="K24985" s="82"/>
      <c r="M24985" s="112"/>
      <c r="N24985" s="84"/>
    </row>
    <row r="24986" spans="1:14" s="2" customFormat="1">
      <c r="A24986" s="83"/>
      <c r="H24986" s="83"/>
      <c r="K24986" s="82"/>
      <c r="M24986" s="112"/>
      <c r="N24986" s="84"/>
    </row>
    <row r="24987" spans="1:14" s="2" customFormat="1">
      <c r="A24987" s="83"/>
      <c r="H24987" s="83"/>
      <c r="K24987" s="82"/>
      <c r="M24987" s="112"/>
      <c r="N24987" s="84"/>
    </row>
    <row r="24988" spans="1:14" s="2" customFormat="1">
      <c r="A24988" s="83"/>
      <c r="H24988" s="83"/>
      <c r="K24988" s="82"/>
      <c r="M24988" s="112"/>
      <c r="N24988" s="84"/>
    </row>
    <row r="24989" spans="1:14" s="2" customFormat="1">
      <c r="A24989" s="83"/>
      <c r="H24989" s="83"/>
      <c r="K24989" s="82"/>
      <c r="M24989" s="112"/>
      <c r="N24989" s="84"/>
    </row>
    <row r="24990" spans="1:14" s="2" customFormat="1">
      <c r="A24990" s="83"/>
      <c r="H24990" s="83"/>
      <c r="K24990" s="82"/>
      <c r="M24990" s="112"/>
      <c r="N24990" s="84"/>
    </row>
    <row r="24991" spans="1:14" s="2" customFormat="1">
      <c r="A24991" s="83"/>
      <c r="H24991" s="83"/>
      <c r="K24991" s="82"/>
      <c r="M24991" s="112"/>
      <c r="N24991" s="84"/>
    </row>
    <row r="24992" spans="1:14" s="2" customFormat="1">
      <c r="A24992" s="83"/>
      <c r="H24992" s="83"/>
      <c r="K24992" s="82"/>
      <c r="M24992" s="112"/>
      <c r="N24992" s="84"/>
    </row>
    <row r="24993" spans="1:14" s="2" customFormat="1">
      <c r="A24993" s="83"/>
      <c r="H24993" s="83"/>
      <c r="K24993" s="82"/>
      <c r="M24993" s="112"/>
      <c r="N24993" s="84"/>
    </row>
    <row r="24994" spans="1:14" s="2" customFormat="1">
      <c r="A24994" s="83"/>
      <c r="H24994" s="83"/>
      <c r="K24994" s="82"/>
      <c r="M24994" s="112"/>
      <c r="N24994" s="84"/>
    </row>
    <row r="24995" spans="1:14" s="2" customFormat="1">
      <c r="A24995" s="83"/>
      <c r="H24995" s="83"/>
      <c r="K24995" s="82"/>
      <c r="M24995" s="112"/>
      <c r="N24995" s="84"/>
    </row>
    <row r="24996" spans="1:14" s="2" customFormat="1">
      <c r="A24996" s="83"/>
      <c r="H24996" s="83"/>
      <c r="K24996" s="82"/>
      <c r="M24996" s="112"/>
      <c r="N24996" s="84"/>
    </row>
    <row r="24997" spans="1:14" s="2" customFormat="1">
      <c r="A24997" s="83"/>
      <c r="H24997" s="83"/>
      <c r="K24997" s="82"/>
      <c r="M24997" s="112"/>
      <c r="N24997" s="84"/>
    </row>
    <row r="24998" spans="1:14" s="2" customFormat="1">
      <c r="A24998" s="83"/>
      <c r="H24998" s="83"/>
      <c r="K24998" s="82"/>
      <c r="M24998" s="112"/>
      <c r="N24998" s="84"/>
    </row>
    <row r="24999" spans="1:14" s="2" customFormat="1">
      <c r="A24999" s="83"/>
      <c r="H24999" s="83"/>
      <c r="K24999" s="82"/>
      <c r="M24999" s="112"/>
      <c r="N24999" s="84"/>
    </row>
    <row r="25000" spans="1:14" s="2" customFormat="1">
      <c r="A25000" s="83"/>
      <c r="H25000" s="83"/>
      <c r="K25000" s="82"/>
      <c r="M25000" s="112"/>
      <c r="N25000" s="84"/>
    </row>
    <row r="25001" spans="1:14" s="2" customFormat="1">
      <c r="A25001" s="83"/>
      <c r="H25001" s="83"/>
      <c r="K25001" s="82"/>
      <c r="M25001" s="112"/>
      <c r="N25001" s="84"/>
    </row>
    <row r="25002" spans="1:14" s="2" customFormat="1">
      <c r="A25002" s="83"/>
      <c r="H25002" s="83"/>
      <c r="K25002" s="82"/>
      <c r="M25002" s="112"/>
      <c r="N25002" s="84"/>
    </row>
    <row r="25003" spans="1:14" s="2" customFormat="1">
      <c r="A25003" s="83"/>
      <c r="H25003" s="83"/>
      <c r="K25003" s="82"/>
      <c r="M25003" s="112"/>
      <c r="N25003" s="84"/>
    </row>
    <row r="25004" spans="1:14" s="2" customFormat="1">
      <c r="A25004" s="83"/>
      <c r="H25004" s="83"/>
      <c r="K25004" s="82"/>
      <c r="M25004" s="112"/>
      <c r="N25004" s="84"/>
    </row>
    <row r="25005" spans="1:14" s="2" customFormat="1">
      <c r="A25005" s="83"/>
      <c r="H25005" s="83"/>
      <c r="K25005" s="82"/>
      <c r="M25005" s="112"/>
      <c r="N25005" s="84"/>
    </row>
    <row r="25006" spans="1:14" s="2" customFormat="1">
      <c r="A25006" s="83"/>
      <c r="H25006" s="83"/>
      <c r="K25006" s="82"/>
      <c r="M25006" s="112"/>
      <c r="N25006" s="84"/>
    </row>
    <row r="25007" spans="1:14" s="2" customFormat="1">
      <c r="A25007" s="83"/>
      <c r="H25007" s="83"/>
      <c r="K25007" s="82"/>
      <c r="M25007" s="112"/>
      <c r="N25007" s="84"/>
    </row>
    <row r="25008" spans="1:14" s="2" customFormat="1">
      <c r="A25008" s="83"/>
      <c r="H25008" s="83"/>
      <c r="K25008" s="82"/>
      <c r="M25008" s="112"/>
      <c r="N25008" s="84"/>
    </row>
    <row r="25009" spans="1:14" s="2" customFormat="1">
      <c r="A25009" s="83"/>
      <c r="H25009" s="83"/>
      <c r="K25009" s="82"/>
      <c r="M25009" s="112"/>
      <c r="N25009" s="84"/>
    </row>
    <row r="25010" spans="1:14" s="2" customFormat="1">
      <c r="A25010" s="83"/>
      <c r="H25010" s="83"/>
      <c r="K25010" s="82"/>
      <c r="M25010" s="112"/>
      <c r="N25010" s="84"/>
    </row>
    <row r="25011" spans="1:14" s="2" customFormat="1">
      <c r="A25011" s="83"/>
      <c r="H25011" s="83"/>
      <c r="K25011" s="82"/>
      <c r="M25011" s="112"/>
      <c r="N25011" s="84"/>
    </row>
    <row r="25012" spans="1:14" s="2" customFormat="1">
      <c r="A25012" s="83"/>
      <c r="H25012" s="83"/>
      <c r="K25012" s="82"/>
      <c r="M25012" s="112"/>
      <c r="N25012" s="84"/>
    </row>
    <row r="25013" spans="1:14" s="2" customFormat="1">
      <c r="A25013" s="83"/>
      <c r="H25013" s="83"/>
      <c r="K25013" s="82"/>
      <c r="M25013" s="112"/>
      <c r="N25013" s="84"/>
    </row>
    <row r="25014" spans="1:14" s="2" customFormat="1">
      <c r="A25014" s="83"/>
      <c r="H25014" s="83"/>
      <c r="K25014" s="82"/>
      <c r="M25014" s="112"/>
      <c r="N25014" s="84"/>
    </row>
    <row r="25015" spans="1:14" s="2" customFormat="1">
      <c r="A25015" s="83"/>
      <c r="H25015" s="83"/>
      <c r="K25015" s="82"/>
      <c r="M25015" s="112"/>
      <c r="N25015" s="84"/>
    </row>
    <row r="25016" spans="1:14" s="2" customFormat="1">
      <c r="A25016" s="83"/>
      <c r="H25016" s="83"/>
      <c r="K25016" s="82"/>
      <c r="M25016" s="112"/>
      <c r="N25016" s="84"/>
    </row>
    <row r="25017" spans="1:14" s="2" customFormat="1">
      <c r="A25017" s="83"/>
      <c r="H25017" s="83"/>
      <c r="K25017" s="82"/>
      <c r="M25017" s="112"/>
      <c r="N25017" s="84"/>
    </row>
    <row r="25018" spans="1:14" s="2" customFormat="1">
      <c r="A25018" s="83"/>
      <c r="H25018" s="83"/>
      <c r="K25018" s="82"/>
      <c r="M25018" s="112"/>
      <c r="N25018" s="84"/>
    </row>
    <row r="25019" spans="1:14" s="2" customFormat="1">
      <c r="A25019" s="83"/>
      <c r="H25019" s="83"/>
      <c r="K25019" s="82"/>
      <c r="M25019" s="112"/>
      <c r="N25019" s="84"/>
    </row>
    <row r="25020" spans="1:14" s="2" customFormat="1">
      <c r="A25020" s="83"/>
      <c r="H25020" s="83"/>
      <c r="K25020" s="82"/>
      <c r="M25020" s="112"/>
      <c r="N25020" s="84"/>
    </row>
    <row r="25021" spans="1:14" s="2" customFormat="1">
      <c r="A25021" s="83"/>
      <c r="H25021" s="83"/>
      <c r="K25021" s="82"/>
      <c r="M25021" s="112"/>
      <c r="N25021" s="84"/>
    </row>
    <row r="25022" spans="1:14" s="2" customFormat="1">
      <c r="A25022" s="83"/>
      <c r="H25022" s="83"/>
      <c r="K25022" s="82"/>
      <c r="M25022" s="112"/>
      <c r="N25022" s="84"/>
    </row>
    <row r="25023" spans="1:14" s="2" customFormat="1">
      <c r="A25023" s="83"/>
      <c r="H25023" s="83"/>
      <c r="K25023" s="82"/>
      <c r="M25023" s="112"/>
      <c r="N25023" s="84"/>
    </row>
    <row r="25024" spans="1:14" s="2" customFormat="1">
      <c r="A25024" s="83"/>
      <c r="H25024" s="83"/>
      <c r="K25024" s="82"/>
      <c r="M25024" s="112"/>
      <c r="N25024" s="84"/>
    </row>
    <row r="25025" spans="1:14" s="2" customFormat="1">
      <c r="A25025" s="83"/>
      <c r="H25025" s="83"/>
      <c r="K25025" s="82"/>
      <c r="M25025" s="112"/>
      <c r="N25025" s="84"/>
    </row>
    <row r="25026" spans="1:14" s="2" customFormat="1">
      <c r="A25026" s="83"/>
      <c r="H25026" s="83"/>
      <c r="K25026" s="82"/>
      <c r="M25026" s="112"/>
      <c r="N25026" s="84"/>
    </row>
    <row r="25027" spans="1:14" s="2" customFormat="1">
      <c r="A25027" s="83"/>
      <c r="H25027" s="83"/>
      <c r="K25027" s="82"/>
      <c r="M25027" s="112"/>
      <c r="N25027" s="84"/>
    </row>
    <row r="25028" spans="1:14" s="2" customFormat="1">
      <c r="A25028" s="83"/>
      <c r="H25028" s="83"/>
      <c r="K25028" s="82"/>
      <c r="M25028" s="112"/>
      <c r="N25028" s="84"/>
    </row>
    <row r="25029" spans="1:14" s="2" customFormat="1">
      <c r="A25029" s="83"/>
      <c r="H25029" s="83"/>
      <c r="K25029" s="82"/>
      <c r="M25029" s="112"/>
      <c r="N25029" s="84"/>
    </row>
    <row r="25030" spans="1:14" s="2" customFormat="1">
      <c r="A25030" s="83"/>
      <c r="H25030" s="83"/>
      <c r="K25030" s="82"/>
      <c r="M25030" s="112"/>
      <c r="N25030" s="84"/>
    </row>
    <row r="25031" spans="1:14" s="2" customFormat="1">
      <c r="A25031" s="83"/>
      <c r="H25031" s="83"/>
      <c r="K25031" s="82"/>
      <c r="M25031" s="112"/>
      <c r="N25031" s="84"/>
    </row>
    <row r="25032" spans="1:14" s="2" customFormat="1">
      <c r="A25032" s="83"/>
      <c r="H25032" s="83"/>
      <c r="K25032" s="82"/>
      <c r="M25032" s="112"/>
      <c r="N25032" s="84"/>
    </row>
    <row r="25033" spans="1:14" s="2" customFormat="1">
      <c r="A25033" s="83"/>
      <c r="H25033" s="83"/>
      <c r="K25033" s="82"/>
      <c r="M25033" s="112"/>
      <c r="N25033" s="84"/>
    </row>
    <row r="25034" spans="1:14" s="2" customFormat="1">
      <c r="A25034" s="83"/>
      <c r="H25034" s="83"/>
      <c r="K25034" s="82"/>
      <c r="M25034" s="112"/>
      <c r="N25034" s="84"/>
    </row>
    <row r="25035" spans="1:14" s="2" customFormat="1">
      <c r="A25035" s="83"/>
      <c r="H25035" s="83"/>
      <c r="K25035" s="82"/>
      <c r="M25035" s="112"/>
      <c r="N25035" s="84"/>
    </row>
    <row r="25036" spans="1:14" s="2" customFormat="1">
      <c r="A25036" s="83"/>
      <c r="H25036" s="83"/>
      <c r="K25036" s="82"/>
      <c r="M25036" s="112"/>
      <c r="N25036" s="84"/>
    </row>
    <row r="25037" spans="1:14" s="2" customFormat="1">
      <c r="A25037" s="83"/>
      <c r="H25037" s="83"/>
      <c r="K25037" s="82"/>
      <c r="M25037" s="112"/>
      <c r="N25037" s="84"/>
    </row>
    <row r="25038" spans="1:14" s="2" customFormat="1">
      <c r="A25038" s="83"/>
      <c r="H25038" s="83"/>
      <c r="K25038" s="82"/>
      <c r="M25038" s="112"/>
      <c r="N25038" s="84"/>
    </row>
    <row r="25039" spans="1:14" s="2" customFormat="1">
      <c r="A25039" s="83"/>
      <c r="H25039" s="83"/>
      <c r="K25039" s="82"/>
      <c r="M25039" s="112"/>
      <c r="N25039" s="84"/>
    </row>
    <row r="25040" spans="1:14" s="2" customFormat="1">
      <c r="A25040" s="83"/>
      <c r="H25040" s="83"/>
      <c r="K25040" s="82"/>
      <c r="M25040" s="112"/>
      <c r="N25040" s="84"/>
    </row>
    <row r="25041" spans="1:14" s="2" customFormat="1">
      <c r="A25041" s="83"/>
      <c r="H25041" s="83"/>
      <c r="K25041" s="82"/>
      <c r="M25041" s="112"/>
      <c r="N25041" s="84"/>
    </row>
    <row r="25042" spans="1:14" s="2" customFormat="1">
      <c r="A25042" s="83"/>
      <c r="H25042" s="83"/>
      <c r="K25042" s="82"/>
      <c r="M25042" s="112"/>
      <c r="N25042" s="84"/>
    </row>
    <row r="25043" spans="1:14" s="2" customFormat="1">
      <c r="A25043" s="83"/>
      <c r="H25043" s="83"/>
      <c r="K25043" s="82"/>
      <c r="M25043" s="112"/>
      <c r="N25043" s="84"/>
    </row>
    <row r="25044" spans="1:14" s="2" customFormat="1">
      <c r="A25044" s="83"/>
      <c r="H25044" s="83"/>
      <c r="K25044" s="82"/>
      <c r="M25044" s="112"/>
      <c r="N25044" s="84"/>
    </row>
    <row r="25045" spans="1:14" s="2" customFormat="1">
      <c r="A25045" s="83"/>
      <c r="H25045" s="83"/>
      <c r="K25045" s="82"/>
      <c r="M25045" s="112"/>
      <c r="N25045" s="84"/>
    </row>
    <row r="25046" spans="1:14" s="2" customFormat="1">
      <c r="A25046" s="83"/>
      <c r="H25046" s="83"/>
      <c r="K25046" s="82"/>
      <c r="M25046" s="112"/>
      <c r="N25046" s="84"/>
    </row>
    <row r="25047" spans="1:14" s="2" customFormat="1">
      <c r="A25047" s="83"/>
      <c r="H25047" s="83"/>
      <c r="K25047" s="82"/>
      <c r="M25047" s="112"/>
      <c r="N25047" s="84"/>
    </row>
    <row r="25048" spans="1:14" s="2" customFormat="1">
      <c r="A25048" s="83"/>
      <c r="H25048" s="83"/>
      <c r="K25048" s="82"/>
      <c r="M25048" s="112"/>
      <c r="N25048" s="84"/>
    </row>
    <row r="25049" spans="1:14" s="2" customFormat="1">
      <c r="A25049" s="83"/>
      <c r="H25049" s="83"/>
      <c r="K25049" s="82"/>
      <c r="M25049" s="112"/>
      <c r="N25049" s="84"/>
    </row>
    <row r="25050" spans="1:14" s="2" customFormat="1">
      <c r="A25050" s="83"/>
      <c r="H25050" s="83"/>
      <c r="K25050" s="82"/>
      <c r="M25050" s="112"/>
      <c r="N25050" s="84"/>
    </row>
    <row r="25051" spans="1:14" s="2" customFormat="1">
      <c r="A25051" s="83"/>
      <c r="H25051" s="83"/>
      <c r="K25051" s="82"/>
      <c r="M25051" s="112"/>
      <c r="N25051" s="84"/>
    </row>
    <row r="25052" spans="1:14" s="2" customFormat="1">
      <c r="A25052" s="83"/>
      <c r="H25052" s="83"/>
      <c r="K25052" s="82"/>
      <c r="M25052" s="112"/>
      <c r="N25052" s="84"/>
    </row>
    <row r="25053" spans="1:14" s="2" customFormat="1">
      <c r="A25053" s="83"/>
      <c r="H25053" s="83"/>
      <c r="K25053" s="82"/>
      <c r="M25053" s="112"/>
      <c r="N25053" s="84"/>
    </row>
    <row r="25054" spans="1:14" s="2" customFormat="1">
      <c r="A25054" s="83"/>
      <c r="H25054" s="83"/>
      <c r="K25054" s="82"/>
      <c r="M25054" s="112"/>
      <c r="N25054" s="84"/>
    </row>
    <row r="25055" spans="1:14" s="2" customFormat="1">
      <c r="A25055" s="83"/>
      <c r="H25055" s="83"/>
      <c r="K25055" s="82"/>
      <c r="M25055" s="112"/>
      <c r="N25055" s="84"/>
    </row>
    <row r="25056" spans="1:14" s="2" customFormat="1">
      <c r="A25056" s="83"/>
      <c r="H25056" s="83"/>
      <c r="K25056" s="82"/>
      <c r="M25056" s="112"/>
      <c r="N25056" s="84"/>
    </row>
    <row r="25057" spans="1:14" s="2" customFormat="1">
      <c r="A25057" s="83"/>
      <c r="H25057" s="83"/>
      <c r="K25057" s="82"/>
      <c r="M25057" s="112"/>
      <c r="N25057" s="84"/>
    </row>
    <row r="25058" spans="1:14" s="2" customFormat="1">
      <c r="A25058" s="83"/>
      <c r="H25058" s="83"/>
      <c r="K25058" s="82"/>
      <c r="M25058" s="112"/>
      <c r="N25058" s="84"/>
    </row>
    <row r="25059" spans="1:14" s="2" customFormat="1">
      <c r="A25059" s="83"/>
      <c r="H25059" s="83"/>
      <c r="K25059" s="82"/>
      <c r="M25059" s="112"/>
      <c r="N25059" s="84"/>
    </row>
    <row r="25060" spans="1:14" s="2" customFormat="1">
      <c r="A25060" s="83"/>
      <c r="H25060" s="83"/>
      <c r="K25060" s="82"/>
      <c r="M25060" s="112"/>
      <c r="N25060" s="84"/>
    </row>
    <row r="25061" spans="1:14" s="2" customFormat="1">
      <c r="A25061" s="83"/>
      <c r="H25061" s="83"/>
      <c r="K25061" s="82"/>
      <c r="M25061" s="112"/>
      <c r="N25061" s="84"/>
    </row>
    <row r="25062" spans="1:14" s="2" customFormat="1">
      <c r="A25062" s="83"/>
      <c r="H25062" s="83"/>
      <c r="K25062" s="82"/>
      <c r="M25062" s="112"/>
      <c r="N25062" s="84"/>
    </row>
    <row r="25063" spans="1:14" s="2" customFormat="1">
      <c r="A25063" s="83"/>
      <c r="H25063" s="83"/>
      <c r="K25063" s="82"/>
      <c r="M25063" s="112"/>
      <c r="N25063" s="84"/>
    </row>
    <row r="25064" spans="1:14" s="2" customFormat="1">
      <c r="A25064" s="83"/>
      <c r="H25064" s="83"/>
      <c r="K25064" s="82"/>
      <c r="M25064" s="112"/>
      <c r="N25064" s="84"/>
    </row>
    <row r="25065" spans="1:14" s="2" customFormat="1">
      <c r="A25065" s="83"/>
      <c r="H25065" s="83"/>
      <c r="K25065" s="82"/>
      <c r="M25065" s="112"/>
      <c r="N25065" s="84"/>
    </row>
    <row r="25066" spans="1:14" s="2" customFormat="1">
      <c r="A25066" s="83"/>
      <c r="H25066" s="83"/>
      <c r="K25066" s="82"/>
      <c r="M25066" s="112"/>
      <c r="N25066" s="84"/>
    </row>
    <row r="25067" spans="1:14" s="2" customFormat="1">
      <c r="A25067" s="83"/>
      <c r="H25067" s="83"/>
      <c r="K25067" s="82"/>
      <c r="M25067" s="112"/>
      <c r="N25067" s="84"/>
    </row>
    <row r="25068" spans="1:14" s="2" customFormat="1">
      <c r="A25068" s="83"/>
      <c r="H25068" s="83"/>
      <c r="K25068" s="82"/>
      <c r="M25068" s="112"/>
      <c r="N25068" s="84"/>
    </row>
    <row r="25069" spans="1:14" s="2" customFormat="1">
      <c r="A25069" s="83"/>
      <c r="H25069" s="83"/>
      <c r="K25069" s="82"/>
      <c r="M25069" s="112"/>
      <c r="N25069" s="84"/>
    </row>
    <row r="25070" spans="1:14" s="2" customFormat="1">
      <c r="A25070" s="83"/>
      <c r="H25070" s="83"/>
      <c r="K25070" s="82"/>
      <c r="M25070" s="112"/>
      <c r="N25070" s="84"/>
    </row>
    <row r="25071" spans="1:14" s="2" customFormat="1">
      <c r="A25071" s="83"/>
      <c r="H25071" s="83"/>
      <c r="K25071" s="82"/>
      <c r="M25071" s="112"/>
      <c r="N25071" s="84"/>
    </row>
    <row r="25072" spans="1:14" s="2" customFormat="1">
      <c r="A25072" s="83"/>
      <c r="H25072" s="83"/>
      <c r="K25072" s="82"/>
      <c r="M25072" s="112"/>
      <c r="N25072" s="84"/>
    </row>
    <row r="25073" spans="1:14" s="2" customFormat="1">
      <c r="A25073" s="83"/>
      <c r="H25073" s="83"/>
      <c r="K25073" s="82"/>
      <c r="M25073" s="112"/>
      <c r="N25073" s="84"/>
    </row>
    <row r="25074" spans="1:14" s="2" customFormat="1">
      <c r="A25074" s="83"/>
      <c r="H25074" s="83"/>
      <c r="K25074" s="82"/>
      <c r="M25074" s="112"/>
      <c r="N25074" s="84"/>
    </row>
    <row r="25075" spans="1:14" s="2" customFormat="1">
      <c r="A25075" s="83"/>
      <c r="H25075" s="83"/>
      <c r="K25075" s="82"/>
      <c r="M25075" s="112"/>
      <c r="N25075" s="84"/>
    </row>
    <row r="25076" spans="1:14" s="2" customFormat="1">
      <c r="A25076" s="83"/>
      <c r="H25076" s="83"/>
      <c r="K25076" s="82"/>
      <c r="M25076" s="112"/>
      <c r="N25076" s="84"/>
    </row>
    <row r="25077" spans="1:14" s="2" customFormat="1">
      <c r="A25077" s="83"/>
      <c r="H25077" s="83"/>
      <c r="K25077" s="82"/>
      <c r="M25077" s="112"/>
      <c r="N25077" s="84"/>
    </row>
    <row r="25078" spans="1:14" s="2" customFormat="1">
      <c r="A25078" s="83"/>
      <c r="H25078" s="83"/>
      <c r="K25078" s="82"/>
      <c r="M25078" s="112"/>
      <c r="N25078" s="84"/>
    </row>
    <row r="25079" spans="1:14" s="2" customFormat="1">
      <c r="A25079" s="83"/>
      <c r="H25079" s="83"/>
      <c r="K25079" s="82"/>
      <c r="M25079" s="112"/>
      <c r="N25079" s="84"/>
    </row>
    <row r="25080" spans="1:14" s="2" customFormat="1">
      <c r="A25080" s="83"/>
      <c r="H25080" s="83"/>
      <c r="K25080" s="82"/>
      <c r="M25080" s="112"/>
      <c r="N25080" s="84"/>
    </row>
    <row r="25081" spans="1:14" s="2" customFormat="1">
      <c r="A25081" s="83"/>
      <c r="H25081" s="83"/>
      <c r="K25081" s="82"/>
      <c r="M25081" s="112"/>
      <c r="N25081" s="84"/>
    </row>
    <row r="25082" spans="1:14" s="2" customFormat="1">
      <c r="A25082" s="83"/>
      <c r="H25082" s="83"/>
      <c r="K25082" s="82"/>
      <c r="M25082" s="112"/>
      <c r="N25082" s="84"/>
    </row>
    <row r="25083" spans="1:14" s="2" customFormat="1">
      <c r="A25083" s="83"/>
      <c r="H25083" s="83"/>
      <c r="K25083" s="82"/>
      <c r="M25083" s="112"/>
      <c r="N25083" s="84"/>
    </row>
    <row r="25084" spans="1:14" s="2" customFormat="1">
      <c r="A25084" s="83"/>
      <c r="H25084" s="83"/>
      <c r="K25084" s="82"/>
      <c r="M25084" s="112"/>
      <c r="N25084" s="84"/>
    </row>
    <row r="25085" spans="1:14" s="2" customFormat="1">
      <c r="A25085" s="83"/>
      <c r="H25085" s="83"/>
      <c r="K25085" s="82"/>
      <c r="M25085" s="112"/>
      <c r="N25085" s="84"/>
    </row>
    <row r="25086" spans="1:14" s="2" customFormat="1">
      <c r="A25086" s="83"/>
      <c r="H25086" s="83"/>
      <c r="K25086" s="82"/>
      <c r="M25086" s="112"/>
      <c r="N25086" s="84"/>
    </row>
    <row r="25087" spans="1:14" s="2" customFormat="1">
      <c r="A25087" s="83"/>
      <c r="H25087" s="83"/>
      <c r="K25087" s="82"/>
      <c r="M25087" s="112"/>
      <c r="N25087" s="84"/>
    </row>
    <row r="25088" spans="1:14" s="2" customFormat="1">
      <c r="A25088" s="83"/>
      <c r="H25088" s="83"/>
      <c r="K25088" s="82"/>
      <c r="M25088" s="112"/>
      <c r="N25088" s="84"/>
    </row>
    <row r="25089" spans="1:14" s="2" customFormat="1">
      <c r="A25089" s="83"/>
      <c r="H25089" s="83"/>
      <c r="K25089" s="82"/>
      <c r="M25089" s="112"/>
      <c r="N25089" s="84"/>
    </row>
    <row r="25090" spans="1:14" s="2" customFormat="1">
      <c r="A25090" s="83"/>
      <c r="H25090" s="83"/>
      <c r="K25090" s="82"/>
      <c r="M25090" s="112"/>
      <c r="N25090" s="84"/>
    </row>
    <row r="25091" spans="1:14" s="2" customFormat="1">
      <c r="A25091" s="83"/>
      <c r="H25091" s="83"/>
      <c r="K25091" s="82"/>
      <c r="M25091" s="112"/>
      <c r="N25091" s="84"/>
    </row>
    <row r="25092" spans="1:14" s="2" customFormat="1">
      <c r="A25092" s="83"/>
      <c r="H25092" s="83"/>
      <c r="K25092" s="82"/>
      <c r="M25092" s="112"/>
      <c r="N25092" s="84"/>
    </row>
    <row r="25093" spans="1:14" s="2" customFormat="1">
      <c r="A25093" s="83"/>
      <c r="H25093" s="83"/>
      <c r="K25093" s="82"/>
      <c r="M25093" s="112"/>
      <c r="N25093" s="84"/>
    </row>
    <row r="25094" spans="1:14" s="2" customFormat="1">
      <c r="A25094" s="83"/>
      <c r="H25094" s="83"/>
      <c r="K25094" s="82"/>
      <c r="M25094" s="112"/>
      <c r="N25094" s="84"/>
    </row>
    <row r="25095" spans="1:14" s="2" customFormat="1">
      <c r="A25095" s="83"/>
      <c r="H25095" s="83"/>
      <c r="K25095" s="82"/>
      <c r="M25095" s="112"/>
      <c r="N25095" s="84"/>
    </row>
    <row r="25096" spans="1:14" s="2" customFormat="1">
      <c r="A25096" s="83"/>
      <c r="H25096" s="83"/>
      <c r="K25096" s="82"/>
      <c r="M25096" s="112"/>
      <c r="N25096" s="84"/>
    </row>
    <row r="25097" spans="1:14" s="2" customFormat="1">
      <c r="A25097" s="83"/>
      <c r="H25097" s="83"/>
      <c r="K25097" s="82"/>
      <c r="M25097" s="112"/>
      <c r="N25097" s="84"/>
    </row>
    <row r="25098" spans="1:14" s="2" customFormat="1">
      <c r="A25098" s="83"/>
      <c r="H25098" s="83"/>
      <c r="K25098" s="82"/>
      <c r="M25098" s="112"/>
      <c r="N25098" s="84"/>
    </row>
    <row r="25099" spans="1:14" s="2" customFormat="1">
      <c r="A25099" s="83"/>
      <c r="H25099" s="83"/>
      <c r="K25099" s="82"/>
      <c r="M25099" s="112"/>
      <c r="N25099" s="84"/>
    </row>
    <row r="25100" spans="1:14" s="2" customFormat="1">
      <c r="A25100" s="83"/>
      <c r="H25100" s="83"/>
      <c r="K25100" s="82"/>
      <c r="M25100" s="112"/>
      <c r="N25100" s="84"/>
    </row>
    <row r="25101" spans="1:14" s="2" customFormat="1">
      <c r="A25101" s="83"/>
      <c r="H25101" s="83"/>
      <c r="K25101" s="82"/>
      <c r="M25101" s="112"/>
      <c r="N25101" s="84"/>
    </row>
    <row r="25102" spans="1:14" s="2" customFormat="1">
      <c r="A25102" s="83"/>
      <c r="H25102" s="83"/>
      <c r="K25102" s="82"/>
      <c r="M25102" s="112"/>
      <c r="N25102" s="84"/>
    </row>
    <row r="25103" spans="1:14" s="2" customFormat="1">
      <c r="A25103" s="83"/>
      <c r="H25103" s="83"/>
      <c r="K25103" s="82"/>
      <c r="M25103" s="112"/>
      <c r="N25103" s="84"/>
    </row>
    <row r="25104" spans="1:14" s="2" customFormat="1">
      <c r="A25104" s="83"/>
      <c r="H25104" s="83"/>
      <c r="K25104" s="82"/>
      <c r="M25104" s="112"/>
      <c r="N25104" s="84"/>
    </row>
    <row r="25105" spans="1:14" s="2" customFormat="1">
      <c r="A25105" s="83"/>
      <c r="H25105" s="83"/>
      <c r="K25105" s="82"/>
      <c r="M25105" s="112"/>
      <c r="N25105" s="84"/>
    </row>
    <row r="25106" spans="1:14" s="2" customFormat="1">
      <c r="A25106" s="83"/>
      <c r="H25106" s="83"/>
      <c r="K25106" s="82"/>
      <c r="M25106" s="112"/>
      <c r="N25106" s="84"/>
    </row>
    <row r="25107" spans="1:14" s="2" customFormat="1">
      <c r="A25107" s="83"/>
      <c r="H25107" s="83"/>
      <c r="K25107" s="82"/>
      <c r="M25107" s="112"/>
      <c r="N25107" s="84"/>
    </row>
    <row r="25108" spans="1:14" s="2" customFormat="1">
      <c r="A25108" s="83"/>
      <c r="H25108" s="83"/>
      <c r="K25108" s="82"/>
      <c r="M25108" s="112"/>
      <c r="N25108" s="84"/>
    </row>
    <row r="25109" spans="1:14" s="2" customFormat="1">
      <c r="A25109" s="83"/>
      <c r="H25109" s="83"/>
      <c r="K25109" s="82"/>
      <c r="M25109" s="112"/>
      <c r="N25109" s="84"/>
    </row>
    <row r="25110" spans="1:14" s="2" customFormat="1">
      <c r="A25110" s="83"/>
      <c r="H25110" s="83"/>
      <c r="K25110" s="82"/>
      <c r="M25110" s="112"/>
      <c r="N25110" s="84"/>
    </row>
    <row r="25111" spans="1:14" s="2" customFormat="1">
      <c r="A25111" s="83"/>
      <c r="H25111" s="83"/>
      <c r="K25111" s="82"/>
      <c r="M25111" s="112"/>
      <c r="N25111" s="84"/>
    </row>
    <row r="25112" spans="1:14" s="2" customFormat="1">
      <c r="A25112" s="83"/>
      <c r="H25112" s="83"/>
      <c r="K25112" s="82"/>
      <c r="M25112" s="112"/>
      <c r="N25112" s="84"/>
    </row>
    <row r="25113" spans="1:14" s="2" customFormat="1">
      <c r="A25113" s="83"/>
      <c r="H25113" s="83"/>
      <c r="K25113" s="82"/>
      <c r="M25113" s="112"/>
      <c r="N25113" s="84"/>
    </row>
    <row r="25114" spans="1:14" s="2" customFormat="1">
      <c r="A25114" s="83"/>
      <c r="H25114" s="83"/>
      <c r="K25114" s="82"/>
      <c r="M25114" s="112"/>
      <c r="N25114" s="84"/>
    </row>
    <row r="25115" spans="1:14" s="2" customFormat="1">
      <c r="A25115" s="83"/>
      <c r="H25115" s="83"/>
      <c r="K25115" s="82"/>
      <c r="M25115" s="112"/>
      <c r="N25115" s="84"/>
    </row>
    <row r="25116" spans="1:14" s="2" customFormat="1">
      <c r="A25116" s="83"/>
      <c r="H25116" s="83"/>
      <c r="K25116" s="82"/>
      <c r="M25116" s="112"/>
      <c r="N25116" s="84"/>
    </row>
    <row r="25117" spans="1:14" s="2" customFormat="1">
      <c r="A25117" s="83"/>
      <c r="H25117" s="83"/>
      <c r="K25117" s="82"/>
      <c r="M25117" s="112"/>
      <c r="N25117" s="84"/>
    </row>
    <row r="25118" spans="1:14" s="2" customFormat="1">
      <c r="A25118" s="83"/>
      <c r="H25118" s="83"/>
      <c r="K25118" s="82"/>
      <c r="M25118" s="112"/>
      <c r="N25118" s="84"/>
    </row>
    <row r="25119" spans="1:14" s="2" customFormat="1">
      <c r="A25119" s="83"/>
      <c r="H25119" s="83"/>
      <c r="K25119" s="82"/>
      <c r="M25119" s="112"/>
      <c r="N25119" s="84"/>
    </row>
    <row r="25120" spans="1:14" s="2" customFormat="1">
      <c r="A25120" s="83"/>
      <c r="H25120" s="83"/>
      <c r="K25120" s="82"/>
      <c r="M25120" s="112"/>
      <c r="N25120" s="84"/>
    </row>
    <row r="25121" spans="1:14" s="2" customFormat="1">
      <c r="A25121" s="83"/>
      <c r="H25121" s="83"/>
      <c r="K25121" s="82"/>
      <c r="M25121" s="112"/>
      <c r="N25121" s="84"/>
    </row>
    <row r="25122" spans="1:14" s="2" customFormat="1">
      <c r="A25122" s="83"/>
      <c r="H25122" s="83"/>
      <c r="K25122" s="82"/>
      <c r="M25122" s="112"/>
      <c r="N25122" s="84"/>
    </row>
    <row r="25123" spans="1:14" s="2" customFormat="1">
      <c r="A25123" s="83"/>
      <c r="H25123" s="83"/>
      <c r="K25123" s="82"/>
      <c r="M25123" s="112"/>
      <c r="N25123" s="84"/>
    </row>
    <row r="25124" spans="1:14" s="2" customFormat="1">
      <c r="A25124" s="83"/>
      <c r="H25124" s="83"/>
      <c r="K25124" s="82"/>
      <c r="M25124" s="112"/>
      <c r="N25124" s="84"/>
    </row>
    <row r="25125" spans="1:14" s="2" customFormat="1">
      <c r="A25125" s="83"/>
      <c r="H25125" s="83"/>
      <c r="K25125" s="82"/>
      <c r="M25125" s="112"/>
      <c r="N25125" s="84"/>
    </row>
    <row r="25126" spans="1:14" s="2" customFormat="1">
      <c r="A25126" s="83"/>
      <c r="H25126" s="83"/>
      <c r="K25126" s="82"/>
      <c r="M25126" s="112"/>
      <c r="N25126" s="84"/>
    </row>
    <row r="25127" spans="1:14" s="2" customFormat="1">
      <c r="A25127" s="83"/>
      <c r="H25127" s="83"/>
      <c r="K25127" s="82"/>
      <c r="M25127" s="112"/>
      <c r="N25127" s="84"/>
    </row>
    <row r="25128" spans="1:14" s="2" customFormat="1">
      <c r="A25128" s="83"/>
      <c r="H25128" s="83"/>
      <c r="K25128" s="82"/>
      <c r="M25128" s="112"/>
      <c r="N25128" s="84"/>
    </row>
    <row r="25129" spans="1:14" s="2" customFormat="1">
      <c r="A25129" s="83"/>
      <c r="H25129" s="83"/>
      <c r="K25129" s="82"/>
      <c r="M25129" s="112"/>
      <c r="N25129" s="84"/>
    </row>
    <row r="25130" spans="1:14" s="2" customFormat="1">
      <c r="A25130" s="83"/>
      <c r="H25130" s="83"/>
      <c r="K25130" s="82"/>
      <c r="M25130" s="112"/>
      <c r="N25130" s="84"/>
    </row>
    <row r="25131" spans="1:14" s="2" customFormat="1">
      <c r="A25131" s="83"/>
      <c r="H25131" s="83"/>
      <c r="K25131" s="82"/>
      <c r="M25131" s="112"/>
      <c r="N25131" s="84"/>
    </row>
    <row r="25132" spans="1:14" s="2" customFormat="1">
      <c r="A25132" s="83"/>
      <c r="H25132" s="83"/>
      <c r="K25132" s="82"/>
      <c r="M25132" s="112"/>
      <c r="N25132" s="84"/>
    </row>
    <row r="25133" spans="1:14" s="2" customFormat="1">
      <c r="A25133" s="83"/>
      <c r="H25133" s="83"/>
      <c r="K25133" s="82"/>
      <c r="M25133" s="112"/>
      <c r="N25133" s="84"/>
    </row>
    <row r="25134" spans="1:14" s="2" customFormat="1">
      <c r="A25134" s="83"/>
      <c r="H25134" s="83"/>
      <c r="K25134" s="82"/>
      <c r="M25134" s="112"/>
      <c r="N25134" s="84"/>
    </row>
    <row r="25135" spans="1:14" s="2" customFormat="1">
      <c r="A25135" s="83"/>
      <c r="H25135" s="83"/>
      <c r="K25135" s="82"/>
      <c r="M25135" s="112"/>
      <c r="N25135" s="84"/>
    </row>
    <row r="25136" spans="1:14" s="2" customFormat="1">
      <c r="A25136" s="83"/>
      <c r="H25136" s="83"/>
      <c r="K25136" s="82"/>
      <c r="M25136" s="112"/>
      <c r="N25136" s="84"/>
    </row>
    <row r="25137" spans="1:14" s="2" customFormat="1">
      <c r="A25137" s="83"/>
      <c r="H25137" s="83"/>
      <c r="K25137" s="82"/>
      <c r="M25137" s="112"/>
      <c r="N25137" s="84"/>
    </row>
    <row r="25138" spans="1:14" s="2" customFormat="1">
      <c r="A25138" s="83"/>
      <c r="H25138" s="83"/>
      <c r="K25138" s="82"/>
      <c r="M25138" s="112"/>
      <c r="N25138" s="84"/>
    </row>
    <row r="25139" spans="1:14" s="2" customFormat="1">
      <c r="A25139" s="83"/>
      <c r="H25139" s="83"/>
      <c r="K25139" s="82"/>
      <c r="M25139" s="112"/>
      <c r="N25139" s="84"/>
    </row>
    <row r="25140" spans="1:14" s="2" customFormat="1">
      <c r="A25140" s="83"/>
      <c r="H25140" s="83"/>
      <c r="K25140" s="82"/>
      <c r="M25140" s="112"/>
      <c r="N25140" s="84"/>
    </row>
    <row r="25141" spans="1:14" s="2" customFormat="1">
      <c r="A25141" s="83"/>
      <c r="H25141" s="83"/>
      <c r="K25141" s="82"/>
      <c r="M25141" s="112"/>
      <c r="N25141" s="84"/>
    </row>
    <row r="25142" spans="1:14" s="2" customFormat="1">
      <c r="A25142" s="83"/>
      <c r="H25142" s="83"/>
      <c r="K25142" s="82"/>
      <c r="M25142" s="112"/>
      <c r="N25142" s="84"/>
    </row>
    <row r="25143" spans="1:14" s="2" customFormat="1">
      <c r="A25143" s="83"/>
      <c r="H25143" s="83"/>
      <c r="K25143" s="82"/>
      <c r="M25143" s="112"/>
      <c r="N25143" s="84"/>
    </row>
    <row r="25144" spans="1:14" s="2" customFormat="1">
      <c r="A25144" s="83"/>
      <c r="H25144" s="83"/>
      <c r="K25144" s="82"/>
      <c r="M25144" s="112"/>
      <c r="N25144" s="84"/>
    </row>
    <row r="25145" spans="1:14" s="2" customFormat="1">
      <c r="A25145" s="83"/>
      <c r="H25145" s="83"/>
      <c r="K25145" s="82"/>
      <c r="M25145" s="112"/>
      <c r="N25145" s="84"/>
    </row>
    <row r="25146" spans="1:14" s="2" customFormat="1">
      <c r="A25146" s="83"/>
      <c r="H25146" s="83"/>
      <c r="K25146" s="82"/>
      <c r="M25146" s="112"/>
      <c r="N25146" s="84"/>
    </row>
    <row r="25147" spans="1:14" s="2" customFormat="1">
      <c r="A25147" s="83"/>
      <c r="H25147" s="83"/>
      <c r="K25147" s="82"/>
      <c r="M25147" s="112"/>
      <c r="N25147" s="84"/>
    </row>
    <row r="25148" spans="1:14" s="2" customFormat="1">
      <c r="A25148" s="83"/>
      <c r="H25148" s="83"/>
      <c r="K25148" s="82"/>
      <c r="M25148" s="112"/>
      <c r="N25148" s="84"/>
    </row>
    <row r="25149" spans="1:14" s="2" customFormat="1">
      <c r="A25149" s="83"/>
      <c r="H25149" s="83"/>
      <c r="K25149" s="82"/>
      <c r="M25149" s="112"/>
      <c r="N25149" s="84"/>
    </row>
    <row r="25150" spans="1:14" s="2" customFormat="1">
      <c r="A25150" s="83"/>
      <c r="H25150" s="83"/>
      <c r="K25150" s="82"/>
      <c r="M25150" s="112"/>
      <c r="N25150" s="84"/>
    </row>
    <row r="25151" spans="1:14" s="2" customFormat="1">
      <c r="A25151" s="83"/>
      <c r="H25151" s="83"/>
      <c r="K25151" s="82"/>
      <c r="M25151" s="112"/>
      <c r="N25151" s="84"/>
    </row>
    <row r="25152" spans="1:14" s="2" customFormat="1">
      <c r="A25152" s="83"/>
      <c r="H25152" s="83"/>
      <c r="K25152" s="82"/>
      <c r="M25152" s="112"/>
      <c r="N25152" s="84"/>
    </row>
    <row r="25153" spans="1:14" s="2" customFormat="1">
      <c r="A25153" s="83"/>
      <c r="H25153" s="83"/>
      <c r="K25153" s="82"/>
      <c r="M25153" s="112"/>
      <c r="N25153" s="84"/>
    </row>
    <row r="25154" spans="1:14" s="2" customFormat="1">
      <c r="A25154" s="83"/>
      <c r="H25154" s="83"/>
      <c r="K25154" s="82"/>
      <c r="M25154" s="112"/>
      <c r="N25154" s="84"/>
    </row>
    <row r="25155" spans="1:14" s="2" customFormat="1">
      <c r="A25155" s="83"/>
      <c r="H25155" s="83"/>
      <c r="K25155" s="82"/>
      <c r="M25155" s="112"/>
      <c r="N25155" s="84"/>
    </row>
    <row r="25156" spans="1:14" s="2" customFormat="1">
      <c r="A25156" s="83"/>
      <c r="H25156" s="83"/>
      <c r="K25156" s="82"/>
      <c r="M25156" s="112"/>
      <c r="N25156" s="84"/>
    </row>
    <row r="25157" spans="1:14" s="2" customFormat="1">
      <c r="A25157" s="83"/>
      <c r="H25157" s="83"/>
      <c r="K25157" s="82"/>
      <c r="M25157" s="112"/>
      <c r="N25157" s="84"/>
    </row>
    <row r="25158" spans="1:14" s="2" customFormat="1">
      <c r="A25158" s="83"/>
      <c r="H25158" s="83"/>
      <c r="K25158" s="82"/>
      <c r="M25158" s="112"/>
      <c r="N25158" s="84"/>
    </row>
    <row r="25159" spans="1:14" s="2" customFormat="1">
      <c r="A25159" s="83"/>
      <c r="H25159" s="83"/>
      <c r="K25159" s="82"/>
      <c r="M25159" s="112"/>
      <c r="N25159" s="84"/>
    </row>
    <row r="25160" spans="1:14" s="2" customFormat="1">
      <c r="A25160" s="83"/>
      <c r="H25160" s="83"/>
      <c r="K25160" s="82"/>
      <c r="M25160" s="112"/>
      <c r="N25160" s="84"/>
    </row>
    <row r="25161" spans="1:14" s="2" customFormat="1">
      <c r="A25161" s="83"/>
      <c r="H25161" s="83"/>
      <c r="K25161" s="82"/>
      <c r="M25161" s="112"/>
      <c r="N25161" s="84"/>
    </row>
    <row r="25162" spans="1:14" s="2" customFormat="1">
      <c r="A25162" s="83"/>
      <c r="H25162" s="83"/>
      <c r="K25162" s="82"/>
      <c r="M25162" s="112"/>
      <c r="N25162" s="84"/>
    </row>
    <row r="25163" spans="1:14" s="2" customFormat="1">
      <c r="A25163" s="83"/>
      <c r="H25163" s="83"/>
      <c r="K25163" s="82"/>
      <c r="M25163" s="112"/>
      <c r="N25163" s="84"/>
    </row>
    <row r="25164" spans="1:14" s="2" customFormat="1">
      <c r="A25164" s="83"/>
      <c r="H25164" s="83"/>
      <c r="K25164" s="82"/>
      <c r="M25164" s="112"/>
      <c r="N25164" s="84"/>
    </row>
    <row r="25165" spans="1:14" s="2" customFormat="1">
      <c r="A25165" s="83"/>
      <c r="H25165" s="83"/>
      <c r="K25165" s="82"/>
      <c r="M25165" s="112"/>
      <c r="N25165" s="84"/>
    </row>
    <row r="25166" spans="1:14" s="2" customFormat="1">
      <c r="A25166" s="83"/>
      <c r="H25166" s="83"/>
      <c r="K25166" s="82"/>
      <c r="M25166" s="112"/>
      <c r="N25166" s="84"/>
    </row>
    <row r="25167" spans="1:14" s="2" customFormat="1">
      <c r="A25167" s="83"/>
      <c r="H25167" s="83"/>
      <c r="K25167" s="82"/>
      <c r="M25167" s="112"/>
      <c r="N25167" s="84"/>
    </row>
    <row r="25168" spans="1:14" s="2" customFormat="1">
      <c r="A25168" s="83"/>
      <c r="H25168" s="83"/>
      <c r="K25168" s="82"/>
      <c r="M25168" s="112"/>
      <c r="N25168" s="84"/>
    </row>
    <row r="25169" spans="1:14" s="2" customFormat="1">
      <c r="A25169" s="83"/>
      <c r="H25169" s="83"/>
      <c r="K25169" s="82"/>
      <c r="M25169" s="112"/>
      <c r="N25169" s="84"/>
    </row>
    <row r="25170" spans="1:14" s="2" customFormat="1">
      <c r="A25170" s="83"/>
      <c r="H25170" s="83"/>
      <c r="K25170" s="82"/>
      <c r="M25170" s="112"/>
      <c r="N25170" s="84"/>
    </row>
    <row r="25171" spans="1:14" s="2" customFormat="1">
      <c r="A25171" s="83"/>
      <c r="H25171" s="83"/>
      <c r="K25171" s="82"/>
      <c r="M25171" s="112"/>
      <c r="N25171" s="84"/>
    </row>
    <row r="25172" spans="1:14" s="2" customFormat="1">
      <c r="A25172" s="83"/>
      <c r="H25172" s="83"/>
      <c r="K25172" s="82"/>
      <c r="M25172" s="112"/>
      <c r="N25172" s="84"/>
    </row>
    <row r="25173" spans="1:14" s="2" customFormat="1">
      <c r="A25173" s="83"/>
      <c r="H25173" s="83"/>
      <c r="K25173" s="82"/>
      <c r="M25173" s="112"/>
      <c r="N25173" s="84"/>
    </row>
    <row r="25174" spans="1:14" s="2" customFormat="1">
      <c r="A25174" s="83"/>
      <c r="H25174" s="83"/>
      <c r="K25174" s="82"/>
      <c r="M25174" s="112"/>
      <c r="N25174" s="84"/>
    </row>
    <row r="25175" spans="1:14" s="2" customFormat="1">
      <c r="A25175" s="83"/>
      <c r="H25175" s="83"/>
      <c r="K25175" s="82"/>
      <c r="M25175" s="112"/>
      <c r="N25175" s="84"/>
    </row>
    <row r="25176" spans="1:14" s="2" customFormat="1">
      <c r="A25176" s="83"/>
      <c r="H25176" s="83"/>
      <c r="K25176" s="82"/>
      <c r="M25176" s="112"/>
      <c r="N25176" s="84"/>
    </row>
    <row r="25177" spans="1:14" s="2" customFormat="1">
      <c r="A25177" s="83"/>
      <c r="H25177" s="83"/>
      <c r="K25177" s="82"/>
      <c r="M25177" s="112"/>
      <c r="N25177" s="84"/>
    </row>
    <row r="25178" spans="1:14" s="2" customFormat="1">
      <c r="A25178" s="83"/>
      <c r="H25178" s="83"/>
      <c r="K25178" s="82"/>
      <c r="M25178" s="112"/>
      <c r="N25178" s="84"/>
    </row>
    <row r="25179" spans="1:14" s="2" customFormat="1">
      <c r="A25179" s="83"/>
      <c r="H25179" s="83"/>
      <c r="K25179" s="82"/>
      <c r="M25179" s="112"/>
      <c r="N25179" s="84"/>
    </row>
    <row r="25180" spans="1:14" s="2" customFormat="1">
      <c r="A25180" s="83"/>
      <c r="H25180" s="83"/>
      <c r="K25180" s="82"/>
      <c r="M25180" s="112"/>
      <c r="N25180" s="84"/>
    </row>
    <row r="25181" spans="1:14" s="2" customFormat="1">
      <c r="A25181" s="83"/>
      <c r="H25181" s="83"/>
      <c r="K25181" s="82"/>
      <c r="M25181" s="112"/>
      <c r="N25181" s="84"/>
    </row>
    <row r="25182" spans="1:14" s="2" customFormat="1">
      <c r="A25182" s="83"/>
      <c r="H25182" s="83"/>
      <c r="K25182" s="82"/>
      <c r="M25182" s="112"/>
      <c r="N25182" s="84"/>
    </row>
    <row r="25183" spans="1:14" s="2" customFormat="1">
      <c r="A25183" s="83"/>
      <c r="H25183" s="83"/>
      <c r="K25183" s="82"/>
      <c r="M25183" s="112"/>
      <c r="N25183" s="84"/>
    </row>
    <row r="25184" spans="1:14" s="2" customFormat="1">
      <c r="A25184" s="83"/>
      <c r="H25184" s="83"/>
      <c r="K25184" s="82"/>
      <c r="M25184" s="112"/>
      <c r="N25184" s="84"/>
    </row>
    <row r="25185" spans="1:14" s="2" customFormat="1">
      <c r="A25185" s="83"/>
      <c r="H25185" s="83"/>
      <c r="K25185" s="82"/>
      <c r="M25185" s="112"/>
      <c r="N25185" s="84"/>
    </row>
    <row r="25186" spans="1:14" s="2" customFormat="1">
      <c r="A25186" s="83"/>
      <c r="H25186" s="83"/>
      <c r="K25186" s="82"/>
      <c r="M25186" s="112"/>
      <c r="N25186" s="84"/>
    </row>
    <row r="25187" spans="1:14" s="2" customFormat="1">
      <c r="A25187" s="83"/>
      <c r="H25187" s="83"/>
      <c r="K25187" s="82"/>
      <c r="M25187" s="112"/>
      <c r="N25187" s="84"/>
    </row>
    <row r="25188" spans="1:14" s="2" customFormat="1">
      <c r="A25188" s="83"/>
      <c r="H25188" s="83"/>
      <c r="K25188" s="82"/>
      <c r="M25188" s="112"/>
      <c r="N25188" s="84"/>
    </row>
    <row r="25189" spans="1:14" s="2" customFormat="1">
      <c r="A25189" s="83"/>
      <c r="H25189" s="83"/>
      <c r="K25189" s="82"/>
      <c r="M25189" s="112"/>
      <c r="N25189" s="84"/>
    </row>
    <row r="25190" spans="1:14" s="2" customFormat="1">
      <c r="A25190" s="83"/>
      <c r="H25190" s="83"/>
      <c r="K25190" s="82"/>
      <c r="M25190" s="112"/>
      <c r="N25190" s="84"/>
    </row>
    <row r="25191" spans="1:14" s="2" customFormat="1">
      <c r="A25191" s="83"/>
      <c r="H25191" s="83"/>
      <c r="K25191" s="82"/>
      <c r="M25191" s="112"/>
      <c r="N25191" s="84"/>
    </row>
    <row r="25192" spans="1:14" s="2" customFormat="1">
      <c r="A25192" s="83"/>
      <c r="H25192" s="83"/>
      <c r="K25192" s="82"/>
      <c r="M25192" s="112"/>
      <c r="N25192" s="84"/>
    </row>
    <row r="25193" spans="1:14" s="2" customFormat="1">
      <c r="A25193" s="83"/>
      <c r="H25193" s="83"/>
      <c r="K25193" s="82"/>
      <c r="M25193" s="112"/>
      <c r="N25193" s="84"/>
    </row>
    <row r="25194" spans="1:14" s="2" customFormat="1">
      <c r="A25194" s="83"/>
      <c r="H25194" s="83"/>
      <c r="K25194" s="82"/>
      <c r="M25194" s="112"/>
      <c r="N25194" s="84"/>
    </row>
    <row r="25195" spans="1:14" s="2" customFormat="1">
      <c r="A25195" s="83"/>
      <c r="H25195" s="83"/>
      <c r="K25195" s="82"/>
      <c r="M25195" s="112"/>
      <c r="N25195" s="84"/>
    </row>
    <row r="25196" spans="1:14" s="2" customFormat="1">
      <c r="A25196" s="83"/>
      <c r="H25196" s="83"/>
      <c r="K25196" s="82"/>
      <c r="M25196" s="112"/>
      <c r="N25196" s="84"/>
    </row>
    <row r="25197" spans="1:14" s="2" customFormat="1">
      <c r="A25197" s="83"/>
      <c r="H25197" s="83"/>
      <c r="K25197" s="82"/>
      <c r="M25197" s="112"/>
      <c r="N25197" s="84"/>
    </row>
    <row r="25198" spans="1:14" s="2" customFormat="1">
      <c r="A25198" s="83"/>
      <c r="H25198" s="83"/>
      <c r="K25198" s="82"/>
      <c r="M25198" s="112"/>
      <c r="N25198" s="84"/>
    </row>
    <row r="25199" spans="1:14" s="2" customFormat="1">
      <c r="A25199" s="83"/>
      <c r="H25199" s="83"/>
      <c r="K25199" s="82"/>
      <c r="M25199" s="112"/>
      <c r="N25199" s="84"/>
    </row>
    <row r="25200" spans="1:14" s="2" customFormat="1">
      <c r="A25200" s="83"/>
      <c r="H25200" s="83"/>
      <c r="K25200" s="82"/>
      <c r="M25200" s="112"/>
      <c r="N25200" s="84"/>
    </row>
    <row r="25201" spans="1:14" s="2" customFormat="1">
      <c r="A25201" s="83"/>
      <c r="H25201" s="83"/>
      <c r="K25201" s="82"/>
      <c r="M25201" s="112"/>
      <c r="N25201" s="84"/>
    </row>
    <row r="25202" spans="1:14" s="2" customFormat="1">
      <c r="A25202" s="83"/>
      <c r="H25202" s="83"/>
      <c r="K25202" s="82"/>
      <c r="M25202" s="112"/>
      <c r="N25202" s="84"/>
    </row>
    <row r="25203" spans="1:14" s="2" customFormat="1">
      <c r="A25203" s="83"/>
      <c r="H25203" s="83"/>
      <c r="K25203" s="82"/>
      <c r="M25203" s="112"/>
      <c r="N25203" s="84"/>
    </row>
    <row r="25204" spans="1:14" s="2" customFormat="1">
      <c r="A25204" s="83"/>
      <c r="H25204" s="83"/>
      <c r="K25204" s="82"/>
      <c r="M25204" s="112"/>
      <c r="N25204" s="84"/>
    </row>
    <row r="25205" spans="1:14" s="2" customFormat="1">
      <c r="A25205" s="83"/>
      <c r="H25205" s="83"/>
      <c r="K25205" s="82"/>
      <c r="M25205" s="112"/>
      <c r="N25205" s="84"/>
    </row>
    <row r="25206" spans="1:14" s="2" customFormat="1">
      <c r="A25206" s="83"/>
      <c r="H25206" s="83"/>
      <c r="K25206" s="82"/>
      <c r="M25206" s="112"/>
      <c r="N25206" s="84"/>
    </row>
    <row r="25207" spans="1:14" s="2" customFormat="1">
      <c r="A25207" s="83"/>
      <c r="H25207" s="83"/>
      <c r="K25207" s="82"/>
      <c r="M25207" s="112"/>
      <c r="N25207" s="84"/>
    </row>
    <row r="25208" spans="1:14" s="2" customFormat="1">
      <c r="A25208" s="83"/>
      <c r="H25208" s="83"/>
      <c r="K25208" s="82"/>
      <c r="M25208" s="112"/>
      <c r="N25208" s="84"/>
    </row>
    <row r="25209" spans="1:14" s="2" customFormat="1">
      <c r="A25209" s="83"/>
      <c r="H25209" s="83"/>
      <c r="K25209" s="82"/>
      <c r="M25209" s="112"/>
      <c r="N25209" s="84"/>
    </row>
    <row r="25210" spans="1:14" s="2" customFormat="1">
      <c r="A25210" s="83"/>
      <c r="H25210" s="83"/>
      <c r="K25210" s="82"/>
      <c r="M25210" s="112"/>
      <c r="N25210" s="84"/>
    </row>
    <row r="25211" spans="1:14" s="2" customFormat="1">
      <c r="A25211" s="83"/>
      <c r="H25211" s="83"/>
      <c r="K25211" s="82"/>
      <c r="M25211" s="112"/>
      <c r="N25211" s="84"/>
    </row>
    <row r="25212" spans="1:14" s="2" customFormat="1">
      <c r="A25212" s="83"/>
      <c r="H25212" s="83"/>
      <c r="K25212" s="82"/>
      <c r="M25212" s="112"/>
      <c r="N25212" s="84"/>
    </row>
    <row r="25213" spans="1:14" s="2" customFormat="1">
      <c r="A25213" s="83"/>
      <c r="H25213" s="83"/>
      <c r="K25213" s="82"/>
      <c r="M25213" s="112"/>
      <c r="N25213" s="84"/>
    </row>
    <row r="25214" spans="1:14" s="2" customFormat="1">
      <c r="A25214" s="83"/>
      <c r="H25214" s="83"/>
      <c r="K25214" s="82"/>
      <c r="M25214" s="112"/>
      <c r="N25214" s="84"/>
    </row>
    <row r="25215" spans="1:14" s="2" customFormat="1">
      <c r="A25215" s="83"/>
      <c r="H25215" s="83"/>
      <c r="K25215" s="82"/>
      <c r="M25215" s="112"/>
      <c r="N25215" s="84"/>
    </row>
    <row r="25216" spans="1:14" s="2" customFormat="1">
      <c r="A25216" s="83"/>
      <c r="H25216" s="83"/>
      <c r="K25216" s="82"/>
      <c r="M25216" s="112"/>
      <c r="N25216" s="84"/>
    </row>
    <row r="25217" spans="1:14" s="2" customFormat="1">
      <c r="A25217" s="83"/>
      <c r="H25217" s="83"/>
      <c r="K25217" s="82"/>
      <c r="M25217" s="112"/>
      <c r="N25217" s="84"/>
    </row>
    <row r="25218" spans="1:14" s="2" customFormat="1">
      <c r="A25218" s="83"/>
      <c r="H25218" s="83"/>
      <c r="K25218" s="82"/>
      <c r="M25218" s="112"/>
      <c r="N25218" s="84"/>
    </row>
    <row r="25219" spans="1:14" s="2" customFormat="1">
      <c r="A25219" s="83"/>
      <c r="H25219" s="83"/>
      <c r="K25219" s="82"/>
      <c r="M25219" s="112"/>
      <c r="N25219" s="84"/>
    </row>
    <row r="25220" spans="1:14" s="2" customFormat="1">
      <c r="A25220" s="83"/>
      <c r="H25220" s="83"/>
      <c r="K25220" s="82"/>
      <c r="M25220" s="112"/>
      <c r="N25220" s="84"/>
    </row>
    <row r="25221" spans="1:14" s="2" customFormat="1">
      <c r="A25221" s="83"/>
      <c r="H25221" s="83"/>
      <c r="K25221" s="82"/>
      <c r="M25221" s="112"/>
      <c r="N25221" s="84"/>
    </row>
    <row r="25222" spans="1:14" s="2" customFormat="1">
      <c r="A25222" s="83"/>
      <c r="H25222" s="83"/>
      <c r="K25222" s="82"/>
      <c r="M25222" s="112"/>
      <c r="N25222" s="84"/>
    </row>
    <row r="25223" spans="1:14" s="2" customFormat="1">
      <c r="A25223" s="83"/>
      <c r="H25223" s="83"/>
      <c r="K25223" s="82"/>
      <c r="M25223" s="112"/>
      <c r="N25223" s="84"/>
    </row>
    <row r="25224" spans="1:14" s="2" customFormat="1">
      <c r="A25224" s="83"/>
      <c r="H25224" s="83"/>
      <c r="K25224" s="82"/>
      <c r="M25224" s="112"/>
      <c r="N25224" s="84"/>
    </row>
    <row r="25225" spans="1:14" s="2" customFormat="1">
      <c r="A25225" s="83"/>
      <c r="H25225" s="83"/>
      <c r="K25225" s="82"/>
      <c r="M25225" s="112"/>
      <c r="N25225" s="84"/>
    </row>
    <row r="25226" spans="1:14" s="2" customFormat="1">
      <c r="A25226" s="83"/>
      <c r="H25226" s="83"/>
      <c r="K25226" s="82"/>
      <c r="M25226" s="112"/>
      <c r="N25226" s="84"/>
    </row>
    <row r="25227" spans="1:14" s="2" customFormat="1">
      <c r="A25227" s="83"/>
      <c r="H25227" s="83"/>
      <c r="K25227" s="82"/>
      <c r="M25227" s="112"/>
      <c r="N25227" s="84"/>
    </row>
    <row r="25228" spans="1:14" s="2" customFormat="1">
      <c r="A25228" s="83"/>
      <c r="H25228" s="83"/>
      <c r="K25228" s="82"/>
      <c r="M25228" s="112"/>
      <c r="N25228" s="84"/>
    </row>
    <row r="25229" spans="1:14" s="2" customFormat="1">
      <c r="A25229" s="83"/>
      <c r="H25229" s="83"/>
      <c r="K25229" s="82"/>
      <c r="M25229" s="112"/>
      <c r="N25229" s="84"/>
    </row>
    <row r="25230" spans="1:14" s="2" customFormat="1">
      <c r="A25230" s="83"/>
      <c r="H25230" s="83"/>
      <c r="K25230" s="82"/>
      <c r="M25230" s="112"/>
      <c r="N25230" s="84"/>
    </row>
    <row r="25231" spans="1:14" s="2" customFormat="1">
      <c r="A25231" s="83"/>
      <c r="H25231" s="83"/>
      <c r="K25231" s="82"/>
      <c r="M25231" s="112"/>
      <c r="N25231" s="84"/>
    </row>
    <row r="25232" spans="1:14" s="2" customFormat="1">
      <c r="A25232" s="83"/>
      <c r="H25232" s="83"/>
      <c r="K25232" s="82"/>
      <c r="M25232" s="112"/>
      <c r="N25232" s="84"/>
    </row>
    <row r="25233" spans="1:14" s="2" customFormat="1">
      <c r="A25233" s="83"/>
      <c r="H25233" s="83"/>
      <c r="K25233" s="82"/>
      <c r="M25233" s="112"/>
      <c r="N25233" s="84"/>
    </row>
    <row r="25234" spans="1:14" s="2" customFormat="1">
      <c r="A25234" s="83"/>
      <c r="H25234" s="83"/>
      <c r="K25234" s="82"/>
      <c r="M25234" s="112"/>
      <c r="N25234" s="84"/>
    </row>
    <row r="25235" spans="1:14" s="2" customFormat="1">
      <c r="A25235" s="83"/>
      <c r="H25235" s="83"/>
      <c r="K25235" s="82"/>
      <c r="M25235" s="112"/>
      <c r="N25235" s="84"/>
    </row>
    <row r="25236" spans="1:14" s="2" customFormat="1">
      <c r="A25236" s="83"/>
      <c r="H25236" s="83"/>
      <c r="K25236" s="82"/>
      <c r="M25236" s="112"/>
      <c r="N25236" s="84"/>
    </row>
    <row r="25237" spans="1:14" s="2" customFormat="1">
      <c r="A25237" s="83"/>
      <c r="H25237" s="83"/>
      <c r="K25237" s="82"/>
      <c r="M25237" s="112"/>
      <c r="N25237" s="84"/>
    </row>
    <row r="25238" spans="1:14" s="2" customFormat="1">
      <c r="A25238" s="83"/>
      <c r="H25238" s="83"/>
      <c r="K25238" s="82"/>
      <c r="M25238" s="112"/>
      <c r="N25238" s="84"/>
    </row>
    <row r="25239" spans="1:14" s="2" customFormat="1">
      <c r="A25239" s="83"/>
      <c r="H25239" s="83"/>
      <c r="K25239" s="82"/>
      <c r="M25239" s="112"/>
      <c r="N25239" s="84"/>
    </row>
    <row r="25240" spans="1:14" s="2" customFormat="1">
      <c r="A25240" s="83"/>
      <c r="H25240" s="83"/>
      <c r="K25240" s="82"/>
      <c r="M25240" s="112"/>
      <c r="N25240" s="84"/>
    </row>
    <row r="25241" spans="1:14" s="2" customFormat="1">
      <c r="A25241" s="83"/>
      <c r="H25241" s="83"/>
      <c r="K25241" s="82"/>
      <c r="M25241" s="112"/>
      <c r="N25241" s="84"/>
    </row>
    <row r="25242" spans="1:14" s="2" customFormat="1">
      <c r="A25242" s="83"/>
      <c r="H25242" s="83"/>
      <c r="K25242" s="82"/>
      <c r="M25242" s="112"/>
      <c r="N25242" s="84"/>
    </row>
    <row r="25243" spans="1:14" s="2" customFormat="1">
      <c r="A25243" s="83"/>
      <c r="H25243" s="83"/>
      <c r="K25243" s="82"/>
      <c r="M25243" s="112"/>
      <c r="N25243" s="84"/>
    </row>
    <row r="25244" spans="1:14" s="2" customFormat="1">
      <c r="A25244" s="83"/>
      <c r="H25244" s="83"/>
      <c r="K25244" s="82"/>
      <c r="M25244" s="112"/>
      <c r="N25244" s="84"/>
    </row>
    <row r="25245" spans="1:14" s="2" customFormat="1">
      <c r="A25245" s="83"/>
      <c r="H25245" s="83"/>
      <c r="K25245" s="82"/>
      <c r="M25245" s="112"/>
      <c r="N25245" s="84"/>
    </row>
    <row r="25246" spans="1:14" s="2" customFormat="1">
      <c r="A25246" s="83"/>
      <c r="H25246" s="83"/>
      <c r="K25246" s="82"/>
      <c r="M25246" s="112"/>
      <c r="N25246" s="84"/>
    </row>
    <row r="25247" spans="1:14" s="2" customFormat="1">
      <c r="A25247" s="83"/>
      <c r="H25247" s="83"/>
      <c r="K25247" s="82"/>
      <c r="M25247" s="112"/>
      <c r="N25247" s="84"/>
    </row>
    <row r="25248" spans="1:14" s="2" customFormat="1">
      <c r="A25248" s="83"/>
      <c r="H25248" s="83"/>
      <c r="K25248" s="82"/>
      <c r="M25248" s="112"/>
      <c r="N25248" s="84"/>
    </row>
    <row r="25249" spans="1:14" s="2" customFormat="1">
      <c r="A25249" s="83"/>
      <c r="H25249" s="83"/>
      <c r="K25249" s="82"/>
      <c r="M25249" s="112"/>
      <c r="N25249" s="84"/>
    </row>
    <row r="25250" spans="1:14" s="2" customFormat="1">
      <c r="A25250" s="83"/>
      <c r="H25250" s="83"/>
      <c r="K25250" s="82"/>
      <c r="M25250" s="112"/>
      <c r="N25250" s="84"/>
    </row>
    <row r="25251" spans="1:14" s="2" customFormat="1">
      <c r="A25251" s="83"/>
      <c r="H25251" s="83"/>
      <c r="K25251" s="82"/>
      <c r="M25251" s="112"/>
      <c r="N25251" s="84"/>
    </row>
    <row r="25252" spans="1:14" s="2" customFormat="1">
      <c r="A25252" s="83"/>
      <c r="H25252" s="83"/>
      <c r="K25252" s="82"/>
      <c r="M25252" s="112"/>
      <c r="N25252" s="84"/>
    </row>
    <row r="25253" spans="1:14" s="2" customFormat="1">
      <c r="A25253" s="83"/>
      <c r="H25253" s="83"/>
      <c r="K25253" s="82"/>
      <c r="M25253" s="112"/>
      <c r="N25253" s="84"/>
    </row>
    <row r="25254" spans="1:14" s="2" customFormat="1">
      <c r="A25254" s="83"/>
      <c r="H25254" s="83"/>
      <c r="K25254" s="82"/>
      <c r="M25254" s="112"/>
      <c r="N25254" s="84"/>
    </row>
    <row r="25255" spans="1:14" s="2" customFormat="1">
      <c r="A25255" s="83"/>
      <c r="H25255" s="83"/>
      <c r="K25255" s="82"/>
      <c r="M25255" s="112"/>
      <c r="N25255" s="84"/>
    </row>
    <row r="25256" spans="1:14" s="2" customFormat="1">
      <c r="A25256" s="83"/>
      <c r="H25256" s="83"/>
      <c r="K25256" s="82"/>
      <c r="M25256" s="112"/>
      <c r="N25256" s="84"/>
    </row>
    <row r="25257" spans="1:14" s="2" customFormat="1">
      <c r="A25257" s="83"/>
      <c r="H25257" s="83"/>
      <c r="K25257" s="82"/>
      <c r="M25257" s="112"/>
      <c r="N25257" s="84"/>
    </row>
    <row r="25258" spans="1:14" s="2" customFormat="1">
      <c r="A25258" s="83"/>
      <c r="H25258" s="83"/>
      <c r="K25258" s="82"/>
      <c r="M25258" s="112"/>
      <c r="N25258" s="84"/>
    </row>
    <row r="25259" spans="1:14" s="2" customFormat="1">
      <c r="A25259" s="83"/>
      <c r="H25259" s="83"/>
      <c r="K25259" s="82"/>
      <c r="M25259" s="112"/>
      <c r="N25259" s="84"/>
    </row>
    <row r="25260" spans="1:14" s="2" customFormat="1">
      <c r="A25260" s="83"/>
      <c r="H25260" s="83"/>
      <c r="K25260" s="82"/>
      <c r="M25260" s="112"/>
      <c r="N25260" s="84"/>
    </row>
    <row r="25261" spans="1:14" s="2" customFormat="1">
      <c r="A25261" s="83"/>
      <c r="H25261" s="83"/>
      <c r="K25261" s="82"/>
      <c r="M25261" s="112"/>
      <c r="N25261" s="84"/>
    </row>
    <row r="25262" spans="1:14" s="2" customFormat="1">
      <c r="A25262" s="83"/>
      <c r="H25262" s="83"/>
      <c r="K25262" s="82"/>
      <c r="M25262" s="112"/>
      <c r="N25262" s="84"/>
    </row>
    <row r="25263" spans="1:14" s="2" customFormat="1">
      <c r="A25263" s="83"/>
      <c r="H25263" s="83"/>
      <c r="K25263" s="82"/>
      <c r="M25263" s="112"/>
      <c r="N25263" s="84"/>
    </row>
    <row r="25264" spans="1:14" s="2" customFormat="1">
      <c r="A25264" s="83"/>
      <c r="H25264" s="83"/>
      <c r="K25264" s="82"/>
      <c r="M25264" s="112"/>
      <c r="N25264" s="84"/>
    </row>
    <row r="25265" spans="1:14" s="2" customFormat="1">
      <c r="A25265" s="83"/>
      <c r="H25265" s="83"/>
      <c r="K25265" s="82"/>
      <c r="M25265" s="112"/>
      <c r="N25265" s="84"/>
    </row>
    <row r="25266" spans="1:14" s="2" customFormat="1">
      <c r="A25266" s="83"/>
      <c r="H25266" s="83"/>
      <c r="K25266" s="82"/>
      <c r="M25266" s="112"/>
      <c r="N25266" s="84"/>
    </row>
    <row r="25267" spans="1:14" s="2" customFormat="1">
      <c r="A25267" s="83"/>
      <c r="H25267" s="83"/>
      <c r="K25267" s="82"/>
      <c r="M25267" s="112"/>
      <c r="N25267" s="84"/>
    </row>
    <row r="25268" spans="1:14" s="2" customFormat="1">
      <c r="A25268" s="83"/>
      <c r="H25268" s="83"/>
      <c r="K25268" s="82"/>
      <c r="M25268" s="112"/>
      <c r="N25268" s="84"/>
    </row>
    <row r="25269" spans="1:14" s="2" customFormat="1">
      <c r="A25269" s="83"/>
      <c r="H25269" s="83"/>
      <c r="K25269" s="82"/>
      <c r="M25269" s="112"/>
      <c r="N25269" s="84"/>
    </row>
    <row r="25270" spans="1:14" s="2" customFormat="1">
      <c r="A25270" s="83"/>
      <c r="H25270" s="83"/>
      <c r="K25270" s="82"/>
      <c r="M25270" s="112"/>
      <c r="N25270" s="84"/>
    </row>
    <row r="25271" spans="1:14" s="2" customFormat="1">
      <c r="A25271" s="83"/>
      <c r="H25271" s="83"/>
      <c r="K25271" s="82"/>
      <c r="M25271" s="112"/>
      <c r="N25271" s="84"/>
    </row>
    <row r="25272" spans="1:14" s="2" customFormat="1">
      <c r="A25272" s="83"/>
      <c r="H25272" s="83"/>
      <c r="K25272" s="82"/>
      <c r="M25272" s="112"/>
      <c r="N25272" s="84"/>
    </row>
    <row r="25273" spans="1:14" s="2" customFormat="1">
      <c r="A25273" s="83"/>
      <c r="H25273" s="83"/>
      <c r="K25273" s="82"/>
      <c r="M25273" s="112"/>
      <c r="N25273" s="84"/>
    </row>
    <row r="25274" spans="1:14" s="2" customFormat="1">
      <c r="A25274" s="83"/>
      <c r="H25274" s="83"/>
      <c r="K25274" s="82"/>
      <c r="M25274" s="112"/>
      <c r="N25274" s="84"/>
    </row>
    <row r="25275" spans="1:14" s="2" customFormat="1">
      <c r="A25275" s="83"/>
      <c r="H25275" s="83"/>
      <c r="K25275" s="82"/>
      <c r="M25275" s="112"/>
      <c r="N25275" s="84"/>
    </row>
    <row r="25276" spans="1:14" s="2" customFormat="1">
      <c r="A25276" s="83"/>
      <c r="H25276" s="83"/>
      <c r="K25276" s="82"/>
      <c r="M25276" s="112"/>
      <c r="N25276" s="84"/>
    </row>
    <row r="25277" spans="1:14" s="2" customFormat="1">
      <c r="A25277" s="83"/>
      <c r="H25277" s="83"/>
      <c r="K25277" s="82"/>
      <c r="M25277" s="112"/>
      <c r="N25277" s="84"/>
    </row>
    <row r="25278" spans="1:14" s="2" customFormat="1">
      <c r="A25278" s="83"/>
      <c r="H25278" s="83"/>
      <c r="K25278" s="82"/>
      <c r="M25278" s="112"/>
      <c r="N25278" s="84"/>
    </row>
    <row r="25279" spans="1:14" s="2" customFormat="1">
      <c r="A25279" s="83"/>
      <c r="H25279" s="83"/>
      <c r="K25279" s="82"/>
      <c r="M25279" s="112"/>
      <c r="N25279" s="84"/>
    </row>
    <row r="25280" spans="1:14" s="2" customFormat="1">
      <c r="A25280" s="83"/>
      <c r="H25280" s="83"/>
      <c r="K25280" s="82"/>
      <c r="M25280" s="112"/>
      <c r="N25280" s="84"/>
    </row>
    <row r="25281" spans="1:14" s="2" customFormat="1">
      <c r="A25281" s="83"/>
      <c r="H25281" s="83"/>
      <c r="K25281" s="82"/>
      <c r="M25281" s="112"/>
      <c r="N25281" s="84"/>
    </row>
    <row r="25282" spans="1:14" s="2" customFormat="1">
      <c r="A25282" s="83"/>
      <c r="H25282" s="83"/>
      <c r="K25282" s="82"/>
      <c r="M25282" s="112"/>
      <c r="N25282" s="84"/>
    </row>
    <row r="25283" spans="1:14" s="2" customFormat="1">
      <c r="A25283" s="83"/>
      <c r="H25283" s="83"/>
      <c r="K25283" s="82"/>
      <c r="M25283" s="112"/>
      <c r="N25283" s="84"/>
    </row>
    <row r="25284" spans="1:14" s="2" customFormat="1">
      <c r="A25284" s="83"/>
      <c r="H25284" s="83"/>
      <c r="K25284" s="82"/>
      <c r="M25284" s="112"/>
      <c r="N25284" s="84"/>
    </row>
    <row r="25285" spans="1:14" s="2" customFormat="1">
      <c r="A25285" s="83"/>
      <c r="H25285" s="83"/>
      <c r="K25285" s="82"/>
      <c r="M25285" s="112"/>
      <c r="N25285" s="84"/>
    </row>
    <row r="25286" spans="1:14" s="2" customFormat="1">
      <c r="A25286" s="83"/>
      <c r="H25286" s="83"/>
      <c r="K25286" s="82"/>
      <c r="M25286" s="112"/>
      <c r="N25286" s="84"/>
    </row>
    <row r="25287" spans="1:14" s="2" customFormat="1">
      <c r="A25287" s="83"/>
      <c r="H25287" s="83"/>
      <c r="K25287" s="82"/>
      <c r="M25287" s="112"/>
      <c r="N25287" s="84"/>
    </row>
    <row r="25288" spans="1:14" s="2" customFormat="1">
      <c r="A25288" s="83"/>
      <c r="H25288" s="83"/>
      <c r="K25288" s="82"/>
      <c r="M25288" s="112"/>
      <c r="N25288" s="84"/>
    </row>
    <row r="25289" spans="1:14" s="2" customFormat="1">
      <c r="A25289" s="83"/>
      <c r="H25289" s="83"/>
      <c r="K25289" s="82"/>
      <c r="M25289" s="112"/>
      <c r="N25289" s="84"/>
    </row>
    <row r="25290" spans="1:14" s="2" customFormat="1">
      <c r="A25290" s="83"/>
      <c r="H25290" s="83"/>
      <c r="K25290" s="82"/>
      <c r="M25290" s="112"/>
      <c r="N25290" s="84"/>
    </row>
    <row r="25291" spans="1:14" s="2" customFormat="1">
      <c r="A25291" s="83"/>
      <c r="H25291" s="83"/>
      <c r="K25291" s="82"/>
      <c r="M25291" s="112"/>
      <c r="N25291" s="84"/>
    </row>
    <row r="25292" spans="1:14" s="2" customFormat="1">
      <c r="A25292" s="83"/>
      <c r="H25292" s="83"/>
      <c r="K25292" s="82"/>
      <c r="M25292" s="112"/>
      <c r="N25292" s="84"/>
    </row>
    <row r="25293" spans="1:14" s="2" customFormat="1">
      <c r="A25293" s="83"/>
      <c r="H25293" s="83"/>
      <c r="K25293" s="82"/>
      <c r="M25293" s="112"/>
      <c r="N25293" s="84"/>
    </row>
    <row r="25294" spans="1:14" s="2" customFormat="1">
      <c r="A25294" s="83"/>
      <c r="H25294" s="83"/>
      <c r="K25294" s="82"/>
      <c r="M25294" s="112"/>
      <c r="N25294" s="84"/>
    </row>
    <row r="25295" spans="1:14" s="2" customFormat="1">
      <c r="A25295" s="83"/>
      <c r="H25295" s="83"/>
      <c r="K25295" s="82"/>
      <c r="M25295" s="112"/>
      <c r="N25295" s="84"/>
    </row>
    <row r="25296" spans="1:14" s="2" customFormat="1">
      <c r="A25296" s="83"/>
      <c r="H25296" s="83"/>
      <c r="K25296" s="82"/>
      <c r="M25296" s="112"/>
      <c r="N25296" s="84"/>
    </row>
    <row r="25297" spans="1:14" s="2" customFormat="1">
      <c r="A25297" s="83"/>
      <c r="H25297" s="83"/>
      <c r="K25297" s="82"/>
      <c r="M25297" s="112"/>
      <c r="N25297" s="84"/>
    </row>
    <row r="25298" spans="1:14" s="2" customFormat="1">
      <c r="A25298" s="83"/>
      <c r="H25298" s="83"/>
      <c r="K25298" s="82"/>
      <c r="M25298" s="112"/>
      <c r="N25298" s="84"/>
    </row>
    <row r="25299" spans="1:14" s="2" customFormat="1">
      <c r="A25299" s="83"/>
      <c r="H25299" s="83"/>
      <c r="K25299" s="82"/>
      <c r="M25299" s="112"/>
      <c r="N25299" s="84"/>
    </row>
    <row r="25300" spans="1:14" s="2" customFormat="1">
      <c r="A25300" s="83"/>
      <c r="H25300" s="83"/>
      <c r="K25300" s="82"/>
      <c r="M25300" s="112"/>
      <c r="N25300" s="84"/>
    </row>
    <row r="25301" spans="1:14" s="2" customFormat="1">
      <c r="A25301" s="83"/>
      <c r="H25301" s="83"/>
      <c r="K25301" s="82"/>
      <c r="M25301" s="112"/>
      <c r="N25301" s="84"/>
    </row>
    <row r="25302" spans="1:14" s="2" customFormat="1">
      <c r="A25302" s="83"/>
      <c r="H25302" s="83"/>
      <c r="K25302" s="82"/>
      <c r="M25302" s="112"/>
      <c r="N25302" s="84"/>
    </row>
    <row r="25303" spans="1:14" s="2" customFormat="1">
      <c r="A25303" s="83"/>
      <c r="H25303" s="83"/>
      <c r="K25303" s="82"/>
      <c r="M25303" s="112"/>
      <c r="N25303" s="84"/>
    </row>
    <row r="25304" spans="1:14" s="2" customFormat="1">
      <c r="A25304" s="83"/>
      <c r="H25304" s="83"/>
      <c r="K25304" s="82"/>
      <c r="M25304" s="112"/>
      <c r="N25304" s="84"/>
    </row>
    <row r="25305" spans="1:14" s="2" customFormat="1">
      <c r="A25305" s="83"/>
      <c r="H25305" s="83"/>
      <c r="K25305" s="82"/>
      <c r="M25305" s="112"/>
      <c r="N25305" s="84"/>
    </row>
    <row r="25306" spans="1:14" s="2" customFormat="1">
      <c r="A25306" s="83"/>
      <c r="H25306" s="83"/>
      <c r="K25306" s="82"/>
      <c r="M25306" s="112"/>
      <c r="N25306" s="84"/>
    </row>
    <row r="25307" spans="1:14" s="2" customFormat="1">
      <c r="A25307" s="83"/>
      <c r="H25307" s="83"/>
      <c r="K25307" s="82"/>
      <c r="M25307" s="112"/>
      <c r="N25307" s="84"/>
    </row>
    <row r="25308" spans="1:14" s="2" customFormat="1">
      <c r="A25308" s="83"/>
      <c r="H25308" s="83"/>
      <c r="K25308" s="82"/>
      <c r="M25308" s="112"/>
      <c r="N25308" s="84"/>
    </row>
    <row r="25309" spans="1:14" s="2" customFormat="1">
      <c r="A25309" s="83"/>
      <c r="H25309" s="83"/>
      <c r="K25309" s="82"/>
      <c r="M25309" s="112"/>
      <c r="N25309" s="84"/>
    </row>
    <row r="25310" spans="1:14" s="2" customFormat="1">
      <c r="A25310" s="83"/>
      <c r="H25310" s="83"/>
      <c r="K25310" s="82"/>
      <c r="M25310" s="112"/>
      <c r="N25310" s="84"/>
    </row>
    <row r="25311" spans="1:14" s="2" customFormat="1">
      <c r="A25311" s="83"/>
      <c r="H25311" s="83"/>
      <c r="K25311" s="82"/>
      <c r="M25311" s="112"/>
      <c r="N25311" s="84"/>
    </row>
    <row r="25312" spans="1:14" s="2" customFormat="1">
      <c r="A25312" s="83"/>
      <c r="H25312" s="83"/>
      <c r="K25312" s="82"/>
      <c r="M25312" s="112"/>
      <c r="N25312" s="84"/>
    </row>
    <row r="25313" spans="1:14" s="2" customFormat="1">
      <c r="A25313" s="83"/>
      <c r="H25313" s="83"/>
      <c r="K25313" s="82"/>
      <c r="M25313" s="112"/>
      <c r="N25313" s="84"/>
    </row>
    <row r="25314" spans="1:14" s="2" customFormat="1">
      <c r="A25314" s="83"/>
      <c r="H25314" s="83"/>
      <c r="K25314" s="82"/>
      <c r="M25314" s="112"/>
      <c r="N25314" s="84"/>
    </row>
    <row r="25315" spans="1:14" s="2" customFormat="1">
      <c r="A25315" s="83"/>
      <c r="H25315" s="83"/>
      <c r="K25315" s="82"/>
      <c r="M25315" s="112"/>
      <c r="N25315" s="84"/>
    </row>
    <row r="25316" spans="1:14" s="2" customFormat="1">
      <c r="A25316" s="83"/>
      <c r="H25316" s="83"/>
      <c r="K25316" s="82"/>
      <c r="M25316" s="112"/>
      <c r="N25316" s="84"/>
    </row>
    <row r="25317" spans="1:14" s="2" customFormat="1">
      <c r="A25317" s="83"/>
      <c r="H25317" s="83"/>
      <c r="K25317" s="82"/>
      <c r="M25317" s="112"/>
      <c r="N25317" s="84"/>
    </row>
    <row r="25318" spans="1:14" s="2" customFormat="1">
      <c r="A25318" s="83"/>
      <c r="H25318" s="83"/>
      <c r="K25318" s="82"/>
      <c r="M25318" s="112"/>
      <c r="N25318" s="84"/>
    </row>
    <row r="25319" spans="1:14" s="2" customFormat="1">
      <c r="A25319" s="83"/>
      <c r="H25319" s="83"/>
      <c r="K25319" s="82"/>
      <c r="M25319" s="112"/>
      <c r="N25319" s="84"/>
    </row>
    <row r="25320" spans="1:14" s="2" customFormat="1">
      <c r="A25320" s="83"/>
      <c r="H25320" s="83"/>
      <c r="K25320" s="82"/>
      <c r="M25320" s="112"/>
      <c r="N25320" s="84"/>
    </row>
    <row r="25321" spans="1:14" s="2" customFormat="1">
      <c r="A25321" s="83"/>
      <c r="H25321" s="83"/>
      <c r="K25321" s="82"/>
      <c r="M25321" s="112"/>
      <c r="N25321" s="84"/>
    </row>
    <row r="25322" spans="1:14" s="2" customFormat="1">
      <c r="A25322" s="83"/>
      <c r="H25322" s="83"/>
      <c r="K25322" s="82"/>
      <c r="M25322" s="112"/>
      <c r="N25322" s="84"/>
    </row>
    <row r="25323" spans="1:14" s="2" customFormat="1">
      <c r="A25323" s="83"/>
      <c r="H25323" s="83"/>
      <c r="K25323" s="82"/>
      <c r="M25323" s="112"/>
      <c r="N25323" s="84"/>
    </row>
    <row r="25324" spans="1:14" s="2" customFormat="1">
      <c r="A25324" s="83"/>
      <c r="H25324" s="83"/>
      <c r="K25324" s="82"/>
      <c r="M25324" s="112"/>
      <c r="N25324" s="84"/>
    </row>
    <row r="25325" spans="1:14" s="2" customFormat="1">
      <c r="A25325" s="83"/>
      <c r="H25325" s="83"/>
      <c r="K25325" s="82"/>
      <c r="M25325" s="112"/>
      <c r="N25325" s="84"/>
    </row>
    <row r="25326" spans="1:14" s="2" customFormat="1">
      <c r="A25326" s="83"/>
      <c r="H25326" s="83"/>
      <c r="K25326" s="82"/>
      <c r="M25326" s="112"/>
      <c r="N25326" s="84"/>
    </row>
    <row r="25327" spans="1:14" s="2" customFormat="1">
      <c r="A25327" s="83"/>
      <c r="H25327" s="83"/>
      <c r="K25327" s="82"/>
      <c r="M25327" s="112"/>
      <c r="N25327" s="84"/>
    </row>
    <row r="25328" spans="1:14" s="2" customFormat="1">
      <c r="A25328" s="83"/>
      <c r="H25328" s="83"/>
      <c r="K25328" s="82"/>
      <c r="M25328" s="112"/>
      <c r="N25328" s="84"/>
    </row>
    <row r="25329" spans="1:14" s="2" customFormat="1">
      <c r="A25329" s="83"/>
      <c r="H25329" s="83"/>
      <c r="K25329" s="82"/>
      <c r="M25329" s="112"/>
      <c r="N25329" s="84"/>
    </row>
    <row r="25330" spans="1:14" s="2" customFormat="1">
      <c r="A25330" s="83"/>
      <c r="H25330" s="83"/>
      <c r="K25330" s="82"/>
      <c r="M25330" s="112"/>
      <c r="N25330" s="84"/>
    </row>
    <row r="25331" spans="1:14" s="2" customFormat="1">
      <c r="A25331" s="83"/>
      <c r="H25331" s="83"/>
      <c r="K25331" s="82"/>
      <c r="M25331" s="112"/>
      <c r="N25331" s="84"/>
    </row>
    <row r="25332" spans="1:14" s="2" customFormat="1">
      <c r="A25332" s="83"/>
      <c r="H25332" s="83"/>
      <c r="K25332" s="82"/>
      <c r="M25332" s="112"/>
      <c r="N25332" s="84"/>
    </row>
    <row r="25333" spans="1:14" s="2" customFormat="1">
      <c r="A25333" s="83"/>
      <c r="H25333" s="83"/>
      <c r="K25333" s="82"/>
      <c r="M25333" s="112"/>
      <c r="N25333" s="84"/>
    </row>
    <row r="25334" spans="1:14" s="2" customFormat="1">
      <c r="A25334" s="83"/>
      <c r="H25334" s="83"/>
      <c r="K25334" s="82"/>
      <c r="M25334" s="112"/>
      <c r="N25334" s="84"/>
    </row>
    <row r="25335" spans="1:14" s="2" customFormat="1">
      <c r="A25335" s="83"/>
      <c r="H25335" s="83"/>
      <c r="K25335" s="82"/>
      <c r="M25335" s="112"/>
      <c r="N25335" s="84"/>
    </row>
    <row r="25336" spans="1:14" s="2" customFormat="1">
      <c r="A25336" s="83"/>
      <c r="H25336" s="83"/>
      <c r="K25336" s="82"/>
      <c r="M25336" s="112"/>
      <c r="N25336" s="84"/>
    </row>
    <row r="25337" spans="1:14" s="2" customFormat="1">
      <c r="A25337" s="83"/>
      <c r="H25337" s="83"/>
      <c r="K25337" s="82"/>
      <c r="M25337" s="112"/>
      <c r="N25337" s="84"/>
    </row>
    <row r="25338" spans="1:14" s="2" customFormat="1">
      <c r="A25338" s="83"/>
      <c r="H25338" s="83"/>
      <c r="K25338" s="82"/>
      <c r="M25338" s="112"/>
      <c r="N25338" s="84"/>
    </row>
    <row r="25339" spans="1:14" s="2" customFormat="1">
      <c r="A25339" s="83"/>
      <c r="H25339" s="83"/>
      <c r="K25339" s="82"/>
      <c r="M25339" s="112"/>
      <c r="N25339" s="84"/>
    </row>
    <row r="25340" spans="1:14" s="2" customFormat="1">
      <c r="A25340" s="83"/>
      <c r="H25340" s="83"/>
      <c r="K25340" s="82"/>
      <c r="M25340" s="112"/>
      <c r="N25340" s="84"/>
    </row>
    <row r="25341" spans="1:14" s="2" customFormat="1">
      <c r="A25341" s="83"/>
      <c r="H25341" s="83"/>
      <c r="K25341" s="82"/>
      <c r="M25341" s="112"/>
      <c r="N25341" s="84"/>
    </row>
    <row r="25342" spans="1:14" s="2" customFormat="1">
      <c r="A25342" s="83"/>
      <c r="H25342" s="83"/>
      <c r="K25342" s="82"/>
      <c r="M25342" s="112"/>
      <c r="N25342" s="84"/>
    </row>
    <row r="25343" spans="1:14" s="2" customFormat="1">
      <c r="A25343" s="83"/>
      <c r="H25343" s="83"/>
      <c r="K25343" s="82"/>
      <c r="M25343" s="112"/>
      <c r="N25343" s="84"/>
    </row>
    <row r="25344" spans="1:14" s="2" customFormat="1">
      <c r="A25344" s="83"/>
      <c r="H25344" s="83"/>
      <c r="K25344" s="82"/>
      <c r="M25344" s="112"/>
      <c r="N25344" s="84"/>
    </row>
    <row r="25345" spans="1:14" s="2" customFormat="1">
      <c r="A25345" s="83"/>
      <c r="H25345" s="83"/>
      <c r="K25345" s="82"/>
      <c r="M25345" s="112"/>
      <c r="N25345" s="84"/>
    </row>
    <row r="25346" spans="1:14" s="2" customFormat="1">
      <c r="A25346" s="83"/>
      <c r="H25346" s="83"/>
      <c r="K25346" s="82"/>
      <c r="M25346" s="112"/>
      <c r="N25346" s="84"/>
    </row>
    <row r="25347" spans="1:14" s="2" customFormat="1">
      <c r="A25347" s="83"/>
      <c r="H25347" s="83"/>
      <c r="K25347" s="82"/>
      <c r="M25347" s="112"/>
      <c r="N25347" s="84"/>
    </row>
    <row r="25348" spans="1:14" s="2" customFormat="1">
      <c r="A25348" s="83"/>
      <c r="H25348" s="83"/>
      <c r="K25348" s="82"/>
      <c r="M25348" s="112"/>
      <c r="N25348" s="84"/>
    </row>
    <row r="25349" spans="1:14" s="2" customFormat="1">
      <c r="A25349" s="83"/>
      <c r="H25349" s="83"/>
      <c r="K25349" s="82"/>
      <c r="M25349" s="112"/>
      <c r="N25349" s="84"/>
    </row>
    <row r="25350" spans="1:14" s="2" customFormat="1">
      <c r="A25350" s="83"/>
      <c r="H25350" s="83"/>
      <c r="K25350" s="82"/>
      <c r="M25350" s="112"/>
      <c r="N25350" s="84"/>
    </row>
    <row r="25351" spans="1:14" s="2" customFormat="1">
      <c r="A25351" s="83"/>
      <c r="H25351" s="83"/>
      <c r="K25351" s="82"/>
      <c r="M25351" s="112"/>
      <c r="N25351" s="84"/>
    </row>
    <row r="25352" spans="1:14" s="2" customFormat="1">
      <c r="A25352" s="83"/>
      <c r="H25352" s="83"/>
      <c r="K25352" s="82"/>
      <c r="M25352" s="112"/>
      <c r="N25352" s="84"/>
    </row>
    <row r="25353" spans="1:14" s="2" customFormat="1">
      <c r="A25353" s="83"/>
      <c r="H25353" s="83"/>
      <c r="K25353" s="82"/>
      <c r="M25353" s="112"/>
      <c r="N25353" s="84"/>
    </row>
    <row r="25354" spans="1:14" s="2" customFormat="1">
      <c r="A25354" s="83"/>
      <c r="H25354" s="83"/>
      <c r="K25354" s="82"/>
      <c r="M25354" s="112"/>
      <c r="N25354" s="84"/>
    </row>
    <row r="25355" spans="1:14" s="2" customFormat="1">
      <c r="A25355" s="83"/>
      <c r="H25355" s="83"/>
      <c r="K25355" s="82"/>
      <c r="M25355" s="112"/>
      <c r="N25355" s="84"/>
    </row>
    <row r="25356" spans="1:14" s="2" customFormat="1">
      <c r="A25356" s="83"/>
      <c r="H25356" s="83"/>
      <c r="K25356" s="82"/>
      <c r="M25356" s="112"/>
      <c r="N25356" s="84"/>
    </row>
    <row r="25357" spans="1:14" s="2" customFormat="1">
      <c r="A25357" s="83"/>
      <c r="H25357" s="83"/>
      <c r="K25357" s="82"/>
      <c r="M25357" s="112"/>
      <c r="N25357" s="84"/>
    </row>
    <row r="25358" spans="1:14" s="2" customFormat="1">
      <c r="A25358" s="83"/>
      <c r="H25358" s="83"/>
      <c r="K25358" s="82"/>
      <c r="M25358" s="112"/>
      <c r="N25358" s="84"/>
    </row>
    <row r="25359" spans="1:14" s="2" customFormat="1">
      <c r="A25359" s="83"/>
      <c r="H25359" s="83"/>
      <c r="K25359" s="82"/>
      <c r="M25359" s="112"/>
      <c r="N25359" s="84"/>
    </row>
    <row r="25360" spans="1:14" s="2" customFormat="1">
      <c r="A25360" s="83"/>
      <c r="H25360" s="83"/>
      <c r="K25360" s="82"/>
      <c r="M25360" s="112"/>
      <c r="N25360" s="84"/>
    </row>
    <row r="25361" spans="1:14" s="2" customFormat="1">
      <c r="A25361" s="83"/>
      <c r="H25361" s="83"/>
      <c r="K25361" s="82"/>
      <c r="M25361" s="112"/>
      <c r="N25361" s="84"/>
    </row>
    <row r="25362" spans="1:14" s="2" customFormat="1">
      <c r="A25362" s="83"/>
      <c r="H25362" s="83"/>
      <c r="K25362" s="82"/>
      <c r="M25362" s="112"/>
      <c r="N25362" s="84"/>
    </row>
    <row r="25363" spans="1:14" s="2" customFormat="1">
      <c r="A25363" s="83"/>
      <c r="H25363" s="83"/>
      <c r="K25363" s="82"/>
      <c r="M25363" s="112"/>
      <c r="N25363" s="84"/>
    </row>
    <row r="25364" spans="1:14" s="2" customFormat="1">
      <c r="A25364" s="83"/>
      <c r="H25364" s="83"/>
      <c r="K25364" s="82"/>
      <c r="M25364" s="112"/>
      <c r="N25364" s="84"/>
    </row>
    <row r="25365" spans="1:14" s="2" customFormat="1">
      <c r="A25365" s="83"/>
      <c r="H25365" s="83"/>
      <c r="K25365" s="82"/>
      <c r="M25365" s="112"/>
      <c r="N25365" s="84"/>
    </row>
    <row r="25366" spans="1:14" s="2" customFormat="1">
      <c r="A25366" s="83"/>
      <c r="H25366" s="83"/>
      <c r="K25366" s="82"/>
      <c r="M25366" s="112"/>
      <c r="N25366" s="84"/>
    </row>
    <row r="25367" spans="1:14" s="2" customFormat="1">
      <c r="A25367" s="83"/>
      <c r="H25367" s="83"/>
      <c r="K25367" s="82"/>
      <c r="M25367" s="112"/>
      <c r="N25367" s="84"/>
    </row>
    <row r="25368" spans="1:14" s="2" customFormat="1">
      <c r="A25368" s="83"/>
      <c r="H25368" s="83"/>
      <c r="K25368" s="82"/>
      <c r="M25368" s="112"/>
      <c r="N25368" s="84"/>
    </row>
    <row r="25369" spans="1:14" s="2" customFormat="1">
      <c r="A25369" s="83"/>
      <c r="H25369" s="83"/>
      <c r="K25369" s="82"/>
      <c r="M25369" s="112"/>
      <c r="N25369" s="84"/>
    </row>
    <row r="25370" spans="1:14" s="2" customFormat="1">
      <c r="A25370" s="83"/>
      <c r="H25370" s="83"/>
      <c r="K25370" s="82"/>
      <c r="M25370" s="112"/>
      <c r="N25370" s="84"/>
    </row>
    <row r="25371" spans="1:14" s="2" customFormat="1">
      <c r="A25371" s="83"/>
      <c r="H25371" s="83"/>
      <c r="K25371" s="82"/>
      <c r="M25371" s="112"/>
      <c r="N25371" s="84"/>
    </row>
    <row r="25372" spans="1:14" s="2" customFormat="1">
      <c r="A25372" s="83"/>
      <c r="H25372" s="83"/>
      <c r="K25372" s="82"/>
      <c r="M25372" s="112"/>
      <c r="N25372" s="84"/>
    </row>
    <row r="25373" spans="1:14" s="2" customFormat="1">
      <c r="A25373" s="83"/>
      <c r="H25373" s="83"/>
      <c r="K25373" s="82"/>
      <c r="M25373" s="112"/>
      <c r="N25373" s="84"/>
    </row>
    <row r="25374" spans="1:14" s="2" customFormat="1">
      <c r="A25374" s="83"/>
      <c r="H25374" s="83"/>
      <c r="K25374" s="82"/>
      <c r="M25374" s="112"/>
      <c r="N25374" s="84"/>
    </row>
    <row r="25375" spans="1:14" s="2" customFormat="1">
      <c r="A25375" s="83"/>
      <c r="H25375" s="83"/>
      <c r="K25375" s="82"/>
      <c r="M25375" s="112"/>
      <c r="N25375" s="84"/>
    </row>
    <row r="25376" spans="1:14" s="2" customFormat="1">
      <c r="A25376" s="83"/>
      <c r="H25376" s="83"/>
      <c r="K25376" s="82"/>
      <c r="M25376" s="112"/>
      <c r="N25376" s="84"/>
    </row>
    <row r="25377" spans="1:14" s="2" customFormat="1">
      <c r="A25377" s="83"/>
      <c r="H25377" s="83"/>
      <c r="K25377" s="82"/>
      <c r="M25377" s="112"/>
      <c r="N25377" s="84"/>
    </row>
    <row r="25378" spans="1:14" s="2" customFormat="1">
      <c r="A25378" s="83"/>
      <c r="H25378" s="83"/>
      <c r="K25378" s="82"/>
      <c r="M25378" s="112"/>
      <c r="N25378" s="84"/>
    </row>
    <row r="25379" spans="1:14" s="2" customFormat="1">
      <c r="A25379" s="83"/>
      <c r="H25379" s="83"/>
      <c r="K25379" s="82"/>
      <c r="M25379" s="112"/>
      <c r="N25379" s="84"/>
    </row>
    <row r="25380" spans="1:14" s="2" customFormat="1">
      <c r="A25380" s="83"/>
      <c r="H25380" s="83"/>
      <c r="K25380" s="82"/>
      <c r="M25380" s="112"/>
      <c r="N25380" s="84"/>
    </row>
    <row r="25381" spans="1:14" s="2" customFormat="1">
      <c r="A25381" s="83"/>
      <c r="H25381" s="83"/>
      <c r="K25381" s="82"/>
      <c r="M25381" s="112"/>
      <c r="N25381" s="84"/>
    </row>
    <row r="25382" spans="1:14" s="2" customFormat="1">
      <c r="A25382" s="83"/>
      <c r="H25382" s="83"/>
      <c r="K25382" s="82"/>
      <c r="M25382" s="112"/>
      <c r="N25382" s="84"/>
    </row>
    <row r="25383" spans="1:14" s="2" customFormat="1">
      <c r="A25383" s="83"/>
      <c r="H25383" s="83"/>
      <c r="K25383" s="82"/>
      <c r="M25383" s="112"/>
      <c r="N25383" s="84"/>
    </row>
    <row r="25384" spans="1:14" s="2" customFormat="1">
      <c r="A25384" s="83"/>
      <c r="H25384" s="83"/>
      <c r="K25384" s="82"/>
      <c r="M25384" s="112"/>
      <c r="N25384" s="84"/>
    </row>
    <row r="25385" spans="1:14" s="2" customFormat="1">
      <c r="A25385" s="83"/>
      <c r="H25385" s="83"/>
      <c r="K25385" s="82"/>
      <c r="M25385" s="112"/>
      <c r="N25385" s="84"/>
    </row>
    <row r="25386" spans="1:14" s="2" customFormat="1">
      <c r="A25386" s="83"/>
      <c r="H25386" s="83"/>
      <c r="K25386" s="82"/>
      <c r="M25386" s="112"/>
      <c r="N25386" s="84"/>
    </row>
    <row r="25387" spans="1:14" s="2" customFormat="1">
      <c r="A25387" s="83"/>
      <c r="H25387" s="83"/>
      <c r="K25387" s="82"/>
      <c r="M25387" s="112"/>
      <c r="N25387" s="84"/>
    </row>
    <row r="25388" spans="1:14" s="2" customFormat="1">
      <c r="A25388" s="83"/>
      <c r="H25388" s="83"/>
      <c r="K25388" s="82"/>
      <c r="M25388" s="112"/>
      <c r="N25388" s="84"/>
    </row>
    <row r="25389" spans="1:14" s="2" customFormat="1">
      <c r="A25389" s="83"/>
      <c r="H25389" s="83"/>
      <c r="K25389" s="82"/>
      <c r="M25389" s="112"/>
      <c r="N25389" s="84"/>
    </row>
    <row r="25390" spans="1:14" s="2" customFormat="1">
      <c r="A25390" s="83"/>
      <c r="H25390" s="83"/>
      <c r="K25390" s="82"/>
      <c r="M25390" s="112"/>
      <c r="N25390" s="84"/>
    </row>
    <row r="25391" spans="1:14" s="2" customFormat="1">
      <c r="A25391" s="83"/>
      <c r="H25391" s="83"/>
      <c r="K25391" s="82"/>
      <c r="M25391" s="112"/>
      <c r="N25391" s="84"/>
    </row>
    <row r="25392" spans="1:14" s="2" customFormat="1">
      <c r="A25392" s="83"/>
      <c r="H25392" s="83"/>
      <c r="K25392" s="82"/>
      <c r="M25392" s="112"/>
      <c r="N25392" s="84"/>
    </row>
    <row r="25393" spans="1:14" s="2" customFormat="1">
      <c r="A25393" s="83"/>
      <c r="H25393" s="83"/>
      <c r="K25393" s="82"/>
      <c r="M25393" s="112"/>
      <c r="N25393" s="84"/>
    </row>
    <row r="25394" spans="1:14" s="2" customFormat="1">
      <c r="A25394" s="83"/>
      <c r="H25394" s="83"/>
      <c r="K25394" s="82"/>
      <c r="M25394" s="112"/>
      <c r="N25394" s="84"/>
    </row>
    <row r="25395" spans="1:14" s="2" customFormat="1">
      <c r="A25395" s="83"/>
      <c r="H25395" s="83"/>
      <c r="K25395" s="82"/>
      <c r="M25395" s="112"/>
      <c r="N25395" s="84"/>
    </row>
    <row r="25396" spans="1:14" s="2" customFormat="1">
      <c r="A25396" s="83"/>
      <c r="H25396" s="83"/>
      <c r="K25396" s="82"/>
      <c r="M25396" s="112"/>
      <c r="N25396" s="84"/>
    </row>
    <row r="25397" spans="1:14" s="2" customFormat="1">
      <c r="A25397" s="83"/>
      <c r="H25397" s="83"/>
      <c r="K25397" s="82"/>
      <c r="M25397" s="112"/>
      <c r="N25397" s="84"/>
    </row>
    <row r="25398" spans="1:14" s="2" customFormat="1">
      <c r="A25398" s="83"/>
      <c r="H25398" s="83"/>
      <c r="K25398" s="82"/>
      <c r="M25398" s="112"/>
      <c r="N25398" s="84"/>
    </row>
    <row r="25399" spans="1:14" s="2" customFormat="1">
      <c r="A25399" s="83"/>
      <c r="H25399" s="83"/>
      <c r="K25399" s="82"/>
      <c r="M25399" s="112"/>
      <c r="N25399" s="84"/>
    </row>
    <row r="25400" spans="1:14" s="2" customFormat="1">
      <c r="A25400" s="83"/>
      <c r="H25400" s="83"/>
      <c r="K25400" s="82"/>
      <c r="M25400" s="112"/>
      <c r="N25400" s="84"/>
    </row>
    <row r="25401" spans="1:14" s="2" customFormat="1">
      <c r="A25401" s="83"/>
      <c r="H25401" s="83"/>
      <c r="K25401" s="82"/>
      <c r="M25401" s="112"/>
      <c r="N25401" s="84"/>
    </row>
    <row r="25402" spans="1:14" s="2" customFormat="1">
      <c r="A25402" s="83"/>
      <c r="H25402" s="83"/>
      <c r="K25402" s="82"/>
      <c r="M25402" s="112"/>
      <c r="N25402" s="84"/>
    </row>
    <row r="25403" spans="1:14" s="2" customFormat="1">
      <c r="A25403" s="83"/>
      <c r="H25403" s="83"/>
      <c r="K25403" s="82"/>
      <c r="M25403" s="112"/>
      <c r="N25403" s="84"/>
    </row>
    <row r="25404" spans="1:14" s="2" customFormat="1">
      <c r="A25404" s="83"/>
      <c r="H25404" s="83"/>
      <c r="K25404" s="82"/>
      <c r="M25404" s="112"/>
      <c r="N25404" s="84"/>
    </row>
    <row r="25405" spans="1:14" s="2" customFormat="1">
      <c r="A25405" s="83"/>
      <c r="H25405" s="83"/>
      <c r="K25405" s="82"/>
      <c r="M25405" s="112"/>
      <c r="N25405" s="84"/>
    </row>
    <row r="25406" spans="1:14" s="2" customFormat="1">
      <c r="A25406" s="83"/>
      <c r="H25406" s="83"/>
      <c r="K25406" s="82"/>
      <c r="M25406" s="112"/>
      <c r="N25406" s="84"/>
    </row>
    <row r="25407" spans="1:14" s="2" customFormat="1">
      <c r="A25407" s="83"/>
      <c r="H25407" s="83"/>
      <c r="K25407" s="82"/>
      <c r="M25407" s="112"/>
      <c r="N25407" s="84"/>
    </row>
    <row r="25408" spans="1:14" s="2" customFormat="1">
      <c r="A25408" s="83"/>
      <c r="H25408" s="83"/>
      <c r="K25408" s="82"/>
      <c r="M25408" s="112"/>
      <c r="N25408" s="84"/>
    </row>
    <row r="25409" spans="1:14" s="2" customFormat="1">
      <c r="A25409" s="83"/>
      <c r="H25409" s="83"/>
      <c r="K25409" s="82"/>
      <c r="M25409" s="112"/>
      <c r="N25409" s="84"/>
    </row>
    <row r="25410" spans="1:14" s="2" customFormat="1">
      <c r="A25410" s="83"/>
      <c r="H25410" s="83"/>
      <c r="K25410" s="82"/>
      <c r="M25410" s="112"/>
      <c r="N25410" s="84"/>
    </row>
    <row r="25411" spans="1:14" s="2" customFormat="1">
      <c r="A25411" s="83"/>
      <c r="H25411" s="83"/>
      <c r="K25411" s="82"/>
      <c r="M25411" s="112"/>
      <c r="N25411" s="84"/>
    </row>
    <row r="25412" spans="1:14" s="2" customFormat="1">
      <c r="A25412" s="83"/>
      <c r="H25412" s="83"/>
      <c r="K25412" s="82"/>
      <c r="M25412" s="112"/>
      <c r="N25412" s="84"/>
    </row>
    <row r="25413" spans="1:14" s="2" customFormat="1">
      <c r="A25413" s="83"/>
      <c r="H25413" s="83"/>
      <c r="K25413" s="82"/>
      <c r="M25413" s="112"/>
      <c r="N25413" s="84"/>
    </row>
    <row r="25414" spans="1:14" s="2" customFormat="1">
      <c r="A25414" s="83"/>
      <c r="H25414" s="83"/>
      <c r="K25414" s="82"/>
      <c r="M25414" s="112"/>
      <c r="N25414" s="84"/>
    </row>
    <row r="25415" spans="1:14" s="2" customFormat="1">
      <c r="A25415" s="83"/>
      <c r="H25415" s="83"/>
      <c r="K25415" s="82"/>
      <c r="M25415" s="112"/>
      <c r="N25415" s="84"/>
    </row>
    <row r="25416" spans="1:14" s="2" customFormat="1">
      <c r="A25416" s="83"/>
      <c r="H25416" s="83"/>
      <c r="K25416" s="82"/>
      <c r="M25416" s="112"/>
      <c r="N25416" s="84"/>
    </row>
    <row r="25417" spans="1:14" s="2" customFormat="1">
      <c r="A25417" s="83"/>
      <c r="H25417" s="83"/>
      <c r="K25417" s="82"/>
      <c r="M25417" s="112"/>
      <c r="N25417" s="84"/>
    </row>
    <row r="25418" spans="1:14" s="2" customFormat="1">
      <c r="A25418" s="83"/>
      <c r="H25418" s="83"/>
      <c r="K25418" s="82"/>
      <c r="M25418" s="112"/>
      <c r="N25418" s="84"/>
    </row>
    <row r="25419" spans="1:14" s="2" customFormat="1">
      <c r="A25419" s="83"/>
      <c r="H25419" s="83"/>
      <c r="K25419" s="82"/>
      <c r="M25419" s="112"/>
      <c r="N25419" s="84"/>
    </row>
    <row r="25420" spans="1:14" s="2" customFormat="1">
      <c r="A25420" s="83"/>
      <c r="H25420" s="83"/>
      <c r="K25420" s="82"/>
      <c r="M25420" s="112"/>
      <c r="N25420" s="84"/>
    </row>
    <row r="25421" spans="1:14" s="2" customFormat="1">
      <c r="A25421" s="83"/>
      <c r="H25421" s="83"/>
      <c r="K25421" s="82"/>
      <c r="M25421" s="112"/>
      <c r="N25421" s="84"/>
    </row>
    <row r="25422" spans="1:14" s="2" customFormat="1">
      <c r="A25422" s="83"/>
      <c r="H25422" s="83"/>
      <c r="K25422" s="82"/>
      <c r="M25422" s="112"/>
      <c r="N25422" s="84"/>
    </row>
    <row r="25423" spans="1:14" s="2" customFormat="1">
      <c r="A25423" s="83"/>
      <c r="H25423" s="83"/>
      <c r="K25423" s="82"/>
      <c r="M25423" s="112"/>
      <c r="N25423" s="84"/>
    </row>
    <row r="25424" spans="1:14" s="2" customFormat="1">
      <c r="A25424" s="83"/>
      <c r="H25424" s="83"/>
      <c r="K25424" s="82"/>
      <c r="M25424" s="112"/>
      <c r="N25424" s="84"/>
    </row>
    <row r="25425" spans="1:14" s="2" customFormat="1">
      <c r="A25425" s="83"/>
      <c r="H25425" s="83"/>
      <c r="K25425" s="82"/>
      <c r="M25425" s="112"/>
      <c r="N25425" s="84"/>
    </row>
    <row r="25426" spans="1:14" s="2" customFormat="1">
      <c r="A25426" s="83"/>
      <c r="H25426" s="83"/>
      <c r="K25426" s="82"/>
      <c r="M25426" s="112"/>
      <c r="N25426" s="84"/>
    </row>
    <row r="25427" spans="1:14" s="2" customFormat="1">
      <c r="A25427" s="83"/>
      <c r="H25427" s="83"/>
      <c r="K25427" s="82"/>
      <c r="M25427" s="112"/>
      <c r="N25427" s="84"/>
    </row>
    <row r="25428" spans="1:14" s="2" customFormat="1">
      <c r="A25428" s="83"/>
      <c r="H25428" s="83"/>
      <c r="K25428" s="82"/>
      <c r="M25428" s="112"/>
      <c r="N25428" s="84"/>
    </row>
    <row r="25429" spans="1:14" s="2" customFormat="1">
      <c r="A25429" s="83"/>
      <c r="H25429" s="83"/>
      <c r="K25429" s="82"/>
      <c r="M25429" s="112"/>
      <c r="N25429" s="84"/>
    </row>
    <row r="25430" spans="1:14" s="2" customFormat="1">
      <c r="A25430" s="83"/>
      <c r="H25430" s="83"/>
      <c r="K25430" s="82"/>
      <c r="M25430" s="112"/>
      <c r="N25430" s="84"/>
    </row>
    <row r="25431" spans="1:14" s="2" customFormat="1">
      <c r="A25431" s="83"/>
      <c r="H25431" s="83"/>
      <c r="K25431" s="82"/>
      <c r="M25431" s="112"/>
      <c r="N25431" s="84"/>
    </row>
    <row r="25432" spans="1:14" s="2" customFormat="1">
      <c r="A25432" s="83"/>
      <c r="H25432" s="83"/>
      <c r="K25432" s="82"/>
      <c r="M25432" s="112"/>
      <c r="N25432" s="84"/>
    </row>
    <row r="25433" spans="1:14" s="2" customFormat="1">
      <c r="A25433" s="83"/>
      <c r="H25433" s="83"/>
      <c r="K25433" s="82"/>
      <c r="M25433" s="112"/>
      <c r="N25433" s="84"/>
    </row>
    <row r="25434" spans="1:14" s="2" customFormat="1">
      <c r="A25434" s="83"/>
      <c r="H25434" s="83"/>
      <c r="K25434" s="82"/>
      <c r="M25434" s="112"/>
      <c r="N25434" s="84"/>
    </row>
    <row r="25435" spans="1:14" s="2" customFormat="1">
      <c r="A25435" s="83"/>
      <c r="H25435" s="83"/>
      <c r="K25435" s="82"/>
      <c r="M25435" s="112"/>
      <c r="N25435" s="84"/>
    </row>
    <row r="25436" spans="1:14" s="2" customFormat="1">
      <c r="A25436" s="83"/>
      <c r="H25436" s="83"/>
      <c r="K25436" s="82"/>
      <c r="M25436" s="112"/>
      <c r="N25436" s="84"/>
    </row>
    <row r="25437" spans="1:14" s="2" customFormat="1">
      <c r="A25437" s="83"/>
      <c r="H25437" s="83"/>
      <c r="K25437" s="82"/>
      <c r="M25437" s="112"/>
      <c r="N25437" s="84"/>
    </row>
    <row r="25438" spans="1:14" s="2" customFormat="1">
      <c r="A25438" s="83"/>
      <c r="H25438" s="83"/>
      <c r="K25438" s="82"/>
      <c r="M25438" s="112"/>
      <c r="N25438" s="84"/>
    </row>
    <row r="25439" spans="1:14" s="2" customFormat="1">
      <c r="A25439" s="83"/>
      <c r="H25439" s="83"/>
      <c r="K25439" s="82"/>
      <c r="M25439" s="112"/>
      <c r="N25439" s="84"/>
    </row>
    <row r="25440" spans="1:14" s="2" customFormat="1">
      <c r="A25440" s="83"/>
      <c r="H25440" s="83"/>
      <c r="K25440" s="82"/>
      <c r="M25440" s="112"/>
      <c r="N25440" s="84"/>
    </row>
    <row r="25441" spans="1:14" s="2" customFormat="1">
      <c r="A25441" s="83"/>
      <c r="H25441" s="83"/>
      <c r="K25441" s="82"/>
      <c r="M25441" s="112"/>
      <c r="N25441" s="84"/>
    </row>
    <row r="25442" spans="1:14" s="2" customFormat="1">
      <c r="A25442" s="83"/>
      <c r="H25442" s="83"/>
      <c r="K25442" s="82"/>
      <c r="M25442" s="112"/>
      <c r="N25442" s="84"/>
    </row>
    <row r="25443" spans="1:14" s="2" customFormat="1">
      <c r="A25443" s="83"/>
      <c r="H25443" s="83"/>
      <c r="K25443" s="82"/>
      <c r="M25443" s="112"/>
      <c r="N25443" s="84"/>
    </row>
    <row r="25444" spans="1:14" s="2" customFormat="1">
      <c r="A25444" s="83"/>
      <c r="H25444" s="83"/>
      <c r="K25444" s="82"/>
      <c r="M25444" s="112"/>
      <c r="N25444" s="84"/>
    </row>
    <row r="25445" spans="1:14" s="2" customFormat="1">
      <c r="A25445" s="83"/>
      <c r="H25445" s="83"/>
      <c r="K25445" s="82"/>
      <c r="M25445" s="112"/>
      <c r="N25445" s="84"/>
    </row>
    <row r="25446" spans="1:14" s="2" customFormat="1">
      <c r="A25446" s="83"/>
      <c r="H25446" s="83"/>
      <c r="K25446" s="82"/>
      <c r="M25446" s="112"/>
      <c r="N25446" s="84"/>
    </row>
    <row r="25447" spans="1:14" s="2" customFormat="1">
      <c r="A25447" s="83"/>
      <c r="H25447" s="83"/>
      <c r="K25447" s="82"/>
      <c r="M25447" s="112"/>
      <c r="N25447" s="84"/>
    </row>
    <row r="25448" spans="1:14" s="2" customFormat="1">
      <c r="A25448" s="83"/>
      <c r="H25448" s="83"/>
      <c r="K25448" s="82"/>
      <c r="M25448" s="112"/>
      <c r="N25448" s="84"/>
    </row>
    <row r="25449" spans="1:14" s="2" customFormat="1">
      <c r="A25449" s="83"/>
      <c r="H25449" s="83"/>
      <c r="K25449" s="82"/>
      <c r="M25449" s="112"/>
      <c r="N25449" s="84"/>
    </row>
    <row r="25450" spans="1:14" s="2" customFormat="1">
      <c r="A25450" s="83"/>
      <c r="H25450" s="83"/>
      <c r="K25450" s="82"/>
      <c r="M25450" s="112"/>
      <c r="N25450" s="84"/>
    </row>
    <row r="25451" spans="1:14" s="2" customFormat="1">
      <c r="A25451" s="83"/>
      <c r="H25451" s="83"/>
      <c r="K25451" s="82"/>
      <c r="M25451" s="112"/>
      <c r="N25451" s="84"/>
    </row>
    <row r="25452" spans="1:14" s="2" customFormat="1">
      <c r="A25452" s="83"/>
      <c r="H25452" s="83"/>
      <c r="K25452" s="82"/>
      <c r="M25452" s="112"/>
      <c r="N25452" s="84"/>
    </row>
    <row r="25453" spans="1:14" s="2" customFormat="1">
      <c r="A25453" s="83"/>
      <c r="H25453" s="83"/>
      <c r="K25453" s="82"/>
      <c r="M25453" s="112"/>
      <c r="N25453" s="84"/>
    </row>
    <row r="25454" spans="1:14" s="2" customFormat="1">
      <c r="A25454" s="83"/>
      <c r="H25454" s="83"/>
      <c r="K25454" s="82"/>
      <c r="M25454" s="112"/>
      <c r="N25454" s="84"/>
    </row>
    <row r="25455" spans="1:14" s="2" customFormat="1">
      <c r="A25455" s="83"/>
      <c r="H25455" s="83"/>
      <c r="K25455" s="82"/>
      <c r="M25455" s="112"/>
      <c r="N25455" s="84"/>
    </row>
    <row r="25456" spans="1:14" s="2" customFormat="1">
      <c r="A25456" s="83"/>
      <c r="H25456" s="83"/>
      <c r="K25456" s="82"/>
      <c r="M25456" s="112"/>
      <c r="N25456" s="84"/>
    </row>
    <row r="25457" spans="1:14" s="2" customFormat="1">
      <c r="A25457" s="83"/>
      <c r="H25457" s="83"/>
      <c r="K25457" s="82"/>
      <c r="M25457" s="112"/>
      <c r="N25457" s="84"/>
    </row>
    <row r="25458" spans="1:14" s="2" customFormat="1">
      <c r="A25458" s="83"/>
      <c r="H25458" s="83"/>
      <c r="K25458" s="82"/>
      <c r="M25458" s="112"/>
      <c r="N25458" s="84"/>
    </row>
    <row r="25459" spans="1:14" s="2" customFormat="1">
      <c r="A25459" s="83"/>
      <c r="H25459" s="83"/>
      <c r="K25459" s="82"/>
      <c r="M25459" s="112"/>
      <c r="N25459" s="84"/>
    </row>
    <row r="25460" spans="1:14" s="2" customFormat="1">
      <c r="A25460" s="83"/>
      <c r="H25460" s="83"/>
      <c r="K25460" s="82"/>
      <c r="M25460" s="112"/>
      <c r="N25460" s="84"/>
    </row>
    <row r="25461" spans="1:14" s="2" customFormat="1">
      <c r="A25461" s="83"/>
      <c r="H25461" s="83"/>
      <c r="K25461" s="82"/>
      <c r="M25461" s="112"/>
      <c r="N25461" s="84"/>
    </row>
    <row r="25462" spans="1:14" s="2" customFormat="1">
      <c r="A25462" s="83"/>
      <c r="H25462" s="83"/>
      <c r="K25462" s="82"/>
      <c r="M25462" s="112"/>
      <c r="N25462" s="84"/>
    </row>
    <row r="25463" spans="1:14" s="2" customFormat="1">
      <c r="A25463" s="83"/>
      <c r="H25463" s="83"/>
      <c r="K25463" s="82"/>
      <c r="M25463" s="112"/>
      <c r="N25463" s="84"/>
    </row>
    <row r="25464" spans="1:14" s="2" customFormat="1">
      <c r="A25464" s="83"/>
      <c r="H25464" s="83"/>
      <c r="K25464" s="82"/>
      <c r="M25464" s="112"/>
      <c r="N25464" s="84"/>
    </row>
    <row r="25465" spans="1:14" s="2" customFormat="1">
      <c r="A25465" s="83"/>
      <c r="H25465" s="83"/>
      <c r="K25465" s="82"/>
      <c r="M25465" s="112"/>
      <c r="N25465" s="84"/>
    </row>
    <row r="25466" spans="1:14" s="2" customFormat="1">
      <c r="A25466" s="83"/>
      <c r="H25466" s="83"/>
      <c r="K25466" s="82"/>
      <c r="M25466" s="112"/>
      <c r="N25466" s="84"/>
    </row>
    <row r="25467" spans="1:14" s="2" customFormat="1">
      <c r="A25467" s="83"/>
      <c r="H25467" s="83"/>
      <c r="K25467" s="82"/>
      <c r="M25467" s="112"/>
      <c r="N25467" s="84"/>
    </row>
    <row r="25468" spans="1:14" s="2" customFormat="1">
      <c r="A25468" s="83"/>
      <c r="H25468" s="83"/>
      <c r="K25468" s="82"/>
      <c r="M25468" s="112"/>
      <c r="N25468" s="84"/>
    </row>
    <row r="25469" spans="1:14" s="2" customFormat="1">
      <c r="A25469" s="83"/>
      <c r="H25469" s="83"/>
      <c r="K25469" s="82"/>
      <c r="M25469" s="112"/>
      <c r="N25469" s="84"/>
    </row>
    <row r="25470" spans="1:14" s="2" customFormat="1">
      <c r="A25470" s="83"/>
      <c r="H25470" s="83"/>
      <c r="K25470" s="82"/>
      <c r="M25470" s="112"/>
      <c r="N25470" s="84"/>
    </row>
    <row r="25471" spans="1:14" s="2" customFormat="1">
      <c r="A25471" s="83"/>
      <c r="H25471" s="83"/>
      <c r="K25471" s="82"/>
      <c r="M25471" s="112"/>
      <c r="N25471" s="84"/>
    </row>
    <row r="25472" spans="1:14" s="2" customFormat="1">
      <c r="A25472" s="83"/>
      <c r="H25472" s="83"/>
      <c r="K25472" s="82"/>
      <c r="M25472" s="112"/>
      <c r="N25472" s="84"/>
    </row>
    <row r="25473" spans="1:14" s="2" customFormat="1">
      <c r="A25473" s="83"/>
      <c r="H25473" s="83"/>
      <c r="K25473" s="82"/>
      <c r="M25473" s="112"/>
      <c r="N25473" s="84"/>
    </row>
    <row r="25474" spans="1:14" s="2" customFormat="1">
      <c r="A25474" s="83"/>
      <c r="H25474" s="83"/>
      <c r="K25474" s="82"/>
      <c r="M25474" s="112"/>
      <c r="N25474" s="84"/>
    </row>
    <row r="25475" spans="1:14" s="2" customFormat="1">
      <c r="A25475" s="83"/>
      <c r="H25475" s="83"/>
      <c r="K25475" s="82"/>
      <c r="M25475" s="112"/>
      <c r="N25475" s="84"/>
    </row>
    <row r="25476" spans="1:14" s="2" customFormat="1">
      <c r="A25476" s="83"/>
      <c r="H25476" s="83"/>
      <c r="K25476" s="82"/>
      <c r="M25476" s="112"/>
      <c r="N25476" s="84"/>
    </row>
    <row r="25477" spans="1:14" s="2" customFormat="1">
      <c r="A25477" s="83"/>
      <c r="H25477" s="83"/>
      <c r="K25477" s="82"/>
      <c r="M25477" s="112"/>
      <c r="N25477" s="84"/>
    </row>
    <row r="25478" spans="1:14" s="2" customFormat="1">
      <c r="A25478" s="83"/>
      <c r="H25478" s="83"/>
      <c r="K25478" s="82"/>
      <c r="M25478" s="112"/>
      <c r="N25478" s="84"/>
    </row>
    <row r="25479" spans="1:14" s="2" customFormat="1">
      <c r="A25479" s="83"/>
      <c r="H25479" s="83"/>
      <c r="K25479" s="82"/>
      <c r="M25479" s="112"/>
      <c r="N25479" s="84"/>
    </row>
    <row r="25480" spans="1:14" s="2" customFormat="1">
      <c r="A25480" s="83"/>
      <c r="H25480" s="83"/>
      <c r="K25480" s="82"/>
      <c r="M25480" s="112"/>
      <c r="N25480" s="84"/>
    </row>
    <row r="25481" spans="1:14" s="2" customFormat="1">
      <c r="A25481" s="83"/>
      <c r="H25481" s="83"/>
      <c r="K25481" s="82"/>
      <c r="M25481" s="112"/>
      <c r="N25481" s="84"/>
    </row>
    <row r="25482" spans="1:14" s="2" customFormat="1">
      <c r="A25482" s="83"/>
      <c r="H25482" s="83"/>
      <c r="K25482" s="82"/>
      <c r="M25482" s="112"/>
      <c r="N25482" s="84"/>
    </row>
    <row r="25483" spans="1:14" s="2" customFormat="1">
      <c r="A25483" s="83"/>
      <c r="H25483" s="83"/>
      <c r="K25483" s="82"/>
      <c r="M25483" s="112"/>
      <c r="N25483" s="84"/>
    </row>
    <row r="25484" spans="1:14" s="2" customFormat="1">
      <c r="A25484" s="83"/>
      <c r="H25484" s="83"/>
      <c r="K25484" s="82"/>
      <c r="M25484" s="112"/>
      <c r="N25484" s="84"/>
    </row>
    <row r="25485" spans="1:14" s="2" customFormat="1">
      <c r="A25485" s="83"/>
      <c r="H25485" s="83"/>
      <c r="K25485" s="82"/>
      <c r="M25485" s="112"/>
      <c r="N25485" s="84"/>
    </row>
    <row r="25486" spans="1:14" s="2" customFormat="1">
      <c r="A25486" s="83"/>
      <c r="H25486" s="83"/>
      <c r="K25486" s="82"/>
      <c r="M25486" s="112"/>
      <c r="N25486" s="84"/>
    </row>
    <row r="25487" spans="1:14" s="2" customFormat="1">
      <c r="A25487" s="83"/>
      <c r="H25487" s="83"/>
      <c r="K25487" s="82"/>
      <c r="M25487" s="112"/>
      <c r="N25487" s="84"/>
    </row>
    <row r="25488" spans="1:14" s="2" customFormat="1">
      <c r="A25488" s="83"/>
      <c r="H25488" s="83"/>
      <c r="K25488" s="82"/>
      <c r="M25488" s="112"/>
      <c r="N25488" s="84"/>
    </row>
    <row r="25489" spans="1:14" s="2" customFormat="1">
      <c r="A25489" s="83"/>
      <c r="H25489" s="83"/>
      <c r="K25489" s="82"/>
      <c r="M25489" s="112"/>
      <c r="N25489" s="84"/>
    </row>
    <row r="25490" spans="1:14" s="2" customFormat="1">
      <c r="A25490" s="83"/>
      <c r="H25490" s="83"/>
      <c r="K25490" s="82"/>
      <c r="M25490" s="112"/>
      <c r="N25490" s="84"/>
    </row>
    <row r="25491" spans="1:14" s="2" customFormat="1">
      <c r="A25491" s="83"/>
      <c r="H25491" s="83"/>
      <c r="K25491" s="82"/>
      <c r="M25491" s="112"/>
      <c r="N25491" s="84"/>
    </row>
    <row r="25492" spans="1:14" s="2" customFormat="1">
      <c r="A25492" s="83"/>
      <c r="H25492" s="83"/>
      <c r="K25492" s="82"/>
      <c r="M25492" s="112"/>
      <c r="N25492" s="84"/>
    </row>
    <row r="25493" spans="1:14" s="2" customFormat="1">
      <c r="A25493" s="83"/>
      <c r="H25493" s="83"/>
      <c r="K25493" s="82"/>
      <c r="M25493" s="112"/>
      <c r="N25493" s="84"/>
    </row>
    <row r="25494" spans="1:14" s="2" customFormat="1">
      <c r="A25494" s="83"/>
      <c r="H25494" s="83"/>
      <c r="K25494" s="82"/>
      <c r="M25494" s="112"/>
      <c r="N25494" s="84"/>
    </row>
    <row r="25495" spans="1:14" s="2" customFormat="1">
      <c r="A25495" s="83"/>
      <c r="H25495" s="83"/>
      <c r="K25495" s="82"/>
      <c r="M25495" s="112"/>
      <c r="N25495" s="84"/>
    </row>
    <row r="25496" spans="1:14" s="2" customFormat="1">
      <c r="A25496" s="83"/>
      <c r="H25496" s="83"/>
      <c r="K25496" s="82"/>
      <c r="M25496" s="112"/>
      <c r="N25496" s="84"/>
    </row>
    <row r="25497" spans="1:14" s="2" customFormat="1">
      <c r="A25497" s="83"/>
      <c r="H25497" s="83"/>
      <c r="K25497" s="82"/>
      <c r="M25497" s="112"/>
      <c r="N25497" s="84"/>
    </row>
    <row r="25498" spans="1:14" s="2" customFormat="1">
      <c r="A25498" s="83"/>
      <c r="H25498" s="83"/>
      <c r="K25498" s="82"/>
      <c r="M25498" s="112"/>
      <c r="N25498" s="84"/>
    </row>
    <row r="25499" spans="1:14" s="2" customFormat="1">
      <c r="A25499" s="83"/>
      <c r="H25499" s="83"/>
      <c r="K25499" s="82"/>
      <c r="M25499" s="112"/>
      <c r="N25499" s="84"/>
    </row>
    <row r="25500" spans="1:14" s="2" customFormat="1">
      <c r="A25500" s="83"/>
      <c r="H25500" s="83"/>
      <c r="K25500" s="82"/>
      <c r="M25500" s="112"/>
      <c r="N25500" s="84"/>
    </row>
    <row r="25501" spans="1:14" s="2" customFormat="1">
      <c r="A25501" s="83"/>
      <c r="H25501" s="83"/>
      <c r="K25501" s="82"/>
      <c r="M25501" s="112"/>
      <c r="N25501" s="84"/>
    </row>
    <row r="25502" spans="1:14" s="2" customFormat="1">
      <c r="A25502" s="83"/>
      <c r="H25502" s="83"/>
      <c r="K25502" s="82"/>
      <c r="M25502" s="112"/>
      <c r="N25502" s="84"/>
    </row>
    <row r="25503" spans="1:14" s="2" customFormat="1">
      <c r="A25503" s="83"/>
      <c r="H25503" s="83"/>
      <c r="K25503" s="82"/>
      <c r="M25503" s="112"/>
      <c r="N25503" s="84"/>
    </row>
    <row r="25504" spans="1:14" s="2" customFormat="1">
      <c r="A25504" s="83"/>
      <c r="H25504" s="83"/>
      <c r="K25504" s="82"/>
      <c r="M25504" s="112"/>
      <c r="N25504" s="84"/>
    </row>
    <row r="25505" spans="1:14" s="2" customFormat="1">
      <c r="A25505" s="83"/>
      <c r="H25505" s="83"/>
      <c r="K25505" s="82"/>
      <c r="M25505" s="112"/>
      <c r="N25505" s="84"/>
    </row>
    <row r="25506" spans="1:14" s="2" customFormat="1">
      <c r="A25506" s="83"/>
      <c r="H25506" s="83"/>
      <c r="K25506" s="82"/>
      <c r="M25506" s="112"/>
      <c r="N25506" s="84"/>
    </row>
    <row r="25507" spans="1:14" s="2" customFormat="1">
      <c r="A25507" s="83"/>
      <c r="H25507" s="83"/>
      <c r="K25507" s="82"/>
      <c r="M25507" s="112"/>
      <c r="N25507" s="84"/>
    </row>
    <row r="25508" spans="1:14" s="2" customFormat="1">
      <c r="A25508" s="83"/>
      <c r="H25508" s="83"/>
      <c r="K25508" s="82"/>
      <c r="M25508" s="112"/>
      <c r="N25508" s="84"/>
    </row>
    <row r="25509" spans="1:14" s="2" customFormat="1">
      <c r="A25509" s="83"/>
      <c r="H25509" s="83"/>
      <c r="K25509" s="82"/>
      <c r="M25509" s="112"/>
      <c r="N25509" s="84"/>
    </row>
    <row r="25510" spans="1:14" s="2" customFormat="1">
      <c r="A25510" s="83"/>
      <c r="H25510" s="83"/>
      <c r="K25510" s="82"/>
      <c r="M25510" s="112"/>
      <c r="N25510" s="84"/>
    </row>
    <row r="25511" spans="1:14" s="2" customFormat="1">
      <c r="A25511" s="83"/>
      <c r="H25511" s="83"/>
      <c r="K25511" s="82"/>
      <c r="M25511" s="112"/>
      <c r="N25511" s="84"/>
    </row>
    <row r="25512" spans="1:14" s="2" customFormat="1">
      <c r="A25512" s="83"/>
      <c r="H25512" s="83"/>
      <c r="K25512" s="82"/>
      <c r="M25512" s="112"/>
      <c r="N25512" s="84"/>
    </row>
    <row r="25513" spans="1:14" s="2" customFormat="1">
      <c r="A25513" s="83"/>
      <c r="H25513" s="83"/>
      <c r="K25513" s="82"/>
      <c r="M25513" s="112"/>
      <c r="N25513" s="84"/>
    </row>
    <row r="25514" spans="1:14" s="2" customFormat="1">
      <c r="A25514" s="83"/>
      <c r="H25514" s="83"/>
      <c r="K25514" s="82"/>
      <c r="M25514" s="112"/>
      <c r="N25514" s="84"/>
    </row>
    <row r="25515" spans="1:14" s="2" customFormat="1">
      <c r="A25515" s="83"/>
      <c r="H25515" s="83"/>
      <c r="K25515" s="82"/>
      <c r="M25515" s="112"/>
      <c r="N25515" s="84"/>
    </row>
    <row r="25516" spans="1:14" s="2" customFormat="1">
      <c r="A25516" s="83"/>
      <c r="H25516" s="83"/>
      <c r="K25516" s="82"/>
      <c r="M25516" s="112"/>
      <c r="N25516" s="84"/>
    </row>
    <row r="25517" spans="1:14" s="2" customFormat="1">
      <c r="A25517" s="83"/>
      <c r="H25517" s="83"/>
      <c r="K25517" s="82"/>
      <c r="M25517" s="112"/>
      <c r="N25517" s="84"/>
    </row>
    <row r="25518" spans="1:14" s="2" customFormat="1">
      <c r="A25518" s="83"/>
      <c r="H25518" s="83"/>
      <c r="K25518" s="82"/>
      <c r="M25518" s="112"/>
      <c r="N25518" s="84"/>
    </row>
    <row r="25519" spans="1:14" s="2" customFormat="1">
      <c r="A25519" s="83"/>
      <c r="H25519" s="83"/>
      <c r="K25519" s="82"/>
      <c r="M25519" s="112"/>
      <c r="N25519" s="84"/>
    </row>
    <row r="25520" spans="1:14" s="2" customFormat="1">
      <c r="A25520" s="83"/>
      <c r="H25520" s="83"/>
      <c r="K25520" s="82"/>
      <c r="M25520" s="112"/>
      <c r="N25520" s="84"/>
    </row>
    <row r="25521" spans="1:14" s="2" customFormat="1">
      <c r="A25521" s="83"/>
      <c r="H25521" s="83"/>
      <c r="K25521" s="82"/>
      <c r="M25521" s="112"/>
      <c r="N25521" s="84"/>
    </row>
    <row r="25522" spans="1:14" s="2" customFormat="1">
      <c r="A25522" s="83"/>
      <c r="H25522" s="83"/>
      <c r="K25522" s="82"/>
      <c r="M25522" s="112"/>
      <c r="N25522" s="84"/>
    </row>
    <row r="25523" spans="1:14" s="2" customFormat="1">
      <c r="A25523" s="83"/>
      <c r="H25523" s="83"/>
      <c r="K25523" s="82"/>
      <c r="M25523" s="112"/>
      <c r="N25523" s="84"/>
    </row>
    <row r="25524" spans="1:14" s="2" customFormat="1">
      <c r="A25524" s="83"/>
      <c r="H25524" s="83"/>
      <c r="K25524" s="82"/>
      <c r="M25524" s="112"/>
      <c r="N25524" s="84"/>
    </row>
    <row r="25525" spans="1:14" s="2" customFormat="1">
      <c r="A25525" s="83"/>
      <c r="H25525" s="83"/>
      <c r="K25525" s="82"/>
      <c r="M25525" s="112"/>
      <c r="N25525" s="84"/>
    </row>
    <row r="25526" spans="1:14" s="2" customFormat="1">
      <c r="A25526" s="83"/>
      <c r="H25526" s="83"/>
      <c r="K25526" s="82"/>
      <c r="M25526" s="112"/>
      <c r="N25526" s="84"/>
    </row>
    <row r="25527" spans="1:14" s="2" customFormat="1">
      <c r="A25527" s="83"/>
      <c r="H25527" s="83"/>
      <c r="K25527" s="82"/>
      <c r="M25527" s="112"/>
      <c r="N25527" s="84"/>
    </row>
    <row r="25528" spans="1:14" s="2" customFormat="1">
      <c r="A25528" s="83"/>
      <c r="H25528" s="83"/>
      <c r="K25528" s="82"/>
      <c r="M25528" s="112"/>
      <c r="N25528" s="84"/>
    </row>
    <row r="25529" spans="1:14" s="2" customFormat="1">
      <c r="A25529" s="83"/>
      <c r="H25529" s="83"/>
      <c r="K25529" s="82"/>
      <c r="M25529" s="112"/>
      <c r="N25529" s="84"/>
    </row>
    <row r="25530" spans="1:14" s="2" customFormat="1">
      <c r="A25530" s="83"/>
      <c r="H25530" s="83"/>
      <c r="K25530" s="82"/>
      <c r="M25530" s="112"/>
      <c r="N25530" s="84"/>
    </row>
    <row r="25531" spans="1:14" s="2" customFormat="1">
      <c r="A25531" s="83"/>
      <c r="H25531" s="83"/>
      <c r="K25531" s="82"/>
      <c r="M25531" s="112"/>
      <c r="N25531" s="84"/>
    </row>
    <row r="25532" spans="1:14" s="2" customFormat="1">
      <c r="A25532" s="83"/>
      <c r="H25532" s="83"/>
      <c r="K25532" s="82"/>
      <c r="M25532" s="112"/>
      <c r="N25532" s="84"/>
    </row>
    <row r="25533" spans="1:14" s="2" customFormat="1">
      <c r="A25533" s="83"/>
      <c r="H25533" s="83"/>
      <c r="K25533" s="82"/>
      <c r="M25533" s="112"/>
      <c r="N25533" s="84"/>
    </row>
    <row r="25534" spans="1:14" s="2" customFormat="1">
      <c r="A25534" s="83"/>
      <c r="H25534" s="83"/>
      <c r="K25534" s="82"/>
      <c r="M25534" s="112"/>
      <c r="N25534" s="84"/>
    </row>
    <row r="25535" spans="1:14" s="2" customFormat="1">
      <c r="A25535" s="83"/>
      <c r="H25535" s="83"/>
      <c r="K25535" s="82"/>
      <c r="M25535" s="112"/>
      <c r="N25535" s="84"/>
    </row>
    <row r="25536" spans="1:14" s="2" customFormat="1">
      <c r="A25536" s="83"/>
      <c r="H25536" s="83"/>
      <c r="K25536" s="82"/>
      <c r="M25536" s="112"/>
      <c r="N25536" s="84"/>
    </row>
    <row r="25537" spans="1:14" s="2" customFormat="1">
      <c r="A25537" s="83"/>
      <c r="H25537" s="83"/>
      <c r="K25537" s="82"/>
      <c r="M25537" s="112"/>
      <c r="N25537" s="84"/>
    </row>
    <row r="25538" spans="1:14" s="2" customFormat="1">
      <c r="A25538" s="83"/>
      <c r="H25538" s="83"/>
      <c r="K25538" s="82"/>
      <c r="M25538" s="112"/>
      <c r="N25538" s="84"/>
    </row>
    <row r="25539" spans="1:14" s="2" customFormat="1">
      <c r="A25539" s="83"/>
      <c r="H25539" s="83"/>
      <c r="K25539" s="82"/>
      <c r="M25539" s="112"/>
      <c r="N25539" s="84"/>
    </row>
    <row r="25540" spans="1:14" s="2" customFormat="1">
      <c r="A25540" s="83"/>
      <c r="H25540" s="83"/>
      <c r="K25540" s="82"/>
      <c r="M25540" s="112"/>
      <c r="N25540" s="84"/>
    </row>
    <row r="25541" spans="1:14" s="2" customFormat="1">
      <c r="A25541" s="83"/>
      <c r="H25541" s="83"/>
      <c r="K25541" s="82"/>
      <c r="M25541" s="112"/>
      <c r="N25541" s="84"/>
    </row>
    <row r="25542" spans="1:14" s="2" customFormat="1">
      <c r="A25542" s="83"/>
      <c r="H25542" s="83"/>
      <c r="K25542" s="82"/>
      <c r="M25542" s="112"/>
      <c r="N25542" s="84"/>
    </row>
    <row r="25543" spans="1:14" s="2" customFormat="1">
      <c r="A25543" s="83"/>
      <c r="H25543" s="83"/>
      <c r="K25543" s="82"/>
      <c r="M25543" s="112"/>
      <c r="N25543" s="84"/>
    </row>
    <row r="25544" spans="1:14" s="2" customFormat="1">
      <c r="A25544" s="83"/>
      <c r="H25544" s="83"/>
      <c r="K25544" s="82"/>
      <c r="M25544" s="112"/>
      <c r="N25544" s="84"/>
    </row>
    <row r="25545" spans="1:14" s="2" customFormat="1">
      <c r="A25545" s="83"/>
      <c r="H25545" s="83"/>
      <c r="K25545" s="82"/>
      <c r="M25545" s="112"/>
      <c r="N25545" s="84"/>
    </row>
    <row r="25546" spans="1:14" s="2" customFormat="1">
      <c r="A25546" s="83"/>
      <c r="H25546" s="83"/>
      <c r="K25546" s="82"/>
      <c r="M25546" s="112"/>
      <c r="N25546" s="84"/>
    </row>
    <row r="25547" spans="1:14" s="2" customFormat="1">
      <c r="A25547" s="83"/>
      <c r="H25547" s="83"/>
      <c r="K25547" s="82"/>
      <c r="M25547" s="112"/>
      <c r="N25547" s="84"/>
    </row>
    <row r="25548" spans="1:14" s="2" customFormat="1">
      <c r="A25548" s="83"/>
      <c r="H25548" s="83"/>
      <c r="K25548" s="82"/>
      <c r="M25548" s="112"/>
      <c r="N25548" s="84"/>
    </row>
    <row r="25549" spans="1:14" s="2" customFormat="1">
      <c r="A25549" s="83"/>
      <c r="H25549" s="83"/>
      <c r="K25549" s="82"/>
      <c r="M25549" s="112"/>
      <c r="N25549" s="84"/>
    </row>
    <row r="25550" spans="1:14" s="2" customFormat="1">
      <c r="A25550" s="83"/>
      <c r="H25550" s="83"/>
      <c r="K25550" s="82"/>
      <c r="M25550" s="112"/>
      <c r="N25550" s="84"/>
    </row>
    <row r="25551" spans="1:14" s="2" customFormat="1">
      <c r="A25551" s="83"/>
      <c r="H25551" s="83"/>
      <c r="K25551" s="82"/>
      <c r="M25551" s="112"/>
      <c r="N25551" s="84"/>
    </row>
    <row r="25552" spans="1:14" s="2" customFormat="1">
      <c r="A25552" s="83"/>
      <c r="H25552" s="83"/>
      <c r="K25552" s="82"/>
      <c r="M25552" s="112"/>
      <c r="N25552" s="84"/>
    </row>
    <row r="25553" spans="1:14" s="2" customFormat="1">
      <c r="A25553" s="83"/>
      <c r="H25553" s="83"/>
      <c r="K25553" s="82"/>
      <c r="M25553" s="112"/>
      <c r="N25553" s="84"/>
    </row>
    <row r="25554" spans="1:14" s="2" customFormat="1">
      <c r="A25554" s="83"/>
      <c r="H25554" s="83"/>
      <c r="K25554" s="82"/>
      <c r="M25554" s="112"/>
      <c r="N25554" s="84"/>
    </row>
    <row r="25555" spans="1:14" s="2" customFormat="1">
      <c r="A25555" s="83"/>
      <c r="H25555" s="83"/>
      <c r="K25555" s="82"/>
      <c r="M25555" s="112"/>
      <c r="N25555" s="84"/>
    </row>
    <row r="25556" spans="1:14" s="2" customFormat="1">
      <c r="A25556" s="83"/>
      <c r="H25556" s="83"/>
      <c r="K25556" s="82"/>
      <c r="M25556" s="112"/>
      <c r="N25556" s="84"/>
    </row>
    <row r="25557" spans="1:14" s="2" customFormat="1">
      <c r="A25557" s="83"/>
      <c r="H25557" s="83"/>
      <c r="K25557" s="82"/>
      <c r="M25557" s="112"/>
      <c r="N25557" s="84"/>
    </row>
    <row r="25558" spans="1:14" s="2" customFormat="1">
      <c r="A25558" s="83"/>
      <c r="H25558" s="83"/>
      <c r="K25558" s="82"/>
      <c r="M25558" s="112"/>
      <c r="N25558" s="84"/>
    </row>
    <row r="25559" spans="1:14" s="2" customFormat="1">
      <c r="A25559" s="83"/>
      <c r="H25559" s="83"/>
      <c r="K25559" s="82"/>
      <c r="M25559" s="112"/>
      <c r="N25559" s="84"/>
    </row>
    <row r="25560" spans="1:14" s="2" customFormat="1">
      <c r="A25560" s="83"/>
      <c r="H25560" s="83"/>
      <c r="K25560" s="82"/>
      <c r="M25560" s="112"/>
      <c r="N25560" s="84"/>
    </row>
    <row r="25561" spans="1:14" s="2" customFormat="1">
      <c r="A25561" s="83"/>
      <c r="H25561" s="83"/>
      <c r="K25561" s="82"/>
      <c r="M25561" s="112"/>
      <c r="N25561" s="84"/>
    </row>
    <row r="25562" spans="1:14" s="2" customFormat="1">
      <c r="A25562" s="83"/>
      <c r="H25562" s="83"/>
      <c r="K25562" s="82"/>
      <c r="M25562" s="112"/>
      <c r="N25562" s="84"/>
    </row>
    <row r="25563" spans="1:14" s="2" customFormat="1">
      <c r="A25563" s="83"/>
      <c r="H25563" s="83"/>
      <c r="K25563" s="82"/>
      <c r="M25563" s="112"/>
      <c r="N25563" s="84"/>
    </row>
    <row r="25564" spans="1:14" s="2" customFormat="1">
      <c r="A25564" s="83"/>
      <c r="H25564" s="83"/>
      <c r="K25564" s="82"/>
      <c r="M25564" s="112"/>
      <c r="N25564" s="84"/>
    </row>
    <row r="25565" spans="1:14" s="2" customFormat="1">
      <c r="A25565" s="83"/>
      <c r="H25565" s="83"/>
      <c r="K25565" s="82"/>
      <c r="M25565" s="112"/>
      <c r="N25565" s="84"/>
    </row>
    <row r="25566" spans="1:14" s="2" customFormat="1">
      <c r="A25566" s="83"/>
      <c r="H25566" s="83"/>
      <c r="K25566" s="82"/>
      <c r="M25566" s="112"/>
      <c r="N25566" s="84"/>
    </row>
    <row r="25567" spans="1:14" s="2" customFormat="1">
      <c r="A25567" s="83"/>
      <c r="H25567" s="83"/>
      <c r="K25567" s="82"/>
      <c r="M25567" s="112"/>
      <c r="N25567" s="84"/>
    </row>
    <row r="25568" spans="1:14" s="2" customFormat="1">
      <c r="A25568" s="83"/>
      <c r="H25568" s="83"/>
      <c r="K25568" s="82"/>
      <c r="M25568" s="112"/>
      <c r="N25568" s="84"/>
    </row>
    <row r="25569" spans="1:14" s="2" customFormat="1">
      <c r="A25569" s="83"/>
      <c r="H25569" s="83"/>
      <c r="K25569" s="82"/>
      <c r="M25569" s="112"/>
      <c r="N25569" s="84"/>
    </row>
    <row r="25570" spans="1:14" s="2" customFormat="1">
      <c r="A25570" s="83"/>
      <c r="H25570" s="83"/>
      <c r="K25570" s="82"/>
      <c r="M25570" s="112"/>
      <c r="N25570" s="84"/>
    </row>
    <row r="25571" spans="1:14" s="2" customFormat="1">
      <c r="A25571" s="83"/>
      <c r="H25571" s="83"/>
      <c r="K25571" s="82"/>
      <c r="M25571" s="112"/>
      <c r="N25571" s="84"/>
    </row>
    <row r="25572" spans="1:14" s="2" customFormat="1">
      <c r="A25572" s="83"/>
      <c r="H25572" s="83"/>
      <c r="K25572" s="82"/>
      <c r="M25572" s="112"/>
      <c r="N25572" s="84"/>
    </row>
    <row r="25573" spans="1:14" s="2" customFormat="1">
      <c r="A25573" s="83"/>
      <c r="H25573" s="83"/>
      <c r="K25573" s="82"/>
      <c r="M25573" s="112"/>
      <c r="N25573" s="84"/>
    </row>
    <row r="25574" spans="1:14" s="2" customFormat="1">
      <c r="A25574" s="83"/>
      <c r="H25574" s="83"/>
      <c r="K25574" s="82"/>
      <c r="M25574" s="112"/>
      <c r="N25574" s="84"/>
    </row>
    <row r="25575" spans="1:14" s="2" customFormat="1">
      <c r="A25575" s="83"/>
      <c r="H25575" s="83"/>
      <c r="K25575" s="82"/>
      <c r="M25575" s="112"/>
      <c r="N25575" s="84"/>
    </row>
    <row r="25576" spans="1:14" s="2" customFormat="1">
      <c r="A25576" s="83"/>
      <c r="H25576" s="83"/>
      <c r="K25576" s="82"/>
      <c r="M25576" s="112"/>
      <c r="N25576" s="84"/>
    </row>
    <row r="25577" spans="1:14" s="2" customFormat="1">
      <c r="A25577" s="83"/>
      <c r="H25577" s="83"/>
      <c r="K25577" s="82"/>
      <c r="M25577" s="112"/>
      <c r="N25577" s="84"/>
    </row>
    <row r="25578" spans="1:14" s="2" customFormat="1">
      <c r="A25578" s="83"/>
      <c r="H25578" s="83"/>
      <c r="K25578" s="82"/>
      <c r="M25578" s="112"/>
      <c r="N25578" s="84"/>
    </row>
    <row r="25579" spans="1:14" s="2" customFormat="1">
      <c r="A25579" s="83"/>
      <c r="H25579" s="83"/>
      <c r="K25579" s="82"/>
      <c r="M25579" s="112"/>
      <c r="N25579" s="84"/>
    </row>
    <row r="25580" spans="1:14" s="2" customFormat="1">
      <c r="A25580" s="83"/>
      <c r="H25580" s="83"/>
      <c r="K25580" s="82"/>
      <c r="M25580" s="112"/>
      <c r="N25580" s="84"/>
    </row>
    <row r="25581" spans="1:14" s="2" customFormat="1">
      <c r="A25581" s="83"/>
      <c r="H25581" s="83"/>
      <c r="K25581" s="82"/>
      <c r="M25581" s="112"/>
      <c r="N25581" s="84"/>
    </row>
    <row r="25582" spans="1:14" s="2" customFormat="1">
      <c r="A25582" s="83"/>
      <c r="H25582" s="83"/>
      <c r="K25582" s="82"/>
      <c r="M25582" s="112"/>
      <c r="N25582" s="84"/>
    </row>
    <row r="25583" spans="1:14" s="2" customFormat="1">
      <c r="A25583" s="83"/>
      <c r="H25583" s="83"/>
      <c r="K25583" s="82"/>
      <c r="M25583" s="112"/>
      <c r="N25583" s="84"/>
    </row>
    <row r="25584" spans="1:14" s="2" customFormat="1">
      <c r="A25584" s="83"/>
      <c r="H25584" s="83"/>
      <c r="K25584" s="82"/>
      <c r="M25584" s="112"/>
      <c r="N25584" s="84"/>
    </row>
    <row r="25585" spans="1:14" s="2" customFormat="1">
      <c r="A25585" s="83"/>
      <c r="H25585" s="83"/>
      <c r="K25585" s="82"/>
      <c r="M25585" s="112"/>
      <c r="N25585" s="84"/>
    </row>
    <row r="25586" spans="1:14" s="2" customFormat="1">
      <c r="A25586" s="83"/>
      <c r="H25586" s="83"/>
      <c r="K25586" s="82"/>
      <c r="M25586" s="112"/>
      <c r="N25586" s="84"/>
    </row>
    <row r="25587" spans="1:14" s="2" customFormat="1">
      <c r="A25587" s="83"/>
      <c r="H25587" s="83"/>
      <c r="K25587" s="82"/>
      <c r="M25587" s="112"/>
      <c r="N25587" s="84"/>
    </row>
    <row r="25588" spans="1:14" s="2" customFormat="1">
      <c r="A25588" s="83"/>
      <c r="H25588" s="83"/>
      <c r="K25588" s="82"/>
      <c r="M25588" s="112"/>
      <c r="N25588" s="84"/>
    </row>
    <row r="25589" spans="1:14" s="2" customFormat="1">
      <c r="A25589" s="83"/>
      <c r="H25589" s="83"/>
      <c r="K25589" s="82"/>
      <c r="M25589" s="112"/>
      <c r="N25589" s="84"/>
    </row>
    <row r="25590" spans="1:14" s="2" customFormat="1">
      <c r="A25590" s="83"/>
      <c r="H25590" s="83"/>
      <c r="K25590" s="82"/>
      <c r="M25590" s="112"/>
      <c r="N25590" s="84"/>
    </row>
    <row r="25591" spans="1:14" s="2" customFormat="1">
      <c r="A25591" s="83"/>
      <c r="H25591" s="83"/>
      <c r="K25591" s="82"/>
      <c r="M25591" s="112"/>
      <c r="N25591" s="84"/>
    </row>
    <row r="25592" spans="1:14" s="2" customFormat="1">
      <c r="A25592" s="83"/>
      <c r="H25592" s="83"/>
      <c r="K25592" s="82"/>
      <c r="M25592" s="112"/>
      <c r="N25592" s="84"/>
    </row>
    <row r="25593" spans="1:14" s="2" customFormat="1">
      <c r="A25593" s="83"/>
      <c r="H25593" s="83"/>
      <c r="K25593" s="82"/>
      <c r="M25593" s="112"/>
      <c r="N25593" s="84"/>
    </row>
    <row r="25594" spans="1:14" s="2" customFormat="1">
      <c r="A25594" s="83"/>
      <c r="H25594" s="83"/>
      <c r="K25594" s="82"/>
      <c r="M25594" s="112"/>
      <c r="N25594" s="84"/>
    </row>
    <row r="25595" spans="1:14" s="2" customFormat="1">
      <c r="A25595" s="83"/>
      <c r="H25595" s="83"/>
      <c r="K25595" s="82"/>
      <c r="M25595" s="112"/>
      <c r="N25595" s="84"/>
    </row>
    <row r="25596" spans="1:14" s="2" customFormat="1">
      <c r="A25596" s="83"/>
      <c r="H25596" s="83"/>
      <c r="K25596" s="82"/>
      <c r="M25596" s="112"/>
      <c r="N25596" s="84"/>
    </row>
    <row r="25597" spans="1:14" s="2" customFormat="1">
      <c r="A25597" s="83"/>
      <c r="H25597" s="83"/>
      <c r="K25597" s="82"/>
      <c r="M25597" s="112"/>
      <c r="N25597" s="84"/>
    </row>
    <row r="25598" spans="1:14" s="2" customFormat="1">
      <c r="A25598" s="83"/>
      <c r="H25598" s="83"/>
      <c r="K25598" s="82"/>
      <c r="M25598" s="112"/>
      <c r="N25598" s="84"/>
    </row>
    <row r="25599" spans="1:14" s="2" customFormat="1">
      <c r="A25599" s="83"/>
      <c r="H25599" s="83"/>
      <c r="K25599" s="82"/>
      <c r="M25599" s="112"/>
      <c r="N25599" s="84"/>
    </row>
    <row r="25600" spans="1:14" s="2" customFormat="1">
      <c r="A25600" s="83"/>
      <c r="H25600" s="83"/>
      <c r="K25600" s="82"/>
      <c r="M25600" s="112"/>
      <c r="N25600" s="84"/>
    </row>
    <row r="25601" spans="1:14" s="2" customFormat="1">
      <c r="A25601" s="83"/>
      <c r="H25601" s="83"/>
      <c r="K25601" s="82"/>
      <c r="M25601" s="112"/>
      <c r="N25601" s="84"/>
    </row>
    <row r="25602" spans="1:14" s="2" customFormat="1">
      <c r="A25602" s="83"/>
      <c r="H25602" s="83"/>
      <c r="K25602" s="82"/>
      <c r="M25602" s="112"/>
      <c r="N25602" s="84"/>
    </row>
    <row r="25603" spans="1:14" s="2" customFormat="1">
      <c r="A25603" s="83"/>
      <c r="H25603" s="83"/>
      <c r="K25603" s="82"/>
      <c r="M25603" s="112"/>
      <c r="N25603" s="84"/>
    </row>
    <row r="25604" spans="1:14" s="2" customFormat="1">
      <c r="A25604" s="83"/>
      <c r="H25604" s="83"/>
      <c r="K25604" s="82"/>
      <c r="M25604" s="112"/>
      <c r="N25604" s="84"/>
    </row>
    <row r="25605" spans="1:14" s="2" customFormat="1">
      <c r="A25605" s="83"/>
      <c r="H25605" s="83"/>
      <c r="K25605" s="82"/>
      <c r="M25605" s="112"/>
      <c r="N25605" s="84"/>
    </row>
    <row r="25606" spans="1:14" s="2" customFormat="1">
      <c r="A25606" s="83"/>
      <c r="H25606" s="83"/>
      <c r="K25606" s="82"/>
      <c r="M25606" s="112"/>
      <c r="N25606" s="84"/>
    </row>
    <row r="25607" spans="1:14" s="2" customFormat="1">
      <c r="A25607" s="83"/>
      <c r="H25607" s="83"/>
      <c r="K25607" s="82"/>
      <c r="M25607" s="112"/>
      <c r="N25607" s="84"/>
    </row>
    <row r="25608" spans="1:14" s="2" customFormat="1">
      <c r="A25608" s="83"/>
      <c r="H25608" s="83"/>
      <c r="K25608" s="82"/>
      <c r="M25608" s="112"/>
      <c r="N25608" s="84"/>
    </row>
    <row r="25609" spans="1:14" s="2" customFormat="1">
      <c r="A25609" s="83"/>
      <c r="H25609" s="83"/>
      <c r="K25609" s="82"/>
      <c r="M25609" s="112"/>
      <c r="N25609" s="84"/>
    </row>
    <row r="25610" spans="1:14" s="2" customFormat="1">
      <c r="A25610" s="83"/>
      <c r="H25610" s="83"/>
      <c r="K25610" s="82"/>
      <c r="M25610" s="112"/>
      <c r="N25610" s="84"/>
    </row>
    <row r="25611" spans="1:14" s="2" customFormat="1">
      <c r="A25611" s="83"/>
      <c r="H25611" s="83"/>
      <c r="K25611" s="82"/>
      <c r="M25611" s="112"/>
      <c r="N25611" s="84"/>
    </row>
    <row r="25612" spans="1:14" s="2" customFormat="1">
      <c r="A25612" s="83"/>
      <c r="H25612" s="83"/>
      <c r="K25612" s="82"/>
      <c r="M25612" s="112"/>
      <c r="N25612" s="84"/>
    </row>
    <row r="25613" spans="1:14" s="2" customFormat="1">
      <c r="A25613" s="83"/>
      <c r="H25613" s="83"/>
      <c r="K25613" s="82"/>
      <c r="M25613" s="112"/>
      <c r="N25613" s="84"/>
    </row>
    <row r="25614" spans="1:14" s="2" customFormat="1">
      <c r="A25614" s="83"/>
      <c r="H25614" s="83"/>
      <c r="K25614" s="82"/>
      <c r="M25614" s="112"/>
      <c r="N25614" s="84"/>
    </row>
    <row r="25615" spans="1:14" s="2" customFormat="1">
      <c r="A25615" s="83"/>
      <c r="H25615" s="83"/>
      <c r="K25615" s="82"/>
      <c r="M25615" s="112"/>
      <c r="N25615" s="84"/>
    </row>
    <row r="25616" spans="1:14" s="2" customFormat="1">
      <c r="A25616" s="83"/>
      <c r="H25616" s="83"/>
      <c r="K25616" s="82"/>
      <c r="M25616" s="112"/>
      <c r="N25616" s="84"/>
    </row>
    <row r="25617" spans="1:14" s="2" customFormat="1">
      <c r="A25617" s="83"/>
      <c r="H25617" s="83"/>
      <c r="K25617" s="82"/>
      <c r="M25617" s="112"/>
      <c r="N25617" s="84"/>
    </row>
    <row r="25618" spans="1:14" s="2" customFormat="1">
      <c r="A25618" s="83"/>
      <c r="H25618" s="83"/>
      <c r="K25618" s="82"/>
      <c r="M25618" s="112"/>
      <c r="N25618" s="84"/>
    </row>
    <row r="25619" spans="1:14" s="2" customFormat="1">
      <c r="A25619" s="83"/>
      <c r="H25619" s="83"/>
      <c r="K25619" s="82"/>
      <c r="M25619" s="112"/>
      <c r="N25619" s="84"/>
    </row>
    <row r="25620" spans="1:14" s="2" customFormat="1">
      <c r="A25620" s="83"/>
      <c r="H25620" s="83"/>
      <c r="K25620" s="82"/>
      <c r="M25620" s="112"/>
      <c r="N25620" s="84"/>
    </row>
    <row r="25621" spans="1:14" s="2" customFormat="1">
      <c r="A25621" s="83"/>
      <c r="H25621" s="83"/>
      <c r="K25621" s="82"/>
      <c r="M25621" s="112"/>
      <c r="N25621" s="84"/>
    </row>
    <row r="25622" spans="1:14" s="2" customFormat="1">
      <c r="A25622" s="83"/>
      <c r="H25622" s="83"/>
      <c r="K25622" s="82"/>
      <c r="M25622" s="112"/>
      <c r="N25622" s="84"/>
    </row>
    <row r="25623" spans="1:14" s="2" customFormat="1">
      <c r="A25623" s="83"/>
      <c r="H25623" s="83"/>
      <c r="K25623" s="82"/>
      <c r="M25623" s="112"/>
      <c r="N25623" s="84"/>
    </row>
    <row r="25624" spans="1:14" s="2" customFormat="1">
      <c r="A25624" s="83"/>
      <c r="H25624" s="83"/>
      <c r="K25624" s="82"/>
      <c r="M25624" s="112"/>
      <c r="N25624" s="84"/>
    </row>
    <row r="25625" spans="1:14" s="2" customFormat="1">
      <c r="A25625" s="83"/>
      <c r="H25625" s="83"/>
      <c r="K25625" s="82"/>
      <c r="M25625" s="112"/>
      <c r="N25625" s="84"/>
    </row>
    <row r="25626" spans="1:14" s="2" customFormat="1">
      <c r="A25626" s="83"/>
      <c r="H25626" s="83"/>
      <c r="K25626" s="82"/>
      <c r="M25626" s="112"/>
      <c r="N25626" s="84"/>
    </row>
    <row r="25627" spans="1:14" s="2" customFormat="1">
      <c r="A25627" s="83"/>
      <c r="H25627" s="83"/>
      <c r="K25627" s="82"/>
      <c r="M25627" s="112"/>
      <c r="N25627" s="84"/>
    </row>
    <row r="25628" spans="1:14" s="2" customFormat="1">
      <c r="A25628" s="83"/>
      <c r="H25628" s="83"/>
      <c r="K25628" s="82"/>
      <c r="M25628" s="112"/>
      <c r="N25628" s="84"/>
    </row>
    <row r="25629" spans="1:14" s="2" customFormat="1">
      <c r="A25629" s="83"/>
      <c r="H25629" s="83"/>
      <c r="K25629" s="82"/>
      <c r="M25629" s="112"/>
      <c r="N25629" s="84"/>
    </row>
    <row r="25630" spans="1:14" s="2" customFormat="1">
      <c r="A25630" s="83"/>
      <c r="H25630" s="83"/>
      <c r="K25630" s="82"/>
      <c r="M25630" s="112"/>
      <c r="N25630" s="84"/>
    </row>
    <row r="25631" spans="1:14" s="2" customFormat="1">
      <c r="A25631" s="83"/>
      <c r="H25631" s="83"/>
      <c r="K25631" s="82"/>
      <c r="M25631" s="112"/>
      <c r="N25631" s="84"/>
    </row>
    <row r="25632" spans="1:14" s="2" customFormat="1">
      <c r="A25632" s="83"/>
      <c r="H25632" s="83"/>
      <c r="K25632" s="82"/>
      <c r="M25632" s="112"/>
      <c r="N25632" s="84"/>
    </row>
    <row r="25633" spans="1:14" s="2" customFormat="1">
      <c r="A25633" s="83"/>
      <c r="H25633" s="83"/>
      <c r="K25633" s="82"/>
      <c r="M25633" s="112"/>
      <c r="N25633" s="84"/>
    </row>
    <row r="25634" spans="1:14" s="2" customFormat="1">
      <c r="A25634" s="83"/>
      <c r="H25634" s="83"/>
      <c r="K25634" s="82"/>
      <c r="M25634" s="112"/>
      <c r="N25634" s="84"/>
    </row>
    <row r="25635" spans="1:14" s="2" customFormat="1">
      <c r="A25635" s="83"/>
      <c r="H25635" s="83"/>
      <c r="K25635" s="82"/>
      <c r="M25635" s="112"/>
      <c r="N25635" s="84"/>
    </row>
    <row r="25636" spans="1:14" s="2" customFormat="1">
      <c r="A25636" s="83"/>
      <c r="H25636" s="83"/>
      <c r="K25636" s="82"/>
      <c r="M25636" s="112"/>
      <c r="N25636" s="84"/>
    </row>
    <row r="25637" spans="1:14" s="2" customFormat="1">
      <c r="A25637" s="83"/>
      <c r="H25637" s="83"/>
      <c r="K25637" s="82"/>
      <c r="M25637" s="112"/>
      <c r="N25637" s="84"/>
    </row>
    <row r="25638" spans="1:14" s="2" customFormat="1">
      <c r="A25638" s="83"/>
      <c r="H25638" s="83"/>
      <c r="K25638" s="82"/>
      <c r="M25638" s="112"/>
      <c r="N25638" s="84"/>
    </row>
    <row r="25639" spans="1:14" s="2" customFormat="1">
      <c r="A25639" s="83"/>
      <c r="H25639" s="83"/>
      <c r="K25639" s="82"/>
      <c r="M25639" s="112"/>
      <c r="N25639" s="84"/>
    </row>
    <row r="25640" spans="1:14" s="2" customFormat="1">
      <c r="A25640" s="83"/>
      <c r="H25640" s="83"/>
      <c r="K25640" s="82"/>
      <c r="M25640" s="112"/>
      <c r="N25640" s="84"/>
    </row>
    <row r="25641" spans="1:14" s="2" customFormat="1">
      <c r="A25641" s="83"/>
      <c r="H25641" s="83"/>
      <c r="K25641" s="82"/>
      <c r="M25641" s="112"/>
      <c r="N25641" s="84"/>
    </row>
    <row r="25642" spans="1:14" s="2" customFormat="1">
      <c r="A25642" s="83"/>
      <c r="H25642" s="83"/>
      <c r="K25642" s="82"/>
      <c r="M25642" s="112"/>
      <c r="N25642" s="84"/>
    </row>
    <row r="25643" spans="1:14" s="2" customFormat="1">
      <c r="A25643" s="83"/>
      <c r="H25643" s="83"/>
      <c r="K25643" s="82"/>
      <c r="M25643" s="112"/>
      <c r="N25643" s="84"/>
    </row>
    <row r="25644" spans="1:14" s="2" customFormat="1">
      <c r="A25644" s="83"/>
      <c r="H25644" s="83"/>
      <c r="K25644" s="82"/>
      <c r="M25644" s="112"/>
      <c r="N25644" s="84"/>
    </row>
    <row r="25645" spans="1:14" s="2" customFormat="1">
      <c r="A25645" s="83"/>
      <c r="H25645" s="83"/>
      <c r="K25645" s="82"/>
      <c r="M25645" s="112"/>
      <c r="N25645" s="84"/>
    </row>
    <row r="25646" spans="1:14" s="2" customFormat="1">
      <c r="A25646" s="83"/>
      <c r="H25646" s="83"/>
      <c r="K25646" s="82"/>
      <c r="M25646" s="112"/>
      <c r="N25646" s="84"/>
    </row>
    <row r="25647" spans="1:14" s="2" customFormat="1">
      <c r="A25647" s="83"/>
      <c r="H25647" s="83"/>
      <c r="K25647" s="82"/>
      <c r="M25647" s="112"/>
      <c r="N25647" s="84"/>
    </row>
    <row r="25648" spans="1:14" s="2" customFormat="1">
      <c r="A25648" s="83"/>
      <c r="H25648" s="83"/>
      <c r="K25648" s="82"/>
      <c r="M25648" s="112"/>
      <c r="N25648" s="84"/>
    </row>
    <row r="25649" spans="1:14" s="2" customFormat="1">
      <c r="A25649" s="83"/>
      <c r="H25649" s="83"/>
      <c r="K25649" s="82"/>
      <c r="M25649" s="112"/>
      <c r="N25649" s="84"/>
    </row>
    <row r="25650" spans="1:14" s="2" customFormat="1">
      <c r="A25650" s="83"/>
      <c r="H25650" s="83"/>
      <c r="K25650" s="82"/>
      <c r="M25650" s="112"/>
      <c r="N25650" s="84"/>
    </row>
    <row r="25651" spans="1:14" s="2" customFormat="1">
      <c r="A25651" s="83"/>
      <c r="H25651" s="83"/>
      <c r="K25651" s="82"/>
      <c r="M25651" s="112"/>
      <c r="N25651" s="84"/>
    </row>
    <row r="25652" spans="1:14" s="2" customFormat="1">
      <c r="A25652" s="83"/>
      <c r="H25652" s="83"/>
      <c r="K25652" s="82"/>
      <c r="M25652" s="112"/>
      <c r="N25652" s="84"/>
    </row>
    <row r="25653" spans="1:14" s="2" customFormat="1">
      <c r="A25653" s="83"/>
      <c r="H25653" s="83"/>
      <c r="K25653" s="82"/>
      <c r="M25653" s="112"/>
      <c r="N25653" s="84"/>
    </row>
    <row r="25654" spans="1:14" s="2" customFormat="1">
      <c r="A25654" s="83"/>
      <c r="H25654" s="83"/>
      <c r="K25654" s="82"/>
      <c r="M25654" s="112"/>
      <c r="N25654" s="84"/>
    </row>
    <row r="25655" spans="1:14" s="2" customFormat="1">
      <c r="A25655" s="83"/>
      <c r="H25655" s="83"/>
      <c r="K25655" s="82"/>
      <c r="M25655" s="112"/>
      <c r="N25655" s="84"/>
    </row>
    <row r="25656" spans="1:14" s="2" customFormat="1">
      <c r="A25656" s="83"/>
      <c r="H25656" s="83"/>
      <c r="K25656" s="82"/>
      <c r="M25656" s="112"/>
      <c r="N25656" s="84"/>
    </row>
    <row r="25657" spans="1:14" s="2" customFormat="1">
      <c r="A25657" s="83"/>
      <c r="H25657" s="83"/>
      <c r="K25657" s="82"/>
      <c r="M25657" s="112"/>
      <c r="N25657" s="84"/>
    </row>
    <row r="25658" spans="1:14" s="2" customFormat="1">
      <c r="A25658" s="83"/>
      <c r="H25658" s="83"/>
      <c r="K25658" s="82"/>
      <c r="M25658" s="112"/>
      <c r="N25658" s="84"/>
    </row>
    <row r="25659" spans="1:14" s="2" customFormat="1">
      <c r="A25659" s="83"/>
      <c r="H25659" s="83"/>
      <c r="K25659" s="82"/>
      <c r="M25659" s="112"/>
      <c r="N25659" s="84"/>
    </row>
    <row r="25660" spans="1:14" s="2" customFormat="1">
      <c r="A25660" s="83"/>
      <c r="H25660" s="83"/>
      <c r="K25660" s="82"/>
      <c r="M25660" s="112"/>
      <c r="N25660" s="84"/>
    </row>
    <row r="25661" spans="1:14" s="2" customFormat="1">
      <c r="A25661" s="83"/>
      <c r="H25661" s="83"/>
      <c r="K25661" s="82"/>
      <c r="M25661" s="112"/>
      <c r="N25661" s="84"/>
    </row>
    <row r="25662" spans="1:14" s="2" customFormat="1">
      <c r="A25662" s="83"/>
      <c r="H25662" s="83"/>
      <c r="K25662" s="82"/>
      <c r="M25662" s="112"/>
      <c r="N25662" s="84"/>
    </row>
    <row r="25663" spans="1:14" s="2" customFormat="1">
      <c r="A25663" s="83"/>
      <c r="H25663" s="83"/>
      <c r="K25663" s="82"/>
      <c r="M25663" s="112"/>
      <c r="N25663" s="84"/>
    </row>
    <row r="25664" spans="1:14" s="2" customFormat="1">
      <c r="A25664" s="83"/>
      <c r="H25664" s="83"/>
      <c r="K25664" s="82"/>
      <c r="M25664" s="112"/>
      <c r="N25664" s="84"/>
    </row>
    <row r="25665" spans="1:14" s="2" customFormat="1">
      <c r="A25665" s="83"/>
      <c r="H25665" s="83"/>
      <c r="K25665" s="82"/>
      <c r="M25665" s="112"/>
      <c r="N25665" s="84"/>
    </row>
    <row r="25666" spans="1:14" s="2" customFormat="1">
      <c r="A25666" s="83"/>
      <c r="H25666" s="83"/>
      <c r="K25666" s="82"/>
      <c r="M25666" s="112"/>
      <c r="N25666" s="84"/>
    </row>
    <row r="25667" spans="1:14" s="2" customFormat="1">
      <c r="A25667" s="83"/>
      <c r="H25667" s="83"/>
      <c r="K25667" s="82"/>
      <c r="M25667" s="112"/>
      <c r="N25667" s="84"/>
    </row>
    <row r="25668" spans="1:14" s="2" customFormat="1">
      <c r="A25668" s="83"/>
      <c r="H25668" s="83"/>
      <c r="K25668" s="82"/>
      <c r="M25668" s="112"/>
      <c r="N25668" s="84"/>
    </row>
    <row r="25669" spans="1:14" s="2" customFormat="1">
      <c r="A25669" s="83"/>
      <c r="H25669" s="83"/>
      <c r="K25669" s="82"/>
      <c r="M25669" s="112"/>
      <c r="N25669" s="84"/>
    </row>
    <row r="25670" spans="1:14" s="2" customFormat="1">
      <c r="A25670" s="83"/>
      <c r="H25670" s="83"/>
      <c r="K25670" s="82"/>
      <c r="M25670" s="112"/>
      <c r="N25670" s="84"/>
    </row>
    <row r="25671" spans="1:14" s="2" customFormat="1">
      <c r="A25671" s="83"/>
      <c r="H25671" s="83"/>
      <c r="K25671" s="82"/>
      <c r="M25671" s="112"/>
      <c r="N25671" s="84"/>
    </row>
    <row r="25672" spans="1:14" s="2" customFormat="1">
      <c r="A25672" s="83"/>
      <c r="H25672" s="83"/>
      <c r="K25672" s="82"/>
      <c r="M25672" s="112"/>
      <c r="N25672" s="84"/>
    </row>
    <row r="25673" spans="1:14" s="2" customFormat="1">
      <c r="A25673" s="83"/>
      <c r="H25673" s="83"/>
      <c r="K25673" s="82"/>
      <c r="M25673" s="112"/>
      <c r="N25673" s="84"/>
    </row>
    <row r="25674" spans="1:14" s="2" customFormat="1">
      <c r="A25674" s="83"/>
      <c r="H25674" s="83"/>
      <c r="K25674" s="82"/>
      <c r="M25674" s="112"/>
      <c r="N25674" s="84"/>
    </row>
    <row r="25675" spans="1:14" s="2" customFormat="1">
      <c r="A25675" s="83"/>
      <c r="H25675" s="83"/>
      <c r="K25675" s="82"/>
      <c r="M25675" s="112"/>
      <c r="N25675" s="84"/>
    </row>
    <row r="25676" spans="1:14" s="2" customFormat="1">
      <c r="A25676" s="83"/>
      <c r="H25676" s="83"/>
      <c r="K25676" s="82"/>
      <c r="M25676" s="112"/>
      <c r="N25676" s="84"/>
    </row>
    <row r="25677" spans="1:14" s="2" customFormat="1">
      <c r="A25677" s="83"/>
      <c r="H25677" s="83"/>
      <c r="K25677" s="82"/>
      <c r="M25677" s="112"/>
      <c r="N25677" s="84"/>
    </row>
    <row r="25678" spans="1:14" s="2" customFormat="1">
      <c r="A25678" s="83"/>
      <c r="H25678" s="83"/>
      <c r="K25678" s="82"/>
      <c r="M25678" s="112"/>
      <c r="N25678" s="84"/>
    </row>
    <row r="25679" spans="1:14" s="2" customFormat="1">
      <c r="A25679" s="83"/>
      <c r="H25679" s="83"/>
      <c r="K25679" s="82"/>
      <c r="M25679" s="112"/>
      <c r="N25679" s="84"/>
    </row>
    <row r="25680" spans="1:14" s="2" customFormat="1">
      <c r="A25680" s="83"/>
      <c r="H25680" s="83"/>
      <c r="K25680" s="82"/>
      <c r="M25680" s="112"/>
      <c r="N25680" s="84"/>
    </row>
    <row r="25681" spans="1:14" s="2" customFormat="1">
      <c r="A25681" s="83"/>
      <c r="H25681" s="83"/>
      <c r="K25681" s="82"/>
      <c r="M25681" s="112"/>
      <c r="N25681" s="84"/>
    </row>
    <row r="25682" spans="1:14" s="2" customFormat="1">
      <c r="A25682" s="83"/>
      <c r="H25682" s="83"/>
      <c r="K25682" s="82"/>
      <c r="M25682" s="112"/>
      <c r="N25682" s="84"/>
    </row>
    <row r="25683" spans="1:14" s="2" customFormat="1">
      <c r="A25683" s="83"/>
      <c r="H25683" s="83"/>
      <c r="K25683" s="82"/>
      <c r="M25683" s="112"/>
      <c r="N25683" s="84"/>
    </row>
    <row r="25684" spans="1:14" s="2" customFormat="1">
      <c r="A25684" s="83"/>
      <c r="H25684" s="83"/>
      <c r="K25684" s="82"/>
      <c r="M25684" s="112"/>
      <c r="N25684" s="84"/>
    </row>
    <row r="25685" spans="1:14" s="2" customFormat="1">
      <c r="A25685" s="83"/>
      <c r="H25685" s="83"/>
      <c r="K25685" s="82"/>
      <c r="M25685" s="112"/>
      <c r="N25685" s="84"/>
    </row>
    <row r="25686" spans="1:14" s="2" customFormat="1">
      <c r="A25686" s="83"/>
      <c r="H25686" s="83"/>
      <c r="K25686" s="82"/>
      <c r="M25686" s="112"/>
      <c r="N25686" s="84"/>
    </row>
    <row r="25687" spans="1:14" s="2" customFormat="1">
      <c r="A25687" s="83"/>
      <c r="H25687" s="83"/>
      <c r="K25687" s="82"/>
      <c r="M25687" s="112"/>
      <c r="N25687" s="84"/>
    </row>
    <row r="25688" spans="1:14" s="2" customFormat="1">
      <c r="A25688" s="83"/>
      <c r="H25688" s="83"/>
      <c r="K25688" s="82"/>
      <c r="M25688" s="112"/>
      <c r="N25688" s="84"/>
    </row>
    <row r="25689" spans="1:14" s="2" customFormat="1">
      <c r="A25689" s="83"/>
      <c r="H25689" s="83"/>
      <c r="K25689" s="82"/>
      <c r="M25689" s="112"/>
      <c r="N25689" s="84"/>
    </row>
    <row r="25690" spans="1:14" s="2" customFormat="1">
      <c r="A25690" s="83"/>
      <c r="H25690" s="83"/>
      <c r="K25690" s="82"/>
      <c r="M25690" s="112"/>
      <c r="N25690" s="84"/>
    </row>
    <row r="25691" spans="1:14" s="2" customFormat="1">
      <c r="A25691" s="83"/>
      <c r="H25691" s="83"/>
      <c r="K25691" s="82"/>
      <c r="M25691" s="112"/>
      <c r="N25691" s="84"/>
    </row>
    <row r="25692" spans="1:14" s="2" customFormat="1">
      <c r="A25692" s="83"/>
      <c r="H25692" s="83"/>
      <c r="K25692" s="82"/>
      <c r="M25692" s="112"/>
      <c r="N25692" s="84"/>
    </row>
    <row r="25693" spans="1:14" s="2" customFormat="1">
      <c r="A25693" s="83"/>
      <c r="H25693" s="83"/>
      <c r="K25693" s="82"/>
      <c r="M25693" s="112"/>
      <c r="N25693" s="84"/>
    </row>
    <row r="25694" spans="1:14" s="2" customFormat="1">
      <c r="A25694" s="83"/>
      <c r="H25694" s="83"/>
      <c r="K25694" s="82"/>
      <c r="M25694" s="112"/>
      <c r="N25694" s="84"/>
    </row>
    <row r="25695" spans="1:14" s="2" customFormat="1">
      <c r="A25695" s="83"/>
      <c r="H25695" s="83"/>
      <c r="K25695" s="82"/>
      <c r="M25695" s="112"/>
      <c r="N25695" s="84"/>
    </row>
    <row r="25696" spans="1:14" s="2" customFormat="1">
      <c r="A25696" s="83"/>
      <c r="H25696" s="83"/>
      <c r="K25696" s="82"/>
      <c r="M25696" s="112"/>
      <c r="N25696" s="84"/>
    </row>
    <row r="25697" spans="1:14" s="2" customFormat="1">
      <c r="A25697" s="83"/>
      <c r="H25697" s="83"/>
      <c r="K25697" s="82"/>
      <c r="M25697" s="112"/>
      <c r="N25697" s="84"/>
    </row>
    <row r="25698" spans="1:14" s="2" customFormat="1">
      <c r="A25698" s="83"/>
      <c r="H25698" s="83"/>
      <c r="K25698" s="82"/>
      <c r="M25698" s="112"/>
      <c r="N25698" s="84"/>
    </row>
    <row r="25699" spans="1:14" s="2" customFormat="1">
      <c r="A25699" s="83"/>
      <c r="H25699" s="83"/>
      <c r="K25699" s="82"/>
      <c r="M25699" s="112"/>
      <c r="N25699" s="84"/>
    </row>
    <row r="25700" spans="1:14" s="2" customFormat="1">
      <c r="A25700" s="83"/>
      <c r="H25700" s="83"/>
      <c r="K25700" s="82"/>
      <c r="M25700" s="112"/>
      <c r="N25700" s="84"/>
    </row>
    <row r="25701" spans="1:14" s="2" customFormat="1">
      <c r="A25701" s="83"/>
      <c r="H25701" s="83"/>
      <c r="K25701" s="82"/>
      <c r="M25701" s="112"/>
      <c r="N25701" s="84"/>
    </row>
    <row r="25702" spans="1:14" s="2" customFormat="1">
      <c r="A25702" s="83"/>
      <c r="H25702" s="83"/>
      <c r="K25702" s="82"/>
      <c r="M25702" s="112"/>
      <c r="N25702" s="84"/>
    </row>
    <row r="25703" spans="1:14" s="2" customFormat="1">
      <c r="A25703" s="83"/>
      <c r="H25703" s="83"/>
      <c r="K25703" s="82"/>
      <c r="M25703" s="112"/>
      <c r="N25703" s="84"/>
    </row>
    <row r="25704" spans="1:14" s="2" customFormat="1">
      <c r="A25704" s="83"/>
      <c r="H25704" s="83"/>
      <c r="K25704" s="82"/>
      <c r="M25704" s="112"/>
      <c r="N25704" s="84"/>
    </row>
    <row r="25705" spans="1:14" s="2" customFormat="1">
      <c r="A25705" s="83"/>
      <c r="H25705" s="83"/>
      <c r="K25705" s="82"/>
      <c r="M25705" s="112"/>
      <c r="N25705" s="84"/>
    </row>
    <row r="25706" spans="1:14" s="2" customFormat="1">
      <c r="A25706" s="83"/>
      <c r="H25706" s="83"/>
      <c r="K25706" s="82"/>
      <c r="M25706" s="112"/>
      <c r="N25706" s="84"/>
    </row>
    <row r="25707" spans="1:14" s="2" customFormat="1">
      <c r="A25707" s="83"/>
      <c r="H25707" s="83"/>
      <c r="K25707" s="82"/>
      <c r="M25707" s="112"/>
      <c r="N25707" s="84"/>
    </row>
    <row r="25708" spans="1:14" s="2" customFormat="1">
      <c r="A25708" s="83"/>
      <c r="H25708" s="83"/>
      <c r="K25708" s="82"/>
      <c r="M25708" s="112"/>
      <c r="N25708" s="84"/>
    </row>
    <row r="25709" spans="1:14" s="2" customFormat="1">
      <c r="A25709" s="83"/>
      <c r="H25709" s="83"/>
      <c r="K25709" s="82"/>
      <c r="M25709" s="112"/>
      <c r="N25709" s="84"/>
    </row>
    <row r="25710" spans="1:14" s="2" customFormat="1">
      <c r="A25710" s="83"/>
      <c r="H25710" s="83"/>
      <c r="K25710" s="82"/>
      <c r="M25710" s="112"/>
      <c r="N25710" s="84"/>
    </row>
    <row r="25711" spans="1:14" s="2" customFormat="1">
      <c r="A25711" s="83"/>
      <c r="H25711" s="83"/>
      <c r="K25711" s="82"/>
      <c r="M25711" s="112"/>
      <c r="N25711" s="84"/>
    </row>
    <row r="25712" spans="1:14" s="2" customFormat="1">
      <c r="A25712" s="83"/>
      <c r="H25712" s="83"/>
      <c r="K25712" s="82"/>
      <c r="M25712" s="112"/>
      <c r="N25712" s="84"/>
    </row>
    <row r="25713" spans="1:14" s="2" customFormat="1">
      <c r="A25713" s="83"/>
      <c r="H25713" s="83"/>
      <c r="K25713" s="82"/>
      <c r="M25713" s="112"/>
      <c r="N25713" s="84"/>
    </row>
    <row r="25714" spans="1:14" s="2" customFormat="1">
      <c r="A25714" s="83"/>
      <c r="H25714" s="83"/>
      <c r="K25714" s="82"/>
      <c r="M25714" s="112"/>
      <c r="N25714" s="84"/>
    </row>
    <row r="25715" spans="1:14" s="2" customFormat="1">
      <c r="A25715" s="83"/>
      <c r="H25715" s="83"/>
      <c r="K25715" s="82"/>
      <c r="M25715" s="112"/>
      <c r="N25715" s="84"/>
    </row>
    <row r="25716" spans="1:14" s="2" customFormat="1">
      <c r="A25716" s="83"/>
      <c r="H25716" s="83"/>
      <c r="K25716" s="82"/>
      <c r="M25716" s="112"/>
      <c r="N25716" s="84"/>
    </row>
    <row r="25717" spans="1:14" s="2" customFormat="1">
      <c r="A25717" s="83"/>
      <c r="H25717" s="83"/>
      <c r="K25717" s="82"/>
      <c r="M25717" s="112"/>
      <c r="N25717" s="84"/>
    </row>
    <row r="25718" spans="1:14" s="2" customFormat="1">
      <c r="A25718" s="83"/>
      <c r="H25718" s="83"/>
      <c r="K25718" s="82"/>
      <c r="M25718" s="112"/>
      <c r="N25718" s="84"/>
    </row>
    <row r="25719" spans="1:14" s="2" customFormat="1">
      <c r="A25719" s="83"/>
      <c r="H25719" s="83"/>
      <c r="K25719" s="82"/>
      <c r="M25719" s="112"/>
      <c r="N25719" s="84"/>
    </row>
    <row r="25720" spans="1:14" s="2" customFormat="1">
      <c r="A25720" s="83"/>
      <c r="H25720" s="83"/>
      <c r="K25720" s="82"/>
      <c r="M25720" s="112"/>
      <c r="N25720" s="84"/>
    </row>
    <row r="25721" spans="1:14" s="2" customFormat="1">
      <c r="A25721" s="83"/>
      <c r="H25721" s="83"/>
      <c r="K25721" s="82"/>
      <c r="M25721" s="112"/>
      <c r="N25721" s="84"/>
    </row>
    <row r="25722" spans="1:14" s="2" customFormat="1">
      <c r="A25722" s="83"/>
      <c r="H25722" s="83"/>
      <c r="K25722" s="82"/>
      <c r="M25722" s="112"/>
      <c r="N25722" s="84"/>
    </row>
    <row r="25723" spans="1:14" s="2" customFormat="1">
      <c r="A25723" s="83"/>
      <c r="H25723" s="83"/>
      <c r="K25723" s="82"/>
      <c r="M25723" s="112"/>
      <c r="N25723" s="84"/>
    </row>
    <row r="25724" spans="1:14" s="2" customFormat="1">
      <c r="A25724" s="83"/>
      <c r="H25724" s="83"/>
      <c r="K25724" s="82"/>
      <c r="M25724" s="112"/>
      <c r="N25724" s="84"/>
    </row>
    <row r="25725" spans="1:14" s="2" customFormat="1">
      <c r="A25725" s="83"/>
      <c r="H25725" s="83"/>
      <c r="K25725" s="82"/>
      <c r="M25725" s="112"/>
      <c r="N25725" s="84"/>
    </row>
    <row r="25726" spans="1:14" s="2" customFormat="1">
      <c r="A25726" s="83"/>
      <c r="H25726" s="83"/>
      <c r="K25726" s="82"/>
      <c r="M25726" s="112"/>
      <c r="N25726" s="84"/>
    </row>
    <row r="25727" spans="1:14" s="2" customFormat="1">
      <c r="A25727" s="83"/>
      <c r="H25727" s="83"/>
      <c r="K25727" s="82"/>
      <c r="M25727" s="112"/>
      <c r="N25727" s="84"/>
    </row>
    <row r="25728" spans="1:14" s="2" customFormat="1">
      <c r="A25728" s="83"/>
      <c r="H25728" s="83"/>
      <c r="K25728" s="82"/>
      <c r="M25728" s="112"/>
      <c r="N25728" s="84"/>
    </row>
    <row r="25729" spans="1:14" s="2" customFormat="1">
      <c r="A25729" s="83"/>
      <c r="H25729" s="83"/>
      <c r="K25729" s="82"/>
      <c r="M25729" s="112"/>
      <c r="N25729" s="84"/>
    </row>
    <row r="25730" spans="1:14" s="2" customFormat="1">
      <c r="A25730" s="83"/>
      <c r="H25730" s="83"/>
      <c r="K25730" s="82"/>
      <c r="M25730" s="112"/>
      <c r="N25730" s="84"/>
    </row>
    <row r="25731" spans="1:14" s="2" customFormat="1">
      <c r="A25731" s="83"/>
      <c r="H25731" s="83"/>
      <c r="K25731" s="82"/>
      <c r="M25731" s="112"/>
      <c r="N25731" s="84"/>
    </row>
    <row r="25732" spans="1:14" s="2" customFormat="1">
      <c r="A25732" s="83"/>
      <c r="H25732" s="83"/>
      <c r="K25732" s="82"/>
      <c r="M25732" s="112"/>
      <c r="N25732" s="84"/>
    </row>
    <row r="25733" spans="1:14" s="2" customFormat="1">
      <c r="A25733" s="83"/>
      <c r="H25733" s="83"/>
      <c r="K25733" s="82"/>
      <c r="M25733" s="112"/>
      <c r="N25733" s="84"/>
    </row>
    <row r="25734" spans="1:14" s="2" customFormat="1">
      <c r="A25734" s="83"/>
      <c r="H25734" s="83"/>
      <c r="K25734" s="82"/>
      <c r="M25734" s="112"/>
      <c r="N25734" s="84"/>
    </row>
    <row r="25735" spans="1:14" s="2" customFormat="1">
      <c r="A25735" s="83"/>
      <c r="H25735" s="83"/>
      <c r="K25735" s="82"/>
      <c r="M25735" s="112"/>
      <c r="N25735" s="84"/>
    </row>
    <row r="25736" spans="1:14" s="2" customFormat="1">
      <c r="A25736" s="83"/>
      <c r="H25736" s="83"/>
      <c r="K25736" s="82"/>
      <c r="M25736" s="112"/>
      <c r="N25736" s="84"/>
    </row>
    <row r="25737" spans="1:14" s="2" customFormat="1">
      <c r="A25737" s="83"/>
      <c r="H25737" s="83"/>
      <c r="K25737" s="82"/>
      <c r="M25737" s="112"/>
      <c r="N25737" s="84"/>
    </row>
    <row r="25738" spans="1:14" s="2" customFormat="1">
      <c r="A25738" s="83"/>
      <c r="H25738" s="83"/>
      <c r="K25738" s="82"/>
      <c r="M25738" s="112"/>
      <c r="N25738" s="84"/>
    </row>
    <row r="25739" spans="1:14" s="2" customFormat="1">
      <c r="A25739" s="83"/>
      <c r="H25739" s="83"/>
      <c r="K25739" s="82"/>
      <c r="M25739" s="112"/>
      <c r="N25739" s="84"/>
    </row>
    <row r="25740" spans="1:14" s="2" customFormat="1">
      <c r="A25740" s="83"/>
      <c r="H25740" s="83"/>
      <c r="K25740" s="82"/>
      <c r="M25740" s="112"/>
      <c r="N25740" s="84"/>
    </row>
    <row r="25741" spans="1:14" s="2" customFormat="1">
      <c r="A25741" s="83"/>
      <c r="H25741" s="83"/>
      <c r="K25741" s="82"/>
      <c r="M25741" s="112"/>
      <c r="N25741" s="84"/>
    </row>
    <row r="25742" spans="1:14" s="2" customFormat="1">
      <c r="A25742" s="83"/>
      <c r="H25742" s="83"/>
      <c r="K25742" s="82"/>
      <c r="M25742" s="112"/>
      <c r="N25742" s="84"/>
    </row>
    <row r="25743" spans="1:14" s="2" customFormat="1">
      <c r="A25743" s="83"/>
      <c r="H25743" s="83"/>
      <c r="K25743" s="82"/>
      <c r="M25743" s="112"/>
      <c r="N25743" s="84"/>
    </row>
    <row r="25744" spans="1:14" s="2" customFormat="1">
      <c r="A25744" s="83"/>
      <c r="H25744" s="83"/>
      <c r="K25744" s="82"/>
      <c r="M25744" s="112"/>
      <c r="N25744" s="84"/>
    </row>
    <row r="25745" spans="1:14" s="2" customFormat="1">
      <c r="A25745" s="83"/>
      <c r="H25745" s="83"/>
      <c r="K25745" s="82"/>
      <c r="M25745" s="112"/>
      <c r="N25745" s="84"/>
    </row>
    <row r="25746" spans="1:14" s="2" customFormat="1">
      <c r="A25746" s="83"/>
      <c r="H25746" s="83"/>
      <c r="K25746" s="82"/>
      <c r="M25746" s="112"/>
      <c r="N25746" s="84"/>
    </row>
    <row r="25747" spans="1:14" s="2" customFormat="1">
      <c r="A25747" s="83"/>
      <c r="H25747" s="83"/>
      <c r="K25747" s="82"/>
      <c r="M25747" s="112"/>
      <c r="N25747" s="84"/>
    </row>
    <row r="25748" spans="1:14" s="2" customFormat="1">
      <c r="A25748" s="83"/>
      <c r="H25748" s="83"/>
      <c r="K25748" s="82"/>
      <c r="M25748" s="112"/>
      <c r="N25748" s="84"/>
    </row>
    <row r="25749" spans="1:14" s="2" customFormat="1">
      <c r="A25749" s="83"/>
      <c r="H25749" s="83"/>
      <c r="K25749" s="82"/>
      <c r="M25749" s="112"/>
      <c r="N25749" s="84"/>
    </row>
    <row r="25750" spans="1:14" s="2" customFormat="1">
      <c r="A25750" s="83"/>
      <c r="H25750" s="83"/>
      <c r="K25750" s="82"/>
      <c r="M25750" s="112"/>
      <c r="N25750" s="84"/>
    </row>
    <row r="25751" spans="1:14" s="2" customFormat="1">
      <c r="A25751" s="83"/>
      <c r="H25751" s="83"/>
      <c r="K25751" s="82"/>
      <c r="M25751" s="112"/>
      <c r="N25751" s="84"/>
    </row>
    <row r="25752" spans="1:14" s="2" customFormat="1">
      <c r="A25752" s="83"/>
      <c r="H25752" s="83"/>
      <c r="K25752" s="82"/>
      <c r="M25752" s="112"/>
      <c r="N25752" s="84"/>
    </row>
    <row r="25753" spans="1:14" s="2" customFormat="1">
      <c r="A25753" s="83"/>
      <c r="H25753" s="83"/>
      <c r="K25753" s="82"/>
      <c r="M25753" s="112"/>
      <c r="N25753" s="84"/>
    </row>
    <row r="25754" spans="1:14" s="2" customFormat="1">
      <c r="A25754" s="83"/>
      <c r="H25754" s="83"/>
      <c r="K25754" s="82"/>
      <c r="M25754" s="112"/>
      <c r="N25754" s="84"/>
    </row>
    <row r="25755" spans="1:14" s="2" customFormat="1">
      <c r="A25755" s="83"/>
      <c r="H25755" s="83"/>
      <c r="K25755" s="82"/>
      <c r="M25755" s="112"/>
      <c r="N25755" s="84"/>
    </row>
    <row r="25756" spans="1:14" s="2" customFormat="1">
      <c r="A25756" s="83"/>
      <c r="H25756" s="83"/>
      <c r="K25756" s="82"/>
      <c r="M25756" s="112"/>
      <c r="N25756" s="84"/>
    </row>
    <row r="25757" spans="1:14" s="2" customFormat="1">
      <c r="A25757" s="83"/>
      <c r="H25757" s="83"/>
      <c r="K25757" s="82"/>
      <c r="M25757" s="112"/>
      <c r="N25757" s="84"/>
    </row>
    <row r="25758" spans="1:14" s="2" customFormat="1">
      <c r="A25758" s="83"/>
      <c r="H25758" s="83"/>
      <c r="K25758" s="82"/>
      <c r="M25758" s="112"/>
      <c r="N25758" s="84"/>
    </row>
    <row r="25759" spans="1:14" s="2" customFormat="1">
      <c r="A25759" s="83"/>
      <c r="H25759" s="83"/>
      <c r="K25759" s="82"/>
      <c r="M25759" s="112"/>
      <c r="N25759" s="84"/>
    </row>
    <row r="25760" spans="1:14" s="2" customFormat="1">
      <c r="A25760" s="83"/>
      <c r="H25760" s="83"/>
      <c r="K25760" s="82"/>
      <c r="M25760" s="112"/>
      <c r="N25760" s="84"/>
    </row>
    <row r="25761" spans="1:14" s="2" customFormat="1">
      <c r="A25761" s="83"/>
      <c r="H25761" s="83"/>
      <c r="K25761" s="82"/>
      <c r="M25761" s="112"/>
      <c r="N25761" s="84"/>
    </row>
    <row r="25762" spans="1:14" s="2" customFormat="1">
      <c r="A25762" s="83"/>
      <c r="H25762" s="83"/>
      <c r="K25762" s="82"/>
      <c r="M25762" s="112"/>
      <c r="N25762" s="84"/>
    </row>
    <row r="25763" spans="1:14" s="2" customFormat="1">
      <c r="A25763" s="83"/>
      <c r="H25763" s="83"/>
      <c r="K25763" s="82"/>
      <c r="M25763" s="112"/>
      <c r="N25763" s="84"/>
    </row>
    <row r="25764" spans="1:14" s="2" customFormat="1">
      <c r="A25764" s="83"/>
      <c r="H25764" s="83"/>
      <c r="K25764" s="82"/>
      <c r="M25764" s="112"/>
      <c r="N25764" s="84"/>
    </row>
    <row r="25765" spans="1:14" s="2" customFormat="1">
      <c r="A25765" s="83"/>
      <c r="H25765" s="83"/>
      <c r="K25765" s="82"/>
      <c r="M25765" s="112"/>
      <c r="N25765" s="84"/>
    </row>
    <row r="25766" spans="1:14" s="2" customFormat="1">
      <c r="A25766" s="83"/>
      <c r="H25766" s="83"/>
      <c r="K25766" s="82"/>
      <c r="M25766" s="112"/>
      <c r="N25766" s="84"/>
    </row>
    <row r="25767" spans="1:14" s="2" customFormat="1">
      <c r="A25767" s="83"/>
      <c r="H25767" s="83"/>
      <c r="K25767" s="82"/>
      <c r="M25767" s="112"/>
      <c r="N25767" s="84"/>
    </row>
    <row r="25768" spans="1:14" s="2" customFormat="1">
      <c r="A25768" s="83"/>
      <c r="H25768" s="83"/>
      <c r="K25768" s="82"/>
      <c r="M25768" s="112"/>
      <c r="N25768" s="84"/>
    </row>
    <row r="25769" spans="1:14" s="2" customFormat="1">
      <c r="A25769" s="83"/>
      <c r="H25769" s="83"/>
      <c r="K25769" s="82"/>
      <c r="M25769" s="112"/>
      <c r="N25769" s="84"/>
    </row>
    <row r="25770" spans="1:14" s="2" customFormat="1">
      <c r="A25770" s="83"/>
      <c r="H25770" s="83"/>
      <c r="K25770" s="82"/>
      <c r="M25770" s="112"/>
      <c r="N25770" s="84"/>
    </row>
    <row r="25771" spans="1:14" s="2" customFormat="1">
      <c r="A25771" s="83"/>
      <c r="H25771" s="83"/>
      <c r="K25771" s="82"/>
      <c r="M25771" s="112"/>
      <c r="N25771" s="84"/>
    </row>
    <row r="25772" spans="1:14" s="2" customFormat="1">
      <c r="A25772" s="83"/>
      <c r="H25772" s="83"/>
      <c r="K25772" s="82"/>
      <c r="M25772" s="112"/>
      <c r="N25772" s="84"/>
    </row>
    <row r="25773" spans="1:14" s="2" customFormat="1">
      <c r="A25773" s="83"/>
      <c r="H25773" s="83"/>
      <c r="K25773" s="82"/>
      <c r="M25773" s="112"/>
      <c r="N25773" s="84"/>
    </row>
    <row r="25774" spans="1:14" s="2" customFormat="1">
      <c r="A25774" s="83"/>
      <c r="H25774" s="83"/>
      <c r="K25774" s="82"/>
      <c r="M25774" s="112"/>
      <c r="N25774" s="84"/>
    </row>
    <row r="25775" spans="1:14" s="2" customFormat="1">
      <c r="A25775" s="83"/>
      <c r="H25775" s="83"/>
      <c r="K25775" s="82"/>
      <c r="M25775" s="112"/>
      <c r="N25775" s="84"/>
    </row>
    <row r="25776" spans="1:14" s="2" customFormat="1">
      <c r="A25776" s="83"/>
      <c r="H25776" s="83"/>
      <c r="K25776" s="82"/>
      <c r="M25776" s="112"/>
      <c r="N25776" s="84"/>
    </row>
    <row r="25777" spans="1:14" s="2" customFormat="1">
      <c r="A25777" s="83"/>
      <c r="H25777" s="83"/>
      <c r="K25777" s="82"/>
      <c r="M25777" s="112"/>
      <c r="N25777" s="84"/>
    </row>
    <row r="25778" spans="1:14" s="2" customFormat="1">
      <c r="A25778" s="83"/>
      <c r="H25778" s="83"/>
      <c r="K25778" s="82"/>
      <c r="M25778" s="112"/>
      <c r="N25778" s="84"/>
    </row>
    <row r="25779" spans="1:14" s="2" customFormat="1">
      <c r="A25779" s="83"/>
      <c r="H25779" s="83"/>
      <c r="K25779" s="82"/>
      <c r="M25779" s="112"/>
      <c r="N25779" s="84"/>
    </row>
    <row r="25780" spans="1:14" s="2" customFormat="1">
      <c r="A25780" s="83"/>
      <c r="H25780" s="83"/>
      <c r="K25780" s="82"/>
      <c r="M25780" s="112"/>
      <c r="N25780" s="84"/>
    </row>
    <row r="25781" spans="1:14" s="2" customFormat="1">
      <c r="A25781" s="83"/>
      <c r="H25781" s="83"/>
      <c r="K25781" s="82"/>
      <c r="M25781" s="112"/>
      <c r="N25781" s="84"/>
    </row>
    <row r="25782" spans="1:14" s="2" customFormat="1">
      <c r="A25782" s="83"/>
      <c r="H25782" s="83"/>
      <c r="K25782" s="82"/>
      <c r="M25782" s="112"/>
      <c r="N25782" s="84"/>
    </row>
    <row r="25783" spans="1:14" s="2" customFormat="1">
      <c r="A25783" s="83"/>
      <c r="H25783" s="83"/>
      <c r="K25783" s="82"/>
      <c r="M25783" s="112"/>
      <c r="N25783" s="84"/>
    </row>
    <row r="25784" spans="1:14" s="2" customFormat="1">
      <c r="A25784" s="83"/>
      <c r="H25784" s="83"/>
      <c r="K25784" s="82"/>
      <c r="M25784" s="112"/>
      <c r="N25784" s="84"/>
    </row>
    <row r="25785" spans="1:14" s="2" customFormat="1">
      <c r="A25785" s="83"/>
      <c r="H25785" s="83"/>
      <c r="K25785" s="82"/>
      <c r="M25785" s="112"/>
      <c r="N25785" s="84"/>
    </row>
    <row r="25786" spans="1:14" s="2" customFormat="1">
      <c r="A25786" s="83"/>
      <c r="H25786" s="83"/>
      <c r="K25786" s="82"/>
      <c r="M25786" s="112"/>
      <c r="N25786" s="84"/>
    </row>
    <row r="25787" spans="1:14" s="2" customFormat="1">
      <c r="A25787" s="83"/>
      <c r="H25787" s="83"/>
      <c r="K25787" s="82"/>
      <c r="M25787" s="112"/>
      <c r="N25787" s="84"/>
    </row>
    <row r="25788" spans="1:14" s="2" customFormat="1">
      <c r="A25788" s="83"/>
      <c r="H25788" s="83"/>
      <c r="K25788" s="82"/>
      <c r="M25788" s="112"/>
      <c r="N25788" s="84"/>
    </row>
    <row r="25789" spans="1:14" s="2" customFormat="1">
      <c r="A25789" s="83"/>
      <c r="H25789" s="83"/>
      <c r="K25789" s="82"/>
      <c r="M25789" s="112"/>
      <c r="N25789" s="84"/>
    </row>
    <row r="25790" spans="1:14" s="2" customFormat="1">
      <c r="A25790" s="83"/>
      <c r="H25790" s="83"/>
      <c r="K25790" s="82"/>
      <c r="M25790" s="112"/>
      <c r="N25790" s="84"/>
    </row>
    <row r="25791" spans="1:14" s="2" customFormat="1">
      <c r="A25791" s="83"/>
      <c r="H25791" s="83"/>
      <c r="K25791" s="82"/>
      <c r="M25791" s="112"/>
      <c r="N25791" s="84"/>
    </row>
    <row r="25792" spans="1:14" s="2" customFormat="1">
      <c r="A25792" s="83"/>
      <c r="H25792" s="83"/>
      <c r="K25792" s="82"/>
      <c r="M25792" s="112"/>
      <c r="N25792" s="84"/>
    </row>
    <row r="25793" spans="1:14" s="2" customFormat="1">
      <c r="A25793" s="83"/>
      <c r="H25793" s="83"/>
      <c r="K25793" s="82"/>
      <c r="M25793" s="112"/>
      <c r="N25793" s="84"/>
    </row>
    <row r="25794" spans="1:14" s="2" customFormat="1">
      <c r="A25794" s="83"/>
      <c r="H25794" s="83"/>
      <c r="K25794" s="82"/>
      <c r="M25794" s="112"/>
      <c r="N25794" s="84"/>
    </row>
    <row r="25795" spans="1:14" s="2" customFormat="1">
      <c r="A25795" s="83"/>
      <c r="H25795" s="83"/>
      <c r="K25795" s="82"/>
      <c r="M25795" s="112"/>
      <c r="N25795" s="84"/>
    </row>
    <row r="25796" spans="1:14" s="2" customFormat="1">
      <c r="A25796" s="83"/>
      <c r="H25796" s="83"/>
      <c r="K25796" s="82"/>
      <c r="M25796" s="112"/>
      <c r="N25796" s="84"/>
    </row>
    <row r="25797" spans="1:14" s="2" customFormat="1">
      <c r="A25797" s="83"/>
      <c r="H25797" s="83"/>
      <c r="K25797" s="82"/>
      <c r="M25797" s="112"/>
      <c r="N25797" s="84"/>
    </row>
    <row r="25798" spans="1:14" s="2" customFormat="1">
      <c r="A25798" s="83"/>
      <c r="H25798" s="83"/>
      <c r="K25798" s="82"/>
      <c r="M25798" s="112"/>
      <c r="N25798" s="84"/>
    </row>
    <row r="25799" spans="1:14" s="2" customFormat="1">
      <c r="A25799" s="83"/>
      <c r="H25799" s="83"/>
      <c r="K25799" s="82"/>
      <c r="M25799" s="112"/>
      <c r="N25799" s="84"/>
    </row>
    <row r="25800" spans="1:14" s="2" customFormat="1">
      <c r="A25800" s="83"/>
      <c r="H25800" s="83"/>
      <c r="K25800" s="82"/>
      <c r="M25800" s="112"/>
      <c r="N25800" s="84"/>
    </row>
    <row r="25801" spans="1:14" s="2" customFormat="1">
      <c r="A25801" s="83"/>
      <c r="H25801" s="83"/>
      <c r="K25801" s="82"/>
      <c r="M25801" s="112"/>
      <c r="N25801" s="84"/>
    </row>
    <row r="25802" spans="1:14" s="2" customFormat="1">
      <c r="A25802" s="83"/>
      <c r="H25802" s="83"/>
      <c r="K25802" s="82"/>
      <c r="M25802" s="112"/>
      <c r="N25802" s="84"/>
    </row>
    <row r="25803" spans="1:14" s="2" customFormat="1">
      <c r="A25803" s="83"/>
      <c r="H25803" s="83"/>
      <c r="K25803" s="82"/>
      <c r="M25803" s="112"/>
      <c r="N25803" s="84"/>
    </row>
    <row r="25804" spans="1:14" s="2" customFormat="1">
      <c r="A25804" s="83"/>
      <c r="H25804" s="83"/>
      <c r="K25804" s="82"/>
      <c r="M25804" s="112"/>
      <c r="N25804" s="84"/>
    </row>
    <row r="25805" spans="1:14" s="2" customFormat="1">
      <c r="A25805" s="83"/>
      <c r="H25805" s="83"/>
      <c r="K25805" s="82"/>
      <c r="M25805" s="112"/>
      <c r="N25805" s="84"/>
    </row>
    <row r="25806" spans="1:14" s="2" customFormat="1">
      <c r="A25806" s="83"/>
      <c r="H25806" s="83"/>
      <c r="K25806" s="82"/>
      <c r="M25806" s="112"/>
      <c r="N25806" s="84"/>
    </row>
    <row r="25807" spans="1:14" s="2" customFormat="1">
      <c r="A25807" s="83"/>
      <c r="H25807" s="83"/>
      <c r="K25807" s="82"/>
      <c r="M25807" s="112"/>
      <c r="N25807" s="84"/>
    </row>
    <row r="25808" spans="1:14" s="2" customFormat="1">
      <c r="A25808" s="83"/>
      <c r="H25808" s="83"/>
      <c r="K25808" s="82"/>
      <c r="M25808" s="112"/>
      <c r="N25808" s="84"/>
    </row>
    <row r="25809" spans="1:14" s="2" customFormat="1">
      <c r="A25809" s="83"/>
      <c r="H25809" s="83"/>
      <c r="K25809" s="82"/>
      <c r="M25809" s="112"/>
      <c r="N25809" s="84"/>
    </row>
    <row r="25810" spans="1:14" s="2" customFormat="1">
      <c r="A25810" s="83"/>
      <c r="H25810" s="83"/>
      <c r="K25810" s="82"/>
      <c r="M25810" s="112"/>
      <c r="N25810" s="84"/>
    </row>
    <row r="25811" spans="1:14" s="2" customFormat="1">
      <c r="A25811" s="83"/>
      <c r="H25811" s="83"/>
      <c r="K25811" s="82"/>
      <c r="M25811" s="112"/>
      <c r="N25811" s="84"/>
    </row>
    <row r="25812" spans="1:14" s="2" customFormat="1">
      <c r="A25812" s="83"/>
      <c r="H25812" s="83"/>
      <c r="K25812" s="82"/>
      <c r="M25812" s="112"/>
      <c r="N25812" s="84"/>
    </row>
    <row r="25813" spans="1:14" s="2" customFormat="1">
      <c r="A25813" s="83"/>
      <c r="H25813" s="83"/>
      <c r="K25813" s="82"/>
      <c r="M25813" s="112"/>
      <c r="N25813" s="84"/>
    </row>
    <row r="25814" spans="1:14" s="2" customFormat="1">
      <c r="A25814" s="83"/>
      <c r="H25814" s="83"/>
      <c r="K25814" s="82"/>
      <c r="M25814" s="112"/>
      <c r="N25814" s="84"/>
    </row>
    <row r="25815" spans="1:14" s="2" customFormat="1">
      <c r="A25815" s="83"/>
      <c r="H25815" s="83"/>
      <c r="K25815" s="82"/>
      <c r="M25815" s="112"/>
      <c r="N25815" s="84"/>
    </row>
    <row r="25816" spans="1:14" s="2" customFormat="1">
      <c r="A25816" s="83"/>
      <c r="H25816" s="83"/>
      <c r="K25816" s="82"/>
      <c r="M25816" s="112"/>
      <c r="N25816" s="84"/>
    </row>
    <row r="25817" spans="1:14" s="2" customFormat="1">
      <c r="A25817" s="83"/>
      <c r="H25817" s="83"/>
      <c r="K25817" s="82"/>
      <c r="M25817" s="112"/>
      <c r="N25817" s="84"/>
    </row>
    <row r="25818" spans="1:14" s="2" customFormat="1">
      <c r="A25818" s="83"/>
      <c r="H25818" s="83"/>
      <c r="K25818" s="82"/>
      <c r="M25818" s="112"/>
      <c r="N25818" s="84"/>
    </row>
    <row r="25819" spans="1:14" s="2" customFormat="1">
      <c r="A25819" s="83"/>
      <c r="H25819" s="83"/>
      <c r="K25819" s="82"/>
      <c r="M25819" s="112"/>
      <c r="N25819" s="84"/>
    </row>
    <row r="25820" spans="1:14" s="2" customFormat="1">
      <c r="A25820" s="83"/>
      <c r="H25820" s="83"/>
      <c r="K25820" s="82"/>
      <c r="M25820" s="112"/>
      <c r="N25820" s="84"/>
    </row>
    <row r="25821" spans="1:14" s="2" customFormat="1">
      <c r="A25821" s="83"/>
      <c r="H25821" s="83"/>
      <c r="K25821" s="82"/>
      <c r="M25821" s="112"/>
      <c r="N25821" s="84"/>
    </row>
    <row r="25822" spans="1:14" s="2" customFormat="1">
      <c r="A25822" s="83"/>
      <c r="H25822" s="83"/>
      <c r="K25822" s="82"/>
      <c r="M25822" s="112"/>
      <c r="N25822" s="84"/>
    </row>
    <row r="25823" spans="1:14" s="2" customFormat="1">
      <c r="A25823" s="83"/>
      <c r="H25823" s="83"/>
      <c r="K25823" s="82"/>
      <c r="M25823" s="112"/>
      <c r="N25823" s="84"/>
    </row>
    <row r="25824" spans="1:14" s="2" customFormat="1">
      <c r="A25824" s="83"/>
      <c r="H25824" s="83"/>
      <c r="K25824" s="82"/>
      <c r="M25824" s="112"/>
      <c r="N25824" s="84"/>
    </row>
    <row r="25825" spans="1:14" s="2" customFormat="1">
      <c r="A25825" s="83"/>
      <c r="H25825" s="83"/>
      <c r="K25825" s="82"/>
      <c r="M25825" s="112"/>
      <c r="N25825" s="84"/>
    </row>
    <row r="25826" spans="1:14" s="2" customFormat="1">
      <c r="A25826" s="83"/>
      <c r="H25826" s="83"/>
      <c r="K25826" s="82"/>
      <c r="M25826" s="112"/>
      <c r="N25826" s="84"/>
    </row>
    <row r="25827" spans="1:14" s="2" customFormat="1">
      <c r="A25827" s="83"/>
      <c r="H25827" s="83"/>
      <c r="K25827" s="82"/>
      <c r="M25827" s="112"/>
      <c r="N25827" s="84"/>
    </row>
    <row r="25828" spans="1:14" s="2" customFormat="1">
      <c r="A25828" s="83"/>
      <c r="H25828" s="83"/>
      <c r="K25828" s="82"/>
      <c r="M25828" s="112"/>
      <c r="N25828" s="84"/>
    </row>
    <row r="25829" spans="1:14" s="2" customFormat="1">
      <c r="A25829" s="83"/>
      <c r="H25829" s="83"/>
      <c r="K25829" s="82"/>
      <c r="M25829" s="112"/>
      <c r="N25829" s="84"/>
    </row>
    <row r="25830" spans="1:14" s="2" customFormat="1">
      <c r="A25830" s="83"/>
      <c r="H25830" s="83"/>
      <c r="K25830" s="82"/>
      <c r="M25830" s="112"/>
      <c r="N25830" s="84"/>
    </row>
    <row r="25831" spans="1:14" s="2" customFormat="1">
      <c r="A25831" s="83"/>
      <c r="H25831" s="83"/>
      <c r="K25831" s="82"/>
      <c r="M25831" s="112"/>
      <c r="N25831" s="84"/>
    </row>
    <row r="25832" spans="1:14" s="2" customFormat="1">
      <c r="A25832" s="83"/>
      <c r="H25832" s="83"/>
      <c r="K25832" s="82"/>
      <c r="M25832" s="112"/>
      <c r="N25832" s="84"/>
    </row>
    <row r="25833" spans="1:14" s="2" customFormat="1">
      <c r="A25833" s="83"/>
      <c r="H25833" s="83"/>
      <c r="K25833" s="82"/>
      <c r="M25833" s="112"/>
      <c r="N25833" s="84"/>
    </row>
    <row r="25834" spans="1:14" s="2" customFormat="1">
      <c r="A25834" s="83"/>
      <c r="H25834" s="83"/>
      <c r="K25834" s="82"/>
      <c r="M25834" s="112"/>
      <c r="N25834" s="84"/>
    </row>
    <row r="25835" spans="1:14" s="2" customFormat="1">
      <c r="A25835" s="83"/>
      <c r="H25835" s="83"/>
      <c r="K25835" s="82"/>
      <c r="M25835" s="112"/>
      <c r="N25835" s="84"/>
    </row>
    <row r="25836" spans="1:14" s="2" customFormat="1">
      <c r="A25836" s="83"/>
      <c r="H25836" s="83"/>
      <c r="K25836" s="82"/>
      <c r="M25836" s="112"/>
      <c r="N25836" s="84"/>
    </row>
    <row r="25837" spans="1:14" s="2" customFormat="1">
      <c r="A25837" s="83"/>
      <c r="H25837" s="83"/>
      <c r="K25837" s="82"/>
      <c r="M25837" s="112"/>
      <c r="N25837" s="84"/>
    </row>
    <row r="25838" spans="1:14" s="2" customFormat="1">
      <c r="A25838" s="83"/>
      <c r="H25838" s="83"/>
      <c r="K25838" s="82"/>
      <c r="M25838" s="112"/>
      <c r="N25838" s="84"/>
    </row>
    <row r="25839" spans="1:14" s="2" customFormat="1">
      <c r="A25839" s="83"/>
      <c r="H25839" s="83"/>
      <c r="K25839" s="82"/>
      <c r="M25839" s="112"/>
      <c r="N25839" s="84"/>
    </row>
    <row r="25840" spans="1:14" s="2" customFormat="1">
      <c r="A25840" s="83"/>
      <c r="H25840" s="83"/>
      <c r="K25840" s="82"/>
      <c r="M25840" s="112"/>
      <c r="N25840" s="84"/>
    </row>
    <row r="25841" spans="1:14" s="2" customFormat="1">
      <c r="A25841" s="83"/>
      <c r="H25841" s="83"/>
      <c r="K25841" s="82"/>
      <c r="M25841" s="112"/>
      <c r="N25841" s="84"/>
    </row>
    <row r="25842" spans="1:14" s="2" customFormat="1">
      <c r="A25842" s="83"/>
      <c r="H25842" s="83"/>
      <c r="K25842" s="82"/>
      <c r="M25842" s="112"/>
      <c r="N25842" s="84"/>
    </row>
    <row r="25843" spans="1:14" s="2" customFormat="1">
      <c r="A25843" s="83"/>
      <c r="H25843" s="83"/>
      <c r="K25843" s="82"/>
      <c r="M25843" s="112"/>
      <c r="N25843" s="84"/>
    </row>
    <row r="25844" spans="1:14" s="2" customFormat="1">
      <c r="A25844" s="83"/>
      <c r="H25844" s="83"/>
      <c r="K25844" s="82"/>
      <c r="M25844" s="112"/>
      <c r="N25844" s="84"/>
    </row>
    <row r="25845" spans="1:14" s="2" customFormat="1">
      <c r="A25845" s="83"/>
      <c r="H25845" s="83"/>
      <c r="K25845" s="82"/>
      <c r="M25845" s="112"/>
      <c r="N25845" s="84"/>
    </row>
    <row r="25846" spans="1:14" s="2" customFormat="1">
      <c r="A25846" s="83"/>
      <c r="H25846" s="83"/>
      <c r="K25846" s="82"/>
      <c r="M25846" s="112"/>
      <c r="N25846" s="84"/>
    </row>
    <row r="25847" spans="1:14" s="2" customFormat="1">
      <c r="A25847" s="83"/>
      <c r="H25847" s="83"/>
      <c r="K25847" s="82"/>
      <c r="M25847" s="112"/>
      <c r="N25847" s="84"/>
    </row>
    <row r="25848" spans="1:14" s="2" customFormat="1">
      <c r="A25848" s="83"/>
      <c r="H25848" s="83"/>
      <c r="K25848" s="82"/>
      <c r="M25848" s="112"/>
      <c r="N25848" s="84"/>
    </row>
    <row r="25849" spans="1:14" s="2" customFormat="1">
      <c r="A25849" s="83"/>
      <c r="H25849" s="83"/>
      <c r="K25849" s="82"/>
      <c r="M25849" s="112"/>
      <c r="N25849" s="84"/>
    </row>
    <row r="25850" spans="1:14" s="2" customFormat="1">
      <c r="A25850" s="83"/>
      <c r="H25850" s="83"/>
      <c r="K25850" s="82"/>
      <c r="M25850" s="112"/>
      <c r="N25850" s="84"/>
    </row>
    <row r="25851" spans="1:14" s="2" customFormat="1">
      <c r="A25851" s="83"/>
      <c r="H25851" s="83"/>
      <c r="K25851" s="82"/>
      <c r="M25851" s="112"/>
      <c r="N25851" s="84"/>
    </row>
    <row r="25852" spans="1:14" s="2" customFormat="1">
      <c r="A25852" s="83"/>
      <c r="H25852" s="83"/>
      <c r="K25852" s="82"/>
      <c r="M25852" s="112"/>
      <c r="N25852" s="84"/>
    </row>
    <row r="25853" spans="1:14" s="2" customFormat="1">
      <c r="A25853" s="83"/>
      <c r="H25853" s="83"/>
      <c r="K25853" s="82"/>
      <c r="M25853" s="112"/>
      <c r="N25853" s="84"/>
    </row>
    <row r="25854" spans="1:14" s="2" customFormat="1">
      <c r="A25854" s="83"/>
      <c r="H25854" s="83"/>
      <c r="K25854" s="82"/>
      <c r="M25854" s="112"/>
      <c r="N25854" s="84"/>
    </row>
    <row r="25855" spans="1:14" s="2" customFormat="1">
      <c r="A25855" s="83"/>
      <c r="H25855" s="83"/>
      <c r="K25855" s="82"/>
      <c r="M25855" s="112"/>
      <c r="N25855" s="84"/>
    </row>
    <row r="25856" spans="1:14" s="2" customFormat="1">
      <c r="A25856" s="83"/>
      <c r="H25856" s="83"/>
      <c r="K25856" s="82"/>
      <c r="M25856" s="112"/>
      <c r="N25856" s="84"/>
    </row>
    <row r="25857" spans="1:14" s="2" customFormat="1">
      <c r="A25857" s="83"/>
      <c r="H25857" s="83"/>
      <c r="K25857" s="82"/>
      <c r="M25857" s="112"/>
      <c r="N25857" s="84"/>
    </row>
    <row r="25858" spans="1:14" s="2" customFormat="1">
      <c r="A25858" s="83"/>
      <c r="H25858" s="83"/>
      <c r="K25858" s="82"/>
      <c r="M25858" s="112"/>
      <c r="N25858" s="84"/>
    </row>
    <row r="25859" spans="1:14" s="2" customFormat="1">
      <c r="A25859" s="83"/>
      <c r="H25859" s="83"/>
      <c r="K25859" s="82"/>
      <c r="M25859" s="112"/>
      <c r="N25859" s="84"/>
    </row>
    <row r="25860" spans="1:14" s="2" customFormat="1">
      <c r="A25860" s="83"/>
      <c r="H25860" s="83"/>
      <c r="K25860" s="82"/>
      <c r="M25860" s="112"/>
      <c r="N25860" s="84"/>
    </row>
    <row r="25861" spans="1:14" s="2" customFormat="1">
      <c r="A25861" s="83"/>
      <c r="H25861" s="83"/>
      <c r="K25861" s="82"/>
      <c r="M25861" s="112"/>
      <c r="N25861" s="84"/>
    </row>
    <row r="25862" spans="1:14" s="2" customFormat="1">
      <c r="A25862" s="83"/>
      <c r="H25862" s="83"/>
      <c r="K25862" s="82"/>
      <c r="M25862" s="112"/>
      <c r="N25862" s="84"/>
    </row>
    <row r="25863" spans="1:14" s="2" customFormat="1">
      <c r="A25863" s="83"/>
      <c r="H25863" s="83"/>
      <c r="K25863" s="82"/>
      <c r="M25863" s="112"/>
      <c r="N25863" s="84"/>
    </row>
    <row r="25864" spans="1:14" s="2" customFormat="1">
      <c r="A25864" s="83"/>
      <c r="H25864" s="83"/>
      <c r="K25864" s="82"/>
      <c r="M25864" s="112"/>
      <c r="N25864" s="84"/>
    </row>
    <row r="25865" spans="1:14" s="2" customFormat="1">
      <c r="A25865" s="83"/>
      <c r="H25865" s="83"/>
      <c r="K25865" s="82"/>
      <c r="M25865" s="112"/>
      <c r="N25865" s="84"/>
    </row>
    <row r="25866" spans="1:14" s="2" customFormat="1">
      <c r="A25866" s="83"/>
      <c r="H25866" s="83"/>
      <c r="K25866" s="82"/>
      <c r="M25866" s="112"/>
      <c r="N25866" s="84"/>
    </row>
    <row r="25867" spans="1:14" s="2" customFormat="1">
      <c r="A25867" s="83"/>
      <c r="H25867" s="83"/>
      <c r="K25867" s="82"/>
      <c r="M25867" s="112"/>
      <c r="N25867" s="84"/>
    </row>
    <row r="25868" spans="1:14" s="2" customFormat="1">
      <c r="A25868" s="83"/>
      <c r="H25868" s="83"/>
      <c r="K25868" s="82"/>
      <c r="M25868" s="112"/>
      <c r="N25868" s="84"/>
    </row>
    <row r="25869" spans="1:14" s="2" customFormat="1">
      <c r="A25869" s="83"/>
      <c r="H25869" s="83"/>
      <c r="K25869" s="82"/>
      <c r="M25869" s="112"/>
      <c r="N25869" s="84"/>
    </row>
    <row r="25870" spans="1:14" s="2" customFormat="1">
      <c r="A25870" s="83"/>
      <c r="H25870" s="83"/>
      <c r="K25870" s="82"/>
      <c r="M25870" s="112"/>
      <c r="N25870" s="84"/>
    </row>
    <row r="25871" spans="1:14" s="2" customFormat="1">
      <c r="A25871" s="83"/>
      <c r="H25871" s="83"/>
      <c r="K25871" s="82"/>
      <c r="M25871" s="112"/>
      <c r="N25871" s="84"/>
    </row>
    <row r="25872" spans="1:14" s="2" customFormat="1">
      <c r="A25872" s="83"/>
      <c r="H25872" s="83"/>
      <c r="K25872" s="82"/>
      <c r="M25872" s="112"/>
      <c r="N25872" s="84"/>
    </row>
    <row r="25873" spans="1:14" s="2" customFormat="1">
      <c r="A25873" s="83"/>
      <c r="H25873" s="83"/>
      <c r="K25873" s="82"/>
      <c r="M25873" s="112"/>
      <c r="N25873" s="84"/>
    </row>
    <row r="25874" spans="1:14" s="2" customFormat="1">
      <c r="A25874" s="83"/>
      <c r="H25874" s="83"/>
      <c r="K25874" s="82"/>
      <c r="M25874" s="112"/>
      <c r="N25874" s="84"/>
    </row>
    <row r="25875" spans="1:14" s="2" customFormat="1">
      <c r="A25875" s="83"/>
      <c r="H25875" s="83"/>
      <c r="K25875" s="82"/>
      <c r="M25875" s="112"/>
      <c r="N25875" s="84"/>
    </row>
    <row r="25876" spans="1:14" s="2" customFormat="1">
      <c r="A25876" s="83"/>
      <c r="H25876" s="83"/>
      <c r="K25876" s="82"/>
      <c r="M25876" s="112"/>
      <c r="N25876" s="84"/>
    </row>
    <row r="25877" spans="1:14" s="2" customFormat="1">
      <c r="A25877" s="83"/>
      <c r="H25877" s="83"/>
      <c r="K25877" s="82"/>
      <c r="M25877" s="112"/>
      <c r="N25877" s="84"/>
    </row>
    <row r="25878" spans="1:14" s="2" customFormat="1">
      <c r="A25878" s="83"/>
      <c r="H25878" s="83"/>
      <c r="K25878" s="82"/>
      <c r="M25878" s="112"/>
      <c r="N25878" s="84"/>
    </row>
    <row r="25879" spans="1:14" s="2" customFormat="1">
      <c r="A25879" s="83"/>
      <c r="H25879" s="83"/>
      <c r="K25879" s="82"/>
      <c r="M25879" s="112"/>
      <c r="N25879" s="84"/>
    </row>
    <row r="25880" spans="1:14" s="2" customFormat="1">
      <c r="A25880" s="83"/>
      <c r="H25880" s="83"/>
      <c r="K25880" s="82"/>
      <c r="M25880" s="112"/>
      <c r="N25880" s="84"/>
    </row>
    <row r="25881" spans="1:14" s="2" customFormat="1">
      <c r="A25881" s="83"/>
      <c r="H25881" s="83"/>
      <c r="K25881" s="82"/>
      <c r="M25881" s="112"/>
      <c r="N25881" s="84"/>
    </row>
    <row r="25882" spans="1:14" s="2" customFormat="1">
      <c r="A25882" s="83"/>
      <c r="H25882" s="83"/>
      <c r="K25882" s="82"/>
      <c r="M25882" s="112"/>
      <c r="N25882" s="84"/>
    </row>
    <row r="25883" spans="1:14" s="2" customFormat="1">
      <c r="A25883" s="83"/>
      <c r="H25883" s="83"/>
      <c r="K25883" s="82"/>
      <c r="M25883" s="112"/>
      <c r="N25883" s="84"/>
    </row>
    <row r="25884" spans="1:14" s="2" customFormat="1">
      <c r="A25884" s="83"/>
      <c r="H25884" s="83"/>
      <c r="K25884" s="82"/>
      <c r="M25884" s="112"/>
      <c r="N25884" s="84"/>
    </row>
    <row r="25885" spans="1:14" s="2" customFormat="1">
      <c r="A25885" s="83"/>
      <c r="H25885" s="83"/>
      <c r="K25885" s="82"/>
      <c r="M25885" s="112"/>
      <c r="N25885" s="84"/>
    </row>
    <row r="25886" spans="1:14" s="2" customFormat="1">
      <c r="A25886" s="83"/>
      <c r="H25886" s="83"/>
      <c r="K25886" s="82"/>
      <c r="M25886" s="112"/>
      <c r="N25886" s="84"/>
    </row>
    <row r="25887" spans="1:14" s="2" customFormat="1">
      <c r="A25887" s="83"/>
      <c r="H25887" s="83"/>
      <c r="K25887" s="82"/>
      <c r="M25887" s="112"/>
      <c r="N25887" s="84"/>
    </row>
    <row r="25888" spans="1:14" s="2" customFormat="1">
      <c r="A25888" s="83"/>
      <c r="H25888" s="83"/>
      <c r="K25888" s="82"/>
      <c r="M25888" s="112"/>
      <c r="N25888" s="84"/>
    </row>
    <row r="25889" spans="1:14" s="2" customFormat="1">
      <c r="A25889" s="83"/>
      <c r="H25889" s="83"/>
      <c r="K25889" s="82"/>
      <c r="M25889" s="112"/>
      <c r="N25889" s="84"/>
    </row>
    <row r="25890" spans="1:14" s="2" customFormat="1">
      <c r="A25890" s="83"/>
      <c r="H25890" s="83"/>
      <c r="K25890" s="82"/>
      <c r="M25890" s="112"/>
      <c r="N25890" s="84"/>
    </row>
    <row r="25891" spans="1:14" s="2" customFormat="1">
      <c r="A25891" s="83"/>
      <c r="H25891" s="83"/>
      <c r="K25891" s="82"/>
      <c r="M25891" s="112"/>
      <c r="N25891" s="84"/>
    </row>
    <row r="25892" spans="1:14" s="2" customFormat="1">
      <c r="A25892" s="83"/>
      <c r="H25892" s="83"/>
      <c r="K25892" s="82"/>
      <c r="M25892" s="112"/>
      <c r="N25892" s="84"/>
    </row>
    <row r="25893" spans="1:14" s="2" customFormat="1">
      <c r="A25893" s="83"/>
      <c r="H25893" s="83"/>
      <c r="K25893" s="82"/>
      <c r="M25893" s="112"/>
      <c r="N25893" s="84"/>
    </row>
    <row r="25894" spans="1:14" s="2" customFormat="1">
      <c r="A25894" s="83"/>
      <c r="H25894" s="83"/>
      <c r="K25894" s="82"/>
      <c r="M25894" s="112"/>
      <c r="N25894" s="84"/>
    </row>
    <row r="25895" spans="1:14" s="2" customFormat="1">
      <c r="A25895" s="83"/>
      <c r="H25895" s="83"/>
      <c r="K25895" s="82"/>
      <c r="M25895" s="112"/>
      <c r="N25895" s="84"/>
    </row>
    <row r="25896" spans="1:14" s="2" customFormat="1">
      <c r="A25896" s="83"/>
      <c r="H25896" s="83"/>
      <c r="K25896" s="82"/>
      <c r="M25896" s="112"/>
      <c r="N25896" s="84"/>
    </row>
    <row r="25897" spans="1:14" s="2" customFormat="1">
      <c r="A25897" s="83"/>
      <c r="H25897" s="83"/>
      <c r="K25897" s="82"/>
      <c r="M25897" s="112"/>
      <c r="N25897" s="84"/>
    </row>
    <row r="25898" spans="1:14" s="2" customFormat="1">
      <c r="A25898" s="83"/>
      <c r="H25898" s="83"/>
      <c r="K25898" s="82"/>
      <c r="M25898" s="112"/>
      <c r="N25898" s="84"/>
    </row>
    <row r="25899" spans="1:14" s="2" customFormat="1">
      <c r="A25899" s="83"/>
      <c r="H25899" s="83"/>
      <c r="K25899" s="82"/>
      <c r="M25899" s="112"/>
      <c r="N25899" s="84"/>
    </row>
    <row r="25900" spans="1:14" s="2" customFormat="1">
      <c r="A25900" s="83"/>
      <c r="H25900" s="83"/>
      <c r="K25900" s="82"/>
      <c r="M25900" s="112"/>
      <c r="N25900" s="84"/>
    </row>
    <row r="25901" spans="1:14" s="2" customFormat="1">
      <c r="A25901" s="83"/>
      <c r="H25901" s="83"/>
      <c r="K25901" s="82"/>
      <c r="M25901" s="112"/>
      <c r="N25901" s="84"/>
    </row>
    <row r="25902" spans="1:14" s="2" customFormat="1">
      <c r="A25902" s="83"/>
      <c r="H25902" s="83"/>
      <c r="K25902" s="82"/>
      <c r="M25902" s="112"/>
      <c r="N25902" s="84"/>
    </row>
    <row r="25903" spans="1:14" s="2" customFormat="1">
      <c r="A25903" s="83"/>
      <c r="H25903" s="83"/>
      <c r="K25903" s="82"/>
      <c r="M25903" s="112"/>
      <c r="N25903" s="84"/>
    </row>
    <row r="25904" spans="1:14" s="2" customFormat="1">
      <c r="A25904" s="83"/>
      <c r="H25904" s="83"/>
      <c r="K25904" s="82"/>
      <c r="M25904" s="112"/>
      <c r="N25904" s="84"/>
    </row>
    <row r="25905" spans="1:14" s="2" customFormat="1">
      <c r="A25905" s="83"/>
      <c r="H25905" s="83"/>
      <c r="K25905" s="82"/>
      <c r="M25905" s="112"/>
      <c r="N25905" s="84"/>
    </row>
    <row r="25906" spans="1:14" s="2" customFormat="1">
      <c r="A25906" s="83"/>
      <c r="H25906" s="83"/>
      <c r="K25906" s="82"/>
      <c r="M25906" s="112"/>
      <c r="N25906" s="84"/>
    </row>
    <row r="25907" spans="1:14" s="2" customFormat="1">
      <c r="A25907" s="83"/>
      <c r="H25907" s="83"/>
      <c r="K25907" s="82"/>
      <c r="M25907" s="112"/>
      <c r="N25907" s="84"/>
    </row>
    <row r="25908" spans="1:14" s="2" customFormat="1">
      <c r="A25908" s="83"/>
      <c r="H25908" s="83"/>
      <c r="K25908" s="82"/>
      <c r="M25908" s="112"/>
      <c r="N25908" s="84"/>
    </row>
    <row r="25909" spans="1:14" s="2" customFormat="1">
      <c r="A25909" s="83"/>
      <c r="H25909" s="83"/>
      <c r="K25909" s="82"/>
      <c r="M25909" s="112"/>
      <c r="N25909" s="84"/>
    </row>
    <row r="25910" spans="1:14" s="2" customFormat="1">
      <c r="A25910" s="83"/>
      <c r="H25910" s="83"/>
      <c r="K25910" s="82"/>
      <c r="M25910" s="112"/>
      <c r="N25910" s="84"/>
    </row>
    <row r="25911" spans="1:14" s="2" customFormat="1">
      <c r="A25911" s="83"/>
      <c r="H25911" s="83"/>
      <c r="K25911" s="82"/>
      <c r="M25911" s="112"/>
      <c r="N25911" s="84"/>
    </row>
    <row r="25912" spans="1:14" s="2" customFormat="1">
      <c r="A25912" s="83"/>
      <c r="H25912" s="83"/>
      <c r="K25912" s="82"/>
      <c r="M25912" s="112"/>
      <c r="N25912" s="84"/>
    </row>
    <row r="25913" spans="1:14" s="2" customFormat="1">
      <c r="A25913" s="83"/>
      <c r="H25913" s="83"/>
      <c r="K25913" s="82"/>
      <c r="M25913" s="112"/>
      <c r="N25913" s="84"/>
    </row>
    <row r="25914" spans="1:14" s="2" customFormat="1">
      <c r="A25914" s="83"/>
      <c r="H25914" s="83"/>
      <c r="K25914" s="82"/>
      <c r="M25914" s="112"/>
      <c r="N25914" s="84"/>
    </row>
    <row r="25915" spans="1:14" s="2" customFormat="1">
      <c r="A25915" s="83"/>
      <c r="H25915" s="83"/>
      <c r="K25915" s="82"/>
      <c r="M25915" s="112"/>
      <c r="N25915" s="84"/>
    </row>
    <row r="25916" spans="1:14" s="2" customFormat="1">
      <c r="A25916" s="83"/>
      <c r="H25916" s="83"/>
      <c r="K25916" s="82"/>
      <c r="M25916" s="112"/>
      <c r="N25916" s="84"/>
    </row>
    <row r="25917" spans="1:14" s="2" customFormat="1">
      <c r="A25917" s="83"/>
      <c r="H25917" s="83"/>
      <c r="K25917" s="82"/>
      <c r="M25917" s="112"/>
      <c r="N25917" s="84"/>
    </row>
    <row r="25918" spans="1:14" s="2" customFormat="1">
      <c r="A25918" s="83"/>
      <c r="H25918" s="83"/>
      <c r="K25918" s="82"/>
      <c r="M25918" s="112"/>
      <c r="N25918" s="84"/>
    </row>
    <row r="25919" spans="1:14" s="2" customFormat="1">
      <c r="A25919" s="83"/>
      <c r="H25919" s="83"/>
      <c r="K25919" s="82"/>
      <c r="M25919" s="112"/>
      <c r="N25919" s="84"/>
    </row>
    <row r="25920" spans="1:14" s="2" customFormat="1">
      <c r="A25920" s="83"/>
      <c r="H25920" s="83"/>
      <c r="K25920" s="82"/>
      <c r="M25920" s="112"/>
      <c r="N25920" s="84"/>
    </row>
    <row r="25921" spans="1:14" s="2" customFormat="1">
      <c r="A25921" s="83"/>
      <c r="H25921" s="83"/>
      <c r="K25921" s="82"/>
      <c r="M25921" s="112"/>
      <c r="N25921" s="84"/>
    </row>
    <row r="25922" spans="1:14" s="2" customFormat="1">
      <c r="A25922" s="83"/>
      <c r="H25922" s="83"/>
      <c r="K25922" s="82"/>
      <c r="M25922" s="112"/>
      <c r="N25922" s="84"/>
    </row>
    <row r="25923" spans="1:14" s="2" customFormat="1">
      <c r="A25923" s="83"/>
      <c r="H25923" s="83"/>
      <c r="K25923" s="82"/>
      <c r="M25923" s="112"/>
      <c r="N25923" s="84"/>
    </row>
    <row r="25924" spans="1:14" s="2" customFormat="1">
      <c r="A25924" s="83"/>
      <c r="H25924" s="83"/>
      <c r="K25924" s="82"/>
      <c r="M25924" s="112"/>
      <c r="N25924" s="84"/>
    </row>
    <row r="25925" spans="1:14" s="2" customFormat="1">
      <c r="A25925" s="83"/>
      <c r="H25925" s="83"/>
      <c r="K25925" s="82"/>
      <c r="M25925" s="112"/>
      <c r="N25925" s="84"/>
    </row>
    <row r="25926" spans="1:14" s="2" customFormat="1">
      <c r="A25926" s="83"/>
      <c r="H25926" s="83"/>
      <c r="K25926" s="82"/>
      <c r="M25926" s="112"/>
      <c r="N25926" s="84"/>
    </row>
    <row r="25927" spans="1:14" s="2" customFormat="1">
      <c r="A25927" s="83"/>
      <c r="H25927" s="83"/>
      <c r="K25927" s="82"/>
      <c r="M25927" s="112"/>
      <c r="N25927" s="84"/>
    </row>
    <row r="25928" spans="1:14" s="2" customFormat="1">
      <c r="A25928" s="83"/>
      <c r="H25928" s="83"/>
      <c r="K25928" s="82"/>
      <c r="M25928" s="112"/>
      <c r="N25928" s="84"/>
    </row>
    <row r="25929" spans="1:14" s="2" customFormat="1">
      <c r="A25929" s="83"/>
      <c r="H25929" s="83"/>
      <c r="K25929" s="82"/>
      <c r="M25929" s="112"/>
      <c r="N25929" s="84"/>
    </row>
    <row r="25930" spans="1:14" s="2" customFormat="1">
      <c r="A25930" s="83"/>
      <c r="H25930" s="83"/>
      <c r="K25930" s="82"/>
      <c r="M25930" s="112"/>
      <c r="N25930" s="84"/>
    </row>
    <row r="25931" spans="1:14" s="2" customFormat="1">
      <c r="A25931" s="83"/>
      <c r="H25931" s="83"/>
      <c r="K25931" s="82"/>
      <c r="M25931" s="112"/>
      <c r="N25931" s="84"/>
    </row>
    <row r="25932" spans="1:14" s="2" customFormat="1">
      <c r="A25932" s="83"/>
      <c r="H25932" s="83"/>
      <c r="K25932" s="82"/>
      <c r="M25932" s="112"/>
      <c r="N25932" s="84"/>
    </row>
    <row r="25933" spans="1:14" s="2" customFormat="1">
      <c r="A25933" s="83"/>
      <c r="H25933" s="83"/>
      <c r="K25933" s="82"/>
      <c r="M25933" s="112"/>
      <c r="N25933" s="84"/>
    </row>
    <row r="25934" spans="1:14" s="2" customFormat="1">
      <c r="A25934" s="83"/>
      <c r="H25934" s="83"/>
      <c r="K25934" s="82"/>
      <c r="M25934" s="112"/>
      <c r="N25934" s="84"/>
    </row>
    <row r="25935" spans="1:14" s="2" customFormat="1">
      <c r="A25935" s="83"/>
      <c r="H25935" s="83"/>
      <c r="K25935" s="82"/>
      <c r="M25935" s="112"/>
      <c r="N25935" s="84"/>
    </row>
    <row r="25936" spans="1:14" s="2" customFormat="1">
      <c r="A25936" s="83"/>
      <c r="H25936" s="83"/>
      <c r="K25936" s="82"/>
      <c r="M25936" s="112"/>
      <c r="N25936" s="84"/>
    </row>
    <row r="25937" spans="1:14" s="2" customFormat="1">
      <c r="A25937" s="83"/>
      <c r="H25937" s="83"/>
      <c r="K25937" s="82"/>
      <c r="M25937" s="112"/>
      <c r="N25937" s="84"/>
    </row>
    <row r="25938" spans="1:14" s="2" customFormat="1">
      <c r="A25938" s="83"/>
      <c r="H25938" s="83"/>
      <c r="K25938" s="82"/>
      <c r="M25938" s="112"/>
      <c r="N25938" s="84"/>
    </row>
    <row r="25939" spans="1:14" s="2" customFormat="1">
      <c r="A25939" s="83"/>
      <c r="H25939" s="83"/>
      <c r="K25939" s="82"/>
      <c r="M25939" s="112"/>
      <c r="N25939" s="84"/>
    </row>
    <row r="25940" spans="1:14" s="2" customFormat="1">
      <c r="A25940" s="83"/>
      <c r="H25940" s="83"/>
      <c r="K25940" s="82"/>
      <c r="M25940" s="112"/>
      <c r="N25940" s="84"/>
    </row>
    <row r="25941" spans="1:14" s="2" customFormat="1">
      <c r="A25941" s="83"/>
      <c r="H25941" s="83"/>
      <c r="K25941" s="82"/>
      <c r="M25941" s="112"/>
      <c r="N25941" s="84"/>
    </row>
    <row r="25942" spans="1:14" s="2" customFormat="1">
      <c r="A25942" s="83"/>
      <c r="H25942" s="83"/>
      <c r="K25942" s="82"/>
      <c r="M25942" s="112"/>
      <c r="N25942" s="84"/>
    </row>
    <row r="25943" spans="1:14" s="2" customFormat="1">
      <c r="A25943" s="83"/>
      <c r="H25943" s="83"/>
      <c r="K25943" s="82"/>
      <c r="M25943" s="112"/>
      <c r="N25943" s="84"/>
    </row>
    <row r="25944" spans="1:14" s="2" customFormat="1">
      <c r="A25944" s="83"/>
      <c r="H25944" s="83"/>
      <c r="K25944" s="82"/>
      <c r="M25944" s="112"/>
      <c r="N25944" s="84"/>
    </row>
    <row r="25945" spans="1:14" s="2" customFormat="1">
      <c r="A25945" s="83"/>
      <c r="H25945" s="83"/>
      <c r="K25945" s="82"/>
      <c r="M25945" s="112"/>
      <c r="N25945" s="84"/>
    </row>
    <row r="25946" spans="1:14" s="2" customFormat="1">
      <c r="A25946" s="83"/>
      <c r="H25946" s="83"/>
      <c r="K25946" s="82"/>
      <c r="M25946" s="112"/>
      <c r="N25946" s="84"/>
    </row>
    <row r="25947" spans="1:14" s="2" customFormat="1">
      <c r="A25947" s="83"/>
      <c r="H25947" s="83"/>
      <c r="K25947" s="82"/>
      <c r="M25947" s="112"/>
      <c r="N25947" s="84"/>
    </row>
    <row r="25948" spans="1:14" s="2" customFormat="1">
      <c r="A25948" s="83"/>
      <c r="H25948" s="83"/>
      <c r="K25948" s="82"/>
      <c r="M25948" s="112"/>
      <c r="N25948" s="84"/>
    </row>
    <row r="25949" spans="1:14" s="2" customFormat="1">
      <c r="A25949" s="83"/>
      <c r="H25949" s="83"/>
      <c r="K25949" s="82"/>
      <c r="M25949" s="112"/>
      <c r="N25949" s="84"/>
    </row>
    <row r="25950" spans="1:14" s="2" customFormat="1">
      <c r="A25950" s="83"/>
      <c r="H25950" s="83"/>
      <c r="K25950" s="82"/>
      <c r="M25950" s="112"/>
      <c r="N25950" s="84"/>
    </row>
    <row r="25951" spans="1:14" s="2" customFormat="1">
      <c r="A25951" s="83"/>
      <c r="H25951" s="83"/>
      <c r="K25951" s="82"/>
      <c r="M25951" s="112"/>
      <c r="N25951" s="84"/>
    </row>
    <row r="25952" spans="1:14" s="2" customFormat="1">
      <c r="A25952" s="83"/>
      <c r="H25952" s="83"/>
      <c r="K25952" s="82"/>
      <c r="M25952" s="112"/>
      <c r="N25952" s="84"/>
    </row>
    <row r="25953" spans="1:14" s="2" customFormat="1">
      <c r="A25953" s="83"/>
      <c r="H25953" s="83"/>
      <c r="K25953" s="82"/>
      <c r="M25953" s="112"/>
      <c r="N25953" s="84"/>
    </row>
    <row r="25954" spans="1:14" s="2" customFormat="1">
      <c r="A25954" s="83"/>
      <c r="H25954" s="83"/>
      <c r="K25954" s="82"/>
      <c r="M25954" s="112"/>
      <c r="N25954" s="84"/>
    </row>
    <row r="25955" spans="1:14" s="2" customFormat="1">
      <c r="A25955" s="83"/>
      <c r="H25955" s="83"/>
      <c r="K25955" s="82"/>
      <c r="M25955" s="112"/>
      <c r="N25955" s="84"/>
    </row>
    <row r="25956" spans="1:14" s="2" customFormat="1">
      <c r="A25956" s="83"/>
      <c r="H25956" s="83"/>
      <c r="K25956" s="82"/>
      <c r="M25956" s="112"/>
      <c r="N25956" s="84"/>
    </row>
    <row r="25957" spans="1:14" s="2" customFormat="1">
      <c r="A25957" s="83"/>
      <c r="H25957" s="83"/>
      <c r="K25957" s="82"/>
      <c r="M25957" s="112"/>
      <c r="N25957" s="84"/>
    </row>
    <row r="25958" spans="1:14" s="2" customFormat="1">
      <c r="A25958" s="83"/>
      <c r="H25958" s="83"/>
      <c r="K25958" s="82"/>
      <c r="M25958" s="112"/>
      <c r="N25958" s="84"/>
    </row>
    <row r="25959" spans="1:14" s="2" customFormat="1">
      <c r="A25959" s="83"/>
      <c r="H25959" s="83"/>
      <c r="K25959" s="82"/>
      <c r="M25959" s="112"/>
      <c r="N25959" s="84"/>
    </row>
    <row r="25960" spans="1:14" s="2" customFormat="1">
      <c r="A25960" s="83"/>
      <c r="H25960" s="83"/>
      <c r="K25960" s="82"/>
      <c r="M25960" s="112"/>
      <c r="N25960" s="84"/>
    </row>
    <row r="25961" spans="1:14" s="2" customFormat="1">
      <c r="A25961" s="83"/>
      <c r="H25961" s="83"/>
      <c r="K25961" s="82"/>
      <c r="M25961" s="112"/>
      <c r="N25961" s="84"/>
    </row>
    <row r="25962" spans="1:14" s="2" customFormat="1">
      <c r="A25962" s="83"/>
      <c r="H25962" s="83"/>
      <c r="K25962" s="82"/>
      <c r="M25962" s="112"/>
      <c r="N25962" s="84"/>
    </row>
    <row r="25963" spans="1:14" s="2" customFormat="1">
      <c r="A25963" s="83"/>
      <c r="H25963" s="83"/>
      <c r="K25963" s="82"/>
      <c r="M25963" s="112"/>
      <c r="N25963" s="84"/>
    </row>
    <row r="25964" spans="1:14" s="2" customFormat="1">
      <c r="A25964" s="83"/>
      <c r="H25964" s="83"/>
      <c r="K25964" s="82"/>
      <c r="M25964" s="112"/>
      <c r="N25964" s="84"/>
    </row>
    <row r="25965" spans="1:14" s="2" customFormat="1">
      <c r="A25965" s="83"/>
      <c r="H25965" s="83"/>
      <c r="K25965" s="82"/>
      <c r="M25965" s="112"/>
      <c r="N25965" s="84"/>
    </row>
    <row r="25966" spans="1:14" s="2" customFormat="1">
      <c r="A25966" s="83"/>
      <c r="H25966" s="83"/>
      <c r="K25966" s="82"/>
      <c r="M25966" s="112"/>
      <c r="N25966" s="84"/>
    </row>
    <row r="25967" spans="1:14" s="2" customFormat="1">
      <c r="A25967" s="83"/>
      <c r="H25967" s="83"/>
      <c r="K25967" s="82"/>
      <c r="M25967" s="112"/>
      <c r="N25967" s="84"/>
    </row>
    <row r="25968" spans="1:14" s="2" customFormat="1">
      <c r="A25968" s="83"/>
      <c r="H25968" s="83"/>
      <c r="K25968" s="82"/>
      <c r="M25968" s="112"/>
      <c r="N25968" s="84"/>
    </row>
    <row r="25969" spans="1:14" s="2" customFormat="1">
      <c r="A25969" s="83"/>
      <c r="H25969" s="83"/>
      <c r="K25969" s="82"/>
      <c r="M25969" s="112"/>
      <c r="N25969" s="84"/>
    </row>
    <row r="25970" spans="1:14" s="2" customFormat="1">
      <c r="A25970" s="83"/>
      <c r="H25970" s="83"/>
      <c r="K25970" s="82"/>
      <c r="M25970" s="112"/>
      <c r="N25970" s="84"/>
    </row>
    <row r="25971" spans="1:14" s="2" customFormat="1">
      <c r="A25971" s="83"/>
      <c r="H25971" s="83"/>
      <c r="K25971" s="82"/>
      <c r="M25971" s="112"/>
      <c r="N25971" s="84"/>
    </row>
    <row r="25972" spans="1:14" s="2" customFormat="1">
      <c r="A25972" s="83"/>
      <c r="H25972" s="83"/>
      <c r="K25972" s="82"/>
      <c r="M25972" s="112"/>
      <c r="N25972" s="84"/>
    </row>
    <row r="25973" spans="1:14" s="2" customFormat="1">
      <c r="A25973" s="83"/>
      <c r="H25973" s="83"/>
      <c r="K25973" s="82"/>
      <c r="M25973" s="112"/>
      <c r="N25973" s="84"/>
    </row>
    <row r="25974" spans="1:14" s="2" customFormat="1">
      <c r="A25974" s="83"/>
      <c r="H25974" s="83"/>
      <c r="K25974" s="82"/>
      <c r="M25974" s="112"/>
      <c r="N25974" s="84"/>
    </row>
    <row r="25975" spans="1:14" s="2" customFormat="1">
      <c r="A25975" s="83"/>
      <c r="H25975" s="83"/>
      <c r="K25975" s="82"/>
      <c r="M25975" s="112"/>
      <c r="N25975" s="84"/>
    </row>
    <row r="25976" spans="1:14" s="2" customFormat="1">
      <c r="A25976" s="83"/>
      <c r="H25976" s="83"/>
      <c r="K25976" s="82"/>
      <c r="M25976" s="112"/>
      <c r="N25976" s="84"/>
    </row>
    <row r="25977" spans="1:14" s="2" customFormat="1">
      <c r="A25977" s="83"/>
      <c r="H25977" s="83"/>
      <c r="K25977" s="82"/>
      <c r="M25977" s="112"/>
      <c r="N25977" s="84"/>
    </row>
    <row r="25978" spans="1:14" s="2" customFormat="1">
      <c r="A25978" s="83"/>
      <c r="H25978" s="83"/>
      <c r="K25978" s="82"/>
      <c r="M25978" s="112"/>
      <c r="N25978" s="84"/>
    </row>
    <row r="25979" spans="1:14" s="2" customFormat="1">
      <c r="A25979" s="83"/>
      <c r="H25979" s="83"/>
      <c r="K25979" s="82"/>
      <c r="M25979" s="112"/>
      <c r="N25979" s="84"/>
    </row>
    <row r="25980" spans="1:14" s="2" customFormat="1">
      <c r="A25980" s="83"/>
      <c r="H25980" s="83"/>
      <c r="K25980" s="82"/>
      <c r="M25980" s="112"/>
      <c r="N25980" s="84"/>
    </row>
    <row r="25981" spans="1:14" s="2" customFormat="1">
      <c r="A25981" s="83"/>
      <c r="H25981" s="83"/>
      <c r="K25981" s="82"/>
      <c r="M25981" s="112"/>
      <c r="N25981" s="84"/>
    </row>
    <row r="25982" spans="1:14" s="2" customFormat="1">
      <c r="A25982" s="83"/>
      <c r="H25982" s="83"/>
      <c r="K25982" s="82"/>
      <c r="M25982" s="112"/>
      <c r="N25982" s="84"/>
    </row>
    <row r="25983" spans="1:14" s="2" customFormat="1">
      <c r="A25983" s="83"/>
      <c r="H25983" s="83"/>
      <c r="K25983" s="82"/>
      <c r="M25983" s="112"/>
      <c r="N25983" s="84"/>
    </row>
    <row r="25984" spans="1:14" s="2" customFormat="1">
      <c r="A25984" s="83"/>
      <c r="H25984" s="83"/>
      <c r="K25984" s="82"/>
      <c r="M25984" s="112"/>
      <c r="N25984" s="84"/>
    </row>
    <row r="25985" spans="1:14" s="2" customFormat="1">
      <c r="A25985" s="83"/>
      <c r="H25985" s="83"/>
      <c r="K25985" s="82"/>
      <c r="M25985" s="112"/>
      <c r="N25985" s="84"/>
    </row>
    <row r="25986" spans="1:14" s="2" customFormat="1">
      <c r="A25986" s="83"/>
      <c r="H25986" s="83"/>
      <c r="K25986" s="82"/>
      <c r="M25986" s="112"/>
      <c r="N25986" s="84"/>
    </row>
    <row r="25987" spans="1:14" s="2" customFormat="1">
      <c r="A25987" s="83"/>
      <c r="H25987" s="83"/>
      <c r="K25987" s="82"/>
      <c r="M25987" s="112"/>
      <c r="N25987" s="84"/>
    </row>
    <row r="25988" spans="1:14" s="2" customFormat="1">
      <c r="A25988" s="83"/>
      <c r="H25988" s="83"/>
      <c r="K25988" s="82"/>
      <c r="M25988" s="112"/>
      <c r="N25988" s="84"/>
    </row>
    <row r="25989" spans="1:14" s="2" customFormat="1">
      <c r="A25989" s="83"/>
      <c r="H25989" s="83"/>
      <c r="K25989" s="82"/>
      <c r="M25989" s="112"/>
      <c r="N25989" s="84"/>
    </row>
    <row r="25990" spans="1:14" s="2" customFormat="1">
      <c r="A25990" s="83"/>
      <c r="H25990" s="83"/>
      <c r="K25990" s="82"/>
      <c r="M25990" s="112"/>
      <c r="N25990" s="84"/>
    </row>
    <row r="25991" spans="1:14" s="2" customFormat="1">
      <c r="A25991" s="83"/>
      <c r="H25991" s="83"/>
      <c r="K25991" s="82"/>
      <c r="M25991" s="112"/>
      <c r="N25991" s="84"/>
    </row>
    <row r="25992" spans="1:14" s="2" customFormat="1">
      <c r="A25992" s="83"/>
      <c r="H25992" s="83"/>
      <c r="K25992" s="82"/>
      <c r="M25992" s="112"/>
      <c r="N25992" s="84"/>
    </row>
    <row r="25993" spans="1:14" s="2" customFormat="1">
      <c r="A25993" s="83"/>
      <c r="H25993" s="83"/>
      <c r="K25993" s="82"/>
      <c r="M25993" s="112"/>
      <c r="N25993" s="84"/>
    </row>
    <row r="25994" spans="1:14" s="2" customFormat="1">
      <c r="A25994" s="83"/>
      <c r="H25994" s="83"/>
      <c r="K25994" s="82"/>
      <c r="M25994" s="112"/>
      <c r="N25994" s="84"/>
    </row>
    <row r="25995" spans="1:14" s="2" customFormat="1">
      <c r="A25995" s="83"/>
      <c r="H25995" s="83"/>
      <c r="K25995" s="82"/>
      <c r="M25995" s="112"/>
      <c r="N25995" s="84"/>
    </row>
    <row r="25996" spans="1:14" s="2" customFormat="1">
      <c r="A25996" s="83"/>
      <c r="H25996" s="83"/>
      <c r="K25996" s="82"/>
      <c r="M25996" s="112"/>
      <c r="N25996" s="84"/>
    </row>
    <row r="25997" spans="1:14" s="2" customFormat="1">
      <c r="A25997" s="83"/>
      <c r="H25997" s="83"/>
      <c r="K25997" s="82"/>
      <c r="M25997" s="112"/>
      <c r="N25997" s="84"/>
    </row>
    <row r="25998" spans="1:14" s="2" customFormat="1">
      <c r="A25998" s="83"/>
      <c r="H25998" s="83"/>
      <c r="K25998" s="82"/>
      <c r="M25998" s="112"/>
      <c r="N25998" s="84"/>
    </row>
    <row r="25999" spans="1:14" s="2" customFormat="1">
      <c r="A25999" s="83"/>
      <c r="H25999" s="83"/>
      <c r="K25999" s="82"/>
      <c r="M25999" s="112"/>
      <c r="N25999" s="84"/>
    </row>
    <row r="26000" spans="1:14" s="2" customFormat="1">
      <c r="A26000" s="83"/>
      <c r="H26000" s="83"/>
      <c r="K26000" s="82"/>
      <c r="M26000" s="112"/>
      <c r="N26000" s="84"/>
    </row>
    <row r="26001" spans="1:14" s="2" customFormat="1">
      <c r="A26001" s="83"/>
      <c r="H26001" s="83"/>
      <c r="K26001" s="82"/>
      <c r="M26001" s="112"/>
      <c r="N26001" s="84"/>
    </row>
    <row r="26002" spans="1:14" s="2" customFormat="1">
      <c r="A26002" s="83"/>
      <c r="H26002" s="83"/>
      <c r="K26002" s="82"/>
      <c r="M26002" s="112"/>
      <c r="N26002" s="84"/>
    </row>
    <row r="26003" spans="1:14" s="2" customFormat="1">
      <c r="A26003" s="83"/>
      <c r="H26003" s="83"/>
      <c r="K26003" s="82"/>
      <c r="M26003" s="112"/>
      <c r="N26003" s="84"/>
    </row>
    <row r="26004" spans="1:14" s="2" customFormat="1">
      <c r="A26004" s="83"/>
      <c r="H26004" s="83"/>
      <c r="K26004" s="82"/>
      <c r="M26004" s="112"/>
      <c r="N26004" s="84"/>
    </row>
    <row r="26005" spans="1:14" s="2" customFormat="1">
      <c r="A26005" s="83"/>
      <c r="H26005" s="83"/>
      <c r="K26005" s="82"/>
      <c r="M26005" s="112"/>
      <c r="N26005" s="84"/>
    </row>
    <row r="26006" spans="1:14" s="2" customFormat="1">
      <c r="A26006" s="83"/>
      <c r="H26006" s="83"/>
      <c r="K26006" s="82"/>
      <c r="M26006" s="112"/>
      <c r="N26006" s="84"/>
    </row>
    <row r="26007" spans="1:14" s="2" customFormat="1">
      <c r="A26007" s="83"/>
      <c r="H26007" s="83"/>
      <c r="K26007" s="82"/>
      <c r="M26007" s="112"/>
      <c r="N26007" s="84"/>
    </row>
    <row r="26008" spans="1:14" s="2" customFormat="1">
      <c r="A26008" s="83"/>
      <c r="H26008" s="83"/>
      <c r="K26008" s="82"/>
      <c r="M26008" s="112"/>
      <c r="N26008" s="84"/>
    </row>
    <row r="26009" spans="1:14" s="2" customFormat="1">
      <c r="A26009" s="83"/>
      <c r="H26009" s="83"/>
      <c r="K26009" s="82"/>
      <c r="M26009" s="112"/>
      <c r="N26009" s="84"/>
    </row>
    <row r="26010" spans="1:14" s="2" customFormat="1">
      <c r="A26010" s="83"/>
      <c r="H26010" s="83"/>
      <c r="K26010" s="82"/>
      <c r="M26010" s="112"/>
      <c r="N26010" s="84"/>
    </row>
    <row r="26011" spans="1:14" s="2" customFormat="1">
      <c r="A26011" s="83"/>
      <c r="H26011" s="83"/>
      <c r="K26011" s="82"/>
      <c r="M26011" s="112"/>
      <c r="N26011" s="84"/>
    </row>
    <row r="26012" spans="1:14" s="2" customFormat="1">
      <c r="A26012" s="83"/>
      <c r="H26012" s="83"/>
      <c r="K26012" s="82"/>
      <c r="M26012" s="112"/>
      <c r="N26012" s="84"/>
    </row>
    <row r="26013" spans="1:14" s="2" customFormat="1">
      <c r="A26013" s="83"/>
      <c r="H26013" s="83"/>
      <c r="K26013" s="82"/>
      <c r="M26013" s="112"/>
      <c r="N26013" s="84"/>
    </row>
    <row r="26014" spans="1:14" s="2" customFormat="1">
      <c r="A26014" s="83"/>
      <c r="H26014" s="83"/>
      <c r="K26014" s="82"/>
      <c r="M26014" s="112"/>
      <c r="N26014" s="84"/>
    </row>
    <row r="26015" spans="1:14" s="2" customFormat="1">
      <c r="A26015" s="83"/>
      <c r="H26015" s="83"/>
      <c r="K26015" s="82"/>
      <c r="M26015" s="112"/>
      <c r="N26015" s="84"/>
    </row>
    <row r="26016" spans="1:14" s="2" customFormat="1">
      <c r="A26016" s="83"/>
      <c r="H26016" s="83"/>
      <c r="K26016" s="82"/>
      <c r="M26016" s="112"/>
      <c r="N26016" s="84"/>
    </row>
    <row r="26017" spans="1:14" s="2" customFormat="1">
      <c r="A26017" s="83"/>
      <c r="H26017" s="83"/>
      <c r="K26017" s="82"/>
      <c r="M26017" s="112"/>
      <c r="N26017" s="84"/>
    </row>
    <row r="26018" spans="1:14" s="2" customFormat="1">
      <c r="A26018" s="83"/>
      <c r="H26018" s="83"/>
      <c r="K26018" s="82"/>
      <c r="M26018" s="112"/>
      <c r="N26018" s="84"/>
    </row>
    <row r="26019" spans="1:14" s="2" customFormat="1">
      <c r="A26019" s="83"/>
      <c r="H26019" s="83"/>
      <c r="K26019" s="82"/>
      <c r="M26019" s="112"/>
      <c r="N26019" s="84"/>
    </row>
    <row r="26020" spans="1:14" s="2" customFormat="1">
      <c r="A26020" s="83"/>
      <c r="H26020" s="83"/>
      <c r="K26020" s="82"/>
      <c r="M26020" s="112"/>
      <c r="N26020" s="84"/>
    </row>
    <row r="26021" spans="1:14" s="2" customFormat="1">
      <c r="A26021" s="83"/>
      <c r="H26021" s="83"/>
      <c r="K26021" s="82"/>
      <c r="M26021" s="112"/>
      <c r="N26021" s="84"/>
    </row>
    <row r="26022" spans="1:14" s="2" customFormat="1">
      <c r="A26022" s="83"/>
      <c r="H26022" s="83"/>
      <c r="K26022" s="82"/>
      <c r="M26022" s="112"/>
      <c r="N26022" s="84"/>
    </row>
    <row r="26023" spans="1:14" s="2" customFormat="1">
      <c r="A26023" s="83"/>
      <c r="H26023" s="83"/>
      <c r="K26023" s="82"/>
      <c r="M26023" s="112"/>
      <c r="N26023" s="84"/>
    </row>
    <row r="26024" spans="1:14" s="2" customFormat="1">
      <c r="A26024" s="83"/>
      <c r="H26024" s="83"/>
      <c r="K26024" s="82"/>
      <c r="M26024" s="112"/>
      <c r="N26024" s="84"/>
    </row>
    <row r="26025" spans="1:14" s="2" customFormat="1">
      <c r="A26025" s="83"/>
      <c r="H26025" s="83"/>
      <c r="K26025" s="82"/>
      <c r="M26025" s="112"/>
      <c r="N26025" s="84"/>
    </row>
    <row r="26026" spans="1:14" s="2" customFormat="1">
      <c r="A26026" s="83"/>
      <c r="H26026" s="83"/>
      <c r="K26026" s="82"/>
      <c r="M26026" s="112"/>
      <c r="N26026" s="84"/>
    </row>
    <row r="26027" spans="1:14" s="2" customFormat="1">
      <c r="A26027" s="83"/>
      <c r="H26027" s="83"/>
      <c r="K26027" s="82"/>
      <c r="M26027" s="112"/>
      <c r="N26027" s="84"/>
    </row>
    <row r="26028" spans="1:14" s="2" customFormat="1">
      <c r="A26028" s="83"/>
      <c r="H26028" s="83"/>
      <c r="K26028" s="82"/>
      <c r="M26028" s="112"/>
      <c r="N26028" s="84"/>
    </row>
    <row r="26029" spans="1:14" s="2" customFormat="1">
      <c r="A26029" s="83"/>
      <c r="H26029" s="83"/>
      <c r="K26029" s="82"/>
      <c r="M26029" s="112"/>
      <c r="N26029" s="84"/>
    </row>
    <row r="26030" spans="1:14" s="2" customFormat="1">
      <c r="A26030" s="83"/>
      <c r="H26030" s="83"/>
      <c r="K26030" s="82"/>
      <c r="M26030" s="112"/>
      <c r="N26030" s="84"/>
    </row>
    <row r="26031" spans="1:14" s="2" customFormat="1">
      <c r="A26031" s="83"/>
      <c r="H26031" s="83"/>
      <c r="K26031" s="82"/>
      <c r="M26031" s="112"/>
      <c r="N26031" s="84"/>
    </row>
    <row r="26032" spans="1:14" s="2" customFormat="1">
      <c r="A26032" s="83"/>
      <c r="H26032" s="83"/>
      <c r="K26032" s="82"/>
      <c r="M26032" s="112"/>
      <c r="N26032" s="84"/>
    </row>
    <row r="26033" spans="1:14" s="2" customFormat="1">
      <c r="A26033" s="83"/>
      <c r="H26033" s="83"/>
      <c r="K26033" s="82"/>
      <c r="M26033" s="112"/>
      <c r="N26033" s="84"/>
    </row>
    <row r="26034" spans="1:14" s="2" customFormat="1">
      <c r="A26034" s="83"/>
      <c r="H26034" s="83"/>
      <c r="K26034" s="82"/>
      <c r="M26034" s="112"/>
      <c r="N26034" s="84"/>
    </row>
    <row r="26035" spans="1:14" s="2" customFormat="1">
      <c r="A26035" s="83"/>
      <c r="H26035" s="83"/>
      <c r="K26035" s="82"/>
      <c r="M26035" s="112"/>
      <c r="N26035" s="84"/>
    </row>
    <row r="26036" spans="1:14" s="2" customFormat="1">
      <c r="A26036" s="83"/>
      <c r="H26036" s="83"/>
      <c r="K26036" s="82"/>
      <c r="M26036" s="112"/>
      <c r="N26036" s="84"/>
    </row>
    <row r="26037" spans="1:14" s="2" customFormat="1">
      <c r="A26037" s="83"/>
      <c r="H26037" s="83"/>
      <c r="K26037" s="82"/>
      <c r="M26037" s="112"/>
      <c r="N26037" s="84"/>
    </row>
    <row r="26038" spans="1:14" s="2" customFormat="1">
      <c r="A26038" s="83"/>
      <c r="H26038" s="83"/>
      <c r="K26038" s="82"/>
      <c r="M26038" s="112"/>
      <c r="N26038" s="84"/>
    </row>
    <row r="26039" spans="1:14" s="2" customFormat="1">
      <c r="A26039" s="83"/>
      <c r="H26039" s="83"/>
      <c r="K26039" s="82"/>
      <c r="M26039" s="112"/>
      <c r="N26039" s="84"/>
    </row>
    <row r="26040" spans="1:14" s="2" customFormat="1">
      <c r="A26040" s="83"/>
      <c r="H26040" s="83"/>
      <c r="K26040" s="82"/>
      <c r="M26040" s="112"/>
      <c r="N26040" s="84"/>
    </row>
    <row r="26041" spans="1:14" s="2" customFormat="1">
      <c r="A26041" s="83"/>
      <c r="H26041" s="83"/>
      <c r="K26041" s="82"/>
      <c r="M26041" s="112"/>
      <c r="N26041" s="84"/>
    </row>
    <row r="26042" spans="1:14" s="2" customFormat="1">
      <c r="A26042" s="83"/>
      <c r="H26042" s="83"/>
      <c r="K26042" s="82"/>
      <c r="M26042" s="112"/>
      <c r="N26042" s="84"/>
    </row>
    <row r="26043" spans="1:14" s="2" customFormat="1">
      <c r="A26043" s="83"/>
      <c r="H26043" s="83"/>
      <c r="K26043" s="82"/>
      <c r="M26043" s="112"/>
      <c r="N26043" s="84"/>
    </row>
    <row r="26044" spans="1:14" s="2" customFormat="1">
      <c r="A26044" s="83"/>
      <c r="H26044" s="83"/>
      <c r="K26044" s="82"/>
      <c r="M26044" s="112"/>
      <c r="N26044" s="84"/>
    </row>
    <row r="26045" spans="1:14" s="2" customFormat="1">
      <c r="A26045" s="83"/>
      <c r="H26045" s="83"/>
      <c r="K26045" s="82"/>
      <c r="M26045" s="112"/>
      <c r="N26045" s="84"/>
    </row>
    <row r="26046" spans="1:14" s="2" customFormat="1">
      <c r="A26046" s="83"/>
      <c r="H26046" s="83"/>
      <c r="K26046" s="82"/>
      <c r="M26046" s="112"/>
      <c r="N26046" s="84"/>
    </row>
    <row r="26047" spans="1:14" s="2" customFormat="1">
      <c r="A26047" s="83"/>
      <c r="H26047" s="83"/>
      <c r="K26047" s="82"/>
      <c r="M26047" s="112"/>
      <c r="N26047" s="84"/>
    </row>
    <row r="26048" spans="1:14" s="2" customFormat="1">
      <c r="A26048" s="83"/>
      <c r="H26048" s="83"/>
      <c r="K26048" s="82"/>
      <c r="M26048" s="112"/>
      <c r="N26048" s="84"/>
    </row>
    <row r="26049" spans="1:14" s="2" customFormat="1">
      <c r="A26049" s="83"/>
      <c r="H26049" s="83"/>
      <c r="K26049" s="82"/>
      <c r="M26049" s="112"/>
      <c r="N26049" s="84"/>
    </row>
    <row r="26050" spans="1:14" s="2" customFormat="1">
      <c r="A26050" s="83"/>
      <c r="H26050" s="83"/>
      <c r="K26050" s="82"/>
      <c r="M26050" s="112"/>
      <c r="N26050" s="84"/>
    </row>
    <row r="26051" spans="1:14" s="2" customFormat="1">
      <c r="A26051" s="83"/>
      <c r="H26051" s="83"/>
      <c r="K26051" s="82"/>
      <c r="M26051" s="112"/>
      <c r="N26051" s="84"/>
    </row>
    <row r="26052" spans="1:14" s="2" customFormat="1">
      <c r="A26052" s="83"/>
      <c r="H26052" s="83"/>
      <c r="K26052" s="82"/>
      <c r="M26052" s="112"/>
      <c r="N26052" s="84"/>
    </row>
    <row r="26053" spans="1:14" s="2" customFormat="1">
      <c r="A26053" s="83"/>
      <c r="H26053" s="83"/>
      <c r="K26053" s="82"/>
      <c r="M26053" s="112"/>
      <c r="N26053" s="84"/>
    </row>
    <row r="26054" spans="1:14" s="2" customFormat="1">
      <c r="A26054" s="83"/>
      <c r="H26054" s="83"/>
      <c r="K26054" s="82"/>
      <c r="M26054" s="112"/>
      <c r="N26054" s="84"/>
    </row>
    <row r="26055" spans="1:14" s="2" customFormat="1">
      <c r="A26055" s="83"/>
      <c r="H26055" s="83"/>
      <c r="K26055" s="82"/>
      <c r="M26055" s="112"/>
      <c r="N26055" s="84"/>
    </row>
    <row r="26056" spans="1:14" s="2" customFormat="1">
      <c r="A26056" s="83"/>
      <c r="H26056" s="83"/>
      <c r="K26056" s="82"/>
      <c r="M26056" s="112"/>
      <c r="N26056" s="84"/>
    </row>
    <row r="26057" spans="1:14" s="2" customFormat="1">
      <c r="A26057" s="83"/>
      <c r="H26057" s="83"/>
      <c r="K26057" s="82"/>
      <c r="M26057" s="112"/>
      <c r="N26057" s="84"/>
    </row>
    <row r="26058" spans="1:14" s="2" customFormat="1">
      <c r="A26058" s="83"/>
      <c r="H26058" s="83"/>
      <c r="K26058" s="82"/>
      <c r="M26058" s="112"/>
      <c r="N26058" s="84"/>
    </row>
    <row r="26059" spans="1:14" s="2" customFormat="1">
      <c r="A26059" s="83"/>
      <c r="H26059" s="83"/>
      <c r="K26059" s="82"/>
      <c r="M26059" s="112"/>
      <c r="N26059" s="84"/>
    </row>
    <row r="26060" spans="1:14" s="2" customFormat="1">
      <c r="A26060" s="83"/>
      <c r="H26060" s="83"/>
      <c r="K26060" s="82"/>
      <c r="M26060" s="112"/>
      <c r="N26060" s="84"/>
    </row>
    <row r="26061" spans="1:14" s="2" customFormat="1">
      <c r="A26061" s="83"/>
      <c r="H26061" s="83"/>
      <c r="K26061" s="82"/>
      <c r="M26061" s="112"/>
      <c r="N26061" s="84"/>
    </row>
    <row r="26062" spans="1:14" s="2" customFormat="1">
      <c r="A26062" s="83"/>
      <c r="H26062" s="83"/>
      <c r="K26062" s="82"/>
      <c r="M26062" s="112"/>
      <c r="N26062" s="84"/>
    </row>
    <row r="26063" spans="1:14" s="2" customFormat="1">
      <c r="A26063" s="83"/>
      <c r="H26063" s="83"/>
      <c r="K26063" s="82"/>
      <c r="M26063" s="112"/>
      <c r="N26063" s="84"/>
    </row>
    <row r="26064" spans="1:14" s="2" customFormat="1">
      <c r="A26064" s="83"/>
      <c r="H26064" s="83"/>
      <c r="K26064" s="82"/>
      <c r="M26064" s="112"/>
      <c r="N26064" s="84"/>
    </row>
    <row r="26065" spans="1:14" s="2" customFormat="1">
      <c r="A26065" s="83"/>
      <c r="H26065" s="83"/>
      <c r="K26065" s="82"/>
      <c r="M26065" s="112"/>
      <c r="N26065" s="84"/>
    </row>
    <row r="26066" spans="1:14" s="2" customFormat="1">
      <c r="A26066" s="83"/>
      <c r="H26066" s="83"/>
      <c r="K26066" s="82"/>
      <c r="M26066" s="112"/>
      <c r="N26066" s="84"/>
    </row>
    <row r="26067" spans="1:14" s="2" customFormat="1">
      <c r="A26067" s="83"/>
      <c r="H26067" s="83"/>
      <c r="K26067" s="82"/>
      <c r="M26067" s="112"/>
      <c r="N26067" s="84"/>
    </row>
    <row r="26068" spans="1:14" s="2" customFormat="1">
      <c r="A26068" s="83"/>
      <c r="H26068" s="83"/>
      <c r="K26068" s="82"/>
      <c r="M26068" s="112"/>
      <c r="N26068" s="84"/>
    </row>
    <row r="26069" spans="1:14" s="2" customFormat="1">
      <c r="A26069" s="83"/>
      <c r="H26069" s="83"/>
      <c r="K26069" s="82"/>
      <c r="M26069" s="112"/>
      <c r="N26069" s="84"/>
    </row>
    <row r="26070" spans="1:14" s="2" customFormat="1">
      <c r="A26070" s="83"/>
      <c r="H26070" s="83"/>
      <c r="K26070" s="82"/>
      <c r="M26070" s="112"/>
      <c r="N26070" s="84"/>
    </row>
    <row r="26071" spans="1:14" s="2" customFormat="1">
      <c r="A26071" s="83"/>
      <c r="H26071" s="83"/>
      <c r="K26071" s="82"/>
      <c r="M26071" s="112"/>
      <c r="N26071" s="84"/>
    </row>
    <row r="26072" spans="1:14" s="2" customFormat="1">
      <c r="A26072" s="83"/>
      <c r="H26072" s="83"/>
      <c r="K26072" s="82"/>
      <c r="M26072" s="112"/>
      <c r="N26072" s="84"/>
    </row>
    <row r="26073" spans="1:14" s="2" customFormat="1">
      <c r="A26073" s="83"/>
      <c r="H26073" s="83"/>
      <c r="K26073" s="82"/>
      <c r="M26073" s="112"/>
      <c r="N26073" s="84"/>
    </row>
    <row r="26074" spans="1:14" s="2" customFormat="1">
      <c r="A26074" s="83"/>
      <c r="H26074" s="83"/>
      <c r="K26074" s="82"/>
      <c r="M26074" s="112"/>
      <c r="N26074" s="84"/>
    </row>
    <row r="26075" spans="1:14" s="2" customFormat="1">
      <c r="A26075" s="83"/>
      <c r="H26075" s="83"/>
      <c r="K26075" s="82"/>
      <c r="M26075" s="112"/>
      <c r="N26075" s="84"/>
    </row>
    <row r="26076" spans="1:14" s="2" customFormat="1">
      <c r="A26076" s="83"/>
      <c r="H26076" s="83"/>
      <c r="K26076" s="82"/>
      <c r="M26076" s="112"/>
      <c r="N26076" s="84"/>
    </row>
    <row r="26077" spans="1:14" s="2" customFormat="1">
      <c r="A26077" s="83"/>
      <c r="H26077" s="83"/>
      <c r="K26077" s="82"/>
      <c r="M26077" s="112"/>
      <c r="N26077" s="84"/>
    </row>
    <row r="26078" spans="1:14" s="2" customFormat="1">
      <c r="A26078" s="83"/>
      <c r="H26078" s="83"/>
      <c r="K26078" s="82"/>
      <c r="M26078" s="112"/>
      <c r="N26078" s="84"/>
    </row>
    <row r="26079" spans="1:14" s="2" customFormat="1">
      <c r="A26079" s="83"/>
      <c r="H26079" s="83"/>
      <c r="K26079" s="82"/>
      <c r="M26079" s="112"/>
      <c r="N26079" s="84"/>
    </row>
    <row r="26080" spans="1:14" s="2" customFormat="1">
      <c r="A26080" s="83"/>
      <c r="H26080" s="83"/>
      <c r="K26080" s="82"/>
      <c r="M26080" s="112"/>
      <c r="N26080" s="84"/>
    </row>
    <row r="26081" spans="1:14" s="2" customFormat="1">
      <c r="A26081" s="83"/>
      <c r="H26081" s="83"/>
      <c r="K26081" s="82"/>
      <c r="M26081" s="112"/>
      <c r="N26081" s="84"/>
    </row>
    <row r="26082" spans="1:14" s="2" customFormat="1">
      <c r="A26082" s="83"/>
      <c r="H26082" s="83"/>
      <c r="K26082" s="82"/>
      <c r="M26082" s="112"/>
      <c r="N26082" s="84"/>
    </row>
    <row r="26083" spans="1:14" s="2" customFormat="1">
      <c r="A26083" s="83"/>
      <c r="H26083" s="83"/>
      <c r="K26083" s="82"/>
      <c r="M26083" s="112"/>
      <c r="N26083" s="84"/>
    </row>
    <row r="26084" spans="1:14" s="2" customFormat="1">
      <c r="A26084" s="83"/>
      <c r="H26084" s="83"/>
      <c r="K26084" s="82"/>
      <c r="M26084" s="112"/>
      <c r="N26084" s="84"/>
    </row>
    <row r="26085" spans="1:14" s="2" customFormat="1">
      <c r="A26085" s="83"/>
      <c r="H26085" s="83"/>
      <c r="K26085" s="82"/>
      <c r="M26085" s="112"/>
      <c r="N26085" s="84"/>
    </row>
    <row r="26086" spans="1:14" s="2" customFormat="1">
      <c r="A26086" s="83"/>
      <c r="H26086" s="83"/>
      <c r="K26086" s="82"/>
      <c r="M26086" s="112"/>
      <c r="N26086" s="84"/>
    </row>
    <row r="26087" spans="1:14" s="2" customFormat="1">
      <c r="A26087" s="83"/>
      <c r="H26087" s="83"/>
      <c r="K26087" s="82"/>
      <c r="M26087" s="112"/>
      <c r="N26087" s="84"/>
    </row>
    <row r="26088" spans="1:14" s="2" customFormat="1">
      <c r="A26088" s="83"/>
      <c r="H26088" s="83"/>
      <c r="K26088" s="82"/>
      <c r="M26088" s="112"/>
      <c r="N26088" s="84"/>
    </row>
    <row r="26089" spans="1:14" s="2" customFormat="1">
      <c r="A26089" s="83"/>
      <c r="H26089" s="83"/>
      <c r="K26089" s="82"/>
      <c r="M26089" s="112"/>
      <c r="N26089" s="84"/>
    </row>
    <row r="26090" spans="1:14" s="2" customFormat="1">
      <c r="A26090" s="83"/>
      <c r="H26090" s="83"/>
      <c r="K26090" s="82"/>
      <c r="M26090" s="112"/>
      <c r="N26090" s="84"/>
    </row>
    <row r="26091" spans="1:14" s="2" customFormat="1">
      <c r="A26091" s="83"/>
      <c r="H26091" s="83"/>
      <c r="K26091" s="82"/>
      <c r="M26091" s="112"/>
      <c r="N26091" s="84"/>
    </row>
    <row r="26092" spans="1:14" s="2" customFormat="1">
      <c r="A26092" s="83"/>
      <c r="H26092" s="83"/>
      <c r="K26092" s="82"/>
      <c r="M26092" s="112"/>
      <c r="N26092" s="84"/>
    </row>
    <row r="26093" spans="1:14" s="2" customFormat="1">
      <c r="A26093" s="83"/>
      <c r="H26093" s="83"/>
      <c r="K26093" s="82"/>
      <c r="M26093" s="112"/>
      <c r="N26093" s="84"/>
    </row>
    <row r="26094" spans="1:14" s="2" customFormat="1">
      <c r="A26094" s="83"/>
      <c r="H26094" s="83"/>
      <c r="K26094" s="82"/>
      <c r="M26094" s="112"/>
      <c r="N26094" s="84"/>
    </row>
    <row r="26095" spans="1:14" s="2" customFormat="1">
      <c r="A26095" s="83"/>
      <c r="H26095" s="83"/>
      <c r="K26095" s="82"/>
      <c r="M26095" s="112"/>
      <c r="N26095" s="84"/>
    </row>
    <row r="26096" spans="1:14" s="2" customFormat="1">
      <c r="A26096" s="83"/>
      <c r="H26096" s="83"/>
      <c r="K26096" s="82"/>
      <c r="M26096" s="112"/>
      <c r="N26096" s="84"/>
    </row>
    <row r="26097" spans="1:14" s="2" customFormat="1">
      <c r="A26097" s="83"/>
      <c r="H26097" s="83"/>
      <c r="K26097" s="82"/>
      <c r="M26097" s="112"/>
      <c r="N26097" s="84"/>
    </row>
    <row r="26098" spans="1:14" s="2" customFormat="1">
      <c r="A26098" s="83"/>
      <c r="H26098" s="83"/>
      <c r="K26098" s="82"/>
      <c r="M26098" s="112"/>
      <c r="N26098" s="84"/>
    </row>
    <row r="26099" spans="1:14" s="2" customFormat="1">
      <c r="A26099" s="83"/>
      <c r="H26099" s="83"/>
      <c r="K26099" s="82"/>
      <c r="M26099" s="112"/>
      <c r="N26099" s="84"/>
    </row>
    <row r="26100" spans="1:14" s="2" customFormat="1">
      <c r="A26100" s="83"/>
      <c r="H26100" s="83"/>
      <c r="K26100" s="82"/>
      <c r="M26100" s="112"/>
      <c r="N26100" s="84"/>
    </row>
    <row r="26101" spans="1:14" s="2" customFormat="1">
      <c r="A26101" s="83"/>
      <c r="H26101" s="83"/>
      <c r="K26101" s="82"/>
      <c r="M26101" s="112"/>
      <c r="N26101" s="84"/>
    </row>
    <row r="26102" spans="1:14" s="2" customFormat="1">
      <c r="A26102" s="83"/>
      <c r="H26102" s="83"/>
      <c r="K26102" s="82"/>
      <c r="M26102" s="112"/>
      <c r="N26102" s="84"/>
    </row>
    <row r="26103" spans="1:14" s="2" customFormat="1">
      <c r="A26103" s="83"/>
      <c r="H26103" s="83"/>
      <c r="K26103" s="82"/>
      <c r="M26103" s="112"/>
      <c r="N26103" s="84"/>
    </row>
    <row r="26104" spans="1:14" s="2" customFormat="1">
      <c r="A26104" s="83"/>
      <c r="H26104" s="83"/>
      <c r="K26104" s="82"/>
      <c r="M26104" s="112"/>
      <c r="N26104" s="84"/>
    </row>
    <row r="26105" spans="1:14" s="2" customFormat="1">
      <c r="A26105" s="83"/>
      <c r="H26105" s="83"/>
      <c r="K26105" s="82"/>
      <c r="M26105" s="112"/>
      <c r="N26105" s="84"/>
    </row>
    <row r="26106" spans="1:14" s="2" customFormat="1">
      <c r="A26106" s="83"/>
      <c r="H26106" s="83"/>
      <c r="K26106" s="82"/>
      <c r="M26106" s="112"/>
      <c r="N26106" s="84"/>
    </row>
    <row r="26107" spans="1:14" s="2" customFormat="1">
      <c r="A26107" s="83"/>
      <c r="H26107" s="83"/>
      <c r="K26107" s="82"/>
      <c r="M26107" s="112"/>
      <c r="N26107" s="84"/>
    </row>
    <row r="26108" spans="1:14" s="2" customFormat="1">
      <c r="A26108" s="83"/>
      <c r="H26108" s="83"/>
      <c r="K26108" s="82"/>
      <c r="M26108" s="112"/>
      <c r="N26108" s="84"/>
    </row>
    <row r="26109" spans="1:14" s="2" customFormat="1">
      <c r="A26109" s="83"/>
      <c r="H26109" s="83"/>
      <c r="K26109" s="82"/>
      <c r="M26109" s="112"/>
      <c r="N26109" s="84"/>
    </row>
    <row r="26110" spans="1:14" s="2" customFormat="1">
      <c r="A26110" s="83"/>
      <c r="H26110" s="83"/>
      <c r="K26110" s="82"/>
      <c r="M26110" s="112"/>
      <c r="N26110" s="84"/>
    </row>
    <row r="26111" spans="1:14" s="2" customFormat="1">
      <c r="A26111" s="83"/>
      <c r="H26111" s="83"/>
      <c r="K26111" s="82"/>
      <c r="M26111" s="112"/>
      <c r="N26111" s="84"/>
    </row>
    <row r="26112" spans="1:14" s="2" customFormat="1">
      <c r="A26112" s="83"/>
      <c r="H26112" s="83"/>
      <c r="K26112" s="82"/>
      <c r="M26112" s="112"/>
      <c r="N26112" s="84"/>
    </row>
    <row r="26113" spans="1:14" s="2" customFormat="1">
      <c r="A26113" s="83"/>
      <c r="H26113" s="83"/>
      <c r="K26113" s="82"/>
      <c r="M26113" s="112"/>
      <c r="N26113" s="84"/>
    </row>
    <row r="26114" spans="1:14" s="2" customFormat="1">
      <c r="A26114" s="83"/>
      <c r="H26114" s="83"/>
      <c r="K26114" s="82"/>
      <c r="M26114" s="112"/>
      <c r="N26114" s="84"/>
    </row>
    <row r="26115" spans="1:14" s="2" customFormat="1">
      <c r="A26115" s="83"/>
      <c r="H26115" s="83"/>
      <c r="K26115" s="82"/>
      <c r="M26115" s="112"/>
      <c r="N26115" s="84"/>
    </row>
    <row r="26116" spans="1:14" s="2" customFormat="1">
      <c r="A26116" s="83"/>
      <c r="H26116" s="83"/>
      <c r="K26116" s="82"/>
      <c r="M26116" s="112"/>
      <c r="N26116" s="84"/>
    </row>
    <row r="26117" spans="1:14" s="2" customFormat="1">
      <c r="A26117" s="83"/>
      <c r="H26117" s="83"/>
      <c r="K26117" s="82"/>
      <c r="M26117" s="112"/>
      <c r="N26117" s="84"/>
    </row>
    <row r="26118" spans="1:14" s="2" customFormat="1">
      <c r="A26118" s="83"/>
      <c r="H26118" s="83"/>
      <c r="K26118" s="82"/>
      <c r="M26118" s="112"/>
      <c r="N26118" s="84"/>
    </row>
    <row r="26119" spans="1:14" s="2" customFormat="1">
      <c r="A26119" s="83"/>
      <c r="H26119" s="83"/>
      <c r="K26119" s="82"/>
      <c r="M26119" s="112"/>
      <c r="N26119" s="84"/>
    </row>
    <row r="26120" spans="1:14" s="2" customFormat="1">
      <c r="A26120" s="83"/>
      <c r="H26120" s="83"/>
      <c r="K26120" s="82"/>
      <c r="M26120" s="112"/>
      <c r="N26120" s="84"/>
    </row>
    <row r="26121" spans="1:14" s="2" customFormat="1">
      <c r="A26121" s="83"/>
      <c r="H26121" s="83"/>
      <c r="K26121" s="82"/>
      <c r="M26121" s="112"/>
      <c r="N26121" s="84"/>
    </row>
    <row r="26122" spans="1:14" s="2" customFormat="1">
      <c r="A26122" s="83"/>
      <c r="H26122" s="83"/>
      <c r="K26122" s="82"/>
      <c r="M26122" s="112"/>
      <c r="N26122" s="84"/>
    </row>
    <row r="26123" spans="1:14" s="2" customFormat="1">
      <c r="A26123" s="83"/>
      <c r="H26123" s="83"/>
      <c r="K26123" s="82"/>
      <c r="M26123" s="112"/>
      <c r="N26123" s="84"/>
    </row>
    <row r="26124" spans="1:14" s="2" customFormat="1">
      <c r="A26124" s="83"/>
      <c r="H26124" s="83"/>
      <c r="K26124" s="82"/>
      <c r="M26124" s="112"/>
      <c r="N26124" s="84"/>
    </row>
    <row r="26125" spans="1:14" s="2" customFormat="1">
      <c r="A26125" s="83"/>
      <c r="H26125" s="83"/>
      <c r="K26125" s="82"/>
      <c r="M26125" s="112"/>
      <c r="N26125" s="84"/>
    </row>
    <row r="26126" spans="1:14" s="2" customFormat="1">
      <c r="A26126" s="83"/>
      <c r="H26126" s="83"/>
      <c r="K26126" s="82"/>
      <c r="M26126" s="112"/>
      <c r="N26126" s="84"/>
    </row>
    <row r="26127" spans="1:14" s="2" customFormat="1">
      <c r="A26127" s="83"/>
      <c r="H26127" s="83"/>
      <c r="K26127" s="82"/>
      <c r="M26127" s="112"/>
      <c r="N26127" s="84"/>
    </row>
    <row r="26128" spans="1:14" s="2" customFormat="1">
      <c r="A26128" s="83"/>
      <c r="H26128" s="83"/>
      <c r="K26128" s="82"/>
      <c r="M26128" s="112"/>
      <c r="N26128" s="84"/>
    </row>
    <row r="26129" spans="1:14" s="2" customFormat="1">
      <c r="A26129" s="83"/>
      <c r="H26129" s="83"/>
      <c r="K26129" s="82"/>
      <c r="M26129" s="112"/>
      <c r="N26129" s="84"/>
    </row>
    <row r="26130" spans="1:14" s="2" customFormat="1">
      <c r="A26130" s="83"/>
      <c r="H26130" s="83"/>
      <c r="K26130" s="82"/>
      <c r="M26130" s="112"/>
      <c r="N26130" s="84"/>
    </row>
    <row r="26131" spans="1:14" s="2" customFormat="1">
      <c r="A26131" s="83"/>
      <c r="H26131" s="83"/>
      <c r="K26131" s="82"/>
      <c r="M26131" s="112"/>
      <c r="N26131" s="84"/>
    </row>
    <row r="26132" spans="1:14" s="2" customFormat="1">
      <c r="A26132" s="83"/>
      <c r="H26132" s="83"/>
      <c r="K26132" s="82"/>
      <c r="M26132" s="112"/>
      <c r="N26132" s="84"/>
    </row>
    <row r="26133" spans="1:14" s="2" customFormat="1">
      <c r="A26133" s="83"/>
      <c r="H26133" s="83"/>
      <c r="K26133" s="82"/>
      <c r="M26133" s="112"/>
      <c r="N26133" s="84"/>
    </row>
    <row r="26134" spans="1:14" s="2" customFormat="1">
      <c r="A26134" s="83"/>
      <c r="H26134" s="83"/>
      <c r="K26134" s="82"/>
      <c r="M26134" s="112"/>
      <c r="N26134" s="84"/>
    </row>
    <row r="26135" spans="1:14" s="2" customFormat="1">
      <c r="A26135" s="83"/>
      <c r="H26135" s="83"/>
      <c r="K26135" s="82"/>
      <c r="M26135" s="112"/>
      <c r="N26135" s="84"/>
    </row>
    <row r="26136" spans="1:14" s="2" customFormat="1">
      <c r="A26136" s="83"/>
      <c r="H26136" s="83"/>
      <c r="K26136" s="82"/>
      <c r="M26136" s="112"/>
      <c r="N26136" s="84"/>
    </row>
    <row r="26137" spans="1:14" s="2" customFormat="1">
      <c r="A26137" s="83"/>
      <c r="H26137" s="83"/>
      <c r="K26137" s="82"/>
      <c r="M26137" s="112"/>
      <c r="N26137" s="84"/>
    </row>
    <row r="26138" spans="1:14" s="2" customFormat="1">
      <c r="A26138" s="83"/>
      <c r="H26138" s="83"/>
      <c r="K26138" s="82"/>
      <c r="M26138" s="112"/>
      <c r="N26138" s="84"/>
    </row>
    <row r="26139" spans="1:14" s="2" customFormat="1">
      <c r="A26139" s="83"/>
      <c r="H26139" s="83"/>
      <c r="K26139" s="82"/>
      <c r="M26139" s="112"/>
      <c r="N26139" s="84"/>
    </row>
    <row r="26140" spans="1:14" s="2" customFormat="1">
      <c r="A26140" s="83"/>
      <c r="H26140" s="83"/>
      <c r="K26140" s="82"/>
      <c r="M26140" s="112"/>
      <c r="N26140" s="84"/>
    </row>
    <row r="26141" spans="1:14" s="2" customFormat="1">
      <c r="A26141" s="83"/>
      <c r="H26141" s="83"/>
      <c r="K26141" s="82"/>
      <c r="M26141" s="112"/>
      <c r="N26141" s="84"/>
    </row>
    <row r="26142" spans="1:14" s="2" customFormat="1">
      <c r="A26142" s="83"/>
      <c r="H26142" s="83"/>
      <c r="K26142" s="82"/>
      <c r="M26142" s="112"/>
      <c r="N26142" s="84"/>
    </row>
    <row r="26143" spans="1:14" s="2" customFormat="1">
      <c r="A26143" s="83"/>
      <c r="H26143" s="83"/>
      <c r="K26143" s="82"/>
      <c r="M26143" s="112"/>
      <c r="N26143" s="84"/>
    </row>
    <row r="26144" spans="1:14" s="2" customFormat="1">
      <c r="A26144" s="83"/>
      <c r="H26144" s="83"/>
      <c r="K26144" s="82"/>
      <c r="M26144" s="112"/>
      <c r="N26144" s="84"/>
    </row>
    <row r="26145" spans="1:14" s="2" customFormat="1">
      <c r="A26145" s="83"/>
      <c r="H26145" s="83"/>
      <c r="K26145" s="82"/>
      <c r="M26145" s="112"/>
      <c r="N26145" s="84"/>
    </row>
    <row r="26146" spans="1:14" s="2" customFormat="1">
      <c r="A26146" s="83"/>
      <c r="H26146" s="83"/>
      <c r="K26146" s="82"/>
      <c r="M26146" s="112"/>
      <c r="N26146" s="84"/>
    </row>
    <row r="26147" spans="1:14" s="2" customFormat="1">
      <c r="A26147" s="83"/>
      <c r="H26147" s="83"/>
      <c r="K26147" s="82"/>
      <c r="M26147" s="112"/>
      <c r="N26147" s="84"/>
    </row>
    <row r="26148" spans="1:14" s="2" customFormat="1">
      <c r="A26148" s="83"/>
      <c r="H26148" s="83"/>
      <c r="K26148" s="82"/>
      <c r="M26148" s="112"/>
      <c r="N26148" s="84"/>
    </row>
    <row r="26149" spans="1:14" s="2" customFormat="1">
      <c r="A26149" s="83"/>
      <c r="H26149" s="83"/>
      <c r="K26149" s="82"/>
      <c r="M26149" s="112"/>
      <c r="N26149" s="84"/>
    </row>
    <row r="26150" spans="1:14" s="2" customFormat="1">
      <c r="A26150" s="83"/>
      <c r="H26150" s="83"/>
      <c r="K26150" s="82"/>
      <c r="M26150" s="112"/>
      <c r="N26150" s="84"/>
    </row>
    <row r="26151" spans="1:14" s="2" customFormat="1">
      <c r="A26151" s="83"/>
      <c r="H26151" s="83"/>
      <c r="K26151" s="82"/>
      <c r="M26151" s="112"/>
      <c r="N26151" s="84"/>
    </row>
    <row r="26152" spans="1:14" s="2" customFormat="1">
      <c r="A26152" s="83"/>
      <c r="H26152" s="83"/>
      <c r="K26152" s="82"/>
      <c r="M26152" s="112"/>
      <c r="N26152" s="84"/>
    </row>
    <row r="26153" spans="1:14" s="2" customFormat="1">
      <c r="A26153" s="83"/>
      <c r="H26153" s="83"/>
      <c r="K26153" s="82"/>
      <c r="M26153" s="112"/>
      <c r="N26153" s="84"/>
    </row>
    <row r="26154" spans="1:14" s="2" customFormat="1">
      <c r="A26154" s="83"/>
      <c r="H26154" s="83"/>
      <c r="K26154" s="82"/>
      <c r="M26154" s="112"/>
      <c r="N26154" s="84"/>
    </row>
    <row r="26155" spans="1:14" s="2" customFormat="1">
      <c r="A26155" s="83"/>
      <c r="H26155" s="83"/>
      <c r="K26155" s="82"/>
      <c r="M26155" s="112"/>
      <c r="N26155" s="84"/>
    </row>
    <row r="26156" spans="1:14" s="2" customFormat="1">
      <c r="A26156" s="83"/>
      <c r="H26156" s="83"/>
      <c r="K26156" s="82"/>
      <c r="M26156" s="112"/>
      <c r="N26156" s="84"/>
    </row>
    <row r="26157" spans="1:14" s="2" customFormat="1">
      <c r="A26157" s="83"/>
      <c r="H26157" s="83"/>
      <c r="K26157" s="82"/>
      <c r="M26157" s="112"/>
      <c r="N26157" s="84"/>
    </row>
    <row r="26158" spans="1:14" s="2" customFormat="1">
      <c r="A26158" s="83"/>
      <c r="H26158" s="83"/>
      <c r="K26158" s="82"/>
      <c r="M26158" s="112"/>
      <c r="N26158" s="84"/>
    </row>
    <row r="26159" spans="1:14" s="2" customFormat="1">
      <c r="A26159" s="83"/>
      <c r="H26159" s="83"/>
      <c r="K26159" s="82"/>
      <c r="M26159" s="112"/>
      <c r="N26159" s="84"/>
    </row>
    <row r="26160" spans="1:14" s="2" customFormat="1">
      <c r="A26160" s="83"/>
      <c r="H26160" s="83"/>
      <c r="K26160" s="82"/>
      <c r="M26160" s="112"/>
      <c r="N26160" s="84"/>
    </row>
    <row r="26161" spans="1:14" s="2" customFormat="1">
      <c r="A26161" s="83"/>
      <c r="H26161" s="83"/>
      <c r="K26161" s="82"/>
      <c r="M26161" s="112"/>
      <c r="N26161" s="84"/>
    </row>
    <row r="26162" spans="1:14" s="2" customFormat="1">
      <c r="A26162" s="83"/>
      <c r="H26162" s="83"/>
      <c r="K26162" s="82"/>
      <c r="M26162" s="112"/>
      <c r="N26162" s="84"/>
    </row>
    <row r="26163" spans="1:14" s="2" customFormat="1">
      <c r="A26163" s="83"/>
      <c r="H26163" s="83"/>
      <c r="K26163" s="82"/>
      <c r="M26163" s="112"/>
      <c r="N26163" s="84"/>
    </row>
    <row r="26164" spans="1:14" s="2" customFormat="1">
      <c r="A26164" s="83"/>
      <c r="H26164" s="83"/>
      <c r="K26164" s="82"/>
      <c r="M26164" s="112"/>
      <c r="N26164" s="84"/>
    </row>
    <row r="26165" spans="1:14" s="2" customFormat="1">
      <c r="A26165" s="83"/>
      <c r="H26165" s="83"/>
      <c r="K26165" s="82"/>
      <c r="M26165" s="112"/>
      <c r="N26165" s="84"/>
    </row>
    <row r="26166" spans="1:14" s="2" customFormat="1">
      <c r="A26166" s="83"/>
      <c r="H26166" s="83"/>
      <c r="K26166" s="82"/>
      <c r="M26166" s="112"/>
      <c r="N26166" s="84"/>
    </row>
    <row r="26167" spans="1:14" s="2" customFormat="1">
      <c r="A26167" s="83"/>
      <c r="H26167" s="83"/>
      <c r="K26167" s="82"/>
      <c r="M26167" s="112"/>
      <c r="N26167" s="84"/>
    </row>
    <row r="26168" spans="1:14" s="2" customFormat="1">
      <c r="A26168" s="83"/>
      <c r="H26168" s="83"/>
      <c r="K26168" s="82"/>
      <c r="M26168" s="112"/>
      <c r="N26168" s="84"/>
    </row>
    <row r="26169" spans="1:14" s="2" customFormat="1">
      <c r="A26169" s="83"/>
      <c r="H26169" s="83"/>
      <c r="K26169" s="82"/>
      <c r="M26169" s="112"/>
      <c r="N26169" s="84"/>
    </row>
    <row r="26170" spans="1:14" s="2" customFormat="1">
      <c r="A26170" s="83"/>
      <c r="H26170" s="83"/>
      <c r="K26170" s="82"/>
      <c r="M26170" s="112"/>
      <c r="N26170" s="84"/>
    </row>
    <row r="26171" spans="1:14" s="2" customFormat="1">
      <c r="A26171" s="83"/>
      <c r="H26171" s="83"/>
      <c r="K26171" s="82"/>
      <c r="M26171" s="112"/>
      <c r="N26171" s="84"/>
    </row>
    <row r="26172" spans="1:14" s="2" customFormat="1">
      <c r="A26172" s="83"/>
      <c r="H26172" s="83"/>
      <c r="K26172" s="82"/>
      <c r="M26172" s="112"/>
      <c r="N26172" s="84"/>
    </row>
    <row r="26173" spans="1:14" s="2" customFormat="1">
      <c r="A26173" s="83"/>
      <c r="H26173" s="83"/>
      <c r="K26173" s="82"/>
      <c r="M26173" s="112"/>
      <c r="N26173" s="84"/>
    </row>
    <row r="26174" spans="1:14" s="2" customFormat="1">
      <c r="A26174" s="83"/>
      <c r="H26174" s="83"/>
      <c r="K26174" s="82"/>
      <c r="M26174" s="112"/>
      <c r="N26174" s="84"/>
    </row>
    <row r="26175" spans="1:14" s="2" customFormat="1">
      <c r="A26175" s="83"/>
      <c r="H26175" s="83"/>
      <c r="K26175" s="82"/>
      <c r="M26175" s="112"/>
      <c r="N26175" s="84"/>
    </row>
    <row r="26176" spans="1:14" s="2" customFormat="1">
      <c r="A26176" s="83"/>
      <c r="H26176" s="83"/>
      <c r="K26176" s="82"/>
      <c r="M26176" s="112"/>
      <c r="N26176" s="84"/>
    </row>
    <row r="26177" spans="1:14" s="2" customFormat="1">
      <c r="A26177" s="83"/>
      <c r="H26177" s="83"/>
      <c r="K26177" s="82"/>
      <c r="M26177" s="112"/>
      <c r="N26177" s="84"/>
    </row>
    <row r="26178" spans="1:14" s="2" customFormat="1">
      <c r="A26178" s="83"/>
      <c r="H26178" s="83"/>
      <c r="K26178" s="82"/>
      <c r="M26178" s="112"/>
      <c r="N26178" s="84"/>
    </row>
    <row r="26179" spans="1:14" s="2" customFormat="1">
      <c r="A26179" s="83"/>
      <c r="H26179" s="83"/>
      <c r="K26179" s="82"/>
      <c r="M26179" s="112"/>
      <c r="N26179" s="84"/>
    </row>
    <row r="26180" spans="1:14" s="2" customFormat="1">
      <c r="A26180" s="83"/>
      <c r="H26180" s="83"/>
      <c r="K26180" s="82"/>
      <c r="M26180" s="112"/>
      <c r="N26180" s="84"/>
    </row>
    <row r="26181" spans="1:14" s="2" customFormat="1">
      <c r="A26181" s="83"/>
      <c r="H26181" s="83"/>
      <c r="K26181" s="82"/>
      <c r="M26181" s="112"/>
      <c r="N26181" s="84"/>
    </row>
    <row r="26182" spans="1:14" s="2" customFormat="1">
      <c r="A26182" s="83"/>
      <c r="H26182" s="83"/>
      <c r="K26182" s="82"/>
      <c r="M26182" s="112"/>
      <c r="N26182" s="84"/>
    </row>
    <row r="26183" spans="1:14" s="2" customFormat="1">
      <c r="A26183" s="83"/>
      <c r="H26183" s="83"/>
      <c r="K26183" s="82"/>
      <c r="M26183" s="112"/>
      <c r="N26183" s="84"/>
    </row>
    <row r="26184" spans="1:14" s="2" customFormat="1">
      <c r="A26184" s="83"/>
      <c r="H26184" s="83"/>
      <c r="K26184" s="82"/>
      <c r="M26184" s="112"/>
      <c r="N26184" s="84"/>
    </row>
    <row r="26185" spans="1:14" s="2" customFormat="1">
      <c r="A26185" s="83"/>
      <c r="H26185" s="83"/>
      <c r="K26185" s="82"/>
      <c r="M26185" s="112"/>
      <c r="N26185" s="84"/>
    </row>
    <row r="26186" spans="1:14" s="2" customFormat="1">
      <c r="A26186" s="83"/>
      <c r="H26186" s="83"/>
      <c r="K26186" s="82"/>
      <c r="M26186" s="112"/>
      <c r="N26186" s="84"/>
    </row>
    <row r="26187" spans="1:14" s="2" customFormat="1">
      <c r="A26187" s="83"/>
      <c r="H26187" s="83"/>
      <c r="K26187" s="82"/>
      <c r="M26187" s="112"/>
      <c r="N26187" s="84"/>
    </row>
    <row r="26188" spans="1:14" s="2" customFormat="1">
      <c r="A26188" s="83"/>
      <c r="H26188" s="83"/>
      <c r="K26188" s="82"/>
      <c r="M26188" s="112"/>
      <c r="N26188" s="84"/>
    </row>
    <row r="26189" spans="1:14" s="2" customFormat="1">
      <c r="A26189" s="83"/>
      <c r="H26189" s="83"/>
      <c r="K26189" s="82"/>
      <c r="M26189" s="112"/>
      <c r="N26189" s="84"/>
    </row>
    <row r="26190" spans="1:14" s="2" customFormat="1">
      <c r="A26190" s="83"/>
      <c r="H26190" s="83"/>
      <c r="K26190" s="82"/>
      <c r="M26190" s="112"/>
      <c r="N26190" s="84"/>
    </row>
    <row r="26191" spans="1:14" s="2" customFormat="1">
      <c r="A26191" s="83"/>
      <c r="H26191" s="83"/>
      <c r="K26191" s="82"/>
      <c r="M26191" s="112"/>
      <c r="N26191" s="84"/>
    </row>
    <row r="26192" spans="1:14" s="2" customFormat="1">
      <c r="A26192" s="83"/>
      <c r="H26192" s="83"/>
      <c r="K26192" s="82"/>
      <c r="M26192" s="112"/>
      <c r="N26192" s="84"/>
    </row>
    <row r="26193" spans="1:14" s="2" customFormat="1">
      <c r="A26193" s="83"/>
      <c r="H26193" s="83"/>
      <c r="K26193" s="82"/>
      <c r="M26193" s="112"/>
      <c r="N26193" s="84"/>
    </row>
    <row r="26194" spans="1:14" s="2" customFormat="1">
      <c r="A26194" s="83"/>
      <c r="H26194" s="83"/>
      <c r="K26194" s="82"/>
      <c r="M26194" s="112"/>
      <c r="N26194" s="84"/>
    </row>
    <row r="26195" spans="1:14" s="2" customFormat="1">
      <c r="A26195" s="83"/>
      <c r="H26195" s="83"/>
      <c r="K26195" s="82"/>
      <c r="M26195" s="112"/>
      <c r="N26195" s="84"/>
    </row>
    <row r="26196" spans="1:14" s="2" customFormat="1">
      <c r="A26196" s="83"/>
      <c r="H26196" s="83"/>
      <c r="K26196" s="82"/>
      <c r="M26196" s="112"/>
      <c r="N26196" s="84"/>
    </row>
    <row r="26197" spans="1:14" s="2" customFormat="1">
      <c r="A26197" s="83"/>
      <c r="H26197" s="83"/>
      <c r="K26197" s="82"/>
      <c r="M26197" s="112"/>
      <c r="N26197" s="84"/>
    </row>
    <row r="26198" spans="1:14" s="2" customFormat="1">
      <c r="A26198" s="83"/>
      <c r="H26198" s="83"/>
      <c r="K26198" s="82"/>
      <c r="M26198" s="112"/>
      <c r="N26198" s="84"/>
    </row>
    <row r="26199" spans="1:14" s="2" customFormat="1">
      <c r="A26199" s="83"/>
      <c r="H26199" s="83"/>
      <c r="K26199" s="82"/>
      <c r="M26199" s="112"/>
      <c r="N26199" s="84"/>
    </row>
    <row r="26200" spans="1:14" s="2" customFormat="1">
      <c r="A26200" s="83"/>
      <c r="H26200" s="83"/>
      <c r="K26200" s="82"/>
      <c r="M26200" s="112"/>
      <c r="N26200" s="84"/>
    </row>
    <row r="26201" spans="1:14" s="2" customFormat="1">
      <c r="A26201" s="83"/>
      <c r="H26201" s="83"/>
      <c r="K26201" s="82"/>
      <c r="M26201" s="112"/>
      <c r="N26201" s="84"/>
    </row>
    <row r="26202" spans="1:14" s="2" customFormat="1">
      <c r="A26202" s="83"/>
      <c r="H26202" s="83"/>
      <c r="K26202" s="82"/>
      <c r="M26202" s="112"/>
      <c r="N26202" s="84"/>
    </row>
    <row r="26203" spans="1:14" s="2" customFormat="1">
      <c r="A26203" s="83"/>
      <c r="H26203" s="83"/>
      <c r="K26203" s="82"/>
      <c r="M26203" s="112"/>
      <c r="N26203" s="84"/>
    </row>
    <row r="26204" spans="1:14" s="2" customFormat="1">
      <c r="A26204" s="83"/>
      <c r="H26204" s="83"/>
      <c r="K26204" s="82"/>
      <c r="M26204" s="112"/>
      <c r="N26204" s="84"/>
    </row>
    <row r="26205" spans="1:14" s="2" customFormat="1">
      <c r="A26205" s="83"/>
      <c r="H26205" s="83"/>
      <c r="K26205" s="82"/>
      <c r="M26205" s="112"/>
      <c r="N26205" s="84"/>
    </row>
    <row r="26206" spans="1:14" s="2" customFormat="1">
      <c r="A26206" s="83"/>
      <c r="H26206" s="83"/>
      <c r="K26206" s="82"/>
      <c r="M26206" s="112"/>
      <c r="N26206" s="84"/>
    </row>
    <row r="26207" spans="1:14" s="2" customFormat="1">
      <c r="A26207" s="83"/>
      <c r="H26207" s="83"/>
      <c r="K26207" s="82"/>
      <c r="M26207" s="112"/>
      <c r="N26207" s="84"/>
    </row>
    <row r="26208" spans="1:14" s="2" customFormat="1">
      <c r="A26208" s="83"/>
      <c r="H26208" s="83"/>
      <c r="K26208" s="82"/>
      <c r="M26208" s="112"/>
      <c r="N26208" s="84"/>
    </row>
    <row r="26209" spans="1:14" s="2" customFormat="1">
      <c r="A26209" s="83"/>
      <c r="H26209" s="83"/>
      <c r="K26209" s="82"/>
      <c r="M26209" s="112"/>
      <c r="N26209" s="84"/>
    </row>
    <row r="26210" spans="1:14" s="2" customFormat="1">
      <c r="A26210" s="83"/>
      <c r="H26210" s="83"/>
      <c r="K26210" s="82"/>
      <c r="M26210" s="112"/>
      <c r="N26210" s="84"/>
    </row>
    <row r="26211" spans="1:14" s="2" customFormat="1">
      <c r="A26211" s="83"/>
      <c r="H26211" s="83"/>
      <c r="K26211" s="82"/>
      <c r="M26211" s="112"/>
      <c r="N26211" s="84"/>
    </row>
    <row r="26212" spans="1:14" s="2" customFormat="1">
      <c r="A26212" s="83"/>
      <c r="H26212" s="83"/>
      <c r="K26212" s="82"/>
      <c r="M26212" s="112"/>
      <c r="N26212" s="84"/>
    </row>
    <row r="26213" spans="1:14" s="2" customFormat="1">
      <c r="A26213" s="83"/>
      <c r="H26213" s="83"/>
      <c r="K26213" s="82"/>
      <c r="M26213" s="112"/>
      <c r="N26213" s="84"/>
    </row>
    <row r="26214" spans="1:14" s="2" customFormat="1">
      <c r="A26214" s="83"/>
      <c r="H26214" s="83"/>
      <c r="K26214" s="82"/>
      <c r="M26214" s="112"/>
      <c r="N26214" s="84"/>
    </row>
    <row r="26215" spans="1:14" s="2" customFormat="1">
      <c r="A26215" s="83"/>
      <c r="H26215" s="83"/>
      <c r="K26215" s="82"/>
      <c r="M26215" s="112"/>
      <c r="N26215" s="84"/>
    </row>
    <row r="26216" spans="1:14" s="2" customFormat="1">
      <c r="A26216" s="83"/>
      <c r="H26216" s="83"/>
      <c r="K26216" s="82"/>
      <c r="M26216" s="112"/>
      <c r="N26216" s="84"/>
    </row>
    <row r="26217" spans="1:14" s="2" customFormat="1">
      <c r="A26217" s="83"/>
      <c r="H26217" s="83"/>
      <c r="K26217" s="82"/>
      <c r="M26217" s="112"/>
      <c r="N26217" s="84"/>
    </row>
    <row r="26218" spans="1:14" s="2" customFormat="1">
      <c r="A26218" s="83"/>
      <c r="H26218" s="83"/>
      <c r="K26218" s="82"/>
      <c r="M26218" s="112"/>
      <c r="N26218" s="84"/>
    </row>
    <row r="26219" spans="1:14" s="2" customFormat="1">
      <c r="A26219" s="83"/>
      <c r="H26219" s="83"/>
      <c r="K26219" s="82"/>
      <c r="M26219" s="112"/>
      <c r="N26219" s="84"/>
    </row>
    <row r="26220" spans="1:14" s="2" customFormat="1">
      <c r="A26220" s="83"/>
      <c r="H26220" s="83"/>
      <c r="K26220" s="82"/>
      <c r="M26220" s="112"/>
      <c r="N26220" s="84"/>
    </row>
    <row r="26221" spans="1:14" s="2" customFormat="1">
      <c r="A26221" s="83"/>
      <c r="H26221" s="83"/>
      <c r="K26221" s="82"/>
      <c r="M26221" s="112"/>
      <c r="N26221" s="84"/>
    </row>
    <row r="26222" spans="1:14" s="2" customFormat="1">
      <c r="A26222" s="83"/>
      <c r="H26222" s="83"/>
      <c r="K26222" s="82"/>
      <c r="M26222" s="112"/>
      <c r="N26222" s="84"/>
    </row>
    <row r="26223" spans="1:14" s="2" customFormat="1">
      <c r="A26223" s="83"/>
      <c r="H26223" s="83"/>
      <c r="K26223" s="82"/>
      <c r="M26223" s="112"/>
      <c r="N26223" s="84"/>
    </row>
    <row r="26224" spans="1:14" s="2" customFormat="1">
      <c r="A26224" s="83"/>
      <c r="H26224" s="83"/>
      <c r="K26224" s="82"/>
      <c r="M26224" s="112"/>
      <c r="N26224" s="84"/>
    </row>
    <row r="26225" spans="1:14" s="2" customFormat="1">
      <c r="A26225" s="83"/>
      <c r="H26225" s="83"/>
      <c r="K26225" s="82"/>
      <c r="M26225" s="112"/>
      <c r="N26225" s="84"/>
    </row>
    <row r="26226" spans="1:14" s="2" customFormat="1">
      <c r="A26226" s="83"/>
      <c r="H26226" s="83"/>
      <c r="K26226" s="82"/>
      <c r="M26226" s="112"/>
      <c r="N26226" s="84"/>
    </row>
    <row r="26227" spans="1:14" s="2" customFormat="1">
      <c r="A26227" s="83"/>
      <c r="H26227" s="83"/>
      <c r="K26227" s="82"/>
      <c r="M26227" s="112"/>
      <c r="N26227" s="84"/>
    </row>
    <row r="26228" spans="1:14" s="2" customFormat="1">
      <c r="A26228" s="83"/>
      <c r="H26228" s="83"/>
      <c r="K26228" s="82"/>
      <c r="M26228" s="112"/>
      <c r="N26228" s="84"/>
    </row>
    <row r="26229" spans="1:14" s="2" customFormat="1">
      <c r="A26229" s="83"/>
      <c r="H26229" s="83"/>
      <c r="K26229" s="82"/>
      <c r="M26229" s="112"/>
      <c r="N26229" s="84"/>
    </row>
    <row r="26230" spans="1:14" s="2" customFormat="1">
      <c r="A26230" s="83"/>
      <c r="H26230" s="83"/>
      <c r="K26230" s="82"/>
      <c r="M26230" s="112"/>
      <c r="N26230" s="84"/>
    </row>
    <row r="26231" spans="1:14" s="2" customFormat="1">
      <c r="A26231" s="83"/>
      <c r="H26231" s="83"/>
      <c r="K26231" s="82"/>
      <c r="M26231" s="112"/>
      <c r="N26231" s="84"/>
    </row>
    <row r="26232" spans="1:14" s="2" customFormat="1">
      <c r="A26232" s="83"/>
      <c r="H26232" s="83"/>
      <c r="K26232" s="82"/>
      <c r="M26232" s="112"/>
      <c r="N26232" s="84"/>
    </row>
    <row r="26233" spans="1:14" s="2" customFormat="1">
      <c r="A26233" s="83"/>
      <c r="H26233" s="83"/>
      <c r="K26233" s="82"/>
      <c r="M26233" s="112"/>
      <c r="N26233" s="84"/>
    </row>
    <row r="26234" spans="1:14" s="2" customFormat="1">
      <c r="A26234" s="83"/>
      <c r="H26234" s="83"/>
      <c r="K26234" s="82"/>
      <c r="M26234" s="112"/>
      <c r="N26234" s="84"/>
    </row>
    <row r="26235" spans="1:14" s="2" customFormat="1">
      <c r="A26235" s="83"/>
      <c r="H26235" s="83"/>
      <c r="K26235" s="82"/>
      <c r="M26235" s="112"/>
      <c r="N26235" s="84"/>
    </row>
    <row r="26236" spans="1:14" s="2" customFormat="1">
      <c r="A26236" s="83"/>
      <c r="H26236" s="83"/>
      <c r="K26236" s="82"/>
      <c r="M26236" s="112"/>
      <c r="N26236" s="84"/>
    </row>
    <row r="26237" spans="1:14" s="2" customFormat="1">
      <c r="A26237" s="83"/>
      <c r="H26237" s="83"/>
      <c r="K26237" s="82"/>
      <c r="M26237" s="112"/>
      <c r="N26237" s="84"/>
    </row>
    <row r="26238" spans="1:14" s="2" customFormat="1">
      <c r="A26238" s="83"/>
      <c r="H26238" s="83"/>
      <c r="K26238" s="82"/>
      <c r="M26238" s="112"/>
      <c r="N26238" s="84"/>
    </row>
    <row r="26239" spans="1:14" s="2" customFormat="1">
      <c r="A26239" s="83"/>
      <c r="H26239" s="83"/>
      <c r="K26239" s="82"/>
      <c r="M26239" s="112"/>
      <c r="N26239" s="84"/>
    </row>
    <row r="26240" spans="1:14" s="2" customFormat="1">
      <c r="A26240" s="83"/>
      <c r="H26240" s="83"/>
      <c r="K26240" s="82"/>
      <c r="M26240" s="112"/>
      <c r="N26240" s="84"/>
    </row>
    <row r="26241" spans="1:14" s="2" customFormat="1">
      <c r="A26241" s="83"/>
      <c r="H26241" s="83"/>
      <c r="K26241" s="82"/>
      <c r="M26241" s="112"/>
      <c r="N26241" s="84"/>
    </row>
    <row r="26242" spans="1:14" s="2" customFormat="1">
      <c r="A26242" s="83"/>
      <c r="H26242" s="83"/>
      <c r="K26242" s="82"/>
      <c r="M26242" s="112"/>
      <c r="N26242" s="84"/>
    </row>
    <row r="26243" spans="1:14" s="2" customFormat="1">
      <c r="A26243" s="83"/>
      <c r="H26243" s="83"/>
      <c r="K26243" s="82"/>
      <c r="M26243" s="112"/>
      <c r="N26243" s="84"/>
    </row>
    <row r="26244" spans="1:14" s="2" customFormat="1">
      <c r="A26244" s="83"/>
      <c r="H26244" s="83"/>
      <c r="K26244" s="82"/>
      <c r="M26244" s="112"/>
      <c r="N26244" s="84"/>
    </row>
    <row r="26245" spans="1:14" s="2" customFormat="1">
      <c r="A26245" s="83"/>
      <c r="H26245" s="83"/>
      <c r="K26245" s="82"/>
      <c r="M26245" s="112"/>
      <c r="N26245" s="84"/>
    </row>
    <row r="26246" spans="1:14" s="2" customFormat="1">
      <c r="A26246" s="83"/>
      <c r="H26246" s="83"/>
      <c r="K26246" s="82"/>
      <c r="M26246" s="112"/>
      <c r="N26246" s="84"/>
    </row>
    <row r="26247" spans="1:14" s="2" customFormat="1">
      <c r="A26247" s="83"/>
      <c r="H26247" s="83"/>
      <c r="K26247" s="82"/>
      <c r="M26247" s="112"/>
      <c r="N26247" s="84"/>
    </row>
    <row r="26248" spans="1:14" s="2" customFormat="1">
      <c r="A26248" s="83"/>
      <c r="H26248" s="83"/>
      <c r="K26248" s="82"/>
      <c r="M26248" s="112"/>
      <c r="N26248" s="84"/>
    </row>
    <row r="26249" spans="1:14" s="2" customFormat="1">
      <c r="A26249" s="83"/>
      <c r="H26249" s="83"/>
      <c r="K26249" s="82"/>
      <c r="M26249" s="112"/>
      <c r="N26249" s="84"/>
    </row>
    <row r="26250" spans="1:14" s="2" customFormat="1">
      <c r="A26250" s="83"/>
      <c r="H26250" s="83"/>
      <c r="K26250" s="82"/>
      <c r="M26250" s="112"/>
      <c r="N26250" s="84"/>
    </row>
    <row r="26251" spans="1:14" s="2" customFormat="1">
      <c r="A26251" s="83"/>
      <c r="H26251" s="83"/>
      <c r="K26251" s="82"/>
      <c r="M26251" s="112"/>
      <c r="N26251" s="84"/>
    </row>
    <row r="26252" spans="1:14" s="2" customFormat="1">
      <c r="A26252" s="83"/>
      <c r="H26252" s="83"/>
      <c r="K26252" s="82"/>
      <c r="M26252" s="112"/>
      <c r="N26252" s="84"/>
    </row>
    <row r="26253" spans="1:14" s="2" customFormat="1">
      <c r="A26253" s="83"/>
      <c r="H26253" s="83"/>
      <c r="K26253" s="82"/>
      <c r="M26253" s="112"/>
      <c r="N26253" s="84"/>
    </row>
    <row r="26254" spans="1:14" s="2" customFormat="1">
      <c r="A26254" s="83"/>
      <c r="H26254" s="83"/>
      <c r="K26254" s="82"/>
      <c r="M26254" s="112"/>
      <c r="N26254" s="84"/>
    </row>
    <row r="26255" spans="1:14" s="2" customFormat="1">
      <c r="A26255" s="83"/>
      <c r="H26255" s="83"/>
      <c r="K26255" s="82"/>
      <c r="M26255" s="112"/>
      <c r="N26255" s="84"/>
    </row>
    <row r="26256" spans="1:14" s="2" customFormat="1">
      <c r="A26256" s="83"/>
      <c r="H26256" s="83"/>
      <c r="K26256" s="82"/>
      <c r="M26256" s="112"/>
      <c r="N26256" s="84"/>
    </row>
    <row r="26257" spans="1:14" s="2" customFormat="1">
      <c r="A26257" s="83"/>
      <c r="H26257" s="83"/>
      <c r="K26257" s="82"/>
      <c r="M26257" s="112"/>
      <c r="N26257" s="84"/>
    </row>
    <row r="26258" spans="1:14" s="2" customFormat="1">
      <c r="A26258" s="83"/>
      <c r="H26258" s="83"/>
      <c r="K26258" s="82"/>
      <c r="M26258" s="112"/>
      <c r="N26258" s="84"/>
    </row>
    <row r="26259" spans="1:14" s="2" customFormat="1">
      <c r="A26259" s="83"/>
      <c r="H26259" s="83"/>
      <c r="K26259" s="82"/>
      <c r="M26259" s="112"/>
      <c r="N26259" s="84"/>
    </row>
    <row r="26260" spans="1:14" s="2" customFormat="1">
      <c r="A26260" s="83"/>
      <c r="H26260" s="83"/>
      <c r="K26260" s="82"/>
      <c r="M26260" s="112"/>
      <c r="N26260" s="84"/>
    </row>
    <row r="26261" spans="1:14" s="2" customFormat="1">
      <c r="A26261" s="83"/>
      <c r="H26261" s="83"/>
      <c r="K26261" s="82"/>
      <c r="M26261" s="112"/>
      <c r="N26261" s="84"/>
    </row>
    <row r="26262" spans="1:14" s="2" customFormat="1">
      <c r="A26262" s="83"/>
      <c r="H26262" s="83"/>
      <c r="K26262" s="82"/>
      <c r="M26262" s="112"/>
      <c r="N26262" s="84"/>
    </row>
    <row r="26263" spans="1:14" s="2" customFormat="1">
      <c r="A26263" s="83"/>
      <c r="H26263" s="83"/>
      <c r="K26263" s="82"/>
      <c r="M26263" s="112"/>
      <c r="N26263" s="84"/>
    </row>
    <row r="26264" spans="1:14" s="2" customFormat="1">
      <c r="A26264" s="83"/>
      <c r="H26264" s="83"/>
      <c r="K26264" s="82"/>
      <c r="M26264" s="112"/>
      <c r="N26264" s="84"/>
    </row>
    <row r="26265" spans="1:14" s="2" customFormat="1">
      <c r="A26265" s="83"/>
      <c r="H26265" s="83"/>
      <c r="K26265" s="82"/>
      <c r="M26265" s="112"/>
      <c r="N26265" s="84"/>
    </row>
    <row r="26266" spans="1:14" s="2" customFormat="1">
      <c r="A26266" s="83"/>
      <c r="H26266" s="83"/>
      <c r="K26266" s="82"/>
      <c r="M26266" s="112"/>
      <c r="N26266" s="84"/>
    </row>
    <row r="26267" spans="1:14" s="2" customFormat="1">
      <c r="A26267" s="83"/>
      <c r="H26267" s="83"/>
      <c r="K26267" s="82"/>
      <c r="M26267" s="112"/>
      <c r="N26267" s="84"/>
    </row>
    <row r="26268" spans="1:14" s="2" customFormat="1">
      <c r="A26268" s="83"/>
      <c r="H26268" s="83"/>
      <c r="K26268" s="82"/>
      <c r="M26268" s="112"/>
      <c r="N26268" s="84"/>
    </row>
    <row r="26269" spans="1:14" s="2" customFormat="1">
      <c r="A26269" s="83"/>
      <c r="H26269" s="83"/>
      <c r="K26269" s="82"/>
      <c r="M26269" s="112"/>
      <c r="N26269" s="84"/>
    </row>
    <row r="26270" spans="1:14" s="2" customFormat="1">
      <c r="A26270" s="83"/>
      <c r="H26270" s="83"/>
      <c r="K26270" s="82"/>
      <c r="M26270" s="112"/>
      <c r="N26270" s="84"/>
    </row>
    <row r="26271" spans="1:14" s="2" customFormat="1">
      <c r="A26271" s="83"/>
      <c r="H26271" s="83"/>
      <c r="K26271" s="82"/>
      <c r="M26271" s="112"/>
      <c r="N26271" s="84"/>
    </row>
    <row r="26272" spans="1:14" s="2" customFormat="1">
      <c r="A26272" s="83"/>
      <c r="H26272" s="83"/>
      <c r="K26272" s="82"/>
      <c r="M26272" s="112"/>
      <c r="N26272" s="84"/>
    </row>
    <row r="26273" spans="1:14" s="2" customFormat="1">
      <c r="A26273" s="83"/>
      <c r="H26273" s="83"/>
      <c r="K26273" s="82"/>
      <c r="M26273" s="112"/>
      <c r="N26273" s="84"/>
    </row>
    <row r="26274" spans="1:14" s="2" customFormat="1">
      <c r="A26274" s="83"/>
      <c r="H26274" s="83"/>
      <c r="K26274" s="82"/>
      <c r="M26274" s="112"/>
      <c r="N26274" s="84"/>
    </row>
    <row r="26275" spans="1:14" s="2" customFormat="1">
      <c r="A26275" s="83"/>
      <c r="H26275" s="83"/>
      <c r="K26275" s="82"/>
      <c r="M26275" s="112"/>
      <c r="N26275" s="84"/>
    </row>
    <row r="26276" spans="1:14" s="2" customFormat="1">
      <c r="A26276" s="83"/>
      <c r="H26276" s="83"/>
      <c r="K26276" s="82"/>
      <c r="M26276" s="112"/>
      <c r="N26276" s="84"/>
    </row>
    <row r="26277" spans="1:14" s="2" customFormat="1">
      <c r="A26277" s="83"/>
      <c r="H26277" s="83"/>
      <c r="K26277" s="82"/>
      <c r="M26277" s="112"/>
      <c r="N26277" s="84"/>
    </row>
    <row r="26278" spans="1:14" s="2" customFormat="1">
      <c r="A26278" s="83"/>
      <c r="H26278" s="83"/>
      <c r="K26278" s="82"/>
      <c r="M26278" s="112"/>
      <c r="N26278" s="84"/>
    </row>
    <row r="26279" spans="1:14" s="2" customFormat="1">
      <c r="A26279" s="83"/>
      <c r="H26279" s="83"/>
      <c r="K26279" s="82"/>
      <c r="M26279" s="112"/>
      <c r="N26279" s="84"/>
    </row>
    <row r="26280" spans="1:14" s="2" customFormat="1">
      <c r="A26280" s="83"/>
      <c r="H26280" s="83"/>
      <c r="K26280" s="82"/>
      <c r="M26280" s="112"/>
      <c r="N26280" s="84"/>
    </row>
    <row r="26281" spans="1:14" s="2" customFormat="1">
      <c r="A26281" s="83"/>
      <c r="H26281" s="83"/>
      <c r="K26281" s="82"/>
      <c r="M26281" s="112"/>
      <c r="N26281" s="84"/>
    </row>
    <row r="26282" spans="1:14" s="2" customFormat="1">
      <c r="A26282" s="83"/>
      <c r="H26282" s="83"/>
      <c r="K26282" s="82"/>
      <c r="M26282" s="112"/>
      <c r="N26282" s="84"/>
    </row>
    <row r="26283" spans="1:14" s="2" customFormat="1">
      <c r="A26283" s="83"/>
      <c r="H26283" s="83"/>
      <c r="K26283" s="82"/>
      <c r="M26283" s="112"/>
      <c r="N26283" s="84"/>
    </row>
    <row r="26284" spans="1:14" s="2" customFormat="1">
      <c r="A26284" s="83"/>
      <c r="H26284" s="83"/>
      <c r="K26284" s="82"/>
      <c r="M26284" s="112"/>
      <c r="N26284" s="84"/>
    </row>
    <row r="26285" spans="1:14" s="2" customFormat="1">
      <c r="A26285" s="83"/>
      <c r="H26285" s="83"/>
      <c r="K26285" s="82"/>
      <c r="M26285" s="112"/>
      <c r="N26285" s="84"/>
    </row>
    <row r="26286" spans="1:14" s="2" customFormat="1">
      <c r="A26286" s="83"/>
      <c r="H26286" s="83"/>
      <c r="K26286" s="82"/>
      <c r="M26286" s="112"/>
      <c r="N26286" s="84"/>
    </row>
    <row r="26287" spans="1:14" s="2" customFormat="1">
      <c r="A26287" s="83"/>
      <c r="H26287" s="83"/>
      <c r="K26287" s="82"/>
      <c r="M26287" s="112"/>
      <c r="N26287" s="84"/>
    </row>
    <row r="26288" spans="1:14" s="2" customFormat="1">
      <c r="A26288" s="83"/>
      <c r="H26288" s="83"/>
      <c r="K26288" s="82"/>
      <c r="M26288" s="112"/>
      <c r="N26288" s="84"/>
    </row>
    <row r="26289" spans="1:14" s="2" customFormat="1">
      <c r="A26289" s="83"/>
      <c r="H26289" s="83"/>
      <c r="K26289" s="82"/>
      <c r="M26289" s="112"/>
      <c r="N26289" s="84"/>
    </row>
    <row r="26290" spans="1:14" s="2" customFormat="1">
      <c r="A26290" s="83"/>
      <c r="H26290" s="83"/>
      <c r="K26290" s="82"/>
      <c r="M26290" s="112"/>
      <c r="N26290" s="84"/>
    </row>
    <row r="26291" spans="1:14" s="2" customFormat="1">
      <c r="A26291" s="83"/>
      <c r="H26291" s="83"/>
      <c r="K26291" s="82"/>
      <c r="M26291" s="112"/>
      <c r="N26291" s="84"/>
    </row>
    <row r="26292" spans="1:14" s="2" customFormat="1">
      <c r="A26292" s="83"/>
      <c r="H26292" s="83"/>
      <c r="K26292" s="82"/>
      <c r="M26292" s="112"/>
      <c r="N26292" s="84"/>
    </row>
    <row r="26293" spans="1:14" s="2" customFormat="1">
      <c r="A26293" s="83"/>
      <c r="H26293" s="83"/>
      <c r="K26293" s="82"/>
      <c r="M26293" s="112"/>
      <c r="N26293" s="84"/>
    </row>
    <row r="26294" spans="1:14" s="2" customFormat="1">
      <c r="A26294" s="83"/>
      <c r="H26294" s="83"/>
      <c r="K26294" s="82"/>
      <c r="M26294" s="112"/>
      <c r="N26294" s="84"/>
    </row>
    <row r="26295" spans="1:14" s="2" customFormat="1">
      <c r="A26295" s="83"/>
      <c r="H26295" s="83"/>
      <c r="K26295" s="82"/>
      <c r="M26295" s="112"/>
      <c r="N26295" s="84"/>
    </row>
    <row r="26296" spans="1:14" s="2" customFormat="1">
      <c r="A26296" s="83"/>
      <c r="H26296" s="83"/>
      <c r="K26296" s="82"/>
      <c r="M26296" s="112"/>
      <c r="N26296" s="84"/>
    </row>
    <row r="26297" spans="1:14" s="2" customFormat="1">
      <c r="A26297" s="83"/>
      <c r="H26297" s="83"/>
      <c r="K26297" s="82"/>
      <c r="M26297" s="112"/>
      <c r="N26297" s="84"/>
    </row>
    <row r="26298" spans="1:14" s="2" customFormat="1">
      <c r="A26298" s="83"/>
      <c r="H26298" s="83"/>
      <c r="K26298" s="82"/>
      <c r="M26298" s="112"/>
      <c r="N26298" s="84"/>
    </row>
    <row r="26299" spans="1:14" s="2" customFormat="1">
      <c r="A26299" s="83"/>
      <c r="H26299" s="83"/>
      <c r="K26299" s="82"/>
      <c r="M26299" s="112"/>
      <c r="N26299" s="84"/>
    </row>
    <row r="26300" spans="1:14" s="2" customFormat="1">
      <c r="A26300" s="83"/>
      <c r="H26300" s="83"/>
      <c r="K26300" s="82"/>
      <c r="M26300" s="112"/>
      <c r="N26300" s="84"/>
    </row>
    <row r="26301" spans="1:14" s="2" customFormat="1">
      <c r="A26301" s="83"/>
      <c r="H26301" s="83"/>
      <c r="K26301" s="82"/>
      <c r="M26301" s="112"/>
      <c r="N26301" s="84"/>
    </row>
    <row r="26302" spans="1:14" s="2" customFormat="1">
      <c r="A26302" s="83"/>
      <c r="H26302" s="83"/>
      <c r="K26302" s="82"/>
      <c r="M26302" s="112"/>
      <c r="N26302" s="84"/>
    </row>
    <row r="26303" spans="1:14" s="2" customFormat="1">
      <c r="A26303" s="83"/>
      <c r="H26303" s="83"/>
      <c r="K26303" s="82"/>
      <c r="M26303" s="112"/>
      <c r="N26303" s="84"/>
    </row>
    <row r="26304" spans="1:14" s="2" customFormat="1">
      <c r="A26304" s="83"/>
      <c r="H26304" s="83"/>
      <c r="K26304" s="82"/>
      <c r="M26304" s="112"/>
      <c r="N26304" s="84"/>
    </row>
    <row r="26305" spans="1:14" s="2" customFormat="1">
      <c r="A26305" s="83"/>
      <c r="H26305" s="83"/>
      <c r="K26305" s="82"/>
      <c r="M26305" s="112"/>
      <c r="N26305" s="84"/>
    </row>
    <row r="26306" spans="1:14" s="2" customFormat="1">
      <c r="A26306" s="83"/>
      <c r="H26306" s="83"/>
      <c r="K26306" s="82"/>
      <c r="M26306" s="112"/>
      <c r="N26306" s="84"/>
    </row>
    <row r="26307" spans="1:14" s="2" customFormat="1">
      <c r="A26307" s="83"/>
      <c r="H26307" s="83"/>
      <c r="K26307" s="82"/>
      <c r="M26307" s="112"/>
      <c r="N26307" s="84"/>
    </row>
    <row r="26308" spans="1:14" s="2" customFormat="1">
      <c r="A26308" s="83"/>
      <c r="H26308" s="83"/>
      <c r="K26308" s="82"/>
      <c r="M26308" s="112"/>
      <c r="N26308" s="84"/>
    </row>
    <row r="26309" spans="1:14" s="2" customFormat="1">
      <c r="A26309" s="83"/>
      <c r="H26309" s="83"/>
      <c r="K26309" s="82"/>
      <c r="M26309" s="112"/>
      <c r="N26309" s="84"/>
    </row>
    <row r="26310" spans="1:14" s="2" customFormat="1">
      <c r="A26310" s="83"/>
      <c r="H26310" s="83"/>
      <c r="K26310" s="82"/>
      <c r="M26310" s="112"/>
      <c r="N26310" s="84"/>
    </row>
    <row r="26311" spans="1:14" s="2" customFormat="1">
      <c r="A26311" s="83"/>
      <c r="H26311" s="83"/>
      <c r="K26311" s="82"/>
      <c r="M26311" s="112"/>
      <c r="N26311" s="84"/>
    </row>
    <row r="26312" spans="1:14" s="2" customFormat="1">
      <c r="A26312" s="83"/>
      <c r="H26312" s="83"/>
      <c r="K26312" s="82"/>
      <c r="M26312" s="112"/>
      <c r="N26312" s="84"/>
    </row>
    <row r="26313" spans="1:14" s="2" customFormat="1">
      <c r="A26313" s="83"/>
      <c r="H26313" s="83"/>
      <c r="K26313" s="82"/>
      <c r="M26313" s="112"/>
      <c r="N26313" s="84"/>
    </row>
    <row r="26314" spans="1:14" s="2" customFormat="1">
      <c r="A26314" s="83"/>
      <c r="H26314" s="83"/>
      <c r="K26314" s="82"/>
      <c r="M26314" s="112"/>
      <c r="N26314" s="84"/>
    </row>
    <row r="26315" spans="1:14" s="2" customFormat="1">
      <c r="A26315" s="83"/>
      <c r="H26315" s="83"/>
      <c r="K26315" s="82"/>
      <c r="M26315" s="112"/>
      <c r="N26315" s="84"/>
    </row>
    <row r="26316" spans="1:14" s="2" customFormat="1">
      <c r="A26316" s="83"/>
      <c r="H26316" s="83"/>
      <c r="K26316" s="82"/>
      <c r="M26316" s="112"/>
      <c r="N26316" s="84"/>
    </row>
    <row r="26317" spans="1:14" s="2" customFormat="1">
      <c r="A26317" s="83"/>
      <c r="H26317" s="83"/>
      <c r="K26317" s="82"/>
      <c r="M26317" s="112"/>
      <c r="N26317" s="84"/>
    </row>
    <row r="26318" spans="1:14" s="2" customFormat="1">
      <c r="A26318" s="83"/>
      <c r="H26318" s="83"/>
      <c r="K26318" s="82"/>
      <c r="M26318" s="112"/>
      <c r="N26318" s="84"/>
    </row>
    <row r="26319" spans="1:14" s="2" customFormat="1">
      <c r="A26319" s="83"/>
      <c r="H26319" s="83"/>
      <c r="K26319" s="82"/>
      <c r="M26319" s="112"/>
      <c r="N26319" s="84"/>
    </row>
    <row r="26320" spans="1:14" s="2" customFormat="1">
      <c r="A26320" s="83"/>
      <c r="H26320" s="83"/>
      <c r="K26320" s="82"/>
      <c r="M26320" s="112"/>
      <c r="N26320" s="84"/>
    </row>
    <row r="26321" spans="1:14" s="2" customFormat="1">
      <c r="A26321" s="83"/>
      <c r="H26321" s="83"/>
      <c r="K26321" s="82"/>
      <c r="M26321" s="112"/>
      <c r="N26321" s="84"/>
    </row>
    <row r="26322" spans="1:14" s="2" customFormat="1">
      <c r="A26322" s="83"/>
      <c r="H26322" s="83"/>
      <c r="K26322" s="82"/>
      <c r="M26322" s="112"/>
      <c r="N26322" s="84"/>
    </row>
    <row r="26323" spans="1:14" s="2" customFormat="1">
      <c r="A26323" s="83"/>
      <c r="H26323" s="83"/>
      <c r="K26323" s="82"/>
      <c r="M26323" s="112"/>
      <c r="N26323" s="84"/>
    </row>
    <row r="26324" spans="1:14" s="2" customFormat="1">
      <c r="A26324" s="83"/>
      <c r="H26324" s="83"/>
      <c r="K26324" s="82"/>
      <c r="M26324" s="112"/>
      <c r="N26324" s="84"/>
    </row>
    <row r="26325" spans="1:14" s="2" customFormat="1">
      <c r="A26325" s="83"/>
      <c r="H26325" s="83"/>
      <c r="K26325" s="82"/>
      <c r="M26325" s="112"/>
      <c r="N26325" s="84"/>
    </row>
    <row r="26326" spans="1:14" s="2" customFormat="1">
      <c r="A26326" s="83"/>
      <c r="H26326" s="83"/>
      <c r="K26326" s="82"/>
      <c r="M26326" s="112"/>
      <c r="N26326" s="84"/>
    </row>
    <row r="26327" spans="1:14" s="2" customFormat="1">
      <c r="A26327" s="83"/>
      <c r="H26327" s="83"/>
      <c r="K26327" s="82"/>
      <c r="M26327" s="112"/>
      <c r="N26327" s="84"/>
    </row>
    <row r="26328" spans="1:14" s="2" customFormat="1">
      <c r="A26328" s="83"/>
      <c r="H26328" s="83"/>
      <c r="K26328" s="82"/>
      <c r="M26328" s="112"/>
      <c r="N26328" s="84"/>
    </row>
    <row r="26329" spans="1:14" s="2" customFormat="1">
      <c r="A26329" s="83"/>
      <c r="H26329" s="83"/>
      <c r="K26329" s="82"/>
      <c r="M26329" s="112"/>
      <c r="N26329" s="84"/>
    </row>
    <row r="26330" spans="1:14" s="2" customFormat="1">
      <c r="A26330" s="83"/>
      <c r="H26330" s="83"/>
      <c r="K26330" s="82"/>
      <c r="M26330" s="112"/>
      <c r="N26330" s="84"/>
    </row>
    <row r="26331" spans="1:14" s="2" customFormat="1">
      <c r="A26331" s="83"/>
      <c r="H26331" s="83"/>
      <c r="K26331" s="82"/>
      <c r="M26331" s="112"/>
      <c r="N26331" s="84"/>
    </row>
    <row r="26332" spans="1:14" s="2" customFormat="1">
      <c r="A26332" s="83"/>
      <c r="H26332" s="83"/>
      <c r="K26332" s="82"/>
      <c r="M26332" s="112"/>
      <c r="N26332" s="84"/>
    </row>
    <row r="26333" spans="1:14" s="2" customFormat="1">
      <c r="A26333" s="83"/>
      <c r="H26333" s="83"/>
      <c r="K26333" s="82"/>
      <c r="M26333" s="112"/>
      <c r="N26333" s="84"/>
    </row>
    <row r="26334" spans="1:14" s="2" customFormat="1">
      <c r="A26334" s="83"/>
      <c r="H26334" s="83"/>
      <c r="K26334" s="82"/>
      <c r="M26334" s="112"/>
      <c r="N26334" s="84"/>
    </row>
    <row r="26335" spans="1:14" s="2" customFormat="1">
      <c r="A26335" s="83"/>
      <c r="H26335" s="83"/>
      <c r="K26335" s="82"/>
      <c r="M26335" s="112"/>
      <c r="N26335" s="84"/>
    </row>
    <row r="26336" spans="1:14" s="2" customFormat="1">
      <c r="A26336" s="83"/>
      <c r="H26336" s="83"/>
      <c r="K26336" s="82"/>
      <c r="M26336" s="112"/>
      <c r="N26336" s="84"/>
    </row>
    <row r="26337" spans="1:14" s="2" customFormat="1">
      <c r="A26337" s="83"/>
      <c r="H26337" s="83"/>
      <c r="K26337" s="82"/>
      <c r="M26337" s="112"/>
      <c r="N26337" s="84"/>
    </row>
    <row r="26338" spans="1:14" s="2" customFormat="1">
      <c r="A26338" s="83"/>
      <c r="H26338" s="83"/>
      <c r="K26338" s="82"/>
      <c r="M26338" s="112"/>
      <c r="N26338" s="84"/>
    </row>
    <row r="26339" spans="1:14" s="2" customFormat="1">
      <c r="A26339" s="83"/>
      <c r="H26339" s="83"/>
      <c r="K26339" s="82"/>
      <c r="M26339" s="112"/>
      <c r="N26339" s="84"/>
    </row>
    <row r="26340" spans="1:14" s="2" customFormat="1">
      <c r="A26340" s="83"/>
      <c r="H26340" s="83"/>
      <c r="K26340" s="82"/>
      <c r="M26340" s="112"/>
      <c r="N26340" s="84"/>
    </row>
    <row r="26341" spans="1:14" s="2" customFormat="1">
      <c r="A26341" s="83"/>
      <c r="H26341" s="83"/>
      <c r="K26341" s="82"/>
      <c r="M26341" s="112"/>
      <c r="N26341" s="84"/>
    </row>
    <row r="26342" spans="1:14" s="2" customFormat="1">
      <c r="A26342" s="83"/>
      <c r="H26342" s="83"/>
      <c r="K26342" s="82"/>
      <c r="M26342" s="112"/>
      <c r="N26342" s="84"/>
    </row>
    <row r="26343" spans="1:14" s="2" customFormat="1">
      <c r="A26343" s="83"/>
      <c r="H26343" s="83"/>
      <c r="K26343" s="82"/>
      <c r="M26343" s="112"/>
      <c r="N26343" s="84"/>
    </row>
    <row r="26344" spans="1:14" s="2" customFormat="1">
      <c r="A26344" s="83"/>
      <c r="H26344" s="83"/>
      <c r="K26344" s="82"/>
      <c r="M26344" s="112"/>
      <c r="N26344" s="84"/>
    </row>
    <row r="26345" spans="1:14" s="2" customFormat="1">
      <c r="A26345" s="83"/>
      <c r="H26345" s="83"/>
      <c r="K26345" s="82"/>
      <c r="M26345" s="112"/>
      <c r="N26345" s="84"/>
    </row>
    <row r="26346" spans="1:14" s="2" customFormat="1">
      <c r="A26346" s="83"/>
      <c r="H26346" s="83"/>
      <c r="K26346" s="82"/>
      <c r="M26346" s="112"/>
      <c r="N26346" s="84"/>
    </row>
    <row r="26347" spans="1:14" s="2" customFormat="1">
      <c r="A26347" s="83"/>
      <c r="H26347" s="83"/>
      <c r="K26347" s="82"/>
      <c r="M26347" s="112"/>
      <c r="N26347" s="84"/>
    </row>
    <row r="26348" spans="1:14" s="2" customFormat="1">
      <c r="A26348" s="83"/>
      <c r="H26348" s="83"/>
      <c r="K26348" s="82"/>
      <c r="M26348" s="112"/>
      <c r="N26348" s="84"/>
    </row>
    <row r="26349" spans="1:14" s="2" customFormat="1">
      <c r="A26349" s="83"/>
      <c r="H26349" s="83"/>
      <c r="K26349" s="82"/>
      <c r="M26349" s="112"/>
      <c r="N26349" s="84"/>
    </row>
    <row r="26350" spans="1:14" s="2" customFormat="1">
      <c r="A26350" s="83"/>
      <c r="H26350" s="83"/>
      <c r="K26350" s="82"/>
      <c r="M26350" s="112"/>
      <c r="N26350" s="84"/>
    </row>
    <row r="26351" spans="1:14" s="2" customFormat="1">
      <c r="A26351" s="83"/>
      <c r="H26351" s="83"/>
      <c r="K26351" s="82"/>
      <c r="M26351" s="112"/>
      <c r="N26351" s="84"/>
    </row>
    <row r="26352" spans="1:14" s="2" customFormat="1">
      <c r="A26352" s="83"/>
      <c r="H26352" s="83"/>
      <c r="K26352" s="82"/>
      <c r="M26352" s="112"/>
      <c r="N26352" s="84"/>
    </row>
    <row r="26353" spans="1:14" s="2" customFormat="1">
      <c r="A26353" s="83"/>
      <c r="H26353" s="83"/>
      <c r="K26353" s="82"/>
      <c r="M26353" s="112"/>
      <c r="N26353" s="84"/>
    </row>
    <row r="26354" spans="1:14" s="2" customFormat="1">
      <c r="A26354" s="83"/>
      <c r="H26354" s="83"/>
      <c r="K26354" s="82"/>
      <c r="M26354" s="112"/>
      <c r="N26354" s="84"/>
    </row>
    <row r="26355" spans="1:14" s="2" customFormat="1">
      <c r="A26355" s="83"/>
      <c r="H26355" s="83"/>
      <c r="K26355" s="82"/>
      <c r="M26355" s="112"/>
      <c r="N26355" s="84"/>
    </row>
    <row r="26356" spans="1:14" s="2" customFormat="1">
      <c r="A26356" s="83"/>
      <c r="H26356" s="83"/>
      <c r="K26356" s="82"/>
      <c r="M26356" s="112"/>
      <c r="N26356" s="84"/>
    </row>
    <row r="26357" spans="1:14" s="2" customFormat="1">
      <c r="A26357" s="83"/>
      <c r="H26357" s="83"/>
      <c r="K26357" s="82"/>
      <c r="M26357" s="112"/>
      <c r="N26357" s="84"/>
    </row>
    <row r="26358" spans="1:14" s="2" customFormat="1">
      <c r="A26358" s="83"/>
      <c r="H26358" s="83"/>
      <c r="K26358" s="82"/>
      <c r="M26358" s="112"/>
      <c r="N26358" s="84"/>
    </row>
    <row r="26359" spans="1:14" s="2" customFormat="1">
      <c r="A26359" s="83"/>
      <c r="H26359" s="83"/>
      <c r="K26359" s="82"/>
      <c r="M26359" s="112"/>
      <c r="N26359" s="84"/>
    </row>
    <row r="26360" spans="1:14" s="2" customFormat="1">
      <c r="A26360" s="83"/>
      <c r="H26360" s="83"/>
      <c r="K26360" s="82"/>
      <c r="M26360" s="112"/>
      <c r="N26360" s="84"/>
    </row>
    <row r="26361" spans="1:14" s="2" customFormat="1">
      <c r="A26361" s="83"/>
      <c r="H26361" s="83"/>
      <c r="K26361" s="82"/>
      <c r="M26361" s="112"/>
      <c r="N26361" s="84"/>
    </row>
    <row r="26362" spans="1:14" s="2" customFormat="1">
      <c r="A26362" s="83"/>
      <c r="H26362" s="83"/>
      <c r="K26362" s="82"/>
      <c r="M26362" s="112"/>
      <c r="N26362" s="84"/>
    </row>
    <row r="26363" spans="1:14" s="2" customFormat="1">
      <c r="A26363" s="83"/>
      <c r="H26363" s="83"/>
      <c r="K26363" s="82"/>
      <c r="M26363" s="112"/>
      <c r="N26363" s="84"/>
    </row>
    <row r="26364" spans="1:14" s="2" customFormat="1">
      <c r="A26364" s="83"/>
      <c r="H26364" s="83"/>
      <c r="K26364" s="82"/>
      <c r="M26364" s="112"/>
      <c r="N26364" s="84"/>
    </row>
    <row r="26365" spans="1:14" s="2" customFormat="1">
      <c r="A26365" s="83"/>
      <c r="H26365" s="83"/>
      <c r="K26365" s="82"/>
      <c r="M26365" s="112"/>
      <c r="N26365" s="84"/>
    </row>
    <row r="26366" spans="1:14" s="2" customFormat="1">
      <c r="A26366" s="83"/>
      <c r="H26366" s="83"/>
      <c r="K26366" s="82"/>
      <c r="M26366" s="112"/>
      <c r="N26366" s="84"/>
    </row>
    <row r="26367" spans="1:14" s="2" customFormat="1">
      <c r="A26367" s="83"/>
      <c r="H26367" s="83"/>
      <c r="K26367" s="82"/>
      <c r="M26367" s="112"/>
      <c r="N26367" s="84"/>
    </row>
    <row r="26368" spans="1:14" s="2" customFormat="1">
      <c r="A26368" s="83"/>
      <c r="H26368" s="83"/>
      <c r="K26368" s="82"/>
      <c r="M26368" s="112"/>
      <c r="N26368" s="84"/>
    </row>
    <row r="26369" spans="1:14" s="2" customFormat="1">
      <c r="A26369" s="83"/>
      <c r="H26369" s="83"/>
      <c r="K26369" s="82"/>
      <c r="M26369" s="112"/>
      <c r="N26369" s="84"/>
    </row>
    <row r="26370" spans="1:14" s="2" customFormat="1">
      <c r="A26370" s="83"/>
      <c r="H26370" s="83"/>
      <c r="K26370" s="82"/>
      <c r="M26370" s="112"/>
      <c r="N26370" s="84"/>
    </row>
    <row r="26371" spans="1:14" s="2" customFormat="1">
      <c r="A26371" s="83"/>
      <c r="H26371" s="83"/>
      <c r="K26371" s="82"/>
      <c r="M26371" s="112"/>
      <c r="N26371" s="84"/>
    </row>
    <row r="26372" spans="1:14" s="2" customFormat="1">
      <c r="A26372" s="83"/>
      <c r="H26372" s="83"/>
      <c r="K26372" s="82"/>
      <c r="M26372" s="112"/>
      <c r="N26372" s="84"/>
    </row>
    <row r="26373" spans="1:14" s="2" customFormat="1">
      <c r="A26373" s="83"/>
      <c r="H26373" s="83"/>
      <c r="K26373" s="82"/>
      <c r="M26373" s="112"/>
      <c r="N26373" s="84"/>
    </row>
    <row r="26374" spans="1:14" s="2" customFormat="1">
      <c r="A26374" s="83"/>
      <c r="H26374" s="83"/>
      <c r="K26374" s="82"/>
      <c r="M26374" s="112"/>
      <c r="N26374" s="84"/>
    </row>
    <row r="26375" spans="1:14" s="2" customFormat="1">
      <c r="A26375" s="83"/>
      <c r="H26375" s="83"/>
      <c r="K26375" s="82"/>
      <c r="M26375" s="112"/>
      <c r="N26375" s="84"/>
    </row>
    <row r="26376" spans="1:14" s="2" customFormat="1">
      <c r="A26376" s="83"/>
      <c r="H26376" s="83"/>
      <c r="K26376" s="82"/>
      <c r="M26376" s="112"/>
      <c r="N26376" s="84"/>
    </row>
    <row r="26377" spans="1:14" s="2" customFormat="1">
      <c r="A26377" s="83"/>
      <c r="H26377" s="83"/>
      <c r="K26377" s="82"/>
      <c r="M26377" s="112"/>
      <c r="N26377" s="84"/>
    </row>
    <row r="26378" spans="1:14" s="2" customFormat="1">
      <c r="A26378" s="83"/>
      <c r="H26378" s="83"/>
      <c r="K26378" s="82"/>
      <c r="M26378" s="112"/>
      <c r="N26378" s="84"/>
    </row>
    <row r="26379" spans="1:14" s="2" customFormat="1">
      <c r="A26379" s="83"/>
      <c r="H26379" s="83"/>
      <c r="K26379" s="82"/>
      <c r="M26379" s="112"/>
      <c r="N26379" s="84"/>
    </row>
    <row r="26380" spans="1:14" s="2" customFormat="1">
      <c r="A26380" s="83"/>
      <c r="H26380" s="83"/>
      <c r="K26380" s="82"/>
      <c r="M26380" s="112"/>
      <c r="N26380" s="84"/>
    </row>
    <row r="26381" spans="1:14" s="2" customFormat="1">
      <c r="A26381" s="83"/>
      <c r="H26381" s="83"/>
      <c r="K26381" s="82"/>
      <c r="M26381" s="112"/>
      <c r="N26381" s="84"/>
    </row>
    <row r="26382" spans="1:14" s="2" customFormat="1">
      <c r="A26382" s="83"/>
      <c r="H26382" s="83"/>
      <c r="K26382" s="82"/>
      <c r="M26382" s="112"/>
      <c r="N26382" s="84"/>
    </row>
    <row r="26383" spans="1:14" s="2" customFormat="1">
      <c r="A26383" s="83"/>
      <c r="H26383" s="83"/>
      <c r="K26383" s="82"/>
      <c r="M26383" s="112"/>
      <c r="N26383" s="84"/>
    </row>
    <row r="26384" spans="1:14" s="2" customFormat="1">
      <c r="A26384" s="83"/>
      <c r="H26384" s="83"/>
      <c r="K26384" s="82"/>
      <c r="M26384" s="112"/>
      <c r="N26384" s="84"/>
    </row>
    <row r="26385" spans="1:14" s="2" customFormat="1">
      <c r="A26385" s="83"/>
      <c r="H26385" s="83"/>
      <c r="K26385" s="82"/>
      <c r="M26385" s="112"/>
      <c r="N26385" s="84"/>
    </row>
    <row r="26386" spans="1:14" s="2" customFormat="1">
      <c r="A26386" s="83"/>
      <c r="H26386" s="83"/>
      <c r="K26386" s="82"/>
      <c r="M26386" s="112"/>
      <c r="N26386" s="84"/>
    </row>
    <row r="26387" spans="1:14" s="2" customFormat="1">
      <c r="A26387" s="83"/>
      <c r="H26387" s="83"/>
      <c r="K26387" s="82"/>
      <c r="M26387" s="112"/>
      <c r="N26387" s="84"/>
    </row>
    <row r="26388" spans="1:14" s="2" customFormat="1">
      <c r="A26388" s="83"/>
      <c r="H26388" s="83"/>
      <c r="K26388" s="82"/>
      <c r="M26388" s="112"/>
      <c r="N26388" s="84"/>
    </row>
    <row r="26389" spans="1:14" s="2" customFormat="1">
      <c r="A26389" s="83"/>
      <c r="H26389" s="83"/>
      <c r="K26389" s="82"/>
      <c r="M26389" s="112"/>
      <c r="N26389" s="84"/>
    </row>
    <row r="26390" spans="1:14" s="2" customFormat="1">
      <c r="A26390" s="83"/>
      <c r="H26390" s="83"/>
      <c r="K26390" s="82"/>
      <c r="M26390" s="112"/>
      <c r="N26390" s="84"/>
    </row>
    <row r="26391" spans="1:14" s="2" customFormat="1">
      <c r="A26391" s="83"/>
      <c r="H26391" s="83"/>
      <c r="K26391" s="82"/>
      <c r="M26391" s="112"/>
      <c r="N26391" s="84"/>
    </row>
    <row r="26392" spans="1:14" s="2" customFormat="1">
      <c r="A26392" s="83"/>
      <c r="H26392" s="83"/>
      <c r="K26392" s="82"/>
      <c r="M26392" s="112"/>
      <c r="N26392" s="84"/>
    </row>
    <row r="26393" spans="1:14" s="2" customFormat="1">
      <c r="A26393" s="83"/>
      <c r="H26393" s="83"/>
      <c r="K26393" s="82"/>
      <c r="M26393" s="112"/>
      <c r="N26393" s="84"/>
    </row>
    <row r="26394" spans="1:14" s="2" customFormat="1">
      <c r="A26394" s="83"/>
      <c r="H26394" s="83"/>
      <c r="K26394" s="82"/>
      <c r="M26394" s="112"/>
      <c r="N26394" s="84"/>
    </row>
    <row r="26395" spans="1:14" s="2" customFormat="1">
      <c r="A26395" s="83"/>
      <c r="H26395" s="83"/>
      <c r="K26395" s="82"/>
      <c r="M26395" s="112"/>
      <c r="N26395" s="84"/>
    </row>
    <row r="26396" spans="1:14" s="2" customFormat="1">
      <c r="A26396" s="83"/>
      <c r="H26396" s="83"/>
      <c r="K26396" s="82"/>
      <c r="M26396" s="112"/>
      <c r="N26396" s="84"/>
    </row>
    <row r="26397" spans="1:14" s="2" customFormat="1">
      <c r="A26397" s="83"/>
      <c r="H26397" s="83"/>
      <c r="K26397" s="82"/>
      <c r="M26397" s="112"/>
      <c r="N26397" s="84"/>
    </row>
    <row r="26398" spans="1:14" s="2" customFormat="1">
      <c r="A26398" s="83"/>
      <c r="H26398" s="83"/>
      <c r="K26398" s="82"/>
      <c r="M26398" s="112"/>
      <c r="N26398" s="84"/>
    </row>
    <row r="26399" spans="1:14" s="2" customFormat="1">
      <c r="A26399" s="83"/>
      <c r="H26399" s="83"/>
      <c r="K26399" s="82"/>
      <c r="M26399" s="112"/>
      <c r="N26399" s="84"/>
    </row>
    <row r="26400" spans="1:14" s="2" customFormat="1">
      <c r="A26400" s="83"/>
      <c r="H26400" s="83"/>
      <c r="K26400" s="82"/>
      <c r="M26400" s="112"/>
      <c r="N26400" s="84"/>
    </row>
    <row r="26401" spans="1:14" s="2" customFormat="1">
      <c r="A26401" s="83"/>
      <c r="H26401" s="83"/>
      <c r="K26401" s="82"/>
      <c r="M26401" s="112"/>
      <c r="N26401" s="84"/>
    </row>
    <row r="26402" spans="1:14" s="2" customFormat="1">
      <c r="A26402" s="83"/>
      <c r="H26402" s="83"/>
      <c r="K26402" s="82"/>
      <c r="M26402" s="112"/>
      <c r="N26402" s="84"/>
    </row>
    <row r="26403" spans="1:14" s="2" customFormat="1">
      <c r="A26403" s="83"/>
      <c r="H26403" s="83"/>
      <c r="K26403" s="82"/>
      <c r="M26403" s="112"/>
      <c r="N26403" s="84"/>
    </row>
    <row r="26404" spans="1:14" s="2" customFormat="1">
      <c r="A26404" s="83"/>
      <c r="H26404" s="83"/>
      <c r="K26404" s="82"/>
      <c r="M26404" s="112"/>
      <c r="N26404" s="84"/>
    </row>
    <row r="26405" spans="1:14" s="2" customFormat="1">
      <c r="A26405" s="83"/>
      <c r="H26405" s="83"/>
      <c r="K26405" s="82"/>
      <c r="M26405" s="112"/>
      <c r="N26405" s="84"/>
    </row>
    <row r="26406" spans="1:14" s="2" customFormat="1">
      <c r="A26406" s="83"/>
      <c r="H26406" s="83"/>
      <c r="K26406" s="82"/>
      <c r="M26406" s="112"/>
      <c r="N26406" s="84"/>
    </row>
    <row r="26407" spans="1:14" s="2" customFormat="1">
      <c r="A26407" s="83"/>
      <c r="H26407" s="83"/>
      <c r="K26407" s="82"/>
      <c r="M26407" s="112"/>
      <c r="N26407" s="84"/>
    </row>
    <row r="26408" spans="1:14" s="2" customFormat="1">
      <c r="A26408" s="83"/>
      <c r="H26408" s="83"/>
      <c r="K26408" s="82"/>
      <c r="M26408" s="112"/>
      <c r="N26408" s="84"/>
    </row>
    <row r="26409" spans="1:14" s="2" customFormat="1">
      <c r="A26409" s="83"/>
      <c r="H26409" s="83"/>
      <c r="K26409" s="82"/>
      <c r="M26409" s="112"/>
      <c r="N26409" s="84"/>
    </row>
    <row r="26410" spans="1:14" s="2" customFormat="1">
      <c r="A26410" s="83"/>
      <c r="H26410" s="83"/>
      <c r="K26410" s="82"/>
      <c r="M26410" s="112"/>
      <c r="N26410" s="84"/>
    </row>
    <row r="26411" spans="1:14" s="2" customFormat="1">
      <c r="A26411" s="83"/>
      <c r="H26411" s="83"/>
      <c r="K26411" s="82"/>
      <c r="M26411" s="112"/>
      <c r="N26411" s="84"/>
    </row>
    <row r="26412" spans="1:14" s="2" customFormat="1">
      <c r="A26412" s="83"/>
      <c r="H26412" s="83"/>
      <c r="K26412" s="82"/>
      <c r="M26412" s="112"/>
      <c r="N26412" s="84"/>
    </row>
    <row r="26413" spans="1:14" s="2" customFormat="1">
      <c r="A26413" s="83"/>
      <c r="H26413" s="83"/>
      <c r="K26413" s="82"/>
      <c r="M26413" s="112"/>
      <c r="N26413" s="84"/>
    </row>
    <row r="26414" spans="1:14" s="2" customFormat="1">
      <c r="A26414" s="83"/>
      <c r="H26414" s="83"/>
      <c r="K26414" s="82"/>
      <c r="M26414" s="112"/>
      <c r="N26414" s="84"/>
    </row>
    <row r="26415" spans="1:14" s="2" customFormat="1">
      <c r="A26415" s="83"/>
      <c r="H26415" s="83"/>
      <c r="K26415" s="82"/>
      <c r="M26415" s="112"/>
      <c r="N26415" s="84"/>
    </row>
    <row r="26416" spans="1:14" s="2" customFormat="1">
      <c r="A26416" s="83"/>
      <c r="H26416" s="83"/>
      <c r="K26416" s="82"/>
      <c r="M26416" s="112"/>
      <c r="N26416" s="84"/>
    </row>
    <row r="26417" spans="1:14" s="2" customFormat="1">
      <c r="A26417" s="83"/>
      <c r="H26417" s="83"/>
      <c r="K26417" s="82"/>
      <c r="M26417" s="112"/>
      <c r="N26417" s="84"/>
    </row>
    <row r="26418" spans="1:14" s="2" customFormat="1">
      <c r="A26418" s="83"/>
      <c r="H26418" s="83"/>
      <c r="K26418" s="82"/>
      <c r="M26418" s="112"/>
      <c r="N26418" s="84"/>
    </row>
    <row r="26419" spans="1:14" s="2" customFormat="1">
      <c r="A26419" s="83"/>
      <c r="H26419" s="83"/>
      <c r="K26419" s="82"/>
      <c r="M26419" s="112"/>
      <c r="N26419" s="84"/>
    </row>
    <row r="26420" spans="1:14" s="2" customFormat="1">
      <c r="A26420" s="83"/>
      <c r="H26420" s="83"/>
      <c r="K26420" s="82"/>
      <c r="M26420" s="112"/>
      <c r="N26420" s="84"/>
    </row>
    <row r="26421" spans="1:14" s="2" customFormat="1">
      <c r="A26421" s="83"/>
      <c r="H26421" s="83"/>
      <c r="K26421" s="82"/>
      <c r="M26421" s="112"/>
      <c r="N26421" s="84"/>
    </row>
    <row r="26422" spans="1:14" s="2" customFormat="1">
      <c r="A26422" s="83"/>
      <c r="H26422" s="83"/>
      <c r="K26422" s="82"/>
      <c r="M26422" s="112"/>
      <c r="N26422" s="84"/>
    </row>
    <row r="26423" spans="1:14" s="2" customFormat="1">
      <c r="A26423" s="83"/>
      <c r="H26423" s="83"/>
      <c r="K26423" s="82"/>
      <c r="M26423" s="112"/>
      <c r="N26423" s="84"/>
    </row>
    <row r="26424" spans="1:14" s="2" customFormat="1">
      <c r="A26424" s="83"/>
      <c r="H26424" s="83"/>
      <c r="K26424" s="82"/>
      <c r="M26424" s="112"/>
      <c r="N26424" s="84"/>
    </row>
    <row r="26425" spans="1:14" s="2" customFormat="1">
      <c r="A26425" s="83"/>
      <c r="H26425" s="83"/>
      <c r="K26425" s="82"/>
      <c r="M26425" s="112"/>
      <c r="N26425" s="84"/>
    </row>
    <row r="26426" spans="1:14" s="2" customFormat="1">
      <c r="A26426" s="83"/>
      <c r="H26426" s="83"/>
      <c r="K26426" s="82"/>
      <c r="M26426" s="112"/>
      <c r="N26426" s="84"/>
    </row>
    <row r="26427" spans="1:14" s="2" customFormat="1">
      <c r="A26427" s="83"/>
      <c r="H26427" s="83"/>
      <c r="K26427" s="82"/>
      <c r="M26427" s="112"/>
      <c r="N26427" s="84"/>
    </row>
    <row r="26428" spans="1:14" s="2" customFormat="1">
      <c r="A26428" s="83"/>
      <c r="H26428" s="83"/>
      <c r="K26428" s="82"/>
      <c r="M26428" s="112"/>
      <c r="N26428" s="84"/>
    </row>
    <row r="26429" spans="1:14" s="2" customFormat="1">
      <c r="A26429" s="83"/>
      <c r="H26429" s="83"/>
      <c r="K26429" s="82"/>
      <c r="M26429" s="112"/>
      <c r="N26429" s="84"/>
    </row>
    <row r="26430" spans="1:14" s="2" customFormat="1">
      <c r="A26430" s="83"/>
      <c r="H26430" s="83"/>
      <c r="K26430" s="82"/>
      <c r="M26430" s="112"/>
      <c r="N26430" s="84"/>
    </row>
    <row r="26431" spans="1:14" s="2" customFormat="1">
      <c r="A26431" s="83"/>
      <c r="H26431" s="83"/>
      <c r="K26431" s="82"/>
      <c r="M26431" s="112"/>
      <c r="N26431" s="84"/>
    </row>
    <row r="26432" spans="1:14" s="2" customFormat="1">
      <c r="A26432" s="83"/>
      <c r="H26432" s="83"/>
      <c r="K26432" s="82"/>
      <c r="M26432" s="112"/>
      <c r="N26432" s="84"/>
    </row>
    <row r="26433" spans="1:14" s="2" customFormat="1">
      <c r="A26433" s="83"/>
      <c r="H26433" s="83"/>
      <c r="K26433" s="82"/>
      <c r="M26433" s="112"/>
      <c r="N26433" s="84"/>
    </row>
    <row r="26434" spans="1:14" s="2" customFormat="1">
      <c r="A26434" s="83"/>
      <c r="H26434" s="83"/>
      <c r="K26434" s="82"/>
      <c r="M26434" s="112"/>
      <c r="N26434" s="84"/>
    </row>
    <row r="26435" spans="1:14" s="2" customFormat="1">
      <c r="A26435" s="83"/>
      <c r="H26435" s="83"/>
      <c r="K26435" s="82"/>
      <c r="M26435" s="112"/>
      <c r="N26435" s="84"/>
    </row>
    <row r="26436" spans="1:14" s="2" customFormat="1">
      <c r="A26436" s="83"/>
      <c r="H26436" s="83"/>
      <c r="K26436" s="82"/>
      <c r="M26436" s="112"/>
      <c r="N26436" s="84"/>
    </row>
    <row r="26437" spans="1:14" s="2" customFormat="1">
      <c r="A26437" s="83"/>
      <c r="H26437" s="83"/>
      <c r="K26437" s="82"/>
      <c r="M26437" s="112"/>
      <c r="N26437" s="84"/>
    </row>
    <row r="26438" spans="1:14" s="2" customFormat="1">
      <c r="A26438" s="83"/>
      <c r="H26438" s="83"/>
      <c r="K26438" s="82"/>
      <c r="M26438" s="112"/>
      <c r="N26438" s="84"/>
    </row>
    <row r="26439" spans="1:14" s="2" customFormat="1">
      <c r="A26439" s="83"/>
      <c r="H26439" s="83"/>
      <c r="K26439" s="82"/>
      <c r="M26439" s="112"/>
      <c r="N26439" s="84"/>
    </row>
    <row r="26440" spans="1:14" s="2" customFormat="1">
      <c r="A26440" s="83"/>
      <c r="H26440" s="83"/>
      <c r="K26440" s="82"/>
      <c r="M26440" s="112"/>
      <c r="N26440" s="84"/>
    </row>
    <row r="26441" spans="1:14" s="2" customFormat="1">
      <c r="A26441" s="83"/>
      <c r="H26441" s="83"/>
      <c r="K26441" s="82"/>
      <c r="M26441" s="112"/>
      <c r="N26441" s="84"/>
    </row>
    <row r="26442" spans="1:14" s="2" customFormat="1">
      <c r="A26442" s="83"/>
      <c r="H26442" s="83"/>
      <c r="K26442" s="82"/>
      <c r="M26442" s="112"/>
      <c r="N26442" s="84"/>
    </row>
    <row r="26443" spans="1:14" s="2" customFormat="1">
      <c r="A26443" s="83"/>
      <c r="H26443" s="83"/>
      <c r="K26443" s="82"/>
      <c r="M26443" s="112"/>
      <c r="N26443" s="84"/>
    </row>
    <row r="26444" spans="1:14" s="2" customFormat="1">
      <c r="A26444" s="83"/>
      <c r="H26444" s="83"/>
      <c r="K26444" s="82"/>
      <c r="M26444" s="112"/>
      <c r="N26444" s="84"/>
    </row>
    <row r="26445" spans="1:14" s="2" customFormat="1">
      <c r="A26445" s="83"/>
      <c r="H26445" s="83"/>
      <c r="K26445" s="82"/>
      <c r="M26445" s="112"/>
      <c r="N26445" s="84"/>
    </row>
    <row r="26446" spans="1:14" s="2" customFormat="1">
      <c r="A26446" s="83"/>
      <c r="H26446" s="83"/>
      <c r="K26446" s="82"/>
      <c r="M26446" s="112"/>
      <c r="N26446" s="84"/>
    </row>
    <row r="26447" spans="1:14" s="2" customFormat="1">
      <c r="A26447" s="83"/>
      <c r="H26447" s="83"/>
      <c r="K26447" s="82"/>
      <c r="M26447" s="112"/>
      <c r="N26447" s="84"/>
    </row>
    <row r="26448" spans="1:14" s="2" customFormat="1">
      <c r="A26448" s="83"/>
      <c r="H26448" s="83"/>
      <c r="K26448" s="82"/>
      <c r="M26448" s="112"/>
      <c r="N26448" s="84"/>
    </row>
    <row r="26449" spans="1:14" s="2" customFormat="1">
      <c r="A26449" s="83"/>
      <c r="H26449" s="83"/>
      <c r="K26449" s="82"/>
      <c r="M26449" s="112"/>
      <c r="N26449" s="84"/>
    </row>
    <row r="26450" spans="1:14" s="2" customFormat="1">
      <c r="A26450" s="83"/>
      <c r="H26450" s="83"/>
      <c r="K26450" s="82"/>
      <c r="M26450" s="112"/>
      <c r="N26450" s="84"/>
    </row>
    <row r="26451" spans="1:14" s="2" customFormat="1">
      <c r="A26451" s="83"/>
      <c r="H26451" s="83"/>
      <c r="K26451" s="82"/>
      <c r="M26451" s="112"/>
      <c r="N26451" s="84"/>
    </row>
    <row r="26452" spans="1:14" s="2" customFormat="1">
      <c r="A26452" s="83"/>
      <c r="H26452" s="83"/>
      <c r="K26452" s="82"/>
      <c r="M26452" s="112"/>
      <c r="N26452" s="84"/>
    </row>
    <row r="26453" spans="1:14" s="2" customFormat="1">
      <c r="A26453" s="83"/>
      <c r="H26453" s="83"/>
      <c r="K26453" s="82"/>
      <c r="M26453" s="112"/>
      <c r="N26453" s="84"/>
    </row>
    <row r="26454" spans="1:14" s="2" customFormat="1">
      <c r="A26454" s="83"/>
      <c r="H26454" s="83"/>
      <c r="K26454" s="82"/>
      <c r="M26454" s="112"/>
      <c r="N26454" s="84"/>
    </row>
    <row r="26455" spans="1:14" s="2" customFormat="1">
      <c r="A26455" s="83"/>
      <c r="H26455" s="83"/>
      <c r="K26455" s="82"/>
      <c r="M26455" s="112"/>
      <c r="N26455" s="84"/>
    </row>
    <row r="26456" spans="1:14" s="2" customFormat="1">
      <c r="A26456" s="83"/>
      <c r="H26456" s="83"/>
      <c r="K26456" s="82"/>
      <c r="M26456" s="112"/>
      <c r="N26456" s="84"/>
    </row>
    <row r="26457" spans="1:14" s="2" customFormat="1">
      <c r="A26457" s="83"/>
      <c r="H26457" s="83"/>
      <c r="K26457" s="82"/>
      <c r="M26457" s="112"/>
      <c r="N26457" s="84"/>
    </row>
    <row r="26458" spans="1:14" s="2" customFormat="1">
      <c r="A26458" s="83"/>
      <c r="H26458" s="83"/>
      <c r="K26458" s="82"/>
      <c r="M26458" s="112"/>
      <c r="N26458" s="84"/>
    </row>
    <row r="26459" spans="1:14" s="2" customFormat="1">
      <c r="A26459" s="83"/>
      <c r="H26459" s="83"/>
      <c r="K26459" s="82"/>
      <c r="M26459" s="112"/>
      <c r="N26459" s="84"/>
    </row>
    <row r="26460" spans="1:14" s="2" customFormat="1">
      <c r="A26460" s="83"/>
      <c r="H26460" s="83"/>
      <c r="K26460" s="82"/>
      <c r="M26460" s="112"/>
      <c r="N26460" s="84"/>
    </row>
    <row r="26461" spans="1:14" s="2" customFormat="1">
      <c r="A26461" s="83"/>
      <c r="H26461" s="83"/>
      <c r="K26461" s="82"/>
      <c r="M26461" s="112"/>
      <c r="N26461" s="84"/>
    </row>
    <row r="26462" spans="1:14" s="2" customFormat="1">
      <c r="A26462" s="83"/>
      <c r="H26462" s="83"/>
      <c r="K26462" s="82"/>
      <c r="M26462" s="112"/>
      <c r="N26462" s="84"/>
    </row>
    <row r="26463" spans="1:14" s="2" customFormat="1">
      <c r="A26463" s="83"/>
      <c r="H26463" s="83"/>
      <c r="K26463" s="82"/>
      <c r="M26463" s="112"/>
      <c r="N26463" s="84"/>
    </row>
    <row r="26464" spans="1:14" s="2" customFormat="1">
      <c r="A26464" s="83"/>
      <c r="H26464" s="83"/>
      <c r="K26464" s="82"/>
      <c r="M26464" s="112"/>
      <c r="N26464" s="84"/>
    </row>
    <row r="26465" spans="1:14" s="2" customFormat="1">
      <c r="A26465" s="83"/>
      <c r="H26465" s="83"/>
      <c r="K26465" s="82"/>
      <c r="M26465" s="112"/>
      <c r="N26465" s="84"/>
    </row>
    <row r="26466" spans="1:14" s="2" customFormat="1">
      <c r="A26466" s="83"/>
      <c r="H26466" s="83"/>
      <c r="K26466" s="82"/>
      <c r="M26466" s="112"/>
      <c r="N26466" s="84"/>
    </row>
    <row r="26467" spans="1:14" s="2" customFormat="1">
      <c r="A26467" s="83"/>
      <c r="H26467" s="83"/>
      <c r="K26467" s="82"/>
      <c r="M26467" s="112"/>
      <c r="N26467" s="84"/>
    </row>
    <row r="26468" spans="1:14" s="2" customFormat="1">
      <c r="A26468" s="83"/>
      <c r="H26468" s="83"/>
      <c r="K26468" s="82"/>
      <c r="M26468" s="112"/>
      <c r="N26468" s="84"/>
    </row>
    <row r="26469" spans="1:14" s="2" customFormat="1">
      <c r="A26469" s="83"/>
      <c r="H26469" s="83"/>
      <c r="K26469" s="82"/>
      <c r="M26469" s="112"/>
      <c r="N26469" s="84"/>
    </row>
    <row r="26470" spans="1:14" s="2" customFormat="1">
      <c r="A26470" s="83"/>
      <c r="H26470" s="83"/>
      <c r="K26470" s="82"/>
      <c r="M26470" s="112"/>
      <c r="N26470" s="84"/>
    </row>
    <row r="26471" spans="1:14" s="2" customFormat="1">
      <c r="A26471" s="83"/>
      <c r="H26471" s="83"/>
      <c r="K26471" s="82"/>
      <c r="M26471" s="112"/>
      <c r="N26471" s="84"/>
    </row>
    <row r="26472" spans="1:14" s="2" customFormat="1">
      <c r="A26472" s="83"/>
      <c r="H26472" s="83"/>
      <c r="K26472" s="82"/>
      <c r="M26472" s="112"/>
      <c r="N26472" s="84"/>
    </row>
    <row r="26473" spans="1:14" s="2" customFormat="1">
      <c r="A26473" s="83"/>
      <c r="H26473" s="83"/>
      <c r="K26473" s="82"/>
      <c r="M26473" s="112"/>
      <c r="N26473" s="84"/>
    </row>
    <row r="26474" spans="1:14" s="2" customFormat="1">
      <c r="A26474" s="83"/>
      <c r="H26474" s="83"/>
      <c r="K26474" s="82"/>
      <c r="M26474" s="112"/>
      <c r="N26474" s="84"/>
    </row>
    <row r="26475" spans="1:14" s="2" customFormat="1">
      <c r="A26475" s="83"/>
      <c r="H26475" s="83"/>
      <c r="K26475" s="82"/>
      <c r="M26475" s="112"/>
      <c r="N26475" s="84"/>
    </row>
    <row r="26476" spans="1:14" s="2" customFormat="1">
      <c r="A26476" s="83"/>
      <c r="H26476" s="83"/>
      <c r="K26476" s="82"/>
      <c r="M26476" s="112"/>
      <c r="N26476" s="84"/>
    </row>
    <row r="26477" spans="1:14" s="2" customFormat="1">
      <c r="A26477" s="83"/>
      <c r="H26477" s="83"/>
      <c r="K26477" s="82"/>
      <c r="M26477" s="112"/>
      <c r="N26477" s="84"/>
    </row>
    <row r="26478" spans="1:14" s="2" customFormat="1">
      <c r="A26478" s="83"/>
      <c r="H26478" s="83"/>
      <c r="K26478" s="82"/>
      <c r="M26478" s="112"/>
      <c r="N26478" s="84"/>
    </row>
    <row r="26479" spans="1:14" s="2" customFormat="1">
      <c r="A26479" s="83"/>
      <c r="H26479" s="83"/>
      <c r="K26479" s="82"/>
      <c r="M26479" s="112"/>
      <c r="N26479" s="84"/>
    </row>
    <row r="26480" spans="1:14" s="2" customFormat="1">
      <c r="A26480" s="83"/>
      <c r="H26480" s="83"/>
      <c r="K26480" s="82"/>
      <c r="M26480" s="112"/>
      <c r="N26480" s="84"/>
    </row>
    <row r="26481" spans="1:14" s="2" customFormat="1">
      <c r="A26481" s="83"/>
      <c r="H26481" s="83"/>
      <c r="K26481" s="82"/>
      <c r="M26481" s="112"/>
      <c r="N26481" s="84"/>
    </row>
    <row r="26482" spans="1:14" s="2" customFormat="1">
      <c r="A26482" s="83"/>
      <c r="H26482" s="83"/>
      <c r="K26482" s="82"/>
      <c r="M26482" s="112"/>
      <c r="N26482" s="84"/>
    </row>
    <row r="26483" spans="1:14" s="2" customFormat="1">
      <c r="A26483" s="83"/>
      <c r="H26483" s="83"/>
      <c r="K26483" s="82"/>
      <c r="M26483" s="112"/>
      <c r="N26483" s="84"/>
    </row>
    <row r="26484" spans="1:14" s="2" customFormat="1">
      <c r="A26484" s="83"/>
      <c r="H26484" s="83"/>
      <c r="K26484" s="82"/>
      <c r="M26484" s="112"/>
      <c r="N26484" s="84"/>
    </row>
    <row r="26485" spans="1:14" s="2" customFormat="1">
      <c r="A26485" s="83"/>
      <c r="H26485" s="83"/>
      <c r="K26485" s="82"/>
      <c r="M26485" s="112"/>
      <c r="N26485" s="84"/>
    </row>
    <row r="26486" spans="1:14" s="2" customFormat="1">
      <c r="A26486" s="83"/>
      <c r="H26486" s="83"/>
      <c r="K26486" s="82"/>
      <c r="M26486" s="112"/>
      <c r="N26486" s="84"/>
    </row>
    <row r="26487" spans="1:14" s="2" customFormat="1">
      <c r="A26487" s="83"/>
      <c r="H26487" s="83"/>
      <c r="K26487" s="82"/>
      <c r="M26487" s="112"/>
      <c r="N26487" s="84"/>
    </row>
    <row r="26488" spans="1:14" s="2" customFormat="1">
      <c r="A26488" s="83"/>
      <c r="H26488" s="83"/>
      <c r="K26488" s="82"/>
      <c r="M26488" s="112"/>
      <c r="N26488" s="84"/>
    </row>
    <row r="26489" spans="1:14" s="2" customFormat="1">
      <c r="A26489" s="83"/>
      <c r="H26489" s="83"/>
      <c r="K26489" s="82"/>
      <c r="M26489" s="112"/>
      <c r="N26489" s="84"/>
    </row>
    <row r="26490" spans="1:14" s="2" customFormat="1">
      <c r="A26490" s="83"/>
      <c r="H26490" s="83"/>
      <c r="K26490" s="82"/>
      <c r="M26490" s="112"/>
      <c r="N26490" s="84"/>
    </row>
    <row r="26491" spans="1:14" s="2" customFormat="1">
      <c r="A26491" s="83"/>
      <c r="H26491" s="83"/>
      <c r="K26491" s="82"/>
      <c r="M26491" s="112"/>
      <c r="N26491" s="84"/>
    </row>
    <row r="26492" spans="1:14" s="2" customFormat="1">
      <c r="A26492" s="83"/>
      <c r="H26492" s="83"/>
      <c r="K26492" s="82"/>
      <c r="M26492" s="112"/>
      <c r="N26492" s="84"/>
    </row>
    <row r="26493" spans="1:14" s="2" customFormat="1">
      <c r="A26493" s="83"/>
      <c r="H26493" s="83"/>
      <c r="K26493" s="82"/>
      <c r="M26493" s="112"/>
      <c r="N26493" s="84"/>
    </row>
    <row r="26494" spans="1:14" s="2" customFormat="1">
      <c r="A26494" s="83"/>
      <c r="H26494" s="83"/>
      <c r="K26494" s="82"/>
      <c r="M26494" s="112"/>
      <c r="N26494" s="84"/>
    </row>
    <row r="26495" spans="1:14" s="2" customFormat="1">
      <c r="A26495" s="83"/>
      <c r="H26495" s="83"/>
      <c r="K26495" s="82"/>
      <c r="M26495" s="112"/>
      <c r="N26495" s="84"/>
    </row>
    <row r="26496" spans="1:14" s="2" customFormat="1">
      <c r="A26496" s="83"/>
      <c r="H26496" s="83"/>
      <c r="K26496" s="82"/>
      <c r="M26496" s="112"/>
      <c r="N26496" s="84"/>
    </row>
    <row r="26497" spans="1:14" s="2" customFormat="1">
      <c r="A26497" s="83"/>
      <c r="H26497" s="83"/>
      <c r="K26497" s="82"/>
      <c r="M26497" s="112"/>
      <c r="N26497" s="84"/>
    </row>
    <row r="26498" spans="1:14" s="2" customFormat="1">
      <c r="A26498" s="83"/>
      <c r="H26498" s="83"/>
      <c r="K26498" s="82"/>
      <c r="M26498" s="112"/>
      <c r="N26498" s="84"/>
    </row>
    <row r="26499" spans="1:14" s="2" customFormat="1">
      <c r="A26499" s="83"/>
      <c r="H26499" s="83"/>
      <c r="K26499" s="82"/>
      <c r="M26499" s="112"/>
      <c r="N26499" s="84"/>
    </row>
    <row r="26500" spans="1:14" s="2" customFormat="1">
      <c r="A26500" s="83"/>
      <c r="H26500" s="83"/>
      <c r="K26500" s="82"/>
      <c r="M26500" s="112"/>
      <c r="N26500" s="84"/>
    </row>
    <row r="26501" spans="1:14" s="2" customFormat="1">
      <c r="A26501" s="83"/>
      <c r="H26501" s="83"/>
      <c r="K26501" s="82"/>
      <c r="M26501" s="112"/>
      <c r="N26501" s="84"/>
    </row>
    <row r="26502" spans="1:14" s="2" customFormat="1">
      <c r="A26502" s="83"/>
      <c r="H26502" s="83"/>
      <c r="K26502" s="82"/>
      <c r="M26502" s="112"/>
      <c r="N26502" s="84"/>
    </row>
    <row r="26503" spans="1:14" s="2" customFormat="1">
      <c r="A26503" s="83"/>
      <c r="H26503" s="83"/>
      <c r="K26503" s="82"/>
      <c r="M26503" s="112"/>
      <c r="N26503" s="84"/>
    </row>
    <row r="26504" spans="1:14" s="2" customFormat="1">
      <c r="A26504" s="83"/>
      <c r="H26504" s="83"/>
      <c r="K26504" s="82"/>
      <c r="M26504" s="112"/>
      <c r="N26504" s="84"/>
    </row>
    <row r="26505" spans="1:14" s="2" customFormat="1">
      <c r="A26505" s="83"/>
      <c r="H26505" s="83"/>
      <c r="K26505" s="82"/>
      <c r="M26505" s="112"/>
      <c r="N26505" s="84"/>
    </row>
    <row r="26506" spans="1:14" s="2" customFormat="1">
      <c r="A26506" s="83"/>
      <c r="H26506" s="83"/>
      <c r="K26506" s="82"/>
      <c r="M26506" s="112"/>
      <c r="N26506" s="84"/>
    </row>
    <row r="26507" spans="1:14" s="2" customFormat="1">
      <c r="A26507" s="83"/>
      <c r="H26507" s="83"/>
      <c r="K26507" s="82"/>
      <c r="M26507" s="112"/>
      <c r="N26507" s="84"/>
    </row>
    <row r="26508" spans="1:14" s="2" customFormat="1">
      <c r="A26508" s="83"/>
      <c r="H26508" s="83"/>
      <c r="K26508" s="82"/>
      <c r="M26508" s="112"/>
      <c r="N26508" s="84"/>
    </row>
    <row r="26509" spans="1:14" s="2" customFormat="1">
      <c r="A26509" s="83"/>
      <c r="H26509" s="83"/>
      <c r="K26509" s="82"/>
      <c r="M26509" s="112"/>
      <c r="N26509" s="84"/>
    </row>
    <row r="26510" spans="1:14" s="2" customFormat="1">
      <c r="A26510" s="83"/>
      <c r="H26510" s="83"/>
      <c r="K26510" s="82"/>
      <c r="M26510" s="112"/>
      <c r="N26510" s="84"/>
    </row>
    <row r="26511" spans="1:14" s="2" customFormat="1">
      <c r="A26511" s="83"/>
      <c r="H26511" s="83"/>
      <c r="K26511" s="82"/>
      <c r="M26511" s="112"/>
      <c r="N26511" s="84"/>
    </row>
    <row r="26512" spans="1:14" s="2" customFormat="1">
      <c r="A26512" s="83"/>
      <c r="H26512" s="83"/>
      <c r="K26512" s="82"/>
      <c r="M26512" s="112"/>
      <c r="N26512" s="84"/>
    </row>
    <row r="26513" spans="1:14" s="2" customFormat="1">
      <c r="A26513" s="83"/>
      <c r="H26513" s="83"/>
      <c r="K26513" s="82"/>
      <c r="M26513" s="112"/>
      <c r="N26513" s="84"/>
    </row>
    <row r="26514" spans="1:14" s="2" customFormat="1">
      <c r="A26514" s="83"/>
      <c r="H26514" s="83"/>
      <c r="K26514" s="82"/>
      <c r="M26514" s="112"/>
      <c r="N26514" s="84"/>
    </row>
    <row r="26515" spans="1:14" s="2" customFormat="1">
      <c r="A26515" s="83"/>
      <c r="H26515" s="83"/>
      <c r="K26515" s="82"/>
      <c r="M26515" s="112"/>
      <c r="N26515" s="84"/>
    </row>
    <row r="26516" spans="1:14" s="2" customFormat="1">
      <c r="A26516" s="83"/>
      <c r="H26516" s="83"/>
      <c r="K26516" s="82"/>
      <c r="M26516" s="112"/>
      <c r="N26516" s="84"/>
    </row>
    <row r="26517" spans="1:14" s="2" customFormat="1">
      <c r="A26517" s="83"/>
      <c r="H26517" s="83"/>
      <c r="K26517" s="82"/>
      <c r="M26517" s="112"/>
      <c r="N26517" s="84"/>
    </row>
    <row r="26518" spans="1:14" s="2" customFormat="1">
      <c r="A26518" s="83"/>
      <c r="H26518" s="83"/>
      <c r="K26518" s="82"/>
      <c r="M26518" s="112"/>
      <c r="N26518" s="84"/>
    </row>
    <row r="26519" spans="1:14" s="2" customFormat="1">
      <c r="A26519" s="83"/>
      <c r="H26519" s="83"/>
      <c r="K26519" s="82"/>
      <c r="M26519" s="112"/>
      <c r="N26519" s="84"/>
    </row>
    <row r="26520" spans="1:14" s="2" customFormat="1">
      <c r="A26520" s="83"/>
      <c r="H26520" s="83"/>
      <c r="K26520" s="82"/>
      <c r="M26520" s="112"/>
      <c r="N26520" s="84"/>
    </row>
    <row r="26521" spans="1:14" s="2" customFormat="1">
      <c r="A26521" s="83"/>
      <c r="H26521" s="83"/>
      <c r="K26521" s="82"/>
      <c r="M26521" s="112"/>
      <c r="N26521" s="84"/>
    </row>
    <row r="26522" spans="1:14" s="2" customFormat="1">
      <c r="A26522" s="83"/>
      <c r="H26522" s="83"/>
      <c r="K26522" s="82"/>
      <c r="M26522" s="112"/>
      <c r="N26522" s="84"/>
    </row>
    <row r="26523" spans="1:14" s="2" customFormat="1">
      <c r="A26523" s="83"/>
      <c r="H26523" s="83"/>
      <c r="K26523" s="82"/>
      <c r="M26523" s="112"/>
      <c r="N26523" s="84"/>
    </row>
    <row r="26524" spans="1:14" s="2" customFormat="1">
      <c r="A26524" s="83"/>
      <c r="H26524" s="83"/>
      <c r="K26524" s="82"/>
      <c r="M26524" s="112"/>
      <c r="N26524" s="84"/>
    </row>
    <row r="26525" spans="1:14" s="2" customFormat="1">
      <c r="A26525" s="83"/>
      <c r="H26525" s="83"/>
      <c r="K26525" s="82"/>
      <c r="M26525" s="112"/>
      <c r="N26525" s="84"/>
    </row>
    <row r="26526" spans="1:14" s="2" customFormat="1">
      <c r="A26526" s="83"/>
      <c r="H26526" s="83"/>
      <c r="K26526" s="82"/>
      <c r="M26526" s="112"/>
      <c r="N26526" s="84"/>
    </row>
    <row r="26527" spans="1:14" s="2" customFormat="1">
      <c r="A26527" s="83"/>
      <c r="H26527" s="83"/>
      <c r="K26527" s="82"/>
      <c r="M26527" s="112"/>
      <c r="N26527" s="84"/>
    </row>
    <row r="26528" spans="1:14" s="2" customFormat="1">
      <c r="A26528" s="83"/>
      <c r="H26528" s="83"/>
      <c r="K26528" s="82"/>
      <c r="M26528" s="112"/>
      <c r="N26528" s="84"/>
    </row>
    <row r="26529" spans="1:14" s="2" customFormat="1">
      <c r="A26529" s="83"/>
      <c r="H26529" s="83"/>
      <c r="K26529" s="82"/>
      <c r="M26529" s="112"/>
      <c r="N26529" s="84"/>
    </row>
    <row r="26530" spans="1:14" s="2" customFormat="1">
      <c r="A26530" s="83"/>
      <c r="H26530" s="83"/>
      <c r="K26530" s="82"/>
      <c r="M26530" s="112"/>
      <c r="N26530" s="84"/>
    </row>
    <row r="26531" spans="1:14" s="2" customFormat="1">
      <c r="A26531" s="83"/>
      <c r="H26531" s="83"/>
      <c r="K26531" s="82"/>
      <c r="M26531" s="112"/>
      <c r="N26531" s="84"/>
    </row>
    <row r="26532" spans="1:14" s="2" customFormat="1">
      <c r="A26532" s="83"/>
      <c r="H26532" s="83"/>
      <c r="K26532" s="82"/>
      <c r="M26532" s="112"/>
      <c r="N26532" s="84"/>
    </row>
    <row r="26533" spans="1:14" s="2" customFormat="1">
      <c r="A26533" s="83"/>
      <c r="H26533" s="83"/>
      <c r="K26533" s="82"/>
      <c r="M26533" s="112"/>
      <c r="N26533" s="84"/>
    </row>
    <row r="26534" spans="1:14" s="2" customFormat="1">
      <c r="A26534" s="83"/>
      <c r="H26534" s="83"/>
      <c r="K26534" s="82"/>
      <c r="M26534" s="112"/>
      <c r="N26534" s="84"/>
    </row>
    <row r="26535" spans="1:14" s="2" customFormat="1">
      <c r="A26535" s="83"/>
      <c r="H26535" s="83"/>
      <c r="K26535" s="82"/>
      <c r="M26535" s="112"/>
      <c r="N26535" s="84"/>
    </row>
    <row r="26536" spans="1:14" s="2" customFormat="1">
      <c r="A26536" s="83"/>
      <c r="H26536" s="83"/>
      <c r="K26536" s="82"/>
      <c r="M26536" s="112"/>
      <c r="N26536" s="84"/>
    </row>
    <row r="26537" spans="1:14" s="2" customFormat="1">
      <c r="A26537" s="83"/>
      <c r="H26537" s="83"/>
      <c r="K26537" s="82"/>
      <c r="M26537" s="112"/>
      <c r="N26537" s="84"/>
    </row>
    <row r="26538" spans="1:14" s="2" customFormat="1">
      <c r="A26538" s="83"/>
      <c r="H26538" s="83"/>
      <c r="K26538" s="82"/>
      <c r="M26538" s="112"/>
      <c r="N26538" s="84"/>
    </row>
    <row r="26539" spans="1:14" s="2" customFormat="1">
      <c r="A26539" s="83"/>
      <c r="H26539" s="83"/>
      <c r="K26539" s="82"/>
      <c r="M26539" s="112"/>
      <c r="N26539" s="84"/>
    </row>
    <row r="26540" spans="1:14" s="2" customFormat="1">
      <c r="A26540" s="83"/>
      <c r="H26540" s="83"/>
      <c r="K26540" s="82"/>
      <c r="M26540" s="112"/>
      <c r="N26540" s="84"/>
    </row>
    <row r="26541" spans="1:14" s="2" customFormat="1">
      <c r="A26541" s="83"/>
      <c r="H26541" s="83"/>
      <c r="K26541" s="82"/>
      <c r="M26541" s="112"/>
      <c r="N26541" s="84"/>
    </row>
    <row r="26542" spans="1:14" s="2" customFormat="1">
      <c r="A26542" s="83"/>
      <c r="H26542" s="83"/>
      <c r="K26542" s="82"/>
      <c r="M26542" s="112"/>
      <c r="N26542" s="84"/>
    </row>
    <row r="26543" spans="1:14" s="2" customFormat="1">
      <c r="A26543" s="83"/>
      <c r="H26543" s="83"/>
      <c r="K26543" s="82"/>
      <c r="M26543" s="112"/>
      <c r="N26543" s="84"/>
    </row>
    <row r="26544" spans="1:14" s="2" customFormat="1">
      <c r="A26544" s="83"/>
      <c r="H26544" s="83"/>
      <c r="K26544" s="82"/>
      <c r="M26544" s="112"/>
      <c r="N26544" s="84"/>
    </row>
    <row r="26545" spans="1:14" s="2" customFormat="1">
      <c r="A26545" s="83"/>
      <c r="H26545" s="83"/>
      <c r="K26545" s="82"/>
      <c r="M26545" s="112"/>
      <c r="N26545" s="84"/>
    </row>
    <row r="26546" spans="1:14" s="2" customFormat="1">
      <c r="A26546" s="83"/>
      <c r="H26546" s="83"/>
      <c r="K26546" s="82"/>
      <c r="M26546" s="112"/>
      <c r="N26546" s="84"/>
    </row>
    <row r="26547" spans="1:14" s="2" customFormat="1">
      <c r="A26547" s="83"/>
      <c r="H26547" s="83"/>
      <c r="K26547" s="82"/>
      <c r="M26547" s="112"/>
      <c r="N26547" s="84"/>
    </row>
    <row r="26548" spans="1:14" s="2" customFormat="1">
      <c r="A26548" s="83"/>
      <c r="H26548" s="83"/>
      <c r="K26548" s="82"/>
      <c r="M26548" s="112"/>
      <c r="N26548" s="84"/>
    </row>
    <row r="26549" spans="1:14" s="2" customFormat="1">
      <c r="A26549" s="83"/>
      <c r="H26549" s="83"/>
      <c r="K26549" s="82"/>
      <c r="M26549" s="112"/>
      <c r="N26549" s="84"/>
    </row>
    <row r="26550" spans="1:14" s="2" customFormat="1">
      <c r="A26550" s="83"/>
      <c r="H26550" s="83"/>
      <c r="K26550" s="82"/>
      <c r="M26550" s="112"/>
      <c r="N26550" s="84"/>
    </row>
    <row r="26551" spans="1:14" s="2" customFormat="1">
      <c r="A26551" s="83"/>
      <c r="H26551" s="83"/>
      <c r="K26551" s="82"/>
      <c r="M26551" s="112"/>
      <c r="N26551" s="84"/>
    </row>
    <row r="26552" spans="1:14" s="2" customFormat="1">
      <c r="A26552" s="83"/>
      <c r="H26552" s="83"/>
      <c r="K26552" s="82"/>
      <c r="M26552" s="112"/>
      <c r="N26552" s="84"/>
    </row>
    <row r="26553" spans="1:14" s="2" customFormat="1">
      <c r="A26553" s="83"/>
      <c r="H26553" s="83"/>
      <c r="K26553" s="82"/>
      <c r="M26553" s="112"/>
      <c r="N26553" s="84"/>
    </row>
    <row r="26554" spans="1:14" s="2" customFormat="1">
      <c r="A26554" s="83"/>
      <c r="H26554" s="83"/>
      <c r="K26554" s="82"/>
      <c r="M26554" s="112"/>
      <c r="N26554" s="84"/>
    </row>
    <row r="26555" spans="1:14" s="2" customFormat="1">
      <c r="A26555" s="83"/>
      <c r="H26555" s="83"/>
      <c r="K26555" s="82"/>
      <c r="M26555" s="112"/>
      <c r="N26555" s="84"/>
    </row>
    <row r="26556" spans="1:14" s="2" customFormat="1">
      <c r="A26556" s="83"/>
      <c r="H26556" s="83"/>
      <c r="K26556" s="82"/>
      <c r="M26556" s="112"/>
      <c r="N26556" s="84"/>
    </row>
    <row r="26557" spans="1:14" s="2" customFormat="1">
      <c r="A26557" s="83"/>
      <c r="H26557" s="83"/>
      <c r="K26557" s="82"/>
      <c r="M26557" s="112"/>
      <c r="N26557" s="84"/>
    </row>
    <row r="26558" spans="1:14" s="2" customFormat="1">
      <c r="A26558" s="83"/>
      <c r="H26558" s="83"/>
      <c r="K26558" s="82"/>
      <c r="M26558" s="112"/>
      <c r="N26558" s="84"/>
    </row>
    <row r="26559" spans="1:14" s="2" customFormat="1">
      <c r="A26559" s="83"/>
      <c r="H26559" s="83"/>
      <c r="K26559" s="82"/>
      <c r="M26559" s="112"/>
      <c r="N26559" s="84"/>
    </row>
    <row r="26560" spans="1:14" s="2" customFormat="1">
      <c r="A26560" s="83"/>
      <c r="H26560" s="83"/>
      <c r="K26560" s="82"/>
      <c r="M26560" s="112"/>
      <c r="N26560" s="84"/>
    </row>
    <row r="26561" spans="1:14" s="2" customFormat="1">
      <c r="A26561" s="83"/>
      <c r="H26561" s="83"/>
      <c r="K26561" s="82"/>
      <c r="M26561" s="112"/>
      <c r="N26561" s="84"/>
    </row>
    <row r="26562" spans="1:14" s="2" customFormat="1">
      <c r="A26562" s="83"/>
      <c r="H26562" s="83"/>
      <c r="K26562" s="82"/>
      <c r="M26562" s="112"/>
      <c r="N26562" s="84"/>
    </row>
    <row r="26563" spans="1:14" s="2" customFormat="1">
      <c r="A26563" s="83"/>
      <c r="H26563" s="83"/>
      <c r="K26563" s="82"/>
      <c r="M26563" s="112"/>
      <c r="N26563" s="84"/>
    </row>
    <row r="26564" spans="1:14" s="2" customFormat="1">
      <c r="A26564" s="83"/>
      <c r="H26564" s="83"/>
      <c r="K26564" s="82"/>
      <c r="M26564" s="112"/>
      <c r="N26564" s="84"/>
    </row>
    <row r="26565" spans="1:14" s="2" customFormat="1">
      <c r="A26565" s="83"/>
      <c r="H26565" s="83"/>
      <c r="K26565" s="82"/>
      <c r="M26565" s="112"/>
      <c r="N26565" s="84"/>
    </row>
    <row r="26566" spans="1:14" s="2" customFormat="1">
      <c r="A26566" s="83"/>
      <c r="H26566" s="83"/>
      <c r="K26566" s="82"/>
      <c r="M26566" s="112"/>
      <c r="N26566" s="84"/>
    </row>
    <row r="26567" spans="1:14" s="2" customFormat="1">
      <c r="A26567" s="83"/>
      <c r="H26567" s="83"/>
      <c r="K26567" s="82"/>
      <c r="M26567" s="112"/>
      <c r="N26567" s="84"/>
    </row>
    <row r="26568" spans="1:14" s="2" customFormat="1">
      <c r="A26568" s="83"/>
      <c r="H26568" s="83"/>
      <c r="K26568" s="82"/>
      <c r="M26568" s="112"/>
      <c r="N26568" s="84"/>
    </row>
    <row r="26569" spans="1:14" s="2" customFormat="1">
      <c r="A26569" s="83"/>
      <c r="H26569" s="83"/>
      <c r="K26569" s="82"/>
      <c r="M26569" s="112"/>
      <c r="N26569" s="84"/>
    </row>
    <row r="26570" spans="1:14" s="2" customFormat="1">
      <c r="A26570" s="83"/>
      <c r="H26570" s="83"/>
      <c r="K26570" s="82"/>
      <c r="M26570" s="112"/>
      <c r="N26570" s="84"/>
    </row>
    <row r="26571" spans="1:14" s="2" customFormat="1">
      <c r="A26571" s="83"/>
      <c r="H26571" s="83"/>
      <c r="K26571" s="82"/>
      <c r="M26571" s="112"/>
      <c r="N26571" s="84"/>
    </row>
    <row r="26572" spans="1:14" s="2" customFormat="1">
      <c r="A26572" s="83"/>
      <c r="H26572" s="83"/>
      <c r="K26572" s="82"/>
      <c r="M26572" s="112"/>
      <c r="N26572" s="84"/>
    </row>
    <row r="26573" spans="1:14" s="2" customFormat="1">
      <c r="A26573" s="83"/>
      <c r="H26573" s="83"/>
      <c r="K26573" s="82"/>
      <c r="M26573" s="112"/>
      <c r="N26573" s="84"/>
    </row>
    <row r="26574" spans="1:14" s="2" customFormat="1">
      <c r="A26574" s="83"/>
      <c r="H26574" s="83"/>
      <c r="K26574" s="82"/>
      <c r="M26574" s="112"/>
      <c r="N26574" s="84"/>
    </row>
    <row r="26575" spans="1:14" s="2" customFormat="1">
      <c r="A26575" s="83"/>
      <c r="H26575" s="83"/>
      <c r="K26575" s="82"/>
      <c r="M26575" s="112"/>
      <c r="N26575" s="84"/>
    </row>
    <row r="26576" spans="1:14" s="2" customFormat="1">
      <c r="A26576" s="83"/>
      <c r="H26576" s="83"/>
      <c r="K26576" s="82"/>
      <c r="M26576" s="112"/>
      <c r="N26576" s="84"/>
    </row>
    <row r="26577" spans="1:14" s="2" customFormat="1">
      <c r="A26577" s="83"/>
      <c r="H26577" s="83"/>
      <c r="K26577" s="82"/>
      <c r="M26577" s="112"/>
      <c r="N26577" s="84"/>
    </row>
    <row r="26578" spans="1:14" s="2" customFormat="1">
      <c r="A26578" s="83"/>
      <c r="H26578" s="83"/>
      <c r="K26578" s="82"/>
      <c r="M26578" s="112"/>
      <c r="N26578" s="84"/>
    </row>
    <row r="26579" spans="1:14" s="2" customFormat="1">
      <c r="A26579" s="83"/>
      <c r="H26579" s="83"/>
      <c r="K26579" s="82"/>
      <c r="M26579" s="112"/>
      <c r="N26579" s="84"/>
    </row>
    <row r="26580" spans="1:14" s="2" customFormat="1">
      <c r="A26580" s="83"/>
      <c r="H26580" s="83"/>
      <c r="K26580" s="82"/>
      <c r="M26580" s="112"/>
      <c r="N26580" s="84"/>
    </row>
    <row r="26581" spans="1:14" s="2" customFormat="1">
      <c r="A26581" s="83"/>
      <c r="H26581" s="83"/>
      <c r="K26581" s="82"/>
      <c r="M26581" s="112"/>
      <c r="N26581" s="84"/>
    </row>
    <row r="26582" spans="1:14" s="2" customFormat="1">
      <c r="A26582" s="83"/>
      <c r="H26582" s="83"/>
      <c r="K26582" s="82"/>
      <c r="M26582" s="112"/>
      <c r="N26582" s="84"/>
    </row>
    <row r="26583" spans="1:14" s="2" customFormat="1">
      <c r="A26583" s="83"/>
      <c r="H26583" s="83"/>
      <c r="K26583" s="82"/>
      <c r="M26583" s="112"/>
      <c r="N26583" s="84"/>
    </row>
    <row r="26584" spans="1:14" s="2" customFormat="1">
      <c r="A26584" s="83"/>
      <c r="H26584" s="83"/>
      <c r="K26584" s="82"/>
      <c r="M26584" s="112"/>
      <c r="N26584" s="84"/>
    </row>
    <row r="26585" spans="1:14" s="2" customFormat="1">
      <c r="A26585" s="83"/>
      <c r="H26585" s="83"/>
      <c r="K26585" s="82"/>
      <c r="M26585" s="112"/>
      <c r="N26585" s="84"/>
    </row>
    <row r="26586" spans="1:14" s="2" customFormat="1">
      <c r="A26586" s="83"/>
      <c r="H26586" s="83"/>
      <c r="K26586" s="82"/>
      <c r="M26586" s="112"/>
      <c r="N26586" s="84"/>
    </row>
    <row r="26587" spans="1:14" s="2" customFormat="1">
      <c r="A26587" s="83"/>
      <c r="H26587" s="83"/>
      <c r="K26587" s="82"/>
      <c r="M26587" s="112"/>
      <c r="N26587" s="84"/>
    </row>
    <row r="26588" spans="1:14" s="2" customFormat="1">
      <c r="A26588" s="83"/>
      <c r="H26588" s="83"/>
      <c r="K26588" s="82"/>
      <c r="M26588" s="112"/>
      <c r="N26588" s="84"/>
    </row>
    <row r="26589" spans="1:14" s="2" customFormat="1">
      <c r="A26589" s="83"/>
      <c r="H26589" s="83"/>
      <c r="K26589" s="82"/>
      <c r="M26589" s="112"/>
      <c r="N26589" s="84"/>
    </row>
    <row r="26590" spans="1:14" s="2" customFormat="1">
      <c r="A26590" s="83"/>
      <c r="H26590" s="83"/>
      <c r="K26590" s="82"/>
      <c r="M26590" s="112"/>
      <c r="N26590" s="84"/>
    </row>
    <row r="26591" spans="1:14" s="2" customFormat="1">
      <c r="A26591" s="83"/>
      <c r="H26591" s="83"/>
      <c r="K26591" s="82"/>
      <c r="M26591" s="112"/>
      <c r="N26591" s="84"/>
    </row>
    <row r="26592" spans="1:14" s="2" customFormat="1">
      <c r="A26592" s="83"/>
      <c r="H26592" s="83"/>
      <c r="K26592" s="82"/>
      <c r="M26592" s="112"/>
      <c r="N26592" s="84"/>
    </row>
    <row r="26593" spans="1:14" s="2" customFormat="1">
      <c r="A26593" s="83"/>
      <c r="H26593" s="83"/>
      <c r="K26593" s="82"/>
      <c r="M26593" s="112"/>
      <c r="N26593" s="84"/>
    </row>
    <row r="26594" spans="1:14" s="2" customFormat="1">
      <c r="A26594" s="83"/>
      <c r="H26594" s="83"/>
      <c r="K26594" s="82"/>
      <c r="M26594" s="112"/>
      <c r="N26594" s="84"/>
    </row>
    <row r="26595" spans="1:14" s="2" customFormat="1">
      <c r="A26595" s="83"/>
      <c r="H26595" s="83"/>
      <c r="K26595" s="82"/>
      <c r="M26595" s="112"/>
      <c r="N26595" s="84"/>
    </row>
    <row r="26596" spans="1:14" s="2" customFormat="1">
      <c r="A26596" s="83"/>
      <c r="H26596" s="83"/>
      <c r="K26596" s="82"/>
      <c r="M26596" s="112"/>
      <c r="N26596" s="84"/>
    </row>
    <row r="26597" spans="1:14" s="2" customFormat="1">
      <c r="A26597" s="83"/>
      <c r="H26597" s="83"/>
      <c r="K26597" s="82"/>
      <c r="M26597" s="112"/>
      <c r="N26597" s="84"/>
    </row>
    <row r="26598" spans="1:14" s="2" customFormat="1">
      <c r="A26598" s="83"/>
      <c r="H26598" s="83"/>
      <c r="K26598" s="82"/>
      <c r="M26598" s="112"/>
      <c r="N26598" s="84"/>
    </row>
    <row r="26599" spans="1:14" s="2" customFormat="1">
      <c r="A26599" s="83"/>
      <c r="H26599" s="83"/>
      <c r="K26599" s="82"/>
      <c r="M26599" s="112"/>
      <c r="N26599" s="84"/>
    </row>
    <row r="26600" spans="1:14" s="2" customFormat="1">
      <c r="A26600" s="83"/>
      <c r="H26600" s="83"/>
      <c r="K26600" s="82"/>
      <c r="M26600" s="112"/>
      <c r="N26600" s="84"/>
    </row>
    <row r="26601" spans="1:14" s="2" customFormat="1">
      <c r="A26601" s="83"/>
      <c r="H26601" s="83"/>
      <c r="K26601" s="82"/>
      <c r="M26601" s="112"/>
      <c r="N26601" s="84"/>
    </row>
    <row r="26602" spans="1:14" s="2" customFormat="1">
      <c r="A26602" s="83"/>
      <c r="H26602" s="83"/>
      <c r="K26602" s="82"/>
      <c r="M26602" s="112"/>
      <c r="N26602" s="84"/>
    </row>
    <row r="26603" spans="1:14" s="2" customFormat="1">
      <c r="A26603" s="83"/>
      <c r="H26603" s="83"/>
      <c r="K26603" s="82"/>
      <c r="M26603" s="112"/>
      <c r="N26603" s="84"/>
    </row>
    <row r="26604" spans="1:14" s="2" customFormat="1">
      <c r="A26604" s="83"/>
      <c r="H26604" s="83"/>
      <c r="K26604" s="82"/>
      <c r="M26604" s="112"/>
      <c r="N26604" s="84"/>
    </row>
    <row r="26605" spans="1:14" s="2" customFormat="1">
      <c r="A26605" s="83"/>
      <c r="H26605" s="83"/>
      <c r="K26605" s="82"/>
      <c r="M26605" s="112"/>
      <c r="N26605" s="84"/>
    </row>
    <row r="26606" spans="1:14" s="2" customFormat="1">
      <c r="A26606" s="83"/>
      <c r="H26606" s="83"/>
      <c r="K26606" s="82"/>
      <c r="M26606" s="112"/>
      <c r="N26606" s="84"/>
    </row>
    <row r="26607" spans="1:14" s="2" customFormat="1">
      <c r="A26607" s="83"/>
      <c r="H26607" s="83"/>
      <c r="K26607" s="82"/>
      <c r="M26607" s="112"/>
      <c r="N26607" s="84"/>
    </row>
    <row r="26608" spans="1:14" s="2" customFormat="1">
      <c r="A26608" s="83"/>
      <c r="H26608" s="83"/>
      <c r="K26608" s="82"/>
      <c r="M26608" s="112"/>
      <c r="N26608" s="84"/>
    </row>
    <row r="26609" spans="1:14" s="2" customFormat="1">
      <c r="A26609" s="83"/>
      <c r="H26609" s="83"/>
      <c r="K26609" s="82"/>
      <c r="M26609" s="112"/>
      <c r="N26609" s="84"/>
    </row>
    <row r="26610" spans="1:14" s="2" customFormat="1">
      <c r="A26610" s="83"/>
      <c r="H26610" s="83"/>
      <c r="K26610" s="82"/>
      <c r="M26610" s="112"/>
      <c r="N26610" s="84"/>
    </row>
    <row r="26611" spans="1:14" s="2" customFormat="1">
      <c r="A26611" s="83"/>
      <c r="H26611" s="83"/>
      <c r="K26611" s="82"/>
      <c r="M26611" s="112"/>
      <c r="N26611" s="84"/>
    </row>
    <row r="26612" spans="1:14" s="2" customFormat="1">
      <c r="A26612" s="83"/>
      <c r="H26612" s="83"/>
      <c r="K26612" s="82"/>
      <c r="M26612" s="112"/>
      <c r="N26612" s="84"/>
    </row>
    <row r="26613" spans="1:14" s="2" customFormat="1">
      <c r="A26613" s="83"/>
      <c r="H26613" s="83"/>
      <c r="K26613" s="82"/>
      <c r="M26613" s="112"/>
      <c r="N26613" s="84"/>
    </row>
    <row r="26614" spans="1:14" s="2" customFormat="1">
      <c r="A26614" s="83"/>
      <c r="H26614" s="83"/>
      <c r="K26614" s="82"/>
      <c r="M26614" s="112"/>
      <c r="N26614" s="84"/>
    </row>
    <row r="26615" spans="1:14" s="2" customFormat="1">
      <c r="A26615" s="83"/>
      <c r="H26615" s="83"/>
      <c r="K26615" s="82"/>
      <c r="M26615" s="112"/>
      <c r="N26615" s="84"/>
    </row>
    <row r="26616" spans="1:14" s="2" customFormat="1">
      <c r="A26616" s="83"/>
      <c r="H26616" s="83"/>
      <c r="K26616" s="82"/>
      <c r="M26616" s="112"/>
      <c r="N26616" s="84"/>
    </row>
    <row r="26617" spans="1:14" s="2" customFormat="1">
      <c r="A26617" s="83"/>
      <c r="H26617" s="83"/>
      <c r="K26617" s="82"/>
      <c r="M26617" s="112"/>
      <c r="N26617" s="84"/>
    </row>
    <row r="26618" spans="1:14" s="2" customFormat="1">
      <c r="A26618" s="83"/>
      <c r="H26618" s="83"/>
      <c r="K26618" s="82"/>
      <c r="M26618" s="112"/>
      <c r="N26618" s="84"/>
    </row>
    <row r="26619" spans="1:14" s="2" customFormat="1">
      <c r="A26619" s="83"/>
      <c r="H26619" s="83"/>
      <c r="K26619" s="82"/>
      <c r="M26619" s="112"/>
      <c r="N26619" s="84"/>
    </row>
    <row r="26620" spans="1:14" s="2" customFormat="1">
      <c r="A26620" s="83"/>
      <c r="H26620" s="83"/>
      <c r="K26620" s="82"/>
      <c r="M26620" s="112"/>
      <c r="N26620" s="84"/>
    </row>
    <row r="26621" spans="1:14" s="2" customFormat="1">
      <c r="A26621" s="83"/>
      <c r="H26621" s="83"/>
      <c r="K26621" s="82"/>
      <c r="M26621" s="112"/>
      <c r="N26621" s="84"/>
    </row>
    <row r="26622" spans="1:14" s="2" customFormat="1">
      <c r="A26622" s="83"/>
      <c r="H26622" s="83"/>
      <c r="K26622" s="82"/>
      <c r="M26622" s="112"/>
      <c r="N26622" s="84"/>
    </row>
    <row r="26623" spans="1:14" s="2" customFormat="1">
      <c r="A26623" s="83"/>
      <c r="H26623" s="83"/>
      <c r="K26623" s="82"/>
      <c r="M26623" s="112"/>
      <c r="N26623" s="84"/>
    </row>
    <row r="26624" spans="1:14" s="2" customFormat="1">
      <c r="A26624" s="83"/>
      <c r="H26624" s="83"/>
      <c r="K26624" s="82"/>
      <c r="M26624" s="112"/>
      <c r="N26624" s="84"/>
    </row>
    <row r="26625" spans="1:14" s="2" customFormat="1">
      <c r="A26625" s="83"/>
      <c r="H26625" s="83"/>
      <c r="K26625" s="82"/>
      <c r="M26625" s="112"/>
      <c r="N26625" s="84"/>
    </row>
    <row r="26626" spans="1:14" s="2" customFormat="1">
      <c r="A26626" s="83"/>
      <c r="H26626" s="83"/>
      <c r="K26626" s="82"/>
      <c r="M26626" s="112"/>
      <c r="N26626" s="84"/>
    </row>
    <row r="26627" spans="1:14" s="2" customFormat="1">
      <c r="A26627" s="83"/>
      <c r="H26627" s="83"/>
      <c r="K26627" s="82"/>
      <c r="M26627" s="112"/>
      <c r="N26627" s="84"/>
    </row>
    <row r="26628" spans="1:14" s="2" customFormat="1">
      <c r="A26628" s="83"/>
      <c r="H26628" s="83"/>
      <c r="K26628" s="82"/>
      <c r="M26628" s="112"/>
      <c r="N26628" s="84"/>
    </row>
    <row r="26629" spans="1:14" s="2" customFormat="1">
      <c r="A26629" s="83"/>
      <c r="H26629" s="83"/>
      <c r="K26629" s="82"/>
      <c r="M26629" s="112"/>
      <c r="N26629" s="84"/>
    </row>
    <row r="26630" spans="1:14" s="2" customFormat="1">
      <c r="A26630" s="83"/>
      <c r="H26630" s="83"/>
      <c r="K26630" s="82"/>
      <c r="M26630" s="112"/>
      <c r="N26630" s="84"/>
    </row>
    <row r="26631" spans="1:14" s="2" customFormat="1">
      <c r="A26631" s="83"/>
      <c r="H26631" s="83"/>
      <c r="K26631" s="82"/>
      <c r="M26631" s="112"/>
      <c r="N26631" s="84"/>
    </row>
    <row r="26632" spans="1:14" s="2" customFormat="1">
      <c r="A26632" s="83"/>
      <c r="H26632" s="83"/>
      <c r="K26632" s="82"/>
      <c r="M26632" s="112"/>
      <c r="N26632" s="84"/>
    </row>
    <row r="26633" spans="1:14" s="2" customFormat="1">
      <c r="A26633" s="83"/>
      <c r="H26633" s="83"/>
      <c r="K26633" s="82"/>
      <c r="M26633" s="112"/>
      <c r="N26633" s="84"/>
    </row>
    <row r="26634" spans="1:14" s="2" customFormat="1">
      <c r="A26634" s="83"/>
      <c r="H26634" s="83"/>
      <c r="K26634" s="82"/>
      <c r="M26634" s="112"/>
      <c r="N26634" s="84"/>
    </row>
    <row r="26635" spans="1:14" s="2" customFormat="1">
      <c r="A26635" s="83"/>
      <c r="H26635" s="83"/>
      <c r="K26635" s="82"/>
      <c r="M26635" s="112"/>
      <c r="N26635" s="84"/>
    </row>
    <row r="26636" spans="1:14" s="2" customFormat="1">
      <c r="A26636" s="83"/>
      <c r="H26636" s="83"/>
      <c r="K26636" s="82"/>
      <c r="M26636" s="112"/>
      <c r="N26636" s="84"/>
    </row>
    <row r="26637" spans="1:14" s="2" customFormat="1">
      <c r="A26637" s="83"/>
      <c r="H26637" s="83"/>
      <c r="K26637" s="82"/>
      <c r="M26637" s="112"/>
      <c r="N26637" s="84"/>
    </row>
    <row r="26638" spans="1:14" s="2" customFormat="1">
      <c r="A26638" s="83"/>
      <c r="H26638" s="83"/>
      <c r="K26638" s="82"/>
      <c r="M26638" s="112"/>
      <c r="N26638" s="84"/>
    </row>
    <row r="26639" spans="1:14" s="2" customFormat="1">
      <c r="A26639" s="83"/>
      <c r="H26639" s="83"/>
      <c r="K26639" s="82"/>
      <c r="M26639" s="112"/>
      <c r="N26639" s="84"/>
    </row>
    <row r="26640" spans="1:14" s="2" customFormat="1">
      <c r="A26640" s="83"/>
      <c r="H26640" s="83"/>
      <c r="K26640" s="82"/>
      <c r="M26640" s="112"/>
      <c r="N26640" s="84"/>
    </row>
    <row r="26641" spans="1:14" s="2" customFormat="1">
      <c r="A26641" s="83"/>
      <c r="H26641" s="83"/>
      <c r="K26641" s="82"/>
      <c r="M26641" s="112"/>
      <c r="N26641" s="84"/>
    </row>
    <row r="26642" spans="1:14" s="2" customFormat="1">
      <c r="A26642" s="83"/>
      <c r="H26642" s="83"/>
      <c r="K26642" s="82"/>
      <c r="M26642" s="112"/>
      <c r="N26642" s="84"/>
    </row>
    <row r="26643" spans="1:14" s="2" customFormat="1">
      <c r="A26643" s="83"/>
      <c r="H26643" s="83"/>
      <c r="K26643" s="82"/>
      <c r="M26643" s="112"/>
      <c r="N26643" s="84"/>
    </row>
    <row r="26644" spans="1:14" s="2" customFormat="1">
      <c r="A26644" s="83"/>
      <c r="H26644" s="83"/>
      <c r="K26644" s="82"/>
      <c r="M26644" s="112"/>
      <c r="N26644" s="84"/>
    </row>
    <row r="26645" spans="1:14" s="2" customFormat="1">
      <c r="A26645" s="83"/>
      <c r="H26645" s="83"/>
      <c r="K26645" s="82"/>
      <c r="M26645" s="112"/>
      <c r="N26645" s="84"/>
    </row>
    <row r="26646" spans="1:14" s="2" customFormat="1">
      <c r="A26646" s="83"/>
      <c r="H26646" s="83"/>
      <c r="K26646" s="82"/>
      <c r="M26646" s="112"/>
      <c r="N26646" s="84"/>
    </row>
    <row r="26647" spans="1:14" s="2" customFormat="1">
      <c r="A26647" s="83"/>
      <c r="H26647" s="83"/>
      <c r="K26647" s="82"/>
      <c r="M26647" s="112"/>
      <c r="N26647" s="84"/>
    </row>
    <row r="26648" spans="1:14" s="2" customFormat="1">
      <c r="A26648" s="83"/>
      <c r="H26648" s="83"/>
      <c r="K26648" s="82"/>
      <c r="M26648" s="112"/>
      <c r="N26648" s="84"/>
    </row>
    <row r="26649" spans="1:14" s="2" customFormat="1">
      <c r="A26649" s="83"/>
      <c r="H26649" s="83"/>
      <c r="K26649" s="82"/>
      <c r="M26649" s="112"/>
      <c r="N26649" s="84"/>
    </row>
    <row r="26650" spans="1:14" s="2" customFormat="1">
      <c r="A26650" s="83"/>
      <c r="H26650" s="83"/>
      <c r="K26650" s="82"/>
      <c r="M26650" s="112"/>
      <c r="N26650" s="84"/>
    </row>
    <row r="26651" spans="1:14" s="2" customFormat="1">
      <c r="A26651" s="83"/>
      <c r="H26651" s="83"/>
      <c r="K26651" s="82"/>
      <c r="M26651" s="112"/>
      <c r="N26651" s="84"/>
    </row>
    <row r="26652" spans="1:14" s="2" customFormat="1">
      <c r="A26652" s="83"/>
      <c r="H26652" s="83"/>
      <c r="K26652" s="82"/>
      <c r="M26652" s="112"/>
      <c r="N26652" s="84"/>
    </row>
    <row r="26653" spans="1:14" s="2" customFormat="1">
      <c r="A26653" s="83"/>
      <c r="H26653" s="83"/>
      <c r="K26653" s="82"/>
      <c r="M26653" s="112"/>
      <c r="N26653" s="84"/>
    </row>
    <row r="26654" spans="1:14" s="2" customFormat="1">
      <c r="A26654" s="83"/>
      <c r="H26654" s="83"/>
      <c r="K26654" s="82"/>
      <c r="M26654" s="112"/>
      <c r="N26654" s="84"/>
    </row>
    <row r="26655" spans="1:14" s="2" customFormat="1">
      <c r="A26655" s="83"/>
      <c r="H26655" s="83"/>
      <c r="K26655" s="82"/>
      <c r="M26655" s="112"/>
      <c r="N26655" s="84"/>
    </row>
    <row r="26656" spans="1:14" s="2" customFormat="1">
      <c r="A26656" s="83"/>
      <c r="H26656" s="83"/>
      <c r="K26656" s="82"/>
      <c r="M26656" s="112"/>
      <c r="N26656" s="84"/>
    </row>
    <row r="26657" spans="1:14" s="2" customFormat="1">
      <c r="A26657" s="83"/>
      <c r="H26657" s="83"/>
      <c r="K26657" s="82"/>
      <c r="M26657" s="112"/>
      <c r="N26657" s="84"/>
    </row>
    <row r="26658" spans="1:14" s="2" customFormat="1">
      <c r="A26658" s="83"/>
      <c r="H26658" s="83"/>
      <c r="K26658" s="82"/>
      <c r="M26658" s="112"/>
      <c r="N26658" s="84"/>
    </row>
    <row r="26659" spans="1:14" s="2" customFormat="1">
      <c r="A26659" s="83"/>
      <c r="H26659" s="83"/>
      <c r="K26659" s="82"/>
      <c r="M26659" s="112"/>
      <c r="N26659" s="84"/>
    </row>
    <row r="26660" spans="1:14" s="2" customFormat="1">
      <c r="A26660" s="83"/>
      <c r="H26660" s="83"/>
      <c r="K26660" s="82"/>
      <c r="M26660" s="112"/>
      <c r="N26660" s="84"/>
    </row>
    <row r="26661" spans="1:14" s="2" customFormat="1">
      <c r="A26661" s="83"/>
      <c r="H26661" s="83"/>
      <c r="K26661" s="82"/>
      <c r="M26661" s="112"/>
      <c r="N26661" s="84"/>
    </row>
    <row r="26662" spans="1:14" s="2" customFormat="1">
      <c r="A26662" s="83"/>
      <c r="H26662" s="83"/>
      <c r="K26662" s="82"/>
      <c r="M26662" s="112"/>
      <c r="N26662" s="84"/>
    </row>
    <row r="26663" spans="1:14" s="2" customFormat="1">
      <c r="A26663" s="83"/>
      <c r="H26663" s="83"/>
      <c r="K26663" s="82"/>
      <c r="M26663" s="112"/>
      <c r="N26663" s="84"/>
    </row>
    <row r="26664" spans="1:14" s="2" customFormat="1">
      <c r="A26664" s="83"/>
      <c r="H26664" s="83"/>
      <c r="K26664" s="82"/>
      <c r="M26664" s="112"/>
      <c r="N26664" s="84"/>
    </row>
    <row r="26665" spans="1:14" s="2" customFormat="1">
      <c r="A26665" s="83"/>
      <c r="H26665" s="83"/>
      <c r="K26665" s="82"/>
      <c r="M26665" s="112"/>
      <c r="N26665" s="84"/>
    </row>
    <row r="26666" spans="1:14" s="2" customFormat="1">
      <c r="A26666" s="83"/>
      <c r="H26666" s="83"/>
      <c r="K26666" s="82"/>
      <c r="M26666" s="112"/>
      <c r="N26666" s="84"/>
    </row>
    <row r="26667" spans="1:14" s="2" customFormat="1">
      <c r="A26667" s="83"/>
      <c r="H26667" s="83"/>
      <c r="K26667" s="82"/>
      <c r="M26667" s="112"/>
      <c r="N26667" s="84"/>
    </row>
    <row r="26668" spans="1:14" s="2" customFormat="1">
      <c r="A26668" s="83"/>
      <c r="H26668" s="83"/>
      <c r="K26668" s="82"/>
      <c r="M26668" s="112"/>
      <c r="N26668" s="84"/>
    </row>
    <row r="26669" spans="1:14" s="2" customFormat="1">
      <c r="A26669" s="83"/>
      <c r="H26669" s="83"/>
      <c r="K26669" s="82"/>
      <c r="M26669" s="112"/>
      <c r="N26669" s="84"/>
    </row>
    <row r="26670" spans="1:14" s="2" customFormat="1">
      <c r="A26670" s="83"/>
      <c r="H26670" s="83"/>
      <c r="K26670" s="82"/>
      <c r="M26670" s="112"/>
      <c r="N26670" s="84"/>
    </row>
    <row r="26671" spans="1:14" s="2" customFormat="1">
      <c r="A26671" s="83"/>
      <c r="H26671" s="83"/>
      <c r="K26671" s="82"/>
      <c r="M26671" s="112"/>
      <c r="N26671" s="84"/>
    </row>
    <row r="26672" spans="1:14" s="2" customFormat="1">
      <c r="A26672" s="83"/>
      <c r="H26672" s="83"/>
      <c r="K26672" s="82"/>
      <c r="M26672" s="112"/>
      <c r="N26672" s="84"/>
    </row>
    <row r="26673" spans="1:14" s="2" customFormat="1">
      <c r="A26673" s="83"/>
      <c r="H26673" s="83"/>
      <c r="K26673" s="82"/>
      <c r="M26673" s="112"/>
      <c r="N26673" s="84"/>
    </row>
    <row r="26674" spans="1:14" s="2" customFormat="1">
      <c r="A26674" s="83"/>
      <c r="H26674" s="83"/>
      <c r="K26674" s="82"/>
      <c r="M26674" s="112"/>
      <c r="N26674" s="84"/>
    </row>
    <row r="26675" spans="1:14" s="2" customFormat="1">
      <c r="A26675" s="83"/>
      <c r="H26675" s="83"/>
      <c r="K26675" s="82"/>
      <c r="M26675" s="112"/>
      <c r="N26675" s="84"/>
    </row>
    <row r="26676" spans="1:14" s="2" customFormat="1">
      <c r="A26676" s="83"/>
      <c r="H26676" s="83"/>
      <c r="K26676" s="82"/>
      <c r="M26676" s="112"/>
      <c r="N26676" s="84"/>
    </row>
    <row r="26677" spans="1:14" s="2" customFormat="1">
      <c r="A26677" s="83"/>
      <c r="H26677" s="83"/>
      <c r="K26677" s="82"/>
      <c r="M26677" s="112"/>
      <c r="N26677" s="84"/>
    </row>
    <row r="26678" spans="1:14" s="2" customFormat="1">
      <c r="A26678" s="83"/>
      <c r="H26678" s="83"/>
      <c r="K26678" s="82"/>
      <c r="M26678" s="112"/>
      <c r="N26678" s="84"/>
    </row>
    <row r="26679" spans="1:14" s="2" customFormat="1">
      <c r="A26679" s="83"/>
      <c r="H26679" s="83"/>
      <c r="K26679" s="82"/>
      <c r="M26679" s="112"/>
      <c r="N26679" s="84"/>
    </row>
    <row r="26680" spans="1:14" s="2" customFormat="1">
      <c r="A26680" s="83"/>
      <c r="H26680" s="83"/>
      <c r="K26680" s="82"/>
      <c r="M26680" s="112"/>
      <c r="N26680" s="84"/>
    </row>
    <row r="26681" spans="1:14" s="2" customFormat="1">
      <c r="A26681" s="83"/>
      <c r="H26681" s="83"/>
      <c r="K26681" s="82"/>
      <c r="M26681" s="112"/>
      <c r="N26681" s="84"/>
    </row>
    <row r="26682" spans="1:14" s="2" customFormat="1">
      <c r="A26682" s="83"/>
      <c r="H26682" s="83"/>
      <c r="K26682" s="82"/>
      <c r="M26682" s="112"/>
      <c r="N26682" s="84"/>
    </row>
    <row r="26683" spans="1:14" s="2" customFormat="1">
      <c r="A26683" s="83"/>
      <c r="H26683" s="83"/>
      <c r="K26683" s="82"/>
      <c r="M26683" s="112"/>
      <c r="N26683" s="84"/>
    </row>
    <row r="26684" spans="1:14" s="2" customFormat="1">
      <c r="A26684" s="83"/>
      <c r="H26684" s="83"/>
      <c r="K26684" s="82"/>
      <c r="M26684" s="112"/>
      <c r="N26684" s="84"/>
    </row>
    <row r="26685" spans="1:14" s="2" customFormat="1">
      <c r="A26685" s="83"/>
      <c r="H26685" s="83"/>
      <c r="K26685" s="82"/>
      <c r="M26685" s="112"/>
      <c r="N26685" s="84"/>
    </row>
    <row r="26686" spans="1:14" s="2" customFormat="1">
      <c r="A26686" s="83"/>
      <c r="H26686" s="83"/>
      <c r="K26686" s="82"/>
      <c r="M26686" s="112"/>
      <c r="N26686" s="84"/>
    </row>
    <row r="26687" spans="1:14" s="2" customFormat="1">
      <c r="A26687" s="83"/>
      <c r="H26687" s="83"/>
      <c r="K26687" s="82"/>
      <c r="M26687" s="112"/>
      <c r="N26687" s="84"/>
    </row>
    <row r="26688" spans="1:14" s="2" customFormat="1">
      <c r="A26688" s="83"/>
      <c r="H26688" s="83"/>
      <c r="K26688" s="82"/>
      <c r="M26688" s="112"/>
      <c r="N26688" s="84"/>
    </row>
    <row r="26689" spans="1:14" s="2" customFormat="1">
      <c r="A26689" s="83"/>
      <c r="H26689" s="83"/>
      <c r="K26689" s="82"/>
      <c r="M26689" s="112"/>
      <c r="N26689" s="84"/>
    </row>
    <row r="26690" spans="1:14" s="2" customFormat="1">
      <c r="A26690" s="83"/>
      <c r="H26690" s="83"/>
      <c r="K26690" s="82"/>
      <c r="M26690" s="112"/>
      <c r="N26690" s="84"/>
    </row>
    <row r="26691" spans="1:14" s="2" customFormat="1">
      <c r="A26691" s="83"/>
      <c r="H26691" s="83"/>
      <c r="K26691" s="82"/>
      <c r="M26691" s="112"/>
      <c r="N26691" s="84"/>
    </row>
    <row r="26692" spans="1:14" s="2" customFormat="1">
      <c r="A26692" s="83"/>
      <c r="H26692" s="83"/>
      <c r="K26692" s="82"/>
      <c r="M26692" s="112"/>
      <c r="N26692" s="84"/>
    </row>
    <row r="26693" spans="1:14" s="2" customFormat="1">
      <c r="A26693" s="83"/>
      <c r="H26693" s="83"/>
      <c r="K26693" s="82"/>
      <c r="M26693" s="112"/>
      <c r="N26693" s="84"/>
    </row>
    <row r="26694" spans="1:14" s="2" customFormat="1">
      <c r="A26694" s="83"/>
      <c r="H26694" s="83"/>
      <c r="K26694" s="82"/>
      <c r="M26694" s="112"/>
      <c r="N26694" s="84"/>
    </row>
    <row r="26695" spans="1:14" s="2" customFormat="1">
      <c r="A26695" s="83"/>
      <c r="H26695" s="83"/>
      <c r="K26695" s="82"/>
      <c r="M26695" s="112"/>
      <c r="N26695" s="84"/>
    </row>
    <row r="26696" spans="1:14" s="2" customFormat="1">
      <c r="A26696" s="83"/>
      <c r="H26696" s="83"/>
      <c r="K26696" s="82"/>
      <c r="M26696" s="112"/>
      <c r="N26696" s="84"/>
    </row>
    <row r="26697" spans="1:14" s="2" customFormat="1">
      <c r="A26697" s="83"/>
      <c r="H26697" s="83"/>
      <c r="K26697" s="82"/>
      <c r="M26697" s="112"/>
      <c r="N26697" s="84"/>
    </row>
    <row r="26698" spans="1:14" s="2" customFormat="1">
      <c r="A26698" s="83"/>
      <c r="H26698" s="83"/>
      <c r="K26698" s="82"/>
      <c r="M26698" s="112"/>
      <c r="N26698" s="84"/>
    </row>
    <row r="26699" spans="1:14" s="2" customFormat="1">
      <c r="A26699" s="83"/>
      <c r="H26699" s="83"/>
      <c r="K26699" s="82"/>
      <c r="M26699" s="112"/>
      <c r="N26699" s="84"/>
    </row>
    <row r="26700" spans="1:14" s="2" customFormat="1">
      <c r="A26700" s="83"/>
      <c r="H26700" s="83"/>
      <c r="K26700" s="82"/>
      <c r="M26700" s="112"/>
      <c r="N26700" s="84"/>
    </row>
    <row r="26701" spans="1:14" s="2" customFormat="1">
      <c r="A26701" s="83"/>
      <c r="H26701" s="83"/>
      <c r="K26701" s="82"/>
      <c r="M26701" s="112"/>
      <c r="N26701" s="84"/>
    </row>
    <row r="26702" spans="1:14" s="2" customFormat="1">
      <c r="A26702" s="83"/>
      <c r="H26702" s="83"/>
      <c r="K26702" s="82"/>
      <c r="M26702" s="112"/>
      <c r="N26702" s="84"/>
    </row>
    <row r="26703" spans="1:14" s="2" customFormat="1">
      <c r="A26703" s="83"/>
      <c r="H26703" s="83"/>
      <c r="K26703" s="82"/>
      <c r="M26703" s="112"/>
      <c r="N26703" s="84"/>
    </row>
    <row r="26704" spans="1:14" s="2" customFormat="1">
      <c r="A26704" s="83"/>
      <c r="H26704" s="83"/>
      <c r="K26704" s="82"/>
      <c r="M26704" s="112"/>
      <c r="N26704" s="84"/>
    </row>
    <row r="26705" spans="1:14" s="2" customFormat="1">
      <c r="A26705" s="83"/>
      <c r="H26705" s="83"/>
      <c r="K26705" s="82"/>
      <c r="M26705" s="112"/>
      <c r="N26705" s="84"/>
    </row>
    <row r="26706" spans="1:14" s="2" customFormat="1">
      <c r="A26706" s="83"/>
      <c r="H26706" s="83"/>
      <c r="K26706" s="82"/>
      <c r="M26706" s="112"/>
      <c r="N26706" s="84"/>
    </row>
    <row r="26707" spans="1:14" s="2" customFormat="1">
      <c r="A26707" s="83"/>
      <c r="H26707" s="83"/>
      <c r="K26707" s="82"/>
      <c r="M26707" s="112"/>
      <c r="N26707" s="84"/>
    </row>
    <row r="26708" spans="1:14" s="2" customFormat="1">
      <c r="A26708" s="83"/>
      <c r="H26708" s="83"/>
      <c r="K26708" s="82"/>
      <c r="M26708" s="112"/>
      <c r="N26708" s="84"/>
    </row>
    <row r="26709" spans="1:14" s="2" customFormat="1">
      <c r="A26709" s="83"/>
      <c r="H26709" s="83"/>
      <c r="K26709" s="82"/>
      <c r="M26709" s="112"/>
      <c r="N26709" s="84"/>
    </row>
    <row r="26710" spans="1:14" s="2" customFormat="1">
      <c r="A26710" s="83"/>
      <c r="H26710" s="83"/>
      <c r="K26710" s="82"/>
      <c r="M26710" s="112"/>
      <c r="N26710" s="84"/>
    </row>
    <row r="26711" spans="1:14" s="2" customFormat="1">
      <c r="A26711" s="83"/>
      <c r="H26711" s="83"/>
      <c r="K26711" s="82"/>
      <c r="M26711" s="112"/>
      <c r="N26711" s="84"/>
    </row>
    <row r="26712" spans="1:14" s="2" customFormat="1">
      <c r="A26712" s="83"/>
      <c r="H26712" s="83"/>
      <c r="K26712" s="82"/>
      <c r="M26712" s="112"/>
      <c r="N26712" s="84"/>
    </row>
    <row r="26713" spans="1:14" s="2" customFormat="1">
      <c r="A26713" s="83"/>
      <c r="H26713" s="83"/>
      <c r="K26713" s="82"/>
      <c r="M26713" s="112"/>
      <c r="N26713" s="84"/>
    </row>
    <row r="26714" spans="1:14" s="2" customFormat="1">
      <c r="A26714" s="83"/>
      <c r="H26714" s="83"/>
      <c r="K26714" s="82"/>
      <c r="M26714" s="112"/>
      <c r="N26714" s="84"/>
    </row>
    <row r="26715" spans="1:14" s="2" customFormat="1">
      <c r="A26715" s="83"/>
      <c r="H26715" s="83"/>
      <c r="K26715" s="82"/>
      <c r="M26715" s="112"/>
      <c r="N26715" s="84"/>
    </row>
    <row r="26716" spans="1:14" s="2" customFormat="1">
      <c r="A26716" s="83"/>
      <c r="H26716" s="83"/>
      <c r="K26716" s="82"/>
      <c r="M26716" s="112"/>
      <c r="N26716" s="84"/>
    </row>
    <row r="26717" spans="1:14" s="2" customFormat="1">
      <c r="A26717" s="83"/>
      <c r="H26717" s="83"/>
      <c r="K26717" s="82"/>
      <c r="M26717" s="112"/>
      <c r="N26717" s="84"/>
    </row>
    <row r="26718" spans="1:14" s="2" customFormat="1">
      <c r="A26718" s="83"/>
      <c r="H26718" s="83"/>
      <c r="K26718" s="82"/>
      <c r="M26718" s="112"/>
      <c r="N26718" s="84"/>
    </row>
    <row r="26719" spans="1:14" s="2" customFormat="1">
      <c r="A26719" s="83"/>
      <c r="H26719" s="83"/>
      <c r="K26719" s="82"/>
      <c r="M26719" s="112"/>
      <c r="N26719" s="84"/>
    </row>
    <row r="26720" spans="1:14" s="2" customFormat="1">
      <c r="A26720" s="83"/>
      <c r="H26720" s="83"/>
      <c r="K26720" s="82"/>
      <c r="M26720" s="112"/>
      <c r="N26720" s="84"/>
    </row>
    <row r="26721" spans="1:14" s="2" customFormat="1">
      <c r="A26721" s="83"/>
      <c r="H26721" s="83"/>
      <c r="K26721" s="82"/>
      <c r="M26721" s="112"/>
      <c r="N26721" s="84"/>
    </row>
    <row r="26722" spans="1:14" s="2" customFormat="1">
      <c r="A26722" s="83"/>
      <c r="H26722" s="83"/>
      <c r="K26722" s="82"/>
      <c r="M26722" s="112"/>
      <c r="N26722" s="84"/>
    </row>
    <row r="26723" spans="1:14" s="2" customFormat="1">
      <c r="A26723" s="83"/>
      <c r="H26723" s="83"/>
      <c r="K26723" s="82"/>
      <c r="M26723" s="112"/>
      <c r="N26723" s="84"/>
    </row>
    <row r="26724" spans="1:14" s="2" customFormat="1">
      <c r="A26724" s="83"/>
      <c r="H26724" s="83"/>
      <c r="K26724" s="82"/>
      <c r="M26724" s="112"/>
      <c r="N26724" s="84"/>
    </row>
    <row r="26725" spans="1:14" s="2" customFormat="1">
      <c r="A26725" s="83"/>
      <c r="H26725" s="83"/>
      <c r="K26725" s="82"/>
      <c r="M26725" s="112"/>
      <c r="N26725" s="84"/>
    </row>
    <row r="26726" spans="1:14" s="2" customFormat="1">
      <c r="A26726" s="83"/>
      <c r="H26726" s="83"/>
      <c r="K26726" s="82"/>
      <c r="M26726" s="112"/>
      <c r="N26726" s="84"/>
    </row>
    <row r="26727" spans="1:14" s="2" customFormat="1">
      <c r="A26727" s="83"/>
      <c r="H26727" s="83"/>
      <c r="K26727" s="82"/>
      <c r="M26727" s="112"/>
      <c r="N26727" s="84"/>
    </row>
    <row r="26728" spans="1:14" s="2" customFormat="1">
      <c r="A26728" s="83"/>
      <c r="H26728" s="83"/>
      <c r="K26728" s="82"/>
      <c r="M26728" s="112"/>
      <c r="N26728" s="84"/>
    </row>
    <row r="26729" spans="1:14" s="2" customFormat="1">
      <c r="A26729" s="83"/>
      <c r="H26729" s="83"/>
      <c r="K26729" s="82"/>
      <c r="M26729" s="112"/>
      <c r="N26729" s="84"/>
    </row>
    <row r="26730" spans="1:14" s="2" customFormat="1">
      <c r="A26730" s="83"/>
      <c r="H26730" s="83"/>
      <c r="K26730" s="82"/>
      <c r="M26730" s="112"/>
      <c r="N26730" s="84"/>
    </row>
    <row r="26731" spans="1:14" s="2" customFormat="1">
      <c r="A26731" s="83"/>
      <c r="H26731" s="83"/>
      <c r="K26731" s="82"/>
      <c r="M26731" s="112"/>
      <c r="N26731" s="84"/>
    </row>
    <row r="26732" spans="1:14" s="2" customFormat="1">
      <c r="A26732" s="83"/>
      <c r="H26732" s="83"/>
      <c r="K26732" s="82"/>
      <c r="M26732" s="112"/>
      <c r="N26732" s="84"/>
    </row>
    <row r="26733" spans="1:14" s="2" customFormat="1">
      <c r="A26733" s="83"/>
      <c r="H26733" s="83"/>
      <c r="K26733" s="82"/>
      <c r="M26733" s="112"/>
      <c r="N26733" s="84"/>
    </row>
    <row r="26734" spans="1:14" s="2" customFormat="1">
      <c r="A26734" s="83"/>
      <c r="H26734" s="83"/>
      <c r="K26734" s="82"/>
      <c r="M26734" s="112"/>
      <c r="N26734" s="84"/>
    </row>
    <row r="26735" spans="1:14" s="2" customFormat="1">
      <c r="A26735" s="83"/>
      <c r="H26735" s="83"/>
      <c r="K26735" s="82"/>
      <c r="M26735" s="112"/>
      <c r="N26735" s="84"/>
    </row>
    <row r="26736" spans="1:14" s="2" customFormat="1">
      <c r="A26736" s="83"/>
      <c r="H26736" s="83"/>
      <c r="K26736" s="82"/>
      <c r="M26736" s="112"/>
      <c r="N26736" s="84"/>
    </row>
    <row r="26737" spans="1:14" s="2" customFormat="1">
      <c r="A26737" s="83"/>
      <c r="H26737" s="83"/>
      <c r="K26737" s="82"/>
      <c r="M26737" s="112"/>
      <c r="N26737" s="84"/>
    </row>
    <row r="26738" spans="1:14" s="2" customFormat="1">
      <c r="A26738" s="83"/>
      <c r="H26738" s="83"/>
      <c r="K26738" s="82"/>
      <c r="M26738" s="112"/>
      <c r="N26738" s="84"/>
    </row>
    <row r="26739" spans="1:14" s="2" customFormat="1">
      <c r="A26739" s="83"/>
      <c r="H26739" s="83"/>
      <c r="K26739" s="82"/>
      <c r="M26739" s="112"/>
      <c r="N26739" s="84"/>
    </row>
    <row r="26740" spans="1:14" s="2" customFormat="1">
      <c r="A26740" s="83"/>
      <c r="H26740" s="83"/>
      <c r="K26740" s="82"/>
      <c r="M26740" s="112"/>
      <c r="N26740" s="84"/>
    </row>
    <row r="26741" spans="1:14" s="2" customFormat="1">
      <c r="A26741" s="83"/>
      <c r="H26741" s="83"/>
      <c r="K26741" s="82"/>
      <c r="M26741" s="112"/>
      <c r="N26741" s="84"/>
    </row>
    <row r="26742" spans="1:14" s="2" customFormat="1">
      <c r="A26742" s="83"/>
      <c r="H26742" s="83"/>
      <c r="K26742" s="82"/>
      <c r="M26742" s="112"/>
      <c r="N26742" s="84"/>
    </row>
    <row r="26743" spans="1:14" s="2" customFormat="1">
      <c r="A26743" s="83"/>
      <c r="H26743" s="83"/>
      <c r="K26743" s="82"/>
      <c r="M26743" s="112"/>
      <c r="N26743" s="84"/>
    </row>
    <row r="26744" spans="1:14" s="2" customFormat="1">
      <c r="A26744" s="83"/>
      <c r="H26744" s="83"/>
      <c r="K26744" s="82"/>
      <c r="M26744" s="112"/>
      <c r="N26744" s="84"/>
    </row>
    <row r="26745" spans="1:14" s="2" customFormat="1">
      <c r="A26745" s="83"/>
      <c r="H26745" s="83"/>
      <c r="K26745" s="82"/>
      <c r="M26745" s="112"/>
      <c r="N26745" s="84"/>
    </row>
    <row r="26746" spans="1:14" s="2" customFormat="1">
      <c r="A26746" s="83"/>
      <c r="H26746" s="83"/>
      <c r="K26746" s="82"/>
      <c r="M26746" s="112"/>
      <c r="N26746" s="84"/>
    </row>
    <row r="26747" spans="1:14" s="2" customFormat="1">
      <c r="A26747" s="83"/>
      <c r="H26747" s="83"/>
      <c r="K26747" s="82"/>
      <c r="M26747" s="112"/>
      <c r="N26747" s="84"/>
    </row>
    <row r="26748" spans="1:14" s="2" customFormat="1">
      <c r="A26748" s="83"/>
      <c r="H26748" s="83"/>
      <c r="K26748" s="82"/>
      <c r="M26748" s="112"/>
      <c r="N26748" s="84"/>
    </row>
    <row r="26749" spans="1:14" s="2" customFormat="1">
      <c r="A26749" s="83"/>
      <c r="H26749" s="83"/>
      <c r="K26749" s="82"/>
      <c r="M26749" s="112"/>
      <c r="N26749" s="84"/>
    </row>
    <row r="26750" spans="1:14" s="2" customFormat="1">
      <c r="A26750" s="83"/>
      <c r="H26750" s="83"/>
      <c r="K26750" s="82"/>
      <c r="M26750" s="112"/>
      <c r="N26750" s="84"/>
    </row>
    <row r="26751" spans="1:14" s="2" customFormat="1">
      <c r="A26751" s="83"/>
      <c r="H26751" s="83"/>
      <c r="K26751" s="82"/>
      <c r="M26751" s="112"/>
      <c r="N26751" s="84"/>
    </row>
    <row r="26752" spans="1:14" s="2" customFormat="1">
      <c r="A26752" s="83"/>
      <c r="H26752" s="83"/>
      <c r="K26752" s="82"/>
      <c r="M26752" s="112"/>
      <c r="N26752" s="84"/>
    </row>
    <row r="26753" spans="1:14" s="2" customFormat="1">
      <c r="A26753" s="83"/>
      <c r="H26753" s="83"/>
      <c r="K26753" s="82"/>
      <c r="M26753" s="112"/>
      <c r="N26753" s="84"/>
    </row>
    <row r="26754" spans="1:14" s="2" customFormat="1">
      <c r="A26754" s="83"/>
      <c r="H26754" s="83"/>
      <c r="K26754" s="82"/>
      <c r="M26754" s="112"/>
      <c r="N26754" s="84"/>
    </row>
    <row r="26755" spans="1:14" s="2" customFormat="1">
      <c r="A26755" s="83"/>
      <c r="H26755" s="83"/>
      <c r="K26755" s="82"/>
      <c r="M26755" s="112"/>
      <c r="N26755" s="84"/>
    </row>
    <row r="26756" spans="1:14" s="2" customFormat="1">
      <c r="A26756" s="83"/>
      <c r="H26756" s="83"/>
      <c r="K26756" s="82"/>
      <c r="M26756" s="112"/>
      <c r="N26756" s="84"/>
    </row>
    <row r="26757" spans="1:14" s="2" customFormat="1">
      <c r="A26757" s="83"/>
      <c r="H26757" s="83"/>
      <c r="K26757" s="82"/>
      <c r="M26757" s="112"/>
      <c r="N26757" s="84"/>
    </row>
    <row r="26758" spans="1:14" s="2" customFormat="1">
      <c r="A26758" s="83"/>
      <c r="H26758" s="83"/>
      <c r="K26758" s="82"/>
      <c r="M26758" s="112"/>
      <c r="N26758" s="84"/>
    </row>
    <row r="26759" spans="1:14" s="2" customFormat="1">
      <c r="A26759" s="83"/>
      <c r="H26759" s="83"/>
      <c r="K26759" s="82"/>
      <c r="M26759" s="112"/>
      <c r="N26759" s="84"/>
    </row>
    <row r="26760" spans="1:14" s="2" customFormat="1">
      <c r="A26760" s="83"/>
      <c r="H26760" s="83"/>
      <c r="K26760" s="82"/>
      <c r="M26760" s="112"/>
      <c r="N26760" s="84"/>
    </row>
    <row r="26761" spans="1:14" s="2" customFormat="1">
      <c r="A26761" s="83"/>
      <c r="H26761" s="83"/>
      <c r="K26761" s="82"/>
      <c r="M26761" s="112"/>
      <c r="N26761" s="84"/>
    </row>
    <row r="26762" spans="1:14" s="2" customFormat="1">
      <c r="A26762" s="83"/>
      <c r="H26762" s="83"/>
      <c r="K26762" s="82"/>
      <c r="M26762" s="112"/>
      <c r="N26762" s="84"/>
    </row>
    <row r="26763" spans="1:14" s="2" customFormat="1">
      <c r="A26763" s="83"/>
      <c r="H26763" s="83"/>
      <c r="K26763" s="82"/>
      <c r="M26763" s="112"/>
      <c r="N26763" s="84"/>
    </row>
    <row r="26764" spans="1:14" s="2" customFormat="1">
      <c r="A26764" s="83"/>
      <c r="H26764" s="83"/>
      <c r="K26764" s="82"/>
      <c r="M26764" s="112"/>
      <c r="N26764" s="84"/>
    </row>
    <row r="26765" spans="1:14" s="2" customFormat="1">
      <c r="A26765" s="83"/>
      <c r="H26765" s="83"/>
      <c r="K26765" s="82"/>
      <c r="M26765" s="112"/>
      <c r="N26765" s="84"/>
    </row>
    <row r="26766" spans="1:14" s="2" customFormat="1">
      <c r="A26766" s="83"/>
      <c r="H26766" s="83"/>
      <c r="K26766" s="82"/>
      <c r="M26766" s="112"/>
      <c r="N26766" s="84"/>
    </row>
    <row r="26767" spans="1:14" s="2" customFormat="1">
      <c r="A26767" s="83"/>
      <c r="H26767" s="83"/>
      <c r="K26767" s="82"/>
      <c r="M26767" s="112"/>
      <c r="N26767" s="84"/>
    </row>
    <row r="26768" spans="1:14" s="2" customFormat="1">
      <c r="A26768" s="83"/>
      <c r="H26768" s="83"/>
      <c r="K26768" s="82"/>
      <c r="M26768" s="112"/>
      <c r="N26768" s="84"/>
    </row>
    <row r="26769" spans="1:14" s="2" customFormat="1">
      <c r="A26769" s="83"/>
      <c r="H26769" s="83"/>
      <c r="K26769" s="82"/>
      <c r="M26769" s="112"/>
      <c r="N26769" s="84"/>
    </row>
    <row r="26770" spans="1:14" s="2" customFormat="1">
      <c r="A26770" s="83"/>
      <c r="H26770" s="83"/>
      <c r="K26770" s="82"/>
      <c r="M26770" s="112"/>
      <c r="N26770" s="84"/>
    </row>
    <row r="26771" spans="1:14" s="2" customFormat="1">
      <c r="A26771" s="83"/>
      <c r="H26771" s="83"/>
      <c r="K26771" s="82"/>
      <c r="M26771" s="112"/>
      <c r="N26771" s="84"/>
    </row>
    <row r="26772" spans="1:14" s="2" customFormat="1">
      <c r="A26772" s="83"/>
      <c r="H26772" s="83"/>
      <c r="K26772" s="82"/>
      <c r="M26772" s="112"/>
      <c r="N26772" s="84"/>
    </row>
    <row r="26773" spans="1:14" s="2" customFormat="1">
      <c r="A26773" s="83"/>
      <c r="H26773" s="83"/>
      <c r="K26773" s="82"/>
      <c r="M26773" s="112"/>
      <c r="N26773" s="84"/>
    </row>
    <row r="26774" spans="1:14" s="2" customFormat="1">
      <c r="A26774" s="83"/>
      <c r="H26774" s="83"/>
      <c r="K26774" s="82"/>
      <c r="M26774" s="112"/>
      <c r="N26774" s="84"/>
    </row>
    <row r="26775" spans="1:14" s="2" customFormat="1">
      <c r="A26775" s="83"/>
      <c r="H26775" s="83"/>
      <c r="K26775" s="82"/>
      <c r="M26775" s="112"/>
      <c r="N26775" s="84"/>
    </row>
    <row r="26776" spans="1:14" s="2" customFormat="1">
      <c r="A26776" s="83"/>
      <c r="H26776" s="83"/>
      <c r="K26776" s="82"/>
      <c r="M26776" s="112"/>
      <c r="N26776" s="84"/>
    </row>
    <row r="26777" spans="1:14" s="2" customFormat="1">
      <c r="A26777" s="83"/>
      <c r="H26777" s="83"/>
      <c r="K26777" s="82"/>
      <c r="M26777" s="112"/>
      <c r="N26777" s="84"/>
    </row>
    <row r="26778" spans="1:14" s="2" customFormat="1">
      <c r="A26778" s="83"/>
      <c r="H26778" s="83"/>
      <c r="K26778" s="82"/>
      <c r="M26778" s="112"/>
      <c r="N26778" s="84"/>
    </row>
    <row r="26779" spans="1:14" s="2" customFormat="1">
      <c r="A26779" s="83"/>
      <c r="H26779" s="83"/>
      <c r="K26779" s="82"/>
      <c r="M26779" s="112"/>
      <c r="N26779" s="84"/>
    </row>
    <row r="26780" spans="1:14" s="2" customFormat="1">
      <c r="A26780" s="83"/>
      <c r="H26780" s="83"/>
      <c r="K26780" s="82"/>
      <c r="M26780" s="112"/>
      <c r="N26780" s="84"/>
    </row>
    <row r="26781" spans="1:14" s="2" customFormat="1">
      <c r="A26781" s="83"/>
      <c r="H26781" s="83"/>
      <c r="K26781" s="82"/>
      <c r="M26781" s="112"/>
      <c r="N26781" s="84"/>
    </row>
    <row r="26782" spans="1:14" s="2" customFormat="1">
      <c r="A26782" s="83"/>
      <c r="H26782" s="83"/>
      <c r="K26782" s="82"/>
      <c r="M26782" s="112"/>
      <c r="N26782" s="84"/>
    </row>
    <row r="26783" spans="1:14" s="2" customFormat="1">
      <c r="A26783" s="83"/>
      <c r="H26783" s="83"/>
      <c r="K26783" s="82"/>
      <c r="M26783" s="112"/>
      <c r="N26783" s="84"/>
    </row>
    <row r="26784" spans="1:14" s="2" customFormat="1">
      <c r="A26784" s="83"/>
      <c r="H26784" s="83"/>
      <c r="K26784" s="82"/>
      <c r="M26784" s="112"/>
      <c r="N26784" s="84"/>
    </row>
    <row r="26785" spans="1:14" s="2" customFormat="1">
      <c r="A26785" s="83"/>
      <c r="H26785" s="83"/>
      <c r="K26785" s="82"/>
      <c r="M26785" s="112"/>
      <c r="N26785" s="84"/>
    </row>
    <row r="26786" spans="1:14" s="2" customFormat="1">
      <c r="A26786" s="83"/>
      <c r="H26786" s="83"/>
      <c r="K26786" s="82"/>
      <c r="M26786" s="112"/>
      <c r="N26786" s="84"/>
    </row>
    <row r="26787" spans="1:14" s="2" customFormat="1">
      <c r="A26787" s="83"/>
      <c r="H26787" s="83"/>
      <c r="K26787" s="82"/>
      <c r="M26787" s="112"/>
      <c r="N26787" s="84"/>
    </row>
    <row r="26788" spans="1:14" s="2" customFormat="1">
      <c r="A26788" s="83"/>
      <c r="H26788" s="83"/>
      <c r="K26788" s="82"/>
      <c r="M26788" s="112"/>
      <c r="N26788" s="84"/>
    </row>
    <row r="26789" spans="1:14" s="2" customFormat="1">
      <c r="A26789" s="83"/>
      <c r="H26789" s="83"/>
      <c r="K26789" s="82"/>
      <c r="M26789" s="112"/>
      <c r="N26789" s="84"/>
    </row>
    <row r="26790" spans="1:14" s="2" customFormat="1">
      <c r="A26790" s="83"/>
      <c r="H26790" s="83"/>
      <c r="K26790" s="82"/>
      <c r="M26790" s="112"/>
      <c r="N26790" s="84"/>
    </row>
    <row r="26791" spans="1:14" s="2" customFormat="1">
      <c r="A26791" s="83"/>
      <c r="H26791" s="83"/>
      <c r="K26791" s="82"/>
      <c r="M26791" s="112"/>
      <c r="N26791" s="84"/>
    </row>
    <row r="26792" spans="1:14" s="2" customFormat="1">
      <c r="A26792" s="83"/>
      <c r="H26792" s="83"/>
      <c r="K26792" s="82"/>
      <c r="M26792" s="112"/>
      <c r="N26792" s="84"/>
    </row>
    <row r="26793" spans="1:14" s="2" customFormat="1">
      <c r="A26793" s="83"/>
      <c r="H26793" s="83"/>
      <c r="K26793" s="82"/>
      <c r="M26793" s="112"/>
      <c r="N26793" s="84"/>
    </row>
    <row r="26794" spans="1:14" s="2" customFormat="1">
      <c r="A26794" s="83"/>
      <c r="H26794" s="83"/>
      <c r="K26794" s="82"/>
      <c r="M26794" s="112"/>
      <c r="N26794" s="84"/>
    </row>
    <row r="26795" spans="1:14" s="2" customFormat="1">
      <c r="A26795" s="83"/>
      <c r="H26795" s="83"/>
      <c r="K26795" s="82"/>
      <c r="M26795" s="112"/>
      <c r="N26795" s="84"/>
    </row>
    <row r="26796" spans="1:14" s="2" customFormat="1">
      <c r="A26796" s="83"/>
      <c r="H26796" s="83"/>
      <c r="K26796" s="82"/>
      <c r="M26796" s="112"/>
      <c r="N26796" s="84"/>
    </row>
    <row r="26797" spans="1:14" s="2" customFormat="1">
      <c r="A26797" s="83"/>
      <c r="H26797" s="83"/>
      <c r="K26797" s="82"/>
      <c r="M26797" s="112"/>
      <c r="N26797" s="84"/>
    </row>
    <row r="26798" spans="1:14" s="2" customFormat="1">
      <c r="A26798" s="83"/>
      <c r="H26798" s="83"/>
      <c r="K26798" s="82"/>
      <c r="M26798" s="112"/>
      <c r="N26798" s="84"/>
    </row>
    <row r="26799" spans="1:14" s="2" customFormat="1">
      <c r="A26799" s="83"/>
      <c r="H26799" s="83"/>
      <c r="K26799" s="82"/>
      <c r="M26799" s="112"/>
      <c r="N26799" s="84"/>
    </row>
    <row r="26800" spans="1:14" s="2" customFormat="1">
      <c r="A26800" s="83"/>
      <c r="H26800" s="83"/>
      <c r="K26800" s="82"/>
      <c r="M26800" s="112"/>
      <c r="N26800" s="84"/>
    </row>
    <row r="26801" spans="1:14" s="2" customFormat="1">
      <c r="A26801" s="83"/>
      <c r="H26801" s="83"/>
      <c r="K26801" s="82"/>
      <c r="M26801" s="112"/>
      <c r="N26801" s="84"/>
    </row>
    <row r="26802" spans="1:14" s="2" customFormat="1">
      <c r="A26802" s="83"/>
      <c r="H26802" s="83"/>
      <c r="K26802" s="82"/>
      <c r="M26802" s="112"/>
      <c r="N26802" s="84"/>
    </row>
    <row r="26803" spans="1:14" s="2" customFormat="1">
      <c r="A26803" s="83"/>
      <c r="H26803" s="83"/>
      <c r="K26803" s="82"/>
      <c r="M26803" s="112"/>
      <c r="N26803" s="84"/>
    </row>
    <row r="26804" spans="1:14" s="2" customFormat="1">
      <c r="A26804" s="83"/>
      <c r="H26804" s="83"/>
      <c r="K26804" s="82"/>
      <c r="M26804" s="112"/>
      <c r="N26804" s="84"/>
    </row>
    <row r="26805" spans="1:14" s="2" customFormat="1">
      <c r="A26805" s="83"/>
      <c r="H26805" s="83"/>
      <c r="K26805" s="82"/>
      <c r="M26805" s="112"/>
      <c r="N26805" s="84"/>
    </row>
    <row r="26806" spans="1:14" s="2" customFormat="1">
      <c r="A26806" s="83"/>
      <c r="H26806" s="83"/>
      <c r="K26806" s="82"/>
      <c r="M26806" s="112"/>
      <c r="N26806" s="84"/>
    </row>
    <row r="26807" spans="1:14" s="2" customFormat="1">
      <c r="A26807" s="83"/>
      <c r="H26807" s="83"/>
      <c r="K26807" s="82"/>
      <c r="M26807" s="112"/>
      <c r="N26807" s="84"/>
    </row>
    <row r="26808" spans="1:14" s="2" customFormat="1">
      <c r="A26808" s="83"/>
      <c r="H26808" s="83"/>
      <c r="K26808" s="82"/>
      <c r="M26808" s="112"/>
      <c r="N26808" s="84"/>
    </row>
    <row r="26809" spans="1:14" s="2" customFormat="1">
      <c r="A26809" s="83"/>
      <c r="H26809" s="83"/>
      <c r="K26809" s="82"/>
      <c r="M26809" s="112"/>
      <c r="N26809" s="84"/>
    </row>
    <row r="26810" spans="1:14" s="2" customFormat="1">
      <c r="A26810" s="83"/>
      <c r="H26810" s="83"/>
      <c r="K26810" s="82"/>
      <c r="M26810" s="112"/>
      <c r="N26810" s="84"/>
    </row>
    <row r="26811" spans="1:14" s="2" customFormat="1">
      <c r="A26811" s="83"/>
      <c r="H26811" s="83"/>
      <c r="K26811" s="82"/>
      <c r="M26811" s="112"/>
      <c r="N26811" s="84"/>
    </row>
    <row r="26812" spans="1:14" s="2" customFormat="1">
      <c r="A26812" s="83"/>
      <c r="H26812" s="83"/>
      <c r="K26812" s="82"/>
      <c r="M26812" s="112"/>
      <c r="N26812" s="84"/>
    </row>
    <row r="26813" spans="1:14" s="2" customFormat="1">
      <c r="A26813" s="83"/>
      <c r="H26813" s="83"/>
      <c r="K26813" s="82"/>
      <c r="M26813" s="112"/>
      <c r="N26813" s="84"/>
    </row>
    <row r="26814" spans="1:14" s="2" customFormat="1">
      <c r="A26814" s="83"/>
      <c r="H26814" s="83"/>
      <c r="K26814" s="82"/>
      <c r="M26814" s="112"/>
      <c r="N26814" s="84"/>
    </row>
    <row r="26815" spans="1:14" s="2" customFormat="1">
      <c r="A26815" s="83"/>
      <c r="H26815" s="83"/>
      <c r="K26815" s="82"/>
      <c r="M26815" s="112"/>
      <c r="N26815" s="84"/>
    </row>
    <row r="26816" spans="1:14" s="2" customFormat="1">
      <c r="A26816" s="83"/>
      <c r="H26816" s="83"/>
      <c r="K26816" s="82"/>
      <c r="M26816" s="112"/>
      <c r="N26816" s="84"/>
    </row>
    <row r="26817" spans="1:14" s="2" customFormat="1">
      <c r="A26817" s="83"/>
      <c r="H26817" s="83"/>
      <c r="K26817" s="82"/>
      <c r="M26817" s="112"/>
      <c r="N26817" s="84"/>
    </row>
    <row r="26818" spans="1:14" s="2" customFormat="1">
      <c r="A26818" s="83"/>
      <c r="H26818" s="83"/>
      <c r="K26818" s="82"/>
      <c r="M26818" s="112"/>
      <c r="N26818" s="84"/>
    </row>
    <row r="26819" spans="1:14" s="2" customFormat="1">
      <c r="A26819" s="83"/>
      <c r="H26819" s="83"/>
      <c r="K26819" s="82"/>
      <c r="M26819" s="112"/>
      <c r="N26819" s="84"/>
    </row>
    <row r="26820" spans="1:14" s="2" customFormat="1">
      <c r="A26820" s="83"/>
      <c r="H26820" s="83"/>
      <c r="K26820" s="82"/>
      <c r="M26820" s="112"/>
      <c r="N26820" s="84"/>
    </row>
    <row r="26821" spans="1:14" s="2" customFormat="1">
      <c r="A26821" s="83"/>
      <c r="H26821" s="83"/>
      <c r="K26821" s="82"/>
      <c r="M26821" s="112"/>
      <c r="N26821" s="84"/>
    </row>
    <row r="26822" spans="1:14" s="2" customFormat="1">
      <c r="A26822" s="83"/>
      <c r="H26822" s="83"/>
      <c r="K26822" s="82"/>
      <c r="M26822" s="112"/>
      <c r="N26822" s="84"/>
    </row>
    <row r="26823" spans="1:14" s="2" customFormat="1">
      <c r="A26823" s="83"/>
      <c r="H26823" s="83"/>
      <c r="K26823" s="82"/>
      <c r="M26823" s="112"/>
      <c r="N26823" s="84"/>
    </row>
    <row r="26824" spans="1:14" s="2" customFormat="1">
      <c r="A26824" s="83"/>
      <c r="H26824" s="83"/>
      <c r="K26824" s="82"/>
      <c r="M26824" s="112"/>
      <c r="N26824" s="84"/>
    </row>
    <row r="26825" spans="1:14" s="2" customFormat="1">
      <c r="A26825" s="83"/>
      <c r="H26825" s="83"/>
      <c r="K26825" s="82"/>
      <c r="M26825" s="112"/>
      <c r="N26825" s="84"/>
    </row>
    <row r="26826" spans="1:14" s="2" customFormat="1">
      <c r="A26826" s="83"/>
      <c r="H26826" s="83"/>
      <c r="K26826" s="82"/>
      <c r="M26826" s="112"/>
      <c r="N26826" s="84"/>
    </row>
    <row r="26827" spans="1:14" s="2" customFormat="1">
      <c r="A26827" s="83"/>
      <c r="H26827" s="83"/>
      <c r="K26827" s="82"/>
      <c r="M26827" s="112"/>
      <c r="N26827" s="84"/>
    </row>
    <row r="26828" spans="1:14" s="2" customFormat="1">
      <c r="A26828" s="83"/>
      <c r="H26828" s="83"/>
      <c r="K26828" s="82"/>
      <c r="M26828" s="112"/>
      <c r="N26828" s="84"/>
    </row>
    <row r="26829" spans="1:14" s="2" customFormat="1">
      <c r="A26829" s="83"/>
      <c r="H26829" s="83"/>
      <c r="K26829" s="82"/>
      <c r="M26829" s="112"/>
      <c r="N26829" s="84"/>
    </row>
    <row r="26830" spans="1:14" s="2" customFormat="1">
      <c r="A26830" s="83"/>
      <c r="H26830" s="83"/>
      <c r="K26830" s="82"/>
      <c r="M26830" s="112"/>
      <c r="N26830" s="84"/>
    </row>
    <row r="26831" spans="1:14" s="2" customFormat="1">
      <c r="A26831" s="83"/>
      <c r="H26831" s="83"/>
      <c r="K26831" s="82"/>
      <c r="M26831" s="112"/>
      <c r="N26831" s="84"/>
    </row>
    <row r="26832" spans="1:14" s="2" customFormat="1">
      <c r="A26832" s="83"/>
      <c r="H26832" s="83"/>
      <c r="K26832" s="82"/>
      <c r="M26832" s="112"/>
      <c r="N26832" s="84"/>
    </row>
    <row r="26833" spans="1:14" s="2" customFormat="1">
      <c r="A26833" s="83"/>
      <c r="H26833" s="83"/>
      <c r="K26833" s="82"/>
      <c r="M26833" s="112"/>
      <c r="N26833" s="84"/>
    </row>
    <row r="26834" spans="1:14" s="2" customFormat="1">
      <c r="A26834" s="83"/>
      <c r="H26834" s="83"/>
      <c r="K26834" s="82"/>
      <c r="M26834" s="112"/>
      <c r="N26834" s="84"/>
    </row>
    <row r="26835" spans="1:14" s="2" customFormat="1">
      <c r="A26835" s="83"/>
      <c r="H26835" s="83"/>
      <c r="K26835" s="82"/>
      <c r="M26835" s="112"/>
      <c r="N26835" s="84"/>
    </row>
    <row r="26836" spans="1:14" s="2" customFormat="1">
      <c r="A26836" s="83"/>
      <c r="H26836" s="83"/>
      <c r="K26836" s="82"/>
      <c r="M26836" s="112"/>
      <c r="N26836" s="84"/>
    </row>
    <row r="26837" spans="1:14" s="2" customFormat="1">
      <c r="A26837" s="83"/>
      <c r="H26837" s="83"/>
      <c r="K26837" s="82"/>
      <c r="M26837" s="112"/>
      <c r="N26837" s="84"/>
    </row>
    <row r="26838" spans="1:14" s="2" customFormat="1">
      <c r="A26838" s="83"/>
      <c r="H26838" s="83"/>
      <c r="K26838" s="82"/>
      <c r="M26838" s="112"/>
      <c r="N26838" s="84"/>
    </row>
    <row r="26839" spans="1:14" s="2" customFormat="1">
      <c r="A26839" s="83"/>
      <c r="H26839" s="83"/>
      <c r="K26839" s="82"/>
      <c r="M26839" s="112"/>
      <c r="N26839" s="84"/>
    </row>
    <row r="26840" spans="1:14" s="2" customFormat="1">
      <c r="A26840" s="83"/>
      <c r="H26840" s="83"/>
      <c r="K26840" s="82"/>
      <c r="M26840" s="112"/>
      <c r="N26840" s="84"/>
    </row>
    <row r="26841" spans="1:14" s="2" customFormat="1">
      <c r="A26841" s="83"/>
      <c r="H26841" s="83"/>
      <c r="K26841" s="82"/>
      <c r="M26841" s="112"/>
      <c r="N26841" s="84"/>
    </row>
    <row r="26842" spans="1:14" s="2" customFormat="1">
      <c r="A26842" s="83"/>
      <c r="H26842" s="83"/>
      <c r="K26842" s="82"/>
      <c r="M26842" s="112"/>
      <c r="N26842" s="84"/>
    </row>
    <row r="26843" spans="1:14" s="2" customFormat="1">
      <c r="A26843" s="83"/>
      <c r="H26843" s="83"/>
      <c r="K26843" s="82"/>
      <c r="M26843" s="112"/>
      <c r="N26843" s="84"/>
    </row>
    <row r="26844" spans="1:14" s="2" customFormat="1">
      <c r="A26844" s="83"/>
      <c r="H26844" s="83"/>
      <c r="K26844" s="82"/>
      <c r="M26844" s="112"/>
      <c r="N26844" s="84"/>
    </row>
    <row r="26845" spans="1:14" s="2" customFormat="1">
      <c r="A26845" s="83"/>
      <c r="H26845" s="83"/>
      <c r="K26845" s="82"/>
      <c r="M26845" s="112"/>
      <c r="N26845" s="84"/>
    </row>
    <row r="26846" spans="1:14" s="2" customFormat="1">
      <c r="A26846" s="83"/>
      <c r="H26846" s="83"/>
      <c r="K26846" s="82"/>
      <c r="M26846" s="112"/>
      <c r="N26846" s="84"/>
    </row>
    <row r="26847" spans="1:14" s="2" customFormat="1">
      <c r="A26847" s="83"/>
      <c r="H26847" s="83"/>
      <c r="K26847" s="82"/>
      <c r="M26847" s="112"/>
      <c r="N26847" s="84"/>
    </row>
    <row r="26848" spans="1:14" s="2" customFormat="1">
      <c r="A26848" s="83"/>
      <c r="H26848" s="83"/>
      <c r="K26848" s="82"/>
      <c r="M26848" s="112"/>
      <c r="N26848" s="84"/>
    </row>
    <row r="26849" spans="1:14" s="2" customFormat="1">
      <c r="A26849" s="83"/>
      <c r="H26849" s="83"/>
      <c r="K26849" s="82"/>
      <c r="M26849" s="112"/>
      <c r="N26849" s="84"/>
    </row>
    <row r="26850" spans="1:14" s="2" customFormat="1">
      <c r="A26850" s="83"/>
      <c r="H26850" s="83"/>
      <c r="K26850" s="82"/>
      <c r="M26850" s="112"/>
      <c r="N26850" s="84"/>
    </row>
    <row r="26851" spans="1:14" s="2" customFormat="1">
      <c r="A26851" s="83"/>
      <c r="H26851" s="83"/>
      <c r="K26851" s="82"/>
      <c r="M26851" s="112"/>
      <c r="N26851" s="84"/>
    </row>
    <row r="26852" spans="1:14" s="2" customFormat="1">
      <c r="A26852" s="83"/>
      <c r="H26852" s="83"/>
      <c r="K26852" s="82"/>
      <c r="M26852" s="112"/>
      <c r="N26852" s="84"/>
    </row>
    <row r="26853" spans="1:14" s="2" customFormat="1">
      <c r="A26853" s="83"/>
      <c r="H26853" s="83"/>
      <c r="K26853" s="82"/>
      <c r="M26853" s="112"/>
      <c r="N26853" s="84"/>
    </row>
    <row r="26854" spans="1:14" s="2" customFormat="1">
      <c r="A26854" s="83"/>
      <c r="H26854" s="83"/>
      <c r="K26854" s="82"/>
      <c r="M26854" s="112"/>
      <c r="N26854" s="84"/>
    </row>
    <row r="26855" spans="1:14" s="2" customFormat="1">
      <c r="A26855" s="83"/>
      <c r="H26855" s="83"/>
      <c r="K26855" s="82"/>
      <c r="M26855" s="112"/>
      <c r="N26855" s="84"/>
    </row>
    <row r="26856" spans="1:14" s="2" customFormat="1">
      <c r="A26856" s="83"/>
      <c r="H26856" s="83"/>
      <c r="K26856" s="82"/>
      <c r="M26856" s="112"/>
      <c r="N26856" s="84"/>
    </row>
    <row r="26857" spans="1:14" s="2" customFormat="1">
      <c r="A26857" s="83"/>
      <c r="H26857" s="83"/>
      <c r="K26857" s="82"/>
      <c r="M26857" s="112"/>
      <c r="N26857" s="84"/>
    </row>
    <row r="26858" spans="1:14" s="2" customFormat="1">
      <c r="A26858" s="83"/>
      <c r="H26858" s="83"/>
      <c r="K26858" s="82"/>
      <c r="M26858" s="112"/>
      <c r="N26858" s="84"/>
    </row>
    <row r="26859" spans="1:14" s="2" customFormat="1">
      <c r="A26859" s="83"/>
      <c r="H26859" s="83"/>
      <c r="K26859" s="82"/>
      <c r="M26859" s="112"/>
      <c r="N26859" s="84"/>
    </row>
    <row r="26860" spans="1:14" s="2" customFormat="1">
      <c r="A26860" s="83"/>
      <c r="H26860" s="83"/>
      <c r="K26860" s="82"/>
      <c r="M26860" s="112"/>
      <c r="N26860" s="84"/>
    </row>
    <row r="26861" spans="1:14" s="2" customFormat="1">
      <c r="A26861" s="83"/>
      <c r="H26861" s="83"/>
      <c r="K26861" s="82"/>
      <c r="M26861" s="112"/>
      <c r="N26861" s="84"/>
    </row>
    <row r="26862" spans="1:14" s="2" customFormat="1">
      <c r="A26862" s="83"/>
      <c r="H26862" s="83"/>
      <c r="K26862" s="82"/>
      <c r="M26862" s="112"/>
      <c r="N26862" s="84"/>
    </row>
    <row r="26863" spans="1:14" s="2" customFormat="1">
      <c r="A26863" s="83"/>
      <c r="H26863" s="83"/>
      <c r="K26863" s="82"/>
      <c r="M26863" s="112"/>
      <c r="N26863" s="84"/>
    </row>
    <row r="26864" spans="1:14" s="2" customFormat="1">
      <c r="A26864" s="83"/>
      <c r="H26864" s="83"/>
      <c r="K26864" s="82"/>
      <c r="M26864" s="112"/>
      <c r="N26864" s="84"/>
    </row>
    <row r="26865" spans="1:14" s="2" customFormat="1">
      <c r="A26865" s="83"/>
      <c r="H26865" s="83"/>
      <c r="K26865" s="82"/>
      <c r="M26865" s="112"/>
      <c r="N26865" s="84"/>
    </row>
    <row r="26866" spans="1:14" s="2" customFormat="1">
      <c r="A26866" s="83"/>
      <c r="H26866" s="83"/>
      <c r="K26866" s="82"/>
      <c r="M26866" s="112"/>
      <c r="N26866" s="84"/>
    </row>
    <row r="26867" spans="1:14" s="2" customFormat="1">
      <c r="A26867" s="83"/>
      <c r="H26867" s="83"/>
      <c r="K26867" s="82"/>
      <c r="M26867" s="112"/>
      <c r="N26867" s="84"/>
    </row>
    <row r="26868" spans="1:14" s="2" customFormat="1">
      <c r="A26868" s="83"/>
      <c r="H26868" s="83"/>
      <c r="K26868" s="82"/>
      <c r="M26868" s="112"/>
      <c r="N26868" s="84"/>
    </row>
    <row r="26869" spans="1:14" s="2" customFormat="1">
      <c r="A26869" s="83"/>
      <c r="H26869" s="83"/>
      <c r="K26869" s="82"/>
      <c r="M26869" s="112"/>
      <c r="N26869" s="84"/>
    </row>
    <row r="26870" spans="1:14" s="2" customFormat="1">
      <c r="A26870" s="83"/>
      <c r="H26870" s="83"/>
      <c r="K26870" s="82"/>
      <c r="M26870" s="112"/>
      <c r="N26870" s="84"/>
    </row>
    <row r="26871" spans="1:14" s="2" customFormat="1">
      <c r="A26871" s="83"/>
      <c r="H26871" s="83"/>
      <c r="K26871" s="82"/>
      <c r="M26871" s="112"/>
      <c r="N26871" s="84"/>
    </row>
    <row r="26872" spans="1:14" s="2" customFormat="1">
      <c r="A26872" s="83"/>
      <c r="H26872" s="83"/>
      <c r="K26872" s="82"/>
      <c r="M26872" s="112"/>
      <c r="N26872" s="84"/>
    </row>
    <row r="26873" spans="1:14" s="2" customFormat="1">
      <c r="A26873" s="83"/>
      <c r="H26873" s="83"/>
      <c r="K26873" s="82"/>
      <c r="M26873" s="112"/>
      <c r="N26873" s="84"/>
    </row>
    <row r="26874" spans="1:14" s="2" customFormat="1">
      <c r="A26874" s="83"/>
      <c r="H26874" s="83"/>
      <c r="K26874" s="82"/>
      <c r="M26874" s="112"/>
      <c r="N26874" s="84"/>
    </row>
    <row r="26875" spans="1:14" s="2" customFormat="1">
      <c r="A26875" s="83"/>
      <c r="H26875" s="83"/>
      <c r="K26875" s="82"/>
      <c r="M26875" s="112"/>
      <c r="N26875" s="84"/>
    </row>
    <row r="26876" spans="1:14" s="2" customFormat="1">
      <c r="A26876" s="83"/>
      <c r="H26876" s="83"/>
      <c r="K26876" s="82"/>
      <c r="M26876" s="112"/>
      <c r="N26876" s="84"/>
    </row>
    <row r="26877" spans="1:14" s="2" customFormat="1">
      <c r="A26877" s="83"/>
      <c r="H26877" s="83"/>
      <c r="K26877" s="82"/>
      <c r="M26877" s="112"/>
      <c r="N26877" s="84"/>
    </row>
    <row r="26878" spans="1:14" s="2" customFormat="1">
      <c r="A26878" s="83"/>
      <c r="H26878" s="83"/>
      <c r="K26878" s="82"/>
      <c r="M26878" s="112"/>
      <c r="N26878" s="84"/>
    </row>
    <row r="26879" spans="1:14" s="2" customFormat="1">
      <c r="A26879" s="83"/>
      <c r="H26879" s="83"/>
      <c r="K26879" s="82"/>
      <c r="M26879" s="112"/>
      <c r="N26879" s="84"/>
    </row>
    <row r="26880" spans="1:14" s="2" customFormat="1">
      <c r="A26880" s="83"/>
      <c r="H26880" s="83"/>
      <c r="K26880" s="82"/>
      <c r="M26880" s="112"/>
      <c r="N26880" s="84"/>
    </row>
    <row r="26881" spans="1:14" s="2" customFormat="1">
      <c r="A26881" s="83"/>
      <c r="H26881" s="83"/>
      <c r="K26881" s="82"/>
      <c r="M26881" s="112"/>
      <c r="N26881" s="84"/>
    </row>
    <row r="26882" spans="1:14" s="2" customFormat="1">
      <c r="A26882" s="83"/>
      <c r="H26882" s="83"/>
      <c r="K26882" s="82"/>
      <c r="M26882" s="112"/>
      <c r="N26882" s="84"/>
    </row>
    <row r="26883" spans="1:14" s="2" customFormat="1">
      <c r="A26883" s="83"/>
      <c r="H26883" s="83"/>
      <c r="K26883" s="82"/>
      <c r="M26883" s="112"/>
      <c r="N26883" s="84"/>
    </row>
    <row r="26884" spans="1:14" s="2" customFormat="1">
      <c r="A26884" s="83"/>
      <c r="H26884" s="83"/>
      <c r="K26884" s="82"/>
      <c r="M26884" s="112"/>
      <c r="N26884" s="84"/>
    </row>
    <row r="26885" spans="1:14" s="2" customFormat="1">
      <c r="A26885" s="83"/>
      <c r="H26885" s="83"/>
      <c r="K26885" s="82"/>
      <c r="M26885" s="112"/>
      <c r="N26885" s="84"/>
    </row>
    <row r="26886" spans="1:14" s="2" customFormat="1">
      <c r="A26886" s="83"/>
      <c r="H26886" s="83"/>
      <c r="K26886" s="82"/>
      <c r="M26886" s="112"/>
      <c r="N26886" s="84"/>
    </row>
    <row r="26887" spans="1:14" s="2" customFormat="1">
      <c r="A26887" s="83"/>
      <c r="H26887" s="83"/>
      <c r="K26887" s="82"/>
      <c r="M26887" s="112"/>
      <c r="N26887" s="84"/>
    </row>
    <row r="26888" spans="1:14" s="2" customFormat="1">
      <c r="A26888" s="83"/>
      <c r="H26888" s="83"/>
      <c r="K26888" s="82"/>
      <c r="M26888" s="112"/>
      <c r="N26888" s="84"/>
    </row>
    <row r="26889" spans="1:14" s="2" customFormat="1">
      <c r="A26889" s="83"/>
      <c r="H26889" s="83"/>
      <c r="K26889" s="82"/>
      <c r="M26889" s="112"/>
      <c r="N26889" s="84"/>
    </row>
    <row r="26890" spans="1:14" s="2" customFormat="1">
      <c r="A26890" s="83"/>
      <c r="H26890" s="83"/>
      <c r="K26890" s="82"/>
      <c r="M26890" s="112"/>
      <c r="N26890" s="84"/>
    </row>
    <row r="26891" spans="1:14" s="2" customFormat="1">
      <c r="A26891" s="83"/>
      <c r="H26891" s="83"/>
      <c r="K26891" s="82"/>
      <c r="M26891" s="112"/>
      <c r="N26891" s="84"/>
    </row>
    <row r="26892" spans="1:14" s="2" customFormat="1">
      <c r="A26892" s="83"/>
      <c r="H26892" s="83"/>
      <c r="K26892" s="82"/>
      <c r="M26892" s="112"/>
      <c r="N26892" s="84"/>
    </row>
    <row r="26893" spans="1:14" s="2" customFormat="1">
      <c r="A26893" s="83"/>
      <c r="H26893" s="83"/>
      <c r="K26893" s="82"/>
      <c r="M26893" s="112"/>
      <c r="N26893" s="84"/>
    </row>
    <row r="26894" spans="1:14" s="2" customFormat="1">
      <c r="A26894" s="83"/>
      <c r="H26894" s="83"/>
      <c r="K26894" s="82"/>
      <c r="M26894" s="112"/>
      <c r="N26894" s="84"/>
    </row>
    <row r="26895" spans="1:14" s="2" customFormat="1">
      <c r="A26895" s="83"/>
      <c r="H26895" s="83"/>
      <c r="K26895" s="82"/>
      <c r="M26895" s="112"/>
      <c r="N26895" s="84"/>
    </row>
    <row r="26896" spans="1:14" s="2" customFormat="1">
      <c r="A26896" s="83"/>
      <c r="H26896" s="83"/>
      <c r="K26896" s="82"/>
      <c r="M26896" s="112"/>
      <c r="N26896" s="84"/>
    </row>
    <row r="26897" spans="1:14" s="2" customFormat="1">
      <c r="A26897" s="83"/>
      <c r="H26897" s="83"/>
      <c r="K26897" s="82"/>
      <c r="M26897" s="112"/>
      <c r="N26897" s="84"/>
    </row>
    <row r="26898" spans="1:14" s="2" customFormat="1">
      <c r="A26898" s="83"/>
      <c r="H26898" s="83"/>
      <c r="K26898" s="82"/>
      <c r="M26898" s="112"/>
      <c r="N26898" s="84"/>
    </row>
    <row r="26899" spans="1:14" s="2" customFormat="1">
      <c r="A26899" s="83"/>
      <c r="H26899" s="83"/>
      <c r="K26899" s="82"/>
      <c r="M26899" s="112"/>
      <c r="N26899" s="84"/>
    </row>
    <row r="26900" spans="1:14" s="2" customFormat="1">
      <c r="A26900" s="83"/>
      <c r="H26900" s="83"/>
      <c r="K26900" s="82"/>
      <c r="M26900" s="112"/>
      <c r="N26900" s="84"/>
    </row>
    <row r="26901" spans="1:14" s="2" customFormat="1">
      <c r="A26901" s="83"/>
      <c r="H26901" s="83"/>
      <c r="K26901" s="82"/>
      <c r="M26901" s="112"/>
      <c r="N26901" s="84"/>
    </row>
    <row r="26902" spans="1:14" s="2" customFormat="1">
      <c r="A26902" s="83"/>
      <c r="H26902" s="83"/>
      <c r="K26902" s="82"/>
      <c r="M26902" s="112"/>
      <c r="N26902" s="84"/>
    </row>
    <row r="26903" spans="1:14" s="2" customFormat="1">
      <c r="A26903" s="83"/>
      <c r="H26903" s="83"/>
      <c r="K26903" s="82"/>
      <c r="M26903" s="112"/>
      <c r="N26903" s="84"/>
    </row>
    <row r="26904" spans="1:14" s="2" customFormat="1">
      <c r="A26904" s="83"/>
      <c r="H26904" s="83"/>
      <c r="K26904" s="82"/>
      <c r="M26904" s="112"/>
      <c r="N26904" s="84"/>
    </row>
    <row r="26905" spans="1:14" s="2" customFormat="1">
      <c r="A26905" s="83"/>
      <c r="H26905" s="83"/>
      <c r="K26905" s="82"/>
      <c r="M26905" s="112"/>
      <c r="N26905" s="84"/>
    </row>
    <row r="26906" spans="1:14" s="2" customFormat="1">
      <c r="A26906" s="83"/>
      <c r="H26906" s="83"/>
      <c r="K26906" s="82"/>
      <c r="M26906" s="112"/>
      <c r="N26906" s="84"/>
    </row>
    <row r="26907" spans="1:14" s="2" customFormat="1">
      <c r="A26907" s="83"/>
      <c r="H26907" s="83"/>
      <c r="K26907" s="82"/>
      <c r="M26907" s="112"/>
      <c r="N26907" s="84"/>
    </row>
    <row r="26908" spans="1:14" s="2" customFormat="1">
      <c r="A26908" s="83"/>
      <c r="H26908" s="83"/>
      <c r="K26908" s="82"/>
      <c r="M26908" s="112"/>
      <c r="N26908" s="84"/>
    </row>
    <row r="26909" spans="1:14" s="2" customFormat="1">
      <c r="A26909" s="83"/>
      <c r="H26909" s="83"/>
      <c r="K26909" s="82"/>
      <c r="M26909" s="112"/>
      <c r="N26909" s="84"/>
    </row>
    <row r="26910" spans="1:14" s="2" customFormat="1">
      <c r="A26910" s="83"/>
      <c r="H26910" s="83"/>
      <c r="K26910" s="82"/>
      <c r="M26910" s="112"/>
      <c r="N26910" s="84"/>
    </row>
    <row r="26911" spans="1:14" s="2" customFormat="1">
      <c r="A26911" s="83"/>
      <c r="H26911" s="83"/>
      <c r="K26911" s="82"/>
      <c r="M26911" s="112"/>
      <c r="N26911" s="84"/>
    </row>
    <row r="26912" spans="1:14" s="2" customFormat="1">
      <c r="A26912" s="83"/>
      <c r="H26912" s="83"/>
      <c r="K26912" s="82"/>
      <c r="M26912" s="112"/>
      <c r="N26912" s="84"/>
    </row>
    <row r="26913" spans="1:14" s="2" customFormat="1">
      <c r="A26913" s="83"/>
      <c r="H26913" s="83"/>
      <c r="K26913" s="82"/>
      <c r="M26913" s="112"/>
      <c r="N26913" s="84"/>
    </row>
    <row r="26914" spans="1:14" s="2" customFormat="1">
      <c r="A26914" s="83"/>
      <c r="H26914" s="83"/>
      <c r="K26914" s="82"/>
      <c r="M26914" s="112"/>
      <c r="N26914" s="84"/>
    </row>
    <row r="26915" spans="1:14" s="2" customFormat="1">
      <c r="A26915" s="83"/>
      <c r="H26915" s="83"/>
      <c r="K26915" s="82"/>
      <c r="M26915" s="112"/>
      <c r="N26915" s="84"/>
    </row>
    <row r="26916" spans="1:14" s="2" customFormat="1">
      <c r="A26916" s="83"/>
      <c r="H26916" s="83"/>
      <c r="K26916" s="82"/>
      <c r="M26916" s="112"/>
      <c r="N26916" s="84"/>
    </row>
    <row r="26917" spans="1:14" s="2" customFormat="1">
      <c r="A26917" s="83"/>
      <c r="H26917" s="83"/>
      <c r="K26917" s="82"/>
      <c r="M26917" s="112"/>
      <c r="N26917" s="84"/>
    </row>
    <row r="26918" spans="1:14" s="2" customFormat="1">
      <c r="A26918" s="83"/>
      <c r="H26918" s="83"/>
      <c r="K26918" s="82"/>
      <c r="M26918" s="112"/>
      <c r="N26918" s="84"/>
    </row>
    <row r="26919" spans="1:14" s="2" customFormat="1">
      <c r="A26919" s="83"/>
      <c r="H26919" s="83"/>
      <c r="K26919" s="82"/>
      <c r="M26919" s="112"/>
      <c r="N26919" s="84"/>
    </row>
    <row r="26920" spans="1:14" s="2" customFormat="1">
      <c r="A26920" s="83"/>
      <c r="H26920" s="83"/>
      <c r="K26920" s="82"/>
      <c r="M26920" s="112"/>
      <c r="N26920" s="84"/>
    </row>
    <row r="26921" spans="1:14" s="2" customFormat="1">
      <c r="A26921" s="83"/>
      <c r="H26921" s="83"/>
      <c r="K26921" s="82"/>
      <c r="M26921" s="112"/>
      <c r="N26921" s="84"/>
    </row>
    <row r="26922" spans="1:14" s="2" customFormat="1">
      <c r="A26922" s="83"/>
      <c r="H26922" s="83"/>
      <c r="K26922" s="82"/>
      <c r="M26922" s="112"/>
      <c r="N26922" s="84"/>
    </row>
    <row r="26923" spans="1:14" s="2" customFormat="1">
      <c r="A26923" s="83"/>
      <c r="H26923" s="83"/>
      <c r="K26923" s="82"/>
      <c r="M26923" s="112"/>
      <c r="N26923" s="84"/>
    </row>
    <row r="26924" spans="1:14" s="2" customFormat="1">
      <c r="A26924" s="83"/>
      <c r="H26924" s="83"/>
      <c r="K26924" s="82"/>
      <c r="M26924" s="112"/>
      <c r="N26924" s="84"/>
    </row>
    <row r="26925" spans="1:14" s="2" customFormat="1">
      <c r="A26925" s="83"/>
      <c r="H26925" s="83"/>
      <c r="K26925" s="82"/>
      <c r="M26925" s="112"/>
      <c r="N26925" s="84"/>
    </row>
    <row r="26926" spans="1:14" s="2" customFormat="1">
      <c r="A26926" s="83"/>
      <c r="H26926" s="83"/>
      <c r="K26926" s="82"/>
      <c r="M26926" s="112"/>
      <c r="N26926" s="84"/>
    </row>
    <row r="26927" spans="1:14" s="2" customFormat="1">
      <c r="A26927" s="83"/>
      <c r="H26927" s="83"/>
      <c r="K26927" s="82"/>
      <c r="M26927" s="112"/>
      <c r="N26927" s="84"/>
    </row>
    <row r="26928" spans="1:14" s="2" customFormat="1">
      <c r="A26928" s="83"/>
      <c r="H26928" s="83"/>
      <c r="K26928" s="82"/>
      <c r="M26928" s="112"/>
      <c r="N26928" s="84"/>
    </row>
    <row r="26929" spans="1:14" s="2" customFormat="1">
      <c r="A26929" s="83"/>
      <c r="H26929" s="83"/>
      <c r="K26929" s="82"/>
      <c r="M26929" s="112"/>
      <c r="N26929" s="84"/>
    </row>
    <row r="26930" spans="1:14" s="2" customFormat="1">
      <c r="A26930" s="83"/>
      <c r="H26930" s="83"/>
      <c r="K26930" s="82"/>
      <c r="M26930" s="112"/>
      <c r="N26930" s="84"/>
    </row>
    <row r="26931" spans="1:14" s="2" customFormat="1">
      <c r="A26931" s="83"/>
      <c r="H26931" s="83"/>
      <c r="K26931" s="82"/>
      <c r="M26931" s="112"/>
      <c r="N26931" s="84"/>
    </row>
    <row r="26932" spans="1:14" s="2" customFormat="1">
      <c r="A26932" s="83"/>
      <c r="H26932" s="83"/>
      <c r="K26932" s="82"/>
      <c r="M26932" s="112"/>
      <c r="N26932" s="84"/>
    </row>
    <row r="26933" spans="1:14" s="2" customFormat="1">
      <c r="A26933" s="83"/>
      <c r="H26933" s="83"/>
      <c r="K26933" s="82"/>
      <c r="M26933" s="112"/>
      <c r="N26933" s="84"/>
    </row>
    <row r="26934" spans="1:14" s="2" customFormat="1">
      <c r="A26934" s="83"/>
      <c r="H26934" s="83"/>
      <c r="K26934" s="82"/>
      <c r="M26934" s="112"/>
      <c r="N26934" s="84"/>
    </row>
    <row r="26935" spans="1:14" s="2" customFormat="1">
      <c r="A26935" s="83"/>
      <c r="H26935" s="83"/>
      <c r="K26935" s="82"/>
      <c r="M26935" s="112"/>
      <c r="N26935" s="84"/>
    </row>
    <row r="26936" spans="1:14" s="2" customFormat="1">
      <c r="A26936" s="83"/>
      <c r="H26936" s="83"/>
      <c r="K26936" s="82"/>
      <c r="M26936" s="112"/>
      <c r="N26936" s="84"/>
    </row>
    <row r="26937" spans="1:14" s="2" customFormat="1">
      <c r="A26937" s="83"/>
      <c r="H26937" s="83"/>
      <c r="K26937" s="82"/>
      <c r="M26937" s="112"/>
      <c r="N26937" s="84"/>
    </row>
    <row r="26938" spans="1:14" s="2" customFormat="1">
      <c r="A26938" s="83"/>
      <c r="H26938" s="83"/>
      <c r="K26938" s="82"/>
      <c r="M26938" s="112"/>
      <c r="N26938" s="84"/>
    </row>
    <row r="26939" spans="1:14" s="2" customFormat="1">
      <c r="A26939" s="83"/>
      <c r="H26939" s="83"/>
      <c r="K26939" s="82"/>
      <c r="M26939" s="112"/>
      <c r="N26939" s="84"/>
    </row>
    <row r="26940" spans="1:14" s="2" customFormat="1">
      <c r="A26940" s="83"/>
      <c r="H26940" s="83"/>
      <c r="K26940" s="82"/>
      <c r="M26940" s="112"/>
      <c r="N26940" s="84"/>
    </row>
    <row r="26941" spans="1:14" s="2" customFormat="1">
      <c r="A26941" s="83"/>
      <c r="H26941" s="83"/>
      <c r="K26941" s="82"/>
      <c r="M26941" s="112"/>
      <c r="N26941" s="84"/>
    </row>
    <row r="26942" spans="1:14" s="2" customFormat="1">
      <c r="A26942" s="83"/>
      <c r="H26942" s="83"/>
      <c r="K26942" s="82"/>
      <c r="M26942" s="112"/>
      <c r="N26942" s="84"/>
    </row>
    <row r="26943" spans="1:14" s="2" customFormat="1">
      <c r="A26943" s="83"/>
      <c r="H26943" s="83"/>
      <c r="K26943" s="82"/>
      <c r="M26943" s="112"/>
      <c r="N26943" s="84"/>
    </row>
    <row r="26944" spans="1:14" s="2" customFormat="1">
      <c r="A26944" s="83"/>
      <c r="H26944" s="83"/>
      <c r="K26944" s="82"/>
      <c r="M26944" s="112"/>
      <c r="N26944" s="84"/>
    </row>
    <row r="26945" spans="1:14" s="2" customFormat="1">
      <c r="A26945" s="83"/>
      <c r="H26945" s="83"/>
      <c r="K26945" s="82"/>
      <c r="M26945" s="112"/>
      <c r="N26945" s="84"/>
    </row>
    <row r="26946" spans="1:14" s="2" customFormat="1">
      <c r="A26946" s="83"/>
      <c r="H26946" s="83"/>
      <c r="K26946" s="82"/>
      <c r="M26946" s="112"/>
      <c r="N26946" s="84"/>
    </row>
    <row r="26947" spans="1:14" s="2" customFormat="1">
      <c r="A26947" s="83"/>
      <c r="H26947" s="83"/>
      <c r="K26947" s="82"/>
      <c r="M26947" s="112"/>
      <c r="N26947" s="84"/>
    </row>
    <row r="26948" spans="1:14" s="2" customFormat="1">
      <c r="A26948" s="83"/>
      <c r="H26948" s="83"/>
      <c r="K26948" s="82"/>
      <c r="M26948" s="112"/>
      <c r="N26948" s="84"/>
    </row>
    <row r="26949" spans="1:14" s="2" customFormat="1">
      <c r="A26949" s="83"/>
      <c r="H26949" s="83"/>
      <c r="K26949" s="82"/>
      <c r="M26949" s="112"/>
      <c r="N26949" s="84"/>
    </row>
    <row r="26950" spans="1:14" s="2" customFormat="1">
      <c r="A26950" s="83"/>
      <c r="H26950" s="83"/>
      <c r="K26950" s="82"/>
      <c r="M26950" s="112"/>
      <c r="N26950" s="84"/>
    </row>
    <row r="26951" spans="1:14" s="2" customFormat="1">
      <c r="A26951" s="83"/>
      <c r="H26951" s="83"/>
      <c r="K26951" s="82"/>
      <c r="M26951" s="112"/>
      <c r="N26951" s="84"/>
    </row>
    <row r="26952" spans="1:14" s="2" customFormat="1">
      <c r="A26952" s="83"/>
      <c r="H26952" s="83"/>
      <c r="K26952" s="82"/>
      <c r="M26952" s="112"/>
      <c r="N26952" s="84"/>
    </row>
    <row r="26953" spans="1:14" s="2" customFormat="1">
      <c r="A26953" s="83"/>
      <c r="H26953" s="83"/>
      <c r="K26953" s="82"/>
      <c r="M26953" s="112"/>
      <c r="N26953" s="84"/>
    </row>
    <row r="26954" spans="1:14" s="2" customFormat="1">
      <c r="A26954" s="83"/>
      <c r="H26954" s="83"/>
      <c r="K26954" s="82"/>
      <c r="M26954" s="112"/>
      <c r="N26954" s="84"/>
    </row>
    <row r="26955" spans="1:14" s="2" customFormat="1">
      <c r="A26955" s="83"/>
      <c r="H26955" s="83"/>
      <c r="K26955" s="82"/>
      <c r="M26955" s="112"/>
      <c r="N26955" s="84"/>
    </row>
    <row r="26956" spans="1:14" s="2" customFormat="1">
      <c r="A26956" s="83"/>
      <c r="H26956" s="83"/>
      <c r="K26956" s="82"/>
      <c r="M26956" s="112"/>
      <c r="N26956" s="84"/>
    </row>
    <row r="26957" spans="1:14" s="2" customFormat="1">
      <c r="A26957" s="83"/>
      <c r="H26957" s="83"/>
      <c r="K26957" s="82"/>
      <c r="M26957" s="112"/>
      <c r="N26957" s="84"/>
    </row>
    <row r="26958" spans="1:14" s="2" customFormat="1">
      <c r="A26958" s="83"/>
      <c r="H26958" s="83"/>
      <c r="K26958" s="82"/>
      <c r="M26958" s="112"/>
      <c r="N26958" s="84"/>
    </row>
    <row r="26959" spans="1:14" s="2" customFormat="1">
      <c r="A26959" s="83"/>
      <c r="H26959" s="83"/>
      <c r="K26959" s="82"/>
      <c r="M26959" s="112"/>
      <c r="N26959" s="84"/>
    </row>
    <row r="26960" spans="1:14" s="2" customFormat="1">
      <c r="A26960" s="83"/>
      <c r="H26960" s="83"/>
      <c r="K26960" s="82"/>
      <c r="M26960" s="112"/>
      <c r="N26960" s="84"/>
    </row>
    <row r="26961" spans="1:14" s="2" customFormat="1">
      <c r="A26961" s="83"/>
      <c r="H26961" s="83"/>
      <c r="K26961" s="82"/>
      <c r="M26961" s="112"/>
      <c r="N26961" s="84"/>
    </row>
    <row r="26962" spans="1:14" s="2" customFormat="1">
      <c r="A26962" s="83"/>
      <c r="H26962" s="83"/>
      <c r="K26962" s="82"/>
      <c r="M26962" s="112"/>
      <c r="N26962" s="84"/>
    </row>
    <row r="26963" spans="1:14" s="2" customFormat="1">
      <c r="A26963" s="83"/>
      <c r="H26963" s="83"/>
      <c r="K26963" s="82"/>
      <c r="M26963" s="112"/>
      <c r="N26963" s="84"/>
    </row>
    <row r="26964" spans="1:14" s="2" customFormat="1">
      <c r="A26964" s="83"/>
      <c r="H26964" s="83"/>
      <c r="K26964" s="82"/>
      <c r="M26964" s="112"/>
      <c r="N26964" s="84"/>
    </row>
    <row r="26965" spans="1:14" s="2" customFormat="1">
      <c r="A26965" s="83"/>
      <c r="H26965" s="83"/>
      <c r="K26965" s="82"/>
      <c r="M26965" s="112"/>
      <c r="N26965" s="84"/>
    </row>
    <row r="26966" spans="1:14" s="2" customFormat="1">
      <c r="A26966" s="83"/>
      <c r="H26966" s="83"/>
      <c r="K26966" s="82"/>
      <c r="M26966" s="112"/>
      <c r="N26966" s="84"/>
    </row>
    <row r="26967" spans="1:14" s="2" customFormat="1">
      <c r="A26967" s="83"/>
      <c r="H26967" s="83"/>
      <c r="K26967" s="82"/>
      <c r="M26967" s="112"/>
      <c r="N26967" s="84"/>
    </row>
    <row r="26968" spans="1:14" s="2" customFormat="1">
      <c r="A26968" s="83"/>
      <c r="H26968" s="83"/>
      <c r="K26968" s="82"/>
      <c r="M26968" s="112"/>
      <c r="N26968" s="84"/>
    </row>
    <row r="26969" spans="1:14" s="2" customFormat="1">
      <c r="A26969" s="83"/>
      <c r="H26969" s="83"/>
      <c r="K26969" s="82"/>
      <c r="M26969" s="112"/>
      <c r="N26969" s="84"/>
    </row>
    <row r="26970" spans="1:14" s="2" customFormat="1">
      <c r="A26970" s="83"/>
      <c r="H26970" s="83"/>
      <c r="K26970" s="82"/>
      <c r="M26970" s="112"/>
      <c r="N26970" s="84"/>
    </row>
    <row r="26971" spans="1:14" s="2" customFormat="1">
      <c r="A26971" s="83"/>
      <c r="H26971" s="83"/>
      <c r="K26971" s="82"/>
      <c r="M26971" s="112"/>
      <c r="N26971" s="84"/>
    </row>
    <row r="26972" spans="1:14" s="2" customFormat="1">
      <c r="A26972" s="83"/>
      <c r="H26972" s="83"/>
      <c r="K26972" s="82"/>
      <c r="M26972" s="112"/>
      <c r="N26972" s="84"/>
    </row>
    <row r="26973" spans="1:14" s="2" customFormat="1">
      <c r="A26973" s="83"/>
      <c r="H26973" s="83"/>
      <c r="K26973" s="82"/>
      <c r="M26973" s="112"/>
      <c r="N26973" s="84"/>
    </row>
    <row r="26974" spans="1:14" s="2" customFormat="1">
      <c r="A26974" s="83"/>
      <c r="H26974" s="83"/>
      <c r="K26974" s="82"/>
      <c r="M26974" s="112"/>
      <c r="N26974" s="84"/>
    </row>
    <row r="26975" spans="1:14" s="2" customFormat="1">
      <c r="A26975" s="83"/>
      <c r="H26975" s="83"/>
      <c r="K26975" s="82"/>
      <c r="M26975" s="112"/>
      <c r="N26975" s="84"/>
    </row>
    <row r="26976" spans="1:14" s="2" customFormat="1">
      <c r="A26976" s="83"/>
      <c r="H26976" s="83"/>
      <c r="K26976" s="82"/>
      <c r="M26976" s="112"/>
      <c r="N26976" s="84"/>
    </row>
    <row r="26977" spans="1:14" s="2" customFormat="1">
      <c r="A26977" s="83"/>
      <c r="H26977" s="83"/>
      <c r="K26977" s="82"/>
      <c r="M26977" s="112"/>
      <c r="N26977" s="84"/>
    </row>
    <row r="26978" spans="1:14" s="2" customFormat="1">
      <c r="A26978" s="83"/>
      <c r="H26978" s="83"/>
      <c r="K26978" s="82"/>
      <c r="M26978" s="112"/>
      <c r="N26978" s="84"/>
    </row>
    <row r="26979" spans="1:14" s="2" customFormat="1">
      <c r="A26979" s="83"/>
      <c r="H26979" s="83"/>
      <c r="K26979" s="82"/>
      <c r="M26979" s="112"/>
      <c r="N26979" s="84"/>
    </row>
    <row r="26980" spans="1:14" s="2" customFormat="1">
      <c r="A26980" s="83"/>
      <c r="H26980" s="83"/>
      <c r="K26980" s="82"/>
      <c r="M26980" s="112"/>
      <c r="N26980" s="84"/>
    </row>
    <row r="26981" spans="1:14" s="2" customFormat="1">
      <c r="A26981" s="83"/>
      <c r="H26981" s="83"/>
      <c r="K26981" s="82"/>
      <c r="M26981" s="112"/>
      <c r="N26981" s="84"/>
    </row>
    <row r="26982" spans="1:14" s="2" customFormat="1">
      <c r="A26982" s="83"/>
      <c r="H26982" s="83"/>
      <c r="K26982" s="82"/>
      <c r="M26982" s="112"/>
      <c r="N26982" s="84"/>
    </row>
    <row r="26983" spans="1:14" s="2" customFormat="1">
      <c r="A26983" s="83"/>
      <c r="H26983" s="83"/>
      <c r="K26983" s="82"/>
      <c r="M26983" s="112"/>
      <c r="N26983" s="84"/>
    </row>
    <row r="26984" spans="1:14" s="2" customFormat="1">
      <c r="A26984" s="83"/>
      <c r="H26984" s="83"/>
      <c r="K26984" s="82"/>
      <c r="M26984" s="112"/>
      <c r="N26984" s="84"/>
    </row>
    <row r="26985" spans="1:14" s="2" customFormat="1">
      <c r="A26985" s="83"/>
      <c r="H26985" s="83"/>
      <c r="K26985" s="82"/>
      <c r="M26985" s="112"/>
      <c r="N26985" s="84"/>
    </row>
    <row r="26986" spans="1:14" s="2" customFormat="1">
      <c r="A26986" s="83"/>
      <c r="H26986" s="83"/>
      <c r="K26986" s="82"/>
      <c r="M26986" s="112"/>
      <c r="N26986" s="84"/>
    </row>
    <row r="26987" spans="1:14" s="2" customFormat="1">
      <c r="A26987" s="83"/>
      <c r="H26987" s="83"/>
      <c r="K26987" s="82"/>
      <c r="M26987" s="112"/>
      <c r="N26987" s="84"/>
    </row>
    <row r="26988" spans="1:14" s="2" customFormat="1">
      <c r="A26988" s="83"/>
      <c r="H26988" s="83"/>
      <c r="K26988" s="82"/>
      <c r="M26988" s="112"/>
      <c r="N26988" s="84"/>
    </row>
    <row r="26989" spans="1:14" s="2" customFormat="1">
      <c r="A26989" s="83"/>
      <c r="H26989" s="83"/>
      <c r="K26989" s="82"/>
      <c r="M26989" s="112"/>
      <c r="N26989" s="84"/>
    </row>
    <row r="26990" spans="1:14" s="2" customFormat="1">
      <c r="A26990" s="83"/>
      <c r="H26990" s="83"/>
      <c r="K26990" s="82"/>
      <c r="M26990" s="112"/>
      <c r="N26990" s="84"/>
    </row>
    <row r="26991" spans="1:14" s="2" customFormat="1">
      <c r="A26991" s="83"/>
      <c r="H26991" s="83"/>
      <c r="K26991" s="82"/>
      <c r="M26991" s="112"/>
      <c r="N26991" s="84"/>
    </row>
    <row r="26992" spans="1:14" s="2" customFormat="1">
      <c r="A26992" s="83"/>
      <c r="H26992" s="83"/>
      <c r="K26992" s="82"/>
      <c r="M26992" s="112"/>
      <c r="N26992" s="84"/>
    </row>
    <row r="26993" spans="1:14" s="2" customFormat="1">
      <c r="A26993" s="83"/>
      <c r="H26993" s="83"/>
      <c r="K26993" s="82"/>
      <c r="M26993" s="112"/>
      <c r="N26993" s="84"/>
    </row>
    <row r="26994" spans="1:14" s="2" customFormat="1">
      <c r="A26994" s="83"/>
      <c r="H26994" s="83"/>
      <c r="K26994" s="82"/>
      <c r="M26994" s="112"/>
      <c r="N26994" s="84"/>
    </row>
    <row r="26995" spans="1:14" s="2" customFormat="1">
      <c r="A26995" s="83"/>
      <c r="H26995" s="83"/>
      <c r="K26995" s="82"/>
      <c r="M26995" s="112"/>
      <c r="N26995" s="84"/>
    </row>
    <row r="26996" spans="1:14" s="2" customFormat="1">
      <c r="A26996" s="83"/>
      <c r="H26996" s="83"/>
      <c r="K26996" s="82"/>
      <c r="M26996" s="112"/>
      <c r="N26996" s="84"/>
    </row>
    <row r="26997" spans="1:14" s="2" customFormat="1">
      <c r="A26997" s="83"/>
      <c r="H26997" s="83"/>
      <c r="K26997" s="82"/>
      <c r="M26997" s="112"/>
      <c r="N26997" s="84"/>
    </row>
    <row r="26998" spans="1:14" s="2" customFormat="1">
      <c r="A26998" s="83"/>
      <c r="H26998" s="83"/>
      <c r="K26998" s="82"/>
      <c r="M26998" s="112"/>
      <c r="N26998" s="84"/>
    </row>
    <row r="26999" spans="1:14" s="2" customFormat="1">
      <c r="A26999" s="83"/>
      <c r="H26999" s="83"/>
      <c r="K26999" s="82"/>
      <c r="M26999" s="112"/>
      <c r="N26999" s="84"/>
    </row>
    <row r="27000" spans="1:14" s="2" customFormat="1">
      <c r="A27000" s="83"/>
      <c r="H27000" s="83"/>
      <c r="K27000" s="82"/>
      <c r="M27000" s="112"/>
      <c r="N27000" s="84"/>
    </row>
    <row r="27001" spans="1:14" s="2" customFormat="1">
      <c r="A27001" s="83"/>
      <c r="H27001" s="83"/>
      <c r="K27001" s="82"/>
      <c r="M27001" s="112"/>
      <c r="N27001" s="84"/>
    </row>
    <row r="27002" spans="1:14" s="2" customFormat="1">
      <c r="A27002" s="83"/>
      <c r="H27002" s="83"/>
      <c r="K27002" s="82"/>
      <c r="M27002" s="112"/>
      <c r="N27002" s="84"/>
    </row>
    <row r="27003" spans="1:14" s="2" customFormat="1">
      <c r="A27003" s="83"/>
      <c r="H27003" s="83"/>
      <c r="K27003" s="82"/>
      <c r="M27003" s="112"/>
      <c r="N27003" s="84"/>
    </row>
    <row r="27004" spans="1:14" s="2" customFormat="1">
      <c r="A27004" s="83"/>
      <c r="H27004" s="83"/>
      <c r="K27004" s="82"/>
      <c r="M27004" s="112"/>
      <c r="N27004" s="84"/>
    </row>
    <row r="27005" spans="1:14" s="2" customFormat="1">
      <c r="A27005" s="83"/>
      <c r="H27005" s="83"/>
      <c r="K27005" s="82"/>
      <c r="M27005" s="112"/>
      <c r="N27005" s="84"/>
    </row>
    <row r="27006" spans="1:14" s="2" customFormat="1">
      <c r="A27006" s="83"/>
      <c r="H27006" s="83"/>
      <c r="K27006" s="82"/>
      <c r="M27006" s="112"/>
      <c r="N27006" s="84"/>
    </row>
    <row r="27007" spans="1:14" s="2" customFormat="1">
      <c r="A27007" s="83"/>
      <c r="H27007" s="83"/>
      <c r="K27007" s="82"/>
      <c r="M27007" s="112"/>
      <c r="N27007" s="84"/>
    </row>
    <row r="27008" spans="1:14" s="2" customFormat="1">
      <c r="A27008" s="83"/>
      <c r="H27008" s="83"/>
      <c r="K27008" s="82"/>
      <c r="M27008" s="112"/>
      <c r="N27008" s="84"/>
    </row>
    <row r="27009" spans="1:14" s="2" customFormat="1">
      <c r="A27009" s="83"/>
      <c r="H27009" s="83"/>
      <c r="K27009" s="82"/>
      <c r="M27009" s="112"/>
      <c r="N27009" s="84"/>
    </row>
    <row r="27010" spans="1:14" s="2" customFormat="1">
      <c r="A27010" s="83"/>
      <c r="H27010" s="83"/>
      <c r="K27010" s="82"/>
      <c r="M27010" s="112"/>
      <c r="N27010" s="84"/>
    </row>
    <row r="27011" spans="1:14" s="2" customFormat="1">
      <c r="A27011" s="83"/>
      <c r="H27011" s="83"/>
      <c r="K27011" s="82"/>
      <c r="M27011" s="112"/>
      <c r="N27011" s="84"/>
    </row>
    <row r="27012" spans="1:14" s="2" customFormat="1">
      <c r="A27012" s="83"/>
      <c r="H27012" s="83"/>
      <c r="K27012" s="82"/>
      <c r="M27012" s="112"/>
      <c r="N27012" s="84"/>
    </row>
    <row r="27013" spans="1:14" s="2" customFormat="1">
      <c r="A27013" s="83"/>
      <c r="H27013" s="83"/>
      <c r="K27013" s="82"/>
      <c r="M27013" s="112"/>
      <c r="N27013" s="84"/>
    </row>
    <row r="27014" spans="1:14" s="2" customFormat="1">
      <c r="A27014" s="83"/>
      <c r="H27014" s="83"/>
      <c r="K27014" s="82"/>
      <c r="M27014" s="112"/>
      <c r="N27014" s="84"/>
    </row>
    <row r="27015" spans="1:14" s="2" customFormat="1">
      <c r="A27015" s="83"/>
      <c r="H27015" s="83"/>
      <c r="K27015" s="82"/>
      <c r="M27015" s="112"/>
      <c r="N27015" s="84"/>
    </row>
    <row r="27016" spans="1:14" s="2" customFormat="1">
      <c r="A27016" s="83"/>
      <c r="H27016" s="83"/>
      <c r="K27016" s="82"/>
      <c r="M27016" s="112"/>
      <c r="N27016" s="84"/>
    </row>
    <row r="27017" spans="1:14" s="2" customFormat="1">
      <c r="A27017" s="83"/>
      <c r="H27017" s="83"/>
      <c r="K27017" s="82"/>
      <c r="M27017" s="112"/>
      <c r="N27017" s="84"/>
    </row>
    <row r="27018" spans="1:14" s="2" customFormat="1">
      <c r="A27018" s="83"/>
      <c r="H27018" s="83"/>
      <c r="K27018" s="82"/>
      <c r="M27018" s="112"/>
      <c r="N27018" s="84"/>
    </row>
    <row r="27019" spans="1:14" s="2" customFormat="1">
      <c r="A27019" s="83"/>
      <c r="H27019" s="83"/>
      <c r="K27019" s="82"/>
      <c r="M27019" s="112"/>
      <c r="N27019" s="84"/>
    </row>
    <row r="27020" spans="1:14" s="2" customFormat="1">
      <c r="A27020" s="83"/>
      <c r="H27020" s="83"/>
      <c r="K27020" s="82"/>
      <c r="M27020" s="112"/>
      <c r="N27020" s="84"/>
    </row>
    <row r="27021" spans="1:14" s="2" customFormat="1">
      <c r="A27021" s="83"/>
      <c r="H27021" s="83"/>
      <c r="K27021" s="82"/>
      <c r="M27021" s="112"/>
      <c r="N27021" s="84"/>
    </row>
    <row r="27022" spans="1:14" s="2" customFormat="1">
      <c r="A27022" s="83"/>
      <c r="H27022" s="83"/>
      <c r="K27022" s="82"/>
      <c r="M27022" s="112"/>
      <c r="N27022" s="84"/>
    </row>
    <row r="27023" spans="1:14" s="2" customFormat="1">
      <c r="A27023" s="83"/>
      <c r="H27023" s="83"/>
      <c r="K27023" s="82"/>
      <c r="M27023" s="112"/>
      <c r="N27023" s="84"/>
    </row>
    <row r="27024" spans="1:14" s="2" customFormat="1">
      <c r="A27024" s="83"/>
      <c r="H27024" s="83"/>
      <c r="K27024" s="82"/>
      <c r="M27024" s="112"/>
      <c r="N27024" s="84"/>
    </row>
    <row r="27025" spans="1:14" s="2" customFormat="1">
      <c r="A27025" s="83"/>
      <c r="H27025" s="83"/>
      <c r="K27025" s="82"/>
      <c r="M27025" s="112"/>
      <c r="N27025" s="84"/>
    </row>
    <row r="27026" spans="1:14" s="2" customFormat="1">
      <c r="A27026" s="83"/>
      <c r="H27026" s="83"/>
      <c r="K27026" s="82"/>
      <c r="M27026" s="112"/>
      <c r="N27026" s="84"/>
    </row>
    <row r="27027" spans="1:14" s="2" customFormat="1">
      <c r="A27027" s="83"/>
      <c r="H27027" s="83"/>
      <c r="K27027" s="82"/>
      <c r="M27027" s="112"/>
      <c r="N27027" s="84"/>
    </row>
    <row r="27028" spans="1:14" s="2" customFormat="1">
      <c r="A27028" s="83"/>
      <c r="H27028" s="83"/>
      <c r="K27028" s="82"/>
      <c r="M27028" s="112"/>
      <c r="N27028" s="84"/>
    </row>
    <row r="27029" spans="1:14" s="2" customFormat="1">
      <c r="A27029" s="83"/>
      <c r="H27029" s="83"/>
      <c r="K27029" s="82"/>
      <c r="M27029" s="112"/>
      <c r="N27029" s="84"/>
    </row>
    <row r="27030" spans="1:14" s="2" customFormat="1">
      <c r="A27030" s="83"/>
      <c r="H27030" s="83"/>
      <c r="K27030" s="82"/>
      <c r="M27030" s="112"/>
      <c r="N27030" s="84"/>
    </row>
    <row r="27031" spans="1:14" s="2" customFormat="1">
      <c r="A27031" s="83"/>
      <c r="H27031" s="83"/>
      <c r="K27031" s="82"/>
      <c r="M27031" s="112"/>
      <c r="N27031" s="84"/>
    </row>
    <row r="27032" spans="1:14" s="2" customFormat="1">
      <c r="A27032" s="83"/>
      <c r="H27032" s="83"/>
      <c r="K27032" s="82"/>
      <c r="M27032" s="112"/>
      <c r="N27032" s="84"/>
    </row>
    <row r="27033" spans="1:14" s="2" customFormat="1">
      <c r="A27033" s="83"/>
      <c r="H27033" s="83"/>
      <c r="K27033" s="82"/>
      <c r="M27033" s="112"/>
      <c r="N27033" s="84"/>
    </row>
    <row r="27034" spans="1:14" s="2" customFormat="1">
      <c r="A27034" s="83"/>
      <c r="H27034" s="83"/>
      <c r="K27034" s="82"/>
      <c r="M27034" s="112"/>
      <c r="N27034" s="84"/>
    </row>
    <row r="27035" spans="1:14" s="2" customFormat="1">
      <c r="A27035" s="83"/>
      <c r="H27035" s="83"/>
      <c r="K27035" s="82"/>
      <c r="M27035" s="112"/>
      <c r="N27035" s="84"/>
    </row>
    <row r="27036" spans="1:14" s="2" customFormat="1">
      <c r="A27036" s="83"/>
      <c r="H27036" s="83"/>
      <c r="K27036" s="82"/>
      <c r="M27036" s="112"/>
      <c r="N27036" s="84"/>
    </row>
    <row r="27037" spans="1:14" s="2" customFormat="1">
      <c r="A27037" s="83"/>
      <c r="H27037" s="83"/>
      <c r="K27037" s="82"/>
      <c r="M27037" s="112"/>
      <c r="N27037" s="84"/>
    </row>
    <row r="27038" spans="1:14" s="2" customFormat="1">
      <c r="A27038" s="83"/>
      <c r="H27038" s="83"/>
      <c r="K27038" s="82"/>
      <c r="M27038" s="112"/>
      <c r="N27038" s="84"/>
    </row>
    <row r="27039" spans="1:14" s="2" customFormat="1">
      <c r="A27039" s="83"/>
      <c r="H27039" s="83"/>
      <c r="K27039" s="82"/>
      <c r="M27039" s="112"/>
      <c r="N27039" s="84"/>
    </row>
    <row r="27040" spans="1:14" s="2" customFormat="1">
      <c r="A27040" s="83"/>
      <c r="H27040" s="83"/>
      <c r="K27040" s="82"/>
      <c r="M27040" s="112"/>
      <c r="N27040" s="84"/>
    </row>
    <row r="27041" spans="1:14" s="2" customFormat="1">
      <c r="A27041" s="83"/>
      <c r="H27041" s="83"/>
      <c r="K27041" s="82"/>
      <c r="M27041" s="112"/>
      <c r="N27041" s="84"/>
    </row>
    <row r="27042" spans="1:14" s="2" customFormat="1">
      <c r="A27042" s="83"/>
      <c r="H27042" s="83"/>
      <c r="K27042" s="82"/>
      <c r="M27042" s="112"/>
      <c r="N27042" s="84"/>
    </row>
    <row r="27043" spans="1:14" s="2" customFormat="1">
      <c r="A27043" s="83"/>
      <c r="H27043" s="83"/>
      <c r="K27043" s="82"/>
      <c r="M27043" s="112"/>
      <c r="N27043" s="84"/>
    </row>
    <row r="27044" spans="1:14" s="2" customFormat="1">
      <c r="A27044" s="83"/>
      <c r="H27044" s="83"/>
      <c r="K27044" s="82"/>
      <c r="M27044" s="112"/>
      <c r="N27044" s="84"/>
    </row>
    <row r="27045" spans="1:14" s="2" customFormat="1">
      <c r="A27045" s="83"/>
      <c r="H27045" s="83"/>
      <c r="K27045" s="82"/>
      <c r="M27045" s="112"/>
      <c r="N27045" s="84"/>
    </row>
    <row r="27046" spans="1:14" s="2" customFormat="1">
      <c r="A27046" s="83"/>
      <c r="H27046" s="83"/>
      <c r="K27046" s="82"/>
      <c r="M27046" s="112"/>
      <c r="N27046" s="84"/>
    </row>
    <row r="27047" spans="1:14" s="2" customFormat="1">
      <c r="A27047" s="83"/>
      <c r="H27047" s="83"/>
      <c r="K27047" s="82"/>
      <c r="M27047" s="112"/>
      <c r="N27047" s="84"/>
    </row>
    <row r="27048" spans="1:14" s="2" customFormat="1">
      <c r="A27048" s="83"/>
      <c r="H27048" s="83"/>
      <c r="K27048" s="82"/>
      <c r="M27048" s="112"/>
      <c r="N27048" s="84"/>
    </row>
    <row r="27049" spans="1:14" s="2" customFormat="1">
      <c r="A27049" s="83"/>
      <c r="H27049" s="83"/>
      <c r="K27049" s="82"/>
      <c r="M27049" s="112"/>
      <c r="N27049" s="84"/>
    </row>
    <row r="27050" spans="1:14" s="2" customFormat="1">
      <c r="A27050" s="83"/>
      <c r="H27050" s="83"/>
      <c r="K27050" s="82"/>
      <c r="M27050" s="112"/>
      <c r="N27050" s="84"/>
    </row>
    <row r="27051" spans="1:14" s="2" customFormat="1">
      <c r="A27051" s="83"/>
      <c r="H27051" s="83"/>
      <c r="K27051" s="82"/>
      <c r="M27051" s="112"/>
      <c r="N27051" s="84"/>
    </row>
    <row r="27052" spans="1:14" s="2" customFormat="1">
      <c r="A27052" s="83"/>
      <c r="H27052" s="83"/>
      <c r="K27052" s="82"/>
      <c r="M27052" s="112"/>
      <c r="N27052" s="84"/>
    </row>
    <row r="27053" spans="1:14" s="2" customFormat="1">
      <c r="A27053" s="83"/>
      <c r="H27053" s="83"/>
      <c r="K27053" s="82"/>
      <c r="M27053" s="112"/>
      <c r="N27053" s="84"/>
    </row>
    <row r="27054" spans="1:14" s="2" customFormat="1">
      <c r="A27054" s="83"/>
      <c r="H27054" s="83"/>
      <c r="K27054" s="82"/>
      <c r="M27054" s="112"/>
      <c r="N27054" s="84"/>
    </row>
    <row r="27055" spans="1:14" s="2" customFormat="1">
      <c r="A27055" s="83"/>
      <c r="H27055" s="83"/>
      <c r="K27055" s="82"/>
      <c r="M27055" s="112"/>
      <c r="N27055" s="84"/>
    </row>
    <row r="27056" spans="1:14" s="2" customFormat="1">
      <c r="A27056" s="83"/>
      <c r="H27056" s="83"/>
      <c r="K27056" s="82"/>
      <c r="M27056" s="112"/>
      <c r="N27056" s="84"/>
    </row>
    <row r="27057" spans="1:14" s="2" customFormat="1">
      <c r="A27057" s="83"/>
      <c r="H27057" s="83"/>
      <c r="K27057" s="82"/>
      <c r="M27057" s="112"/>
      <c r="N27057" s="84"/>
    </row>
    <row r="27058" spans="1:14" s="2" customFormat="1">
      <c r="A27058" s="83"/>
      <c r="H27058" s="83"/>
      <c r="K27058" s="82"/>
      <c r="M27058" s="112"/>
      <c r="N27058" s="84"/>
    </row>
    <row r="27059" spans="1:14" s="2" customFormat="1">
      <c r="A27059" s="83"/>
      <c r="H27059" s="83"/>
      <c r="K27059" s="82"/>
      <c r="M27059" s="112"/>
      <c r="N27059" s="84"/>
    </row>
    <row r="27060" spans="1:14" s="2" customFormat="1">
      <c r="A27060" s="83"/>
      <c r="H27060" s="83"/>
      <c r="K27060" s="82"/>
      <c r="M27060" s="112"/>
      <c r="N27060" s="84"/>
    </row>
    <row r="27061" spans="1:14" s="2" customFormat="1">
      <c r="A27061" s="83"/>
      <c r="H27061" s="83"/>
      <c r="K27061" s="82"/>
      <c r="M27061" s="112"/>
      <c r="N27061" s="84"/>
    </row>
    <row r="27062" spans="1:14" s="2" customFormat="1">
      <c r="A27062" s="83"/>
      <c r="H27062" s="83"/>
      <c r="K27062" s="82"/>
      <c r="M27062" s="112"/>
      <c r="N27062" s="84"/>
    </row>
    <row r="27063" spans="1:14" s="2" customFormat="1">
      <c r="A27063" s="83"/>
      <c r="H27063" s="83"/>
      <c r="K27063" s="82"/>
      <c r="M27063" s="112"/>
      <c r="N27063" s="84"/>
    </row>
    <row r="27064" spans="1:14" s="2" customFormat="1">
      <c r="A27064" s="83"/>
      <c r="H27064" s="83"/>
      <c r="K27064" s="82"/>
      <c r="M27064" s="112"/>
      <c r="N27064" s="84"/>
    </row>
    <row r="27065" spans="1:14" s="2" customFormat="1">
      <c r="A27065" s="83"/>
      <c r="H27065" s="83"/>
      <c r="K27065" s="82"/>
      <c r="M27065" s="112"/>
      <c r="N27065" s="84"/>
    </row>
    <row r="27066" spans="1:14" s="2" customFormat="1">
      <c r="A27066" s="83"/>
      <c r="H27066" s="83"/>
      <c r="K27066" s="82"/>
      <c r="M27066" s="112"/>
      <c r="N27066" s="84"/>
    </row>
    <row r="27067" spans="1:14" s="2" customFormat="1">
      <c r="A27067" s="83"/>
      <c r="H27067" s="83"/>
      <c r="K27067" s="82"/>
      <c r="M27067" s="112"/>
      <c r="N27067" s="84"/>
    </row>
    <row r="27068" spans="1:14" s="2" customFormat="1">
      <c r="A27068" s="83"/>
      <c r="H27068" s="83"/>
      <c r="K27068" s="82"/>
      <c r="M27068" s="112"/>
      <c r="N27068" s="84"/>
    </row>
    <row r="27069" spans="1:14" s="2" customFormat="1">
      <c r="A27069" s="83"/>
      <c r="H27069" s="83"/>
      <c r="K27069" s="82"/>
      <c r="M27069" s="112"/>
      <c r="N27069" s="84"/>
    </row>
    <row r="27070" spans="1:14" s="2" customFormat="1">
      <c r="A27070" s="83"/>
      <c r="H27070" s="83"/>
      <c r="K27070" s="82"/>
      <c r="M27070" s="112"/>
      <c r="N27070" s="84"/>
    </row>
    <row r="27071" spans="1:14" s="2" customFormat="1">
      <c r="A27071" s="83"/>
      <c r="H27071" s="83"/>
      <c r="K27071" s="82"/>
      <c r="M27071" s="112"/>
      <c r="N27071" s="84"/>
    </row>
    <row r="27072" spans="1:14" s="2" customFormat="1">
      <c r="A27072" s="83"/>
      <c r="H27072" s="83"/>
      <c r="K27072" s="82"/>
      <c r="M27072" s="112"/>
      <c r="N27072" s="84"/>
    </row>
    <row r="27073" spans="1:14" s="2" customFormat="1">
      <c r="A27073" s="83"/>
      <c r="H27073" s="83"/>
      <c r="K27073" s="82"/>
      <c r="M27073" s="112"/>
      <c r="N27073" s="84"/>
    </row>
    <row r="27074" spans="1:14" s="2" customFormat="1">
      <c r="A27074" s="83"/>
      <c r="H27074" s="83"/>
      <c r="K27074" s="82"/>
      <c r="M27074" s="112"/>
      <c r="N27074" s="84"/>
    </row>
    <row r="27075" spans="1:14" s="2" customFormat="1">
      <c r="A27075" s="83"/>
      <c r="H27075" s="83"/>
      <c r="K27075" s="82"/>
      <c r="M27075" s="112"/>
      <c r="N27075" s="84"/>
    </row>
    <row r="27076" spans="1:14" s="2" customFormat="1">
      <c r="A27076" s="83"/>
      <c r="H27076" s="83"/>
      <c r="K27076" s="82"/>
      <c r="M27076" s="112"/>
      <c r="N27076" s="84"/>
    </row>
    <row r="27077" spans="1:14" s="2" customFormat="1">
      <c r="A27077" s="83"/>
      <c r="H27077" s="83"/>
      <c r="K27077" s="82"/>
      <c r="M27077" s="112"/>
      <c r="N27077" s="84"/>
    </row>
    <row r="27078" spans="1:14" s="2" customFormat="1">
      <c r="A27078" s="83"/>
      <c r="H27078" s="83"/>
      <c r="K27078" s="82"/>
      <c r="M27078" s="112"/>
      <c r="N27078" s="84"/>
    </row>
    <row r="27079" spans="1:14" s="2" customFormat="1">
      <c r="A27079" s="83"/>
      <c r="H27079" s="83"/>
      <c r="K27079" s="82"/>
      <c r="M27079" s="112"/>
      <c r="N27079" s="84"/>
    </row>
    <row r="27080" spans="1:14" s="2" customFormat="1">
      <c r="A27080" s="83"/>
      <c r="H27080" s="83"/>
      <c r="K27080" s="82"/>
      <c r="M27080" s="112"/>
      <c r="N27080" s="84"/>
    </row>
    <row r="27081" spans="1:14" s="2" customFormat="1">
      <c r="A27081" s="83"/>
      <c r="H27081" s="83"/>
      <c r="K27081" s="82"/>
      <c r="M27081" s="112"/>
      <c r="N27081" s="84"/>
    </row>
    <row r="27082" spans="1:14" s="2" customFormat="1">
      <c r="A27082" s="83"/>
      <c r="H27082" s="83"/>
      <c r="K27082" s="82"/>
      <c r="M27082" s="112"/>
      <c r="N27082" s="84"/>
    </row>
    <row r="27083" spans="1:14" s="2" customFormat="1">
      <c r="A27083" s="83"/>
      <c r="H27083" s="83"/>
      <c r="K27083" s="82"/>
      <c r="M27083" s="112"/>
      <c r="N27083" s="84"/>
    </row>
    <row r="27084" spans="1:14" s="2" customFormat="1">
      <c r="A27084" s="83"/>
      <c r="H27084" s="83"/>
      <c r="K27084" s="82"/>
      <c r="M27084" s="112"/>
      <c r="N27084" s="84"/>
    </row>
    <row r="27085" spans="1:14" s="2" customFormat="1">
      <c r="A27085" s="83"/>
      <c r="H27085" s="83"/>
      <c r="K27085" s="82"/>
      <c r="M27085" s="112"/>
      <c r="N27085" s="84"/>
    </row>
    <row r="27086" spans="1:14" s="2" customFormat="1">
      <c r="A27086" s="83"/>
      <c r="H27086" s="83"/>
      <c r="K27086" s="82"/>
      <c r="M27086" s="112"/>
      <c r="N27086" s="84"/>
    </row>
    <row r="27087" spans="1:14" s="2" customFormat="1">
      <c r="A27087" s="83"/>
      <c r="H27087" s="83"/>
      <c r="K27087" s="82"/>
      <c r="M27087" s="112"/>
      <c r="N27087" s="84"/>
    </row>
    <row r="27088" spans="1:14" s="2" customFormat="1">
      <c r="A27088" s="83"/>
      <c r="H27088" s="83"/>
      <c r="K27088" s="82"/>
      <c r="M27088" s="112"/>
      <c r="N27088" s="84"/>
    </row>
    <row r="27089" spans="1:14" s="2" customFormat="1">
      <c r="A27089" s="83"/>
      <c r="H27089" s="83"/>
      <c r="K27089" s="82"/>
      <c r="M27089" s="112"/>
      <c r="N27089" s="84"/>
    </row>
    <row r="27090" spans="1:14" s="2" customFormat="1">
      <c r="A27090" s="83"/>
      <c r="H27090" s="83"/>
      <c r="K27090" s="82"/>
      <c r="M27090" s="112"/>
      <c r="N27090" s="84"/>
    </row>
    <row r="27091" spans="1:14" s="2" customFormat="1">
      <c r="A27091" s="83"/>
      <c r="H27091" s="83"/>
      <c r="K27091" s="82"/>
      <c r="M27091" s="112"/>
      <c r="N27091" s="84"/>
    </row>
    <row r="27092" spans="1:14" s="2" customFormat="1">
      <c r="A27092" s="83"/>
      <c r="H27092" s="83"/>
      <c r="K27092" s="82"/>
      <c r="M27092" s="112"/>
      <c r="N27092" s="84"/>
    </row>
    <row r="27093" spans="1:14" s="2" customFormat="1">
      <c r="A27093" s="83"/>
      <c r="H27093" s="83"/>
      <c r="K27093" s="82"/>
      <c r="M27093" s="112"/>
      <c r="N27093" s="84"/>
    </row>
    <row r="27094" spans="1:14" s="2" customFormat="1">
      <c r="A27094" s="83"/>
      <c r="H27094" s="83"/>
      <c r="K27094" s="82"/>
      <c r="M27094" s="112"/>
      <c r="N27094" s="84"/>
    </row>
    <row r="27095" spans="1:14" s="2" customFormat="1">
      <c r="A27095" s="83"/>
      <c r="H27095" s="83"/>
      <c r="K27095" s="82"/>
      <c r="M27095" s="112"/>
      <c r="N27095" s="84"/>
    </row>
    <row r="27096" spans="1:14" s="2" customFormat="1">
      <c r="A27096" s="83"/>
      <c r="H27096" s="83"/>
      <c r="K27096" s="82"/>
      <c r="M27096" s="112"/>
      <c r="N27096" s="84"/>
    </row>
    <row r="27097" spans="1:14" s="2" customFormat="1">
      <c r="A27097" s="83"/>
      <c r="H27097" s="83"/>
      <c r="K27097" s="82"/>
      <c r="M27097" s="112"/>
      <c r="N27097" s="84"/>
    </row>
    <row r="27098" spans="1:14" s="2" customFormat="1">
      <c r="A27098" s="83"/>
      <c r="H27098" s="83"/>
      <c r="K27098" s="82"/>
      <c r="M27098" s="112"/>
      <c r="N27098" s="84"/>
    </row>
    <row r="27099" spans="1:14" s="2" customFormat="1">
      <c r="A27099" s="83"/>
      <c r="H27099" s="83"/>
      <c r="K27099" s="82"/>
      <c r="M27099" s="112"/>
      <c r="N27099" s="84"/>
    </row>
    <row r="27100" spans="1:14" s="2" customFormat="1">
      <c r="A27100" s="83"/>
      <c r="H27100" s="83"/>
      <c r="K27100" s="82"/>
      <c r="M27100" s="112"/>
      <c r="N27100" s="84"/>
    </row>
    <row r="27101" spans="1:14" s="2" customFormat="1">
      <c r="A27101" s="83"/>
      <c r="H27101" s="83"/>
      <c r="K27101" s="82"/>
      <c r="M27101" s="112"/>
      <c r="N27101" s="84"/>
    </row>
    <row r="27102" spans="1:14" s="2" customFormat="1">
      <c r="A27102" s="83"/>
      <c r="H27102" s="83"/>
      <c r="K27102" s="82"/>
      <c r="M27102" s="112"/>
      <c r="N27102" s="84"/>
    </row>
    <row r="27103" spans="1:14" s="2" customFormat="1">
      <c r="A27103" s="83"/>
      <c r="H27103" s="83"/>
      <c r="K27103" s="82"/>
      <c r="M27103" s="112"/>
      <c r="N27103" s="84"/>
    </row>
    <row r="27104" spans="1:14" s="2" customFormat="1">
      <c r="A27104" s="83"/>
      <c r="H27104" s="83"/>
      <c r="K27104" s="82"/>
      <c r="M27104" s="112"/>
      <c r="N27104" s="84"/>
    </row>
    <row r="27105" spans="1:14" s="2" customFormat="1">
      <c r="A27105" s="83"/>
      <c r="H27105" s="83"/>
      <c r="K27105" s="82"/>
      <c r="M27105" s="112"/>
      <c r="N27105" s="84"/>
    </row>
    <row r="27106" spans="1:14" s="2" customFormat="1">
      <c r="A27106" s="83"/>
      <c r="H27106" s="83"/>
      <c r="K27106" s="82"/>
      <c r="M27106" s="112"/>
      <c r="N27106" s="84"/>
    </row>
    <row r="27107" spans="1:14" s="2" customFormat="1">
      <c r="A27107" s="83"/>
      <c r="H27107" s="83"/>
      <c r="K27107" s="82"/>
      <c r="M27107" s="112"/>
      <c r="N27107" s="84"/>
    </row>
    <row r="27108" spans="1:14" s="2" customFormat="1">
      <c r="A27108" s="83"/>
      <c r="H27108" s="83"/>
      <c r="K27108" s="82"/>
      <c r="M27108" s="112"/>
      <c r="N27108" s="84"/>
    </row>
    <row r="27109" spans="1:14" s="2" customFormat="1">
      <c r="A27109" s="83"/>
      <c r="H27109" s="83"/>
      <c r="K27109" s="82"/>
      <c r="M27109" s="112"/>
      <c r="N27109" s="84"/>
    </row>
    <row r="27110" spans="1:14" s="2" customFormat="1">
      <c r="A27110" s="83"/>
      <c r="H27110" s="83"/>
      <c r="K27110" s="82"/>
      <c r="M27110" s="112"/>
      <c r="N27110" s="84"/>
    </row>
    <row r="27111" spans="1:14" s="2" customFormat="1">
      <c r="A27111" s="83"/>
      <c r="H27111" s="83"/>
      <c r="K27111" s="82"/>
      <c r="M27111" s="112"/>
      <c r="N27111" s="84"/>
    </row>
    <row r="27112" spans="1:14" s="2" customFormat="1">
      <c r="A27112" s="83"/>
      <c r="H27112" s="83"/>
      <c r="K27112" s="82"/>
      <c r="M27112" s="112"/>
      <c r="N27112" s="84"/>
    </row>
    <row r="27113" spans="1:14" s="2" customFormat="1">
      <c r="A27113" s="83"/>
      <c r="H27113" s="83"/>
      <c r="K27113" s="82"/>
      <c r="M27113" s="112"/>
      <c r="N27113" s="84"/>
    </row>
    <row r="27114" spans="1:14" s="2" customFormat="1">
      <c r="A27114" s="83"/>
      <c r="H27114" s="83"/>
      <c r="K27114" s="82"/>
      <c r="M27114" s="112"/>
      <c r="N27114" s="84"/>
    </row>
    <row r="27115" spans="1:14" s="2" customFormat="1">
      <c r="A27115" s="83"/>
      <c r="H27115" s="83"/>
      <c r="K27115" s="82"/>
      <c r="M27115" s="112"/>
      <c r="N27115" s="84"/>
    </row>
    <row r="27116" spans="1:14" s="2" customFormat="1">
      <c r="A27116" s="83"/>
      <c r="H27116" s="83"/>
      <c r="K27116" s="82"/>
      <c r="M27116" s="112"/>
      <c r="N27116" s="84"/>
    </row>
    <row r="27117" spans="1:14" s="2" customFormat="1">
      <c r="A27117" s="83"/>
      <c r="H27117" s="83"/>
      <c r="K27117" s="82"/>
      <c r="M27117" s="112"/>
      <c r="N27117" s="84"/>
    </row>
    <row r="27118" spans="1:14" s="2" customFormat="1">
      <c r="A27118" s="83"/>
      <c r="H27118" s="83"/>
      <c r="K27118" s="82"/>
      <c r="M27118" s="112"/>
      <c r="N27118" s="84"/>
    </row>
    <row r="27119" spans="1:14" s="2" customFormat="1">
      <c r="A27119" s="83"/>
      <c r="H27119" s="83"/>
      <c r="K27119" s="82"/>
      <c r="M27119" s="112"/>
      <c r="N27119" s="84"/>
    </row>
    <row r="27120" spans="1:14" s="2" customFormat="1">
      <c r="A27120" s="83"/>
      <c r="H27120" s="83"/>
      <c r="K27120" s="82"/>
      <c r="M27120" s="112"/>
      <c r="N27120" s="84"/>
    </row>
    <row r="27121" spans="1:14" s="2" customFormat="1">
      <c r="A27121" s="83"/>
      <c r="H27121" s="83"/>
      <c r="K27121" s="82"/>
      <c r="M27121" s="112"/>
      <c r="N27121" s="84"/>
    </row>
    <row r="27122" spans="1:14" s="2" customFormat="1">
      <c r="A27122" s="83"/>
      <c r="H27122" s="83"/>
      <c r="K27122" s="82"/>
      <c r="M27122" s="112"/>
      <c r="N27122" s="84"/>
    </row>
    <row r="27123" spans="1:14" s="2" customFormat="1">
      <c r="A27123" s="83"/>
      <c r="H27123" s="83"/>
      <c r="K27123" s="82"/>
      <c r="M27123" s="112"/>
      <c r="N27123" s="84"/>
    </row>
    <row r="27124" spans="1:14" s="2" customFormat="1">
      <c r="A27124" s="83"/>
      <c r="H27124" s="83"/>
      <c r="K27124" s="82"/>
      <c r="M27124" s="112"/>
      <c r="N27124" s="84"/>
    </row>
    <row r="27125" spans="1:14" s="2" customFormat="1">
      <c r="A27125" s="83"/>
      <c r="H27125" s="83"/>
      <c r="K27125" s="82"/>
      <c r="M27125" s="112"/>
      <c r="N27125" s="84"/>
    </row>
    <row r="27126" spans="1:14" s="2" customFormat="1">
      <c r="A27126" s="83"/>
      <c r="H27126" s="83"/>
      <c r="K27126" s="82"/>
      <c r="M27126" s="112"/>
      <c r="N27126" s="84"/>
    </row>
    <row r="27127" spans="1:14" s="2" customFormat="1">
      <c r="A27127" s="83"/>
      <c r="H27127" s="83"/>
      <c r="K27127" s="82"/>
      <c r="M27127" s="112"/>
      <c r="N27127" s="84"/>
    </row>
    <row r="27128" spans="1:14" s="2" customFormat="1">
      <c r="A27128" s="83"/>
      <c r="H27128" s="83"/>
      <c r="K27128" s="82"/>
      <c r="M27128" s="112"/>
      <c r="N27128" s="84"/>
    </row>
    <row r="27129" spans="1:14" s="2" customFormat="1">
      <c r="A27129" s="83"/>
      <c r="H27129" s="83"/>
      <c r="K27129" s="82"/>
      <c r="M27129" s="112"/>
      <c r="N27129" s="84"/>
    </row>
    <row r="27130" spans="1:14" s="2" customFormat="1">
      <c r="A27130" s="83"/>
      <c r="H27130" s="83"/>
      <c r="K27130" s="82"/>
      <c r="M27130" s="112"/>
      <c r="N27130" s="84"/>
    </row>
    <row r="27131" spans="1:14" s="2" customFormat="1">
      <c r="A27131" s="83"/>
      <c r="H27131" s="83"/>
      <c r="K27131" s="82"/>
      <c r="M27131" s="112"/>
      <c r="N27131" s="84"/>
    </row>
    <row r="27132" spans="1:14" s="2" customFormat="1">
      <c r="A27132" s="83"/>
      <c r="H27132" s="83"/>
      <c r="K27132" s="82"/>
      <c r="M27132" s="112"/>
      <c r="N27132" s="84"/>
    </row>
    <row r="27133" spans="1:14" s="2" customFormat="1">
      <c r="A27133" s="83"/>
      <c r="H27133" s="83"/>
      <c r="K27133" s="82"/>
      <c r="M27133" s="112"/>
      <c r="N27133" s="84"/>
    </row>
    <row r="27134" spans="1:14" s="2" customFormat="1">
      <c r="A27134" s="83"/>
      <c r="H27134" s="83"/>
      <c r="K27134" s="82"/>
      <c r="M27134" s="112"/>
      <c r="N27134" s="84"/>
    </row>
    <row r="27135" spans="1:14" s="2" customFormat="1">
      <c r="A27135" s="83"/>
      <c r="H27135" s="83"/>
      <c r="K27135" s="82"/>
      <c r="M27135" s="112"/>
      <c r="N27135" s="84"/>
    </row>
    <row r="27136" spans="1:14" s="2" customFormat="1">
      <c r="A27136" s="83"/>
      <c r="H27136" s="83"/>
      <c r="K27136" s="82"/>
      <c r="M27136" s="112"/>
      <c r="N27136" s="84"/>
    </row>
    <row r="27137" spans="1:14" s="2" customFormat="1">
      <c r="A27137" s="83"/>
      <c r="H27137" s="83"/>
      <c r="K27137" s="82"/>
      <c r="M27137" s="112"/>
      <c r="N27137" s="84"/>
    </row>
    <row r="27138" spans="1:14" s="2" customFormat="1">
      <c r="A27138" s="83"/>
      <c r="H27138" s="83"/>
      <c r="K27138" s="82"/>
      <c r="M27138" s="112"/>
      <c r="N27138" s="84"/>
    </row>
    <row r="27139" spans="1:14" s="2" customFormat="1">
      <c r="A27139" s="83"/>
      <c r="H27139" s="83"/>
      <c r="K27139" s="82"/>
      <c r="M27139" s="112"/>
      <c r="N27139" s="84"/>
    </row>
    <row r="27140" spans="1:14" s="2" customFormat="1">
      <c r="A27140" s="83"/>
      <c r="H27140" s="83"/>
      <c r="K27140" s="82"/>
      <c r="M27140" s="112"/>
      <c r="N27140" s="84"/>
    </row>
    <row r="27141" spans="1:14" s="2" customFormat="1">
      <c r="A27141" s="83"/>
      <c r="H27141" s="83"/>
      <c r="K27141" s="82"/>
      <c r="M27141" s="112"/>
      <c r="N27141" s="84"/>
    </row>
    <row r="27142" spans="1:14" s="2" customFormat="1">
      <c r="A27142" s="83"/>
      <c r="H27142" s="83"/>
      <c r="K27142" s="82"/>
      <c r="M27142" s="112"/>
      <c r="N27142" s="84"/>
    </row>
    <row r="27143" spans="1:14" s="2" customFormat="1">
      <c r="A27143" s="83"/>
      <c r="H27143" s="83"/>
      <c r="K27143" s="82"/>
      <c r="M27143" s="112"/>
      <c r="N27143" s="84"/>
    </row>
    <row r="27144" spans="1:14" s="2" customFormat="1">
      <c r="A27144" s="83"/>
      <c r="H27144" s="83"/>
      <c r="K27144" s="82"/>
      <c r="M27144" s="112"/>
      <c r="N27144" s="84"/>
    </row>
    <row r="27145" spans="1:14" s="2" customFormat="1">
      <c r="A27145" s="83"/>
      <c r="H27145" s="83"/>
      <c r="K27145" s="82"/>
      <c r="M27145" s="112"/>
      <c r="N27145" s="84"/>
    </row>
    <row r="27146" spans="1:14" s="2" customFormat="1">
      <c r="A27146" s="83"/>
      <c r="H27146" s="83"/>
      <c r="K27146" s="82"/>
      <c r="M27146" s="112"/>
      <c r="N27146" s="84"/>
    </row>
    <row r="27147" spans="1:14" s="2" customFormat="1">
      <c r="A27147" s="83"/>
      <c r="H27147" s="83"/>
      <c r="K27147" s="82"/>
      <c r="M27147" s="112"/>
      <c r="N27147" s="84"/>
    </row>
    <row r="27148" spans="1:14" s="2" customFormat="1">
      <c r="A27148" s="83"/>
      <c r="H27148" s="83"/>
      <c r="K27148" s="82"/>
      <c r="M27148" s="112"/>
      <c r="N27148" s="84"/>
    </row>
    <row r="27149" spans="1:14" s="2" customFormat="1">
      <c r="A27149" s="83"/>
      <c r="H27149" s="83"/>
      <c r="K27149" s="82"/>
      <c r="M27149" s="112"/>
      <c r="N27149" s="84"/>
    </row>
    <row r="27150" spans="1:14" s="2" customFormat="1">
      <c r="A27150" s="83"/>
      <c r="H27150" s="83"/>
      <c r="K27150" s="82"/>
      <c r="M27150" s="112"/>
      <c r="N27150" s="84"/>
    </row>
    <row r="27151" spans="1:14" s="2" customFormat="1">
      <c r="A27151" s="83"/>
      <c r="H27151" s="83"/>
      <c r="K27151" s="82"/>
      <c r="M27151" s="112"/>
      <c r="N27151" s="84"/>
    </row>
    <row r="27152" spans="1:14" s="2" customFormat="1">
      <c r="A27152" s="83"/>
      <c r="H27152" s="83"/>
      <c r="K27152" s="82"/>
      <c r="M27152" s="112"/>
      <c r="N27152" s="84"/>
    </row>
    <row r="27153" spans="1:14" s="2" customFormat="1">
      <c r="A27153" s="83"/>
      <c r="H27153" s="83"/>
      <c r="K27153" s="82"/>
      <c r="M27153" s="112"/>
      <c r="N27153" s="84"/>
    </row>
    <row r="27154" spans="1:14" s="2" customFormat="1">
      <c r="A27154" s="83"/>
      <c r="H27154" s="83"/>
      <c r="K27154" s="82"/>
      <c r="M27154" s="112"/>
      <c r="N27154" s="84"/>
    </row>
    <row r="27155" spans="1:14" s="2" customFormat="1">
      <c r="A27155" s="83"/>
      <c r="H27155" s="83"/>
      <c r="K27155" s="82"/>
      <c r="M27155" s="112"/>
      <c r="N27155" s="84"/>
    </row>
    <row r="27156" spans="1:14" s="2" customFormat="1">
      <c r="A27156" s="83"/>
      <c r="H27156" s="83"/>
      <c r="K27156" s="82"/>
      <c r="M27156" s="112"/>
      <c r="N27156" s="84"/>
    </row>
    <row r="27157" spans="1:14" s="2" customFormat="1">
      <c r="A27157" s="83"/>
      <c r="H27157" s="83"/>
      <c r="K27157" s="82"/>
      <c r="M27157" s="112"/>
      <c r="N27157" s="84"/>
    </row>
    <row r="27158" spans="1:14" s="2" customFormat="1">
      <c r="A27158" s="83"/>
      <c r="H27158" s="83"/>
      <c r="K27158" s="82"/>
      <c r="M27158" s="112"/>
      <c r="N27158" s="84"/>
    </row>
    <row r="27159" spans="1:14" s="2" customFormat="1">
      <c r="A27159" s="83"/>
      <c r="H27159" s="83"/>
      <c r="K27159" s="82"/>
      <c r="M27159" s="112"/>
      <c r="N27159" s="84"/>
    </row>
    <row r="27160" spans="1:14" s="2" customFormat="1">
      <c r="A27160" s="83"/>
      <c r="H27160" s="83"/>
      <c r="K27160" s="82"/>
      <c r="M27160" s="112"/>
      <c r="N27160" s="84"/>
    </row>
    <row r="27161" spans="1:14" s="2" customFormat="1">
      <c r="A27161" s="83"/>
      <c r="H27161" s="83"/>
      <c r="K27161" s="82"/>
      <c r="M27161" s="112"/>
      <c r="N27161" s="84"/>
    </row>
    <row r="27162" spans="1:14" s="2" customFormat="1">
      <c r="A27162" s="83"/>
      <c r="H27162" s="83"/>
      <c r="K27162" s="82"/>
      <c r="M27162" s="112"/>
      <c r="N27162" s="84"/>
    </row>
    <row r="27163" spans="1:14" s="2" customFormat="1">
      <c r="A27163" s="83"/>
      <c r="H27163" s="83"/>
      <c r="K27163" s="82"/>
      <c r="M27163" s="112"/>
      <c r="N27163" s="84"/>
    </row>
    <row r="27164" spans="1:14" s="2" customFormat="1">
      <c r="A27164" s="83"/>
      <c r="H27164" s="83"/>
      <c r="K27164" s="82"/>
      <c r="M27164" s="112"/>
      <c r="N27164" s="84"/>
    </row>
    <row r="27165" spans="1:14" s="2" customFormat="1">
      <c r="A27165" s="83"/>
      <c r="H27165" s="83"/>
      <c r="K27165" s="82"/>
      <c r="M27165" s="112"/>
      <c r="N27165" s="84"/>
    </row>
    <row r="27166" spans="1:14" s="2" customFormat="1">
      <c r="A27166" s="83"/>
      <c r="H27166" s="83"/>
      <c r="K27166" s="82"/>
      <c r="M27166" s="112"/>
      <c r="N27166" s="84"/>
    </row>
    <row r="27167" spans="1:14" s="2" customFormat="1">
      <c r="A27167" s="83"/>
      <c r="H27167" s="83"/>
      <c r="K27167" s="82"/>
      <c r="M27167" s="112"/>
      <c r="N27167" s="84"/>
    </row>
    <row r="27168" spans="1:14" s="2" customFormat="1">
      <c r="A27168" s="83"/>
      <c r="H27168" s="83"/>
      <c r="K27168" s="82"/>
      <c r="M27168" s="112"/>
      <c r="N27168" s="84"/>
    </row>
    <row r="27169" spans="1:14" s="2" customFormat="1">
      <c r="A27169" s="83"/>
      <c r="H27169" s="83"/>
      <c r="K27169" s="82"/>
      <c r="M27169" s="112"/>
      <c r="N27169" s="84"/>
    </row>
    <row r="27170" spans="1:14" s="2" customFormat="1">
      <c r="A27170" s="83"/>
      <c r="H27170" s="83"/>
      <c r="K27170" s="82"/>
      <c r="M27170" s="112"/>
      <c r="N27170" s="84"/>
    </row>
    <row r="27171" spans="1:14" s="2" customFormat="1">
      <c r="A27171" s="83"/>
      <c r="H27171" s="83"/>
      <c r="K27171" s="82"/>
      <c r="M27171" s="112"/>
      <c r="N27171" s="84"/>
    </row>
    <row r="27172" spans="1:14" s="2" customFormat="1">
      <c r="A27172" s="83"/>
      <c r="H27172" s="83"/>
      <c r="K27172" s="82"/>
      <c r="M27172" s="112"/>
      <c r="N27172" s="84"/>
    </row>
    <row r="27173" spans="1:14" s="2" customFormat="1">
      <c r="A27173" s="83"/>
      <c r="H27173" s="83"/>
      <c r="K27173" s="82"/>
      <c r="M27173" s="112"/>
      <c r="N27173" s="84"/>
    </row>
    <row r="27174" spans="1:14" s="2" customFormat="1">
      <c r="A27174" s="83"/>
      <c r="H27174" s="83"/>
      <c r="K27174" s="82"/>
      <c r="M27174" s="112"/>
      <c r="N27174" s="84"/>
    </row>
    <row r="27175" spans="1:14" s="2" customFormat="1">
      <c r="A27175" s="83"/>
      <c r="H27175" s="83"/>
      <c r="K27175" s="82"/>
      <c r="M27175" s="112"/>
      <c r="N27175" s="84"/>
    </row>
    <row r="27176" spans="1:14" s="2" customFormat="1">
      <c r="A27176" s="83"/>
      <c r="H27176" s="83"/>
      <c r="K27176" s="82"/>
      <c r="M27176" s="112"/>
      <c r="N27176" s="84"/>
    </row>
    <row r="27177" spans="1:14" s="2" customFormat="1">
      <c r="A27177" s="83"/>
      <c r="H27177" s="83"/>
      <c r="K27177" s="82"/>
      <c r="M27177" s="112"/>
      <c r="N27177" s="84"/>
    </row>
    <row r="27178" spans="1:14" s="2" customFormat="1">
      <c r="A27178" s="83"/>
      <c r="H27178" s="83"/>
      <c r="K27178" s="82"/>
      <c r="M27178" s="112"/>
      <c r="N27178" s="84"/>
    </row>
    <row r="27179" spans="1:14" s="2" customFormat="1">
      <c r="A27179" s="83"/>
      <c r="H27179" s="83"/>
      <c r="K27179" s="82"/>
      <c r="M27179" s="112"/>
      <c r="N27179" s="84"/>
    </row>
    <row r="27180" spans="1:14" s="2" customFormat="1">
      <c r="A27180" s="83"/>
      <c r="H27180" s="83"/>
      <c r="K27180" s="82"/>
      <c r="M27180" s="112"/>
      <c r="N27180" s="84"/>
    </row>
    <row r="27181" spans="1:14" s="2" customFormat="1">
      <c r="A27181" s="83"/>
      <c r="H27181" s="83"/>
      <c r="K27181" s="82"/>
      <c r="M27181" s="112"/>
      <c r="N27181" s="84"/>
    </row>
    <row r="27182" spans="1:14" s="2" customFormat="1">
      <c r="A27182" s="83"/>
      <c r="H27182" s="83"/>
      <c r="K27182" s="82"/>
      <c r="M27182" s="112"/>
      <c r="N27182" s="84"/>
    </row>
    <row r="27183" spans="1:14" s="2" customFormat="1">
      <c r="A27183" s="83"/>
      <c r="H27183" s="83"/>
      <c r="K27183" s="82"/>
      <c r="M27183" s="112"/>
      <c r="N27183" s="84"/>
    </row>
    <row r="27184" spans="1:14" s="2" customFormat="1">
      <c r="A27184" s="83"/>
      <c r="H27184" s="83"/>
      <c r="K27184" s="82"/>
      <c r="M27184" s="112"/>
      <c r="N27184" s="84"/>
    </row>
    <row r="27185" spans="1:14" s="2" customFormat="1">
      <c r="A27185" s="83"/>
      <c r="H27185" s="83"/>
      <c r="K27185" s="82"/>
      <c r="M27185" s="112"/>
      <c r="N27185" s="84"/>
    </row>
    <row r="27186" spans="1:14" s="2" customFormat="1">
      <c r="A27186" s="83"/>
      <c r="H27186" s="83"/>
      <c r="K27186" s="82"/>
      <c r="M27186" s="112"/>
      <c r="N27186" s="84"/>
    </row>
    <row r="27187" spans="1:14" s="2" customFormat="1">
      <c r="A27187" s="83"/>
      <c r="H27187" s="83"/>
      <c r="K27187" s="82"/>
      <c r="M27187" s="112"/>
      <c r="N27187" s="84"/>
    </row>
    <row r="27188" spans="1:14" s="2" customFormat="1">
      <c r="A27188" s="83"/>
      <c r="H27188" s="83"/>
      <c r="K27188" s="82"/>
      <c r="M27188" s="112"/>
      <c r="N27188" s="84"/>
    </row>
    <row r="27189" spans="1:14" s="2" customFormat="1">
      <c r="A27189" s="83"/>
      <c r="H27189" s="83"/>
      <c r="K27189" s="82"/>
      <c r="M27189" s="112"/>
      <c r="N27189" s="84"/>
    </row>
    <row r="27190" spans="1:14" s="2" customFormat="1">
      <c r="A27190" s="83"/>
      <c r="H27190" s="83"/>
      <c r="K27190" s="82"/>
      <c r="M27190" s="112"/>
      <c r="N27190" s="84"/>
    </row>
    <row r="27191" spans="1:14" s="2" customFormat="1">
      <c r="A27191" s="83"/>
      <c r="H27191" s="83"/>
      <c r="K27191" s="82"/>
      <c r="M27191" s="112"/>
      <c r="N27191" s="84"/>
    </row>
    <row r="27192" spans="1:14" s="2" customFormat="1">
      <c r="A27192" s="83"/>
      <c r="H27192" s="83"/>
      <c r="K27192" s="82"/>
      <c r="M27192" s="112"/>
      <c r="N27192" s="84"/>
    </row>
    <row r="27193" spans="1:14" s="2" customFormat="1">
      <c r="A27193" s="83"/>
      <c r="H27193" s="83"/>
      <c r="K27193" s="82"/>
      <c r="M27193" s="112"/>
      <c r="N27193" s="84"/>
    </row>
    <row r="27194" spans="1:14" s="2" customFormat="1">
      <c r="A27194" s="83"/>
      <c r="H27194" s="83"/>
      <c r="K27194" s="82"/>
      <c r="M27194" s="112"/>
      <c r="N27194" s="84"/>
    </row>
    <row r="27195" spans="1:14" s="2" customFormat="1">
      <c r="A27195" s="83"/>
      <c r="H27195" s="83"/>
      <c r="K27195" s="82"/>
      <c r="M27195" s="112"/>
      <c r="N27195" s="84"/>
    </row>
    <row r="27196" spans="1:14" s="2" customFormat="1">
      <c r="A27196" s="83"/>
      <c r="H27196" s="83"/>
      <c r="K27196" s="82"/>
      <c r="M27196" s="112"/>
      <c r="N27196" s="84"/>
    </row>
    <row r="27197" spans="1:14" s="2" customFormat="1">
      <c r="A27197" s="83"/>
      <c r="H27197" s="83"/>
      <c r="K27197" s="82"/>
      <c r="M27197" s="112"/>
      <c r="N27197" s="84"/>
    </row>
    <row r="27198" spans="1:14" s="2" customFormat="1">
      <c r="A27198" s="83"/>
      <c r="H27198" s="83"/>
      <c r="K27198" s="82"/>
      <c r="M27198" s="112"/>
      <c r="N27198" s="84"/>
    </row>
    <row r="27199" spans="1:14" s="2" customFormat="1">
      <c r="A27199" s="83"/>
      <c r="H27199" s="83"/>
      <c r="K27199" s="82"/>
      <c r="M27199" s="112"/>
      <c r="N27199" s="84"/>
    </row>
    <row r="27200" spans="1:14" s="2" customFormat="1">
      <c r="A27200" s="83"/>
      <c r="H27200" s="83"/>
      <c r="K27200" s="82"/>
      <c r="M27200" s="112"/>
      <c r="N27200" s="84"/>
    </row>
    <row r="27201" spans="1:14" s="2" customFormat="1">
      <c r="A27201" s="83"/>
      <c r="H27201" s="83"/>
      <c r="K27201" s="82"/>
      <c r="M27201" s="112"/>
      <c r="N27201" s="84"/>
    </row>
    <row r="27202" spans="1:14" s="2" customFormat="1">
      <c r="A27202" s="83"/>
      <c r="H27202" s="83"/>
      <c r="K27202" s="82"/>
      <c r="M27202" s="112"/>
      <c r="N27202" s="84"/>
    </row>
    <row r="27203" spans="1:14" s="2" customFormat="1">
      <c r="A27203" s="83"/>
      <c r="H27203" s="83"/>
      <c r="K27203" s="82"/>
      <c r="M27203" s="112"/>
      <c r="N27203" s="84"/>
    </row>
    <row r="27204" spans="1:14" s="2" customFormat="1">
      <c r="A27204" s="83"/>
      <c r="H27204" s="83"/>
      <c r="K27204" s="82"/>
      <c r="M27204" s="112"/>
      <c r="N27204" s="84"/>
    </row>
    <row r="27205" spans="1:14" s="2" customFormat="1">
      <c r="A27205" s="83"/>
      <c r="H27205" s="83"/>
      <c r="K27205" s="82"/>
      <c r="M27205" s="112"/>
      <c r="N27205" s="84"/>
    </row>
    <row r="27206" spans="1:14" s="2" customFormat="1">
      <c r="A27206" s="83"/>
      <c r="H27206" s="83"/>
      <c r="K27206" s="82"/>
      <c r="M27206" s="112"/>
      <c r="N27206" s="84"/>
    </row>
    <row r="27207" spans="1:14" s="2" customFormat="1">
      <c r="A27207" s="83"/>
      <c r="H27207" s="83"/>
      <c r="K27207" s="82"/>
      <c r="M27207" s="112"/>
      <c r="N27207" s="84"/>
    </row>
    <row r="27208" spans="1:14" s="2" customFormat="1">
      <c r="A27208" s="83"/>
      <c r="H27208" s="83"/>
      <c r="K27208" s="82"/>
      <c r="M27208" s="112"/>
      <c r="N27208" s="84"/>
    </row>
    <row r="27209" spans="1:14" s="2" customFormat="1">
      <c r="A27209" s="83"/>
      <c r="H27209" s="83"/>
      <c r="K27209" s="82"/>
      <c r="M27209" s="112"/>
      <c r="N27209" s="84"/>
    </row>
    <row r="27210" spans="1:14" s="2" customFormat="1">
      <c r="A27210" s="83"/>
      <c r="H27210" s="83"/>
      <c r="K27210" s="82"/>
      <c r="M27210" s="112"/>
      <c r="N27210" s="84"/>
    </row>
    <row r="27211" spans="1:14" s="2" customFormat="1">
      <c r="A27211" s="83"/>
      <c r="H27211" s="83"/>
      <c r="K27211" s="82"/>
      <c r="M27211" s="112"/>
      <c r="N27211" s="84"/>
    </row>
    <row r="27212" spans="1:14" s="2" customFormat="1">
      <c r="A27212" s="83"/>
      <c r="H27212" s="83"/>
      <c r="K27212" s="82"/>
      <c r="M27212" s="112"/>
      <c r="N27212" s="84"/>
    </row>
    <row r="27213" spans="1:14" s="2" customFormat="1">
      <c r="A27213" s="83"/>
      <c r="H27213" s="83"/>
      <c r="K27213" s="82"/>
      <c r="M27213" s="112"/>
      <c r="N27213" s="84"/>
    </row>
    <row r="27214" spans="1:14" s="2" customFormat="1">
      <c r="A27214" s="83"/>
      <c r="H27214" s="83"/>
      <c r="K27214" s="82"/>
      <c r="M27214" s="112"/>
      <c r="N27214" s="84"/>
    </row>
    <row r="27215" spans="1:14" s="2" customFormat="1">
      <c r="A27215" s="83"/>
      <c r="H27215" s="83"/>
      <c r="K27215" s="82"/>
      <c r="M27215" s="112"/>
      <c r="N27215" s="84"/>
    </row>
    <row r="27216" spans="1:14" s="2" customFormat="1">
      <c r="A27216" s="83"/>
      <c r="H27216" s="83"/>
      <c r="K27216" s="82"/>
      <c r="M27216" s="112"/>
      <c r="N27216" s="84"/>
    </row>
    <row r="27217" spans="1:14" s="2" customFormat="1">
      <c r="A27217" s="83"/>
      <c r="H27217" s="83"/>
      <c r="K27217" s="82"/>
      <c r="M27217" s="112"/>
      <c r="N27217" s="84"/>
    </row>
    <row r="27218" spans="1:14" s="2" customFormat="1">
      <c r="A27218" s="83"/>
      <c r="H27218" s="83"/>
      <c r="K27218" s="82"/>
      <c r="M27218" s="112"/>
      <c r="N27218" s="84"/>
    </row>
    <row r="27219" spans="1:14" s="2" customFormat="1">
      <c r="A27219" s="83"/>
      <c r="H27219" s="83"/>
      <c r="K27219" s="82"/>
      <c r="M27219" s="112"/>
      <c r="N27219" s="84"/>
    </row>
    <row r="27220" spans="1:14" s="2" customFormat="1">
      <c r="A27220" s="83"/>
      <c r="H27220" s="83"/>
      <c r="K27220" s="82"/>
      <c r="M27220" s="112"/>
      <c r="N27220" s="84"/>
    </row>
    <row r="27221" spans="1:14" s="2" customFormat="1">
      <c r="A27221" s="83"/>
      <c r="H27221" s="83"/>
      <c r="K27221" s="82"/>
      <c r="M27221" s="112"/>
      <c r="N27221" s="84"/>
    </row>
    <row r="27222" spans="1:14" s="2" customFormat="1">
      <c r="A27222" s="83"/>
      <c r="H27222" s="83"/>
      <c r="K27222" s="82"/>
      <c r="M27222" s="112"/>
      <c r="N27222" s="84"/>
    </row>
    <row r="27223" spans="1:14" s="2" customFormat="1">
      <c r="A27223" s="83"/>
      <c r="H27223" s="83"/>
      <c r="K27223" s="82"/>
      <c r="M27223" s="112"/>
      <c r="N27223" s="84"/>
    </row>
    <row r="27224" spans="1:14" s="2" customFormat="1">
      <c r="A27224" s="83"/>
      <c r="H27224" s="83"/>
      <c r="K27224" s="82"/>
      <c r="M27224" s="112"/>
      <c r="N27224" s="84"/>
    </row>
    <row r="27225" spans="1:14" s="2" customFormat="1">
      <c r="A27225" s="83"/>
      <c r="H27225" s="83"/>
      <c r="K27225" s="82"/>
      <c r="M27225" s="112"/>
      <c r="N27225" s="84"/>
    </row>
    <row r="27226" spans="1:14" s="2" customFormat="1">
      <c r="A27226" s="83"/>
      <c r="H27226" s="83"/>
      <c r="K27226" s="82"/>
      <c r="M27226" s="112"/>
      <c r="N27226" s="84"/>
    </row>
    <row r="27227" spans="1:14" s="2" customFormat="1">
      <c r="A27227" s="83"/>
      <c r="H27227" s="83"/>
      <c r="K27227" s="82"/>
      <c r="M27227" s="112"/>
      <c r="N27227" s="84"/>
    </row>
    <row r="27228" spans="1:14" s="2" customFormat="1">
      <c r="A27228" s="83"/>
      <c r="H27228" s="83"/>
      <c r="K27228" s="82"/>
      <c r="M27228" s="112"/>
      <c r="N27228" s="84"/>
    </row>
    <row r="27229" spans="1:14" s="2" customFormat="1">
      <c r="A27229" s="83"/>
      <c r="H27229" s="83"/>
      <c r="K27229" s="82"/>
      <c r="M27229" s="112"/>
      <c r="N27229" s="84"/>
    </row>
    <row r="27230" spans="1:14" s="2" customFormat="1">
      <c r="A27230" s="83"/>
      <c r="H27230" s="83"/>
      <c r="K27230" s="82"/>
      <c r="M27230" s="112"/>
      <c r="N27230" s="84"/>
    </row>
    <row r="27231" spans="1:14" s="2" customFormat="1">
      <c r="A27231" s="83"/>
      <c r="H27231" s="83"/>
      <c r="K27231" s="82"/>
      <c r="M27231" s="112"/>
      <c r="N27231" s="84"/>
    </row>
    <row r="27232" spans="1:14" s="2" customFormat="1">
      <c r="A27232" s="83"/>
      <c r="H27232" s="83"/>
      <c r="K27232" s="82"/>
      <c r="M27232" s="112"/>
      <c r="N27232" s="84"/>
    </row>
    <row r="27233" spans="1:14" s="2" customFormat="1">
      <c r="A27233" s="83"/>
      <c r="H27233" s="83"/>
      <c r="K27233" s="82"/>
      <c r="M27233" s="112"/>
      <c r="N27233" s="84"/>
    </row>
    <row r="27234" spans="1:14" s="2" customFormat="1">
      <c r="A27234" s="83"/>
      <c r="H27234" s="83"/>
      <c r="K27234" s="82"/>
      <c r="M27234" s="112"/>
      <c r="N27234" s="84"/>
    </row>
    <row r="27235" spans="1:14" s="2" customFormat="1">
      <c r="A27235" s="83"/>
      <c r="H27235" s="83"/>
      <c r="K27235" s="82"/>
      <c r="M27235" s="112"/>
      <c r="N27235" s="84"/>
    </row>
    <row r="27236" spans="1:14" s="2" customFormat="1">
      <c r="A27236" s="83"/>
      <c r="H27236" s="83"/>
      <c r="K27236" s="82"/>
      <c r="M27236" s="112"/>
      <c r="N27236" s="84"/>
    </row>
    <row r="27237" spans="1:14" s="2" customFormat="1">
      <c r="A27237" s="83"/>
      <c r="H27237" s="83"/>
      <c r="K27237" s="82"/>
      <c r="M27237" s="112"/>
      <c r="N27237" s="84"/>
    </row>
    <row r="27238" spans="1:14" s="2" customFormat="1">
      <c r="A27238" s="83"/>
      <c r="H27238" s="83"/>
      <c r="K27238" s="82"/>
      <c r="M27238" s="112"/>
      <c r="N27238" s="84"/>
    </row>
    <row r="27239" spans="1:14" s="2" customFormat="1">
      <c r="A27239" s="83"/>
      <c r="H27239" s="83"/>
      <c r="K27239" s="82"/>
      <c r="M27239" s="112"/>
      <c r="N27239" s="84"/>
    </row>
    <row r="27240" spans="1:14" s="2" customFormat="1">
      <c r="A27240" s="83"/>
      <c r="H27240" s="83"/>
      <c r="K27240" s="82"/>
      <c r="M27240" s="112"/>
      <c r="N27240" s="84"/>
    </row>
    <row r="27241" spans="1:14" s="2" customFormat="1">
      <c r="A27241" s="83"/>
      <c r="H27241" s="83"/>
      <c r="K27241" s="82"/>
      <c r="M27241" s="112"/>
      <c r="N27241" s="84"/>
    </row>
    <row r="27242" spans="1:14" s="2" customFormat="1">
      <c r="A27242" s="83"/>
      <c r="H27242" s="83"/>
      <c r="K27242" s="82"/>
      <c r="M27242" s="112"/>
      <c r="N27242" s="84"/>
    </row>
    <row r="27243" spans="1:14" s="2" customFormat="1">
      <c r="A27243" s="83"/>
      <c r="H27243" s="83"/>
      <c r="K27243" s="82"/>
      <c r="M27243" s="112"/>
      <c r="N27243" s="84"/>
    </row>
    <row r="27244" spans="1:14" s="2" customFormat="1">
      <c r="A27244" s="83"/>
      <c r="H27244" s="83"/>
      <c r="K27244" s="82"/>
      <c r="M27244" s="112"/>
      <c r="N27244" s="84"/>
    </row>
    <row r="27245" spans="1:14" s="2" customFormat="1">
      <c r="A27245" s="83"/>
      <c r="H27245" s="83"/>
      <c r="K27245" s="82"/>
      <c r="M27245" s="112"/>
      <c r="N27245" s="84"/>
    </row>
    <row r="27246" spans="1:14" s="2" customFormat="1">
      <c r="A27246" s="83"/>
      <c r="H27246" s="83"/>
      <c r="K27246" s="82"/>
      <c r="M27246" s="112"/>
      <c r="N27246" s="84"/>
    </row>
    <row r="27247" spans="1:14" s="2" customFormat="1">
      <c r="A27247" s="83"/>
      <c r="H27247" s="83"/>
      <c r="K27247" s="82"/>
      <c r="M27247" s="112"/>
      <c r="N27247" s="84"/>
    </row>
    <row r="27248" spans="1:14" s="2" customFormat="1">
      <c r="A27248" s="83"/>
      <c r="H27248" s="83"/>
      <c r="K27248" s="82"/>
      <c r="M27248" s="112"/>
      <c r="N27248" s="84"/>
    </row>
    <row r="27249" spans="1:14" s="2" customFormat="1">
      <c r="A27249" s="83"/>
      <c r="H27249" s="83"/>
      <c r="K27249" s="82"/>
      <c r="M27249" s="112"/>
      <c r="N27249" s="84"/>
    </row>
    <row r="27250" spans="1:14" s="2" customFormat="1">
      <c r="A27250" s="83"/>
      <c r="H27250" s="83"/>
      <c r="K27250" s="82"/>
      <c r="M27250" s="112"/>
      <c r="N27250" s="84"/>
    </row>
    <row r="27251" spans="1:14" s="2" customFormat="1">
      <c r="A27251" s="83"/>
      <c r="H27251" s="83"/>
      <c r="K27251" s="82"/>
      <c r="M27251" s="112"/>
      <c r="N27251" s="84"/>
    </row>
    <row r="27252" spans="1:14" s="2" customFormat="1">
      <c r="A27252" s="83"/>
      <c r="H27252" s="83"/>
      <c r="K27252" s="82"/>
      <c r="M27252" s="112"/>
      <c r="N27252" s="84"/>
    </row>
    <row r="27253" spans="1:14" s="2" customFormat="1">
      <c r="A27253" s="83"/>
      <c r="H27253" s="83"/>
      <c r="K27253" s="82"/>
      <c r="M27253" s="112"/>
      <c r="N27253" s="84"/>
    </row>
    <row r="27254" spans="1:14" s="2" customFormat="1">
      <c r="A27254" s="83"/>
      <c r="H27254" s="83"/>
      <c r="K27254" s="82"/>
      <c r="M27254" s="112"/>
      <c r="N27254" s="84"/>
    </row>
    <row r="27255" spans="1:14" s="2" customFormat="1">
      <c r="A27255" s="83"/>
      <c r="H27255" s="83"/>
      <c r="K27255" s="82"/>
      <c r="M27255" s="112"/>
      <c r="N27255" s="84"/>
    </row>
    <row r="27256" spans="1:14" s="2" customFormat="1">
      <c r="A27256" s="83"/>
      <c r="H27256" s="83"/>
      <c r="K27256" s="82"/>
      <c r="M27256" s="112"/>
      <c r="N27256" s="84"/>
    </row>
    <row r="27257" spans="1:14" s="2" customFormat="1">
      <c r="A27257" s="83"/>
      <c r="H27257" s="83"/>
      <c r="K27257" s="82"/>
      <c r="M27257" s="112"/>
      <c r="N27257" s="84"/>
    </row>
    <row r="27258" spans="1:14" s="2" customFormat="1">
      <c r="A27258" s="83"/>
      <c r="H27258" s="83"/>
      <c r="K27258" s="82"/>
      <c r="M27258" s="112"/>
      <c r="N27258" s="84"/>
    </row>
    <row r="27259" spans="1:14" s="2" customFormat="1">
      <c r="A27259" s="83"/>
      <c r="H27259" s="83"/>
      <c r="K27259" s="82"/>
      <c r="M27259" s="112"/>
      <c r="N27259" s="84"/>
    </row>
    <row r="27260" spans="1:14" s="2" customFormat="1">
      <c r="A27260" s="83"/>
      <c r="H27260" s="83"/>
      <c r="K27260" s="82"/>
      <c r="M27260" s="112"/>
      <c r="N27260" s="84"/>
    </row>
    <row r="27261" spans="1:14" s="2" customFormat="1">
      <c r="A27261" s="83"/>
      <c r="H27261" s="83"/>
      <c r="K27261" s="82"/>
      <c r="M27261" s="112"/>
      <c r="N27261" s="84"/>
    </row>
    <row r="27262" spans="1:14" s="2" customFormat="1">
      <c r="A27262" s="83"/>
      <c r="H27262" s="83"/>
      <c r="K27262" s="82"/>
      <c r="M27262" s="112"/>
      <c r="N27262" s="84"/>
    </row>
    <row r="27263" spans="1:14" s="2" customFormat="1">
      <c r="A27263" s="83"/>
      <c r="H27263" s="83"/>
      <c r="K27263" s="82"/>
      <c r="M27263" s="112"/>
      <c r="N27263" s="84"/>
    </row>
    <row r="27264" spans="1:14" s="2" customFormat="1">
      <c r="A27264" s="83"/>
      <c r="H27264" s="83"/>
      <c r="K27264" s="82"/>
      <c r="M27264" s="112"/>
      <c r="N27264" s="84"/>
    </row>
    <row r="27265" spans="1:14" s="2" customFormat="1">
      <c r="A27265" s="83"/>
      <c r="H27265" s="83"/>
      <c r="K27265" s="82"/>
      <c r="M27265" s="112"/>
      <c r="N27265" s="84"/>
    </row>
    <row r="27266" spans="1:14" s="2" customFormat="1">
      <c r="A27266" s="83"/>
      <c r="H27266" s="83"/>
      <c r="K27266" s="82"/>
      <c r="M27266" s="112"/>
      <c r="N27266" s="84"/>
    </row>
    <row r="27267" spans="1:14" s="2" customFormat="1">
      <c r="A27267" s="83"/>
      <c r="H27267" s="83"/>
      <c r="K27267" s="82"/>
      <c r="M27267" s="112"/>
      <c r="N27267" s="84"/>
    </row>
    <row r="27268" spans="1:14" s="2" customFormat="1">
      <c r="A27268" s="83"/>
      <c r="H27268" s="83"/>
      <c r="K27268" s="82"/>
      <c r="M27268" s="112"/>
      <c r="N27268" s="84"/>
    </row>
    <row r="27269" spans="1:14" s="2" customFormat="1">
      <c r="A27269" s="83"/>
      <c r="H27269" s="83"/>
      <c r="K27269" s="82"/>
      <c r="M27269" s="112"/>
      <c r="N27269" s="84"/>
    </row>
    <row r="27270" spans="1:14" s="2" customFormat="1">
      <c r="A27270" s="83"/>
      <c r="H27270" s="83"/>
      <c r="K27270" s="82"/>
      <c r="M27270" s="112"/>
      <c r="N27270" s="84"/>
    </row>
    <row r="27271" spans="1:14" s="2" customFormat="1">
      <c r="A27271" s="83"/>
      <c r="H27271" s="83"/>
      <c r="K27271" s="82"/>
      <c r="M27271" s="112"/>
      <c r="N27271" s="84"/>
    </row>
    <row r="27272" spans="1:14" s="2" customFormat="1">
      <c r="A27272" s="83"/>
      <c r="H27272" s="83"/>
      <c r="K27272" s="82"/>
      <c r="M27272" s="112"/>
      <c r="N27272" s="84"/>
    </row>
    <row r="27273" spans="1:14" s="2" customFormat="1">
      <c r="A27273" s="83"/>
      <c r="H27273" s="83"/>
      <c r="K27273" s="82"/>
      <c r="M27273" s="112"/>
      <c r="N27273" s="84"/>
    </row>
    <row r="27274" spans="1:14" s="2" customFormat="1">
      <c r="A27274" s="83"/>
      <c r="H27274" s="83"/>
      <c r="K27274" s="82"/>
      <c r="M27274" s="112"/>
      <c r="N27274" s="84"/>
    </row>
    <row r="27275" spans="1:14" s="2" customFormat="1">
      <c r="A27275" s="83"/>
      <c r="H27275" s="83"/>
      <c r="K27275" s="82"/>
      <c r="M27275" s="112"/>
      <c r="N27275" s="84"/>
    </row>
    <row r="27276" spans="1:14" s="2" customFormat="1">
      <c r="A27276" s="83"/>
      <c r="H27276" s="83"/>
      <c r="K27276" s="82"/>
      <c r="M27276" s="112"/>
      <c r="N27276" s="84"/>
    </row>
    <row r="27277" spans="1:14" s="2" customFormat="1">
      <c r="A27277" s="83"/>
      <c r="H27277" s="83"/>
      <c r="K27277" s="82"/>
      <c r="M27277" s="112"/>
      <c r="N27277" s="84"/>
    </row>
    <row r="27278" spans="1:14" s="2" customFormat="1">
      <c r="A27278" s="83"/>
      <c r="H27278" s="83"/>
      <c r="K27278" s="82"/>
      <c r="M27278" s="112"/>
      <c r="N27278" s="84"/>
    </row>
    <row r="27279" spans="1:14" s="2" customFormat="1">
      <c r="A27279" s="83"/>
      <c r="H27279" s="83"/>
      <c r="K27279" s="82"/>
      <c r="M27279" s="112"/>
      <c r="N27279" s="84"/>
    </row>
    <row r="27280" spans="1:14" s="2" customFormat="1">
      <c r="A27280" s="83"/>
      <c r="H27280" s="83"/>
      <c r="K27280" s="82"/>
      <c r="M27280" s="112"/>
      <c r="N27280" s="84"/>
    </row>
    <row r="27281" spans="1:14" s="2" customFormat="1">
      <c r="A27281" s="83"/>
      <c r="H27281" s="83"/>
      <c r="K27281" s="82"/>
      <c r="M27281" s="112"/>
      <c r="N27281" s="84"/>
    </row>
    <row r="27282" spans="1:14" s="2" customFormat="1">
      <c r="A27282" s="83"/>
      <c r="H27282" s="83"/>
      <c r="K27282" s="82"/>
      <c r="M27282" s="112"/>
      <c r="N27282" s="84"/>
    </row>
    <row r="27283" spans="1:14" s="2" customFormat="1">
      <c r="A27283" s="83"/>
      <c r="H27283" s="83"/>
      <c r="K27283" s="82"/>
      <c r="M27283" s="112"/>
      <c r="N27283" s="84"/>
    </row>
    <row r="27284" spans="1:14" s="2" customFormat="1">
      <c r="A27284" s="83"/>
      <c r="H27284" s="83"/>
      <c r="K27284" s="82"/>
      <c r="M27284" s="112"/>
      <c r="N27284" s="84"/>
    </row>
    <row r="27285" spans="1:14" s="2" customFormat="1">
      <c r="A27285" s="83"/>
      <c r="H27285" s="83"/>
      <c r="K27285" s="82"/>
      <c r="M27285" s="112"/>
      <c r="N27285" s="84"/>
    </row>
    <row r="27286" spans="1:14" s="2" customFormat="1">
      <c r="A27286" s="83"/>
      <c r="H27286" s="83"/>
      <c r="K27286" s="82"/>
      <c r="M27286" s="112"/>
      <c r="N27286" s="84"/>
    </row>
    <row r="27287" spans="1:14" s="2" customFormat="1">
      <c r="A27287" s="83"/>
      <c r="H27287" s="83"/>
      <c r="K27287" s="82"/>
      <c r="M27287" s="112"/>
      <c r="N27287" s="84"/>
    </row>
    <row r="27288" spans="1:14" s="2" customFormat="1">
      <c r="A27288" s="83"/>
      <c r="H27288" s="83"/>
      <c r="K27288" s="82"/>
      <c r="M27288" s="112"/>
      <c r="N27288" s="84"/>
    </row>
    <row r="27289" spans="1:14" s="2" customFormat="1">
      <c r="A27289" s="83"/>
      <c r="H27289" s="83"/>
      <c r="K27289" s="82"/>
      <c r="M27289" s="112"/>
      <c r="N27289" s="84"/>
    </row>
    <row r="27290" spans="1:14" s="2" customFormat="1">
      <c r="A27290" s="83"/>
      <c r="H27290" s="83"/>
      <c r="K27290" s="82"/>
      <c r="M27290" s="112"/>
      <c r="N27290" s="84"/>
    </row>
    <row r="27291" spans="1:14" s="2" customFormat="1">
      <c r="A27291" s="83"/>
      <c r="H27291" s="83"/>
      <c r="K27291" s="82"/>
      <c r="M27291" s="112"/>
      <c r="N27291" s="84"/>
    </row>
    <row r="27292" spans="1:14" s="2" customFormat="1">
      <c r="A27292" s="83"/>
      <c r="H27292" s="83"/>
      <c r="K27292" s="82"/>
      <c r="M27292" s="112"/>
      <c r="N27292" s="84"/>
    </row>
    <row r="27293" spans="1:14" s="2" customFormat="1">
      <c r="A27293" s="83"/>
      <c r="H27293" s="83"/>
      <c r="K27293" s="82"/>
      <c r="M27293" s="112"/>
      <c r="N27293" s="84"/>
    </row>
    <row r="27294" spans="1:14" s="2" customFormat="1">
      <c r="A27294" s="83"/>
      <c r="H27294" s="83"/>
      <c r="K27294" s="82"/>
      <c r="M27294" s="112"/>
      <c r="N27294" s="84"/>
    </row>
    <row r="27295" spans="1:14" s="2" customFormat="1">
      <c r="A27295" s="83"/>
      <c r="H27295" s="83"/>
      <c r="K27295" s="82"/>
      <c r="M27295" s="112"/>
      <c r="N27295" s="84"/>
    </row>
    <row r="27296" spans="1:14" s="2" customFormat="1">
      <c r="A27296" s="83"/>
      <c r="H27296" s="83"/>
      <c r="K27296" s="82"/>
      <c r="M27296" s="112"/>
      <c r="N27296" s="84"/>
    </row>
    <row r="27297" spans="1:14" s="2" customFormat="1">
      <c r="A27297" s="83"/>
      <c r="H27297" s="83"/>
      <c r="K27297" s="82"/>
      <c r="M27297" s="112"/>
      <c r="N27297" s="84"/>
    </row>
    <row r="27298" spans="1:14" s="2" customFormat="1">
      <c r="A27298" s="83"/>
      <c r="H27298" s="83"/>
      <c r="K27298" s="82"/>
      <c r="M27298" s="112"/>
      <c r="N27298" s="84"/>
    </row>
    <row r="27299" spans="1:14" s="2" customFormat="1">
      <c r="A27299" s="83"/>
      <c r="H27299" s="83"/>
      <c r="K27299" s="82"/>
      <c r="M27299" s="112"/>
      <c r="N27299" s="84"/>
    </row>
    <row r="27300" spans="1:14" s="2" customFormat="1">
      <c r="A27300" s="83"/>
      <c r="H27300" s="83"/>
      <c r="K27300" s="82"/>
      <c r="M27300" s="112"/>
      <c r="N27300" s="84"/>
    </row>
    <row r="27301" spans="1:14" s="2" customFormat="1">
      <c r="A27301" s="83"/>
      <c r="H27301" s="83"/>
      <c r="K27301" s="82"/>
      <c r="M27301" s="112"/>
      <c r="N27301" s="84"/>
    </row>
    <row r="27302" spans="1:14" s="2" customFormat="1">
      <c r="A27302" s="83"/>
      <c r="H27302" s="83"/>
      <c r="K27302" s="82"/>
      <c r="M27302" s="112"/>
      <c r="N27302" s="84"/>
    </row>
    <row r="27303" spans="1:14" s="2" customFormat="1">
      <c r="A27303" s="83"/>
      <c r="H27303" s="83"/>
      <c r="K27303" s="82"/>
      <c r="M27303" s="112"/>
      <c r="N27303" s="84"/>
    </row>
    <row r="27304" spans="1:14" s="2" customFormat="1">
      <c r="A27304" s="83"/>
      <c r="H27304" s="83"/>
      <c r="K27304" s="82"/>
      <c r="M27304" s="112"/>
      <c r="N27304" s="84"/>
    </row>
    <row r="27305" spans="1:14" s="2" customFormat="1">
      <c r="A27305" s="83"/>
      <c r="H27305" s="83"/>
      <c r="K27305" s="82"/>
      <c r="M27305" s="112"/>
      <c r="N27305" s="84"/>
    </row>
    <row r="27306" spans="1:14" s="2" customFormat="1">
      <c r="A27306" s="83"/>
      <c r="H27306" s="83"/>
      <c r="K27306" s="82"/>
      <c r="M27306" s="112"/>
      <c r="N27306" s="84"/>
    </row>
    <row r="27307" spans="1:14" s="2" customFormat="1">
      <c r="A27307" s="83"/>
      <c r="H27307" s="83"/>
      <c r="K27307" s="82"/>
      <c r="M27307" s="112"/>
      <c r="N27307" s="84"/>
    </row>
    <row r="27308" spans="1:14" s="2" customFormat="1">
      <c r="A27308" s="83"/>
      <c r="H27308" s="83"/>
      <c r="K27308" s="82"/>
      <c r="M27308" s="112"/>
      <c r="N27308" s="84"/>
    </row>
    <row r="27309" spans="1:14" s="2" customFormat="1">
      <c r="A27309" s="83"/>
      <c r="H27309" s="83"/>
      <c r="K27309" s="82"/>
      <c r="M27309" s="112"/>
      <c r="N27309" s="84"/>
    </row>
    <row r="27310" spans="1:14" s="2" customFormat="1">
      <c r="A27310" s="83"/>
      <c r="H27310" s="83"/>
      <c r="K27310" s="82"/>
      <c r="M27310" s="112"/>
      <c r="N27310" s="84"/>
    </row>
    <row r="27311" spans="1:14" s="2" customFormat="1">
      <c r="A27311" s="83"/>
      <c r="H27311" s="83"/>
      <c r="K27311" s="82"/>
      <c r="M27311" s="112"/>
      <c r="N27311" s="84"/>
    </row>
    <row r="27312" spans="1:14" s="2" customFormat="1">
      <c r="A27312" s="83"/>
      <c r="H27312" s="83"/>
      <c r="K27312" s="82"/>
      <c r="M27312" s="112"/>
      <c r="N27312" s="84"/>
    </row>
    <row r="27313" spans="1:14" s="2" customFormat="1">
      <c r="A27313" s="83"/>
      <c r="H27313" s="83"/>
      <c r="K27313" s="82"/>
      <c r="M27313" s="112"/>
      <c r="N27313" s="84"/>
    </row>
    <row r="27314" spans="1:14" s="2" customFormat="1">
      <c r="A27314" s="83"/>
      <c r="H27314" s="83"/>
      <c r="K27314" s="82"/>
      <c r="M27314" s="112"/>
      <c r="N27314" s="84"/>
    </row>
    <row r="27315" spans="1:14" s="2" customFormat="1">
      <c r="A27315" s="83"/>
      <c r="H27315" s="83"/>
      <c r="K27315" s="82"/>
      <c r="M27315" s="112"/>
      <c r="N27315" s="84"/>
    </row>
    <row r="27316" spans="1:14" s="2" customFormat="1">
      <c r="A27316" s="83"/>
      <c r="H27316" s="83"/>
      <c r="K27316" s="82"/>
      <c r="M27316" s="112"/>
      <c r="N27316" s="84"/>
    </row>
    <row r="27317" spans="1:14" s="2" customFormat="1">
      <c r="A27317" s="83"/>
      <c r="H27317" s="83"/>
      <c r="K27317" s="82"/>
      <c r="M27317" s="112"/>
      <c r="N27317" s="84"/>
    </row>
    <row r="27318" spans="1:14" s="2" customFormat="1">
      <c r="A27318" s="83"/>
      <c r="H27318" s="83"/>
      <c r="K27318" s="82"/>
      <c r="M27318" s="112"/>
      <c r="N27318" s="84"/>
    </row>
    <row r="27319" spans="1:14" s="2" customFormat="1">
      <c r="A27319" s="83"/>
      <c r="H27319" s="83"/>
      <c r="K27319" s="82"/>
      <c r="M27319" s="112"/>
      <c r="N27319" s="84"/>
    </row>
    <row r="27320" spans="1:14" s="2" customFormat="1">
      <c r="A27320" s="83"/>
      <c r="H27320" s="83"/>
      <c r="K27320" s="82"/>
      <c r="M27320" s="112"/>
      <c r="N27320" s="84"/>
    </row>
    <row r="27321" spans="1:14" s="2" customFormat="1">
      <c r="A27321" s="83"/>
      <c r="H27321" s="83"/>
      <c r="K27321" s="82"/>
      <c r="M27321" s="112"/>
      <c r="N27321" s="84"/>
    </row>
    <row r="27322" spans="1:14" s="2" customFormat="1">
      <c r="A27322" s="83"/>
      <c r="H27322" s="83"/>
      <c r="K27322" s="82"/>
      <c r="M27322" s="112"/>
      <c r="N27322" s="84"/>
    </row>
    <row r="27323" spans="1:14" s="2" customFormat="1">
      <c r="A27323" s="83"/>
      <c r="H27323" s="83"/>
      <c r="K27323" s="82"/>
      <c r="M27323" s="112"/>
      <c r="N27323" s="84"/>
    </row>
    <row r="27324" spans="1:14" s="2" customFormat="1">
      <c r="A27324" s="83"/>
      <c r="H27324" s="83"/>
      <c r="K27324" s="82"/>
      <c r="M27324" s="112"/>
      <c r="N27324" s="84"/>
    </row>
    <row r="27325" spans="1:14" s="2" customFormat="1">
      <c r="A27325" s="83"/>
      <c r="H27325" s="83"/>
      <c r="K27325" s="82"/>
      <c r="M27325" s="112"/>
      <c r="N27325" s="84"/>
    </row>
    <row r="27326" spans="1:14" s="2" customFormat="1">
      <c r="A27326" s="83"/>
      <c r="H27326" s="83"/>
      <c r="K27326" s="82"/>
      <c r="M27326" s="112"/>
      <c r="N27326" s="84"/>
    </row>
    <row r="27327" spans="1:14" s="2" customFormat="1">
      <c r="A27327" s="83"/>
      <c r="H27327" s="83"/>
      <c r="K27327" s="82"/>
      <c r="M27327" s="112"/>
      <c r="N27327" s="84"/>
    </row>
    <row r="27328" spans="1:14" s="2" customFormat="1">
      <c r="A27328" s="83"/>
      <c r="H27328" s="83"/>
      <c r="K27328" s="82"/>
      <c r="M27328" s="112"/>
      <c r="N27328" s="84"/>
    </row>
    <row r="27329" spans="1:14" s="2" customFormat="1">
      <c r="A27329" s="83"/>
      <c r="H27329" s="83"/>
      <c r="K27329" s="82"/>
      <c r="M27329" s="112"/>
      <c r="N27329" s="84"/>
    </row>
    <row r="27330" spans="1:14" s="2" customFormat="1">
      <c r="A27330" s="83"/>
      <c r="H27330" s="83"/>
      <c r="K27330" s="82"/>
      <c r="M27330" s="112"/>
      <c r="N27330" s="84"/>
    </row>
    <row r="27331" spans="1:14" s="2" customFormat="1">
      <c r="A27331" s="83"/>
      <c r="H27331" s="83"/>
      <c r="K27331" s="82"/>
      <c r="M27331" s="112"/>
      <c r="N27331" s="84"/>
    </row>
    <row r="27332" spans="1:14" s="2" customFormat="1">
      <c r="A27332" s="83"/>
      <c r="H27332" s="83"/>
      <c r="K27332" s="82"/>
      <c r="M27332" s="112"/>
      <c r="N27332" s="84"/>
    </row>
    <row r="27333" spans="1:14" s="2" customFormat="1">
      <c r="A27333" s="83"/>
      <c r="H27333" s="83"/>
      <c r="K27333" s="82"/>
      <c r="M27333" s="112"/>
      <c r="N27333" s="84"/>
    </row>
    <row r="27334" spans="1:14" s="2" customFormat="1">
      <c r="A27334" s="83"/>
      <c r="H27334" s="83"/>
      <c r="K27334" s="82"/>
      <c r="M27334" s="112"/>
      <c r="N27334" s="84"/>
    </row>
    <row r="27335" spans="1:14" s="2" customFormat="1">
      <c r="A27335" s="83"/>
      <c r="H27335" s="83"/>
      <c r="K27335" s="82"/>
      <c r="M27335" s="112"/>
      <c r="N27335" s="84"/>
    </row>
    <row r="27336" spans="1:14" s="2" customFormat="1">
      <c r="A27336" s="83"/>
      <c r="H27336" s="83"/>
      <c r="K27336" s="82"/>
      <c r="M27336" s="112"/>
      <c r="N27336" s="84"/>
    </row>
    <row r="27337" spans="1:14" s="2" customFormat="1">
      <c r="A27337" s="83"/>
      <c r="H27337" s="83"/>
      <c r="K27337" s="82"/>
      <c r="M27337" s="112"/>
      <c r="N27337" s="84"/>
    </row>
    <row r="27338" spans="1:14" s="2" customFormat="1">
      <c r="A27338" s="83"/>
      <c r="H27338" s="83"/>
      <c r="K27338" s="82"/>
      <c r="M27338" s="112"/>
      <c r="N27338" s="84"/>
    </row>
    <row r="27339" spans="1:14" s="2" customFormat="1">
      <c r="A27339" s="83"/>
      <c r="H27339" s="83"/>
      <c r="K27339" s="82"/>
      <c r="M27339" s="112"/>
      <c r="N27339" s="84"/>
    </row>
    <row r="27340" spans="1:14" s="2" customFormat="1">
      <c r="A27340" s="83"/>
      <c r="H27340" s="83"/>
      <c r="K27340" s="82"/>
      <c r="M27340" s="112"/>
      <c r="N27340" s="84"/>
    </row>
    <row r="27341" spans="1:14" s="2" customFormat="1">
      <c r="A27341" s="83"/>
      <c r="H27341" s="83"/>
      <c r="K27341" s="82"/>
      <c r="M27341" s="112"/>
      <c r="N27341" s="84"/>
    </row>
    <row r="27342" spans="1:14" s="2" customFormat="1">
      <c r="A27342" s="83"/>
      <c r="H27342" s="83"/>
      <c r="K27342" s="82"/>
      <c r="M27342" s="112"/>
      <c r="N27342" s="84"/>
    </row>
    <row r="27343" spans="1:14" s="2" customFormat="1">
      <c r="A27343" s="83"/>
      <c r="H27343" s="83"/>
      <c r="K27343" s="82"/>
      <c r="M27343" s="112"/>
      <c r="N27343" s="84"/>
    </row>
    <row r="27344" spans="1:14" s="2" customFormat="1">
      <c r="A27344" s="83"/>
      <c r="H27344" s="83"/>
      <c r="K27344" s="82"/>
      <c r="M27344" s="112"/>
      <c r="N27344" s="84"/>
    </row>
    <row r="27345" spans="1:14" s="2" customFormat="1">
      <c r="A27345" s="83"/>
      <c r="H27345" s="83"/>
      <c r="K27345" s="82"/>
      <c r="M27345" s="112"/>
      <c r="N27345" s="84"/>
    </row>
    <row r="27346" spans="1:14" s="2" customFormat="1">
      <c r="A27346" s="83"/>
      <c r="H27346" s="83"/>
      <c r="K27346" s="82"/>
      <c r="M27346" s="112"/>
      <c r="N27346" s="84"/>
    </row>
    <row r="27347" spans="1:14" s="2" customFormat="1">
      <c r="A27347" s="83"/>
      <c r="H27347" s="83"/>
      <c r="K27347" s="82"/>
      <c r="M27347" s="112"/>
      <c r="N27347" s="84"/>
    </row>
    <row r="27348" spans="1:14" s="2" customFormat="1">
      <c r="A27348" s="83"/>
      <c r="H27348" s="83"/>
      <c r="K27348" s="82"/>
      <c r="M27348" s="112"/>
      <c r="N27348" s="84"/>
    </row>
    <row r="27349" spans="1:14" s="2" customFormat="1">
      <c r="A27349" s="83"/>
      <c r="H27349" s="83"/>
      <c r="K27349" s="82"/>
      <c r="M27349" s="112"/>
      <c r="N27349" s="84"/>
    </row>
    <row r="27350" spans="1:14" s="2" customFormat="1">
      <c r="A27350" s="83"/>
      <c r="H27350" s="83"/>
      <c r="K27350" s="82"/>
      <c r="M27350" s="112"/>
      <c r="N27350" s="84"/>
    </row>
    <row r="27351" spans="1:14" s="2" customFormat="1">
      <c r="A27351" s="83"/>
      <c r="H27351" s="83"/>
      <c r="K27351" s="82"/>
      <c r="M27351" s="112"/>
      <c r="N27351" s="84"/>
    </row>
    <row r="27352" spans="1:14" s="2" customFormat="1">
      <c r="A27352" s="83"/>
      <c r="H27352" s="83"/>
      <c r="K27352" s="82"/>
      <c r="M27352" s="112"/>
      <c r="N27352" s="84"/>
    </row>
    <row r="27353" spans="1:14" s="2" customFormat="1">
      <c r="A27353" s="83"/>
      <c r="H27353" s="83"/>
      <c r="K27353" s="82"/>
      <c r="M27353" s="112"/>
      <c r="N27353" s="84"/>
    </row>
    <row r="27354" spans="1:14" s="2" customFormat="1">
      <c r="A27354" s="83"/>
      <c r="H27354" s="83"/>
      <c r="K27354" s="82"/>
      <c r="M27354" s="112"/>
      <c r="N27354" s="84"/>
    </row>
    <row r="27355" spans="1:14" s="2" customFormat="1">
      <c r="A27355" s="83"/>
      <c r="H27355" s="83"/>
      <c r="K27355" s="82"/>
      <c r="M27355" s="112"/>
      <c r="N27355" s="84"/>
    </row>
    <row r="27356" spans="1:14" s="2" customFormat="1">
      <c r="A27356" s="83"/>
      <c r="H27356" s="83"/>
      <c r="K27356" s="82"/>
      <c r="M27356" s="112"/>
      <c r="N27356" s="84"/>
    </row>
    <row r="27357" spans="1:14" s="2" customFormat="1">
      <c r="A27357" s="83"/>
      <c r="H27357" s="83"/>
      <c r="K27357" s="82"/>
      <c r="M27357" s="112"/>
      <c r="N27357" s="84"/>
    </row>
    <row r="27358" spans="1:14" s="2" customFormat="1">
      <c r="A27358" s="83"/>
      <c r="H27358" s="83"/>
      <c r="K27358" s="82"/>
      <c r="M27358" s="112"/>
      <c r="N27358" s="84"/>
    </row>
    <row r="27359" spans="1:14" s="2" customFormat="1">
      <c r="A27359" s="83"/>
      <c r="H27359" s="83"/>
      <c r="K27359" s="82"/>
      <c r="M27359" s="112"/>
      <c r="N27359" s="84"/>
    </row>
    <row r="27360" spans="1:14" s="2" customFormat="1">
      <c r="A27360" s="83"/>
      <c r="H27360" s="83"/>
      <c r="K27360" s="82"/>
      <c r="M27360" s="112"/>
      <c r="N27360" s="84"/>
    </row>
    <row r="27361" spans="1:14" s="2" customFormat="1">
      <c r="A27361" s="83"/>
      <c r="H27361" s="83"/>
      <c r="K27361" s="82"/>
      <c r="M27361" s="112"/>
      <c r="N27361" s="84"/>
    </row>
    <row r="27362" spans="1:14" s="2" customFormat="1">
      <c r="A27362" s="83"/>
      <c r="H27362" s="83"/>
      <c r="K27362" s="82"/>
      <c r="M27362" s="112"/>
      <c r="N27362" s="84"/>
    </row>
    <row r="27363" spans="1:14" s="2" customFormat="1">
      <c r="A27363" s="83"/>
      <c r="H27363" s="83"/>
      <c r="K27363" s="82"/>
      <c r="M27363" s="112"/>
      <c r="N27363" s="84"/>
    </row>
    <row r="27364" spans="1:14" s="2" customFormat="1">
      <c r="A27364" s="83"/>
      <c r="H27364" s="83"/>
      <c r="K27364" s="82"/>
      <c r="M27364" s="112"/>
      <c r="N27364" s="84"/>
    </row>
    <row r="27365" spans="1:14" s="2" customFormat="1">
      <c r="A27365" s="83"/>
      <c r="H27365" s="83"/>
      <c r="K27365" s="82"/>
      <c r="M27365" s="112"/>
      <c r="N27365" s="84"/>
    </row>
    <row r="27366" spans="1:14" s="2" customFormat="1">
      <c r="A27366" s="83"/>
      <c r="H27366" s="83"/>
      <c r="K27366" s="82"/>
      <c r="M27366" s="112"/>
      <c r="N27366" s="84"/>
    </row>
    <row r="27367" spans="1:14" s="2" customFormat="1">
      <c r="A27367" s="83"/>
      <c r="H27367" s="83"/>
      <c r="K27367" s="82"/>
      <c r="M27367" s="112"/>
      <c r="N27367" s="84"/>
    </row>
    <row r="27368" spans="1:14" s="2" customFormat="1">
      <c r="A27368" s="83"/>
      <c r="H27368" s="83"/>
      <c r="K27368" s="82"/>
      <c r="M27368" s="112"/>
      <c r="N27368" s="84"/>
    </row>
    <row r="27369" spans="1:14" s="2" customFormat="1">
      <c r="A27369" s="83"/>
      <c r="H27369" s="83"/>
      <c r="K27369" s="82"/>
      <c r="M27369" s="112"/>
      <c r="N27369" s="84"/>
    </row>
    <row r="27370" spans="1:14" s="2" customFormat="1">
      <c r="A27370" s="83"/>
      <c r="H27370" s="83"/>
      <c r="K27370" s="82"/>
      <c r="M27370" s="112"/>
      <c r="N27370" s="84"/>
    </row>
    <row r="27371" spans="1:14" s="2" customFormat="1">
      <c r="A27371" s="83"/>
      <c r="H27371" s="83"/>
      <c r="K27371" s="82"/>
      <c r="M27371" s="112"/>
      <c r="N27371" s="84"/>
    </row>
    <row r="27372" spans="1:14" s="2" customFormat="1">
      <c r="A27372" s="83"/>
      <c r="H27372" s="83"/>
      <c r="K27372" s="82"/>
      <c r="M27372" s="112"/>
      <c r="N27372" s="84"/>
    </row>
    <row r="27373" spans="1:14" s="2" customFormat="1">
      <c r="A27373" s="83"/>
      <c r="H27373" s="83"/>
      <c r="K27373" s="82"/>
      <c r="M27373" s="112"/>
      <c r="N27373" s="84"/>
    </row>
    <row r="27374" spans="1:14" s="2" customFormat="1">
      <c r="A27374" s="83"/>
      <c r="H27374" s="83"/>
      <c r="K27374" s="82"/>
      <c r="M27374" s="112"/>
      <c r="N27374" s="84"/>
    </row>
    <row r="27375" spans="1:14" s="2" customFormat="1">
      <c r="A27375" s="83"/>
      <c r="H27375" s="83"/>
      <c r="K27375" s="82"/>
      <c r="M27375" s="112"/>
      <c r="N27375" s="84"/>
    </row>
    <row r="27376" spans="1:14" s="2" customFormat="1">
      <c r="A27376" s="83"/>
      <c r="H27376" s="83"/>
      <c r="K27376" s="82"/>
      <c r="M27376" s="112"/>
      <c r="N27376" s="84"/>
    </row>
    <row r="27377" spans="1:14" s="2" customFormat="1">
      <c r="A27377" s="83"/>
      <c r="H27377" s="83"/>
      <c r="K27377" s="82"/>
      <c r="M27377" s="112"/>
      <c r="N27377" s="84"/>
    </row>
    <row r="27378" spans="1:14" s="2" customFormat="1">
      <c r="A27378" s="83"/>
      <c r="H27378" s="83"/>
      <c r="K27378" s="82"/>
      <c r="M27378" s="112"/>
      <c r="N27378" s="84"/>
    </row>
    <row r="27379" spans="1:14" s="2" customFormat="1">
      <c r="A27379" s="83"/>
      <c r="H27379" s="83"/>
      <c r="K27379" s="82"/>
      <c r="M27379" s="112"/>
      <c r="N27379" s="84"/>
    </row>
    <row r="27380" spans="1:14" s="2" customFormat="1">
      <c r="A27380" s="83"/>
      <c r="H27380" s="83"/>
      <c r="K27380" s="82"/>
      <c r="M27380" s="112"/>
      <c r="N27380" s="84"/>
    </row>
    <row r="27381" spans="1:14" s="2" customFormat="1">
      <c r="A27381" s="83"/>
      <c r="H27381" s="83"/>
      <c r="K27381" s="82"/>
      <c r="M27381" s="112"/>
      <c r="N27381" s="84"/>
    </row>
    <row r="27382" spans="1:14" s="2" customFormat="1">
      <c r="A27382" s="83"/>
      <c r="H27382" s="83"/>
      <c r="K27382" s="82"/>
      <c r="M27382" s="112"/>
      <c r="N27382" s="84"/>
    </row>
    <row r="27383" spans="1:14" s="2" customFormat="1">
      <c r="A27383" s="83"/>
      <c r="H27383" s="83"/>
      <c r="K27383" s="82"/>
      <c r="M27383" s="112"/>
      <c r="N27383" s="84"/>
    </row>
    <row r="27384" spans="1:14" s="2" customFormat="1">
      <c r="A27384" s="83"/>
      <c r="H27384" s="83"/>
      <c r="K27384" s="82"/>
      <c r="M27384" s="112"/>
      <c r="N27384" s="84"/>
    </row>
    <row r="27385" spans="1:14" s="2" customFormat="1">
      <c r="A27385" s="83"/>
      <c r="H27385" s="83"/>
      <c r="K27385" s="82"/>
      <c r="M27385" s="112"/>
      <c r="N27385" s="84"/>
    </row>
    <row r="27386" spans="1:14" s="2" customFormat="1">
      <c r="A27386" s="83"/>
      <c r="H27386" s="83"/>
      <c r="K27386" s="82"/>
      <c r="M27386" s="112"/>
      <c r="N27386" s="84"/>
    </row>
    <row r="27387" spans="1:14" s="2" customFormat="1">
      <c r="A27387" s="83"/>
      <c r="H27387" s="83"/>
      <c r="K27387" s="82"/>
      <c r="M27387" s="112"/>
      <c r="N27387" s="84"/>
    </row>
    <row r="27388" spans="1:14" s="2" customFormat="1">
      <c r="A27388" s="83"/>
      <c r="H27388" s="83"/>
      <c r="K27388" s="82"/>
      <c r="M27388" s="112"/>
      <c r="N27388" s="84"/>
    </row>
    <row r="27389" spans="1:14" s="2" customFormat="1">
      <c r="A27389" s="83"/>
      <c r="H27389" s="83"/>
      <c r="K27389" s="82"/>
      <c r="M27389" s="112"/>
      <c r="N27389" s="84"/>
    </row>
    <row r="27390" spans="1:14" s="2" customFormat="1">
      <c r="A27390" s="83"/>
      <c r="H27390" s="83"/>
      <c r="K27390" s="82"/>
      <c r="M27390" s="112"/>
      <c r="N27390" s="84"/>
    </row>
    <row r="27391" spans="1:14" s="2" customFormat="1">
      <c r="A27391" s="83"/>
      <c r="H27391" s="83"/>
      <c r="K27391" s="82"/>
      <c r="M27391" s="112"/>
      <c r="N27391" s="84"/>
    </row>
    <row r="27392" spans="1:14" s="2" customFormat="1">
      <c r="A27392" s="83"/>
      <c r="H27392" s="83"/>
      <c r="K27392" s="82"/>
      <c r="M27392" s="112"/>
      <c r="N27392" s="84"/>
    </row>
    <row r="27393" spans="1:14" s="2" customFormat="1">
      <c r="A27393" s="83"/>
      <c r="H27393" s="83"/>
      <c r="K27393" s="82"/>
      <c r="M27393" s="112"/>
      <c r="N27393" s="84"/>
    </row>
    <row r="27394" spans="1:14" s="2" customFormat="1">
      <c r="A27394" s="83"/>
      <c r="H27394" s="83"/>
      <c r="K27394" s="82"/>
      <c r="M27394" s="112"/>
      <c r="N27394" s="84"/>
    </row>
    <row r="27395" spans="1:14" s="2" customFormat="1">
      <c r="A27395" s="83"/>
      <c r="H27395" s="83"/>
      <c r="K27395" s="82"/>
      <c r="M27395" s="112"/>
      <c r="N27395" s="84"/>
    </row>
    <row r="27396" spans="1:14" s="2" customFormat="1">
      <c r="A27396" s="83"/>
      <c r="H27396" s="83"/>
      <c r="K27396" s="82"/>
      <c r="M27396" s="112"/>
      <c r="N27396" s="84"/>
    </row>
    <row r="27397" spans="1:14" s="2" customFormat="1">
      <c r="A27397" s="83"/>
      <c r="H27397" s="83"/>
      <c r="K27397" s="82"/>
      <c r="M27397" s="112"/>
      <c r="N27397" s="84"/>
    </row>
    <row r="27398" spans="1:14" s="2" customFormat="1">
      <c r="A27398" s="83"/>
      <c r="H27398" s="83"/>
      <c r="K27398" s="82"/>
      <c r="M27398" s="112"/>
      <c r="N27398" s="84"/>
    </row>
    <row r="27399" spans="1:14" s="2" customFormat="1">
      <c r="A27399" s="83"/>
      <c r="H27399" s="83"/>
      <c r="K27399" s="82"/>
      <c r="M27399" s="112"/>
      <c r="N27399" s="84"/>
    </row>
    <row r="27400" spans="1:14" s="2" customFormat="1">
      <c r="A27400" s="83"/>
      <c r="H27400" s="83"/>
      <c r="K27400" s="82"/>
      <c r="M27400" s="112"/>
      <c r="N27400" s="84"/>
    </row>
    <row r="27401" spans="1:14" s="2" customFormat="1">
      <c r="A27401" s="83"/>
      <c r="H27401" s="83"/>
      <c r="K27401" s="82"/>
      <c r="M27401" s="112"/>
      <c r="N27401" s="84"/>
    </row>
    <row r="27402" spans="1:14" s="2" customFormat="1">
      <c r="A27402" s="83"/>
      <c r="H27402" s="83"/>
      <c r="K27402" s="82"/>
      <c r="M27402" s="112"/>
      <c r="N27402" s="84"/>
    </row>
    <row r="27403" spans="1:14" s="2" customFormat="1">
      <c r="A27403" s="83"/>
      <c r="H27403" s="83"/>
      <c r="K27403" s="82"/>
      <c r="M27403" s="112"/>
      <c r="N27403" s="84"/>
    </row>
    <row r="27404" spans="1:14" s="2" customFormat="1">
      <c r="A27404" s="83"/>
      <c r="H27404" s="83"/>
      <c r="K27404" s="82"/>
      <c r="M27404" s="112"/>
      <c r="N27404" s="84"/>
    </row>
    <row r="27405" spans="1:14" s="2" customFormat="1">
      <c r="A27405" s="83"/>
      <c r="H27405" s="83"/>
      <c r="K27405" s="82"/>
      <c r="M27405" s="112"/>
      <c r="N27405" s="84"/>
    </row>
    <row r="27406" spans="1:14" s="2" customFormat="1">
      <c r="A27406" s="83"/>
      <c r="H27406" s="83"/>
      <c r="K27406" s="82"/>
      <c r="M27406" s="112"/>
      <c r="N27406" s="84"/>
    </row>
    <row r="27407" spans="1:14" s="2" customFormat="1">
      <c r="A27407" s="83"/>
      <c r="H27407" s="83"/>
      <c r="K27407" s="82"/>
      <c r="M27407" s="112"/>
      <c r="N27407" s="84"/>
    </row>
    <row r="27408" spans="1:14" s="2" customFormat="1">
      <c r="A27408" s="83"/>
      <c r="H27408" s="83"/>
      <c r="K27408" s="82"/>
      <c r="M27408" s="112"/>
      <c r="N27408" s="84"/>
    </row>
    <row r="27409" spans="1:14" s="2" customFormat="1">
      <c r="A27409" s="83"/>
      <c r="H27409" s="83"/>
      <c r="K27409" s="82"/>
      <c r="M27409" s="112"/>
      <c r="N27409" s="84"/>
    </row>
    <row r="27410" spans="1:14" s="2" customFormat="1">
      <c r="A27410" s="83"/>
      <c r="H27410" s="83"/>
      <c r="K27410" s="82"/>
      <c r="M27410" s="112"/>
      <c r="N27410" s="84"/>
    </row>
    <row r="27411" spans="1:14" s="2" customFormat="1">
      <c r="A27411" s="83"/>
      <c r="H27411" s="83"/>
      <c r="K27411" s="82"/>
      <c r="M27411" s="112"/>
      <c r="N27411" s="84"/>
    </row>
    <row r="27412" spans="1:14" s="2" customFormat="1">
      <c r="A27412" s="83"/>
      <c r="H27412" s="83"/>
      <c r="K27412" s="82"/>
      <c r="M27412" s="112"/>
      <c r="N27412" s="84"/>
    </row>
    <row r="27413" spans="1:14" s="2" customFormat="1">
      <c r="A27413" s="83"/>
      <c r="H27413" s="83"/>
      <c r="K27413" s="82"/>
      <c r="M27413" s="112"/>
      <c r="N27413" s="84"/>
    </row>
    <row r="27414" spans="1:14" s="2" customFormat="1">
      <c r="A27414" s="83"/>
      <c r="H27414" s="83"/>
      <c r="K27414" s="82"/>
      <c r="M27414" s="112"/>
      <c r="N27414" s="84"/>
    </row>
    <row r="27415" spans="1:14" s="2" customFormat="1">
      <c r="A27415" s="83"/>
      <c r="H27415" s="83"/>
      <c r="K27415" s="82"/>
      <c r="M27415" s="112"/>
      <c r="N27415" s="84"/>
    </row>
    <row r="27416" spans="1:14" s="2" customFormat="1">
      <c r="A27416" s="83"/>
      <c r="H27416" s="83"/>
      <c r="K27416" s="82"/>
      <c r="M27416" s="112"/>
      <c r="N27416" s="84"/>
    </row>
    <row r="27417" spans="1:14" s="2" customFormat="1">
      <c r="A27417" s="83"/>
      <c r="H27417" s="83"/>
      <c r="K27417" s="82"/>
      <c r="M27417" s="112"/>
      <c r="N27417" s="84"/>
    </row>
    <row r="27418" spans="1:14" s="2" customFormat="1">
      <c r="A27418" s="83"/>
      <c r="H27418" s="83"/>
      <c r="K27418" s="82"/>
      <c r="M27418" s="112"/>
      <c r="N27418" s="84"/>
    </row>
    <row r="27419" spans="1:14" s="2" customFormat="1">
      <c r="A27419" s="83"/>
      <c r="H27419" s="83"/>
      <c r="K27419" s="82"/>
      <c r="M27419" s="112"/>
      <c r="N27419" s="84"/>
    </row>
    <row r="27420" spans="1:14" s="2" customFormat="1">
      <c r="A27420" s="83"/>
      <c r="H27420" s="83"/>
      <c r="K27420" s="82"/>
      <c r="M27420" s="112"/>
      <c r="N27420" s="84"/>
    </row>
    <row r="27421" spans="1:14" s="2" customFormat="1">
      <c r="A27421" s="83"/>
      <c r="H27421" s="83"/>
      <c r="K27421" s="82"/>
      <c r="M27421" s="112"/>
      <c r="N27421" s="84"/>
    </row>
    <row r="27422" spans="1:14" s="2" customFormat="1">
      <c r="A27422" s="83"/>
      <c r="H27422" s="83"/>
      <c r="K27422" s="82"/>
      <c r="M27422" s="112"/>
      <c r="N27422" s="84"/>
    </row>
    <row r="27423" spans="1:14" s="2" customFormat="1">
      <c r="A27423" s="83"/>
      <c r="H27423" s="83"/>
      <c r="K27423" s="82"/>
      <c r="M27423" s="112"/>
      <c r="N27423" s="84"/>
    </row>
    <row r="27424" spans="1:14" s="2" customFormat="1">
      <c r="A27424" s="83"/>
      <c r="H27424" s="83"/>
      <c r="K27424" s="82"/>
      <c r="M27424" s="112"/>
      <c r="N27424" s="84"/>
    </row>
    <row r="27425" spans="1:14" s="2" customFormat="1">
      <c r="A27425" s="83"/>
      <c r="H27425" s="83"/>
      <c r="K27425" s="82"/>
      <c r="M27425" s="112"/>
      <c r="N27425" s="84"/>
    </row>
    <row r="27426" spans="1:14" s="2" customFormat="1">
      <c r="A27426" s="83"/>
      <c r="H27426" s="83"/>
      <c r="K27426" s="82"/>
      <c r="M27426" s="112"/>
      <c r="N27426" s="84"/>
    </row>
    <row r="27427" spans="1:14" s="2" customFormat="1">
      <c r="A27427" s="83"/>
      <c r="H27427" s="83"/>
      <c r="K27427" s="82"/>
      <c r="M27427" s="112"/>
      <c r="N27427" s="84"/>
    </row>
    <row r="27428" spans="1:14" s="2" customFormat="1">
      <c r="A27428" s="83"/>
      <c r="H27428" s="83"/>
      <c r="K27428" s="82"/>
      <c r="M27428" s="112"/>
      <c r="N27428" s="84"/>
    </row>
    <row r="27429" spans="1:14" s="2" customFormat="1">
      <c r="A27429" s="83"/>
      <c r="H27429" s="83"/>
      <c r="K27429" s="82"/>
      <c r="M27429" s="112"/>
      <c r="N27429" s="84"/>
    </row>
    <row r="27430" spans="1:14" s="2" customFormat="1">
      <c r="A27430" s="83"/>
      <c r="H27430" s="83"/>
      <c r="K27430" s="82"/>
      <c r="M27430" s="112"/>
      <c r="N27430" s="84"/>
    </row>
    <row r="27431" spans="1:14" s="2" customFormat="1">
      <c r="A27431" s="83"/>
      <c r="H27431" s="83"/>
      <c r="K27431" s="82"/>
      <c r="M27431" s="112"/>
      <c r="N27431" s="84"/>
    </row>
    <row r="27432" spans="1:14" s="2" customFormat="1">
      <c r="A27432" s="83"/>
      <c r="H27432" s="83"/>
      <c r="K27432" s="82"/>
      <c r="M27432" s="112"/>
      <c r="N27432" s="84"/>
    </row>
    <row r="27433" spans="1:14" s="2" customFormat="1">
      <c r="A27433" s="83"/>
      <c r="H27433" s="83"/>
      <c r="K27433" s="82"/>
      <c r="M27433" s="112"/>
      <c r="N27433" s="84"/>
    </row>
    <row r="27434" spans="1:14" s="2" customFormat="1">
      <c r="A27434" s="83"/>
      <c r="H27434" s="83"/>
      <c r="K27434" s="82"/>
      <c r="M27434" s="112"/>
      <c r="N27434" s="84"/>
    </row>
    <row r="27435" spans="1:14" s="2" customFormat="1">
      <c r="A27435" s="83"/>
      <c r="H27435" s="83"/>
      <c r="K27435" s="82"/>
      <c r="M27435" s="112"/>
      <c r="N27435" s="84"/>
    </row>
    <row r="27436" spans="1:14" s="2" customFormat="1">
      <c r="A27436" s="83"/>
      <c r="H27436" s="83"/>
      <c r="K27436" s="82"/>
      <c r="M27436" s="112"/>
      <c r="N27436" s="84"/>
    </row>
    <row r="27437" spans="1:14" s="2" customFormat="1">
      <c r="A27437" s="83"/>
      <c r="H27437" s="83"/>
      <c r="K27437" s="82"/>
      <c r="M27437" s="112"/>
      <c r="N27437" s="84"/>
    </row>
    <row r="27438" spans="1:14" s="2" customFormat="1">
      <c r="A27438" s="83"/>
      <c r="H27438" s="83"/>
      <c r="K27438" s="82"/>
      <c r="M27438" s="112"/>
      <c r="N27438" s="84"/>
    </row>
    <row r="27439" spans="1:14" s="2" customFormat="1">
      <c r="A27439" s="83"/>
      <c r="H27439" s="83"/>
      <c r="K27439" s="82"/>
      <c r="M27439" s="112"/>
      <c r="N27439" s="84"/>
    </row>
    <row r="27440" spans="1:14" s="2" customFormat="1">
      <c r="A27440" s="83"/>
      <c r="H27440" s="83"/>
      <c r="K27440" s="82"/>
      <c r="M27440" s="112"/>
      <c r="N27440" s="84"/>
    </row>
    <row r="27441" spans="1:14" s="2" customFormat="1">
      <c r="A27441" s="83"/>
      <c r="H27441" s="83"/>
      <c r="K27441" s="82"/>
      <c r="M27441" s="112"/>
      <c r="N27441" s="84"/>
    </row>
    <row r="27442" spans="1:14" s="2" customFormat="1">
      <c r="A27442" s="83"/>
      <c r="H27442" s="83"/>
      <c r="K27442" s="82"/>
      <c r="M27442" s="112"/>
      <c r="N27442" s="84"/>
    </row>
    <row r="27443" spans="1:14" s="2" customFormat="1">
      <c r="A27443" s="83"/>
      <c r="H27443" s="83"/>
      <c r="K27443" s="82"/>
      <c r="M27443" s="112"/>
      <c r="N27443" s="84"/>
    </row>
    <row r="27444" spans="1:14" s="2" customFormat="1">
      <c r="A27444" s="83"/>
      <c r="H27444" s="83"/>
      <c r="K27444" s="82"/>
      <c r="M27444" s="112"/>
      <c r="N27444" s="84"/>
    </row>
    <row r="27445" spans="1:14" s="2" customFormat="1">
      <c r="A27445" s="83"/>
      <c r="H27445" s="83"/>
      <c r="K27445" s="82"/>
      <c r="M27445" s="112"/>
      <c r="N27445" s="84"/>
    </row>
    <row r="27446" spans="1:14" s="2" customFormat="1">
      <c r="A27446" s="83"/>
      <c r="H27446" s="83"/>
      <c r="K27446" s="82"/>
      <c r="M27446" s="112"/>
      <c r="N27446" s="84"/>
    </row>
    <row r="27447" spans="1:14" s="2" customFormat="1">
      <c r="A27447" s="83"/>
      <c r="H27447" s="83"/>
      <c r="K27447" s="82"/>
      <c r="M27447" s="112"/>
      <c r="N27447" s="84"/>
    </row>
    <row r="27448" spans="1:14" s="2" customFormat="1">
      <c r="A27448" s="83"/>
      <c r="H27448" s="83"/>
      <c r="K27448" s="82"/>
      <c r="M27448" s="112"/>
      <c r="N27448" s="84"/>
    </row>
    <row r="27449" spans="1:14" s="2" customFormat="1">
      <c r="A27449" s="83"/>
      <c r="H27449" s="83"/>
      <c r="K27449" s="82"/>
      <c r="M27449" s="112"/>
      <c r="N27449" s="84"/>
    </row>
    <row r="27450" spans="1:14" s="2" customFormat="1">
      <c r="A27450" s="83"/>
      <c r="H27450" s="83"/>
      <c r="K27450" s="82"/>
      <c r="M27450" s="112"/>
      <c r="N27450" s="84"/>
    </row>
    <row r="27451" spans="1:14" s="2" customFormat="1">
      <c r="A27451" s="83"/>
      <c r="H27451" s="83"/>
      <c r="K27451" s="82"/>
      <c r="M27451" s="112"/>
      <c r="N27451" s="84"/>
    </row>
    <row r="27452" spans="1:14" s="2" customFormat="1">
      <c r="A27452" s="83"/>
      <c r="H27452" s="83"/>
      <c r="K27452" s="82"/>
      <c r="M27452" s="112"/>
      <c r="N27452" s="84"/>
    </row>
    <row r="27453" spans="1:14" s="2" customFormat="1">
      <c r="A27453" s="83"/>
      <c r="H27453" s="83"/>
      <c r="K27453" s="82"/>
      <c r="M27453" s="112"/>
      <c r="N27453" s="84"/>
    </row>
    <row r="27454" spans="1:14" s="2" customFormat="1">
      <c r="A27454" s="83"/>
      <c r="H27454" s="83"/>
      <c r="K27454" s="82"/>
      <c r="M27454" s="112"/>
      <c r="N27454" s="84"/>
    </row>
    <row r="27455" spans="1:14" s="2" customFormat="1">
      <c r="A27455" s="83"/>
      <c r="H27455" s="83"/>
      <c r="K27455" s="82"/>
      <c r="M27455" s="112"/>
      <c r="N27455" s="84"/>
    </row>
    <row r="27456" spans="1:14" s="2" customFormat="1">
      <c r="A27456" s="83"/>
      <c r="H27456" s="83"/>
      <c r="K27456" s="82"/>
      <c r="M27456" s="112"/>
      <c r="N27456" s="84"/>
    </row>
    <row r="27457" spans="1:14" s="2" customFormat="1">
      <c r="A27457" s="83"/>
      <c r="H27457" s="83"/>
      <c r="K27457" s="82"/>
      <c r="M27457" s="112"/>
      <c r="N27457" s="84"/>
    </row>
    <row r="27458" spans="1:14" s="2" customFormat="1">
      <c r="A27458" s="83"/>
      <c r="H27458" s="83"/>
      <c r="K27458" s="82"/>
      <c r="M27458" s="112"/>
      <c r="N27458" s="84"/>
    </row>
    <row r="27459" spans="1:14" s="2" customFormat="1">
      <c r="A27459" s="83"/>
      <c r="H27459" s="83"/>
      <c r="K27459" s="82"/>
      <c r="M27459" s="112"/>
      <c r="N27459" s="84"/>
    </row>
    <row r="27460" spans="1:14" s="2" customFormat="1">
      <c r="A27460" s="83"/>
      <c r="H27460" s="83"/>
      <c r="K27460" s="82"/>
      <c r="M27460" s="112"/>
      <c r="N27460" s="84"/>
    </row>
    <row r="27461" spans="1:14" s="2" customFormat="1">
      <c r="A27461" s="83"/>
      <c r="H27461" s="83"/>
      <c r="K27461" s="82"/>
      <c r="M27461" s="112"/>
      <c r="N27461" s="84"/>
    </row>
    <row r="27462" spans="1:14" s="2" customFormat="1">
      <c r="A27462" s="83"/>
      <c r="H27462" s="83"/>
      <c r="K27462" s="82"/>
      <c r="M27462" s="112"/>
      <c r="N27462" s="84"/>
    </row>
    <row r="27463" spans="1:14" s="2" customFormat="1">
      <c r="A27463" s="83"/>
      <c r="H27463" s="83"/>
      <c r="K27463" s="82"/>
      <c r="M27463" s="112"/>
      <c r="N27463" s="84"/>
    </row>
    <row r="27464" spans="1:14" s="2" customFormat="1">
      <c r="A27464" s="83"/>
      <c r="H27464" s="83"/>
      <c r="K27464" s="82"/>
      <c r="M27464" s="112"/>
      <c r="N27464" s="84"/>
    </row>
    <row r="27465" spans="1:14" s="2" customFormat="1">
      <c r="A27465" s="83"/>
      <c r="H27465" s="83"/>
      <c r="K27465" s="82"/>
      <c r="M27465" s="112"/>
      <c r="N27465" s="84"/>
    </row>
    <row r="27466" spans="1:14" s="2" customFormat="1">
      <c r="A27466" s="83"/>
      <c r="H27466" s="83"/>
      <c r="K27466" s="82"/>
      <c r="M27466" s="112"/>
      <c r="N27466" s="84"/>
    </row>
    <row r="27467" spans="1:14" s="2" customFormat="1">
      <c r="A27467" s="83"/>
      <c r="H27467" s="83"/>
      <c r="K27467" s="82"/>
      <c r="M27467" s="112"/>
      <c r="N27467" s="84"/>
    </row>
    <row r="27468" spans="1:14" s="2" customFormat="1">
      <c r="A27468" s="83"/>
      <c r="H27468" s="83"/>
      <c r="K27468" s="82"/>
      <c r="M27468" s="112"/>
      <c r="N27468" s="84"/>
    </row>
    <row r="27469" spans="1:14" s="2" customFormat="1">
      <c r="A27469" s="83"/>
      <c r="H27469" s="83"/>
      <c r="K27469" s="82"/>
      <c r="M27469" s="112"/>
      <c r="N27469" s="84"/>
    </row>
    <row r="27470" spans="1:14" s="2" customFormat="1">
      <c r="A27470" s="83"/>
      <c r="H27470" s="83"/>
      <c r="K27470" s="82"/>
      <c r="M27470" s="112"/>
      <c r="N27470" s="84"/>
    </row>
    <row r="27471" spans="1:14" s="2" customFormat="1">
      <c r="A27471" s="83"/>
      <c r="H27471" s="83"/>
      <c r="K27471" s="82"/>
      <c r="M27471" s="112"/>
      <c r="N27471" s="84"/>
    </row>
    <row r="27472" spans="1:14" s="2" customFormat="1">
      <c r="A27472" s="83"/>
      <c r="H27472" s="83"/>
      <c r="K27472" s="82"/>
      <c r="M27472" s="112"/>
      <c r="N27472" s="84"/>
    </row>
    <row r="27473" spans="1:14" s="2" customFormat="1">
      <c r="A27473" s="83"/>
      <c r="H27473" s="83"/>
      <c r="K27473" s="82"/>
      <c r="M27473" s="112"/>
      <c r="N27473" s="84"/>
    </row>
    <row r="27474" spans="1:14" s="2" customFormat="1">
      <c r="A27474" s="83"/>
      <c r="H27474" s="83"/>
      <c r="K27474" s="82"/>
      <c r="M27474" s="112"/>
      <c r="N27474" s="84"/>
    </row>
    <row r="27475" spans="1:14" s="2" customFormat="1">
      <c r="A27475" s="83"/>
      <c r="H27475" s="83"/>
      <c r="K27475" s="82"/>
      <c r="M27475" s="112"/>
      <c r="N27475" s="84"/>
    </row>
    <row r="27476" spans="1:14" s="2" customFormat="1">
      <c r="A27476" s="83"/>
      <c r="H27476" s="83"/>
      <c r="K27476" s="82"/>
      <c r="M27476" s="112"/>
      <c r="N27476" s="84"/>
    </row>
    <row r="27477" spans="1:14" s="2" customFormat="1">
      <c r="A27477" s="83"/>
      <c r="H27477" s="83"/>
      <c r="K27477" s="82"/>
      <c r="M27477" s="112"/>
      <c r="N27477" s="84"/>
    </row>
    <row r="27478" spans="1:14" s="2" customFormat="1">
      <c r="A27478" s="83"/>
      <c r="H27478" s="83"/>
      <c r="K27478" s="82"/>
      <c r="M27478" s="112"/>
      <c r="N27478" s="84"/>
    </row>
    <row r="27479" spans="1:14" s="2" customFormat="1">
      <c r="A27479" s="83"/>
      <c r="H27479" s="83"/>
      <c r="K27479" s="82"/>
      <c r="M27479" s="112"/>
      <c r="N27479" s="84"/>
    </row>
    <row r="27480" spans="1:14" s="2" customFormat="1">
      <c r="A27480" s="83"/>
      <c r="H27480" s="83"/>
      <c r="K27480" s="82"/>
      <c r="M27480" s="112"/>
      <c r="N27480" s="84"/>
    </row>
    <row r="27481" spans="1:14" s="2" customFormat="1">
      <c r="A27481" s="83"/>
      <c r="H27481" s="83"/>
      <c r="K27481" s="82"/>
      <c r="M27481" s="112"/>
      <c r="N27481" s="84"/>
    </row>
    <row r="27482" spans="1:14" s="2" customFormat="1">
      <c r="A27482" s="83"/>
      <c r="H27482" s="83"/>
      <c r="K27482" s="82"/>
      <c r="M27482" s="112"/>
      <c r="N27482" s="84"/>
    </row>
    <row r="27483" spans="1:14" s="2" customFormat="1">
      <c r="A27483" s="83"/>
      <c r="H27483" s="83"/>
      <c r="K27483" s="82"/>
      <c r="M27483" s="112"/>
      <c r="N27483" s="84"/>
    </row>
    <row r="27484" spans="1:14" s="2" customFormat="1">
      <c r="A27484" s="83"/>
      <c r="H27484" s="83"/>
      <c r="K27484" s="82"/>
      <c r="M27484" s="112"/>
      <c r="N27484" s="84"/>
    </row>
    <row r="27485" spans="1:14" s="2" customFormat="1">
      <c r="A27485" s="83"/>
      <c r="H27485" s="83"/>
      <c r="K27485" s="82"/>
      <c r="M27485" s="112"/>
      <c r="N27485" s="84"/>
    </row>
    <row r="27486" spans="1:14" s="2" customFormat="1">
      <c r="A27486" s="83"/>
      <c r="H27486" s="83"/>
      <c r="K27486" s="82"/>
      <c r="M27486" s="112"/>
      <c r="N27486" s="84"/>
    </row>
    <row r="27487" spans="1:14" s="2" customFormat="1">
      <c r="A27487" s="83"/>
      <c r="H27487" s="83"/>
      <c r="K27487" s="82"/>
      <c r="M27487" s="112"/>
      <c r="N27487" s="84"/>
    </row>
    <row r="27488" spans="1:14" s="2" customFormat="1">
      <c r="A27488" s="83"/>
      <c r="H27488" s="83"/>
      <c r="K27488" s="82"/>
      <c r="M27488" s="112"/>
      <c r="N27488" s="84"/>
    </row>
    <row r="27489" spans="1:14" s="2" customFormat="1">
      <c r="A27489" s="83"/>
      <c r="H27489" s="83"/>
      <c r="K27489" s="82"/>
      <c r="M27489" s="112"/>
      <c r="N27489" s="84"/>
    </row>
    <row r="27490" spans="1:14" s="2" customFormat="1">
      <c r="A27490" s="83"/>
      <c r="H27490" s="83"/>
      <c r="K27490" s="82"/>
      <c r="M27490" s="112"/>
      <c r="N27490" s="84"/>
    </row>
    <row r="27491" spans="1:14" s="2" customFormat="1">
      <c r="A27491" s="83"/>
      <c r="H27491" s="83"/>
      <c r="K27491" s="82"/>
      <c r="M27491" s="112"/>
      <c r="N27491" s="84"/>
    </row>
    <row r="27492" spans="1:14" s="2" customFormat="1">
      <c r="A27492" s="83"/>
      <c r="H27492" s="83"/>
      <c r="K27492" s="82"/>
      <c r="M27492" s="112"/>
      <c r="N27492" s="84"/>
    </row>
    <row r="27493" spans="1:14" s="2" customFormat="1">
      <c r="A27493" s="83"/>
      <c r="H27493" s="83"/>
      <c r="K27493" s="82"/>
      <c r="M27493" s="112"/>
      <c r="N27493" s="84"/>
    </row>
    <row r="27494" spans="1:14" s="2" customFormat="1">
      <c r="A27494" s="83"/>
      <c r="H27494" s="83"/>
      <c r="K27494" s="82"/>
      <c r="M27494" s="112"/>
      <c r="N27494" s="84"/>
    </row>
    <row r="27495" spans="1:14" s="2" customFormat="1">
      <c r="A27495" s="83"/>
      <c r="H27495" s="83"/>
      <c r="K27495" s="82"/>
      <c r="M27495" s="112"/>
      <c r="N27495" s="84"/>
    </row>
    <row r="27496" spans="1:14" s="2" customFormat="1">
      <c r="A27496" s="83"/>
      <c r="H27496" s="83"/>
      <c r="K27496" s="82"/>
      <c r="M27496" s="112"/>
      <c r="N27496" s="84"/>
    </row>
    <row r="27497" spans="1:14" s="2" customFormat="1">
      <c r="A27497" s="83"/>
      <c r="H27497" s="83"/>
      <c r="K27497" s="82"/>
      <c r="M27497" s="112"/>
      <c r="N27497" s="84"/>
    </row>
    <row r="27498" spans="1:14" s="2" customFormat="1">
      <c r="A27498" s="83"/>
      <c r="H27498" s="83"/>
      <c r="K27498" s="82"/>
      <c r="M27498" s="112"/>
      <c r="N27498" s="84"/>
    </row>
    <row r="27499" spans="1:14" s="2" customFormat="1">
      <c r="A27499" s="83"/>
      <c r="H27499" s="83"/>
      <c r="K27499" s="82"/>
      <c r="M27499" s="112"/>
      <c r="N27499" s="84"/>
    </row>
    <row r="27500" spans="1:14" s="2" customFormat="1">
      <c r="A27500" s="83"/>
      <c r="H27500" s="83"/>
      <c r="K27500" s="82"/>
      <c r="M27500" s="112"/>
      <c r="N27500" s="84"/>
    </row>
    <row r="27501" spans="1:14" s="2" customFormat="1">
      <c r="A27501" s="83"/>
      <c r="H27501" s="83"/>
      <c r="K27501" s="82"/>
      <c r="M27501" s="112"/>
      <c r="N27501" s="84"/>
    </row>
    <row r="27502" spans="1:14" s="2" customFormat="1">
      <c r="A27502" s="83"/>
      <c r="H27502" s="83"/>
      <c r="K27502" s="82"/>
      <c r="M27502" s="112"/>
      <c r="N27502" s="84"/>
    </row>
    <row r="27503" spans="1:14" s="2" customFormat="1">
      <c r="A27503" s="83"/>
      <c r="H27503" s="83"/>
      <c r="K27503" s="82"/>
      <c r="M27503" s="112"/>
      <c r="N27503" s="84"/>
    </row>
    <row r="27504" spans="1:14" s="2" customFormat="1">
      <c r="A27504" s="83"/>
      <c r="H27504" s="83"/>
      <c r="K27504" s="82"/>
      <c r="M27504" s="112"/>
      <c r="N27504" s="84"/>
    </row>
    <row r="27505" spans="1:14" s="2" customFormat="1">
      <c r="A27505" s="83"/>
      <c r="H27505" s="83"/>
      <c r="K27505" s="82"/>
      <c r="M27505" s="112"/>
      <c r="N27505" s="84"/>
    </row>
    <row r="27506" spans="1:14" s="2" customFormat="1">
      <c r="A27506" s="83"/>
      <c r="H27506" s="83"/>
      <c r="K27506" s="82"/>
      <c r="M27506" s="112"/>
      <c r="N27506" s="84"/>
    </row>
    <row r="27507" spans="1:14" s="2" customFormat="1">
      <c r="A27507" s="83"/>
      <c r="H27507" s="83"/>
      <c r="K27507" s="82"/>
      <c r="M27507" s="112"/>
      <c r="N27507" s="84"/>
    </row>
    <row r="27508" spans="1:14" s="2" customFormat="1">
      <c r="A27508" s="83"/>
      <c r="H27508" s="83"/>
      <c r="K27508" s="82"/>
      <c r="M27508" s="112"/>
      <c r="N27508" s="84"/>
    </row>
    <row r="27509" spans="1:14" s="2" customFormat="1">
      <c r="A27509" s="83"/>
      <c r="H27509" s="83"/>
      <c r="K27509" s="82"/>
      <c r="M27509" s="112"/>
      <c r="N27509" s="84"/>
    </row>
    <row r="27510" spans="1:14" s="2" customFormat="1">
      <c r="A27510" s="83"/>
      <c r="H27510" s="83"/>
      <c r="K27510" s="82"/>
      <c r="M27510" s="112"/>
      <c r="N27510" s="84"/>
    </row>
    <row r="27511" spans="1:14" s="2" customFormat="1">
      <c r="A27511" s="83"/>
      <c r="H27511" s="83"/>
      <c r="K27511" s="82"/>
      <c r="M27511" s="112"/>
      <c r="N27511" s="84"/>
    </row>
    <row r="27512" spans="1:14" s="2" customFormat="1">
      <c r="A27512" s="83"/>
      <c r="H27512" s="83"/>
      <c r="K27512" s="82"/>
      <c r="M27512" s="112"/>
      <c r="N27512" s="84"/>
    </row>
    <row r="27513" spans="1:14" s="2" customFormat="1">
      <c r="A27513" s="83"/>
      <c r="H27513" s="83"/>
      <c r="K27513" s="82"/>
      <c r="M27513" s="112"/>
      <c r="N27513" s="84"/>
    </row>
    <row r="27514" spans="1:14" s="2" customFormat="1">
      <c r="A27514" s="83"/>
      <c r="H27514" s="83"/>
      <c r="K27514" s="82"/>
      <c r="M27514" s="112"/>
      <c r="N27514" s="84"/>
    </row>
    <row r="27515" spans="1:14" s="2" customFormat="1">
      <c r="A27515" s="83"/>
      <c r="H27515" s="83"/>
      <c r="K27515" s="82"/>
      <c r="M27515" s="112"/>
      <c r="N27515" s="84"/>
    </row>
    <row r="27516" spans="1:14" s="2" customFormat="1">
      <c r="A27516" s="83"/>
      <c r="H27516" s="83"/>
      <c r="K27516" s="82"/>
      <c r="M27516" s="112"/>
      <c r="N27516" s="84"/>
    </row>
    <row r="27517" spans="1:14" s="2" customFormat="1">
      <c r="A27517" s="83"/>
      <c r="H27517" s="83"/>
      <c r="K27517" s="82"/>
      <c r="M27517" s="112"/>
      <c r="N27517" s="84"/>
    </row>
    <row r="27518" spans="1:14" s="2" customFormat="1">
      <c r="A27518" s="83"/>
      <c r="H27518" s="83"/>
      <c r="K27518" s="82"/>
      <c r="M27518" s="112"/>
      <c r="N27518" s="84"/>
    </row>
    <row r="27519" spans="1:14" s="2" customFormat="1">
      <c r="A27519" s="83"/>
      <c r="H27519" s="83"/>
      <c r="K27519" s="82"/>
      <c r="M27519" s="112"/>
      <c r="N27519" s="84"/>
    </row>
    <row r="27520" spans="1:14" s="2" customFormat="1">
      <c r="A27520" s="83"/>
      <c r="H27520" s="83"/>
      <c r="K27520" s="82"/>
      <c r="M27520" s="112"/>
      <c r="N27520" s="84"/>
    </row>
    <row r="27521" spans="1:14" s="2" customFormat="1">
      <c r="A27521" s="83"/>
      <c r="H27521" s="83"/>
      <c r="K27521" s="82"/>
      <c r="M27521" s="112"/>
      <c r="N27521" s="84"/>
    </row>
    <row r="27522" spans="1:14" s="2" customFormat="1">
      <c r="A27522" s="83"/>
      <c r="H27522" s="83"/>
      <c r="K27522" s="82"/>
      <c r="M27522" s="112"/>
      <c r="N27522" s="84"/>
    </row>
    <row r="27523" spans="1:14" s="2" customFormat="1">
      <c r="A27523" s="83"/>
      <c r="H27523" s="83"/>
      <c r="K27523" s="82"/>
      <c r="M27523" s="112"/>
      <c r="N27523" s="84"/>
    </row>
    <row r="27524" spans="1:14" s="2" customFormat="1">
      <c r="A27524" s="83"/>
      <c r="H27524" s="83"/>
      <c r="K27524" s="82"/>
      <c r="M27524" s="112"/>
      <c r="N27524" s="84"/>
    </row>
    <row r="27525" spans="1:14" s="2" customFormat="1">
      <c r="A27525" s="83"/>
      <c r="H27525" s="83"/>
      <c r="K27525" s="82"/>
      <c r="M27525" s="112"/>
      <c r="N27525" s="84"/>
    </row>
    <row r="27526" spans="1:14" s="2" customFormat="1">
      <c r="A27526" s="83"/>
      <c r="H27526" s="83"/>
      <c r="K27526" s="82"/>
      <c r="M27526" s="112"/>
      <c r="N27526" s="84"/>
    </row>
    <row r="27527" spans="1:14" s="2" customFormat="1">
      <c r="A27527" s="83"/>
      <c r="H27527" s="83"/>
      <c r="K27527" s="82"/>
      <c r="M27527" s="112"/>
      <c r="N27527" s="84"/>
    </row>
    <row r="27528" spans="1:14" s="2" customFormat="1">
      <c r="A27528" s="83"/>
      <c r="H27528" s="83"/>
      <c r="K27528" s="82"/>
      <c r="M27528" s="112"/>
      <c r="N27528" s="84"/>
    </row>
    <row r="27529" spans="1:14" s="2" customFormat="1">
      <c r="A27529" s="83"/>
      <c r="H27529" s="83"/>
      <c r="K27529" s="82"/>
      <c r="M27529" s="112"/>
      <c r="N27529" s="84"/>
    </row>
    <row r="27530" spans="1:14" s="2" customFormat="1">
      <c r="A27530" s="83"/>
      <c r="H27530" s="83"/>
      <c r="K27530" s="82"/>
      <c r="M27530" s="112"/>
      <c r="N27530" s="84"/>
    </row>
    <row r="27531" spans="1:14" s="2" customFormat="1">
      <c r="A27531" s="83"/>
      <c r="H27531" s="83"/>
      <c r="K27531" s="82"/>
      <c r="M27531" s="112"/>
      <c r="N27531" s="84"/>
    </row>
    <row r="27532" spans="1:14" s="2" customFormat="1">
      <c r="A27532" s="83"/>
      <c r="H27532" s="83"/>
      <c r="K27532" s="82"/>
      <c r="M27532" s="112"/>
      <c r="N27532" s="84"/>
    </row>
    <row r="27533" spans="1:14" s="2" customFormat="1">
      <c r="A27533" s="83"/>
      <c r="H27533" s="83"/>
      <c r="K27533" s="82"/>
      <c r="M27533" s="112"/>
      <c r="N27533" s="84"/>
    </row>
    <row r="27534" spans="1:14" s="2" customFormat="1">
      <c r="A27534" s="83"/>
      <c r="H27534" s="83"/>
      <c r="K27534" s="82"/>
      <c r="M27534" s="112"/>
      <c r="N27534" s="84"/>
    </row>
    <row r="27535" spans="1:14" s="2" customFormat="1">
      <c r="A27535" s="83"/>
      <c r="H27535" s="83"/>
      <c r="K27535" s="82"/>
      <c r="M27535" s="112"/>
      <c r="N27535" s="84"/>
    </row>
    <row r="27536" spans="1:14" s="2" customFormat="1">
      <c r="A27536" s="83"/>
      <c r="H27536" s="83"/>
      <c r="K27536" s="82"/>
      <c r="M27536" s="112"/>
      <c r="N27536" s="84"/>
    </row>
    <row r="27537" spans="1:14" s="2" customFormat="1">
      <c r="A27537" s="83"/>
      <c r="H27537" s="83"/>
      <c r="K27537" s="82"/>
      <c r="M27537" s="112"/>
      <c r="N27537" s="84"/>
    </row>
    <row r="27538" spans="1:14" s="2" customFormat="1">
      <c r="A27538" s="83"/>
      <c r="H27538" s="83"/>
      <c r="K27538" s="82"/>
      <c r="M27538" s="112"/>
      <c r="N27538" s="84"/>
    </row>
    <row r="27539" spans="1:14" s="2" customFormat="1">
      <c r="A27539" s="83"/>
      <c r="H27539" s="83"/>
      <c r="K27539" s="82"/>
      <c r="M27539" s="112"/>
      <c r="N27539" s="84"/>
    </row>
    <row r="27540" spans="1:14" s="2" customFormat="1">
      <c r="A27540" s="83"/>
      <c r="H27540" s="83"/>
      <c r="K27540" s="82"/>
      <c r="M27540" s="112"/>
      <c r="N27540" s="84"/>
    </row>
    <row r="27541" spans="1:14" s="2" customFormat="1">
      <c r="A27541" s="83"/>
      <c r="H27541" s="83"/>
      <c r="K27541" s="82"/>
      <c r="M27541" s="112"/>
      <c r="N27541" s="84"/>
    </row>
    <row r="27542" spans="1:14" s="2" customFormat="1">
      <c r="A27542" s="83"/>
      <c r="H27542" s="83"/>
      <c r="K27542" s="82"/>
      <c r="M27542" s="112"/>
      <c r="N27542" s="84"/>
    </row>
    <row r="27543" spans="1:14" s="2" customFormat="1">
      <c r="A27543" s="83"/>
      <c r="H27543" s="83"/>
      <c r="K27543" s="82"/>
      <c r="M27543" s="112"/>
      <c r="N27543" s="84"/>
    </row>
    <row r="27544" spans="1:14" s="2" customFormat="1">
      <c r="A27544" s="83"/>
      <c r="H27544" s="83"/>
      <c r="K27544" s="82"/>
      <c r="M27544" s="112"/>
      <c r="N27544" s="84"/>
    </row>
    <row r="27545" spans="1:14" s="2" customFormat="1">
      <c r="A27545" s="83"/>
      <c r="H27545" s="83"/>
      <c r="K27545" s="82"/>
      <c r="M27545" s="112"/>
      <c r="N27545" s="84"/>
    </row>
    <row r="27546" spans="1:14" s="2" customFormat="1">
      <c r="A27546" s="83"/>
      <c r="H27546" s="83"/>
      <c r="K27546" s="82"/>
      <c r="M27546" s="112"/>
      <c r="N27546" s="84"/>
    </row>
    <row r="27547" spans="1:14" s="2" customFormat="1">
      <c r="A27547" s="83"/>
      <c r="H27547" s="83"/>
      <c r="K27547" s="82"/>
      <c r="M27547" s="112"/>
      <c r="N27547" s="84"/>
    </row>
    <row r="27548" spans="1:14" s="2" customFormat="1">
      <c r="A27548" s="83"/>
      <c r="H27548" s="83"/>
      <c r="K27548" s="82"/>
      <c r="M27548" s="112"/>
      <c r="N27548" s="84"/>
    </row>
    <row r="27549" spans="1:14" s="2" customFormat="1">
      <c r="A27549" s="83"/>
      <c r="H27549" s="83"/>
      <c r="K27549" s="82"/>
      <c r="M27549" s="112"/>
      <c r="N27549" s="84"/>
    </row>
    <row r="27550" spans="1:14" s="2" customFormat="1">
      <c r="A27550" s="83"/>
      <c r="H27550" s="83"/>
      <c r="K27550" s="82"/>
      <c r="M27550" s="112"/>
      <c r="N27550" s="84"/>
    </row>
    <row r="27551" spans="1:14" s="2" customFormat="1">
      <c r="A27551" s="83"/>
      <c r="H27551" s="83"/>
      <c r="K27551" s="82"/>
      <c r="M27551" s="112"/>
      <c r="N27551" s="84"/>
    </row>
    <row r="27552" spans="1:14" s="2" customFormat="1">
      <c r="A27552" s="83"/>
      <c r="H27552" s="83"/>
      <c r="K27552" s="82"/>
      <c r="M27552" s="112"/>
      <c r="N27552" s="84"/>
    </row>
    <row r="27553" spans="1:14" s="2" customFormat="1">
      <c r="A27553" s="83"/>
      <c r="H27553" s="83"/>
      <c r="K27553" s="82"/>
      <c r="M27553" s="112"/>
      <c r="N27553" s="84"/>
    </row>
    <row r="27554" spans="1:14" s="2" customFormat="1">
      <c r="A27554" s="83"/>
      <c r="H27554" s="83"/>
      <c r="K27554" s="82"/>
      <c r="M27554" s="112"/>
      <c r="N27554" s="84"/>
    </row>
    <row r="27555" spans="1:14" s="2" customFormat="1">
      <c r="A27555" s="83"/>
      <c r="H27555" s="83"/>
      <c r="K27555" s="82"/>
      <c r="M27555" s="112"/>
      <c r="N27555" s="84"/>
    </row>
    <row r="27556" spans="1:14" s="2" customFormat="1">
      <c r="A27556" s="83"/>
      <c r="H27556" s="83"/>
      <c r="K27556" s="82"/>
      <c r="M27556" s="112"/>
      <c r="N27556" s="84"/>
    </row>
    <row r="27557" spans="1:14" s="2" customFormat="1">
      <c r="A27557" s="83"/>
      <c r="H27557" s="83"/>
      <c r="K27557" s="82"/>
      <c r="M27557" s="112"/>
      <c r="N27557" s="84"/>
    </row>
    <row r="27558" spans="1:14" s="2" customFormat="1">
      <c r="A27558" s="83"/>
      <c r="H27558" s="83"/>
      <c r="K27558" s="82"/>
      <c r="M27558" s="112"/>
      <c r="N27558" s="84"/>
    </row>
    <row r="27559" spans="1:14" s="2" customFormat="1">
      <c r="A27559" s="83"/>
      <c r="H27559" s="83"/>
      <c r="K27559" s="82"/>
      <c r="M27559" s="112"/>
      <c r="N27559" s="84"/>
    </row>
    <row r="27560" spans="1:14" s="2" customFormat="1">
      <c r="A27560" s="83"/>
      <c r="H27560" s="83"/>
      <c r="K27560" s="82"/>
      <c r="M27560" s="112"/>
      <c r="N27560" s="84"/>
    </row>
    <row r="27561" spans="1:14" s="2" customFormat="1">
      <c r="A27561" s="83"/>
      <c r="H27561" s="83"/>
      <c r="K27561" s="82"/>
      <c r="M27561" s="112"/>
      <c r="N27561" s="84"/>
    </row>
    <row r="27562" spans="1:14" s="2" customFormat="1">
      <c r="A27562" s="83"/>
      <c r="H27562" s="83"/>
      <c r="K27562" s="82"/>
      <c r="M27562" s="112"/>
      <c r="N27562" s="84"/>
    </row>
    <row r="27563" spans="1:14" s="2" customFormat="1">
      <c r="A27563" s="83"/>
      <c r="H27563" s="83"/>
      <c r="K27563" s="82"/>
      <c r="M27563" s="112"/>
      <c r="N27563" s="84"/>
    </row>
    <row r="27564" spans="1:14" s="2" customFormat="1">
      <c r="A27564" s="83"/>
      <c r="H27564" s="83"/>
      <c r="K27564" s="82"/>
      <c r="M27564" s="112"/>
      <c r="N27564" s="84"/>
    </row>
    <row r="27565" spans="1:14" s="2" customFormat="1">
      <c r="A27565" s="83"/>
      <c r="H27565" s="83"/>
      <c r="K27565" s="82"/>
      <c r="M27565" s="112"/>
      <c r="N27565" s="84"/>
    </row>
    <row r="27566" spans="1:14" s="2" customFormat="1">
      <c r="A27566" s="83"/>
      <c r="H27566" s="83"/>
      <c r="K27566" s="82"/>
      <c r="M27566" s="112"/>
      <c r="N27566" s="84"/>
    </row>
    <row r="27567" spans="1:14" s="2" customFormat="1">
      <c r="A27567" s="83"/>
      <c r="H27567" s="83"/>
      <c r="K27567" s="82"/>
      <c r="M27567" s="112"/>
      <c r="N27567" s="84"/>
    </row>
    <row r="27568" spans="1:14" s="2" customFormat="1">
      <c r="A27568" s="83"/>
      <c r="H27568" s="83"/>
      <c r="K27568" s="82"/>
      <c r="M27568" s="112"/>
      <c r="N27568" s="84"/>
    </row>
    <row r="27569" spans="1:14" s="2" customFormat="1">
      <c r="A27569" s="83"/>
      <c r="H27569" s="83"/>
      <c r="K27569" s="82"/>
      <c r="M27569" s="112"/>
      <c r="N27569" s="84"/>
    </row>
    <row r="27570" spans="1:14" s="2" customFormat="1">
      <c r="A27570" s="83"/>
      <c r="H27570" s="83"/>
      <c r="K27570" s="82"/>
      <c r="M27570" s="112"/>
      <c r="N27570" s="84"/>
    </row>
    <row r="27571" spans="1:14" s="2" customFormat="1">
      <c r="A27571" s="83"/>
      <c r="H27571" s="83"/>
      <c r="K27571" s="82"/>
      <c r="M27571" s="112"/>
      <c r="N27571" s="84"/>
    </row>
    <row r="27572" spans="1:14" s="2" customFormat="1">
      <c r="A27572" s="83"/>
      <c r="H27572" s="83"/>
      <c r="K27572" s="82"/>
      <c r="M27572" s="112"/>
      <c r="N27572" s="84"/>
    </row>
    <row r="27573" spans="1:14" s="2" customFormat="1">
      <c r="A27573" s="83"/>
      <c r="H27573" s="83"/>
      <c r="K27573" s="82"/>
      <c r="M27573" s="112"/>
      <c r="N27573" s="84"/>
    </row>
    <row r="27574" spans="1:14" s="2" customFormat="1">
      <c r="A27574" s="83"/>
      <c r="H27574" s="83"/>
      <c r="K27574" s="82"/>
      <c r="M27574" s="112"/>
      <c r="N27574" s="84"/>
    </row>
    <row r="27575" spans="1:14" s="2" customFormat="1">
      <c r="A27575" s="83"/>
      <c r="H27575" s="83"/>
      <c r="K27575" s="82"/>
      <c r="M27575" s="112"/>
      <c r="N27575" s="84"/>
    </row>
    <row r="27576" spans="1:14" s="2" customFormat="1">
      <c r="A27576" s="83"/>
      <c r="H27576" s="83"/>
      <c r="K27576" s="82"/>
      <c r="M27576" s="112"/>
      <c r="N27576" s="84"/>
    </row>
    <row r="27577" spans="1:14" s="2" customFormat="1">
      <c r="A27577" s="83"/>
      <c r="H27577" s="83"/>
      <c r="K27577" s="82"/>
      <c r="M27577" s="112"/>
      <c r="N27577" s="84"/>
    </row>
    <row r="27578" spans="1:14" s="2" customFormat="1">
      <c r="A27578" s="83"/>
      <c r="H27578" s="83"/>
      <c r="K27578" s="82"/>
      <c r="M27578" s="112"/>
      <c r="N27578" s="84"/>
    </row>
    <row r="27579" spans="1:14" s="2" customFormat="1">
      <c r="A27579" s="83"/>
      <c r="H27579" s="83"/>
      <c r="K27579" s="82"/>
      <c r="M27579" s="112"/>
      <c r="N27579" s="84"/>
    </row>
    <row r="27580" spans="1:14" s="2" customFormat="1">
      <c r="A27580" s="83"/>
      <c r="H27580" s="83"/>
      <c r="K27580" s="82"/>
      <c r="M27580" s="112"/>
      <c r="N27580" s="84"/>
    </row>
    <row r="27581" spans="1:14" s="2" customFormat="1">
      <c r="A27581" s="83"/>
      <c r="H27581" s="83"/>
      <c r="K27581" s="82"/>
      <c r="M27581" s="112"/>
      <c r="N27581" s="84"/>
    </row>
    <row r="27582" spans="1:14" s="2" customFormat="1">
      <c r="A27582" s="83"/>
      <c r="H27582" s="83"/>
      <c r="K27582" s="82"/>
      <c r="M27582" s="112"/>
      <c r="N27582" s="84"/>
    </row>
    <row r="27583" spans="1:14" s="2" customFormat="1">
      <c r="A27583" s="83"/>
      <c r="H27583" s="83"/>
      <c r="K27583" s="82"/>
      <c r="M27583" s="112"/>
      <c r="N27583" s="84"/>
    </row>
    <row r="27584" spans="1:14" s="2" customFormat="1">
      <c r="A27584" s="83"/>
      <c r="H27584" s="83"/>
      <c r="K27584" s="82"/>
      <c r="M27584" s="112"/>
      <c r="N27584" s="84"/>
    </row>
    <row r="27585" spans="1:14" s="2" customFormat="1">
      <c r="A27585" s="83"/>
      <c r="H27585" s="83"/>
      <c r="K27585" s="82"/>
      <c r="M27585" s="112"/>
      <c r="N27585" s="84"/>
    </row>
    <row r="27586" spans="1:14" s="2" customFormat="1">
      <c r="A27586" s="83"/>
      <c r="H27586" s="83"/>
      <c r="K27586" s="82"/>
      <c r="M27586" s="112"/>
      <c r="N27586" s="84"/>
    </row>
    <row r="27587" spans="1:14" s="2" customFormat="1">
      <c r="A27587" s="83"/>
      <c r="H27587" s="83"/>
      <c r="K27587" s="82"/>
      <c r="M27587" s="112"/>
      <c r="N27587" s="84"/>
    </row>
    <row r="27588" spans="1:14" s="2" customFormat="1">
      <c r="A27588" s="83"/>
      <c r="H27588" s="83"/>
      <c r="K27588" s="82"/>
      <c r="M27588" s="112"/>
      <c r="N27588" s="84"/>
    </row>
    <row r="27589" spans="1:14" s="2" customFormat="1">
      <c r="A27589" s="83"/>
      <c r="H27589" s="83"/>
      <c r="K27589" s="82"/>
      <c r="M27589" s="112"/>
      <c r="N27589" s="84"/>
    </row>
    <row r="27590" spans="1:14" s="2" customFormat="1">
      <c r="A27590" s="83"/>
      <c r="H27590" s="83"/>
      <c r="K27590" s="82"/>
      <c r="M27590" s="112"/>
      <c r="N27590" s="84"/>
    </row>
    <row r="27591" spans="1:14" s="2" customFormat="1">
      <c r="A27591" s="83"/>
      <c r="H27591" s="83"/>
      <c r="K27591" s="82"/>
      <c r="M27591" s="112"/>
      <c r="N27591" s="84"/>
    </row>
    <row r="27592" spans="1:14" s="2" customFormat="1">
      <c r="A27592" s="83"/>
      <c r="H27592" s="83"/>
      <c r="K27592" s="82"/>
      <c r="M27592" s="112"/>
      <c r="N27592" s="84"/>
    </row>
    <row r="27593" spans="1:14" s="2" customFormat="1">
      <c r="A27593" s="83"/>
      <c r="H27593" s="83"/>
      <c r="K27593" s="82"/>
      <c r="M27593" s="112"/>
      <c r="N27593" s="84"/>
    </row>
    <row r="27594" spans="1:14" s="2" customFormat="1">
      <c r="A27594" s="83"/>
      <c r="H27594" s="83"/>
      <c r="K27594" s="82"/>
      <c r="M27594" s="112"/>
      <c r="N27594" s="84"/>
    </row>
    <row r="27595" spans="1:14" s="2" customFormat="1">
      <c r="A27595" s="83"/>
      <c r="H27595" s="83"/>
      <c r="K27595" s="82"/>
      <c r="M27595" s="112"/>
      <c r="N27595" s="84"/>
    </row>
    <row r="27596" spans="1:14" s="2" customFormat="1">
      <c r="A27596" s="83"/>
      <c r="H27596" s="83"/>
      <c r="K27596" s="82"/>
      <c r="M27596" s="112"/>
      <c r="N27596" s="84"/>
    </row>
    <row r="27597" spans="1:14" s="2" customFormat="1">
      <c r="A27597" s="83"/>
      <c r="H27597" s="83"/>
      <c r="K27597" s="82"/>
      <c r="M27597" s="112"/>
      <c r="N27597" s="84"/>
    </row>
    <row r="27598" spans="1:14" s="2" customFormat="1">
      <c r="A27598" s="83"/>
      <c r="H27598" s="83"/>
      <c r="K27598" s="82"/>
      <c r="M27598" s="112"/>
      <c r="N27598" s="84"/>
    </row>
    <row r="27599" spans="1:14" s="2" customFormat="1">
      <c r="A27599" s="83"/>
      <c r="H27599" s="83"/>
      <c r="K27599" s="82"/>
      <c r="M27599" s="112"/>
      <c r="N27599" s="84"/>
    </row>
    <row r="27600" spans="1:14" s="2" customFormat="1">
      <c r="A27600" s="83"/>
      <c r="H27600" s="83"/>
      <c r="K27600" s="82"/>
      <c r="M27600" s="112"/>
      <c r="N27600" s="84"/>
    </row>
    <row r="27601" spans="1:14" s="2" customFormat="1">
      <c r="A27601" s="83"/>
      <c r="H27601" s="83"/>
      <c r="K27601" s="82"/>
      <c r="M27601" s="112"/>
      <c r="N27601" s="84"/>
    </row>
    <row r="27602" spans="1:14" s="2" customFormat="1">
      <c r="A27602" s="83"/>
      <c r="H27602" s="83"/>
      <c r="K27602" s="82"/>
      <c r="M27602" s="112"/>
      <c r="N27602" s="84"/>
    </row>
    <row r="27603" spans="1:14" s="2" customFormat="1">
      <c r="A27603" s="83"/>
      <c r="H27603" s="83"/>
      <c r="K27603" s="82"/>
      <c r="M27603" s="112"/>
      <c r="N27603" s="84"/>
    </row>
    <row r="27604" spans="1:14" s="2" customFormat="1">
      <c r="A27604" s="83"/>
      <c r="H27604" s="83"/>
      <c r="K27604" s="82"/>
      <c r="M27604" s="112"/>
      <c r="N27604" s="84"/>
    </row>
    <row r="27605" spans="1:14" s="2" customFormat="1">
      <c r="A27605" s="83"/>
      <c r="H27605" s="83"/>
      <c r="K27605" s="82"/>
      <c r="M27605" s="112"/>
      <c r="N27605" s="84"/>
    </row>
    <row r="27606" spans="1:14" s="2" customFormat="1">
      <c r="A27606" s="83"/>
      <c r="H27606" s="83"/>
      <c r="K27606" s="82"/>
      <c r="M27606" s="112"/>
      <c r="N27606" s="84"/>
    </row>
    <row r="27607" spans="1:14" s="2" customFormat="1">
      <c r="A27607" s="83"/>
      <c r="H27607" s="83"/>
      <c r="K27607" s="82"/>
      <c r="M27607" s="112"/>
      <c r="N27607" s="84"/>
    </row>
    <row r="27608" spans="1:14" s="2" customFormat="1">
      <c r="A27608" s="83"/>
      <c r="H27608" s="83"/>
      <c r="K27608" s="82"/>
      <c r="M27608" s="112"/>
      <c r="N27608" s="84"/>
    </row>
    <row r="27609" spans="1:14" s="2" customFormat="1">
      <c r="A27609" s="83"/>
      <c r="H27609" s="83"/>
      <c r="K27609" s="82"/>
      <c r="M27609" s="112"/>
      <c r="N27609" s="84"/>
    </row>
    <row r="27610" spans="1:14" s="2" customFormat="1">
      <c r="A27610" s="83"/>
      <c r="H27610" s="83"/>
      <c r="K27610" s="82"/>
      <c r="M27610" s="112"/>
      <c r="N27610" s="84"/>
    </row>
    <row r="27611" spans="1:14" s="2" customFormat="1">
      <c r="A27611" s="83"/>
      <c r="H27611" s="83"/>
      <c r="K27611" s="82"/>
      <c r="M27611" s="112"/>
      <c r="N27611" s="84"/>
    </row>
    <row r="27612" spans="1:14" s="2" customFormat="1">
      <c r="A27612" s="83"/>
      <c r="H27612" s="83"/>
      <c r="K27612" s="82"/>
      <c r="M27612" s="112"/>
      <c r="N27612" s="84"/>
    </row>
    <row r="27613" spans="1:14" s="2" customFormat="1">
      <c r="A27613" s="83"/>
      <c r="H27613" s="83"/>
      <c r="K27613" s="82"/>
      <c r="M27613" s="112"/>
      <c r="N27613" s="84"/>
    </row>
    <row r="27614" spans="1:14" s="2" customFormat="1">
      <c r="A27614" s="83"/>
      <c r="H27614" s="83"/>
      <c r="K27614" s="82"/>
      <c r="M27614" s="112"/>
      <c r="N27614" s="84"/>
    </row>
    <row r="27615" spans="1:14" s="2" customFormat="1">
      <c r="A27615" s="83"/>
      <c r="H27615" s="83"/>
      <c r="K27615" s="82"/>
      <c r="M27615" s="112"/>
      <c r="N27615" s="84"/>
    </row>
    <row r="27616" spans="1:14" s="2" customFormat="1">
      <c r="A27616" s="83"/>
      <c r="H27616" s="83"/>
      <c r="K27616" s="82"/>
      <c r="M27616" s="112"/>
      <c r="N27616" s="84"/>
    </row>
    <row r="27617" spans="1:14" s="2" customFormat="1">
      <c r="A27617" s="83"/>
      <c r="H27617" s="83"/>
      <c r="K27617" s="82"/>
      <c r="M27617" s="112"/>
      <c r="N27617" s="84"/>
    </row>
    <row r="27618" spans="1:14" s="2" customFormat="1">
      <c r="A27618" s="83"/>
      <c r="H27618" s="83"/>
      <c r="K27618" s="82"/>
      <c r="M27618" s="112"/>
      <c r="N27618" s="84"/>
    </row>
    <row r="27619" spans="1:14" s="2" customFormat="1">
      <c r="A27619" s="83"/>
      <c r="H27619" s="83"/>
      <c r="K27619" s="82"/>
      <c r="M27619" s="112"/>
      <c r="N27619" s="84"/>
    </row>
    <row r="27620" spans="1:14" s="2" customFormat="1">
      <c r="A27620" s="83"/>
      <c r="H27620" s="83"/>
      <c r="K27620" s="82"/>
      <c r="M27620" s="112"/>
      <c r="N27620" s="84"/>
    </row>
    <row r="27621" spans="1:14" s="2" customFormat="1">
      <c r="A27621" s="83"/>
      <c r="H27621" s="83"/>
      <c r="K27621" s="82"/>
      <c r="M27621" s="112"/>
      <c r="N27621" s="84"/>
    </row>
    <row r="27622" spans="1:14" s="2" customFormat="1">
      <c r="A27622" s="83"/>
      <c r="H27622" s="83"/>
      <c r="K27622" s="82"/>
      <c r="M27622" s="112"/>
      <c r="N27622" s="84"/>
    </row>
    <row r="27623" spans="1:14" s="2" customFormat="1">
      <c r="A27623" s="83"/>
      <c r="H27623" s="83"/>
      <c r="K27623" s="82"/>
      <c r="M27623" s="112"/>
      <c r="N27623" s="84"/>
    </row>
    <row r="27624" spans="1:14" s="2" customFormat="1">
      <c r="A27624" s="83"/>
      <c r="H27624" s="83"/>
      <c r="K27624" s="82"/>
      <c r="M27624" s="112"/>
      <c r="N27624" s="84"/>
    </row>
    <row r="27625" spans="1:14" s="2" customFormat="1">
      <c r="A27625" s="83"/>
      <c r="H27625" s="83"/>
      <c r="K27625" s="82"/>
      <c r="M27625" s="112"/>
      <c r="N27625" s="84"/>
    </row>
    <row r="27626" spans="1:14" s="2" customFormat="1">
      <c r="A27626" s="83"/>
      <c r="H27626" s="83"/>
      <c r="K27626" s="82"/>
      <c r="M27626" s="112"/>
      <c r="N27626" s="84"/>
    </row>
    <row r="27627" spans="1:14" s="2" customFormat="1">
      <c r="A27627" s="83"/>
      <c r="H27627" s="83"/>
      <c r="K27627" s="82"/>
      <c r="M27627" s="112"/>
      <c r="N27627" s="84"/>
    </row>
    <row r="27628" spans="1:14" s="2" customFormat="1">
      <c r="A27628" s="83"/>
      <c r="H27628" s="83"/>
      <c r="K27628" s="82"/>
      <c r="M27628" s="112"/>
      <c r="N27628" s="84"/>
    </row>
    <row r="27629" spans="1:14" s="2" customFormat="1">
      <c r="A27629" s="83"/>
      <c r="H27629" s="83"/>
      <c r="K27629" s="82"/>
      <c r="M27629" s="112"/>
      <c r="N27629" s="84"/>
    </row>
    <row r="27630" spans="1:14" s="2" customFormat="1">
      <c r="A27630" s="83"/>
      <c r="H27630" s="83"/>
      <c r="K27630" s="82"/>
      <c r="M27630" s="112"/>
      <c r="N27630" s="84"/>
    </row>
    <row r="27631" spans="1:14" s="2" customFormat="1">
      <c r="A27631" s="83"/>
      <c r="H27631" s="83"/>
      <c r="K27631" s="82"/>
      <c r="M27631" s="112"/>
      <c r="N27631" s="84"/>
    </row>
    <row r="27632" spans="1:14" s="2" customFormat="1">
      <c r="A27632" s="83"/>
      <c r="H27632" s="83"/>
      <c r="K27632" s="82"/>
      <c r="M27632" s="112"/>
      <c r="N27632" s="84"/>
    </row>
    <row r="27633" spans="1:14" s="2" customFormat="1">
      <c r="A27633" s="83"/>
      <c r="H27633" s="83"/>
      <c r="K27633" s="82"/>
      <c r="M27633" s="112"/>
      <c r="N27633" s="84"/>
    </row>
    <row r="27634" spans="1:14" s="2" customFormat="1">
      <c r="A27634" s="83"/>
      <c r="H27634" s="83"/>
      <c r="K27634" s="82"/>
      <c r="M27634" s="112"/>
      <c r="N27634" s="84"/>
    </row>
    <row r="27635" spans="1:14" s="2" customFormat="1">
      <c r="A27635" s="83"/>
      <c r="H27635" s="83"/>
      <c r="K27635" s="82"/>
      <c r="M27635" s="112"/>
      <c r="N27635" s="84"/>
    </row>
    <row r="27636" spans="1:14" s="2" customFormat="1">
      <c r="A27636" s="83"/>
      <c r="H27636" s="83"/>
      <c r="K27636" s="82"/>
      <c r="M27636" s="112"/>
      <c r="N27636" s="84"/>
    </row>
    <row r="27637" spans="1:14" s="2" customFormat="1">
      <c r="A27637" s="83"/>
      <c r="H27637" s="83"/>
      <c r="K27637" s="82"/>
      <c r="M27637" s="112"/>
      <c r="N27637" s="84"/>
    </row>
    <row r="27638" spans="1:14" s="2" customFormat="1">
      <c r="A27638" s="83"/>
      <c r="H27638" s="83"/>
      <c r="K27638" s="82"/>
      <c r="M27638" s="112"/>
      <c r="N27638" s="84"/>
    </row>
    <row r="27639" spans="1:14" s="2" customFormat="1">
      <c r="A27639" s="83"/>
      <c r="H27639" s="83"/>
      <c r="K27639" s="82"/>
      <c r="M27639" s="112"/>
      <c r="N27639" s="84"/>
    </row>
    <row r="27640" spans="1:14" s="2" customFormat="1">
      <c r="A27640" s="83"/>
      <c r="H27640" s="83"/>
      <c r="K27640" s="82"/>
      <c r="M27640" s="112"/>
      <c r="N27640" s="84"/>
    </row>
    <row r="27641" spans="1:14" s="2" customFormat="1">
      <c r="A27641" s="83"/>
      <c r="H27641" s="83"/>
      <c r="K27641" s="82"/>
      <c r="M27641" s="112"/>
      <c r="N27641" s="84"/>
    </row>
    <row r="27642" spans="1:14" s="2" customFormat="1">
      <c r="A27642" s="83"/>
      <c r="H27642" s="83"/>
      <c r="K27642" s="82"/>
      <c r="M27642" s="112"/>
      <c r="N27642" s="84"/>
    </row>
    <row r="27643" spans="1:14" s="2" customFormat="1">
      <c r="A27643" s="83"/>
      <c r="H27643" s="83"/>
      <c r="K27643" s="82"/>
      <c r="M27643" s="112"/>
      <c r="N27643" s="84"/>
    </row>
    <row r="27644" spans="1:14" s="2" customFormat="1">
      <c r="A27644" s="83"/>
      <c r="H27644" s="83"/>
      <c r="K27644" s="82"/>
      <c r="M27644" s="112"/>
      <c r="N27644" s="84"/>
    </row>
    <row r="27645" spans="1:14" s="2" customFormat="1">
      <c r="A27645" s="83"/>
      <c r="H27645" s="83"/>
      <c r="K27645" s="82"/>
      <c r="M27645" s="112"/>
      <c r="N27645" s="84"/>
    </row>
    <row r="27646" spans="1:14" s="2" customFormat="1">
      <c r="A27646" s="83"/>
      <c r="H27646" s="83"/>
      <c r="K27646" s="82"/>
      <c r="M27646" s="112"/>
      <c r="N27646" s="84"/>
    </row>
    <row r="27647" spans="1:14" s="2" customFormat="1">
      <c r="A27647" s="83"/>
      <c r="H27647" s="83"/>
      <c r="K27647" s="82"/>
      <c r="M27647" s="112"/>
      <c r="N27647" s="84"/>
    </row>
    <row r="27648" spans="1:14" s="2" customFormat="1">
      <c r="A27648" s="83"/>
      <c r="H27648" s="83"/>
      <c r="K27648" s="82"/>
      <c r="M27648" s="112"/>
      <c r="N27648" s="84"/>
    </row>
    <row r="27649" spans="1:14" s="2" customFormat="1">
      <c r="A27649" s="83"/>
      <c r="H27649" s="83"/>
      <c r="K27649" s="82"/>
      <c r="M27649" s="112"/>
      <c r="N27649" s="84"/>
    </row>
    <row r="27650" spans="1:14" s="2" customFormat="1">
      <c r="A27650" s="83"/>
      <c r="H27650" s="83"/>
      <c r="K27650" s="82"/>
      <c r="M27650" s="112"/>
      <c r="N27650" s="84"/>
    </row>
    <row r="27651" spans="1:14" s="2" customFormat="1">
      <c r="A27651" s="83"/>
      <c r="H27651" s="83"/>
      <c r="K27651" s="82"/>
      <c r="M27651" s="112"/>
      <c r="N27651" s="84"/>
    </row>
    <row r="27652" spans="1:14" s="2" customFormat="1">
      <c r="A27652" s="83"/>
      <c r="H27652" s="83"/>
      <c r="K27652" s="82"/>
      <c r="M27652" s="112"/>
      <c r="N27652" s="84"/>
    </row>
    <row r="27653" spans="1:14" s="2" customFormat="1">
      <c r="A27653" s="83"/>
      <c r="H27653" s="83"/>
      <c r="K27653" s="82"/>
      <c r="M27653" s="112"/>
      <c r="N27653" s="84"/>
    </row>
    <row r="27654" spans="1:14" s="2" customFormat="1">
      <c r="A27654" s="83"/>
      <c r="H27654" s="83"/>
      <c r="K27654" s="82"/>
      <c r="M27654" s="112"/>
      <c r="N27654" s="84"/>
    </row>
    <row r="27655" spans="1:14" s="2" customFormat="1">
      <c r="A27655" s="83"/>
      <c r="H27655" s="83"/>
      <c r="K27655" s="82"/>
      <c r="M27655" s="112"/>
      <c r="N27655" s="84"/>
    </row>
    <row r="27656" spans="1:14" s="2" customFormat="1">
      <c r="A27656" s="83"/>
      <c r="H27656" s="83"/>
      <c r="K27656" s="82"/>
      <c r="M27656" s="112"/>
      <c r="N27656" s="84"/>
    </row>
    <row r="27657" spans="1:14" s="2" customFormat="1">
      <c r="A27657" s="83"/>
      <c r="H27657" s="83"/>
      <c r="K27657" s="82"/>
      <c r="M27657" s="112"/>
      <c r="N27657" s="84"/>
    </row>
    <row r="27658" spans="1:14" s="2" customFormat="1">
      <c r="A27658" s="83"/>
      <c r="H27658" s="83"/>
      <c r="K27658" s="82"/>
      <c r="M27658" s="112"/>
      <c r="N27658" s="84"/>
    </row>
    <row r="27659" spans="1:14" s="2" customFormat="1">
      <c r="A27659" s="83"/>
      <c r="H27659" s="83"/>
      <c r="K27659" s="82"/>
      <c r="M27659" s="112"/>
      <c r="N27659" s="84"/>
    </row>
    <row r="27660" spans="1:14" s="2" customFormat="1">
      <c r="A27660" s="83"/>
      <c r="H27660" s="83"/>
      <c r="K27660" s="82"/>
      <c r="M27660" s="112"/>
      <c r="N27660" s="84"/>
    </row>
    <row r="27661" spans="1:14" s="2" customFormat="1">
      <c r="A27661" s="83"/>
      <c r="H27661" s="83"/>
      <c r="K27661" s="82"/>
      <c r="M27661" s="112"/>
      <c r="N27661" s="84"/>
    </row>
    <row r="27662" spans="1:14" s="2" customFormat="1">
      <c r="A27662" s="83"/>
      <c r="H27662" s="83"/>
      <c r="K27662" s="82"/>
      <c r="M27662" s="112"/>
      <c r="N27662" s="84"/>
    </row>
    <row r="27663" spans="1:14" s="2" customFormat="1">
      <c r="A27663" s="83"/>
      <c r="H27663" s="83"/>
      <c r="K27663" s="82"/>
      <c r="M27663" s="112"/>
      <c r="N27663" s="84"/>
    </row>
    <row r="27664" spans="1:14" s="2" customFormat="1">
      <c r="A27664" s="83"/>
      <c r="H27664" s="83"/>
      <c r="K27664" s="82"/>
      <c r="M27664" s="112"/>
      <c r="N27664" s="84"/>
    </row>
    <row r="27665" spans="1:14" s="2" customFormat="1">
      <c r="A27665" s="83"/>
      <c r="H27665" s="83"/>
      <c r="K27665" s="82"/>
      <c r="M27665" s="112"/>
      <c r="N27665" s="84"/>
    </row>
    <row r="27666" spans="1:14" s="2" customFormat="1">
      <c r="A27666" s="83"/>
      <c r="H27666" s="83"/>
      <c r="K27666" s="82"/>
      <c r="M27666" s="112"/>
      <c r="N27666" s="84"/>
    </row>
    <row r="27667" spans="1:14" s="2" customFormat="1">
      <c r="A27667" s="83"/>
      <c r="H27667" s="83"/>
      <c r="K27667" s="82"/>
      <c r="M27667" s="112"/>
      <c r="N27667" s="84"/>
    </row>
    <row r="27668" spans="1:14" s="2" customFormat="1">
      <c r="A27668" s="83"/>
      <c r="H27668" s="83"/>
      <c r="K27668" s="82"/>
      <c r="M27668" s="112"/>
      <c r="N27668" s="84"/>
    </row>
    <row r="27669" spans="1:14" s="2" customFormat="1">
      <c r="A27669" s="83"/>
      <c r="H27669" s="83"/>
      <c r="K27669" s="82"/>
      <c r="M27669" s="112"/>
      <c r="N27669" s="84"/>
    </row>
    <row r="27670" spans="1:14" s="2" customFormat="1">
      <c r="A27670" s="83"/>
      <c r="H27670" s="83"/>
      <c r="K27670" s="82"/>
      <c r="M27670" s="112"/>
      <c r="N27670" s="84"/>
    </row>
    <row r="27671" spans="1:14" s="2" customFormat="1">
      <c r="A27671" s="83"/>
      <c r="H27671" s="83"/>
      <c r="K27671" s="82"/>
      <c r="M27671" s="112"/>
      <c r="N27671" s="84"/>
    </row>
    <row r="27672" spans="1:14" s="2" customFormat="1">
      <c r="A27672" s="83"/>
      <c r="H27672" s="83"/>
      <c r="K27672" s="82"/>
      <c r="M27672" s="112"/>
      <c r="N27672" s="84"/>
    </row>
    <row r="27673" spans="1:14" s="2" customFormat="1">
      <c r="A27673" s="83"/>
      <c r="H27673" s="83"/>
      <c r="K27673" s="82"/>
      <c r="M27673" s="112"/>
      <c r="N27673" s="84"/>
    </row>
    <row r="27674" spans="1:14" s="2" customFormat="1">
      <c r="A27674" s="83"/>
      <c r="H27674" s="83"/>
      <c r="K27674" s="82"/>
      <c r="M27674" s="112"/>
      <c r="N27674" s="84"/>
    </row>
    <row r="27675" spans="1:14" s="2" customFormat="1">
      <c r="A27675" s="83"/>
      <c r="H27675" s="83"/>
      <c r="K27675" s="82"/>
      <c r="M27675" s="112"/>
      <c r="N27675" s="84"/>
    </row>
    <row r="27676" spans="1:14" s="2" customFormat="1">
      <c r="A27676" s="83"/>
      <c r="H27676" s="83"/>
      <c r="K27676" s="82"/>
      <c r="M27676" s="112"/>
      <c r="N27676" s="84"/>
    </row>
    <row r="27677" spans="1:14" s="2" customFormat="1">
      <c r="A27677" s="83"/>
      <c r="H27677" s="83"/>
      <c r="K27677" s="82"/>
      <c r="M27677" s="112"/>
      <c r="N27677" s="84"/>
    </row>
    <row r="27678" spans="1:14" s="2" customFormat="1">
      <c r="A27678" s="83"/>
      <c r="H27678" s="83"/>
      <c r="K27678" s="82"/>
      <c r="M27678" s="112"/>
      <c r="N27678" s="84"/>
    </row>
    <row r="27679" spans="1:14" s="2" customFormat="1">
      <c r="A27679" s="83"/>
      <c r="H27679" s="83"/>
      <c r="K27679" s="82"/>
      <c r="M27679" s="112"/>
      <c r="N27679" s="84"/>
    </row>
    <row r="27680" spans="1:14" s="2" customFormat="1">
      <c r="A27680" s="83"/>
      <c r="H27680" s="83"/>
      <c r="K27680" s="82"/>
      <c r="M27680" s="112"/>
      <c r="N27680" s="84"/>
    </row>
    <row r="27681" spans="1:14" s="2" customFormat="1">
      <c r="A27681" s="83"/>
      <c r="H27681" s="83"/>
      <c r="K27681" s="82"/>
      <c r="M27681" s="112"/>
      <c r="N27681" s="84"/>
    </row>
    <row r="27682" spans="1:14" s="2" customFormat="1">
      <c r="A27682" s="83"/>
      <c r="H27682" s="83"/>
      <c r="K27682" s="82"/>
      <c r="M27682" s="112"/>
      <c r="N27682" s="84"/>
    </row>
    <row r="27683" spans="1:14" s="2" customFormat="1">
      <c r="A27683" s="83"/>
      <c r="H27683" s="83"/>
      <c r="K27683" s="82"/>
      <c r="M27683" s="112"/>
      <c r="N27683" s="84"/>
    </row>
    <row r="27684" spans="1:14" s="2" customFormat="1">
      <c r="A27684" s="83"/>
      <c r="H27684" s="83"/>
      <c r="K27684" s="82"/>
      <c r="M27684" s="112"/>
      <c r="N27684" s="84"/>
    </row>
    <row r="27685" spans="1:14" s="2" customFormat="1">
      <c r="A27685" s="83"/>
      <c r="H27685" s="83"/>
      <c r="K27685" s="82"/>
      <c r="M27685" s="112"/>
      <c r="N27685" s="84"/>
    </row>
    <row r="27686" spans="1:14" s="2" customFormat="1">
      <c r="A27686" s="83"/>
      <c r="H27686" s="83"/>
      <c r="K27686" s="82"/>
      <c r="M27686" s="112"/>
      <c r="N27686" s="84"/>
    </row>
    <row r="27687" spans="1:14" s="2" customFormat="1">
      <c r="A27687" s="83"/>
      <c r="H27687" s="83"/>
      <c r="K27687" s="82"/>
      <c r="M27687" s="112"/>
      <c r="N27687" s="84"/>
    </row>
    <row r="27688" spans="1:14" s="2" customFormat="1">
      <c r="A27688" s="83"/>
      <c r="H27688" s="83"/>
      <c r="K27688" s="82"/>
      <c r="M27688" s="112"/>
      <c r="N27688" s="84"/>
    </row>
    <row r="27689" spans="1:14" s="2" customFormat="1">
      <c r="A27689" s="83"/>
      <c r="H27689" s="83"/>
      <c r="K27689" s="82"/>
      <c r="M27689" s="112"/>
      <c r="N27689" s="84"/>
    </row>
    <row r="27690" spans="1:14" s="2" customFormat="1">
      <c r="A27690" s="83"/>
      <c r="H27690" s="83"/>
      <c r="K27690" s="82"/>
      <c r="M27690" s="112"/>
      <c r="N27690" s="84"/>
    </row>
    <row r="27691" spans="1:14" s="2" customFormat="1">
      <c r="A27691" s="83"/>
      <c r="H27691" s="83"/>
      <c r="K27691" s="82"/>
      <c r="M27691" s="112"/>
      <c r="N27691" s="84"/>
    </row>
    <row r="27692" spans="1:14" s="2" customFormat="1">
      <c r="A27692" s="83"/>
      <c r="H27692" s="83"/>
      <c r="K27692" s="82"/>
      <c r="M27692" s="112"/>
      <c r="N27692" s="84"/>
    </row>
    <row r="27693" spans="1:14" s="2" customFormat="1">
      <c r="A27693" s="83"/>
      <c r="H27693" s="83"/>
      <c r="K27693" s="82"/>
      <c r="M27693" s="112"/>
      <c r="N27693" s="84"/>
    </row>
    <row r="27694" spans="1:14" s="2" customFormat="1">
      <c r="A27694" s="83"/>
      <c r="H27694" s="83"/>
      <c r="K27694" s="82"/>
      <c r="M27694" s="112"/>
      <c r="N27694" s="84"/>
    </row>
    <row r="27695" spans="1:14" s="2" customFormat="1">
      <c r="A27695" s="83"/>
      <c r="H27695" s="83"/>
      <c r="K27695" s="82"/>
      <c r="M27695" s="112"/>
      <c r="N27695" s="84"/>
    </row>
    <row r="27696" spans="1:14" s="2" customFormat="1">
      <c r="A27696" s="83"/>
      <c r="H27696" s="83"/>
      <c r="K27696" s="82"/>
      <c r="M27696" s="112"/>
      <c r="N27696" s="84"/>
    </row>
    <row r="27697" spans="1:14" s="2" customFormat="1">
      <c r="A27697" s="83"/>
      <c r="H27697" s="83"/>
      <c r="K27697" s="82"/>
      <c r="M27697" s="112"/>
      <c r="N27697" s="84"/>
    </row>
    <row r="27698" spans="1:14" s="2" customFormat="1">
      <c r="A27698" s="83"/>
      <c r="H27698" s="83"/>
      <c r="K27698" s="82"/>
      <c r="M27698" s="112"/>
      <c r="N27698" s="84"/>
    </row>
    <row r="27699" spans="1:14" s="2" customFormat="1">
      <c r="A27699" s="83"/>
      <c r="H27699" s="83"/>
      <c r="K27699" s="82"/>
      <c r="M27699" s="112"/>
      <c r="N27699" s="84"/>
    </row>
    <row r="27700" spans="1:14" s="2" customFormat="1">
      <c r="A27700" s="83"/>
      <c r="H27700" s="83"/>
      <c r="K27700" s="82"/>
      <c r="M27700" s="112"/>
      <c r="N27700" s="84"/>
    </row>
    <row r="27701" spans="1:14" s="2" customFormat="1">
      <c r="A27701" s="83"/>
      <c r="H27701" s="83"/>
      <c r="K27701" s="82"/>
      <c r="M27701" s="112"/>
      <c r="N27701" s="84"/>
    </row>
    <row r="27702" spans="1:14" s="2" customFormat="1">
      <c r="A27702" s="83"/>
      <c r="H27702" s="83"/>
      <c r="K27702" s="82"/>
      <c r="M27702" s="112"/>
      <c r="N27702" s="84"/>
    </row>
    <row r="27703" spans="1:14" s="2" customFormat="1">
      <c r="A27703" s="83"/>
      <c r="H27703" s="83"/>
      <c r="K27703" s="82"/>
      <c r="M27703" s="112"/>
      <c r="N27703" s="84"/>
    </row>
    <row r="27704" spans="1:14" s="2" customFormat="1">
      <c r="A27704" s="83"/>
      <c r="H27704" s="83"/>
      <c r="K27704" s="82"/>
      <c r="M27704" s="112"/>
      <c r="N27704" s="84"/>
    </row>
    <row r="27705" spans="1:14" s="2" customFormat="1">
      <c r="A27705" s="83"/>
      <c r="H27705" s="83"/>
      <c r="K27705" s="82"/>
      <c r="M27705" s="112"/>
      <c r="N27705" s="84"/>
    </row>
    <row r="27706" spans="1:14" s="2" customFormat="1">
      <c r="A27706" s="83"/>
      <c r="H27706" s="83"/>
      <c r="K27706" s="82"/>
      <c r="M27706" s="112"/>
      <c r="N27706" s="84"/>
    </row>
    <row r="27707" spans="1:14" s="2" customFormat="1">
      <c r="A27707" s="83"/>
      <c r="H27707" s="83"/>
      <c r="K27707" s="82"/>
      <c r="M27707" s="112"/>
      <c r="N27707" s="84"/>
    </row>
    <row r="27708" spans="1:14" s="2" customFormat="1">
      <c r="A27708" s="83"/>
      <c r="H27708" s="83"/>
      <c r="K27708" s="82"/>
      <c r="M27708" s="112"/>
      <c r="N27708" s="84"/>
    </row>
    <row r="27709" spans="1:14" s="2" customFormat="1">
      <c r="A27709" s="83"/>
      <c r="H27709" s="83"/>
      <c r="K27709" s="82"/>
      <c r="M27709" s="112"/>
      <c r="N27709" s="84"/>
    </row>
    <row r="27710" spans="1:14" s="2" customFormat="1">
      <c r="A27710" s="83"/>
      <c r="H27710" s="83"/>
      <c r="K27710" s="82"/>
      <c r="M27710" s="112"/>
      <c r="N27710" s="84"/>
    </row>
    <row r="27711" spans="1:14" s="2" customFormat="1">
      <c r="A27711" s="83"/>
      <c r="H27711" s="83"/>
      <c r="K27711" s="82"/>
      <c r="M27711" s="112"/>
      <c r="N27711" s="84"/>
    </row>
    <row r="27712" spans="1:14" s="2" customFormat="1">
      <c r="A27712" s="83"/>
      <c r="H27712" s="83"/>
      <c r="K27712" s="82"/>
      <c r="M27712" s="112"/>
      <c r="N27712" s="84"/>
    </row>
    <row r="27713" spans="1:14" s="2" customFormat="1">
      <c r="A27713" s="83"/>
      <c r="H27713" s="83"/>
      <c r="K27713" s="82"/>
      <c r="M27713" s="112"/>
      <c r="N27713" s="84"/>
    </row>
    <row r="27714" spans="1:14" s="2" customFormat="1">
      <c r="A27714" s="83"/>
      <c r="H27714" s="83"/>
      <c r="K27714" s="82"/>
      <c r="M27714" s="112"/>
      <c r="N27714" s="84"/>
    </row>
    <row r="27715" spans="1:14" s="2" customFormat="1">
      <c r="A27715" s="83"/>
      <c r="H27715" s="83"/>
      <c r="K27715" s="82"/>
      <c r="M27715" s="112"/>
      <c r="N27715" s="84"/>
    </row>
    <row r="27716" spans="1:14" s="2" customFormat="1">
      <c r="A27716" s="83"/>
      <c r="H27716" s="83"/>
      <c r="K27716" s="82"/>
      <c r="M27716" s="112"/>
      <c r="N27716" s="84"/>
    </row>
    <row r="27717" spans="1:14" s="2" customFormat="1">
      <c r="A27717" s="83"/>
      <c r="H27717" s="83"/>
      <c r="K27717" s="82"/>
      <c r="M27717" s="112"/>
      <c r="N27717" s="84"/>
    </row>
    <row r="27718" spans="1:14" s="2" customFormat="1">
      <c r="A27718" s="83"/>
      <c r="H27718" s="83"/>
      <c r="K27718" s="82"/>
      <c r="M27718" s="112"/>
      <c r="N27718" s="84"/>
    </row>
    <row r="27719" spans="1:14" s="2" customFormat="1">
      <c r="A27719" s="83"/>
      <c r="H27719" s="83"/>
      <c r="K27719" s="82"/>
      <c r="M27719" s="112"/>
      <c r="N27719" s="84"/>
    </row>
    <row r="27720" spans="1:14" s="2" customFormat="1">
      <c r="A27720" s="83"/>
      <c r="H27720" s="83"/>
      <c r="K27720" s="82"/>
      <c r="M27720" s="112"/>
      <c r="N27720" s="84"/>
    </row>
    <row r="27721" spans="1:14" s="2" customFormat="1">
      <c r="A27721" s="83"/>
      <c r="H27721" s="83"/>
      <c r="K27721" s="82"/>
      <c r="M27721" s="112"/>
      <c r="N27721" s="84"/>
    </row>
    <row r="27722" spans="1:14" s="2" customFormat="1">
      <c r="A27722" s="83"/>
      <c r="H27722" s="83"/>
      <c r="K27722" s="82"/>
      <c r="M27722" s="112"/>
      <c r="N27722" s="84"/>
    </row>
    <row r="27723" spans="1:14" s="2" customFormat="1">
      <c r="A27723" s="83"/>
      <c r="H27723" s="83"/>
      <c r="K27723" s="82"/>
      <c r="M27723" s="112"/>
      <c r="N27723" s="84"/>
    </row>
    <row r="27724" spans="1:14" s="2" customFormat="1">
      <c r="A27724" s="83"/>
      <c r="H27724" s="83"/>
      <c r="K27724" s="82"/>
      <c r="M27724" s="112"/>
      <c r="N27724" s="84"/>
    </row>
    <row r="27725" spans="1:14" s="2" customFormat="1">
      <c r="A27725" s="83"/>
      <c r="H27725" s="83"/>
      <c r="K27725" s="82"/>
      <c r="M27725" s="112"/>
      <c r="N27725" s="84"/>
    </row>
    <row r="27726" spans="1:14" s="2" customFormat="1">
      <c r="A27726" s="83"/>
      <c r="H27726" s="83"/>
      <c r="K27726" s="82"/>
      <c r="M27726" s="112"/>
      <c r="N27726" s="84"/>
    </row>
    <row r="27727" spans="1:14" s="2" customFormat="1">
      <c r="A27727" s="83"/>
      <c r="H27727" s="83"/>
      <c r="K27727" s="82"/>
      <c r="M27727" s="112"/>
      <c r="N27727" s="84"/>
    </row>
    <row r="27728" spans="1:14" s="2" customFormat="1">
      <c r="A27728" s="83"/>
      <c r="H27728" s="83"/>
      <c r="K27728" s="82"/>
      <c r="M27728" s="112"/>
      <c r="N27728" s="84"/>
    </row>
    <row r="27729" spans="1:14" s="2" customFormat="1">
      <c r="A27729" s="83"/>
      <c r="H27729" s="83"/>
      <c r="K27729" s="82"/>
      <c r="M27729" s="112"/>
      <c r="N27729" s="84"/>
    </row>
    <row r="27730" spans="1:14" s="2" customFormat="1">
      <c r="A27730" s="83"/>
      <c r="H27730" s="83"/>
      <c r="K27730" s="82"/>
      <c r="M27730" s="112"/>
      <c r="N27730" s="84"/>
    </row>
    <row r="27731" spans="1:14" s="2" customFormat="1">
      <c r="A27731" s="83"/>
      <c r="H27731" s="83"/>
      <c r="K27731" s="82"/>
      <c r="M27731" s="112"/>
      <c r="N27731" s="84"/>
    </row>
    <row r="27732" spans="1:14" s="2" customFormat="1">
      <c r="A27732" s="83"/>
      <c r="H27732" s="83"/>
      <c r="K27732" s="82"/>
      <c r="M27732" s="112"/>
      <c r="N27732" s="84"/>
    </row>
    <row r="27733" spans="1:14" s="2" customFormat="1">
      <c r="A27733" s="83"/>
      <c r="H27733" s="83"/>
      <c r="K27733" s="82"/>
      <c r="M27733" s="112"/>
      <c r="N27733" s="84"/>
    </row>
    <row r="27734" spans="1:14" s="2" customFormat="1">
      <c r="A27734" s="83"/>
      <c r="H27734" s="83"/>
      <c r="K27734" s="82"/>
      <c r="M27734" s="112"/>
      <c r="N27734" s="84"/>
    </row>
    <row r="27735" spans="1:14" s="2" customFormat="1">
      <c r="A27735" s="83"/>
      <c r="H27735" s="83"/>
      <c r="K27735" s="82"/>
      <c r="M27735" s="112"/>
      <c r="N27735" s="84"/>
    </row>
    <row r="27736" spans="1:14" s="2" customFormat="1">
      <c r="A27736" s="83"/>
      <c r="H27736" s="83"/>
      <c r="K27736" s="82"/>
      <c r="M27736" s="112"/>
      <c r="N27736" s="84"/>
    </row>
    <row r="27737" spans="1:14" s="2" customFormat="1">
      <c r="A27737" s="83"/>
      <c r="H27737" s="83"/>
      <c r="K27737" s="82"/>
      <c r="M27737" s="112"/>
      <c r="N27737" s="84"/>
    </row>
    <row r="27738" spans="1:14" s="2" customFormat="1">
      <c r="A27738" s="83"/>
      <c r="H27738" s="83"/>
      <c r="K27738" s="82"/>
      <c r="M27738" s="112"/>
      <c r="N27738" s="84"/>
    </row>
    <row r="27739" spans="1:14" s="2" customFormat="1">
      <c r="A27739" s="83"/>
      <c r="H27739" s="83"/>
      <c r="K27739" s="82"/>
      <c r="M27739" s="112"/>
      <c r="N27739" s="84"/>
    </row>
    <row r="27740" spans="1:14" s="2" customFormat="1">
      <c r="A27740" s="83"/>
      <c r="H27740" s="83"/>
      <c r="K27740" s="82"/>
      <c r="M27740" s="112"/>
      <c r="N27740" s="84"/>
    </row>
    <row r="27741" spans="1:14" s="2" customFormat="1">
      <c r="A27741" s="83"/>
      <c r="H27741" s="83"/>
      <c r="K27741" s="82"/>
      <c r="M27741" s="112"/>
      <c r="N27741" s="84"/>
    </row>
    <row r="27742" spans="1:14" s="2" customFormat="1">
      <c r="A27742" s="83"/>
      <c r="H27742" s="83"/>
      <c r="K27742" s="82"/>
      <c r="M27742" s="112"/>
      <c r="N27742" s="84"/>
    </row>
    <row r="27743" spans="1:14" s="2" customFormat="1">
      <c r="A27743" s="83"/>
      <c r="H27743" s="83"/>
      <c r="K27743" s="82"/>
      <c r="M27743" s="112"/>
      <c r="N27743" s="84"/>
    </row>
    <row r="27744" spans="1:14" s="2" customFormat="1">
      <c r="A27744" s="83"/>
      <c r="H27744" s="83"/>
      <c r="K27744" s="82"/>
      <c r="M27744" s="112"/>
      <c r="N27744" s="84"/>
    </row>
    <row r="27745" spans="1:14" s="2" customFormat="1">
      <c r="A27745" s="83"/>
      <c r="H27745" s="83"/>
      <c r="K27745" s="82"/>
      <c r="M27745" s="112"/>
      <c r="N27745" s="84"/>
    </row>
    <row r="27746" spans="1:14" s="2" customFormat="1">
      <c r="A27746" s="83"/>
      <c r="H27746" s="83"/>
      <c r="K27746" s="82"/>
      <c r="M27746" s="112"/>
      <c r="N27746" s="84"/>
    </row>
    <row r="27747" spans="1:14" s="2" customFormat="1">
      <c r="A27747" s="83"/>
      <c r="H27747" s="83"/>
      <c r="K27747" s="82"/>
      <c r="M27747" s="112"/>
      <c r="N27747" s="84"/>
    </row>
    <row r="27748" spans="1:14" s="2" customFormat="1">
      <c r="A27748" s="83"/>
      <c r="H27748" s="83"/>
      <c r="K27748" s="82"/>
      <c r="M27748" s="112"/>
      <c r="N27748" s="84"/>
    </row>
    <row r="27749" spans="1:14" s="2" customFormat="1">
      <c r="A27749" s="83"/>
      <c r="H27749" s="83"/>
      <c r="K27749" s="82"/>
      <c r="M27749" s="112"/>
      <c r="N27749" s="84"/>
    </row>
    <row r="27750" spans="1:14" s="2" customFormat="1">
      <c r="A27750" s="83"/>
      <c r="H27750" s="83"/>
      <c r="K27750" s="82"/>
      <c r="M27750" s="112"/>
      <c r="N27750" s="84"/>
    </row>
    <row r="27751" spans="1:14" s="2" customFormat="1">
      <c r="A27751" s="83"/>
      <c r="H27751" s="83"/>
      <c r="K27751" s="82"/>
      <c r="M27751" s="112"/>
      <c r="N27751" s="84"/>
    </row>
    <row r="27752" spans="1:14" s="2" customFormat="1">
      <c r="A27752" s="83"/>
      <c r="H27752" s="83"/>
      <c r="K27752" s="82"/>
      <c r="M27752" s="112"/>
      <c r="N27752" s="84"/>
    </row>
    <row r="27753" spans="1:14" s="2" customFormat="1">
      <c r="A27753" s="83"/>
      <c r="H27753" s="83"/>
      <c r="K27753" s="82"/>
      <c r="M27753" s="112"/>
      <c r="N27753" s="84"/>
    </row>
    <row r="27754" spans="1:14" s="2" customFormat="1">
      <c r="A27754" s="83"/>
      <c r="H27754" s="83"/>
      <c r="K27754" s="82"/>
      <c r="M27754" s="112"/>
      <c r="N27754" s="84"/>
    </row>
    <row r="27755" spans="1:14" s="2" customFormat="1">
      <c r="A27755" s="83"/>
      <c r="H27755" s="83"/>
      <c r="K27755" s="82"/>
      <c r="M27755" s="112"/>
      <c r="N27755" s="84"/>
    </row>
    <row r="27756" spans="1:14" s="2" customFormat="1">
      <c r="A27756" s="83"/>
      <c r="H27756" s="83"/>
      <c r="K27756" s="82"/>
      <c r="M27756" s="112"/>
      <c r="N27756" s="84"/>
    </row>
    <row r="27757" spans="1:14" s="2" customFormat="1">
      <c r="A27757" s="83"/>
      <c r="H27757" s="83"/>
      <c r="K27757" s="82"/>
      <c r="M27757" s="112"/>
      <c r="N27757" s="84"/>
    </row>
    <row r="27758" spans="1:14" s="2" customFormat="1">
      <c r="A27758" s="83"/>
      <c r="H27758" s="83"/>
      <c r="K27758" s="82"/>
      <c r="M27758" s="112"/>
      <c r="N27758" s="84"/>
    </row>
    <row r="27759" spans="1:14" s="2" customFormat="1">
      <c r="A27759" s="83"/>
      <c r="H27759" s="83"/>
      <c r="K27759" s="82"/>
      <c r="M27759" s="112"/>
      <c r="N27759" s="84"/>
    </row>
    <row r="27760" spans="1:14" s="2" customFormat="1">
      <c r="A27760" s="83"/>
      <c r="H27760" s="83"/>
      <c r="K27760" s="82"/>
      <c r="M27760" s="112"/>
      <c r="N27760" s="84"/>
    </row>
    <row r="27761" spans="1:14" s="2" customFormat="1">
      <c r="A27761" s="83"/>
      <c r="H27761" s="83"/>
      <c r="K27761" s="82"/>
      <c r="M27761" s="112"/>
      <c r="N27761" s="84"/>
    </row>
    <row r="27762" spans="1:14" s="2" customFormat="1">
      <c r="A27762" s="83"/>
      <c r="H27762" s="83"/>
      <c r="K27762" s="82"/>
      <c r="M27762" s="112"/>
      <c r="N27762" s="84"/>
    </row>
    <row r="27763" spans="1:14" s="2" customFormat="1">
      <c r="A27763" s="83"/>
      <c r="H27763" s="83"/>
      <c r="K27763" s="82"/>
      <c r="M27763" s="112"/>
      <c r="N27763" s="84"/>
    </row>
    <row r="27764" spans="1:14" s="2" customFormat="1">
      <c r="A27764" s="83"/>
      <c r="H27764" s="83"/>
      <c r="K27764" s="82"/>
      <c r="M27764" s="112"/>
      <c r="N27764" s="84"/>
    </row>
    <row r="27765" spans="1:14" s="2" customFormat="1">
      <c r="A27765" s="83"/>
      <c r="H27765" s="83"/>
      <c r="K27765" s="82"/>
      <c r="M27765" s="112"/>
      <c r="N27765" s="84"/>
    </row>
    <row r="27766" spans="1:14" s="2" customFormat="1">
      <c r="A27766" s="83"/>
      <c r="H27766" s="83"/>
      <c r="K27766" s="82"/>
      <c r="M27766" s="112"/>
      <c r="N27766" s="84"/>
    </row>
    <row r="27767" spans="1:14" s="2" customFormat="1">
      <c r="A27767" s="83"/>
      <c r="H27767" s="83"/>
      <c r="K27767" s="82"/>
      <c r="M27767" s="112"/>
      <c r="N27767" s="84"/>
    </row>
    <row r="27768" spans="1:14" s="2" customFormat="1">
      <c r="A27768" s="83"/>
      <c r="H27768" s="83"/>
      <c r="K27768" s="82"/>
      <c r="M27768" s="112"/>
      <c r="N27768" s="84"/>
    </row>
    <row r="27769" spans="1:14" s="2" customFormat="1">
      <c r="A27769" s="83"/>
      <c r="H27769" s="83"/>
      <c r="K27769" s="82"/>
      <c r="M27769" s="112"/>
      <c r="N27769" s="84"/>
    </row>
    <row r="27770" spans="1:14" s="2" customFormat="1">
      <c r="A27770" s="83"/>
      <c r="H27770" s="83"/>
      <c r="K27770" s="82"/>
      <c r="M27770" s="112"/>
      <c r="N27770" s="84"/>
    </row>
    <row r="27771" spans="1:14" s="2" customFormat="1">
      <c r="A27771" s="83"/>
      <c r="H27771" s="83"/>
      <c r="K27771" s="82"/>
      <c r="M27771" s="112"/>
      <c r="N27771" s="84"/>
    </row>
    <row r="27772" spans="1:14" s="2" customFormat="1">
      <c r="A27772" s="83"/>
      <c r="H27772" s="83"/>
      <c r="K27772" s="82"/>
      <c r="M27772" s="112"/>
      <c r="N27772" s="84"/>
    </row>
    <row r="27773" spans="1:14" s="2" customFormat="1">
      <c r="A27773" s="83"/>
      <c r="H27773" s="83"/>
      <c r="K27773" s="82"/>
      <c r="M27773" s="112"/>
      <c r="N27773" s="84"/>
    </row>
    <row r="27774" spans="1:14" s="2" customFormat="1">
      <c r="A27774" s="83"/>
      <c r="H27774" s="83"/>
      <c r="K27774" s="82"/>
      <c r="M27774" s="112"/>
      <c r="N27774" s="84"/>
    </row>
    <row r="27775" spans="1:14" s="2" customFormat="1">
      <c r="A27775" s="83"/>
      <c r="H27775" s="83"/>
      <c r="K27775" s="82"/>
      <c r="M27775" s="112"/>
      <c r="N27775" s="84"/>
    </row>
    <row r="27776" spans="1:14" s="2" customFormat="1">
      <c r="A27776" s="83"/>
      <c r="H27776" s="83"/>
      <c r="K27776" s="82"/>
      <c r="M27776" s="112"/>
      <c r="N27776" s="84"/>
    </row>
    <row r="27777" spans="1:14" s="2" customFormat="1">
      <c r="A27777" s="83"/>
      <c r="H27777" s="83"/>
      <c r="K27777" s="82"/>
      <c r="M27777" s="112"/>
      <c r="N27777" s="84"/>
    </row>
    <row r="27778" spans="1:14" s="2" customFormat="1">
      <c r="A27778" s="83"/>
      <c r="H27778" s="83"/>
      <c r="K27778" s="82"/>
      <c r="M27778" s="112"/>
      <c r="N27778" s="84"/>
    </row>
    <row r="27779" spans="1:14" s="2" customFormat="1">
      <c r="A27779" s="83"/>
      <c r="H27779" s="83"/>
      <c r="K27779" s="82"/>
      <c r="M27779" s="112"/>
      <c r="N27779" s="84"/>
    </row>
    <row r="27780" spans="1:14" s="2" customFormat="1">
      <c r="A27780" s="83"/>
      <c r="H27780" s="83"/>
      <c r="K27780" s="82"/>
      <c r="M27780" s="112"/>
      <c r="N27780" s="84"/>
    </row>
    <row r="27781" spans="1:14" s="2" customFormat="1">
      <c r="A27781" s="83"/>
      <c r="H27781" s="83"/>
      <c r="K27781" s="82"/>
      <c r="M27781" s="112"/>
      <c r="N27781" s="84"/>
    </row>
    <row r="27782" spans="1:14" s="2" customFormat="1">
      <c r="A27782" s="83"/>
      <c r="H27782" s="83"/>
      <c r="K27782" s="82"/>
      <c r="M27782" s="112"/>
      <c r="N27782" s="84"/>
    </row>
    <row r="27783" spans="1:14" s="2" customFormat="1">
      <c r="A27783" s="83"/>
      <c r="H27783" s="83"/>
      <c r="K27783" s="82"/>
      <c r="M27783" s="112"/>
      <c r="N27783" s="84"/>
    </row>
    <row r="27784" spans="1:14" s="2" customFormat="1">
      <c r="A27784" s="83"/>
      <c r="H27784" s="83"/>
      <c r="K27784" s="82"/>
      <c r="M27784" s="112"/>
      <c r="N27784" s="84"/>
    </row>
    <row r="27785" spans="1:14" s="2" customFormat="1">
      <c r="A27785" s="83"/>
      <c r="H27785" s="83"/>
      <c r="K27785" s="82"/>
      <c r="M27785" s="112"/>
      <c r="N27785" s="84"/>
    </row>
    <row r="27786" spans="1:14" s="2" customFormat="1">
      <c r="A27786" s="83"/>
      <c r="H27786" s="83"/>
      <c r="K27786" s="82"/>
      <c r="M27786" s="112"/>
      <c r="N27786" s="84"/>
    </row>
    <row r="27787" spans="1:14" s="2" customFormat="1">
      <c r="A27787" s="83"/>
      <c r="H27787" s="83"/>
      <c r="K27787" s="82"/>
      <c r="M27787" s="112"/>
      <c r="N27787" s="84"/>
    </row>
    <row r="27788" spans="1:14" s="2" customFormat="1">
      <c r="A27788" s="83"/>
      <c r="H27788" s="83"/>
      <c r="K27788" s="82"/>
      <c r="M27788" s="112"/>
      <c r="N27788" s="84"/>
    </row>
    <row r="27789" spans="1:14" s="2" customFormat="1">
      <c r="A27789" s="83"/>
      <c r="H27789" s="83"/>
      <c r="K27789" s="82"/>
      <c r="M27789" s="112"/>
      <c r="N27789" s="84"/>
    </row>
    <row r="27790" spans="1:14" s="2" customFormat="1">
      <c r="A27790" s="83"/>
      <c r="H27790" s="83"/>
      <c r="K27790" s="82"/>
      <c r="M27790" s="112"/>
      <c r="N27790" s="84"/>
    </row>
    <row r="27791" spans="1:14" s="2" customFormat="1">
      <c r="A27791" s="83"/>
      <c r="H27791" s="83"/>
      <c r="K27791" s="82"/>
      <c r="M27791" s="112"/>
      <c r="N27791" s="84"/>
    </row>
    <row r="27792" spans="1:14" s="2" customFormat="1">
      <c r="A27792" s="83"/>
      <c r="H27792" s="83"/>
      <c r="K27792" s="82"/>
      <c r="M27792" s="112"/>
      <c r="N27792" s="84"/>
    </row>
    <row r="27793" spans="1:14" s="2" customFormat="1">
      <c r="A27793" s="83"/>
      <c r="H27793" s="83"/>
      <c r="K27793" s="82"/>
      <c r="M27793" s="112"/>
      <c r="N27793" s="84"/>
    </row>
    <row r="27794" spans="1:14" s="2" customFormat="1">
      <c r="A27794" s="83"/>
      <c r="H27794" s="83"/>
      <c r="K27794" s="82"/>
      <c r="M27794" s="112"/>
      <c r="N27794" s="84"/>
    </row>
    <row r="27795" spans="1:14" s="2" customFormat="1">
      <c r="A27795" s="83"/>
      <c r="H27795" s="83"/>
      <c r="K27795" s="82"/>
      <c r="M27795" s="112"/>
      <c r="N27795" s="84"/>
    </row>
    <row r="27796" spans="1:14" s="2" customFormat="1">
      <c r="A27796" s="83"/>
      <c r="H27796" s="83"/>
      <c r="K27796" s="82"/>
      <c r="M27796" s="112"/>
      <c r="N27796" s="84"/>
    </row>
    <row r="27797" spans="1:14" s="2" customFormat="1">
      <c r="A27797" s="83"/>
      <c r="H27797" s="83"/>
      <c r="K27797" s="82"/>
      <c r="M27797" s="112"/>
      <c r="N27797" s="84"/>
    </row>
    <row r="27798" spans="1:14" s="2" customFormat="1">
      <c r="A27798" s="83"/>
      <c r="H27798" s="83"/>
      <c r="K27798" s="82"/>
      <c r="M27798" s="112"/>
      <c r="N27798" s="84"/>
    </row>
    <row r="27799" spans="1:14" s="2" customFormat="1">
      <c r="A27799" s="83"/>
      <c r="H27799" s="83"/>
      <c r="K27799" s="82"/>
      <c r="M27799" s="112"/>
      <c r="N27799" s="84"/>
    </row>
    <row r="27800" spans="1:14" s="2" customFormat="1">
      <c r="A27800" s="83"/>
      <c r="H27800" s="83"/>
      <c r="K27800" s="82"/>
      <c r="M27800" s="112"/>
      <c r="N27800" s="84"/>
    </row>
    <row r="27801" spans="1:14" s="2" customFormat="1">
      <c r="A27801" s="83"/>
      <c r="H27801" s="83"/>
      <c r="K27801" s="82"/>
      <c r="M27801" s="112"/>
      <c r="N27801" s="84"/>
    </row>
    <row r="27802" spans="1:14" s="2" customFormat="1">
      <c r="A27802" s="83"/>
      <c r="H27802" s="83"/>
      <c r="K27802" s="82"/>
      <c r="M27802" s="112"/>
      <c r="N27802" s="84"/>
    </row>
    <row r="27803" spans="1:14" s="2" customFormat="1">
      <c r="A27803" s="83"/>
      <c r="H27803" s="83"/>
      <c r="K27803" s="82"/>
      <c r="M27803" s="112"/>
      <c r="N27803" s="84"/>
    </row>
    <row r="27804" spans="1:14" s="2" customFormat="1">
      <c r="A27804" s="83"/>
      <c r="H27804" s="83"/>
      <c r="K27804" s="82"/>
      <c r="M27804" s="112"/>
      <c r="N27804" s="84"/>
    </row>
    <row r="27805" spans="1:14" s="2" customFormat="1">
      <c r="A27805" s="83"/>
      <c r="H27805" s="83"/>
      <c r="K27805" s="82"/>
      <c r="M27805" s="112"/>
      <c r="N27805" s="84"/>
    </row>
    <row r="27806" spans="1:14" s="2" customFormat="1">
      <c r="A27806" s="83"/>
      <c r="H27806" s="83"/>
      <c r="K27806" s="82"/>
      <c r="M27806" s="112"/>
      <c r="N27806" s="84"/>
    </row>
    <row r="27807" spans="1:14" s="2" customFormat="1">
      <c r="A27807" s="83"/>
      <c r="H27807" s="83"/>
      <c r="K27807" s="82"/>
      <c r="M27807" s="112"/>
      <c r="N27807" s="84"/>
    </row>
    <row r="27808" spans="1:14" s="2" customFormat="1">
      <c r="A27808" s="83"/>
      <c r="H27808" s="83"/>
      <c r="K27808" s="82"/>
      <c r="M27808" s="112"/>
      <c r="N27808" s="84"/>
    </row>
    <row r="27809" spans="1:14" s="2" customFormat="1">
      <c r="A27809" s="83"/>
      <c r="H27809" s="83"/>
      <c r="K27809" s="82"/>
      <c r="M27809" s="112"/>
      <c r="N27809" s="84"/>
    </row>
    <row r="27810" spans="1:14" s="2" customFormat="1">
      <c r="A27810" s="83"/>
      <c r="H27810" s="83"/>
      <c r="K27810" s="82"/>
      <c r="M27810" s="112"/>
      <c r="N27810" s="84"/>
    </row>
    <row r="27811" spans="1:14" s="2" customFormat="1">
      <c r="A27811" s="83"/>
      <c r="H27811" s="83"/>
      <c r="K27811" s="82"/>
      <c r="M27811" s="112"/>
      <c r="N27811" s="84"/>
    </row>
    <row r="27812" spans="1:14" s="2" customFormat="1">
      <c r="A27812" s="83"/>
      <c r="H27812" s="83"/>
      <c r="K27812" s="82"/>
      <c r="M27812" s="112"/>
      <c r="N27812" s="84"/>
    </row>
    <row r="27813" spans="1:14" s="2" customFormat="1">
      <c r="A27813" s="83"/>
      <c r="H27813" s="83"/>
      <c r="K27813" s="82"/>
      <c r="M27813" s="112"/>
      <c r="N27813" s="84"/>
    </row>
    <row r="27814" spans="1:14" s="2" customFormat="1">
      <c r="A27814" s="83"/>
      <c r="H27814" s="83"/>
      <c r="K27814" s="82"/>
      <c r="M27814" s="112"/>
      <c r="N27814" s="84"/>
    </row>
    <row r="27815" spans="1:14" s="2" customFormat="1">
      <c r="A27815" s="83"/>
      <c r="H27815" s="83"/>
      <c r="K27815" s="82"/>
      <c r="M27815" s="112"/>
      <c r="N27815" s="84"/>
    </row>
    <row r="27816" spans="1:14" s="2" customFormat="1">
      <c r="A27816" s="83"/>
      <c r="H27816" s="83"/>
      <c r="K27816" s="82"/>
      <c r="M27816" s="112"/>
      <c r="N27816" s="84"/>
    </row>
    <row r="27817" spans="1:14" s="2" customFormat="1">
      <c r="A27817" s="83"/>
      <c r="H27817" s="83"/>
      <c r="K27817" s="82"/>
      <c r="M27817" s="112"/>
      <c r="N27817" s="84"/>
    </row>
    <row r="27818" spans="1:14" s="2" customFormat="1">
      <c r="A27818" s="83"/>
      <c r="H27818" s="83"/>
      <c r="K27818" s="82"/>
      <c r="M27818" s="112"/>
      <c r="N27818" s="84"/>
    </row>
    <row r="27819" spans="1:14" s="2" customFormat="1">
      <c r="A27819" s="83"/>
      <c r="H27819" s="83"/>
      <c r="K27819" s="82"/>
      <c r="M27819" s="112"/>
      <c r="N27819" s="84"/>
    </row>
    <row r="27820" spans="1:14" s="2" customFormat="1">
      <c r="A27820" s="83"/>
      <c r="H27820" s="83"/>
      <c r="K27820" s="82"/>
      <c r="M27820" s="112"/>
      <c r="N27820" s="84"/>
    </row>
    <row r="27821" spans="1:14" s="2" customFormat="1">
      <c r="A27821" s="83"/>
      <c r="H27821" s="83"/>
      <c r="K27821" s="82"/>
      <c r="M27821" s="112"/>
      <c r="N27821" s="84"/>
    </row>
    <row r="27822" spans="1:14" s="2" customFormat="1">
      <c r="A27822" s="83"/>
      <c r="H27822" s="83"/>
      <c r="K27822" s="82"/>
      <c r="M27822" s="112"/>
      <c r="N27822" s="84"/>
    </row>
    <row r="27823" spans="1:14" s="2" customFormat="1">
      <c r="A27823" s="83"/>
      <c r="H27823" s="83"/>
      <c r="K27823" s="82"/>
      <c r="M27823" s="112"/>
      <c r="N27823" s="84"/>
    </row>
    <row r="27824" spans="1:14" s="2" customFormat="1">
      <c r="A27824" s="83"/>
      <c r="H27824" s="83"/>
      <c r="K27824" s="82"/>
      <c r="M27824" s="112"/>
      <c r="N27824" s="84"/>
    </row>
    <row r="27825" spans="1:14" s="2" customFormat="1">
      <c r="A27825" s="83"/>
      <c r="H27825" s="83"/>
      <c r="K27825" s="82"/>
      <c r="M27825" s="112"/>
      <c r="N27825" s="84"/>
    </row>
    <row r="27826" spans="1:14" s="2" customFormat="1">
      <c r="A27826" s="83"/>
      <c r="H27826" s="83"/>
      <c r="K27826" s="82"/>
      <c r="M27826" s="112"/>
      <c r="N27826" s="84"/>
    </row>
    <row r="27827" spans="1:14" s="2" customFormat="1">
      <c r="A27827" s="83"/>
      <c r="H27827" s="83"/>
      <c r="K27827" s="82"/>
      <c r="M27827" s="112"/>
      <c r="N27827" s="84"/>
    </row>
    <row r="27828" spans="1:14" s="2" customFormat="1">
      <c r="A27828" s="83"/>
      <c r="H27828" s="83"/>
      <c r="K27828" s="82"/>
      <c r="M27828" s="112"/>
      <c r="N27828" s="84"/>
    </row>
    <row r="27829" spans="1:14" s="2" customFormat="1">
      <c r="A27829" s="83"/>
      <c r="H27829" s="83"/>
      <c r="K27829" s="82"/>
      <c r="M27829" s="112"/>
      <c r="N27829" s="84"/>
    </row>
    <row r="27830" spans="1:14" s="2" customFormat="1">
      <c r="A27830" s="83"/>
      <c r="H27830" s="83"/>
      <c r="K27830" s="82"/>
      <c r="M27830" s="112"/>
      <c r="N27830" s="84"/>
    </row>
    <row r="27831" spans="1:14" s="2" customFormat="1">
      <c r="A27831" s="83"/>
      <c r="H27831" s="83"/>
      <c r="K27831" s="82"/>
      <c r="M27831" s="112"/>
      <c r="N27831" s="84"/>
    </row>
    <row r="27832" spans="1:14" s="2" customFormat="1">
      <c r="A27832" s="83"/>
      <c r="H27832" s="83"/>
      <c r="K27832" s="82"/>
      <c r="M27832" s="112"/>
      <c r="N27832" s="84"/>
    </row>
    <row r="27833" spans="1:14" s="2" customFormat="1">
      <c r="A27833" s="83"/>
      <c r="H27833" s="83"/>
      <c r="K27833" s="82"/>
      <c r="M27833" s="112"/>
      <c r="N27833" s="84"/>
    </row>
    <row r="27834" spans="1:14" s="2" customFormat="1">
      <c r="A27834" s="83"/>
      <c r="H27834" s="83"/>
      <c r="K27834" s="82"/>
      <c r="M27834" s="112"/>
      <c r="N27834" s="84"/>
    </row>
    <row r="27835" spans="1:14" s="2" customFormat="1">
      <c r="A27835" s="83"/>
      <c r="H27835" s="83"/>
      <c r="K27835" s="82"/>
      <c r="M27835" s="112"/>
      <c r="N27835" s="84"/>
    </row>
    <row r="27836" spans="1:14" s="2" customFormat="1">
      <c r="A27836" s="83"/>
      <c r="H27836" s="83"/>
      <c r="K27836" s="82"/>
      <c r="M27836" s="112"/>
      <c r="N27836" s="84"/>
    </row>
    <row r="27837" spans="1:14" s="2" customFormat="1">
      <c r="A27837" s="83"/>
      <c r="H27837" s="83"/>
      <c r="K27837" s="82"/>
      <c r="M27837" s="112"/>
      <c r="N27837" s="84"/>
    </row>
    <row r="27838" spans="1:14" s="2" customFormat="1">
      <c r="A27838" s="83"/>
      <c r="H27838" s="83"/>
      <c r="K27838" s="82"/>
      <c r="M27838" s="112"/>
      <c r="N27838" s="84"/>
    </row>
    <row r="27839" spans="1:14" s="2" customFormat="1">
      <c r="A27839" s="83"/>
      <c r="H27839" s="83"/>
      <c r="K27839" s="82"/>
      <c r="M27839" s="112"/>
      <c r="N27839" s="84"/>
    </row>
    <row r="27840" spans="1:14" s="2" customFormat="1">
      <c r="A27840" s="83"/>
      <c r="H27840" s="83"/>
      <c r="K27840" s="82"/>
      <c r="M27840" s="112"/>
      <c r="N27840" s="84"/>
    </row>
    <row r="27841" spans="1:14" s="2" customFormat="1">
      <c r="A27841" s="83"/>
      <c r="H27841" s="83"/>
      <c r="K27841" s="82"/>
      <c r="M27841" s="112"/>
      <c r="N27841" s="84"/>
    </row>
    <row r="27842" spans="1:14" s="2" customFormat="1">
      <c r="A27842" s="83"/>
      <c r="H27842" s="83"/>
      <c r="K27842" s="82"/>
      <c r="M27842" s="112"/>
      <c r="N27842" s="84"/>
    </row>
    <row r="27843" spans="1:14" s="2" customFormat="1">
      <c r="A27843" s="83"/>
      <c r="H27843" s="83"/>
      <c r="K27843" s="82"/>
      <c r="M27843" s="112"/>
      <c r="N27843" s="84"/>
    </row>
    <row r="27844" spans="1:14" s="2" customFormat="1">
      <c r="A27844" s="83"/>
      <c r="H27844" s="83"/>
      <c r="K27844" s="82"/>
      <c r="M27844" s="112"/>
      <c r="N27844" s="84"/>
    </row>
    <row r="27845" spans="1:14" s="2" customFormat="1">
      <c r="A27845" s="83"/>
      <c r="H27845" s="83"/>
      <c r="K27845" s="82"/>
      <c r="M27845" s="112"/>
      <c r="N27845" s="84"/>
    </row>
    <row r="27846" spans="1:14" s="2" customFormat="1">
      <c r="A27846" s="83"/>
      <c r="H27846" s="83"/>
      <c r="K27846" s="82"/>
      <c r="M27846" s="112"/>
      <c r="N27846" s="84"/>
    </row>
    <row r="27847" spans="1:14" s="2" customFormat="1">
      <c r="A27847" s="83"/>
      <c r="H27847" s="83"/>
      <c r="K27847" s="82"/>
      <c r="M27847" s="112"/>
      <c r="N27847" s="84"/>
    </row>
    <row r="27848" spans="1:14" s="2" customFormat="1">
      <c r="A27848" s="83"/>
      <c r="H27848" s="83"/>
      <c r="K27848" s="82"/>
      <c r="M27848" s="112"/>
      <c r="N27848" s="84"/>
    </row>
    <row r="27849" spans="1:14" s="2" customFormat="1">
      <c r="A27849" s="83"/>
      <c r="H27849" s="83"/>
      <c r="K27849" s="82"/>
      <c r="M27849" s="112"/>
      <c r="N27849" s="84"/>
    </row>
    <row r="27850" spans="1:14" s="2" customFormat="1">
      <c r="A27850" s="83"/>
      <c r="H27850" s="83"/>
      <c r="K27850" s="82"/>
      <c r="M27850" s="112"/>
      <c r="N27850" s="84"/>
    </row>
    <row r="27851" spans="1:14" s="2" customFormat="1">
      <c r="A27851" s="83"/>
      <c r="H27851" s="83"/>
      <c r="K27851" s="82"/>
      <c r="M27851" s="112"/>
      <c r="N27851" s="84"/>
    </row>
    <row r="27852" spans="1:14" s="2" customFormat="1">
      <c r="A27852" s="83"/>
      <c r="H27852" s="83"/>
      <c r="K27852" s="82"/>
      <c r="M27852" s="112"/>
      <c r="N27852" s="84"/>
    </row>
    <row r="27853" spans="1:14" s="2" customFormat="1">
      <c r="A27853" s="83"/>
      <c r="H27853" s="83"/>
      <c r="K27853" s="82"/>
      <c r="M27853" s="112"/>
      <c r="N27853" s="84"/>
    </row>
    <row r="27854" spans="1:14" s="2" customFormat="1">
      <c r="A27854" s="83"/>
      <c r="H27854" s="83"/>
      <c r="K27854" s="82"/>
      <c r="M27854" s="112"/>
      <c r="N27854" s="84"/>
    </row>
    <row r="27855" spans="1:14" s="2" customFormat="1">
      <c r="A27855" s="83"/>
      <c r="H27855" s="83"/>
      <c r="K27855" s="82"/>
      <c r="M27855" s="112"/>
      <c r="N27855" s="84"/>
    </row>
    <row r="27856" spans="1:14" s="2" customFormat="1">
      <c r="A27856" s="83"/>
      <c r="H27856" s="83"/>
      <c r="K27856" s="82"/>
      <c r="M27856" s="112"/>
      <c r="N27856" s="84"/>
    </row>
    <row r="27857" spans="1:14" s="2" customFormat="1">
      <c r="A27857" s="83"/>
      <c r="H27857" s="83"/>
      <c r="K27857" s="82"/>
      <c r="M27857" s="112"/>
      <c r="N27857" s="84"/>
    </row>
    <row r="27858" spans="1:14" s="2" customFormat="1">
      <c r="A27858" s="83"/>
      <c r="H27858" s="83"/>
      <c r="K27858" s="82"/>
      <c r="M27858" s="112"/>
      <c r="N27858" s="84"/>
    </row>
    <row r="27859" spans="1:14" s="2" customFormat="1">
      <c r="A27859" s="83"/>
      <c r="H27859" s="83"/>
      <c r="K27859" s="82"/>
      <c r="M27859" s="112"/>
      <c r="N27859" s="84"/>
    </row>
    <row r="27860" spans="1:14" s="2" customFormat="1">
      <c r="A27860" s="83"/>
      <c r="H27860" s="83"/>
      <c r="K27860" s="82"/>
      <c r="M27860" s="112"/>
      <c r="N27860" s="84"/>
    </row>
    <row r="27861" spans="1:14" s="2" customFormat="1">
      <c r="A27861" s="83"/>
      <c r="H27861" s="83"/>
      <c r="K27861" s="82"/>
      <c r="M27861" s="112"/>
      <c r="N27861" s="84"/>
    </row>
    <row r="27862" spans="1:14" s="2" customFormat="1">
      <c r="A27862" s="83"/>
      <c r="H27862" s="83"/>
      <c r="K27862" s="82"/>
      <c r="M27862" s="112"/>
      <c r="N27862" s="84"/>
    </row>
    <row r="27863" spans="1:14" s="2" customFormat="1">
      <c r="A27863" s="83"/>
      <c r="H27863" s="83"/>
      <c r="K27863" s="82"/>
      <c r="M27863" s="112"/>
      <c r="N27863" s="84"/>
    </row>
    <row r="27864" spans="1:14" s="2" customFormat="1">
      <c r="A27864" s="83"/>
      <c r="H27864" s="83"/>
      <c r="K27864" s="82"/>
      <c r="M27864" s="112"/>
      <c r="N27864" s="84"/>
    </row>
    <row r="27865" spans="1:14" s="2" customFormat="1">
      <c r="A27865" s="83"/>
      <c r="H27865" s="83"/>
      <c r="K27865" s="82"/>
      <c r="M27865" s="112"/>
      <c r="N27865" s="84"/>
    </row>
    <row r="27866" spans="1:14" s="2" customFormat="1">
      <c r="A27866" s="83"/>
      <c r="H27866" s="83"/>
      <c r="K27866" s="82"/>
      <c r="M27866" s="112"/>
      <c r="N27866" s="84"/>
    </row>
    <row r="27867" spans="1:14" s="2" customFormat="1">
      <c r="A27867" s="83"/>
      <c r="H27867" s="83"/>
      <c r="K27867" s="82"/>
      <c r="M27867" s="112"/>
      <c r="N27867" s="84"/>
    </row>
    <row r="27868" spans="1:14" s="2" customFormat="1">
      <c r="A27868" s="83"/>
      <c r="H27868" s="83"/>
      <c r="K27868" s="82"/>
      <c r="M27868" s="112"/>
      <c r="N27868" s="84"/>
    </row>
    <row r="27869" spans="1:14" s="2" customFormat="1">
      <c r="A27869" s="83"/>
      <c r="H27869" s="83"/>
      <c r="K27869" s="82"/>
      <c r="M27869" s="112"/>
      <c r="N27869" s="84"/>
    </row>
    <row r="27870" spans="1:14" s="2" customFormat="1">
      <c r="A27870" s="83"/>
      <c r="H27870" s="83"/>
      <c r="K27870" s="82"/>
      <c r="M27870" s="112"/>
      <c r="N27870" s="84"/>
    </row>
    <row r="27871" spans="1:14" s="2" customFormat="1">
      <c r="A27871" s="83"/>
      <c r="H27871" s="83"/>
      <c r="K27871" s="82"/>
      <c r="M27871" s="112"/>
      <c r="N27871" s="84"/>
    </row>
    <row r="27872" spans="1:14" s="2" customFormat="1">
      <c r="A27872" s="83"/>
      <c r="H27872" s="83"/>
      <c r="K27872" s="82"/>
      <c r="M27872" s="112"/>
      <c r="N27872" s="84"/>
    </row>
    <row r="27873" spans="1:14" s="2" customFormat="1">
      <c r="A27873" s="83"/>
      <c r="H27873" s="83"/>
      <c r="K27873" s="82"/>
      <c r="M27873" s="112"/>
      <c r="N27873" s="84"/>
    </row>
    <row r="27874" spans="1:14" s="2" customFormat="1">
      <c r="A27874" s="83"/>
      <c r="H27874" s="83"/>
      <c r="K27874" s="82"/>
      <c r="M27874" s="112"/>
      <c r="N27874" s="84"/>
    </row>
    <row r="27875" spans="1:14" s="2" customFormat="1">
      <c r="A27875" s="83"/>
      <c r="H27875" s="83"/>
      <c r="K27875" s="82"/>
      <c r="M27875" s="112"/>
      <c r="N27875" s="84"/>
    </row>
    <row r="27876" spans="1:14" s="2" customFormat="1">
      <c r="A27876" s="83"/>
      <c r="H27876" s="83"/>
      <c r="K27876" s="82"/>
      <c r="M27876" s="112"/>
      <c r="N27876" s="84"/>
    </row>
    <row r="27877" spans="1:14" s="2" customFormat="1">
      <c r="A27877" s="83"/>
      <c r="H27877" s="83"/>
      <c r="K27877" s="82"/>
      <c r="M27877" s="112"/>
      <c r="N27877" s="84"/>
    </row>
    <row r="27878" spans="1:14" s="2" customFormat="1">
      <c r="A27878" s="83"/>
      <c r="H27878" s="83"/>
      <c r="K27878" s="82"/>
      <c r="M27878" s="112"/>
      <c r="N27878" s="84"/>
    </row>
    <row r="27879" spans="1:14" s="2" customFormat="1">
      <c r="A27879" s="83"/>
      <c r="H27879" s="83"/>
      <c r="K27879" s="82"/>
      <c r="M27879" s="112"/>
      <c r="N27879" s="84"/>
    </row>
    <row r="27880" spans="1:14" s="2" customFormat="1">
      <c r="A27880" s="83"/>
      <c r="H27880" s="83"/>
      <c r="K27880" s="82"/>
      <c r="M27880" s="112"/>
      <c r="N27880" s="84"/>
    </row>
    <row r="27881" spans="1:14" s="2" customFormat="1">
      <c r="A27881" s="83"/>
      <c r="H27881" s="83"/>
      <c r="K27881" s="82"/>
      <c r="M27881" s="112"/>
      <c r="N27881" s="84"/>
    </row>
    <row r="27882" spans="1:14" s="2" customFormat="1">
      <c r="A27882" s="83"/>
      <c r="H27882" s="83"/>
      <c r="K27882" s="82"/>
      <c r="M27882" s="112"/>
      <c r="N27882" s="84"/>
    </row>
    <row r="27883" spans="1:14" s="2" customFormat="1">
      <c r="A27883" s="83"/>
      <c r="H27883" s="83"/>
      <c r="K27883" s="82"/>
      <c r="M27883" s="112"/>
      <c r="N27883" s="84"/>
    </row>
    <row r="27884" spans="1:14" s="2" customFormat="1">
      <c r="A27884" s="83"/>
      <c r="H27884" s="83"/>
      <c r="K27884" s="82"/>
      <c r="M27884" s="112"/>
      <c r="N27884" s="84"/>
    </row>
    <row r="27885" spans="1:14" s="2" customFormat="1">
      <c r="A27885" s="83"/>
      <c r="H27885" s="83"/>
      <c r="K27885" s="82"/>
      <c r="M27885" s="112"/>
      <c r="N27885" s="84"/>
    </row>
    <row r="27886" spans="1:14" s="2" customFormat="1">
      <c r="A27886" s="83"/>
      <c r="H27886" s="83"/>
      <c r="K27886" s="82"/>
      <c r="M27886" s="112"/>
      <c r="N27886" s="84"/>
    </row>
    <row r="27887" spans="1:14" s="2" customFormat="1">
      <c r="A27887" s="83"/>
      <c r="H27887" s="83"/>
      <c r="K27887" s="82"/>
      <c r="M27887" s="112"/>
      <c r="N27887" s="84"/>
    </row>
    <row r="27888" spans="1:14" s="2" customFormat="1">
      <c r="A27888" s="83"/>
      <c r="H27888" s="83"/>
      <c r="K27888" s="82"/>
      <c r="M27888" s="112"/>
      <c r="N27888" s="84"/>
    </row>
    <row r="27889" spans="1:14" s="2" customFormat="1">
      <c r="A27889" s="83"/>
      <c r="H27889" s="83"/>
      <c r="K27889" s="82"/>
      <c r="M27889" s="112"/>
      <c r="N27889" s="84"/>
    </row>
    <row r="27890" spans="1:14" s="2" customFormat="1">
      <c r="A27890" s="83"/>
      <c r="H27890" s="83"/>
      <c r="K27890" s="82"/>
      <c r="M27890" s="112"/>
      <c r="N27890" s="84"/>
    </row>
    <row r="27891" spans="1:14" s="2" customFormat="1">
      <c r="A27891" s="83"/>
      <c r="H27891" s="83"/>
      <c r="K27891" s="82"/>
      <c r="M27891" s="112"/>
      <c r="N27891" s="84"/>
    </row>
    <row r="27892" spans="1:14" s="2" customFormat="1">
      <c r="A27892" s="83"/>
      <c r="H27892" s="83"/>
      <c r="K27892" s="82"/>
      <c r="M27892" s="112"/>
      <c r="N27892" s="84"/>
    </row>
    <row r="27893" spans="1:14" s="2" customFormat="1">
      <c r="A27893" s="83"/>
      <c r="H27893" s="83"/>
      <c r="K27893" s="82"/>
      <c r="M27893" s="112"/>
      <c r="N27893" s="84"/>
    </row>
    <row r="27894" spans="1:14" s="2" customFormat="1">
      <c r="A27894" s="83"/>
      <c r="H27894" s="83"/>
      <c r="K27894" s="82"/>
      <c r="M27894" s="112"/>
      <c r="N27894" s="84"/>
    </row>
    <row r="27895" spans="1:14" s="2" customFormat="1">
      <c r="A27895" s="83"/>
      <c r="H27895" s="83"/>
      <c r="K27895" s="82"/>
      <c r="M27895" s="112"/>
      <c r="N27895" s="84"/>
    </row>
    <row r="27896" spans="1:14" s="2" customFormat="1">
      <c r="A27896" s="83"/>
      <c r="H27896" s="83"/>
      <c r="K27896" s="82"/>
      <c r="M27896" s="112"/>
      <c r="N27896" s="84"/>
    </row>
    <row r="27897" spans="1:14" s="2" customFormat="1">
      <c r="A27897" s="83"/>
      <c r="H27897" s="83"/>
      <c r="K27897" s="82"/>
      <c r="M27897" s="112"/>
      <c r="N27897" s="84"/>
    </row>
    <row r="27898" spans="1:14" s="2" customFormat="1">
      <c r="A27898" s="83"/>
      <c r="H27898" s="83"/>
      <c r="K27898" s="82"/>
      <c r="M27898" s="112"/>
      <c r="N27898" s="84"/>
    </row>
    <row r="27899" spans="1:14" s="2" customFormat="1">
      <c r="A27899" s="83"/>
      <c r="H27899" s="83"/>
      <c r="K27899" s="82"/>
      <c r="M27899" s="112"/>
      <c r="N27899" s="84"/>
    </row>
    <row r="27900" spans="1:14" s="2" customFormat="1">
      <c r="A27900" s="83"/>
      <c r="H27900" s="83"/>
      <c r="K27900" s="82"/>
      <c r="M27900" s="112"/>
      <c r="N27900" s="84"/>
    </row>
    <row r="27901" spans="1:14" s="2" customFormat="1">
      <c r="A27901" s="83"/>
      <c r="H27901" s="83"/>
      <c r="K27901" s="82"/>
      <c r="M27901" s="112"/>
      <c r="N27901" s="84"/>
    </row>
    <row r="27902" spans="1:14" s="2" customFormat="1">
      <c r="A27902" s="83"/>
      <c r="H27902" s="83"/>
      <c r="K27902" s="82"/>
      <c r="M27902" s="112"/>
      <c r="N27902" s="84"/>
    </row>
    <row r="27903" spans="1:14" s="2" customFormat="1">
      <c r="A27903" s="83"/>
      <c r="H27903" s="83"/>
      <c r="K27903" s="82"/>
      <c r="M27903" s="112"/>
      <c r="N27903" s="84"/>
    </row>
    <row r="27904" spans="1:14" s="2" customFormat="1">
      <c r="A27904" s="83"/>
      <c r="H27904" s="83"/>
      <c r="K27904" s="82"/>
      <c r="M27904" s="112"/>
      <c r="N27904" s="84"/>
    </row>
    <row r="27905" spans="1:14" s="2" customFormat="1">
      <c r="A27905" s="83"/>
      <c r="H27905" s="83"/>
      <c r="K27905" s="82"/>
      <c r="M27905" s="112"/>
      <c r="N27905" s="84"/>
    </row>
    <row r="27906" spans="1:14" s="2" customFormat="1">
      <c r="A27906" s="83"/>
      <c r="H27906" s="83"/>
      <c r="K27906" s="82"/>
      <c r="M27906" s="112"/>
      <c r="N27906" s="84"/>
    </row>
    <row r="27907" spans="1:14" s="2" customFormat="1">
      <c r="A27907" s="83"/>
      <c r="H27907" s="83"/>
      <c r="K27907" s="82"/>
      <c r="M27907" s="112"/>
      <c r="N27907" s="84"/>
    </row>
    <row r="27908" spans="1:14" s="2" customFormat="1">
      <c r="A27908" s="83"/>
      <c r="H27908" s="83"/>
      <c r="K27908" s="82"/>
      <c r="M27908" s="112"/>
      <c r="N27908" s="84"/>
    </row>
    <row r="27909" spans="1:14" s="2" customFormat="1">
      <c r="A27909" s="83"/>
      <c r="H27909" s="83"/>
      <c r="K27909" s="82"/>
      <c r="M27909" s="112"/>
      <c r="N27909" s="84"/>
    </row>
    <row r="27910" spans="1:14" s="2" customFormat="1">
      <c r="A27910" s="83"/>
      <c r="H27910" s="83"/>
      <c r="K27910" s="82"/>
      <c r="M27910" s="112"/>
      <c r="N27910" s="84"/>
    </row>
    <row r="27911" spans="1:14" s="2" customFormat="1">
      <c r="A27911" s="83"/>
      <c r="H27911" s="83"/>
      <c r="K27911" s="82"/>
      <c r="M27911" s="112"/>
      <c r="N27911" s="84"/>
    </row>
    <row r="27912" spans="1:14" s="2" customFormat="1">
      <c r="A27912" s="83"/>
      <c r="H27912" s="83"/>
      <c r="K27912" s="82"/>
      <c r="M27912" s="112"/>
      <c r="N27912" s="84"/>
    </row>
    <row r="27913" spans="1:14" s="2" customFormat="1">
      <c r="A27913" s="83"/>
      <c r="H27913" s="83"/>
      <c r="K27913" s="82"/>
      <c r="M27913" s="112"/>
      <c r="N27913" s="84"/>
    </row>
    <row r="27914" spans="1:14" s="2" customFormat="1">
      <c r="A27914" s="83"/>
      <c r="H27914" s="83"/>
      <c r="K27914" s="82"/>
      <c r="M27914" s="112"/>
      <c r="N27914" s="84"/>
    </row>
    <row r="27915" spans="1:14" s="2" customFormat="1">
      <c r="A27915" s="83"/>
      <c r="H27915" s="83"/>
      <c r="K27915" s="82"/>
      <c r="M27915" s="112"/>
      <c r="N27915" s="84"/>
    </row>
    <row r="27916" spans="1:14" s="2" customFormat="1">
      <c r="A27916" s="83"/>
      <c r="H27916" s="83"/>
      <c r="K27916" s="82"/>
      <c r="M27916" s="112"/>
      <c r="N27916" s="84"/>
    </row>
    <row r="27917" spans="1:14" s="2" customFormat="1">
      <c r="A27917" s="83"/>
      <c r="H27917" s="83"/>
      <c r="K27917" s="82"/>
      <c r="M27917" s="112"/>
      <c r="N27917" s="84"/>
    </row>
    <row r="27918" spans="1:14" s="2" customFormat="1">
      <c r="A27918" s="83"/>
      <c r="H27918" s="83"/>
      <c r="K27918" s="82"/>
      <c r="M27918" s="112"/>
      <c r="N27918" s="84"/>
    </row>
    <row r="27919" spans="1:14" s="2" customFormat="1">
      <c r="A27919" s="83"/>
      <c r="H27919" s="83"/>
      <c r="K27919" s="82"/>
      <c r="M27919" s="112"/>
      <c r="N27919" s="84"/>
    </row>
    <row r="27920" spans="1:14" s="2" customFormat="1">
      <c r="A27920" s="83"/>
      <c r="H27920" s="83"/>
      <c r="K27920" s="82"/>
      <c r="M27920" s="112"/>
      <c r="N27920" s="84"/>
    </row>
    <row r="27921" spans="1:14" s="2" customFormat="1">
      <c r="A27921" s="83"/>
      <c r="H27921" s="83"/>
      <c r="K27921" s="82"/>
      <c r="M27921" s="112"/>
      <c r="N27921" s="84"/>
    </row>
    <row r="27922" spans="1:14" s="2" customFormat="1">
      <c r="A27922" s="83"/>
      <c r="H27922" s="83"/>
      <c r="K27922" s="82"/>
      <c r="M27922" s="112"/>
      <c r="N27922" s="84"/>
    </row>
    <row r="27923" spans="1:14" s="2" customFormat="1">
      <c r="A27923" s="83"/>
      <c r="H27923" s="83"/>
      <c r="K27923" s="82"/>
      <c r="M27923" s="112"/>
      <c r="N27923" s="84"/>
    </row>
    <row r="27924" spans="1:14" s="2" customFormat="1">
      <c r="A27924" s="83"/>
      <c r="H27924" s="83"/>
      <c r="K27924" s="82"/>
      <c r="M27924" s="112"/>
      <c r="N27924" s="84"/>
    </row>
    <row r="27925" spans="1:14" s="2" customFormat="1">
      <c r="A27925" s="83"/>
      <c r="H27925" s="83"/>
      <c r="K27925" s="82"/>
      <c r="M27925" s="112"/>
      <c r="N27925" s="84"/>
    </row>
    <row r="27926" spans="1:14" s="2" customFormat="1">
      <c r="A27926" s="83"/>
      <c r="H27926" s="83"/>
      <c r="K27926" s="82"/>
      <c r="M27926" s="112"/>
      <c r="N27926" s="84"/>
    </row>
    <row r="27927" spans="1:14" s="2" customFormat="1">
      <c r="A27927" s="83"/>
      <c r="H27927" s="83"/>
      <c r="K27927" s="82"/>
      <c r="M27927" s="112"/>
      <c r="N27927" s="84"/>
    </row>
    <row r="27928" spans="1:14" s="2" customFormat="1">
      <c r="A27928" s="83"/>
      <c r="H27928" s="83"/>
      <c r="K27928" s="82"/>
      <c r="M27928" s="112"/>
      <c r="N27928" s="84"/>
    </row>
    <row r="27929" spans="1:14" s="2" customFormat="1">
      <c r="A27929" s="83"/>
      <c r="H27929" s="83"/>
      <c r="K27929" s="82"/>
      <c r="M27929" s="112"/>
      <c r="N27929" s="84"/>
    </row>
    <row r="27930" spans="1:14" s="2" customFormat="1">
      <c r="A27930" s="83"/>
      <c r="H27930" s="83"/>
      <c r="K27930" s="82"/>
      <c r="M27930" s="112"/>
      <c r="N27930" s="84"/>
    </row>
    <row r="27931" spans="1:14" s="2" customFormat="1">
      <c r="A27931" s="83"/>
      <c r="H27931" s="83"/>
      <c r="K27931" s="82"/>
      <c r="M27931" s="112"/>
      <c r="N27931" s="84"/>
    </row>
    <row r="27932" spans="1:14" s="2" customFormat="1">
      <c r="A27932" s="83"/>
      <c r="H27932" s="83"/>
      <c r="K27932" s="82"/>
      <c r="M27932" s="112"/>
      <c r="N27932" s="84"/>
    </row>
    <row r="27933" spans="1:14" s="2" customFormat="1">
      <c r="A27933" s="83"/>
      <c r="H27933" s="83"/>
      <c r="K27933" s="82"/>
      <c r="M27933" s="112"/>
      <c r="N27933" s="84"/>
    </row>
    <row r="27934" spans="1:14" s="2" customFormat="1">
      <c r="A27934" s="83"/>
      <c r="H27934" s="83"/>
      <c r="K27934" s="82"/>
      <c r="M27934" s="112"/>
      <c r="N27934" s="84"/>
    </row>
    <row r="27935" spans="1:14" s="2" customFormat="1">
      <c r="A27935" s="83"/>
      <c r="H27935" s="83"/>
      <c r="K27935" s="82"/>
      <c r="M27935" s="112"/>
      <c r="N27935" s="84"/>
    </row>
    <row r="27936" spans="1:14" s="2" customFormat="1">
      <c r="A27936" s="83"/>
      <c r="H27936" s="83"/>
      <c r="K27936" s="82"/>
      <c r="M27936" s="112"/>
      <c r="N27936" s="84"/>
    </row>
    <row r="27937" spans="1:14" s="2" customFormat="1">
      <c r="A27937" s="83"/>
      <c r="H27937" s="83"/>
      <c r="K27937" s="82"/>
      <c r="M27937" s="112"/>
      <c r="N27937" s="84"/>
    </row>
    <row r="27938" spans="1:14" s="2" customFormat="1">
      <c r="A27938" s="83"/>
      <c r="H27938" s="83"/>
      <c r="K27938" s="82"/>
      <c r="M27938" s="112"/>
      <c r="N27938" s="84"/>
    </row>
    <row r="27939" spans="1:14" s="2" customFormat="1">
      <c r="A27939" s="83"/>
      <c r="H27939" s="83"/>
      <c r="K27939" s="82"/>
      <c r="M27939" s="112"/>
      <c r="N27939" s="84"/>
    </row>
    <row r="27940" spans="1:14" s="2" customFormat="1">
      <c r="A27940" s="83"/>
      <c r="H27940" s="83"/>
      <c r="K27940" s="82"/>
      <c r="M27940" s="112"/>
      <c r="N27940" s="84"/>
    </row>
    <row r="27941" spans="1:14" s="2" customFormat="1">
      <c r="A27941" s="83"/>
      <c r="H27941" s="83"/>
      <c r="K27941" s="82"/>
      <c r="M27941" s="112"/>
      <c r="N27941" s="84"/>
    </row>
    <row r="27942" spans="1:14" s="2" customFormat="1">
      <c r="A27942" s="83"/>
      <c r="H27942" s="83"/>
      <c r="K27942" s="82"/>
      <c r="M27942" s="112"/>
      <c r="N27942" s="84"/>
    </row>
    <row r="27943" spans="1:14" s="2" customFormat="1">
      <c r="A27943" s="83"/>
      <c r="H27943" s="83"/>
      <c r="K27943" s="82"/>
      <c r="M27943" s="112"/>
      <c r="N27943" s="84"/>
    </row>
    <row r="27944" spans="1:14" s="2" customFormat="1">
      <c r="A27944" s="83"/>
      <c r="H27944" s="83"/>
      <c r="K27944" s="82"/>
      <c r="M27944" s="112"/>
      <c r="N27944" s="84"/>
    </row>
    <row r="27945" spans="1:14" s="2" customFormat="1">
      <c r="A27945" s="83"/>
      <c r="H27945" s="83"/>
      <c r="K27945" s="82"/>
      <c r="M27945" s="112"/>
      <c r="N27945" s="84"/>
    </row>
    <row r="27946" spans="1:14" s="2" customFormat="1">
      <c r="A27946" s="83"/>
      <c r="H27946" s="83"/>
      <c r="K27946" s="82"/>
      <c r="M27946" s="112"/>
      <c r="N27946" s="84"/>
    </row>
    <row r="27947" spans="1:14" s="2" customFormat="1">
      <c r="A27947" s="83"/>
      <c r="H27947" s="83"/>
      <c r="K27947" s="82"/>
      <c r="M27947" s="112"/>
      <c r="N27947" s="84"/>
    </row>
    <row r="27948" spans="1:14" s="2" customFormat="1">
      <c r="A27948" s="83"/>
      <c r="H27948" s="83"/>
      <c r="K27948" s="82"/>
      <c r="M27948" s="112"/>
      <c r="N27948" s="84"/>
    </row>
    <row r="27949" spans="1:14" s="2" customFormat="1">
      <c r="A27949" s="83"/>
      <c r="H27949" s="83"/>
      <c r="K27949" s="82"/>
      <c r="M27949" s="112"/>
      <c r="N27949" s="84"/>
    </row>
    <row r="27950" spans="1:14" s="2" customFormat="1">
      <c r="A27950" s="83"/>
      <c r="H27950" s="83"/>
      <c r="K27950" s="82"/>
      <c r="M27950" s="112"/>
      <c r="N27950" s="84"/>
    </row>
    <row r="27951" spans="1:14" s="2" customFormat="1">
      <c r="A27951" s="83"/>
      <c r="H27951" s="83"/>
      <c r="K27951" s="82"/>
      <c r="M27951" s="112"/>
      <c r="N27951" s="84"/>
    </row>
    <row r="27952" spans="1:14" s="2" customFormat="1">
      <c r="A27952" s="83"/>
      <c r="H27952" s="83"/>
      <c r="K27952" s="82"/>
      <c r="M27952" s="112"/>
      <c r="N27952" s="84"/>
    </row>
    <row r="27953" spans="1:14" s="2" customFormat="1">
      <c r="A27953" s="83"/>
      <c r="H27953" s="83"/>
      <c r="K27953" s="82"/>
      <c r="M27953" s="112"/>
      <c r="N27953" s="84"/>
    </row>
    <row r="27954" spans="1:14" s="2" customFormat="1">
      <c r="A27954" s="83"/>
      <c r="H27954" s="83"/>
      <c r="K27954" s="82"/>
      <c r="M27954" s="112"/>
      <c r="N27954" s="84"/>
    </row>
    <row r="27955" spans="1:14" s="2" customFormat="1">
      <c r="A27955" s="83"/>
      <c r="H27955" s="83"/>
      <c r="K27955" s="82"/>
      <c r="M27955" s="112"/>
      <c r="N27955" s="84"/>
    </row>
    <row r="27956" spans="1:14" s="2" customFormat="1">
      <c r="A27956" s="83"/>
      <c r="H27956" s="83"/>
      <c r="K27956" s="82"/>
      <c r="M27956" s="112"/>
      <c r="N27956" s="84"/>
    </row>
    <row r="27957" spans="1:14" s="2" customFormat="1">
      <c r="A27957" s="83"/>
      <c r="H27957" s="83"/>
      <c r="K27957" s="82"/>
      <c r="M27957" s="112"/>
      <c r="N27957" s="84"/>
    </row>
    <row r="27958" spans="1:14" s="2" customFormat="1">
      <c r="A27958" s="83"/>
      <c r="H27958" s="83"/>
      <c r="K27958" s="82"/>
      <c r="M27958" s="112"/>
      <c r="N27958" s="84"/>
    </row>
    <row r="27959" spans="1:14" s="2" customFormat="1">
      <c r="A27959" s="83"/>
      <c r="H27959" s="83"/>
      <c r="K27959" s="82"/>
      <c r="M27959" s="112"/>
      <c r="N27959" s="84"/>
    </row>
    <row r="27960" spans="1:14" s="2" customFormat="1">
      <c r="A27960" s="83"/>
      <c r="H27960" s="83"/>
      <c r="K27960" s="82"/>
      <c r="M27960" s="112"/>
      <c r="N27960" s="84"/>
    </row>
    <row r="27961" spans="1:14" s="2" customFormat="1">
      <c r="A27961" s="83"/>
      <c r="H27961" s="83"/>
      <c r="K27961" s="82"/>
      <c r="M27961" s="112"/>
      <c r="N27961" s="84"/>
    </row>
    <row r="27962" spans="1:14" s="2" customFormat="1">
      <c r="A27962" s="83"/>
      <c r="H27962" s="83"/>
      <c r="K27962" s="82"/>
      <c r="M27962" s="112"/>
      <c r="N27962" s="84"/>
    </row>
    <row r="27963" spans="1:14" s="2" customFormat="1">
      <c r="A27963" s="83"/>
      <c r="H27963" s="83"/>
      <c r="K27963" s="82"/>
      <c r="M27963" s="112"/>
      <c r="N27963" s="84"/>
    </row>
    <row r="27964" spans="1:14" s="2" customFormat="1">
      <c r="A27964" s="83"/>
      <c r="H27964" s="83"/>
      <c r="K27964" s="82"/>
      <c r="M27964" s="112"/>
      <c r="N27964" s="84"/>
    </row>
    <row r="27965" spans="1:14" s="2" customFormat="1">
      <c r="A27965" s="83"/>
      <c r="H27965" s="83"/>
      <c r="K27965" s="82"/>
      <c r="M27965" s="112"/>
      <c r="N27965" s="84"/>
    </row>
    <row r="27966" spans="1:14" s="2" customFormat="1">
      <c r="A27966" s="83"/>
      <c r="H27966" s="83"/>
      <c r="K27966" s="82"/>
      <c r="M27966" s="112"/>
      <c r="N27966" s="84"/>
    </row>
    <row r="27967" spans="1:14" s="2" customFormat="1">
      <c r="A27967" s="83"/>
      <c r="H27967" s="83"/>
      <c r="K27967" s="82"/>
      <c r="M27967" s="112"/>
      <c r="N27967" s="84"/>
    </row>
    <row r="27968" spans="1:14" s="2" customFormat="1">
      <c r="A27968" s="83"/>
      <c r="H27968" s="83"/>
      <c r="K27968" s="82"/>
      <c r="M27968" s="112"/>
      <c r="N27968" s="84"/>
    </row>
    <row r="27969" spans="1:14" s="2" customFormat="1">
      <c r="A27969" s="83"/>
      <c r="H27969" s="83"/>
      <c r="K27969" s="82"/>
      <c r="M27969" s="112"/>
      <c r="N27969" s="84"/>
    </row>
    <row r="27970" spans="1:14" s="2" customFormat="1">
      <c r="A27970" s="83"/>
      <c r="H27970" s="83"/>
      <c r="K27970" s="82"/>
      <c r="M27970" s="112"/>
      <c r="N27970" s="84"/>
    </row>
    <row r="27971" spans="1:14" s="2" customFormat="1">
      <c r="A27971" s="83"/>
      <c r="H27971" s="83"/>
      <c r="K27971" s="82"/>
      <c r="M27971" s="112"/>
      <c r="N27971" s="84"/>
    </row>
    <row r="27972" spans="1:14" s="2" customFormat="1">
      <c r="A27972" s="83"/>
      <c r="H27972" s="83"/>
      <c r="K27972" s="82"/>
      <c r="M27972" s="112"/>
      <c r="N27972" s="84"/>
    </row>
    <row r="27973" spans="1:14" s="2" customFormat="1">
      <c r="A27973" s="83"/>
      <c r="H27973" s="83"/>
      <c r="K27973" s="82"/>
      <c r="M27973" s="112"/>
      <c r="N27973" s="84"/>
    </row>
    <row r="27974" spans="1:14" s="2" customFormat="1">
      <c r="A27974" s="83"/>
      <c r="H27974" s="83"/>
      <c r="K27974" s="82"/>
      <c r="M27974" s="112"/>
      <c r="N27974" s="84"/>
    </row>
    <row r="27975" spans="1:14" s="2" customFormat="1">
      <c r="A27975" s="83"/>
      <c r="H27975" s="83"/>
      <c r="K27975" s="82"/>
      <c r="M27975" s="112"/>
      <c r="N27975" s="84"/>
    </row>
    <row r="27976" spans="1:14" s="2" customFormat="1">
      <c r="A27976" s="83"/>
      <c r="H27976" s="83"/>
      <c r="K27976" s="82"/>
      <c r="M27976" s="112"/>
      <c r="N27976" s="84"/>
    </row>
    <row r="27977" spans="1:14" s="2" customFormat="1">
      <c r="A27977" s="83"/>
      <c r="H27977" s="83"/>
      <c r="K27977" s="82"/>
      <c r="M27977" s="112"/>
      <c r="N27977" s="84"/>
    </row>
    <row r="27978" spans="1:14" s="2" customFormat="1">
      <c r="A27978" s="83"/>
      <c r="H27978" s="83"/>
      <c r="K27978" s="82"/>
      <c r="M27978" s="112"/>
      <c r="N27978" s="84"/>
    </row>
    <row r="27979" spans="1:14" s="2" customFormat="1">
      <c r="A27979" s="83"/>
      <c r="H27979" s="83"/>
      <c r="K27979" s="82"/>
      <c r="M27979" s="112"/>
      <c r="N27979" s="84"/>
    </row>
    <row r="27980" spans="1:14" s="2" customFormat="1">
      <c r="A27980" s="83"/>
      <c r="H27980" s="83"/>
      <c r="K27980" s="82"/>
      <c r="M27980" s="112"/>
      <c r="N27980" s="84"/>
    </row>
    <row r="27981" spans="1:14" s="2" customFormat="1">
      <c r="A27981" s="83"/>
      <c r="H27981" s="83"/>
      <c r="K27981" s="82"/>
      <c r="M27981" s="112"/>
      <c r="N27981" s="84"/>
    </row>
    <row r="27982" spans="1:14" s="2" customFormat="1">
      <c r="A27982" s="83"/>
      <c r="H27982" s="83"/>
      <c r="K27982" s="82"/>
      <c r="M27982" s="112"/>
      <c r="N27982" s="84"/>
    </row>
    <row r="27983" spans="1:14" s="2" customFormat="1">
      <c r="A27983" s="83"/>
      <c r="H27983" s="83"/>
      <c r="K27983" s="82"/>
      <c r="M27983" s="112"/>
      <c r="N27983" s="84"/>
    </row>
    <row r="27984" spans="1:14" s="2" customFormat="1">
      <c r="A27984" s="83"/>
      <c r="H27984" s="83"/>
      <c r="K27984" s="82"/>
      <c r="M27984" s="112"/>
      <c r="N27984" s="84"/>
    </row>
    <row r="27985" spans="1:14" s="2" customFormat="1">
      <c r="A27985" s="83"/>
      <c r="H27985" s="83"/>
      <c r="K27985" s="82"/>
      <c r="M27985" s="112"/>
      <c r="N27985" s="84"/>
    </row>
    <row r="27986" spans="1:14" s="2" customFormat="1">
      <c r="A27986" s="83"/>
      <c r="H27986" s="83"/>
      <c r="K27986" s="82"/>
      <c r="M27986" s="112"/>
      <c r="N27986" s="84"/>
    </row>
    <row r="27987" spans="1:14" s="2" customFormat="1">
      <c r="A27987" s="83"/>
      <c r="H27987" s="83"/>
      <c r="K27987" s="82"/>
      <c r="M27987" s="112"/>
      <c r="N27987" s="84"/>
    </row>
    <row r="27988" spans="1:14" s="2" customFormat="1">
      <c r="A27988" s="83"/>
      <c r="H27988" s="83"/>
      <c r="K27988" s="82"/>
      <c r="M27988" s="112"/>
      <c r="N27988" s="84"/>
    </row>
    <row r="27989" spans="1:14" s="2" customFormat="1">
      <c r="A27989" s="83"/>
      <c r="H27989" s="83"/>
      <c r="K27989" s="82"/>
      <c r="M27989" s="112"/>
      <c r="N27989" s="84"/>
    </row>
    <row r="27990" spans="1:14" s="2" customFormat="1">
      <c r="A27990" s="83"/>
      <c r="H27990" s="83"/>
      <c r="K27990" s="82"/>
      <c r="M27990" s="112"/>
      <c r="N27990" s="84"/>
    </row>
    <row r="27991" spans="1:14" s="2" customFormat="1">
      <c r="A27991" s="83"/>
      <c r="H27991" s="83"/>
      <c r="K27991" s="82"/>
      <c r="M27991" s="112"/>
      <c r="N27991" s="84"/>
    </row>
    <row r="27992" spans="1:14" s="2" customFormat="1">
      <c r="A27992" s="83"/>
      <c r="H27992" s="83"/>
      <c r="K27992" s="82"/>
      <c r="M27992" s="112"/>
      <c r="N27992" s="84"/>
    </row>
    <row r="27993" spans="1:14" s="2" customFormat="1">
      <c r="A27993" s="83"/>
      <c r="H27993" s="83"/>
      <c r="K27993" s="82"/>
      <c r="M27993" s="112"/>
      <c r="N27993" s="84"/>
    </row>
    <row r="27994" spans="1:14" s="2" customFormat="1">
      <c r="A27994" s="83"/>
      <c r="H27994" s="83"/>
      <c r="K27994" s="82"/>
      <c r="M27994" s="112"/>
      <c r="N27994" s="84"/>
    </row>
    <row r="27995" spans="1:14" s="2" customFormat="1">
      <c r="A27995" s="83"/>
      <c r="H27995" s="83"/>
      <c r="K27995" s="82"/>
      <c r="M27995" s="112"/>
      <c r="N27995" s="84"/>
    </row>
    <row r="27996" spans="1:14" s="2" customFormat="1">
      <c r="A27996" s="83"/>
      <c r="H27996" s="83"/>
      <c r="K27996" s="82"/>
      <c r="M27996" s="112"/>
      <c r="N27996" s="84"/>
    </row>
    <row r="27997" spans="1:14" s="2" customFormat="1">
      <c r="A27997" s="83"/>
      <c r="H27997" s="83"/>
      <c r="K27997" s="82"/>
      <c r="M27997" s="112"/>
      <c r="N27997" s="84"/>
    </row>
    <row r="27998" spans="1:14" s="2" customFormat="1">
      <c r="A27998" s="83"/>
      <c r="H27998" s="83"/>
      <c r="K27998" s="82"/>
      <c r="M27998" s="112"/>
      <c r="N27998" s="84"/>
    </row>
    <row r="27999" spans="1:14" s="2" customFormat="1">
      <c r="A27999" s="83"/>
      <c r="H27999" s="83"/>
      <c r="K27999" s="82"/>
      <c r="M27999" s="112"/>
      <c r="N27999" s="84"/>
    </row>
    <row r="28000" spans="1:14" s="2" customFormat="1">
      <c r="A28000" s="83"/>
      <c r="H28000" s="83"/>
      <c r="K28000" s="82"/>
      <c r="M28000" s="112"/>
      <c r="N28000" s="84"/>
    </row>
    <row r="28001" spans="1:14" s="2" customFormat="1">
      <c r="A28001" s="83"/>
      <c r="H28001" s="83"/>
      <c r="K28001" s="82"/>
      <c r="M28001" s="112"/>
      <c r="N28001" s="84"/>
    </row>
    <row r="28002" spans="1:14" s="2" customFormat="1">
      <c r="A28002" s="83"/>
      <c r="H28002" s="83"/>
      <c r="K28002" s="82"/>
      <c r="M28002" s="112"/>
      <c r="N28002" s="84"/>
    </row>
    <row r="28003" spans="1:14" s="2" customFormat="1">
      <c r="A28003" s="83"/>
      <c r="H28003" s="83"/>
      <c r="K28003" s="82"/>
      <c r="M28003" s="112"/>
      <c r="N28003" s="84"/>
    </row>
    <row r="28004" spans="1:14" s="2" customFormat="1">
      <c r="A28004" s="83"/>
      <c r="H28004" s="83"/>
      <c r="K28004" s="82"/>
      <c r="M28004" s="112"/>
      <c r="N28004" s="84"/>
    </row>
    <row r="28005" spans="1:14" s="2" customFormat="1">
      <c r="A28005" s="83"/>
      <c r="H28005" s="83"/>
      <c r="K28005" s="82"/>
      <c r="M28005" s="112"/>
      <c r="N28005" s="84"/>
    </row>
    <row r="28006" spans="1:14" s="2" customFormat="1">
      <c r="A28006" s="83"/>
      <c r="H28006" s="83"/>
      <c r="K28006" s="82"/>
      <c r="M28006" s="112"/>
      <c r="N28006" s="84"/>
    </row>
    <row r="28007" spans="1:14" s="2" customFormat="1">
      <c r="A28007" s="83"/>
      <c r="H28007" s="83"/>
      <c r="K28007" s="82"/>
      <c r="M28007" s="112"/>
      <c r="N28007" s="84"/>
    </row>
    <row r="28008" spans="1:14" s="2" customFormat="1">
      <c r="A28008" s="83"/>
      <c r="H28008" s="83"/>
      <c r="K28008" s="82"/>
      <c r="M28008" s="112"/>
      <c r="N28008" s="84"/>
    </row>
    <row r="28009" spans="1:14" s="2" customFormat="1">
      <c r="A28009" s="83"/>
      <c r="H28009" s="83"/>
      <c r="K28009" s="82"/>
      <c r="M28009" s="112"/>
      <c r="N28009" s="84"/>
    </row>
    <row r="28010" spans="1:14" s="2" customFormat="1">
      <c r="A28010" s="83"/>
      <c r="H28010" s="83"/>
      <c r="K28010" s="82"/>
      <c r="M28010" s="112"/>
      <c r="N28010" s="84"/>
    </row>
    <row r="28011" spans="1:14" s="2" customFormat="1">
      <c r="A28011" s="83"/>
      <c r="H28011" s="83"/>
      <c r="K28011" s="82"/>
      <c r="M28011" s="112"/>
      <c r="N28011" s="84"/>
    </row>
    <row r="28012" spans="1:14" s="2" customFormat="1">
      <c r="A28012" s="83"/>
      <c r="H28012" s="83"/>
      <c r="K28012" s="82"/>
      <c r="M28012" s="112"/>
      <c r="N28012" s="84"/>
    </row>
    <row r="28013" spans="1:14" s="2" customFormat="1">
      <c r="A28013" s="83"/>
      <c r="H28013" s="83"/>
      <c r="K28013" s="82"/>
      <c r="M28013" s="112"/>
      <c r="N28013" s="84"/>
    </row>
    <row r="28014" spans="1:14" s="2" customFormat="1">
      <c r="A28014" s="83"/>
      <c r="H28014" s="83"/>
      <c r="K28014" s="82"/>
      <c r="M28014" s="112"/>
      <c r="N28014" s="84"/>
    </row>
    <row r="28015" spans="1:14" s="2" customFormat="1">
      <c r="A28015" s="83"/>
      <c r="H28015" s="83"/>
      <c r="K28015" s="82"/>
      <c r="M28015" s="112"/>
      <c r="N28015" s="84"/>
    </row>
    <row r="28016" spans="1:14" s="2" customFormat="1">
      <c r="A28016" s="83"/>
      <c r="H28016" s="83"/>
      <c r="K28016" s="82"/>
      <c r="M28016" s="112"/>
      <c r="N28016" s="84"/>
    </row>
    <row r="28017" spans="1:14" s="2" customFormat="1">
      <c r="A28017" s="83"/>
      <c r="H28017" s="83"/>
      <c r="K28017" s="82"/>
      <c r="M28017" s="112"/>
      <c r="N28017" s="84"/>
    </row>
    <row r="28018" spans="1:14" s="2" customFormat="1">
      <c r="A28018" s="83"/>
      <c r="H28018" s="83"/>
      <c r="K28018" s="82"/>
      <c r="M28018" s="112"/>
      <c r="N28018" s="84"/>
    </row>
    <row r="28019" spans="1:14" s="2" customFormat="1">
      <c r="A28019" s="83"/>
      <c r="H28019" s="83"/>
      <c r="K28019" s="82"/>
      <c r="M28019" s="112"/>
      <c r="N28019" s="84"/>
    </row>
    <row r="28020" spans="1:14" s="2" customFormat="1">
      <c r="A28020" s="83"/>
      <c r="H28020" s="83"/>
      <c r="K28020" s="82"/>
      <c r="M28020" s="112"/>
      <c r="N28020" s="84"/>
    </row>
    <row r="28021" spans="1:14" s="2" customFormat="1">
      <c r="A28021" s="83"/>
      <c r="H28021" s="83"/>
      <c r="K28021" s="82"/>
      <c r="M28021" s="112"/>
      <c r="N28021" s="84"/>
    </row>
    <row r="28022" spans="1:14" s="2" customFormat="1">
      <c r="A28022" s="83"/>
      <c r="H28022" s="83"/>
      <c r="K28022" s="82"/>
      <c r="M28022" s="112"/>
      <c r="N28022" s="84"/>
    </row>
    <row r="28023" spans="1:14" s="2" customFormat="1">
      <c r="A28023" s="83"/>
      <c r="H28023" s="83"/>
      <c r="K28023" s="82"/>
      <c r="M28023" s="112"/>
      <c r="N28023" s="84"/>
    </row>
    <row r="28024" spans="1:14" s="2" customFormat="1">
      <c r="A28024" s="83"/>
      <c r="H28024" s="83"/>
      <c r="K28024" s="82"/>
      <c r="M28024" s="112"/>
      <c r="N28024" s="84"/>
    </row>
    <row r="28025" spans="1:14" s="2" customFormat="1">
      <c r="A28025" s="83"/>
      <c r="H28025" s="83"/>
      <c r="K28025" s="82"/>
      <c r="M28025" s="112"/>
      <c r="N28025" s="84"/>
    </row>
    <row r="28026" spans="1:14" s="2" customFormat="1">
      <c r="A28026" s="83"/>
      <c r="H28026" s="83"/>
      <c r="K28026" s="82"/>
      <c r="M28026" s="112"/>
      <c r="N28026" s="84"/>
    </row>
    <row r="28027" spans="1:14" s="2" customFormat="1">
      <c r="A28027" s="83"/>
      <c r="H28027" s="83"/>
      <c r="K28027" s="82"/>
      <c r="M28027" s="112"/>
      <c r="N28027" s="84"/>
    </row>
    <row r="28028" spans="1:14" s="2" customFormat="1">
      <c r="A28028" s="83"/>
      <c r="H28028" s="83"/>
      <c r="K28028" s="82"/>
      <c r="M28028" s="112"/>
      <c r="N28028" s="84"/>
    </row>
    <row r="28029" spans="1:14" s="2" customFormat="1">
      <c r="A28029" s="83"/>
      <c r="H28029" s="83"/>
      <c r="K28029" s="82"/>
      <c r="M28029" s="112"/>
      <c r="N28029" s="84"/>
    </row>
    <row r="28030" spans="1:14" s="2" customFormat="1">
      <c r="A28030" s="83"/>
      <c r="H28030" s="83"/>
      <c r="K28030" s="82"/>
      <c r="M28030" s="112"/>
      <c r="N28030" s="84"/>
    </row>
    <row r="28031" spans="1:14" s="2" customFormat="1">
      <c r="A28031" s="83"/>
      <c r="H28031" s="83"/>
      <c r="K28031" s="82"/>
      <c r="M28031" s="112"/>
      <c r="N28031" s="84"/>
    </row>
    <row r="28032" spans="1:14" s="2" customFormat="1">
      <c r="A28032" s="83"/>
      <c r="H28032" s="83"/>
      <c r="K28032" s="82"/>
      <c r="M28032" s="112"/>
      <c r="N28032" s="84"/>
    </row>
    <row r="28033" spans="1:14" s="2" customFormat="1">
      <c r="A28033" s="83"/>
      <c r="H28033" s="83"/>
      <c r="K28033" s="82"/>
      <c r="M28033" s="112"/>
      <c r="N28033" s="84"/>
    </row>
    <row r="28034" spans="1:14" s="2" customFormat="1">
      <c r="A28034" s="83"/>
      <c r="H28034" s="83"/>
      <c r="K28034" s="82"/>
      <c r="M28034" s="112"/>
      <c r="N28034" s="84"/>
    </row>
    <row r="28035" spans="1:14" s="2" customFormat="1">
      <c r="A28035" s="83"/>
      <c r="H28035" s="83"/>
      <c r="K28035" s="82"/>
      <c r="M28035" s="112"/>
      <c r="N28035" s="84"/>
    </row>
    <row r="28036" spans="1:14" s="2" customFormat="1">
      <c r="A28036" s="83"/>
      <c r="H28036" s="83"/>
      <c r="K28036" s="82"/>
      <c r="M28036" s="112"/>
      <c r="N28036" s="84"/>
    </row>
    <row r="28037" spans="1:14" s="2" customFormat="1">
      <c r="A28037" s="83"/>
      <c r="H28037" s="83"/>
      <c r="K28037" s="82"/>
      <c r="M28037" s="112"/>
      <c r="N28037" s="84"/>
    </row>
    <row r="28038" spans="1:14" s="2" customFormat="1">
      <c r="A28038" s="83"/>
      <c r="H28038" s="83"/>
      <c r="K28038" s="82"/>
      <c r="M28038" s="112"/>
      <c r="N28038" s="84"/>
    </row>
    <row r="28039" spans="1:14" s="2" customFormat="1">
      <c r="A28039" s="83"/>
      <c r="H28039" s="83"/>
      <c r="K28039" s="82"/>
      <c r="M28039" s="112"/>
      <c r="N28039" s="84"/>
    </row>
    <row r="28040" spans="1:14" s="2" customFormat="1">
      <c r="A28040" s="83"/>
      <c r="H28040" s="83"/>
      <c r="K28040" s="82"/>
      <c r="M28040" s="112"/>
      <c r="N28040" s="84"/>
    </row>
    <row r="28041" spans="1:14" s="2" customFormat="1">
      <c r="A28041" s="83"/>
      <c r="H28041" s="83"/>
      <c r="K28041" s="82"/>
      <c r="M28041" s="112"/>
      <c r="N28041" s="84"/>
    </row>
    <row r="28042" spans="1:14" s="2" customFormat="1">
      <c r="A28042" s="83"/>
      <c r="H28042" s="83"/>
      <c r="K28042" s="82"/>
      <c r="M28042" s="112"/>
      <c r="N28042" s="84"/>
    </row>
    <row r="28043" spans="1:14" s="2" customFormat="1">
      <c r="A28043" s="83"/>
      <c r="H28043" s="83"/>
      <c r="K28043" s="82"/>
      <c r="M28043" s="112"/>
      <c r="N28043" s="84"/>
    </row>
    <row r="28044" spans="1:14" s="2" customFormat="1">
      <c r="A28044" s="83"/>
      <c r="H28044" s="83"/>
      <c r="K28044" s="82"/>
      <c r="M28044" s="112"/>
      <c r="N28044" s="84"/>
    </row>
    <row r="28045" spans="1:14" s="2" customFormat="1">
      <c r="A28045" s="83"/>
      <c r="H28045" s="83"/>
      <c r="K28045" s="82"/>
      <c r="M28045" s="112"/>
      <c r="N28045" s="84"/>
    </row>
    <row r="28046" spans="1:14" s="2" customFormat="1">
      <c r="A28046" s="83"/>
      <c r="H28046" s="83"/>
      <c r="K28046" s="82"/>
      <c r="M28046" s="112"/>
      <c r="N28046" s="84"/>
    </row>
    <row r="28047" spans="1:14" s="2" customFormat="1">
      <c r="A28047" s="83"/>
      <c r="H28047" s="83"/>
      <c r="K28047" s="82"/>
      <c r="M28047" s="112"/>
      <c r="N28047" s="84"/>
    </row>
    <row r="28048" spans="1:14" s="2" customFormat="1">
      <c r="A28048" s="83"/>
      <c r="H28048" s="83"/>
      <c r="K28048" s="82"/>
      <c r="M28048" s="112"/>
      <c r="N28048" s="84"/>
    </row>
    <row r="28049" spans="1:14" s="2" customFormat="1">
      <c r="A28049" s="83"/>
      <c r="H28049" s="83"/>
      <c r="K28049" s="82"/>
      <c r="M28049" s="112"/>
      <c r="N28049" s="84"/>
    </row>
    <row r="28050" spans="1:14" s="2" customFormat="1">
      <c r="A28050" s="83"/>
      <c r="H28050" s="83"/>
      <c r="K28050" s="82"/>
      <c r="M28050" s="112"/>
      <c r="N28050" s="84"/>
    </row>
    <row r="28051" spans="1:14" s="2" customFormat="1">
      <c r="A28051" s="83"/>
      <c r="H28051" s="83"/>
      <c r="K28051" s="82"/>
      <c r="M28051" s="112"/>
      <c r="N28051" s="84"/>
    </row>
    <row r="28052" spans="1:14" s="2" customFormat="1">
      <c r="A28052" s="83"/>
      <c r="H28052" s="83"/>
      <c r="K28052" s="82"/>
      <c r="M28052" s="112"/>
      <c r="N28052" s="84"/>
    </row>
    <row r="28053" spans="1:14" s="2" customFormat="1">
      <c r="A28053" s="83"/>
      <c r="H28053" s="83"/>
      <c r="K28053" s="82"/>
      <c r="M28053" s="112"/>
      <c r="N28053" s="84"/>
    </row>
    <row r="28054" spans="1:14" s="2" customFormat="1">
      <c r="A28054" s="83"/>
      <c r="H28054" s="83"/>
      <c r="K28054" s="82"/>
      <c r="M28054" s="112"/>
      <c r="N28054" s="84"/>
    </row>
    <row r="28055" spans="1:14" s="2" customFormat="1">
      <c r="A28055" s="83"/>
      <c r="H28055" s="83"/>
      <c r="K28055" s="82"/>
      <c r="M28055" s="112"/>
      <c r="N28055" s="84"/>
    </row>
    <row r="28056" spans="1:14" s="2" customFormat="1">
      <c r="A28056" s="83"/>
      <c r="H28056" s="83"/>
      <c r="K28056" s="82"/>
      <c r="M28056" s="112"/>
      <c r="N28056" s="84"/>
    </row>
    <row r="28057" spans="1:14" s="2" customFormat="1">
      <c r="A28057" s="83"/>
      <c r="H28057" s="83"/>
      <c r="K28057" s="82"/>
      <c r="M28057" s="112"/>
      <c r="N28057" s="84"/>
    </row>
    <row r="28058" spans="1:14" s="2" customFormat="1">
      <c r="A28058" s="83"/>
      <c r="H28058" s="83"/>
      <c r="K28058" s="82"/>
      <c r="M28058" s="112"/>
      <c r="N28058" s="84"/>
    </row>
    <row r="28059" spans="1:14" s="2" customFormat="1">
      <c r="A28059" s="83"/>
      <c r="H28059" s="83"/>
      <c r="K28059" s="82"/>
      <c r="M28059" s="112"/>
      <c r="N28059" s="84"/>
    </row>
    <row r="28060" spans="1:14" s="2" customFormat="1">
      <c r="A28060" s="83"/>
      <c r="H28060" s="83"/>
      <c r="K28060" s="82"/>
      <c r="M28060" s="112"/>
      <c r="N28060" s="84"/>
    </row>
    <row r="28061" spans="1:14" s="2" customFormat="1">
      <c r="A28061" s="83"/>
      <c r="H28061" s="83"/>
      <c r="K28061" s="82"/>
      <c r="M28061" s="112"/>
      <c r="N28061" s="84"/>
    </row>
    <row r="28062" spans="1:14" s="2" customFormat="1">
      <c r="A28062" s="83"/>
      <c r="H28062" s="83"/>
      <c r="K28062" s="82"/>
      <c r="M28062" s="112"/>
      <c r="N28062" s="84"/>
    </row>
    <row r="28063" spans="1:14" s="2" customFormat="1">
      <c r="A28063" s="83"/>
      <c r="H28063" s="83"/>
      <c r="K28063" s="82"/>
      <c r="M28063" s="112"/>
      <c r="N28063" s="84"/>
    </row>
    <row r="28064" spans="1:14" s="2" customFormat="1">
      <c r="A28064" s="83"/>
      <c r="H28064" s="83"/>
      <c r="K28064" s="82"/>
      <c r="M28064" s="112"/>
      <c r="N28064" s="84"/>
    </row>
    <row r="28065" spans="1:14" s="2" customFormat="1">
      <c r="A28065" s="83"/>
      <c r="H28065" s="83"/>
      <c r="K28065" s="82"/>
      <c r="M28065" s="112"/>
      <c r="N28065" s="84"/>
    </row>
    <row r="28066" spans="1:14" s="2" customFormat="1">
      <c r="A28066" s="83"/>
      <c r="H28066" s="83"/>
      <c r="K28066" s="82"/>
      <c r="M28066" s="112"/>
      <c r="N28066" s="84"/>
    </row>
    <row r="28067" spans="1:14" s="2" customFormat="1">
      <c r="A28067" s="83"/>
      <c r="H28067" s="83"/>
      <c r="K28067" s="82"/>
      <c r="M28067" s="112"/>
      <c r="N28067" s="84"/>
    </row>
    <row r="28068" spans="1:14" s="2" customFormat="1">
      <c r="A28068" s="83"/>
      <c r="H28068" s="83"/>
      <c r="K28068" s="82"/>
      <c r="M28068" s="112"/>
      <c r="N28068" s="84"/>
    </row>
    <row r="28069" spans="1:14" s="2" customFormat="1">
      <c r="A28069" s="83"/>
      <c r="H28069" s="83"/>
      <c r="K28069" s="82"/>
      <c r="M28069" s="112"/>
      <c r="N28069" s="84"/>
    </row>
    <row r="28070" spans="1:14" s="2" customFormat="1">
      <c r="A28070" s="83"/>
      <c r="H28070" s="83"/>
      <c r="K28070" s="82"/>
      <c r="M28070" s="112"/>
      <c r="N28070" s="84"/>
    </row>
    <row r="28071" spans="1:14" s="2" customFormat="1">
      <c r="A28071" s="83"/>
      <c r="H28071" s="83"/>
      <c r="K28071" s="82"/>
      <c r="M28071" s="112"/>
      <c r="N28071" s="84"/>
    </row>
    <row r="28072" spans="1:14" s="2" customFormat="1">
      <c r="A28072" s="83"/>
      <c r="H28072" s="83"/>
      <c r="K28072" s="82"/>
      <c r="M28072" s="112"/>
      <c r="N28072" s="84"/>
    </row>
    <row r="28073" spans="1:14" s="2" customFormat="1">
      <c r="A28073" s="83"/>
      <c r="H28073" s="83"/>
      <c r="K28073" s="82"/>
      <c r="M28073" s="112"/>
      <c r="N28073" s="84"/>
    </row>
    <row r="28074" spans="1:14" s="2" customFormat="1">
      <c r="A28074" s="83"/>
      <c r="H28074" s="83"/>
      <c r="K28074" s="82"/>
      <c r="M28074" s="112"/>
      <c r="N28074" s="84"/>
    </row>
    <row r="28075" spans="1:14" s="2" customFormat="1">
      <c r="A28075" s="83"/>
      <c r="H28075" s="83"/>
      <c r="K28075" s="82"/>
      <c r="M28075" s="112"/>
      <c r="N28075" s="84"/>
    </row>
    <row r="28076" spans="1:14" s="2" customFormat="1">
      <c r="A28076" s="83"/>
      <c r="H28076" s="83"/>
      <c r="K28076" s="82"/>
      <c r="M28076" s="112"/>
      <c r="N28076" s="84"/>
    </row>
    <row r="28077" spans="1:14" s="2" customFormat="1">
      <c r="A28077" s="83"/>
      <c r="H28077" s="83"/>
      <c r="K28077" s="82"/>
      <c r="M28077" s="112"/>
      <c r="N28077" s="84"/>
    </row>
    <row r="28078" spans="1:14" s="2" customFormat="1">
      <c r="A28078" s="83"/>
      <c r="H28078" s="83"/>
      <c r="K28078" s="82"/>
      <c r="M28078" s="112"/>
      <c r="N28078" s="84"/>
    </row>
    <row r="28079" spans="1:14" s="2" customFormat="1">
      <c r="A28079" s="83"/>
      <c r="H28079" s="83"/>
      <c r="K28079" s="82"/>
      <c r="M28079" s="112"/>
      <c r="N28079" s="84"/>
    </row>
    <row r="28080" spans="1:14" s="2" customFormat="1">
      <c r="A28080" s="83"/>
      <c r="H28080" s="83"/>
      <c r="K28080" s="82"/>
      <c r="M28080" s="112"/>
      <c r="N28080" s="84"/>
    </row>
    <row r="28081" spans="1:14" s="2" customFormat="1">
      <c r="A28081" s="83"/>
      <c r="H28081" s="83"/>
      <c r="K28081" s="82"/>
      <c r="M28081" s="112"/>
      <c r="N28081" s="84"/>
    </row>
    <row r="28082" spans="1:14" s="2" customFormat="1">
      <c r="A28082" s="83"/>
      <c r="H28082" s="83"/>
      <c r="K28082" s="82"/>
      <c r="M28082" s="112"/>
      <c r="N28082" s="84"/>
    </row>
    <row r="28083" spans="1:14" s="2" customFormat="1">
      <c r="A28083" s="83"/>
      <c r="H28083" s="83"/>
      <c r="K28083" s="82"/>
      <c r="M28083" s="112"/>
      <c r="N28083" s="84"/>
    </row>
    <row r="28084" spans="1:14" s="2" customFormat="1">
      <c r="A28084" s="83"/>
      <c r="H28084" s="83"/>
      <c r="K28084" s="82"/>
      <c r="M28084" s="112"/>
      <c r="N28084" s="84"/>
    </row>
    <row r="28085" spans="1:14" s="2" customFormat="1">
      <c r="A28085" s="83"/>
      <c r="H28085" s="83"/>
      <c r="K28085" s="82"/>
      <c r="M28085" s="112"/>
      <c r="N28085" s="84"/>
    </row>
    <row r="28086" spans="1:14" s="2" customFormat="1">
      <c r="A28086" s="83"/>
      <c r="H28086" s="83"/>
      <c r="K28086" s="82"/>
      <c r="M28086" s="112"/>
      <c r="N28086" s="84"/>
    </row>
    <row r="28087" spans="1:14" s="2" customFormat="1">
      <c r="A28087" s="83"/>
      <c r="H28087" s="83"/>
      <c r="K28087" s="82"/>
      <c r="M28087" s="112"/>
      <c r="N28087" s="84"/>
    </row>
    <row r="28088" spans="1:14" s="2" customFormat="1">
      <c r="A28088" s="83"/>
      <c r="H28088" s="83"/>
      <c r="K28088" s="82"/>
      <c r="M28088" s="112"/>
      <c r="N28088" s="84"/>
    </row>
    <row r="28089" spans="1:14" s="2" customFormat="1">
      <c r="A28089" s="83"/>
      <c r="H28089" s="83"/>
      <c r="K28089" s="82"/>
      <c r="M28089" s="112"/>
      <c r="N28089" s="84"/>
    </row>
    <row r="28090" spans="1:14" s="2" customFormat="1">
      <c r="A28090" s="83"/>
      <c r="H28090" s="83"/>
      <c r="K28090" s="82"/>
      <c r="M28090" s="112"/>
      <c r="N28090" s="84"/>
    </row>
    <row r="28091" spans="1:14" s="2" customFormat="1">
      <c r="A28091" s="83"/>
      <c r="H28091" s="83"/>
      <c r="K28091" s="82"/>
      <c r="M28091" s="112"/>
      <c r="N28091" s="84"/>
    </row>
    <row r="28092" spans="1:14" s="2" customFormat="1">
      <c r="A28092" s="83"/>
      <c r="H28092" s="83"/>
      <c r="K28092" s="82"/>
      <c r="M28092" s="112"/>
      <c r="N28092" s="84"/>
    </row>
    <row r="28093" spans="1:14" s="2" customFormat="1">
      <c r="A28093" s="83"/>
      <c r="H28093" s="83"/>
      <c r="K28093" s="82"/>
      <c r="M28093" s="112"/>
      <c r="N28093" s="84"/>
    </row>
    <row r="28094" spans="1:14" s="2" customFormat="1">
      <c r="A28094" s="83"/>
      <c r="H28094" s="83"/>
      <c r="K28094" s="82"/>
      <c r="M28094" s="112"/>
      <c r="N28094" s="84"/>
    </row>
    <row r="28095" spans="1:14" s="2" customFormat="1">
      <c r="A28095" s="83"/>
      <c r="H28095" s="83"/>
      <c r="K28095" s="82"/>
      <c r="M28095" s="112"/>
      <c r="N28095" s="84"/>
    </row>
    <row r="28096" spans="1:14" s="2" customFormat="1">
      <c r="A28096" s="83"/>
      <c r="H28096" s="83"/>
      <c r="K28096" s="82"/>
      <c r="M28096" s="112"/>
      <c r="N28096" s="84"/>
    </row>
    <row r="28097" spans="1:14" s="2" customFormat="1">
      <c r="A28097" s="83"/>
      <c r="H28097" s="83"/>
      <c r="K28097" s="82"/>
      <c r="M28097" s="112"/>
      <c r="N28097" s="84"/>
    </row>
    <row r="28098" spans="1:14" s="2" customFormat="1">
      <c r="A28098" s="83"/>
      <c r="H28098" s="83"/>
      <c r="K28098" s="82"/>
      <c r="M28098" s="112"/>
      <c r="N28098" s="84"/>
    </row>
    <row r="28099" spans="1:14" s="2" customFormat="1">
      <c r="A28099" s="83"/>
      <c r="H28099" s="83"/>
      <c r="K28099" s="82"/>
      <c r="M28099" s="112"/>
      <c r="N28099" s="84"/>
    </row>
    <row r="28100" spans="1:14" s="2" customFormat="1">
      <c r="A28100" s="83"/>
      <c r="H28100" s="83"/>
      <c r="K28100" s="82"/>
      <c r="M28100" s="112"/>
      <c r="N28100" s="84"/>
    </row>
    <row r="28101" spans="1:14" s="2" customFormat="1">
      <c r="A28101" s="83"/>
      <c r="H28101" s="83"/>
      <c r="K28101" s="82"/>
      <c r="M28101" s="112"/>
      <c r="N28101" s="84"/>
    </row>
    <row r="28102" spans="1:14" s="2" customFormat="1">
      <c r="A28102" s="83"/>
      <c r="H28102" s="83"/>
      <c r="K28102" s="82"/>
      <c r="M28102" s="112"/>
      <c r="N28102" s="84"/>
    </row>
    <row r="28103" spans="1:14" s="2" customFormat="1">
      <c r="A28103" s="83"/>
      <c r="H28103" s="83"/>
      <c r="K28103" s="82"/>
      <c r="M28103" s="112"/>
      <c r="N28103" s="84"/>
    </row>
    <row r="28104" spans="1:14" s="2" customFormat="1">
      <c r="A28104" s="83"/>
      <c r="H28104" s="83"/>
      <c r="K28104" s="82"/>
      <c r="M28104" s="112"/>
      <c r="N28104" s="84"/>
    </row>
    <row r="28105" spans="1:14" s="2" customFormat="1">
      <c r="A28105" s="83"/>
      <c r="H28105" s="83"/>
      <c r="K28105" s="82"/>
      <c r="M28105" s="112"/>
      <c r="N28105" s="84"/>
    </row>
    <row r="28106" spans="1:14" s="2" customFormat="1">
      <c r="A28106" s="83"/>
      <c r="H28106" s="83"/>
      <c r="K28106" s="82"/>
      <c r="M28106" s="112"/>
      <c r="N28106" s="84"/>
    </row>
    <row r="28107" spans="1:14" s="2" customFormat="1">
      <c r="A28107" s="83"/>
      <c r="H28107" s="83"/>
      <c r="K28107" s="82"/>
      <c r="M28107" s="112"/>
      <c r="N28107" s="84"/>
    </row>
    <row r="28108" spans="1:14" s="2" customFormat="1">
      <c r="A28108" s="83"/>
      <c r="H28108" s="83"/>
      <c r="K28108" s="82"/>
      <c r="M28108" s="112"/>
      <c r="N28108" s="84"/>
    </row>
    <row r="28109" spans="1:14" s="2" customFormat="1">
      <c r="A28109" s="83"/>
      <c r="H28109" s="83"/>
      <c r="K28109" s="82"/>
      <c r="M28109" s="112"/>
      <c r="N28109" s="84"/>
    </row>
    <row r="28110" spans="1:14" s="2" customFormat="1">
      <c r="A28110" s="83"/>
      <c r="H28110" s="83"/>
      <c r="K28110" s="82"/>
      <c r="M28110" s="112"/>
      <c r="N28110" s="84"/>
    </row>
    <row r="28111" spans="1:14" s="2" customFormat="1">
      <c r="A28111" s="83"/>
      <c r="H28111" s="83"/>
      <c r="K28111" s="82"/>
      <c r="M28111" s="112"/>
      <c r="N28111" s="84"/>
    </row>
    <row r="28112" spans="1:14" s="2" customFormat="1">
      <c r="A28112" s="83"/>
      <c r="H28112" s="83"/>
      <c r="K28112" s="82"/>
      <c r="M28112" s="112"/>
      <c r="N28112" s="84"/>
    </row>
    <row r="28113" spans="1:14" s="2" customFormat="1">
      <c r="A28113" s="83"/>
      <c r="H28113" s="83"/>
      <c r="K28113" s="82"/>
      <c r="M28113" s="112"/>
      <c r="N28113" s="84"/>
    </row>
    <row r="28114" spans="1:14" s="2" customFormat="1">
      <c r="A28114" s="83"/>
      <c r="H28114" s="83"/>
      <c r="K28114" s="82"/>
      <c r="M28114" s="112"/>
      <c r="N28114" s="84"/>
    </row>
    <row r="28115" spans="1:14" s="2" customFormat="1">
      <c r="A28115" s="83"/>
      <c r="H28115" s="83"/>
      <c r="K28115" s="82"/>
      <c r="M28115" s="112"/>
      <c r="N28115" s="84"/>
    </row>
    <row r="28116" spans="1:14" s="2" customFormat="1">
      <c r="A28116" s="83"/>
      <c r="H28116" s="83"/>
      <c r="K28116" s="82"/>
      <c r="M28116" s="112"/>
      <c r="N28116" s="84"/>
    </row>
    <row r="28117" spans="1:14" s="2" customFormat="1">
      <c r="A28117" s="83"/>
      <c r="H28117" s="83"/>
      <c r="K28117" s="82"/>
      <c r="M28117" s="112"/>
      <c r="N28117" s="84"/>
    </row>
    <row r="28118" spans="1:14" s="2" customFormat="1">
      <c r="A28118" s="83"/>
      <c r="H28118" s="83"/>
      <c r="K28118" s="82"/>
      <c r="M28118" s="112"/>
      <c r="N28118" s="84"/>
    </row>
    <row r="28119" spans="1:14" s="2" customFormat="1">
      <c r="A28119" s="83"/>
      <c r="H28119" s="83"/>
      <c r="K28119" s="82"/>
      <c r="M28119" s="112"/>
      <c r="N28119" s="84"/>
    </row>
    <row r="28120" spans="1:14" s="2" customFormat="1">
      <c r="A28120" s="83"/>
      <c r="H28120" s="83"/>
      <c r="K28120" s="82"/>
      <c r="M28120" s="112"/>
      <c r="N28120" s="84"/>
    </row>
    <row r="28121" spans="1:14" s="2" customFormat="1">
      <c r="A28121" s="83"/>
      <c r="H28121" s="83"/>
      <c r="K28121" s="82"/>
      <c r="M28121" s="112"/>
      <c r="N28121" s="84"/>
    </row>
    <row r="28122" spans="1:14" s="2" customFormat="1">
      <c r="A28122" s="83"/>
      <c r="H28122" s="83"/>
      <c r="K28122" s="82"/>
      <c r="M28122" s="112"/>
      <c r="N28122" s="84"/>
    </row>
    <row r="28123" spans="1:14" s="2" customFormat="1">
      <c r="A28123" s="83"/>
      <c r="H28123" s="83"/>
      <c r="K28123" s="82"/>
      <c r="M28123" s="112"/>
      <c r="N28123" s="84"/>
    </row>
    <row r="28124" spans="1:14" s="2" customFormat="1">
      <c r="A28124" s="83"/>
      <c r="H28124" s="83"/>
      <c r="K28124" s="82"/>
      <c r="M28124" s="112"/>
      <c r="N28124" s="84"/>
    </row>
    <row r="28125" spans="1:14" s="2" customFormat="1">
      <c r="A28125" s="83"/>
      <c r="H28125" s="83"/>
      <c r="K28125" s="82"/>
      <c r="M28125" s="112"/>
      <c r="N28125" s="84"/>
    </row>
    <row r="28126" spans="1:14" s="2" customFormat="1">
      <c r="A28126" s="83"/>
      <c r="H28126" s="83"/>
      <c r="K28126" s="82"/>
      <c r="M28126" s="112"/>
      <c r="N28126" s="84"/>
    </row>
    <row r="28127" spans="1:14" s="2" customFormat="1">
      <c r="A28127" s="83"/>
      <c r="H28127" s="83"/>
      <c r="K28127" s="82"/>
      <c r="M28127" s="112"/>
      <c r="N28127" s="84"/>
    </row>
    <row r="28128" spans="1:14" s="2" customFormat="1">
      <c r="A28128" s="83"/>
      <c r="H28128" s="83"/>
      <c r="K28128" s="82"/>
      <c r="M28128" s="112"/>
      <c r="N28128" s="84"/>
    </row>
    <row r="28129" spans="1:14" s="2" customFormat="1">
      <c r="A28129" s="83"/>
      <c r="H28129" s="83"/>
      <c r="K28129" s="82"/>
      <c r="M28129" s="112"/>
      <c r="N28129" s="84"/>
    </row>
    <row r="28130" spans="1:14" s="2" customFormat="1">
      <c r="A28130" s="83"/>
      <c r="H28130" s="83"/>
      <c r="K28130" s="82"/>
      <c r="M28130" s="112"/>
      <c r="N28130" s="84"/>
    </row>
    <row r="28131" spans="1:14" s="2" customFormat="1">
      <c r="A28131" s="83"/>
      <c r="H28131" s="83"/>
      <c r="K28131" s="82"/>
      <c r="M28131" s="112"/>
      <c r="N28131" s="84"/>
    </row>
    <row r="28132" spans="1:14" s="2" customFormat="1">
      <c r="A28132" s="83"/>
      <c r="H28132" s="83"/>
      <c r="K28132" s="82"/>
      <c r="M28132" s="112"/>
      <c r="N28132" s="84"/>
    </row>
    <row r="28133" spans="1:14" s="2" customFormat="1">
      <c r="A28133" s="83"/>
      <c r="H28133" s="83"/>
      <c r="K28133" s="82"/>
      <c r="M28133" s="112"/>
      <c r="N28133" s="84"/>
    </row>
    <row r="28134" spans="1:14" s="2" customFormat="1">
      <c r="A28134" s="83"/>
      <c r="H28134" s="83"/>
      <c r="K28134" s="82"/>
      <c r="M28134" s="112"/>
      <c r="N28134" s="84"/>
    </row>
    <row r="28135" spans="1:14" s="2" customFormat="1">
      <c r="A28135" s="83"/>
      <c r="H28135" s="83"/>
      <c r="K28135" s="82"/>
      <c r="M28135" s="112"/>
      <c r="N28135" s="84"/>
    </row>
    <row r="28136" spans="1:14" s="2" customFormat="1">
      <c r="A28136" s="83"/>
      <c r="H28136" s="83"/>
      <c r="K28136" s="82"/>
      <c r="M28136" s="112"/>
      <c r="N28136" s="84"/>
    </row>
    <row r="28137" spans="1:14" s="2" customFormat="1">
      <c r="A28137" s="83"/>
      <c r="H28137" s="83"/>
      <c r="K28137" s="82"/>
      <c r="M28137" s="112"/>
      <c r="N28137" s="84"/>
    </row>
    <row r="28138" spans="1:14" s="2" customFormat="1">
      <c r="A28138" s="83"/>
      <c r="H28138" s="83"/>
      <c r="K28138" s="82"/>
      <c r="M28138" s="112"/>
      <c r="N28138" s="84"/>
    </row>
    <row r="28139" spans="1:14" s="2" customFormat="1">
      <c r="A28139" s="83"/>
      <c r="H28139" s="83"/>
      <c r="K28139" s="82"/>
      <c r="M28139" s="112"/>
      <c r="N28139" s="84"/>
    </row>
    <row r="28140" spans="1:14" s="2" customFormat="1">
      <c r="A28140" s="83"/>
      <c r="H28140" s="83"/>
      <c r="K28140" s="82"/>
      <c r="M28140" s="112"/>
      <c r="N28140" s="84"/>
    </row>
    <row r="28141" spans="1:14" s="2" customFormat="1">
      <c r="A28141" s="83"/>
      <c r="H28141" s="83"/>
      <c r="K28141" s="82"/>
      <c r="M28141" s="112"/>
      <c r="N28141" s="84"/>
    </row>
    <row r="28142" spans="1:14" s="2" customFormat="1">
      <c r="A28142" s="83"/>
      <c r="H28142" s="83"/>
      <c r="K28142" s="82"/>
      <c r="M28142" s="112"/>
      <c r="N28142" s="84"/>
    </row>
    <row r="28143" spans="1:14" s="2" customFormat="1">
      <c r="A28143" s="83"/>
      <c r="H28143" s="83"/>
      <c r="K28143" s="82"/>
      <c r="M28143" s="112"/>
      <c r="N28143" s="84"/>
    </row>
    <row r="28144" spans="1:14" s="2" customFormat="1">
      <c r="A28144" s="83"/>
      <c r="H28144" s="83"/>
      <c r="K28144" s="82"/>
      <c r="M28144" s="112"/>
      <c r="N28144" s="84"/>
    </row>
    <row r="28145" spans="1:14" s="2" customFormat="1">
      <c r="A28145" s="83"/>
      <c r="H28145" s="83"/>
      <c r="K28145" s="82"/>
      <c r="M28145" s="112"/>
      <c r="N28145" s="84"/>
    </row>
    <row r="28146" spans="1:14" s="2" customFormat="1">
      <c r="A28146" s="83"/>
      <c r="H28146" s="83"/>
      <c r="K28146" s="82"/>
      <c r="M28146" s="112"/>
      <c r="N28146" s="84"/>
    </row>
    <row r="28147" spans="1:14" s="2" customFormat="1">
      <c r="A28147" s="83"/>
      <c r="H28147" s="83"/>
      <c r="K28147" s="82"/>
      <c r="M28147" s="112"/>
      <c r="N28147" s="84"/>
    </row>
    <row r="28148" spans="1:14" s="2" customFormat="1">
      <c r="A28148" s="83"/>
      <c r="H28148" s="83"/>
      <c r="K28148" s="82"/>
      <c r="M28148" s="112"/>
      <c r="N28148" s="84"/>
    </row>
    <row r="28149" spans="1:14" s="2" customFormat="1">
      <c r="A28149" s="83"/>
      <c r="H28149" s="83"/>
      <c r="K28149" s="82"/>
      <c r="M28149" s="112"/>
      <c r="N28149" s="84"/>
    </row>
    <row r="28150" spans="1:14" s="2" customFormat="1">
      <c r="A28150" s="83"/>
      <c r="H28150" s="83"/>
      <c r="K28150" s="82"/>
      <c r="M28150" s="112"/>
      <c r="N28150" s="84"/>
    </row>
    <row r="28151" spans="1:14" s="2" customFormat="1">
      <c r="A28151" s="83"/>
      <c r="H28151" s="83"/>
      <c r="K28151" s="82"/>
      <c r="M28151" s="112"/>
      <c r="N28151" s="84"/>
    </row>
    <row r="28152" spans="1:14" s="2" customFormat="1">
      <c r="A28152" s="83"/>
      <c r="H28152" s="83"/>
      <c r="K28152" s="82"/>
      <c r="M28152" s="112"/>
      <c r="N28152" s="84"/>
    </row>
    <row r="28153" spans="1:14" s="2" customFormat="1">
      <c r="A28153" s="83"/>
      <c r="H28153" s="83"/>
      <c r="K28153" s="82"/>
      <c r="M28153" s="112"/>
      <c r="N28153" s="84"/>
    </row>
    <row r="28154" spans="1:14" s="2" customFormat="1">
      <c r="A28154" s="83"/>
      <c r="H28154" s="83"/>
      <c r="K28154" s="82"/>
      <c r="M28154" s="112"/>
      <c r="N28154" s="84"/>
    </row>
    <row r="28155" spans="1:14" s="2" customFormat="1">
      <c r="A28155" s="83"/>
      <c r="H28155" s="83"/>
      <c r="K28155" s="82"/>
      <c r="M28155" s="112"/>
      <c r="N28155" s="84"/>
    </row>
    <row r="28156" spans="1:14" s="2" customFormat="1">
      <c r="A28156" s="83"/>
      <c r="H28156" s="83"/>
      <c r="K28156" s="82"/>
      <c r="M28156" s="112"/>
      <c r="N28156" s="84"/>
    </row>
    <row r="28157" spans="1:14" s="2" customFormat="1">
      <c r="A28157" s="83"/>
      <c r="H28157" s="83"/>
      <c r="K28157" s="82"/>
      <c r="M28157" s="112"/>
      <c r="N28157" s="84"/>
    </row>
    <row r="28158" spans="1:14" s="2" customFormat="1">
      <c r="A28158" s="83"/>
      <c r="H28158" s="83"/>
      <c r="K28158" s="82"/>
      <c r="M28158" s="112"/>
      <c r="N28158" s="84"/>
    </row>
    <row r="28159" spans="1:14" s="2" customFormat="1">
      <c r="A28159" s="83"/>
      <c r="H28159" s="83"/>
      <c r="K28159" s="82"/>
      <c r="M28159" s="112"/>
      <c r="N28159" s="84"/>
    </row>
    <row r="28160" spans="1:14" s="2" customFormat="1">
      <c r="A28160" s="83"/>
      <c r="H28160" s="83"/>
      <c r="K28160" s="82"/>
      <c r="M28160" s="112"/>
      <c r="N28160" s="84"/>
    </row>
    <row r="28161" spans="1:14" s="2" customFormat="1">
      <c r="A28161" s="83"/>
      <c r="H28161" s="83"/>
      <c r="K28161" s="82"/>
      <c r="M28161" s="112"/>
      <c r="N28161" s="84"/>
    </row>
    <row r="28162" spans="1:14" s="2" customFormat="1">
      <c r="A28162" s="83"/>
      <c r="H28162" s="83"/>
      <c r="K28162" s="82"/>
      <c r="M28162" s="112"/>
      <c r="N28162" s="84"/>
    </row>
    <row r="28163" spans="1:14" s="2" customFormat="1">
      <c r="A28163" s="83"/>
      <c r="H28163" s="83"/>
      <c r="K28163" s="82"/>
      <c r="M28163" s="112"/>
      <c r="N28163" s="84"/>
    </row>
    <row r="28164" spans="1:14" s="2" customFormat="1">
      <c r="A28164" s="83"/>
      <c r="H28164" s="83"/>
      <c r="K28164" s="82"/>
      <c r="M28164" s="112"/>
      <c r="N28164" s="84"/>
    </row>
    <row r="28165" spans="1:14" s="2" customFormat="1">
      <c r="A28165" s="83"/>
      <c r="H28165" s="83"/>
      <c r="K28165" s="82"/>
      <c r="M28165" s="112"/>
      <c r="N28165" s="84"/>
    </row>
    <row r="28166" spans="1:14" s="2" customFormat="1">
      <c r="A28166" s="83"/>
      <c r="H28166" s="83"/>
      <c r="K28166" s="82"/>
      <c r="M28166" s="112"/>
      <c r="N28166" s="84"/>
    </row>
    <row r="28167" spans="1:14" s="2" customFormat="1">
      <c r="A28167" s="83"/>
      <c r="H28167" s="83"/>
      <c r="K28167" s="82"/>
      <c r="M28167" s="112"/>
      <c r="N28167" s="84"/>
    </row>
    <row r="28168" spans="1:14" s="2" customFormat="1">
      <c r="A28168" s="83"/>
      <c r="H28168" s="83"/>
      <c r="K28168" s="82"/>
      <c r="M28168" s="112"/>
      <c r="N28168" s="84"/>
    </row>
    <row r="28169" spans="1:14" s="2" customFormat="1">
      <c r="A28169" s="83"/>
      <c r="H28169" s="83"/>
      <c r="K28169" s="82"/>
      <c r="M28169" s="112"/>
      <c r="N28169" s="84"/>
    </row>
    <row r="28170" spans="1:14" s="2" customFormat="1">
      <c r="A28170" s="83"/>
      <c r="H28170" s="83"/>
      <c r="K28170" s="82"/>
      <c r="M28170" s="112"/>
      <c r="N28170" s="84"/>
    </row>
    <row r="28171" spans="1:14" s="2" customFormat="1">
      <c r="A28171" s="83"/>
      <c r="H28171" s="83"/>
      <c r="K28171" s="82"/>
      <c r="M28171" s="112"/>
      <c r="N28171" s="84"/>
    </row>
    <row r="28172" spans="1:14" s="2" customFormat="1">
      <c r="A28172" s="83"/>
      <c r="H28172" s="83"/>
      <c r="K28172" s="82"/>
      <c r="M28172" s="112"/>
      <c r="N28172" s="84"/>
    </row>
    <row r="28173" spans="1:14" s="2" customFormat="1">
      <c r="A28173" s="83"/>
      <c r="H28173" s="83"/>
      <c r="K28173" s="82"/>
      <c r="M28173" s="112"/>
      <c r="N28173" s="84"/>
    </row>
    <row r="28174" spans="1:14" s="2" customFormat="1">
      <c r="A28174" s="83"/>
      <c r="H28174" s="83"/>
      <c r="K28174" s="82"/>
      <c r="M28174" s="112"/>
      <c r="N28174" s="84"/>
    </row>
    <row r="28175" spans="1:14" s="2" customFormat="1">
      <c r="A28175" s="83"/>
      <c r="H28175" s="83"/>
      <c r="K28175" s="82"/>
      <c r="M28175" s="112"/>
      <c r="N28175" s="84"/>
    </row>
    <row r="28176" spans="1:14" s="2" customFormat="1">
      <c r="A28176" s="83"/>
      <c r="H28176" s="83"/>
      <c r="K28176" s="82"/>
      <c r="M28176" s="112"/>
      <c r="N28176" s="84"/>
    </row>
    <row r="28177" spans="1:14" s="2" customFormat="1">
      <c r="A28177" s="83"/>
      <c r="H28177" s="83"/>
      <c r="K28177" s="82"/>
      <c r="M28177" s="112"/>
      <c r="N28177" s="84"/>
    </row>
    <row r="28178" spans="1:14" s="2" customFormat="1">
      <c r="A28178" s="83"/>
      <c r="H28178" s="83"/>
      <c r="K28178" s="82"/>
      <c r="M28178" s="112"/>
      <c r="N28178" s="84"/>
    </row>
    <row r="28179" spans="1:14" s="2" customFormat="1">
      <c r="A28179" s="83"/>
      <c r="H28179" s="83"/>
      <c r="K28179" s="82"/>
      <c r="M28179" s="112"/>
      <c r="N28179" s="84"/>
    </row>
    <row r="28180" spans="1:14" s="2" customFormat="1">
      <c r="A28180" s="83"/>
      <c r="H28180" s="83"/>
      <c r="K28180" s="82"/>
      <c r="M28180" s="112"/>
      <c r="N28180" s="84"/>
    </row>
    <row r="28181" spans="1:14" s="2" customFormat="1">
      <c r="A28181" s="83"/>
      <c r="H28181" s="83"/>
      <c r="K28181" s="82"/>
      <c r="M28181" s="112"/>
      <c r="N28181" s="84"/>
    </row>
    <row r="28182" spans="1:14" s="2" customFormat="1">
      <c r="A28182" s="83"/>
      <c r="H28182" s="83"/>
      <c r="K28182" s="82"/>
      <c r="M28182" s="112"/>
      <c r="N28182" s="84"/>
    </row>
    <row r="28183" spans="1:14" s="2" customFormat="1">
      <c r="A28183" s="83"/>
      <c r="H28183" s="83"/>
      <c r="K28183" s="82"/>
      <c r="M28183" s="112"/>
      <c r="N28183" s="84"/>
    </row>
    <row r="28184" spans="1:14" s="2" customFormat="1">
      <c r="A28184" s="83"/>
      <c r="H28184" s="83"/>
      <c r="K28184" s="82"/>
      <c r="M28184" s="112"/>
      <c r="N28184" s="84"/>
    </row>
    <row r="28185" spans="1:14" s="2" customFormat="1">
      <c r="A28185" s="83"/>
      <c r="H28185" s="83"/>
      <c r="K28185" s="82"/>
      <c r="M28185" s="112"/>
      <c r="N28185" s="84"/>
    </row>
    <row r="28186" spans="1:14" s="2" customFormat="1">
      <c r="A28186" s="83"/>
      <c r="H28186" s="83"/>
      <c r="K28186" s="82"/>
      <c r="M28186" s="112"/>
      <c r="N28186" s="84"/>
    </row>
    <row r="28187" spans="1:14" s="2" customFormat="1">
      <c r="A28187" s="83"/>
      <c r="H28187" s="83"/>
      <c r="K28187" s="82"/>
      <c r="M28187" s="112"/>
      <c r="N28187" s="84"/>
    </row>
    <row r="28188" spans="1:14" s="2" customFormat="1">
      <c r="A28188" s="83"/>
      <c r="H28188" s="83"/>
      <c r="K28188" s="82"/>
      <c r="M28188" s="112"/>
      <c r="N28188" s="84"/>
    </row>
    <row r="28189" spans="1:14" s="2" customFormat="1">
      <c r="A28189" s="83"/>
      <c r="H28189" s="83"/>
      <c r="K28189" s="82"/>
      <c r="M28189" s="112"/>
      <c r="N28189" s="84"/>
    </row>
    <row r="28190" spans="1:14" s="2" customFormat="1">
      <c r="A28190" s="83"/>
      <c r="H28190" s="83"/>
      <c r="K28190" s="82"/>
      <c r="M28190" s="112"/>
      <c r="N28190" s="84"/>
    </row>
    <row r="28191" spans="1:14" s="2" customFormat="1">
      <c r="A28191" s="83"/>
      <c r="H28191" s="83"/>
      <c r="K28191" s="82"/>
      <c r="M28191" s="112"/>
      <c r="N28191" s="84"/>
    </row>
    <row r="28192" spans="1:14" s="2" customFormat="1">
      <c r="A28192" s="83"/>
      <c r="H28192" s="83"/>
      <c r="K28192" s="82"/>
      <c r="M28192" s="112"/>
      <c r="N28192" s="84"/>
    </row>
    <row r="28193" spans="1:14" s="2" customFormat="1">
      <c r="A28193" s="83"/>
      <c r="H28193" s="83"/>
      <c r="K28193" s="82"/>
      <c r="M28193" s="112"/>
      <c r="N28193" s="84"/>
    </row>
    <row r="28194" spans="1:14" s="2" customFormat="1">
      <c r="A28194" s="83"/>
      <c r="H28194" s="83"/>
      <c r="K28194" s="82"/>
      <c r="M28194" s="112"/>
      <c r="N28194" s="84"/>
    </row>
    <row r="28195" spans="1:14" s="2" customFormat="1">
      <c r="A28195" s="83"/>
      <c r="H28195" s="83"/>
      <c r="K28195" s="82"/>
      <c r="M28195" s="112"/>
      <c r="N28195" s="84"/>
    </row>
    <row r="28196" spans="1:14" s="2" customFormat="1">
      <c r="A28196" s="83"/>
      <c r="H28196" s="83"/>
      <c r="K28196" s="82"/>
      <c r="M28196" s="112"/>
      <c r="N28196" s="84"/>
    </row>
    <row r="28197" spans="1:14" s="2" customFormat="1">
      <c r="A28197" s="83"/>
      <c r="H28197" s="83"/>
      <c r="K28197" s="82"/>
      <c r="M28197" s="112"/>
      <c r="N28197" s="84"/>
    </row>
    <row r="28198" spans="1:14" s="2" customFormat="1">
      <c r="A28198" s="83"/>
      <c r="H28198" s="83"/>
      <c r="K28198" s="82"/>
      <c r="M28198" s="112"/>
      <c r="N28198" s="84"/>
    </row>
    <row r="28199" spans="1:14" s="2" customFormat="1">
      <c r="A28199" s="83"/>
      <c r="H28199" s="83"/>
      <c r="K28199" s="82"/>
      <c r="M28199" s="112"/>
      <c r="N28199" s="84"/>
    </row>
    <row r="28200" spans="1:14" s="2" customFormat="1">
      <c r="A28200" s="83"/>
      <c r="H28200" s="83"/>
      <c r="K28200" s="82"/>
      <c r="M28200" s="112"/>
      <c r="N28200" s="84"/>
    </row>
    <row r="28201" spans="1:14" s="2" customFormat="1">
      <c r="A28201" s="83"/>
      <c r="H28201" s="83"/>
      <c r="K28201" s="82"/>
      <c r="M28201" s="112"/>
      <c r="N28201" s="84"/>
    </row>
    <row r="28202" spans="1:14" s="2" customFormat="1">
      <c r="A28202" s="83"/>
      <c r="H28202" s="83"/>
      <c r="K28202" s="82"/>
      <c r="M28202" s="112"/>
      <c r="N28202" s="84"/>
    </row>
    <row r="28203" spans="1:14" s="2" customFormat="1">
      <c r="A28203" s="83"/>
      <c r="H28203" s="83"/>
      <c r="K28203" s="82"/>
      <c r="M28203" s="112"/>
      <c r="N28203" s="84"/>
    </row>
    <row r="28204" spans="1:14" s="2" customFormat="1">
      <c r="A28204" s="83"/>
      <c r="H28204" s="83"/>
      <c r="K28204" s="82"/>
      <c r="M28204" s="112"/>
      <c r="N28204" s="84"/>
    </row>
    <row r="28205" spans="1:14" s="2" customFormat="1">
      <c r="A28205" s="83"/>
      <c r="H28205" s="83"/>
      <c r="K28205" s="82"/>
      <c r="M28205" s="112"/>
      <c r="N28205" s="84"/>
    </row>
    <row r="28206" spans="1:14" s="2" customFormat="1">
      <c r="A28206" s="83"/>
      <c r="H28206" s="83"/>
      <c r="K28206" s="82"/>
      <c r="M28206" s="112"/>
      <c r="N28206" s="84"/>
    </row>
    <row r="28207" spans="1:14" s="2" customFormat="1">
      <c r="A28207" s="83"/>
      <c r="H28207" s="83"/>
      <c r="K28207" s="82"/>
      <c r="M28207" s="112"/>
      <c r="N28207" s="84"/>
    </row>
    <row r="28208" spans="1:14" s="2" customFormat="1">
      <c r="A28208" s="83"/>
      <c r="H28208" s="83"/>
      <c r="K28208" s="82"/>
      <c r="M28208" s="112"/>
      <c r="N28208" s="84"/>
    </row>
    <row r="28209" spans="1:14" s="2" customFormat="1">
      <c r="A28209" s="83"/>
      <c r="H28209" s="83"/>
      <c r="K28209" s="82"/>
      <c r="M28209" s="112"/>
      <c r="N28209" s="84"/>
    </row>
    <row r="28210" spans="1:14" s="2" customFormat="1">
      <c r="A28210" s="83"/>
      <c r="H28210" s="83"/>
      <c r="K28210" s="82"/>
      <c r="M28210" s="112"/>
      <c r="N28210" s="84"/>
    </row>
    <row r="28211" spans="1:14" s="2" customFormat="1">
      <c r="A28211" s="83"/>
      <c r="H28211" s="83"/>
      <c r="K28211" s="82"/>
      <c r="M28211" s="112"/>
      <c r="N28211" s="84"/>
    </row>
    <row r="28212" spans="1:14" s="2" customFormat="1">
      <c r="A28212" s="83"/>
      <c r="H28212" s="83"/>
      <c r="K28212" s="82"/>
      <c r="M28212" s="112"/>
      <c r="N28212" s="84"/>
    </row>
    <row r="28213" spans="1:14" s="2" customFormat="1">
      <c r="A28213" s="83"/>
      <c r="H28213" s="83"/>
      <c r="K28213" s="82"/>
      <c r="M28213" s="112"/>
      <c r="N28213" s="84"/>
    </row>
    <row r="28214" spans="1:14" s="2" customFormat="1">
      <c r="A28214" s="83"/>
      <c r="H28214" s="83"/>
      <c r="K28214" s="82"/>
      <c r="M28214" s="112"/>
      <c r="N28214" s="84"/>
    </row>
    <row r="28215" spans="1:14" s="2" customFormat="1">
      <c r="A28215" s="83"/>
      <c r="H28215" s="83"/>
      <c r="K28215" s="82"/>
      <c r="M28215" s="112"/>
      <c r="N28215" s="84"/>
    </row>
    <row r="28216" spans="1:14" s="2" customFormat="1">
      <c r="A28216" s="83"/>
      <c r="H28216" s="83"/>
      <c r="K28216" s="82"/>
      <c r="M28216" s="112"/>
      <c r="N28216" s="84"/>
    </row>
    <row r="28217" spans="1:14" s="2" customFormat="1">
      <c r="A28217" s="83"/>
      <c r="H28217" s="83"/>
      <c r="K28217" s="82"/>
      <c r="M28217" s="112"/>
      <c r="N28217" s="84"/>
    </row>
    <row r="28218" spans="1:14" s="2" customFormat="1">
      <c r="A28218" s="83"/>
      <c r="H28218" s="83"/>
      <c r="K28218" s="82"/>
      <c r="M28218" s="112"/>
      <c r="N28218" s="84"/>
    </row>
    <row r="28219" spans="1:14" s="2" customFormat="1">
      <c r="A28219" s="83"/>
      <c r="H28219" s="83"/>
      <c r="K28219" s="82"/>
      <c r="M28219" s="112"/>
      <c r="N28219" s="84"/>
    </row>
    <row r="28220" spans="1:14" s="2" customFormat="1">
      <c r="A28220" s="83"/>
      <c r="H28220" s="83"/>
      <c r="K28220" s="82"/>
      <c r="M28220" s="112"/>
      <c r="N28220" s="84"/>
    </row>
    <row r="28221" spans="1:14" s="2" customFormat="1">
      <c r="A28221" s="83"/>
      <c r="H28221" s="83"/>
      <c r="K28221" s="82"/>
      <c r="M28221" s="112"/>
      <c r="N28221" s="84"/>
    </row>
    <row r="28222" spans="1:14" s="2" customFormat="1">
      <c r="A28222" s="83"/>
      <c r="H28222" s="83"/>
      <c r="K28222" s="82"/>
      <c r="M28222" s="112"/>
      <c r="N28222" s="84"/>
    </row>
    <row r="28223" spans="1:14" s="2" customFormat="1">
      <c r="A28223" s="83"/>
      <c r="H28223" s="83"/>
      <c r="K28223" s="82"/>
      <c r="M28223" s="112"/>
      <c r="N28223" s="84"/>
    </row>
    <row r="28224" spans="1:14" s="2" customFormat="1">
      <c r="A28224" s="83"/>
      <c r="H28224" s="83"/>
      <c r="K28224" s="82"/>
      <c r="M28224" s="112"/>
      <c r="N28224" s="84"/>
    </row>
    <row r="28225" spans="1:14" s="2" customFormat="1">
      <c r="A28225" s="83"/>
      <c r="H28225" s="83"/>
      <c r="K28225" s="82"/>
      <c r="M28225" s="112"/>
      <c r="N28225" s="84"/>
    </row>
    <row r="28226" spans="1:14" s="2" customFormat="1">
      <c r="A28226" s="83"/>
      <c r="H28226" s="83"/>
      <c r="K28226" s="82"/>
      <c r="M28226" s="112"/>
      <c r="N28226" s="84"/>
    </row>
    <row r="28227" spans="1:14" s="2" customFormat="1">
      <c r="A28227" s="83"/>
      <c r="H28227" s="83"/>
      <c r="K28227" s="82"/>
      <c r="M28227" s="112"/>
      <c r="N28227" s="84"/>
    </row>
    <row r="28228" spans="1:14" s="2" customFormat="1">
      <c r="A28228" s="83"/>
      <c r="H28228" s="83"/>
      <c r="K28228" s="82"/>
      <c r="M28228" s="112"/>
      <c r="N28228" s="84"/>
    </row>
    <row r="28229" spans="1:14" s="2" customFormat="1">
      <c r="A28229" s="83"/>
      <c r="H28229" s="83"/>
      <c r="K28229" s="82"/>
      <c r="M28229" s="112"/>
      <c r="N28229" s="84"/>
    </row>
    <row r="28230" spans="1:14" s="2" customFormat="1">
      <c r="A28230" s="83"/>
      <c r="H28230" s="83"/>
      <c r="K28230" s="82"/>
      <c r="M28230" s="112"/>
      <c r="N28230" s="84"/>
    </row>
    <row r="28231" spans="1:14" s="2" customFormat="1">
      <c r="A28231" s="83"/>
      <c r="H28231" s="83"/>
      <c r="K28231" s="82"/>
      <c r="M28231" s="112"/>
      <c r="N28231" s="84"/>
    </row>
    <row r="28232" spans="1:14" s="2" customFormat="1">
      <c r="A28232" s="83"/>
      <c r="H28232" s="83"/>
      <c r="K28232" s="82"/>
      <c r="M28232" s="112"/>
      <c r="N28232" s="84"/>
    </row>
    <row r="28233" spans="1:14" s="2" customFormat="1">
      <c r="A28233" s="83"/>
      <c r="H28233" s="83"/>
      <c r="K28233" s="82"/>
      <c r="M28233" s="112"/>
      <c r="N28233" s="84"/>
    </row>
    <row r="28234" spans="1:14" s="2" customFormat="1">
      <c r="A28234" s="83"/>
      <c r="H28234" s="83"/>
      <c r="K28234" s="82"/>
      <c r="M28234" s="112"/>
      <c r="N28234" s="84"/>
    </row>
    <row r="28235" spans="1:14" s="2" customFormat="1">
      <c r="A28235" s="83"/>
      <c r="H28235" s="83"/>
      <c r="K28235" s="82"/>
      <c r="M28235" s="112"/>
      <c r="N28235" s="84"/>
    </row>
    <row r="28236" spans="1:14" s="2" customFormat="1">
      <c r="A28236" s="83"/>
      <c r="H28236" s="83"/>
      <c r="K28236" s="82"/>
      <c r="M28236" s="112"/>
      <c r="N28236" s="84"/>
    </row>
    <row r="28237" spans="1:14" s="2" customFormat="1">
      <c r="A28237" s="83"/>
      <c r="H28237" s="83"/>
      <c r="K28237" s="82"/>
      <c r="M28237" s="112"/>
      <c r="N28237" s="84"/>
    </row>
    <row r="28238" spans="1:14" s="2" customFormat="1">
      <c r="A28238" s="83"/>
      <c r="H28238" s="83"/>
      <c r="K28238" s="82"/>
      <c r="M28238" s="112"/>
      <c r="N28238" s="84"/>
    </row>
    <row r="28239" spans="1:14" s="2" customFormat="1">
      <c r="A28239" s="83"/>
      <c r="H28239" s="83"/>
      <c r="K28239" s="82"/>
      <c r="M28239" s="112"/>
      <c r="N28239" s="84"/>
    </row>
    <row r="28240" spans="1:14" s="2" customFormat="1">
      <c r="A28240" s="83"/>
      <c r="H28240" s="83"/>
      <c r="K28240" s="82"/>
      <c r="M28240" s="112"/>
      <c r="N28240" s="84"/>
    </row>
    <row r="28241" spans="1:14" s="2" customFormat="1">
      <c r="A28241" s="83"/>
      <c r="H28241" s="83"/>
      <c r="K28241" s="82"/>
      <c r="M28241" s="112"/>
      <c r="N28241" s="84"/>
    </row>
    <row r="28242" spans="1:14" s="2" customFormat="1">
      <c r="A28242" s="83"/>
      <c r="H28242" s="83"/>
      <c r="K28242" s="82"/>
      <c r="M28242" s="112"/>
      <c r="N28242" s="84"/>
    </row>
    <row r="28243" spans="1:14" s="2" customFormat="1">
      <c r="A28243" s="83"/>
      <c r="H28243" s="83"/>
      <c r="K28243" s="82"/>
      <c r="M28243" s="112"/>
      <c r="N28243" s="84"/>
    </row>
    <row r="28244" spans="1:14" s="2" customFormat="1">
      <c r="A28244" s="83"/>
      <c r="H28244" s="83"/>
      <c r="K28244" s="82"/>
      <c r="M28244" s="112"/>
      <c r="N28244" s="84"/>
    </row>
    <row r="28245" spans="1:14" s="2" customFormat="1">
      <c r="A28245" s="83"/>
      <c r="H28245" s="83"/>
      <c r="K28245" s="82"/>
      <c r="M28245" s="112"/>
      <c r="N28245" s="84"/>
    </row>
    <row r="28246" spans="1:14" s="2" customFormat="1">
      <c r="A28246" s="83"/>
      <c r="H28246" s="83"/>
      <c r="K28246" s="82"/>
      <c r="M28246" s="112"/>
      <c r="N28246" s="84"/>
    </row>
    <row r="28247" spans="1:14" s="2" customFormat="1">
      <c r="A28247" s="83"/>
      <c r="H28247" s="83"/>
      <c r="K28247" s="82"/>
      <c r="M28247" s="112"/>
      <c r="N28247" s="84"/>
    </row>
    <row r="28248" spans="1:14" s="2" customFormat="1">
      <c r="A28248" s="83"/>
      <c r="H28248" s="83"/>
      <c r="K28248" s="82"/>
      <c r="M28248" s="112"/>
      <c r="N28248" s="84"/>
    </row>
    <row r="28249" spans="1:14" s="2" customFormat="1">
      <c r="A28249" s="83"/>
      <c r="H28249" s="83"/>
      <c r="K28249" s="82"/>
      <c r="M28249" s="112"/>
      <c r="N28249" s="84"/>
    </row>
    <row r="28250" spans="1:14" s="2" customFormat="1">
      <c r="A28250" s="83"/>
      <c r="H28250" s="83"/>
      <c r="K28250" s="82"/>
      <c r="M28250" s="112"/>
      <c r="N28250" s="84"/>
    </row>
    <row r="28251" spans="1:14" s="2" customFormat="1">
      <c r="A28251" s="83"/>
      <c r="H28251" s="83"/>
      <c r="K28251" s="82"/>
      <c r="M28251" s="112"/>
      <c r="N28251" s="84"/>
    </row>
    <row r="28252" spans="1:14" s="2" customFormat="1">
      <c r="A28252" s="83"/>
      <c r="H28252" s="83"/>
      <c r="K28252" s="82"/>
      <c r="M28252" s="112"/>
      <c r="N28252" s="84"/>
    </row>
    <row r="28253" spans="1:14" s="2" customFormat="1">
      <c r="A28253" s="83"/>
      <c r="H28253" s="83"/>
      <c r="K28253" s="82"/>
      <c r="M28253" s="112"/>
      <c r="N28253" s="84"/>
    </row>
    <row r="28254" spans="1:14" s="2" customFormat="1">
      <c r="A28254" s="83"/>
      <c r="H28254" s="83"/>
      <c r="K28254" s="82"/>
      <c r="M28254" s="112"/>
      <c r="N28254" s="84"/>
    </row>
    <row r="28255" spans="1:14" s="2" customFormat="1">
      <c r="A28255" s="83"/>
      <c r="H28255" s="83"/>
      <c r="K28255" s="82"/>
      <c r="M28255" s="112"/>
      <c r="N28255" s="84"/>
    </row>
    <row r="28256" spans="1:14" s="2" customFormat="1">
      <c r="A28256" s="83"/>
      <c r="H28256" s="83"/>
      <c r="K28256" s="82"/>
      <c r="M28256" s="112"/>
      <c r="N28256" s="84"/>
    </row>
    <row r="28257" spans="1:14" s="2" customFormat="1">
      <c r="A28257" s="83"/>
      <c r="H28257" s="83"/>
      <c r="K28257" s="82"/>
      <c r="M28257" s="112"/>
      <c r="N28257" s="84"/>
    </row>
    <row r="28258" spans="1:14" s="2" customFormat="1">
      <c r="A28258" s="83"/>
      <c r="H28258" s="83"/>
      <c r="K28258" s="82"/>
      <c r="M28258" s="112"/>
      <c r="N28258" s="84"/>
    </row>
    <row r="28259" spans="1:14" s="2" customFormat="1">
      <c r="A28259" s="83"/>
      <c r="H28259" s="83"/>
      <c r="K28259" s="82"/>
      <c r="M28259" s="112"/>
      <c r="N28259" s="84"/>
    </row>
    <row r="28260" spans="1:14" s="2" customFormat="1">
      <c r="A28260" s="83"/>
      <c r="H28260" s="83"/>
      <c r="K28260" s="82"/>
      <c r="M28260" s="112"/>
      <c r="N28260" s="84"/>
    </row>
    <row r="28261" spans="1:14" s="2" customFormat="1">
      <c r="A28261" s="83"/>
      <c r="H28261" s="83"/>
      <c r="K28261" s="82"/>
      <c r="M28261" s="112"/>
      <c r="N28261" s="84"/>
    </row>
    <row r="28262" spans="1:14" s="2" customFormat="1">
      <c r="A28262" s="83"/>
      <c r="H28262" s="83"/>
      <c r="K28262" s="82"/>
      <c r="M28262" s="112"/>
      <c r="N28262" s="84"/>
    </row>
    <row r="28263" spans="1:14" s="2" customFormat="1">
      <c r="A28263" s="83"/>
      <c r="H28263" s="83"/>
      <c r="K28263" s="82"/>
      <c r="M28263" s="112"/>
      <c r="N28263" s="84"/>
    </row>
    <row r="28264" spans="1:14" s="2" customFormat="1">
      <c r="A28264" s="83"/>
      <c r="H28264" s="83"/>
      <c r="K28264" s="82"/>
      <c r="M28264" s="112"/>
      <c r="N28264" s="84"/>
    </row>
    <row r="28265" spans="1:14" s="2" customFormat="1">
      <c r="A28265" s="83"/>
      <c r="H28265" s="83"/>
      <c r="K28265" s="82"/>
      <c r="M28265" s="112"/>
      <c r="N28265" s="84"/>
    </row>
    <row r="28266" spans="1:14" s="2" customFormat="1">
      <c r="A28266" s="83"/>
      <c r="H28266" s="83"/>
      <c r="K28266" s="82"/>
      <c r="M28266" s="112"/>
      <c r="N28266" s="84"/>
    </row>
    <row r="28267" spans="1:14" s="2" customFormat="1">
      <c r="A28267" s="83"/>
      <c r="H28267" s="83"/>
      <c r="K28267" s="82"/>
      <c r="M28267" s="112"/>
      <c r="N28267" s="84"/>
    </row>
    <row r="28268" spans="1:14" s="2" customFormat="1">
      <c r="A28268" s="83"/>
      <c r="H28268" s="83"/>
      <c r="K28268" s="82"/>
      <c r="M28268" s="112"/>
      <c r="N28268" s="84"/>
    </row>
    <row r="28269" spans="1:14" s="2" customFormat="1">
      <c r="A28269" s="83"/>
      <c r="H28269" s="83"/>
      <c r="K28269" s="82"/>
      <c r="M28269" s="112"/>
      <c r="N28269" s="84"/>
    </row>
    <row r="28270" spans="1:14" s="2" customFormat="1">
      <c r="A28270" s="83"/>
      <c r="H28270" s="83"/>
      <c r="K28270" s="82"/>
      <c r="M28270" s="112"/>
      <c r="N28270" s="84"/>
    </row>
    <row r="28271" spans="1:14" s="2" customFormat="1">
      <c r="A28271" s="83"/>
      <c r="H28271" s="83"/>
      <c r="K28271" s="82"/>
      <c r="M28271" s="112"/>
      <c r="N28271" s="84"/>
    </row>
    <row r="28272" spans="1:14" s="2" customFormat="1">
      <c r="A28272" s="83"/>
      <c r="H28272" s="83"/>
      <c r="K28272" s="82"/>
      <c r="M28272" s="112"/>
      <c r="N28272" s="84"/>
    </row>
    <row r="28273" spans="1:14" s="2" customFormat="1">
      <c r="A28273" s="83"/>
      <c r="H28273" s="83"/>
      <c r="K28273" s="82"/>
      <c r="M28273" s="112"/>
      <c r="N28273" s="84"/>
    </row>
    <row r="28274" spans="1:14" s="2" customFormat="1">
      <c r="A28274" s="83"/>
      <c r="H28274" s="83"/>
      <c r="K28274" s="82"/>
      <c r="M28274" s="112"/>
      <c r="N28274" s="84"/>
    </row>
    <row r="28275" spans="1:14" s="2" customFormat="1">
      <c r="A28275" s="83"/>
      <c r="H28275" s="83"/>
      <c r="K28275" s="82"/>
      <c r="M28275" s="112"/>
      <c r="N28275" s="84"/>
    </row>
    <row r="28276" spans="1:14" s="2" customFormat="1">
      <c r="A28276" s="83"/>
      <c r="H28276" s="83"/>
      <c r="K28276" s="82"/>
      <c r="M28276" s="112"/>
      <c r="N28276" s="84"/>
    </row>
    <row r="28277" spans="1:14" s="2" customFormat="1">
      <c r="A28277" s="83"/>
      <c r="H28277" s="83"/>
      <c r="K28277" s="82"/>
      <c r="M28277" s="112"/>
      <c r="N28277" s="84"/>
    </row>
    <row r="28278" spans="1:14" s="2" customFormat="1">
      <c r="A28278" s="83"/>
      <c r="H28278" s="83"/>
      <c r="K28278" s="82"/>
      <c r="M28278" s="112"/>
      <c r="N28278" s="84"/>
    </row>
    <row r="28279" spans="1:14" s="2" customFormat="1">
      <c r="A28279" s="83"/>
      <c r="H28279" s="83"/>
      <c r="K28279" s="82"/>
      <c r="M28279" s="112"/>
      <c r="N28279" s="84"/>
    </row>
    <row r="28280" spans="1:14" s="2" customFormat="1">
      <c r="A28280" s="83"/>
      <c r="H28280" s="83"/>
      <c r="K28280" s="82"/>
      <c r="M28280" s="112"/>
      <c r="N28280" s="84"/>
    </row>
    <row r="28281" spans="1:14" s="2" customFormat="1">
      <c r="A28281" s="83"/>
      <c r="H28281" s="83"/>
      <c r="K28281" s="82"/>
      <c r="M28281" s="112"/>
      <c r="N28281" s="84"/>
    </row>
    <row r="28282" spans="1:14" s="2" customFormat="1">
      <c r="A28282" s="83"/>
      <c r="H28282" s="83"/>
      <c r="K28282" s="82"/>
      <c r="M28282" s="112"/>
      <c r="N28282" s="84"/>
    </row>
    <row r="28283" spans="1:14" s="2" customFormat="1">
      <c r="A28283" s="83"/>
      <c r="H28283" s="83"/>
      <c r="K28283" s="82"/>
      <c r="M28283" s="112"/>
      <c r="N28283" s="84"/>
    </row>
    <row r="28284" spans="1:14" s="2" customFormat="1">
      <c r="A28284" s="83"/>
      <c r="H28284" s="83"/>
      <c r="K28284" s="82"/>
      <c r="M28284" s="112"/>
      <c r="N28284" s="84"/>
    </row>
    <row r="28285" spans="1:14" s="2" customFormat="1">
      <c r="A28285" s="83"/>
      <c r="H28285" s="83"/>
      <c r="K28285" s="82"/>
      <c r="M28285" s="112"/>
      <c r="N28285" s="84"/>
    </row>
    <row r="28286" spans="1:14" s="2" customFormat="1">
      <c r="A28286" s="83"/>
      <c r="H28286" s="83"/>
      <c r="K28286" s="82"/>
      <c r="M28286" s="112"/>
      <c r="N28286" s="84"/>
    </row>
    <row r="28287" spans="1:14" s="2" customFormat="1">
      <c r="A28287" s="83"/>
      <c r="H28287" s="83"/>
      <c r="K28287" s="82"/>
      <c r="M28287" s="112"/>
      <c r="N28287" s="84"/>
    </row>
    <row r="28288" spans="1:14" s="2" customFormat="1">
      <c r="A28288" s="83"/>
      <c r="H28288" s="83"/>
      <c r="K28288" s="82"/>
      <c r="M28288" s="112"/>
      <c r="N28288" s="84"/>
    </row>
    <row r="28289" spans="1:14" s="2" customFormat="1">
      <c r="A28289" s="83"/>
      <c r="H28289" s="83"/>
      <c r="K28289" s="82"/>
      <c r="M28289" s="112"/>
      <c r="N28289" s="84"/>
    </row>
    <row r="28290" spans="1:14" s="2" customFormat="1">
      <c r="A28290" s="83"/>
      <c r="H28290" s="83"/>
      <c r="K28290" s="82"/>
      <c r="M28290" s="112"/>
      <c r="N28290" s="84"/>
    </row>
    <row r="28291" spans="1:14" s="2" customFormat="1">
      <c r="A28291" s="83"/>
      <c r="H28291" s="83"/>
      <c r="K28291" s="82"/>
      <c r="M28291" s="112"/>
      <c r="N28291" s="84"/>
    </row>
    <row r="28292" spans="1:14" s="2" customFormat="1">
      <c r="A28292" s="83"/>
      <c r="H28292" s="83"/>
      <c r="K28292" s="82"/>
      <c r="M28292" s="112"/>
      <c r="N28292" s="84"/>
    </row>
    <row r="28293" spans="1:14" s="2" customFormat="1">
      <c r="A28293" s="83"/>
      <c r="H28293" s="83"/>
      <c r="K28293" s="82"/>
      <c r="M28293" s="112"/>
      <c r="N28293" s="84"/>
    </row>
    <row r="28294" spans="1:14" s="2" customFormat="1">
      <c r="A28294" s="83"/>
      <c r="H28294" s="83"/>
      <c r="K28294" s="82"/>
      <c r="M28294" s="112"/>
      <c r="N28294" s="84"/>
    </row>
    <row r="28295" spans="1:14" s="2" customFormat="1">
      <c r="A28295" s="83"/>
      <c r="H28295" s="83"/>
      <c r="K28295" s="82"/>
      <c r="M28295" s="112"/>
      <c r="N28295" s="84"/>
    </row>
    <row r="28296" spans="1:14" s="2" customFormat="1">
      <c r="A28296" s="83"/>
      <c r="H28296" s="83"/>
      <c r="K28296" s="82"/>
      <c r="M28296" s="112"/>
      <c r="N28296" s="84"/>
    </row>
    <row r="28297" spans="1:14" s="2" customFormat="1">
      <c r="A28297" s="83"/>
      <c r="H28297" s="83"/>
      <c r="K28297" s="82"/>
      <c r="M28297" s="112"/>
      <c r="N28297" s="84"/>
    </row>
    <row r="28298" spans="1:14" s="2" customFormat="1">
      <c r="A28298" s="83"/>
      <c r="H28298" s="83"/>
      <c r="K28298" s="82"/>
      <c r="M28298" s="112"/>
      <c r="N28298" s="84"/>
    </row>
    <row r="28299" spans="1:14" s="2" customFormat="1">
      <c r="A28299" s="83"/>
      <c r="H28299" s="83"/>
      <c r="K28299" s="82"/>
      <c r="M28299" s="112"/>
      <c r="N28299" s="84"/>
    </row>
    <row r="28300" spans="1:14" s="2" customFormat="1">
      <c r="A28300" s="83"/>
      <c r="H28300" s="83"/>
      <c r="K28300" s="82"/>
      <c r="M28300" s="112"/>
      <c r="N28300" s="84"/>
    </row>
    <row r="28301" spans="1:14" s="2" customFormat="1">
      <c r="A28301" s="83"/>
      <c r="H28301" s="83"/>
      <c r="K28301" s="82"/>
      <c r="M28301" s="112"/>
      <c r="N28301" s="84"/>
    </row>
    <row r="28302" spans="1:14" s="2" customFormat="1">
      <c r="A28302" s="83"/>
      <c r="H28302" s="83"/>
      <c r="K28302" s="82"/>
      <c r="M28302" s="112"/>
      <c r="N28302" s="84"/>
    </row>
    <row r="28303" spans="1:14" s="2" customFormat="1">
      <c r="A28303" s="83"/>
      <c r="H28303" s="83"/>
      <c r="K28303" s="82"/>
      <c r="M28303" s="112"/>
      <c r="N28303" s="84"/>
    </row>
    <row r="28304" spans="1:14" s="2" customFormat="1">
      <c r="A28304" s="83"/>
      <c r="H28304" s="83"/>
      <c r="K28304" s="82"/>
      <c r="M28304" s="112"/>
      <c r="N28304" s="84"/>
    </row>
    <row r="28305" spans="1:14" s="2" customFormat="1">
      <c r="A28305" s="83"/>
      <c r="H28305" s="83"/>
      <c r="K28305" s="82"/>
      <c r="M28305" s="112"/>
      <c r="N28305" s="84"/>
    </row>
    <row r="28306" spans="1:14" s="2" customFormat="1">
      <c r="A28306" s="83"/>
      <c r="H28306" s="83"/>
      <c r="K28306" s="82"/>
      <c r="M28306" s="112"/>
      <c r="N28306" s="84"/>
    </row>
    <row r="28307" spans="1:14" s="2" customFormat="1">
      <c r="A28307" s="83"/>
      <c r="H28307" s="83"/>
      <c r="K28307" s="82"/>
      <c r="M28307" s="112"/>
      <c r="N28307" s="84"/>
    </row>
    <row r="28308" spans="1:14" s="2" customFormat="1">
      <c r="A28308" s="83"/>
      <c r="H28308" s="83"/>
      <c r="K28308" s="82"/>
      <c r="M28308" s="112"/>
      <c r="N28308" s="84"/>
    </row>
    <row r="28309" spans="1:14" s="2" customFormat="1">
      <c r="A28309" s="83"/>
      <c r="H28309" s="83"/>
      <c r="K28309" s="82"/>
      <c r="M28309" s="112"/>
      <c r="N28309" s="84"/>
    </row>
    <row r="28310" spans="1:14" s="2" customFormat="1">
      <c r="A28310" s="83"/>
      <c r="H28310" s="83"/>
      <c r="K28310" s="82"/>
      <c r="M28310" s="112"/>
      <c r="N28310" s="84"/>
    </row>
    <row r="28311" spans="1:14" s="2" customFormat="1">
      <c r="A28311" s="83"/>
      <c r="H28311" s="83"/>
      <c r="K28311" s="82"/>
      <c r="M28311" s="112"/>
      <c r="N28311" s="84"/>
    </row>
    <row r="28312" spans="1:14" s="2" customFormat="1">
      <c r="A28312" s="83"/>
      <c r="H28312" s="83"/>
      <c r="K28312" s="82"/>
      <c r="M28312" s="112"/>
      <c r="N28312" s="84"/>
    </row>
    <row r="28313" spans="1:14" s="2" customFormat="1">
      <c r="A28313" s="83"/>
      <c r="H28313" s="83"/>
      <c r="K28313" s="82"/>
      <c r="M28313" s="112"/>
      <c r="N28313" s="84"/>
    </row>
    <row r="28314" spans="1:14" s="2" customFormat="1">
      <c r="A28314" s="83"/>
      <c r="H28314" s="83"/>
      <c r="K28314" s="82"/>
      <c r="M28314" s="112"/>
      <c r="N28314" s="84"/>
    </row>
    <row r="28315" spans="1:14" s="2" customFormat="1">
      <c r="A28315" s="83"/>
      <c r="H28315" s="83"/>
      <c r="K28315" s="82"/>
      <c r="M28315" s="112"/>
      <c r="N28315" s="84"/>
    </row>
    <row r="28316" spans="1:14" s="2" customFormat="1">
      <c r="A28316" s="83"/>
      <c r="H28316" s="83"/>
      <c r="K28316" s="82"/>
      <c r="M28316" s="112"/>
      <c r="N28316" s="84"/>
    </row>
    <row r="28317" spans="1:14" s="2" customFormat="1">
      <c r="A28317" s="83"/>
      <c r="H28317" s="83"/>
      <c r="K28317" s="82"/>
      <c r="M28317" s="112"/>
      <c r="N28317" s="84"/>
    </row>
    <row r="28318" spans="1:14" s="2" customFormat="1">
      <c r="A28318" s="83"/>
      <c r="H28318" s="83"/>
      <c r="K28318" s="82"/>
      <c r="M28318" s="112"/>
      <c r="N28318" s="84"/>
    </row>
    <row r="28319" spans="1:14" s="2" customFormat="1">
      <c r="A28319" s="83"/>
      <c r="H28319" s="83"/>
      <c r="K28319" s="82"/>
      <c r="M28319" s="112"/>
      <c r="N28319" s="84"/>
    </row>
    <row r="28320" spans="1:14" s="2" customFormat="1">
      <c r="A28320" s="83"/>
      <c r="H28320" s="83"/>
      <c r="K28320" s="82"/>
      <c r="M28320" s="112"/>
      <c r="N28320" s="84"/>
    </row>
    <row r="28321" spans="1:14" s="2" customFormat="1">
      <c r="A28321" s="83"/>
      <c r="H28321" s="83"/>
      <c r="K28321" s="82"/>
      <c r="M28321" s="112"/>
      <c r="N28321" s="84"/>
    </row>
    <row r="28322" spans="1:14" s="2" customFormat="1">
      <c r="A28322" s="83"/>
      <c r="H28322" s="83"/>
      <c r="K28322" s="82"/>
      <c r="M28322" s="112"/>
      <c r="N28322" s="84"/>
    </row>
    <row r="28323" spans="1:14" s="2" customFormat="1">
      <c r="A28323" s="83"/>
      <c r="H28323" s="83"/>
      <c r="K28323" s="82"/>
      <c r="M28323" s="112"/>
      <c r="N28323" s="84"/>
    </row>
    <row r="28324" spans="1:14" s="2" customFormat="1">
      <c r="A28324" s="83"/>
      <c r="H28324" s="83"/>
      <c r="K28324" s="82"/>
      <c r="M28324" s="112"/>
      <c r="N28324" s="84"/>
    </row>
    <row r="28325" spans="1:14" s="2" customFormat="1">
      <c r="A28325" s="83"/>
      <c r="H28325" s="83"/>
      <c r="K28325" s="82"/>
      <c r="M28325" s="112"/>
      <c r="N28325" s="84"/>
    </row>
    <row r="28326" spans="1:14" s="2" customFormat="1">
      <c r="A28326" s="83"/>
      <c r="H28326" s="83"/>
      <c r="K28326" s="82"/>
      <c r="M28326" s="112"/>
      <c r="N28326" s="84"/>
    </row>
    <row r="28327" spans="1:14" s="2" customFormat="1">
      <c r="A28327" s="83"/>
      <c r="H28327" s="83"/>
      <c r="K28327" s="82"/>
      <c r="M28327" s="112"/>
      <c r="N28327" s="84"/>
    </row>
    <row r="28328" spans="1:14" s="2" customFormat="1">
      <c r="A28328" s="83"/>
      <c r="H28328" s="83"/>
      <c r="K28328" s="82"/>
      <c r="M28328" s="112"/>
      <c r="N28328" s="84"/>
    </row>
    <row r="28329" spans="1:14" s="2" customFormat="1">
      <c r="A28329" s="83"/>
      <c r="H28329" s="83"/>
      <c r="K28329" s="82"/>
      <c r="M28329" s="112"/>
      <c r="N28329" s="84"/>
    </row>
    <row r="28330" spans="1:14" s="2" customFormat="1">
      <c r="A28330" s="83"/>
      <c r="H28330" s="83"/>
      <c r="K28330" s="82"/>
      <c r="M28330" s="112"/>
      <c r="N28330" s="84"/>
    </row>
    <row r="28331" spans="1:14" s="2" customFormat="1">
      <c r="A28331" s="83"/>
      <c r="H28331" s="83"/>
      <c r="K28331" s="82"/>
      <c r="M28331" s="112"/>
      <c r="N28331" s="84"/>
    </row>
    <row r="28332" spans="1:14" s="2" customFormat="1">
      <c r="A28332" s="83"/>
      <c r="H28332" s="83"/>
      <c r="K28332" s="82"/>
      <c r="M28332" s="112"/>
      <c r="N28332" s="84"/>
    </row>
    <row r="28333" spans="1:14" s="2" customFormat="1">
      <c r="A28333" s="83"/>
      <c r="H28333" s="83"/>
      <c r="K28333" s="82"/>
      <c r="M28333" s="112"/>
      <c r="N28333" s="84"/>
    </row>
    <row r="28334" spans="1:14" s="2" customFormat="1">
      <c r="A28334" s="83"/>
      <c r="H28334" s="83"/>
      <c r="K28334" s="82"/>
      <c r="M28334" s="112"/>
      <c r="N28334" s="84"/>
    </row>
    <row r="28335" spans="1:14" s="2" customFormat="1">
      <c r="A28335" s="83"/>
      <c r="H28335" s="83"/>
      <c r="K28335" s="82"/>
      <c r="M28335" s="112"/>
      <c r="N28335" s="84"/>
    </row>
    <row r="28336" spans="1:14" s="2" customFormat="1">
      <c r="A28336" s="83"/>
      <c r="H28336" s="83"/>
      <c r="K28336" s="82"/>
      <c r="M28336" s="112"/>
      <c r="N28336" s="84"/>
    </row>
    <row r="28337" spans="1:14" s="2" customFormat="1">
      <c r="A28337" s="83"/>
      <c r="H28337" s="83"/>
      <c r="K28337" s="82"/>
      <c r="M28337" s="112"/>
      <c r="N28337" s="84"/>
    </row>
    <row r="28338" spans="1:14" s="2" customFormat="1">
      <c r="A28338" s="83"/>
      <c r="H28338" s="83"/>
      <c r="K28338" s="82"/>
      <c r="M28338" s="112"/>
      <c r="N28338" s="84"/>
    </row>
    <row r="28339" spans="1:14" s="2" customFormat="1">
      <c r="A28339" s="83"/>
      <c r="H28339" s="83"/>
      <c r="K28339" s="82"/>
      <c r="M28339" s="112"/>
      <c r="N28339" s="84"/>
    </row>
    <row r="28340" spans="1:14" s="2" customFormat="1">
      <c r="A28340" s="83"/>
      <c r="H28340" s="83"/>
      <c r="K28340" s="82"/>
      <c r="M28340" s="112"/>
      <c r="N28340" s="84"/>
    </row>
    <row r="28341" spans="1:14" s="2" customFormat="1">
      <c r="A28341" s="83"/>
      <c r="H28341" s="83"/>
      <c r="K28341" s="82"/>
      <c r="M28341" s="112"/>
      <c r="N28341" s="84"/>
    </row>
    <row r="28342" spans="1:14" s="2" customFormat="1">
      <c r="A28342" s="83"/>
      <c r="H28342" s="83"/>
      <c r="K28342" s="82"/>
      <c r="M28342" s="112"/>
      <c r="N28342" s="84"/>
    </row>
    <row r="28343" spans="1:14" s="2" customFormat="1">
      <c r="A28343" s="83"/>
      <c r="H28343" s="83"/>
      <c r="K28343" s="82"/>
      <c r="M28343" s="112"/>
      <c r="N28343" s="84"/>
    </row>
    <row r="28344" spans="1:14" s="2" customFormat="1">
      <c r="A28344" s="83"/>
      <c r="H28344" s="83"/>
      <c r="K28344" s="82"/>
      <c r="M28344" s="112"/>
      <c r="N28344" s="84"/>
    </row>
    <row r="28345" spans="1:14" s="2" customFormat="1">
      <c r="A28345" s="83"/>
      <c r="H28345" s="83"/>
      <c r="K28345" s="82"/>
      <c r="M28345" s="112"/>
      <c r="N28345" s="84"/>
    </row>
    <row r="28346" spans="1:14" s="2" customFormat="1">
      <c r="A28346" s="83"/>
      <c r="H28346" s="83"/>
      <c r="K28346" s="82"/>
      <c r="M28346" s="112"/>
      <c r="N28346" s="84"/>
    </row>
    <row r="28347" spans="1:14" s="2" customFormat="1">
      <c r="A28347" s="83"/>
      <c r="H28347" s="83"/>
      <c r="K28347" s="82"/>
      <c r="M28347" s="112"/>
      <c r="N28347" s="84"/>
    </row>
    <row r="28348" spans="1:14" s="2" customFormat="1">
      <c r="A28348" s="83"/>
      <c r="H28348" s="83"/>
      <c r="K28348" s="82"/>
      <c r="M28348" s="112"/>
      <c r="N28348" s="84"/>
    </row>
    <row r="28349" spans="1:14" s="2" customFormat="1">
      <c r="A28349" s="83"/>
      <c r="H28349" s="83"/>
      <c r="K28349" s="82"/>
      <c r="M28349" s="112"/>
      <c r="N28349" s="84"/>
    </row>
    <row r="28350" spans="1:14" s="2" customFormat="1">
      <c r="A28350" s="83"/>
      <c r="H28350" s="83"/>
      <c r="K28350" s="82"/>
      <c r="M28350" s="112"/>
      <c r="N28350" s="84"/>
    </row>
    <row r="28351" spans="1:14" s="2" customFormat="1">
      <c r="A28351" s="83"/>
      <c r="H28351" s="83"/>
      <c r="K28351" s="82"/>
      <c r="M28351" s="112"/>
      <c r="N28351" s="84"/>
    </row>
    <row r="28352" spans="1:14" s="2" customFormat="1">
      <c r="A28352" s="83"/>
      <c r="H28352" s="83"/>
      <c r="K28352" s="82"/>
      <c r="M28352" s="112"/>
      <c r="N28352" s="84"/>
    </row>
    <row r="28353" spans="1:14" s="2" customFormat="1">
      <c r="A28353" s="83"/>
      <c r="H28353" s="83"/>
      <c r="K28353" s="82"/>
      <c r="M28353" s="112"/>
      <c r="N28353" s="84"/>
    </row>
    <row r="28354" spans="1:14" s="2" customFormat="1">
      <c r="A28354" s="83"/>
      <c r="H28354" s="83"/>
      <c r="K28354" s="82"/>
      <c r="M28354" s="112"/>
      <c r="N28354" s="84"/>
    </row>
    <row r="28355" spans="1:14" s="2" customFormat="1">
      <c r="A28355" s="83"/>
      <c r="H28355" s="83"/>
      <c r="K28355" s="82"/>
      <c r="M28355" s="112"/>
      <c r="N28355" s="84"/>
    </row>
    <row r="28356" spans="1:14" s="2" customFormat="1">
      <c r="A28356" s="83"/>
      <c r="H28356" s="83"/>
      <c r="K28356" s="82"/>
      <c r="M28356" s="112"/>
      <c r="N28356" s="84"/>
    </row>
    <row r="28357" spans="1:14" s="2" customFormat="1">
      <c r="A28357" s="83"/>
      <c r="H28357" s="83"/>
      <c r="K28357" s="82"/>
      <c r="M28357" s="112"/>
      <c r="N28357" s="84"/>
    </row>
    <row r="28358" spans="1:14" s="2" customFormat="1">
      <c r="A28358" s="83"/>
      <c r="H28358" s="83"/>
      <c r="K28358" s="82"/>
      <c r="M28358" s="112"/>
      <c r="N28358" s="84"/>
    </row>
    <row r="28359" spans="1:14" s="2" customFormat="1">
      <c r="A28359" s="83"/>
      <c r="H28359" s="83"/>
      <c r="K28359" s="82"/>
      <c r="M28359" s="112"/>
      <c r="N28359" s="84"/>
    </row>
    <row r="28360" spans="1:14" s="2" customFormat="1">
      <c r="A28360" s="83"/>
      <c r="H28360" s="83"/>
      <c r="K28360" s="82"/>
      <c r="M28360" s="112"/>
      <c r="N28360" s="84"/>
    </row>
    <row r="28361" spans="1:14" s="2" customFormat="1">
      <c r="A28361" s="83"/>
      <c r="H28361" s="83"/>
      <c r="K28361" s="82"/>
      <c r="M28361" s="112"/>
      <c r="N28361" s="84"/>
    </row>
    <row r="28362" spans="1:14" s="2" customFormat="1">
      <c r="A28362" s="83"/>
      <c r="H28362" s="83"/>
      <c r="K28362" s="82"/>
      <c r="M28362" s="112"/>
      <c r="N28362" s="84"/>
    </row>
    <row r="28363" spans="1:14" s="2" customFormat="1">
      <c r="A28363" s="83"/>
      <c r="H28363" s="83"/>
      <c r="K28363" s="82"/>
      <c r="M28363" s="112"/>
      <c r="N28363" s="84"/>
    </row>
    <row r="28364" spans="1:14" s="2" customFormat="1">
      <c r="A28364" s="83"/>
      <c r="H28364" s="83"/>
      <c r="K28364" s="82"/>
      <c r="M28364" s="112"/>
      <c r="N28364" s="84"/>
    </row>
    <row r="28365" spans="1:14" s="2" customFormat="1">
      <c r="A28365" s="83"/>
      <c r="H28365" s="83"/>
      <c r="K28365" s="82"/>
      <c r="M28365" s="112"/>
      <c r="N28365" s="84"/>
    </row>
    <row r="28366" spans="1:14" s="2" customFormat="1">
      <c r="A28366" s="83"/>
      <c r="H28366" s="83"/>
      <c r="K28366" s="82"/>
      <c r="M28366" s="112"/>
      <c r="N28366" s="84"/>
    </row>
    <row r="28367" spans="1:14" s="2" customFormat="1">
      <c r="A28367" s="83"/>
      <c r="H28367" s="83"/>
      <c r="K28367" s="82"/>
      <c r="M28367" s="112"/>
      <c r="N28367" s="84"/>
    </row>
    <row r="28368" spans="1:14" s="2" customFormat="1">
      <c r="A28368" s="83"/>
      <c r="H28368" s="83"/>
      <c r="K28368" s="82"/>
      <c r="M28368" s="112"/>
      <c r="N28368" s="84"/>
    </row>
    <row r="28369" spans="1:14" s="2" customFormat="1">
      <c r="A28369" s="83"/>
      <c r="H28369" s="83"/>
      <c r="K28369" s="82"/>
      <c r="M28369" s="112"/>
      <c r="N28369" s="84"/>
    </row>
    <row r="28370" spans="1:14" s="2" customFormat="1">
      <c r="A28370" s="83"/>
      <c r="H28370" s="83"/>
      <c r="K28370" s="82"/>
      <c r="M28370" s="112"/>
      <c r="N28370" s="84"/>
    </row>
    <row r="28371" spans="1:14" s="2" customFormat="1">
      <c r="A28371" s="83"/>
      <c r="H28371" s="83"/>
      <c r="K28371" s="82"/>
      <c r="M28371" s="112"/>
      <c r="N28371" s="84"/>
    </row>
    <row r="28372" spans="1:14" s="2" customFormat="1">
      <c r="A28372" s="83"/>
      <c r="H28372" s="83"/>
      <c r="K28372" s="82"/>
      <c r="M28372" s="112"/>
      <c r="N28372" s="84"/>
    </row>
    <row r="28373" spans="1:14" s="2" customFormat="1">
      <c r="A28373" s="83"/>
      <c r="H28373" s="83"/>
      <c r="K28373" s="82"/>
      <c r="M28373" s="112"/>
      <c r="N28373" s="84"/>
    </row>
    <row r="28374" spans="1:14" s="2" customFormat="1">
      <c r="A28374" s="83"/>
      <c r="H28374" s="83"/>
      <c r="K28374" s="82"/>
      <c r="M28374" s="112"/>
      <c r="N28374" s="84"/>
    </row>
    <row r="28375" spans="1:14" s="2" customFormat="1">
      <c r="A28375" s="83"/>
      <c r="H28375" s="83"/>
      <c r="K28375" s="82"/>
      <c r="M28375" s="112"/>
      <c r="N28375" s="84"/>
    </row>
    <row r="28376" spans="1:14" s="2" customFormat="1">
      <c r="A28376" s="83"/>
      <c r="H28376" s="83"/>
      <c r="K28376" s="82"/>
      <c r="M28376" s="112"/>
      <c r="N28376" s="84"/>
    </row>
    <row r="28377" spans="1:14" s="2" customFormat="1">
      <c r="A28377" s="83"/>
      <c r="H28377" s="83"/>
      <c r="K28377" s="82"/>
      <c r="M28377" s="112"/>
      <c r="N28377" s="84"/>
    </row>
    <row r="28378" spans="1:14" s="2" customFormat="1">
      <c r="A28378" s="83"/>
      <c r="H28378" s="83"/>
      <c r="K28378" s="82"/>
      <c r="M28378" s="112"/>
      <c r="N28378" s="84"/>
    </row>
    <row r="28379" spans="1:14" s="2" customFormat="1">
      <c r="A28379" s="83"/>
      <c r="H28379" s="83"/>
      <c r="K28379" s="82"/>
      <c r="M28379" s="112"/>
      <c r="N28379" s="84"/>
    </row>
    <row r="28380" spans="1:14" s="2" customFormat="1">
      <c r="A28380" s="83"/>
      <c r="H28380" s="83"/>
      <c r="K28380" s="82"/>
      <c r="M28380" s="112"/>
      <c r="N28380" s="84"/>
    </row>
    <row r="28381" spans="1:14" s="2" customFormat="1">
      <c r="A28381" s="83"/>
      <c r="H28381" s="83"/>
      <c r="K28381" s="82"/>
      <c r="M28381" s="112"/>
      <c r="N28381" s="84"/>
    </row>
    <row r="28382" spans="1:14" s="2" customFormat="1">
      <c r="A28382" s="83"/>
      <c r="H28382" s="83"/>
      <c r="K28382" s="82"/>
      <c r="M28382" s="112"/>
      <c r="N28382" s="84"/>
    </row>
    <row r="28383" spans="1:14" s="2" customFormat="1">
      <c r="A28383" s="83"/>
      <c r="H28383" s="83"/>
      <c r="K28383" s="82"/>
      <c r="M28383" s="112"/>
      <c r="N28383" s="84"/>
    </row>
    <row r="28384" spans="1:14" s="2" customFormat="1">
      <c r="A28384" s="83"/>
      <c r="H28384" s="83"/>
      <c r="K28384" s="82"/>
      <c r="M28384" s="112"/>
      <c r="N28384" s="84"/>
    </row>
    <row r="28385" spans="1:14" s="2" customFormat="1">
      <c r="A28385" s="83"/>
      <c r="H28385" s="83"/>
      <c r="K28385" s="82"/>
      <c r="M28385" s="112"/>
      <c r="N28385" s="84"/>
    </row>
    <row r="28386" spans="1:14" s="2" customFormat="1">
      <c r="A28386" s="83"/>
      <c r="H28386" s="83"/>
      <c r="K28386" s="82"/>
      <c r="M28386" s="112"/>
      <c r="N28386" s="84"/>
    </row>
    <row r="28387" spans="1:14" s="2" customFormat="1">
      <c r="A28387" s="83"/>
      <c r="H28387" s="83"/>
      <c r="K28387" s="82"/>
      <c r="M28387" s="112"/>
      <c r="N28387" s="84"/>
    </row>
    <row r="28388" spans="1:14" s="2" customFormat="1">
      <c r="A28388" s="83"/>
      <c r="H28388" s="83"/>
      <c r="K28388" s="82"/>
      <c r="M28388" s="112"/>
      <c r="N28388" s="84"/>
    </row>
    <row r="28389" spans="1:14" s="2" customFormat="1">
      <c r="A28389" s="83"/>
      <c r="H28389" s="83"/>
      <c r="K28389" s="82"/>
      <c r="M28389" s="112"/>
      <c r="N28389" s="84"/>
    </row>
    <row r="28390" spans="1:14" s="2" customFormat="1">
      <c r="A28390" s="83"/>
      <c r="H28390" s="83"/>
      <c r="K28390" s="82"/>
      <c r="M28390" s="112"/>
      <c r="N28390" s="84"/>
    </row>
    <row r="28391" spans="1:14" s="2" customFormat="1">
      <c r="A28391" s="83"/>
      <c r="H28391" s="83"/>
      <c r="K28391" s="82"/>
      <c r="M28391" s="112"/>
      <c r="N28391" s="84"/>
    </row>
    <row r="28392" spans="1:14" s="2" customFormat="1">
      <c r="A28392" s="83"/>
      <c r="H28392" s="83"/>
      <c r="K28392" s="82"/>
      <c r="M28392" s="112"/>
      <c r="N28392" s="84"/>
    </row>
    <row r="28393" spans="1:14" s="2" customFormat="1">
      <c r="A28393" s="83"/>
      <c r="H28393" s="83"/>
      <c r="K28393" s="82"/>
      <c r="M28393" s="112"/>
      <c r="N28393" s="84"/>
    </row>
    <row r="28394" spans="1:14" s="2" customFormat="1">
      <c r="A28394" s="83"/>
      <c r="H28394" s="83"/>
      <c r="K28394" s="82"/>
      <c r="M28394" s="112"/>
      <c r="N28394" s="84"/>
    </row>
    <row r="28395" spans="1:14" s="2" customFormat="1">
      <c r="A28395" s="83"/>
      <c r="H28395" s="83"/>
      <c r="K28395" s="82"/>
      <c r="M28395" s="112"/>
      <c r="N28395" s="84"/>
    </row>
    <row r="28396" spans="1:14" s="2" customFormat="1">
      <c r="A28396" s="83"/>
      <c r="H28396" s="83"/>
      <c r="K28396" s="82"/>
      <c r="M28396" s="112"/>
      <c r="N28396" s="84"/>
    </row>
    <row r="28397" spans="1:14" s="2" customFormat="1">
      <c r="A28397" s="83"/>
      <c r="H28397" s="83"/>
      <c r="K28397" s="82"/>
      <c r="M28397" s="112"/>
      <c r="N28397" s="84"/>
    </row>
    <row r="28398" spans="1:14" s="2" customFormat="1">
      <c r="A28398" s="83"/>
      <c r="H28398" s="83"/>
      <c r="K28398" s="82"/>
      <c r="M28398" s="112"/>
      <c r="N28398" s="84"/>
    </row>
    <row r="28399" spans="1:14" s="2" customFormat="1">
      <c r="A28399" s="83"/>
      <c r="H28399" s="83"/>
      <c r="K28399" s="82"/>
      <c r="M28399" s="112"/>
      <c r="N28399" s="84"/>
    </row>
    <row r="28400" spans="1:14" s="2" customFormat="1">
      <c r="A28400" s="83"/>
      <c r="H28400" s="83"/>
      <c r="K28400" s="82"/>
      <c r="M28400" s="112"/>
      <c r="N28400" s="84"/>
    </row>
    <row r="28401" spans="1:14" s="2" customFormat="1">
      <c r="A28401" s="83"/>
      <c r="H28401" s="83"/>
      <c r="K28401" s="82"/>
      <c r="M28401" s="112"/>
      <c r="N28401" s="84"/>
    </row>
    <row r="28402" spans="1:14" s="2" customFormat="1">
      <c r="A28402" s="83"/>
      <c r="H28402" s="83"/>
      <c r="K28402" s="82"/>
      <c r="M28402" s="112"/>
      <c r="N28402" s="84"/>
    </row>
    <row r="28403" spans="1:14" s="2" customFormat="1">
      <c r="A28403" s="83"/>
      <c r="H28403" s="83"/>
      <c r="K28403" s="82"/>
      <c r="M28403" s="112"/>
      <c r="N28403" s="84"/>
    </row>
    <row r="28404" spans="1:14" s="2" customFormat="1">
      <c r="A28404" s="83"/>
      <c r="H28404" s="83"/>
      <c r="K28404" s="82"/>
      <c r="M28404" s="112"/>
      <c r="N28404" s="84"/>
    </row>
    <row r="28405" spans="1:14" s="2" customFormat="1">
      <c r="A28405" s="83"/>
      <c r="H28405" s="83"/>
      <c r="K28405" s="82"/>
      <c r="M28405" s="112"/>
      <c r="N28405" s="84"/>
    </row>
    <row r="28406" spans="1:14" s="2" customFormat="1">
      <c r="A28406" s="83"/>
      <c r="H28406" s="83"/>
      <c r="K28406" s="82"/>
      <c r="M28406" s="112"/>
      <c r="N28406" s="84"/>
    </row>
    <row r="28407" spans="1:14" s="2" customFormat="1">
      <c r="A28407" s="83"/>
      <c r="H28407" s="83"/>
      <c r="K28407" s="82"/>
      <c r="M28407" s="112"/>
      <c r="N28407" s="84"/>
    </row>
    <row r="28408" spans="1:14" s="2" customFormat="1">
      <c r="A28408" s="83"/>
      <c r="H28408" s="83"/>
      <c r="K28408" s="82"/>
      <c r="M28408" s="112"/>
      <c r="N28408" s="84"/>
    </row>
    <row r="28409" spans="1:14" s="2" customFormat="1">
      <c r="A28409" s="83"/>
      <c r="H28409" s="83"/>
      <c r="K28409" s="82"/>
      <c r="M28409" s="112"/>
      <c r="N28409" s="84"/>
    </row>
    <row r="28410" spans="1:14" s="2" customFormat="1">
      <c r="A28410" s="83"/>
      <c r="H28410" s="83"/>
      <c r="K28410" s="82"/>
      <c r="M28410" s="112"/>
      <c r="N28410" s="84"/>
    </row>
    <row r="28411" spans="1:14" s="2" customFormat="1">
      <c r="A28411" s="83"/>
      <c r="H28411" s="83"/>
      <c r="K28411" s="82"/>
      <c r="M28411" s="112"/>
      <c r="N28411" s="84"/>
    </row>
    <row r="28412" spans="1:14" s="2" customFormat="1">
      <c r="A28412" s="83"/>
      <c r="H28412" s="83"/>
      <c r="K28412" s="82"/>
      <c r="M28412" s="112"/>
      <c r="N28412" s="84"/>
    </row>
    <row r="28413" spans="1:14" s="2" customFormat="1">
      <c r="A28413" s="83"/>
      <c r="H28413" s="83"/>
      <c r="K28413" s="82"/>
      <c r="M28413" s="112"/>
      <c r="N28413" s="84"/>
    </row>
    <row r="28414" spans="1:14" s="2" customFormat="1">
      <c r="A28414" s="83"/>
      <c r="H28414" s="83"/>
      <c r="K28414" s="82"/>
      <c r="M28414" s="112"/>
      <c r="N28414" s="84"/>
    </row>
    <row r="28415" spans="1:14" s="2" customFormat="1">
      <c r="A28415" s="83"/>
      <c r="H28415" s="83"/>
      <c r="K28415" s="82"/>
      <c r="M28415" s="112"/>
      <c r="N28415" s="84"/>
    </row>
    <row r="28416" spans="1:14" s="2" customFormat="1">
      <c r="A28416" s="83"/>
      <c r="H28416" s="83"/>
      <c r="K28416" s="82"/>
      <c r="M28416" s="112"/>
      <c r="N28416" s="84"/>
    </row>
    <row r="28417" spans="1:14" s="2" customFormat="1">
      <c r="A28417" s="83"/>
      <c r="H28417" s="83"/>
      <c r="K28417" s="82"/>
      <c r="M28417" s="112"/>
      <c r="N28417" s="84"/>
    </row>
    <row r="28418" spans="1:14" s="2" customFormat="1">
      <c r="A28418" s="83"/>
      <c r="H28418" s="83"/>
      <c r="K28418" s="82"/>
      <c r="M28418" s="112"/>
      <c r="N28418" s="84"/>
    </row>
    <row r="28419" spans="1:14" s="2" customFormat="1">
      <c r="A28419" s="83"/>
      <c r="H28419" s="83"/>
      <c r="K28419" s="82"/>
      <c r="M28419" s="112"/>
      <c r="N28419" s="84"/>
    </row>
    <row r="28420" spans="1:14" s="2" customFormat="1">
      <c r="A28420" s="83"/>
      <c r="H28420" s="83"/>
      <c r="K28420" s="82"/>
      <c r="M28420" s="112"/>
      <c r="N28420" s="84"/>
    </row>
    <row r="28421" spans="1:14" s="2" customFormat="1">
      <c r="A28421" s="83"/>
      <c r="H28421" s="83"/>
      <c r="K28421" s="82"/>
      <c r="M28421" s="112"/>
      <c r="N28421" s="84"/>
    </row>
    <row r="28422" spans="1:14" s="2" customFormat="1">
      <c r="A28422" s="83"/>
      <c r="H28422" s="83"/>
      <c r="K28422" s="82"/>
      <c r="M28422" s="112"/>
      <c r="N28422" s="84"/>
    </row>
    <row r="28423" spans="1:14" s="2" customFormat="1">
      <c r="A28423" s="83"/>
      <c r="H28423" s="83"/>
      <c r="K28423" s="82"/>
      <c r="M28423" s="112"/>
      <c r="N28423" s="84"/>
    </row>
    <row r="28424" spans="1:14" s="2" customFormat="1">
      <c r="A28424" s="83"/>
      <c r="H28424" s="83"/>
      <c r="K28424" s="82"/>
      <c r="M28424" s="112"/>
      <c r="N28424" s="84"/>
    </row>
    <row r="28425" spans="1:14" s="2" customFormat="1">
      <c r="A28425" s="83"/>
      <c r="H28425" s="83"/>
      <c r="K28425" s="82"/>
      <c r="M28425" s="112"/>
      <c r="N28425" s="84"/>
    </row>
    <row r="28426" spans="1:14" s="2" customFormat="1">
      <c r="A28426" s="83"/>
      <c r="H28426" s="83"/>
      <c r="K28426" s="82"/>
      <c r="M28426" s="112"/>
      <c r="N28426" s="84"/>
    </row>
    <row r="28427" spans="1:14" s="2" customFormat="1">
      <c r="A28427" s="83"/>
      <c r="H28427" s="83"/>
      <c r="K28427" s="82"/>
      <c r="M28427" s="112"/>
      <c r="N28427" s="84"/>
    </row>
    <row r="28428" spans="1:14" s="2" customFormat="1">
      <c r="A28428" s="83"/>
      <c r="H28428" s="83"/>
      <c r="K28428" s="82"/>
      <c r="M28428" s="112"/>
      <c r="N28428" s="84"/>
    </row>
    <row r="28429" spans="1:14" s="2" customFormat="1">
      <c r="A28429" s="83"/>
      <c r="H28429" s="83"/>
      <c r="K28429" s="82"/>
      <c r="M28429" s="112"/>
      <c r="N28429" s="84"/>
    </row>
    <row r="28430" spans="1:14" s="2" customFormat="1">
      <c r="A28430" s="83"/>
      <c r="H28430" s="83"/>
      <c r="K28430" s="82"/>
      <c r="M28430" s="112"/>
      <c r="N28430" s="84"/>
    </row>
    <row r="28431" spans="1:14" s="2" customFormat="1">
      <c r="A28431" s="83"/>
      <c r="H28431" s="83"/>
      <c r="K28431" s="82"/>
      <c r="M28431" s="112"/>
      <c r="N28431" s="84"/>
    </row>
    <row r="28432" spans="1:14" s="2" customFormat="1">
      <c r="A28432" s="83"/>
      <c r="H28432" s="83"/>
      <c r="K28432" s="82"/>
      <c r="M28432" s="112"/>
      <c r="N28432" s="84"/>
    </row>
    <row r="28433" spans="1:14" s="2" customFormat="1">
      <c r="A28433" s="83"/>
      <c r="H28433" s="83"/>
      <c r="K28433" s="82"/>
      <c r="M28433" s="112"/>
      <c r="N28433" s="84"/>
    </row>
    <row r="28434" spans="1:14" s="2" customFormat="1">
      <c r="A28434" s="83"/>
      <c r="H28434" s="83"/>
      <c r="K28434" s="82"/>
      <c r="M28434" s="112"/>
      <c r="N28434" s="84"/>
    </row>
    <row r="28435" spans="1:14" s="2" customFormat="1">
      <c r="A28435" s="83"/>
      <c r="H28435" s="83"/>
      <c r="K28435" s="82"/>
      <c r="M28435" s="112"/>
      <c r="N28435" s="84"/>
    </row>
    <row r="28436" spans="1:14" s="2" customFormat="1">
      <c r="A28436" s="83"/>
      <c r="H28436" s="83"/>
      <c r="K28436" s="82"/>
      <c r="M28436" s="112"/>
      <c r="N28436" s="84"/>
    </row>
    <row r="28437" spans="1:14" s="2" customFormat="1">
      <c r="A28437" s="83"/>
      <c r="H28437" s="83"/>
      <c r="K28437" s="82"/>
      <c r="M28437" s="112"/>
      <c r="N28437" s="84"/>
    </row>
    <row r="28438" spans="1:14" s="2" customFormat="1">
      <c r="A28438" s="83"/>
      <c r="H28438" s="83"/>
      <c r="K28438" s="82"/>
      <c r="M28438" s="112"/>
      <c r="N28438" s="84"/>
    </row>
    <row r="28439" spans="1:14" s="2" customFormat="1">
      <c r="A28439" s="83"/>
      <c r="H28439" s="83"/>
      <c r="K28439" s="82"/>
      <c r="M28439" s="112"/>
      <c r="N28439" s="84"/>
    </row>
    <row r="28440" spans="1:14" s="2" customFormat="1">
      <c r="A28440" s="83"/>
      <c r="H28440" s="83"/>
      <c r="K28440" s="82"/>
      <c r="M28440" s="112"/>
      <c r="N28440" s="84"/>
    </row>
    <row r="28441" spans="1:14" s="2" customFormat="1">
      <c r="A28441" s="83"/>
      <c r="H28441" s="83"/>
      <c r="K28441" s="82"/>
      <c r="M28441" s="112"/>
      <c r="N28441" s="84"/>
    </row>
    <row r="28442" spans="1:14" s="2" customFormat="1">
      <c r="A28442" s="83"/>
      <c r="H28442" s="83"/>
      <c r="K28442" s="82"/>
      <c r="M28442" s="112"/>
      <c r="N28442" s="84"/>
    </row>
    <row r="28443" spans="1:14" s="2" customFormat="1">
      <c r="A28443" s="83"/>
      <c r="H28443" s="83"/>
      <c r="K28443" s="82"/>
      <c r="M28443" s="112"/>
      <c r="N28443" s="84"/>
    </row>
    <row r="28444" spans="1:14" s="2" customFormat="1">
      <c r="A28444" s="83"/>
      <c r="H28444" s="83"/>
      <c r="K28444" s="82"/>
      <c r="M28444" s="112"/>
      <c r="N28444" s="84"/>
    </row>
    <row r="28445" spans="1:14" s="2" customFormat="1">
      <c r="A28445" s="83"/>
      <c r="H28445" s="83"/>
      <c r="K28445" s="82"/>
      <c r="M28445" s="112"/>
      <c r="N28445" s="84"/>
    </row>
    <row r="28446" spans="1:14" s="2" customFormat="1">
      <c r="A28446" s="83"/>
      <c r="H28446" s="83"/>
      <c r="K28446" s="82"/>
      <c r="M28446" s="112"/>
      <c r="N28446" s="84"/>
    </row>
    <row r="28447" spans="1:14" s="2" customFormat="1">
      <c r="A28447" s="83"/>
      <c r="H28447" s="83"/>
      <c r="K28447" s="82"/>
      <c r="M28447" s="112"/>
      <c r="N28447" s="84"/>
    </row>
    <row r="28448" spans="1:14" s="2" customFormat="1">
      <c r="A28448" s="83"/>
      <c r="H28448" s="83"/>
      <c r="K28448" s="82"/>
      <c r="M28448" s="112"/>
      <c r="N28448" s="84"/>
    </row>
    <row r="28449" spans="1:14" s="2" customFormat="1">
      <c r="A28449" s="83"/>
      <c r="H28449" s="83"/>
      <c r="K28449" s="82"/>
      <c r="M28449" s="112"/>
      <c r="N28449" s="84"/>
    </row>
    <row r="28450" spans="1:14" s="2" customFormat="1">
      <c r="A28450" s="83"/>
      <c r="H28450" s="83"/>
      <c r="K28450" s="82"/>
      <c r="M28450" s="112"/>
      <c r="N28450" s="84"/>
    </row>
    <row r="28451" spans="1:14" s="2" customFormat="1">
      <c r="A28451" s="83"/>
      <c r="H28451" s="83"/>
      <c r="K28451" s="82"/>
      <c r="M28451" s="112"/>
      <c r="N28451" s="84"/>
    </row>
    <row r="28452" spans="1:14" s="2" customFormat="1">
      <c r="A28452" s="83"/>
      <c r="H28452" s="83"/>
      <c r="K28452" s="82"/>
      <c r="M28452" s="112"/>
      <c r="N28452" s="84"/>
    </row>
    <row r="28453" spans="1:14" s="2" customFormat="1">
      <c r="A28453" s="83"/>
      <c r="H28453" s="83"/>
      <c r="K28453" s="82"/>
      <c r="M28453" s="112"/>
      <c r="N28453" s="84"/>
    </row>
    <row r="28454" spans="1:14" s="2" customFormat="1">
      <c r="A28454" s="83"/>
      <c r="H28454" s="83"/>
      <c r="K28454" s="82"/>
      <c r="M28454" s="112"/>
      <c r="N28454" s="84"/>
    </row>
    <row r="28455" spans="1:14" s="2" customFormat="1">
      <c r="A28455" s="83"/>
      <c r="H28455" s="83"/>
      <c r="K28455" s="82"/>
      <c r="M28455" s="112"/>
      <c r="N28455" s="84"/>
    </row>
    <row r="28456" spans="1:14" s="2" customFormat="1">
      <c r="A28456" s="83"/>
      <c r="H28456" s="83"/>
      <c r="K28456" s="82"/>
      <c r="M28456" s="112"/>
      <c r="N28456" s="84"/>
    </row>
    <row r="28457" spans="1:14" s="2" customFormat="1">
      <c r="A28457" s="83"/>
      <c r="H28457" s="83"/>
      <c r="K28457" s="82"/>
      <c r="M28457" s="112"/>
      <c r="N28457" s="84"/>
    </row>
    <row r="28458" spans="1:14" s="2" customFormat="1">
      <c r="A28458" s="83"/>
      <c r="H28458" s="83"/>
      <c r="K28458" s="82"/>
      <c r="M28458" s="112"/>
      <c r="N28458" s="84"/>
    </row>
    <row r="28459" spans="1:14" s="2" customFormat="1">
      <c r="A28459" s="83"/>
      <c r="H28459" s="83"/>
      <c r="K28459" s="82"/>
      <c r="M28459" s="112"/>
      <c r="N28459" s="84"/>
    </row>
    <row r="28460" spans="1:14" s="2" customFormat="1">
      <c r="A28460" s="83"/>
      <c r="H28460" s="83"/>
      <c r="K28460" s="82"/>
      <c r="M28460" s="112"/>
      <c r="N28460" s="84"/>
    </row>
    <row r="28461" spans="1:14" s="2" customFormat="1">
      <c r="A28461" s="83"/>
      <c r="H28461" s="83"/>
      <c r="K28461" s="82"/>
      <c r="M28461" s="112"/>
      <c r="N28461" s="84"/>
    </row>
    <row r="28462" spans="1:14" s="2" customFormat="1">
      <c r="A28462" s="83"/>
      <c r="H28462" s="83"/>
      <c r="K28462" s="82"/>
      <c r="M28462" s="112"/>
      <c r="N28462" s="84"/>
    </row>
    <row r="28463" spans="1:14" s="2" customFormat="1">
      <c r="A28463" s="83"/>
      <c r="H28463" s="83"/>
      <c r="K28463" s="82"/>
      <c r="M28463" s="112"/>
      <c r="N28463" s="84"/>
    </row>
    <row r="28464" spans="1:14" s="2" customFormat="1">
      <c r="A28464" s="83"/>
      <c r="H28464" s="83"/>
      <c r="K28464" s="82"/>
      <c r="M28464" s="112"/>
      <c r="N28464" s="84"/>
    </row>
    <row r="28465" spans="1:14" s="2" customFormat="1">
      <c r="A28465" s="83"/>
      <c r="H28465" s="83"/>
      <c r="K28465" s="82"/>
      <c r="M28465" s="112"/>
      <c r="N28465" s="84"/>
    </row>
    <row r="28466" spans="1:14" s="2" customFormat="1">
      <c r="A28466" s="83"/>
      <c r="H28466" s="83"/>
      <c r="K28466" s="82"/>
      <c r="M28466" s="112"/>
      <c r="N28466" s="84"/>
    </row>
    <row r="28467" spans="1:14" s="2" customFormat="1">
      <c r="A28467" s="83"/>
      <c r="H28467" s="83"/>
      <c r="K28467" s="82"/>
      <c r="M28467" s="112"/>
      <c r="N28467" s="84"/>
    </row>
    <row r="28468" spans="1:14" s="2" customFormat="1">
      <c r="A28468" s="83"/>
      <c r="H28468" s="83"/>
      <c r="K28468" s="82"/>
      <c r="M28468" s="112"/>
      <c r="N28468" s="84"/>
    </row>
    <row r="28469" spans="1:14" s="2" customFormat="1">
      <c r="A28469" s="83"/>
      <c r="H28469" s="83"/>
      <c r="K28469" s="82"/>
      <c r="M28469" s="112"/>
      <c r="N28469" s="84"/>
    </row>
    <row r="28470" spans="1:14" s="2" customFormat="1">
      <c r="A28470" s="83"/>
      <c r="H28470" s="83"/>
      <c r="K28470" s="82"/>
      <c r="M28470" s="112"/>
      <c r="N28470" s="84"/>
    </row>
    <row r="28471" spans="1:14" s="2" customFormat="1">
      <c r="A28471" s="83"/>
      <c r="H28471" s="83"/>
      <c r="K28471" s="82"/>
      <c r="M28471" s="112"/>
      <c r="N28471" s="84"/>
    </row>
    <row r="28472" spans="1:14" s="2" customFormat="1">
      <c r="A28472" s="83"/>
      <c r="H28472" s="83"/>
      <c r="K28472" s="82"/>
      <c r="M28472" s="112"/>
      <c r="N28472" s="84"/>
    </row>
    <row r="28473" spans="1:14" s="2" customFormat="1">
      <c r="A28473" s="83"/>
      <c r="H28473" s="83"/>
      <c r="K28473" s="82"/>
      <c r="M28473" s="112"/>
      <c r="N28473" s="84"/>
    </row>
    <row r="28474" spans="1:14" s="2" customFormat="1">
      <c r="A28474" s="83"/>
      <c r="H28474" s="83"/>
      <c r="K28474" s="82"/>
      <c r="M28474" s="112"/>
      <c r="N28474" s="84"/>
    </row>
    <row r="28475" spans="1:14" s="2" customFormat="1">
      <c r="A28475" s="83"/>
      <c r="H28475" s="83"/>
      <c r="K28475" s="82"/>
      <c r="M28475" s="112"/>
      <c r="N28475" s="84"/>
    </row>
    <row r="28476" spans="1:14" s="2" customFormat="1">
      <c r="A28476" s="83"/>
      <c r="H28476" s="83"/>
      <c r="K28476" s="82"/>
      <c r="M28476" s="112"/>
      <c r="N28476" s="84"/>
    </row>
    <row r="28477" spans="1:14" s="2" customFormat="1">
      <c r="A28477" s="83"/>
      <c r="H28477" s="83"/>
      <c r="K28477" s="82"/>
      <c r="M28477" s="112"/>
      <c r="N28477" s="84"/>
    </row>
    <row r="28478" spans="1:14" s="2" customFormat="1">
      <c r="A28478" s="83"/>
      <c r="H28478" s="83"/>
      <c r="K28478" s="82"/>
      <c r="M28478" s="112"/>
      <c r="N28478" s="84"/>
    </row>
    <row r="28479" spans="1:14" s="2" customFormat="1">
      <c r="A28479" s="83"/>
      <c r="H28479" s="83"/>
      <c r="K28479" s="82"/>
      <c r="M28479" s="112"/>
      <c r="N28479" s="84"/>
    </row>
    <row r="28480" spans="1:14" s="2" customFormat="1">
      <c r="A28480" s="83"/>
      <c r="H28480" s="83"/>
      <c r="K28480" s="82"/>
      <c r="M28480" s="112"/>
      <c r="N28480" s="84"/>
    </row>
    <row r="28481" spans="1:14" s="2" customFormat="1">
      <c r="A28481" s="83"/>
      <c r="H28481" s="83"/>
      <c r="K28481" s="82"/>
      <c r="M28481" s="112"/>
      <c r="N28481" s="84"/>
    </row>
    <row r="28482" spans="1:14" s="2" customFormat="1">
      <c r="A28482" s="83"/>
      <c r="H28482" s="83"/>
      <c r="K28482" s="82"/>
      <c r="M28482" s="112"/>
      <c r="N28482" s="84"/>
    </row>
    <row r="28483" spans="1:14" s="2" customFormat="1">
      <c r="A28483" s="83"/>
      <c r="H28483" s="83"/>
      <c r="K28483" s="82"/>
      <c r="M28483" s="112"/>
      <c r="N28483" s="84"/>
    </row>
    <row r="28484" spans="1:14" s="2" customFormat="1">
      <c r="A28484" s="83"/>
      <c r="H28484" s="83"/>
      <c r="K28484" s="82"/>
      <c r="M28484" s="112"/>
      <c r="N28484" s="84"/>
    </row>
    <row r="28485" spans="1:14" s="2" customFormat="1">
      <c r="A28485" s="83"/>
      <c r="H28485" s="83"/>
      <c r="K28485" s="82"/>
      <c r="M28485" s="112"/>
      <c r="N28485" s="84"/>
    </row>
    <row r="28486" spans="1:14" s="2" customFormat="1">
      <c r="A28486" s="83"/>
      <c r="H28486" s="83"/>
      <c r="K28486" s="82"/>
      <c r="M28486" s="112"/>
      <c r="N28486" s="84"/>
    </row>
    <row r="28487" spans="1:14" s="2" customFormat="1">
      <c r="A28487" s="83"/>
      <c r="H28487" s="83"/>
      <c r="K28487" s="82"/>
      <c r="M28487" s="112"/>
      <c r="N28487" s="84"/>
    </row>
    <row r="28488" spans="1:14" s="2" customFormat="1">
      <c r="A28488" s="83"/>
      <c r="H28488" s="83"/>
      <c r="K28488" s="82"/>
      <c r="M28488" s="112"/>
      <c r="N28488" s="84"/>
    </row>
    <row r="28489" spans="1:14" s="2" customFormat="1">
      <c r="A28489" s="83"/>
      <c r="H28489" s="83"/>
      <c r="K28489" s="82"/>
      <c r="M28489" s="112"/>
      <c r="N28489" s="84"/>
    </row>
    <row r="28490" spans="1:14" s="2" customFormat="1">
      <c r="A28490" s="83"/>
      <c r="H28490" s="83"/>
      <c r="K28490" s="82"/>
      <c r="M28490" s="112"/>
      <c r="N28490" s="84"/>
    </row>
    <row r="28491" spans="1:14" s="2" customFormat="1">
      <c r="A28491" s="83"/>
      <c r="H28491" s="83"/>
      <c r="K28491" s="82"/>
      <c r="M28491" s="112"/>
      <c r="N28491" s="84"/>
    </row>
    <row r="28492" spans="1:14" s="2" customFormat="1">
      <c r="A28492" s="83"/>
      <c r="H28492" s="83"/>
      <c r="K28492" s="82"/>
      <c r="M28492" s="112"/>
      <c r="N28492" s="84"/>
    </row>
    <row r="28493" spans="1:14" s="2" customFormat="1">
      <c r="A28493" s="83"/>
      <c r="H28493" s="83"/>
      <c r="K28493" s="82"/>
      <c r="M28493" s="112"/>
      <c r="N28493" s="84"/>
    </row>
    <row r="28494" spans="1:14" s="2" customFormat="1">
      <c r="A28494" s="83"/>
      <c r="H28494" s="83"/>
      <c r="K28494" s="82"/>
      <c r="M28494" s="112"/>
      <c r="N28494" s="84"/>
    </row>
    <row r="28495" spans="1:14" s="2" customFormat="1">
      <c r="A28495" s="83"/>
      <c r="H28495" s="83"/>
      <c r="K28495" s="82"/>
      <c r="M28495" s="112"/>
      <c r="N28495" s="84"/>
    </row>
    <row r="28496" spans="1:14" s="2" customFormat="1">
      <c r="A28496" s="83"/>
      <c r="H28496" s="83"/>
      <c r="K28496" s="82"/>
      <c r="M28496" s="112"/>
      <c r="N28496" s="84"/>
    </row>
    <row r="28497" spans="1:14" s="2" customFormat="1">
      <c r="A28497" s="83"/>
      <c r="H28497" s="83"/>
      <c r="K28497" s="82"/>
      <c r="M28497" s="112"/>
      <c r="N28497" s="84"/>
    </row>
    <row r="28498" spans="1:14" s="2" customFormat="1">
      <c r="A28498" s="83"/>
      <c r="H28498" s="83"/>
      <c r="K28498" s="82"/>
      <c r="M28498" s="112"/>
      <c r="N28498" s="84"/>
    </row>
    <row r="28499" spans="1:14" s="2" customFormat="1">
      <c r="A28499" s="83"/>
      <c r="H28499" s="83"/>
      <c r="K28499" s="82"/>
      <c r="M28499" s="112"/>
      <c r="N28499" s="84"/>
    </row>
    <row r="28500" spans="1:14" s="2" customFormat="1">
      <c r="A28500" s="83"/>
      <c r="H28500" s="83"/>
      <c r="K28500" s="82"/>
      <c r="M28500" s="112"/>
      <c r="N28500" s="84"/>
    </row>
    <row r="28501" spans="1:14" s="2" customFormat="1">
      <c r="A28501" s="83"/>
      <c r="H28501" s="83"/>
      <c r="K28501" s="82"/>
      <c r="M28501" s="112"/>
      <c r="N28501" s="84"/>
    </row>
    <row r="28502" spans="1:14" s="2" customFormat="1">
      <c r="A28502" s="83"/>
      <c r="H28502" s="83"/>
      <c r="K28502" s="82"/>
      <c r="M28502" s="112"/>
      <c r="N28502" s="84"/>
    </row>
    <row r="28503" spans="1:14" s="2" customFormat="1">
      <c r="A28503" s="83"/>
      <c r="H28503" s="83"/>
      <c r="K28503" s="82"/>
      <c r="M28503" s="112"/>
      <c r="N28503" s="84"/>
    </row>
    <row r="28504" spans="1:14" s="2" customFormat="1">
      <c r="A28504" s="83"/>
      <c r="H28504" s="83"/>
      <c r="K28504" s="82"/>
      <c r="M28504" s="112"/>
      <c r="N28504" s="84"/>
    </row>
    <row r="28505" spans="1:14" s="2" customFormat="1">
      <c r="A28505" s="83"/>
      <c r="H28505" s="83"/>
      <c r="K28505" s="82"/>
      <c r="M28505" s="112"/>
      <c r="N28505" s="84"/>
    </row>
    <row r="28506" spans="1:14" s="2" customFormat="1">
      <c r="A28506" s="83"/>
      <c r="H28506" s="83"/>
      <c r="K28506" s="82"/>
      <c r="M28506" s="112"/>
      <c r="N28506" s="84"/>
    </row>
    <row r="28507" spans="1:14" s="2" customFormat="1">
      <c r="A28507" s="83"/>
      <c r="H28507" s="83"/>
      <c r="K28507" s="82"/>
      <c r="M28507" s="112"/>
      <c r="N28507" s="84"/>
    </row>
    <row r="28508" spans="1:14" s="2" customFormat="1">
      <c r="A28508" s="83"/>
      <c r="H28508" s="83"/>
      <c r="K28508" s="82"/>
      <c r="M28508" s="112"/>
      <c r="N28508" s="84"/>
    </row>
    <row r="28509" spans="1:14" s="2" customFormat="1">
      <c r="A28509" s="83"/>
      <c r="H28509" s="83"/>
      <c r="K28509" s="82"/>
      <c r="M28509" s="112"/>
      <c r="N28509" s="84"/>
    </row>
    <row r="28510" spans="1:14" s="2" customFormat="1">
      <c r="A28510" s="83"/>
      <c r="H28510" s="83"/>
      <c r="K28510" s="82"/>
      <c r="M28510" s="112"/>
      <c r="N28510" s="84"/>
    </row>
    <row r="28511" spans="1:14" s="2" customFormat="1">
      <c r="A28511" s="83"/>
      <c r="H28511" s="83"/>
      <c r="K28511" s="82"/>
      <c r="M28511" s="112"/>
      <c r="N28511" s="84"/>
    </row>
    <row r="28512" spans="1:14" s="2" customFormat="1">
      <c r="A28512" s="83"/>
      <c r="H28512" s="83"/>
      <c r="K28512" s="82"/>
      <c r="M28512" s="112"/>
      <c r="N28512" s="84"/>
    </row>
    <row r="28513" spans="1:14" s="2" customFormat="1">
      <c r="A28513" s="83"/>
      <c r="H28513" s="83"/>
      <c r="K28513" s="82"/>
      <c r="M28513" s="112"/>
      <c r="N28513" s="84"/>
    </row>
    <row r="28514" spans="1:14" s="2" customFormat="1">
      <c r="A28514" s="83"/>
      <c r="H28514" s="83"/>
      <c r="K28514" s="82"/>
      <c r="M28514" s="112"/>
      <c r="N28514" s="84"/>
    </row>
    <row r="28515" spans="1:14" s="2" customFormat="1">
      <c r="A28515" s="83"/>
      <c r="H28515" s="83"/>
      <c r="K28515" s="82"/>
      <c r="M28515" s="112"/>
      <c r="N28515" s="84"/>
    </row>
    <row r="28516" spans="1:14" s="2" customFormat="1">
      <c r="A28516" s="83"/>
      <c r="H28516" s="83"/>
      <c r="K28516" s="82"/>
      <c r="M28516" s="112"/>
      <c r="N28516" s="84"/>
    </row>
    <row r="28517" spans="1:14" s="2" customFormat="1">
      <c r="A28517" s="83"/>
      <c r="H28517" s="83"/>
      <c r="K28517" s="82"/>
      <c r="M28517" s="112"/>
      <c r="N28517" s="84"/>
    </row>
    <row r="28518" spans="1:14" s="2" customFormat="1">
      <c r="A28518" s="83"/>
      <c r="H28518" s="83"/>
      <c r="K28518" s="82"/>
      <c r="M28518" s="112"/>
      <c r="N28518" s="84"/>
    </row>
    <row r="28519" spans="1:14" s="2" customFormat="1">
      <c r="A28519" s="83"/>
      <c r="H28519" s="83"/>
      <c r="K28519" s="82"/>
      <c r="M28519" s="112"/>
      <c r="N28519" s="84"/>
    </row>
    <row r="28520" spans="1:14" s="2" customFormat="1">
      <c r="A28520" s="83"/>
      <c r="H28520" s="83"/>
      <c r="K28520" s="82"/>
      <c r="M28520" s="112"/>
      <c r="N28520" s="84"/>
    </row>
    <row r="28521" spans="1:14" s="2" customFormat="1">
      <c r="A28521" s="83"/>
      <c r="H28521" s="83"/>
      <c r="K28521" s="82"/>
      <c r="M28521" s="112"/>
      <c r="N28521" s="84"/>
    </row>
    <row r="28522" spans="1:14" s="2" customFormat="1">
      <c r="A28522" s="83"/>
      <c r="H28522" s="83"/>
      <c r="K28522" s="82"/>
      <c r="M28522" s="112"/>
      <c r="N28522" s="84"/>
    </row>
    <row r="28523" spans="1:14" s="2" customFormat="1">
      <c r="A28523" s="83"/>
      <c r="H28523" s="83"/>
      <c r="K28523" s="82"/>
      <c r="M28523" s="112"/>
      <c r="N28523" s="84"/>
    </row>
    <row r="28524" spans="1:14" s="2" customFormat="1">
      <c r="A28524" s="83"/>
      <c r="H28524" s="83"/>
      <c r="K28524" s="82"/>
      <c r="M28524" s="112"/>
      <c r="N28524" s="84"/>
    </row>
    <row r="28525" spans="1:14" s="2" customFormat="1">
      <c r="A28525" s="83"/>
      <c r="H28525" s="83"/>
      <c r="K28525" s="82"/>
      <c r="M28525" s="112"/>
      <c r="N28525" s="84"/>
    </row>
    <row r="28526" spans="1:14" s="2" customFormat="1">
      <c r="A28526" s="83"/>
      <c r="H28526" s="83"/>
      <c r="K28526" s="82"/>
      <c r="M28526" s="112"/>
      <c r="N28526" s="84"/>
    </row>
    <row r="28527" spans="1:14" s="2" customFormat="1">
      <c r="A28527" s="83"/>
      <c r="H28527" s="83"/>
      <c r="K28527" s="82"/>
      <c r="M28527" s="112"/>
      <c r="N28527" s="84"/>
    </row>
    <row r="28528" spans="1:14" s="2" customFormat="1">
      <c r="A28528" s="83"/>
      <c r="H28528" s="83"/>
      <c r="K28528" s="82"/>
      <c r="M28528" s="112"/>
      <c r="N28528" s="84"/>
    </row>
    <row r="28529" spans="1:14" s="2" customFormat="1">
      <c r="A28529" s="83"/>
      <c r="H28529" s="83"/>
      <c r="K28529" s="82"/>
      <c r="M28529" s="112"/>
      <c r="N28529" s="84"/>
    </row>
    <row r="28530" spans="1:14" s="2" customFormat="1">
      <c r="A28530" s="83"/>
      <c r="H28530" s="83"/>
      <c r="K28530" s="82"/>
      <c r="M28530" s="112"/>
      <c r="N28530" s="84"/>
    </row>
    <row r="28531" spans="1:14" s="2" customFormat="1">
      <c r="A28531" s="83"/>
      <c r="H28531" s="83"/>
      <c r="K28531" s="82"/>
      <c r="M28531" s="112"/>
      <c r="N28531" s="84"/>
    </row>
    <row r="28532" spans="1:14" s="2" customFormat="1">
      <c r="A28532" s="83"/>
      <c r="H28532" s="83"/>
      <c r="K28532" s="82"/>
      <c r="M28532" s="112"/>
      <c r="N28532" s="84"/>
    </row>
    <row r="28533" spans="1:14" s="2" customFormat="1">
      <c r="A28533" s="83"/>
      <c r="H28533" s="83"/>
      <c r="K28533" s="82"/>
      <c r="M28533" s="112"/>
      <c r="N28533" s="84"/>
    </row>
    <row r="28534" spans="1:14" s="2" customFormat="1">
      <c r="A28534" s="83"/>
      <c r="H28534" s="83"/>
      <c r="K28534" s="82"/>
      <c r="M28534" s="112"/>
      <c r="N28534" s="84"/>
    </row>
    <row r="28535" spans="1:14" s="2" customFormat="1">
      <c r="A28535" s="83"/>
      <c r="H28535" s="83"/>
      <c r="K28535" s="82"/>
      <c r="M28535" s="112"/>
      <c r="N28535" s="84"/>
    </row>
    <row r="28536" spans="1:14" s="2" customFormat="1">
      <c r="A28536" s="83"/>
      <c r="H28536" s="83"/>
      <c r="K28536" s="82"/>
      <c r="M28536" s="112"/>
      <c r="N28536" s="84"/>
    </row>
    <row r="28537" spans="1:14" s="2" customFormat="1">
      <c r="A28537" s="83"/>
      <c r="H28537" s="83"/>
      <c r="K28537" s="82"/>
      <c r="M28537" s="112"/>
      <c r="N28537" s="84"/>
    </row>
    <row r="28538" spans="1:14" s="2" customFormat="1">
      <c r="A28538" s="83"/>
      <c r="H28538" s="83"/>
      <c r="K28538" s="82"/>
      <c r="M28538" s="112"/>
      <c r="N28538" s="84"/>
    </row>
    <row r="28539" spans="1:14" s="2" customFormat="1">
      <c r="A28539" s="83"/>
      <c r="H28539" s="83"/>
      <c r="K28539" s="82"/>
      <c r="M28539" s="112"/>
      <c r="N28539" s="84"/>
    </row>
    <row r="28540" spans="1:14" s="2" customFormat="1">
      <c r="A28540" s="83"/>
      <c r="H28540" s="83"/>
      <c r="K28540" s="82"/>
      <c r="M28540" s="112"/>
      <c r="N28540" s="84"/>
    </row>
    <row r="28541" spans="1:14" s="2" customFormat="1">
      <c r="A28541" s="83"/>
      <c r="H28541" s="83"/>
      <c r="K28541" s="82"/>
      <c r="M28541" s="112"/>
      <c r="N28541" s="84"/>
    </row>
    <row r="28542" spans="1:14" s="2" customFormat="1">
      <c r="A28542" s="83"/>
      <c r="H28542" s="83"/>
      <c r="K28542" s="82"/>
      <c r="M28542" s="112"/>
      <c r="N28542" s="84"/>
    </row>
    <row r="28543" spans="1:14" s="2" customFormat="1">
      <c r="A28543" s="83"/>
      <c r="H28543" s="83"/>
      <c r="K28543" s="82"/>
      <c r="M28543" s="112"/>
      <c r="N28543" s="84"/>
    </row>
    <row r="28544" spans="1:14" s="2" customFormat="1">
      <c r="A28544" s="83"/>
      <c r="H28544" s="83"/>
      <c r="K28544" s="82"/>
      <c r="M28544" s="112"/>
      <c r="N28544" s="84"/>
    </row>
    <row r="28545" spans="1:14" s="2" customFormat="1">
      <c r="A28545" s="83"/>
      <c r="H28545" s="83"/>
      <c r="K28545" s="82"/>
      <c r="M28545" s="112"/>
      <c r="N28545" s="84"/>
    </row>
    <row r="28546" spans="1:14" s="2" customFormat="1">
      <c r="A28546" s="83"/>
      <c r="H28546" s="83"/>
      <c r="K28546" s="82"/>
      <c r="M28546" s="112"/>
      <c r="N28546" s="84"/>
    </row>
    <row r="28547" spans="1:14" s="2" customFormat="1">
      <c r="A28547" s="83"/>
      <c r="H28547" s="83"/>
      <c r="K28547" s="82"/>
      <c r="M28547" s="112"/>
      <c r="N28547" s="84"/>
    </row>
    <row r="28548" spans="1:14" s="2" customFormat="1">
      <c r="A28548" s="83"/>
      <c r="H28548" s="83"/>
      <c r="K28548" s="82"/>
      <c r="M28548" s="112"/>
      <c r="N28548" s="84"/>
    </row>
    <row r="28549" spans="1:14" s="2" customFormat="1">
      <c r="A28549" s="83"/>
      <c r="H28549" s="83"/>
      <c r="K28549" s="82"/>
      <c r="M28549" s="112"/>
      <c r="N28549" s="84"/>
    </row>
    <row r="28550" spans="1:14" s="2" customFormat="1">
      <c r="A28550" s="83"/>
      <c r="H28550" s="83"/>
      <c r="K28550" s="82"/>
      <c r="M28550" s="112"/>
      <c r="N28550" s="84"/>
    </row>
    <row r="28551" spans="1:14" s="2" customFormat="1">
      <c r="A28551" s="83"/>
      <c r="H28551" s="83"/>
      <c r="K28551" s="82"/>
      <c r="M28551" s="112"/>
      <c r="N28551" s="84"/>
    </row>
    <row r="28552" spans="1:14" s="2" customFormat="1">
      <c r="A28552" s="83"/>
      <c r="H28552" s="83"/>
      <c r="K28552" s="82"/>
      <c r="M28552" s="112"/>
      <c r="N28552" s="84"/>
    </row>
    <row r="28553" spans="1:14" s="2" customFormat="1">
      <c r="A28553" s="83"/>
      <c r="H28553" s="83"/>
      <c r="K28553" s="82"/>
      <c r="M28553" s="112"/>
      <c r="N28553" s="84"/>
    </row>
    <row r="28554" spans="1:14" s="2" customFormat="1">
      <c r="A28554" s="83"/>
      <c r="H28554" s="83"/>
      <c r="K28554" s="82"/>
      <c r="M28554" s="112"/>
      <c r="N28554" s="84"/>
    </row>
    <row r="28555" spans="1:14" s="2" customFormat="1">
      <c r="A28555" s="83"/>
      <c r="H28555" s="83"/>
      <c r="K28555" s="82"/>
      <c r="M28555" s="112"/>
      <c r="N28555" s="84"/>
    </row>
    <row r="28556" spans="1:14" s="2" customFormat="1">
      <c r="A28556" s="83"/>
      <c r="H28556" s="83"/>
      <c r="K28556" s="82"/>
      <c r="M28556" s="112"/>
      <c r="N28556" s="84"/>
    </row>
    <row r="28557" spans="1:14" s="2" customFormat="1">
      <c r="A28557" s="83"/>
      <c r="H28557" s="83"/>
      <c r="K28557" s="82"/>
      <c r="M28557" s="112"/>
      <c r="N28557" s="84"/>
    </row>
    <row r="28558" spans="1:14" s="2" customFormat="1">
      <c r="A28558" s="83"/>
      <c r="H28558" s="83"/>
      <c r="K28558" s="82"/>
      <c r="M28558" s="112"/>
      <c r="N28558" s="84"/>
    </row>
    <row r="28559" spans="1:14" s="2" customFormat="1">
      <c r="A28559" s="83"/>
      <c r="H28559" s="83"/>
      <c r="K28559" s="82"/>
      <c r="M28559" s="112"/>
      <c r="N28559" s="84"/>
    </row>
    <row r="28560" spans="1:14" s="2" customFormat="1">
      <c r="A28560" s="83"/>
      <c r="H28560" s="83"/>
      <c r="K28560" s="82"/>
      <c r="M28560" s="112"/>
      <c r="N28560" s="84"/>
    </row>
    <row r="28561" spans="1:14" s="2" customFormat="1">
      <c r="A28561" s="83"/>
      <c r="H28561" s="83"/>
      <c r="K28561" s="82"/>
      <c r="M28561" s="112"/>
      <c r="N28561" s="84"/>
    </row>
    <row r="28562" spans="1:14" s="2" customFormat="1">
      <c r="A28562" s="83"/>
      <c r="H28562" s="83"/>
      <c r="K28562" s="82"/>
      <c r="M28562" s="112"/>
      <c r="N28562" s="84"/>
    </row>
    <row r="28563" spans="1:14" s="2" customFormat="1">
      <c r="A28563" s="83"/>
      <c r="H28563" s="83"/>
      <c r="K28563" s="82"/>
      <c r="M28563" s="112"/>
      <c r="N28563" s="84"/>
    </row>
    <row r="28564" spans="1:14" s="2" customFormat="1">
      <c r="A28564" s="83"/>
      <c r="H28564" s="83"/>
      <c r="K28564" s="82"/>
      <c r="M28564" s="112"/>
      <c r="N28564" s="84"/>
    </row>
    <row r="28565" spans="1:14" s="2" customFormat="1">
      <c r="A28565" s="83"/>
      <c r="H28565" s="83"/>
      <c r="K28565" s="82"/>
      <c r="M28565" s="112"/>
      <c r="N28565" s="84"/>
    </row>
    <row r="28566" spans="1:14" s="2" customFormat="1">
      <c r="A28566" s="83"/>
      <c r="H28566" s="83"/>
      <c r="K28566" s="82"/>
      <c r="M28566" s="112"/>
      <c r="N28566" s="84"/>
    </row>
    <row r="28567" spans="1:14" s="2" customFormat="1">
      <c r="A28567" s="83"/>
      <c r="H28567" s="83"/>
      <c r="K28567" s="82"/>
      <c r="M28567" s="112"/>
      <c r="N28567" s="84"/>
    </row>
    <row r="28568" spans="1:14" s="2" customFormat="1">
      <c r="A28568" s="83"/>
      <c r="H28568" s="83"/>
      <c r="K28568" s="82"/>
      <c r="M28568" s="112"/>
      <c r="N28568" s="84"/>
    </row>
    <row r="28569" spans="1:14" s="2" customFormat="1">
      <c r="A28569" s="83"/>
      <c r="H28569" s="83"/>
      <c r="K28569" s="82"/>
      <c r="M28569" s="112"/>
      <c r="N28569" s="84"/>
    </row>
    <row r="28570" spans="1:14" s="2" customFormat="1">
      <c r="A28570" s="83"/>
      <c r="H28570" s="83"/>
      <c r="K28570" s="82"/>
      <c r="M28570" s="112"/>
      <c r="N28570" s="84"/>
    </row>
    <row r="28571" spans="1:14" s="2" customFormat="1">
      <c r="A28571" s="83"/>
      <c r="H28571" s="83"/>
      <c r="K28571" s="82"/>
      <c r="M28571" s="112"/>
      <c r="N28571" s="84"/>
    </row>
    <row r="28572" spans="1:14" s="2" customFormat="1">
      <c r="A28572" s="83"/>
      <c r="H28572" s="83"/>
      <c r="K28572" s="82"/>
      <c r="M28572" s="112"/>
      <c r="N28572" s="84"/>
    </row>
    <row r="28573" spans="1:14" s="2" customFormat="1">
      <c r="A28573" s="83"/>
      <c r="H28573" s="83"/>
      <c r="K28573" s="82"/>
      <c r="M28573" s="112"/>
      <c r="N28573" s="84"/>
    </row>
    <row r="28574" spans="1:14" s="2" customFormat="1">
      <c r="A28574" s="83"/>
      <c r="H28574" s="83"/>
      <c r="K28574" s="82"/>
      <c r="M28574" s="112"/>
      <c r="N28574" s="84"/>
    </row>
    <row r="28575" spans="1:14" s="2" customFormat="1">
      <c r="A28575" s="83"/>
      <c r="H28575" s="83"/>
      <c r="K28575" s="82"/>
      <c r="M28575" s="112"/>
      <c r="N28575" s="84"/>
    </row>
    <row r="28576" spans="1:14" s="2" customFormat="1">
      <c r="A28576" s="83"/>
      <c r="H28576" s="83"/>
      <c r="K28576" s="82"/>
      <c r="M28576" s="112"/>
      <c r="N28576" s="84"/>
    </row>
    <row r="28577" spans="1:14" s="2" customFormat="1">
      <c r="A28577" s="83"/>
      <c r="H28577" s="83"/>
      <c r="K28577" s="82"/>
      <c r="M28577" s="112"/>
      <c r="N28577" s="84"/>
    </row>
    <row r="28578" spans="1:14" s="2" customFormat="1">
      <c r="A28578" s="83"/>
      <c r="H28578" s="83"/>
      <c r="K28578" s="82"/>
      <c r="M28578" s="112"/>
      <c r="N28578" s="84"/>
    </row>
    <row r="28579" spans="1:14" s="2" customFormat="1">
      <c r="A28579" s="83"/>
      <c r="H28579" s="83"/>
      <c r="K28579" s="82"/>
      <c r="M28579" s="112"/>
      <c r="N28579" s="84"/>
    </row>
    <row r="28580" spans="1:14" s="2" customFormat="1">
      <c r="A28580" s="83"/>
      <c r="H28580" s="83"/>
      <c r="K28580" s="82"/>
      <c r="M28580" s="112"/>
      <c r="N28580" s="84"/>
    </row>
    <row r="28581" spans="1:14" s="2" customFormat="1">
      <c r="A28581" s="83"/>
      <c r="H28581" s="83"/>
      <c r="K28581" s="82"/>
      <c r="M28581" s="112"/>
      <c r="N28581" s="84"/>
    </row>
    <row r="28582" spans="1:14" s="2" customFormat="1">
      <c r="A28582" s="83"/>
      <c r="H28582" s="83"/>
      <c r="K28582" s="82"/>
      <c r="M28582" s="112"/>
      <c r="N28582" s="84"/>
    </row>
    <row r="28583" spans="1:14" s="2" customFormat="1">
      <c r="A28583" s="83"/>
      <c r="H28583" s="83"/>
      <c r="K28583" s="82"/>
      <c r="M28583" s="112"/>
      <c r="N28583" s="84"/>
    </row>
    <row r="28584" spans="1:14" s="2" customFormat="1">
      <c r="A28584" s="83"/>
      <c r="H28584" s="83"/>
      <c r="K28584" s="82"/>
      <c r="M28584" s="112"/>
      <c r="N28584" s="84"/>
    </row>
    <row r="28585" spans="1:14" s="2" customFormat="1">
      <c r="A28585" s="83"/>
      <c r="H28585" s="83"/>
      <c r="K28585" s="82"/>
      <c r="M28585" s="112"/>
      <c r="N28585" s="84"/>
    </row>
    <row r="28586" spans="1:14" s="2" customFormat="1">
      <c r="A28586" s="83"/>
      <c r="H28586" s="83"/>
      <c r="K28586" s="82"/>
      <c r="M28586" s="112"/>
      <c r="N28586" s="84"/>
    </row>
    <row r="28587" spans="1:14" s="2" customFormat="1">
      <c r="A28587" s="83"/>
      <c r="H28587" s="83"/>
      <c r="K28587" s="82"/>
      <c r="M28587" s="112"/>
      <c r="N28587" s="84"/>
    </row>
    <row r="28588" spans="1:14" s="2" customFormat="1">
      <c r="A28588" s="83"/>
      <c r="H28588" s="83"/>
      <c r="K28588" s="82"/>
      <c r="M28588" s="112"/>
      <c r="N28588" s="84"/>
    </row>
    <row r="28589" spans="1:14" s="2" customFormat="1">
      <c r="A28589" s="83"/>
      <c r="H28589" s="83"/>
      <c r="K28589" s="82"/>
      <c r="M28589" s="112"/>
      <c r="N28589" s="84"/>
    </row>
    <row r="28590" spans="1:14" s="2" customFormat="1">
      <c r="A28590" s="83"/>
      <c r="H28590" s="83"/>
      <c r="K28590" s="82"/>
      <c r="M28590" s="112"/>
      <c r="N28590" s="84"/>
    </row>
    <row r="28591" spans="1:14" s="2" customFormat="1">
      <c r="A28591" s="83"/>
      <c r="H28591" s="83"/>
      <c r="K28591" s="82"/>
      <c r="M28591" s="112"/>
      <c r="N28591" s="84"/>
    </row>
    <row r="28592" spans="1:14" s="2" customFormat="1">
      <c r="A28592" s="83"/>
      <c r="H28592" s="83"/>
      <c r="K28592" s="82"/>
      <c r="M28592" s="112"/>
      <c r="N28592" s="84"/>
    </row>
    <row r="28593" spans="1:14" s="2" customFormat="1">
      <c r="A28593" s="83"/>
      <c r="H28593" s="83"/>
      <c r="K28593" s="82"/>
      <c r="M28593" s="112"/>
      <c r="N28593" s="84"/>
    </row>
    <row r="28594" spans="1:14" s="2" customFormat="1">
      <c r="A28594" s="83"/>
      <c r="H28594" s="83"/>
      <c r="K28594" s="82"/>
      <c r="M28594" s="112"/>
      <c r="N28594" s="84"/>
    </row>
    <row r="28595" spans="1:14" s="2" customFormat="1">
      <c r="A28595" s="83"/>
      <c r="H28595" s="83"/>
      <c r="K28595" s="82"/>
      <c r="M28595" s="112"/>
      <c r="N28595" s="84"/>
    </row>
    <row r="28596" spans="1:14" s="2" customFormat="1">
      <c r="A28596" s="83"/>
      <c r="H28596" s="83"/>
      <c r="K28596" s="82"/>
      <c r="M28596" s="112"/>
      <c r="N28596" s="84"/>
    </row>
    <row r="28597" spans="1:14" s="2" customFormat="1">
      <c r="A28597" s="83"/>
      <c r="H28597" s="83"/>
      <c r="K28597" s="82"/>
      <c r="M28597" s="112"/>
      <c r="N28597" s="84"/>
    </row>
    <row r="28598" spans="1:14" s="2" customFormat="1">
      <c r="A28598" s="83"/>
      <c r="H28598" s="83"/>
      <c r="K28598" s="82"/>
      <c r="M28598" s="112"/>
      <c r="N28598" s="84"/>
    </row>
    <row r="28599" spans="1:14" s="2" customFormat="1">
      <c r="A28599" s="83"/>
      <c r="H28599" s="83"/>
      <c r="K28599" s="82"/>
      <c r="M28599" s="112"/>
      <c r="N28599" s="84"/>
    </row>
    <row r="28600" spans="1:14" s="2" customFormat="1">
      <c r="A28600" s="83"/>
      <c r="H28600" s="83"/>
      <c r="K28600" s="82"/>
      <c r="M28600" s="112"/>
      <c r="N28600" s="84"/>
    </row>
    <row r="28601" spans="1:14" s="2" customFormat="1">
      <c r="A28601" s="83"/>
      <c r="H28601" s="83"/>
      <c r="K28601" s="82"/>
      <c r="M28601" s="112"/>
      <c r="N28601" s="84"/>
    </row>
    <row r="28602" spans="1:14" s="2" customFormat="1">
      <c r="A28602" s="83"/>
      <c r="H28602" s="83"/>
      <c r="K28602" s="82"/>
      <c r="M28602" s="112"/>
      <c r="N28602" s="84"/>
    </row>
    <row r="28603" spans="1:14" s="2" customFormat="1">
      <c r="A28603" s="83"/>
      <c r="H28603" s="83"/>
      <c r="K28603" s="82"/>
      <c r="M28603" s="112"/>
      <c r="N28603" s="84"/>
    </row>
    <row r="28604" spans="1:14" s="2" customFormat="1">
      <c r="A28604" s="83"/>
      <c r="H28604" s="83"/>
      <c r="K28604" s="82"/>
      <c r="M28604" s="112"/>
      <c r="N28604" s="84"/>
    </row>
    <row r="28605" spans="1:14" s="2" customFormat="1">
      <c r="A28605" s="83"/>
      <c r="H28605" s="83"/>
      <c r="K28605" s="82"/>
      <c r="M28605" s="112"/>
      <c r="N28605" s="84"/>
    </row>
    <row r="28606" spans="1:14" s="2" customFormat="1">
      <c r="A28606" s="83"/>
      <c r="H28606" s="83"/>
      <c r="K28606" s="82"/>
      <c r="M28606" s="112"/>
      <c r="N28606" s="84"/>
    </row>
    <row r="28607" spans="1:14" s="2" customFormat="1">
      <c r="A28607" s="83"/>
      <c r="H28607" s="83"/>
      <c r="K28607" s="82"/>
      <c r="M28607" s="112"/>
      <c r="N28607" s="84"/>
    </row>
    <row r="28608" spans="1:14" s="2" customFormat="1">
      <c r="A28608" s="83"/>
      <c r="H28608" s="83"/>
      <c r="K28608" s="82"/>
      <c r="M28608" s="112"/>
      <c r="N28608" s="84"/>
    </row>
    <row r="28609" spans="1:14" s="2" customFormat="1">
      <c r="A28609" s="83"/>
      <c r="H28609" s="83"/>
      <c r="K28609" s="82"/>
      <c r="M28609" s="112"/>
      <c r="N28609" s="84"/>
    </row>
    <row r="28610" spans="1:14" s="2" customFormat="1">
      <c r="A28610" s="83"/>
      <c r="H28610" s="83"/>
      <c r="K28610" s="82"/>
      <c r="M28610" s="112"/>
      <c r="N28610" s="84"/>
    </row>
    <row r="28611" spans="1:14" s="2" customFormat="1">
      <c r="A28611" s="83"/>
      <c r="H28611" s="83"/>
      <c r="K28611" s="82"/>
      <c r="M28611" s="112"/>
      <c r="N28611" s="84"/>
    </row>
    <row r="28612" spans="1:14" s="2" customFormat="1">
      <c r="A28612" s="83"/>
      <c r="H28612" s="83"/>
      <c r="K28612" s="82"/>
      <c r="M28612" s="112"/>
      <c r="N28612" s="84"/>
    </row>
    <row r="28613" spans="1:14" s="2" customFormat="1">
      <c r="A28613" s="83"/>
      <c r="H28613" s="83"/>
      <c r="K28613" s="82"/>
      <c r="M28613" s="112"/>
      <c r="N28613" s="84"/>
    </row>
    <row r="28614" spans="1:14" s="2" customFormat="1">
      <c r="A28614" s="83"/>
      <c r="H28614" s="83"/>
      <c r="K28614" s="82"/>
      <c r="M28614" s="112"/>
      <c r="N28614" s="84"/>
    </row>
    <row r="28615" spans="1:14" s="2" customFormat="1">
      <c r="A28615" s="83"/>
      <c r="H28615" s="83"/>
      <c r="K28615" s="82"/>
      <c r="M28615" s="112"/>
      <c r="N28615" s="84"/>
    </row>
    <row r="28616" spans="1:14" s="2" customFormat="1">
      <c r="A28616" s="83"/>
      <c r="H28616" s="83"/>
      <c r="K28616" s="82"/>
      <c r="M28616" s="112"/>
      <c r="N28616" s="84"/>
    </row>
    <row r="28617" spans="1:14" s="2" customFormat="1">
      <c r="A28617" s="83"/>
      <c r="H28617" s="83"/>
      <c r="K28617" s="82"/>
      <c r="M28617" s="112"/>
      <c r="N28617" s="84"/>
    </row>
    <row r="28618" spans="1:14" s="2" customFormat="1">
      <c r="A28618" s="83"/>
      <c r="H28618" s="83"/>
      <c r="K28618" s="82"/>
      <c r="M28618" s="112"/>
      <c r="N28618" s="84"/>
    </row>
    <row r="28619" spans="1:14" s="2" customFormat="1">
      <c r="A28619" s="83"/>
      <c r="H28619" s="83"/>
      <c r="K28619" s="82"/>
      <c r="M28619" s="112"/>
      <c r="N28619" s="84"/>
    </row>
    <row r="28620" spans="1:14" s="2" customFormat="1">
      <c r="A28620" s="83"/>
      <c r="H28620" s="83"/>
      <c r="K28620" s="82"/>
      <c r="M28620" s="112"/>
      <c r="N28620" s="84"/>
    </row>
    <row r="28621" spans="1:14" s="2" customFormat="1">
      <c r="A28621" s="83"/>
      <c r="H28621" s="83"/>
      <c r="K28621" s="82"/>
      <c r="M28621" s="112"/>
      <c r="N28621" s="84"/>
    </row>
    <row r="28622" spans="1:14" s="2" customFormat="1">
      <c r="A28622" s="83"/>
      <c r="H28622" s="83"/>
      <c r="K28622" s="82"/>
      <c r="M28622" s="112"/>
      <c r="N28622" s="84"/>
    </row>
    <row r="28623" spans="1:14" s="2" customFormat="1">
      <c r="A28623" s="83"/>
      <c r="H28623" s="83"/>
      <c r="K28623" s="82"/>
      <c r="M28623" s="112"/>
      <c r="N28623" s="84"/>
    </row>
    <row r="28624" spans="1:14" s="2" customFormat="1">
      <c r="A28624" s="83"/>
      <c r="H28624" s="83"/>
      <c r="K28624" s="82"/>
      <c r="M28624" s="112"/>
      <c r="N28624" s="84"/>
    </row>
    <row r="28625" spans="1:14" s="2" customFormat="1">
      <c r="A28625" s="83"/>
      <c r="H28625" s="83"/>
      <c r="K28625" s="82"/>
      <c r="M28625" s="112"/>
      <c r="N28625" s="84"/>
    </row>
    <row r="28626" spans="1:14" s="2" customFormat="1">
      <c r="A28626" s="83"/>
      <c r="H28626" s="83"/>
      <c r="K28626" s="82"/>
      <c r="M28626" s="112"/>
      <c r="N28626" s="84"/>
    </row>
    <row r="28627" spans="1:14" s="2" customFormat="1">
      <c r="A28627" s="83"/>
      <c r="H28627" s="83"/>
      <c r="K28627" s="82"/>
      <c r="M28627" s="112"/>
      <c r="N28627" s="84"/>
    </row>
    <row r="28628" spans="1:14" s="2" customFormat="1">
      <c r="A28628" s="83"/>
      <c r="H28628" s="83"/>
      <c r="K28628" s="82"/>
      <c r="M28628" s="112"/>
      <c r="N28628" s="84"/>
    </row>
    <row r="28629" spans="1:14" s="2" customFormat="1">
      <c r="A28629" s="83"/>
      <c r="H28629" s="83"/>
      <c r="K28629" s="82"/>
      <c r="M28629" s="112"/>
      <c r="N28629" s="84"/>
    </row>
    <row r="28630" spans="1:14" s="2" customFormat="1">
      <c r="A28630" s="83"/>
      <c r="H28630" s="83"/>
      <c r="K28630" s="82"/>
      <c r="M28630" s="112"/>
      <c r="N28630" s="84"/>
    </row>
    <row r="28631" spans="1:14" s="2" customFormat="1">
      <c r="A28631" s="83"/>
      <c r="H28631" s="83"/>
      <c r="K28631" s="82"/>
      <c r="M28631" s="112"/>
      <c r="N28631" s="84"/>
    </row>
    <row r="28632" spans="1:14" s="2" customFormat="1">
      <c r="A28632" s="83"/>
      <c r="H28632" s="83"/>
      <c r="K28632" s="82"/>
      <c r="M28632" s="112"/>
      <c r="N28632" s="84"/>
    </row>
    <row r="28633" spans="1:14" s="2" customFormat="1">
      <c r="A28633" s="83"/>
      <c r="H28633" s="83"/>
      <c r="K28633" s="82"/>
      <c r="M28633" s="112"/>
      <c r="N28633" s="84"/>
    </row>
    <row r="28634" spans="1:14" s="2" customFormat="1">
      <c r="A28634" s="83"/>
      <c r="H28634" s="83"/>
      <c r="K28634" s="82"/>
      <c r="M28634" s="112"/>
      <c r="N28634" s="84"/>
    </row>
    <row r="28635" spans="1:14" s="2" customFormat="1">
      <c r="A28635" s="83"/>
      <c r="H28635" s="83"/>
      <c r="K28635" s="82"/>
      <c r="M28635" s="112"/>
      <c r="N28635" s="84"/>
    </row>
    <row r="28636" spans="1:14" s="2" customFormat="1">
      <c r="A28636" s="83"/>
      <c r="H28636" s="83"/>
      <c r="K28636" s="82"/>
      <c r="M28636" s="112"/>
      <c r="N28636" s="84"/>
    </row>
    <row r="28637" spans="1:14" s="2" customFormat="1">
      <c r="A28637" s="83"/>
      <c r="H28637" s="83"/>
      <c r="K28637" s="82"/>
      <c r="M28637" s="112"/>
      <c r="N28637" s="84"/>
    </row>
    <row r="28638" spans="1:14" s="2" customFormat="1">
      <c r="A28638" s="83"/>
      <c r="H28638" s="83"/>
      <c r="K28638" s="82"/>
      <c r="M28638" s="112"/>
      <c r="N28638" s="84"/>
    </row>
    <row r="28639" spans="1:14" s="2" customFormat="1">
      <c r="A28639" s="83"/>
      <c r="H28639" s="83"/>
      <c r="K28639" s="82"/>
      <c r="M28639" s="112"/>
      <c r="N28639" s="84"/>
    </row>
    <row r="28640" spans="1:14" s="2" customFormat="1">
      <c r="A28640" s="83"/>
      <c r="H28640" s="83"/>
      <c r="K28640" s="82"/>
      <c r="M28640" s="112"/>
      <c r="N28640" s="84"/>
    </row>
    <row r="28641" spans="1:14" s="2" customFormat="1">
      <c r="A28641" s="83"/>
      <c r="H28641" s="83"/>
      <c r="K28641" s="82"/>
      <c r="M28641" s="112"/>
      <c r="N28641" s="84"/>
    </row>
    <row r="28642" spans="1:14" s="2" customFormat="1">
      <c r="A28642" s="83"/>
      <c r="H28642" s="83"/>
      <c r="K28642" s="82"/>
      <c r="M28642" s="112"/>
      <c r="N28642" s="84"/>
    </row>
    <row r="28643" spans="1:14" s="2" customFormat="1">
      <c r="A28643" s="83"/>
      <c r="H28643" s="83"/>
      <c r="K28643" s="82"/>
      <c r="M28643" s="112"/>
      <c r="N28643" s="84"/>
    </row>
    <row r="28644" spans="1:14" s="2" customFormat="1">
      <c r="A28644" s="83"/>
      <c r="H28644" s="83"/>
      <c r="K28644" s="82"/>
      <c r="M28644" s="112"/>
      <c r="N28644" s="84"/>
    </row>
    <row r="28645" spans="1:14" s="2" customFormat="1">
      <c r="A28645" s="83"/>
      <c r="H28645" s="83"/>
      <c r="K28645" s="82"/>
      <c r="M28645" s="112"/>
      <c r="N28645" s="84"/>
    </row>
    <row r="28646" spans="1:14" s="2" customFormat="1">
      <c r="A28646" s="83"/>
      <c r="H28646" s="83"/>
      <c r="K28646" s="82"/>
      <c r="M28646" s="112"/>
      <c r="N28646" s="84"/>
    </row>
    <row r="28647" spans="1:14" s="2" customFormat="1">
      <c r="A28647" s="83"/>
      <c r="H28647" s="83"/>
      <c r="K28647" s="82"/>
      <c r="M28647" s="112"/>
      <c r="N28647" s="84"/>
    </row>
    <row r="28648" spans="1:14" s="2" customFormat="1">
      <c r="A28648" s="83"/>
      <c r="H28648" s="83"/>
      <c r="K28648" s="82"/>
      <c r="M28648" s="112"/>
      <c r="N28648" s="84"/>
    </row>
    <row r="28649" spans="1:14" s="2" customFormat="1">
      <c r="A28649" s="83"/>
      <c r="H28649" s="83"/>
      <c r="K28649" s="82"/>
      <c r="M28649" s="112"/>
      <c r="N28649" s="84"/>
    </row>
    <row r="28650" spans="1:14" s="2" customFormat="1">
      <c r="A28650" s="83"/>
      <c r="H28650" s="83"/>
      <c r="K28650" s="82"/>
      <c r="M28650" s="112"/>
      <c r="N28650" s="84"/>
    </row>
    <row r="28651" spans="1:14" s="2" customFormat="1">
      <c r="A28651" s="83"/>
      <c r="H28651" s="83"/>
      <c r="K28651" s="82"/>
      <c r="M28651" s="112"/>
      <c r="N28651" s="84"/>
    </row>
    <row r="28652" spans="1:14" s="2" customFormat="1">
      <c r="A28652" s="83"/>
      <c r="H28652" s="83"/>
      <c r="K28652" s="82"/>
      <c r="M28652" s="112"/>
      <c r="N28652" s="84"/>
    </row>
    <row r="28653" spans="1:14" s="2" customFormat="1">
      <c r="A28653" s="83"/>
      <c r="H28653" s="83"/>
      <c r="K28653" s="82"/>
      <c r="M28653" s="112"/>
      <c r="N28653" s="84"/>
    </row>
    <row r="28654" spans="1:14" s="2" customFormat="1">
      <c r="A28654" s="83"/>
      <c r="H28654" s="83"/>
      <c r="K28654" s="82"/>
      <c r="M28654" s="112"/>
      <c r="N28654" s="84"/>
    </row>
    <row r="28655" spans="1:14" s="2" customFormat="1">
      <c r="A28655" s="83"/>
      <c r="H28655" s="83"/>
      <c r="K28655" s="82"/>
      <c r="M28655" s="112"/>
      <c r="N28655" s="84"/>
    </row>
    <row r="28656" spans="1:14" s="2" customFormat="1">
      <c r="A28656" s="83"/>
      <c r="H28656" s="83"/>
      <c r="K28656" s="82"/>
      <c r="M28656" s="112"/>
      <c r="N28656" s="84"/>
    </row>
    <row r="28657" spans="1:14" s="2" customFormat="1">
      <c r="A28657" s="83"/>
      <c r="H28657" s="83"/>
      <c r="K28657" s="82"/>
      <c r="M28657" s="112"/>
      <c r="N28657" s="84"/>
    </row>
    <row r="28658" spans="1:14" s="2" customFormat="1">
      <c r="A28658" s="83"/>
      <c r="H28658" s="83"/>
      <c r="K28658" s="82"/>
      <c r="M28658" s="112"/>
      <c r="N28658" s="84"/>
    </row>
    <row r="28659" spans="1:14" s="2" customFormat="1">
      <c r="A28659" s="83"/>
      <c r="H28659" s="83"/>
      <c r="K28659" s="82"/>
      <c r="M28659" s="112"/>
      <c r="N28659" s="84"/>
    </row>
    <row r="28660" spans="1:14" s="2" customFormat="1">
      <c r="A28660" s="83"/>
      <c r="H28660" s="83"/>
      <c r="K28660" s="82"/>
      <c r="M28660" s="112"/>
      <c r="N28660" s="84"/>
    </row>
    <row r="28661" spans="1:14" s="2" customFormat="1">
      <c r="A28661" s="83"/>
      <c r="H28661" s="83"/>
      <c r="K28661" s="82"/>
      <c r="M28661" s="112"/>
      <c r="N28661" s="84"/>
    </row>
    <row r="28662" spans="1:14" s="2" customFormat="1">
      <c r="A28662" s="83"/>
      <c r="H28662" s="83"/>
      <c r="K28662" s="82"/>
      <c r="M28662" s="112"/>
      <c r="N28662" s="84"/>
    </row>
    <row r="28663" spans="1:14" s="2" customFormat="1">
      <c r="A28663" s="83"/>
      <c r="H28663" s="83"/>
      <c r="K28663" s="82"/>
      <c r="M28663" s="112"/>
      <c r="N28663" s="84"/>
    </row>
    <row r="28664" spans="1:14" s="2" customFormat="1">
      <c r="A28664" s="83"/>
      <c r="H28664" s="83"/>
      <c r="K28664" s="82"/>
      <c r="M28664" s="112"/>
      <c r="N28664" s="84"/>
    </row>
    <row r="28665" spans="1:14" s="2" customFormat="1">
      <c r="A28665" s="83"/>
      <c r="H28665" s="83"/>
      <c r="K28665" s="82"/>
      <c r="M28665" s="112"/>
      <c r="N28665" s="84"/>
    </row>
    <row r="28666" spans="1:14" s="2" customFormat="1">
      <c r="A28666" s="83"/>
      <c r="H28666" s="83"/>
      <c r="K28666" s="82"/>
      <c r="M28666" s="112"/>
      <c r="N28666" s="84"/>
    </row>
    <row r="28667" spans="1:14" s="2" customFormat="1">
      <c r="A28667" s="83"/>
      <c r="H28667" s="83"/>
      <c r="K28667" s="82"/>
      <c r="M28667" s="112"/>
      <c r="N28667" s="84"/>
    </row>
    <row r="28668" spans="1:14" s="2" customFormat="1">
      <c r="A28668" s="83"/>
      <c r="H28668" s="83"/>
      <c r="K28668" s="82"/>
      <c r="M28668" s="112"/>
      <c r="N28668" s="84"/>
    </row>
    <row r="28669" spans="1:14" s="2" customFormat="1">
      <c r="A28669" s="83"/>
      <c r="H28669" s="83"/>
      <c r="K28669" s="82"/>
      <c r="M28669" s="112"/>
      <c r="N28669" s="84"/>
    </row>
    <row r="28670" spans="1:14" s="2" customFormat="1">
      <c r="A28670" s="83"/>
      <c r="H28670" s="83"/>
      <c r="K28670" s="82"/>
      <c r="M28670" s="112"/>
      <c r="N28670" s="84"/>
    </row>
    <row r="28671" spans="1:14" s="2" customFormat="1">
      <c r="A28671" s="83"/>
      <c r="H28671" s="83"/>
      <c r="K28671" s="82"/>
      <c r="M28671" s="112"/>
      <c r="N28671" s="84"/>
    </row>
    <row r="28672" spans="1:14" s="2" customFormat="1">
      <c r="A28672" s="83"/>
      <c r="H28672" s="83"/>
      <c r="K28672" s="82"/>
      <c r="M28672" s="112"/>
      <c r="N28672" s="84"/>
    </row>
    <row r="28673" spans="1:14" s="2" customFormat="1">
      <c r="A28673" s="83"/>
      <c r="H28673" s="83"/>
      <c r="K28673" s="82"/>
      <c r="M28673" s="112"/>
      <c r="N28673" s="84"/>
    </row>
    <row r="28674" spans="1:14" s="2" customFormat="1">
      <c r="A28674" s="83"/>
      <c r="H28674" s="83"/>
      <c r="K28674" s="82"/>
      <c r="M28674" s="112"/>
      <c r="N28674" s="84"/>
    </row>
    <row r="28675" spans="1:14" s="2" customFormat="1">
      <c r="A28675" s="83"/>
      <c r="H28675" s="83"/>
      <c r="K28675" s="82"/>
      <c r="M28675" s="112"/>
      <c r="N28675" s="84"/>
    </row>
    <row r="28676" spans="1:14" s="2" customFormat="1">
      <c r="A28676" s="83"/>
      <c r="H28676" s="83"/>
      <c r="K28676" s="82"/>
      <c r="M28676" s="112"/>
      <c r="N28676" s="84"/>
    </row>
    <row r="28677" spans="1:14" s="2" customFormat="1">
      <c r="A28677" s="83"/>
      <c r="H28677" s="83"/>
      <c r="K28677" s="82"/>
      <c r="M28677" s="112"/>
      <c r="N28677" s="84"/>
    </row>
    <row r="28678" spans="1:14" s="2" customFormat="1">
      <c r="A28678" s="83"/>
      <c r="H28678" s="83"/>
      <c r="K28678" s="82"/>
      <c r="M28678" s="112"/>
      <c r="N28678" s="84"/>
    </row>
    <row r="28679" spans="1:14" s="2" customFormat="1">
      <c r="A28679" s="83"/>
      <c r="H28679" s="83"/>
      <c r="K28679" s="82"/>
      <c r="M28679" s="112"/>
      <c r="N28679" s="84"/>
    </row>
    <row r="28680" spans="1:14" s="2" customFormat="1">
      <c r="A28680" s="83"/>
      <c r="H28680" s="83"/>
      <c r="K28680" s="82"/>
      <c r="M28680" s="112"/>
      <c r="N28680" s="84"/>
    </row>
    <row r="28681" spans="1:14" s="2" customFormat="1">
      <c r="A28681" s="83"/>
      <c r="H28681" s="83"/>
      <c r="K28681" s="82"/>
      <c r="M28681" s="112"/>
      <c r="N28681" s="84"/>
    </row>
    <row r="28682" spans="1:14" s="2" customFormat="1">
      <c r="A28682" s="83"/>
      <c r="H28682" s="83"/>
      <c r="K28682" s="82"/>
      <c r="M28682" s="112"/>
      <c r="N28682" s="84"/>
    </row>
    <row r="28683" spans="1:14" s="2" customFormat="1">
      <c r="A28683" s="83"/>
      <c r="H28683" s="83"/>
      <c r="K28683" s="82"/>
      <c r="M28683" s="112"/>
      <c r="N28683" s="84"/>
    </row>
    <row r="28684" spans="1:14" s="2" customFormat="1">
      <c r="A28684" s="83"/>
      <c r="H28684" s="83"/>
      <c r="K28684" s="82"/>
      <c r="M28684" s="112"/>
      <c r="N28684" s="84"/>
    </row>
    <row r="28685" spans="1:14" s="2" customFormat="1">
      <c r="A28685" s="83"/>
      <c r="H28685" s="83"/>
      <c r="K28685" s="82"/>
      <c r="M28685" s="112"/>
      <c r="N28685" s="84"/>
    </row>
    <row r="28686" spans="1:14" s="2" customFormat="1">
      <c r="A28686" s="83"/>
      <c r="H28686" s="83"/>
      <c r="K28686" s="82"/>
      <c r="M28686" s="112"/>
      <c r="N28686" s="84"/>
    </row>
    <row r="28687" spans="1:14" s="2" customFormat="1">
      <c r="A28687" s="83"/>
      <c r="H28687" s="83"/>
      <c r="K28687" s="82"/>
      <c r="M28687" s="112"/>
      <c r="N28687" s="84"/>
    </row>
    <row r="28688" spans="1:14" s="2" customFormat="1">
      <c r="A28688" s="83"/>
      <c r="H28688" s="83"/>
      <c r="K28688" s="82"/>
      <c r="M28688" s="112"/>
      <c r="N28688" s="84"/>
    </row>
    <row r="28689" spans="1:14" s="2" customFormat="1">
      <c r="A28689" s="83"/>
      <c r="H28689" s="83"/>
      <c r="K28689" s="82"/>
      <c r="M28689" s="112"/>
      <c r="N28689" s="84"/>
    </row>
    <row r="28690" spans="1:14" s="2" customFormat="1">
      <c r="A28690" s="83"/>
      <c r="H28690" s="83"/>
      <c r="K28690" s="82"/>
      <c r="M28690" s="112"/>
      <c r="N28690" s="84"/>
    </row>
    <row r="28691" spans="1:14" s="2" customFormat="1">
      <c r="A28691" s="83"/>
      <c r="H28691" s="83"/>
      <c r="K28691" s="82"/>
      <c r="M28691" s="112"/>
      <c r="N28691" s="84"/>
    </row>
    <row r="28692" spans="1:14" s="2" customFormat="1">
      <c r="A28692" s="83"/>
      <c r="H28692" s="83"/>
      <c r="K28692" s="82"/>
      <c r="M28692" s="112"/>
      <c r="N28692" s="84"/>
    </row>
    <row r="28693" spans="1:14" s="2" customFormat="1">
      <c r="A28693" s="83"/>
      <c r="H28693" s="83"/>
      <c r="K28693" s="82"/>
      <c r="M28693" s="112"/>
      <c r="N28693" s="84"/>
    </row>
    <row r="28694" spans="1:14" s="2" customFormat="1">
      <c r="A28694" s="83"/>
      <c r="H28694" s="83"/>
      <c r="K28694" s="82"/>
      <c r="M28694" s="112"/>
      <c r="N28694" s="84"/>
    </row>
    <row r="28695" spans="1:14" s="2" customFormat="1">
      <c r="A28695" s="83"/>
      <c r="H28695" s="83"/>
      <c r="K28695" s="82"/>
      <c r="M28695" s="112"/>
      <c r="N28695" s="84"/>
    </row>
    <row r="28696" spans="1:14" s="2" customFormat="1">
      <c r="A28696" s="83"/>
      <c r="H28696" s="83"/>
      <c r="K28696" s="82"/>
      <c r="M28696" s="112"/>
      <c r="N28696" s="84"/>
    </row>
    <row r="28697" spans="1:14" s="2" customFormat="1">
      <c r="A28697" s="83"/>
      <c r="H28697" s="83"/>
      <c r="K28697" s="82"/>
      <c r="M28697" s="112"/>
      <c r="N28697" s="84"/>
    </row>
    <row r="28698" spans="1:14" s="2" customFormat="1">
      <c r="A28698" s="83"/>
      <c r="H28698" s="83"/>
      <c r="K28698" s="82"/>
      <c r="M28698" s="112"/>
      <c r="N28698" s="84"/>
    </row>
    <row r="28699" spans="1:14" s="2" customFormat="1">
      <c r="A28699" s="83"/>
      <c r="H28699" s="83"/>
      <c r="K28699" s="82"/>
      <c r="M28699" s="112"/>
      <c r="N28699" s="84"/>
    </row>
    <row r="28700" spans="1:14" s="2" customFormat="1">
      <c r="A28700" s="83"/>
      <c r="H28700" s="83"/>
      <c r="K28700" s="82"/>
      <c r="M28700" s="112"/>
      <c r="N28700" s="84"/>
    </row>
    <row r="28701" spans="1:14" s="2" customFormat="1">
      <c r="A28701" s="83"/>
      <c r="H28701" s="83"/>
      <c r="K28701" s="82"/>
      <c r="M28701" s="112"/>
      <c r="N28701" s="84"/>
    </row>
    <row r="28702" spans="1:14" s="2" customFormat="1">
      <c r="A28702" s="83"/>
      <c r="H28702" s="83"/>
      <c r="K28702" s="82"/>
      <c r="M28702" s="112"/>
      <c r="N28702" s="84"/>
    </row>
    <row r="28703" spans="1:14" s="2" customFormat="1">
      <c r="A28703" s="83"/>
      <c r="H28703" s="83"/>
      <c r="K28703" s="82"/>
      <c r="M28703" s="112"/>
      <c r="N28703" s="84"/>
    </row>
    <row r="28704" spans="1:14" s="2" customFormat="1">
      <c r="A28704" s="83"/>
      <c r="H28704" s="83"/>
      <c r="K28704" s="82"/>
      <c r="M28704" s="112"/>
      <c r="N28704" s="84"/>
    </row>
    <row r="28705" spans="1:14" s="2" customFormat="1">
      <c r="A28705" s="83"/>
      <c r="H28705" s="83"/>
      <c r="K28705" s="82"/>
      <c r="M28705" s="112"/>
      <c r="N28705" s="84"/>
    </row>
    <row r="28706" spans="1:14" s="2" customFormat="1">
      <c r="A28706" s="83"/>
      <c r="H28706" s="83"/>
      <c r="K28706" s="82"/>
      <c r="M28706" s="112"/>
      <c r="N28706" s="84"/>
    </row>
    <row r="28707" spans="1:14" s="2" customFormat="1">
      <c r="A28707" s="83"/>
      <c r="H28707" s="83"/>
      <c r="K28707" s="82"/>
      <c r="M28707" s="112"/>
      <c r="N28707" s="84"/>
    </row>
    <row r="28708" spans="1:14" s="2" customFormat="1">
      <c r="A28708" s="83"/>
      <c r="H28708" s="83"/>
      <c r="K28708" s="82"/>
      <c r="M28708" s="112"/>
      <c r="N28708" s="84"/>
    </row>
    <row r="28709" spans="1:14" s="2" customFormat="1">
      <c r="A28709" s="83"/>
      <c r="H28709" s="83"/>
      <c r="K28709" s="82"/>
      <c r="M28709" s="112"/>
      <c r="N28709" s="84"/>
    </row>
    <row r="28710" spans="1:14" s="2" customFormat="1">
      <c r="A28710" s="83"/>
      <c r="H28710" s="83"/>
      <c r="K28710" s="82"/>
      <c r="M28710" s="112"/>
      <c r="N28710" s="84"/>
    </row>
    <row r="28711" spans="1:14" s="2" customFormat="1">
      <c r="A28711" s="83"/>
      <c r="H28711" s="83"/>
      <c r="K28711" s="82"/>
      <c r="M28711" s="112"/>
      <c r="N28711" s="84"/>
    </row>
    <row r="28712" spans="1:14" s="2" customFormat="1">
      <c r="A28712" s="83"/>
      <c r="H28712" s="83"/>
      <c r="K28712" s="82"/>
      <c r="M28712" s="112"/>
      <c r="N28712" s="84"/>
    </row>
    <row r="28713" spans="1:14" s="2" customFormat="1">
      <c r="A28713" s="83"/>
      <c r="H28713" s="83"/>
      <c r="K28713" s="82"/>
      <c r="M28713" s="112"/>
      <c r="N28713" s="84"/>
    </row>
    <row r="28714" spans="1:14" s="2" customFormat="1">
      <c r="A28714" s="83"/>
      <c r="H28714" s="83"/>
      <c r="K28714" s="82"/>
      <c r="M28714" s="112"/>
      <c r="N28714" s="84"/>
    </row>
    <row r="28715" spans="1:14" s="2" customFormat="1">
      <c r="A28715" s="83"/>
      <c r="H28715" s="83"/>
      <c r="K28715" s="82"/>
      <c r="M28715" s="112"/>
      <c r="N28715" s="84"/>
    </row>
    <row r="28716" spans="1:14" s="2" customFormat="1">
      <c r="A28716" s="83"/>
      <c r="H28716" s="83"/>
      <c r="K28716" s="82"/>
      <c r="M28716" s="112"/>
      <c r="N28716" s="84"/>
    </row>
    <row r="28717" spans="1:14" s="2" customFormat="1">
      <c r="A28717" s="83"/>
      <c r="H28717" s="83"/>
      <c r="K28717" s="82"/>
      <c r="M28717" s="112"/>
      <c r="N28717" s="84"/>
    </row>
    <row r="28718" spans="1:14" s="2" customFormat="1">
      <c r="A28718" s="83"/>
      <c r="H28718" s="83"/>
      <c r="K28718" s="82"/>
      <c r="M28718" s="112"/>
      <c r="N28718" s="84"/>
    </row>
    <row r="28719" spans="1:14" s="2" customFormat="1">
      <c r="A28719" s="83"/>
      <c r="H28719" s="83"/>
      <c r="K28719" s="82"/>
      <c r="M28719" s="112"/>
      <c r="N28719" s="84"/>
    </row>
    <row r="28720" spans="1:14" s="2" customFormat="1">
      <c r="A28720" s="83"/>
      <c r="H28720" s="83"/>
      <c r="K28720" s="82"/>
      <c r="M28720" s="112"/>
      <c r="N28720" s="84"/>
    </row>
    <row r="28721" spans="1:14" s="2" customFormat="1">
      <c r="A28721" s="83"/>
      <c r="H28721" s="83"/>
      <c r="K28721" s="82"/>
      <c r="M28721" s="112"/>
      <c r="N28721" s="84"/>
    </row>
    <row r="28722" spans="1:14" s="2" customFormat="1">
      <c r="A28722" s="83"/>
      <c r="H28722" s="83"/>
      <c r="K28722" s="82"/>
      <c r="M28722" s="112"/>
      <c r="N28722" s="84"/>
    </row>
    <row r="28723" spans="1:14" s="2" customFormat="1">
      <c r="A28723" s="83"/>
      <c r="H28723" s="83"/>
      <c r="K28723" s="82"/>
      <c r="M28723" s="112"/>
      <c r="N28723" s="84"/>
    </row>
    <row r="28724" spans="1:14" s="2" customFormat="1">
      <c r="A28724" s="83"/>
      <c r="H28724" s="83"/>
      <c r="K28724" s="82"/>
      <c r="M28724" s="112"/>
      <c r="N28724" s="84"/>
    </row>
    <row r="28725" spans="1:14" s="2" customFormat="1">
      <c r="A28725" s="83"/>
      <c r="H28725" s="83"/>
      <c r="K28725" s="82"/>
      <c r="M28725" s="112"/>
      <c r="N28725" s="84"/>
    </row>
    <row r="28726" spans="1:14" s="2" customFormat="1">
      <c r="A28726" s="83"/>
      <c r="H28726" s="83"/>
      <c r="K28726" s="82"/>
      <c r="M28726" s="112"/>
      <c r="N28726" s="84"/>
    </row>
    <row r="28727" spans="1:14" s="2" customFormat="1">
      <c r="A28727" s="83"/>
      <c r="H28727" s="83"/>
      <c r="K28727" s="82"/>
      <c r="M28727" s="112"/>
      <c r="N28727" s="84"/>
    </row>
    <row r="28728" spans="1:14" s="2" customFormat="1">
      <c r="A28728" s="83"/>
      <c r="H28728" s="83"/>
      <c r="K28728" s="82"/>
      <c r="M28728" s="112"/>
      <c r="N28728" s="84"/>
    </row>
    <row r="28729" spans="1:14" s="2" customFormat="1">
      <c r="A28729" s="83"/>
      <c r="H28729" s="83"/>
      <c r="K28729" s="82"/>
      <c r="M28729" s="112"/>
      <c r="N28729" s="84"/>
    </row>
    <row r="28730" spans="1:14" s="2" customFormat="1">
      <c r="A28730" s="83"/>
      <c r="H28730" s="83"/>
      <c r="K28730" s="82"/>
      <c r="M28730" s="112"/>
      <c r="N28730" s="84"/>
    </row>
    <row r="28731" spans="1:14" s="2" customFormat="1">
      <c r="A28731" s="83"/>
      <c r="H28731" s="83"/>
      <c r="K28731" s="82"/>
      <c r="M28731" s="112"/>
      <c r="N28731" s="84"/>
    </row>
    <row r="28732" spans="1:14" s="2" customFormat="1">
      <c r="A28732" s="83"/>
      <c r="H28732" s="83"/>
      <c r="K28732" s="82"/>
      <c r="M28732" s="112"/>
      <c r="N28732" s="84"/>
    </row>
    <row r="28733" spans="1:14" s="2" customFormat="1">
      <c r="A28733" s="83"/>
      <c r="H28733" s="83"/>
      <c r="K28733" s="82"/>
      <c r="M28733" s="112"/>
      <c r="N28733" s="84"/>
    </row>
    <row r="28734" spans="1:14" s="2" customFormat="1">
      <c r="A28734" s="83"/>
      <c r="H28734" s="83"/>
      <c r="K28734" s="82"/>
      <c r="M28734" s="112"/>
      <c r="N28734" s="84"/>
    </row>
    <row r="28735" spans="1:14" s="2" customFormat="1">
      <c r="A28735" s="83"/>
      <c r="H28735" s="83"/>
      <c r="K28735" s="82"/>
      <c r="M28735" s="112"/>
      <c r="N28735" s="84"/>
    </row>
    <row r="28736" spans="1:14" s="2" customFormat="1">
      <c r="A28736" s="83"/>
      <c r="H28736" s="83"/>
      <c r="K28736" s="82"/>
      <c r="M28736" s="112"/>
      <c r="N28736" s="84"/>
    </row>
    <row r="28737" spans="1:14" s="2" customFormat="1">
      <c r="A28737" s="83"/>
      <c r="H28737" s="83"/>
      <c r="K28737" s="82"/>
      <c r="M28737" s="112"/>
      <c r="N28737" s="84"/>
    </row>
    <row r="28738" spans="1:14" s="2" customFormat="1">
      <c r="A28738" s="83"/>
      <c r="H28738" s="83"/>
      <c r="K28738" s="82"/>
      <c r="M28738" s="112"/>
      <c r="N28738" s="84"/>
    </row>
    <row r="28739" spans="1:14" s="2" customFormat="1">
      <c r="A28739" s="83"/>
      <c r="H28739" s="83"/>
      <c r="K28739" s="82"/>
      <c r="M28739" s="112"/>
      <c r="N28739" s="84"/>
    </row>
    <row r="28740" spans="1:14" s="2" customFormat="1">
      <c r="A28740" s="83"/>
      <c r="H28740" s="83"/>
      <c r="K28740" s="82"/>
      <c r="M28740" s="112"/>
      <c r="N28740" s="84"/>
    </row>
    <row r="28741" spans="1:14" s="2" customFormat="1">
      <c r="A28741" s="83"/>
      <c r="H28741" s="83"/>
      <c r="K28741" s="82"/>
      <c r="M28741" s="112"/>
      <c r="N28741" s="84"/>
    </row>
    <row r="28742" spans="1:14" s="2" customFormat="1">
      <c r="A28742" s="83"/>
      <c r="H28742" s="83"/>
      <c r="K28742" s="82"/>
      <c r="M28742" s="112"/>
      <c r="N28742" s="84"/>
    </row>
    <row r="28743" spans="1:14" s="2" customFormat="1">
      <c r="A28743" s="83"/>
      <c r="H28743" s="83"/>
      <c r="K28743" s="82"/>
      <c r="M28743" s="112"/>
      <c r="N28743" s="84"/>
    </row>
    <row r="28744" spans="1:14" s="2" customFormat="1">
      <c r="A28744" s="83"/>
      <c r="H28744" s="83"/>
      <c r="K28744" s="82"/>
      <c r="M28744" s="112"/>
      <c r="N28744" s="84"/>
    </row>
    <row r="28745" spans="1:14" s="2" customFormat="1">
      <c r="A28745" s="83"/>
      <c r="H28745" s="83"/>
      <c r="K28745" s="82"/>
      <c r="M28745" s="112"/>
      <c r="N28745" s="84"/>
    </row>
    <row r="28746" spans="1:14" s="2" customFormat="1">
      <c r="A28746" s="83"/>
      <c r="H28746" s="83"/>
      <c r="K28746" s="82"/>
      <c r="M28746" s="112"/>
      <c r="N28746" s="84"/>
    </row>
    <row r="28747" spans="1:14" s="2" customFormat="1">
      <c r="A28747" s="83"/>
      <c r="H28747" s="83"/>
      <c r="K28747" s="82"/>
      <c r="M28747" s="112"/>
      <c r="N28747" s="84"/>
    </row>
    <row r="28748" spans="1:14" s="2" customFormat="1">
      <c r="A28748" s="83"/>
      <c r="H28748" s="83"/>
      <c r="K28748" s="82"/>
      <c r="M28748" s="112"/>
      <c r="N28748" s="84"/>
    </row>
    <row r="28749" spans="1:14" s="2" customFormat="1">
      <c r="A28749" s="83"/>
      <c r="H28749" s="83"/>
      <c r="K28749" s="82"/>
      <c r="M28749" s="112"/>
      <c r="N28749" s="84"/>
    </row>
    <row r="28750" spans="1:14" s="2" customFormat="1">
      <c r="A28750" s="83"/>
      <c r="H28750" s="83"/>
      <c r="K28750" s="82"/>
      <c r="M28750" s="112"/>
      <c r="N28750" s="84"/>
    </row>
    <row r="28751" spans="1:14" s="2" customFormat="1">
      <c r="A28751" s="83"/>
      <c r="H28751" s="83"/>
      <c r="K28751" s="82"/>
      <c r="M28751" s="112"/>
      <c r="N28751" s="84"/>
    </row>
    <row r="28752" spans="1:14" s="2" customFormat="1">
      <c r="A28752" s="83"/>
      <c r="H28752" s="83"/>
      <c r="K28752" s="82"/>
      <c r="M28752" s="112"/>
      <c r="N28752" s="84"/>
    </row>
    <row r="28753" spans="1:14" s="2" customFormat="1">
      <c r="A28753" s="83"/>
      <c r="H28753" s="83"/>
      <c r="K28753" s="82"/>
      <c r="M28753" s="112"/>
      <c r="N28753" s="84"/>
    </row>
    <row r="28754" spans="1:14" s="2" customFormat="1">
      <c r="A28754" s="83"/>
      <c r="H28754" s="83"/>
      <c r="K28754" s="82"/>
      <c r="M28754" s="112"/>
      <c r="N28754" s="84"/>
    </row>
    <row r="28755" spans="1:14" s="2" customFormat="1">
      <c r="A28755" s="83"/>
      <c r="H28755" s="83"/>
      <c r="K28755" s="82"/>
      <c r="M28755" s="112"/>
      <c r="N28755" s="84"/>
    </row>
    <row r="28756" spans="1:14" s="2" customFormat="1">
      <c r="A28756" s="83"/>
      <c r="H28756" s="83"/>
      <c r="K28756" s="82"/>
      <c r="M28756" s="112"/>
      <c r="N28756" s="84"/>
    </row>
    <row r="28757" spans="1:14" s="2" customFormat="1">
      <c r="A28757" s="83"/>
      <c r="H28757" s="83"/>
      <c r="K28757" s="82"/>
      <c r="M28757" s="112"/>
      <c r="N28757" s="84"/>
    </row>
    <row r="28758" spans="1:14" s="2" customFormat="1">
      <c r="A28758" s="83"/>
      <c r="H28758" s="83"/>
      <c r="K28758" s="82"/>
      <c r="M28758" s="112"/>
      <c r="N28758" s="84"/>
    </row>
    <row r="28759" spans="1:14" s="2" customFormat="1">
      <c r="A28759" s="83"/>
      <c r="H28759" s="83"/>
      <c r="K28759" s="82"/>
      <c r="M28759" s="112"/>
      <c r="N28759" s="84"/>
    </row>
    <row r="28760" spans="1:14" s="2" customFormat="1">
      <c r="A28760" s="83"/>
      <c r="H28760" s="83"/>
      <c r="K28760" s="82"/>
      <c r="M28760" s="112"/>
      <c r="N28760" s="84"/>
    </row>
    <row r="28761" spans="1:14" s="2" customFormat="1">
      <c r="A28761" s="83"/>
      <c r="H28761" s="83"/>
      <c r="K28761" s="82"/>
      <c r="M28761" s="112"/>
      <c r="N28761" s="84"/>
    </row>
    <row r="28762" spans="1:14" s="2" customFormat="1">
      <c r="A28762" s="83"/>
      <c r="H28762" s="83"/>
      <c r="K28762" s="82"/>
      <c r="M28762" s="112"/>
      <c r="N28762" s="84"/>
    </row>
    <row r="28763" spans="1:14" s="2" customFormat="1">
      <c r="A28763" s="83"/>
      <c r="H28763" s="83"/>
      <c r="K28763" s="82"/>
      <c r="M28763" s="112"/>
      <c r="N28763" s="84"/>
    </row>
    <row r="28764" spans="1:14" s="2" customFormat="1">
      <c r="A28764" s="83"/>
      <c r="H28764" s="83"/>
      <c r="K28764" s="82"/>
      <c r="M28764" s="112"/>
      <c r="N28764" s="84"/>
    </row>
    <row r="28765" spans="1:14" s="2" customFormat="1">
      <c r="A28765" s="83"/>
      <c r="H28765" s="83"/>
      <c r="K28765" s="82"/>
      <c r="M28765" s="112"/>
      <c r="N28765" s="84"/>
    </row>
    <row r="28766" spans="1:14" s="2" customFormat="1">
      <c r="A28766" s="83"/>
      <c r="H28766" s="83"/>
      <c r="K28766" s="82"/>
      <c r="M28766" s="112"/>
      <c r="N28766" s="84"/>
    </row>
    <row r="28767" spans="1:14" s="2" customFormat="1">
      <c r="A28767" s="83"/>
      <c r="H28767" s="83"/>
      <c r="K28767" s="82"/>
      <c r="M28767" s="112"/>
      <c r="N28767" s="84"/>
    </row>
    <row r="28768" spans="1:14" s="2" customFormat="1">
      <c r="A28768" s="83"/>
      <c r="H28768" s="83"/>
      <c r="K28768" s="82"/>
      <c r="M28768" s="112"/>
      <c r="N28768" s="84"/>
    </row>
    <row r="28769" spans="1:14" s="2" customFormat="1">
      <c r="A28769" s="83"/>
      <c r="H28769" s="83"/>
      <c r="K28769" s="82"/>
      <c r="M28769" s="112"/>
      <c r="N28769" s="84"/>
    </row>
    <row r="28770" spans="1:14" s="2" customFormat="1">
      <c r="A28770" s="83"/>
      <c r="H28770" s="83"/>
      <c r="K28770" s="82"/>
      <c r="M28770" s="112"/>
      <c r="N28770" s="84"/>
    </row>
    <row r="28771" spans="1:14" s="2" customFormat="1">
      <c r="A28771" s="83"/>
      <c r="H28771" s="83"/>
      <c r="K28771" s="82"/>
      <c r="M28771" s="112"/>
      <c r="N28771" s="84"/>
    </row>
    <row r="28772" spans="1:14" s="2" customFormat="1">
      <c r="A28772" s="83"/>
      <c r="H28772" s="83"/>
      <c r="K28772" s="82"/>
      <c r="M28772" s="112"/>
      <c r="N28772" s="84"/>
    </row>
    <row r="28773" spans="1:14" s="2" customFormat="1">
      <c r="A28773" s="83"/>
      <c r="H28773" s="83"/>
      <c r="K28773" s="82"/>
      <c r="M28773" s="112"/>
      <c r="N28773" s="84"/>
    </row>
    <row r="28774" spans="1:14" s="2" customFormat="1">
      <c r="A28774" s="83"/>
      <c r="H28774" s="83"/>
      <c r="K28774" s="82"/>
      <c r="M28774" s="112"/>
      <c r="N28774" s="84"/>
    </row>
    <row r="28775" spans="1:14" s="2" customFormat="1">
      <c r="A28775" s="83"/>
      <c r="H28775" s="83"/>
      <c r="K28775" s="82"/>
      <c r="M28775" s="112"/>
      <c r="N28775" s="84"/>
    </row>
    <row r="28776" spans="1:14" s="2" customFormat="1">
      <c r="A28776" s="83"/>
      <c r="H28776" s="83"/>
      <c r="K28776" s="82"/>
      <c r="M28776" s="112"/>
      <c r="N28776" s="84"/>
    </row>
    <row r="28777" spans="1:14" s="2" customFormat="1">
      <c r="A28777" s="83"/>
      <c r="H28777" s="83"/>
      <c r="K28777" s="82"/>
      <c r="M28777" s="112"/>
      <c r="N28777" s="84"/>
    </row>
    <row r="28778" spans="1:14" s="2" customFormat="1">
      <c r="A28778" s="83"/>
      <c r="H28778" s="83"/>
      <c r="K28778" s="82"/>
      <c r="M28778" s="112"/>
      <c r="N28778" s="84"/>
    </row>
    <row r="28779" spans="1:14" s="2" customFormat="1">
      <c r="A28779" s="83"/>
      <c r="H28779" s="83"/>
      <c r="K28779" s="82"/>
      <c r="M28779" s="112"/>
      <c r="N28779" s="84"/>
    </row>
    <row r="28780" spans="1:14" s="2" customFormat="1">
      <c r="A28780" s="83"/>
      <c r="H28780" s="83"/>
      <c r="K28780" s="82"/>
      <c r="M28780" s="112"/>
      <c r="N28780" s="84"/>
    </row>
    <row r="28781" spans="1:14" s="2" customFormat="1">
      <c r="A28781" s="83"/>
      <c r="H28781" s="83"/>
      <c r="K28781" s="82"/>
      <c r="M28781" s="112"/>
      <c r="N28781" s="84"/>
    </row>
    <row r="28782" spans="1:14" s="2" customFormat="1">
      <c r="A28782" s="83"/>
      <c r="H28782" s="83"/>
      <c r="K28782" s="82"/>
      <c r="M28782" s="112"/>
      <c r="N28782" s="84"/>
    </row>
    <row r="28783" spans="1:14" s="2" customFormat="1">
      <c r="A28783" s="83"/>
      <c r="H28783" s="83"/>
      <c r="K28783" s="82"/>
      <c r="M28783" s="112"/>
      <c r="N28783" s="84"/>
    </row>
    <row r="28784" spans="1:14" s="2" customFormat="1">
      <c r="A28784" s="83"/>
      <c r="H28784" s="83"/>
      <c r="K28784" s="82"/>
      <c r="M28784" s="112"/>
      <c r="N28784" s="84"/>
    </row>
    <row r="28785" spans="1:14" s="2" customFormat="1">
      <c r="A28785" s="83"/>
      <c r="H28785" s="83"/>
      <c r="K28785" s="82"/>
      <c r="M28785" s="112"/>
      <c r="N28785" s="84"/>
    </row>
    <row r="28786" spans="1:14" s="2" customFormat="1">
      <c r="A28786" s="83"/>
      <c r="H28786" s="83"/>
      <c r="K28786" s="82"/>
      <c r="M28786" s="112"/>
      <c r="N28786" s="84"/>
    </row>
    <row r="28787" spans="1:14" s="2" customFormat="1">
      <c r="A28787" s="83"/>
      <c r="H28787" s="83"/>
      <c r="K28787" s="82"/>
      <c r="M28787" s="112"/>
      <c r="N28787" s="84"/>
    </row>
    <row r="28788" spans="1:14" s="2" customFormat="1">
      <c r="A28788" s="83"/>
      <c r="H28788" s="83"/>
      <c r="K28788" s="82"/>
      <c r="M28788" s="112"/>
      <c r="N28788" s="84"/>
    </row>
    <row r="28789" spans="1:14" s="2" customFormat="1">
      <c r="A28789" s="83"/>
      <c r="H28789" s="83"/>
      <c r="K28789" s="82"/>
      <c r="M28789" s="112"/>
      <c r="N28789" s="84"/>
    </row>
    <row r="28790" spans="1:14" s="2" customFormat="1">
      <c r="A28790" s="83"/>
      <c r="H28790" s="83"/>
      <c r="K28790" s="82"/>
      <c r="M28790" s="112"/>
      <c r="N28790" s="84"/>
    </row>
    <row r="28791" spans="1:14" s="2" customFormat="1">
      <c r="A28791" s="83"/>
      <c r="H28791" s="83"/>
      <c r="K28791" s="82"/>
      <c r="M28791" s="112"/>
      <c r="N28791" s="84"/>
    </row>
    <row r="28792" spans="1:14" s="2" customFormat="1">
      <c r="A28792" s="83"/>
      <c r="H28792" s="83"/>
      <c r="K28792" s="82"/>
      <c r="M28792" s="112"/>
      <c r="N28792" s="84"/>
    </row>
    <row r="28793" spans="1:14" s="2" customFormat="1">
      <c r="A28793" s="83"/>
      <c r="H28793" s="83"/>
      <c r="K28793" s="82"/>
      <c r="M28793" s="112"/>
      <c r="N28793" s="84"/>
    </row>
    <row r="28794" spans="1:14" s="2" customFormat="1">
      <c r="A28794" s="83"/>
      <c r="H28794" s="83"/>
      <c r="K28794" s="82"/>
      <c r="M28794" s="112"/>
      <c r="N28794" s="84"/>
    </row>
    <row r="28795" spans="1:14" s="2" customFormat="1">
      <c r="A28795" s="83"/>
      <c r="H28795" s="83"/>
      <c r="K28795" s="82"/>
      <c r="M28795" s="112"/>
      <c r="N28795" s="84"/>
    </row>
    <row r="28796" spans="1:14" s="2" customFormat="1">
      <c r="A28796" s="83"/>
      <c r="H28796" s="83"/>
      <c r="K28796" s="82"/>
      <c r="M28796" s="112"/>
      <c r="N28796" s="84"/>
    </row>
    <row r="28797" spans="1:14" s="2" customFormat="1">
      <c r="A28797" s="83"/>
      <c r="H28797" s="83"/>
      <c r="K28797" s="82"/>
      <c r="M28797" s="112"/>
      <c r="N28797" s="84"/>
    </row>
    <row r="28798" spans="1:14" s="2" customFormat="1">
      <c r="A28798" s="83"/>
      <c r="H28798" s="83"/>
      <c r="K28798" s="82"/>
      <c r="M28798" s="112"/>
      <c r="N28798" s="84"/>
    </row>
    <row r="28799" spans="1:14" s="2" customFormat="1">
      <c r="A28799" s="83"/>
      <c r="H28799" s="83"/>
      <c r="K28799" s="82"/>
      <c r="M28799" s="112"/>
      <c r="N28799" s="84"/>
    </row>
    <row r="28800" spans="1:14" s="2" customFormat="1">
      <c r="A28800" s="83"/>
      <c r="H28800" s="83"/>
      <c r="K28800" s="82"/>
      <c r="M28800" s="112"/>
      <c r="N28800" s="84"/>
    </row>
    <row r="28801" spans="1:14" s="2" customFormat="1">
      <c r="A28801" s="83"/>
      <c r="H28801" s="83"/>
      <c r="K28801" s="82"/>
      <c r="M28801" s="112"/>
      <c r="N28801" s="84"/>
    </row>
    <row r="28802" spans="1:14" s="2" customFormat="1">
      <c r="A28802" s="83"/>
      <c r="H28802" s="83"/>
      <c r="K28802" s="82"/>
      <c r="M28802" s="112"/>
      <c r="N28802" s="84"/>
    </row>
    <row r="28803" spans="1:14" s="2" customFormat="1">
      <c r="A28803" s="83"/>
      <c r="H28803" s="83"/>
      <c r="K28803" s="82"/>
      <c r="M28803" s="112"/>
      <c r="N28803" s="84"/>
    </row>
    <row r="28804" spans="1:14" s="2" customFormat="1">
      <c r="A28804" s="83"/>
      <c r="H28804" s="83"/>
      <c r="K28804" s="82"/>
      <c r="M28804" s="112"/>
      <c r="N28804" s="84"/>
    </row>
    <row r="28805" spans="1:14" s="2" customFormat="1">
      <c r="A28805" s="83"/>
      <c r="H28805" s="83"/>
      <c r="K28805" s="82"/>
      <c r="M28805" s="112"/>
      <c r="N28805" s="84"/>
    </row>
    <row r="28806" spans="1:14" s="2" customFormat="1">
      <c r="A28806" s="83"/>
      <c r="H28806" s="83"/>
      <c r="K28806" s="82"/>
      <c r="M28806" s="112"/>
      <c r="N28806" s="84"/>
    </row>
    <row r="28807" spans="1:14" s="2" customFormat="1">
      <c r="A28807" s="83"/>
      <c r="H28807" s="83"/>
      <c r="K28807" s="82"/>
      <c r="M28807" s="112"/>
      <c r="N28807" s="84"/>
    </row>
    <row r="28808" spans="1:14" s="2" customFormat="1">
      <c r="A28808" s="83"/>
      <c r="H28808" s="83"/>
      <c r="K28808" s="82"/>
      <c r="M28808" s="112"/>
      <c r="N28808" s="84"/>
    </row>
    <row r="28809" spans="1:14" s="2" customFormat="1">
      <c r="A28809" s="83"/>
      <c r="H28809" s="83"/>
      <c r="K28809" s="82"/>
      <c r="M28809" s="112"/>
      <c r="N28809" s="84"/>
    </row>
    <row r="28810" spans="1:14" s="2" customFormat="1">
      <c r="A28810" s="83"/>
      <c r="H28810" s="83"/>
      <c r="K28810" s="82"/>
      <c r="M28810" s="112"/>
      <c r="N28810" s="84"/>
    </row>
    <row r="28811" spans="1:14" s="2" customFormat="1">
      <c r="A28811" s="83"/>
      <c r="H28811" s="83"/>
      <c r="K28811" s="82"/>
      <c r="M28811" s="112"/>
      <c r="N28811" s="84"/>
    </row>
    <row r="28812" spans="1:14" s="2" customFormat="1">
      <c r="A28812" s="83"/>
      <c r="H28812" s="83"/>
      <c r="K28812" s="82"/>
      <c r="M28812" s="112"/>
      <c r="N28812" s="84"/>
    </row>
    <row r="28813" spans="1:14" s="2" customFormat="1">
      <c r="A28813" s="83"/>
      <c r="H28813" s="83"/>
      <c r="K28813" s="82"/>
      <c r="M28813" s="112"/>
      <c r="N28813" s="84"/>
    </row>
    <row r="28814" spans="1:14" s="2" customFormat="1">
      <c r="A28814" s="83"/>
      <c r="H28814" s="83"/>
      <c r="K28814" s="82"/>
      <c r="M28814" s="112"/>
      <c r="N28814" s="84"/>
    </row>
    <row r="28815" spans="1:14" s="2" customFormat="1">
      <c r="A28815" s="83"/>
      <c r="H28815" s="83"/>
      <c r="K28815" s="82"/>
      <c r="M28815" s="112"/>
      <c r="N28815" s="84"/>
    </row>
    <row r="28816" spans="1:14" s="2" customFormat="1">
      <c r="A28816" s="83"/>
      <c r="H28816" s="83"/>
      <c r="K28816" s="82"/>
      <c r="M28816" s="112"/>
      <c r="N28816" s="84"/>
    </row>
    <row r="28817" spans="1:14" s="2" customFormat="1">
      <c r="A28817" s="83"/>
      <c r="H28817" s="83"/>
      <c r="K28817" s="82"/>
      <c r="M28817" s="112"/>
      <c r="N28817" s="84"/>
    </row>
    <row r="28818" spans="1:14" s="2" customFormat="1">
      <c r="A28818" s="83"/>
      <c r="H28818" s="83"/>
      <c r="K28818" s="82"/>
      <c r="M28818" s="112"/>
      <c r="N28818" s="84"/>
    </row>
    <row r="28819" spans="1:14" s="2" customFormat="1">
      <c r="A28819" s="83"/>
      <c r="H28819" s="83"/>
      <c r="K28819" s="82"/>
      <c r="M28819" s="112"/>
      <c r="N28819" s="84"/>
    </row>
    <row r="28820" spans="1:14" s="2" customFormat="1">
      <c r="A28820" s="83"/>
      <c r="H28820" s="83"/>
      <c r="K28820" s="82"/>
      <c r="M28820" s="112"/>
      <c r="N28820" s="84"/>
    </row>
    <row r="28821" spans="1:14" s="2" customFormat="1">
      <c r="A28821" s="83"/>
      <c r="H28821" s="83"/>
      <c r="K28821" s="82"/>
      <c r="M28821" s="112"/>
      <c r="N28821" s="84"/>
    </row>
    <row r="28822" spans="1:14" s="2" customFormat="1">
      <c r="A28822" s="83"/>
      <c r="H28822" s="83"/>
      <c r="K28822" s="82"/>
      <c r="M28822" s="112"/>
      <c r="N28822" s="84"/>
    </row>
    <row r="28823" spans="1:14" s="2" customFormat="1">
      <c r="A28823" s="83"/>
      <c r="H28823" s="83"/>
      <c r="K28823" s="82"/>
      <c r="M28823" s="112"/>
      <c r="N28823" s="84"/>
    </row>
    <row r="28824" spans="1:14" s="2" customFormat="1">
      <c r="A28824" s="83"/>
      <c r="H28824" s="83"/>
      <c r="K28824" s="82"/>
      <c r="M28824" s="112"/>
      <c r="N28824" s="84"/>
    </row>
    <row r="28825" spans="1:14" s="2" customFormat="1">
      <c r="A28825" s="83"/>
      <c r="H28825" s="83"/>
      <c r="K28825" s="82"/>
      <c r="M28825" s="112"/>
      <c r="N28825" s="84"/>
    </row>
    <row r="28826" spans="1:14" s="2" customFormat="1">
      <c r="A28826" s="83"/>
      <c r="H28826" s="83"/>
      <c r="K28826" s="82"/>
      <c r="M28826" s="112"/>
      <c r="N28826" s="84"/>
    </row>
    <row r="28827" spans="1:14" s="2" customFormat="1">
      <c r="A28827" s="83"/>
      <c r="H28827" s="83"/>
      <c r="K28827" s="82"/>
      <c r="M28827" s="112"/>
      <c r="N28827" s="84"/>
    </row>
    <row r="28828" spans="1:14" s="2" customFormat="1">
      <c r="A28828" s="83"/>
      <c r="H28828" s="83"/>
      <c r="K28828" s="82"/>
      <c r="M28828" s="112"/>
      <c r="N28828" s="84"/>
    </row>
    <row r="28829" spans="1:14" s="2" customFormat="1">
      <c r="A28829" s="83"/>
      <c r="H28829" s="83"/>
      <c r="K28829" s="82"/>
      <c r="M28829" s="112"/>
      <c r="N28829" s="84"/>
    </row>
    <row r="28830" spans="1:14" s="2" customFormat="1">
      <c r="A28830" s="83"/>
      <c r="H28830" s="83"/>
      <c r="K28830" s="82"/>
      <c r="M28830" s="112"/>
      <c r="N28830" s="84"/>
    </row>
    <row r="28831" spans="1:14" s="2" customFormat="1">
      <c r="A28831" s="83"/>
      <c r="H28831" s="83"/>
      <c r="K28831" s="82"/>
      <c r="M28831" s="112"/>
      <c r="N28831" s="84"/>
    </row>
    <row r="28832" spans="1:14" s="2" customFormat="1">
      <c r="A28832" s="83"/>
      <c r="H28832" s="83"/>
      <c r="K28832" s="82"/>
      <c r="M28832" s="112"/>
      <c r="N28832" s="84"/>
    </row>
    <row r="28833" spans="1:14" s="2" customFormat="1">
      <c r="A28833" s="83"/>
      <c r="H28833" s="83"/>
      <c r="K28833" s="82"/>
      <c r="M28833" s="112"/>
      <c r="N28833" s="84"/>
    </row>
    <row r="28834" spans="1:14" s="2" customFormat="1">
      <c r="A28834" s="83"/>
      <c r="H28834" s="83"/>
      <c r="K28834" s="82"/>
      <c r="M28834" s="112"/>
      <c r="N28834" s="84"/>
    </row>
    <row r="28835" spans="1:14" s="2" customFormat="1">
      <c r="A28835" s="83"/>
      <c r="H28835" s="83"/>
      <c r="K28835" s="82"/>
      <c r="M28835" s="112"/>
      <c r="N28835" s="84"/>
    </row>
    <row r="28836" spans="1:14" s="2" customFormat="1">
      <c r="A28836" s="83"/>
      <c r="H28836" s="83"/>
      <c r="K28836" s="82"/>
      <c r="M28836" s="112"/>
      <c r="N28836" s="84"/>
    </row>
    <row r="28837" spans="1:14" s="2" customFormat="1">
      <c r="A28837" s="83"/>
      <c r="H28837" s="83"/>
      <c r="K28837" s="82"/>
      <c r="M28837" s="112"/>
      <c r="N28837" s="84"/>
    </row>
    <row r="28838" spans="1:14" s="2" customFormat="1">
      <c r="A28838" s="83"/>
      <c r="H28838" s="83"/>
      <c r="K28838" s="82"/>
      <c r="M28838" s="112"/>
      <c r="N28838" s="84"/>
    </row>
    <row r="28839" spans="1:14" s="2" customFormat="1">
      <c r="A28839" s="83"/>
      <c r="H28839" s="83"/>
      <c r="K28839" s="82"/>
      <c r="M28839" s="112"/>
      <c r="N28839" s="84"/>
    </row>
    <row r="28840" spans="1:14" s="2" customFormat="1">
      <c r="A28840" s="83"/>
      <c r="H28840" s="83"/>
      <c r="K28840" s="82"/>
      <c r="M28840" s="112"/>
      <c r="N28840" s="84"/>
    </row>
    <row r="28841" spans="1:14" s="2" customFormat="1">
      <c r="A28841" s="83"/>
      <c r="H28841" s="83"/>
      <c r="K28841" s="82"/>
      <c r="M28841" s="112"/>
      <c r="N28841" s="84"/>
    </row>
    <row r="28842" spans="1:14" s="2" customFormat="1">
      <c r="A28842" s="83"/>
      <c r="H28842" s="83"/>
      <c r="K28842" s="82"/>
      <c r="M28842" s="112"/>
      <c r="N28842" s="84"/>
    </row>
    <row r="28843" spans="1:14" s="2" customFormat="1">
      <c r="A28843" s="83"/>
      <c r="H28843" s="83"/>
      <c r="K28843" s="82"/>
      <c r="M28843" s="112"/>
      <c r="N28843" s="84"/>
    </row>
    <row r="28844" spans="1:14" s="2" customFormat="1">
      <c r="A28844" s="83"/>
      <c r="H28844" s="83"/>
      <c r="K28844" s="82"/>
      <c r="M28844" s="112"/>
      <c r="N28844" s="84"/>
    </row>
    <row r="28845" spans="1:14" s="2" customFormat="1">
      <c r="A28845" s="83"/>
      <c r="H28845" s="83"/>
      <c r="K28845" s="82"/>
      <c r="M28845" s="112"/>
      <c r="N28845" s="84"/>
    </row>
    <row r="28846" spans="1:14" s="2" customFormat="1">
      <c r="A28846" s="83"/>
      <c r="H28846" s="83"/>
      <c r="K28846" s="82"/>
      <c r="M28846" s="112"/>
      <c r="N28846" s="84"/>
    </row>
    <row r="28847" spans="1:14" s="2" customFormat="1">
      <c r="A28847" s="83"/>
      <c r="H28847" s="83"/>
      <c r="K28847" s="82"/>
      <c r="M28847" s="112"/>
      <c r="N28847" s="84"/>
    </row>
    <row r="28848" spans="1:14" s="2" customFormat="1">
      <c r="A28848" s="83"/>
      <c r="H28848" s="83"/>
      <c r="K28848" s="82"/>
      <c r="M28848" s="112"/>
      <c r="N28848" s="84"/>
    </row>
    <row r="28849" spans="1:14" s="2" customFormat="1">
      <c r="A28849" s="83"/>
      <c r="H28849" s="83"/>
      <c r="K28849" s="82"/>
      <c r="M28849" s="112"/>
      <c r="N28849" s="84"/>
    </row>
    <row r="28850" spans="1:14" s="2" customFormat="1">
      <c r="A28850" s="83"/>
      <c r="H28850" s="83"/>
      <c r="K28850" s="82"/>
      <c r="M28850" s="112"/>
      <c r="N28850" s="84"/>
    </row>
    <row r="28851" spans="1:14" s="2" customFormat="1">
      <c r="A28851" s="83"/>
      <c r="H28851" s="83"/>
      <c r="K28851" s="82"/>
      <c r="M28851" s="112"/>
      <c r="N28851" s="84"/>
    </row>
    <row r="28852" spans="1:14" s="2" customFormat="1">
      <c r="A28852" s="83"/>
      <c r="H28852" s="83"/>
      <c r="K28852" s="82"/>
      <c r="M28852" s="112"/>
      <c r="N28852" s="84"/>
    </row>
    <row r="28853" spans="1:14" s="2" customFormat="1">
      <c r="A28853" s="83"/>
      <c r="H28853" s="83"/>
      <c r="K28853" s="82"/>
      <c r="M28853" s="112"/>
      <c r="N28853" s="84"/>
    </row>
    <row r="28854" spans="1:14" s="2" customFormat="1">
      <c r="A28854" s="83"/>
      <c r="H28854" s="83"/>
      <c r="K28854" s="82"/>
      <c r="M28854" s="112"/>
      <c r="N28854" s="84"/>
    </row>
    <row r="28855" spans="1:14" s="2" customFormat="1">
      <c r="A28855" s="83"/>
      <c r="H28855" s="83"/>
      <c r="K28855" s="82"/>
      <c r="M28855" s="112"/>
      <c r="N28855" s="84"/>
    </row>
    <row r="28856" spans="1:14" s="2" customFormat="1">
      <c r="A28856" s="83"/>
      <c r="H28856" s="83"/>
      <c r="K28856" s="82"/>
      <c r="M28856" s="112"/>
      <c r="N28856" s="84"/>
    </row>
    <row r="28857" spans="1:14" s="2" customFormat="1">
      <c r="A28857" s="83"/>
      <c r="H28857" s="83"/>
      <c r="K28857" s="82"/>
      <c r="M28857" s="112"/>
      <c r="N28857" s="84"/>
    </row>
    <row r="28858" spans="1:14" s="2" customFormat="1">
      <c r="A28858" s="83"/>
      <c r="H28858" s="83"/>
      <c r="K28858" s="82"/>
      <c r="M28858" s="112"/>
      <c r="N28858" s="84"/>
    </row>
    <row r="28859" spans="1:14" s="2" customFormat="1">
      <c r="A28859" s="83"/>
      <c r="H28859" s="83"/>
      <c r="K28859" s="82"/>
      <c r="M28859" s="112"/>
      <c r="N28859" s="84"/>
    </row>
    <row r="28860" spans="1:14" s="2" customFormat="1">
      <c r="A28860" s="83"/>
      <c r="H28860" s="83"/>
      <c r="K28860" s="82"/>
      <c r="M28860" s="112"/>
      <c r="N28860" s="84"/>
    </row>
    <row r="28861" spans="1:14" s="2" customFormat="1">
      <c r="A28861" s="83"/>
      <c r="H28861" s="83"/>
      <c r="K28861" s="82"/>
      <c r="M28861" s="112"/>
      <c r="N28861" s="84"/>
    </row>
    <row r="28862" spans="1:14" s="2" customFormat="1">
      <c r="A28862" s="83"/>
      <c r="H28862" s="83"/>
      <c r="K28862" s="82"/>
      <c r="M28862" s="112"/>
      <c r="N28862" s="84"/>
    </row>
    <row r="28863" spans="1:14" s="2" customFormat="1">
      <c r="A28863" s="83"/>
      <c r="H28863" s="83"/>
      <c r="K28863" s="82"/>
      <c r="M28863" s="112"/>
      <c r="N28863" s="84"/>
    </row>
    <row r="28864" spans="1:14" s="2" customFormat="1">
      <c r="A28864" s="83"/>
      <c r="H28864" s="83"/>
      <c r="K28864" s="82"/>
      <c r="M28864" s="112"/>
      <c r="N28864" s="84"/>
    </row>
    <row r="28865" spans="1:14" s="2" customFormat="1">
      <c r="A28865" s="83"/>
      <c r="H28865" s="83"/>
      <c r="K28865" s="82"/>
      <c r="M28865" s="112"/>
      <c r="N28865" s="84"/>
    </row>
    <row r="28866" spans="1:14" s="2" customFormat="1">
      <c r="A28866" s="83"/>
      <c r="H28866" s="83"/>
      <c r="K28866" s="82"/>
      <c r="M28866" s="112"/>
      <c r="N28866" s="84"/>
    </row>
    <row r="28867" spans="1:14" s="2" customFormat="1">
      <c r="A28867" s="83"/>
      <c r="H28867" s="83"/>
      <c r="K28867" s="82"/>
      <c r="M28867" s="112"/>
      <c r="N28867" s="84"/>
    </row>
    <row r="28868" spans="1:14" s="2" customFormat="1">
      <c r="A28868" s="83"/>
      <c r="H28868" s="83"/>
      <c r="K28868" s="82"/>
      <c r="M28868" s="112"/>
      <c r="N28868" s="84"/>
    </row>
    <row r="28869" spans="1:14" s="2" customFormat="1">
      <c r="A28869" s="83"/>
      <c r="H28869" s="83"/>
      <c r="K28869" s="82"/>
      <c r="M28869" s="112"/>
      <c r="N28869" s="84"/>
    </row>
    <row r="28870" spans="1:14" s="2" customFormat="1">
      <c r="A28870" s="83"/>
      <c r="H28870" s="83"/>
      <c r="K28870" s="82"/>
      <c r="M28870" s="112"/>
      <c r="N28870" s="84"/>
    </row>
    <row r="28871" spans="1:14" s="2" customFormat="1">
      <c r="A28871" s="83"/>
      <c r="H28871" s="83"/>
      <c r="K28871" s="82"/>
      <c r="M28871" s="112"/>
      <c r="N28871" s="84"/>
    </row>
    <row r="28872" spans="1:14" s="2" customFormat="1">
      <c r="A28872" s="83"/>
      <c r="H28872" s="83"/>
      <c r="K28872" s="82"/>
      <c r="M28872" s="112"/>
      <c r="N28872" s="84"/>
    </row>
    <row r="28873" spans="1:14" s="2" customFormat="1">
      <c r="A28873" s="83"/>
      <c r="H28873" s="83"/>
      <c r="K28873" s="82"/>
      <c r="M28873" s="112"/>
      <c r="N28873" s="84"/>
    </row>
    <row r="28874" spans="1:14" s="2" customFormat="1">
      <c r="A28874" s="83"/>
      <c r="H28874" s="83"/>
      <c r="K28874" s="82"/>
      <c r="M28874" s="112"/>
      <c r="N28874" s="84"/>
    </row>
    <row r="28875" spans="1:14" s="2" customFormat="1">
      <c r="A28875" s="83"/>
      <c r="H28875" s="83"/>
      <c r="K28875" s="82"/>
      <c r="M28875" s="112"/>
      <c r="N28875" s="84"/>
    </row>
    <row r="28876" spans="1:14" s="2" customFormat="1">
      <c r="A28876" s="83"/>
      <c r="H28876" s="83"/>
      <c r="K28876" s="82"/>
      <c r="M28876" s="112"/>
      <c r="N28876" s="84"/>
    </row>
    <row r="28877" spans="1:14" s="2" customFormat="1">
      <c r="A28877" s="83"/>
      <c r="H28877" s="83"/>
      <c r="K28877" s="82"/>
      <c r="M28877" s="112"/>
      <c r="N28877" s="84"/>
    </row>
    <row r="28878" spans="1:14" s="2" customFormat="1">
      <c r="A28878" s="83"/>
      <c r="H28878" s="83"/>
      <c r="K28878" s="82"/>
      <c r="M28878" s="112"/>
      <c r="N28878" s="84"/>
    </row>
    <row r="28879" spans="1:14" s="2" customFormat="1">
      <c r="A28879" s="83"/>
      <c r="H28879" s="83"/>
      <c r="K28879" s="82"/>
      <c r="M28879" s="112"/>
      <c r="N28879" s="84"/>
    </row>
    <row r="28880" spans="1:14" s="2" customFormat="1">
      <c r="A28880" s="83"/>
      <c r="H28880" s="83"/>
      <c r="K28880" s="82"/>
      <c r="M28880" s="112"/>
      <c r="N28880" s="84"/>
    </row>
    <row r="28881" spans="1:14" s="2" customFormat="1">
      <c r="A28881" s="83"/>
      <c r="H28881" s="83"/>
      <c r="K28881" s="82"/>
      <c r="M28881" s="112"/>
      <c r="N28881" s="84"/>
    </row>
    <row r="28882" spans="1:14" s="2" customFormat="1">
      <c r="A28882" s="83"/>
      <c r="H28882" s="83"/>
      <c r="K28882" s="82"/>
      <c r="M28882" s="112"/>
      <c r="N28882" s="84"/>
    </row>
    <row r="28883" spans="1:14" s="2" customFormat="1">
      <c r="A28883" s="83"/>
      <c r="H28883" s="83"/>
      <c r="K28883" s="82"/>
      <c r="M28883" s="112"/>
      <c r="N28883" s="84"/>
    </row>
    <row r="28884" spans="1:14" s="2" customFormat="1">
      <c r="A28884" s="83"/>
      <c r="H28884" s="83"/>
      <c r="K28884" s="82"/>
      <c r="M28884" s="112"/>
      <c r="N28884" s="84"/>
    </row>
    <row r="28885" spans="1:14" s="2" customFormat="1">
      <c r="A28885" s="83"/>
      <c r="H28885" s="83"/>
      <c r="K28885" s="82"/>
      <c r="M28885" s="112"/>
      <c r="N28885" s="84"/>
    </row>
    <row r="28886" spans="1:14" s="2" customFormat="1">
      <c r="A28886" s="83"/>
      <c r="H28886" s="83"/>
      <c r="K28886" s="82"/>
      <c r="M28886" s="112"/>
      <c r="N28886" s="84"/>
    </row>
    <row r="28887" spans="1:14" s="2" customFormat="1">
      <c r="A28887" s="83"/>
      <c r="H28887" s="83"/>
      <c r="K28887" s="82"/>
      <c r="M28887" s="112"/>
      <c r="N28887" s="84"/>
    </row>
    <row r="28888" spans="1:14" s="2" customFormat="1">
      <c r="A28888" s="83"/>
      <c r="H28888" s="83"/>
      <c r="K28888" s="82"/>
      <c r="M28888" s="112"/>
      <c r="N28888" s="84"/>
    </row>
    <row r="28889" spans="1:14" s="2" customFormat="1">
      <c r="A28889" s="83"/>
      <c r="H28889" s="83"/>
      <c r="K28889" s="82"/>
      <c r="M28889" s="112"/>
      <c r="N28889" s="84"/>
    </row>
    <row r="28890" spans="1:14" s="2" customFormat="1">
      <c r="A28890" s="83"/>
      <c r="H28890" s="83"/>
      <c r="K28890" s="82"/>
      <c r="M28890" s="112"/>
      <c r="N28890" s="84"/>
    </row>
    <row r="28891" spans="1:14" s="2" customFormat="1">
      <c r="A28891" s="83"/>
      <c r="H28891" s="83"/>
      <c r="K28891" s="82"/>
      <c r="M28891" s="112"/>
      <c r="N28891" s="84"/>
    </row>
    <row r="28892" spans="1:14" s="2" customFormat="1">
      <c r="A28892" s="83"/>
      <c r="H28892" s="83"/>
      <c r="K28892" s="82"/>
      <c r="M28892" s="112"/>
      <c r="N28892" s="84"/>
    </row>
    <row r="28893" spans="1:14" s="2" customFormat="1">
      <c r="A28893" s="83"/>
      <c r="H28893" s="83"/>
      <c r="K28893" s="82"/>
      <c r="M28893" s="112"/>
      <c r="N28893" s="84"/>
    </row>
    <row r="28894" spans="1:14" s="2" customFormat="1">
      <c r="A28894" s="83"/>
      <c r="H28894" s="83"/>
      <c r="K28894" s="82"/>
      <c r="M28894" s="112"/>
      <c r="N28894" s="84"/>
    </row>
    <row r="28895" spans="1:14" s="2" customFormat="1">
      <c r="A28895" s="83"/>
      <c r="H28895" s="83"/>
      <c r="K28895" s="82"/>
      <c r="M28895" s="112"/>
      <c r="N28895" s="84"/>
    </row>
    <row r="28896" spans="1:14" s="2" customFormat="1">
      <c r="A28896" s="83"/>
      <c r="H28896" s="83"/>
      <c r="K28896" s="82"/>
      <c r="M28896" s="112"/>
      <c r="N28896" s="84"/>
    </row>
    <row r="28897" spans="1:14" s="2" customFormat="1">
      <c r="A28897" s="83"/>
      <c r="H28897" s="83"/>
      <c r="K28897" s="82"/>
      <c r="M28897" s="112"/>
      <c r="N28897" s="84"/>
    </row>
    <row r="28898" spans="1:14" s="2" customFormat="1">
      <c r="A28898" s="83"/>
      <c r="H28898" s="83"/>
      <c r="K28898" s="82"/>
      <c r="M28898" s="112"/>
      <c r="N28898" s="84"/>
    </row>
    <row r="28899" spans="1:14" s="2" customFormat="1">
      <c r="A28899" s="83"/>
      <c r="H28899" s="83"/>
      <c r="K28899" s="82"/>
      <c r="M28899" s="112"/>
      <c r="N28899" s="84"/>
    </row>
    <row r="28900" spans="1:14" s="2" customFormat="1">
      <c r="A28900" s="83"/>
      <c r="H28900" s="83"/>
      <c r="K28900" s="82"/>
      <c r="M28900" s="112"/>
      <c r="N28900" s="84"/>
    </row>
    <row r="28901" spans="1:14" s="2" customFormat="1">
      <c r="A28901" s="83"/>
      <c r="H28901" s="83"/>
      <c r="K28901" s="82"/>
      <c r="M28901" s="112"/>
      <c r="N28901" s="84"/>
    </row>
    <row r="28902" spans="1:14" s="2" customFormat="1">
      <c r="A28902" s="83"/>
      <c r="H28902" s="83"/>
      <c r="K28902" s="82"/>
      <c r="M28902" s="112"/>
      <c r="N28902" s="84"/>
    </row>
    <row r="28903" spans="1:14" s="2" customFormat="1">
      <c r="A28903" s="83"/>
      <c r="H28903" s="83"/>
      <c r="K28903" s="82"/>
      <c r="M28903" s="112"/>
      <c r="N28903" s="84"/>
    </row>
    <row r="28904" spans="1:14" s="2" customFormat="1">
      <c r="A28904" s="83"/>
      <c r="H28904" s="83"/>
      <c r="K28904" s="82"/>
      <c r="M28904" s="112"/>
      <c r="N28904" s="84"/>
    </row>
    <row r="28905" spans="1:14" s="2" customFormat="1">
      <c r="A28905" s="83"/>
      <c r="H28905" s="83"/>
      <c r="K28905" s="82"/>
      <c r="M28905" s="112"/>
      <c r="N28905" s="84"/>
    </row>
    <row r="28906" spans="1:14" s="2" customFormat="1">
      <c r="A28906" s="83"/>
      <c r="H28906" s="83"/>
      <c r="K28906" s="82"/>
      <c r="M28906" s="112"/>
      <c r="N28906" s="84"/>
    </row>
    <row r="28907" spans="1:14" s="2" customFormat="1">
      <c r="A28907" s="83"/>
      <c r="H28907" s="83"/>
      <c r="K28907" s="82"/>
      <c r="M28907" s="112"/>
      <c r="N28907" s="84"/>
    </row>
    <row r="28908" spans="1:14" s="2" customFormat="1">
      <c r="A28908" s="83"/>
      <c r="H28908" s="83"/>
      <c r="K28908" s="82"/>
      <c r="M28908" s="112"/>
      <c r="N28908" s="84"/>
    </row>
    <row r="28909" spans="1:14" s="2" customFormat="1">
      <c r="A28909" s="83"/>
      <c r="H28909" s="83"/>
      <c r="K28909" s="82"/>
      <c r="M28909" s="112"/>
      <c r="N28909" s="84"/>
    </row>
    <row r="28910" spans="1:14" s="2" customFormat="1">
      <c r="A28910" s="83"/>
      <c r="H28910" s="83"/>
      <c r="K28910" s="82"/>
      <c r="M28910" s="112"/>
      <c r="N28910" s="84"/>
    </row>
    <row r="28911" spans="1:14" s="2" customFormat="1">
      <c r="A28911" s="83"/>
      <c r="H28911" s="83"/>
      <c r="K28911" s="82"/>
      <c r="M28911" s="112"/>
      <c r="N28911" s="84"/>
    </row>
    <row r="28912" spans="1:14" s="2" customFormat="1">
      <c r="A28912" s="83"/>
      <c r="H28912" s="83"/>
      <c r="K28912" s="82"/>
      <c r="M28912" s="112"/>
      <c r="N28912" s="84"/>
    </row>
    <row r="28913" spans="1:14" s="2" customFormat="1">
      <c r="A28913" s="83"/>
      <c r="H28913" s="83"/>
      <c r="K28913" s="82"/>
      <c r="M28913" s="112"/>
      <c r="N28913" s="84"/>
    </row>
    <row r="28914" spans="1:14" s="2" customFormat="1">
      <c r="A28914" s="83"/>
      <c r="H28914" s="83"/>
      <c r="K28914" s="82"/>
      <c r="M28914" s="112"/>
      <c r="N28914" s="84"/>
    </row>
    <row r="28915" spans="1:14" s="2" customFormat="1">
      <c r="A28915" s="83"/>
      <c r="H28915" s="83"/>
      <c r="K28915" s="82"/>
      <c r="M28915" s="112"/>
      <c r="N28915" s="84"/>
    </row>
    <row r="28916" spans="1:14" s="2" customFormat="1">
      <c r="A28916" s="83"/>
      <c r="H28916" s="83"/>
      <c r="K28916" s="82"/>
      <c r="M28916" s="112"/>
      <c r="N28916" s="84"/>
    </row>
    <row r="28917" spans="1:14" s="2" customFormat="1">
      <c r="A28917" s="83"/>
      <c r="H28917" s="83"/>
      <c r="K28917" s="82"/>
      <c r="M28917" s="112"/>
      <c r="N28917" s="84"/>
    </row>
    <row r="28918" spans="1:14" s="2" customFormat="1">
      <c r="A28918" s="83"/>
      <c r="H28918" s="83"/>
      <c r="K28918" s="82"/>
      <c r="M28918" s="112"/>
      <c r="N28918" s="84"/>
    </row>
    <row r="28919" spans="1:14" s="2" customFormat="1">
      <c r="A28919" s="83"/>
      <c r="H28919" s="83"/>
      <c r="K28919" s="82"/>
      <c r="M28919" s="112"/>
      <c r="N28919" s="84"/>
    </row>
    <row r="28920" spans="1:14" s="2" customFormat="1">
      <c r="A28920" s="83"/>
      <c r="H28920" s="83"/>
      <c r="K28920" s="82"/>
      <c r="M28920" s="112"/>
      <c r="N28920" s="84"/>
    </row>
    <row r="28921" spans="1:14" s="2" customFormat="1">
      <c r="A28921" s="83"/>
      <c r="H28921" s="83"/>
      <c r="K28921" s="82"/>
      <c r="M28921" s="112"/>
      <c r="N28921" s="84"/>
    </row>
    <row r="28922" spans="1:14" s="2" customFormat="1">
      <c r="A28922" s="83"/>
      <c r="H28922" s="83"/>
      <c r="K28922" s="82"/>
      <c r="M28922" s="112"/>
      <c r="N28922" s="84"/>
    </row>
    <row r="28923" spans="1:14" s="2" customFormat="1">
      <c r="A28923" s="83"/>
      <c r="H28923" s="83"/>
      <c r="K28923" s="82"/>
      <c r="M28923" s="112"/>
      <c r="N28923" s="84"/>
    </row>
    <row r="28924" spans="1:14" s="2" customFormat="1">
      <c r="A28924" s="83"/>
      <c r="H28924" s="83"/>
      <c r="K28924" s="82"/>
      <c r="M28924" s="112"/>
      <c r="N28924" s="84"/>
    </row>
    <row r="28925" spans="1:14" s="2" customFormat="1">
      <c r="A28925" s="83"/>
      <c r="H28925" s="83"/>
      <c r="K28925" s="82"/>
      <c r="M28925" s="112"/>
      <c r="N28925" s="84"/>
    </row>
    <row r="28926" spans="1:14" s="2" customFormat="1">
      <c r="A28926" s="83"/>
      <c r="H28926" s="83"/>
      <c r="K28926" s="82"/>
      <c r="M28926" s="112"/>
      <c r="N28926" s="84"/>
    </row>
    <row r="28927" spans="1:14" s="2" customFormat="1">
      <c r="A28927" s="83"/>
      <c r="H28927" s="83"/>
      <c r="K28927" s="82"/>
      <c r="M28927" s="112"/>
      <c r="N28927" s="84"/>
    </row>
    <row r="28928" spans="1:14" s="2" customFormat="1">
      <c r="A28928" s="83"/>
      <c r="H28928" s="83"/>
      <c r="K28928" s="82"/>
      <c r="M28928" s="112"/>
      <c r="N28928" s="84"/>
    </row>
    <row r="28929" spans="1:14" s="2" customFormat="1">
      <c r="A28929" s="83"/>
      <c r="H28929" s="83"/>
      <c r="K28929" s="82"/>
      <c r="M28929" s="112"/>
      <c r="N28929" s="84"/>
    </row>
    <row r="28930" spans="1:14" s="2" customFormat="1">
      <c r="A28930" s="83"/>
      <c r="H28930" s="83"/>
      <c r="K28930" s="82"/>
      <c r="M28930" s="112"/>
      <c r="N28930" s="84"/>
    </row>
    <row r="28931" spans="1:14" s="2" customFormat="1">
      <c r="A28931" s="83"/>
      <c r="H28931" s="83"/>
      <c r="K28931" s="82"/>
      <c r="M28931" s="112"/>
      <c r="N28931" s="84"/>
    </row>
    <row r="28932" spans="1:14" s="2" customFormat="1">
      <c r="A28932" s="83"/>
      <c r="H28932" s="83"/>
      <c r="K28932" s="82"/>
      <c r="M28932" s="112"/>
      <c r="N28932" s="84"/>
    </row>
    <row r="28933" spans="1:14" s="2" customFormat="1">
      <c r="A28933" s="83"/>
      <c r="H28933" s="83"/>
      <c r="K28933" s="82"/>
      <c r="M28933" s="112"/>
      <c r="N28933" s="84"/>
    </row>
    <row r="28934" spans="1:14" s="2" customFormat="1">
      <c r="A28934" s="83"/>
      <c r="H28934" s="83"/>
      <c r="K28934" s="82"/>
      <c r="M28934" s="112"/>
      <c r="N28934" s="84"/>
    </row>
    <row r="28935" spans="1:14" s="2" customFormat="1">
      <c r="A28935" s="83"/>
      <c r="H28935" s="83"/>
      <c r="K28935" s="82"/>
      <c r="M28935" s="112"/>
      <c r="N28935" s="84"/>
    </row>
    <row r="28936" spans="1:14" s="2" customFormat="1">
      <c r="A28936" s="83"/>
      <c r="H28936" s="83"/>
      <c r="K28936" s="82"/>
      <c r="M28936" s="112"/>
      <c r="N28936" s="84"/>
    </row>
    <row r="28937" spans="1:14" s="2" customFormat="1">
      <c r="A28937" s="83"/>
      <c r="H28937" s="83"/>
      <c r="K28937" s="82"/>
      <c r="M28937" s="112"/>
      <c r="N28937" s="84"/>
    </row>
    <row r="28938" spans="1:14" s="2" customFormat="1">
      <c r="A28938" s="83"/>
      <c r="H28938" s="83"/>
      <c r="K28938" s="82"/>
      <c r="M28938" s="112"/>
      <c r="N28938" s="84"/>
    </row>
    <row r="28939" spans="1:14" s="2" customFormat="1">
      <c r="A28939" s="83"/>
      <c r="H28939" s="83"/>
      <c r="K28939" s="82"/>
      <c r="M28939" s="112"/>
      <c r="N28939" s="84"/>
    </row>
    <row r="28940" spans="1:14" s="2" customFormat="1">
      <c r="A28940" s="83"/>
      <c r="H28940" s="83"/>
      <c r="K28940" s="82"/>
      <c r="M28940" s="112"/>
      <c r="N28940" s="84"/>
    </row>
    <row r="28941" spans="1:14" s="2" customFormat="1">
      <c r="A28941" s="83"/>
      <c r="H28941" s="83"/>
      <c r="K28941" s="82"/>
      <c r="M28941" s="112"/>
      <c r="N28941" s="84"/>
    </row>
    <row r="28942" spans="1:14" s="2" customFormat="1">
      <c r="A28942" s="83"/>
      <c r="H28942" s="83"/>
      <c r="K28942" s="82"/>
      <c r="M28942" s="112"/>
      <c r="N28942" s="84"/>
    </row>
    <row r="28943" spans="1:14" s="2" customFormat="1">
      <c r="A28943" s="83"/>
      <c r="H28943" s="83"/>
      <c r="K28943" s="82"/>
      <c r="M28943" s="112"/>
      <c r="N28943" s="84"/>
    </row>
    <row r="28944" spans="1:14" s="2" customFormat="1">
      <c r="A28944" s="83"/>
      <c r="H28944" s="83"/>
      <c r="K28944" s="82"/>
      <c r="M28944" s="112"/>
      <c r="N28944" s="84"/>
    </row>
    <row r="28945" spans="1:14" s="2" customFormat="1">
      <c r="A28945" s="83"/>
      <c r="H28945" s="83"/>
      <c r="K28945" s="82"/>
      <c r="M28945" s="112"/>
      <c r="N28945" s="84"/>
    </row>
    <row r="28946" spans="1:14" s="2" customFormat="1">
      <c r="A28946" s="83"/>
      <c r="H28946" s="83"/>
      <c r="K28946" s="82"/>
      <c r="M28946" s="112"/>
      <c r="N28946" s="84"/>
    </row>
    <row r="28947" spans="1:14" s="2" customFormat="1">
      <c r="A28947" s="83"/>
      <c r="H28947" s="83"/>
      <c r="K28947" s="82"/>
      <c r="M28947" s="112"/>
      <c r="N28947" s="84"/>
    </row>
    <row r="28948" spans="1:14" s="2" customFormat="1">
      <c r="A28948" s="83"/>
      <c r="H28948" s="83"/>
      <c r="K28948" s="82"/>
      <c r="M28948" s="112"/>
      <c r="N28948" s="84"/>
    </row>
    <row r="28949" spans="1:14" s="2" customFormat="1">
      <c r="A28949" s="83"/>
      <c r="H28949" s="83"/>
      <c r="K28949" s="82"/>
      <c r="M28949" s="112"/>
      <c r="N28949" s="84"/>
    </row>
    <row r="28950" spans="1:14" s="2" customFormat="1">
      <c r="A28950" s="83"/>
      <c r="H28950" s="83"/>
      <c r="K28950" s="82"/>
      <c r="M28950" s="112"/>
      <c r="N28950" s="84"/>
    </row>
    <row r="28951" spans="1:14" s="2" customFormat="1">
      <c r="A28951" s="83"/>
      <c r="H28951" s="83"/>
      <c r="K28951" s="82"/>
      <c r="M28951" s="112"/>
      <c r="N28951" s="84"/>
    </row>
    <row r="28952" spans="1:14" s="2" customFormat="1">
      <c r="A28952" s="83"/>
      <c r="H28952" s="83"/>
      <c r="K28952" s="82"/>
      <c r="M28952" s="112"/>
      <c r="N28952" s="84"/>
    </row>
    <row r="28953" spans="1:14" s="2" customFormat="1">
      <c r="A28953" s="83"/>
      <c r="H28953" s="83"/>
      <c r="K28953" s="82"/>
      <c r="M28953" s="112"/>
      <c r="N28953" s="84"/>
    </row>
    <row r="28954" spans="1:14" s="2" customFormat="1">
      <c r="A28954" s="83"/>
      <c r="H28954" s="83"/>
      <c r="K28954" s="82"/>
      <c r="M28954" s="112"/>
      <c r="N28954" s="84"/>
    </row>
    <row r="28955" spans="1:14" s="2" customFormat="1">
      <c r="A28955" s="83"/>
      <c r="H28955" s="83"/>
      <c r="K28955" s="82"/>
      <c r="M28955" s="112"/>
      <c r="N28955" s="84"/>
    </row>
    <row r="28956" spans="1:14" s="2" customFormat="1">
      <c r="A28956" s="83"/>
      <c r="H28956" s="83"/>
      <c r="K28956" s="82"/>
      <c r="M28956" s="112"/>
      <c r="N28956" s="84"/>
    </row>
    <row r="28957" spans="1:14" s="2" customFormat="1">
      <c r="A28957" s="83"/>
      <c r="H28957" s="83"/>
      <c r="K28957" s="82"/>
      <c r="M28957" s="112"/>
      <c r="N28957" s="84"/>
    </row>
    <row r="28958" spans="1:14" s="2" customFormat="1">
      <c r="A28958" s="83"/>
      <c r="H28958" s="83"/>
      <c r="K28958" s="82"/>
      <c r="M28958" s="112"/>
      <c r="N28958" s="84"/>
    </row>
    <row r="28959" spans="1:14" s="2" customFormat="1">
      <c r="A28959" s="83"/>
      <c r="H28959" s="83"/>
      <c r="K28959" s="82"/>
      <c r="M28959" s="112"/>
      <c r="N28959" s="84"/>
    </row>
    <row r="28960" spans="1:14" s="2" customFormat="1">
      <c r="A28960" s="83"/>
      <c r="H28960" s="83"/>
      <c r="K28960" s="82"/>
      <c r="M28960" s="112"/>
      <c r="N28960" s="84"/>
    </row>
    <row r="28961" spans="1:14" s="2" customFormat="1">
      <c r="A28961" s="83"/>
      <c r="H28961" s="83"/>
      <c r="K28961" s="82"/>
      <c r="M28961" s="112"/>
      <c r="N28961" s="84"/>
    </row>
    <row r="28962" spans="1:14" s="2" customFormat="1">
      <c r="A28962" s="83"/>
      <c r="H28962" s="83"/>
      <c r="K28962" s="82"/>
      <c r="M28962" s="112"/>
      <c r="N28962" s="84"/>
    </row>
    <row r="28963" spans="1:14" s="2" customFormat="1">
      <c r="A28963" s="83"/>
      <c r="H28963" s="83"/>
      <c r="K28963" s="82"/>
      <c r="M28963" s="112"/>
      <c r="N28963" s="84"/>
    </row>
    <row r="28964" spans="1:14" s="2" customFormat="1">
      <c r="A28964" s="83"/>
      <c r="H28964" s="83"/>
      <c r="K28964" s="82"/>
      <c r="M28964" s="112"/>
      <c r="N28964" s="84"/>
    </row>
    <row r="28965" spans="1:14" s="2" customFormat="1">
      <c r="A28965" s="83"/>
      <c r="H28965" s="83"/>
      <c r="K28965" s="82"/>
      <c r="M28965" s="112"/>
      <c r="N28965" s="84"/>
    </row>
    <row r="28966" spans="1:14" s="2" customFormat="1">
      <c r="A28966" s="83"/>
      <c r="H28966" s="83"/>
      <c r="K28966" s="82"/>
      <c r="M28966" s="112"/>
      <c r="N28966" s="84"/>
    </row>
    <row r="28967" spans="1:14" s="2" customFormat="1">
      <c r="A28967" s="83"/>
      <c r="H28967" s="83"/>
      <c r="K28967" s="82"/>
      <c r="M28967" s="112"/>
      <c r="N28967" s="84"/>
    </row>
    <row r="28968" spans="1:14" s="2" customFormat="1">
      <c r="A28968" s="83"/>
      <c r="H28968" s="83"/>
      <c r="K28968" s="82"/>
      <c r="M28968" s="112"/>
      <c r="N28968" s="84"/>
    </row>
    <row r="28969" spans="1:14" s="2" customFormat="1">
      <c r="A28969" s="83"/>
      <c r="H28969" s="83"/>
      <c r="K28969" s="82"/>
      <c r="M28969" s="112"/>
      <c r="N28969" s="84"/>
    </row>
    <row r="28970" spans="1:14" s="2" customFormat="1">
      <c r="A28970" s="83"/>
      <c r="H28970" s="83"/>
      <c r="K28970" s="82"/>
      <c r="M28970" s="112"/>
      <c r="N28970" s="84"/>
    </row>
    <row r="28971" spans="1:14" s="2" customFormat="1">
      <c r="A28971" s="83"/>
      <c r="H28971" s="83"/>
      <c r="K28971" s="82"/>
      <c r="M28971" s="112"/>
      <c r="N28971" s="84"/>
    </row>
    <row r="28972" spans="1:14" s="2" customFormat="1">
      <c r="A28972" s="83"/>
      <c r="H28972" s="83"/>
      <c r="K28972" s="82"/>
      <c r="M28972" s="112"/>
      <c r="N28972" s="84"/>
    </row>
    <row r="28973" spans="1:14" s="2" customFormat="1">
      <c r="A28973" s="83"/>
      <c r="H28973" s="83"/>
      <c r="K28973" s="82"/>
      <c r="M28973" s="112"/>
      <c r="N28973" s="84"/>
    </row>
    <row r="28974" spans="1:14" s="2" customFormat="1">
      <c r="A28974" s="83"/>
      <c r="H28974" s="83"/>
      <c r="K28974" s="82"/>
      <c r="M28974" s="112"/>
      <c r="N28974" s="84"/>
    </row>
    <row r="28975" spans="1:14" s="2" customFormat="1">
      <c r="A28975" s="83"/>
      <c r="H28975" s="83"/>
      <c r="K28975" s="82"/>
      <c r="M28975" s="112"/>
      <c r="N28975" s="84"/>
    </row>
    <row r="28976" spans="1:14" s="2" customFormat="1">
      <c r="A28976" s="83"/>
      <c r="H28976" s="83"/>
      <c r="K28976" s="82"/>
      <c r="M28976" s="112"/>
      <c r="N28976" s="84"/>
    </row>
    <row r="28977" spans="1:14" s="2" customFormat="1">
      <c r="A28977" s="83"/>
      <c r="H28977" s="83"/>
      <c r="K28977" s="82"/>
      <c r="M28977" s="112"/>
      <c r="N28977" s="84"/>
    </row>
    <row r="28978" spans="1:14" s="2" customFormat="1">
      <c r="A28978" s="83"/>
      <c r="H28978" s="83"/>
      <c r="K28978" s="82"/>
      <c r="M28978" s="112"/>
      <c r="N28978" s="84"/>
    </row>
    <row r="28979" spans="1:14" s="2" customFormat="1">
      <c r="A28979" s="83"/>
      <c r="H28979" s="83"/>
      <c r="K28979" s="82"/>
      <c r="M28979" s="112"/>
      <c r="N28979" s="84"/>
    </row>
    <row r="28980" spans="1:14" s="2" customFormat="1">
      <c r="A28980" s="83"/>
      <c r="H28980" s="83"/>
      <c r="K28980" s="82"/>
      <c r="M28980" s="112"/>
      <c r="N28980" s="84"/>
    </row>
    <row r="28981" spans="1:14" s="2" customFormat="1">
      <c r="A28981" s="83"/>
      <c r="H28981" s="83"/>
      <c r="K28981" s="82"/>
      <c r="M28981" s="112"/>
      <c r="N28981" s="84"/>
    </row>
    <row r="28982" spans="1:14" s="2" customFormat="1">
      <c r="A28982" s="83"/>
      <c r="H28982" s="83"/>
      <c r="K28982" s="82"/>
      <c r="M28982" s="112"/>
      <c r="N28982" s="84"/>
    </row>
    <row r="28983" spans="1:14" s="2" customFormat="1">
      <c r="A28983" s="83"/>
      <c r="H28983" s="83"/>
      <c r="K28983" s="82"/>
      <c r="M28983" s="112"/>
      <c r="N28983" s="84"/>
    </row>
    <row r="28984" spans="1:14" s="2" customFormat="1">
      <c r="A28984" s="83"/>
      <c r="H28984" s="83"/>
      <c r="K28984" s="82"/>
      <c r="M28984" s="112"/>
      <c r="N28984" s="84"/>
    </row>
    <row r="28985" spans="1:14" s="2" customFormat="1">
      <c r="A28985" s="83"/>
      <c r="H28985" s="83"/>
      <c r="K28985" s="82"/>
      <c r="M28985" s="112"/>
      <c r="N28985" s="84"/>
    </row>
    <row r="28986" spans="1:14" s="2" customFormat="1">
      <c r="A28986" s="83"/>
      <c r="H28986" s="83"/>
      <c r="K28986" s="82"/>
      <c r="M28986" s="112"/>
      <c r="N28986" s="84"/>
    </row>
    <row r="28987" spans="1:14" s="2" customFormat="1">
      <c r="A28987" s="83"/>
      <c r="H28987" s="83"/>
      <c r="K28987" s="82"/>
      <c r="M28987" s="112"/>
      <c r="N28987" s="84"/>
    </row>
    <row r="28988" spans="1:14" s="2" customFormat="1">
      <c r="A28988" s="83"/>
      <c r="H28988" s="83"/>
      <c r="K28988" s="82"/>
      <c r="M28988" s="112"/>
      <c r="N28988" s="84"/>
    </row>
    <row r="28989" spans="1:14" s="2" customFormat="1">
      <c r="A28989" s="83"/>
      <c r="H28989" s="83"/>
      <c r="K28989" s="82"/>
      <c r="M28989" s="112"/>
      <c r="N28989" s="84"/>
    </row>
    <row r="28990" spans="1:14" s="2" customFormat="1">
      <c r="A28990" s="83"/>
      <c r="H28990" s="83"/>
      <c r="K28990" s="82"/>
      <c r="M28990" s="112"/>
      <c r="N28990" s="84"/>
    </row>
    <row r="28991" spans="1:14" s="2" customFormat="1">
      <c r="A28991" s="83"/>
      <c r="H28991" s="83"/>
      <c r="K28991" s="82"/>
      <c r="M28991" s="112"/>
      <c r="N28991" s="84"/>
    </row>
    <row r="28992" spans="1:14" s="2" customFormat="1">
      <c r="A28992" s="83"/>
      <c r="H28992" s="83"/>
      <c r="K28992" s="82"/>
      <c r="M28992" s="112"/>
      <c r="N28992" s="84"/>
    </row>
    <row r="28993" spans="1:14" s="2" customFormat="1">
      <c r="A28993" s="83"/>
      <c r="H28993" s="83"/>
      <c r="K28993" s="82"/>
      <c r="M28993" s="112"/>
      <c r="N28993" s="84"/>
    </row>
    <row r="28994" spans="1:14" s="2" customFormat="1">
      <c r="A28994" s="83"/>
      <c r="H28994" s="83"/>
      <c r="K28994" s="82"/>
      <c r="M28994" s="112"/>
      <c r="N28994" s="84"/>
    </row>
    <row r="28995" spans="1:14" s="2" customFormat="1">
      <c r="A28995" s="83"/>
      <c r="H28995" s="83"/>
      <c r="K28995" s="82"/>
      <c r="M28995" s="112"/>
      <c r="N28995" s="84"/>
    </row>
    <row r="28996" spans="1:14" s="2" customFormat="1">
      <c r="A28996" s="83"/>
      <c r="H28996" s="83"/>
      <c r="K28996" s="82"/>
      <c r="M28996" s="112"/>
      <c r="N28996" s="84"/>
    </row>
    <row r="28997" spans="1:14" s="2" customFormat="1">
      <c r="A28997" s="83"/>
      <c r="H28997" s="83"/>
      <c r="K28997" s="82"/>
      <c r="M28997" s="112"/>
      <c r="N28997" s="84"/>
    </row>
    <row r="28998" spans="1:14" s="2" customFormat="1">
      <c r="A28998" s="83"/>
      <c r="H28998" s="83"/>
      <c r="K28998" s="82"/>
      <c r="M28998" s="112"/>
      <c r="N28998" s="84"/>
    </row>
    <row r="28999" spans="1:14" s="2" customFormat="1">
      <c r="A28999" s="83"/>
      <c r="H28999" s="83"/>
      <c r="K28999" s="82"/>
      <c r="M28999" s="112"/>
      <c r="N28999" s="84"/>
    </row>
    <row r="29000" spans="1:14" s="2" customFormat="1">
      <c r="A29000" s="83"/>
      <c r="H29000" s="83"/>
      <c r="K29000" s="82"/>
      <c r="M29000" s="112"/>
      <c r="N29000" s="84"/>
    </row>
    <row r="29001" spans="1:14" s="2" customFormat="1">
      <c r="A29001" s="83"/>
      <c r="H29001" s="83"/>
      <c r="K29001" s="82"/>
      <c r="M29001" s="112"/>
      <c r="N29001" s="84"/>
    </row>
    <row r="29002" spans="1:14" s="2" customFormat="1">
      <c r="A29002" s="83"/>
      <c r="H29002" s="83"/>
      <c r="K29002" s="82"/>
      <c r="M29002" s="112"/>
      <c r="N29002" s="84"/>
    </row>
    <row r="29003" spans="1:14" s="2" customFormat="1">
      <c r="A29003" s="83"/>
      <c r="H29003" s="83"/>
      <c r="K29003" s="82"/>
      <c r="M29003" s="112"/>
      <c r="N29003" s="84"/>
    </row>
    <row r="29004" spans="1:14" s="2" customFormat="1">
      <c r="A29004" s="83"/>
      <c r="H29004" s="83"/>
      <c r="K29004" s="82"/>
      <c r="M29004" s="112"/>
      <c r="N29004" s="84"/>
    </row>
    <row r="29005" spans="1:14" s="2" customFormat="1">
      <c r="A29005" s="83"/>
      <c r="H29005" s="83"/>
      <c r="K29005" s="82"/>
      <c r="M29005" s="112"/>
      <c r="N29005" s="84"/>
    </row>
    <row r="29006" spans="1:14" s="2" customFormat="1">
      <c r="A29006" s="83"/>
      <c r="H29006" s="83"/>
      <c r="K29006" s="82"/>
      <c r="M29006" s="112"/>
      <c r="N29006" s="84"/>
    </row>
    <row r="29007" spans="1:14" s="2" customFormat="1">
      <c r="A29007" s="83"/>
      <c r="H29007" s="83"/>
      <c r="K29007" s="82"/>
      <c r="M29007" s="112"/>
      <c r="N29007" s="84"/>
    </row>
    <row r="29008" spans="1:14" s="2" customFormat="1">
      <c r="A29008" s="83"/>
      <c r="H29008" s="83"/>
      <c r="K29008" s="82"/>
      <c r="M29008" s="112"/>
      <c r="N29008" s="84"/>
    </row>
    <row r="29009" spans="1:14" s="2" customFormat="1">
      <c r="A29009" s="83"/>
      <c r="H29009" s="83"/>
      <c r="K29009" s="82"/>
      <c r="M29009" s="112"/>
      <c r="N29009" s="84"/>
    </row>
    <row r="29010" spans="1:14" s="2" customFormat="1">
      <c r="A29010" s="83"/>
      <c r="H29010" s="83"/>
      <c r="K29010" s="82"/>
      <c r="M29010" s="112"/>
      <c r="N29010" s="84"/>
    </row>
    <row r="29011" spans="1:14" s="2" customFormat="1">
      <c r="A29011" s="83"/>
      <c r="H29011" s="83"/>
      <c r="K29011" s="82"/>
      <c r="M29011" s="112"/>
      <c r="N29011" s="84"/>
    </row>
    <row r="29012" spans="1:14" s="2" customFormat="1">
      <c r="A29012" s="83"/>
      <c r="H29012" s="83"/>
      <c r="K29012" s="82"/>
      <c r="M29012" s="112"/>
      <c r="N29012" s="84"/>
    </row>
    <row r="29013" spans="1:14" s="2" customFormat="1">
      <c r="A29013" s="83"/>
      <c r="H29013" s="83"/>
      <c r="K29013" s="82"/>
      <c r="M29013" s="112"/>
      <c r="N29013" s="84"/>
    </row>
    <row r="29014" spans="1:14" s="2" customFormat="1">
      <c r="A29014" s="83"/>
      <c r="H29014" s="83"/>
      <c r="K29014" s="82"/>
      <c r="M29014" s="112"/>
      <c r="N29014" s="84"/>
    </row>
    <row r="29015" spans="1:14" s="2" customFormat="1">
      <c r="A29015" s="83"/>
      <c r="H29015" s="83"/>
      <c r="K29015" s="82"/>
      <c r="M29015" s="112"/>
      <c r="N29015" s="84"/>
    </row>
    <row r="29016" spans="1:14" s="2" customFormat="1">
      <c r="A29016" s="83"/>
      <c r="H29016" s="83"/>
      <c r="K29016" s="82"/>
      <c r="M29016" s="112"/>
      <c r="N29016" s="84"/>
    </row>
    <row r="29017" spans="1:14" s="2" customFormat="1">
      <c r="A29017" s="83"/>
      <c r="H29017" s="83"/>
      <c r="K29017" s="82"/>
      <c r="M29017" s="112"/>
      <c r="N29017" s="84"/>
    </row>
    <row r="29018" spans="1:14" s="2" customFormat="1">
      <c r="A29018" s="83"/>
      <c r="H29018" s="83"/>
      <c r="K29018" s="82"/>
      <c r="M29018" s="112"/>
      <c r="N29018" s="84"/>
    </row>
    <row r="29019" spans="1:14" s="2" customFormat="1">
      <c r="A29019" s="83"/>
      <c r="H29019" s="83"/>
      <c r="K29019" s="82"/>
      <c r="M29019" s="112"/>
      <c r="N29019" s="84"/>
    </row>
    <row r="29020" spans="1:14" s="2" customFormat="1">
      <c r="A29020" s="83"/>
      <c r="H29020" s="83"/>
      <c r="K29020" s="82"/>
      <c r="M29020" s="112"/>
      <c r="N29020" s="84"/>
    </row>
    <row r="29021" spans="1:14" s="2" customFormat="1">
      <c r="A29021" s="83"/>
      <c r="H29021" s="83"/>
      <c r="K29021" s="82"/>
      <c r="M29021" s="112"/>
      <c r="N29021" s="84"/>
    </row>
    <row r="29022" spans="1:14" s="2" customFormat="1">
      <c r="A29022" s="83"/>
      <c r="H29022" s="83"/>
      <c r="K29022" s="82"/>
      <c r="M29022" s="112"/>
      <c r="N29022" s="84"/>
    </row>
    <row r="29023" spans="1:14" s="2" customFormat="1">
      <c r="A29023" s="83"/>
      <c r="H29023" s="83"/>
      <c r="K29023" s="82"/>
      <c r="M29023" s="112"/>
      <c r="N29023" s="84"/>
    </row>
    <row r="29024" spans="1:14" s="2" customFormat="1">
      <c r="A29024" s="83"/>
      <c r="H29024" s="83"/>
      <c r="K29024" s="82"/>
      <c r="M29024" s="112"/>
      <c r="N29024" s="84"/>
    </row>
    <row r="29025" spans="1:14" s="2" customFormat="1">
      <c r="A29025" s="83"/>
      <c r="H29025" s="83"/>
      <c r="K29025" s="82"/>
      <c r="M29025" s="112"/>
      <c r="N29025" s="84"/>
    </row>
    <row r="29026" spans="1:14" s="2" customFormat="1">
      <c r="A29026" s="83"/>
      <c r="H29026" s="83"/>
      <c r="K29026" s="82"/>
      <c r="M29026" s="112"/>
      <c r="N29026" s="84"/>
    </row>
    <row r="29027" spans="1:14" s="2" customFormat="1">
      <c r="A29027" s="83"/>
      <c r="H29027" s="83"/>
      <c r="K29027" s="82"/>
      <c r="M29027" s="112"/>
      <c r="N29027" s="84"/>
    </row>
    <row r="29028" spans="1:14" s="2" customFormat="1">
      <c r="A29028" s="83"/>
      <c r="H29028" s="83"/>
      <c r="K29028" s="82"/>
      <c r="M29028" s="112"/>
      <c r="N29028" s="84"/>
    </row>
    <row r="29029" spans="1:14" s="2" customFormat="1">
      <c r="A29029" s="83"/>
      <c r="H29029" s="83"/>
      <c r="K29029" s="82"/>
      <c r="M29029" s="112"/>
      <c r="N29029" s="84"/>
    </row>
    <row r="29030" spans="1:14" s="2" customFormat="1">
      <c r="A29030" s="83"/>
      <c r="H29030" s="83"/>
      <c r="K29030" s="82"/>
      <c r="M29030" s="112"/>
      <c r="N29030" s="84"/>
    </row>
    <row r="29031" spans="1:14" s="2" customFormat="1">
      <c r="A29031" s="83"/>
      <c r="H29031" s="83"/>
      <c r="K29031" s="82"/>
      <c r="M29031" s="112"/>
      <c r="N29031" s="84"/>
    </row>
    <row r="29032" spans="1:14" s="2" customFormat="1">
      <c r="A29032" s="83"/>
      <c r="H29032" s="83"/>
      <c r="K29032" s="82"/>
      <c r="M29032" s="112"/>
      <c r="N29032" s="84"/>
    </row>
    <row r="29033" spans="1:14" s="2" customFormat="1">
      <c r="A29033" s="83"/>
      <c r="H29033" s="83"/>
      <c r="K29033" s="82"/>
      <c r="M29033" s="112"/>
      <c r="N29033" s="84"/>
    </row>
    <row r="29034" spans="1:14" s="2" customFormat="1">
      <c r="A29034" s="83"/>
      <c r="H29034" s="83"/>
      <c r="K29034" s="82"/>
      <c r="M29034" s="112"/>
      <c r="N29034" s="84"/>
    </row>
    <row r="29035" spans="1:14" s="2" customFormat="1">
      <c r="A29035" s="83"/>
      <c r="H29035" s="83"/>
      <c r="K29035" s="82"/>
      <c r="M29035" s="112"/>
      <c r="N29035" s="84"/>
    </row>
    <row r="29036" spans="1:14" s="2" customFormat="1">
      <c r="A29036" s="83"/>
      <c r="H29036" s="83"/>
      <c r="K29036" s="82"/>
      <c r="M29036" s="112"/>
      <c r="N29036" s="84"/>
    </row>
    <row r="29037" spans="1:14" s="2" customFormat="1">
      <c r="A29037" s="83"/>
      <c r="H29037" s="83"/>
      <c r="K29037" s="82"/>
      <c r="M29037" s="112"/>
      <c r="N29037" s="84"/>
    </row>
    <row r="29038" spans="1:14" s="2" customFormat="1">
      <c r="A29038" s="83"/>
      <c r="H29038" s="83"/>
      <c r="K29038" s="82"/>
      <c r="M29038" s="112"/>
      <c r="N29038" s="84"/>
    </row>
    <row r="29039" spans="1:14" s="2" customFormat="1">
      <c r="A29039" s="83"/>
      <c r="H29039" s="83"/>
      <c r="K29039" s="82"/>
      <c r="M29039" s="112"/>
      <c r="N29039" s="84"/>
    </row>
    <row r="29040" spans="1:14" s="2" customFormat="1">
      <c r="A29040" s="83"/>
      <c r="H29040" s="83"/>
      <c r="K29040" s="82"/>
      <c r="M29040" s="112"/>
      <c r="N29040" s="84"/>
    </row>
    <row r="29041" spans="1:14" s="2" customFormat="1">
      <c r="A29041" s="83"/>
      <c r="H29041" s="83"/>
      <c r="K29041" s="82"/>
      <c r="M29041" s="112"/>
      <c r="N29041" s="84"/>
    </row>
    <row r="29042" spans="1:14" s="2" customFormat="1">
      <c r="A29042" s="83"/>
      <c r="H29042" s="83"/>
      <c r="K29042" s="82"/>
      <c r="M29042" s="112"/>
      <c r="N29042" s="84"/>
    </row>
    <row r="29043" spans="1:14" s="2" customFormat="1">
      <c r="A29043" s="83"/>
      <c r="H29043" s="83"/>
      <c r="K29043" s="82"/>
      <c r="M29043" s="112"/>
      <c r="N29043" s="84"/>
    </row>
    <row r="29044" spans="1:14" s="2" customFormat="1">
      <c r="A29044" s="83"/>
      <c r="H29044" s="83"/>
      <c r="K29044" s="82"/>
      <c r="M29044" s="112"/>
      <c r="N29044" s="84"/>
    </row>
    <row r="29045" spans="1:14" s="2" customFormat="1">
      <c r="A29045" s="83"/>
      <c r="H29045" s="83"/>
      <c r="K29045" s="82"/>
      <c r="M29045" s="112"/>
      <c r="N29045" s="84"/>
    </row>
    <row r="29046" spans="1:14" s="2" customFormat="1">
      <c r="A29046" s="83"/>
      <c r="H29046" s="83"/>
      <c r="K29046" s="82"/>
      <c r="M29046" s="112"/>
      <c r="N29046" s="84"/>
    </row>
    <row r="29047" spans="1:14" s="2" customFormat="1">
      <c r="A29047" s="83"/>
      <c r="H29047" s="83"/>
      <c r="K29047" s="82"/>
      <c r="M29047" s="112"/>
      <c r="N29047" s="84"/>
    </row>
    <row r="29048" spans="1:14" s="2" customFormat="1">
      <c r="A29048" s="83"/>
      <c r="H29048" s="83"/>
      <c r="K29048" s="82"/>
      <c r="M29048" s="112"/>
      <c r="N29048" s="84"/>
    </row>
    <row r="29049" spans="1:14" s="2" customFormat="1">
      <c r="A29049" s="83"/>
      <c r="H29049" s="83"/>
      <c r="K29049" s="82"/>
      <c r="M29049" s="112"/>
      <c r="N29049" s="84"/>
    </row>
    <row r="29050" spans="1:14" s="2" customFormat="1">
      <c r="A29050" s="83"/>
      <c r="H29050" s="83"/>
      <c r="K29050" s="82"/>
      <c r="M29050" s="112"/>
      <c r="N29050" s="84"/>
    </row>
    <row r="29051" spans="1:14" s="2" customFormat="1">
      <c r="A29051" s="83"/>
      <c r="H29051" s="83"/>
      <c r="K29051" s="82"/>
      <c r="M29051" s="112"/>
      <c r="N29051" s="84"/>
    </row>
    <row r="29052" spans="1:14" s="2" customFormat="1">
      <c r="A29052" s="83"/>
      <c r="H29052" s="83"/>
      <c r="K29052" s="82"/>
      <c r="M29052" s="112"/>
      <c r="N29052" s="84"/>
    </row>
    <row r="29053" spans="1:14" s="2" customFormat="1">
      <c r="A29053" s="83"/>
      <c r="H29053" s="83"/>
      <c r="K29053" s="82"/>
      <c r="M29053" s="112"/>
      <c r="N29053" s="84"/>
    </row>
    <row r="29054" spans="1:14" s="2" customFormat="1">
      <c r="A29054" s="83"/>
      <c r="H29054" s="83"/>
      <c r="K29054" s="82"/>
      <c r="M29054" s="112"/>
      <c r="N29054" s="84"/>
    </row>
    <row r="29055" spans="1:14" s="2" customFormat="1">
      <c r="A29055" s="83"/>
      <c r="H29055" s="83"/>
      <c r="K29055" s="82"/>
      <c r="M29055" s="112"/>
      <c r="N29055" s="84"/>
    </row>
    <row r="29056" spans="1:14" s="2" customFormat="1">
      <c r="A29056" s="83"/>
      <c r="H29056" s="83"/>
      <c r="K29056" s="82"/>
      <c r="M29056" s="112"/>
      <c r="N29056" s="84"/>
    </row>
    <row r="29057" spans="1:14" s="2" customFormat="1">
      <c r="A29057" s="83"/>
      <c r="H29057" s="83"/>
      <c r="K29057" s="82"/>
      <c r="M29057" s="112"/>
      <c r="N29057" s="84"/>
    </row>
    <row r="29058" spans="1:14" s="2" customFormat="1">
      <c r="A29058" s="83"/>
      <c r="H29058" s="83"/>
      <c r="K29058" s="82"/>
      <c r="M29058" s="112"/>
      <c r="N29058" s="84"/>
    </row>
    <row r="29059" spans="1:14" s="2" customFormat="1">
      <c r="A29059" s="83"/>
      <c r="H29059" s="83"/>
      <c r="K29059" s="82"/>
      <c r="M29059" s="112"/>
      <c r="N29059" s="84"/>
    </row>
    <row r="29060" spans="1:14" s="2" customFormat="1">
      <c r="A29060" s="83"/>
      <c r="H29060" s="83"/>
      <c r="K29060" s="82"/>
      <c r="M29060" s="112"/>
      <c r="N29060" s="84"/>
    </row>
    <row r="29061" spans="1:14" s="2" customFormat="1">
      <c r="A29061" s="83"/>
      <c r="H29061" s="83"/>
      <c r="K29061" s="82"/>
      <c r="M29061" s="112"/>
      <c r="N29061" s="84"/>
    </row>
    <row r="29062" spans="1:14" s="2" customFormat="1">
      <c r="A29062" s="83"/>
      <c r="H29062" s="83"/>
      <c r="K29062" s="82"/>
      <c r="M29062" s="112"/>
      <c r="N29062" s="84"/>
    </row>
    <row r="29063" spans="1:14" s="2" customFormat="1">
      <c r="A29063" s="83"/>
      <c r="H29063" s="83"/>
      <c r="K29063" s="82"/>
      <c r="M29063" s="112"/>
      <c r="N29063" s="84"/>
    </row>
    <row r="29064" spans="1:14" s="2" customFormat="1">
      <c r="A29064" s="83"/>
      <c r="H29064" s="83"/>
      <c r="K29064" s="82"/>
      <c r="M29064" s="112"/>
      <c r="N29064" s="84"/>
    </row>
    <row r="29065" spans="1:14" s="2" customFormat="1">
      <c r="A29065" s="83"/>
      <c r="H29065" s="83"/>
      <c r="K29065" s="82"/>
      <c r="M29065" s="112"/>
      <c r="N29065" s="84"/>
    </row>
    <row r="29066" spans="1:14" s="2" customFormat="1">
      <c r="A29066" s="83"/>
      <c r="H29066" s="83"/>
      <c r="K29066" s="82"/>
      <c r="M29066" s="112"/>
      <c r="N29066" s="84"/>
    </row>
    <row r="29067" spans="1:14" s="2" customFormat="1">
      <c r="A29067" s="83"/>
      <c r="H29067" s="83"/>
      <c r="K29067" s="82"/>
      <c r="M29067" s="112"/>
      <c r="N29067" s="84"/>
    </row>
    <row r="29068" spans="1:14" s="2" customFormat="1">
      <c r="A29068" s="83"/>
      <c r="H29068" s="83"/>
      <c r="K29068" s="82"/>
      <c r="M29068" s="112"/>
      <c r="N29068" s="84"/>
    </row>
    <row r="29069" spans="1:14" s="2" customFormat="1">
      <c r="A29069" s="83"/>
      <c r="H29069" s="83"/>
      <c r="K29069" s="82"/>
      <c r="M29069" s="112"/>
      <c r="N29069" s="84"/>
    </row>
    <row r="29070" spans="1:14" s="2" customFormat="1">
      <c r="A29070" s="83"/>
      <c r="H29070" s="83"/>
      <c r="K29070" s="82"/>
      <c r="M29070" s="112"/>
      <c r="N29070" s="84"/>
    </row>
    <row r="29071" spans="1:14" s="2" customFormat="1">
      <c r="A29071" s="83"/>
      <c r="H29071" s="83"/>
      <c r="K29071" s="82"/>
      <c r="M29071" s="112"/>
      <c r="N29071" s="84"/>
    </row>
    <row r="29072" spans="1:14" s="2" customFormat="1">
      <c r="A29072" s="83"/>
      <c r="H29072" s="83"/>
      <c r="K29072" s="82"/>
      <c r="M29072" s="112"/>
      <c r="N29072" s="84"/>
    </row>
    <row r="29073" spans="1:14" s="2" customFormat="1">
      <c r="A29073" s="83"/>
      <c r="H29073" s="83"/>
      <c r="K29073" s="82"/>
      <c r="M29073" s="112"/>
      <c r="N29073" s="84"/>
    </row>
    <row r="29074" spans="1:14" s="2" customFormat="1">
      <c r="A29074" s="83"/>
      <c r="H29074" s="83"/>
      <c r="K29074" s="82"/>
      <c r="M29074" s="112"/>
      <c r="N29074" s="84"/>
    </row>
    <row r="29075" spans="1:14" s="2" customFormat="1">
      <c r="A29075" s="83"/>
      <c r="H29075" s="83"/>
      <c r="K29075" s="82"/>
      <c r="M29075" s="112"/>
      <c r="N29075" s="84"/>
    </row>
    <row r="29076" spans="1:14" s="2" customFormat="1">
      <c r="A29076" s="83"/>
      <c r="H29076" s="83"/>
      <c r="K29076" s="82"/>
      <c r="M29076" s="112"/>
      <c r="N29076" s="84"/>
    </row>
    <row r="29077" spans="1:14" s="2" customFormat="1">
      <c r="A29077" s="83"/>
      <c r="H29077" s="83"/>
      <c r="K29077" s="82"/>
      <c r="M29077" s="112"/>
      <c r="N29077" s="84"/>
    </row>
    <row r="29078" spans="1:14" s="2" customFormat="1">
      <c r="A29078" s="83"/>
      <c r="H29078" s="83"/>
      <c r="K29078" s="82"/>
      <c r="M29078" s="112"/>
      <c r="N29078" s="84"/>
    </row>
    <row r="29079" spans="1:14" s="2" customFormat="1">
      <c r="A29079" s="83"/>
      <c r="H29079" s="83"/>
      <c r="K29079" s="82"/>
      <c r="M29079" s="112"/>
      <c r="N29079" s="84"/>
    </row>
    <row r="29080" spans="1:14" s="2" customFormat="1">
      <c r="A29080" s="83"/>
      <c r="H29080" s="83"/>
      <c r="K29080" s="82"/>
      <c r="M29080" s="112"/>
      <c r="N29080" s="84"/>
    </row>
    <row r="29081" spans="1:14" s="2" customFormat="1">
      <c r="A29081" s="83"/>
      <c r="H29081" s="83"/>
      <c r="K29081" s="82"/>
      <c r="M29081" s="112"/>
      <c r="N29081" s="84"/>
    </row>
    <row r="29082" spans="1:14" s="2" customFormat="1">
      <c r="A29082" s="83"/>
      <c r="H29082" s="83"/>
      <c r="K29082" s="82"/>
      <c r="M29082" s="112"/>
      <c r="N29082" s="84"/>
    </row>
    <row r="29083" spans="1:14" s="2" customFormat="1">
      <c r="A29083" s="83"/>
      <c r="H29083" s="83"/>
      <c r="K29083" s="82"/>
      <c r="M29083" s="112"/>
      <c r="N29083" s="84"/>
    </row>
    <row r="29084" spans="1:14" s="2" customFormat="1">
      <c r="A29084" s="83"/>
      <c r="H29084" s="83"/>
      <c r="K29084" s="82"/>
      <c r="M29084" s="112"/>
      <c r="N29084" s="84"/>
    </row>
    <row r="29085" spans="1:14" s="2" customFormat="1">
      <c r="A29085" s="83"/>
      <c r="H29085" s="83"/>
      <c r="K29085" s="82"/>
      <c r="M29085" s="112"/>
      <c r="N29085" s="84"/>
    </row>
    <row r="29086" spans="1:14" s="2" customFormat="1">
      <c r="A29086" s="83"/>
      <c r="H29086" s="83"/>
      <c r="K29086" s="82"/>
      <c r="M29086" s="112"/>
      <c r="N29086" s="84"/>
    </row>
    <row r="29087" spans="1:14" s="2" customFormat="1">
      <c r="A29087" s="83"/>
      <c r="H29087" s="83"/>
      <c r="K29087" s="82"/>
      <c r="M29087" s="112"/>
      <c r="N29087" s="84"/>
    </row>
    <row r="29088" spans="1:14" s="2" customFormat="1">
      <c r="A29088" s="83"/>
      <c r="H29088" s="83"/>
      <c r="K29088" s="82"/>
      <c r="M29088" s="112"/>
      <c r="N29088" s="84"/>
    </row>
    <row r="29089" spans="1:14" s="2" customFormat="1">
      <c r="A29089" s="83"/>
      <c r="H29089" s="83"/>
      <c r="K29089" s="82"/>
      <c r="M29089" s="112"/>
      <c r="N29089" s="84"/>
    </row>
    <row r="29090" spans="1:14" s="2" customFormat="1">
      <c r="A29090" s="83"/>
      <c r="H29090" s="83"/>
      <c r="K29090" s="82"/>
      <c r="M29090" s="112"/>
      <c r="N29090" s="84"/>
    </row>
    <row r="29091" spans="1:14" s="2" customFormat="1">
      <c r="A29091" s="83"/>
      <c r="H29091" s="83"/>
      <c r="K29091" s="82"/>
      <c r="M29091" s="112"/>
      <c r="N29091" s="84"/>
    </row>
    <row r="29092" spans="1:14" s="2" customFormat="1">
      <c r="A29092" s="83"/>
      <c r="H29092" s="83"/>
      <c r="K29092" s="82"/>
      <c r="M29092" s="112"/>
      <c r="N29092" s="84"/>
    </row>
    <row r="29093" spans="1:14" s="2" customFormat="1">
      <c r="A29093" s="83"/>
      <c r="H29093" s="83"/>
      <c r="K29093" s="82"/>
      <c r="M29093" s="112"/>
      <c r="N29093" s="84"/>
    </row>
    <row r="29094" spans="1:14" s="2" customFormat="1">
      <c r="A29094" s="83"/>
      <c r="H29094" s="83"/>
      <c r="K29094" s="82"/>
      <c r="M29094" s="112"/>
      <c r="N29094" s="84"/>
    </row>
    <row r="29095" spans="1:14" s="2" customFormat="1">
      <c r="A29095" s="83"/>
      <c r="H29095" s="83"/>
      <c r="K29095" s="82"/>
      <c r="M29095" s="112"/>
      <c r="N29095" s="84"/>
    </row>
    <row r="29096" spans="1:14" s="2" customFormat="1">
      <c r="A29096" s="83"/>
      <c r="H29096" s="83"/>
      <c r="K29096" s="82"/>
      <c r="M29096" s="112"/>
      <c r="N29096" s="84"/>
    </row>
    <row r="29097" spans="1:14" s="2" customFormat="1">
      <c r="A29097" s="83"/>
      <c r="H29097" s="83"/>
      <c r="K29097" s="82"/>
      <c r="M29097" s="112"/>
      <c r="N29097" s="84"/>
    </row>
    <row r="29098" spans="1:14" s="2" customFormat="1">
      <c r="A29098" s="83"/>
      <c r="H29098" s="83"/>
      <c r="K29098" s="82"/>
      <c r="M29098" s="112"/>
      <c r="N29098" s="84"/>
    </row>
    <row r="29099" spans="1:14" s="2" customFormat="1">
      <c r="A29099" s="83"/>
      <c r="H29099" s="83"/>
      <c r="K29099" s="82"/>
      <c r="M29099" s="112"/>
      <c r="N29099" s="84"/>
    </row>
    <row r="29100" spans="1:14" s="2" customFormat="1">
      <c r="A29100" s="83"/>
      <c r="H29100" s="83"/>
      <c r="K29100" s="82"/>
      <c r="M29100" s="112"/>
      <c r="N29100" s="84"/>
    </row>
    <row r="29101" spans="1:14" s="2" customFormat="1">
      <c r="A29101" s="83"/>
      <c r="H29101" s="83"/>
      <c r="K29101" s="82"/>
      <c r="M29101" s="112"/>
      <c r="N29101" s="84"/>
    </row>
    <row r="29102" spans="1:14" s="2" customFormat="1">
      <c r="A29102" s="83"/>
      <c r="H29102" s="83"/>
      <c r="K29102" s="82"/>
      <c r="M29102" s="112"/>
      <c r="N29102" s="84"/>
    </row>
    <row r="29103" spans="1:14" s="2" customFormat="1">
      <c r="A29103" s="83"/>
      <c r="H29103" s="83"/>
      <c r="K29103" s="82"/>
      <c r="M29103" s="112"/>
      <c r="N29103" s="84"/>
    </row>
    <row r="29104" spans="1:14" s="2" customFormat="1">
      <c r="A29104" s="83"/>
      <c r="H29104" s="83"/>
      <c r="K29104" s="82"/>
      <c r="M29104" s="112"/>
      <c r="N29104" s="84"/>
    </row>
    <row r="29105" spans="1:14" s="2" customFormat="1">
      <c r="A29105" s="83"/>
      <c r="H29105" s="83"/>
      <c r="K29105" s="82"/>
      <c r="M29105" s="112"/>
      <c r="N29105" s="84"/>
    </row>
    <row r="29106" spans="1:14" s="2" customFormat="1">
      <c r="A29106" s="83"/>
      <c r="H29106" s="83"/>
      <c r="K29106" s="82"/>
      <c r="M29106" s="112"/>
      <c r="N29106" s="84"/>
    </row>
    <row r="29107" spans="1:14" s="2" customFormat="1">
      <c r="A29107" s="83"/>
      <c r="H29107" s="83"/>
      <c r="K29107" s="82"/>
      <c r="M29107" s="112"/>
      <c r="N29107" s="84"/>
    </row>
    <row r="29108" spans="1:14" s="2" customFormat="1">
      <c r="A29108" s="83"/>
      <c r="H29108" s="83"/>
      <c r="K29108" s="82"/>
      <c r="M29108" s="112"/>
      <c r="N29108" s="84"/>
    </row>
    <row r="29109" spans="1:14" s="2" customFormat="1">
      <c r="A29109" s="83"/>
      <c r="H29109" s="83"/>
      <c r="K29109" s="82"/>
      <c r="M29109" s="112"/>
      <c r="N29109" s="84"/>
    </row>
    <row r="29110" spans="1:14" s="2" customFormat="1">
      <c r="A29110" s="83"/>
      <c r="H29110" s="83"/>
      <c r="K29110" s="82"/>
      <c r="M29110" s="112"/>
      <c r="N29110" s="84"/>
    </row>
    <row r="29111" spans="1:14" s="2" customFormat="1">
      <c r="A29111" s="83"/>
      <c r="H29111" s="83"/>
      <c r="K29111" s="82"/>
      <c r="M29111" s="112"/>
      <c r="N29111" s="84"/>
    </row>
    <row r="29112" spans="1:14" s="2" customFormat="1">
      <c r="A29112" s="83"/>
      <c r="H29112" s="83"/>
      <c r="K29112" s="82"/>
      <c r="M29112" s="112"/>
      <c r="N29112" s="84"/>
    </row>
    <row r="29113" spans="1:14" s="2" customFormat="1">
      <c r="A29113" s="83"/>
      <c r="H29113" s="83"/>
      <c r="K29113" s="82"/>
      <c r="M29113" s="112"/>
      <c r="N29113" s="84"/>
    </row>
    <row r="29114" spans="1:14" s="2" customFormat="1">
      <c r="A29114" s="83"/>
      <c r="H29114" s="83"/>
      <c r="K29114" s="82"/>
      <c r="M29114" s="112"/>
      <c r="N29114" s="84"/>
    </row>
    <row r="29115" spans="1:14" s="2" customFormat="1">
      <c r="A29115" s="83"/>
      <c r="H29115" s="83"/>
      <c r="K29115" s="82"/>
      <c r="M29115" s="112"/>
      <c r="N29115" s="84"/>
    </row>
    <row r="29116" spans="1:14" s="2" customFormat="1">
      <c r="A29116" s="83"/>
      <c r="H29116" s="83"/>
      <c r="K29116" s="82"/>
      <c r="M29116" s="112"/>
      <c r="N29116" s="84"/>
    </row>
    <row r="29117" spans="1:14" s="2" customFormat="1">
      <c r="A29117" s="83"/>
      <c r="H29117" s="83"/>
      <c r="K29117" s="82"/>
      <c r="M29117" s="112"/>
      <c r="N29117" s="84"/>
    </row>
    <row r="29118" spans="1:14" s="2" customFormat="1">
      <c r="A29118" s="83"/>
      <c r="H29118" s="83"/>
      <c r="K29118" s="82"/>
      <c r="M29118" s="112"/>
      <c r="N29118" s="84"/>
    </row>
    <row r="29119" spans="1:14" s="2" customFormat="1">
      <c r="A29119" s="83"/>
      <c r="H29119" s="83"/>
      <c r="K29119" s="82"/>
      <c r="M29119" s="112"/>
      <c r="N29119" s="84"/>
    </row>
    <row r="29120" spans="1:14" s="2" customFormat="1">
      <c r="A29120" s="83"/>
      <c r="H29120" s="83"/>
      <c r="K29120" s="82"/>
      <c r="M29120" s="112"/>
      <c r="N29120" s="84"/>
    </row>
    <row r="29121" spans="1:14" s="2" customFormat="1">
      <c r="A29121" s="83"/>
      <c r="H29121" s="83"/>
      <c r="K29121" s="82"/>
      <c r="M29121" s="112"/>
      <c r="N29121" s="84"/>
    </row>
    <row r="29122" spans="1:14" s="2" customFormat="1">
      <c r="A29122" s="83"/>
      <c r="H29122" s="83"/>
      <c r="K29122" s="82"/>
      <c r="M29122" s="112"/>
      <c r="N29122" s="84"/>
    </row>
    <row r="29123" spans="1:14" s="2" customFormat="1">
      <c r="A29123" s="83"/>
      <c r="H29123" s="83"/>
      <c r="K29123" s="82"/>
      <c r="M29123" s="112"/>
      <c r="N29123" s="84"/>
    </row>
    <row r="29124" spans="1:14" s="2" customFormat="1">
      <c r="A29124" s="83"/>
      <c r="H29124" s="83"/>
      <c r="K29124" s="82"/>
      <c r="M29124" s="112"/>
      <c r="N29124" s="84"/>
    </row>
    <row r="29125" spans="1:14" s="2" customFormat="1">
      <c r="A29125" s="83"/>
      <c r="H29125" s="83"/>
      <c r="K29125" s="82"/>
      <c r="M29125" s="112"/>
      <c r="N29125" s="84"/>
    </row>
    <row r="29126" spans="1:14" s="2" customFormat="1">
      <c r="A29126" s="83"/>
      <c r="H29126" s="83"/>
      <c r="K29126" s="82"/>
      <c r="M29126" s="112"/>
      <c r="N29126" s="84"/>
    </row>
    <row r="29127" spans="1:14" s="2" customFormat="1">
      <c r="A29127" s="83"/>
      <c r="H29127" s="83"/>
      <c r="K29127" s="82"/>
      <c r="M29127" s="112"/>
      <c r="N29127" s="84"/>
    </row>
    <row r="29128" spans="1:14" s="2" customFormat="1">
      <c r="A29128" s="83"/>
      <c r="H29128" s="83"/>
      <c r="K29128" s="82"/>
      <c r="M29128" s="112"/>
      <c r="N29128" s="84"/>
    </row>
    <row r="29129" spans="1:14" s="2" customFormat="1">
      <c r="A29129" s="83"/>
      <c r="H29129" s="83"/>
      <c r="K29129" s="82"/>
      <c r="M29129" s="112"/>
      <c r="N29129" s="84"/>
    </row>
    <row r="29130" spans="1:14" s="2" customFormat="1">
      <c r="A29130" s="83"/>
      <c r="H29130" s="83"/>
      <c r="K29130" s="82"/>
      <c r="M29130" s="112"/>
      <c r="N29130" s="84"/>
    </row>
    <row r="29131" spans="1:14" s="2" customFormat="1">
      <c r="A29131" s="83"/>
      <c r="H29131" s="83"/>
      <c r="K29131" s="82"/>
      <c r="M29131" s="112"/>
      <c r="N29131" s="84"/>
    </row>
    <row r="29132" spans="1:14" s="2" customFormat="1">
      <c r="A29132" s="83"/>
      <c r="H29132" s="83"/>
      <c r="K29132" s="82"/>
      <c r="M29132" s="112"/>
      <c r="N29132" s="84"/>
    </row>
    <row r="29133" spans="1:14" s="2" customFormat="1">
      <c r="A29133" s="83"/>
      <c r="H29133" s="83"/>
      <c r="K29133" s="82"/>
      <c r="M29133" s="112"/>
      <c r="N29133" s="84"/>
    </row>
    <row r="29134" spans="1:14" s="2" customFormat="1">
      <c r="A29134" s="83"/>
      <c r="H29134" s="83"/>
      <c r="K29134" s="82"/>
      <c r="M29134" s="112"/>
      <c r="N29134" s="84"/>
    </row>
    <row r="29135" spans="1:14" s="2" customFormat="1">
      <c r="A29135" s="83"/>
      <c r="H29135" s="83"/>
      <c r="K29135" s="82"/>
      <c r="M29135" s="112"/>
      <c r="N29135" s="84"/>
    </row>
    <row r="29136" spans="1:14" s="2" customFormat="1">
      <c r="A29136" s="83"/>
      <c r="H29136" s="83"/>
      <c r="K29136" s="82"/>
      <c r="M29136" s="112"/>
      <c r="N29136" s="84"/>
    </row>
    <row r="29137" spans="1:14" s="2" customFormat="1">
      <c r="A29137" s="83"/>
      <c r="H29137" s="83"/>
      <c r="K29137" s="82"/>
      <c r="M29137" s="112"/>
      <c r="N29137" s="84"/>
    </row>
    <row r="29138" spans="1:14" s="2" customFormat="1">
      <c r="A29138" s="83"/>
      <c r="H29138" s="83"/>
      <c r="K29138" s="82"/>
      <c r="M29138" s="112"/>
      <c r="N29138" s="84"/>
    </row>
    <row r="29139" spans="1:14" s="2" customFormat="1">
      <c r="A29139" s="83"/>
      <c r="H29139" s="83"/>
      <c r="K29139" s="82"/>
      <c r="M29139" s="112"/>
      <c r="N29139" s="84"/>
    </row>
    <row r="29140" spans="1:14" s="2" customFormat="1">
      <c r="A29140" s="83"/>
      <c r="H29140" s="83"/>
      <c r="K29140" s="82"/>
      <c r="M29140" s="112"/>
      <c r="N29140" s="84"/>
    </row>
    <row r="29141" spans="1:14" s="2" customFormat="1">
      <c r="A29141" s="83"/>
      <c r="H29141" s="83"/>
      <c r="K29141" s="82"/>
      <c r="M29141" s="112"/>
      <c r="N29141" s="84"/>
    </row>
    <row r="29142" spans="1:14" s="2" customFormat="1">
      <c r="A29142" s="83"/>
      <c r="H29142" s="83"/>
      <c r="K29142" s="82"/>
      <c r="M29142" s="112"/>
      <c r="N29142" s="84"/>
    </row>
    <row r="29143" spans="1:14" s="2" customFormat="1">
      <c r="A29143" s="83"/>
      <c r="H29143" s="83"/>
      <c r="K29143" s="82"/>
      <c r="M29143" s="112"/>
      <c r="N29143" s="84"/>
    </row>
    <row r="29144" spans="1:14" s="2" customFormat="1">
      <c r="A29144" s="83"/>
      <c r="H29144" s="83"/>
      <c r="K29144" s="82"/>
      <c r="M29144" s="112"/>
      <c r="N29144" s="84"/>
    </row>
    <row r="29145" spans="1:14" s="2" customFormat="1">
      <c r="A29145" s="83"/>
      <c r="H29145" s="83"/>
      <c r="K29145" s="82"/>
      <c r="M29145" s="112"/>
      <c r="N29145" s="84"/>
    </row>
    <row r="29146" spans="1:14" s="2" customFormat="1">
      <c r="A29146" s="83"/>
      <c r="H29146" s="83"/>
      <c r="K29146" s="82"/>
      <c r="M29146" s="112"/>
      <c r="N29146" s="84"/>
    </row>
    <row r="29147" spans="1:14" s="2" customFormat="1">
      <c r="A29147" s="83"/>
      <c r="H29147" s="83"/>
      <c r="K29147" s="82"/>
      <c r="M29147" s="112"/>
      <c r="N29147" s="84"/>
    </row>
    <row r="29148" spans="1:14" s="2" customFormat="1">
      <c r="A29148" s="83"/>
      <c r="H29148" s="83"/>
      <c r="K29148" s="82"/>
      <c r="M29148" s="112"/>
      <c r="N29148" s="84"/>
    </row>
    <row r="29149" spans="1:14" s="2" customFormat="1">
      <c r="A29149" s="83"/>
      <c r="H29149" s="83"/>
      <c r="K29149" s="82"/>
      <c r="M29149" s="112"/>
      <c r="N29149" s="84"/>
    </row>
    <row r="29150" spans="1:14" s="2" customFormat="1">
      <c r="A29150" s="83"/>
      <c r="H29150" s="83"/>
      <c r="K29150" s="82"/>
      <c r="M29150" s="112"/>
      <c r="N29150" s="84"/>
    </row>
    <row r="29151" spans="1:14" s="2" customFormat="1">
      <c r="A29151" s="83"/>
      <c r="H29151" s="83"/>
      <c r="K29151" s="82"/>
      <c r="M29151" s="112"/>
      <c r="N29151" s="84"/>
    </row>
    <row r="29152" spans="1:14" s="2" customFormat="1">
      <c r="A29152" s="83"/>
      <c r="H29152" s="83"/>
      <c r="K29152" s="82"/>
      <c r="M29152" s="112"/>
      <c r="N29152" s="84"/>
    </row>
    <row r="29153" spans="1:14" s="2" customFormat="1">
      <c r="A29153" s="83"/>
      <c r="H29153" s="83"/>
      <c r="K29153" s="82"/>
      <c r="M29153" s="112"/>
      <c r="N29153" s="84"/>
    </row>
    <row r="29154" spans="1:14" s="2" customFormat="1">
      <c r="A29154" s="83"/>
      <c r="H29154" s="83"/>
      <c r="K29154" s="82"/>
      <c r="M29154" s="112"/>
      <c r="N29154" s="84"/>
    </row>
    <row r="29155" spans="1:14" s="2" customFormat="1">
      <c r="A29155" s="83"/>
      <c r="H29155" s="83"/>
      <c r="K29155" s="82"/>
      <c r="M29155" s="112"/>
      <c r="N29155" s="84"/>
    </row>
    <row r="29156" spans="1:14" s="2" customFormat="1">
      <c r="A29156" s="83"/>
      <c r="H29156" s="83"/>
      <c r="K29156" s="82"/>
      <c r="M29156" s="112"/>
      <c r="N29156" s="84"/>
    </row>
    <row r="29157" spans="1:14" s="2" customFormat="1">
      <c r="A29157" s="83"/>
      <c r="H29157" s="83"/>
      <c r="K29157" s="82"/>
      <c r="M29157" s="112"/>
      <c r="N29157" s="84"/>
    </row>
    <row r="29158" spans="1:14" s="2" customFormat="1">
      <c r="A29158" s="83"/>
      <c r="H29158" s="83"/>
      <c r="K29158" s="82"/>
      <c r="M29158" s="112"/>
      <c r="N29158" s="84"/>
    </row>
    <row r="29159" spans="1:14" s="2" customFormat="1">
      <c r="A29159" s="83"/>
      <c r="H29159" s="83"/>
      <c r="K29159" s="82"/>
      <c r="M29159" s="112"/>
      <c r="N29159" s="84"/>
    </row>
    <row r="29160" spans="1:14" s="2" customFormat="1">
      <c r="A29160" s="83"/>
      <c r="H29160" s="83"/>
      <c r="K29160" s="82"/>
      <c r="M29160" s="112"/>
      <c r="N29160" s="84"/>
    </row>
    <row r="29161" spans="1:14" s="2" customFormat="1">
      <c r="A29161" s="83"/>
      <c r="H29161" s="83"/>
      <c r="K29161" s="82"/>
      <c r="M29161" s="112"/>
      <c r="N29161" s="84"/>
    </row>
    <row r="29162" spans="1:14" s="2" customFormat="1">
      <c r="A29162" s="83"/>
      <c r="H29162" s="83"/>
      <c r="K29162" s="82"/>
      <c r="M29162" s="112"/>
      <c r="N29162" s="84"/>
    </row>
    <row r="29163" spans="1:14" s="2" customFormat="1">
      <c r="A29163" s="83"/>
      <c r="H29163" s="83"/>
      <c r="K29163" s="82"/>
      <c r="M29163" s="112"/>
      <c r="N29163" s="84"/>
    </row>
    <row r="29164" spans="1:14" s="2" customFormat="1">
      <c r="A29164" s="83"/>
      <c r="H29164" s="83"/>
      <c r="K29164" s="82"/>
      <c r="M29164" s="112"/>
      <c r="N29164" s="84"/>
    </row>
    <row r="29165" spans="1:14" s="2" customFormat="1">
      <c r="A29165" s="83"/>
      <c r="H29165" s="83"/>
      <c r="K29165" s="82"/>
      <c r="M29165" s="112"/>
      <c r="N29165" s="84"/>
    </row>
    <row r="29166" spans="1:14" s="2" customFormat="1">
      <c r="A29166" s="83"/>
      <c r="H29166" s="83"/>
      <c r="K29166" s="82"/>
      <c r="M29166" s="112"/>
      <c r="N29166" s="84"/>
    </row>
    <row r="29167" spans="1:14" s="2" customFormat="1">
      <c r="A29167" s="83"/>
      <c r="H29167" s="83"/>
      <c r="K29167" s="82"/>
      <c r="M29167" s="112"/>
      <c r="N29167" s="84"/>
    </row>
    <row r="29168" spans="1:14" s="2" customFormat="1">
      <c r="A29168" s="83"/>
      <c r="H29168" s="83"/>
      <c r="K29168" s="82"/>
      <c r="M29168" s="112"/>
      <c r="N29168" s="84"/>
    </row>
    <row r="29169" spans="1:14" s="2" customFormat="1">
      <c r="A29169" s="83"/>
      <c r="H29169" s="83"/>
      <c r="K29169" s="82"/>
      <c r="M29169" s="112"/>
      <c r="N29169" s="84"/>
    </row>
    <row r="29170" spans="1:14" s="2" customFormat="1">
      <c r="A29170" s="83"/>
      <c r="H29170" s="83"/>
      <c r="K29170" s="82"/>
      <c r="M29170" s="112"/>
      <c r="N29170" s="84"/>
    </row>
    <row r="29171" spans="1:14" s="2" customFormat="1">
      <c r="A29171" s="83"/>
      <c r="H29171" s="83"/>
      <c r="K29171" s="82"/>
      <c r="M29171" s="112"/>
      <c r="N29171" s="84"/>
    </row>
    <row r="29172" spans="1:14" s="2" customFormat="1">
      <c r="A29172" s="83"/>
      <c r="H29172" s="83"/>
      <c r="K29172" s="82"/>
      <c r="M29172" s="112"/>
      <c r="N29172" s="84"/>
    </row>
    <row r="29173" spans="1:14" s="2" customFormat="1">
      <c r="A29173" s="83"/>
      <c r="H29173" s="83"/>
      <c r="K29173" s="82"/>
      <c r="M29173" s="112"/>
      <c r="N29173" s="84"/>
    </row>
    <row r="29174" spans="1:14" s="2" customFormat="1">
      <c r="A29174" s="83"/>
      <c r="H29174" s="83"/>
      <c r="K29174" s="82"/>
      <c r="M29174" s="112"/>
      <c r="N29174" s="84"/>
    </row>
    <row r="29175" spans="1:14" s="2" customFormat="1">
      <c r="A29175" s="83"/>
      <c r="H29175" s="83"/>
      <c r="K29175" s="82"/>
      <c r="M29175" s="112"/>
      <c r="N29175" s="84"/>
    </row>
    <row r="29176" spans="1:14" s="2" customFormat="1">
      <c r="A29176" s="83"/>
      <c r="H29176" s="83"/>
      <c r="K29176" s="82"/>
      <c r="M29176" s="112"/>
      <c r="N29176" s="84"/>
    </row>
    <row r="29177" spans="1:14" s="2" customFormat="1">
      <c r="A29177" s="83"/>
      <c r="H29177" s="83"/>
      <c r="K29177" s="82"/>
      <c r="M29177" s="112"/>
      <c r="N29177" s="84"/>
    </row>
    <row r="29178" spans="1:14" s="2" customFormat="1">
      <c r="A29178" s="83"/>
      <c r="H29178" s="83"/>
      <c r="K29178" s="82"/>
      <c r="M29178" s="112"/>
      <c r="N29178" s="84"/>
    </row>
    <row r="29179" spans="1:14" s="2" customFormat="1">
      <c r="A29179" s="83"/>
      <c r="H29179" s="83"/>
      <c r="K29179" s="82"/>
      <c r="M29179" s="112"/>
      <c r="N29179" s="84"/>
    </row>
    <row r="29180" spans="1:14" s="2" customFormat="1">
      <c r="A29180" s="83"/>
      <c r="H29180" s="83"/>
      <c r="K29180" s="82"/>
      <c r="M29180" s="112"/>
      <c r="N29180" s="84"/>
    </row>
    <row r="29181" spans="1:14" s="2" customFormat="1">
      <c r="A29181" s="83"/>
      <c r="H29181" s="83"/>
      <c r="K29181" s="82"/>
      <c r="M29181" s="112"/>
      <c r="N29181" s="84"/>
    </row>
    <row r="29182" spans="1:14" s="2" customFormat="1">
      <c r="A29182" s="83"/>
      <c r="H29182" s="83"/>
      <c r="K29182" s="82"/>
      <c r="M29182" s="112"/>
      <c r="N29182" s="84"/>
    </row>
    <row r="29183" spans="1:14" s="2" customFormat="1">
      <c r="A29183" s="83"/>
      <c r="H29183" s="83"/>
      <c r="K29183" s="82"/>
      <c r="M29183" s="112"/>
      <c r="N29183" s="84"/>
    </row>
    <row r="29184" spans="1:14" s="2" customFormat="1">
      <c r="A29184" s="83"/>
      <c r="H29184" s="83"/>
      <c r="K29184" s="82"/>
      <c r="M29184" s="112"/>
      <c r="N29184" s="84"/>
    </row>
    <row r="29185" spans="1:14" s="2" customFormat="1">
      <c r="A29185" s="83"/>
      <c r="H29185" s="83"/>
      <c r="K29185" s="82"/>
      <c r="M29185" s="112"/>
      <c r="N29185" s="84"/>
    </row>
    <row r="29186" spans="1:14" s="2" customFormat="1">
      <c r="A29186" s="83"/>
      <c r="H29186" s="83"/>
      <c r="K29186" s="82"/>
      <c r="M29186" s="112"/>
      <c r="N29186" s="84"/>
    </row>
    <row r="29187" spans="1:14" s="2" customFormat="1">
      <c r="A29187" s="83"/>
      <c r="H29187" s="83"/>
      <c r="K29187" s="82"/>
      <c r="M29187" s="112"/>
      <c r="N29187" s="84"/>
    </row>
    <row r="29188" spans="1:14" s="2" customFormat="1">
      <c r="A29188" s="83"/>
      <c r="H29188" s="83"/>
      <c r="K29188" s="82"/>
      <c r="M29188" s="112"/>
      <c r="N29188" s="84"/>
    </row>
    <row r="29189" spans="1:14" s="2" customFormat="1">
      <c r="A29189" s="83"/>
      <c r="H29189" s="83"/>
      <c r="K29189" s="82"/>
      <c r="M29189" s="112"/>
      <c r="N29189" s="84"/>
    </row>
    <row r="29190" spans="1:14" s="2" customFormat="1">
      <c r="A29190" s="83"/>
      <c r="H29190" s="83"/>
      <c r="K29190" s="82"/>
      <c r="M29190" s="112"/>
      <c r="N29190" s="84"/>
    </row>
    <row r="29191" spans="1:14" s="2" customFormat="1">
      <c r="A29191" s="83"/>
      <c r="H29191" s="83"/>
      <c r="K29191" s="82"/>
      <c r="M29191" s="112"/>
      <c r="N29191" s="84"/>
    </row>
    <row r="29192" spans="1:14" s="2" customFormat="1">
      <c r="A29192" s="83"/>
      <c r="H29192" s="83"/>
      <c r="K29192" s="82"/>
      <c r="M29192" s="112"/>
      <c r="N29192" s="84"/>
    </row>
    <row r="29193" spans="1:14" s="2" customFormat="1">
      <c r="A29193" s="83"/>
      <c r="H29193" s="83"/>
      <c r="K29193" s="82"/>
      <c r="M29193" s="112"/>
      <c r="N29193" s="84"/>
    </row>
    <row r="29194" spans="1:14" s="2" customFormat="1">
      <c r="A29194" s="83"/>
      <c r="H29194" s="83"/>
      <c r="K29194" s="82"/>
      <c r="M29194" s="112"/>
      <c r="N29194" s="84"/>
    </row>
    <row r="29195" spans="1:14" s="2" customFormat="1">
      <c r="A29195" s="83"/>
      <c r="H29195" s="83"/>
      <c r="K29195" s="82"/>
      <c r="M29195" s="112"/>
      <c r="N29195" s="84"/>
    </row>
    <row r="29196" spans="1:14" s="2" customFormat="1">
      <c r="A29196" s="83"/>
      <c r="H29196" s="83"/>
      <c r="K29196" s="82"/>
      <c r="M29196" s="112"/>
      <c r="N29196" s="84"/>
    </row>
    <row r="29197" spans="1:14" s="2" customFormat="1">
      <c r="A29197" s="83"/>
      <c r="H29197" s="83"/>
      <c r="K29197" s="82"/>
      <c r="M29197" s="112"/>
      <c r="N29197" s="84"/>
    </row>
    <row r="29198" spans="1:14" s="2" customFormat="1">
      <c r="A29198" s="83"/>
      <c r="H29198" s="83"/>
      <c r="K29198" s="82"/>
      <c r="M29198" s="112"/>
      <c r="N29198" s="84"/>
    </row>
    <row r="29199" spans="1:14" s="2" customFormat="1">
      <c r="A29199" s="83"/>
      <c r="H29199" s="83"/>
      <c r="K29199" s="82"/>
      <c r="M29199" s="112"/>
      <c r="N29199" s="84"/>
    </row>
    <row r="29200" spans="1:14" s="2" customFormat="1">
      <c r="A29200" s="83"/>
      <c r="H29200" s="83"/>
      <c r="K29200" s="82"/>
      <c r="M29200" s="112"/>
      <c r="N29200" s="84"/>
    </row>
    <row r="29201" spans="1:14" s="2" customFormat="1">
      <c r="A29201" s="83"/>
      <c r="H29201" s="83"/>
      <c r="K29201" s="82"/>
      <c r="M29201" s="112"/>
      <c r="N29201" s="84"/>
    </row>
    <row r="29202" spans="1:14" s="2" customFormat="1">
      <c r="A29202" s="83"/>
      <c r="H29202" s="83"/>
      <c r="K29202" s="82"/>
      <c r="M29202" s="112"/>
      <c r="N29202" s="84"/>
    </row>
    <row r="29203" spans="1:14" s="2" customFormat="1">
      <c r="A29203" s="83"/>
      <c r="H29203" s="83"/>
      <c r="K29203" s="82"/>
      <c r="M29203" s="112"/>
      <c r="N29203" s="84"/>
    </row>
    <row r="29204" spans="1:14" s="2" customFormat="1">
      <c r="A29204" s="83"/>
      <c r="H29204" s="83"/>
      <c r="K29204" s="82"/>
      <c r="M29204" s="112"/>
      <c r="N29204" s="84"/>
    </row>
    <row r="29205" spans="1:14" s="2" customFormat="1">
      <c r="A29205" s="83"/>
      <c r="H29205" s="83"/>
      <c r="K29205" s="82"/>
      <c r="M29205" s="112"/>
      <c r="N29205" s="84"/>
    </row>
    <row r="29206" spans="1:14" s="2" customFormat="1">
      <c r="A29206" s="83"/>
      <c r="H29206" s="83"/>
      <c r="K29206" s="82"/>
      <c r="M29206" s="112"/>
      <c r="N29206" s="84"/>
    </row>
    <row r="29207" spans="1:14" s="2" customFormat="1">
      <c r="A29207" s="83"/>
      <c r="H29207" s="83"/>
      <c r="K29207" s="82"/>
      <c r="M29207" s="112"/>
      <c r="N29207" s="84"/>
    </row>
    <row r="29208" spans="1:14" s="2" customFormat="1">
      <c r="A29208" s="83"/>
      <c r="H29208" s="83"/>
      <c r="K29208" s="82"/>
      <c r="M29208" s="112"/>
      <c r="N29208" s="84"/>
    </row>
    <row r="29209" spans="1:14" s="2" customFormat="1">
      <c r="A29209" s="83"/>
      <c r="H29209" s="83"/>
      <c r="K29209" s="82"/>
      <c r="M29209" s="112"/>
      <c r="N29209" s="84"/>
    </row>
    <row r="29210" spans="1:14" s="2" customFormat="1">
      <c r="A29210" s="83"/>
      <c r="H29210" s="83"/>
      <c r="K29210" s="82"/>
      <c r="M29210" s="112"/>
      <c r="N29210" s="84"/>
    </row>
    <row r="29211" spans="1:14" s="2" customFormat="1">
      <c r="A29211" s="83"/>
      <c r="H29211" s="83"/>
      <c r="K29211" s="82"/>
      <c r="M29211" s="112"/>
      <c r="N29211" s="84"/>
    </row>
    <row r="29212" spans="1:14" s="2" customFormat="1">
      <c r="A29212" s="83"/>
      <c r="H29212" s="83"/>
      <c r="K29212" s="82"/>
      <c r="M29212" s="112"/>
      <c r="N29212" s="84"/>
    </row>
    <row r="29213" spans="1:14" s="2" customFormat="1">
      <c r="A29213" s="83"/>
      <c r="H29213" s="83"/>
      <c r="K29213" s="82"/>
      <c r="M29213" s="112"/>
      <c r="N29213" s="84"/>
    </row>
    <row r="29214" spans="1:14" s="2" customFormat="1">
      <c r="A29214" s="83"/>
      <c r="H29214" s="83"/>
      <c r="K29214" s="82"/>
      <c r="M29214" s="112"/>
      <c r="N29214" s="84"/>
    </row>
    <row r="29215" spans="1:14" s="2" customFormat="1">
      <c r="A29215" s="83"/>
      <c r="H29215" s="83"/>
      <c r="K29215" s="82"/>
      <c r="M29215" s="112"/>
      <c r="N29215" s="84"/>
    </row>
    <row r="29216" spans="1:14" s="2" customFormat="1">
      <c r="A29216" s="83"/>
      <c r="H29216" s="83"/>
      <c r="K29216" s="82"/>
      <c r="M29216" s="112"/>
      <c r="N29216" s="84"/>
    </row>
    <row r="29217" spans="1:14" s="2" customFormat="1">
      <c r="A29217" s="83"/>
      <c r="H29217" s="83"/>
      <c r="K29217" s="82"/>
      <c r="M29217" s="112"/>
      <c r="N29217" s="84"/>
    </row>
    <row r="29218" spans="1:14" s="2" customFormat="1">
      <c r="A29218" s="83"/>
      <c r="H29218" s="83"/>
      <c r="K29218" s="82"/>
      <c r="M29218" s="112"/>
      <c r="N29218" s="84"/>
    </row>
    <row r="29219" spans="1:14" s="2" customFormat="1">
      <c r="A29219" s="83"/>
      <c r="H29219" s="83"/>
      <c r="K29219" s="82"/>
      <c r="M29219" s="112"/>
      <c r="N29219" s="84"/>
    </row>
    <row r="29220" spans="1:14" s="2" customFormat="1">
      <c r="A29220" s="83"/>
      <c r="H29220" s="83"/>
      <c r="K29220" s="82"/>
      <c r="M29220" s="112"/>
      <c r="N29220" s="84"/>
    </row>
    <row r="29221" spans="1:14" s="2" customFormat="1">
      <c r="A29221" s="83"/>
      <c r="H29221" s="83"/>
      <c r="K29221" s="82"/>
      <c r="M29221" s="112"/>
      <c r="N29221" s="84"/>
    </row>
    <row r="29222" spans="1:14" s="2" customFormat="1">
      <c r="A29222" s="83"/>
      <c r="H29222" s="83"/>
      <c r="K29222" s="82"/>
      <c r="M29222" s="112"/>
      <c r="N29222" s="84"/>
    </row>
    <row r="29223" spans="1:14" s="2" customFormat="1">
      <c r="A29223" s="83"/>
      <c r="H29223" s="83"/>
      <c r="K29223" s="82"/>
      <c r="M29223" s="112"/>
      <c r="N29223" s="84"/>
    </row>
    <row r="29224" spans="1:14" s="2" customFormat="1">
      <c r="A29224" s="83"/>
      <c r="H29224" s="83"/>
      <c r="K29224" s="82"/>
      <c r="M29224" s="112"/>
      <c r="N29224" s="84"/>
    </row>
    <row r="29225" spans="1:14" s="2" customFormat="1">
      <c r="A29225" s="83"/>
      <c r="H29225" s="83"/>
      <c r="K29225" s="82"/>
      <c r="M29225" s="112"/>
      <c r="N29225" s="84"/>
    </row>
    <row r="29226" spans="1:14" s="2" customFormat="1">
      <c r="A29226" s="83"/>
      <c r="H29226" s="83"/>
      <c r="K29226" s="82"/>
      <c r="M29226" s="112"/>
      <c r="N29226" s="84"/>
    </row>
    <row r="29227" spans="1:14" s="2" customFormat="1">
      <c r="A29227" s="83"/>
      <c r="H29227" s="83"/>
      <c r="K29227" s="82"/>
      <c r="M29227" s="112"/>
      <c r="N29227" s="84"/>
    </row>
    <row r="29228" spans="1:14" s="2" customFormat="1">
      <c r="A29228" s="83"/>
      <c r="H29228" s="83"/>
      <c r="K29228" s="82"/>
      <c r="M29228" s="112"/>
      <c r="N29228" s="84"/>
    </row>
    <row r="29229" spans="1:14" s="2" customFormat="1">
      <c r="A29229" s="83"/>
      <c r="H29229" s="83"/>
      <c r="K29229" s="82"/>
      <c r="M29229" s="112"/>
      <c r="N29229" s="84"/>
    </row>
    <row r="29230" spans="1:14" s="2" customFormat="1">
      <c r="A29230" s="83"/>
      <c r="H29230" s="83"/>
      <c r="K29230" s="82"/>
      <c r="M29230" s="112"/>
      <c r="N29230" s="84"/>
    </row>
    <row r="29231" spans="1:14" s="2" customFormat="1">
      <c r="A29231" s="83"/>
      <c r="H29231" s="83"/>
      <c r="K29231" s="82"/>
      <c r="M29231" s="112"/>
      <c r="N29231" s="84"/>
    </row>
    <row r="29232" spans="1:14" s="2" customFormat="1">
      <c r="A29232" s="83"/>
      <c r="H29232" s="83"/>
      <c r="K29232" s="82"/>
      <c r="M29232" s="112"/>
      <c r="N29232" s="84"/>
    </row>
    <row r="29233" spans="1:14" s="2" customFormat="1">
      <c r="A29233" s="83"/>
      <c r="H29233" s="83"/>
      <c r="K29233" s="82"/>
      <c r="M29233" s="112"/>
      <c r="N29233" s="84"/>
    </row>
    <row r="29234" spans="1:14" s="2" customFormat="1">
      <c r="A29234" s="83"/>
      <c r="H29234" s="83"/>
      <c r="K29234" s="82"/>
      <c r="M29234" s="112"/>
      <c r="N29234" s="84"/>
    </row>
    <row r="29235" spans="1:14" s="2" customFormat="1">
      <c r="A29235" s="83"/>
      <c r="H29235" s="83"/>
      <c r="K29235" s="82"/>
      <c r="M29235" s="112"/>
      <c r="N29235" s="84"/>
    </row>
    <row r="29236" spans="1:14" s="2" customFormat="1">
      <c r="A29236" s="83"/>
      <c r="H29236" s="83"/>
      <c r="K29236" s="82"/>
      <c r="M29236" s="112"/>
      <c r="N29236" s="84"/>
    </row>
    <row r="29237" spans="1:14" s="2" customFormat="1">
      <c r="A29237" s="83"/>
      <c r="H29237" s="83"/>
      <c r="K29237" s="82"/>
      <c r="M29237" s="112"/>
      <c r="N29237" s="84"/>
    </row>
    <row r="29238" spans="1:14" s="2" customFormat="1">
      <c r="A29238" s="83"/>
      <c r="H29238" s="83"/>
      <c r="K29238" s="82"/>
      <c r="M29238" s="112"/>
      <c r="N29238" s="84"/>
    </row>
    <row r="29239" spans="1:14" s="2" customFormat="1">
      <c r="A29239" s="83"/>
      <c r="H29239" s="83"/>
      <c r="K29239" s="82"/>
      <c r="M29239" s="112"/>
      <c r="N29239" s="84"/>
    </row>
    <row r="29240" spans="1:14" s="2" customFormat="1">
      <c r="A29240" s="83"/>
      <c r="H29240" s="83"/>
      <c r="K29240" s="82"/>
      <c r="M29240" s="112"/>
      <c r="N29240" s="84"/>
    </row>
    <row r="29241" spans="1:14" s="2" customFormat="1">
      <c r="A29241" s="83"/>
      <c r="H29241" s="83"/>
      <c r="K29241" s="82"/>
      <c r="M29241" s="112"/>
      <c r="N29241" s="84"/>
    </row>
    <row r="29242" spans="1:14" s="2" customFormat="1">
      <c r="A29242" s="83"/>
      <c r="H29242" s="83"/>
      <c r="K29242" s="82"/>
      <c r="M29242" s="112"/>
      <c r="N29242" s="84"/>
    </row>
    <row r="29243" spans="1:14" s="2" customFormat="1">
      <c r="A29243" s="83"/>
      <c r="H29243" s="83"/>
      <c r="K29243" s="82"/>
      <c r="M29243" s="112"/>
      <c r="N29243" s="84"/>
    </row>
    <row r="29244" spans="1:14" s="2" customFormat="1">
      <c r="A29244" s="83"/>
      <c r="H29244" s="83"/>
      <c r="K29244" s="82"/>
      <c r="M29244" s="112"/>
      <c r="N29244" s="84"/>
    </row>
    <row r="29245" spans="1:14" s="2" customFormat="1">
      <c r="A29245" s="83"/>
      <c r="H29245" s="83"/>
      <c r="K29245" s="82"/>
      <c r="M29245" s="112"/>
      <c r="N29245" s="84"/>
    </row>
    <row r="29246" spans="1:14" s="2" customFormat="1">
      <c r="A29246" s="83"/>
      <c r="H29246" s="83"/>
      <c r="K29246" s="82"/>
      <c r="M29246" s="112"/>
      <c r="N29246" s="84"/>
    </row>
    <row r="29247" spans="1:14" s="2" customFormat="1">
      <c r="A29247" s="83"/>
      <c r="H29247" s="83"/>
      <c r="K29247" s="82"/>
      <c r="M29247" s="112"/>
      <c r="N29247" s="84"/>
    </row>
    <row r="29248" spans="1:14" s="2" customFormat="1">
      <c r="A29248" s="83"/>
      <c r="H29248" s="83"/>
      <c r="K29248" s="82"/>
      <c r="M29248" s="112"/>
      <c r="N29248" s="84"/>
    </row>
    <row r="29249" spans="1:14" s="2" customFormat="1">
      <c r="A29249" s="83"/>
      <c r="H29249" s="83"/>
      <c r="K29249" s="82"/>
      <c r="M29249" s="112"/>
      <c r="N29249" s="84"/>
    </row>
    <row r="29250" spans="1:14" s="2" customFormat="1">
      <c r="A29250" s="83"/>
      <c r="H29250" s="83"/>
      <c r="K29250" s="82"/>
      <c r="M29250" s="112"/>
      <c r="N29250" s="84"/>
    </row>
    <row r="29251" spans="1:14" s="2" customFormat="1">
      <c r="A29251" s="83"/>
      <c r="H29251" s="83"/>
      <c r="K29251" s="82"/>
      <c r="M29251" s="112"/>
      <c r="N29251" s="84"/>
    </row>
    <row r="29252" spans="1:14" s="2" customFormat="1">
      <c r="A29252" s="83"/>
      <c r="H29252" s="83"/>
      <c r="K29252" s="82"/>
      <c r="M29252" s="112"/>
      <c r="N29252" s="84"/>
    </row>
    <row r="29253" spans="1:14" s="2" customFormat="1">
      <c r="A29253" s="83"/>
      <c r="H29253" s="83"/>
      <c r="K29253" s="82"/>
      <c r="M29253" s="112"/>
      <c r="N29253" s="84"/>
    </row>
    <row r="29254" spans="1:14" s="2" customFormat="1">
      <c r="A29254" s="83"/>
      <c r="H29254" s="83"/>
      <c r="K29254" s="82"/>
      <c r="M29254" s="112"/>
      <c r="N29254" s="84"/>
    </row>
    <row r="29255" spans="1:14" s="2" customFormat="1">
      <c r="A29255" s="83"/>
      <c r="H29255" s="83"/>
      <c r="K29255" s="82"/>
      <c r="M29255" s="112"/>
      <c r="N29255" s="84"/>
    </row>
    <row r="29256" spans="1:14" s="2" customFormat="1">
      <c r="A29256" s="83"/>
      <c r="H29256" s="83"/>
      <c r="K29256" s="82"/>
      <c r="M29256" s="112"/>
      <c r="N29256" s="84"/>
    </row>
    <row r="29257" spans="1:14" s="2" customFormat="1">
      <c r="A29257" s="83"/>
      <c r="H29257" s="83"/>
      <c r="K29257" s="82"/>
      <c r="M29257" s="112"/>
      <c r="N29257" s="84"/>
    </row>
    <row r="29258" spans="1:14" s="2" customFormat="1">
      <c r="A29258" s="83"/>
      <c r="H29258" s="83"/>
      <c r="K29258" s="82"/>
      <c r="M29258" s="112"/>
      <c r="N29258" s="84"/>
    </row>
    <row r="29259" spans="1:14" s="2" customFormat="1">
      <c r="A29259" s="83"/>
      <c r="H29259" s="83"/>
      <c r="K29259" s="82"/>
      <c r="M29259" s="112"/>
      <c r="N29259" s="84"/>
    </row>
    <row r="29260" spans="1:14" s="2" customFormat="1">
      <c r="A29260" s="83"/>
      <c r="H29260" s="83"/>
      <c r="K29260" s="82"/>
      <c r="M29260" s="112"/>
      <c r="N29260" s="84"/>
    </row>
    <row r="29261" spans="1:14" s="2" customFormat="1">
      <c r="A29261" s="83"/>
      <c r="H29261" s="83"/>
      <c r="K29261" s="82"/>
      <c r="M29261" s="112"/>
      <c r="N29261" s="84"/>
    </row>
    <row r="29262" spans="1:14" s="2" customFormat="1">
      <c r="A29262" s="83"/>
      <c r="H29262" s="83"/>
      <c r="K29262" s="82"/>
      <c r="M29262" s="112"/>
      <c r="N29262" s="84"/>
    </row>
    <row r="29263" spans="1:14" s="2" customFormat="1">
      <c r="A29263" s="83"/>
      <c r="H29263" s="83"/>
      <c r="K29263" s="82"/>
      <c r="M29263" s="112"/>
      <c r="N29263" s="84"/>
    </row>
    <row r="29264" spans="1:14" s="2" customFormat="1">
      <c r="A29264" s="83"/>
      <c r="H29264" s="83"/>
      <c r="K29264" s="82"/>
      <c r="M29264" s="112"/>
      <c r="N29264" s="84"/>
    </row>
    <row r="29265" spans="1:14" s="2" customFormat="1">
      <c r="A29265" s="83"/>
      <c r="H29265" s="83"/>
      <c r="K29265" s="82"/>
      <c r="M29265" s="112"/>
      <c r="N29265" s="84"/>
    </row>
    <row r="29266" spans="1:14" s="2" customFormat="1">
      <c r="A29266" s="83"/>
      <c r="H29266" s="83"/>
      <c r="K29266" s="82"/>
      <c r="M29266" s="112"/>
      <c r="N29266" s="84"/>
    </row>
    <row r="29267" spans="1:14" s="2" customFormat="1">
      <c r="A29267" s="83"/>
      <c r="H29267" s="83"/>
      <c r="K29267" s="82"/>
      <c r="M29267" s="112"/>
      <c r="N29267" s="84"/>
    </row>
    <row r="29268" spans="1:14" s="2" customFormat="1">
      <c r="A29268" s="83"/>
      <c r="H29268" s="83"/>
      <c r="K29268" s="82"/>
      <c r="M29268" s="112"/>
      <c r="N29268" s="84"/>
    </row>
    <row r="29269" spans="1:14" s="2" customFormat="1">
      <c r="A29269" s="83"/>
      <c r="H29269" s="83"/>
      <c r="K29269" s="82"/>
      <c r="M29269" s="112"/>
      <c r="N29269" s="84"/>
    </row>
    <row r="29270" spans="1:14" s="2" customFormat="1">
      <c r="A29270" s="83"/>
      <c r="H29270" s="83"/>
      <c r="K29270" s="82"/>
      <c r="M29270" s="112"/>
      <c r="N29270" s="84"/>
    </row>
    <row r="29271" spans="1:14" s="2" customFormat="1">
      <c r="A29271" s="83"/>
      <c r="H29271" s="83"/>
      <c r="K29271" s="82"/>
      <c r="M29271" s="112"/>
      <c r="N29271" s="84"/>
    </row>
    <row r="29272" spans="1:14" s="2" customFormat="1">
      <c r="A29272" s="83"/>
      <c r="H29272" s="83"/>
      <c r="K29272" s="82"/>
      <c r="M29272" s="112"/>
      <c r="N29272" s="84"/>
    </row>
    <row r="29273" spans="1:14" s="2" customFormat="1">
      <c r="A29273" s="83"/>
      <c r="H29273" s="83"/>
      <c r="K29273" s="82"/>
      <c r="M29273" s="112"/>
      <c r="N29273" s="84"/>
    </row>
    <row r="29274" spans="1:14" s="2" customFormat="1">
      <c r="A29274" s="83"/>
      <c r="H29274" s="83"/>
      <c r="K29274" s="82"/>
      <c r="M29274" s="112"/>
      <c r="N29274" s="84"/>
    </row>
    <row r="29275" spans="1:14" s="2" customFormat="1">
      <c r="A29275" s="83"/>
      <c r="H29275" s="83"/>
      <c r="K29275" s="82"/>
      <c r="M29275" s="112"/>
      <c r="N29275" s="84"/>
    </row>
    <row r="29276" spans="1:14" s="2" customFormat="1">
      <c r="A29276" s="83"/>
      <c r="H29276" s="83"/>
      <c r="K29276" s="82"/>
      <c r="M29276" s="112"/>
      <c r="N29276" s="84"/>
    </row>
    <row r="29277" spans="1:14" s="2" customFormat="1">
      <c r="A29277" s="83"/>
      <c r="H29277" s="83"/>
      <c r="K29277" s="82"/>
      <c r="M29277" s="112"/>
      <c r="N29277" s="84"/>
    </row>
    <row r="29278" spans="1:14" s="2" customFormat="1">
      <c r="A29278" s="83"/>
      <c r="H29278" s="83"/>
      <c r="K29278" s="82"/>
      <c r="M29278" s="112"/>
      <c r="N29278" s="84"/>
    </row>
    <row r="29279" spans="1:14" s="2" customFormat="1">
      <c r="A29279" s="83"/>
      <c r="H29279" s="83"/>
      <c r="K29279" s="82"/>
      <c r="M29279" s="112"/>
      <c r="N29279" s="84"/>
    </row>
    <row r="29280" spans="1:14" s="2" customFormat="1">
      <c r="A29280" s="83"/>
      <c r="H29280" s="83"/>
      <c r="K29280" s="82"/>
      <c r="M29280" s="112"/>
      <c r="N29280" s="84"/>
    </row>
    <row r="29281" spans="1:14" s="2" customFormat="1">
      <c r="A29281" s="83"/>
      <c r="H29281" s="83"/>
      <c r="K29281" s="82"/>
      <c r="M29281" s="112"/>
      <c r="N29281" s="84"/>
    </row>
    <row r="29282" spans="1:14" s="2" customFormat="1">
      <c r="A29282" s="83"/>
      <c r="H29282" s="83"/>
      <c r="K29282" s="82"/>
      <c r="M29282" s="112"/>
      <c r="N29282" s="84"/>
    </row>
    <row r="29283" spans="1:14" s="2" customFormat="1">
      <c r="A29283" s="83"/>
      <c r="H29283" s="83"/>
      <c r="K29283" s="82"/>
      <c r="M29283" s="112"/>
      <c r="N29283" s="84"/>
    </row>
    <row r="29284" spans="1:14" s="2" customFormat="1">
      <c r="A29284" s="83"/>
      <c r="H29284" s="83"/>
      <c r="K29284" s="82"/>
      <c r="M29284" s="112"/>
      <c r="N29284" s="84"/>
    </row>
    <row r="29285" spans="1:14" s="2" customFormat="1">
      <c r="A29285" s="83"/>
      <c r="H29285" s="83"/>
      <c r="K29285" s="82"/>
      <c r="M29285" s="112"/>
      <c r="N29285" s="84"/>
    </row>
    <row r="29286" spans="1:14" s="2" customFormat="1">
      <c r="A29286" s="83"/>
      <c r="H29286" s="83"/>
      <c r="K29286" s="82"/>
      <c r="M29286" s="112"/>
      <c r="N29286" s="84"/>
    </row>
    <row r="29287" spans="1:14" s="2" customFormat="1">
      <c r="A29287" s="83"/>
      <c r="H29287" s="83"/>
      <c r="K29287" s="82"/>
      <c r="M29287" s="112"/>
      <c r="N29287" s="84"/>
    </row>
    <row r="29288" spans="1:14" s="2" customFormat="1">
      <c r="A29288" s="83"/>
      <c r="H29288" s="83"/>
      <c r="K29288" s="82"/>
      <c r="M29288" s="112"/>
      <c r="N29288" s="84"/>
    </row>
    <row r="29289" spans="1:14" s="2" customFormat="1">
      <c r="A29289" s="83"/>
      <c r="H29289" s="83"/>
      <c r="K29289" s="82"/>
      <c r="M29289" s="112"/>
      <c r="N29289" s="84"/>
    </row>
    <row r="29290" spans="1:14" s="2" customFormat="1">
      <c r="A29290" s="83"/>
      <c r="H29290" s="83"/>
      <c r="K29290" s="82"/>
      <c r="M29290" s="112"/>
      <c r="N29290" s="84"/>
    </row>
    <row r="29291" spans="1:14" s="2" customFormat="1">
      <c r="A29291" s="83"/>
      <c r="H29291" s="83"/>
      <c r="K29291" s="82"/>
      <c r="M29291" s="112"/>
      <c r="N29291" s="84"/>
    </row>
    <row r="29292" spans="1:14" s="2" customFormat="1">
      <c r="A29292" s="83"/>
      <c r="H29292" s="83"/>
      <c r="K29292" s="82"/>
      <c r="M29292" s="112"/>
      <c r="N29292" s="84"/>
    </row>
    <row r="29293" spans="1:14" s="2" customFormat="1">
      <c r="A29293" s="83"/>
      <c r="H29293" s="83"/>
      <c r="K29293" s="82"/>
      <c r="M29293" s="112"/>
      <c r="N29293" s="84"/>
    </row>
    <row r="29294" spans="1:14" s="2" customFormat="1">
      <c r="A29294" s="83"/>
      <c r="H29294" s="83"/>
      <c r="K29294" s="82"/>
      <c r="M29294" s="112"/>
      <c r="N29294" s="84"/>
    </row>
    <row r="29295" spans="1:14" s="2" customFormat="1">
      <c r="A29295" s="83"/>
      <c r="H29295" s="83"/>
      <c r="K29295" s="82"/>
      <c r="M29295" s="112"/>
      <c r="N29295" s="84"/>
    </row>
    <row r="29296" spans="1:14" s="2" customFormat="1">
      <c r="A29296" s="83"/>
      <c r="H29296" s="83"/>
      <c r="K29296" s="82"/>
      <c r="M29296" s="112"/>
      <c r="N29296" s="84"/>
    </row>
    <row r="29297" spans="1:14" s="2" customFormat="1">
      <c r="A29297" s="83"/>
      <c r="H29297" s="83"/>
      <c r="K29297" s="82"/>
      <c r="M29297" s="112"/>
      <c r="N29297" s="84"/>
    </row>
    <row r="29298" spans="1:14" s="2" customFormat="1">
      <c r="A29298" s="83"/>
      <c r="H29298" s="83"/>
      <c r="K29298" s="82"/>
      <c r="M29298" s="112"/>
      <c r="N29298" s="84"/>
    </row>
    <row r="29299" spans="1:14" s="2" customFormat="1">
      <c r="A29299" s="83"/>
      <c r="H29299" s="83"/>
      <c r="K29299" s="82"/>
      <c r="M29299" s="112"/>
      <c r="N29299" s="84"/>
    </row>
    <row r="29300" spans="1:14" s="2" customFormat="1">
      <c r="A29300" s="83"/>
      <c r="H29300" s="83"/>
      <c r="K29300" s="82"/>
      <c r="M29300" s="112"/>
      <c r="N29300" s="84"/>
    </row>
    <row r="29301" spans="1:14" s="2" customFormat="1">
      <c r="A29301" s="83"/>
      <c r="H29301" s="83"/>
      <c r="K29301" s="82"/>
      <c r="M29301" s="112"/>
      <c r="N29301" s="84"/>
    </row>
    <row r="29302" spans="1:14" s="2" customFormat="1">
      <c r="A29302" s="83"/>
      <c r="H29302" s="83"/>
      <c r="K29302" s="82"/>
      <c r="M29302" s="112"/>
      <c r="N29302" s="84"/>
    </row>
    <row r="29303" spans="1:14" s="2" customFormat="1">
      <c r="A29303" s="83"/>
      <c r="H29303" s="83"/>
      <c r="K29303" s="82"/>
      <c r="M29303" s="112"/>
      <c r="N29303" s="84"/>
    </row>
    <row r="29304" spans="1:14" s="2" customFormat="1">
      <c r="A29304" s="83"/>
      <c r="H29304" s="83"/>
      <c r="K29304" s="82"/>
      <c r="M29304" s="112"/>
      <c r="N29304" s="84"/>
    </row>
    <row r="29305" spans="1:14" s="2" customFormat="1">
      <c r="A29305" s="83"/>
      <c r="H29305" s="83"/>
      <c r="K29305" s="82"/>
      <c r="M29305" s="112"/>
      <c r="N29305" s="84"/>
    </row>
    <row r="29306" spans="1:14" s="2" customFormat="1">
      <c r="A29306" s="83"/>
      <c r="H29306" s="83"/>
      <c r="K29306" s="82"/>
      <c r="M29306" s="112"/>
      <c r="N29306" s="84"/>
    </row>
    <row r="29307" spans="1:14" s="2" customFormat="1">
      <c r="A29307" s="83"/>
      <c r="H29307" s="83"/>
      <c r="K29307" s="82"/>
      <c r="M29307" s="112"/>
      <c r="N29307" s="84"/>
    </row>
    <row r="29308" spans="1:14" s="2" customFormat="1">
      <c r="A29308" s="83"/>
      <c r="H29308" s="83"/>
      <c r="K29308" s="82"/>
      <c r="M29308" s="112"/>
      <c r="N29308" s="84"/>
    </row>
    <row r="29309" spans="1:14" s="2" customFormat="1">
      <c r="A29309" s="83"/>
      <c r="H29309" s="83"/>
      <c r="K29309" s="82"/>
      <c r="M29309" s="112"/>
      <c r="N29309" s="84"/>
    </row>
    <row r="29310" spans="1:14" s="2" customFormat="1">
      <c r="A29310" s="83"/>
      <c r="H29310" s="83"/>
      <c r="K29310" s="82"/>
      <c r="M29310" s="112"/>
      <c r="N29310" s="84"/>
    </row>
    <row r="29311" spans="1:14" s="2" customFormat="1">
      <c r="A29311" s="83"/>
      <c r="H29311" s="83"/>
      <c r="K29311" s="82"/>
      <c r="M29311" s="112"/>
      <c r="N29311" s="84"/>
    </row>
    <row r="29312" spans="1:14" s="2" customFormat="1">
      <c r="A29312" s="83"/>
      <c r="H29312" s="83"/>
      <c r="K29312" s="82"/>
      <c r="M29312" s="112"/>
      <c r="N29312" s="84"/>
    </row>
    <row r="29313" spans="1:14" s="2" customFormat="1">
      <c r="A29313" s="83"/>
      <c r="H29313" s="83"/>
      <c r="K29313" s="82"/>
      <c r="M29313" s="112"/>
      <c r="N29313" s="84"/>
    </row>
    <row r="29314" spans="1:14" s="2" customFormat="1">
      <c r="A29314" s="83"/>
      <c r="H29314" s="83"/>
      <c r="K29314" s="82"/>
      <c r="M29314" s="112"/>
      <c r="N29314" s="84"/>
    </row>
    <row r="29315" spans="1:14" s="2" customFormat="1">
      <c r="A29315" s="83"/>
      <c r="H29315" s="83"/>
      <c r="K29315" s="82"/>
      <c r="M29315" s="112"/>
      <c r="N29315" s="84"/>
    </row>
    <row r="29316" spans="1:14" s="2" customFormat="1">
      <c r="A29316" s="83"/>
      <c r="H29316" s="83"/>
      <c r="K29316" s="82"/>
      <c r="M29316" s="112"/>
      <c r="N29316" s="84"/>
    </row>
    <row r="29317" spans="1:14" s="2" customFormat="1">
      <c r="A29317" s="83"/>
      <c r="H29317" s="83"/>
      <c r="K29317" s="82"/>
      <c r="M29317" s="112"/>
      <c r="N29317" s="84"/>
    </row>
    <row r="29318" spans="1:14" s="2" customFormat="1">
      <c r="A29318" s="83"/>
      <c r="H29318" s="83"/>
      <c r="K29318" s="82"/>
      <c r="M29318" s="112"/>
      <c r="N29318" s="84"/>
    </row>
    <row r="29319" spans="1:14" s="2" customFormat="1">
      <c r="A29319" s="83"/>
      <c r="H29319" s="83"/>
      <c r="K29319" s="82"/>
      <c r="M29319" s="112"/>
      <c r="N29319" s="84"/>
    </row>
    <row r="29320" spans="1:14" s="2" customFormat="1">
      <c r="A29320" s="83"/>
      <c r="H29320" s="83"/>
      <c r="K29320" s="82"/>
      <c r="M29320" s="112"/>
      <c r="N29320" s="84"/>
    </row>
    <row r="29321" spans="1:14" s="2" customFormat="1">
      <c r="A29321" s="83"/>
      <c r="H29321" s="83"/>
      <c r="K29321" s="82"/>
      <c r="M29321" s="112"/>
      <c r="N29321" s="84"/>
    </row>
    <row r="29322" spans="1:14" s="2" customFormat="1">
      <c r="A29322" s="83"/>
      <c r="H29322" s="83"/>
      <c r="K29322" s="82"/>
      <c r="M29322" s="112"/>
      <c r="N29322" s="84"/>
    </row>
    <row r="29323" spans="1:14" s="2" customFormat="1">
      <c r="A29323" s="83"/>
      <c r="H29323" s="83"/>
      <c r="K29323" s="82"/>
      <c r="M29323" s="112"/>
      <c r="N29323" s="84"/>
    </row>
    <row r="29324" spans="1:14" s="2" customFormat="1">
      <c r="A29324" s="83"/>
      <c r="H29324" s="83"/>
      <c r="K29324" s="82"/>
      <c r="M29324" s="112"/>
      <c r="N29324" s="84"/>
    </row>
    <row r="29325" spans="1:14" s="2" customFormat="1">
      <c r="A29325" s="83"/>
      <c r="H29325" s="83"/>
      <c r="K29325" s="82"/>
      <c r="M29325" s="112"/>
      <c r="N29325" s="84"/>
    </row>
    <row r="29326" spans="1:14" s="2" customFormat="1">
      <c r="A29326" s="83"/>
      <c r="H29326" s="83"/>
      <c r="K29326" s="82"/>
      <c r="M29326" s="112"/>
      <c r="N29326" s="84"/>
    </row>
    <row r="29327" spans="1:14" s="2" customFormat="1">
      <c r="A29327" s="83"/>
      <c r="H29327" s="83"/>
      <c r="K29327" s="82"/>
      <c r="M29327" s="112"/>
      <c r="N29327" s="84"/>
    </row>
    <row r="29328" spans="1:14" s="2" customFormat="1">
      <c r="A29328" s="83"/>
      <c r="H29328" s="83"/>
      <c r="K29328" s="82"/>
      <c r="M29328" s="112"/>
      <c r="N29328" s="84"/>
    </row>
    <row r="29329" spans="1:14" s="2" customFormat="1">
      <c r="A29329" s="83"/>
      <c r="H29329" s="83"/>
      <c r="K29329" s="82"/>
      <c r="M29329" s="112"/>
      <c r="N29329" s="84"/>
    </row>
    <row r="29330" spans="1:14" s="2" customFormat="1">
      <c r="A29330" s="83"/>
      <c r="H29330" s="83"/>
      <c r="K29330" s="82"/>
      <c r="M29330" s="112"/>
      <c r="N29330" s="84"/>
    </row>
    <row r="29331" spans="1:14" s="2" customFormat="1">
      <c r="A29331" s="83"/>
      <c r="H29331" s="83"/>
      <c r="K29331" s="82"/>
      <c r="M29331" s="112"/>
      <c r="N29331" s="84"/>
    </row>
    <row r="29332" spans="1:14" s="2" customFormat="1">
      <c r="A29332" s="83"/>
      <c r="H29332" s="83"/>
      <c r="K29332" s="82"/>
      <c r="M29332" s="112"/>
      <c r="N29332" s="84"/>
    </row>
    <row r="29333" spans="1:14" s="2" customFormat="1">
      <c r="A29333" s="83"/>
      <c r="H29333" s="83"/>
      <c r="K29333" s="82"/>
      <c r="M29333" s="112"/>
      <c r="N29333" s="84"/>
    </row>
    <row r="29334" spans="1:14" s="2" customFormat="1">
      <c r="A29334" s="83"/>
      <c r="H29334" s="83"/>
      <c r="K29334" s="82"/>
      <c r="M29334" s="112"/>
      <c r="N29334" s="84"/>
    </row>
    <row r="29335" spans="1:14" s="2" customFormat="1">
      <c r="A29335" s="83"/>
      <c r="H29335" s="83"/>
      <c r="K29335" s="82"/>
      <c r="M29335" s="112"/>
      <c r="N29335" s="84"/>
    </row>
    <row r="29336" spans="1:14" s="2" customFormat="1">
      <c r="A29336" s="83"/>
      <c r="H29336" s="83"/>
      <c r="K29336" s="82"/>
      <c r="M29336" s="112"/>
      <c r="N29336" s="84"/>
    </row>
    <row r="29337" spans="1:14" s="2" customFormat="1">
      <c r="A29337" s="83"/>
      <c r="H29337" s="83"/>
      <c r="K29337" s="82"/>
      <c r="M29337" s="112"/>
      <c r="N29337" s="84"/>
    </row>
    <row r="29338" spans="1:14" s="2" customFormat="1">
      <c r="A29338" s="83"/>
      <c r="H29338" s="83"/>
      <c r="K29338" s="82"/>
      <c r="M29338" s="112"/>
      <c r="N29338" s="84"/>
    </row>
    <row r="29339" spans="1:14" s="2" customFormat="1">
      <c r="A29339" s="83"/>
      <c r="H29339" s="83"/>
      <c r="K29339" s="82"/>
      <c r="M29339" s="112"/>
      <c r="N29339" s="84"/>
    </row>
    <row r="29340" spans="1:14" s="2" customFormat="1">
      <c r="A29340" s="83"/>
      <c r="H29340" s="83"/>
      <c r="K29340" s="82"/>
      <c r="M29340" s="112"/>
      <c r="N29340" s="84"/>
    </row>
    <row r="29341" spans="1:14" s="2" customFormat="1">
      <c r="A29341" s="83"/>
      <c r="H29341" s="83"/>
      <c r="K29341" s="82"/>
      <c r="M29341" s="112"/>
      <c r="N29341" s="84"/>
    </row>
    <row r="29342" spans="1:14" s="2" customFormat="1">
      <c r="A29342" s="83"/>
      <c r="H29342" s="83"/>
      <c r="K29342" s="82"/>
      <c r="M29342" s="112"/>
      <c r="N29342" s="84"/>
    </row>
    <row r="29343" spans="1:14" s="2" customFormat="1">
      <c r="A29343" s="83"/>
      <c r="H29343" s="83"/>
      <c r="K29343" s="82"/>
      <c r="M29343" s="112"/>
      <c r="N29343" s="84"/>
    </row>
    <row r="29344" spans="1:14" s="2" customFormat="1">
      <c r="A29344" s="83"/>
      <c r="H29344" s="83"/>
      <c r="K29344" s="82"/>
      <c r="M29344" s="112"/>
      <c r="N29344" s="84"/>
    </row>
    <row r="29345" spans="1:14" s="2" customFormat="1">
      <c r="A29345" s="83"/>
      <c r="H29345" s="83"/>
      <c r="K29345" s="82"/>
      <c r="M29345" s="112"/>
      <c r="N29345" s="84"/>
    </row>
    <row r="29346" spans="1:14" s="2" customFormat="1">
      <c r="A29346" s="83"/>
      <c r="H29346" s="83"/>
      <c r="K29346" s="82"/>
      <c r="M29346" s="112"/>
      <c r="N29346" s="84"/>
    </row>
    <row r="29347" spans="1:14" s="2" customFormat="1">
      <c r="A29347" s="83"/>
      <c r="H29347" s="83"/>
      <c r="K29347" s="82"/>
      <c r="M29347" s="112"/>
      <c r="N29347" s="84"/>
    </row>
    <row r="29348" spans="1:14" s="2" customFormat="1">
      <c r="A29348" s="83"/>
      <c r="H29348" s="83"/>
      <c r="K29348" s="82"/>
      <c r="M29348" s="112"/>
      <c r="N29348" s="84"/>
    </row>
    <row r="29349" spans="1:14" s="2" customFormat="1">
      <c r="A29349" s="83"/>
      <c r="H29349" s="83"/>
      <c r="K29349" s="82"/>
      <c r="M29349" s="112"/>
      <c r="N29349" s="84"/>
    </row>
    <row r="29350" spans="1:14" s="2" customFormat="1">
      <c r="A29350" s="83"/>
      <c r="H29350" s="83"/>
      <c r="K29350" s="82"/>
      <c r="M29350" s="112"/>
      <c r="N29350" s="84"/>
    </row>
    <row r="29351" spans="1:14" s="2" customFormat="1">
      <c r="A29351" s="83"/>
      <c r="H29351" s="83"/>
      <c r="K29351" s="82"/>
      <c r="M29351" s="112"/>
      <c r="N29351" s="84"/>
    </row>
    <row r="29352" spans="1:14" s="2" customFormat="1">
      <c r="A29352" s="83"/>
      <c r="H29352" s="83"/>
      <c r="K29352" s="82"/>
      <c r="M29352" s="112"/>
      <c r="N29352" s="84"/>
    </row>
    <row r="29353" spans="1:14" s="2" customFormat="1">
      <c r="A29353" s="83"/>
      <c r="H29353" s="83"/>
      <c r="K29353" s="82"/>
      <c r="M29353" s="112"/>
      <c r="N29353" s="84"/>
    </row>
    <row r="29354" spans="1:14" s="2" customFormat="1">
      <c r="A29354" s="83"/>
      <c r="H29354" s="83"/>
      <c r="K29354" s="82"/>
      <c r="M29354" s="112"/>
      <c r="N29354" s="84"/>
    </row>
    <row r="29355" spans="1:14" s="2" customFormat="1">
      <c r="A29355" s="83"/>
      <c r="H29355" s="83"/>
      <c r="K29355" s="82"/>
      <c r="M29355" s="112"/>
      <c r="N29355" s="84"/>
    </row>
    <row r="29356" spans="1:14" s="2" customFormat="1">
      <c r="A29356" s="83"/>
      <c r="H29356" s="83"/>
      <c r="K29356" s="82"/>
      <c r="M29356" s="112"/>
      <c r="N29356" s="84"/>
    </row>
    <row r="29357" spans="1:14" s="2" customFormat="1">
      <c r="A29357" s="83"/>
      <c r="H29357" s="83"/>
      <c r="K29357" s="82"/>
      <c r="M29357" s="112"/>
      <c r="N29357" s="84"/>
    </row>
    <row r="29358" spans="1:14" s="2" customFormat="1">
      <c r="A29358" s="83"/>
      <c r="H29358" s="83"/>
      <c r="K29358" s="82"/>
      <c r="M29358" s="112"/>
      <c r="N29358" s="84"/>
    </row>
    <row r="29359" spans="1:14" s="2" customFormat="1">
      <c r="A29359" s="83"/>
      <c r="H29359" s="83"/>
      <c r="K29359" s="82"/>
      <c r="M29359" s="112"/>
      <c r="N29359" s="84"/>
    </row>
    <row r="29360" spans="1:14" s="2" customFormat="1">
      <c r="A29360" s="83"/>
      <c r="H29360" s="83"/>
      <c r="K29360" s="82"/>
      <c r="M29360" s="112"/>
      <c r="N29360" s="84"/>
    </row>
    <row r="29361" spans="1:14" s="2" customFormat="1">
      <c r="A29361" s="83"/>
      <c r="H29361" s="83"/>
      <c r="K29361" s="82"/>
      <c r="M29361" s="112"/>
      <c r="N29361" s="84"/>
    </row>
    <row r="29362" spans="1:14" s="2" customFormat="1">
      <c r="A29362" s="83"/>
      <c r="H29362" s="83"/>
      <c r="K29362" s="82"/>
      <c r="M29362" s="112"/>
      <c r="N29362" s="84"/>
    </row>
    <row r="29363" spans="1:14" s="2" customFormat="1">
      <c r="A29363" s="83"/>
      <c r="H29363" s="83"/>
      <c r="K29363" s="82"/>
      <c r="M29363" s="112"/>
      <c r="N29363" s="84"/>
    </row>
    <row r="29364" spans="1:14" s="2" customFormat="1">
      <c r="A29364" s="83"/>
      <c r="H29364" s="83"/>
      <c r="K29364" s="82"/>
      <c r="M29364" s="112"/>
      <c r="N29364" s="84"/>
    </row>
    <row r="29365" spans="1:14" s="2" customFormat="1">
      <c r="A29365" s="83"/>
      <c r="H29365" s="83"/>
      <c r="K29365" s="82"/>
      <c r="M29365" s="112"/>
      <c r="N29365" s="84"/>
    </row>
    <row r="29366" spans="1:14" s="2" customFormat="1">
      <c r="A29366" s="83"/>
      <c r="H29366" s="83"/>
      <c r="K29366" s="82"/>
      <c r="M29366" s="112"/>
      <c r="N29366" s="84"/>
    </row>
    <row r="29367" spans="1:14" s="2" customFormat="1">
      <c r="A29367" s="83"/>
      <c r="H29367" s="83"/>
      <c r="K29367" s="82"/>
      <c r="M29367" s="112"/>
      <c r="N29367" s="84"/>
    </row>
    <row r="29368" spans="1:14" s="2" customFormat="1">
      <c r="A29368" s="83"/>
      <c r="H29368" s="83"/>
      <c r="K29368" s="82"/>
      <c r="M29368" s="112"/>
      <c r="N29368" s="84"/>
    </row>
    <row r="29369" spans="1:14" s="2" customFormat="1">
      <c r="A29369" s="83"/>
      <c r="H29369" s="83"/>
      <c r="K29369" s="82"/>
      <c r="M29369" s="112"/>
      <c r="N29369" s="84"/>
    </row>
    <row r="29370" spans="1:14" s="2" customFormat="1">
      <c r="A29370" s="83"/>
      <c r="H29370" s="83"/>
      <c r="K29370" s="82"/>
      <c r="M29370" s="112"/>
      <c r="N29370" s="84"/>
    </row>
    <row r="29371" spans="1:14" s="2" customFormat="1">
      <c r="A29371" s="83"/>
      <c r="H29371" s="83"/>
      <c r="K29371" s="82"/>
      <c r="M29371" s="112"/>
      <c r="N29371" s="84"/>
    </row>
    <row r="29372" spans="1:14" s="2" customFormat="1">
      <c r="A29372" s="83"/>
      <c r="H29372" s="83"/>
      <c r="K29372" s="82"/>
      <c r="M29372" s="112"/>
      <c r="N29372" s="84"/>
    </row>
    <row r="29373" spans="1:14" s="2" customFormat="1">
      <c r="A29373" s="83"/>
      <c r="H29373" s="83"/>
      <c r="K29373" s="82"/>
      <c r="M29373" s="112"/>
      <c r="N29373" s="84"/>
    </row>
    <row r="29374" spans="1:14" s="2" customFormat="1">
      <c r="A29374" s="83"/>
      <c r="H29374" s="83"/>
      <c r="K29374" s="82"/>
      <c r="M29374" s="112"/>
      <c r="N29374" s="84"/>
    </row>
    <row r="29375" spans="1:14" s="2" customFormat="1">
      <c r="A29375" s="83"/>
      <c r="H29375" s="83"/>
      <c r="K29375" s="82"/>
      <c r="M29375" s="112"/>
      <c r="N29375" s="84"/>
    </row>
    <row r="29376" spans="1:14" s="2" customFormat="1">
      <c r="A29376" s="83"/>
      <c r="H29376" s="83"/>
      <c r="K29376" s="82"/>
      <c r="M29376" s="112"/>
      <c r="N29376" s="84"/>
    </row>
    <row r="29377" spans="1:14" s="2" customFormat="1">
      <c r="A29377" s="83"/>
      <c r="H29377" s="83"/>
      <c r="K29377" s="82"/>
      <c r="M29377" s="112"/>
      <c r="N29377" s="84"/>
    </row>
    <row r="29378" spans="1:14" s="2" customFormat="1">
      <c r="A29378" s="83"/>
      <c r="H29378" s="83"/>
      <c r="K29378" s="82"/>
      <c r="M29378" s="112"/>
      <c r="N29378" s="84"/>
    </row>
    <row r="29379" spans="1:14" s="2" customFormat="1">
      <c r="A29379" s="83"/>
      <c r="H29379" s="83"/>
      <c r="K29379" s="82"/>
      <c r="M29379" s="112"/>
      <c r="N29379" s="84"/>
    </row>
    <row r="29380" spans="1:14" s="2" customFormat="1">
      <c r="A29380" s="83"/>
      <c r="H29380" s="83"/>
      <c r="K29380" s="82"/>
      <c r="M29380" s="112"/>
      <c r="N29380" s="84"/>
    </row>
    <row r="29381" spans="1:14" s="2" customFormat="1">
      <c r="A29381" s="83"/>
      <c r="H29381" s="83"/>
      <c r="K29381" s="82"/>
      <c r="M29381" s="112"/>
      <c r="N29381" s="84"/>
    </row>
    <row r="29382" spans="1:14" s="2" customFormat="1">
      <c r="A29382" s="83"/>
      <c r="H29382" s="83"/>
      <c r="K29382" s="82"/>
      <c r="M29382" s="112"/>
      <c r="N29382" s="84"/>
    </row>
    <row r="29383" spans="1:14" s="2" customFormat="1">
      <c r="A29383" s="83"/>
      <c r="H29383" s="83"/>
      <c r="K29383" s="82"/>
      <c r="M29383" s="112"/>
      <c r="N29383" s="84"/>
    </row>
    <row r="29384" spans="1:14" s="2" customFormat="1">
      <c r="A29384" s="83"/>
      <c r="H29384" s="83"/>
      <c r="K29384" s="82"/>
      <c r="M29384" s="112"/>
      <c r="N29384" s="84"/>
    </row>
    <row r="29385" spans="1:14" s="2" customFormat="1">
      <c r="A29385" s="83"/>
      <c r="H29385" s="83"/>
      <c r="K29385" s="82"/>
      <c r="M29385" s="112"/>
      <c r="N29385" s="84"/>
    </row>
    <row r="29386" spans="1:14" s="2" customFormat="1">
      <c r="A29386" s="83"/>
      <c r="H29386" s="83"/>
      <c r="K29386" s="82"/>
      <c r="M29386" s="112"/>
      <c r="N29386" s="84"/>
    </row>
    <row r="29387" spans="1:14" s="2" customFormat="1">
      <c r="A29387" s="83"/>
      <c r="H29387" s="83"/>
      <c r="K29387" s="82"/>
      <c r="M29387" s="112"/>
      <c r="N29387" s="84"/>
    </row>
    <row r="29388" spans="1:14" s="2" customFormat="1">
      <c r="A29388" s="83"/>
      <c r="H29388" s="83"/>
      <c r="K29388" s="82"/>
      <c r="M29388" s="112"/>
      <c r="N29388" s="84"/>
    </row>
    <row r="29389" spans="1:14" s="2" customFormat="1">
      <c r="A29389" s="83"/>
      <c r="H29389" s="83"/>
      <c r="K29389" s="82"/>
      <c r="M29389" s="112"/>
      <c r="N29389" s="84"/>
    </row>
    <row r="29390" spans="1:14" s="2" customFormat="1">
      <c r="A29390" s="83"/>
      <c r="H29390" s="83"/>
      <c r="K29390" s="82"/>
      <c r="M29390" s="112"/>
      <c r="N29390" s="84"/>
    </row>
    <row r="29391" spans="1:14" s="2" customFormat="1">
      <c r="A29391" s="83"/>
      <c r="H29391" s="83"/>
      <c r="K29391" s="82"/>
      <c r="M29391" s="112"/>
      <c r="N29391" s="84"/>
    </row>
    <row r="29392" spans="1:14" s="2" customFormat="1">
      <c r="A29392" s="83"/>
      <c r="H29392" s="83"/>
      <c r="K29392" s="82"/>
      <c r="M29392" s="112"/>
      <c r="N29392" s="84"/>
    </row>
    <row r="29393" spans="1:14" s="2" customFormat="1">
      <c r="A29393" s="83"/>
      <c r="H29393" s="83"/>
      <c r="K29393" s="82"/>
      <c r="M29393" s="112"/>
      <c r="N29393" s="84"/>
    </row>
    <row r="29394" spans="1:14" s="2" customFormat="1">
      <c r="A29394" s="83"/>
      <c r="H29394" s="83"/>
      <c r="K29394" s="82"/>
      <c r="M29394" s="112"/>
      <c r="N29394" s="84"/>
    </row>
    <row r="29395" spans="1:14" s="2" customFormat="1">
      <c r="A29395" s="83"/>
      <c r="H29395" s="83"/>
      <c r="K29395" s="82"/>
      <c r="M29395" s="112"/>
      <c r="N29395" s="84"/>
    </row>
    <row r="29396" spans="1:14" s="2" customFormat="1">
      <c r="A29396" s="83"/>
      <c r="H29396" s="83"/>
      <c r="K29396" s="82"/>
      <c r="M29396" s="112"/>
      <c r="N29396" s="84"/>
    </row>
    <row r="29397" spans="1:14" s="2" customFormat="1">
      <c r="A29397" s="83"/>
      <c r="H29397" s="83"/>
      <c r="K29397" s="82"/>
      <c r="M29397" s="112"/>
      <c r="N29397" s="84"/>
    </row>
    <row r="29398" spans="1:14" s="2" customFormat="1">
      <c r="A29398" s="83"/>
      <c r="H29398" s="83"/>
      <c r="K29398" s="82"/>
      <c r="M29398" s="112"/>
      <c r="N29398" s="84"/>
    </row>
    <row r="29399" spans="1:14" s="2" customFormat="1">
      <c r="A29399" s="83"/>
      <c r="H29399" s="83"/>
      <c r="K29399" s="82"/>
      <c r="M29399" s="112"/>
      <c r="N29399" s="84"/>
    </row>
    <row r="29400" spans="1:14" s="2" customFormat="1">
      <c r="A29400" s="83"/>
      <c r="H29400" s="83"/>
      <c r="K29400" s="82"/>
      <c r="M29400" s="112"/>
      <c r="N29400" s="84"/>
    </row>
    <row r="29401" spans="1:14" s="2" customFormat="1">
      <c r="A29401" s="83"/>
      <c r="H29401" s="83"/>
      <c r="K29401" s="82"/>
      <c r="M29401" s="112"/>
      <c r="N29401" s="84"/>
    </row>
    <row r="29402" spans="1:14" s="2" customFormat="1">
      <c r="A29402" s="83"/>
      <c r="H29402" s="83"/>
      <c r="K29402" s="82"/>
      <c r="M29402" s="112"/>
      <c r="N29402" s="84"/>
    </row>
    <row r="29403" spans="1:14" s="2" customFormat="1">
      <c r="A29403" s="83"/>
      <c r="H29403" s="83"/>
      <c r="K29403" s="82"/>
      <c r="M29403" s="112"/>
      <c r="N29403" s="84"/>
    </row>
    <row r="29404" spans="1:14" s="2" customFormat="1">
      <c r="A29404" s="83"/>
      <c r="H29404" s="83"/>
      <c r="K29404" s="82"/>
      <c r="M29404" s="112"/>
      <c r="N29404" s="84"/>
    </row>
    <row r="29405" spans="1:14" s="2" customFormat="1">
      <c r="A29405" s="83"/>
      <c r="H29405" s="83"/>
      <c r="K29405" s="82"/>
      <c r="M29405" s="112"/>
      <c r="N29405" s="84"/>
    </row>
    <row r="29406" spans="1:14" s="2" customFormat="1">
      <c r="A29406" s="83"/>
      <c r="H29406" s="83"/>
      <c r="K29406" s="82"/>
      <c r="M29406" s="112"/>
      <c r="N29406" s="84"/>
    </row>
    <row r="29407" spans="1:14" s="2" customFormat="1">
      <c r="A29407" s="83"/>
      <c r="H29407" s="83"/>
      <c r="K29407" s="82"/>
      <c r="M29407" s="112"/>
      <c r="N29407" s="84"/>
    </row>
    <row r="29408" spans="1:14" s="2" customFormat="1">
      <c r="A29408" s="83"/>
      <c r="H29408" s="83"/>
      <c r="K29408" s="82"/>
      <c r="M29408" s="112"/>
      <c r="N29408" s="84"/>
    </row>
    <row r="29409" spans="1:14" s="2" customFormat="1">
      <c r="A29409" s="83"/>
      <c r="H29409" s="83"/>
      <c r="K29409" s="82"/>
      <c r="M29409" s="112"/>
      <c r="N29409" s="84"/>
    </row>
    <row r="29410" spans="1:14" s="2" customFormat="1">
      <c r="A29410" s="83"/>
      <c r="H29410" s="83"/>
      <c r="K29410" s="82"/>
      <c r="M29410" s="112"/>
      <c r="N29410" s="84"/>
    </row>
    <row r="29411" spans="1:14" s="2" customFormat="1">
      <c r="A29411" s="83"/>
      <c r="H29411" s="83"/>
      <c r="K29411" s="82"/>
      <c r="M29411" s="112"/>
      <c r="N29411" s="84"/>
    </row>
    <row r="29412" spans="1:14" s="2" customFormat="1">
      <c r="A29412" s="83"/>
      <c r="H29412" s="83"/>
      <c r="K29412" s="82"/>
      <c r="M29412" s="112"/>
      <c r="N29412" s="84"/>
    </row>
    <row r="29413" spans="1:14" s="2" customFormat="1">
      <c r="A29413" s="83"/>
      <c r="H29413" s="83"/>
      <c r="K29413" s="82"/>
      <c r="M29413" s="112"/>
      <c r="N29413" s="84"/>
    </row>
    <row r="29414" spans="1:14" s="2" customFormat="1">
      <c r="A29414" s="83"/>
      <c r="H29414" s="83"/>
      <c r="K29414" s="82"/>
      <c r="M29414" s="112"/>
      <c r="N29414" s="84"/>
    </row>
    <row r="29415" spans="1:14" s="2" customFormat="1">
      <c r="A29415" s="83"/>
      <c r="H29415" s="83"/>
      <c r="K29415" s="82"/>
      <c r="M29415" s="112"/>
      <c r="N29415" s="84"/>
    </row>
    <row r="29416" spans="1:14" s="2" customFormat="1">
      <c r="A29416" s="83"/>
      <c r="H29416" s="83"/>
      <c r="K29416" s="82"/>
      <c r="M29416" s="112"/>
      <c r="N29416" s="84"/>
    </row>
    <row r="29417" spans="1:14" s="2" customFormat="1">
      <c r="A29417" s="83"/>
      <c r="H29417" s="83"/>
      <c r="K29417" s="82"/>
      <c r="M29417" s="112"/>
      <c r="N29417" s="84"/>
    </row>
    <row r="29418" spans="1:14" s="2" customFormat="1">
      <c r="A29418" s="83"/>
      <c r="H29418" s="83"/>
      <c r="K29418" s="82"/>
      <c r="M29418" s="112"/>
      <c r="N29418" s="84"/>
    </row>
    <row r="29419" spans="1:14" s="2" customFormat="1">
      <c r="A29419" s="83"/>
      <c r="H29419" s="83"/>
      <c r="K29419" s="82"/>
      <c r="M29419" s="112"/>
      <c r="N29419" s="84"/>
    </row>
    <row r="29420" spans="1:14" s="2" customFormat="1">
      <c r="A29420" s="83"/>
      <c r="H29420" s="83"/>
      <c r="K29420" s="82"/>
      <c r="M29420" s="112"/>
      <c r="N29420" s="84"/>
    </row>
    <row r="29421" spans="1:14" s="2" customFormat="1">
      <c r="A29421" s="83"/>
      <c r="H29421" s="83"/>
      <c r="K29421" s="82"/>
      <c r="M29421" s="112"/>
      <c r="N29421" s="84"/>
    </row>
    <row r="29422" spans="1:14" s="2" customFormat="1">
      <c r="A29422" s="83"/>
      <c r="H29422" s="83"/>
      <c r="K29422" s="82"/>
      <c r="M29422" s="112"/>
      <c r="N29422" s="84"/>
    </row>
    <row r="29423" spans="1:14" s="2" customFormat="1">
      <c r="A29423" s="83"/>
      <c r="H29423" s="83"/>
      <c r="K29423" s="82"/>
      <c r="M29423" s="112"/>
      <c r="N29423" s="84"/>
    </row>
    <row r="29424" spans="1:14" s="2" customFormat="1">
      <c r="A29424" s="83"/>
      <c r="H29424" s="83"/>
      <c r="K29424" s="82"/>
      <c r="M29424" s="112"/>
      <c r="N29424" s="84"/>
    </row>
    <row r="29425" spans="1:14" s="2" customFormat="1">
      <c r="A29425" s="83"/>
      <c r="H29425" s="83"/>
      <c r="K29425" s="82"/>
      <c r="M29425" s="112"/>
      <c r="N29425" s="84"/>
    </row>
    <row r="29426" spans="1:14" s="2" customFormat="1">
      <c r="A29426" s="83"/>
      <c r="H29426" s="83"/>
      <c r="K29426" s="82"/>
      <c r="M29426" s="112"/>
      <c r="N29426" s="84"/>
    </row>
    <row r="29427" spans="1:14" s="2" customFormat="1">
      <c r="A29427" s="83"/>
      <c r="H29427" s="83"/>
      <c r="K29427" s="82"/>
      <c r="M29427" s="112"/>
      <c r="N29427" s="84"/>
    </row>
    <row r="29428" spans="1:14" s="2" customFormat="1">
      <c r="A29428" s="83"/>
      <c r="H29428" s="83"/>
      <c r="K29428" s="82"/>
      <c r="M29428" s="112"/>
      <c r="N29428" s="84"/>
    </row>
    <row r="29429" spans="1:14" s="2" customFormat="1">
      <c r="A29429" s="83"/>
      <c r="H29429" s="83"/>
      <c r="K29429" s="82"/>
      <c r="M29429" s="112"/>
      <c r="N29429" s="84"/>
    </row>
    <row r="29430" spans="1:14" s="2" customFormat="1">
      <c r="A29430" s="83"/>
      <c r="H29430" s="83"/>
      <c r="K29430" s="82"/>
      <c r="M29430" s="112"/>
      <c r="N29430" s="84"/>
    </row>
    <row r="29431" spans="1:14" s="2" customFormat="1">
      <c r="A29431" s="83"/>
      <c r="H29431" s="83"/>
      <c r="K29431" s="82"/>
      <c r="M29431" s="112"/>
      <c r="N29431" s="84"/>
    </row>
    <row r="29432" spans="1:14" s="2" customFormat="1">
      <c r="A29432" s="83"/>
      <c r="H29432" s="83"/>
      <c r="K29432" s="82"/>
      <c r="M29432" s="112"/>
      <c r="N29432" s="84"/>
    </row>
    <row r="29433" spans="1:14" s="2" customFormat="1">
      <c r="A29433" s="83"/>
      <c r="H29433" s="83"/>
      <c r="K29433" s="82"/>
      <c r="M29433" s="112"/>
      <c r="N29433" s="84"/>
    </row>
    <row r="29434" spans="1:14" s="2" customFormat="1">
      <c r="A29434" s="83"/>
      <c r="H29434" s="83"/>
      <c r="K29434" s="82"/>
      <c r="M29434" s="112"/>
      <c r="N29434" s="84"/>
    </row>
    <row r="29435" spans="1:14" s="2" customFormat="1">
      <c r="A29435" s="83"/>
      <c r="H29435" s="83"/>
      <c r="K29435" s="82"/>
      <c r="M29435" s="112"/>
      <c r="N29435" s="84"/>
    </row>
    <row r="29436" spans="1:14" s="2" customFormat="1">
      <c r="A29436" s="83"/>
      <c r="H29436" s="83"/>
      <c r="K29436" s="82"/>
      <c r="M29436" s="112"/>
      <c r="N29436" s="84"/>
    </row>
    <row r="29437" spans="1:14" s="2" customFormat="1">
      <c r="A29437" s="83"/>
      <c r="H29437" s="83"/>
      <c r="K29437" s="82"/>
      <c r="M29437" s="112"/>
      <c r="N29437" s="84"/>
    </row>
    <row r="29438" spans="1:14" s="2" customFormat="1">
      <c r="A29438" s="83"/>
      <c r="H29438" s="83"/>
      <c r="K29438" s="82"/>
      <c r="M29438" s="112"/>
      <c r="N29438" s="84"/>
    </row>
    <row r="29439" spans="1:14" s="2" customFormat="1">
      <c r="A29439" s="83"/>
      <c r="H29439" s="83"/>
      <c r="K29439" s="82"/>
      <c r="M29439" s="112"/>
      <c r="N29439" s="84"/>
    </row>
    <row r="29440" spans="1:14" s="2" customFormat="1">
      <c r="A29440" s="83"/>
      <c r="H29440" s="83"/>
      <c r="K29440" s="82"/>
      <c r="M29440" s="112"/>
      <c r="N29440" s="84"/>
    </row>
    <row r="29441" spans="1:14" s="2" customFormat="1">
      <c r="A29441" s="83"/>
      <c r="H29441" s="83"/>
      <c r="K29441" s="82"/>
      <c r="M29441" s="112"/>
      <c r="N29441" s="84"/>
    </row>
    <row r="29442" spans="1:14" s="2" customFormat="1">
      <c r="A29442" s="83"/>
      <c r="H29442" s="83"/>
      <c r="K29442" s="82"/>
      <c r="M29442" s="112"/>
      <c r="N29442" s="84"/>
    </row>
    <row r="29443" spans="1:14" s="2" customFormat="1">
      <c r="A29443" s="83"/>
      <c r="H29443" s="83"/>
      <c r="K29443" s="82"/>
      <c r="M29443" s="112"/>
      <c r="N29443" s="84"/>
    </row>
    <row r="29444" spans="1:14" s="2" customFormat="1">
      <c r="A29444" s="83"/>
      <c r="H29444" s="83"/>
      <c r="K29444" s="82"/>
      <c r="M29444" s="112"/>
      <c r="N29444" s="84"/>
    </row>
    <row r="29445" spans="1:14" s="2" customFormat="1">
      <c r="A29445" s="83"/>
      <c r="H29445" s="83"/>
      <c r="K29445" s="82"/>
      <c r="M29445" s="112"/>
      <c r="N29445" s="84"/>
    </row>
    <row r="29446" spans="1:14" s="2" customFormat="1">
      <c r="A29446" s="83"/>
      <c r="H29446" s="83"/>
      <c r="K29446" s="82"/>
      <c r="M29446" s="112"/>
      <c r="N29446" s="84"/>
    </row>
    <row r="29447" spans="1:14" s="2" customFormat="1">
      <c r="A29447" s="83"/>
      <c r="H29447" s="83"/>
      <c r="K29447" s="82"/>
      <c r="M29447" s="112"/>
      <c r="N29447" s="84"/>
    </row>
    <row r="29448" spans="1:14" s="2" customFormat="1">
      <c r="A29448" s="83"/>
      <c r="H29448" s="83"/>
      <c r="K29448" s="82"/>
      <c r="M29448" s="112"/>
      <c r="N29448" s="84"/>
    </row>
    <row r="29449" spans="1:14" s="2" customFormat="1">
      <c r="A29449" s="83"/>
      <c r="H29449" s="83"/>
      <c r="K29449" s="82"/>
      <c r="M29449" s="112"/>
      <c r="N29449" s="84"/>
    </row>
    <row r="29450" spans="1:14" s="2" customFormat="1">
      <c r="A29450" s="83"/>
      <c r="H29450" s="83"/>
      <c r="K29450" s="82"/>
      <c r="M29450" s="112"/>
      <c r="N29450" s="84"/>
    </row>
    <row r="29451" spans="1:14" s="2" customFormat="1">
      <c r="A29451" s="83"/>
      <c r="H29451" s="83"/>
      <c r="K29451" s="82"/>
      <c r="M29451" s="112"/>
      <c r="N29451" s="84"/>
    </row>
    <row r="29452" spans="1:14" s="2" customFormat="1">
      <c r="A29452" s="83"/>
      <c r="H29452" s="83"/>
      <c r="K29452" s="82"/>
      <c r="M29452" s="112"/>
      <c r="N29452" s="84"/>
    </row>
    <row r="29453" spans="1:14" s="2" customFormat="1">
      <c r="A29453" s="83"/>
      <c r="H29453" s="83"/>
      <c r="K29453" s="82"/>
      <c r="M29453" s="112"/>
      <c r="N29453" s="84"/>
    </row>
    <row r="29454" spans="1:14" s="2" customFormat="1">
      <c r="A29454" s="83"/>
      <c r="H29454" s="83"/>
      <c r="K29454" s="82"/>
      <c r="M29454" s="112"/>
      <c r="N29454" s="84"/>
    </row>
    <row r="29455" spans="1:14" s="2" customFormat="1">
      <c r="A29455" s="83"/>
      <c r="H29455" s="83"/>
      <c r="K29455" s="82"/>
      <c r="M29455" s="112"/>
      <c r="N29455" s="84"/>
    </row>
    <row r="29456" spans="1:14" s="2" customFormat="1">
      <c r="A29456" s="83"/>
      <c r="H29456" s="83"/>
      <c r="K29456" s="82"/>
      <c r="M29456" s="112"/>
      <c r="N29456" s="84"/>
    </row>
    <row r="29457" spans="1:14" s="2" customFormat="1">
      <c r="A29457" s="83"/>
      <c r="H29457" s="83"/>
      <c r="K29457" s="82"/>
      <c r="M29457" s="112"/>
      <c r="N29457" s="84"/>
    </row>
    <row r="29458" spans="1:14" s="2" customFormat="1">
      <c r="A29458" s="83"/>
      <c r="H29458" s="83"/>
      <c r="K29458" s="82"/>
      <c r="M29458" s="112"/>
      <c r="N29458" s="84"/>
    </row>
    <row r="29459" spans="1:14" s="2" customFormat="1">
      <c r="A29459" s="83"/>
      <c r="H29459" s="83"/>
      <c r="K29459" s="82"/>
      <c r="M29459" s="112"/>
      <c r="N29459" s="84"/>
    </row>
    <row r="29460" spans="1:14" s="2" customFormat="1">
      <c r="A29460" s="83"/>
      <c r="H29460" s="83"/>
      <c r="K29460" s="82"/>
      <c r="M29460" s="112"/>
      <c r="N29460" s="84"/>
    </row>
    <row r="29461" spans="1:14" s="2" customFormat="1">
      <c r="A29461" s="83"/>
      <c r="H29461" s="83"/>
      <c r="K29461" s="82"/>
      <c r="M29461" s="112"/>
      <c r="N29461" s="84"/>
    </row>
    <row r="29462" spans="1:14" s="2" customFormat="1">
      <c r="A29462" s="83"/>
      <c r="H29462" s="83"/>
      <c r="K29462" s="82"/>
      <c r="M29462" s="112"/>
      <c r="N29462" s="84"/>
    </row>
    <row r="29463" spans="1:14" s="2" customFormat="1">
      <c r="A29463" s="83"/>
      <c r="H29463" s="83"/>
      <c r="K29463" s="82"/>
      <c r="M29463" s="112"/>
      <c r="N29463" s="84"/>
    </row>
    <row r="29464" spans="1:14" s="2" customFormat="1">
      <c r="A29464" s="83"/>
      <c r="H29464" s="83"/>
      <c r="K29464" s="82"/>
      <c r="M29464" s="112"/>
      <c r="N29464" s="84"/>
    </row>
    <row r="29465" spans="1:14" s="2" customFormat="1">
      <c r="A29465" s="83"/>
      <c r="H29465" s="83"/>
      <c r="K29465" s="82"/>
      <c r="M29465" s="112"/>
      <c r="N29465" s="84"/>
    </row>
    <row r="29466" spans="1:14" s="2" customFormat="1">
      <c r="A29466" s="83"/>
      <c r="H29466" s="83"/>
      <c r="K29466" s="82"/>
      <c r="M29466" s="112"/>
      <c r="N29466" s="84"/>
    </row>
    <row r="29467" spans="1:14" s="2" customFormat="1">
      <c r="A29467" s="83"/>
      <c r="H29467" s="83"/>
      <c r="K29467" s="82"/>
      <c r="M29467" s="112"/>
      <c r="N29467" s="84"/>
    </row>
    <row r="29468" spans="1:14" s="2" customFormat="1">
      <c r="A29468" s="83"/>
      <c r="H29468" s="83"/>
      <c r="K29468" s="82"/>
      <c r="M29468" s="112"/>
      <c r="N29468" s="84"/>
    </row>
    <row r="29469" spans="1:14" s="2" customFormat="1">
      <c r="A29469" s="83"/>
      <c r="H29469" s="83"/>
      <c r="K29469" s="82"/>
      <c r="M29469" s="112"/>
      <c r="N29469" s="84"/>
    </row>
    <row r="29470" spans="1:14" s="2" customFormat="1">
      <c r="A29470" s="83"/>
      <c r="H29470" s="83"/>
      <c r="K29470" s="82"/>
      <c r="M29470" s="112"/>
      <c r="N29470" s="84"/>
    </row>
    <row r="29471" spans="1:14" s="2" customFormat="1">
      <c r="A29471" s="83"/>
      <c r="H29471" s="83"/>
      <c r="K29471" s="82"/>
      <c r="M29471" s="112"/>
      <c r="N29471" s="84"/>
    </row>
    <row r="29472" spans="1:14" s="2" customFormat="1">
      <c r="A29472" s="83"/>
      <c r="H29472" s="83"/>
      <c r="K29472" s="82"/>
      <c r="M29472" s="112"/>
      <c r="N29472" s="84"/>
    </row>
    <row r="29473" spans="1:14" s="2" customFormat="1">
      <c r="A29473" s="83"/>
      <c r="H29473" s="83"/>
      <c r="K29473" s="82"/>
      <c r="M29473" s="112"/>
      <c r="N29473" s="84"/>
    </row>
    <row r="29474" spans="1:14" s="2" customFormat="1">
      <c r="A29474" s="83"/>
      <c r="H29474" s="83"/>
      <c r="K29474" s="82"/>
      <c r="M29474" s="112"/>
      <c r="N29474" s="84"/>
    </row>
    <row r="29475" spans="1:14" s="2" customFormat="1">
      <c r="A29475" s="83"/>
      <c r="H29475" s="83"/>
      <c r="K29475" s="82"/>
      <c r="M29475" s="112"/>
      <c r="N29475" s="84"/>
    </row>
    <row r="29476" spans="1:14" s="2" customFormat="1">
      <c r="A29476" s="83"/>
      <c r="H29476" s="83"/>
      <c r="K29476" s="82"/>
      <c r="M29476" s="112"/>
      <c r="N29476" s="84"/>
    </row>
    <row r="29477" spans="1:14" s="2" customFormat="1">
      <c r="A29477" s="83"/>
      <c r="H29477" s="83"/>
      <c r="K29477" s="82"/>
      <c r="M29477" s="112"/>
      <c r="N29477" s="84"/>
    </row>
    <row r="29478" spans="1:14" s="2" customFormat="1">
      <c r="A29478" s="83"/>
      <c r="H29478" s="83"/>
      <c r="K29478" s="82"/>
      <c r="M29478" s="112"/>
      <c r="N29478" s="84"/>
    </row>
    <row r="29479" spans="1:14" s="2" customFormat="1">
      <c r="A29479" s="83"/>
      <c r="H29479" s="83"/>
      <c r="K29479" s="82"/>
      <c r="M29479" s="112"/>
      <c r="N29479" s="84"/>
    </row>
    <row r="29480" spans="1:14" s="2" customFormat="1">
      <c r="A29480" s="83"/>
      <c r="H29480" s="83"/>
      <c r="K29480" s="82"/>
      <c r="M29480" s="112"/>
      <c r="N29480" s="84"/>
    </row>
    <row r="29481" spans="1:14" s="2" customFormat="1">
      <c r="A29481" s="83"/>
      <c r="H29481" s="83"/>
      <c r="K29481" s="82"/>
      <c r="M29481" s="112"/>
      <c r="N29481" s="84"/>
    </row>
    <row r="29482" spans="1:14" s="2" customFormat="1">
      <c r="A29482" s="83"/>
      <c r="H29482" s="83"/>
      <c r="K29482" s="82"/>
      <c r="M29482" s="112"/>
      <c r="N29482" s="84"/>
    </row>
    <row r="29483" spans="1:14" s="2" customFormat="1">
      <c r="A29483" s="83"/>
      <c r="H29483" s="83"/>
      <c r="K29483" s="82"/>
      <c r="M29483" s="112"/>
      <c r="N29483" s="84"/>
    </row>
    <row r="29484" spans="1:14" s="2" customFormat="1">
      <c r="A29484" s="83"/>
      <c r="H29484" s="83"/>
      <c r="K29484" s="82"/>
      <c r="M29484" s="112"/>
      <c r="N29484" s="84"/>
    </row>
    <row r="29485" spans="1:14" s="2" customFormat="1">
      <c r="A29485" s="83"/>
      <c r="H29485" s="83"/>
      <c r="K29485" s="82"/>
      <c r="M29485" s="112"/>
      <c r="N29485" s="84"/>
    </row>
    <row r="29486" spans="1:14" s="2" customFormat="1">
      <c r="A29486" s="83"/>
      <c r="H29486" s="83"/>
      <c r="K29486" s="82"/>
      <c r="M29486" s="112"/>
      <c r="N29486" s="84"/>
    </row>
    <row r="29487" spans="1:14" s="2" customFormat="1">
      <c r="A29487" s="83"/>
      <c r="H29487" s="83"/>
      <c r="K29487" s="82"/>
      <c r="M29487" s="112"/>
      <c r="N29487" s="84"/>
    </row>
    <row r="29488" spans="1:14" s="2" customFormat="1">
      <c r="A29488" s="83"/>
      <c r="H29488" s="83"/>
      <c r="K29488" s="82"/>
      <c r="M29488" s="112"/>
      <c r="N29488" s="84"/>
    </row>
    <row r="29489" spans="1:14" s="2" customFormat="1">
      <c r="A29489" s="83"/>
      <c r="H29489" s="83"/>
      <c r="K29489" s="82"/>
      <c r="M29489" s="112"/>
      <c r="N29489" s="84"/>
    </row>
    <row r="29490" spans="1:14" s="2" customFormat="1">
      <c r="A29490" s="83"/>
      <c r="H29490" s="83"/>
      <c r="K29490" s="82"/>
      <c r="M29490" s="112"/>
      <c r="N29490" s="84"/>
    </row>
    <row r="29491" spans="1:14" s="2" customFormat="1">
      <c r="A29491" s="83"/>
      <c r="H29491" s="83"/>
      <c r="K29491" s="82"/>
      <c r="M29491" s="112"/>
      <c r="N29491" s="84"/>
    </row>
    <row r="29492" spans="1:14" s="2" customFormat="1">
      <c r="A29492" s="83"/>
      <c r="H29492" s="83"/>
      <c r="K29492" s="82"/>
      <c r="M29492" s="112"/>
      <c r="N29492" s="84"/>
    </row>
    <row r="29493" spans="1:14" s="2" customFormat="1">
      <c r="A29493" s="83"/>
      <c r="H29493" s="83"/>
      <c r="K29493" s="82"/>
      <c r="M29493" s="112"/>
      <c r="N29493" s="84"/>
    </row>
    <row r="29494" spans="1:14" s="2" customFormat="1">
      <c r="A29494" s="83"/>
      <c r="H29494" s="83"/>
      <c r="K29494" s="82"/>
      <c r="M29494" s="112"/>
      <c r="N29494" s="84"/>
    </row>
    <row r="29495" spans="1:14" s="2" customFormat="1">
      <c r="A29495" s="83"/>
      <c r="H29495" s="83"/>
      <c r="K29495" s="82"/>
      <c r="M29495" s="112"/>
      <c r="N29495" s="84"/>
    </row>
    <row r="29496" spans="1:14" s="2" customFormat="1">
      <c r="A29496" s="83"/>
      <c r="H29496" s="83"/>
      <c r="K29496" s="82"/>
      <c r="M29496" s="112"/>
      <c r="N29496" s="84"/>
    </row>
    <row r="29497" spans="1:14" s="2" customFormat="1">
      <c r="A29497" s="83"/>
      <c r="H29497" s="83"/>
      <c r="K29497" s="82"/>
      <c r="M29497" s="112"/>
      <c r="N29497" s="84"/>
    </row>
    <row r="29498" spans="1:14" s="2" customFormat="1">
      <c r="A29498" s="83"/>
      <c r="H29498" s="83"/>
      <c r="K29498" s="82"/>
      <c r="M29498" s="112"/>
      <c r="N29498" s="84"/>
    </row>
    <row r="29499" spans="1:14" s="2" customFormat="1">
      <c r="A29499" s="83"/>
      <c r="H29499" s="83"/>
      <c r="K29499" s="82"/>
      <c r="M29499" s="112"/>
      <c r="N29499" s="84"/>
    </row>
    <row r="29500" spans="1:14" s="2" customFormat="1">
      <c r="A29500" s="83"/>
      <c r="H29500" s="83"/>
      <c r="K29500" s="82"/>
      <c r="M29500" s="112"/>
      <c r="N29500" s="84"/>
    </row>
    <row r="29501" spans="1:14" s="2" customFormat="1">
      <c r="A29501" s="83"/>
      <c r="H29501" s="83"/>
      <c r="K29501" s="82"/>
      <c r="M29501" s="112"/>
      <c r="N29501" s="84"/>
    </row>
    <row r="29502" spans="1:14" s="2" customFormat="1">
      <c r="A29502" s="83"/>
      <c r="H29502" s="83"/>
      <c r="K29502" s="82"/>
      <c r="M29502" s="112"/>
      <c r="N29502" s="84"/>
    </row>
    <row r="29503" spans="1:14" s="2" customFormat="1">
      <c r="A29503" s="83"/>
      <c r="H29503" s="83"/>
      <c r="K29503" s="82"/>
      <c r="M29503" s="112"/>
      <c r="N29503" s="84"/>
    </row>
    <row r="29504" spans="1:14" s="2" customFormat="1">
      <c r="A29504" s="83"/>
      <c r="H29504" s="83"/>
      <c r="K29504" s="82"/>
      <c r="M29504" s="112"/>
      <c r="N29504" s="84"/>
    </row>
    <row r="29505" spans="1:14" s="2" customFormat="1">
      <c r="A29505" s="83"/>
      <c r="H29505" s="83"/>
      <c r="K29505" s="82"/>
      <c r="M29505" s="112"/>
      <c r="N29505" s="84"/>
    </row>
    <row r="29506" spans="1:14" s="2" customFormat="1">
      <c r="A29506" s="83"/>
      <c r="H29506" s="83"/>
      <c r="K29506" s="82"/>
      <c r="M29506" s="112"/>
      <c r="N29506" s="84"/>
    </row>
    <row r="29507" spans="1:14" s="2" customFormat="1">
      <c r="A29507" s="83"/>
      <c r="H29507" s="83"/>
      <c r="K29507" s="82"/>
      <c r="M29507" s="112"/>
      <c r="N29507" s="84"/>
    </row>
    <row r="29508" spans="1:14" s="2" customFormat="1">
      <c r="A29508" s="83"/>
      <c r="H29508" s="83"/>
      <c r="K29508" s="82"/>
      <c r="M29508" s="112"/>
      <c r="N29508" s="84"/>
    </row>
    <row r="29509" spans="1:14" s="2" customFormat="1">
      <c r="A29509" s="83"/>
      <c r="H29509" s="83"/>
      <c r="K29509" s="82"/>
      <c r="M29509" s="112"/>
      <c r="N29509" s="84"/>
    </row>
    <row r="29510" spans="1:14" s="2" customFormat="1">
      <c r="A29510" s="83"/>
      <c r="H29510" s="83"/>
      <c r="K29510" s="82"/>
      <c r="M29510" s="112"/>
      <c r="N29510" s="84"/>
    </row>
    <row r="29511" spans="1:14" s="2" customFormat="1">
      <c r="A29511" s="83"/>
      <c r="H29511" s="83"/>
      <c r="K29511" s="82"/>
      <c r="M29511" s="112"/>
      <c r="N29511" s="84"/>
    </row>
    <row r="29512" spans="1:14" s="2" customFormat="1">
      <c r="A29512" s="83"/>
      <c r="H29512" s="83"/>
      <c r="K29512" s="82"/>
      <c r="M29512" s="112"/>
      <c r="N29512" s="84"/>
    </row>
    <row r="29513" spans="1:14" s="2" customFormat="1">
      <c r="A29513" s="83"/>
      <c r="H29513" s="83"/>
      <c r="K29513" s="82"/>
      <c r="M29513" s="112"/>
      <c r="N29513" s="84"/>
    </row>
    <row r="29514" spans="1:14" s="2" customFormat="1">
      <c r="A29514" s="83"/>
      <c r="H29514" s="83"/>
      <c r="K29514" s="82"/>
      <c r="M29514" s="112"/>
      <c r="N29514" s="84"/>
    </row>
    <row r="29515" spans="1:14" s="2" customFormat="1">
      <c r="A29515" s="83"/>
      <c r="H29515" s="83"/>
      <c r="K29515" s="82"/>
      <c r="M29515" s="112"/>
      <c r="N29515" s="84"/>
    </row>
    <row r="29516" spans="1:14" s="2" customFormat="1">
      <c r="A29516" s="83"/>
      <c r="H29516" s="83"/>
      <c r="K29516" s="82"/>
      <c r="M29516" s="112"/>
      <c r="N29516" s="84"/>
    </row>
    <row r="29517" spans="1:14" s="2" customFormat="1">
      <c r="A29517" s="83"/>
      <c r="H29517" s="83"/>
      <c r="K29517" s="82"/>
      <c r="M29517" s="112"/>
      <c r="N29517" s="84"/>
    </row>
    <row r="29518" spans="1:14" s="2" customFormat="1">
      <c r="A29518" s="83"/>
      <c r="H29518" s="83"/>
      <c r="K29518" s="82"/>
      <c r="M29518" s="112"/>
      <c r="N29518" s="84"/>
    </row>
    <row r="29519" spans="1:14" s="2" customFormat="1">
      <c r="A29519" s="83"/>
      <c r="H29519" s="83"/>
      <c r="K29519" s="82"/>
      <c r="M29519" s="112"/>
      <c r="N29519" s="84"/>
    </row>
    <row r="29520" spans="1:14" s="2" customFormat="1">
      <c r="A29520" s="83"/>
      <c r="H29520" s="83"/>
      <c r="K29520" s="82"/>
      <c r="M29520" s="112"/>
      <c r="N29520" s="84"/>
    </row>
    <row r="29521" spans="1:14" s="2" customFormat="1">
      <c r="A29521" s="83"/>
      <c r="H29521" s="83"/>
      <c r="K29521" s="82"/>
      <c r="M29521" s="112"/>
      <c r="N29521" s="84"/>
    </row>
    <row r="29522" spans="1:14" s="2" customFormat="1">
      <c r="A29522" s="83"/>
      <c r="H29522" s="83"/>
      <c r="K29522" s="82"/>
      <c r="M29522" s="112"/>
      <c r="N29522" s="84"/>
    </row>
    <row r="29523" spans="1:14" s="2" customFormat="1">
      <c r="A29523" s="83"/>
      <c r="H29523" s="83"/>
      <c r="K29523" s="82"/>
      <c r="M29523" s="112"/>
      <c r="N29523" s="84"/>
    </row>
    <row r="29524" spans="1:14" s="2" customFormat="1">
      <c r="A29524" s="83"/>
      <c r="H29524" s="83"/>
      <c r="K29524" s="82"/>
      <c r="M29524" s="112"/>
      <c r="N29524" s="84"/>
    </row>
    <row r="29525" spans="1:14" s="2" customFormat="1">
      <c r="A29525" s="83"/>
      <c r="H29525" s="83"/>
      <c r="K29525" s="82"/>
      <c r="M29525" s="112"/>
      <c r="N29525" s="84"/>
    </row>
    <row r="29526" spans="1:14" s="2" customFormat="1">
      <c r="A29526" s="83"/>
      <c r="H29526" s="83"/>
      <c r="K29526" s="82"/>
      <c r="M29526" s="112"/>
      <c r="N29526" s="84"/>
    </row>
    <row r="29527" spans="1:14" s="2" customFormat="1">
      <c r="A29527" s="83"/>
      <c r="H29527" s="83"/>
      <c r="K29527" s="82"/>
      <c r="M29527" s="112"/>
      <c r="N29527" s="84"/>
    </row>
    <row r="29528" spans="1:14" s="2" customFormat="1">
      <c r="A29528" s="83"/>
      <c r="H29528" s="83"/>
      <c r="K29528" s="82"/>
      <c r="M29528" s="112"/>
      <c r="N29528" s="84"/>
    </row>
    <row r="29529" spans="1:14" s="2" customFormat="1">
      <c r="A29529" s="83"/>
      <c r="H29529" s="83"/>
      <c r="K29529" s="82"/>
      <c r="M29529" s="112"/>
      <c r="N29529" s="84"/>
    </row>
    <row r="29530" spans="1:14" s="2" customFormat="1">
      <c r="A29530" s="83"/>
      <c r="H29530" s="83"/>
      <c r="K29530" s="82"/>
      <c r="M29530" s="112"/>
      <c r="N29530" s="84"/>
    </row>
    <row r="29531" spans="1:14" s="2" customFormat="1">
      <c r="A29531" s="83"/>
      <c r="H29531" s="83"/>
      <c r="K29531" s="82"/>
      <c r="M29531" s="112"/>
      <c r="N29531" s="84"/>
    </row>
    <row r="29532" spans="1:14" s="2" customFormat="1">
      <c r="A29532" s="83"/>
      <c r="H29532" s="83"/>
      <c r="K29532" s="82"/>
      <c r="M29532" s="112"/>
      <c r="N29532" s="84"/>
    </row>
    <row r="29533" spans="1:14" s="2" customFormat="1">
      <c r="A29533" s="83"/>
      <c r="H29533" s="83"/>
      <c r="K29533" s="82"/>
      <c r="M29533" s="112"/>
      <c r="N29533" s="84"/>
    </row>
    <row r="29534" spans="1:14" s="2" customFormat="1">
      <c r="A29534" s="83"/>
      <c r="H29534" s="83"/>
      <c r="K29534" s="82"/>
      <c r="M29534" s="112"/>
      <c r="N29534" s="84"/>
    </row>
    <row r="29535" spans="1:14" s="2" customFormat="1">
      <c r="A29535" s="83"/>
      <c r="H29535" s="83"/>
      <c r="K29535" s="82"/>
      <c r="M29535" s="112"/>
      <c r="N29535" s="84"/>
    </row>
    <row r="29536" spans="1:14" s="2" customFormat="1">
      <c r="A29536" s="83"/>
      <c r="H29536" s="83"/>
      <c r="K29536" s="82"/>
      <c r="M29536" s="112"/>
      <c r="N29536" s="84"/>
    </row>
    <row r="29537" spans="1:14" s="2" customFormat="1">
      <c r="A29537" s="83"/>
      <c r="H29537" s="83"/>
      <c r="K29537" s="82"/>
      <c r="M29537" s="112"/>
      <c r="N29537" s="84"/>
    </row>
    <row r="29538" spans="1:14" s="2" customFormat="1">
      <c r="A29538" s="83"/>
      <c r="H29538" s="83"/>
      <c r="K29538" s="82"/>
      <c r="M29538" s="112"/>
      <c r="N29538" s="84"/>
    </row>
    <row r="29539" spans="1:14" s="2" customFormat="1">
      <c r="A29539" s="83"/>
      <c r="H29539" s="83"/>
      <c r="K29539" s="82"/>
      <c r="M29539" s="112"/>
      <c r="N29539" s="84"/>
    </row>
    <row r="29540" spans="1:14" s="2" customFormat="1">
      <c r="A29540" s="83"/>
      <c r="H29540" s="83"/>
      <c r="K29540" s="82"/>
      <c r="M29540" s="112"/>
      <c r="N29540" s="84"/>
    </row>
    <row r="29541" spans="1:14" s="2" customFormat="1">
      <c r="A29541" s="83"/>
      <c r="H29541" s="83"/>
      <c r="K29541" s="82"/>
      <c r="M29541" s="112"/>
      <c r="N29541" s="84"/>
    </row>
    <row r="29542" spans="1:14" s="2" customFormat="1">
      <c r="A29542" s="83"/>
      <c r="H29542" s="83"/>
      <c r="K29542" s="82"/>
      <c r="M29542" s="112"/>
      <c r="N29542" s="84"/>
    </row>
    <row r="29543" spans="1:14" s="2" customFormat="1">
      <c r="A29543" s="83"/>
      <c r="H29543" s="83"/>
      <c r="K29543" s="82"/>
      <c r="M29543" s="112"/>
      <c r="N29543" s="84"/>
    </row>
    <row r="29544" spans="1:14" s="2" customFormat="1">
      <c r="A29544" s="83"/>
      <c r="H29544" s="83"/>
      <c r="K29544" s="82"/>
      <c r="M29544" s="112"/>
      <c r="N29544" s="84"/>
    </row>
    <row r="29545" spans="1:14" s="2" customFormat="1">
      <c r="A29545" s="83"/>
      <c r="H29545" s="83"/>
      <c r="K29545" s="82"/>
      <c r="M29545" s="112"/>
      <c r="N29545" s="84"/>
    </row>
    <row r="29546" spans="1:14" s="2" customFormat="1">
      <c r="A29546" s="83"/>
      <c r="H29546" s="83"/>
      <c r="K29546" s="82"/>
      <c r="M29546" s="112"/>
      <c r="N29546" s="84"/>
    </row>
    <row r="29547" spans="1:14" s="2" customFormat="1">
      <c r="A29547" s="83"/>
      <c r="H29547" s="83"/>
      <c r="K29547" s="82"/>
      <c r="M29547" s="112"/>
      <c r="N29547" s="84"/>
    </row>
    <row r="29548" spans="1:14" s="2" customFormat="1">
      <c r="A29548" s="83"/>
      <c r="H29548" s="83"/>
      <c r="K29548" s="82"/>
      <c r="M29548" s="112"/>
      <c r="N29548" s="84"/>
    </row>
    <row r="29549" spans="1:14" s="2" customFormat="1">
      <c r="A29549" s="83"/>
      <c r="H29549" s="83"/>
      <c r="K29549" s="82"/>
      <c r="M29549" s="112"/>
      <c r="N29549" s="84"/>
    </row>
    <row r="29550" spans="1:14" s="2" customFormat="1">
      <c r="A29550" s="83"/>
      <c r="H29550" s="83"/>
      <c r="K29550" s="82"/>
      <c r="M29550" s="112"/>
      <c r="N29550" s="84"/>
    </row>
    <row r="29551" spans="1:14" s="2" customFormat="1">
      <c r="A29551" s="83"/>
      <c r="H29551" s="83"/>
      <c r="K29551" s="82"/>
      <c r="M29551" s="112"/>
      <c r="N29551" s="84"/>
    </row>
    <row r="29552" spans="1:14" s="2" customFormat="1">
      <c r="A29552" s="83"/>
      <c r="H29552" s="83"/>
      <c r="K29552" s="82"/>
      <c r="M29552" s="112"/>
      <c r="N29552" s="84"/>
    </row>
    <row r="29553" spans="1:14" s="2" customFormat="1">
      <c r="A29553" s="83"/>
      <c r="H29553" s="83"/>
      <c r="K29553" s="82"/>
      <c r="M29553" s="112"/>
      <c r="N29553" s="84"/>
    </row>
    <row r="29554" spans="1:14" s="2" customFormat="1">
      <c r="A29554" s="83"/>
      <c r="H29554" s="83"/>
      <c r="K29554" s="82"/>
      <c r="M29554" s="112"/>
      <c r="N29554" s="84"/>
    </row>
    <row r="29555" spans="1:14" s="2" customFormat="1">
      <c r="A29555" s="83"/>
      <c r="H29555" s="83"/>
      <c r="K29555" s="82"/>
      <c r="M29555" s="112"/>
      <c r="N29555" s="84"/>
    </row>
    <row r="29556" spans="1:14" s="2" customFormat="1">
      <c r="A29556" s="83"/>
      <c r="H29556" s="83"/>
      <c r="K29556" s="82"/>
      <c r="M29556" s="112"/>
      <c r="N29556" s="84"/>
    </row>
    <row r="29557" spans="1:14" s="2" customFormat="1">
      <c r="A29557" s="83"/>
      <c r="H29557" s="83"/>
      <c r="K29557" s="82"/>
      <c r="M29557" s="112"/>
      <c r="N29557" s="84"/>
    </row>
    <row r="29558" spans="1:14" s="2" customFormat="1">
      <c r="A29558" s="83"/>
      <c r="H29558" s="83"/>
      <c r="K29558" s="82"/>
      <c r="M29558" s="112"/>
      <c r="N29558" s="84"/>
    </row>
    <row r="29559" spans="1:14" s="2" customFormat="1">
      <c r="A29559" s="83"/>
      <c r="H29559" s="83"/>
      <c r="K29559" s="82"/>
      <c r="M29559" s="112"/>
      <c r="N29559" s="84"/>
    </row>
    <row r="29560" spans="1:14" s="2" customFormat="1">
      <c r="A29560" s="83"/>
      <c r="H29560" s="83"/>
      <c r="K29560" s="82"/>
      <c r="M29560" s="112"/>
      <c r="N29560" s="84"/>
    </row>
    <row r="29561" spans="1:14" s="2" customFormat="1">
      <c r="A29561" s="83"/>
      <c r="H29561" s="83"/>
      <c r="K29561" s="82"/>
      <c r="M29561" s="112"/>
      <c r="N29561" s="84"/>
    </row>
    <row r="29562" spans="1:14" s="2" customFormat="1">
      <c r="A29562" s="83"/>
      <c r="H29562" s="83"/>
      <c r="K29562" s="82"/>
      <c r="M29562" s="112"/>
      <c r="N29562" s="84"/>
    </row>
    <row r="29563" spans="1:14" s="2" customFormat="1">
      <c r="A29563" s="83"/>
      <c r="H29563" s="83"/>
      <c r="K29563" s="82"/>
      <c r="M29563" s="112"/>
      <c r="N29563" s="84"/>
    </row>
    <row r="29564" spans="1:14" s="2" customFormat="1">
      <c r="A29564" s="83"/>
      <c r="H29564" s="83"/>
      <c r="K29564" s="82"/>
      <c r="M29564" s="112"/>
      <c r="N29564" s="84"/>
    </row>
    <row r="29565" spans="1:14" s="2" customFormat="1">
      <c r="A29565" s="83"/>
      <c r="H29565" s="83"/>
      <c r="K29565" s="82"/>
      <c r="M29565" s="112"/>
      <c r="N29565" s="84"/>
    </row>
    <row r="29566" spans="1:14" s="2" customFormat="1">
      <c r="A29566" s="83"/>
      <c r="H29566" s="83"/>
      <c r="K29566" s="82"/>
      <c r="M29566" s="112"/>
      <c r="N29566" s="84"/>
    </row>
    <row r="29567" spans="1:14" s="2" customFormat="1">
      <c r="A29567" s="83"/>
      <c r="H29567" s="83"/>
      <c r="K29567" s="82"/>
      <c r="M29567" s="112"/>
      <c r="N29567" s="84"/>
    </row>
    <row r="29568" spans="1:14" s="2" customFormat="1">
      <c r="A29568" s="83"/>
      <c r="H29568" s="83"/>
      <c r="K29568" s="82"/>
      <c r="M29568" s="112"/>
      <c r="N29568" s="84"/>
    </row>
    <row r="29569" spans="1:14" s="2" customFormat="1">
      <c r="A29569" s="83"/>
      <c r="H29569" s="83"/>
      <c r="K29569" s="82"/>
      <c r="M29569" s="112"/>
      <c r="N29569" s="84"/>
    </row>
    <row r="29570" spans="1:14" s="2" customFormat="1">
      <c r="A29570" s="83"/>
      <c r="H29570" s="83"/>
      <c r="K29570" s="82"/>
      <c r="M29570" s="112"/>
      <c r="N29570" s="84"/>
    </row>
    <row r="29571" spans="1:14" s="2" customFormat="1">
      <c r="A29571" s="83"/>
      <c r="H29571" s="83"/>
      <c r="K29571" s="82"/>
      <c r="M29571" s="112"/>
      <c r="N29571" s="84"/>
    </row>
    <row r="29572" spans="1:14" s="2" customFormat="1">
      <c r="A29572" s="83"/>
      <c r="H29572" s="83"/>
      <c r="K29572" s="82"/>
      <c r="M29572" s="112"/>
      <c r="N29572" s="84"/>
    </row>
    <row r="29573" spans="1:14" s="2" customFormat="1">
      <c r="A29573" s="83"/>
      <c r="H29573" s="83"/>
      <c r="K29573" s="82"/>
      <c r="M29573" s="112"/>
      <c r="N29573" s="84"/>
    </row>
    <row r="29574" spans="1:14" s="2" customFormat="1">
      <c r="A29574" s="83"/>
      <c r="H29574" s="83"/>
      <c r="K29574" s="82"/>
      <c r="M29574" s="112"/>
      <c r="N29574" s="84"/>
    </row>
    <row r="29575" spans="1:14" s="2" customFormat="1">
      <c r="A29575" s="83"/>
      <c r="H29575" s="83"/>
      <c r="K29575" s="82"/>
      <c r="M29575" s="112"/>
      <c r="N29575" s="84"/>
    </row>
    <row r="29576" spans="1:14" s="2" customFormat="1">
      <c r="A29576" s="83"/>
      <c r="H29576" s="83"/>
      <c r="K29576" s="82"/>
      <c r="M29576" s="112"/>
      <c r="N29576" s="84"/>
    </row>
    <row r="29577" spans="1:14" s="2" customFormat="1">
      <c r="A29577" s="83"/>
      <c r="H29577" s="83"/>
      <c r="K29577" s="82"/>
      <c r="M29577" s="112"/>
      <c r="N29577" s="84"/>
    </row>
    <row r="29578" spans="1:14" s="2" customFormat="1">
      <c r="A29578" s="83"/>
      <c r="H29578" s="83"/>
      <c r="K29578" s="82"/>
      <c r="M29578" s="112"/>
      <c r="N29578" s="84"/>
    </row>
    <row r="29579" spans="1:14" s="2" customFormat="1">
      <c r="A29579" s="83"/>
      <c r="H29579" s="83"/>
      <c r="K29579" s="82"/>
      <c r="M29579" s="112"/>
      <c r="N29579" s="84"/>
    </row>
    <row r="29580" spans="1:14" s="2" customFormat="1">
      <c r="A29580" s="83"/>
      <c r="H29580" s="83"/>
      <c r="K29580" s="82"/>
      <c r="M29580" s="112"/>
      <c r="N29580" s="84"/>
    </row>
    <row r="29581" spans="1:14" s="2" customFormat="1">
      <c r="A29581" s="83"/>
      <c r="H29581" s="83"/>
      <c r="K29581" s="82"/>
      <c r="M29581" s="112"/>
      <c r="N29581" s="84"/>
    </row>
    <row r="29582" spans="1:14" s="2" customFormat="1">
      <c r="A29582" s="83"/>
      <c r="H29582" s="83"/>
      <c r="K29582" s="82"/>
      <c r="M29582" s="112"/>
      <c r="N29582" s="84"/>
    </row>
    <row r="29583" spans="1:14" s="2" customFormat="1">
      <c r="A29583" s="83"/>
      <c r="H29583" s="83"/>
      <c r="K29583" s="82"/>
      <c r="M29583" s="112"/>
      <c r="N29583" s="84"/>
    </row>
    <row r="29584" spans="1:14" s="2" customFormat="1">
      <c r="A29584" s="83"/>
      <c r="H29584" s="83"/>
      <c r="K29584" s="82"/>
      <c r="M29584" s="112"/>
      <c r="N29584" s="84"/>
    </row>
    <row r="29585" spans="1:14" s="2" customFormat="1">
      <c r="A29585" s="83"/>
      <c r="H29585" s="83"/>
      <c r="K29585" s="82"/>
      <c r="M29585" s="112"/>
      <c r="N29585" s="84"/>
    </row>
    <row r="29586" spans="1:14" s="2" customFormat="1">
      <c r="A29586" s="83"/>
      <c r="H29586" s="83"/>
      <c r="K29586" s="82"/>
      <c r="M29586" s="112"/>
      <c r="N29586" s="84"/>
    </row>
    <row r="29587" spans="1:14" s="2" customFormat="1">
      <c r="A29587" s="83"/>
      <c r="H29587" s="83"/>
      <c r="K29587" s="82"/>
      <c r="M29587" s="112"/>
      <c r="N29587" s="84"/>
    </row>
    <row r="29588" spans="1:14" s="2" customFormat="1">
      <c r="A29588" s="83"/>
      <c r="H29588" s="83"/>
      <c r="K29588" s="82"/>
      <c r="M29588" s="112"/>
      <c r="N29588" s="84"/>
    </row>
    <row r="29589" spans="1:14" s="2" customFormat="1">
      <c r="A29589" s="83"/>
      <c r="H29589" s="83"/>
      <c r="K29589" s="82"/>
      <c r="M29589" s="112"/>
      <c r="N29589" s="84"/>
    </row>
    <row r="29590" spans="1:14" s="2" customFormat="1">
      <c r="A29590" s="83"/>
      <c r="H29590" s="83"/>
      <c r="K29590" s="82"/>
      <c r="M29590" s="112"/>
      <c r="N29590" s="84"/>
    </row>
    <row r="29591" spans="1:14" s="2" customFormat="1">
      <c r="A29591" s="83"/>
      <c r="H29591" s="83"/>
      <c r="K29591" s="82"/>
      <c r="M29591" s="112"/>
      <c r="N29591" s="84"/>
    </row>
    <row r="29592" spans="1:14" s="2" customFormat="1">
      <c r="A29592" s="83"/>
      <c r="H29592" s="83"/>
      <c r="K29592" s="82"/>
      <c r="M29592" s="112"/>
      <c r="N29592" s="84"/>
    </row>
    <row r="29593" spans="1:14" s="2" customFormat="1">
      <c r="A29593" s="83"/>
      <c r="H29593" s="83"/>
      <c r="K29593" s="82"/>
      <c r="M29593" s="112"/>
      <c r="N29593" s="84"/>
    </row>
    <row r="29594" spans="1:14" s="2" customFormat="1">
      <c r="A29594" s="83"/>
      <c r="H29594" s="83"/>
      <c r="K29594" s="82"/>
      <c r="M29594" s="112"/>
      <c r="N29594" s="84"/>
    </row>
    <row r="29595" spans="1:14" s="2" customFormat="1">
      <c r="A29595" s="83"/>
      <c r="H29595" s="83"/>
      <c r="K29595" s="82"/>
      <c r="M29595" s="112"/>
      <c r="N29595" s="84"/>
    </row>
    <row r="29596" spans="1:14" s="2" customFormat="1">
      <c r="A29596" s="83"/>
      <c r="H29596" s="83"/>
      <c r="K29596" s="82"/>
      <c r="M29596" s="112"/>
      <c r="N29596" s="84"/>
    </row>
    <row r="29597" spans="1:14" s="2" customFormat="1">
      <c r="A29597" s="83"/>
      <c r="H29597" s="83"/>
      <c r="K29597" s="82"/>
      <c r="M29597" s="112"/>
      <c r="N29597" s="84"/>
    </row>
    <row r="29598" spans="1:14" s="2" customFormat="1">
      <c r="A29598" s="83"/>
      <c r="H29598" s="83"/>
      <c r="K29598" s="82"/>
      <c r="M29598" s="112"/>
      <c r="N29598" s="84"/>
    </row>
    <row r="29599" spans="1:14" s="2" customFormat="1">
      <c r="A29599" s="83"/>
      <c r="H29599" s="83"/>
      <c r="K29599" s="82"/>
      <c r="M29599" s="112"/>
      <c r="N29599" s="84"/>
    </row>
    <row r="29600" spans="1:14" s="2" customFormat="1">
      <c r="A29600" s="83"/>
      <c r="H29600" s="83"/>
      <c r="K29600" s="82"/>
      <c r="M29600" s="112"/>
      <c r="N29600" s="84"/>
    </row>
    <row r="29601" spans="1:14" s="2" customFormat="1">
      <c r="A29601" s="83"/>
      <c r="H29601" s="83"/>
      <c r="K29601" s="82"/>
      <c r="M29601" s="112"/>
      <c r="N29601" s="84"/>
    </row>
    <row r="29602" spans="1:14" s="2" customFormat="1">
      <c r="A29602" s="83"/>
      <c r="H29602" s="83"/>
      <c r="K29602" s="82"/>
      <c r="M29602" s="112"/>
      <c r="N29602" s="84"/>
    </row>
    <row r="29603" spans="1:14" s="2" customFormat="1">
      <c r="A29603" s="83"/>
      <c r="H29603" s="83"/>
      <c r="K29603" s="82"/>
      <c r="M29603" s="112"/>
      <c r="N29603" s="84"/>
    </row>
    <row r="29604" spans="1:14" s="2" customFormat="1">
      <c r="A29604" s="83"/>
      <c r="H29604" s="83"/>
      <c r="K29604" s="82"/>
      <c r="M29604" s="112"/>
      <c r="N29604" s="84"/>
    </row>
    <row r="29605" spans="1:14" s="2" customFormat="1">
      <c r="A29605" s="83"/>
      <c r="H29605" s="83"/>
      <c r="K29605" s="82"/>
      <c r="M29605" s="112"/>
      <c r="N29605" s="84"/>
    </row>
    <row r="29606" spans="1:14" s="2" customFormat="1">
      <c r="A29606" s="83"/>
      <c r="H29606" s="83"/>
      <c r="K29606" s="82"/>
      <c r="M29606" s="112"/>
      <c r="N29606" s="84"/>
    </row>
    <row r="29607" spans="1:14" s="2" customFormat="1">
      <c r="A29607" s="83"/>
      <c r="H29607" s="83"/>
      <c r="K29607" s="82"/>
      <c r="M29607" s="112"/>
      <c r="N29607" s="84"/>
    </row>
    <row r="29608" spans="1:14" s="2" customFormat="1">
      <c r="A29608" s="83"/>
      <c r="H29608" s="83"/>
      <c r="K29608" s="82"/>
      <c r="M29608" s="112"/>
      <c r="N29608" s="84"/>
    </row>
    <row r="29609" spans="1:14" s="2" customFormat="1">
      <c r="A29609" s="83"/>
      <c r="H29609" s="83"/>
      <c r="K29609" s="82"/>
      <c r="M29609" s="112"/>
      <c r="N29609" s="84"/>
    </row>
    <row r="29610" spans="1:14" s="2" customFormat="1">
      <c r="A29610" s="83"/>
      <c r="H29610" s="83"/>
      <c r="K29610" s="82"/>
      <c r="M29610" s="112"/>
      <c r="N29610" s="84"/>
    </row>
    <row r="29611" spans="1:14" s="2" customFormat="1">
      <c r="A29611" s="83"/>
      <c r="H29611" s="83"/>
      <c r="K29611" s="82"/>
      <c r="M29611" s="112"/>
      <c r="N29611" s="84"/>
    </row>
    <row r="29612" spans="1:14" s="2" customFormat="1">
      <c r="A29612" s="83"/>
      <c r="H29612" s="83"/>
      <c r="K29612" s="82"/>
      <c r="M29612" s="112"/>
      <c r="N29612" s="84"/>
    </row>
    <row r="29613" spans="1:14" s="2" customFormat="1">
      <c r="A29613" s="83"/>
      <c r="H29613" s="83"/>
      <c r="K29613" s="82"/>
      <c r="M29613" s="112"/>
      <c r="N29613" s="84"/>
    </row>
    <row r="29614" spans="1:14" s="2" customFormat="1">
      <c r="A29614" s="83"/>
      <c r="H29614" s="83"/>
      <c r="K29614" s="82"/>
      <c r="M29614" s="112"/>
      <c r="N29614" s="84"/>
    </row>
    <row r="29615" spans="1:14" s="2" customFormat="1">
      <c r="A29615" s="83"/>
      <c r="H29615" s="83"/>
      <c r="K29615" s="82"/>
      <c r="M29615" s="112"/>
      <c r="N29615" s="84"/>
    </row>
    <row r="29616" spans="1:14" s="2" customFormat="1">
      <c r="A29616" s="83"/>
      <c r="H29616" s="83"/>
      <c r="K29616" s="82"/>
      <c r="M29616" s="112"/>
      <c r="N29616" s="84"/>
    </row>
    <row r="29617" spans="1:14" s="2" customFormat="1">
      <c r="A29617" s="83"/>
      <c r="H29617" s="83"/>
      <c r="K29617" s="82"/>
      <c r="M29617" s="112"/>
      <c r="N29617" s="84"/>
    </row>
    <row r="29618" spans="1:14" s="2" customFormat="1">
      <c r="A29618" s="83"/>
      <c r="H29618" s="83"/>
      <c r="K29618" s="82"/>
      <c r="M29618" s="112"/>
      <c r="N29618" s="84"/>
    </row>
    <row r="29619" spans="1:14" s="2" customFormat="1">
      <c r="A29619" s="83"/>
      <c r="H29619" s="83"/>
      <c r="K29619" s="82"/>
      <c r="M29619" s="112"/>
      <c r="N29619" s="84"/>
    </row>
    <row r="29620" spans="1:14" s="2" customFormat="1">
      <c r="A29620" s="83"/>
      <c r="H29620" s="83"/>
      <c r="K29620" s="82"/>
      <c r="M29620" s="112"/>
      <c r="N29620" s="84"/>
    </row>
    <row r="29621" spans="1:14" s="2" customFormat="1">
      <c r="A29621" s="83"/>
      <c r="H29621" s="83"/>
      <c r="K29621" s="82"/>
      <c r="M29621" s="112"/>
      <c r="N29621" s="84"/>
    </row>
    <row r="29622" spans="1:14" s="2" customFormat="1">
      <c r="A29622" s="83"/>
      <c r="H29622" s="83"/>
      <c r="K29622" s="82"/>
      <c r="M29622" s="112"/>
      <c r="N29622" s="84"/>
    </row>
    <row r="29623" spans="1:14" s="2" customFormat="1">
      <c r="A29623" s="83"/>
      <c r="H29623" s="83"/>
      <c r="K29623" s="82"/>
      <c r="M29623" s="112"/>
      <c r="N29623" s="84"/>
    </row>
    <row r="29624" spans="1:14" s="2" customFormat="1">
      <c r="A29624" s="83"/>
      <c r="H29624" s="83"/>
      <c r="K29624" s="82"/>
      <c r="M29624" s="112"/>
      <c r="N29624" s="84"/>
    </row>
    <row r="29625" spans="1:14" s="2" customFormat="1">
      <c r="A29625" s="83"/>
      <c r="H29625" s="83"/>
      <c r="K29625" s="82"/>
      <c r="M29625" s="112"/>
      <c r="N29625" s="84"/>
    </row>
    <row r="29626" spans="1:14" s="2" customFormat="1">
      <c r="A29626" s="83"/>
      <c r="H29626" s="83"/>
      <c r="K29626" s="82"/>
      <c r="M29626" s="112"/>
      <c r="N29626" s="84"/>
    </row>
    <row r="29627" spans="1:14" s="2" customFormat="1">
      <c r="A29627" s="83"/>
      <c r="H29627" s="83"/>
      <c r="K29627" s="82"/>
      <c r="M29627" s="112"/>
      <c r="N29627" s="84"/>
    </row>
    <row r="29628" spans="1:14" s="2" customFormat="1">
      <c r="A29628" s="83"/>
      <c r="H29628" s="83"/>
      <c r="K29628" s="82"/>
      <c r="M29628" s="112"/>
      <c r="N29628" s="84"/>
    </row>
    <row r="29629" spans="1:14" s="2" customFormat="1">
      <c r="A29629" s="83"/>
      <c r="H29629" s="83"/>
      <c r="K29629" s="82"/>
      <c r="M29629" s="112"/>
      <c r="N29629" s="84"/>
    </row>
    <row r="29630" spans="1:14" s="2" customFormat="1">
      <c r="A29630" s="83"/>
      <c r="H29630" s="83"/>
      <c r="K29630" s="82"/>
      <c r="M29630" s="112"/>
      <c r="N29630" s="84"/>
    </row>
    <row r="29631" spans="1:14" s="2" customFormat="1">
      <c r="A29631" s="83"/>
      <c r="H29631" s="83"/>
      <c r="K29631" s="82"/>
      <c r="M29631" s="112"/>
      <c r="N29631" s="84"/>
    </row>
    <row r="29632" spans="1:14" s="2" customFormat="1">
      <c r="A29632" s="83"/>
      <c r="H29632" s="83"/>
      <c r="K29632" s="82"/>
      <c r="M29632" s="112"/>
      <c r="N29632" s="84"/>
    </row>
    <row r="29633" spans="1:14" s="2" customFormat="1">
      <c r="A29633" s="83"/>
      <c r="H29633" s="83"/>
      <c r="K29633" s="82"/>
      <c r="M29633" s="112"/>
      <c r="N29633" s="84"/>
    </row>
    <row r="29634" spans="1:14" s="2" customFormat="1">
      <c r="A29634" s="83"/>
      <c r="H29634" s="83"/>
      <c r="K29634" s="82"/>
      <c r="M29634" s="112"/>
      <c r="N29634" s="84"/>
    </row>
    <row r="29635" spans="1:14" s="2" customFormat="1">
      <c r="A29635" s="83"/>
      <c r="H29635" s="83"/>
      <c r="K29635" s="82"/>
      <c r="M29635" s="112"/>
      <c r="N29635" s="84"/>
    </row>
    <row r="29636" spans="1:14" s="2" customFormat="1">
      <c r="A29636" s="83"/>
      <c r="H29636" s="83"/>
      <c r="K29636" s="82"/>
      <c r="M29636" s="112"/>
      <c r="N29636" s="84"/>
    </row>
    <row r="29637" spans="1:14" s="2" customFormat="1">
      <c r="A29637" s="83"/>
      <c r="H29637" s="83"/>
      <c r="K29637" s="82"/>
      <c r="M29637" s="112"/>
      <c r="N29637" s="84"/>
    </row>
    <row r="29638" spans="1:14" s="2" customFormat="1">
      <c r="A29638" s="83"/>
      <c r="H29638" s="83"/>
      <c r="K29638" s="82"/>
      <c r="M29638" s="112"/>
      <c r="N29638" s="84"/>
    </row>
    <row r="29639" spans="1:14" s="2" customFormat="1">
      <c r="A29639" s="83"/>
      <c r="H29639" s="83"/>
      <c r="K29639" s="82"/>
      <c r="M29639" s="112"/>
      <c r="N29639" s="84"/>
    </row>
    <row r="29640" spans="1:14" s="2" customFormat="1">
      <c r="A29640" s="83"/>
      <c r="H29640" s="83"/>
      <c r="K29640" s="82"/>
      <c r="M29640" s="112"/>
      <c r="N29640" s="84"/>
    </row>
    <row r="29641" spans="1:14" s="2" customFormat="1">
      <c r="A29641" s="83"/>
      <c r="H29641" s="83"/>
      <c r="K29641" s="82"/>
      <c r="M29641" s="112"/>
      <c r="N29641" s="84"/>
    </row>
    <row r="29642" spans="1:14" s="2" customFormat="1">
      <c r="A29642" s="83"/>
      <c r="H29642" s="83"/>
      <c r="K29642" s="82"/>
      <c r="M29642" s="112"/>
      <c r="N29642" s="84"/>
    </row>
    <row r="29643" spans="1:14" s="2" customFormat="1">
      <c r="A29643" s="83"/>
      <c r="H29643" s="83"/>
      <c r="K29643" s="82"/>
      <c r="M29643" s="112"/>
      <c r="N29643" s="84"/>
    </row>
    <row r="29644" spans="1:14" s="2" customFormat="1">
      <c r="A29644" s="83"/>
      <c r="H29644" s="83"/>
      <c r="K29644" s="82"/>
      <c r="M29644" s="112"/>
      <c r="N29644" s="84"/>
    </row>
    <row r="29645" spans="1:14" s="2" customFormat="1">
      <c r="A29645" s="83"/>
      <c r="H29645" s="83"/>
      <c r="K29645" s="82"/>
      <c r="M29645" s="112"/>
      <c r="N29645" s="84"/>
    </row>
    <row r="29646" spans="1:14" s="2" customFormat="1">
      <c r="A29646" s="83"/>
      <c r="H29646" s="83"/>
      <c r="K29646" s="82"/>
      <c r="M29646" s="112"/>
      <c r="N29646" s="84"/>
    </row>
    <row r="29647" spans="1:14" s="2" customFormat="1">
      <c r="A29647" s="83"/>
      <c r="H29647" s="83"/>
      <c r="K29647" s="82"/>
      <c r="M29647" s="112"/>
      <c r="N29647" s="84"/>
    </row>
    <row r="29648" spans="1:14" s="2" customFormat="1">
      <c r="A29648" s="83"/>
      <c r="H29648" s="83"/>
      <c r="K29648" s="82"/>
      <c r="M29648" s="112"/>
      <c r="N29648" s="84"/>
    </row>
    <row r="29649" spans="1:14" s="2" customFormat="1">
      <c r="A29649" s="83"/>
      <c r="H29649" s="83"/>
      <c r="K29649" s="82"/>
      <c r="M29649" s="112"/>
      <c r="N29649" s="84"/>
    </row>
    <row r="29650" spans="1:14" s="2" customFormat="1">
      <c r="A29650" s="83"/>
      <c r="H29650" s="83"/>
      <c r="K29650" s="82"/>
      <c r="M29650" s="112"/>
      <c r="N29650" s="84"/>
    </row>
    <row r="29651" spans="1:14" s="2" customFormat="1">
      <c r="A29651" s="83"/>
      <c r="H29651" s="83"/>
      <c r="K29651" s="82"/>
      <c r="M29651" s="112"/>
      <c r="N29651" s="84"/>
    </row>
    <row r="29652" spans="1:14" s="2" customFormat="1">
      <c r="A29652" s="83"/>
      <c r="H29652" s="83"/>
      <c r="K29652" s="82"/>
      <c r="M29652" s="112"/>
      <c r="N29652" s="84"/>
    </row>
    <row r="29653" spans="1:14" s="2" customFormat="1">
      <c r="A29653" s="83"/>
      <c r="H29653" s="83"/>
      <c r="K29653" s="82"/>
      <c r="M29653" s="112"/>
      <c r="N29653" s="84"/>
    </row>
    <row r="29654" spans="1:14" s="2" customFormat="1">
      <c r="A29654" s="83"/>
      <c r="H29654" s="83"/>
      <c r="K29654" s="82"/>
      <c r="M29654" s="112"/>
      <c r="N29654" s="84"/>
    </row>
    <row r="29655" spans="1:14" s="2" customFormat="1">
      <c r="A29655" s="83"/>
      <c r="H29655" s="83"/>
      <c r="K29655" s="82"/>
      <c r="M29655" s="112"/>
      <c r="N29655" s="84"/>
    </row>
    <row r="29656" spans="1:14" s="2" customFormat="1">
      <c r="A29656" s="83"/>
      <c r="H29656" s="83"/>
      <c r="K29656" s="82"/>
      <c r="M29656" s="112"/>
      <c r="N29656" s="84"/>
    </row>
    <row r="29657" spans="1:14" s="2" customFormat="1">
      <c r="A29657" s="83"/>
      <c r="H29657" s="83"/>
      <c r="K29657" s="82"/>
      <c r="M29657" s="112"/>
      <c r="N29657" s="84"/>
    </row>
    <row r="29658" spans="1:14" s="2" customFormat="1">
      <c r="A29658" s="83"/>
      <c r="H29658" s="83"/>
      <c r="K29658" s="82"/>
      <c r="M29658" s="112"/>
      <c r="N29658" s="84"/>
    </row>
    <row r="29659" spans="1:14" s="2" customFormat="1">
      <c r="A29659" s="83"/>
      <c r="H29659" s="83"/>
      <c r="K29659" s="82"/>
      <c r="M29659" s="112"/>
      <c r="N29659" s="84"/>
    </row>
    <row r="29660" spans="1:14" s="2" customFormat="1">
      <c r="A29660" s="83"/>
      <c r="H29660" s="83"/>
      <c r="K29660" s="82"/>
      <c r="M29660" s="112"/>
      <c r="N29660" s="84"/>
    </row>
    <row r="29661" spans="1:14" s="2" customFormat="1">
      <c r="A29661" s="83"/>
      <c r="H29661" s="83"/>
      <c r="K29661" s="82"/>
      <c r="M29661" s="112"/>
      <c r="N29661" s="84"/>
    </row>
    <row r="29662" spans="1:14" s="2" customFormat="1">
      <c r="A29662" s="83"/>
      <c r="H29662" s="83"/>
      <c r="K29662" s="82"/>
      <c r="M29662" s="112"/>
      <c r="N29662" s="84"/>
    </row>
    <row r="29663" spans="1:14" s="2" customFormat="1">
      <c r="A29663" s="83"/>
      <c r="H29663" s="83"/>
      <c r="K29663" s="82"/>
      <c r="M29663" s="112"/>
      <c r="N29663" s="84"/>
    </row>
    <row r="29664" spans="1:14" s="2" customFormat="1">
      <c r="A29664" s="83"/>
      <c r="H29664" s="83"/>
      <c r="K29664" s="82"/>
      <c r="M29664" s="112"/>
      <c r="N29664" s="84"/>
    </row>
    <row r="29665" spans="1:14" s="2" customFormat="1">
      <c r="A29665" s="83"/>
      <c r="H29665" s="83"/>
      <c r="K29665" s="82"/>
      <c r="M29665" s="112"/>
      <c r="N29665" s="84"/>
    </row>
    <row r="29666" spans="1:14" s="2" customFormat="1">
      <c r="A29666" s="83"/>
      <c r="H29666" s="83"/>
      <c r="K29666" s="82"/>
      <c r="M29666" s="112"/>
      <c r="N29666" s="84"/>
    </row>
    <row r="29667" spans="1:14" s="2" customFormat="1">
      <c r="A29667" s="83"/>
      <c r="H29667" s="83"/>
      <c r="K29667" s="82"/>
      <c r="M29667" s="112"/>
      <c r="N29667" s="84"/>
    </row>
    <row r="29668" spans="1:14" s="2" customFormat="1">
      <c r="A29668" s="83"/>
      <c r="H29668" s="83"/>
      <c r="K29668" s="82"/>
      <c r="M29668" s="112"/>
      <c r="N29668" s="84"/>
    </row>
    <row r="29669" spans="1:14" s="2" customFormat="1">
      <c r="A29669" s="83"/>
      <c r="H29669" s="83"/>
      <c r="K29669" s="82"/>
      <c r="M29669" s="112"/>
      <c r="N29669" s="84"/>
    </row>
    <row r="29670" spans="1:14" s="2" customFormat="1">
      <c r="A29670" s="83"/>
      <c r="H29670" s="83"/>
      <c r="K29670" s="82"/>
      <c r="M29670" s="112"/>
      <c r="N29670" s="84"/>
    </row>
    <row r="29671" spans="1:14" s="2" customFormat="1">
      <c r="A29671" s="83"/>
      <c r="H29671" s="83"/>
      <c r="K29671" s="82"/>
      <c r="M29671" s="112"/>
      <c r="N29671" s="84"/>
    </row>
    <row r="29672" spans="1:14" s="2" customFormat="1">
      <c r="A29672" s="83"/>
      <c r="H29672" s="83"/>
      <c r="K29672" s="82"/>
      <c r="M29672" s="112"/>
      <c r="N29672" s="84"/>
    </row>
    <row r="29673" spans="1:14" s="2" customFormat="1">
      <c r="A29673" s="83"/>
      <c r="H29673" s="83"/>
      <c r="K29673" s="82"/>
      <c r="M29673" s="112"/>
      <c r="N29673" s="84"/>
    </row>
    <row r="29674" spans="1:14" s="2" customFormat="1">
      <c r="A29674" s="83"/>
      <c r="H29674" s="83"/>
      <c r="K29674" s="82"/>
      <c r="M29674" s="112"/>
      <c r="N29674" s="84"/>
    </row>
    <row r="29675" spans="1:14" s="2" customFormat="1">
      <c r="A29675" s="83"/>
      <c r="H29675" s="83"/>
      <c r="K29675" s="82"/>
      <c r="M29675" s="112"/>
      <c r="N29675" s="84"/>
    </row>
    <row r="29676" spans="1:14" s="2" customFormat="1">
      <c r="A29676" s="83"/>
      <c r="H29676" s="83"/>
      <c r="K29676" s="82"/>
      <c r="M29676" s="112"/>
      <c r="N29676" s="84"/>
    </row>
    <row r="29677" spans="1:14" s="2" customFormat="1">
      <c r="A29677" s="83"/>
      <c r="H29677" s="83"/>
      <c r="K29677" s="82"/>
      <c r="M29677" s="112"/>
      <c r="N29677" s="84"/>
    </row>
    <row r="29678" spans="1:14" s="2" customFormat="1">
      <c r="A29678" s="83"/>
      <c r="H29678" s="83"/>
      <c r="K29678" s="82"/>
      <c r="M29678" s="112"/>
      <c r="N29678" s="84"/>
    </row>
    <row r="29679" spans="1:14" s="2" customFormat="1">
      <c r="A29679" s="83"/>
      <c r="H29679" s="83"/>
      <c r="K29679" s="82"/>
      <c r="M29679" s="112"/>
      <c r="N29679" s="84"/>
    </row>
    <row r="29680" spans="1:14" s="2" customFormat="1">
      <c r="A29680" s="83"/>
      <c r="H29680" s="83"/>
      <c r="K29680" s="82"/>
      <c r="M29680" s="112"/>
      <c r="N29680" s="84"/>
    </row>
    <row r="29681" spans="1:14" s="2" customFormat="1">
      <c r="A29681" s="83"/>
      <c r="H29681" s="83"/>
      <c r="K29681" s="82"/>
      <c r="M29681" s="112"/>
      <c r="N29681" s="84"/>
    </row>
    <row r="29682" spans="1:14" s="2" customFormat="1">
      <c r="A29682" s="83"/>
      <c r="H29682" s="83"/>
      <c r="K29682" s="82"/>
      <c r="M29682" s="112"/>
      <c r="N29682" s="84"/>
    </row>
    <row r="29683" spans="1:14" s="2" customFormat="1">
      <c r="A29683" s="83"/>
      <c r="H29683" s="83"/>
      <c r="K29683" s="82"/>
      <c r="M29683" s="112"/>
      <c r="N29683" s="84"/>
    </row>
    <row r="29684" spans="1:14" s="2" customFormat="1">
      <c r="A29684" s="83"/>
      <c r="H29684" s="83"/>
      <c r="K29684" s="82"/>
      <c r="M29684" s="112"/>
      <c r="N29684" s="84"/>
    </row>
    <row r="29685" spans="1:14" s="2" customFormat="1">
      <c r="A29685" s="83"/>
      <c r="H29685" s="83"/>
      <c r="K29685" s="82"/>
      <c r="M29685" s="112"/>
      <c r="N29685" s="84"/>
    </row>
    <row r="29686" spans="1:14" s="2" customFormat="1">
      <c r="A29686" s="83"/>
      <c r="H29686" s="83"/>
      <c r="K29686" s="82"/>
      <c r="M29686" s="112"/>
      <c r="N29686" s="84"/>
    </row>
    <row r="29687" spans="1:14" s="2" customFormat="1">
      <c r="A29687" s="83"/>
      <c r="H29687" s="83"/>
      <c r="K29687" s="82"/>
      <c r="M29687" s="112"/>
      <c r="N29687" s="84"/>
    </row>
    <row r="29688" spans="1:14" s="2" customFormat="1">
      <c r="A29688" s="83"/>
      <c r="H29688" s="83"/>
      <c r="K29688" s="82"/>
      <c r="M29688" s="112"/>
      <c r="N29688" s="84"/>
    </row>
    <row r="29689" spans="1:14" s="2" customFormat="1">
      <c r="A29689" s="83"/>
      <c r="H29689" s="83"/>
      <c r="K29689" s="82"/>
      <c r="M29689" s="112"/>
      <c r="N29689" s="84"/>
    </row>
    <row r="29690" spans="1:14" s="2" customFormat="1">
      <c r="A29690" s="83"/>
      <c r="H29690" s="83"/>
      <c r="K29690" s="82"/>
      <c r="M29690" s="112"/>
      <c r="N29690" s="84"/>
    </row>
    <row r="29691" spans="1:14" s="2" customFormat="1">
      <c r="A29691" s="83"/>
      <c r="H29691" s="83"/>
      <c r="K29691" s="82"/>
      <c r="M29691" s="112"/>
      <c r="N29691" s="84"/>
    </row>
    <row r="29692" spans="1:14" s="2" customFormat="1">
      <c r="A29692" s="83"/>
      <c r="H29692" s="83"/>
      <c r="K29692" s="82"/>
      <c r="M29692" s="112"/>
      <c r="N29692" s="84"/>
    </row>
    <row r="29693" spans="1:14" s="2" customFormat="1">
      <c r="A29693" s="83"/>
      <c r="H29693" s="83"/>
      <c r="K29693" s="82"/>
      <c r="M29693" s="112"/>
      <c r="N29693" s="84"/>
    </row>
    <row r="29694" spans="1:14" s="2" customFormat="1">
      <c r="A29694" s="83"/>
      <c r="H29694" s="83"/>
      <c r="K29694" s="82"/>
      <c r="M29694" s="112"/>
      <c r="N29694" s="84"/>
    </row>
    <row r="29695" spans="1:14" s="2" customFormat="1">
      <c r="A29695" s="83"/>
      <c r="H29695" s="83"/>
      <c r="K29695" s="82"/>
      <c r="M29695" s="112"/>
      <c r="N29695" s="84"/>
    </row>
    <row r="29696" spans="1:14" s="2" customFormat="1">
      <c r="A29696" s="83"/>
      <c r="H29696" s="83"/>
      <c r="K29696" s="82"/>
      <c r="M29696" s="112"/>
      <c r="N29696" s="84"/>
    </row>
    <row r="29697" spans="1:14" s="2" customFormat="1">
      <c r="A29697" s="83"/>
      <c r="H29697" s="83"/>
      <c r="K29697" s="82"/>
      <c r="M29697" s="112"/>
      <c r="N29697" s="84"/>
    </row>
    <row r="29698" spans="1:14" s="2" customFormat="1">
      <c r="A29698" s="83"/>
      <c r="H29698" s="83"/>
      <c r="K29698" s="82"/>
      <c r="M29698" s="112"/>
      <c r="N29698" s="84"/>
    </row>
    <row r="29699" spans="1:14" s="2" customFormat="1">
      <c r="A29699" s="83"/>
      <c r="H29699" s="83"/>
      <c r="K29699" s="82"/>
      <c r="M29699" s="112"/>
      <c r="N29699" s="84"/>
    </row>
    <row r="29700" spans="1:14" s="2" customFormat="1">
      <c r="A29700" s="83"/>
      <c r="H29700" s="83"/>
      <c r="K29700" s="82"/>
      <c r="M29700" s="112"/>
      <c r="N29700" s="84"/>
    </row>
    <row r="29701" spans="1:14" s="2" customFormat="1">
      <c r="A29701" s="83"/>
      <c r="H29701" s="83"/>
      <c r="K29701" s="82"/>
      <c r="M29701" s="112"/>
      <c r="N29701" s="84"/>
    </row>
    <row r="29702" spans="1:14" s="2" customFormat="1">
      <c r="A29702" s="83"/>
      <c r="H29702" s="83"/>
      <c r="K29702" s="82"/>
      <c r="M29702" s="112"/>
      <c r="N29702" s="84"/>
    </row>
    <row r="29703" spans="1:14" s="2" customFormat="1">
      <c r="A29703" s="83"/>
      <c r="H29703" s="83"/>
      <c r="K29703" s="82"/>
      <c r="M29703" s="112"/>
      <c r="N29703" s="84"/>
    </row>
    <row r="29704" spans="1:14" s="2" customFormat="1">
      <c r="A29704" s="83"/>
      <c r="H29704" s="83"/>
      <c r="K29704" s="82"/>
      <c r="M29704" s="112"/>
      <c r="N29704" s="84"/>
    </row>
    <row r="29705" spans="1:14" s="2" customFormat="1">
      <c r="A29705" s="83"/>
      <c r="H29705" s="83"/>
      <c r="K29705" s="82"/>
      <c r="M29705" s="112"/>
      <c r="N29705" s="84"/>
    </row>
    <row r="29706" spans="1:14" s="2" customFormat="1">
      <c r="A29706" s="83"/>
      <c r="H29706" s="83"/>
      <c r="K29706" s="82"/>
      <c r="M29706" s="112"/>
      <c r="N29706" s="84"/>
    </row>
    <row r="29707" spans="1:14" s="2" customFormat="1">
      <c r="A29707" s="83"/>
      <c r="H29707" s="83"/>
      <c r="K29707" s="82"/>
      <c r="M29707" s="112"/>
      <c r="N29707" s="84"/>
    </row>
    <row r="29708" spans="1:14" s="2" customFormat="1">
      <c r="A29708" s="83"/>
      <c r="H29708" s="83"/>
      <c r="K29708" s="82"/>
      <c r="M29708" s="112"/>
      <c r="N29708" s="84"/>
    </row>
    <row r="29709" spans="1:14" s="2" customFormat="1">
      <c r="A29709" s="83"/>
      <c r="H29709" s="83"/>
      <c r="K29709" s="82"/>
      <c r="M29709" s="112"/>
      <c r="N29709" s="84"/>
    </row>
    <row r="29710" spans="1:14" s="2" customFormat="1">
      <c r="A29710" s="83"/>
      <c r="H29710" s="83"/>
      <c r="K29710" s="82"/>
      <c r="M29710" s="112"/>
      <c r="N29710" s="84"/>
    </row>
    <row r="29711" spans="1:14" s="2" customFormat="1">
      <c r="A29711" s="83"/>
      <c r="H29711" s="83"/>
      <c r="K29711" s="82"/>
      <c r="M29711" s="112"/>
      <c r="N29711" s="84"/>
    </row>
    <row r="29712" spans="1:14" s="2" customFormat="1">
      <c r="A29712" s="83"/>
      <c r="H29712" s="83"/>
      <c r="K29712" s="82"/>
      <c r="M29712" s="112"/>
      <c r="N29712" s="84"/>
    </row>
    <row r="29713" spans="1:14" s="2" customFormat="1">
      <c r="A29713" s="83"/>
      <c r="H29713" s="83"/>
      <c r="K29713" s="82"/>
      <c r="M29713" s="112"/>
      <c r="N29713" s="84"/>
    </row>
    <row r="29714" spans="1:14" s="2" customFormat="1">
      <c r="A29714" s="83"/>
      <c r="H29714" s="83"/>
      <c r="K29714" s="82"/>
      <c r="M29714" s="112"/>
      <c r="N29714" s="84"/>
    </row>
    <row r="29715" spans="1:14" s="2" customFormat="1">
      <c r="A29715" s="83"/>
      <c r="H29715" s="83"/>
      <c r="K29715" s="82"/>
      <c r="M29715" s="112"/>
      <c r="N29715" s="84"/>
    </row>
    <row r="29716" spans="1:14" s="2" customFormat="1">
      <c r="A29716" s="83"/>
      <c r="H29716" s="83"/>
      <c r="K29716" s="82"/>
      <c r="M29716" s="112"/>
      <c r="N29716" s="84"/>
    </row>
    <row r="29717" spans="1:14" s="2" customFormat="1">
      <c r="A29717" s="83"/>
      <c r="H29717" s="83"/>
      <c r="K29717" s="82"/>
      <c r="M29717" s="112"/>
      <c r="N29717" s="84"/>
    </row>
    <row r="29718" spans="1:14" s="2" customFormat="1">
      <c r="A29718" s="83"/>
      <c r="H29718" s="83"/>
      <c r="K29718" s="82"/>
      <c r="M29718" s="112"/>
      <c r="N29718" s="84"/>
    </row>
    <row r="29719" spans="1:14" s="2" customFormat="1">
      <c r="A29719" s="83"/>
      <c r="H29719" s="83"/>
      <c r="K29719" s="82"/>
      <c r="M29719" s="112"/>
      <c r="N29719" s="84"/>
    </row>
    <row r="29720" spans="1:14" s="2" customFormat="1">
      <c r="A29720" s="83"/>
      <c r="H29720" s="83"/>
      <c r="K29720" s="82"/>
      <c r="M29720" s="112"/>
      <c r="N29720" s="84"/>
    </row>
    <row r="29721" spans="1:14" s="2" customFormat="1">
      <c r="A29721" s="83"/>
      <c r="H29721" s="83"/>
      <c r="K29721" s="82"/>
      <c r="M29721" s="112"/>
      <c r="N29721" s="84"/>
    </row>
    <row r="29722" spans="1:14" s="2" customFormat="1">
      <c r="A29722" s="83"/>
      <c r="H29722" s="83"/>
      <c r="K29722" s="82"/>
      <c r="M29722" s="112"/>
      <c r="N29722" s="84"/>
    </row>
    <row r="29723" spans="1:14" s="2" customFormat="1">
      <c r="A29723" s="83"/>
      <c r="H29723" s="83"/>
      <c r="K29723" s="82"/>
      <c r="M29723" s="112"/>
      <c r="N29723" s="84"/>
    </row>
    <row r="29724" spans="1:14" s="2" customFormat="1">
      <c r="A29724" s="83"/>
      <c r="H29724" s="83"/>
      <c r="K29724" s="82"/>
      <c r="M29724" s="112"/>
      <c r="N29724" s="84"/>
    </row>
    <row r="29725" spans="1:14" s="2" customFormat="1">
      <c r="A29725" s="83"/>
      <c r="H29725" s="83"/>
      <c r="K29725" s="82"/>
      <c r="M29725" s="112"/>
      <c r="N29725" s="84"/>
    </row>
    <row r="29726" spans="1:14" s="2" customFormat="1">
      <c r="A29726" s="83"/>
      <c r="H29726" s="83"/>
      <c r="K29726" s="82"/>
      <c r="M29726" s="112"/>
      <c r="N29726" s="84"/>
    </row>
    <row r="29727" spans="1:14" s="2" customFormat="1">
      <c r="A29727" s="83"/>
      <c r="H29727" s="83"/>
      <c r="K29727" s="82"/>
      <c r="M29727" s="112"/>
      <c r="N29727" s="84"/>
    </row>
    <row r="29728" spans="1:14" s="2" customFormat="1">
      <c r="A29728" s="83"/>
      <c r="H29728" s="83"/>
      <c r="K29728" s="82"/>
      <c r="M29728" s="112"/>
      <c r="N29728" s="84"/>
    </row>
    <row r="29729" spans="1:14" s="2" customFormat="1">
      <c r="A29729" s="83"/>
      <c r="H29729" s="83"/>
      <c r="K29729" s="82"/>
      <c r="M29729" s="112"/>
      <c r="N29729" s="84"/>
    </row>
    <row r="29730" spans="1:14" s="2" customFormat="1">
      <c r="A29730" s="83"/>
      <c r="H29730" s="83"/>
      <c r="K29730" s="82"/>
      <c r="M29730" s="112"/>
      <c r="N29730" s="84"/>
    </row>
    <row r="29731" spans="1:14" s="2" customFormat="1">
      <c r="A29731" s="83"/>
      <c r="H29731" s="83"/>
      <c r="K29731" s="82"/>
      <c r="M29731" s="112"/>
      <c r="N29731" s="84"/>
    </row>
    <row r="29732" spans="1:14" s="2" customFormat="1">
      <c r="A29732" s="83"/>
      <c r="H29732" s="83"/>
      <c r="K29732" s="82"/>
      <c r="M29732" s="112"/>
      <c r="N29732" s="84"/>
    </row>
    <row r="29733" spans="1:14" s="2" customFormat="1">
      <c r="A29733" s="83"/>
      <c r="H29733" s="83"/>
      <c r="K29733" s="82"/>
      <c r="M29733" s="112"/>
      <c r="N29733" s="84"/>
    </row>
    <row r="29734" spans="1:14" s="2" customFormat="1">
      <c r="A29734" s="83"/>
      <c r="H29734" s="83"/>
      <c r="K29734" s="82"/>
      <c r="M29734" s="112"/>
      <c r="N29734" s="84"/>
    </row>
    <row r="29735" spans="1:14" s="2" customFormat="1">
      <c r="A29735" s="83"/>
      <c r="H29735" s="83"/>
      <c r="K29735" s="82"/>
      <c r="M29735" s="112"/>
      <c r="N29735" s="84"/>
    </row>
    <row r="29736" spans="1:14" s="2" customFormat="1">
      <c r="A29736" s="83"/>
      <c r="H29736" s="83"/>
      <c r="K29736" s="82"/>
      <c r="M29736" s="112"/>
      <c r="N29736" s="84"/>
    </row>
    <row r="29737" spans="1:14" s="2" customFormat="1">
      <c r="A29737" s="83"/>
      <c r="H29737" s="83"/>
      <c r="K29737" s="82"/>
      <c r="M29737" s="112"/>
      <c r="N29737" s="84"/>
    </row>
    <row r="29738" spans="1:14" s="2" customFormat="1">
      <c r="A29738" s="83"/>
      <c r="H29738" s="83"/>
      <c r="K29738" s="82"/>
      <c r="M29738" s="112"/>
      <c r="N29738" s="84"/>
    </row>
    <row r="29739" spans="1:14" s="2" customFormat="1">
      <c r="A29739" s="83"/>
      <c r="H29739" s="83"/>
      <c r="K29739" s="82"/>
      <c r="M29739" s="112"/>
      <c r="N29739" s="84"/>
    </row>
    <row r="29740" spans="1:14" s="2" customFormat="1">
      <c r="A29740" s="83"/>
      <c r="H29740" s="83"/>
      <c r="K29740" s="82"/>
      <c r="M29740" s="112"/>
      <c r="N29740" s="84"/>
    </row>
    <row r="29741" spans="1:14" s="2" customFormat="1">
      <c r="A29741" s="83"/>
      <c r="H29741" s="83"/>
      <c r="K29741" s="82"/>
      <c r="M29741" s="112"/>
      <c r="N29741" s="84"/>
    </row>
    <row r="29742" spans="1:14" s="2" customFormat="1">
      <c r="A29742" s="83"/>
      <c r="H29742" s="83"/>
      <c r="K29742" s="82"/>
      <c r="M29742" s="112"/>
      <c r="N29742" s="84"/>
    </row>
    <row r="29743" spans="1:14" s="2" customFormat="1">
      <c r="A29743" s="83"/>
      <c r="H29743" s="83"/>
      <c r="K29743" s="82"/>
      <c r="M29743" s="112"/>
      <c r="N29743" s="84"/>
    </row>
    <row r="29744" spans="1:14" s="2" customFormat="1">
      <c r="A29744" s="83"/>
      <c r="H29744" s="83"/>
      <c r="K29744" s="82"/>
      <c r="M29744" s="112"/>
      <c r="N29744" s="84"/>
    </row>
    <row r="29745" spans="1:14" s="2" customFormat="1">
      <c r="A29745" s="83"/>
      <c r="H29745" s="83"/>
      <c r="K29745" s="82"/>
      <c r="M29745" s="112"/>
      <c r="N29745" s="84"/>
    </row>
    <row r="29746" spans="1:14" s="2" customFormat="1">
      <c r="A29746" s="83"/>
      <c r="H29746" s="83"/>
      <c r="K29746" s="82"/>
      <c r="M29746" s="112"/>
      <c r="N29746" s="84"/>
    </row>
    <row r="29747" spans="1:14" s="2" customFormat="1">
      <c r="A29747" s="83"/>
      <c r="H29747" s="83"/>
      <c r="K29747" s="82"/>
      <c r="M29747" s="112"/>
      <c r="N29747" s="84"/>
    </row>
    <row r="29748" spans="1:14" s="2" customFormat="1">
      <c r="A29748" s="83"/>
      <c r="H29748" s="83"/>
      <c r="K29748" s="82"/>
      <c r="M29748" s="112"/>
      <c r="N29748" s="84"/>
    </row>
    <row r="29749" spans="1:14" s="2" customFormat="1">
      <c r="A29749" s="83"/>
      <c r="H29749" s="83"/>
      <c r="K29749" s="82"/>
      <c r="M29749" s="112"/>
      <c r="N29749" s="84"/>
    </row>
    <row r="29750" spans="1:14" s="2" customFormat="1">
      <c r="A29750" s="83"/>
      <c r="H29750" s="83"/>
      <c r="K29750" s="82"/>
      <c r="M29750" s="112"/>
      <c r="N29750" s="84"/>
    </row>
    <row r="29751" spans="1:14" s="2" customFormat="1">
      <c r="A29751" s="83"/>
      <c r="H29751" s="83"/>
      <c r="K29751" s="82"/>
      <c r="M29751" s="112"/>
      <c r="N29751" s="84"/>
    </row>
    <row r="29752" spans="1:14" s="2" customFormat="1">
      <c r="A29752" s="83"/>
      <c r="H29752" s="83"/>
      <c r="K29752" s="82"/>
      <c r="M29752" s="112"/>
      <c r="N29752" s="84"/>
    </row>
    <row r="29753" spans="1:14" s="2" customFormat="1">
      <c r="A29753" s="83"/>
      <c r="H29753" s="83"/>
      <c r="K29753" s="82"/>
      <c r="M29753" s="112"/>
      <c r="N29753" s="84"/>
    </row>
    <row r="29754" spans="1:14" s="2" customFormat="1">
      <c r="A29754" s="83"/>
      <c r="H29754" s="83"/>
      <c r="K29754" s="82"/>
      <c r="M29754" s="112"/>
      <c r="N29754" s="84"/>
    </row>
    <row r="29755" spans="1:14" s="2" customFormat="1">
      <c r="A29755" s="83"/>
      <c r="H29755" s="83"/>
      <c r="K29755" s="82"/>
      <c r="M29755" s="112"/>
      <c r="N29755" s="84"/>
    </row>
    <row r="29756" spans="1:14" s="2" customFormat="1">
      <c r="A29756" s="83"/>
      <c r="H29756" s="83"/>
      <c r="K29756" s="82"/>
      <c r="M29756" s="112"/>
      <c r="N29756" s="84"/>
    </row>
    <row r="29757" spans="1:14" s="2" customFormat="1">
      <c r="A29757" s="83"/>
      <c r="H29757" s="83"/>
      <c r="K29757" s="82"/>
      <c r="M29757" s="112"/>
      <c r="N29757" s="84"/>
    </row>
    <row r="29758" spans="1:14" s="2" customFormat="1">
      <c r="A29758" s="83"/>
      <c r="H29758" s="83"/>
      <c r="K29758" s="82"/>
      <c r="M29758" s="112"/>
      <c r="N29758" s="84"/>
    </row>
    <row r="29759" spans="1:14" s="2" customFormat="1">
      <c r="A29759" s="83"/>
      <c r="H29759" s="83"/>
      <c r="K29759" s="82"/>
      <c r="M29759" s="112"/>
      <c r="N29759" s="84"/>
    </row>
    <row r="29760" spans="1:14" s="2" customFormat="1">
      <c r="A29760" s="83"/>
      <c r="H29760" s="83"/>
      <c r="K29760" s="82"/>
      <c r="M29760" s="112"/>
      <c r="N29760" s="84"/>
    </row>
    <row r="29761" spans="1:14" s="2" customFormat="1">
      <c r="A29761" s="83"/>
      <c r="H29761" s="83"/>
      <c r="K29761" s="82"/>
      <c r="M29761" s="112"/>
      <c r="N29761" s="84"/>
    </row>
    <row r="29762" spans="1:14" s="2" customFormat="1">
      <c r="A29762" s="83"/>
      <c r="H29762" s="83"/>
      <c r="K29762" s="82"/>
      <c r="M29762" s="112"/>
      <c r="N29762" s="84"/>
    </row>
    <row r="29763" spans="1:14" s="2" customFormat="1">
      <c r="A29763" s="83"/>
      <c r="H29763" s="83"/>
      <c r="K29763" s="82"/>
      <c r="M29763" s="112"/>
      <c r="N29763" s="84"/>
    </row>
    <row r="29764" spans="1:14" s="2" customFormat="1">
      <c r="A29764" s="83"/>
      <c r="H29764" s="83"/>
      <c r="K29764" s="82"/>
      <c r="M29764" s="112"/>
      <c r="N29764" s="84"/>
    </row>
    <row r="29765" spans="1:14" s="2" customFormat="1">
      <c r="A29765" s="83"/>
      <c r="H29765" s="83"/>
      <c r="K29765" s="82"/>
      <c r="M29765" s="112"/>
      <c r="N29765" s="84"/>
    </row>
    <row r="29766" spans="1:14" s="2" customFormat="1">
      <c r="A29766" s="83"/>
      <c r="H29766" s="83"/>
      <c r="K29766" s="82"/>
      <c r="M29766" s="112"/>
      <c r="N29766" s="84"/>
    </row>
    <row r="29767" spans="1:14" s="2" customFormat="1">
      <c r="A29767" s="83"/>
      <c r="H29767" s="83"/>
      <c r="K29767" s="82"/>
      <c r="M29767" s="112"/>
      <c r="N29767" s="84"/>
    </row>
    <row r="29768" spans="1:14" s="2" customFormat="1">
      <c r="A29768" s="83"/>
      <c r="H29768" s="83"/>
      <c r="K29768" s="82"/>
      <c r="M29768" s="112"/>
      <c r="N29768" s="84"/>
    </row>
    <row r="29769" spans="1:14" s="2" customFormat="1">
      <c r="A29769" s="83"/>
      <c r="H29769" s="83"/>
      <c r="K29769" s="82"/>
      <c r="M29769" s="112"/>
      <c r="N29769" s="84"/>
    </row>
    <row r="29770" spans="1:14" s="2" customFormat="1">
      <c r="A29770" s="83"/>
      <c r="H29770" s="83"/>
      <c r="K29770" s="82"/>
      <c r="M29770" s="112"/>
      <c r="N29770" s="84"/>
    </row>
    <row r="29771" spans="1:14" s="2" customFormat="1">
      <c r="A29771" s="83"/>
      <c r="H29771" s="83"/>
      <c r="K29771" s="82"/>
      <c r="M29771" s="112"/>
      <c r="N29771" s="84"/>
    </row>
    <row r="29772" spans="1:14" s="2" customFormat="1">
      <c r="A29772" s="83"/>
      <c r="H29772" s="83"/>
      <c r="K29772" s="82"/>
      <c r="M29772" s="112"/>
      <c r="N29772" s="84"/>
    </row>
    <row r="29773" spans="1:14" s="2" customFormat="1">
      <c r="A29773" s="83"/>
      <c r="H29773" s="83"/>
      <c r="K29773" s="82"/>
      <c r="M29773" s="112"/>
      <c r="N29773" s="84"/>
    </row>
    <row r="29774" spans="1:14" s="2" customFormat="1">
      <c r="A29774" s="83"/>
      <c r="H29774" s="83"/>
      <c r="K29774" s="82"/>
      <c r="M29774" s="112"/>
      <c r="N29774" s="84"/>
    </row>
    <row r="29775" spans="1:14" s="2" customFormat="1">
      <c r="A29775" s="83"/>
      <c r="H29775" s="83"/>
      <c r="K29775" s="82"/>
      <c r="M29775" s="112"/>
      <c r="N29775" s="84"/>
    </row>
    <row r="29776" spans="1:14" s="2" customFormat="1">
      <c r="A29776" s="83"/>
      <c r="H29776" s="83"/>
      <c r="K29776" s="82"/>
      <c r="M29776" s="112"/>
      <c r="N29776" s="84"/>
    </row>
    <row r="29777" spans="1:14" s="2" customFormat="1">
      <c r="A29777" s="83"/>
      <c r="H29777" s="83"/>
      <c r="K29777" s="82"/>
      <c r="M29777" s="112"/>
      <c r="N29777" s="84"/>
    </row>
    <row r="29778" spans="1:14" s="2" customFormat="1">
      <c r="A29778" s="83"/>
      <c r="H29778" s="83"/>
      <c r="K29778" s="82"/>
      <c r="M29778" s="112"/>
      <c r="N29778" s="84"/>
    </row>
    <row r="29779" spans="1:14" s="2" customFormat="1">
      <c r="A29779" s="83"/>
      <c r="H29779" s="83"/>
      <c r="K29779" s="82"/>
      <c r="M29779" s="112"/>
      <c r="N29779" s="84"/>
    </row>
    <row r="29780" spans="1:14" s="2" customFormat="1">
      <c r="A29780" s="83"/>
      <c r="H29780" s="83"/>
      <c r="K29780" s="82"/>
      <c r="M29780" s="112"/>
      <c r="N29780" s="84"/>
    </row>
    <row r="29781" spans="1:14" s="2" customFormat="1">
      <c r="A29781" s="83"/>
      <c r="H29781" s="83"/>
      <c r="K29781" s="82"/>
      <c r="M29781" s="112"/>
      <c r="N29781" s="84"/>
    </row>
    <row r="29782" spans="1:14" s="2" customFormat="1">
      <c r="A29782" s="83"/>
      <c r="H29782" s="83"/>
      <c r="K29782" s="82"/>
      <c r="M29782" s="112"/>
      <c r="N29782" s="84"/>
    </row>
    <row r="29783" spans="1:14" s="2" customFormat="1">
      <c r="A29783" s="83"/>
      <c r="H29783" s="83"/>
      <c r="K29783" s="82"/>
      <c r="M29783" s="112"/>
      <c r="N29783" s="84"/>
    </row>
    <row r="29784" spans="1:14" s="2" customFormat="1">
      <c r="A29784" s="83"/>
      <c r="H29784" s="83"/>
      <c r="K29784" s="82"/>
      <c r="M29784" s="112"/>
      <c r="N29784" s="84"/>
    </row>
    <row r="29785" spans="1:14" s="2" customFormat="1">
      <c r="A29785" s="83"/>
      <c r="H29785" s="83"/>
      <c r="K29785" s="82"/>
      <c r="M29785" s="112"/>
      <c r="N29785" s="84"/>
    </row>
    <row r="29786" spans="1:14" s="2" customFormat="1">
      <c r="A29786" s="83"/>
      <c r="H29786" s="83"/>
      <c r="K29786" s="82"/>
      <c r="M29786" s="112"/>
      <c r="N29786" s="84"/>
    </row>
    <row r="29787" spans="1:14" s="2" customFormat="1">
      <c r="A29787" s="83"/>
      <c r="H29787" s="83"/>
      <c r="K29787" s="82"/>
      <c r="M29787" s="112"/>
      <c r="N29787" s="84"/>
    </row>
    <row r="29788" spans="1:14" s="2" customFormat="1">
      <c r="A29788" s="83"/>
      <c r="H29788" s="83"/>
      <c r="K29788" s="82"/>
      <c r="M29788" s="112"/>
      <c r="N29788" s="84"/>
    </row>
    <row r="29789" spans="1:14" s="2" customFormat="1">
      <c r="A29789" s="83"/>
      <c r="H29789" s="83"/>
      <c r="K29789" s="82"/>
      <c r="M29789" s="112"/>
      <c r="N29789" s="84"/>
    </row>
    <row r="29790" spans="1:14" s="2" customFormat="1">
      <c r="A29790" s="83"/>
      <c r="H29790" s="83"/>
      <c r="K29790" s="82"/>
      <c r="M29790" s="112"/>
      <c r="N29790" s="84"/>
    </row>
    <row r="29791" spans="1:14" s="2" customFormat="1">
      <c r="A29791" s="83"/>
      <c r="H29791" s="83"/>
      <c r="K29791" s="82"/>
      <c r="M29791" s="112"/>
      <c r="N29791" s="84"/>
    </row>
    <row r="29792" spans="1:14" s="2" customFormat="1">
      <c r="A29792" s="83"/>
      <c r="H29792" s="83"/>
      <c r="K29792" s="82"/>
      <c r="M29792" s="112"/>
      <c r="N29792" s="84"/>
    </row>
    <row r="29793" spans="1:14" s="2" customFormat="1">
      <c r="A29793" s="83"/>
      <c r="H29793" s="83"/>
      <c r="K29793" s="82"/>
      <c r="M29793" s="112"/>
      <c r="N29793" s="84"/>
    </row>
    <row r="29794" spans="1:14" s="2" customFormat="1">
      <c r="A29794" s="83"/>
      <c r="H29794" s="83"/>
      <c r="K29794" s="82"/>
      <c r="M29794" s="112"/>
      <c r="N29794" s="84"/>
    </row>
    <row r="29795" spans="1:14" s="2" customFormat="1">
      <c r="A29795" s="83"/>
      <c r="H29795" s="83"/>
      <c r="K29795" s="82"/>
      <c r="M29795" s="112"/>
      <c r="N29795" s="84"/>
    </row>
    <row r="29796" spans="1:14" s="2" customFormat="1">
      <c r="A29796" s="83"/>
      <c r="H29796" s="83"/>
      <c r="K29796" s="82"/>
      <c r="M29796" s="112"/>
      <c r="N29796" s="84"/>
    </row>
    <row r="29797" spans="1:14" s="2" customFormat="1">
      <c r="A29797" s="83"/>
      <c r="H29797" s="83"/>
      <c r="K29797" s="82"/>
      <c r="M29797" s="112"/>
      <c r="N29797" s="84"/>
    </row>
    <row r="29798" spans="1:14" s="2" customFormat="1">
      <c r="A29798" s="83"/>
      <c r="H29798" s="83"/>
      <c r="K29798" s="82"/>
      <c r="M29798" s="112"/>
      <c r="N29798" s="84"/>
    </row>
    <row r="29799" spans="1:14" s="2" customFormat="1">
      <c r="A29799" s="83"/>
      <c r="H29799" s="83"/>
      <c r="K29799" s="82"/>
      <c r="M29799" s="112"/>
      <c r="N29799" s="84"/>
    </row>
    <row r="29800" spans="1:14" s="2" customFormat="1">
      <c r="A29800" s="83"/>
      <c r="H29800" s="83"/>
      <c r="K29800" s="82"/>
      <c r="M29800" s="112"/>
      <c r="N29800" s="84"/>
    </row>
    <row r="29801" spans="1:14" s="2" customFormat="1">
      <c r="A29801" s="83"/>
      <c r="H29801" s="83"/>
      <c r="K29801" s="82"/>
      <c r="M29801" s="112"/>
      <c r="N29801" s="84"/>
    </row>
    <row r="29802" spans="1:14" s="2" customFormat="1">
      <c r="A29802" s="83"/>
      <c r="H29802" s="83"/>
      <c r="K29802" s="82"/>
      <c r="M29802" s="112"/>
      <c r="N29802" s="84"/>
    </row>
    <row r="29803" spans="1:14" s="2" customFormat="1">
      <c r="A29803" s="83"/>
      <c r="H29803" s="83"/>
      <c r="K29803" s="82"/>
      <c r="M29803" s="112"/>
      <c r="N29803" s="84"/>
    </row>
    <row r="29804" spans="1:14" s="2" customFormat="1">
      <c r="A29804" s="83"/>
      <c r="H29804" s="83"/>
      <c r="K29804" s="82"/>
      <c r="M29804" s="112"/>
      <c r="N29804" s="84"/>
    </row>
    <row r="29805" spans="1:14" s="2" customFormat="1">
      <c r="A29805" s="83"/>
      <c r="H29805" s="83"/>
      <c r="K29805" s="82"/>
      <c r="M29805" s="112"/>
      <c r="N29805" s="84"/>
    </row>
    <row r="29806" spans="1:14" s="2" customFormat="1">
      <c r="A29806" s="83"/>
      <c r="H29806" s="83"/>
      <c r="K29806" s="82"/>
      <c r="M29806" s="112"/>
      <c r="N29806" s="84"/>
    </row>
    <row r="29807" spans="1:14" s="2" customFormat="1">
      <c r="A29807" s="83"/>
      <c r="H29807" s="83"/>
      <c r="K29807" s="82"/>
      <c r="M29807" s="112"/>
      <c r="N29807" s="84"/>
    </row>
    <row r="29808" spans="1:14" s="2" customFormat="1">
      <c r="A29808" s="83"/>
      <c r="H29808" s="83"/>
      <c r="K29808" s="82"/>
      <c r="M29808" s="112"/>
      <c r="N29808" s="84"/>
    </row>
    <row r="29809" spans="1:14" s="2" customFormat="1">
      <c r="A29809" s="83"/>
      <c r="H29809" s="83"/>
      <c r="K29809" s="82"/>
      <c r="M29809" s="112"/>
      <c r="N29809" s="84"/>
    </row>
    <row r="29810" spans="1:14" s="2" customFormat="1">
      <c r="A29810" s="83"/>
      <c r="H29810" s="83"/>
      <c r="K29810" s="82"/>
      <c r="M29810" s="112"/>
      <c r="N29810" s="84"/>
    </row>
    <row r="29811" spans="1:14" s="2" customFormat="1">
      <c r="A29811" s="83"/>
      <c r="H29811" s="83"/>
      <c r="K29811" s="82"/>
      <c r="M29811" s="112"/>
      <c r="N29811" s="84"/>
    </row>
    <row r="29812" spans="1:14" s="2" customFormat="1">
      <c r="A29812" s="83"/>
      <c r="H29812" s="83"/>
      <c r="K29812" s="82"/>
      <c r="M29812" s="112"/>
      <c r="N29812" s="84"/>
    </row>
    <row r="29813" spans="1:14" s="2" customFormat="1">
      <c r="A29813" s="83"/>
      <c r="H29813" s="83"/>
      <c r="K29813" s="82"/>
      <c r="M29813" s="112"/>
      <c r="N29813" s="84"/>
    </row>
    <row r="29814" spans="1:14" s="2" customFormat="1">
      <c r="A29814" s="83"/>
      <c r="H29814" s="83"/>
      <c r="K29814" s="82"/>
      <c r="M29814" s="112"/>
      <c r="N29814" s="84"/>
    </row>
    <row r="29815" spans="1:14" s="2" customFormat="1">
      <c r="A29815" s="83"/>
      <c r="H29815" s="83"/>
      <c r="K29815" s="82"/>
      <c r="M29815" s="112"/>
      <c r="N29815" s="84"/>
    </row>
    <row r="29816" spans="1:14" s="2" customFormat="1">
      <c r="A29816" s="83"/>
      <c r="H29816" s="83"/>
      <c r="K29816" s="82"/>
      <c r="M29816" s="112"/>
      <c r="N29816" s="84"/>
    </row>
    <row r="29817" spans="1:14" s="2" customFormat="1">
      <c r="A29817" s="83"/>
      <c r="H29817" s="83"/>
      <c r="K29817" s="82"/>
      <c r="M29817" s="112"/>
      <c r="N29817" s="84"/>
    </row>
    <row r="29818" spans="1:14" s="2" customFormat="1">
      <c r="A29818" s="83"/>
      <c r="H29818" s="83"/>
      <c r="K29818" s="82"/>
      <c r="M29818" s="112"/>
      <c r="N29818" s="84"/>
    </row>
    <row r="29819" spans="1:14" s="2" customFormat="1">
      <c r="A29819" s="83"/>
      <c r="H29819" s="83"/>
      <c r="K29819" s="82"/>
      <c r="M29819" s="112"/>
      <c r="N29819" s="84"/>
    </row>
    <row r="29820" spans="1:14" s="2" customFormat="1">
      <c r="A29820" s="83"/>
      <c r="H29820" s="83"/>
      <c r="K29820" s="82"/>
      <c r="M29820" s="112"/>
      <c r="N29820" s="84"/>
    </row>
    <row r="29821" spans="1:14" s="2" customFormat="1">
      <c r="A29821" s="83"/>
      <c r="H29821" s="83"/>
      <c r="K29821" s="82"/>
      <c r="M29821" s="112"/>
      <c r="N29821" s="84"/>
    </row>
    <row r="29822" spans="1:14" s="2" customFormat="1">
      <c r="A29822" s="83"/>
      <c r="H29822" s="83"/>
      <c r="K29822" s="82"/>
      <c r="M29822" s="112"/>
      <c r="N29822" s="84"/>
    </row>
    <row r="29823" spans="1:14" s="2" customFormat="1">
      <c r="A29823" s="83"/>
      <c r="H29823" s="83"/>
      <c r="K29823" s="82"/>
      <c r="M29823" s="112"/>
      <c r="N29823" s="84"/>
    </row>
    <row r="29824" spans="1:14" s="2" customFormat="1">
      <c r="A29824" s="83"/>
      <c r="H29824" s="83"/>
      <c r="K29824" s="82"/>
      <c r="M29824" s="112"/>
      <c r="N29824" s="84"/>
    </row>
    <row r="29825" spans="1:14" s="2" customFormat="1">
      <c r="A29825" s="83"/>
      <c r="H29825" s="83"/>
      <c r="K29825" s="82"/>
      <c r="M29825" s="112"/>
      <c r="N29825" s="84"/>
    </row>
    <row r="29826" spans="1:14" s="2" customFormat="1">
      <c r="A29826" s="83"/>
      <c r="H29826" s="83"/>
      <c r="K29826" s="82"/>
      <c r="M29826" s="112"/>
      <c r="N29826" s="84"/>
    </row>
    <row r="29827" spans="1:14" s="2" customFormat="1">
      <c r="A29827" s="83"/>
      <c r="H29827" s="83"/>
      <c r="K29827" s="82"/>
      <c r="M29827" s="112"/>
      <c r="N29827" s="84"/>
    </row>
    <row r="29828" spans="1:14" s="2" customFormat="1">
      <c r="A29828" s="83"/>
      <c r="H29828" s="83"/>
      <c r="K29828" s="82"/>
      <c r="M29828" s="112"/>
      <c r="N29828" s="84"/>
    </row>
    <row r="29829" spans="1:14" s="2" customFormat="1">
      <c r="A29829" s="83"/>
      <c r="H29829" s="83"/>
      <c r="K29829" s="82"/>
      <c r="M29829" s="112"/>
      <c r="N29829" s="84"/>
    </row>
    <row r="29830" spans="1:14" s="2" customFormat="1">
      <c r="A29830" s="83"/>
      <c r="H29830" s="83"/>
      <c r="K29830" s="82"/>
      <c r="M29830" s="112"/>
      <c r="N29830" s="84"/>
    </row>
    <row r="29831" spans="1:14" s="2" customFormat="1">
      <c r="A29831" s="83"/>
      <c r="H29831" s="83"/>
      <c r="K29831" s="82"/>
      <c r="M29831" s="112"/>
      <c r="N29831" s="84"/>
    </row>
    <row r="29832" spans="1:14" s="2" customFormat="1">
      <c r="A29832" s="83"/>
      <c r="H29832" s="83"/>
      <c r="K29832" s="82"/>
      <c r="M29832" s="112"/>
      <c r="N29832" s="84"/>
    </row>
    <row r="29833" spans="1:14" s="2" customFormat="1">
      <c r="A29833" s="83"/>
      <c r="H29833" s="83"/>
      <c r="K29833" s="82"/>
      <c r="M29833" s="112"/>
      <c r="N29833" s="84"/>
    </row>
    <row r="29834" spans="1:14" s="2" customFormat="1">
      <c r="A29834" s="83"/>
      <c r="H29834" s="83"/>
      <c r="K29834" s="82"/>
      <c r="M29834" s="112"/>
      <c r="N29834" s="84"/>
    </row>
    <row r="29835" spans="1:14" s="2" customFormat="1">
      <c r="A29835" s="83"/>
      <c r="H29835" s="83"/>
      <c r="K29835" s="82"/>
      <c r="M29835" s="112"/>
      <c r="N29835" s="84"/>
    </row>
    <row r="29836" spans="1:14" s="2" customFormat="1">
      <c r="A29836" s="83"/>
      <c r="H29836" s="83"/>
      <c r="K29836" s="82"/>
      <c r="M29836" s="112"/>
      <c r="N29836" s="84"/>
    </row>
    <row r="29837" spans="1:14" s="2" customFormat="1">
      <c r="A29837" s="83"/>
      <c r="H29837" s="83"/>
      <c r="K29837" s="82"/>
      <c r="M29837" s="112"/>
      <c r="N29837" s="84"/>
    </row>
    <row r="29838" spans="1:14" s="2" customFormat="1">
      <c r="A29838" s="83"/>
      <c r="H29838" s="83"/>
      <c r="K29838" s="82"/>
      <c r="M29838" s="112"/>
      <c r="N29838" s="84"/>
    </row>
    <row r="29839" spans="1:14" s="2" customFormat="1">
      <c r="A29839" s="83"/>
      <c r="H29839" s="83"/>
      <c r="K29839" s="82"/>
      <c r="M29839" s="112"/>
      <c r="N29839" s="84"/>
    </row>
    <row r="29840" spans="1:14" s="2" customFormat="1">
      <c r="A29840" s="83"/>
      <c r="H29840" s="83"/>
      <c r="K29840" s="82"/>
      <c r="M29840" s="112"/>
      <c r="N29840" s="84"/>
    </row>
    <row r="29841" spans="1:14" s="2" customFormat="1">
      <c r="A29841" s="83"/>
      <c r="H29841" s="83"/>
      <c r="K29841" s="82"/>
      <c r="M29841" s="112"/>
      <c r="N29841" s="84"/>
    </row>
    <row r="29842" spans="1:14" s="2" customFormat="1">
      <c r="A29842" s="83"/>
      <c r="H29842" s="83"/>
      <c r="K29842" s="82"/>
      <c r="M29842" s="112"/>
      <c r="N29842" s="84"/>
    </row>
    <row r="29843" spans="1:14" s="2" customFormat="1">
      <c r="A29843" s="83"/>
      <c r="H29843" s="83"/>
      <c r="K29843" s="82"/>
      <c r="M29843" s="112"/>
      <c r="N29843" s="84"/>
    </row>
    <row r="29844" spans="1:14" s="2" customFormat="1">
      <c r="A29844" s="83"/>
      <c r="H29844" s="83"/>
      <c r="K29844" s="82"/>
      <c r="M29844" s="112"/>
      <c r="N29844" s="84"/>
    </row>
    <row r="29845" spans="1:14" s="2" customFormat="1">
      <c r="A29845" s="83"/>
      <c r="H29845" s="83"/>
      <c r="K29845" s="82"/>
      <c r="M29845" s="112"/>
      <c r="N29845" s="84"/>
    </row>
    <row r="29846" spans="1:14" s="2" customFormat="1">
      <c r="A29846" s="83"/>
      <c r="H29846" s="83"/>
      <c r="K29846" s="82"/>
      <c r="M29846" s="112"/>
      <c r="N29846" s="84"/>
    </row>
    <row r="29847" spans="1:14" s="2" customFormat="1">
      <c r="A29847" s="83"/>
      <c r="H29847" s="83"/>
      <c r="K29847" s="82"/>
      <c r="M29847" s="112"/>
      <c r="N29847" s="84"/>
    </row>
    <row r="29848" spans="1:14" s="2" customFormat="1">
      <c r="A29848" s="83"/>
      <c r="H29848" s="83"/>
      <c r="K29848" s="82"/>
      <c r="M29848" s="112"/>
      <c r="N29848" s="84"/>
    </row>
    <row r="29849" spans="1:14" s="2" customFormat="1">
      <c r="A29849" s="83"/>
      <c r="H29849" s="83"/>
      <c r="K29849" s="82"/>
      <c r="M29849" s="112"/>
      <c r="N29849" s="84"/>
    </row>
    <row r="29850" spans="1:14" s="2" customFormat="1">
      <c r="A29850" s="83"/>
      <c r="H29850" s="83"/>
      <c r="K29850" s="82"/>
      <c r="M29850" s="112"/>
      <c r="N29850" s="84"/>
    </row>
    <row r="29851" spans="1:14" s="2" customFormat="1">
      <c r="A29851" s="83"/>
      <c r="H29851" s="83"/>
      <c r="K29851" s="82"/>
      <c r="M29851" s="112"/>
      <c r="N29851" s="84"/>
    </row>
    <row r="29852" spans="1:14" s="2" customFormat="1">
      <c r="A29852" s="83"/>
      <c r="H29852" s="83"/>
      <c r="K29852" s="82"/>
      <c r="M29852" s="112"/>
      <c r="N29852" s="84"/>
    </row>
    <row r="29853" spans="1:14" s="2" customFormat="1">
      <c r="A29853" s="83"/>
      <c r="H29853" s="83"/>
      <c r="K29853" s="82"/>
      <c r="M29853" s="112"/>
      <c r="N29853" s="84"/>
    </row>
    <row r="29854" spans="1:14" s="2" customFormat="1">
      <c r="A29854" s="83"/>
      <c r="H29854" s="83"/>
      <c r="K29854" s="82"/>
      <c r="M29854" s="112"/>
      <c r="N29854" s="84"/>
    </row>
    <row r="29855" spans="1:14" s="2" customFormat="1">
      <c r="A29855" s="83"/>
      <c r="H29855" s="83"/>
      <c r="K29855" s="82"/>
      <c r="M29855" s="112"/>
      <c r="N29855" s="84"/>
    </row>
    <row r="29856" spans="1:14" s="2" customFormat="1">
      <c r="A29856" s="83"/>
      <c r="H29856" s="83"/>
      <c r="K29856" s="82"/>
      <c r="M29856" s="112"/>
      <c r="N29856" s="84"/>
    </row>
    <row r="29857" spans="1:14" s="2" customFormat="1">
      <c r="A29857" s="83"/>
      <c r="H29857" s="83"/>
      <c r="K29857" s="82"/>
      <c r="M29857" s="112"/>
      <c r="N29857" s="84"/>
    </row>
    <row r="29858" spans="1:14" s="2" customFormat="1">
      <c r="A29858" s="83"/>
      <c r="H29858" s="83"/>
      <c r="K29858" s="82"/>
      <c r="M29858" s="112"/>
      <c r="N29858" s="84"/>
    </row>
    <row r="29859" spans="1:14" s="2" customFormat="1">
      <c r="A29859" s="83"/>
      <c r="H29859" s="83"/>
      <c r="K29859" s="82"/>
      <c r="M29859" s="112"/>
      <c r="N29859" s="84"/>
    </row>
    <row r="29860" spans="1:14" s="2" customFormat="1">
      <c r="A29860" s="83"/>
      <c r="H29860" s="83"/>
      <c r="K29860" s="82"/>
      <c r="M29860" s="112"/>
      <c r="N29860" s="84"/>
    </row>
    <row r="29861" spans="1:14" s="2" customFormat="1">
      <c r="A29861" s="83"/>
      <c r="H29861" s="83"/>
      <c r="K29861" s="82"/>
      <c r="M29861" s="112"/>
      <c r="N29861" s="84"/>
    </row>
    <row r="29862" spans="1:14" s="2" customFormat="1">
      <c r="A29862" s="83"/>
      <c r="H29862" s="83"/>
      <c r="K29862" s="82"/>
      <c r="M29862" s="112"/>
      <c r="N29862" s="84"/>
    </row>
    <row r="29863" spans="1:14" s="2" customFormat="1">
      <c r="A29863" s="83"/>
      <c r="H29863" s="83"/>
      <c r="K29863" s="82"/>
      <c r="M29863" s="112"/>
      <c r="N29863" s="84"/>
    </row>
    <row r="29864" spans="1:14" s="2" customFormat="1">
      <c r="A29864" s="83"/>
      <c r="H29864" s="83"/>
      <c r="K29864" s="82"/>
      <c r="M29864" s="112"/>
      <c r="N29864" s="84"/>
    </row>
    <row r="29865" spans="1:14" s="2" customFormat="1">
      <c r="A29865" s="83"/>
      <c r="H29865" s="83"/>
      <c r="K29865" s="82"/>
      <c r="M29865" s="112"/>
      <c r="N29865" s="84"/>
    </row>
    <row r="29866" spans="1:14" s="2" customFormat="1">
      <c r="A29866" s="83"/>
      <c r="H29866" s="83"/>
      <c r="K29866" s="82"/>
      <c r="M29866" s="112"/>
      <c r="N29866" s="84"/>
    </row>
    <row r="29867" spans="1:14" s="2" customFormat="1">
      <c r="A29867" s="83"/>
      <c r="H29867" s="83"/>
      <c r="K29867" s="82"/>
      <c r="M29867" s="112"/>
      <c r="N29867" s="84"/>
    </row>
    <row r="29868" spans="1:14" s="2" customFormat="1">
      <c r="A29868" s="83"/>
      <c r="H29868" s="83"/>
      <c r="K29868" s="82"/>
      <c r="M29868" s="112"/>
      <c r="N29868" s="84"/>
    </row>
    <row r="29869" spans="1:14" s="2" customFormat="1">
      <c r="A29869" s="83"/>
      <c r="H29869" s="83"/>
      <c r="K29869" s="82"/>
      <c r="M29869" s="112"/>
      <c r="N29869" s="84"/>
    </row>
    <row r="29870" spans="1:14" s="2" customFormat="1">
      <c r="A29870" s="83"/>
      <c r="H29870" s="83"/>
      <c r="K29870" s="82"/>
      <c r="M29870" s="112"/>
      <c r="N29870" s="84"/>
    </row>
    <row r="29871" spans="1:14" s="2" customFormat="1">
      <c r="A29871" s="83"/>
      <c r="H29871" s="83"/>
      <c r="K29871" s="82"/>
      <c r="M29871" s="112"/>
      <c r="N29871" s="84"/>
    </row>
    <row r="29872" spans="1:14" s="2" customFormat="1">
      <c r="A29872" s="83"/>
      <c r="H29872" s="83"/>
      <c r="K29872" s="82"/>
      <c r="M29872" s="112"/>
      <c r="N29872" s="84"/>
    </row>
    <row r="29873" spans="1:14" s="2" customFormat="1">
      <c r="A29873" s="83"/>
      <c r="H29873" s="83"/>
      <c r="K29873" s="82"/>
      <c r="M29873" s="112"/>
      <c r="N29873" s="84"/>
    </row>
    <row r="29874" spans="1:14" s="2" customFormat="1">
      <c r="A29874" s="83"/>
      <c r="H29874" s="83"/>
      <c r="K29874" s="82"/>
      <c r="M29874" s="112"/>
      <c r="N29874" s="84"/>
    </row>
    <row r="29875" spans="1:14" s="2" customFormat="1">
      <c r="A29875" s="83"/>
      <c r="H29875" s="83"/>
      <c r="K29875" s="82"/>
      <c r="M29875" s="112"/>
      <c r="N29875" s="84"/>
    </row>
    <row r="29876" spans="1:14" s="2" customFormat="1">
      <c r="A29876" s="83"/>
      <c r="H29876" s="83"/>
      <c r="K29876" s="82"/>
      <c r="M29876" s="112"/>
      <c r="N29876" s="84"/>
    </row>
    <row r="29877" spans="1:14" s="2" customFormat="1">
      <c r="A29877" s="83"/>
      <c r="H29877" s="83"/>
      <c r="K29877" s="82"/>
      <c r="M29877" s="112"/>
      <c r="N29877" s="84"/>
    </row>
    <row r="29878" spans="1:14" s="2" customFormat="1">
      <c r="A29878" s="83"/>
      <c r="H29878" s="83"/>
      <c r="K29878" s="82"/>
      <c r="M29878" s="112"/>
      <c r="N29878" s="84"/>
    </row>
    <row r="29879" spans="1:14" s="2" customFormat="1">
      <c r="A29879" s="83"/>
      <c r="H29879" s="83"/>
      <c r="K29879" s="82"/>
      <c r="M29879" s="112"/>
      <c r="N29879" s="84"/>
    </row>
    <row r="29880" spans="1:14" s="2" customFormat="1">
      <c r="A29880" s="83"/>
      <c r="H29880" s="83"/>
      <c r="K29880" s="82"/>
      <c r="M29880" s="112"/>
      <c r="N29880" s="84"/>
    </row>
    <row r="29881" spans="1:14" s="2" customFormat="1">
      <c r="A29881" s="83"/>
      <c r="H29881" s="83"/>
      <c r="K29881" s="82"/>
      <c r="M29881" s="112"/>
      <c r="N29881" s="84"/>
    </row>
    <row r="29882" spans="1:14" s="2" customFormat="1">
      <c r="A29882" s="83"/>
      <c r="H29882" s="83"/>
      <c r="K29882" s="82"/>
      <c r="M29882" s="112"/>
      <c r="N29882" s="84"/>
    </row>
    <row r="29883" spans="1:14" s="2" customFormat="1">
      <c r="A29883" s="83"/>
      <c r="H29883" s="83"/>
      <c r="K29883" s="82"/>
      <c r="M29883" s="112"/>
      <c r="N29883" s="84"/>
    </row>
    <row r="29884" spans="1:14" s="2" customFormat="1">
      <c r="A29884" s="83"/>
      <c r="H29884" s="83"/>
      <c r="K29884" s="82"/>
      <c r="M29884" s="112"/>
      <c r="N29884" s="84"/>
    </row>
    <row r="29885" spans="1:14" s="2" customFormat="1">
      <c r="A29885" s="83"/>
      <c r="H29885" s="83"/>
      <c r="K29885" s="82"/>
      <c r="M29885" s="112"/>
      <c r="N29885" s="84"/>
    </row>
    <row r="29886" spans="1:14" s="2" customFormat="1">
      <c r="A29886" s="83"/>
      <c r="H29886" s="83"/>
      <c r="K29886" s="82"/>
      <c r="M29886" s="112"/>
      <c r="N29886" s="84"/>
    </row>
    <row r="29887" spans="1:14" s="2" customFormat="1">
      <c r="A29887" s="83"/>
      <c r="H29887" s="83"/>
      <c r="K29887" s="82"/>
      <c r="M29887" s="112"/>
      <c r="N29887" s="84"/>
    </row>
    <row r="29888" spans="1:14" s="2" customFormat="1">
      <c r="A29888" s="83"/>
      <c r="H29888" s="83"/>
      <c r="K29888" s="82"/>
      <c r="M29888" s="112"/>
      <c r="N29888" s="84"/>
    </row>
    <row r="29889" spans="1:14" s="2" customFormat="1">
      <c r="A29889" s="83"/>
      <c r="H29889" s="83"/>
      <c r="K29889" s="82"/>
      <c r="M29889" s="112"/>
      <c r="N29889" s="84"/>
    </row>
    <row r="29890" spans="1:14" s="2" customFormat="1">
      <c r="A29890" s="83"/>
      <c r="H29890" s="83"/>
      <c r="K29890" s="82"/>
      <c r="M29890" s="112"/>
      <c r="N29890" s="84"/>
    </row>
    <row r="29891" spans="1:14" s="2" customFormat="1">
      <c r="A29891" s="83"/>
      <c r="H29891" s="83"/>
      <c r="K29891" s="82"/>
      <c r="M29891" s="112"/>
      <c r="N29891" s="84"/>
    </row>
    <row r="29892" spans="1:14" s="2" customFormat="1">
      <c r="A29892" s="83"/>
      <c r="H29892" s="83"/>
      <c r="K29892" s="82"/>
      <c r="M29892" s="112"/>
      <c r="N29892" s="84"/>
    </row>
    <row r="29893" spans="1:14" s="2" customFormat="1">
      <c r="A29893" s="83"/>
      <c r="H29893" s="83"/>
      <c r="K29893" s="82"/>
      <c r="M29893" s="112"/>
      <c r="N29893" s="84"/>
    </row>
    <row r="29894" spans="1:14" s="2" customFormat="1">
      <c r="A29894" s="83"/>
      <c r="H29894" s="83"/>
      <c r="K29894" s="82"/>
      <c r="M29894" s="112"/>
      <c r="N29894" s="84"/>
    </row>
    <row r="29895" spans="1:14" s="2" customFormat="1">
      <c r="A29895" s="83"/>
      <c r="H29895" s="83"/>
      <c r="K29895" s="82"/>
      <c r="M29895" s="112"/>
      <c r="N29895" s="84"/>
    </row>
    <row r="29896" spans="1:14" s="2" customFormat="1">
      <c r="A29896" s="83"/>
      <c r="H29896" s="83"/>
      <c r="K29896" s="82"/>
      <c r="M29896" s="112"/>
      <c r="N29896" s="84"/>
    </row>
    <row r="29897" spans="1:14" s="2" customFormat="1">
      <c r="A29897" s="83"/>
      <c r="H29897" s="83"/>
      <c r="K29897" s="82"/>
      <c r="M29897" s="112"/>
      <c r="N29897" s="84"/>
    </row>
    <row r="29898" spans="1:14" s="2" customFormat="1">
      <c r="A29898" s="83"/>
      <c r="H29898" s="83"/>
      <c r="K29898" s="82"/>
      <c r="M29898" s="112"/>
      <c r="N29898" s="84"/>
    </row>
    <row r="29899" spans="1:14" s="2" customFormat="1">
      <c r="A29899" s="83"/>
      <c r="H29899" s="83"/>
      <c r="K29899" s="82"/>
      <c r="M29899" s="112"/>
      <c r="N29899" s="84"/>
    </row>
    <row r="29900" spans="1:14" s="2" customFormat="1">
      <c r="A29900" s="83"/>
      <c r="H29900" s="83"/>
      <c r="K29900" s="82"/>
      <c r="M29900" s="112"/>
      <c r="N29900" s="84"/>
    </row>
    <row r="29901" spans="1:14" s="2" customFormat="1">
      <c r="A29901" s="83"/>
      <c r="H29901" s="83"/>
      <c r="K29901" s="82"/>
      <c r="M29901" s="112"/>
      <c r="N29901" s="84"/>
    </row>
    <row r="29902" spans="1:14" s="2" customFormat="1">
      <c r="A29902" s="83"/>
      <c r="H29902" s="83"/>
      <c r="K29902" s="82"/>
      <c r="M29902" s="112"/>
      <c r="N29902" s="84"/>
    </row>
    <row r="29903" spans="1:14" s="2" customFormat="1">
      <c r="A29903" s="83"/>
      <c r="H29903" s="83"/>
      <c r="K29903" s="82"/>
      <c r="M29903" s="112"/>
      <c r="N29903" s="84"/>
    </row>
    <row r="29904" spans="1:14" s="2" customFormat="1">
      <c r="A29904" s="83"/>
      <c r="H29904" s="83"/>
      <c r="K29904" s="82"/>
      <c r="M29904" s="112"/>
      <c r="N29904" s="84"/>
    </row>
    <row r="29905" spans="1:14" s="2" customFormat="1">
      <c r="A29905" s="83"/>
      <c r="H29905" s="83"/>
      <c r="K29905" s="82"/>
      <c r="M29905" s="112"/>
      <c r="N29905" s="84"/>
    </row>
    <row r="29906" spans="1:14" s="2" customFormat="1">
      <c r="A29906" s="83"/>
      <c r="H29906" s="83"/>
      <c r="K29906" s="82"/>
      <c r="M29906" s="112"/>
      <c r="N29906" s="84"/>
    </row>
    <row r="29907" spans="1:14" s="2" customFormat="1">
      <c r="A29907" s="83"/>
      <c r="H29907" s="83"/>
      <c r="K29907" s="82"/>
      <c r="M29907" s="112"/>
      <c r="N29907" s="84"/>
    </row>
    <row r="29908" spans="1:14" s="2" customFormat="1">
      <c r="A29908" s="83"/>
      <c r="H29908" s="83"/>
      <c r="K29908" s="82"/>
      <c r="M29908" s="112"/>
      <c r="N29908" s="84"/>
    </row>
    <row r="29909" spans="1:14" s="2" customFormat="1">
      <c r="A29909" s="83"/>
      <c r="H29909" s="83"/>
      <c r="K29909" s="82"/>
      <c r="M29909" s="112"/>
      <c r="N29909" s="84"/>
    </row>
    <row r="29910" spans="1:14" s="2" customFormat="1">
      <c r="A29910" s="83"/>
      <c r="H29910" s="83"/>
      <c r="K29910" s="82"/>
      <c r="M29910" s="112"/>
      <c r="N29910" s="84"/>
    </row>
    <row r="29911" spans="1:14" s="2" customFormat="1">
      <c r="A29911" s="83"/>
      <c r="H29911" s="83"/>
      <c r="K29911" s="82"/>
      <c r="M29911" s="112"/>
      <c r="N29911" s="84"/>
    </row>
    <row r="29912" spans="1:14" s="2" customFormat="1">
      <c r="A29912" s="83"/>
      <c r="H29912" s="83"/>
      <c r="K29912" s="82"/>
      <c r="M29912" s="112"/>
      <c r="N29912" s="84"/>
    </row>
    <row r="29913" spans="1:14" s="2" customFormat="1">
      <c r="A29913" s="83"/>
      <c r="H29913" s="83"/>
      <c r="K29913" s="82"/>
      <c r="M29913" s="112"/>
      <c r="N29913" s="84"/>
    </row>
    <row r="29914" spans="1:14" s="2" customFormat="1">
      <c r="A29914" s="83"/>
      <c r="H29914" s="83"/>
      <c r="K29914" s="82"/>
      <c r="M29914" s="112"/>
      <c r="N29914" s="84"/>
    </row>
    <row r="29915" spans="1:14" s="2" customFormat="1">
      <c r="A29915" s="83"/>
      <c r="H29915" s="83"/>
      <c r="K29915" s="82"/>
      <c r="M29915" s="112"/>
      <c r="N29915" s="84"/>
    </row>
    <row r="29916" spans="1:14" s="2" customFormat="1">
      <c r="A29916" s="83"/>
      <c r="H29916" s="83"/>
      <c r="K29916" s="82"/>
      <c r="M29916" s="112"/>
      <c r="N29916" s="84"/>
    </row>
    <row r="29917" spans="1:14" s="2" customFormat="1">
      <c r="A29917" s="83"/>
      <c r="H29917" s="83"/>
      <c r="K29917" s="82"/>
      <c r="M29917" s="112"/>
      <c r="N29917" s="84"/>
    </row>
    <row r="29918" spans="1:14" s="2" customFormat="1">
      <c r="A29918" s="83"/>
      <c r="H29918" s="83"/>
      <c r="K29918" s="82"/>
      <c r="M29918" s="112"/>
      <c r="N29918" s="84"/>
    </row>
    <row r="29919" spans="1:14" s="2" customFormat="1">
      <c r="A29919" s="83"/>
      <c r="H29919" s="83"/>
      <c r="K29919" s="82"/>
      <c r="M29919" s="112"/>
      <c r="N29919" s="84"/>
    </row>
    <row r="29920" spans="1:14" s="2" customFormat="1">
      <c r="A29920" s="83"/>
      <c r="H29920" s="83"/>
      <c r="K29920" s="82"/>
      <c r="M29920" s="112"/>
      <c r="N29920" s="84"/>
    </row>
    <row r="29921" spans="1:14" s="2" customFormat="1">
      <c r="A29921" s="83"/>
      <c r="H29921" s="83"/>
      <c r="K29921" s="82"/>
      <c r="M29921" s="112"/>
      <c r="N29921" s="84"/>
    </row>
    <row r="29922" spans="1:14" s="2" customFormat="1">
      <c r="A29922" s="83"/>
      <c r="H29922" s="83"/>
      <c r="K29922" s="82"/>
      <c r="M29922" s="112"/>
      <c r="N29922" s="84"/>
    </row>
    <row r="29923" spans="1:14" s="2" customFormat="1">
      <c r="A29923" s="83"/>
      <c r="H29923" s="83"/>
      <c r="K29923" s="82"/>
      <c r="M29923" s="112"/>
      <c r="N29923" s="84"/>
    </row>
    <row r="29924" spans="1:14" s="2" customFormat="1">
      <c r="A29924" s="83"/>
      <c r="H29924" s="83"/>
      <c r="K29924" s="82"/>
      <c r="M29924" s="112"/>
      <c r="N29924" s="84"/>
    </row>
    <row r="29925" spans="1:14" s="2" customFormat="1">
      <c r="A29925" s="83"/>
      <c r="H29925" s="83"/>
      <c r="K29925" s="82"/>
      <c r="M29925" s="112"/>
      <c r="N29925" s="84"/>
    </row>
    <row r="29926" spans="1:14" s="2" customFormat="1">
      <c r="A29926" s="83"/>
      <c r="H29926" s="83"/>
      <c r="K29926" s="82"/>
      <c r="M29926" s="112"/>
      <c r="N29926" s="84"/>
    </row>
    <row r="29927" spans="1:14" s="2" customFormat="1">
      <c r="A29927" s="83"/>
      <c r="H29927" s="83"/>
      <c r="K29927" s="82"/>
      <c r="M29927" s="112"/>
      <c r="N29927" s="84"/>
    </row>
    <row r="29928" spans="1:14" s="2" customFormat="1">
      <c r="A29928" s="83"/>
      <c r="H29928" s="83"/>
      <c r="K29928" s="82"/>
      <c r="M29928" s="112"/>
      <c r="N29928" s="84"/>
    </row>
    <row r="29929" spans="1:14" s="2" customFormat="1">
      <c r="A29929" s="83"/>
      <c r="H29929" s="83"/>
      <c r="K29929" s="82"/>
      <c r="M29929" s="112"/>
      <c r="N29929" s="84"/>
    </row>
    <row r="29930" spans="1:14" s="2" customFormat="1">
      <c r="A29930" s="83"/>
      <c r="H29930" s="83"/>
      <c r="K29930" s="82"/>
      <c r="M29930" s="112"/>
      <c r="N29930" s="84"/>
    </row>
    <row r="29931" spans="1:14" s="2" customFormat="1">
      <c r="A29931" s="83"/>
      <c r="H29931" s="83"/>
      <c r="K29931" s="82"/>
      <c r="M29931" s="112"/>
      <c r="N29931" s="84"/>
    </row>
    <row r="29932" spans="1:14" s="2" customFormat="1">
      <c r="A29932" s="83"/>
      <c r="H29932" s="83"/>
      <c r="K29932" s="82"/>
      <c r="M29932" s="112"/>
      <c r="N29932" s="84"/>
    </row>
    <row r="29933" spans="1:14" s="2" customFormat="1">
      <c r="A29933" s="83"/>
      <c r="H29933" s="83"/>
      <c r="K29933" s="82"/>
      <c r="M29933" s="112"/>
      <c r="N29933" s="84"/>
    </row>
    <row r="29934" spans="1:14" s="2" customFormat="1">
      <c r="A29934" s="83"/>
      <c r="H29934" s="83"/>
      <c r="K29934" s="82"/>
      <c r="M29934" s="112"/>
      <c r="N29934" s="84"/>
    </row>
    <row r="29935" spans="1:14" s="2" customFormat="1">
      <c r="A29935" s="83"/>
      <c r="H29935" s="83"/>
      <c r="K29935" s="82"/>
      <c r="M29935" s="112"/>
      <c r="N29935" s="84"/>
    </row>
    <row r="29936" spans="1:14" s="2" customFormat="1">
      <c r="A29936" s="83"/>
      <c r="H29936" s="83"/>
      <c r="K29936" s="82"/>
      <c r="M29936" s="112"/>
      <c r="N29936" s="84"/>
    </row>
    <row r="29937" spans="1:14" s="2" customFormat="1">
      <c r="A29937" s="83"/>
      <c r="H29937" s="83"/>
      <c r="K29937" s="82"/>
      <c r="M29937" s="112"/>
      <c r="N29937" s="84"/>
    </row>
    <row r="29938" spans="1:14" s="2" customFormat="1">
      <c r="A29938" s="83"/>
      <c r="H29938" s="83"/>
      <c r="K29938" s="82"/>
      <c r="M29938" s="112"/>
      <c r="N29938" s="84"/>
    </row>
    <row r="29939" spans="1:14" s="2" customFormat="1">
      <c r="A29939" s="83"/>
      <c r="H29939" s="83"/>
      <c r="K29939" s="82"/>
      <c r="M29939" s="112"/>
      <c r="N29939" s="84"/>
    </row>
    <row r="29940" spans="1:14" s="2" customFormat="1">
      <c r="A29940" s="83"/>
      <c r="H29940" s="83"/>
      <c r="K29940" s="82"/>
      <c r="M29940" s="112"/>
      <c r="N29940" s="84"/>
    </row>
    <row r="29941" spans="1:14" s="2" customFormat="1">
      <c r="A29941" s="83"/>
      <c r="H29941" s="83"/>
      <c r="K29941" s="82"/>
      <c r="M29941" s="112"/>
      <c r="N29941" s="84"/>
    </row>
    <row r="29942" spans="1:14" s="2" customFormat="1">
      <c r="A29942" s="83"/>
      <c r="H29942" s="83"/>
      <c r="K29942" s="82"/>
      <c r="M29942" s="112"/>
      <c r="N29942" s="84"/>
    </row>
    <row r="29943" spans="1:14" s="2" customFormat="1">
      <c r="A29943" s="83"/>
      <c r="H29943" s="83"/>
      <c r="K29943" s="82"/>
      <c r="M29943" s="112"/>
      <c r="N29943" s="84"/>
    </row>
    <row r="29944" spans="1:14" s="2" customFormat="1">
      <c r="A29944" s="83"/>
      <c r="H29944" s="83"/>
      <c r="K29944" s="82"/>
      <c r="M29944" s="112"/>
      <c r="N29944" s="84"/>
    </row>
    <row r="29945" spans="1:14" s="2" customFormat="1">
      <c r="A29945" s="83"/>
      <c r="H29945" s="83"/>
      <c r="K29945" s="82"/>
      <c r="M29945" s="112"/>
      <c r="N29945" s="84"/>
    </row>
    <row r="29946" spans="1:14" s="2" customFormat="1">
      <c r="A29946" s="83"/>
      <c r="H29946" s="83"/>
      <c r="K29946" s="82"/>
      <c r="M29946" s="112"/>
      <c r="N29946" s="84"/>
    </row>
    <row r="29947" spans="1:14" s="2" customFormat="1">
      <c r="A29947" s="83"/>
      <c r="H29947" s="83"/>
      <c r="K29947" s="82"/>
      <c r="M29947" s="112"/>
      <c r="N29947" s="84"/>
    </row>
    <row r="29948" spans="1:14" s="2" customFormat="1">
      <c r="A29948" s="83"/>
      <c r="H29948" s="83"/>
      <c r="K29948" s="82"/>
      <c r="M29948" s="112"/>
      <c r="N29948" s="84"/>
    </row>
    <row r="29949" spans="1:14" s="2" customFormat="1">
      <c r="A29949" s="83"/>
      <c r="H29949" s="83"/>
      <c r="K29949" s="82"/>
      <c r="M29949" s="112"/>
      <c r="N29949" s="84"/>
    </row>
    <row r="29950" spans="1:14" s="2" customFormat="1">
      <c r="A29950" s="83"/>
      <c r="H29950" s="83"/>
      <c r="K29950" s="82"/>
      <c r="M29950" s="112"/>
      <c r="N29950" s="84"/>
    </row>
    <row r="29951" spans="1:14" s="2" customFormat="1">
      <c r="A29951" s="83"/>
      <c r="H29951" s="83"/>
      <c r="K29951" s="82"/>
      <c r="M29951" s="112"/>
      <c r="N29951" s="84"/>
    </row>
    <row r="29952" spans="1:14" s="2" customFormat="1">
      <c r="A29952" s="83"/>
      <c r="H29952" s="83"/>
      <c r="K29952" s="82"/>
      <c r="M29952" s="112"/>
      <c r="N29952" s="84"/>
    </row>
    <row r="29953" spans="1:14" s="2" customFormat="1">
      <c r="A29953" s="83"/>
      <c r="H29953" s="83"/>
      <c r="K29953" s="82"/>
      <c r="M29953" s="112"/>
      <c r="N29953" s="84"/>
    </row>
    <row r="29954" spans="1:14" s="2" customFormat="1">
      <c r="A29954" s="83"/>
      <c r="H29954" s="83"/>
      <c r="K29954" s="82"/>
      <c r="M29954" s="112"/>
      <c r="N29954" s="84"/>
    </row>
    <row r="29955" spans="1:14" s="2" customFormat="1">
      <c r="A29955" s="83"/>
      <c r="H29955" s="83"/>
      <c r="K29955" s="82"/>
      <c r="M29955" s="112"/>
      <c r="N29955" s="84"/>
    </row>
    <row r="29956" spans="1:14" s="2" customFormat="1">
      <c r="A29956" s="83"/>
      <c r="H29956" s="83"/>
      <c r="K29956" s="82"/>
      <c r="M29956" s="112"/>
      <c r="N29956" s="84"/>
    </row>
    <row r="29957" spans="1:14" s="2" customFormat="1">
      <c r="A29957" s="83"/>
      <c r="H29957" s="83"/>
      <c r="K29957" s="82"/>
      <c r="M29957" s="112"/>
      <c r="N29957" s="84"/>
    </row>
    <row r="29958" spans="1:14" s="2" customFormat="1">
      <c r="A29958" s="83"/>
      <c r="H29958" s="83"/>
      <c r="K29958" s="82"/>
      <c r="M29958" s="112"/>
      <c r="N29958" s="84"/>
    </row>
    <row r="29959" spans="1:14" s="2" customFormat="1">
      <c r="A29959" s="83"/>
      <c r="H29959" s="83"/>
      <c r="K29959" s="82"/>
      <c r="M29959" s="112"/>
      <c r="N29959" s="84"/>
    </row>
    <row r="29960" spans="1:14" s="2" customFormat="1">
      <c r="A29960" s="83"/>
      <c r="H29960" s="83"/>
      <c r="K29960" s="82"/>
      <c r="M29960" s="112"/>
      <c r="N29960" s="84"/>
    </row>
    <row r="29961" spans="1:14" s="2" customFormat="1">
      <c r="A29961" s="83"/>
      <c r="H29961" s="83"/>
      <c r="K29961" s="82"/>
      <c r="M29961" s="112"/>
      <c r="N29961" s="84"/>
    </row>
    <row r="29962" spans="1:14" s="2" customFormat="1">
      <c r="A29962" s="83"/>
      <c r="H29962" s="83"/>
      <c r="K29962" s="82"/>
      <c r="M29962" s="112"/>
      <c r="N29962" s="84"/>
    </row>
    <row r="29963" spans="1:14" s="2" customFormat="1">
      <c r="A29963" s="83"/>
      <c r="H29963" s="83"/>
      <c r="K29963" s="82"/>
      <c r="M29963" s="112"/>
      <c r="N29963" s="84"/>
    </row>
    <row r="29964" spans="1:14" s="2" customFormat="1">
      <c r="A29964" s="83"/>
      <c r="H29964" s="83"/>
      <c r="K29964" s="82"/>
      <c r="M29964" s="112"/>
      <c r="N29964" s="84"/>
    </row>
    <row r="29965" spans="1:14" s="2" customFormat="1">
      <c r="A29965" s="83"/>
      <c r="H29965" s="83"/>
      <c r="K29965" s="82"/>
      <c r="M29965" s="112"/>
      <c r="N29965" s="84"/>
    </row>
    <row r="29966" spans="1:14" s="2" customFormat="1">
      <c r="A29966" s="83"/>
      <c r="H29966" s="83"/>
      <c r="K29966" s="82"/>
      <c r="M29966" s="112"/>
      <c r="N29966" s="84"/>
    </row>
    <row r="29967" spans="1:14" s="2" customFormat="1">
      <c r="A29967" s="83"/>
      <c r="H29967" s="83"/>
      <c r="K29967" s="82"/>
      <c r="M29967" s="112"/>
      <c r="N29967" s="84"/>
    </row>
    <row r="29968" spans="1:14" s="2" customFormat="1">
      <c r="A29968" s="83"/>
      <c r="H29968" s="83"/>
      <c r="K29968" s="82"/>
      <c r="M29968" s="112"/>
      <c r="N29968" s="84"/>
    </row>
    <row r="29969" spans="1:14" s="2" customFormat="1">
      <c r="A29969" s="83"/>
      <c r="H29969" s="83"/>
      <c r="K29969" s="82"/>
      <c r="M29969" s="112"/>
      <c r="N29969" s="84"/>
    </row>
    <row r="29970" spans="1:14" s="2" customFormat="1">
      <c r="A29970" s="83"/>
      <c r="H29970" s="83"/>
      <c r="K29970" s="82"/>
      <c r="M29970" s="112"/>
      <c r="N29970" s="84"/>
    </row>
    <row r="29971" spans="1:14" s="2" customFormat="1">
      <c r="A29971" s="83"/>
      <c r="H29971" s="83"/>
      <c r="K29971" s="82"/>
      <c r="M29971" s="112"/>
      <c r="N29971" s="84"/>
    </row>
    <row r="29972" spans="1:14" s="2" customFormat="1">
      <c r="A29972" s="83"/>
      <c r="H29972" s="83"/>
      <c r="K29972" s="82"/>
      <c r="M29972" s="112"/>
      <c r="N29972" s="84"/>
    </row>
    <row r="29973" spans="1:14" s="2" customFormat="1">
      <c r="A29973" s="83"/>
      <c r="H29973" s="83"/>
      <c r="K29973" s="82"/>
      <c r="M29973" s="112"/>
      <c r="N29973" s="84"/>
    </row>
    <row r="29974" spans="1:14" s="2" customFormat="1">
      <c r="A29974" s="83"/>
      <c r="H29974" s="83"/>
      <c r="K29974" s="82"/>
      <c r="M29974" s="112"/>
      <c r="N29974" s="84"/>
    </row>
    <row r="29975" spans="1:14" s="2" customFormat="1">
      <c r="A29975" s="83"/>
      <c r="H29975" s="83"/>
      <c r="K29975" s="82"/>
      <c r="M29975" s="112"/>
      <c r="N29975" s="84"/>
    </row>
    <row r="29976" spans="1:14" s="2" customFormat="1">
      <c r="A29976" s="83"/>
      <c r="H29976" s="83"/>
      <c r="K29976" s="82"/>
      <c r="M29976" s="112"/>
      <c r="N29976" s="84"/>
    </row>
    <row r="29977" spans="1:14" s="2" customFormat="1">
      <c r="A29977" s="83"/>
      <c r="H29977" s="83"/>
      <c r="K29977" s="82"/>
      <c r="M29977" s="112"/>
      <c r="N29977" s="84"/>
    </row>
    <row r="29978" spans="1:14" s="2" customFormat="1">
      <c r="A29978" s="83"/>
      <c r="H29978" s="83"/>
      <c r="K29978" s="82"/>
      <c r="M29978" s="112"/>
      <c r="N29978" s="84"/>
    </row>
    <row r="29979" spans="1:14" s="2" customFormat="1">
      <c r="A29979" s="83"/>
      <c r="H29979" s="83"/>
      <c r="K29979" s="82"/>
      <c r="M29979" s="112"/>
      <c r="N29979" s="84"/>
    </row>
    <row r="29980" spans="1:14" s="2" customFormat="1">
      <c r="A29980" s="83"/>
      <c r="H29980" s="83"/>
      <c r="K29980" s="82"/>
      <c r="M29980" s="112"/>
      <c r="N29980" s="84"/>
    </row>
    <row r="29981" spans="1:14" s="2" customFormat="1">
      <c r="A29981" s="83"/>
      <c r="H29981" s="83"/>
      <c r="K29981" s="82"/>
      <c r="M29981" s="112"/>
      <c r="N29981" s="84"/>
    </row>
    <row r="29982" spans="1:14" s="2" customFormat="1">
      <c r="A29982" s="83"/>
      <c r="H29982" s="83"/>
      <c r="K29982" s="82"/>
      <c r="M29982" s="112"/>
      <c r="N29982" s="84"/>
    </row>
    <row r="29983" spans="1:14" s="2" customFormat="1">
      <c r="A29983" s="83"/>
      <c r="H29983" s="83"/>
      <c r="K29983" s="82"/>
      <c r="M29983" s="112"/>
      <c r="N29983" s="84"/>
    </row>
    <row r="29984" spans="1:14" s="2" customFormat="1">
      <c r="A29984" s="83"/>
      <c r="H29984" s="83"/>
      <c r="K29984" s="82"/>
      <c r="M29984" s="112"/>
      <c r="N29984" s="84"/>
    </row>
    <row r="29985" spans="1:14" s="2" customFormat="1">
      <c r="A29985" s="83"/>
      <c r="H29985" s="83"/>
      <c r="K29985" s="82"/>
      <c r="M29985" s="112"/>
      <c r="N29985" s="84"/>
    </row>
    <row r="29986" spans="1:14" s="2" customFormat="1">
      <c r="A29986" s="83"/>
      <c r="H29986" s="83"/>
      <c r="K29986" s="82"/>
      <c r="M29986" s="112"/>
      <c r="N29986" s="84"/>
    </row>
    <row r="29987" spans="1:14" s="2" customFormat="1">
      <c r="A29987" s="83"/>
      <c r="H29987" s="83"/>
      <c r="K29987" s="82"/>
      <c r="M29987" s="112"/>
      <c r="N29987" s="84"/>
    </row>
    <row r="29988" spans="1:14" s="2" customFormat="1">
      <c r="A29988" s="83"/>
      <c r="H29988" s="83"/>
      <c r="K29988" s="82"/>
      <c r="M29988" s="112"/>
      <c r="N29988" s="84"/>
    </row>
    <row r="29989" spans="1:14" s="2" customFormat="1">
      <c r="A29989" s="83"/>
      <c r="H29989" s="83"/>
      <c r="K29989" s="82"/>
      <c r="M29989" s="112"/>
      <c r="N29989" s="84"/>
    </row>
    <row r="29990" spans="1:14" s="2" customFormat="1">
      <c r="A29990" s="83"/>
      <c r="H29990" s="83"/>
      <c r="K29990" s="82"/>
      <c r="M29990" s="112"/>
      <c r="N29990" s="84"/>
    </row>
    <row r="29991" spans="1:14" s="2" customFormat="1">
      <c r="A29991" s="83"/>
      <c r="H29991" s="83"/>
      <c r="K29991" s="82"/>
      <c r="M29991" s="112"/>
      <c r="N29991" s="84"/>
    </row>
    <row r="29992" spans="1:14" s="2" customFormat="1">
      <c r="A29992" s="83"/>
      <c r="H29992" s="83"/>
      <c r="K29992" s="82"/>
      <c r="M29992" s="112"/>
      <c r="N29992" s="84"/>
    </row>
    <row r="29993" spans="1:14" s="2" customFormat="1">
      <c r="A29993" s="83"/>
      <c r="H29993" s="83"/>
      <c r="K29993" s="82"/>
      <c r="M29993" s="112"/>
      <c r="N29993" s="84"/>
    </row>
    <row r="29994" spans="1:14" s="2" customFormat="1">
      <c r="A29994" s="83"/>
      <c r="H29994" s="83"/>
      <c r="K29994" s="82"/>
      <c r="M29994" s="112"/>
      <c r="N29994" s="84"/>
    </row>
    <row r="29995" spans="1:14" s="2" customFormat="1">
      <c r="A29995" s="83"/>
      <c r="H29995" s="83"/>
      <c r="K29995" s="82"/>
      <c r="M29995" s="112"/>
      <c r="N29995" s="84"/>
    </row>
    <row r="29996" spans="1:14" s="2" customFormat="1">
      <c r="A29996" s="83"/>
      <c r="H29996" s="83"/>
      <c r="K29996" s="82"/>
      <c r="M29996" s="112"/>
      <c r="N29996" s="84"/>
    </row>
    <row r="29997" spans="1:14" s="2" customFormat="1">
      <c r="A29997" s="83"/>
      <c r="H29997" s="83"/>
      <c r="K29997" s="82"/>
      <c r="M29997" s="112"/>
      <c r="N29997" s="84"/>
    </row>
    <row r="29998" spans="1:14" s="2" customFormat="1">
      <c r="A29998" s="83"/>
      <c r="H29998" s="83"/>
      <c r="K29998" s="82"/>
      <c r="M29998" s="112"/>
      <c r="N29998" s="84"/>
    </row>
    <row r="29999" spans="1:14" s="2" customFormat="1">
      <c r="A29999" s="83"/>
      <c r="H29999" s="83"/>
      <c r="K29999" s="82"/>
      <c r="M29999" s="112"/>
      <c r="N29999" s="84"/>
    </row>
    <row r="30000" spans="1:14" s="2" customFormat="1">
      <c r="A30000" s="83"/>
      <c r="H30000" s="83"/>
      <c r="K30000" s="82"/>
      <c r="M30000" s="112"/>
      <c r="N30000" s="84"/>
    </row>
    <row r="30001" spans="1:14" s="2" customFormat="1">
      <c r="A30001" s="83"/>
      <c r="H30001" s="83"/>
      <c r="K30001" s="82"/>
      <c r="M30001" s="112"/>
      <c r="N30001" s="84"/>
    </row>
    <row r="30002" spans="1:14" s="2" customFormat="1">
      <c r="A30002" s="83"/>
      <c r="H30002" s="83"/>
      <c r="K30002" s="82"/>
      <c r="M30002" s="112"/>
      <c r="N30002" s="84"/>
    </row>
    <row r="30003" spans="1:14" s="2" customFormat="1">
      <c r="A30003" s="83"/>
      <c r="H30003" s="83"/>
      <c r="K30003" s="82"/>
      <c r="M30003" s="112"/>
      <c r="N30003" s="84"/>
    </row>
    <row r="30004" spans="1:14" s="2" customFormat="1">
      <c r="A30004" s="83"/>
      <c r="H30004" s="83"/>
      <c r="K30004" s="82"/>
      <c r="M30004" s="112"/>
      <c r="N30004" s="84"/>
    </row>
    <row r="30005" spans="1:14" s="2" customFormat="1">
      <c r="A30005" s="83"/>
      <c r="H30005" s="83"/>
      <c r="K30005" s="82"/>
      <c r="M30005" s="112"/>
      <c r="N30005" s="84"/>
    </row>
    <row r="30006" spans="1:14" s="2" customFormat="1">
      <c r="A30006" s="83"/>
      <c r="H30006" s="83"/>
      <c r="K30006" s="82"/>
      <c r="M30006" s="112"/>
      <c r="N30006" s="84"/>
    </row>
    <row r="30007" spans="1:14" s="2" customFormat="1">
      <c r="A30007" s="83"/>
      <c r="H30007" s="83"/>
      <c r="K30007" s="82"/>
      <c r="M30007" s="112"/>
      <c r="N30007" s="84"/>
    </row>
    <row r="30008" spans="1:14" s="2" customFormat="1">
      <c r="A30008" s="83"/>
      <c r="H30008" s="83"/>
      <c r="K30008" s="82"/>
      <c r="M30008" s="112"/>
      <c r="N30008" s="84"/>
    </row>
    <row r="30009" spans="1:14" s="2" customFormat="1">
      <c r="A30009" s="83"/>
      <c r="H30009" s="83"/>
      <c r="K30009" s="82"/>
      <c r="M30009" s="112"/>
      <c r="N30009" s="84"/>
    </row>
    <row r="30010" spans="1:14" s="2" customFormat="1">
      <c r="A30010" s="83"/>
      <c r="H30010" s="83"/>
      <c r="K30010" s="82"/>
      <c r="M30010" s="112"/>
      <c r="N30010" s="84"/>
    </row>
    <row r="30011" spans="1:14" s="2" customFormat="1">
      <c r="A30011" s="83"/>
      <c r="H30011" s="83"/>
      <c r="K30011" s="82"/>
      <c r="M30011" s="112"/>
      <c r="N30011" s="84"/>
    </row>
    <row r="30012" spans="1:14" s="2" customFormat="1">
      <c r="A30012" s="83"/>
      <c r="H30012" s="83"/>
      <c r="K30012" s="82"/>
      <c r="M30012" s="112"/>
      <c r="N30012" s="84"/>
    </row>
    <row r="30013" spans="1:14" s="2" customFormat="1">
      <c r="A30013" s="83"/>
      <c r="H30013" s="83"/>
      <c r="K30013" s="82"/>
      <c r="M30013" s="112"/>
      <c r="N30013" s="84"/>
    </row>
    <row r="30014" spans="1:14" s="2" customFormat="1">
      <c r="A30014" s="83"/>
      <c r="H30014" s="83"/>
      <c r="K30014" s="82"/>
      <c r="M30014" s="112"/>
      <c r="N30014" s="84"/>
    </row>
    <row r="30015" spans="1:14" s="2" customFormat="1">
      <c r="A30015" s="83"/>
      <c r="H30015" s="83"/>
      <c r="K30015" s="82"/>
      <c r="M30015" s="112"/>
      <c r="N30015" s="84"/>
    </row>
    <row r="30016" spans="1:14" s="2" customFormat="1">
      <c r="A30016" s="83"/>
      <c r="H30016" s="83"/>
      <c r="K30016" s="82"/>
      <c r="M30016" s="112"/>
      <c r="N30016" s="84"/>
    </row>
    <row r="30017" spans="1:14" s="2" customFormat="1">
      <c r="A30017" s="83"/>
      <c r="H30017" s="83"/>
      <c r="K30017" s="82"/>
      <c r="M30017" s="112"/>
      <c r="N30017" s="84"/>
    </row>
    <row r="30018" spans="1:14" s="2" customFormat="1">
      <c r="A30018" s="83"/>
      <c r="H30018" s="83"/>
      <c r="K30018" s="82"/>
      <c r="M30018" s="112"/>
      <c r="N30018" s="84"/>
    </row>
    <row r="30019" spans="1:14" s="2" customFormat="1">
      <c r="A30019" s="83"/>
      <c r="H30019" s="83"/>
      <c r="K30019" s="82"/>
      <c r="M30019" s="112"/>
      <c r="N30019" s="84"/>
    </row>
    <row r="30020" spans="1:14" s="2" customFormat="1">
      <c r="A30020" s="83"/>
      <c r="H30020" s="83"/>
      <c r="K30020" s="82"/>
      <c r="M30020" s="112"/>
      <c r="N30020" s="84"/>
    </row>
    <row r="30021" spans="1:14" s="2" customFormat="1">
      <c r="A30021" s="83"/>
      <c r="H30021" s="83"/>
      <c r="K30021" s="82"/>
      <c r="M30021" s="112"/>
      <c r="N30021" s="84"/>
    </row>
    <row r="30022" spans="1:14" s="2" customFormat="1">
      <c r="A30022" s="83"/>
      <c r="H30022" s="83"/>
      <c r="K30022" s="82"/>
      <c r="M30022" s="112"/>
      <c r="N30022" s="84"/>
    </row>
    <row r="30023" spans="1:14" s="2" customFormat="1">
      <c r="A30023" s="83"/>
      <c r="H30023" s="83"/>
      <c r="K30023" s="82"/>
      <c r="M30023" s="112"/>
      <c r="N30023" s="84"/>
    </row>
    <row r="30024" spans="1:14" s="2" customFormat="1">
      <c r="A30024" s="83"/>
      <c r="H30024" s="83"/>
      <c r="K30024" s="82"/>
      <c r="M30024" s="112"/>
      <c r="N30024" s="84"/>
    </row>
    <row r="30025" spans="1:14" s="2" customFormat="1">
      <c r="A30025" s="83"/>
      <c r="H30025" s="83"/>
      <c r="K30025" s="82"/>
      <c r="M30025" s="112"/>
      <c r="N30025" s="84"/>
    </row>
    <row r="30026" spans="1:14" s="2" customFormat="1">
      <c r="A30026" s="83"/>
      <c r="H30026" s="83"/>
      <c r="K30026" s="82"/>
      <c r="M30026" s="112"/>
      <c r="N30026" s="84"/>
    </row>
    <row r="30027" spans="1:14" s="2" customFormat="1">
      <c r="A30027" s="83"/>
      <c r="H30027" s="83"/>
      <c r="K30027" s="82"/>
      <c r="M30027" s="112"/>
      <c r="N30027" s="84"/>
    </row>
    <row r="30028" spans="1:14" s="2" customFormat="1">
      <c r="A30028" s="83"/>
      <c r="H30028" s="83"/>
      <c r="K30028" s="82"/>
      <c r="M30028" s="112"/>
      <c r="N30028" s="84"/>
    </row>
    <row r="30029" spans="1:14" s="2" customFormat="1">
      <c r="A30029" s="83"/>
      <c r="H30029" s="83"/>
      <c r="K30029" s="82"/>
      <c r="M30029" s="112"/>
      <c r="N30029" s="84"/>
    </row>
    <row r="30030" spans="1:14" s="2" customFormat="1">
      <c r="A30030" s="83"/>
      <c r="H30030" s="83"/>
      <c r="K30030" s="82"/>
      <c r="M30030" s="112"/>
      <c r="N30030" s="84"/>
    </row>
    <row r="30031" spans="1:14" s="2" customFormat="1">
      <c r="A30031" s="83"/>
      <c r="H30031" s="83"/>
      <c r="K30031" s="82"/>
      <c r="M30031" s="112"/>
      <c r="N30031" s="84"/>
    </row>
    <row r="30032" spans="1:14" s="2" customFormat="1">
      <c r="A30032" s="83"/>
      <c r="H30032" s="83"/>
      <c r="K30032" s="82"/>
      <c r="M30032" s="112"/>
      <c r="N30032" s="84"/>
    </row>
    <row r="30033" spans="1:14" s="2" customFormat="1">
      <c r="A30033" s="83"/>
      <c r="H30033" s="83"/>
      <c r="K30033" s="82"/>
      <c r="M30033" s="112"/>
      <c r="N30033" s="84"/>
    </row>
    <row r="30034" spans="1:14" s="2" customFormat="1">
      <c r="A30034" s="83"/>
      <c r="H30034" s="83"/>
      <c r="K30034" s="82"/>
      <c r="M30034" s="112"/>
      <c r="N30034" s="84"/>
    </row>
    <row r="30035" spans="1:14" s="2" customFormat="1">
      <c r="A30035" s="83"/>
      <c r="H30035" s="83"/>
      <c r="K30035" s="82"/>
      <c r="M30035" s="112"/>
      <c r="N30035" s="84"/>
    </row>
    <row r="30036" spans="1:14" s="2" customFormat="1">
      <c r="A30036" s="83"/>
      <c r="H30036" s="83"/>
      <c r="K30036" s="82"/>
      <c r="M30036" s="112"/>
      <c r="N30036" s="84"/>
    </row>
    <row r="30037" spans="1:14" s="2" customFormat="1">
      <c r="A30037" s="83"/>
      <c r="H30037" s="83"/>
      <c r="K30037" s="82"/>
      <c r="M30037" s="112"/>
      <c r="N30037" s="84"/>
    </row>
    <row r="30038" spans="1:14" s="2" customFormat="1">
      <c r="A30038" s="83"/>
      <c r="H30038" s="83"/>
      <c r="K30038" s="82"/>
      <c r="M30038" s="112"/>
      <c r="N30038" s="84"/>
    </row>
    <row r="30039" spans="1:14" s="2" customFormat="1">
      <c r="A30039" s="83"/>
      <c r="H30039" s="83"/>
      <c r="K30039" s="82"/>
      <c r="M30039" s="112"/>
      <c r="N30039" s="84"/>
    </row>
    <row r="30040" spans="1:14" s="2" customFormat="1">
      <c r="A30040" s="83"/>
      <c r="H30040" s="83"/>
      <c r="K30040" s="82"/>
      <c r="M30040" s="112"/>
      <c r="N30040" s="84"/>
    </row>
    <row r="30041" spans="1:14" s="2" customFormat="1">
      <c r="A30041" s="83"/>
      <c r="H30041" s="83"/>
      <c r="K30041" s="82"/>
      <c r="M30041" s="112"/>
      <c r="N30041" s="84"/>
    </row>
    <row r="30042" spans="1:14" s="2" customFormat="1">
      <c r="A30042" s="83"/>
      <c r="H30042" s="83"/>
      <c r="K30042" s="82"/>
      <c r="M30042" s="112"/>
      <c r="N30042" s="84"/>
    </row>
    <row r="30043" spans="1:14" s="2" customFormat="1">
      <c r="A30043" s="83"/>
      <c r="H30043" s="83"/>
      <c r="K30043" s="82"/>
      <c r="M30043" s="112"/>
      <c r="N30043" s="84"/>
    </row>
    <row r="30044" spans="1:14" s="2" customFormat="1">
      <c r="A30044" s="83"/>
      <c r="H30044" s="83"/>
      <c r="K30044" s="82"/>
      <c r="M30044" s="112"/>
      <c r="N30044" s="84"/>
    </row>
    <row r="30045" spans="1:14" s="2" customFormat="1">
      <c r="A30045" s="83"/>
      <c r="H30045" s="83"/>
      <c r="K30045" s="82"/>
      <c r="M30045" s="112"/>
      <c r="N30045" s="84"/>
    </row>
    <row r="30046" spans="1:14" s="2" customFormat="1">
      <c r="A30046" s="83"/>
      <c r="H30046" s="83"/>
      <c r="K30046" s="82"/>
      <c r="M30046" s="112"/>
      <c r="N30046" s="84"/>
    </row>
    <row r="30047" spans="1:14" s="2" customFormat="1">
      <c r="A30047" s="83"/>
      <c r="H30047" s="83"/>
      <c r="K30047" s="82"/>
      <c r="M30047" s="112"/>
      <c r="N30047" s="84"/>
    </row>
    <row r="30048" spans="1:14" s="2" customFormat="1">
      <c r="A30048" s="83"/>
      <c r="H30048" s="83"/>
      <c r="K30048" s="82"/>
      <c r="M30048" s="112"/>
      <c r="N30048" s="84"/>
    </row>
    <row r="30049" spans="1:14" s="2" customFormat="1">
      <c r="A30049" s="83"/>
      <c r="H30049" s="83"/>
      <c r="K30049" s="82"/>
      <c r="M30049" s="112"/>
      <c r="N30049" s="84"/>
    </row>
    <row r="30050" spans="1:14" s="2" customFormat="1">
      <c r="A30050" s="83"/>
      <c r="H30050" s="83"/>
      <c r="K30050" s="82"/>
      <c r="M30050" s="112"/>
      <c r="N30050" s="84"/>
    </row>
    <row r="30051" spans="1:14" s="2" customFormat="1">
      <c r="A30051" s="83"/>
      <c r="H30051" s="83"/>
      <c r="K30051" s="82"/>
      <c r="M30051" s="112"/>
      <c r="N30051" s="84"/>
    </row>
    <row r="30052" spans="1:14" s="2" customFormat="1">
      <c r="A30052" s="83"/>
      <c r="H30052" s="83"/>
      <c r="K30052" s="82"/>
      <c r="M30052" s="112"/>
      <c r="N30052" s="84"/>
    </row>
    <row r="30053" spans="1:14" s="2" customFormat="1">
      <c r="A30053" s="83"/>
      <c r="H30053" s="83"/>
      <c r="K30053" s="82"/>
      <c r="M30053" s="112"/>
      <c r="N30053" s="84"/>
    </row>
    <row r="30054" spans="1:14" s="2" customFormat="1">
      <c r="A30054" s="83"/>
      <c r="H30054" s="83"/>
      <c r="K30054" s="82"/>
      <c r="M30054" s="112"/>
      <c r="N30054" s="84"/>
    </row>
    <row r="30055" spans="1:14" s="2" customFormat="1">
      <c r="A30055" s="83"/>
      <c r="H30055" s="83"/>
      <c r="K30055" s="82"/>
      <c r="M30055" s="112"/>
      <c r="N30055" s="84"/>
    </row>
    <row r="30056" spans="1:14" s="2" customFormat="1">
      <c r="A30056" s="83"/>
      <c r="H30056" s="83"/>
      <c r="K30056" s="82"/>
      <c r="M30056" s="112"/>
      <c r="N30056" s="84"/>
    </row>
    <row r="30057" spans="1:14" s="2" customFormat="1">
      <c r="A30057" s="83"/>
      <c r="H30057" s="83"/>
      <c r="K30057" s="82"/>
      <c r="M30057" s="112"/>
      <c r="N30057" s="84"/>
    </row>
    <row r="30058" spans="1:14" s="2" customFormat="1">
      <c r="A30058" s="83"/>
      <c r="H30058" s="83"/>
      <c r="K30058" s="82"/>
      <c r="M30058" s="112"/>
      <c r="N30058" s="84"/>
    </row>
    <row r="30059" spans="1:14" s="2" customFormat="1">
      <c r="A30059" s="83"/>
      <c r="H30059" s="83"/>
      <c r="K30059" s="82"/>
      <c r="M30059" s="112"/>
      <c r="N30059" s="84"/>
    </row>
    <row r="30060" spans="1:14" s="2" customFormat="1">
      <c r="A30060" s="83"/>
      <c r="H30060" s="83"/>
      <c r="K30060" s="82"/>
      <c r="M30060" s="112"/>
      <c r="N30060" s="84"/>
    </row>
    <row r="30061" spans="1:14" s="2" customFormat="1">
      <c r="A30061" s="83"/>
      <c r="H30061" s="83"/>
      <c r="K30061" s="82"/>
      <c r="M30061" s="112"/>
      <c r="N30061" s="84"/>
    </row>
    <row r="30062" spans="1:14" s="2" customFormat="1">
      <c r="A30062" s="83"/>
      <c r="H30062" s="83"/>
      <c r="K30062" s="82"/>
      <c r="M30062" s="112"/>
      <c r="N30062" s="84"/>
    </row>
    <row r="30063" spans="1:14" s="2" customFormat="1">
      <c r="A30063" s="83"/>
      <c r="H30063" s="83"/>
      <c r="K30063" s="82"/>
      <c r="M30063" s="112"/>
      <c r="N30063" s="84"/>
    </row>
    <row r="30064" spans="1:14" s="2" customFormat="1">
      <c r="A30064" s="83"/>
      <c r="H30064" s="83"/>
      <c r="K30064" s="82"/>
      <c r="M30064" s="112"/>
      <c r="N30064" s="84"/>
    </row>
    <row r="30065" spans="1:14" s="2" customFormat="1">
      <c r="A30065" s="83"/>
      <c r="H30065" s="83"/>
      <c r="K30065" s="82"/>
      <c r="M30065" s="112"/>
      <c r="N30065" s="84"/>
    </row>
    <row r="30066" spans="1:14" s="2" customFormat="1">
      <c r="A30066" s="83"/>
      <c r="H30066" s="83"/>
      <c r="K30066" s="82"/>
      <c r="M30066" s="112"/>
      <c r="N30066" s="84"/>
    </row>
    <row r="30067" spans="1:14" s="2" customFormat="1">
      <c r="A30067" s="83"/>
      <c r="H30067" s="83"/>
      <c r="K30067" s="82"/>
      <c r="M30067" s="112"/>
      <c r="N30067" s="84"/>
    </row>
    <row r="30068" spans="1:14" s="2" customFormat="1">
      <c r="A30068" s="83"/>
      <c r="H30068" s="83"/>
      <c r="K30068" s="82"/>
      <c r="M30068" s="112"/>
      <c r="N30068" s="84"/>
    </row>
    <row r="30069" spans="1:14" s="2" customFormat="1">
      <c r="A30069" s="83"/>
      <c r="H30069" s="83"/>
      <c r="K30069" s="82"/>
      <c r="M30069" s="112"/>
      <c r="N30069" s="84"/>
    </row>
    <row r="30070" spans="1:14" s="2" customFormat="1">
      <c r="A30070" s="83"/>
      <c r="H30070" s="83"/>
      <c r="K30070" s="82"/>
      <c r="M30070" s="112"/>
      <c r="N30070" s="84"/>
    </row>
    <row r="30071" spans="1:14" s="2" customFormat="1">
      <c r="A30071" s="83"/>
      <c r="H30071" s="83"/>
      <c r="K30071" s="82"/>
      <c r="M30071" s="112"/>
      <c r="N30071" s="84"/>
    </row>
    <row r="30072" spans="1:14" s="2" customFormat="1">
      <c r="A30072" s="83"/>
      <c r="H30072" s="83"/>
      <c r="K30072" s="82"/>
      <c r="M30072" s="112"/>
      <c r="N30072" s="84"/>
    </row>
    <row r="30073" spans="1:14" s="2" customFormat="1">
      <c r="A30073" s="83"/>
      <c r="H30073" s="83"/>
      <c r="K30073" s="82"/>
      <c r="M30073" s="112"/>
      <c r="N30073" s="84"/>
    </row>
    <row r="30074" spans="1:14" s="2" customFormat="1">
      <c r="A30074" s="83"/>
      <c r="H30074" s="83"/>
      <c r="K30074" s="82"/>
      <c r="M30074" s="112"/>
      <c r="N30074" s="84"/>
    </row>
    <row r="30075" spans="1:14" s="2" customFormat="1">
      <c r="A30075" s="83"/>
      <c r="H30075" s="83"/>
      <c r="K30075" s="82"/>
      <c r="M30075" s="112"/>
      <c r="N30075" s="84"/>
    </row>
    <row r="30076" spans="1:14" s="2" customFormat="1">
      <c r="A30076" s="83"/>
      <c r="H30076" s="83"/>
      <c r="K30076" s="82"/>
      <c r="M30076" s="112"/>
      <c r="N30076" s="84"/>
    </row>
    <row r="30077" spans="1:14" s="2" customFormat="1">
      <c r="A30077" s="83"/>
      <c r="H30077" s="83"/>
      <c r="K30077" s="82"/>
      <c r="M30077" s="112"/>
      <c r="N30077" s="84"/>
    </row>
    <row r="30078" spans="1:14" s="2" customFormat="1">
      <c r="A30078" s="83"/>
      <c r="H30078" s="83"/>
      <c r="K30078" s="82"/>
      <c r="M30078" s="112"/>
      <c r="N30078" s="84"/>
    </row>
    <row r="30079" spans="1:14" s="2" customFormat="1">
      <c r="A30079" s="83"/>
      <c r="H30079" s="83"/>
      <c r="K30079" s="82"/>
      <c r="M30079" s="112"/>
      <c r="N30079" s="84"/>
    </row>
    <row r="30080" spans="1:14" s="2" customFormat="1">
      <c r="A30080" s="83"/>
      <c r="H30080" s="83"/>
      <c r="K30080" s="82"/>
      <c r="M30080" s="112"/>
      <c r="N30080" s="84"/>
    </row>
    <row r="30081" spans="1:14" s="2" customFormat="1">
      <c r="A30081" s="83"/>
      <c r="H30081" s="83"/>
      <c r="K30081" s="82"/>
      <c r="M30081" s="112"/>
      <c r="N30081" s="84"/>
    </row>
    <row r="30082" spans="1:14" s="2" customFormat="1">
      <c r="A30082" s="83"/>
      <c r="H30082" s="83"/>
      <c r="K30082" s="82"/>
      <c r="M30082" s="112"/>
      <c r="N30082" s="84"/>
    </row>
    <row r="30083" spans="1:14" s="2" customFormat="1">
      <c r="A30083" s="83"/>
      <c r="H30083" s="83"/>
      <c r="K30083" s="82"/>
      <c r="M30083" s="112"/>
      <c r="N30083" s="84"/>
    </row>
    <row r="30084" spans="1:14" s="2" customFormat="1">
      <c r="A30084" s="83"/>
      <c r="H30084" s="83"/>
      <c r="K30084" s="82"/>
      <c r="M30084" s="112"/>
      <c r="N30084" s="84"/>
    </row>
    <row r="30085" spans="1:14" s="2" customFormat="1">
      <c r="A30085" s="83"/>
      <c r="H30085" s="83"/>
      <c r="K30085" s="82"/>
      <c r="M30085" s="112"/>
      <c r="N30085" s="84"/>
    </row>
    <row r="30086" spans="1:14" s="2" customFormat="1">
      <c r="A30086" s="83"/>
      <c r="H30086" s="83"/>
      <c r="K30086" s="82"/>
      <c r="M30086" s="112"/>
      <c r="N30086" s="84"/>
    </row>
    <row r="30087" spans="1:14" s="2" customFormat="1">
      <c r="A30087" s="83"/>
      <c r="H30087" s="83"/>
      <c r="K30087" s="82"/>
      <c r="M30087" s="112"/>
      <c r="N30087" s="84"/>
    </row>
    <row r="30088" spans="1:14" s="2" customFormat="1">
      <c r="A30088" s="83"/>
      <c r="H30088" s="83"/>
      <c r="K30088" s="82"/>
      <c r="M30088" s="112"/>
      <c r="N30088" s="84"/>
    </row>
    <row r="30089" spans="1:14" s="2" customFormat="1">
      <c r="A30089" s="83"/>
      <c r="H30089" s="83"/>
      <c r="K30089" s="82"/>
      <c r="M30089" s="112"/>
      <c r="N30089" s="84"/>
    </row>
    <row r="30090" spans="1:14" s="2" customFormat="1">
      <c r="A30090" s="83"/>
      <c r="H30090" s="83"/>
      <c r="K30090" s="82"/>
      <c r="M30090" s="112"/>
      <c r="N30090" s="84"/>
    </row>
    <row r="30091" spans="1:14" s="2" customFormat="1">
      <c r="A30091" s="83"/>
      <c r="H30091" s="83"/>
      <c r="K30091" s="82"/>
      <c r="M30091" s="112"/>
      <c r="N30091" s="84"/>
    </row>
    <row r="30092" spans="1:14" s="2" customFormat="1">
      <c r="A30092" s="83"/>
      <c r="H30092" s="83"/>
      <c r="K30092" s="82"/>
      <c r="M30092" s="112"/>
      <c r="N30092" s="84"/>
    </row>
    <row r="30093" spans="1:14" s="2" customFormat="1">
      <c r="A30093" s="83"/>
      <c r="H30093" s="83"/>
      <c r="K30093" s="82"/>
      <c r="M30093" s="112"/>
      <c r="N30093" s="84"/>
    </row>
    <row r="30094" spans="1:14" s="2" customFormat="1">
      <c r="A30094" s="83"/>
      <c r="H30094" s="83"/>
      <c r="K30094" s="82"/>
      <c r="M30094" s="112"/>
      <c r="N30094" s="84"/>
    </row>
    <row r="30095" spans="1:14" s="2" customFormat="1">
      <c r="A30095" s="83"/>
      <c r="H30095" s="83"/>
      <c r="K30095" s="82"/>
      <c r="M30095" s="112"/>
      <c r="N30095" s="84"/>
    </row>
    <row r="30096" spans="1:14" s="2" customFormat="1">
      <c r="A30096" s="83"/>
      <c r="H30096" s="83"/>
      <c r="K30096" s="82"/>
      <c r="M30096" s="112"/>
      <c r="N30096" s="84"/>
    </row>
    <row r="30097" spans="1:14" s="2" customFormat="1">
      <c r="A30097" s="83"/>
      <c r="H30097" s="83"/>
      <c r="K30097" s="82"/>
      <c r="M30097" s="112"/>
      <c r="N30097" s="84"/>
    </row>
    <row r="30098" spans="1:14" s="2" customFormat="1">
      <c r="A30098" s="83"/>
      <c r="H30098" s="83"/>
      <c r="K30098" s="82"/>
      <c r="M30098" s="112"/>
      <c r="N30098" s="84"/>
    </row>
    <row r="30099" spans="1:14" s="2" customFormat="1">
      <c r="A30099" s="83"/>
      <c r="H30099" s="83"/>
      <c r="K30099" s="82"/>
      <c r="M30099" s="112"/>
      <c r="N30099" s="84"/>
    </row>
    <row r="30100" spans="1:14" s="2" customFormat="1">
      <c r="A30100" s="83"/>
      <c r="H30100" s="83"/>
      <c r="K30100" s="82"/>
      <c r="M30100" s="112"/>
      <c r="N30100" s="84"/>
    </row>
    <row r="30101" spans="1:14" s="2" customFormat="1">
      <c r="A30101" s="83"/>
      <c r="H30101" s="83"/>
      <c r="K30101" s="82"/>
      <c r="M30101" s="112"/>
      <c r="N30101" s="84"/>
    </row>
    <row r="30102" spans="1:14" s="2" customFormat="1">
      <c r="A30102" s="83"/>
      <c r="H30102" s="83"/>
      <c r="K30102" s="82"/>
      <c r="M30102" s="112"/>
      <c r="N30102" s="84"/>
    </row>
    <row r="30103" spans="1:14" s="2" customFormat="1">
      <c r="A30103" s="83"/>
      <c r="H30103" s="83"/>
      <c r="K30103" s="82"/>
      <c r="M30103" s="112"/>
      <c r="N30103" s="84"/>
    </row>
    <row r="30104" spans="1:14" s="2" customFormat="1">
      <c r="A30104" s="83"/>
      <c r="H30104" s="83"/>
      <c r="K30104" s="82"/>
      <c r="M30104" s="112"/>
      <c r="N30104" s="84"/>
    </row>
    <row r="30105" spans="1:14" s="2" customFormat="1">
      <c r="A30105" s="83"/>
      <c r="H30105" s="83"/>
      <c r="K30105" s="82"/>
      <c r="M30105" s="112"/>
      <c r="N30105" s="84"/>
    </row>
    <row r="30106" spans="1:14" s="2" customFormat="1">
      <c r="A30106" s="83"/>
      <c r="H30106" s="83"/>
      <c r="K30106" s="82"/>
      <c r="M30106" s="112"/>
      <c r="N30106" s="84"/>
    </row>
    <row r="30107" spans="1:14" s="2" customFormat="1">
      <c r="A30107" s="83"/>
      <c r="H30107" s="83"/>
      <c r="K30107" s="82"/>
      <c r="M30107" s="112"/>
      <c r="N30107" s="84"/>
    </row>
    <row r="30108" spans="1:14" s="2" customFormat="1">
      <c r="A30108" s="83"/>
      <c r="H30108" s="83"/>
      <c r="K30108" s="82"/>
      <c r="M30108" s="112"/>
      <c r="N30108" s="84"/>
    </row>
    <row r="30109" spans="1:14" s="2" customFormat="1">
      <c r="A30109" s="83"/>
      <c r="H30109" s="83"/>
      <c r="K30109" s="82"/>
      <c r="M30109" s="112"/>
      <c r="N30109" s="84"/>
    </row>
    <row r="30110" spans="1:14" s="2" customFormat="1">
      <c r="A30110" s="83"/>
      <c r="H30110" s="83"/>
      <c r="K30110" s="82"/>
      <c r="M30110" s="112"/>
      <c r="N30110" s="84"/>
    </row>
    <row r="30111" spans="1:14" s="2" customFormat="1">
      <c r="A30111" s="83"/>
      <c r="H30111" s="83"/>
      <c r="K30111" s="82"/>
      <c r="M30111" s="112"/>
      <c r="N30111" s="84"/>
    </row>
    <row r="30112" spans="1:14" s="2" customFormat="1">
      <c r="A30112" s="83"/>
      <c r="H30112" s="83"/>
      <c r="K30112" s="82"/>
      <c r="M30112" s="112"/>
      <c r="N30112" s="84"/>
    </row>
    <row r="30113" spans="1:14" s="2" customFormat="1">
      <c r="A30113" s="83"/>
      <c r="H30113" s="83"/>
      <c r="K30113" s="82"/>
      <c r="M30113" s="112"/>
      <c r="N30113" s="84"/>
    </row>
    <row r="30114" spans="1:14" s="2" customFormat="1">
      <c r="A30114" s="83"/>
      <c r="H30114" s="83"/>
      <c r="K30114" s="82"/>
      <c r="M30114" s="112"/>
      <c r="N30114" s="84"/>
    </row>
    <row r="30115" spans="1:14" s="2" customFormat="1">
      <c r="A30115" s="83"/>
      <c r="H30115" s="83"/>
      <c r="K30115" s="82"/>
      <c r="M30115" s="112"/>
      <c r="N30115" s="84"/>
    </row>
    <row r="30116" spans="1:14" s="2" customFormat="1">
      <c r="A30116" s="83"/>
      <c r="H30116" s="83"/>
      <c r="K30116" s="82"/>
      <c r="M30116" s="112"/>
      <c r="N30116" s="84"/>
    </row>
    <row r="30117" spans="1:14" s="2" customFormat="1">
      <c r="A30117" s="83"/>
      <c r="H30117" s="83"/>
      <c r="K30117" s="82"/>
      <c r="M30117" s="112"/>
      <c r="N30117" s="84"/>
    </row>
    <row r="30118" spans="1:14" s="2" customFormat="1">
      <c r="A30118" s="83"/>
      <c r="H30118" s="83"/>
      <c r="K30118" s="82"/>
      <c r="M30118" s="112"/>
      <c r="N30118" s="84"/>
    </row>
    <row r="30119" spans="1:14" s="2" customFormat="1">
      <c r="A30119" s="83"/>
      <c r="H30119" s="83"/>
      <c r="K30119" s="82"/>
      <c r="M30119" s="112"/>
      <c r="N30119" s="84"/>
    </row>
    <row r="30120" spans="1:14" s="2" customFormat="1">
      <c r="A30120" s="83"/>
      <c r="H30120" s="83"/>
      <c r="K30120" s="82"/>
      <c r="M30120" s="112"/>
      <c r="N30120" s="84"/>
    </row>
    <row r="30121" spans="1:14" s="2" customFormat="1">
      <c r="A30121" s="83"/>
      <c r="H30121" s="83"/>
      <c r="K30121" s="82"/>
      <c r="M30121" s="112"/>
      <c r="N30121" s="84"/>
    </row>
    <row r="30122" spans="1:14" s="2" customFormat="1">
      <c r="A30122" s="83"/>
      <c r="H30122" s="83"/>
      <c r="K30122" s="82"/>
      <c r="M30122" s="112"/>
      <c r="N30122" s="84"/>
    </row>
    <row r="30123" spans="1:14" s="2" customFormat="1">
      <c r="A30123" s="83"/>
      <c r="H30123" s="83"/>
      <c r="K30123" s="82"/>
      <c r="M30123" s="112"/>
      <c r="N30123" s="84"/>
    </row>
    <row r="30124" spans="1:14" s="2" customFormat="1">
      <c r="A30124" s="83"/>
      <c r="H30124" s="83"/>
      <c r="K30124" s="82"/>
      <c r="M30124" s="112"/>
      <c r="N30124" s="84"/>
    </row>
    <row r="30125" spans="1:14" s="2" customFormat="1">
      <c r="A30125" s="83"/>
      <c r="H30125" s="83"/>
      <c r="K30125" s="82"/>
      <c r="M30125" s="112"/>
      <c r="N30125" s="84"/>
    </row>
    <row r="30126" spans="1:14" s="2" customFormat="1">
      <c r="A30126" s="83"/>
      <c r="H30126" s="83"/>
      <c r="K30126" s="82"/>
      <c r="M30126" s="112"/>
      <c r="N30126" s="84"/>
    </row>
    <row r="30127" spans="1:14" s="2" customFormat="1">
      <c r="A30127" s="83"/>
      <c r="H30127" s="83"/>
      <c r="K30127" s="82"/>
      <c r="M30127" s="112"/>
      <c r="N30127" s="84"/>
    </row>
    <row r="30128" spans="1:14" s="2" customFormat="1">
      <c r="A30128" s="83"/>
      <c r="H30128" s="83"/>
      <c r="K30128" s="82"/>
      <c r="M30128" s="112"/>
      <c r="N30128" s="84"/>
    </row>
    <row r="30129" spans="1:14" s="2" customFormat="1">
      <c r="A30129" s="83"/>
      <c r="H30129" s="83"/>
      <c r="K30129" s="82"/>
      <c r="M30129" s="112"/>
      <c r="N30129" s="84"/>
    </row>
    <row r="30130" spans="1:14" s="2" customFormat="1">
      <c r="A30130" s="83"/>
      <c r="H30130" s="83"/>
      <c r="K30130" s="82"/>
      <c r="M30130" s="112"/>
      <c r="N30130" s="84"/>
    </row>
    <row r="30131" spans="1:14" s="2" customFormat="1">
      <c r="A30131" s="83"/>
      <c r="H30131" s="83"/>
      <c r="K30131" s="82"/>
      <c r="M30131" s="112"/>
      <c r="N30131" s="84"/>
    </row>
    <row r="30132" spans="1:14" s="2" customFormat="1">
      <c r="A30132" s="83"/>
      <c r="H30132" s="83"/>
      <c r="K30132" s="82"/>
      <c r="M30132" s="112"/>
      <c r="N30132" s="84"/>
    </row>
    <row r="30133" spans="1:14" s="2" customFormat="1">
      <c r="A30133" s="83"/>
      <c r="H30133" s="83"/>
      <c r="K30133" s="82"/>
      <c r="M30133" s="112"/>
      <c r="N30133" s="84"/>
    </row>
    <row r="30134" spans="1:14" s="2" customFormat="1">
      <c r="A30134" s="83"/>
      <c r="H30134" s="83"/>
      <c r="K30134" s="82"/>
      <c r="M30134" s="112"/>
      <c r="N30134" s="84"/>
    </row>
    <row r="30135" spans="1:14" s="2" customFormat="1">
      <c r="A30135" s="83"/>
      <c r="H30135" s="83"/>
      <c r="K30135" s="82"/>
      <c r="M30135" s="112"/>
      <c r="N30135" s="84"/>
    </row>
    <row r="30136" spans="1:14" s="2" customFormat="1">
      <c r="A30136" s="83"/>
      <c r="H30136" s="83"/>
      <c r="K30136" s="82"/>
      <c r="M30136" s="112"/>
      <c r="N30136" s="84"/>
    </row>
    <row r="30137" spans="1:14" s="2" customFormat="1">
      <c r="A30137" s="83"/>
      <c r="H30137" s="83"/>
      <c r="K30137" s="82"/>
      <c r="M30137" s="112"/>
      <c r="N30137" s="84"/>
    </row>
    <row r="30138" spans="1:14" s="2" customFormat="1">
      <c r="A30138" s="83"/>
      <c r="H30138" s="83"/>
      <c r="K30138" s="82"/>
      <c r="M30138" s="112"/>
      <c r="N30138" s="84"/>
    </row>
    <row r="30139" spans="1:14" s="2" customFormat="1">
      <c r="A30139" s="83"/>
      <c r="H30139" s="83"/>
      <c r="K30139" s="82"/>
      <c r="M30139" s="112"/>
      <c r="N30139" s="84"/>
    </row>
    <row r="30140" spans="1:14" s="2" customFormat="1">
      <c r="A30140" s="83"/>
      <c r="H30140" s="83"/>
      <c r="K30140" s="82"/>
      <c r="M30140" s="112"/>
      <c r="N30140" s="84"/>
    </row>
    <row r="30141" spans="1:14" s="2" customFormat="1">
      <c r="A30141" s="83"/>
      <c r="H30141" s="83"/>
      <c r="K30141" s="82"/>
      <c r="M30141" s="112"/>
      <c r="N30141" s="84"/>
    </row>
    <row r="30142" spans="1:14" s="2" customFormat="1">
      <c r="A30142" s="83"/>
      <c r="H30142" s="83"/>
      <c r="K30142" s="82"/>
      <c r="M30142" s="112"/>
      <c r="N30142" s="84"/>
    </row>
    <row r="30143" spans="1:14" s="2" customFormat="1">
      <c r="A30143" s="83"/>
      <c r="H30143" s="83"/>
      <c r="K30143" s="82"/>
      <c r="M30143" s="112"/>
      <c r="N30143" s="84"/>
    </row>
    <row r="30144" spans="1:14" s="2" customFormat="1">
      <c r="A30144" s="83"/>
      <c r="H30144" s="83"/>
      <c r="K30144" s="82"/>
      <c r="M30144" s="112"/>
      <c r="N30144" s="84"/>
    </row>
    <row r="30145" spans="1:14" s="2" customFormat="1">
      <c r="A30145" s="83"/>
      <c r="H30145" s="83"/>
      <c r="K30145" s="82"/>
      <c r="M30145" s="112"/>
      <c r="N30145" s="84"/>
    </row>
    <row r="30146" spans="1:14" s="2" customFormat="1">
      <c r="A30146" s="83"/>
      <c r="H30146" s="83"/>
      <c r="K30146" s="82"/>
      <c r="M30146" s="112"/>
      <c r="N30146" s="84"/>
    </row>
    <row r="30147" spans="1:14" s="2" customFormat="1">
      <c r="A30147" s="83"/>
      <c r="H30147" s="83"/>
      <c r="K30147" s="82"/>
      <c r="M30147" s="112"/>
      <c r="N30147" s="84"/>
    </row>
    <row r="30148" spans="1:14" s="2" customFormat="1">
      <c r="A30148" s="83"/>
      <c r="H30148" s="83"/>
      <c r="K30148" s="82"/>
      <c r="M30148" s="112"/>
      <c r="N30148" s="84"/>
    </row>
    <row r="30149" spans="1:14" s="2" customFormat="1">
      <c r="A30149" s="83"/>
      <c r="H30149" s="83"/>
      <c r="K30149" s="82"/>
      <c r="M30149" s="112"/>
      <c r="N30149" s="84"/>
    </row>
    <row r="30150" spans="1:14" s="2" customFormat="1">
      <c r="A30150" s="83"/>
      <c r="H30150" s="83"/>
      <c r="K30150" s="82"/>
      <c r="M30150" s="112"/>
      <c r="N30150" s="84"/>
    </row>
    <row r="30151" spans="1:14" s="2" customFormat="1">
      <c r="A30151" s="83"/>
      <c r="H30151" s="83"/>
      <c r="K30151" s="82"/>
      <c r="M30151" s="112"/>
      <c r="N30151" s="84"/>
    </row>
    <row r="30152" spans="1:14" s="2" customFormat="1">
      <c r="A30152" s="83"/>
      <c r="H30152" s="83"/>
      <c r="K30152" s="82"/>
      <c r="M30152" s="112"/>
      <c r="N30152" s="84"/>
    </row>
    <row r="30153" spans="1:14" s="2" customFormat="1">
      <c r="A30153" s="83"/>
      <c r="H30153" s="83"/>
      <c r="K30153" s="82"/>
      <c r="M30153" s="112"/>
      <c r="N30153" s="84"/>
    </row>
    <row r="30154" spans="1:14" s="2" customFormat="1">
      <c r="A30154" s="83"/>
      <c r="H30154" s="83"/>
      <c r="K30154" s="82"/>
      <c r="M30154" s="112"/>
      <c r="N30154" s="84"/>
    </row>
    <row r="30155" spans="1:14" s="2" customFormat="1">
      <c r="A30155" s="83"/>
      <c r="H30155" s="83"/>
      <c r="K30155" s="82"/>
      <c r="M30155" s="112"/>
      <c r="N30155" s="84"/>
    </row>
    <row r="30156" spans="1:14" s="2" customFormat="1">
      <c r="A30156" s="83"/>
      <c r="H30156" s="83"/>
      <c r="K30156" s="82"/>
      <c r="M30156" s="112"/>
      <c r="N30156" s="84"/>
    </row>
    <row r="30157" spans="1:14" s="2" customFormat="1">
      <c r="A30157" s="83"/>
      <c r="H30157" s="83"/>
      <c r="K30157" s="82"/>
      <c r="M30157" s="112"/>
      <c r="N30157" s="84"/>
    </row>
    <row r="30158" spans="1:14" s="2" customFormat="1">
      <c r="A30158" s="83"/>
      <c r="H30158" s="83"/>
      <c r="K30158" s="82"/>
      <c r="M30158" s="112"/>
      <c r="N30158" s="84"/>
    </row>
    <row r="30159" spans="1:14" s="2" customFormat="1">
      <c r="A30159" s="83"/>
      <c r="H30159" s="83"/>
      <c r="K30159" s="82"/>
      <c r="M30159" s="112"/>
      <c r="N30159" s="84"/>
    </row>
    <row r="30160" spans="1:14" s="2" customFormat="1">
      <c r="A30160" s="83"/>
      <c r="H30160" s="83"/>
      <c r="K30160" s="82"/>
      <c r="M30160" s="112"/>
      <c r="N30160" s="84"/>
    </row>
    <row r="30161" spans="1:14" s="2" customFormat="1">
      <c r="A30161" s="83"/>
      <c r="H30161" s="83"/>
      <c r="K30161" s="82"/>
      <c r="M30161" s="112"/>
      <c r="N30161" s="84"/>
    </row>
    <row r="30162" spans="1:14" s="2" customFormat="1">
      <c r="A30162" s="83"/>
      <c r="H30162" s="83"/>
      <c r="K30162" s="82"/>
      <c r="M30162" s="112"/>
      <c r="N30162" s="84"/>
    </row>
    <row r="30163" spans="1:14" s="2" customFormat="1">
      <c r="A30163" s="83"/>
      <c r="H30163" s="83"/>
      <c r="K30163" s="82"/>
      <c r="M30163" s="112"/>
      <c r="N30163" s="84"/>
    </row>
    <row r="30164" spans="1:14" s="2" customFormat="1">
      <c r="A30164" s="83"/>
      <c r="H30164" s="83"/>
      <c r="K30164" s="82"/>
      <c r="M30164" s="112"/>
      <c r="N30164" s="84"/>
    </row>
    <row r="30165" spans="1:14" s="2" customFormat="1">
      <c r="A30165" s="83"/>
      <c r="H30165" s="83"/>
      <c r="K30165" s="82"/>
      <c r="M30165" s="112"/>
      <c r="N30165" s="84"/>
    </row>
    <row r="30166" spans="1:14" s="2" customFormat="1">
      <c r="A30166" s="83"/>
      <c r="H30166" s="83"/>
      <c r="K30166" s="82"/>
      <c r="M30166" s="112"/>
      <c r="N30166" s="84"/>
    </row>
    <row r="30167" spans="1:14" s="2" customFormat="1">
      <c r="A30167" s="83"/>
      <c r="H30167" s="83"/>
      <c r="K30167" s="82"/>
      <c r="M30167" s="112"/>
      <c r="N30167" s="84"/>
    </row>
    <row r="30168" spans="1:14" s="2" customFormat="1">
      <c r="A30168" s="83"/>
      <c r="H30168" s="83"/>
      <c r="K30168" s="82"/>
      <c r="M30168" s="112"/>
      <c r="N30168" s="84"/>
    </row>
    <row r="30169" spans="1:14" s="2" customFormat="1">
      <c r="A30169" s="83"/>
      <c r="H30169" s="83"/>
      <c r="K30169" s="82"/>
      <c r="M30169" s="112"/>
      <c r="N30169" s="84"/>
    </row>
    <row r="30170" spans="1:14" s="2" customFormat="1">
      <c r="A30170" s="83"/>
      <c r="H30170" s="83"/>
      <c r="K30170" s="82"/>
      <c r="M30170" s="112"/>
      <c r="N30170" s="84"/>
    </row>
    <row r="30171" spans="1:14" s="2" customFormat="1">
      <c r="A30171" s="83"/>
      <c r="H30171" s="83"/>
      <c r="K30171" s="82"/>
      <c r="M30171" s="112"/>
      <c r="N30171" s="84"/>
    </row>
    <row r="30172" spans="1:14" s="2" customFormat="1">
      <c r="A30172" s="83"/>
      <c r="H30172" s="83"/>
      <c r="K30172" s="82"/>
      <c r="M30172" s="112"/>
      <c r="N30172" s="84"/>
    </row>
    <row r="30173" spans="1:14" s="2" customFormat="1">
      <c r="A30173" s="83"/>
      <c r="H30173" s="83"/>
      <c r="K30173" s="82"/>
      <c r="M30173" s="112"/>
      <c r="N30173" s="84"/>
    </row>
    <row r="30174" spans="1:14" s="2" customFormat="1">
      <c r="A30174" s="83"/>
      <c r="H30174" s="83"/>
      <c r="K30174" s="82"/>
      <c r="M30174" s="112"/>
      <c r="N30174" s="84"/>
    </row>
    <row r="30175" spans="1:14" s="2" customFormat="1">
      <c r="A30175" s="83"/>
      <c r="H30175" s="83"/>
      <c r="K30175" s="82"/>
      <c r="M30175" s="112"/>
      <c r="N30175" s="84"/>
    </row>
    <row r="30176" spans="1:14" s="2" customFormat="1">
      <c r="A30176" s="83"/>
      <c r="H30176" s="83"/>
      <c r="K30176" s="82"/>
      <c r="M30176" s="112"/>
      <c r="N30176" s="84"/>
    </row>
    <row r="30177" spans="1:14" s="2" customFormat="1">
      <c r="A30177" s="83"/>
      <c r="H30177" s="83"/>
      <c r="K30177" s="82"/>
      <c r="M30177" s="112"/>
      <c r="N30177" s="84"/>
    </row>
    <row r="30178" spans="1:14" s="2" customFormat="1">
      <c r="A30178" s="83"/>
      <c r="H30178" s="83"/>
      <c r="K30178" s="82"/>
      <c r="M30178" s="112"/>
      <c r="N30178" s="84"/>
    </row>
    <row r="30179" spans="1:14" s="2" customFormat="1">
      <c r="A30179" s="83"/>
      <c r="H30179" s="83"/>
      <c r="K30179" s="82"/>
      <c r="M30179" s="112"/>
      <c r="N30179" s="84"/>
    </row>
    <row r="30180" spans="1:14" s="2" customFormat="1">
      <c r="A30180" s="83"/>
      <c r="H30180" s="83"/>
      <c r="K30180" s="82"/>
      <c r="M30180" s="112"/>
      <c r="N30180" s="84"/>
    </row>
    <row r="30181" spans="1:14" s="2" customFormat="1">
      <c r="A30181" s="83"/>
      <c r="H30181" s="83"/>
      <c r="K30181" s="82"/>
      <c r="M30181" s="112"/>
      <c r="N30181" s="84"/>
    </row>
    <row r="30182" spans="1:14" s="2" customFormat="1">
      <c r="A30182" s="83"/>
      <c r="H30182" s="83"/>
      <c r="K30182" s="82"/>
      <c r="M30182" s="112"/>
      <c r="N30182" s="84"/>
    </row>
    <row r="30183" spans="1:14" s="2" customFormat="1">
      <c r="A30183" s="83"/>
      <c r="H30183" s="83"/>
      <c r="K30183" s="82"/>
      <c r="M30183" s="112"/>
      <c r="N30183" s="84"/>
    </row>
    <row r="30184" spans="1:14" s="2" customFormat="1">
      <c r="A30184" s="83"/>
      <c r="H30184" s="83"/>
      <c r="K30184" s="82"/>
      <c r="M30184" s="112"/>
      <c r="N30184" s="84"/>
    </row>
    <row r="30185" spans="1:14" s="2" customFormat="1">
      <c r="A30185" s="83"/>
      <c r="H30185" s="83"/>
      <c r="K30185" s="82"/>
      <c r="M30185" s="112"/>
      <c r="N30185" s="84"/>
    </row>
    <row r="30186" spans="1:14" s="2" customFormat="1">
      <c r="A30186" s="83"/>
      <c r="H30186" s="83"/>
      <c r="K30186" s="82"/>
      <c r="M30186" s="112"/>
      <c r="N30186" s="84"/>
    </row>
    <row r="30187" spans="1:14" s="2" customFormat="1">
      <c r="A30187" s="83"/>
      <c r="H30187" s="83"/>
      <c r="K30187" s="82"/>
      <c r="M30187" s="112"/>
      <c r="N30187" s="84"/>
    </row>
    <row r="30188" spans="1:14" s="2" customFormat="1">
      <c r="A30188" s="83"/>
      <c r="H30188" s="83"/>
      <c r="K30188" s="82"/>
      <c r="M30188" s="112"/>
      <c r="N30188" s="84"/>
    </row>
    <row r="30189" spans="1:14" s="2" customFormat="1">
      <c r="A30189" s="83"/>
      <c r="H30189" s="83"/>
      <c r="K30189" s="82"/>
      <c r="M30189" s="112"/>
      <c r="N30189" s="84"/>
    </row>
    <row r="30190" spans="1:14" s="2" customFormat="1">
      <c r="A30190" s="83"/>
      <c r="H30190" s="83"/>
      <c r="K30190" s="82"/>
      <c r="M30190" s="112"/>
      <c r="N30190" s="84"/>
    </row>
    <row r="30191" spans="1:14" s="2" customFormat="1">
      <c r="A30191" s="83"/>
      <c r="H30191" s="83"/>
      <c r="K30191" s="82"/>
      <c r="M30191" s="112"/>
      <c r="N30191" s="84"/>
    </row>
    <row r="30192" spans="1:14" s="2" customFormat="1">
      <c r="A30192" s="83"/>
      <c r="H30192" s="83"/>
      <c r="K30192" s="82"/>
      <c r="M30192" s="112"/>
      <c r="N30192" s="84"/>
    </row>
    <row r="30193" spans="1:14" s="2" customFormat="1">
      <c r="A30193" s="83"/>
      <c r="H30193" s="83"/>
      <c r="K30193" s="82"/>
      <c r="M30193" s="112"/>
      <c r="N30193" s="84"/>
    </row>
    <row r="30194" spans="1:14" s="2" customFormat="1">
      <c r="A30194" s="83"/>
      <c r="H30194" s="83"/>
      <c r="K30194" s="82"/>
      <c r="M30194" s="112"/>
      <c r="N30194" s="84"/>
    </row>
    <row r="30195" spans="1:14" s="2" customFormat="1">
      <c r="A30195" s="83"/>
      <c r="H30195" s="83"/>
      <c r="K30195" s="82"/>
      <c r="M30195" s="112"/>
      <c r="N30195" s="84"/>
    </row>
    <row r="30196" spans="1:14" s="2" customFormat="1">
      <c r="A30196" s="83"/>
      <c r="H30196" s="83"/>
      <c r="K30196" s="82"/>
      <c r="M30196" s="112"/>
      <c r="N30196" s="84"/>
    </row>
    <row r="30197" spans="1:14" s="2" customFormat="1">
      <c r="A30197" s="83"/>
      <c r="H30197" s="83"/>
      <c r="K30197" s="82"/>
      <c r="M30197" s="112"/>
      <c r="N30197" s="84"/>
    </row>
    <row r="30198" spans="1:14" s="2" customFormat="1">
      <c r="A30198" s="83"/>
      <c r="H30198" s="83"/>
      <c r="K30198" s="82"/>
      <c r="M30198" s="112"/>
      <c r="N30198" s="84"/>
    </row>
    <row r="30199" spans="1:14" s="2" customFormat="1">
      <c r="A30199" s="83"/>
      <c r="H30199" s="83"/>
      <c r="K30199" s="82"/>
      <c r="M30199" s="112"/>
      <c r="N30199" s="84"/>
    </row>
    <row r="30200" spans="1:14" s="2" customFormat="1">
      <c r="A30200" s="83"/>
      <c r="H30200" s="83"/>
      <c r="K30200" s="82"/>
      <c r="M30200" s="112"/>
      <c r="N30200" s="84"/>
    </row>
    <row r="30201" spans="1:14" s="2" customFormat="1">
      <c r="A30201" s="83"/>
      <c r="H30201" s="83"/>
      <c r="K30201" s="82"/>
      <c r="M30201" s="112"/>
      <c r="N30201" s="84"/>
    </row>
    <row r="30202" spans="1:14" s="2" customFormat="1">
      <c r="A30202" s="83"/>
      <c r="H30202" s="83"/>
      <c r="K30202" s="82"/>
      <c r="M30202" s="112"/>
      <c r="N30202" s="84"/>
    </row>
    <row r="30203" spans="1:14" s="2" customFormat="1">
      <c r="A30203" s="83"/>
      <c r="H30203" s="83"/>
      <c r="K30203" s="82"/>
      <c r="M30203" s="112"/>
      <c r="N30203" s="84"/>
    </row>
    <row r="30204" spans="1:14" s="2" customFormat="1">
      <c r="A30204" s="83"/>
      <c r="H30204" s="83"/>
      <c r="K30204" s="82"/>
      <c r="M30204" s="112"/>
      <c r="N30204" s="84"/>
    </row>
    <row r="30205" spans="1:14" s="2" customFormat="1">
      <c r="A30205" s="83"/>
      <c r="H30205" s="83"/>
      <c r="K30205" s="82"/>
      <c r="M30205" s="112"/>
      <c r="N30205" s="84"/>
    </row>
    <row r="30206" spans="1:14" s="2" customFormat="1">
      <c r="A30206" s="83"/>
      <c r="H30206" s="83"/>
      <c r="K30206" s="82"/>
      <c r="M30206" s="112"/>
      <c r="N30206" s="84"/>
    </row>
    <row r="30207" spans="1:14" s="2" customFormat="1">
      <c r="A30207" s="83"/>
      <c r="H30207" s="83"/>
      <c r="K30207" s="82"/>
      <c r="M30207" s="112"/>
      <c r="N30207" s="84"/>
    </row>
    <row r="30208" spans="1:14" s="2" customFormat="1">
      <c r="A30208" s="83"/>
      <c r="H30208" s="83"/>
      <c r="K30208" s="82"/>
      <c r="M30208" s="112"/>
      <c r="N30208" s="84"/>
    </row>
    <row r="30209" spans="1:14" s="2" customFormat="1">
      <c r="A30209" s="83"/>
      <c r="H30209" s="83"/>
      <c r="K30209" s="82"/>
      <c r="M30209" s="112"/>
      <c r="N30209" s="84"/>
    </row>
    <row r="30210" spans="1:14" s="2" customFormat="1">
      <c r="A30210" s="83"/>
      <c r="H30210" s="83"/>
      <c r="K30210" s="82"/>
      <c r="M30210" s="112"/>
      <c r="N30210" s="84"/>
    </row>
    <row r="30211" spans="1:14" s="2" customFormat="1">
      <c r="A30211" s="83"/>
      <c r="H30211" s="83"/>
      <c r="K30211" s="82"/>
      <c r="M30211" s="112"/>
      <c r="N30211" s="84"/>
    </row>
    <row r="30212" spans="1:14" s="2" customFormat="1">
      <c r="A30212" s="83"/>
      <c r="H30212" s="83"/>
      <c r="K30212" s="82"/>
      <c r="M30212" s="112"/>
      <c r="N30212" s="84"/>
    </row>
    <row r="30213" spans="1:14" s="2" customFormat="1">
      <c r="A30213" s="83"/>
      <c r="H30213" s="83"/>
      <c r="K30213" s="82"/>
      <c r="M30213" s="112"/>
      <c r="N30213" s="84"/>
    </row>
    <row r="30214" spans="1:14" s="2" customFormat="1">
      <c r="A30214" s="83"/>
      <c r="H30214" s="83"/>
      <c r="K30214" s="82"/>
      <c r="M30214" s="112"/>
      <c r="N30214" s="84"/>
    </row>
    <row r="30215" spans="1:14" s="2" customFormat="1">
      <c r="A30215" s="83"/>
      <c r="H30215" s="83"/>
      <c r="K30215" s="82"/>
      <c r="M30215" s="112"/>
      <c r="N30215" s="84"/>
    </row>
    <row r="30216" spans="1:14" s="2" customFormat="1">
      <c r="A30216" s="83"/>
      <c r="H30216" s="83"/>
      <c r="K30216" s="82"/>
      <c r="M30216" s="112"/>
      <c r="N30216" s="84"/>
    </row>
    <row r="30217" spans="1:14" s="2" customFormat="1">
      <c r="A30217" s="83"/>
      <c r="H30217" s="83"/>
      <c r="K30217" s="82"/>
      <c r="M30217" s="112"/>
      <c r="N30217" s="84"/>
    </row>
    <row r="30218" spans="1:14" s="2" customFormat="1">
      <c r="A30218" s="83"/>
      <c r="H30218" s="83"/>
      <c r="K30218" s="82"/>
      <c r="M30218" s="112"/>
      <c r="N30218" s="84"/>
    </row>
    <row r="30219" spans="1:14" s="2" customFormat="1">
      <c r="A30219" s="83"/>
      <c r="H30219" s="83"/>
      <c r="K30219" s="82"/>
      <c r="M30219" s="112"/>
      <c r="N30219" s="84"/>
    </row>
    <row r="30220" spans="1:14" s="2" customFormat="1">
      <c r="A30220" s="83"/>
      <c r="H30220" s="83"/>
      <c r="K30220" s="82"/>
      <c r="M30220" s="112"/>
      <c r="N30220" s="84"/>
    </row>
    <row r="30221" spans="1:14" s="2" customFormat="1">
      <c r="A30221" s="83"/>
      <c r="H30221" s="83"/>
      <c r="K30221" s="82"/>
      <c r="M30221" s="112"/>
      <c r="N30221" s="84"/>
    </row>
    <row r="30222" spans="1:14" s="2" customFormat="1">
      <c r="A30222" s="83"/>
      <c r="H30222" s="83"/>
      <c r="K30222" s="82"/>
      <c r="M30222" s="112"/>
      <c r="N30222" s="84"/>
    </row>
    <row r="30223" spans="1:14" s="2" customFormat="1">
      <c r="A30223" s="83"/>
      <c r="H30223" s="83"/>
      <c r="K30223" s="82"/>
      <c r="M30223" s="112"/>
      <c r="N30223" s="84"/>
    </row>
    <row r="30224" spans="1:14" s="2" customFormat="1">
      <c r="A30224" s="83"/>
      <c r="H30224" s="83"/>
      <c r="K30224" s="82"/>
      <c r="M30224" s="112"/>
      <c r="N30224" s="84"/>
    </row>
    <row r="30225" spans="1:14" s="2" customFormat="1">
      <c r="A30225" s="83"/>
      <c r="H30225" s="83"/>
      <c r="K30225" s="82"/>
      <c r="M30225" s="112"/>
      <c r="N30225" s="84"/>
    </row>
    <row r="30226" spans="1:14" s="2" customFormat="1">
      <c r="A30226" s="83"/>
      <c r="H30226" s="83"/>
      <c r="K30226" s="82"/>
      <c r="M30226" s="112"/>
      <c r="N30226" s="84"/>
    </row>
    <row r="30227" spans="1:14" s="2" customFormat="1">
      <c r="A30227" s="83"/>
      <c r="H30227" s="83"/>
      <c r="K30227" s="82"/>
      <c r="M30227" s="112"/>
      <c r="N30227" s="84"/>
    </row>
    <row r="30228" spans="1:14" s="2" customFormat="1">
      <c r="A30228" s="83"/>
      <c r="H30228" s="83"/>
      <c r="K30228" s="82"/>
      <c r="M30228" s="112"/>
      <c r="N30228" s="84"/>
    </row>
    <row r="30229" spans="1:14" s="2" customFormat="1">
      <c r="A30229" s="83"/>
      <c r="H30229" s="83"/>
      <c r="K30229" s="82"/>
      <c r="M30229" s="112"/>
      <c r="N30229" s="84"/>
    </row>
    <row r="30230" spans="1:14" s="2" customFormat="1">
      <c r="A30230" s="83"/>
      <c r="H30230" s="83"/>
      <c r="K30230" s="82"/>
      <c r="M30230" s="112"/>
      <c r="N30230" s="84"/>
    </row>
    <row r="30231" spans="1:14" s="2" customFormat="1">
      <c r="A30231" s="83"/>
      <c r="H30231" s="83"/>
      <c r="K30231" s="82"/>
      <c r="M30231" s="112"/>
      <c r="N30231" s="84"/>
    </row>
    <row r="30232" spans="1:14" s="2" customFormat="1">
      <c r="A30232" s="83"/>
      <c r="H30232" s="83"/>
      <c r="K30232" s="82"/>
      <c r="M30232" s="112"/>
      <c r="N30232" s="84"/>
    </row>
    <row r="30233" spans="1:14" s="2" customFormat="1">
      <c r="A30233" s="83"/>
      <c r="H30233" s="83"/>
      <c r="K30233" s="82"/>
      <c r="M30233" s="112"/>
      <c r="N30233" s="84"/>
    </row>
    <row r="30234" spans="1:14" s="2" customFormat="1">
      <c r="A30234" s="83"/>
      <c r="H30234" s="83"/>
      <c r="K30234" s="82"/>
      <c r="M30234" s="112"/>
      <c r="N30234" s="84"/>
    </row>
    <row r="30235" spans="1:14" s="2" customFormat="1">
      <c r="A30235" s="83"/>
      <c r="H30235" s="83"/>
      <c r="K30235" s="82"/>
      <c r="M30235" s="112"/>
      <c r="N30235" s="84"/>
    </row>
    <row r="30236" spans="1:14" s="2" customFormat="1">
      <c r="A30236" s="83"/>
      <c r="H30236" s="83"/>
      <c r="K30236" s="82"/>
      <c r="M30236" s="112"/>
      <c r="N30236" s="84"/>
    </row>
    <row r="30237" spans="1:14" s="2" customFormat="1">
      <c r="A30237" s="83"/>
      <c r="H30237" s="83"/>
      <c r="K30237" s="82"/>
      <c r="M30237" s="112"/>
      <c r="N30237" s="84"/>
    </row>
    <row r="30238" spans="1:14" s="2" customFormat="1">
      <c r="A30238" s="83"/>
      <c r="H30238" s="83"/>
      <c r="K30238" s="82"/>
      <c r="M30238" s="112"/>
      <c r="N30238" s="84"/>
    </row>
    <row r="30239" spans="1:14" s="2" customFormat="1">
      <c r="A30239" s="83"/>
      <c r="H30239" s="83"/>
      <c r="K30239" s="82"/>
      <c r="M30239" s="112"/>
      <c r="N30239" s="84"/>
    </row>
    <row r="30240" spans="1:14" s="2" customFormat="1">
      <c r="A30240" s="83"/>
      <c r="H30240" s="83"/>
      <c r="K30240" s="82"/>
      <c r="M30240" s="112"/>
      <c r="N30240" s="84"/>
    </row>
    <row r="30241" spans="1:14" s="2" customFormat="1">
      <c r="A30241" s="83"/>
      <c r="H30241" s="83"/>
      <c r="K30241" s="82"/>
      <c r="M30241" s="112"/>
      <c r="N30241" s="84"/>
    </row>
    <row r="30242" spans="1:14" s="2" customFormat="1">
      <c r="A30242" s="83"/>
      <c r="H30242" s="83"/>
      <c r="K30242" s="82"/>
      <c r="M30242" s="112"/>
      <c r="N30242" s="84"/>
    </row>
    <row r="30243" spans="1:14" s="2" customFormat="1">
      <c r="A30243" s="83"/>
      <c r="H30243" s="83"/>
      <c r="K30243" s="82"/>
      <c r="M30243" s="112"/>
      <c r="N30243" s="84"/>
    </row>
    <row r="30244" spans="1:14" s="2" customFormat="1">
      <c r="A30244" s="83"/>
      <c r="H30244" s="83"/>
      <c r="K30244" s="82"/>
      <c r="M30244" s="112"/>
      <c r="N30244" s="84"/>
    </row>
    <row r="30245" spans="1:14" s="2" customFormat="1">
      <c r="A30245" s="83"/>
      <c r="H30245" s="83"/>
      <c r="K30245" s="82"/>
      <c r="M30245" s="112"/>
      <c r="N30245" s="84"/>
    </row>
    <row r="30246" spans="1:14" s="2" customFormat="1">
      <c r="A30246" s="83"/>
      <c r="H30246" s="83"/>
      <c r="K30246" s="82"/>
      <c r="M30246" s="112"/>
      <c r="N30246" s="84"/>
    </row>
    <row r="30247" spans="1:14" s="2" customFormat="1">
      <c r="A30247" s="83"/>
      <c r="H30247" s="83"/>
      <c r="K30247" s="82"/>
      <c r="M30247" s="112"/>
      <c r="N30247" s="84"/>
    </row>
    <row r="30248" spans="1:14" s="2" customFormat="1">
      <c r="A30248" s="83"/>
      <c r="H30248" s="83"/>
      <c r="K30248" s="82"/>
      <c r="M30248" s="112"/>
      <c r="N30248" s="84"/>
    </row>
    <row r="30249" spans="1:14" s="2" customFormat="1">
      <c r="A30249" s="83"/>
      <c r="H30249" s="83"/>
      <c r="K30249" s="82"/>
      <c r="M30249" s="112"/>
      <c r="N30249" s="84"/>
    </row>
    <row r="30250" spans="1:14" s="2" customFormat="1">
      <c r="A30250" s="83"/>
      <c r="H30250" s="83"/>
      <c r="K30250" s="82"/>
      <c r="M30250" s="112"/>
      <c r="N30250" s="84"/>
    </row>
    <row r="30251" spans="1:14" s="2" customFormat="1">
      <c r="A30251" s="83"/>
      <c r="H30251" s="83"/>
      <c r="K30251" s="82"/>
      <c r="M30251" s="112"/>
      <c r="N30251" s="84"/>
    </row>
    <row r="30252" spans="1:14" s="2" customFormat="1">
      <c r="A30252" s="83"/>
      <c r="H30252" s="83"/>
      <c r="K30252" s="82"/>
      <c r="M30252" s="112"/>
      <c r="N30252" s="84"/>
    </row>
    <row r="30253" spans="1:14" s="2" customFormat="1">
      <c r="A30253" s="83"/>
      <c r="H30253" s="83"/>
      <c r="K30253" s="82"/>
      <c r="M30253" s="112"/>
      <c r="N30253" s="84"/>
    </row>
    <row r="30254" spans="1:14" s="2" customFormat="1">
      <c r="A30254" s="83"/>
      <c r="H30254" s="83"/>
      <c r="K30254" s="82"/>
      <c r="M30254" s="112"/>
      <c r="N30254" s="84"/>
    </row>
    <row r="30255" spans="1:14" s="2" customFormat="1">
      <c r="A30255" s="83"/>
      <c r="H30255" s="83"/>
      <c r="K30255" s="82"/>
      <c r="M30255" s="112"/>
      <c r="N30255" s="84"/>
    </row>
    <row r="30256" spans="1:14" s="2" customFormat="1">
      <c r="A30256" s="83"/>
      <c r="H30256" s="83"/>
      <c r="K30256" s="82"/>
      <c r="M30256" s="112"/>
      <c r="N30256" s="84"/>
    </row>
    <row r="30257" spans="1:14" s="2" customFormat="1">
      <c r="A30257" s="83"/>
      <c r="H30257" s="83"/>
      <c r="K30257" s="82"/>
      <c r="M30257" s="112"/>
      <c r="N30257" s="84"/>
    </row>
    <row r="30258" spans="1:14" s="2" customFormat="1">
      <c r="A30258" s="83"/>
      <c r="H30258" s="83"/>
      <c r="K30258" s="82"/>
      <c r="M30258" s="112"/>
      <c r="N30258" s="84"/>
    </row>
    <row r="30259" spans="1:14" s="2" customFormat="1">
      <c r="A30259" s="83"/>
      <c r="H30259" s="83"/>
      <c r="K30259" s="82"/>
      <c r="M30259" s="112"/>
      <c r="N30259" s="84"/>
    </row>
    <row r="30260" spans="1:14" s="2" customFormat="1">
      <c r="A30260" s="83"/>
      <c r="H30260" s="83"/>
      <c r="K30260" s="82"/>
      <c r="M30260" s="112"/>
      <c r="N30260" s="84"/>
    </row>
    <row r="30261" spans="1:14" s="2" customFormat="1">
      <c r="A30261" s="83"/>
      <c r="H30261" s="83"/>
      <c r="K30261" s="82"/>
      <c r="M30261" s="112"/>
      <c r="N30261" s="84"/>
    </row>
    <row r="30262" spans="1:14" s="2" customFormat="1">
      <c r="A30262" s="83"/>
      <c r="H30262" s="83"/>
      <c r="K30262" s="82"/>
      <c r="M30262" s="112"/>
      <c r="N30262" s="84"/>
    </row>
    <row r="30263" spans="1:14" s="2" customFormat="1">
      <c r="A30263" s="83"/>
      <c r="H30263" s="83"/>
      <c r="K30263" s="82"/>
      <c r="M30263" s="112"/>
      <c r="N30263" s="84"/>
    </row>
    <row r="30264" spans="1:14" s="2" customFormat="1">
      <c r="A30264" s="83"/>
      <c r="H30264" s="83"/>
      <c r="K30264" s="82"/>
      <c r="M30264" s="112"/>
      <c r="N30264" s="84"/>
    </row>
    <row r="30265" spans="1:14" s="2" customFormat="1">
      <c r="A30265" s="83"/>
      <c r="H30265" s="83"/>
      <c r="K30265" s="82"/>
      <c r="M30265" s="112"/>
      <c r="N30265" s="84"/>
    </row>
    <row r="30266" spans="1:14" s="2" customFormat="1">
      <c r="A30266" s="83"/>
      <c r="H30266" s="83"/>
      <c r="K30266" s="82"/>
      <c r="M30266" s="112"/>
      <c r="N30266" s="84"/>
    </row>
    <row r="30267" spans="1:14" s="2" customFormat="1">
      <c r="A30267" s="83"/>
      <c r="H30267" s="83"/>
      <c r="K30267" s="82"/>
      <c r="M30267" s="112"/>
      <c r="N30267" s="84"/>
    </row>
    <row r="30268" spans="1:14" s="2" customFormat="1">
      <c r="A30268" s="83"/>
      <c r="H30268" s="83"/>
      <c r="K30268" s="82"/>
      <c r="M30268" s="112"/>
      <c r="N30268" s="84"/>
    </row>
    <row r="30269" spans="1:14" s="2" customFormat="1">
      <c r="A30269" s="83"/>
      <c r="H30269" s="83"/>
      <c r="K30269" s="82"/>
      <c r="M30269" s="112"/>
      <c r="N30269" s="84"/>
    </row>
    <row r="30270" spans="1:14" s="2" customFormat="1">
      <c r="A30270" s="83"/>
      <c r="H30270" s="83"/>
      <c r="K30270" s="82"/>
      <c r="M30270" s="112"/>
      <c r="N30270" s="84"/>
    </row>
    <row r="30271" spans="1:14" s="2" customFormat="1">
      <c r="A30271" s="83"/>
      <c r="H30271" s="83"/>
      <c r="K30271" s="82"/>
      <c r="M30271" s="112"/>
      <c r="N30271" s="84"/>
    </row>
    <row r="30272" spans="1:14" s="2" customFormat="1">
      <c r="A30272" s="83"/>
      <c r="H30272" s="83"/>
      <c r="K30272" s="82"/>
      <c r="M30272" s="112"/>
      <c r="N30272" s="84"/>
    </row>
    <row r="30273" spans="1:14" s="2" customFormat="1">
      <c r="A30273" s="83"/>
      <c r="H30273" s="83"/>
      <c r="K30273" s="82"/>
      <c r="M30273" s="112"/>
      <c r="N30273" s="84"/>
    </row>
    <row r="30274" spans="1:14" s="2" customFormat="1">
      <c r="A30274" s="83"/>
      <c r="H30274" s="83"/>
      <c r="K30274" s="82"/>
      <c r="M30274" s="112"/>
      <c r="N30274" s="84"/>
    </row>
    <row r="30275" spans="1:14" s="2" customFormat="1">
      <c r="A30275" s="83"/>
      <c r="H30275" s="83"/>
      <c r="K30275" s="82"/>
      <c r="M30275" s="112"/>
      <c r="N30275" s="84"/>
    </row>
    <row r="30276" spans="1:14" s="2" customFormat="1">
      <c r="A30276" s="83"/>
      <c r="H30276" s="83"/>
      <c r="K30276" s="82"/>
      <c r="M30276" s="112"/>
      <c r="N30276" s="84"/>
    </row>
    <row r="30277" spans="1:14" s="2" customFormat="1">
      <c r="A30277" s="83"/>
      <c r="H30277" s="83"/>
      <c r="K30277" s="82"/>
      <c r="M30277" s="112"/>
      <c r="N30277" s="84"/>
    </row>
    <row r="30278" spans="1:14" s="2" customFormat="1">
      <c r="A30278" s="83"/>
      <c r="H30278" s="83"/>
      <c r="K30278" s="82"/>
      <c r="M30278" s="112"/>
      <c r="N30278" s="84"/>
    </row>
    <row r="30279" spans="1:14" s="2" customFormat="1">
      <c r="A30279" s="83"/>
      <c r="H30279" s="83"/>
      <c r="K30279" s="82"/>
      <c r="M30279" s="112"/>
      <c r="N30279" s="84"/>
    </row>
    <row r="30280" spans="1:14" s="2" customFormat="1">
      <c r="A30280" s="83"/>
      <c r="H30280" s="83"/>
      <c r="K30280" s="82"/>
      <c r="M30280" s="112"/>
      <c r="N30280" s="84"/>
    </row>
    <row r="30281" spans="1:14" s="2" customFormat="1">
      <c r="A30281" s="83"/>
      <c r="H30281" s="83"/>
      <c r="K30281" s="82"/>
      <c r="M30281" s="112"/>
      <c r="N30281" s="84"/>
    </row>
    <row r="30282" spans="1:14" s="2" customFormat="1">
      <c r="A30282" s="83"/>
      <c r="H30282" s="83"/>
      <c r="K30282" s="82"/>
      <c r="M30282" s="112"/>
      <c r="N30282" s="84"/>
    </row>
    <row r="30283" spans="1:14" s="2" customFormat="1">
      <c r="A30283" s="83"/>
      <c r="H30283" s="83"/>
      <c r="K30283" s="82"/>
      <c r="M30283" s="112"/>
      <c r="N30283" s="84"/>
    </row>
    <row r="30284" spans="1:14" s="2" customFormat="1">
      <c r="A30284" s="83"/>
      <c r="H30284" s="83"/>
      <c r="K30284" s="82"/>
      <c r="M30284" s="112"/>
      <c r="N30284" s="84"/>
    </row>
    <row r="30285" spans="1:14" s="2" customFormat="1">
      <c r="A30285" s="83"/>
      <c r="H30285" s="83"/>
      <c r="K30285" s="82"/>
      <c r="M30285" s="112"/>
      <c r="N30285" s="84"/>
    </row>
    <row r="30286" spans="1:14" s="2" customFormat="1">
      <c r="A30286" s="83"/>
      <c r="H30286" s="83"/>
      <c r="K30286" s="82"/>
      <c r="M30286" s="112"/>
      <c r="N30286" s="84"/>
    </row>
    <row r="30287" spans="1:14" s="2" customFormat="1">
      <c r="A30287" s="83"/>
      <c r="H30287" s="83"/>
      <c r="K30287" s="82"/>
      <c r="M30287" s="112"/>
      <c r="N30287" s="84"/>
    </row>
    <row r="30288" spans="1:14" s="2" customFormat="1">
      <c r="A30288" s="83"/>
      <c r="H30288" s="83"/>
      <c r="K30288" s="82"/>
      <c r="M30288" s="112"/>
      <c r="N30288" s="84"/>
    </row>
    <row r="30289" spans="1:14" s="2" customFormat="1">
      <c r="A30289" s="83"/>
      <c r="H30289" s="83"/>
      <c r="K30289" s="82"/>
      <c r="M30289" s="112"/>
      <c r="N30289" s="84"/>
    </row>
    <row r="30290" spans="1:14" s="2" customFormat="1">
      <c r="A30290" s="83"/>
      <c r="H30290" s="83"/>
      <c r="K30290" s="82"/>
      <c r="M30290" s="112"/>
      <c r="N30290" s="84"/>
    </row>
    <row r="30291" spans="1:14" s="2" customFormat="1">
      <c r="A30291" s="83"/>
      <c r="H30291" s="83"/>
      <c r="K30291" s="82"/>
      <c r="M30291" s="112"/>
      <c r="N30291" s="84"/>
    </row>
    <row r="30292" spans="1:14" s="2" customFormat="1">
      <c r="A30292" s="83"/>
      <c r="H30292" s="83"/>
      <c r="K30292" s="82"/>
      <c r="M30292" s="112"/>
      <c r="N30292" s="84"/>
    </row>
    <row r="30293" spans="1:14" s="2" customFormat="1">
      <c r="A30293" s="83"/>
      <c r="H30293" s="83"/>
      <c r="K30293" s="82"/>
      <c r="M30293" s="112"/>
      <c r="N30293" s="84"/>
    </row>
    <row r="30294" spans="1:14" s="2" customFormat="1">
      <c r="A30294" s="83"/>
      <c r="H30294" s="83"/>
      <c r="K30294" s="82"/>
      <c r="M30294" s="112"/>
      <c r="N30294" s="84"/>
    </row>
    <row r="30295" spans="1:14" s="2" customFormat="1">
      <c r="A30295" s="83"/>
      <c r="H30295" s="83"/>
      <c r="K30295" s="82"/>
      <c r="M30295" s="112"/>
      <c r="N30295" s="84"/>
    </row>
    <row r="30296" spans="1:14" s="2" customFormat="1">
      <c r="A30296" s="83"/>
      <c r="H30296" s="83"/>
      <c r="K30296" s="82"/>
      <c r="M30296" s="112"/>
      <c r="N30296" s="84"/>
    </row>
    <row r="30297" spans="1:14" s="2" customFormat="1">
      <c r="A30297" s="83"/>
      <c r="H30297" s="83"/>
      <c r="K30297" s="82"/>
      <c r="M30297" s="112"/>
      <c r="N30297" s="84"/>
    </row>
    <row r="30298" spans="1:14" s="2" customFormat="1">
      <c r="A30298" s="83"/>
      <c r="H30298" s="83"/>
      <c r="K30298" s="82"/>
      <c r="M30298" s="112"/>
      <c r="N30298" s="84"/>
    </row>
    <row r="30299" spans="1:14" s="2" customFormat="1">
      <c r="A30299" s="83"/>
      <c r="H30299" s="83"/>
      <c r="K30299" s="82"/>
      <c r="M30299" s="112"/>
      <c r="N30299" s="84"/>
    </row>
    <row r="30300" spans="1:14" s="2" customFormat="1">
      <c r="A30300" s="83"/>
      <c r="H30300" s="83"/>
      <c r="K30300" s="82"/>
      <c r="M30300" s="112"/>
      <c r="N30300" s="84"/>
    </row>
    <row r="30301" spans="1:14" s="2" customFormat="1">
      <c r="A30301" s="83"/>
      <c r="H30301" s="83"/>
      <c r="K30301" s="82"/>
      <c r="M30301" s="112"/>
      <c r="N30301" s="84"/>
    </row>
    <row r="30302" spans="1:14" s="2" customFormat="1">
      <c r="A30302" s="83"/>
      <c r="H30302" s="83"/>
      <c r="K30302" s="82"/>
      <c r="M30302" s="112"/>
      <c r="N30302" s="84"/>
    </row>
    <row r="30303" spans="1:14" s="2" customFormat="1">
      <c r="A30303" s="83"/>
      <c r="H30303" s="83"/>
      <c r="K30303" s="82"/>
      <c r="M30303" s="112"/>
      <c r="N30303" s="84"/>
    </row>
    <row r="30304" spans="1:14" s="2" customFormat="1">
      <c r="A30304" s="83"/>
      <c r="H30304" s="83"/>
      <c r="K30304" s="82"/>
      <c r="M30304" s="112"/>
      <c r="N30304" s="84"/>
    </row>
    <row r="30305" spans="1:14" s="2" customFormat="1">
      <c r="A30305" s="83"/>
      <c r="H30305" s="83"/>
      <c r="K30305" s="82"/>
      <c r="M30305" s="112"/>
      <c r="N30305" s="84"/>
    </row>
    <row r="30306" spans="1:14" s="2" customFormat="1">
      <c r="A30306" s="83"/>
      <c r="H30306" s="83"/>
      <c r="K30306" s="82"/>
      <c r="M30306" s="112"/>
      <c r="N30306" s="84"/>
    </row>
    <row r="30307" spans="1:14" s="2" customFormat="1">
      <c r="A30307" s="83"/>
      <c r="H30307" s="83"/>
      <c r="K30307" s="82"/>
      <c r="M30307" s="112"/>
      <c r="N30307" s="84"/>
    </row>
    <row r="30308" spans="1:14" s="2" customFormat="1">
      <c r="A30308" s="83"/>
      <c r="H30308" s="83"/>
      <c r="K30308" s="82"/>
      <c r="M30308" s="112"/>
      <c r="N30308" s="84"/>
    </row>
    <row r="30309" spans="1:14" s="2" customFormat="1">
      <c r="A30309" s="83"/>
      <c r="H30309" s="83"/>
      <c r="K30309" s="82"/>
      <c r="M30309" s="112"/>
      <c r="N30309" s="84"/>
    </row>
    <row r="30310" spans="1:14" s="2" customFormat="1">
      <c r="A30310" s="83"/>
      <c r="H30310" s="83"/>
      <c r="K30310" s="82"/>
      <c r="M30310" s="112"/>
      <c r="N30310" s="84"/>
    </row>
    <row r="30311" spans="1:14" s="2" customFormat="1">
      <c r="A30311" s="83"/>
      <c r="H30311" s="83"/>
      <c r="K30311" s="82"/>
      <c r="M30311" s="112"/>
      <c r="N30311" s="84"/>
    </row>
    <row r="30312" spans="1:14" s="2" customFormat="1">
      <c r="A30312" s="83"/>
      <c r="H30312" s="83"/>
      <c r="K30312" s="82"/>
      <c r="M30312" s="112"/>
      <c r="N30312" s="84"/>
    </row>
    <row r="30313" spans="1:14" s="2" customFormat="1">
      <c r="A30313" s="83"/>
      <c r="H30313" s="83"/>
      <c r="K30313" s="82"/>
      <c r="M30313" s="112"/>
      <c r="N30313" s="84"/>
    </row>
    <row r="30314" spans="1:14" s="2" customFormat="1">
      <c r="A30314" s="83"/>
      <c r="H30314" s="83"/>
      <c r="K30314" s="82"/>
      <c r="M30314" s="112"/>
      <c r="N30314" s="84"/>
    </row>
    <row r="30315" spans="1:14" s="2" customFormat="1">
      <c r="A30315" s="83"/>
      <c r="H30315" s="83"/>
      <c r="K30315" s="82"/>
      <c r="M30315" s="112"/>
      <c r="N30315" s="84"/>
    </row>
    <row r="30316" spans="1:14" s="2" customFormat="1">
      <c r="A30316" s="83"/>
      <c r="H30316" s="83"/>
      <c r="K30316" s="82"/>
      <c r="M30316" s="112"/>
      <c r="N30316" s="84"/>
    </row>
    <row r="30317" spans="1:14" s="2" customFormat="1">
      <c r="A30317" s="83"/>
      <c r="H30317" s="83"/>
      <c r="K30317" s="82"/>
      <c r="M30317" s="112"/>
      <c r="N30317" s="84"/>
    </row>
    <row r="30318" spans="1:14" s="2" customFormat="1">
      <c r="A30318" s="83"/>
      <c r="H30318" s="83"/>
      <c r="K30318" s="82"/>
      <c r="M30318" s="112"/>
      <c r="N30318" s="84"/>
    </row>
    <row r="30319" spans="1:14" s="2" customFormat="1">
      <c r="A30319" s="83"/>
      <c r="H30319" s="83"/>
      <c r="K30319" s="82"/>
      <c r="M30319" s="112"/>
      <c r="N30319" s="84"/>
    </row>
    <row r="30320" spans="1:14" s="2" customFormat="1">
      <c r="A30320" s="83"/>
      <c r="H30320" s="83"/>
      <c r="K30320" s="82"/>
      <c r="M30320" s="112"/>
      <c r="N30320" s="84"/>
    </row>
    <row r="30321" spans="1:14" s="2" customFormat="1">
      <c r="A30321" s="83"/>
      <c r="H30321" s="83"/>
      <c r="K30321" s="82"/>
      <c r="M30321" s="112"/>
      <c r="N30321" s="84"/>
    </row>
    <row r="30322" spans="1:14" s="2" customFormat="1">
      <c r="A30322" s="83"/>
      <c r="H30322" s="83"/>
      <c r="K30322" s="82"/>
      <c r="M30322" s="112"/>
      <c r="N30322" s="84"/>
    </row>
    <row r="30323" spans="1:14" s="2" customFormat="1">
      <c r="A30323" s="83"/>
      <c r="H30323" s="83"/>
      <c r="K30323" s="82"/>
      <c r="M30323" s="112"/>
      <c r="N30323" s="84"/>
    </row>
    <row r="30324" spans="1:14" s="2" customFormat="1">
      <c r="A30324" s="83"/>
      <c r="H30324" s="83"/>
      <c r="K30324" s="82"/>
      <c r="M30324" s="112"/>
      <c r="N30324" s="84"/>
    </row>
    <row r="30325" spans="1:14" s="2" customFormat="1">
      <c r="A30325" s="83"/>
      <c r="H30325" s="83"/>
      <c r="K30325" s="82"/>
      <c r="M30325" s="112"/>
      <c r="N30325" s="84"/>
    </row>
    <row r="30326" spans="1:14" s="2" customFormat="1">
      <c r="A30326" s="83"/>
      <c r="H30326" s="83"/>
      <c r="K30326" s="82"/>
      <c r="M30326" s="112"/>
      <c r="N30326" s="84"/>
    </row>
    <row r="30327" spans="1:14" s="2" customFormat="1">
      <c r="A30327" s="83"/>
      <c r="H30327" s="83"/>
      <c r="K30327" s="82"/>
      <c r="M30327" s="112"/>
      <c r="N30327" s="84"/>
    </row>
    <row r="30328" spans="1:14" s="2" customFormat="1">
      <c r="A30328" s="83"/>
      <c r="H30328" s="83"/>
      <c r="K30328" s="82"/>
      <c r="M30328" s="112"/>
      <c r="N30328" s="84"/>
    </row>
    <row r="30329" spans="1:14" s="2" customFormat="1">
      <c r="A30329" s="83"/>
      <c r="H30329" s="83"/>
      <c r="K30329" s="82"/>
      <c r="M30329" s="112"/>
      <c r="N30329" s="84"/>
    </row>
    <row r="30330" spans="1:14" s="2" customFormat="1">
      <c r="A30330" s="83"/>
      <c r="H30330" s="83"/>
      <c r="K30330" s="82"/>
      <c r="M30330" s="112"/>
      <c r="N30330" s="84"/>
    </row>
    <row r="30331" spans="1:14" s="2" customFormat="1">
      <c r="A30331" s="83"/>
      <c r="H30331" s="83"/>
      <c r="K30331" s="82"/>
      <c r="M30331" s="112"/>
      <c r="N30331" s="84"/>
    </row>
    <row r="30332" spans="1:14" s="2" customFormat="1">
      <c r="A30332" s="83"/>
      <c r="H30332" s="83"/>
      <c r="K30332" s="82"/>
      <c r="M30332" s="112"/>
      <c r="N30332" s="84"/>
    </row>
    <row r="30333" spans="1:14" s="2" customFormat="1">
      <c r="A30333" s="83"/>
      <c r="H30333" s="83"/>
      <c r="K30333" s="82"/>
      <c r="M30333" s="112"/>
      <c r="N30333" s="84"/>
    </row>
    <row r="30334" spans="1:14" s="2" customFormat="1">
      <c r="A30334" s="83"/>
      <c r="H30334" s="83"/>
      <c r="K30334" s="82"/>
      <c r="M30334" s="112"/>
      <c r="N30334" s="84"/>
    </row>
    <row r="30335" spans="1:14" s="2" customFormat="1">
      <c r="A30335" s="83"/>
      <c r="H30335" s="83"/>
      <c r="K30335" s="82"/>
      <c r="M30335" s="112"/>
      <c r="N30335" s="84"/>
    </row>
    <row r="30336" spans="1:14" s="2" customFormat="1">
      <c r="A30336" s="83"/>
      <c r="H30336" s="83"/>
      <c r="K30336" s="82"/>
      <c r="M30336" s="112"/>
      <c r="N30336" s="84"/>
    </row>
    <row r="30337" spans="1:14" s="2" customFormat="1">
      <c r="A30337" s="83"/>
      <c r="H30337" s="83"/>
      <c r="K30337" s="82"/>
      <c r="M30337" s="112"/>
      <c r="N30337" s="84"/>
    </row>
    <row r="30338" spans="1:14" s="2" customFormat="1">
      <c r="A30338" s="83"/>
      <c r="H30338" s="83"/>
      <c r="K30338" s="82"/>
      <c r="M30338" s="112"/>
      <c r="N30338" s="84"/>
    </row>
    <row r="30339" spans="1:14" s="2" customFormat="1">
      <c r="A30339" s="83"/>
      <c r="H30339" s="83"/>
      <c r="K30339" s="82"/>
      <c r="M30339" s="112"/>
      <c r="N30339" s="84"/>
    </row>
    <row r="30340" spans="1:14" s="2" customFormat="1">
      <c r="A30340" s="83"/>
      <c r="H30340" s="83"/>
      <c r="K30340" s="82"/>
      <c r="M30340" s="112"/>
      <c r="N30340" s="84"/>
    </row>
    <row r="30341" spans="1:14" s="2" customFormat="1">
      <c r="A30341" s="83"/>
      <c r="H30341" s="83"/>
      <c r="K30341" s="82"/>
      <c r="M30341" s="112"/>
      <c r="N30341" s="84"/>
    </row>
    <row r="30342" spans="1:14" s="2" customFormat="1">
      <c r="A30342" s="83"/>
      <c r="H30342" s="83"/>
      <c r="K30342" s="82"/>
      <c r="M30342" s="112"/>
      <c r="N30342" s="84"/>
    </row>
    <row r="30343" spans="1:14" s="2" customFormat="1">
      <c r="A30343" s="83"/>
      <c r="H30343" s="83"/>
      <c r="K30343" s="82"/>
      <c r="M30343" s="112"/>
      <c r="N30343" s="84"/>
    </row>
    <row r="30344" spans="1:14" s="2" customFormat="1">
      <c r="A30344" s="83"/>
      <c r="H30344" s="83"/>
      <c r="K30344" s="82"/>
      <c r="M30344" s="112"/>
      <c r="N30344" s="84"/>
    </row>
    <row r="30345" spans="1:14" s="2" customFormat="1">
      <c r="A30345" s="83"/>
      <c r="H30345" s="83"/>
      <c r="K30345" s="82"/>
      <c r="M30345" s="112"/>
      <c r="N30345" s="84"/>
    </row>
    <row r="30346" spans="1:14" s="2" customFormat="1">
      <c r="A30346" s="83"/>
      <c r="H30346" s="83"/>
      <c r="K30346" s="82"/>
      <c r="M30346" s="112"/>
      <c r="N30346" s="84"/>
    </row>
    <row r="30347" spans="1:14" s="2" customFormat="1">
      <c r="A30347" s="83"/>
      <c r="H30347" s="83"/>
      <c r="K30347" s="82"/>
      <c r="M30347" s="112"/>
      <c r="N30347" s="84"/>
    </row>
    <row r="30348" spans="1:14" s="2" customFormat="1">
      <c r="A30348" s="83"/>
      <c r="H30348" s="83"/>
      <c r="K30348" s="82"/>
      <c r="M30348" s="112"/>
      <c r="N30348" s="84"/>
    </row>
    <row r="30349" spans="1:14" s="2" customFormat="1">
      <c r="A30349" s="83"/>
      <c r="H30349" s="83"/>
      <c r="K30349" s="82"/>
      <c r="M30349" s="112"/>
      <c r="N30349" s="84"/>
    </row>
    <row r="30350" spans="1:14" s="2" customFormat="1">
      <c r="A30350" s="83"/>
      <c r="H30350" s="83"/>
      <c r="K30350" s="82"/>
      <c r="M30350" s="112"/>
      <c r="N30350" s="84"/>
    </row>
    <row r="30351" spans="1:14" s="2" customFormat="1">
      <c r="A30351" s="83"/>
      <c r="H30351" s="83"/>
      <c r="K30351" s="82"/>
      <c r="M30351" s="112"/>
      <c r="N30351" s="84"/>
    </row>
    <row r="30352" spans="1:14" s="2" customFormat="1">
      <c r="A30352" s="83"/>
      <c r="H30352" s="83"/>
      <c r="K30352" s="82"/>
      <c r="M30352" s="112"/>
      <c r="N30352" s="84"/>
    </row>
    <row r="30353" spans="1:14" s="2" customFormat="1">
      <c r="A30353" s="83"/>
      <c r="H30353" s="83"/>
      <c r="K30353" s="82"/>
      <c r="M30353" s="112"/>
      <c r="N30353" s="84"/>
    </row>
    <row r="30354" spans="1:14" s="2" customFormat="1">
      <c r="A30354" s="83"/>
      <c r="H30354" s="83"/>
      <c r="K30354" s="82"/>
      <c r="M30354" s="112"/>
      <c r="N30354" s="84"/>
    </row>
    <row r="30355" spans="1:14" s="2" customFormat="1">
      <c r="A30355" s="83"/>
      <c r="H30355" s="83"/>
      <c r="K30355" s="82"/>
      <c r="M30355" s="112"/>
      <c r="N30355" s="84"/>
    </row>
    <row r="30356" spans="1:14" s="2" customFormat="1">
      <c r="A30356" s="83"/>
      <c r="H30356" s="83"/>
      <c r="K30356" s="82"/>
      <c r="M30356" s="112"/>
      <c r="N30356" s="84"/>
    </row>
    <row r="30357" spans="1:14" s="2" customFormat="1">
      <c r="A30357" s="83"/>
      <c r="H30357" s="83"/>
      <c r="K30357" s="82"/>
      <c r="M30357" s="112"/>
      <c r="N30357" s="84"/>
    </row>
    <row r="30358" spans="1:14" s="2" customFormat="1">
      <c r="A30358" s="83"/>
      <c r="H30358" s="83"/>
      <c r="K30358" s="82"/>
      <c r="M30358" s="112"/>
      <c r="N30358" s="84"/>
    </row>
    <row r="30359" spans="1:14" s="2" customFormat="1">
      <c r="A30359" s="83"/>
      <c r="H30359" s="83"/>
      <c r="K30359" s="82"/>
      <c r="M30359" s="112"/>
      <c r="N30359" s="84"/>
    </row>
    <row r="30360" spans="1:14" s="2" customFormat="1">
      <c r="A30360" s="83"/>
      <c r="H30360" s="83"/>
      <c r="K30360" s="82"/>
      <c r="M30360" s="112"/>
      <c r="N30360" s="84"/>
    </row>
    <row r="30361" spans="1:14" s="2" customFormat="1">
      <c r="A30361" s="83"/>
      <c r="H30361" s="83"/>
      <c r="K30361" s="82"/>
      <c r="M30361" s="112"/>
      <c r="N30361" s="84"/>
    </row>
    <row r="30362" spans="1:14" s="2" customFormat="1">
      <c r="A30362" s="83"/>
      <c r="H30362" s="83"/>
      <c r="K30362" s="82"/>
      <c r="M30362" s="112"/>
      <c r="N30362" s="84"/>
    </row>
    <row r="30363" spans="1:14" s="2" customFormat="1">
      <c r="A30363" s="83"/>
      <c r="H30363" s="83"/>
      <c r="K30363" s="82"/>
      <c r="M30363" s="112"/>
      <c r="N30363" s="84"/>
    </row>
    <row r="30364" spans="1:14" s="2" customFormat="1">
      <c r="A30364" s="83"/>
      <c r="H30364" s="83"/>
      <c r="K30364" s="82"/>
      <c r="M30364" s="112"/>
      <c r="N30364" s="84"/>
    </row>
    <row r="30365" spans="1:14" s="2" customFormat="1">
      <c r="A30365" s="83"/>
      <c r="H30365" s="83"/>
      <c r="K30365" s="82"/>
      <c r="M30365" s="112"/>
      <c r="N30365" s="84"/>
    </row>
    <row r="30366" spans="1:14" s="2" customFormat="1">
      <c r="A30366" s="83"/>
      <c r="H30366" s="83"/>
      <c r="K30366" s="82"/>
      <c r="M30366" s="112"/>
      <c r="N30366" s="84"/>
    </row>
    <row r="30367" spans="1:14" s="2" customFormat="1">
      <c r="A30367" s="83"/>
      <c r="H30367" s="83"/>
      <c r="K30367" s="82"/>
      <c r="M30367" s="112"/>
      <c r="N30367" s="84"/>
    </row>
    <row r="30368" spans="1:14" s="2" customFormat="1">
      <c r="A30368" s="83"/>
      <c r="H30368" s="83"/>
      <c r="K30368" s="82"/>
      <c r="M30368" s="112"/>
      <c r="N30368" s="84"/>
    </row>
    <row r="30369" spans="1:14" s="2" customFormat="1">
      <c r="A30369" s="83"/>
      <c r="H30369" s="83"/>
      <c r="K30369" s="82"/>
      <c r="M30369" s="112"/>
      <c r="N30369" s="84"/>
    </row>
    <row r="30370" spans="1:14" s="2" customFormat="1">
      <c r="A30370" s="83"/>
      <c r="H30370" s="83"/>
      <c r="K30370" s="82"/>
      <c r="M30370" s="112"/>
      <c r="N30370" s="84"/>
    </row>
    <row r="30371" spans="1:14" s="2" customFormat="1">
      <c r="A30371" s="83"/>
      <c r="H30371" s="83"/>
      <c r="K30371" s="82"/>
      <c r="M30371" s="112"/>
      <c r="N30371" s="84"/>
    </row>
    <row r="30372" spans="1:14" s="2" customFormat="1">
      <c r="A30372" s="83"/>
      <c r="H30372" s="83"/>
      <c r="K30372" s="82"/>
      <c r="M30372" s="112"/>
      <c r="N30372" s="84"/>
    </row>
    <row r="30373" spans="1:14" s="2" customFormat="1">
      <c r="A30373" s="83"/>
      <c r="H30373" s="83"/>
      <c r="K30373" s="82"/>
      <c r="M30373" s="112"/>
      <c r="N30373" s="84"/>
    </row>
    <row r="30374" spans="1:14" s="2" customFormat="1">
      <c r="A30374" s="83"/>
      <c r="H30374" s="83"/>
      <c r="K30374" s="82"/>
      <c r="M30374" s="112"/>
      <c r="N30374" s="84"/>
    </row>
    <row r="30375" spans="1:14" s="2" customFormat="1">
      <c r="A30375" s="83"/>
      <c r="H30375" s="83"/>
      <c r="K30375" s="82"/>
      <c r="M30375" s="112"/>
      <c r="N30375" s="84"/>
    </row>
    <row r="30376" spans="1:14" s="2" customFormat="1">
      <c r="A30376" s="83"/>
      <c r="H30376" s="83"/>
      <c r="K30376" s="82"/>
      <c r="M30376" s="112"/>
      <c r="N30376" s="84"/>
    </row>
    <row r="30377" spans="1:14" s="2" customFormat="1">
      <c r="A30377" s="83"/>
      <c r="H30377" s="83"/>
      <c r="K30377" s="82"/>
      <c r="M30377" s="112"/>
      <c r="N30377" s="84"/>
    </row>
    <row r="30378" spans="1:14" s="2" customFormat="1">
      <c r="A30378" s="83"/>
      <c r="H30378" s="83"/>
      <c r="K30378" s="82"/>
      <c r="M30378" s="112"/>
      <c r="N30378" s="84"/>
    </row>
    <row r="30379" spans="1:14" s="2" customFormat="1">
      <c r="A30379" s="83"/>
      <c r="H30379" s="83"/>
      <c r="K30379" s="82"/>
      <c r="M30379" s="112"/>
      <c r="N30379" s="84"/>
    </row>
    <row r="30380" spans="1:14" s="2" customFormat="1">
      <c r="A30380" s="83"/>
      <c r="H30380" s="83"/>
      <c r="K30380" s="82"/>
      <c r="M30380" s="112"/>
      <c r="N30380" s="84"/>
    </row>
    <row r="30381" spans="1:14" s="2" customFormat="1">
      <c r="A30381" s="83"/>
      <c r="H30381" s="83"/>
      <c r="K30381" s="82"/>
      <c r="M30381" s="112"/>
      <c r="N30381" s="84"/>
    </row>
    <row r="30382" spans="1:14" s="2" customFormat="1">
      <c r="A30382" s="83"/>
      <c r="H30382" s="83"/>
      <c r="K30382" s="82"/>
      <c r="M30382" s="112"/>
      <c r="N30382" s="84"/>
    </row>
    <row r="30383" spans="1:14" s="2" customFormat="1">
      <c r="A30383" s="83"/>
      <c r="H30383" s="83"/>
      <c r="K30383" s="82"/>
      <c r="M30383" s="112"/>
      <c r="N30383" s="84"/>
    </row>
    <row r="30384" spans="1:14" s="2" customFormat="1">
      <c r="A30384" s="83"/>
      <c r="H30384" s="83"/>
      <c r="K30384" s="82"/>
      <c r="M30384" s="112"/>
      <c r="N30384" s="84"/>
    </row>
    <row r="30385" spans="1:14" s="2" customFormat="1">
      <c r="A30385" s="83"/>
      <c r="H30385" s="83"/>
      <c r="K30385" s="82"/>
      <c r="M30385" s="112"/>
      <c r="N30385" s="84"/>
    </row>
    <row r="30386" spans="1:14" s="2" customFormat="1">
      <c r="A30386" s="83"/>
      <c r="H30386" s="83"/>
      <c r="K30386" s="82"/>
      <c r="M30386" s="112"/>
      <c r="N30386" s="84"/>
    </row>
    <row r="30387" spans="1:14" s="2" customFormat="1">
      <c r="A30387" s="83"/>
      <c r="H30387" s="83"/>
      <c r="K30387" s="82"/>
      <c r="M30387" s="112"/>
      <c r="N30387" s="84"/>
    </row>
    <row r="30388" spans="1:14" s="2" customFormat="1">
      <c r="A30388" s="83"/>
      <c r="H30388" s="83"/>
      <c r="K30388" s="82"/>
      <c r="M30388" s="112"/>
      <c r="N30388" s="84"/>
    </row>
    <row r="30389" spans="1:14" s="2" customFormat="1">
      <c r="A30389" s="83"/>
      <c r="H30389" s="83"/>
      <c r="K30389" s="82"/>
      <c r="M30389" s="112"/>
      <c r="N30389" s="84"/>
    </row>
    <row r="30390" spans="1:14" s="2" customFormat="1">
      <c r="A30390" s="83"/>
      <c r="H30390" s="83"/>
      <c r="K30390" s="82"/>
      <c r="M30390" s="112"/>
      <c r="N30390" s="84"/>
    </row>
    <row r="30391" spans="1:14" s="2" customFormat="1">
      <c r="A30391" s="83"/>
      <c r="H30391" s="83"/>
      <c r="K30391" s="82"/>
      <c r="M30391" s="112"/>
      <c r="N30391" s="84"/>
    </row>
    <row r="30392" spans="1:14" s="2" customFormat="1">
      <c r="A30392" s="83"/>
      <c r="H30392" s="83"/>
      <c r="K30392" s="82"/>
      <c r="M30392" s="112"/>
      <c r="N30392" s="84"/>
    </row>
    <row r="30393" spans="1:14" s="2" customFormat="1">
      <c r="A30393" s="83"/>
      <c r="H30393" s="83"/>
      <c r="K30393" s="82"/>
      <c r="M30393" s="112"/>
      <c r="N30393" s="84"/>
    </row>
    <row r="30394" spans="1:14" s="2" customFormat="1">
      <c r="A30394" s="83"/>
      <c r="H30394" s="83"/>
      <c r="K30394" s="82"/>
      <c r="M30394" s="112"/>
      <c r="N30394" s="84"/>
    </row>
    <row r="30395" spans="1:14" s="2" customFormat="1">
      <c r="A30395" s="83"/>
      <c r="H30395" s="83"/>
      <c r="K30395" s="82"/>
      <c r="M30395" s="112"/>
      <c r="N30395" s="84"/>
    </row>
    <row r="30396" spans="1:14" s="2" customFormat="1">
      <c r="A30396" s="83"/>
      <c r="H30396" s="83"/>
      <c r="K30396" s="82"/>
      <c r="M30396" s="112"/>
      <c r="N30396" s="84"/>
    </row>
    <row r="30397" spans="1:14" s="2" customFormat="1">
      <c r="A30397" s="83"/>
      <c r="H30397" s="83"/>
      <c r="K30397" s="82"/>
      <c r="M30397" s="112"/>
      <c r="N30397" s="84"/>
    </row>
    <row r="30398" spans="1:14" s="2" customFormat="1">
      <c r="A30398" s="83"/>
      <c r="H30398" s="83"/>
      <c r="K30398" s="82"/>
      <c r="M30398" s="112"/>
      <c r="N30398" s="84"/>
    </row>
    <row r="30399" spans="1:14" s="2" customFormat="1">
      <c r="A30399" s="83"/>
      <c r="H30399" s="83"/>
      <c r="K30399" s="82"/>
      <c r="M30399" s="112"/>
      <c r="N30399" s="84"/>
    </row>
    <row r="30400" spans="1:14" s="2" customFormat="1">
      <c r="A30400" s="83"/>
      <c r="H30400" s="83"/>
      <c r="K30400" s="82"/>
      <c r="M30400" s="112"/>
      <c r="N30400" s="84"/>
    </row>
    <row r="30401" spans="1:14" s="2" customFormat="1">
      <c r="A30401" s="83"/>
      <c r="H30401" s="83"/>
      <c r="K30401" s="82"/>
      <c r="M30401" s="112"/>
      <c r="N30401" s="84"/>
    </row>
    <row r="30402" spans="1:14" s="2" customFormat="1">
      <c r="A30402" s="83"/>
      <c r="H30402" s="83"/>
      <c r="K30402" s="82"/>
      <c r="M30402" s="112"/>
      <c r="N30402" s="84"/>
    </row>
    <row r="30403" spans="1:14" s="2" customFormat="1">
      <c r="A30403" s="83"/>
      <c r="H30403" s="83"/>
      <c r="K30403" s="82"/>
      <c r="M30403" s="112"/>
      <c r="N30403" s="84"/>
    </row>
    <row r="30404" spans="1:14" s="2" customFormat="1">
      <c r="A30404" s="83"/>
      <c r="H30404" s="83"/>
      <c r="K30404" s="82"/>
      <c r="M30404" s="112"/>
      <c r="N30404" s="84"/>
    </row>
    <row r="30405" spans="1:14" s="2" customFormat="1">
      <c r="A30405" s="83"/>
      <c r="H30405" s="83"/>
      <c r="K30405" s="82"/>
      <c r="M30405" s="112"/>
      <c r="N30405" s="84"/>
    </row>
    <row r="30406" spans="1:14" s="2" customFormat="1">
      <c r="A30406" s="83"/>
      <c r="H30406" s="83"/>
      <c r="K30406" s="82"/>
      <c r="M30406" s="112"/>
      <c r="N30406" s="84"/>
    </row>
    <row r="30407" spans="1:14" s="2" customFormat="1">
      <c r="A30407" s="83"/>
      <c r="H30407" s="83"/>
      <c r="K30407" s="82"/>
      <c r="M30407" s="112"/>
      <c r="N30407" s="84"/>
    </row>
    <row r="30408" spans="1:14" s="2" customFormat="1">
      <c r="A30408" s="83"/>
      <c r="H30408" s="83"/>
      <c r="K30408" s="82"/>
      <c r="M30408" s="112"/>
      <c r="N30408" s="84"/>
    </row>
    <row r="30409" spans="1:14" s="2" customFormat="1">
      <c r="A30409" s="83"/>
      <c r="H30409" s="83"/>
      <c r="K30409" s="82"/>
      <c r="M30409" s="112"/>
      <c r="N30409" s="84"/>
    </row>
    <row r="30410" spans="1:14" s="2" customFormat="1">
      <c r="A30410" s="83"/>
      <c r="H30410" s="83"/>
      <c r="K30410" s="82"/>
      <c r="M30410" s="112"/>
      <c r="N30410" s="84"/>
    </row>
    <row r="30411" spans="1:14" s="2" customFormat="1">
      <c r="A30411" s="83"/>
      <c r="H30411" s="83"/>
      <c r="K30411" s="82"/>
      <c r="M30411" s="112"/>
      <c r="N30411" s="84"/>
    </row>
    <row r="30412" spans="1:14" s="2" customFormat="1">
      <c r="A30412" s="83"/>
      <c r="H30412" s="83"/>
      <c r="K30412" s="82"/>
      <c r="M30412" s="112"/>
      <c r="N30412" s="84"/>
    </row>
    <row r="30413" spans="1:14" s="2" customFormat="1">
      <c r="A30413" s="83"/>
      <c r="H30413" s="83"/>
      <c r="K30413" s="82"/>
      <c r="M30413" s="112"/>
      <c r="N30413" s="84"/>
    </row>
    <row r="30414" spans="1:14" s="2" customFormat="1">
      <c r="A30414" s="83"/>
      <c r="H30414" s="83"/>
      <c r="K30414" s="82"/>
      <c r="M30414" s="112"/>
      <c r="N30414" s="84"/>
    </row>
    <row r="30415" spans="1:14" s="2" customFormat="1">
      <c r="A30415" s="83"/>
      <c r="H30415" s="83"/>
      <c r="K30415" s="82"/>
      <c r="M30415" s="112"/>
      <c r="N30415" s="84"/>
    </row>
    <row r="30416" spans="1:14" s="2" customFormat="1">
      <c r="A30416" s="83"/>
      <c r="H30416" s="83"/>
      <c r="K30416" s="82"/>
      <c r="M30416" s="112"/>
      <c r="N30416" s="84"/>
    </row>
    <row r="30417" spans="1:14" s="2" customFormat="1">
      <c r="A30417" s="83"/>
      <c r="H30417" s="83"/>
      <c r="K30417" s="82"/>
      <c r="M30417" s="112"/>
      <c r="N30417" s="84"/>
    </row>
    <row r="30418" spans="1:14" s="2" customFormat="1">
      <c r="A30418" s="83"/>
      <c r="H30418" s="83"/>
      <c r="K30418" s="82"/>
      <c r="M30418" s="112"/>
      <c r="N30418" s="84"/>
    </row>
    <row r="30419" spans="1:14" s="2" customFormat="1">
      <c r="A30419" s="83"/>
      <c r="H30419" s="83"/>
      <c r="K30419" s="82"/>
      <c r="M30419" s="112"/>
      <c r="N30419" s="84"/>
    </row>
    <row r="30420" spans="1:14" s="2" customFormat="1">
      <c r="A30420" s="83"/>
      <c r="H30420" s="83"/>
      <c r="K30420" s="82"/>
      <c r="M30420" s="112"/>
      <c r="N30420" s="84"/>
    </row>
    <row r="30421" spans="1:14" s="2" customFormat="1">
      <c r="A30421" s="83"/>
      <c r="H30421" s="83"/>
      <c r="K30421" s="82"/>
      <c r="M30421" s="112"/>
      <c r="N30421" s="84"/>
    </row>
    <row r="30422" spans="1:14" s="2" customFormat="1">
      <c r="A30422" s="83"/>
      <c r="H30422" s="83"/>
      <c r="K30422" s="82"/>
      <c r="M30422" s="112"/>
      <c r="N30422" s="84"/>
    </row>
    <row r="30423" spans="1:14" s="2" customFormat="1">
      <c r="A30423" s="83"/>
      <c r="H30423" s="83"/>
      <c r="K30423" s="82"/>
      <c r="M30423" s="112"/>
      <c r="N30423" s="84"/>
    </row>
    <row r="30424" spans="1:14" s="2" customFormat="1">
      <c r="A30424" s="83"/>
      <c r="H30424" s="83"/>
      <c r="K30424" s="82"/>
      <c r="M30424" s="112"/>
      <c r="N30424" s="84"/>
    </row>
    <row r="30425" spans="1:14" s="2" customFormat="1">
      <c r="A30425" s="83"/>
      <c r="H30425" s="83"/>
      <c r="K30425" s="82"/>
      <c r="M30425" s="112"/>
      <c r="N30425" s="84"/>
    </row>
    <row r="30426" spans="1:14" s="2" customFormat="1">
      <c r="A30426" s="83"/>
      <c r="H30426" s="83"/>
      <c r="K30426" s="82"/>
      <c r="M30426" s="112"/>
      <c r="N30426" s="84"/>
    </row>
    <row r="30427" spans="1:14" s="2" customFormat="1">
      <c r="A30427" s="83"/>
      <c r="H30427" s="83"/>
      <c r="K30427" s="82"/>
      <c r="M30427" s="112"/>
      <c r="N30427" s="84"/>
    </row>
    <row r="30428" spans="1:14" s="2" customFormat="1">
      <c r="A30428" s="83"/>
      <c r="H30428" s="83"/>
      <c r="K30428" s="82"/>
      <c r="M30428" s="112"/>
      <c r="N30428" s="84"/>
    </row>
    <row r="30429" spans="1:14" s="2" customFormat="1">
      <c r="A30429" s="83"/>
      <c r="H30429" s="83"/>
      <c r="K30429" s="82"/>
      <c r="M30429" s="112"/>
      <c r="N30429" s="84"/>
    </row>
    <row r="30430" spans="1:14" s="2" customFormat="1">
      <c r="A30430" s="83"/>
      <c r="H30430" s="83"/>
      <c r="K30430" s="82"/>
      <c r="M30430" s="112"/>
      <c r="N30430" s="84"/>
    </row>
    <row r="30431" spans="1:14" s="2" customFormat="1">
      <c r="A30431" s="83"/>
      <c r="H30431" s="83"/>
      <c r="K30431" s="82"/>
      <c r="M30431" s="112"/>
      <c r="N30431" s="84"/>
    </row>
    <row r="30432" spans="1:14" s="2" customFormat="1">
      <c r="A30432" s="83"/>
      <c r="H30432" s="83"/>
      <c r="K30432" s="82"/>
      <c r="M30432" s="112"/>
      <c r="N30432" s="84"/>
    </row>
    <row r="30433" spans="1:14" s="2" customFormat="1">
      <c r="A30433" s="83"/>
      <c r="H30433" s="83"/>
      <c r="K30433" s="82"/>
      <c r="M30433" s="112"/>
      <c r="N30433" s="84"/>
    </row>
    <row r="30434" spans="1:14" s="2" customFormat="1">
      <c r="A30434" s="83"/>
      <c r="H30434" s="83"/>
      <c r="K30434" s="82"/>
      <c r="M30434" s="112"/>
      <c r="N30434" s="84"/>
    </row>
    <row r="30435" spans="1:14" s="2" customFormat="1">
      <c r="A30435" s="83"/>
      <c r="H30435" s="83"/>
      <c r="K30435" s="82"/>
      <c r="M30435" s="112"/>
      <c r="N30435" s="84"/>
    </row>
    <row r="30436" spans="1:14" s="2" customFormat="1">
      <c r="A30436" s="83"/>
      <c r="H30436" s="83"/>
      <c r="K30436" s="82"/>
      <c r="M30436" s="112"/>
      <c r="N30436" s="84"/>
    </row>
    <row r="30437" spans="1:14" s="2" customFormat="1">
      <c r="A30437" s="83"/>
      <c r="H30437" s="83"/>
      <c r="K30437" s="82"/>
      <c r="M30437" s="112"/>
      <c r="N30437" s="84"/>
    </row>
    <row r="30438" spans="1:14" s="2" customFormat="1">
      <c r="A30438" s="83"/>
      <c r="H30438" s="83"/>
      <c r="K30438" s="82"/>
      <c r="M30438" s="112"/>
      <c r="N30438" s="84"/>
    </row>
    <row r="30439" spans="1:14" s="2" customFormat="1">
      <c r="A30439" s="83"/>
      <c r="H30439" s="83"/>
      <c r="K30439" s="82"/>
      <c r="M30439" s="112"/>
      <c r="N30439" s="84"/>
    </row>
    <row r="30440" spans="1:14" s="2" customFormat="1">
      <c r="A30440" s="83"/>
      <c r="H30440" s="83"/>
      <c r="K30440" s="82"/>
      <c r="M30440" s="112"/>
      <c r="N30440" s="84"/>
    </row>
    <row r="30441" spans="1:14" s="2" customFormat="1">
      <c r="A30441" s="83"/>
      <c r="H30441" s="83"/>
      <c r="K30441" s="82"/>
      <c r="M30441" s="112"/>
      <c r="N30441" s="84"/>
    </row>
    <row r="30442" spans="1:14" s="2" customFormat="1">
      <c r="A30442" s="83"/>
      <c r="H30442" s="83"/>
      <c r="K30442" s="82"/>
      <c r="M30442" s="112"/>
      <c r="N30442" s="84"/>
    </row>
    <row r="30443" spans="1:14" s="2" customFormat="1">
      <c r="A30443" s="83"/>
      <c r="H30443" s="83"/>
      <c r="K30443" s="82"/>
      <c r="M30443" s="112"/>
      <c r="N30443" s="84"/>
    </row>
    <row r="30444" spans="1:14" s="2" customFormat="1">
      <c r="A30444" s="83"/>
      <c r="H30444" s="83"/>
      <c r="K30444" s="82"/>
      <c r="M30444" s="112"/>
      <c r="N30444" s="84"/>
    </row>
    <row r="30445" spans="1:14" s="2" customFormat="1">
      <c r="A30445" s="83"/>
      <c r="H30445" s="83"/>
      <c r="K30445" s="82"/>
      <c r="M30445" s="112"/>
      <c r="N30445" s="84"/>
    </row>
    <row r="30446" spans="1:14" s="2" customFormat="1">
      <c r="A30446" s="83"/>
      <c r="H30446" s="83"/>
      <c r="K30446" s="82"/>
      <c r="M30446" s="112"/>
      <c r="N30446" s="84"/>
    </row>
    <row r="30447" spans="1:14" s="2" customFormat="1">
      <c r="A30447" s="83"/>
      <c r="H30447" s="83"/>
      <c r="K30447" s="82"/>
      <c r="M30447" s="112"/>
      <c r="N30447" s="84"/>
    </row>
    <row r="30448" spans="1:14" s="2" customFormat="1">
      <c r="A30448" s="83"/>
      <c r="H30448" s="83"/>
      <c r="K30448" s="82"/>
      <c r="M30448" s="112"/>
      <c r="N30448" s="84"/>
    </row>
    <row r="30449" spans="1:14" s="2" customFormat="1">
      <c r="A30449" s="83"/>
      <c r="H30449" s="83"/>
      <c r="K30449" s="82"/>
      <c r="M30449" s="112"/>
      <c r="N30449" s="84"/>
    </row>
    <row r="30450" spans="1:14" s="2" customFormat="1">
      <c r="A30450" s="83"/>
      <c r="H30450" s="83"/>
      <c r="K30450" s="82"/>
      <c r="M30450" s="112"/>
      <c r="N30450" s="84"/>
    </row>
    <row r="30451" spans="1:14" s="2" customFormat="1">
      <c r="A30451" s="83"/>
      <c r="H30451" s="83"/>
      <c r="K30451" s="82"/>
      <c r="M30451" s="112"/>
      <c r="N30451" s="84"/>
    </row>
    <row r="30452" spans="1:14" s="2" customFormat="1">
      <c r="A30452" s="83"/>
      <c r="H30452" s="83"/>
      <c r="K30452" s="82"/>
      <c r="M30452" s="112"/>
      <c r="N30452" s="84"/>
    </row>
    <row r="30453" spans="1:14" s="2" customFormat="1">
      <c r="A30453" s="83"/>
      <c r="H30453" s="83"/>
      <c r="K30453" s="82"/>
      <c r="M30453" s="112"/>
      <c r="N30453" s="84"/>
    </row>
    <row r="30454" spans="1:14" s="2" customFormat="1">
      <c r="A30454" s="83"/>
      <c r="H30454" s="83"/>
      <c r="K30454" s="82"/>
      <c r="M30454" s="112"/>
      <c r="N30454" s="84"/>
    </row>
    <row r="30455" spans="1:14" s="2" customFormat="1">
      <c r="A30455" s="83"/>
      <c r="H30455" s="83"/>
      <c r="K30455" s="82"/>
      <c r="M30455" s="112"/>
      <c r="N30455" s="84"/>
    </row>
    <row r="30456" spans="1:14" s="2" customFormat="1">
      <c r="A30456" s="83"/>
      <c r="H30456" s="83"/>
      <c r="K30456" s="82"/>
      <c r="M30456" s="112"/>
      <c r="N30456" s="84"/>
    </row>
    <row r="30457" spans="1:14" s="2" customFormat="1">
      <c r="A30457" s="83"/>
      <c r="H30457" s="83"/>
      <c r="K30457" s="82"/>
      <c r="M30457" s="112"/>
      <c r="N30457" s="84"/>
    </row>
    <row r="30458" spans="1:14" s="2" customFormat="1">
      <c r="A30458" s="83"/>
      <c r="H30458" s="83"/>
      <c r="K30458" s="82"/>
      <c r="M30458" s="112"/>
      <c r="N30458" s="84"/>
    </row>
    <row r="30459" spans="1:14" s="2" customFormat="1">
      <c r="A30459" s="83"/>
      <c r="H30459" s="83"/>
      <c r="K30459" s="82"/>
      <c r="M30459" s="112"/>
      <c r="N30459" s="84"/>
    </row>
    <row r="30460" spans="1:14" s="2" customFormat="1">
      <c r="A30460" s="83"/>
      <c r="H30460" s="83"/>
      <c r="K30460" s="82"/>
      <c r="M30460" s="112"/>
      <c r="N30460" s="84"/>
    </row>
    <row r="30461" spans="1:14" s="2" customFormat="1">
      <c r="A30461" s="83"/>
      <c r="H30461" s="83"/>
      <c r="K30461" s="82"/>
      <c r="M30461" s="112"/>
      <c r="N30461" s="84"/>
    </row>
    <row r="30462" spans="1:14" s="2" customFormat="1">
      <c r="A30462" s="83"/>
      <c r="H30462" s="83"/>
      <c r="K30462" s="82"/>
      <c r="M30462" s="112"/>
      <c r="N30462" s="84"/>
    </row>
    <row r="30463" spans="1:14" s="2" customFormat="1">
      <c r="A30463" s="83"/>
      <c r="H30463" s="83"/>
      <c r="K30463" s="82"/>
      <c r="M30463" s="112"/>
      <c r="N30463" s="84"/>
    </row>
    <row r="30464" spans="1:14" s="2" customFormat="1">
      <c r="A30464" s="83"/>
      <c r="H30464" s="83"/>
      <c r="K30464" s="82"/>
      <c r="M30464" s="112"/>
      <c r="N30464" s="84"/>
    </row>
    <row r="30465" spans="1:14" s="2" customFormat="1">
      <c r="A30465" s="83"/>
      <c r="H30465" s="83"/>
      <c r="K30465" s="82"/>
      <c r="M30465" s="112"/>
      <c r="N30465" s="84"/>
    </row>
    <row r="30466" spans="1:14" s="2" customFormat="1">
      <c r="A30466" s="83"/>
      <c r="H30466" s="83"/>
      <c r="K30466" s="82"/>
      <c r="M30466" s="112"/>
      <c r="N30466" s="84"/>
    </row>
    <row r="30467" spans="1:14" s="2" customFormat="1">
      <c r="A30467" s="83"/>
      <c r="H30467" s="83"/>
      <c r="K30467" s="82"/>
      <c r="M30467" s="112"/>
      <c r="N30467" s="84"/>
    </row>
    <row r="30468" spans="1:14" s="2" customFormat="1">
      <c r="A30468" s="83"/>
      <c r="H30468" s="83"/>
      <c r="K30468" s="82"/>
      <c r="M30468" s="112"/>
      <c r="N30468" s="84"/>
    </row>
    <row r="30469" spans="1:14" s="2" customFormat="1">
      <c r="A30469" s="83"/>
      <c r="H30469" s="83"/>
      <c r="K30469" s="82"/>
      <c r="M30469" s="112"/>
      <c r="N30469" s="84"/>
    </row>
    <row r="30470" spans="1:14" s="2" customFormat="1">
      <c r="A30470" s="83"/>
      <c r="H30470" s="83"/>
      <c r="K30470" s="82"/>
      <c r="M30470" s="112"/>
      <c r="N30470" s="84"/>
    </row>
    <row r="30471" spans="1:14" s="2" customFormat="1">
      <c r="A30471" s="83"/>
      <c r="H30471" s="83"/>
      <c r="K30471" s="82"/>
      <c r="M30471" s="112"/>
      <c r="N30471" s="84"/>
    </row>
    <row r="30472" spans="1:14" s="2" customFormat="1">
      <c r="A30472" s="83"/>
      <c r="H30472" s="83"/>
      <c r="K30472" s="82"/>
      <c r="M30472" s="112"/>
      <c r="N30472" s="84"/>
    </row>
    <row r="30473" spans="1:14" s="2" customFormat="1">
      <c r="A30473" s="83"/>
      <c r="H30473" s="83"/>
      <c r="K30473" s="82"/>
      <c r="M30473" s="112"/>
      <c r="N30473" s="84"/>
    </row>
    <row r="30474" spans="1:14" s="2" customFormat="1">
      <c r="A30474" s="83"/>
      <c r="H30474" s="83"/>
      <c r="K30474" s="82"/>
      <c r="M30474" s="112"/>
      <c r="N30474" s="84"/>
    </row>
    <row r="30475" spans="1:14" s="2" customFormat="1">
      <c r="A30475" s="83"/>
      <c r="H30475" s="83"/>
      <c r="K30475" s="82"/>
      <c r="M30475" s="112"/>
      <c r="N30475" s="84"/>
    </row>
    <row r="30476" spans="1:14" s="2" customFormat="1">
      <c r="A30476" s="83"/>
      <c r="H30476" s="83"/>
      <c r="K30476" s="82"/>
      <c r="M30476" s="112"/>
      <c r="N30476" s="84"/>
    </row>
    <row r="30477" spans="1:14" s="2" customFormat="1">
      <c r="A30477" s="83"/>
      <c r="H30477" s="83"/>
      <c r="K30477" s="82"/>
      <c r="M30477" s="112"/>
      <c r="N30477" s="84"/>
    </row>
    <row r="30478" spans="1:14" s="2" customFormat="1">
      <c r="A30478" s="83"/>
      <c r="H30478" s="83"/>
      <c r="K30478" s="82"/>
      <c r="M30478" s="112"/>
      <c r="N30478" s="84"/>
    </row>
    <row r="30479" spans="1:14" s="2" customFormat="1">
      <c r="A30479" s="83"/>
      <c r="H30479" s="83"/>
      <c r="K30479" s="82"/>
      <c r="M30479" s="112"/>
      <c r="N30479" s="84"/>
    </row>
    <row r="30480" spans="1:14" s="2" customFormat="1">
      <c r="A30480" s="83"/>
      <c r="H30480" s="83"/>
      <c r="K30480" s="82"/>
      <c r="M30480" s="112"/>
      <c r="N30480" s="84"/>
    </row>
    <row r="30481" spans="1:14" s="2" customFormat="1">
      <c r="A30481" s="83"/>
      <c r="H30481" s="83"/>
      <c r="K30481" s="82"/>
      <c r="M30481" s="112"/>
      <c r="N30481" s="84"/>
    </row>
    <row r="30482" spans="1:14" s="2" customFormat="1">
      <c r="A30482" s="83"/>
      <c r="H30482" s="83"/>
      <c r="K30482" s="82"/>
      <c r="M30482" s="112"/>
      <c r="N30482" s="84"/>
    </row>
    <row r="30483" spans="1:14" s="2" customFormat="1">
      <c r="A30483" s="83"/>
      <c r="H30483" s="83"/>
      <c r="K30483" s="82"/>
      <c r="M30483" s="112"/>
      <c r="N30483" s="84"/>
    </row>
    <row r="30484" spans="1:14" s="2" customFormat="1">
      <c r="A30484" s="83"/>
      <c r="H30484" s="83"/>
      <c r="K30484" s="82"/>
      <c r="M30484" s="112"/>
      <c r="N30484" s="84"/>
    </row>
    <row r="30485" spans="1:14" s="2" customFormat="1">
      <c r="A30485" s="83"/>
      <c r="H30485" s="83"/>
      <c r="K30485" s="82"/>
      <c r="M30485" s="112"/>
      <c r="N30485" s="84"/>
    </row>
    <row r="30486" spans="1:14" s="2" customFormat="1">
      <c r="A30486" s="83"/>
      <c r="H30486" s="83"/>
      <c r="K30486" s="82"/>
      <c r="M30486" s="112"/>
      <c r="N30486" s="84"/>
    </row>
    <row r="30487" spans="1:14" s="2" customFormat="1">
      <c r="A30487" s="83"/>
      <c r="H30487" s="83"/>
      <c r="K30487" s="82"/>
      <c r="M30487" s="112"/>
      <c r="N30487" s="84"/>
    </row>
    <row r="30488" spans="1:14" s="2" customFormat="1">
      <c r="A30488" s="83"/>
      <c r="H30488" s="83"/>
      <c r="K30488" s="82"/>
      <c r="M30488" s="112"/>
      <c r="N30488" s="84"/>
    </row>
    <row r="30489" spans="1:14" s="2" customFormat="1">
      <c r="A30489" s="83"/>
      <c r="H30489" s="83"/>
      <c r="K30489" s="82"/>
      <c r="M30489" s="112"/>
      <c r="N30489" s="84"/>
    </row>
    <row r="30490" spans="1:14" s="2" customFormat="1">
      <c r="A30490" s="83"/>
      <c r="H30490" s="83"/>
      <c r="K30490" s="82"/>
      <c r="M30490" s="112"/>
      <c r="N30490" s="84"/>
    </row>
    <row r="30491" spans="1:14" s="2" customFormat="1">
      <c r="A30491" s="83"/>
      <c r="H30491" s="83"/>
      <c r="K30491" s="82"/>
      <c r="M30491" s="112"/>
      <c r="N30491" s="84"/>
    </row>
    <row r="30492" spans="1:14" s="2" customFormat="1">
      <c r="A30492" s="83"/>
      <c r="H30492" s="83"/>
      <c r="K30492" s="82"/>
      <c r="M30492" s="112"/>
      <c r="N30492" s="84"/>
    </row>
    <row r="30493" spans="1:14" s="2" customFormat="1">
      <c r="A30493" s="83"/>
      <c r="H30493" s="83"/>
      <c r="K30493" s="82"/>
      <c r="M30493" s="112"/>
      <c r="N30493" s="84"/>
    </row>
    <row r="30494" spans="1:14" s="2" customFormat="1">
      <c r="A30494" s="83"/>
      <c r="H30494" s="83"/>
      <c r="K30494" s="82"/>
      <c r="M30494" s="112"/>
      <c r="N30494" s="84"/>
    </row>
    <row r="30495" spans="1:14" s="2" customFormat="1">
      <c r="A30495" s="83"/>
      <c r="H30495" s="83"/>
      <c r="K30495" s="82"/>
      <c r="M30495" s="112"/>
      <c r="N30495" s="84"/>
    </row>
    <row r="30496" spans="1:14" s="2" customFormat="1">
      <c r="A30496" s="83"/>
      <c r="H30496" s="83"/>
      <c r="K30496" s="82"/>
      <c r="M30496" s="112"/>
      <c r="N30496" s="84"/>
    </row>
    <row r="30497" spans="1:14" s="2" customFormat="1">
      <c r="A30497" s="83"/>
      <c r="H30497" s="83"/>
      <c r="K30497" s="82"/>
      <c r="M30497" s="112"/>
      <c r="N30497" s="84"/>
    </row>
    <row r="30498" spans="1:14" s="2" customFormat="1">
      <c r="A30498" s="83"/>
      <c r="H30498" s="83"/>
      <c r="K30498" s="82"/>
      <c r="M30498" s="112"/>
      <c r="N30498" s="84"/>
    </row>
    <row r="30499" spans="1:14" s="2" customFormat="1">
      <c r="A30499" s="83"/>
      <c r="H30499" s="83"/>
      <c r="K30499" s="82"/>
      <c r="M30499" s="112"/>
      <c r="N30499" s="84"/>
    </row>
    <row r="30500" spans="1:14" s="2" customFormat="1">
      <c r="A30500" s="83"/>
      <c r="H30500" s="83"/>
      <c r="K30500" s="82"/>
      <c r="M30500" s="112"/>
      <c r="N30500" s="84"/>
    </row>
    <row r="30501" spans="1:14" s="2" customFormat="1">
      <c r="A30501" s="83"/>
      <c r="H30501" s="83"/>
      <c r="K30501" s="82"/>
      <c r="M30501" s="112"/>
      <c r="N30501" s="84"/>
    </row>
    <row r="30502" spans="1:14" s="2" customFormat="1">
      <c r="A30502" s="83"/>
      <c r="H30502" s="83"/>
      <c r="K30502" s="82"/>
      <c r="M30502" s="112"/>
      <c r="N30502" s="84"/>
    </row>
    <row r="30503" spans="1:14" s="2" customFormat="1">
      <c r="A30503" s="83"/>
      <c r="H30503" s="83"/>
      <c r="K30503" s="82"/>
      <c r="M30503" s="112"/>
      <c r="N30503" s="84"/>
    </row>
    <row r="30504" spans="1:14" s="2" customFormat="1">
      <c r="A30504" s="83"/>
      <c r="H30504" s="83"/>
      <c r="K30504" s="82"/>
      <c r="M30504" s="112"/>
      <c r="N30504" s="84"/>
    </row>
    <row r="30505" spans="1:14" s="2" customFormat="1">
      <c r="A30505" s="83"/>
      <c r="H30505" s="83"/>
      <c r="K30505" s="82"/>
      <c r="M30505" s="112"/>
      <c r="N30505" s="84"/>
    </row>
    <row r="30506" spans="1:14" s="2" customFormat="1">
      <c r="A30506" s="83"/>
      <c r="H30506" s="83"/>
      <c r="K30506" s="82"/>
      <c r="M30506" s="112"/>
      <c r="N30506" s="84"/>
    </row>
    <row r="30507" spans="1:14" s="2" customFormat="1">
      <c r="A30507" s="83"/>
      <c r="H30507" s="83"/>
      <c r="K30507" s="82"/>
      <c r="M30507" s="112"/>
      <c r="N30507" s="84"/>
    </row>
    <row r="30508" spans="1:14" s="2" customFormat="1">
      <c r="A30508" s="83"/>
      <c r="H30508" s="83"/>
      <c r="K30508" s="82"/>
      <c r="M30508" s="112"/>
      <c r="N30508" s="84"/>
    </row>
    <row r="30509" spans="1:14" s="2" customFormat="1">
      <c r="A30509" s="83"/>
      <c r="H30509" s="83"/>
      <c r="K30509" s="82"/>
      <c r="M30509" s="112"/>
      <c r="N30509" s="84"/>
    </row>
    <row r="30510" spans="1:14" s="2" customFormat="1">
      <c r="A30510" s="83"/>
      <c r="H30510" s="83"/>
      <c r="K30510" s="82"/>
      <c r="M30510" s="112"/>
      <c r="N30510" s="84"/>
    </row>
    <row r="30511" spans="1:14" s="2" customFormat="1">
      <c r="A30511" s="83"/>
      <c r="H30511" s="83"/>
      <c r="K30511" s="82"/>
      <c r="M30511" s="112"/>
      <c r="N30511" s="84"/>
    </row>
    <row r="30512" spans="1:14" s="2" customFormat="1">
      <c r="A30512" s="83"/>
      <c r="H30512" s="83"/>
      <c r="K30512" s="82"/>
      <c r="M30512" s="112"/>
      <c r="N30512" s="84"/>
    </row>
    <row r="30513" spans="1:14" s="2" customFormat="1">
      <c r="A30513" s="83"/>
      <c r="H30513" s="83"/>
      <c r="K30513" s="82"/>
      <c r="M30513" s="112"/>
      <c r="N30513" s="84"/>
    </row>
    <row r="30514" spans="1:14" s="2" customFormat="1">
      <c r="A30514" s="83"/>
      <c r="H30514" s="83"/>
      <c r="K30514" s="82"/>
      <c r="M30514" s="112"/>
      <c r="N30514" s="84"/>
    </row>
    <row r="30515" spans="1:14" s="2" customFormat="1">
      <c r="A30515" s="83"/>
      <c r="H30515" s="83"/>
      <c r="K30515" s="82"/>
      <c r="M30515" s="112"/>
      <c r="N30515" s="84"/>
    </row>
    <row r="30516" spans="1:14" s="2" customFormat="1">
      <c r="A30516" s="83"/>
      <c r="H30516" s="83"/>
      <c r="K30516" s="82"/>
      <c r="M30516" s="112"/>
      <c r="N30516" s="84"/>
    </row>
    <row r="30517" spans="1:14" s="2" customFormat="1">
      <c r="A30517" s="83"/>
      <c r="H30517" s="83"/>
      <c r="K30517" s="82"/>
      <c r="M30517" s="112"/>
      <c r="N30517" s="84"/>
    </row>
    <row r="30518" spans="1:14" s="2" customFormat="1">
      <c r="A30518" s="83"/>
      <c r="H30518" s="83"/>
      <c r="K30518" s="82"/>
      <c r="M30518" s="112"/>
      <c r="N30518" s="84"/>
    </row>
    <row r="30519" spans="1:14" s="2" customFormat="1">
      <c r="A30519" s="83"/>
      <c r="H30519" s="83"/>
      <c r="K30519" s="82"/>
      <c r="M30519" s="112"/>
      <c r="N30519" s="84"/>
    </row>
    <row r="30520" spans="1:14" s="2" customFormat="1">
      <c r="A30520" s="83"/>
      <c r="H30520" s="83"/>
      <c r="K30520" s="82"/>
      <c r="M30520" s="112"/>
      <c r="N30520" s="84"/>
    </row>
    <row r="30521" spans="1:14" s="2" customFormat="1">
      <c r="A30521" s="83"/>
      <c r="H30521" s="83"/>
      <c r="K30521" s="82"/>
      <c r="M30521" s="112"/>
      <c r="N30521" s="84"/>
    </row>
    <row r="30522" spans="1:14" s="2" customFormat="1">
      <c r="A30522" s="83"/>
      <c r="H30522" s="83"/>
      <c r="K30522" s="82"/>
      <c r="M30522" s="112"/>
      <c r="N30522" s="84"/>
    </row>
    <row r="30523" spans="1:14" s="2" customFormat="1">
      <c r="A30523" s="83"/>
      <c r="H30523" s="83"/>
      <c r="K30523" s="82"/>
      <c r="M30523" s="112"/>
      <c r="N30523" s="84"/>
    </row>
    <row r="30524" spans="1:14" s="2" customFormat="1">
      <c r="A30524" s="83"/>
      <c r="H30524" s="83"/>
      <c r="K30524" s="82"/>
      <c r="M30524" s="112"/>
      <c r="N30524" s="84"/>
    </row>
    <row r="30525" spans="1:14" s="2" customFormat="1">
      <c r="A30525" s="83"/>
      <c r="H30525" s="83"/>
      <c r="K30525" s="82"/>
      <c r="M30525" s="112"/>
      <c r="N30525" s="84"/>
    </row>
    <row r="30526" spans="1:14" s="2" customFormat="1">
      <c r="A30526" s="83"/>
      <c r="H30526" s="83"/>
      <c r="K30526" s="82"/>
      <c r="M30526" s="112"/>
      <c r="N30526" s="84"/>
    </row>
    <row r="30527" spans="1:14" s="2" customFormat="1">
      <c r="A30527" s="83"/>
      <c r="H30527" s="83"/>
      <c r="K30527" s="82"/>
      <c r="M30527" s="112"/>
      <c r="N30527" s="84"/>
    </row>
    <row r="30528" spans="1:14" s="2" customFormat="1">
      <c r="A30528" s="83"/>
      <c r="H30528" s="83"/>
      <c r="K30528" s="82"/>
      <c r="M30528" s="112"/>
      <c r="N30528" s="84"/>
    </row>
    <row r="30529" spans="1:14" s="2" customFormat="1">
      <c r="A30529" s="83"/>
      <c r="H30529" s="83"/>
      <c r="K30529" s="82"/>
      <c r="M30529" s="112"/>
      <c r="N30529" s="84"/>
    </row>
    <row r="30530" spans="1:14" s="2" customFormat="1">
      <c r="A30530" s="83"/>
      <c r="H30530" s="83"/>
      <c r="K30530" s="82"/>
      <c r="M30530" s="112"/>
      <c r="N30530" s="84"/>
    </row>
    <row r="30531" spans="1:14" s="2" customFormat="1">
      <c r="A30531" s="83"/>
      <c r="H30531" s="83"/>
      <c r="K30531" s="82"/>
      <c r="M30531" s="112"/>
      <c r="N30531" s="84"/>
    </row>
    <row r="30532" spans="1:14" s="2" customFormat="1">
      <c r="A30532" s="83"/>
      <c r="H30532" s="83"/>
      <c r="K30532" s="82"/>
      <c r="M30532" s="112"/>
      <c r="N30532" s="84"/>
    </row>
    <row r="30533" spans="1:14" s="2" customFormat="1">
      <c r="A30533" s="83"/>
      <c r="H30533" s="83"/>
      <c r="K30533" s="82"/>
      <c r="M30533" s="112"/>
      <c r="N30533" s="84"/>
    </row>
    <row r="30534" spans="1:14" s="2" customFormat="1">
      <c r="A30534" s="83"/>
      <c r="H30534" s="83"/>
      <c r="K30534" s="82"/>
      <c r="M30534" s="112"/>
      <c r="N30534" s="84"/>
    </row>
    <row r="30535" spans="1:14" s="2" customFormat="1">
      <c r="A30535" s="83"/>
      <c r="H30535" s="83"/>
      <c r="K30535" s="82"/>
      <c r="M30535" s="112"/>
      <c r="N30535" s="84"/>
    </row>
    <row r="30536" spans="1:14" s="2" customFormat="1">
      <c r="A30536" s="83"/>
      <c r="H30536" s="83"/>
      <c r="K30536" s="82"/>
      <c r="M30536" s="112"/>
      <c r="N30536" s="84"/>
    </row>
    <row r="30537" spans="1:14" s="2" customFormat="1">
      <c r="A30537" s="83"/>
      <c r="H30537" s="83"/>
      <c r="K30537" s="82"/>
      <c r="M30537" s="112"/>
      <c r="N30537" s="84"/>
    </row>
    <row r="30538" spans="1:14" s="2" customFormat="1">
      <c r="A30538" s="83"/>
      <c r="H30538" s="83"/>
      <c r="K30538" s="82"/>
      <c r="M30538" s="112"/>
      <c r="N30538" s="84"/>
    </row>
    <row r="30539" spans="1:14" s="2" customFormat="1">
      <c r="A30539" s="83"/>
      <c r="H30539" s="83"/>
      <c r="K30539" s="82"/>
      <c r="M30539" s="112"/>
      <c r="N30539" s="84"/>
    </row>
    <row r="30540" spans="1:14" s="2" customFormat="1">
      <c r="A30540" s="83"/>
      <c r="H30540" s="83"/>
      <c r="K30540" s="82"/>
      <c r="M30540" s="112"/>
      <c r="N30540" s="84"/>
    </row>
    <row r="30541" spans="1:14" s="2" customFormat="1">
      <c r="A30541" s="83"/>
      <c r="H30541" s="83"/>
      <c r="K30541" s="82"/>
      <c r="M30541" s="112"/>
      <c r="N30541" s="84"/>
    </row>
    <row r="30542" spans="1:14" s="2" customFormat="1">
      <c r="A30542" s="83"/>
      <c r="H30542" s="83"/>
      <c r="K30542" s="82"/>
      <c r="M30542" s="112"/>
      <c r="N30542" s="84"/>
    </row>
    <row r="30543" spans="1:14" s="2" customFormat="1">
      <c r="A30543" s="83"/>
      <c r="H30543" s="83"/>
      <c r="K30543" s="82"/>
      <c r="M30543" s="112"/>
      <c r="N30543" s="84"/>
    </row>
    <row r="30544" spans="1:14" s="2" customFormat="1">
      <c r="A30544" s="83"/>
      <c r="H30544" s="83"/>
      <c r="K30544" s="82"/>
      <c r="M30544" s="112"/>
      <c r="N30544" s="84"/>
    </row>
    <row r="30545" spans="1:14" s="2" customFormat="1">
      <c r="A30545" s="83"/>
      <c r="H30545" s="83"/>
      <c r="K30545" s="82"/>
      <c r="M30545" s="112"/>
      <c r="N30545" s="84"/>
    </row>
    <row r="30546" spans="1:14" s="2" customFormat="1">
      <c r="A30546" s="83"/>
      <c r="H30546" s="83"/>
      <c r="K30546" s="82"/>
      <c r="M30546" s="112"/>
      <c r="N30546" s="84"/>
    </row>
    <row r="30547" spans="1:14" s="2" customFormat="1">
      <c r="A30547" s="83"/>
      <c r="H30547" s="83"/>
      <c r="K30547" s="82"/>
      <c r="M30547" s="112"/>
      <c r="N30547" s="84"/>
    </row>
    <row r="30548" spans="1:14" s="2" customFormat="1">
      <c r="A30548" s="83"/>
      <c r="H30548" s="83"/>
      <c r="K30548" s="82"/>
      <c r="M30548" s="112"/>
      <c r="N30548" s="84"/>
    </row>
    <row r="30549" spans="1:14" s="2" customFormat="1">
      <c r="A30549" s="83"/>
      <c r="H30549" s="83"/>
      <c r="K30549" s="82"/>
      <c r="M30549" s="112"/>
      <c r="N30549" s="84"/>
    </row>
    <row r="30550" spans="1:14" s="2" customFormat="1">
      <c r="A30550" s="83"/>
      <c r="H30550" s="83"/>
      <c r="K30550" s="82"/>
      <c r="M30550" s="112"/>
      <c r="N30550" s="84"/>
    </row>
    <row r="30551" spans="1:14" s="2" customFormat="1">
      <c r="A30551" s="83"/>
      <c r="H30551" s="83"/>
      <c r="K30551" s="82"/>
      <c r="M30551" s="112"/>
      <c r="N30551" s="84"/>
    </row>
    <row r="30552" spans="1:14" s="2" customFormat="1">
      <c r="A30552" s="83"/>
      <c r="H30552" s="83"/>
      <c r="K30552" s="82"/>
      <c r="M30552" s="112"/>
      <c r="N30552" s="84"/>
    </row>
    <row r="30553" spans="1:14" s="2" customFormat="1">
      <c r="A30553" s="83"/>
      <c r="H30553" s="83"/>
      <c r="K30553" s="82"/>
      <c r="M30553" s="112"/>
      <c r="N30553" s="84"/>
    </row>
    <row r="30554" spans="1:14" s="2" customFormat="1">
      <c r="A30554" s="83"/>
      <c r="H30554" s="83"/>
      <c r="K30554" s="82"/>
      <c r="M30554" s="112"/>
      <c r="N30554" s="84"/>
    </row>
    <row r="30555" spans="1:14" s="2" customFormat="1">
      <c r="A30555" s="83"/>
      <c r="H30555" s="83"/>
      <c r="K30555" s="82"/>
      <c r="M30555" s="112"/>
      <c r="N30555" s="84"/>
    </row>
    <row r="30556" spans="1:14" s="2" customFormat="1">
      <c r="A30556" s="83"/>
      <c r="H30556" s="83"/>
      <c r="K30556" s="82"/>
      <c r="M30556" s="112"/>
      <c r="N30556" s="84"/>
    </row>
    <row r="30557" spans="1:14" s="2" customFormat="1">
      <c r="A30557" s="83"/>
      <c r="H30557" s="83"/>
      <c r="K30557" s="82"/>
      <c r="M30557" s="112"/>
      <c r="N30557" s="84"/>
    </row>
    <row r="30558" spans="1:14" s="2" customFormat="1">
      <c r="A30558" s="83"/>
      <c r="H30558" s="83"/>
      <c r="K30558" s="82"/>
      <c r="M30558" s="112"/>
      <c r="N30558" s="84"/>
    </row>
    <row r="30559" spans="1:14" s="2" customFormat="1">
      <c r="A30559" s="83"/>
      <c r="H30559" s="83"/>
      <c r="K30559" s="82"/>
      <c r="M30559" s="112"/>
      <c r="N30559" s="84"/>
    </row>
    <row r="30560" spans="1:14" s="2" customFormat="1">
      <c r="A30560" s="83"/>
      <c r="H30560" s="83"/>
      <c r="K30560" s="82"/>
      <c r="M30560" s="112"/>
      <c r="N30560" s="84"/>
    </row>
    <row r="30561" spans="1:14" s="2" customFormat="1">
      <c r="A30561" s="83"/>
      <c r="H30561" s="83"/>
      <c r="K30561" s="82"/>
      <c r="M30561" s="112"/>
      <c r="N30561" s="84"/>
    </row>
    <row r="30562" spans="1:14" s="2" customFormat="1">
      <c r="A30562" s="83"/>
      <c r="H30562" s="83"/>
      <c r="K30562" s="82"/>
      <c r="M30562" s="112"/>
      <c r="N30562" s="84"/>
    </row>
    <row r="30563" spans="1:14" s="2" customFormat="1">
      <c r="A30563" s="83"/>
      <c r="H30563" s="83"/>
      <c r="K30563" s="82"/>
      <c r="M30563" s="112"/>
      <c r="N30563" s="84"/>
    </row>
    <row r="30564" spans="1:14" s="2" customFormat="1">
      <c r="A30564" s="83"/>
      <c r="H30564" s="83"/>
      <c r="K30564" s="82"/>
      <c r="M30564" s="112"/>
      <c r="N30564" s="84"/>
    </row>
    <row r="30565" spans="1:14" s="2" customFormat="1">
      <c r="A30565" s="83"/>
      <c r="H30565" s="83"/>
      <c r="K30565" s="82"/>
      <c r="M30565" s="112"/>
      <c r="N30565" s="84"/>
    </row>
    <row r="30566" spans="1:14" s="2" customFormat="1">
      <c r="A30566" s="83"/>
      <c r="H30566" s="83"/>
      <c r="K30566" s="82"/>
      <c r="M30566" s="112"/>
      <c r="N30566" s="84"/>
    </row>
    <row r="30567" spans="1:14" s="2" customFormat="1">
      <c r="A30567" s="83"/>
      <c r="H30567" s="83"/>
      <c r="K30567" s="82"/>
      <c r="M30567" s="112"/>
      <c r="N30567" s="84"/>
    </row>
    <row r="30568" spans="1:14" s="2" customFormat="1">
      <c r="A30568" s="83"/>
      <c r="H30568" s="83"/>
      <c r="K30568" s="82"/>
      <c r="M30568" s="112"/>
      <c r="N30568" s="84"/>
    </row>
    <row r="30569" spans="1:14" s="2" customFormat="1">
      <c r="A30569" s="83"/>
      <c r="H30569" s="83"/>
      <c r="K30569" s="82"/>
      <c r="M30569" s="112"/>
      <c r="N30569" s="84"/>
    </row>
    <row r="30570" spans="1:14" s="2" customFormat="1">
      <c r="A30570" s="83"/>
      <c r="H30570" s="83"/>
      <c r="K30570" s="82"/>
      <c r="M30570" s="112"/>
      <c r="N30570" s="84"/>
    </row>
    <row r="30571" spans="1:14" s="2" customFormat="1">
      <c r="A30571" s="83"/>
      <c r="H30571" s="83"/>
      <c r="K30571" s="82"/>
      <c r="M30571" s="112"/>
      <c r="N30571" s="84"/>
    </row>
    <row r="30572" spans="1:14" s="2" customFormat="1">
      <c r="A30572" s="83"/>
      <c r="H30572" s="83"/>
      <c r="K30572" s="82"/>
      <c r="M30572" s="112"/>
      <c r="N30572" s="84"/>
    </row>
    <row r="30573" spans="1:14" s="2" customFormat="1">
      <c r="A30573" s="83"/>
      <c r="H30573" s="83"/>
      <c r="K30573" s="82"/>
      <c r="M30573" s="112"/>
      <c r="N30573" s="84"/>
    </row>
    <row r="30574" spans="1:14" s="2" customFormat="1">
      <c r="A30574" s="83"/>
      <c r="H30574" s="83"/>
      <c r="K30574" s="82"/>
      <c r="M30574" s="112"/>
      <c r="N30574" s="84"/>
    </row>
    <row r="30575" spans="1:14" s="2" customFormat="1">
      <c r="A30575" s="83"/>
      <c r="H30575" s="83"/>
      <c r="K30575" s="82"/>
      <c r="M30575" s="112"/>
      <c r="N30575" s="84"/>
    </row>
    <row r="30576" spans="1:14" s="2" customFormat="1">
      <c r="A30576" s="83"/>
      <c r="H30576" s="83"/>
      <c r="K30576" s="82"/>
      <c r="M30576" s="112"/>
      <c r="N30576" s="84"/>
    </row>
    <row r="30577" spans="1:14" s="2" customFormat="1">
      <c r="A30577" s="83"/>
      <c r="H30577" s="83"/>
      <c r="K30577" s="82"/>
      <c r="M30577" s="112"/>
      <c r="N30577" s="84"/>
    </row>
    <row r="30578" spans="1:14" s="2" customFormat="1">
      <c r="A30578" s="83"/>
      <c r="H30578" s="83"/>
      <c r="K30578" s="82"/>
      <c r="M30578" s="112"/>
      <c r="N30578" s="84"/>
    </row>
    <row r="30579" spans="1:14" s="2" customFormat="1">
      <c r="A30579" s="83"/>
      <c r="H30579" s="83"/>
      <c r="K30579" s="82"/>
      <c r="M30579" s="112"/>
      <c r="N30579" s="84"/>
    </row>
    <row r="30580" spans="1:14" s="2" customFormat="1">
      <c r="A30580" s="83"/>
      <c r="H30580" s="83"/>
      <c r="K30580" s="82"/>
      <c r="M30580" s="112"/>
      <c r="N30580" s="84"/>
    </row>
    <row r="30581" spans="1:14" s="2" customFormat="1">
      <c r="A30581" s="83"/>
      <c r="H30581" s="83"/>
      <c r="K30581" s="82"/>
      <c r="M30581" s="112"/>
      <c r="N30581" s="84"/>
    </row>
    <row r="30582" spans="1:14" s="2" customFormat="1">
      <c r="A30582" s="83"/>
      <c r="H30582" s="83"/>
      <c r="K30582" s="82"/>
      <c r="M30582" s="112"/>
      <c r="N30582" s="84"/>
    </row>
    <row r="30583" spans="1:14" s="2" customFormat="1">
      <c r="A30583" s="83"/>
      <c r="H30583" s="83"/>
      <c r="K30583" s="82"/>
      <c r="M30583" s="112"/>
      <c r="N30583" s="84"/>
    </row>
    <row r="30584" spans="1:14" s="2" customFormat="1">
      <c r="A30584" s="83"/>
      <c r="H30584" s="83"/>
      <c r="K30584" s="82"/>
      <c r="M30584" s="112"/>
      <c r="N30584" s="84"/>
    </row>
    <row r="30585" spans="1:14" s="2" customFormat="1">
      <c r="A30585" s="83"/>
      <c r="H30585" s="83"/>
      <c r="K30585" s="82"/>
      <c r="M30585" s="112"/>
      <c r="N30585" s="84"/>
    </row>
    <row r="30586" spans="1:14" s="2" customFormat="1">
      <c r="A30586" s="83"/>
      <c r="H30586" s="83"/>
      <c r="K30586" s="82"/>
      <c r="M30586" s="112"/>
      <c r="N30586" s="84"/>
    </row>
    <row r="30587" spans="1:14" s="2" customFormat="1">
      <c r="A30587" s="83"/>
      <c r="H30587" s="83"/>
      <c r="K30587" s="82"/>
      <c r="M30587" s="112"/>
      <c r="N30587" s="84"/>
    </row>
    <row r="30588" spans="1:14" s="2" customFormat="1">
      <c r="A30588" s="83"/>
      <c r="H30588" s="83"/>
      <c r="K30588" s="82"/>
      <c r="M30588" s="112"/>
      <c r="N30588" s="84"/>
    </row>
    <row r="30589" spans="1:14" s="2" customFormat="1">
      <c r="A30589" s="83"/>
      <c r="H30589" s="83"/>
      <c r="K30589" s="82"/>
      <c r="M30589" s="112"/>
      <c r="N30589" s="84"/>
    </row>
    <row r="30590" spans="1:14" s="2" customFormat="1">
      <c r="A30590" s="83"/>
      <c r="H30590" s="83"/>
      <c r="K30590" s="82"/>
      <c r="M30590" s="112"/>
      <c r="N30590" s="84"/>
    </row>
    <row r="30591" spans="1:14" s="2" customFormat="1">
      <c r="A30591" s="83"/>
      <c r="H30591" s="83"/>
      <c r="K30591" s="82"/>
      <c r="M30591" s="112"/>
      <c r="N30591" s="84"/>
    </row>
    <row r="30592" spans="1:14" s="2" customFormat="1">
      <c r="A30592" s="83"/>
      <c r="H30592" s="83"/>
      <c r="K30592" s="82"/>
      <c r="M30592" s="112"/>
      <c r="N30592" s="84"/>
    </row>
    <row r="30593" spans="1:14" s="2" customFormat="1">
      <c r="A30593" s="83"/>
      <c r="H30593" s="83"/>
      <c r="K30593" s="82"/>
      <c r="M30593" s="112"/>
      <c r="N30593" s="84"/>
    </row>
    <row r="30594" spans="1:14" s="2" customFormat="1">
      <c r="A30594" s="83"/>
      <c r="H30594" s="83"/>
      <c r="K30594" s="82"/>
      <c r="M30594" s="112"/>
      <c r="N30594" s="84"/>
    </row>
    <row r="30595" spans="1:14" s="2" customFormat="1">
      <c r="A30595" s="83"/>
      <c r="H30595" s="83"/>
      <c r="K30595" s="82"/>
      <c r="M30595" s="112"/>
      <c r="N30595" s="84"/>
    </row>
    <row r="30596" spans="1:14" s="2" customFormat="1">
      <c r="A30596" s="83"/>
      <c r="H30596" s="83"/>
      <c r="K30596" s="82"/>
      <c r="M30596" s="112"/>
      <c r="N30596" s="84"/>
    </row>
    <row r="30597" spans="1:14" s="2" customFormat="1">
      <c r="A30597" s="83"/>
      <c r="H30597" s="83"/>
      <c r="K30597" s="82"/>
      <c r="M30597" s="112"/>
      <c r="N30597" s="84"/>
    </row>
    <row r="30598" spans="1:14" s="2" customFormat="1">
      <c r="A30598" s="83"/>
      <c r="H30598" s="83"/>
      <c r="K30598" s="82"/>
      <c r="M30598" s="112"/>
      <c r="N30598" s="84"/>
    </row>
    <row r="30599" spans="1:14" s="2" customFormat="1">
      <c r="A30599" s="83"/>
      <c r="H30599" s="83"/>
      <c r="K30599" s="82"/>
      <c r="M30599" s="112"/>
      <c r="N30599" s="84"/>
    </row>
    <row r="30600" spans="1:14" s="2" customFormat="1">
      <c r="A30600" s="83"/>
      <c r="H30600" s="83"/>
      <c r="K30600" s="82"/>
      <c r="M30600" s="112"/>
      <c r="N30600" s="84"/>
    </row>
    <row r="30601" spans="1:14" s="2" customFormat="1">
      <c r="A30601" s="83"/>
      <c r="H30601" s="83"/>
      <c r="K30601" s="82"/>
      <c r="M30601" s="112"/>
      <c r="N30601" s="84"/>
    </row>
    <row r="30602" spans="1:14" s="2" customFormat="1">
      <c r="A30602" s="83"/>
      <c r="H30602" s="83"/>
      <c r="K30602" s="82"/>
      <c r="M30602" s="112"/>
      <c r="N30602" s="84"/>
    </row>
    <row r="30603" spans="1:14" s="2" customFormat="1">
      <c r="A30603" s="83"/>
      <c r="H30603" s="83"/>
      <c r="K30603" s="82"/>
      <c r="M30603" s="112"/>
      <c r="N30603" s="84"/>
    </row>
    <row r="30604" spans="1:14" s="2" customFormat="1">
      <c r="A30604" s="83"/>
      <c r="H30604" s="83"/>
      <c r="K30604" s="82"/>
      <c r="M30604" s="112"/>
      <c r="N30604" s="84"/>
    </row>
    <row r="30605" spans="1:14" s="2" customFormat="1">
      <c r="A30605" s="83"/>
      <c r="H30605" s="83"/>
      <c r="K30605" s="82"/>
      <c r="M30605" s="112"/>
      <c r="N30605" s="84"/>
    </row>
    <row r="30606" spans="1:14" s="2" customFormat="1">
      <c r="A30606" s="83"/>
      <c r="H30606" s="83"/>
      <c r="K30606" s="82"/>
      <c r="M30606" s="112"/>
      <c r="N30606" s="84"/>
    </row>
    <row r="30607" spans="1:14" s="2" customFormat="1">
      <c r="A30607" s="83"/>
      <c r="H30607" s="83"/>
      <c r="K30607" s="82"/>
      <c r="M30607" s="112"/>
      <c r="N30607" s="84"/>
    </row>
    <row r="30608" spans="1:14" s="2" customFormat="1">
      <c r="A30608" s="83"/>
      <c r="H30608" s="83"/>
      <c r="K30608" s="82"/>
      <c r="M30608" s="112"/>
      <c r="N30608" s="84"/>
    </row>
    <row r="30609" spans="1:14" s="2" customFormat="1">
      <c r="A30609" s="83"/>
      <c r="H30609" s="83"/>
      <c r="K30609" s="82"/>
      <c r="M30609" s="112"/>
      <c r="N30609" s="84"/>
    </row>
    <row r="30610" spans="1:14" s="2" customFormat="1">
      <c r="A30610" s="83"/>
      <c r="H30610" s="83"/>
      <c r="K30610" s="82"/>
      <c r="M30610" s="112"/>
      <c r="N30610" s="84"/>
    </row>
    <row r="30611" spans="1:14" s="2" customFormat="1">
      <c r="A30611" s="83"/>
      <c r="H30611" s="83"/>
      <c r="K30611" s="82"/>
      <c r="M30611" s="112"/>
      <c r="N30611" s="84"/>
    </row>
    <row r="30612" spans="1:14" s="2" customFormat="1">
      <c r="A30612" s="83"/>
      <c r="H30612" s="83"/>
      <c r="K30612" s="82"/>
      <c r="M30612" s="112"/>
      <c r="N30612" s="84"/>
    </row>
    <row r="30613" spans="1:14" s="2" customFormat="1">
      <c r="A30613" s="83"/>
      <c r="H30613" s="83"/>
      <c r="K30613" s="82"/>
      <c r="M30613" s="112"/>
      <c r="N30613" s="84"/>
    </row>
    <row r="30614" spans="1:14" s="2" customFormat="1">
      <c r="A30614" s="83"/>
      <c r="H30614" s="83"/>
      <c r="K30614" s="82"/>
      <c r="M30614" s="112"/>
      <c r="N30614" s="84"/>
    </row>
    <row r="30615" spans="1:14" s="2" customFormat="1">
      <c r="A30615" s="83"/>
      <c r="H30615" s="83"/>
      <c r="K30615" s="82"/>
      <c r="M30615" s="112"/>
      <c r="N30615" s="84"/>
    </row>
    <row r="30616" spans="1:14" s="2" customFormat="1">
      <c r="A30616" s="83"/>
      <c r="H30616" s="83"/>
      <c r="K30616" s="82"/>
      <c r="M30616" s="112"/>
      <c r="N30616" s="84"/>
    </row>
    <row r="30617" spans="1:14" s="2" customFormat="1">
      <c r="A30617" s="83"/>
      <c r="H30617" s="83"/>
      <c r="K30617" s="82"/>
      <c r="M30617" s="112"/>
      <c r="N30617" s="84"/>
    </row>
    <row r="30618" spans="1:14" s="2" customFormat="1">
      <c r="A30618" s="83"/>
      <c r="H30618" s="83"/>
      <c r="K30618" s="82"/>
      <c r="M30618" s="112"/>
      <c r="N30618" s="84"/>
    </row>
    <row r="30619" spans="1:14" s="2" customFormat="1">
      <c r="A30619" s="83"/>
      <c r="H30619" s="83"/>
      <c r="K30619" s="82"/>
      <c r="M30619" s="112"/>
      <c r="N30619" s="84"/>
    </row>
    <row r="30620" spans="1:14" s="2" customFormat="1">
      <c r="A30620" s="83"/>
      <c r="H30620" s="83"/>
      <c r="K30620" s="82"/>
      <c r="M30620" s="112"/>
      <c r="N30620" s="84"/>
    </row>
    <row r="30621" spans="1:14" s="2" customFormat="1">
      <c r="A30621" s="83"/>
      <c r="H30621" s="83"/>
      <c r="K30621" s="82"/>
      <c r="M30621" s="112"/>
      <c r="N30621" s="84"/>
    </row>
    <row r="30622" spans="1:14" s="2" customFormat="1">
      <c r="A30622" s="83"/>
      <c r="H30622" s="83"/>
      <c r="K30622" s="82"/>
      <c r="M30622" s="112"/>
      <c r="N30622" s="84"/>
    </row>
    <row r="30623" spans="1:14" s="2" customFormat="1">
      <c r="A30623" s="83"/>
      <c r="H30623" s="83"/>
      <c r="K30623" s="82"/>
      <c r="M30623" s="112"/>
      <c r="N30623" s="84"/>
    </row>
    <row r="30624" spans="1:14" s="2" customFormat="1">
      <c r="A30624" s="83"/>
      <c r="H30624" s="83"/>
      <c r="K30624" s="82"/>
      <c r="M30624" s="112"/>
      <c r="N30624" s="84"/>
    </row>
    <row r="30625" spans="1:14" s="2" customFormat="1">
      <c r="A30625" s="83"/>
      <c r="H30625" s="83"/>
      <c r="K30625" s="82"/>
      <c r="M30625" s="112"/>
      <c r="N30625" s="84"/>
    </row>
    <row r="30626" spans="1:14" s="2" customFormat="1">
      <c r="A30626" s="83"/>
      <c r="H30626" s="83"/>
      <c r="K30626" s="82"/>
      <c r="M30626" s="112"/>
      <c r="N30626" s="84"/>
    </row>
    <row r="30627" spans="1:14" s="2" customFormat="1">
      <c r="A30627" s="83"/>
      <c r="H30627" s="83"/>
      <c r="K30627" s="82"/>
      <c r="M30627" s="112"/>
      <c r="N30627" s="84"/>
    </row>
    <row r="30628" spans="1:14" s="2" customFormat="1">
      <c r="A30628" s="83"/>
      <c r="H30628" s="83"/>
      <c r="K30628" s="82"/>
      <c r="M30628" s="112"/>
      <c r="N30628" s="84"/>
    </row>
    <row r="30629" spans="1:14" s="2" customFormat="1">
      <c r="A30629" s="83"/>
      <c r="H30629" s="83"/>
      <c r="K30629" s="82"/>
      <c r="M30629" s="112"/>
      <c r="N30629" s="84"/>
    </row>
    <row r="30630" spans="1:14" s="2" customFormat="1">
      <c r="A30630" s="83"/>
      <c r="H30630" s="83"/>
      <c r="K30630" s="82"/>
      <c r="M30630" s="112"/>
      <c r="N30630" s="84"/>
    </row>
    <row r="30631" spans="1:14" s="2" customFormat="1">
      <c r="A30631" s="83"/>
      <c r="H30631" s="83"/>
      <c r="K30631" s="82"/>
      <c r="M30631" s="112"/>
      <c r="N30631" s="84"/>
    </row>
    <row r="30632" spans="1:14" s="2" customFormat="1">
      <c r="A30632" s="83"/>
      <c r="H30632" s="83"/>
      <c r="K30632" s="82"/>
      <c r="M30632" s="112"/>
      <c r="N30632" s="84"/>
    </row>
    <row r="30633" spans="1:14" s="2" customFormat="1">
      <c r="A30633" s="83"/>
      <c r="H30633" s="83"/>
      <c r="K30633" s="82"/>
      <c r="M30633" s="112"/>
      <c r="N30633" s="84"/>
    </row>
    <row r="30634" spans="1:14" s="2" customFormat="1">
      <c r="A30634" s="83"/>
      <c r="H30634" s="83"/>
      <c r="K30634" s="82"/>
      <c r="M30634" s="112"/>
      <c r="N30634" s="84"/>
    </row>
    <row r="30635" spans="1:14" s="2" customFormat="1">
      <c r="A30635" s="83"/>
      <c r="H30635" s="83"/>
      <c r="K30635" s="82"/>
      <c r="M30635" s="112"/>
      <c r="N30635" s="84"/>
    </row>
    <row r="30636" spans="1:14" s="2" customFormat="1">
      <c r="A30636" s="83"/>
      <c r="H30636" s="83"/>
      <c r="K30636" s="82"/>
      <c r="M30636" s="112"/>
      <c r="N30636" s="84"/>
    </row>
    <row r="30637" spans="1:14" s="2" customFormat="1">
      <c r="A30637" s="83"/>
      <c r="H30637" s="83"/>
      <c r="K30637" s="82"/>
      <c r="M30637" s="112"/>
      <c r="N30637" s="84"/>
    </row>
    <row r="30638" spans="1:14" s="2" customFormat="1">
      <c r="A30638" s="83"/>
      <c r="H30638" s="83"/>
      <c r="K30638" s="82"/>
      <c r="M30638" s="112"/>
      <c r="N30638" s="84"/>
    </row>
    <row r="30639" spans="1:14" s="2" customFormat="1">
      <c r="A30639" s="83"/>
      <c r="H30639" s="83"/>
      <c r="K30639" s="82"/>
      <c r="M30639" s="112"/>
      <c r="N30639" s="84"/>
    </row>
    <row r="30640" spans="1:14" s="2" customFormat="1">
      <c r="A30640" s="83"/>
      <c r="H30640" s="83"/>
      <c r="K30640" s="82"/>
      <c r="M30640" s="112"/>
      <c r="N30640" s="84"/>
    </row>
    <row r="30641" spans="1:14" s="2" customFormat="1">
      <c r="A30641" s="83"/>
      <c r="H30641" s="83"/>
      <c r="K30641" s="82"/>
      <c r="M30641" s="112"/>
      <c r="N30641" s="84"/>
    </row>
    <row r="30642" spans="1:14" s="2" customFormat="1">
      <c r="A30642" s="83"/>
      <c r="H30642" s="83"/>
      <c r="K30642" s="82"/>
      <c r="M30642" s="112"/>
      <c r="N30642" s="84"/>
    </row>
    <row r="30643" spans="1:14" s="2" customFormat="1">
      <c r="A30643" s="83"/>
      <c r="H30643" s="83"/>
      <c r="K30643" s="82"/>
      <c r="M30643" s="112"/>
      <c r="N30643" s="84"/>
    </row>
    <row r="30644" spans="1:14" s="2" customFormat="1">
      <c r="A30644" s="83"/>
      <c r="H30644" s="83"/>
      <c r="K30644" s="82"/>
      <c r="M30644" s="112"/>
      <c r="N30644" s="84"/>
    </row>
    <row r="30645" spans="1:14" s="2" customFormat="1">
      <c r="A30645" s="83"/>
      <c r="H30645" s="83"/>
      <c r="K30645" s="82"/>
      <c r="M30645" s="112"/>
      <c r="N30645" s="84"/>
    </row>
    <row r="30646" spans="1:14" s="2" customFormat="1">
      <c r="A30646" s="83"/>
      <c r="H30646" s="83"/>
      <c r="K30646" s="82"/>
      <c r="M30646" s="112"/>
      <c r="N30646" s="84"/>
    </row>
    <row r="30647" spans="1:14" s="2" customFormat="1">
      <c r="A30647" s="83"/>
      <c r="H30647" s="83"/>
      <c r="K30647" s="82"/>
      <c r="M30647" s="112"/>
      <c r="N30647" s="84"/>
    </row>
    <row r="30648" spans="1:14" s="2" customFormat="1">
      <c r="A30648" s="83"/>
      <c r="H30648" s="83"/>
      <c r="K30648" s="82"/>
      <c r="M30648" s="112"/>
      <c r="N30648" s="84"/>
    </row>
    <row r="30649" spans="1:14" s="2" customFormat="1">
      <c r="A30649" s="83"/>
      <c r="H30649" s="83"/>
      <c r="K30649" s="82"/>
      <c r="M30649" s="112"/>
      <c r="N30649" s="84"/>
    </row>
    <row r="30650" spans="1:14" s="2" customFormat="1">
      <c r="A30650" s="83"/>
      <c r="H30650" s="83"/>
      <c r="K30650" s="82"/>
      <c r="M30650" s="112"/>
      <c r="N30650" s="84"/>
    </row>
    <row r="30651" spans="1:14" s="2" customFormat="1">
      <c r="A30651" s="83"/>
      <c r="H30651" s="83"/>
      <c r="K30651" s="82"/>
      <c r="M30651" s="112"/>
      <c r="N30651" s="84"/>
    </row>
    <row r="30652" spans="1:14" s="2" customFormat="1">
      <c r="A30652" s="83"/>
      <c r="H30652" s="83"/>
      <c r="K30652" s="82"/>
      <c r="M30652" s="112"/>
      <c r="N30652" s="84"/>
    </row>
    <row r="30653" spans="1:14" s="2" customFormat="1">
      <c r="A30653" s="83"/>
      <c r="H30653" s="83"/>
      <c r="K30653" s="82"/>
      <c r="M30653" s="112"/>
      <c r="N30653" s="84"/>
    </row>
    <row r="30654" spans="1:14" s="2" customFormat="1">
      <c r="A30654" s="83"/>
      <c r="H30654" s="83"/>
      <c r="K30654" s="82"/>
      <c r="M30654" s="112"/>
      <c r="N30654" s="84"/>
    </row>
    <row r="30655" spans="1:14" s="2" customFormat="1">
      <c r="A30655" s="83"/>
      <c r="H30655" s="83"/>
      <c r="K30655" s="82"/>
      <c r="M30655" s="112"/>
      <c r="N30655" s="84"/>
    </row>
    <row r="30656" spans="1:14" s="2" customFormat="1">
      <c r="A30656" s="83"/>
      <c r="H30656" s="83"/>
      <c r="K30656" s="82"/>
      <c r="M30656" s="112"/>
      <c r="N30656" s="84"/>
    </row>
    <row r="30657" spans="1:14" s="2" customFormat="1">
      <c r="A30657" s="83"/>
      <c r="H30657" s="83"/>
      <c r="K30657" s="82"/>
      <c r="M30657" s="112"/>
      <c r="N30657" s="84"/>
    </row>
    <row r="30658" spans="1:14" s="2" customFormat="1">
      <c r="A30658" s="83"/>
      <c r="H30658" s="83"/>
      <c r="K30658" s="82"/>
      <c r="M30658" s="112"/>
      <c r="N30658" s="84"/>
    </row>
    <row r="30659" spans="1:14" s="2" customFormat="1">
      <c r="A30659" s="83"/>
      <c r="H30659" s="83"/>
      <c r="K30659" s="82"/>
      <c r="M30659" s="112"/>
      <c r="N30659" s="84"/>
    </row>
    <row r="30660" spans="1:14" s="2" customFormat="1">
      <c r="A30660" s="83"/>
      <c r="H30660" s="83"/>
      <c r="K30660" s="82"/>
      <c r="M30660" s="112"/>
      <c r="N30660" s="84"/>
    </row>
    <row r="30661" spans="1:14" s="2" customFormat="1">
      <c r="A30661" s="83"/>
      <c r="H30661" s="83"/>
      <c r="K30661" s="82"/>
      <c r="M30661" s="112"/>
      <c r="N30661" s="84"/>
    </row>
    <row r="30662" spans="1:14" s="2" customFormat="1">
      <c r="A30662" s="83"/>
      <c r="H30662" s="83"/>
      <c r="K30662" s="82"/>
      <c r="M30662" s="112"/>
      <c r="N30662" s="84"/>
    </row>
    <row r="30663" spans="1:14" s="2" customFormat="1">
      <c r="A30663" s="83"/>
      <c r="H30663" s="83"/>
      <c r="K30663" s="82"/>
      <c r="M30663" s="112"/>
      <c r="N30663" s="84"/>
    </row>
    <row r="30664" spans="1:14" s="2" customFormat="1">
      <c r="A30664" s="83"/>
      <c r="H30664" s="83"/>
      <c r="K30664" s="82"/>
      <c r="M30664" s="112"/>
      <c r="N30664" s="84"/>
    </row>
    <row r="30665" spans="1:14" s="2" customFormat="1">
      <c r="A30665" s="83"/>
      <c r="H30665" s="83"/>
      <c r="K30665" s="82"/>
      <c r="M30665" s="112"/>
      <c r="N30665" s="84"/>
    </row>
    <row r="30666" spans="1:14" s="2" customFormat="1">
      <c r="A30666" s="83"/>
      <c r="H30666" s="83"/>
      <c r="K30666" s="82"/>
      <c r="M30666" s="112"/>
      <c r="N30666" s="84"/>
    </row>
    <row r="30667" spans="1:14" s="2" customFormat="1">
      <c r="A30667" s="83"/>
      <c r="H30667" s="83"/>
      <c r="K30667" s="82"/>
      <c r="M30667" s="112"/>
      <c r="N30667" s="84"/>
    </row>
    <row r="30668" spans="1:14" s="2" customFormat="1">
      <c r="A30668" s="83"/>
      <c r="H30668" s="83"/>
      <c r="K30668" s="82"/>
      <c r="M30668" s="112"/>
      <c r="N30668" s="84"/>
    </row>
    <row r="30669" spans="1:14" s="2" customFormat="1">
      <c r="A30669" s="83"/>
      <c r="H30669" s="83"/>
      <c r="K30669" s="82"/>
      <c r="M30669" s="112"/>
      <c r="N30669" s="84"/>
    </row>
    <row r="30670" spans="1:14" s="2" customFormat="1">
      <c r="A30670" s="83"/>
      <c r="H30670" s="83"/>
      <c r="K30670" s="82"/>
      <c r="M30670" s="112"/>
      <c r="N30670" s="84"/>
    </row>
    <row r="30671" spans="1:14" s="2" customFormat="1">
      <c r="A30671" s="83"/>
      <c r="H30671" s="83"/>
      <c r="K30671" s="82"/>
      <c r="M30671" s="112"/>
      <c r="N30671" s="84"/>
    </row>
    <row r="30672" spans="1:14" s="2" customFormat="1">
      <c r="A30672" s="83"/>
      <c r="H30672" s="83"/>
      <c r="K30672" s="82"/>
      <c r="M30672" s="112"/>
      <c r="N30672" s="84"/>
    </row>
    <row r="30673" spans="1:14" s="2" customFormat="1">
      <c r="A30673" s="83"/>
      <c r="H30673" s="83"/>
      <c r="K30673" s="82"/>
      <c r="M30673" s="112"/>
      <c r="N30673" s="84"/>
    </row>
    <row r="30674" spans="1:14" s="2" customFormat="1">
      <c r="A30674" s="83"/>
      <c r="H30674" s="83"/>
      <c r="K30674" s="82"/>
      <c r="M30674" s="112"/>
      <c r="N30674" s="84"/>
    </row>
    <row r="30675" spans="1:14" s="2" customFormat="1">
      <c r="A30675" s="83"/>
      <c r="H30675" s="83"/>
      <c r="K30675" s="82"/>
      <c r="M30675" s="112"/>
      <c r="N30675" s="84"/>
    </row>
    <row r="30676" spans="1:14" s="2" customFormat="1">
      <c r="A30676" s="83"/>
      <c r="H30676" s="83"/>
      <c r="K30676" s="82"/>
      <c r="M30676" s="112"/>
      <c r="N30676" s="84"/>
    </row>
    <row r="30677" spans="1:14" s="2" customFormat="1">
      <c r="A30677" s="83"/>
      <c r="H30677" s="83"/>
      <c r="K30677" s="82"/>
      <c r="M30677" s="112"/>
      <c r="N30677" s="84"/>
    </row>
    <row r="30678" spans="1:14" s="2" customFormat="1">
      <c r="A30678" s="83"/>
      <c r="H30678" s="83"/>
      <c r="K30678" s="82"/>
      <c r="M30678" s="112"/>
      <c r="N30678" s="84"/>
    </row>
    <row r="30679" spans="1:14" s="2" customFormat="1">
      <c r="A30679" s="83"/>
      <c r="H30679" s="83"/>
      <c r="K30679" s="82"/>
      <c r="M30679" s="112"/>
      <c r="N30679" s="84"/>
    </row>
    <row r="30680" spans="1:14" s="2" customFormat="1">
      <c r="A30680" s="83"/>
      <c r="H30680" s="83"/>
      <c r="K30680" s="82"/>
      <c r="M30680" s="112"/>
      <c r="N30680" s="84"/>
    </row>
    <row r="30681" spans="1:14" s="2" customFormat="1">
      <c r="A30681" s="83"/>
      <c r="H30681" s="83"/>
      <c r="K30681" s="82"/>
      <c r="M30681" s="112"/>
      <c r="N30681" s="84"/>
    </row>
    <row r="30682" spans="1:14" s="2" customFormat="1">
      <c r="A30682" s="83"/>
      <c r="H30682" s="83"/>
      <c r="K30682" s="82"/>
      <c r="M30682" s="112"/>
      <c r="N30682" s="84"/>
    </row>
    <row r="30683" spans="1:14" s="2" customFormat="1">
      <c r="A30683" s="83"/>
      <c r="H30683" s="83"/>
      <c r="K30683" s="82"/>
      <c r="M30683" s="112"/>
      <c r="N30683" s="84"/>
    </row>
    <row r="30684" spans="1:14" s="2" customFormat="1">
      <c r="A30684" s="83"/>
      <c r="H30684" s="83"/>
      <c r="K30684" s="82"/>
      <c r="M30684" s="112"/>
      <c r="N30684" s="84"/>
    </row>
    <row r="30685" spans="1:14" s="2" customFormat="1">
      <c r="A30685" s="83"/>
      <c r="H30685" s="83"/>
      <c r="K30685" s="82"/>
      <c r="M30685" s="112"/>
      <c r="N30685" s="84"/>
    </row>
    <row r="30686" spans="1:14" s="2" customFormat="1">
      <c r="A30686" s="83"/>
      <c r="H30686" s="83"/>
      <c r="K30686" s="82"/>
      <c r="M30686" s="112"/>
      <c r="N30686" s="84"/>
    </row>
    <row r="30687" spans="1:14" s="2" customFormat="1">
      <c r="A30687" s="83"/>
      <c r="H30687" s="83"/>
      <c r="K30687" s="82"/>
      <c r="M30687" s="112"/>
      <c r="N30687" s="84"/>
    </row>
    <row r="30688" spans="1:14" s="2" customFormat="1">
      <c r="A30688" s="83"/>
      <c r="H30688" s="83"/>
      <c r="K30688" s="82"/>
      <c r="M30688" s="112"/>
      <c r="N30688" s="84"/>
    </row>
    <row r="30689" spans="1:14" s="2" customFormat="1">
      <c r="A30689" s="83"/>
      <c r="H30689" s="83"/>
      <c r="K30689" s="82"/>
      <c r="M30689" s="112"/>
      <c r="N30689" s="84"/>
    </row>
    <row r="30690" spans="1:14" s="2" customFormat="1">
      <c r="A30690" s="83"/>
      <c r="H30690" s="83"/>
      <c r="K30690" s="82"/>
      <c r="M30690" s="112"/>
      <c r="N30690" s="84"/>
    </row>
    <row r="30691" spans="1:14" s="2" customFormat="1">
      <c r="A30691" s="83"/>
      <c r="H30691" s="83"/>
      <c r="K30691" s="82"/>
      <c r="M30691" s="112"/>
      <c r="N30691" s="84"/>
    </row>
    <row r="30692" spans="1:14" s="2" customFormat="1">
      <c r="A30692" s="83"/>
      <c r="H30692" s="83"/>
      <c r="K30692" s="82"/>
      <c r="M30692" s="112"/>
      <c r="N30692" s="84"/>
    </row>
    <row r="30693" spans="1:14" s="2" customFormat="1">
      <c r="A30693" s="83"/>
      <c r="H30693" s="83"/>
      <c r="K30693" s="82"/>
      <c r="M30693" s="112"/>
      <c r="N30693" s="84"/>
    </row>
    <row r="30694" spans="1:14" s="2" customFormat="1">
      <c r="A30694" s="83"/>
      <c r="H30694" s="83"/>
      <c r="K30694" s="82"/>
      <c r="M30694" s="112"/>
      <c r="N30694" s="84"/>
    </row>
    <row r="30695" spans="1:14" s="2" customFormat="1">
      <c r="A30695" s="83"/>
      <c r="H30695" s="83"/>
      <c r="K30695" s="82"/>
      <c r="M30695" s="112"/>
      <c r="N30695" s="84"/>
    </row>
    <row r="30696" spans="1:14" s="2" customFormat="1">
      <c r="A30696" s="83"/>
      <c r="H30696" s="83"/>
      <c r="K30696" s="82"/>
      <c r="M30696" s="112"/>
      <c r="N30696" s="84"/>
    </row>
    <row r="30697" spans="1:14" s="2" customFormat="1">
      <c r="A30697" s="83"/>
      <c r="H30697" s="83"/>
      <c r="K30697" s="82"/>
      <c r="M30697" s="112"/>
      <c r="N30697" s="84"/>
    </row>
    <row r="30698" spans="1:14" s="2" customFormat="1">
      <c r="A30698" s="83"/>
      <c r="H30698" s="83"/>
      <c r="K30698" s="82"/>
      <c r="M30698" s="112"/>
      <c r="N30698" s="84"/>
    </row>
    <row r="30699" spans="1:14" s="2" customFormat="1">
      <c r="A30699" s="83"/>
      <c r="H30699" s="83"/>
      <c r="K30699" s="82"/>
      <c r="M30699" s="112"/>
      <c r="N30699" s="84"/>
    </row>
    <row r="30700" spans="1:14" s="2" customFormat="1">
      <c r="A30700" s="83"/>
      <c r="H30700" s="83"/>
      <c r="K30700" s="82"/>
      <c r="M30700" s="112"/>
      <c r="N30700" s="84"/>
    </row>
    <row r="30701" spans="1:14" s="2" customFormat="1">
      <c r="A30701" s="83"/>
      <c r="H30701" s="83"/>
      <c r="K30701" s="82"/>
      <c r="M30701" s="112"/>
      <c r="N30701" s="84"/>
    </row>
    <row r="30702" spans="1:14" s="2" customFormat="1">
      <c r="A30702" s="83"/>
      <c r="H30702" s="83"/>
      <c r="K30702" s="82"/>
      <c r="M30702" s="112"/>
      <c r="N30702" s="84"/>
    </row>
    <row r="30703" spans="1:14" s="2" customFormat="1">
      <c r="A30703" s="83"/>
      <c r="H30703" s="83"/>
      <c r="K30703" s="82"/>
      <c r="M30703" s="112"/>
      <c r="N30703" s="84"/>
    </row>
    <row r="30704" spans="1:14" s="2" customFormat="1">
      <c r="A30704" s="83"/>
      <c r="H30704" s="83"/>
      <c r="K30704" s="82"/>
      <c r="M30704" s="112"/>
      <c r="N30704" s="84"/>
    </row>
    <row r="30705" spans="1:14" s="2" customFormat="1">
      <c r="A30705" s="83"/>
      <c r="H30705" s="83"/>
      <c r="K30705" s="82"/>
      <c r="M30705" s="112"/>
      <c r="N30705" s="84"/>
    </row>
    <row r="30706" spans="1:14" s="2" customFormat="1">
      <c r="A30706" s="83"/>
      <c r="H30706" s="83"/>
      <c r="K30706" s="82"/>
      <c r="M30706" s="112"/>
      <c r="N30706" s="84"/>
    </row>
    <row r="30707" spans="1:14" s="2" customFormat="1">
      <c r="A30707" s="83"/>
      <c r="H30707" s="83"/>
      <c r="K30707" s="82"/>
      <c r="M30707" s="112"/>
      <c r="N30707" s="84"/>
    </row>
    <row r="30708" spans="1:14" s="2" customFormat="1">
      <c r="A30708" s="83"/>
      <c r="H30708" s="83"/>
      <c r="K30708" s="82"/>
      <c r="M30708" s="112"/>
      <c r="N30708" s="84"/>
    </row>
    <row r="30709" spans="1:14" s="2" customFormat="1">
      <c r="A30709" s="83"/>
      <c r="H30709" s="83"/>
      <c r="K30709" s="82"/>
      <c r="M30709" s="112"/>
      <c r="N30709" s="84"/>
    </row>
    <row r="30710" spans="1:14" s="2" customFormat="1">
      <c r="A30710" s="83"/>
      <c r="H30710" s="83"/>
      <c r="K30710" s="82"/>
      <c r="M30710" s="112"/>
      <c r="N30710" s="84"/>
    </row>
    <row r="30711" spans="1:14" s="2" customFormat="1">
      <c r="A30711" s="83"/>
      <c r="H30711" s="83"/>
      <c r="K30711" s="82"/>
      <c r="M30711" s="112"/>
      <c r="N30711" s="84"/>
    </row>
    <row r="30712" spans="1:14" s="2" customFormat="1">
      <c r="A30712" s="83"/>
      <c r="H30712" s="83"/>
      <c r="K30712" s="82"/>
      <c r="M30712" s="112"/>
      <c r="N30712" s="84"/>
    </row>
    <row r="30713" spans="1:14" s="2" customFormat="1">
      <c r="A30713" s="83"/>
      <c r="H30713" s="83"/>
      <c r="K30713" s="82"/>
      <c r="M30713" s="112"/>
      <c r="N30713" s="84"/>
    </row>
    <row r="30714" spans="1:14" s="2" customFormat="1">
      <c r="A30714" s="83"/>
      <c r="H30714" s="83"/>
      <c r="K30714" s="82"/>
      <c r="M30714" s="112"/>
      <c r="N30714" s="84"/>
    </row>
    <row r="30715" spans="1:14" s="2" customFormat="1">
      <c r="A30715" s="83"/>
      <c r="H30715" s="83"/>
      <c r="K30715" s="82"/>
      <c r="M30715" s="112"/>
      <c r="N30715" s="84"/>
    </row>
    <row r="30716" spans="1:14" s="2" customFormat="1">
      <c r="A30716" s="83"/>
      <c r="H30716" s="83"/>
      <c r="K30716" s="82"/>
      <c r="M30716" s="112"/>
      <c r="N30716" s="84"/>
    </row>
    <row r="30717" spans="1:14" s="2" customFormat="1">
      <c r="A30717" s="83"/>
      <c r="H30717" s="83"/>
      <c r="K30717" s="82"/>
      <c r="M30717" s="112"/>
      <c r="N30717" s="84"/>
    </row>
    <row r="30718" spans="1:14" s="2" customFormat="1">
      <c r="A30718" s="83"/>
      <c r="H30718" s="83"/>
      <c r="K30718" s="82"/>
      <c r="M30718" s="112"/>
      <c r="N30718" s="84"/>
    </row>
    <row r="30719" spans="1:14" s="2" customFormat="1">
      <c r="A30719" s="83"/>
      <c r="H30719" s="83"/>
      <c r="K30719" s="82"/>
      <c r="M30719" s="112"/>
      <c r="N30719" s="84"/>
    </row>
    <row r="30720" spans="1:14" s="2" customFormat="1">
      <c r="A30720" s="83"/>
      <c r="H30720" s="83"/>
      <c r="K30720" s="82"/>
      <c r="M30720" s="112"/>
      <c r="N30720" s="84"/>
    </row>
    <row r="30721" spans="1:14" s="2" customFormat="1">
      <c r="A30721" s="83"/>
      <c r="H30721" s="83"/>
      <c r="K30721" s="82"/>
      <c r="M30721" s="112"/>
      <c r="N30721" s="84"/>
    </row>
    <row r="30722" spans="1:14" s="2" customFormat="1">
      <c r="A30722" s="83"/>
      <c r="H30722" s="83"/>
      <c r="K30722" s="82"/>
      <c r="M30722" s="112"/>
      <c r="N30722" s="84"/>
    </row>
    <row r="30723" spans="1:14" s="2" customFormat="1">
      <c r="A30723" s="83"/>
      <c r="H30723" s="83"/>
      <c r="K30723" s="82"/>
      <c r="M30723" s="112"/>
      <c r="N30723" s="84"/>
    </row>
    <row r="30724" spans="1:14" s="2" customFormat="1">
      <c r="A30724" s="83"/>
      <c r="H30724" s="83"/>
      <c r="K30724" s="82"/>
      <c r="M30724" s="112"/>
      <c r="N30724" s="84"/>
    </row>
    <row r="30725" spans="1:14" s="2" customFormat="1">
      <c r="A30725" s="83"/>
      <c r="H30725" s="83"/>
      <c r="K30725" s="82"/>
      <c r="M30725" s="112"/>
      <c r="N30725" s="84"/>
    </row>
    <row r="30726" spans="1:14" s="2" customFormat="1">
      <c r="A30726" s="83"/>
      <c r="H30726" s="83"/>
      <c r="K30726" s="82"/>
      <c r="M30726" s="112"/>
      <c r="N30726" s="84"/>
    </row>
    <row r="30727" spans="1:14" s="2" customFormat="1">
      <c r="A30727" s="83"/>
      <c r="H30727" s="83"/>
      <c r="K30727" s="82"/>
      <c r="M30727" s="112"/>
      <c r="N30727" s="84"/>
    </row>
    <row r="30728" spans="1:14" s="2" customFormat="1">
      <c r="A30728" s="83"/>
      <c r="H30728" s="83"/>
      <c r="K30728" s="82"/>
      <c r="M30728" s="112"/>
      <c r="N30728" s="84"/>
    </row>
    <row r="30729" spans="1:14" s="2" customFormat="1">
      <c r="A30729" s="83"/>
      <c r="H30729" s="83"/>
      <c r="K30729" s="82"/>
      <c r="M30729" s="112"/>
      <c r="N30729" s="84"/>
    </row>
    <row r="30730" spans="1:14" s="2" customFormat="1">
      <c r="A30730" s="83"/>
      <c r="H30730" s="83"/>
      <c r="K30730" s="82"/>
      <c r="M30730" s="112"/>
      <c r="N30730" s="84"/>
    </row>
    <row r="30731" spans="1:14" s="2" customFormat="1">
      <c r="A30731" s="83"/>
      <c r="H30731" s="83"/>
      <c r="K30731" s="82"/>
      <c r="M30731" s="112"/>
      <c r="N30731" s="84"/>
    </row>
    <row r="30732" spans="1:14" s="2" customFormat="1">
      <c r="A30732" s="83"/>
      <c r="H30732" s="83"/>
      <c r="K30732" s="82"/>
      <c r="M30732" s="112"/>
      <c r="N30732" s="84"/>
    </row>
    <row r="30733" spans="1:14" s="2" customFormat="1">
      <c r="A30733" s="83"/>
      <c r="H30733" s="83"/>
      <c r="K30733" s="82"/>
      <c r="M30733" s="112"/>
      <c r="N30733" s="84"/>
    </row>
    <row r="30734" spans="1:14" s="2" customFormat="1">
      <c r="A30734" s="83"/>
      <c r="H30734" s="83"/>
      <c r="K30734" s="82"/>
      <c r="M30734" s="112"/>
      <c r="N30734" s="84"/>
    </row>
    <row r="30735" spans="1:14" s="2" customFormat="1">
      <c r="A30735" s="83"/>
      <c r="H30735" s="83"/>
      <c r="K30735" s="82"/>
      <c r="M30735" s="112"/>
      <c r="N30735" s="84"/>
    </row>
    <row r="30736" spans="1:14" s="2" customFormat="1">
      <c r="A30736" s="83"/>
      <c r="H30736" s="83"/>
      <c r="K30736" s="82"/>
      <c r="M30736" s="112"/>
      <c r="N30736" s="84"/>
    </row>
    <row r="30737" spans="1:14" s="2" customFormat="1">
      <c r="A30737" s="83"/>
      <c r="H30737" s="83"/>
      <c r="K30737" s="82"/>
      <c r="M30737" s="112"/>
      <c r="N30737" s="84"/>
    </row>
    <row r="30738" spans="1:14" s="2" customFormat="1">
      <c r="A30738" s="83"/>
      <c r="H30738" s="83"/>
      <c r="K30738" s="82"/>
      <c r="M30738" s="112"/>
      <c r="N30738" s="84"/>
    </row>
    <row r="30739" spans="1:14" s="2" customFormat="1">
      <c r="A30739" s="83"/>
      <c r="H30739" s="83"/>
      <c r="K30739" s="82"/>
      <c r="M30739" s="112"/>
      <c r="N30739" s="84"/>
    </row>
    <row r="30740" spans="1:14" s="2" customFormat="1">
      <c r="A30740" s="83"/>
      <c r="H30740" s="83"/>
      <c r="K30740" s="82"/>
      <c r="M30740" s="112"/>
      <c r="N30740" s="84"/>
    </row>
    <row r="30741" spans="1:14" s="2" customFormat="1">
      <c r="A30741" s="83"/>
      <c r="H30741" s="83"/>
      <c r="K30741" s="82"/>
      <c r="M30741" s="112"/>
      <c r="N30741" s="84"/>
    </row>
    <row r="30742" spans="1:14" s="2" customFormat="1">
      <c r="A30742" s="83"/>
      <c r="H30742" s="83"/>
      <c r="K30742" s="82"/>
      <c r="M30742" s="112"/>
      <c r="N30742" s="84"/>
    </row>
    <row r="30743" spans="1:14" s="2" customFormat="1">
      <c r="A30743" s="83"/>
      <c r="H30743" s="83"/>
      <c r="K30743" s="82"/>
      <c r="M30743" s="112"/>
      <c r="N30743" s="84"/>
    </row>
    <row r="30744" spans="1:14" s="2" customFormat="1">
      <c r="A30744" s="83"/>
      <c r="H30744" s="83"/>
      <c r="K30744" s="82"/>
      <c r="M30744" s="112"/>
      <c r="N30744" s="84"/>
    </row>
    <row r="30745" spans="1:14" s="2" customFormat="1">
      <c r="A30745" s="83"/>
      <c r="H30745" s="83"/>
      <c r="K30745" s="82"/>
      <c r="M30745" s="112"/>
      <c r="N30745" s="84"/>
    </row>
    <row r="30746" spans="1:14" s="2" customFormat="1">
      <c r="A30746" s="83"/>
      <c r="H30746" s="83"/>
      <c r="K30746" s="82"/>
      <c r="M30746" s="112"/>
      <c r="N30746" s="84"/>
    </row>
    <row r="30747" spans="1:14" s="2" customFormat="1">
      <c r="A30747" s="83"/>
      <c r="H30747" s="83"/>
      <c r="K30747" s="82"/>
      <c r="M30747" s="112"/>
      <c r="N30747" s="84"/>
    </row>
    <row r="30748" spans="1:14" s="2" customFormat="1">
      <c r="A30748" s="83"/>
      <c r="H30748" s="83"/>
      <c r="K30748" s="82"/>
      <c r="M30748" s="112"/>
      <c r="N30748" s="84"/>
    </row>
    <row r="30749" spans="1:14" s="2" customFormat="1">
      <c r="A30749" s="83"/>
      <c r="H30749" s="83"/>
      <c r="K30749" s="82"/>
      <c r="M30749" s="112"/>
      <c r="N30749" s="84"/>
    </row>
    <row r="30750" spans="1:14" s="2" customFormat="1">
      <c r="A30750" s="83"/>
      <c r="H30750" s="83"/>
      <c r="K30750" s="82"/>
      <c r="M30750" s="112"/>
      <c r="N30750" s="84"/>
    </row>
    <row r="30751" spans="1:14" s="2" customFormat="1">
      <c r="A30751" s="83"/>
      <c r="H30751" s="83"/>
      <c r="K30751" s="82"/>
      <c r="M30751" s="112"/>
      <c r="N30751" s="84"/>
    </row>
    <row r="30752" spans="1:14" s="2" customFormat="1">
      <c r="A30752" s="83"/>
      <c r="H30752" s="83"/>
      <c r="K30752" s="82"/>
      <c r="M30752" s="112"/>
      <c r="N30752" s="84"/>
    </row>
    <row r="30753" spans="1:14" s="2" customFormat="1">
      <c r="A30753" s="83"/>
      <c r="H30753" s="83"/>
      <c r="K30753" s="82"/>
      <c r="M30753" s="112"/>
      <c r="N30753" s="84"/>
    </row>
    <row r="30754" spans="1:14" s="2" customFormat="1">
      <c r="A30754" s="83"/>
      <c r="H30754" s="83"/>
      <c r="K30754" s="82"/>
      <c r="M30754" s="112"/>
      <c r="N30754" s="84"/>
    </row>
    <row r="30755" spans="1:14" s="2" customFormat="1">
      <c r="A30755" s="83"/>
      <c r="H30755" s="83"/>
      <c r="K30755" s="82"/>
      <c r="M30755" s="112"/>
      <c r="N30755" s="84"/>
    </row>
    <row r="30756" spans="1:14" s="2" customFormat="1">
      <c r="A30756" s="83"/>
      <c r="H30756" s="83"/>
      <c r="K30756" s="82"/>
      <c r="M30756" s="112"/>
      <c r="N30756" s="84"/>
    </row>
    <row r="30757" spans="1:14" s="2" customFormat="1">
      <c r="A30757" s="83"/>
      <c r="H30757" s="83"/>
      <c r="K30757" s="82"/>
      <c r="M30757" s="112"/>
      <c r="N30757" s="84"/>
    </row>
    <row r="30758" spans="1:14" s="2" customFormat="1">
      <c r="A30758" s="83"/>
      <c r="H30758" s="83"/>
      <c r="K30758" s="82"/>
      <c r="M30758" s="112"/>
      <c r="N30758" s="84"/>
    </row>
    <row r="30759" spans="1:14" s="2" customFormat="1">
      <c r="A30759" s="83"/>
      <c r="H30759" s="83"/>
      <c r="K30759" s="82"/>
      <c r="M30759" s="112"/>
      <c r="N30759" s="84"/>
    </row>
    <row r="30760" spans="1:14" s="2" customFormat="1">
      <c r="A30760" s="83"/>
      <c r="H30760" s="83"/>
      <c r="K30760" s="82"/>
      <c r="M30760" s="112"/>
      <c r="N30760" s="84"/>
    </row>
    <row r="30761" spans="1:14" s="2" customFormat="1">
      <c r="A30761" s="83"/>
      <c r="H30761" s="83"/>
      <c r="K30761" s="82"/>
      <c r="M30761" s="112"/>
      <c r="N30761" s="84"/>
    </row>
    <row r="30762" spans="1:14" s="2" customFormat="1">
      <c r="A30762" s="83"/>
      <c r="H30762" s="83"/>
      <c r="K30762" s="82"/>
      <c r="M30762" s="112"/>
      <c r="N30762" s="84"/>
    </row>
    <row r="30763" spans="1:14" s="2" customFormat="1">
      <c r="A30763" s="83"/>
      <c r="H30763" s="83"/>
      <c r="K30763" s="82"/>
      <c r="M30763" s="112"/>
      <c r="N30763" s="84"/>
    </row>
    <row r="30764" spans="1:14" s="2" customFormat="1">
      <c r="A30764" s="83"/>
      <c r="H30764" s="83"/>
      <c r="K30764" s="82"/>
      <c r="M30764" s="112"/>
      <c r="N30764" s="84"/>
    </row>
    <row r="30765" spans="1:14" s="2" customFormat="1">
      <c r="A30765" s="83"/>
      <c r="H30765" s="83"/>
      <c r="K30765" s="82"/>
      <c r="M30765" s="112"/>
      <c r="N30765" s="84"/>
    </row>
    <row r="30766" spans="1:14" s="2" customFormat="1">
      <c r="A30766" s="83"/>
      <c r="H30766" s="83"/>
      <c r="K30766" s="82"/>
      <c r="M30766" s="112"/>
      <c r="N30766" s="84"/>
    </row>
    <row r="30767" spans="1:14" s="2" customFormat="1">
      <c r="A30767" s="83"/>
      <c r="H30767" s="83"/>
      <c r="K30767" s="82"/>
      <c r="M30767" s="112"/>
      <c r="N30767" s="84"/>
    </row>
    <row r="30768" spans="1:14" s="2" customFormat="1">
      <c r="A30768" s="83"/>
      <c r="H30768" s="83"/>
      <c r="K30768" s="82"/>
      <c r="M30768" s="112"/>
      <c r="N30768" s="84"/>
    </row>
    <row r="30769" spans="1:14" s="2" customFormat="1">
      <c r="A30769" s="83"/>
      <c r="H30769" s="83"/>
      <c r="K30769" s="82"/>
      <c r="M30769" s="112"/>
      <c r="N30769" s="84"/>
    </row>
    <row r="30770" spans="1:14" s="2" customFormat="1">
      <c r="A30770" s="83"/>
      <c r="H30770" s="83"/>
      <c r="K30770" s="82"/>
      <c r="M30770" s="112"/>
      <c r="N30770" s="84"/>
    </row>
    <row r="30771" spans="1:14" s="2" customFormat="1">
      <c r="A30771" s="83"/>
      <c r="H30771" s="83"/>
      <c r="K30771" s="82"/>
      <c r="M30771" s="112"/>
      <c r="N30771" s="84"/>
    </row>
    <row r="30772" spans="1:14" s="2" customFormat="1">
      <c r="A30772" s="83"/>
      <c r="H30772" s="83"/>
      <c r="K30772" s="82"/>
      <c r="M30772" s="112"/>
      <c r="N30772" s="84"/>
    </row>
    <row r="30773" spans="1:14" s="2" customFormat="1">
      <c r="A30773" s="83"/>
      <c r="H30773" s="83"/>
      <c r="K30773" s="82"/>
      <c r="M30773" s="112"/>
      <c r="N30773" s="84"/>
    </row>
    <row r="30774" spans="1:14" s="2" customFormat="1">
      <c r="A30774" s="83"/>
      <c r="H30774" s="83"/>
      <c r="K30774" s="82"/>
      <c r="M30774" s="112"/>
      <c r="N30774" s="84"/>
    </row>
    <row r="30775" spans="1:14" s="2" customFormat="1">
      <c r="A30775" s="83"/>
      <c r="H30775" s="83"/>
      <c r="K30775" s="82"/>
      <c r="M30775" s="112"/>
      <c r="N30775" s="84"/>
    </row>
    <row r="30776" spans="1:14" s="2" customFormat="1">
      <c r="A30776" s="83"/>
      <c r="H30776" s="83"/>
      <c r="K30776" s="82"/>
      <c r="M30776" s="112"/>
      <c r="N30776" s="84"/>
    </row>
    <row r="30777" spans="1:14" s="2" customFormat="1">
      <c r="A30777" s="83"/>
      <c r="H30777" s="83"/>
      <c r="K30777" s="82"/>
      <c r="M30777" s="112"/>
      <c r="N30777" s="84"/>
    </row>
    <row r="30778" spans="1:14" s="2" customFormat="1">
      <c r="A30778" s="83"/>
      <c r="H30778" s="83"/>
      <c r="K30778" s="82"/>
      <c r="M30778" s="112"/>
      <c r="N30778" s="84"/>
    </row>
    <row r="30779" spans="1:14" s="2" customFormat="1">
      <c r="A30779" s="83"/>
      <c r="H30779" s="83"/>
      <c r="K30779" s="82"/>
      <c r="M30779" s="112"/>
      <c r="N30779" s="84"/>
    </row>
    <row r="30780" spans="1:14" s="2" customFormat="1">
      <c r="A30780" s="83"/>
      <c r="H30780" s="83"/>
      <c r="K30780" s="82"/>
      <c r="M30780" s="112"/>
      <c r="N30780" s="84"/>
    </row>
    <row r="30781" spans="1:14" s="2" customFormat="1">
      <c r="A30781" s="83"/>
      <c r="H30781" s="83"/>
      <c r="K30781" s="82"/>
      <c r="M30781" s="112"/>
      <c r="N30781" s="84"/>
    </row>
    <row r="30782" spans="1:14" s="2" customFormat="1">
      <c r="A30782" s="83"/>
      <c r="H30782" s="83"/>
      <c r="K30782" s="82"/>
      <c r="M30782" s="112"/>
      <c r="N30782" s="84"/>
    </row>
    <row r="30783" spans="1:14" s="2" customFormat="1">
      <c r="A30783" s="83"/>
      <c r="H30783" s="83"/>
      <c r="K30783" s="82"/>
      <c r="M30783" s="112"/>
      <c r="N30783" s="84"/>
    </row>
    <row r="30784" spans="1:14" s="2" customFormat="1">
      <c r="A30784" s="83"/>
      <c r="H30784" s="83"/>
      <c r="K30784" s="82"/>
      <c r="M30784" s="112"/>
      <c r="N30784" s="84"/>
    </row>
    <row r="30785" spans="1:14" s="2" customFormat="1">
      <c r="A30785" s="83"/>
      <c r="H30785" s="83"/>
      <c r="K30785" s="82"/>
      <c r="M30785" s="112"/>
      <c r="N30785" s="84"/>
    </row>
    <row r="30786" spans="1:14" s="2" customFormat="1">
      <c r="A30786" s="83"/>
      <c r="H30786" s="83"/>
      <c r="K30786" s="82"/>
      <c r="M30786" s="112"/>
      <c r="N30786" s="84"/>
    </row>
    <row r="30787" spans="1:14" s="2" customFormat="1">
      <c r="A30787" s="83"/>
      <c r="H30787" s="83"/>
      <c r="K30787" s="82"/>
      <c r="M30787" s="112"/>
      <c r="N30787" s="84"/>
    </row>
    <row r="30788" spans="1:14" s="2" customFormat="1">
      <c r="A30788" s="83"/>
      <c r="H30788" s="83"/>
      <c r="K30788" s="82"/>
      <c r="M30788" s="112"/>
      <c r="N30788" s="84"/>
    </row>
    <row r="30789" spans="1:14" s="2" customFormat="1">
      <c r="A30789" s="83"/>
      <c r="H30789" s="83"/>
      <c r="K30789" s="82"/>
      <c r="M30789" s="112"/>
      <c r="N30789" s="84"/>
    </row>
    <row r="30790" spans="1:14" s="2" customFormat="1">
      <c r="A30790" s="83"/>
      <c r="H30790" s="83"/>
      <c r="K30790" s="82"/>
      <c r="M30790" s="112"/>
      <c r="N30790" s="84"/>
    </row>
    <row r="30791" spans="1:14" s="2" customFormat="1">
      <c r="A30791" s="83"/>
      <c r="H30791" s="83"/>
      <c r="K30791" s="82"/>
      <c r="M30791" s="112"/>
      <c r="N30791" s="84"/>
    </row>
    <row r="30792" spans="1:14" s="2" customFormat="1">
      <c r="A30792" s="83"/>
      <c r="H30792" s="83"/>
      <c r="K30792" s="82"/>
      <c r="M30792" s="112"/>
      <c r="N30792" s="84"/>
    </row>
    <row r="30793" spans="1:14" s="2" customFormat="1">
      <c r="A30793" s="83"/>
      <c r="H30793" s="83"/>
      <c r="K30793" s="82"/>
      <c r="M30793" s="112"/>
      <c r="N30793" s="84"/>
    </row>
    <row r="30794" spans="1:14" s="2" customFormat="1">
      <c r="A30794" s="83"/>
      <c r="H30794" s="83"/>
      <c r="K30794" s="82"/>
      <c r="M30794" s="112"/>
      <c r="N30794" s="84"/>
    </row>
    <row r="30795" spans="1:14" s="2" customFormat="1">
      <c r="A30795" s="83"/>
      <c r="H30795" s="83"/>
      <c r="K30795" s="82"/>
      <c r="M30795" s="112"/>
      <c r="N30795" s="84"/>
    </row>
    <row r="30796" spans="1:14" s="2" customFormat="1">
      <c r="A30796" s="83"/>
      <c r="H30796" s="83"/>
      <c r="K30796" s="82"/>
      <c r="M30796" s="112"/>
      <c r="N30796" s="84"/>
    </row>
    <row r="30797" spans="1:14" s="2" customFormat="1">
      <c r="A30797" s="83"/>
      <c r="H30797" s="83"/>
      <c r="K30797" s="82"/>
      <c r="M30797" s="112"/>
      <c r="N30797" s="84"/>
    </row>
    <row r="30798" spans="1:14" s="2" customFormat="1">
      <c r="A30798" s="83"/>
      <c r="H30798" s="83"/>
      <c r="K30798" s="82"/>
      <c r="M30798" s="112"/>
      <c r="N30798" s="84"/>
    </row>
    <row r="30799" spans="1:14" s="2" customFormat="1">
      <c r="A30799" s="83"/>
      <c r="H30799" s="83"/>
      <c r="K30799" s="82"/>
      <c r="M30799" s="112"/>
      <c r="N30799" s="84"/>
    </row>
    <row r="30800" spans="1:14" s="2" customFormat="1">
      <c r="A30800" s="83"/>
      <c r="H30800" s="83"/>
      <c r="K30800" s="82"/>
      <c r="M30800" s="112"/>
      <c r="N30800" s="84"/>
    </row>
    <row r="30801" spans="1:14" s="2" customFormat="1">
      <c r="A30801" s="83"/>
      <c r="H30801" s="83"/>
      <c r="K30801" s="82"/>
      <c r="M30801" s="112"/>
      <c r="N30801" s="84"/>
    </row>
    <row r="30802" spans="1:14" s="2" customFormat="1">
      <c r="A30802" s="83"/>
      <c r="H30802" s="83"/>
      <c r="K30802" s="82"/>
      <c r="M30802" s="112"/>
      <c r="N30802" s="84"/>
    </row>
    <row r="30803" spans="1:14" s="2" customFormat="1">
      <c r="A30803" s="83"/>
      <c r="H30803" s="83"/>
      <c r="K30803" s="82"/>
      <c r="M30803" s="112"/>
      <c r="N30803" s="84"/>
    </row>
    <row r="30804" spans="1:14" s="2" customFormat="1">
      <c r="A30804" s="83"/>
      <c r="H30804" s="83"/>
      <c r="K30804" s="82"/>
      <c r="M30804" s="112"/>
      <c r="N30804" s="84"/>
    </row>
    <row r="30805" spans="1:14" s="2" customFormat="1">
      <c r="A30805" s="83"/>
      <c r="H30805" s="83"/>
      <c r="K30805" s="82"/>
      <c r="M30805" s="112"/>
      <c r="N30805" s="84"/>
    </row>
    <row r="30806" spans="1:14" s="2" customFormat="1">
      <c r="A30806" s="83"/>
      <c r="H30806" s="83"/>
      <c r="K30806" s="82"/>
      <c r="M30806" s="112"/>
      <c r="N30806" s="84"/>
    </row>
    <row r="30807" spans="1:14" s="2" customFormat="1">
      <c r="A30807" s="83"/>
      <c r="H30807" s="83"/>
      <c r="K30807" s="82"/>
      <c r="M30807" s="112"/>
      <c r="N30807" s="84"/>
    </row>
    <row r="30808" spans="1:14" s="2" customFormat="1">
      <c r="A30808" s="83"/>
      <c r="H30808" s="83"/>
      <c r="K30808" s="82"/>
      <c r="M30808" s="112"/>
      <c r="N30808" s="84"/>
    </row>
    <row r="30809" spans="1:14" s="2" customFormat="1">
      <c r="A30809" s="83"/>
      <c r="H30809" s="83"/>
      <c r="K30809" s="82"/>
      <c r="M30809" s="112"/>
      <c r="N30809" s="84"/>
    </row>
    <row r="30810" spans="1:14" s="2" customFormat="1">
      <c r="A30810" s="83"/>
      <c r="H30810" s="83"/>
      <c r="K30810" s="82"/>
      <c r="M30810" s="112"/>
      <c r="N30810" s="84"/>
    </row>
    <row r="30811" spans="1:14" s="2" customFormat="1">
      <c r="A30811" s="83"/>
      <c r="H30811" s="83"/>
      <c r="K30811" s="82"/>
      <c r="M30811" s="112"/>
      <c r="N30811" s="84"/>
    </row>
    <row r="30812" spans="1:14" s="2" customFormat="1">
      <c r="A30812" s="83"/>
      <c r="H30812" s="83"/>
      <c r="K30812" s="82"/>
      <c r="M30812" s="112"/>
      <c r="N30812" s="84"/>
    </row>
    <row r="30813" spans="1:14" s="2" customFormat="1">
      <c r="A30813" s="83"/>
      <c r="H30813" s="83"/>
      <c r="K30813" s="82"/>
      <c r="M30813" s="112"/>
      <c r="N30813" s="84"/>
    </row>
    <row r="30814" spans="1:14" s="2" customFormat="1">
      <c r="A30814" s="83"/>
      <c r="H30814" s="83"/>
      <c r="K30814" s="82"/>
      <c r="M30814" s="112"/>
      <c r="N30814" s="84"/>
    </row>
    <row r="30815" spans="1:14" s="2" customFormat="1">
      <c r="A30815" s="83"/>
      <c r="H30815" s="83"/>
      <c r="K30815" s="82"/>
      <c r="M30815" s="112"/>
      <c r="N30815" s="84"/>
    </row>
    <row r="30816" spans="1:14" s="2" customFormat="1">
      <c r="A30816" s="83"/>
      <c r="H30816" s="83"/>
      <c r="K30816" s="82"/>
      <c r="M30816" s="112"/>
      <c r="N30816" s="84"/>
    </row>
    <row r="30817" spans="1:14" s="2" customFormat="1">
      <c r="A30817" s="83"/>
      <c r="H30817" s="83"/>
      <c r="K30817" s="82"/>
      <c r="M30817" s="112"/>
      <c r="N30817" s="84"/>
    </row>
    <row r="30818" spans="1:14" s="2" customFormat="1">
      <c r="A30818" s="83"/>
      <c r="H30818" s="83"/>
      <c r="K30818" s="82"/>
      <c r="M30818" s="112"/>
      <c r="N30818" s="84"/>
    </row>
    <row r="30819" spans="1:14" s="2" customFormat="1">
      <c r="A30819" s="83"/>
      <c r="H30819" s="83"/>
      <c r="K30819" s="82"/>
      <c r="M30819" s="112"/>
      <c r="N30819" s="84"/>
    </row>
    <row r="30820" spans="1:14" s="2" customFormat="1">
      <c r="A30820" s="83"/>
      <c r="H30820" s="83"/>
      <c r="K30820" s="82"/>
      <c r="M30820" s="112"/>
      <c r="N30820" s="84"/>
    </row>
    <row r="30821" spans="1:14" s="2" customFormat="1">
      <c r="A30821" s="83"/>
      <c r="H30821" s="83"/>
      <c r="K30821" s="82"/>
      <c r="M30821" s="112"/>
      <c r="N30821" s="84"/>
    </row>
    <row r="30822" spans="1:14" s="2" customFormat="1">
      <c r="A30822" s="83"/>
      <c r="H30822" s="83"/>
      <c r="K30822" s="82"/>
      <c r="M30822" s="112"/>
      <c r="N30822" s="84"/>
    </row>
    <row r="30823" spans="1:14" s="2" customFormat="1">
      <c r="A30823" s="83"/>
      <c r="H30823" s="83"/>
      <c r="K30823" s="82"/>
      <c r="M30823" s="112"/>
      <c r="N30823" s="84"/>
    </row>
    <row r="30824" spans="1:14" s="2" customFormat="1">
      <c r="A30824" s="83"/>
      <c r="H30824" s="83"/>
      <c r="K30824" s="82"/>
      <c r="M30824" s="112"/>
      <c r="N30824" s="84"/>
    </row>
    <row r="30825" spans="1:14" s="2" customFormat="1">
      <c r="A30825" s="83"/>
      <c r="H30825" s="83"/>
      <c r="K30825" s="82"/>
      <c r="M30825" s="112"/>
      <c r="N30825" s="84"/>
    </row>
    <row r="30826" spans="1:14" s="2" customFormat="1">
      <c r="A30826" s="83"/>
      <c r="H30826" s="83"/>
      <c r="K30826" s="82"/>
      <c r="M30826" s="112"/>
      <c r="N30826" s="84"/>
    </row>
    <row r="30827" spans="1:14" s="2" customFormat="1">
      <c r="A30827" s="83"/>
      <c r="H30827" s="83"/>
      <c r="K30827" s="82"/>
      <c r="M30827" s="112"/>
      <c r="N30827" s="84"/>
    </row>
    <row r="30828" spans="1:14" s="2" customFormat="1">
      <c r="A30828" s="83"/>
      <c r="H30828" s="83"/>
      <c r="K30828" s="82"/>
      <c r="M30828" s="112"/>
      <c r="N30828" s="84"/>
    </row>
    <row r="30829" spans="1:14" s="2" customFormat="1">
      <c r="A30829" s="83"/>
      <c r="H30829" s="83"/>
      <c r="K30829" s="82"/>
      <c r="M30829" s="112"/>
      <c r="N30829" s="84"/>
    </row>
    <row r="30830" spans="1:14" s="2" customFormat="1">
      <c r="A30830" s="83"/>
      <c r="H30830" s="83"/>
      <c r="K30830" s="82"/>
      <c r="M30830" s="112"/>
      <c r="N30830" s="84"/>
    </row>
    <row r="30831" spans="1:14" s="2" customFormat="1">
      <c r="A30831" s="83"/>
      <c r="H30831" s="83"/>
      <c r="K30831" s="82"/>
      <c r="M30831" s="112"/>
      <c r="N30831" s="84"/>
    </row>
    <row r="30832" spans="1:14" s="2" customFormat="1">
      <c r="A30832" s="83"/>
      <c r="H30832" s="83"/>
      <c r="K30832" s="82"/>
      <c r="M30832" s="112"/>
      <c r="N30832" s="84"/>
    </row>
    <row r="30833" spans="1:14" s="2" customFormat="1">
      <c r="A30833" s="83"/>
      <c r="H30833" s="83"/>
      <c r="K30833" s="82"/>
      <c r="M30833" s="112"/>
      <c r="N30833" s="84"/>
    </row>
    <row r="30834" spans="1:14" s="2" customFormat="1">
      <c r="A30834" s="83"/>
      <c r="H30834" s="83"/>
      <c r="K30834" s="82"/>
      <c r="M30834" s="112"/>
      <c r="N30834" s="84"/>
    </row>
    <row r="30835" spans="1:14" s="2" customFormat="1">
      <c r="A30835" s="83"/>
      <c r="H30835" s="83"/>
      <c r="K30835" s="82"/>
      <c r="M30835" s="112"/>
      <c r="N30835" s="84"/>
    </row>
    <row r="30836" spans="1:14" s="2" customFormat="1">
      <c r="A30836" s="83"/>
      <c r="H30836" s="83"/>
      <c r="K30836" s="82"/>
      <c r="M30836" s="112"/>
      <c r="N30836" s="84"/>
    </row>
    <row r="30837" spans="1:14" s="2" customFormat="1">
      <c r="A30837" s="83"/>
      <c r="H30837" s="83"/>
      <c r="K30837" s="82"/>
      <c r="M30837" s="112"/>
      <c r="N30837" s="84"/>
    </row>
    <row r="30838" spans="1:14" s="2" customFormat="1">
      <c r="A30838" s="83"/>
      <c r="H30838" s="83"/>
      <c r="K30838" s="82"/>
      <c r="M30838" s="112"/>
      <c r="N30838" s="84"/>
    </row>
    <row r="30839" spans="1:14" s="2" customFormat="1">
      <c r="A30839" s="83"/>
      <c r="H30839" s="83"/>
      <c r="K30839" s="82"/>
      <c r="M30839" s="112"/>
      <c r="N30839" s="84"/>
    </row>
    <row r="30840" spans="1:14" s="2" customFormat="1">
      <c r="A30840" s="83"/>
      <c r="H30840" s="83"/>
      <c r="K30840" s="82"/>
      <c r="M30840" s="112"/>
      <c r="N30840" s="84"/>
    </row>
    <row r="30841" spans="1:14" s="2" customFormat="1">
      <c r="A30841" s="83"/>
      <c r="H30841" s="83"/>
      <c r="K30841" s="82"/>
      <c r="M30841" s="112"/>
      <c r="N30841" s="84"/>
    </row>
    <row r="30842" spans="1:14" s="2" customFormat="1">
      <c r="A30842" s="83"/>
      <c r="H30842" s="83"/>
      <c r="K30842" s="82"/>
      <c r="M30842" s="112"/>
      <c r="N30842" s="84"/>
    </row>
    <row r="30843" spans="1:14" s="2" customFormat="1">
      <c r="A30843" s="83"/>
      <c r="H30843" s="83"/>
      <c r="K30843" s="82"/>
      <c r="M30843" s="112"/>
      <c r="N30843" s="84"/>
    </row>
    <row r="30844" spans="1:14" s="2" customFormat="1">
      <c r="A30844" s="83"/>
      <c r="H30844" s="83"/>
      <c r="K30844" s="82"/>
      <c r="M30844" s="112"/>
      <c r="N30844" s="84"/>
    </row>
    <row r="30845" spans="1:14" s="2" customFormat="1">
      <c r="A30845" s="83"/>
      <c r="H30845" s="83"/>
      <c r="K30845" s="82"/>
      <c r="M30845" s="112"/>
      <c r="N30845" s="84"/>
    </row>
    <row r="30846" spans="1:14" s="2" customFormat="1">
      <c r="A30846" s="83"/>
      <c r="H30846" s="83"/>
      <c r="K30846" s="82"/>
      <c r="M30846" s="112"/>
      <c r="N30846" s="84"/>
    </row>
    <row r="30847" spans="1:14" s="2" customFormat="1">
      <c r="A30847" s="83"/>
      <c r="H30847" s="83"/>
      <c r="K30847" s="82"/>
      <c r="M30847" s="112"/>
      <c r="N30847" s="84"/>
    </row>
    <row r="30848" spans="1:14" s="2" customFormat="1">
      <c r="A30848" s="83"/>
      <c r="H30848" s="83"/>
      <c r="K30848" s="82"/>
      <c r="M30848" s="112"/>
      <c r="N30848" s="84"/>
    </row>
    <row r="30849" spans="1:14" s="2" customFormat="1">
      <c r="A30849" s="83"/>
      <c r="H30849" s="83"/>
      <c r="K30849" s="82"/>
      <c r="M30849" s="112"/>
      <c r="N30849" s="84"/>
    </row>
    <row r="30850" spans="1:14" s="2" customFormat="1">
      <c r="A30850" s="83"/>
      <c r="H30850" s="83"/>
      <c r="K30850" s="82"/>
      <c r="M30850" s="112"/>
      <c r="N30850" s="84"/>
    </row>
    <row r="30851" spans="1:14" s="2" customFormat="1">
      <c r="A30851" s="83"/>
      <c r="H30851" s="83"/>
      <c r="K30851" s="82"/>
      <c r="M30851" s="112"/>
      <c r="N30851" s="84"/>
    </row>
    <row r="30852" spans="1:14" s="2" customFormat="1">
      <c r="A30852" s="83"/>
      <c r="H30852" s="83"/>
      <c r="K30852" s="82"/>
      <c r="M30852" s="112"/>
      <c r="N30852" s="84"/>
    </row>
    <row r="30853" spans="1:14" s="2" customFormat="1">
      <c r="A30853" s="83"/>
      <c r="H30853" s="83"/>
      <c r="K30853" s="82"/>
      <c r="M30853" s="112"/>
      <c r="N30853" s="84"/>
    </row>
    <row r="30854" spans="1:14" s="2" customFormat="1">
      <c r="A30854" s="83"/>
      <c r="H30854" s="83"/>
      <c r="K30854" s="82"/>
      <c r="M30854" s="112"/>
      <c r="N30854" s="84"/>
    </row>
    <row r="30855" spans="1:14" s="2" customFormat="1">
      <c r="A30855" s="83"/>
      <c r="H30855" s="83"/>
      <c r="K30855" s="82"/>
      <c r="M30855" s="112"/>
      <c r="N30855" s="84"/>
    </row>
    <row r="30856" spans="1:14" s="2" customFormat="1">
      <c r="A30856" s="83"/>
      <c r="H30856" s="83"/>
      <c r="K30856" s="82"/>
      <c r="M30856" s="112"/>
      <c r="N30856" s="84"/>
    </row>
    <row r="30857" spans="1:14" s="2" customFormat="1">
      <c r="A30857" s="83"/>
      <c r="H30857" s="83"/>
      <c r="K30857" s="82"/>
      <c r="M30857" s="112"/>
      <c r="N30857" s="84"/>
    </row>
    <row r="30858" spans="1:14" s="2" customFormat="1">
      <c r="A30858" s="83"/>
      <c r="H30858" s="83"/>
      <c r="K30858" s="82"/>
      <c r="M30858" s="112"/>
      <c r="N30858" s="84"/>
    </row>
    <row r="30859" spans="1:14" s="2" customFormat="1">
      <c r="A30859" s="83"/>
      <c r="H30859" s="83"/>
      <c r="K30859" s="82"/>
      <c r="M30859" s="112"/>
      <c r="N30859" s="84"/>
    </row>
    <row r="30860" spans="1:14" s="2" customFormat="1">
      <c r="A30860" s="83"/>
      <c r="H30860" s="83"/>
      <c r="K30860" s="82"/>
      <c r="M30860" s="112"/>
      <c r="N30860" s="84"/>
    </row>
    <row r="30861" spans="1:14" s="2" customFormat="1">
      <c r="A30861" s="83"/>
      <c r="H30861" s="83"/>
      <c r="K30861" s="82"/>
      <c r="M30861" s="112"/>
      <c r="N30861" s="84"/>
    </row>
    <row r="30862" spans="1:14" s="2" customFormat="1">
      <c r="A30862" s="83"/>
      <c r="H30862" s="83"/>
      <c r="K30862" s="82"/>
      <c r="M30862" s="112"/>
      <c r="N30862" s="84"/>
    </row>
    <row r="30863" spans="1:14" s="2" customFormat="1">
      <c r="A30863" s="83"/>
      <c r="H30863" s="83"/>
      <c r="K30863" s="82"/>
      <c r="M30863" s="112"/>
      <c r="N30863" s="84"/>
    </row>
    <row r="30864" spans="1:14" s="2" customFormat="1">
      <c r="A30864" s="83"/>
      <c r="H30864" s="83"/>
      <c r="K30864" s="82"/>
      <c r="M30864" s="112"/>
      <c r="N30864" s="84"/>
    </row>
    <row r="30865" spans="1:14" s="2" customFormat="1">
      <c r="A30865" s="83"/>
      <c r="H30865" s="83"/>
      <c r="K30865" s="82"/>
      <c r="M30865" s="112"/>
      <c r="N30865" s="84"/>
    </row>
    <row r="30866" spans="1:14" s="2" customFormat="1">
      <c r="A30866" s="83"/>
      <c r="H30866" s="83"/>
      <c r="K30866" s="82"/>
      <c r="M30866" s="112"/>
      <c r="N30866" s="84"/>
    </row>
    <row r="30867" spans="1:14" s="2" customFormat="1">
      <c r="A30867" s="83"/>
      <c r="H30867" s="83"/>
      <c r="K30867" s="82"/>
      <c r="M30867" s="112"/>
      <c r="N30867" s="84"/>
    </row>
    <row r="30868" spans="1:14" s="2" customFormat="1">
      <c r="A30868" s="83"/>
      <c r="H30868" s="83"/>
      <c r="K30868" s="82"/>
      <c r="M30868" s="112"/>
      <c r="N30868" s="84"/>
    </row>
    <row r="30869" spans="1:14" s="2" customFormat="1">
      <c r="A30869" s="83"/>
      <c r="H30869" s="83"/>
      <c r="K30869" s="82"/>
      <c r="M30869" s="112"/>
      <c r="N30869" s="84"/>
    </row>
    <row r="30870" spans="1:14" s="2" customFormat="1">
      <c r="A30870" s="83"/>
      <c r="H30870" s="83"/>
      <c r="K30870" s="82"/>
      <c r="M30870" s="112"/>
      <c r="N30870" s="84"/>
    </row>
    <row r="30871" spans="1:14" s="2" customFormat="1">
      <c r="A30871" s="83"/>
      <c r="H30871" s="83"/>
      <c r="K30871" s="82"/>
      <c r="M30871" s="112"/>
      <c r="N30871" s="84"/>
    </row>
    <row r="30872" spans="1:14" s="2" customFormat="1">
      <c r="A30872" s="83"/>
      <c r="H30872" s="83"/>
      <c r="K30872" s="82"/>
      <c r="M30872" s="112"/>
      <c r="N30872" s="84"/>
    </row>
    <row r="30873" spans="1:14" s="2" customFormat="1">
      <c r="A30873" s="83"/>
      <c r="H30873" s="83"/>
      <c r="K30873" s="82"/>
      <c r="M30873" s="112"/>
      <c r="N30873" s="84"/>
    </row>
    <row r="30874" spans="1:14" s="2" customFormat="1">
      <c r="A30874" s="83"/>
      <c r="H30874" s="83"/>
      <c r="K30874" s="82"/>
      <c r="M30874" s="112"/>
      <c r="N30874" s="84"/>
    </row>
    <row r="30875" spans="1:14" s="2" customFormat="1">
      <c r="A30875" s="83"/>
      <c r="H30875" s="83"/>
      <c r="K30875" s="82"/>
      <c r="M30875" s="112"/>
      <c r="N30875" s="84"/>
    </row>
    <row r="30876" spans="1:14" s="2" customFormat="1">
      <c r="A30876" s="83"/>
      <c r="H30876" s="83"/>
      <c r="K30876" s="82"/>
      <c r="M30876" s="112"/>
      <c r="N30876" s="84"/>
    </row>
    <row r="30877" spans="1:14" s="2" customFormat="1">
      <c r="A30877" s="83"/>
      <c r="H30877" s="83"/>
      <c r="K30877" s="82"/>
      <c r="M30877" s="112"/>
      <c r="N30877" s="84"/>
    </row>
    <row r="30878" spans="1:14" s="2" customFormat="1">
      <c r="A30878" s="83"/>
      <c r="H30878" s="83"/>
      <c r="K30878" s="82"/>
      <c r="M30878" s="112"/>
      <c r="N30878" s="84"/>
    </row>
    <row r="30879" spans="1:14" s="2" customFormat="1">
      <c r="A30879" s="83"/>
      <c r="H30879" s="83"/>
      <c r="K30879" s="82"/>
      <c r="M30879" s="112"/>
      <c r="N30879" s="84"/>
    </row>
    <row r="30880" spans="1:14" s="2" customFormat="1">
      <c r="A30880" s="83"/>
      <c r="H30880" s="83"/>
      <c r="K30880" s="82"/>
      <c r="M30880" s="112"/>
      <c r="N30880" s="84"/>
    </row>
    <row r="30881" spans="1:14" s="2" customFormat="1">
      <c r="A30881" s="83"/>
      <c r="H30881" s="83"/>
      <c r="K30881" s="82"/>
      <c r="M30881" s="112"/>
      <c r="N30881" s="84"/>
    </row>
    <row r="30882" spans="1:14" s="2" customFormat="1">
      <c r="A30882" s="83"/>
      <c r="H30882" s="83"/>
      <c r="K30882" s="82"/>
      <c r="M30882" s="112"/>
      <c r="N30882" s="84"/>
    </row>
    <row r="30883" spans="1:14" s="2" customFormat="1">
      <c r="A30883" s="83"/>
      <c r="H30883" s="83"/>
      <c r="K30883" s="82"/>
      <c r="M30883" s="112"/>
      <c r="N30883" s="84"/>
    </row>
    <row r="30884" spans="1:14" s="2" customFormat="1">
      <c r="A30884" s="83"/>
      <c r="H30884" s="83"/>
      <c r="K30884" s="82"/>
      <c r="M30884" s="112"/>
      <c r="N30884" s="84"/>
    </row>
    <row r="30885" spans="1:14" s="2" customFormat="1">
      <c r="A30885" s="83"/>
      <c r="H30885" s="83"/>
      <c r="K30885" s="82"/>
      <c r="M30885" s="112"/>
      <c r="N30885" s="84"/>
    </row>
    <row r="30886" spans="1:14" s="2" customFormat="1">
      <c r="A30886" s="83"/>
      <c r="H30886" s="83"/>
      <c r="K30886" s="82"/>
      <c r="M30886" s="112"/>
      <c r="N30886" s="84"/>
    </row>
    <row r="30887" spans="1:14" s="2" customFormat="1">
      <c r="A30887" s="83"/>
      <c r="H30887" s="83"/>
      <c r="K30887" s="82"/>
      <c r="M30887" s="112"/>
      <c r="N30887" s="84"/>
    </row>
    <row r="30888" spans="1:14" s="2" customFormat="1">
      <c r="A30888" s="83"/>
      <c r="H30888" s="83"/>
      <c r="K30888" s="82"/>
      <c r="M30888" s="112"/>
      <c r="N30888" s="84"/>
    </row>
    <row r="30889" spans="1:14" s="2" customFormat="1">
      <c r="A30889" s="83"/>
      <c r="H30889" s="83"/>
      <c r="K30889" s="82"/>
      <c r="M30889" s="112"/>
      <c r="N30889" s="84"/>
    </row>
    <row r="30890" spans="1:14" s="2" customFormat="1">
      <c r="A30890" s="83"/>
      <c r="H30890" s="83"/>
      <c r="K30890" s="82"/>
      <c r="M30890" s="112"/>
      <c r="N30890" s="84"/>
    </row>
    <row r="30891" spans="1:14" s="2" customFormat="1">
      <c r="A30891" s="83"/>
      <c r="H30891" s="83"/>
      <c r="K30891" s="82"/>
      <c r="M30891" s="112"/>
      <c r="N30891" s="84"/>
    </row>
    <row r="30892" spans="1:14" s="2" customFormat="1">
      <c r="A30892" s="83"/>
      <c r="H30892" s="83"/>
      <c r="K30892" s="82"/>
      <c r="M30892" s="112"/>
      <c r="N30892" s="84"/>
    </row>
    <row r="30893" spans="1:14" s="2" customFormat="1">
      <c r="A30893" s="83"/>
      <c r="H30893" s="83"/>
      <c r="K30893" s="82"/>
      <c r="M30893" s="112"/>
      <c r="N30893" s="84"/>
    </row>
    <row r="30894" spans="1:14" s="2" customFormat="1">
      <c r="A30894" s="83"/>
      <c r="H30894" s="83"/>
      <c r="K30894" s="82"/>
      <c r="M30894" s="112"/>
      <c r="N30894" s="84"/>
    </row>
    <row r="30895" spans="1:14" s="2" customFormat="1">
      <c r="A30895" s="83"/>
      <c r="H30895" s="83"/>
      <c r="K30895" s="82"/>
      <c r="M30895" s="112"/>
      <c r="N30895" s="84"/>
    </row>
    <row r="30896" spans="1:14" s="2" customFormat="1">
      <c r="A30896" s="83"/>
      <c r="H30896" s="83"/>
      <c r="K30896" s="82"/>
      <c r="M30896" s="112"/>
      <c r="N30896" s="84"/>
    </row>
    <row r="30897" spans="1:14" s="2" customFormat="1">
      <c r="A30897" s="83"/>
      <c r="H30897" s="83"/>
      <c r="K30897" s="82"/>
      <c r="M30897" s="112"/>
      <c r="N30897" s="84"/>
    </row>
    <row r="30898" spans="1:14" s="2" customFormat="1">
      <c r="A30898" s="83"/>
      <c r="H30898" s="83"/>
      <c r="K30898" s="82"/>
      <c r="M30898" s="112"/>
      <c r="N30898" s="84"/>
    </row>
    <row r="30899" spans="1:14" s="2" customFormat="1">
      <c r="A30899" s="83"/>
      <c r="H30899" s="83"/>
      <c r="K30899" s="82"/>
      <c r="M30899" s="112"/>
      <c r="N30899" s="84"/>
    </row>
    <row r="30900" spans="1:14" s="2" customFormat="1">
      <c r="A30900" s="83"/>
      <c r="H30900" s="83"/>
      <c r="K30900" s="82"/>
      <c r="M30900" s="112"/>
      <c r="N30900" s="84"/>
    </row>
    <row r="30901" spans="1:14" s="2" customFormat="1">
      <c r="A30901" s="83"/>
      <c r="H30901" s="83"/>
      <c r="K30901" s="82"/>
      <c r="M30901" s="112"/>
      <c r="N30901" s="84"/>
    </row>
    <row r="30902" spans="1:14" s="2" customFormat="1">
      <c r="A30902" s="83"/>
      <c r="H30902" s="83"/>
      <c r="K30902" s="82"/>
      <c r="M30902" s="112"/>
      <c r="N30902" s="84"/>
    </row>
    <row r="30903" spans="1:14" s="2" customFormat="1">
      <c r="A30903" s="83"/>
      <c r="H30903" s="83"/>
      <c r="K30903" s="82"/>
      <c r="M30903" s="112"/>
      <c r="N30903" s="84"/>
    </row>
    <row r="30904" spans="1:14" s="2" customFormat="1">
      <c r="A30904" s="83"/>
      <c r="H30904" s="83"/>
      <c r="K30904" s="82"/>
      <c r="M30904" s="112"/>
      <c r="N30904" s="84"/>
    </row>
    <row r="30905" spans="1:14" s="2" customFormat="1">
      <c r="A30905" s="83"/>
      <c r="H30905" s="83"/>
      <c r="K30905" s="82"/>
      <c r="M30905" s="112"/>
      <c r="N30905" s="84"/>
    </row>
    <row r="30906" spans="1:14" s="2" customFormat="1">
      <c r="A30906" s="83"/>
      <c r="H30906" s="83"/>
      <c r="K30906" s="82"/>
      <c r="M30906" s="112"/>
      <c r="N30906" s="84"/>
    </row>
    <row r="30907" spans="1:14" s="2" customFormat="1">
      <c r="A30907" s="83"/>
      <c r="H30907" s="83"/>
      <c r="K30907" s="82"/>
      <c r="M30907" s="112"/>
      <c r="N30907" s="84"/>
    </row>
    <row r="30908" spans="1:14" s="2" customFormat="1">
      <c r="A30908" s="83"/>
      <c r="H30908" s="83"/>
      <c r="K30908" s="82"/>
      <c r="M30908" s="112"/>
      <c r="N30908" s="84"/>
    </row>
    <row r="30909" spans="1:14" s="2" customFormat="1">
      <c r="A30909" s="83"/>
      <c r="H30909" s="83"/>
      <c r="K30909" s="82"/>
      <c r="M30909" s="112"/>
      <c r="N30909" s="84"/>
    </row>
    <row r="30910" spans="1:14" s="2" customFormat="1">
      <c r="A30910" s="83"/>
      <c r="H30910" s="83"/>
      <c r="K30910" s="82"/>
      <c r="M30910" s="112"/>
      <c r="N30910" s="84"/>
    </row>
    <row r="30911" spans="1:14" s="2" customFormat="1">
      <c r="A30911" s="83"/>
      <c r="H30911" s="83"/>
      <c r="K30911" s="82"/>
      <c r="M30911" s="112"/>
      <c r="N30911" s="84"/>
    </row>
    <row r="30912" spans="1:14" s="2" customFormat="1">
      <c r="A30912" s="83"/>
      <c r="H30912" s="83"/>
      <c r="K30912" s="82"/>
      <c r="M30912" s="112"/>
      <c r="N30912" s="84"/>
    </row>
    <row r="30913" spans="1:14" s="2" customFormat="1">
      <c r="A30913" s="83"/>
      <c r="H30913" s="83"/>
      <c r="K30913" s="82"/>
      <c r="M30913" s="112"/>
      <c r="N30913" s="84"/>
    </row>
    <row r="30914" spans="1:14" s="2" customFormat="1">
      <c r="A30914" s="83"/>
      <c r="H30914" s="83"/>
      <c r="K30914" s="82"/>
      <c r="M30914" s="112"/>
      <c r="N30914" s="84"/>
    </row>
    <row r="30915" spans="1:14" s="2" customFormat="1">
      <c r="A30915" s="83"/>
      <c r="H30915" s="83"/>
      <c r="K30915" s="82"/>
      <c r="M30915" s="112"/>
      <c r="N30915" s="84"/>
    </row>
    <row r="30916" spans="1:14" s="2" customFormat="1">
      <c r="A30916" s="83"/>
      <c r="H30916" s="83"/>
      <c r="K30916" s="82"/>
      <c r="M30916" s="112"/>
      <c r="N30916" s="84"/>
    </row>
    <row r="30917" spans="1:14" s="2" customFormat="1">
      <c r="A30917" s="83"/>
      <c r="H30917" s="83"/>
      <c r="K30917" s="82"/>
      <c r="M30917" s="112"/>
      <c r="N30917" s="84"/>
    </row>
    <row r="30918" spans="1:14" s="2" customFormat="1">
      <c r="A30918" s="83"/>
      <c r="H30918" s="83"/>
      <c r="K30918" s="82"/>
      <c r="M30918" s="112"/>
      <c r="N30918" s="84"/>
    </row>
    <row r="30919" spans="1:14" s="2" customFormat="1">
      <c r="A30919" s="83"/>
      <c r="H30919" s="83"/>
      <c r="K30919" s="82"/>
      <c r="M30919" s="112"/>
      <c r="N30919" s="84"/>
    </row>
    <row r="30920" spans="1:14" s="2" customFormat="1">
      <c r="A30920" s="83"/>
      <c r="H30920" s="83"/>
      <c r="K30920" s="82"/>
      <c r="M30920" s="112"/>
      <c r="N30920" s="84"/>
    </row>
    <row r="30921" spans="1:14" s="2" customFormat="1">
      <c r="A30921" s="83"/>
      <c r="H30921" s="83"/>
      <c r="K30921" s="82"/>
      <c r="M30921" s="112"/>
      <c r="N30921" s="84"/>
    </row>
    <row r="30922" spans="1:14" s="2" customFormat="1">
      <c r="A30922" s="83"/>
      <c r="H30922" s="83"/>
      <c r="K30922" s="82"/>
      <c r="M30922" s="112"/>
      <c r="N30922" s="84"/>
    </row>
    <row r="30923" spans="1:14" s="2" customFormat="1">
      <c r="A30923" s="83"/>
      <c r="H30923" s="83"/>
      <c r="K30923" s="82"/>
      <c r="M30923" s="112"/>
      <c r="N30923" s="84"/>
    </row>
    <row r="30924" spans="1:14" s="2" customFormat="1">
      <c r="A30924" s="83"/>
      <c r="H30924" s="83"/>
      <c r="K30924" s="82"/>
      <c r="M30924" s="112"/>
      <c r="N30924" s="84"/>
    </row>
    <row r="30925" spans="1:14" s="2" customFormat="1">
      <c r="A30925" s="83"/>
      <c r="H30925" s="83"/>
      <c r="K30925" s="82"/>
      <c r="M30925" s="112"/>
      <c r="N30925" s="84"/>
    </row>
    <row r="30926" spans="1:14" s="2" customFormat="1">
      <c r="A30926" s="83"/>
      <c r="H30926" s="83"/>
      <c r="K30926" s="82"/>
      <c r="M30926" s="112"/>
      <c r="N30926" s="84"/>
    </row>
    <row r="30927" spans="1:14" s="2" customFormat="1">
      <c r="A30927" s="83"/>
      <c r="H30927" s="83"/>
      <c r="K30927" s="82"/>
      <c r="M30927" s="112"/>
      <c r="N30927" s="84"/>
    </row>
    <row r="30928" spans="1:14" s="2" customFormat="1">
      <c r="A30928" s="83"/>
      <c r="H30928" s="83"/>
      <c r="K30928" s="82"/>
      <c r="M30928" s="112"/>
      <c r="N30928" s="84"/>
    </row>
    <row r="30929" spans="1:14" s="2" customFormat="1">
      <c r="A30929" s="83"/>
      <c r="H30929" s="83"/>
      <c r="K30929" s="82"/>
      <c r="M30929" s="112"/>
      <c r="N30929" s="84"/>
    </row>
    <row r="30930" spans="1:14" s="2" customFormat="1">
      <c r="A30930" s="83"/>
      <c r="H30930" s="83"/>
      <c r="K30930" s="82"/>
      <c r="M30930" s="112"/>
      <c r="N30930" s="84"/>
    </row>
    <row r="30931" spans="1:14" s="2" customFormat="1">
      <c r="A30931" s="83"/>
      <c r="H30931" s="83"/>
      <c r="K30931" s="82"/>
      <c r="M30931" s="112"/>
      <c r="N30931" s="84"/>
    </row>
    <row r="30932" spans="1:14" s="2" customFormat="1">
      <c r="A30932" s="83"/>
      <c r="H30932" s="83"/>
      <c r="K30932" s="82"/>
      <c r="M30932" s="112"/>
      <c r="N30932" s="84"/>
    </row>
    <row r="30933" spans="1:14" s="2" customFormat="1">
      <c r="A30933" s="83"/>
      <c r="H30933" s="83"/>
      <c r="K30933" s="82"/>
      <c r="M30933" s="112"/>
      <c r="N30933" s="84"/>
    </row>
    <row r="30934" spans="1:14" s="2" customFormat="1">
      <c r="A30934" s="83"/>
      <c r="H30934" s="83"/>
      <c r="K30934" s="82"/>
      <c r="M30934" s="112"/>
      <c r="N30934" s="84"/>
    </row>
    <row r="30935" spans="1:14" s="2" customFormat="1">
      <c r="A30935" s="83"/>
      <c r="H30935" s="83"/>
      <c r="K30935" s="82"/>
      <c r="M30935" s="112"/>
      <c r="N30935" s="84"/>
    </row>
    <row r="30936" spans="1:14" s="2" customFormat="1">
      <c r="A30936" s="83"/>
      <c r="H30936" s="83"/>
      <c r="K30936" s="82"/>
      <c r="M30936" s="112"/>
      <c r="N30936" s="84"/>
    </row>
    <row r="30937" spans="1:14" s="2" customFormat="1">
      <c r="A30937" s="83"/>
      <c r="H30937" s="83"/>
      <c r="K30937" s="82"/>
      <c r="M30937" s="112"/>
      <c r="N30937" s="84"/>
    </row>
    <row r="30938" spans="1:14" s="2" customFormat="1">
      <c r="A30938" s="83"/>
      <c r="H30938" s="83"/>
      <c r="K30938" s="82"/>
      <c r="M30938" s="112"/>
      <c r="N30938" s="84"/>
    </row>
    <row r="30939" spans="1:14" s="2" customFormat="1">
      <c r="A30939" s="83"/>
      <c r="H30939" s="83"/>
      <c r="K30939" s="82"/>
      <c r="M30939" s="112"/>
      <c r="N30939" s="84"/>
    </row>
    <row r="30940" spans="1:14" s="2" customFormat="1">
      <c r="A30940" s="83"/>
      <c r="H30940" s="83"/>
      <c r="K30940" s="82"/>
      <c r="M30940" s="112"/>
      <c r="N30940" s="84"/>
    </row>
    <row r="30941" spans="1:14" s="2" customFormat="1">
      <c r="A30941" s="83"/>
      <c r="H30941" s="83"/>
      <c r="K30941" s="82"/>
      <c r="M30941" s="112"/>
      <c r="N30941" s="84"/>
    </row>
    <row r="30942" spans="1:14" s="2" customFormat="1">
      <c r="A30942" s="83"/>
      <c r="H30942" s="83"/>
      <c r="K30942" s="82"/>
      <c r="M30942" s="112"/>
      <c r="N30942" s="84"/>
    </row>
    <row r="30943" spans="1:14" s="2" customFormat="1">
      <c r="A30943" s="83"/>
      <c r="H30943" s="83"/>
      <c r="K30943" s="82"/>
      <c r="M30943" s="112"/>
      <c r="N30943" s="84"/>
    </row>
    <row r="30944" spans="1:14" s="2" customFormat="1">
      <c r="A30944" s="83"/>
      <c r="H30944" s="83"/>
      <c r="K30944" s="82"/>
      <c r="M30944" s="112"/>
      <c r="N30944" s="84"/>
    </row>
    <row r="30945" spans="1:14" s="2" customFormat="1">
      <c r="A30945" s="83"/>
      <c r="H30945" s="83"/>
      <c r="K30945" s="82"/>
      <c r="M30945" s="112"/>
      <c r="N30945" s="84"/>
    </row>
    <row r="30946" spans="1:14" s="2" customFormat="1">
      <c r="A30946" s="83"/>
      <c r="H30946" s="83"/>
      <c r="K30946" s="82"/>
      <c r="M30946" s="112"/>
      <c r="N30946" s="84"/>
    </row>
    <row r="30947" spans="1:14" s="2" customFormat="1">
      <c r="A30947" s="83"/>
      <c r="H30947" s="83"/>
      <c r="K30947" s="82"/>
      <c r="M30947" s="112"/>
      <c r="N30947" s="84"/>
    </row>
    <row r="30948" spans="1:14" s="2" customFormat="1">
      <c r="A30948" s="83"/>
      <c r="H30948" s="83"/>
      <c r="K30948" s="82"/>
      <c r="M30948" s="112"/>
      <c r="N30948" s="84"/>
    </row>
    <row r="30949" spans="1:14" s="2" customFormat="1">
      <c r="A30949" s="83"/>
      <c r="H30949" s="83"/>
      <c r="K30949" s="82"/>
      <c r="M30949" s="112"/>
      <c r="N30949" s="84"/>
    </row>
    <row r="30950" spans="1:14" s="2" customFormat="1">
      <c r="A30950" s="83"/>
      <c r="H30950" s="83"/>
      <c r="K30950" s="82"/>
      <c r="M30950" s="112"/>
      <c r="N30950" s="84"/>
    </row>
    <row r="30951" spans="1:14" s="2" customFormat="1">
      <c r="A30951" s="83"/>
      <c r="H30951" s="83"/>
      <c r="K30951" s="82"/>
      <c r="M30951" s="112"/>
      <c r="N30951" s="84"/>
    </row>
    <row r="30952" spans="1:14" s="2" customFormat="1">
      <c r="A30952" s="83"/>
      <c r="H30952" s="83"/>
      <c r="K30952" s="82"/>
      <c r="M30952" s="112"/>
      <c r="N30952" s="84"/>
    </row>
    <row r="30953" spans="1:14" s="2" customFormat="1">
      <c r="A30953" s="83"/>
      <c r="H30953" s="83"/>
      <c r="K30953" s="82"/>
      <c r="M30953" s="112"/>
      <c r="N30953" s="84"/>
    </row>
    <row r="30954" spans="1:14" s="2" customFormat="1">
      <c r="A30954" s="83"/>
      <c r="H30954" s="83"/>
      <c r="K30954" s="82"/>
      <c r="M30954" s="112"/>
      <c r="N30954" s="84"/>
    </row>
    <row r="30955" spans="1:14" s="2" customFormat="1">
      <c r="A30955" s="83"/>
      <c r="H30955" s="83"/>
      <c r="K30955" s="82"/>
      <c r="M30955" s="112"/>
      <c r="N30955" s="84"/>
    </row>
    <row r="30956" spans="1:14" s="2" customFormat="1">
      <c r="A30956" s="83"/>
      <c r="H30956" s="83"/>
      <c r="K30956" s="82"/>
      <c r="M30956" s="112"/>
      <c r="N30956" s="84"/>
    </row>
    <row r="30957" spans="1:14" s="2" customFormat="1">
      <c r="A30957" s="83"/>
      <c r="H30957" s="83"/>
      <c r="K30957" s="82"/>
      <c r="M30957" s="112"/>
      <c r="N30957" s="84"/>
    </row>
    <row r="30958" spans="1:14" s="2" customFormat="1">
      <c r="A30958" s="83"/>
      <c r="H30958" s="83"/>
      <c r="K30958" s="82"/>
      <c r="M30958" s="112"/>
      <c r="N30958" s="84"/>
    </row>
    <row r="30959" spans="1:14" s="2" customFormat="1">
      <c r="A30959" s="83"/>
      <c r="H30959" s="83"/>
      <c r="K30959" s="82"/>
      <c r="M30959" s="112"/>
      <c r="N30959" s="84"/>
    </row>
    <row r="30960" spans="1:14" s="2" customFormat="1">
      <c r="A30960" s="83"/>
      <c r="H30960" s="83"/>
      <c r="K30960" s="82"/>
      <c r="M30960" s="112"/>
      <c r="N30960" s="84"/>
    </row>
    <row r="30961" spans="1:14" s="2" customFormat="1">
      <c r="A30961" s="83"/>
      <c r="H30961" s="83"/>
      <c r="K30961" s="82"/>
      <c r="M30961" s="112"/>
      <c r="N30961" s="84"/>
    </row>
    <row r="30962" spans="1:14" s="2" customFormat="1">
      <c r="A30962" s="83"/>
      <c r="H30962" s="83"/>
      <c r="K30962" s="82"/>
      <c r="M30962" s="112"/>
      <c r="N30962" s="84"/>
    </row>
    <row r="30963" spans="1:14" s="2" customFormat="1">
      <c r="A30963" s="83"/>
      <c r="H30963" s="83"/>
      <c r="K30963" s="82"/>
      <c r="M30963" s="112"/>
      <c r="N30963" s="84"/>
    </row>
    <row r="30964" spans="1:14" s="2" customFormat="1">
      <c r="A30964" s="83"/>
      <c r="H30964" s="83"/>
      <c r="K30964" s="82"/>
      <c r="M30964" s="112"/>
      <c r="N30964" s="84"/>
    </row>
    <row r="30965" spans="1:14" s="2" customFormat="1">
      <c r="A30965" s="83"/>
      <c r="H30965" s="83"/>
      <c r="K30965" s="82"/>
      <c r="M30965" s="112"/>
      <c r="N30965" s="84"/>
    </row>
    <row r="30966" spans="1:14" s="2" customFormat="1">
      <c r="A30966" s="83"/>
      <c r="H30966" s="83"/>
      <c r="K30966" s="82"/>
      <c r="M30966" s="112"/>
      <c r="N30966" s="84"/>
    </row>
    <row r="30967" spans="1:14" s="2" customFormat="1">
      <c r="A30967" s="83"/>
      <c r="H30967" s="83"/>
      <c r="K30967" s="82"/>
      <c r="M30967" s="112"/>
      <c r="N30967" s="84"/>
    </row>
    <row r="30968" spans="1:14" s="2" customFormat="1">
      <c r="A30968" s="83"/>
      <c r="H30968" s="83"/>
      <c r="K30968" s="82"/>
      <c r="M30968" s="112"/>
      <c r="N30968" s="84"/>
    </row>
    <row r="30969" spans="1:14" s="2" customFormat="1">
      <c r="A30969" s="83"/>
      <c r="H30969" s="83"/>
      <c r="K30969" s="82"/>
      <c r="M30969" s="112"/>
      <c r="N30969" s="84"/>
    </row>
    <row r="30970" spans="1:14" s="2" customFormat="1">
      <c r="A30970" s="83"/>
      <c r="H30970" s="83"/>
      <c r="K30970" s="82"/>
      <c r="M30970" s="112"/>
      <c r="N30970" s="84"/>
    </row>
    <row r="30971" spans="1:14" s="2" customFormat="1">
      <c r="A30971" s="83"/>
      <c r="H30971" s="83"/>
      <c r="K30971" s="82"/>
      <c r="M30971" s="112"/>
      <c r="N30971" s="84"/>
    </row>
    <row r="30972" spans="1:14" s="2" customFormat="1">
      <c r="A30972" s="83"/>
      <c r="H30972" s="83"/>
      <c r="K30972" s="82"/>
      <c r="M30972" s="112"/>
      <c r="N30972" s="84"/>
    </row>
    <row r="30973" spans="1:14" s="2" customFormat="1">
      <c r="A30973" s="83"/>
      <c r="H30973" s="83"/>
      <c r="K30973" s="82"/>
      <c r="M30973" s="112"/>
      <c r="N30973" s="84"/>
    </row>
    <row r="30974" spans="1:14" s="2" customFormat="1">
      <c r="A30974" s="83"/>
      <c r="H30974" s="83"/>
      <c r="K30974" s="82"/>
      <c r="M30974" s="112"/>
      <c r="N30974" s="84"/>
    </row>
    <row r="30975" spans="1:14" s="2" customFormat="1">
      <c r="A30975" s="83"/>
      <c r="H30975" s="83"/>
      <c r="K30975" s="82"/>
      <c r="M30975" s="112"/>
      <c r="N30975" s="84"/>
    </row>
    <row r="30976" spans="1:14" s="2" customFormat="1">
      <c r="A30976" s="83"/>
      <c r="H30976" s="83"/>
      <c r="K30976" s="82"/>
      <c r="M30976" s="112"/>
      <c r="N30976" s="84"/>
    </row>
    <row r="30977" spans="1:14" s="2" customFormat="1">
      <c r="A30977" s="83"/>
      <c r="H30977" s="83"/>
      <c r="K30977" s="82"/>
      <c r="M30977" s="112"/>
      <c r="N30977" s="84"/>
    </row>
    <row r="30978" spans="1:14" s="2" customFormat="1">
      <c r="A30978" s="83"/>
      <c r="H30978" s="83"/>
      <c r="K30978" s="82"/>
      <c r="M30978" s="112"/>
      <c r="N30978" s="84"/>
    </row>
    <row r="30979" spans="1:14" s="2" customFormat="1">
      <c r="A30979" s="83"/>
      <c r="H30979" s="83"/>
      <c r="K30979" s="82"/>
      <c r="M30979" s="112"/>
      <c r="N30979" s="84"/>
    </row>
    <row r="30980" spans="1:14" s="2" customFormat="1">
      <c r="A30980" s="83"/>
      <c r="H30980" s="83"/>
      <c r="K30980" s="82"/>
      <c r="M30980" s="112"/>
      <c r="N30980" s="84"/>
    </row>
    <row r="30981" spans="1:14" s="2" customFormat="1">
      <c r="A30981" s="83"/>
      <c r="H30981" s="83"/>
      <c r="K30981" s="82"/>
      <c r="M30981" s="112"/>
      <c r="N30981" s="84"/>
    </row>
    <row r="30982" spans="1:14" s="2" customFormat="1">
      <c r="A30982" s="83"/>
      <c r="H30982" s="83"/>
      <c r="K30982" s="82"/>
      <c r="M30982" s="112"/>
      <c r="N30982" s="84"/>
    </row>
    <row r="30983" spans="1:14" s="2" customFormat="1">
      <c r="A30983" s="83"/>
      <c r="H30983" s="83"/>
      <c r="K30983" s="82"/>
      <c r="M30983" s="112"/>
      <c r="N30983" s="84"/>
    </row>
    <row r="30984" spans="1:14" s="2" customFormat="1">
      <c r="A30984" s="83"/>
      <c r="H30984" s="83"/>
      <c r="K30984" s="82"/>
      <c r="M30984" s="112"/>
      <c r="N30984" s="84"/>
    </row>
    <row r="30985" spans="1:14" s="2" customFormat="1">
      <c r="A30985" s="83"/>
      <c r="H30985" s="83"/>
      <c r="K30985" s="82"/>
      <c r="M30985" s="112"/>
      <c r="N30985" s="84"/>
    </row>
    <row r="30986" spans="1:14" s="2" customFormat="1">
      <c r="A30986" s="83"/>
      <c r="H30986" s="83"/>
      <c r="K30986" s="82"/>
      <c r="M30986" s="112"/>
      <c r="N30986" s="84"/>
    </row>
    <row r="30987" spans="1:14" s="2" customFormat="1">
      <c r="A30987" s="83"/>
      <c r="H30987" s="83"/>
      <c r="K30987" s="82"/>
      <c r="M30987" s="112"/>
      <c r="N30987" s="84"/>
    </row>
    <row r="30988" spans="1:14" s="2" customFormat="1">
      <c r="A30988" s="83"/>
      <c r="H30988" s="83"/>
      <c r="K30988" s="82"/>
      <c r="M30988" s="112"/>
      <c r="N30988" s="84"/>
    </row>
    <row r="30989" spans="1:14" s="2" customFormat="1">
      <c r="A30989" s="83"/>
      <c r="H30989" s="83"/>
      <c r="K30989" s="82"/>
      <c r="M30989" s="112"/>
      <c r="N30989" s="84"/>
    </row>
    <row r="30990" spans="1:14" s="2" customFormat="1">
      <c r="A30990" s="83"/>
      <c r="H30990" s="83"/>
      <c r="K30990" s="82"/>
      <c r="M30990" s="112"/>
      <c r="N30990" s="84"/>
    </row>
    <row r="30991" spans="1:14" s="2" customFormat="1">
      <c r="A30991" s="83"/>
      <c r="H30991" s="83"/>
      <c r="K30991" s="82"/>
      <c r="M30991" s="112"/>
      <c r="N30991" s="84"/>
    </row>
    <row r="30992" spans="1:14" s="2" customFormat="1">
      <c r="A30992" s="83"/>
      <c r="H30992" s="83"/>
      <c r="K30992" s="82"/>
      <c r="M30992" s="112"/>
      <c r="N30992" s="84"/>
    </row>
    <row r="30993" spans="1:14" s="2" customFormat="1">
      <c r="A30993" s="83"/>
      <c r="H30993" s="83"/>
      <c r="K30993" s="82"/>
      <c r="M30993" s="112"/>
      <c r="N30993" s="84"/>
    </row>
    <row r="30994" spans="1:14" s="2" customFormat="1">
      <c r="A30994" s="83"/>
      <c r="H30994" s="83"/>
      <c r="K30994" s="82"/>
      <c r="M30994" s="112"/>
      <c r="N30994" s="84"/>
    </row>
    <row r="30995" spans="1:14" s="2" customFormat="1">
      <c r="A30995" s="83"/>
      <c r="H30995" s="83"/>
      <c r="K30995" s="82"/>
      <c r="M30995" s="112"/>
      <c r="N30995" s="84"/>
    </row>
    <row r="30996" spans="1:14" s="2" customFormat="1">
      <c r="A30996" s="83"/>
      <c r="H30996" s="83"/>
      <c r="K30996" s="82"/>
      <c r="M30996" s="112"/>
      <c r="N30996" s="84"/>
    </row>
    <row r="30997" spans="1:14" s="2" customFormat="1">
      <c r="A30997" s="83"/>
      <c r="H30997" s="83"/>
      <c r="K30997" s="82"/>
      <c r="M30997" s="112"/>
      <c r="N30997" s="84"/>
    </row>
    <row r="30998" spans="1:14" s="2" customFormat="1">
      <c r="A30998" s="83"/>
      <c r="H30998" s="83"/>
      <c r="K30998" s="82"/>
      <c r="M30998" s="112"/>
      <c r="N30998" s="84"/>
    </row>
    <row r="30999" spans="1:14" s="2" customFormat="1">
      <c r="A30999" s="83"/>
      <c r="H30999" s="83"/>
      <c r="K30999" s="82"/>
      <c r="M30999" s="112"/>
      <c r="N30999" s="84"/>
    </row>
    <row r="31000" spans="1:14" s="2" customFormat="1">
      <c r="A31000" s="83"/>
      <c r="H31000" s="83"/>
      <c r="K31000" s="82"/>
      <c r="M31000" s="112"/>
      <c r="N31000" s="84"/>
    </row>
    <row r="31001" spans="1:14" s="2" customFormat="1">
      <c r="A31001" s="83"/>
      <c r="H31001" s="83"/>
      <c r="K31001" s="82"/>
      <c r="M31001" s="112"/>
      <c r="N31001" s="84"/>
    </row>
    <row r="31002" spans="1:14" s="2" customFormat="1">
      <c r="A31002" s="83"/>
      <c r="H31002" s="83"/>
      <c r="K31002" s="82"/>
      <c r="M31002" s="112"/>
      <c r="N31002" s="84"/>
    </row>
    <row r="31003" spans="1:14" s="2" customFormat="1">
      <c r="A31003" s="83"/>
      <c r="H31003" s="83"/>
      <c r="K31003" s="82"/>
      <c r="M31003" s="112"/>
      <c r="N31003" s="84"/>
    </row>
    <row r="31004" spans="1:14" s="2" customFormat="1">
      <c r="A31004" s="83"/>
      <c r="H31004" s="83"/>
      <c r="K31004" s="82"/>
      <c r="M31004" s="112"/>
      <c r="N31004" s="84"/>
    </row>
    <row r="31005" spans="1:14" s="2" customFormat="1">
      <c r="A31005" s="83"/>
      <c r="H31005" s="83"/>
      <c r="K31005" s="82"/>
      <c r="M31005" s="112"/>
      <c r="N31005" s="84"/>
    </row>
    <row r="31006" spans="1:14" s="2" customFormat="1">
      <c r="A31006" s="83"/>
      <c r="H31006" s="83"/>
      <c r="K31006" s="82"/>
      <c r="M31006" s="112"/>
      <c r="N31006" s="84"/>
    </row>
    <row r="31007" spans="1:14" s="2" customFormat="1">
      <c r="A31007" s="83"/>
      <c r="H31007" s="83"/>
      <c r="K31007" s="82"/>
      <c r="M31007" s="112"/>
      <c r="N31007" s="84"/>
    </row>
    <row r="31008" spans="1:14" s="2" customFormat="1">
      <c r="A31008" s="83"/>
      <c r="H31008" s="83"/>
      <c r="K31008" s="82"/>
      <c r="M31008" s="112"/>
      <c r="N31008" s="84"/>
    </row>
    <row r="31009" spans="1:14" s="2" customFormat="1">
      <c r="A31009" s="83"/>
      <c r="H31009" s="83"/>
      <c r="K31009" s="82"/>
      <c r="M31009" s="112"/>
      <c r="N31009" s="84"/>
    </row>
    <row r="31010" spans="1:14" s="2" customFormat="1">
      <c r="A31010" s="83"/>
      <c r="H31010" s="83"/>
      <c r="K31010" s="82"/>
      <c r="M31010" s="112"/>
      <c r="N31010" s="84"/>
    </row>
    <row r="31011" spans="1:14" s="2" customFormat="1">
      <c r="A31011" s="83"/>
      <c r="H31011" s="83"/>
      <c r="K31011" s="82"/>
      <c r="M31011" s="112"/>
      <c r="N31011" s="84"/>
    </row>
    <row r="31012" spans="1:14" s="2" customFormat="1">
      <c r="A31012" s="83"/>
      <c r="H31012" s="83"/>
      <c r="K31012" s="82"/>
      <c r="M31012" s="112"/>
      <c r="N31012" s="84"/>
    </row>
    <row r="31013" spans="1:14" s="2" customFormat="1">
      <c r="A31013" s="83"/>
      <c r="H31013" s="83"/>
      <c r="K31013" s="82"/>
      <c r="M31013" s="112"/>
      <c r="N31013" s="84"/>
    </row>
    <row r="31014" spans="1:14" s="2" customFormat="1">
      <c r="A31014" s="83"/>
      <c r="H31014" s="83"/>
      <c r="K31014" s="82"/>
      <c r="M31014" s="112"/>
      <c r="N31014" s="84"/>
    </row>
    <row r="31015" spans="1:14" s="2" customFormat="1">
      <c r="A31015" s="83"/>
      <c r="H31015" s="83"/>
      <c r="K31015" s="82"/>
      <c r="M31015" s="112"/>
      <c r="N31015" s="84"/>
    </row>
    <row r="31016" spans="1:14" s="2" customFormat="1">
      <c r="A31016" s="83"/>
      <c r="H31016" s="83"/>
      <c r="K31016" s="82"/>
      <c r="M31016" s="112"/>
      <c r="N31016" s="84"/>
    </row>
    <row r="31017" spans="1:14" s="2" customFormat="1">
      <c r="A31017" s="83"/>
      <c r="H31017" s="83"/>
      <c r="K31017" s="82"/>
      <c r="M31017" s="112"/>
      <c r="N31017" s="84"/>
    </row>
    <row r="31018" spans="1:14" s="2" customFormat="1">
      <c r="A31018" s="83"/>
      <c r="H31018" s="83"/>
      <c r="K31018" s="82"/>
      <c r="M31018" s="112"/>
      <c r="N31018" s="84"/>
    </row>
    <row r="31019" spans="1:14" s="2" customFormat="1">
      <c r="A31019" s="83"/>
      <c r="H31019" s="83"/>
      <c r="K31019" s="82"/>
      <c r="M31019" s="112"/>
      <c r="N31019" s="84"/>
    </row>
    <row r="31020" spans="1:14" s="2" customFormat="1">
      <c r="A31020" s="83"/>
      <c r="H31020" s="83"/>
      <c r="K31020" s="82"/>
      <c r="M31020" s="112"/>
      <c r="N31020" s="84"/>
    </row>
    <row r="31021" spans="1:14" s="2" customFormat="1">
      <c r="A31021" s="83"/>
      <c r="H31021" s="83"/>
      <c r="K31021" s="82"/>
      <c r="M31021" s="112"/>
      <c r="N31021" s="84"/>
    </row>
    <row r="31022" spans="1:14" s="2" customFormat="1">
      <c r="A31022" s="83"/>
      <c r="H31022" s="83"/>
      <c r="K31022" s="82"/>
      <c r="M31022" s="112"/>
      <c r="N31022" s="84"/>
    </row>
    <row r="31023" spans="1:14" s="2" customFormat="1">
      <c r="A31023" s="83"/>
      <c r="H31023" s="83"/>
      <c r="K31023" s="82"/>
      <c r="M31023" s="112"/>
      <c r="N31023" s="84"/>
    </row>
    <row r="31024" spans="1:14" s="2" customFormat="1">
      <c r="A31024" s="83"/>
      <c r="H31024" s="83"/>
      <c r="K31024" s="82"/>
      <c r="M31024" s="112"/>
      <c r="N31024" s="84"/>
    </row>
    <row r="31025" spans="1:14" s="2" customFormat="1">
      <c r="A31025" s="83"/>
      <c r="H31025" s="83"/>
      <c r="K31025" s="82"/>
      <c r="M31025" s="112"/>
      <c r="N31025" s="84"/>
    </row>
    <row r="31026" spans="1:14" s="2" customFormat="1">
      <c r="A31026" s="83"/>
      <c r="H31026" s="83"/>
      <c r="K31026" s="82"/>
      <c r="M31026" s="112"/>
      <c r="N31026" s="84"/>
    </row>
    <row r="31027" spans="1:14" s="2" customFormat="1">
      <c r="A31027" s="83"/>
      <c r="H31027" s="83"/>
      <c r="K31027" s="82"/>
      <c r="M31027" s="112"/>
      <c r="N31027" s="84"/>
    </row>
    <row r="31028" spans="1:14" s="2" customFormat="1">
      <c r="A31028" s="83"/>
      <c r="H31028" s="83"/>
      <c r="K31028" s="82"/>
      <c r="M31028" s="112"/>
      <c r="N31028" s="84"/>
    </row>
    <row r="31029" spans="1:14" s="2" customFormat="1">
      <c r="A31029" s="83"/>
      <c r="H31029" s="83"/>
      <c r="K31029" s="82"/>
      <c r="M31029" s="112"/>
      <c r="N31029" s="84"/>
    </row>
    <row r="31030" spans="1:14" s="2" customFormat="1">
      <c r="A31030" s="83"/>
      <c r="H31030" s="83"/>
      <c r="K31030" s="82"/>
      <c r="M31030" s="112"/>
      <c r="N31030" s="84"/>
    </row>
    <row r="31031" spans="1:14" s="2" customFormat="1">
      <c r="A31031" s="83"/>
      <c r="H31031" s="83"/>
      <c r="K31031" s="82"/>
      <c r="M31031" s="112"/>
      <c r="N31031" s="84"/>
    </row>
    <row r="31032" spans="1:14" s="2" customFormat="1">
      <c r="A31032" s="83"/>
      <c r="H31032" s="83"/>
      <c r="K31032" s="82"/>
      <c r="M31032" s="112"/>
      <c r="N31032" s="84"/>
    </row>
    <row r="31033" spans="1:14" s="2" customFormat="1">
      <c r="A31033" s="83"/>
      <c r="H31033" s="83"/>
      <c r="K31033" s="82"/>
      <c r="M31033" s="112"/>
      <c r="N31033" s="84"/>
    </row>
    <row r="31034" spans="1:14" s="2" customFormat="1">
      <c r="A31034" s="83"/>
      <c r="H31034" s="83"/>
      <c r="K31034" s="82"/>
      <c r="M31034" s="112"/>
      <c r="N31034" s="84"/>
    </row>
    <row r="31035" spans="1:14" s="2" customFormat="1">
      <c r="A31035" s="83"/>
      <c r="H31035" s="83"/>
      <c r="K31035" s="82"/>
      <c r="M31035" s="112"/>
      <c r="N31035" s="84"/>
    </row>
    <row r="31036" spans="1:14" s="2" customFormat="1">
      <c r="A31036" s="83"/>
      <c r="H31036" s="83"/>
      <c r="K31036" s="82"/>
      <c r="M31036" s="112"/>
      <c r="N31036" s="84"/>
    </row>
    <row r="31037" spans="1:14" s="2" customFormat="1">
      <c r="A31037" s="83"/>
      <c r="H31037" s="83"/>
      <c r="K31037" s="82"/>
      <c r="M31037" s="112"/>
      <c r="N31037" s="84"/>
    </row>
    <row r="31038" spans="1:14" s="2" customFormat="1">
      <c r="A31038" s="83"/>
      <c r="H31038" s="83"/>
      <c r="K31038" s="82"/>
      <c r="M31038" s="112"/>
      <c r="N31038" s="84"/>
    </row>
    <row r="31039" spans="1:14" s="2" customFormat="1">
      <c r="A31039" s="83"/>
      <c r="H31039" s="83"/>
      <c r="K31039" s="82"/>
      <c r="M31039" s="112"/>
      <c r="N31039" s="84"/>
    </row>
    <row r="31040" spans="1:14" s="2" customFormat="1">
      <c r="A31040" s="83"/>
      <c r="H31040" s="83"/>
      <c r="K31040" s="82"/>
      <c r="M31040" s="112"/>
      <c r="N31040" s="84"/>
    </row>
    <row r="31041" spans="1:14" s="2" customFormat="1">
      <c r="A31041" s="83"/>
      <c r="H31041" s="83"/>
      <c r="K31041" s="82"/>
      <c r="M31041" s="112"/>
      <c r="N31041" s="84"/>
    </row>
    <row r="31042" spans="1:14" s="2" customFormat="1">
      <c r="A31042" s="83"/>
      <c r="H31042" s="83"/>
      <c r="K31042" s="82"/>
      <c r="M31042" s="112"/>
      <c r="N31042" s="84"/>
    </row>
    <row r="31043" spans="1:14" s="2" customFormat="1">
      <c r="A31043" s="83"/>
      <c r="H31043" s="83"/>
      <c r="K31043" s="82"/>
      <c r="M31043" s="112"/>
      <c r="N31043" s="84"/>
    </row>
    <row r="31044" spans="1:14" s="2" customFormat="1">
      <c r="A31044" s="83"/>
      <c r="H31044" s="83"/>
      <c r="K31044" s="82"/>
      <c r="M31044" s="112"/>
      <c r="N31044" s="84"/>
    </row>
    <row r="31045" spans="1:14" s="2" customFormat="1">
      <c r="A31045" s="83"/>
      <c r="H31045" s="83"/>
      <c r="K31045" s="82"/>
      <c r="M31045" s="112"/>
      <c r="N31045" s="84"/>
    </row>
    <row r="31046" spans="1:14" s="2" customFormat="1">
      <c r="A31046" s="83"/>
      <c r="H31046" s="83"/>
      <c r="K31046" s="82"/>
      <c r="M31046" s="112"/>
      <c r="N31046" s="84"/>
    </row>
    <row r="31047" spans="1:14" s="2" customFormat="1">
      <c r="A31047" s="83"/>
      <c r="H31047" s="83"/>
      <c r="K31047" s="82"/>
      <c r="M31047" s="112"/>
      <c r="N31047" s="84"/>
    </row>
    <row r="31048" spans="1:14" s="2" customFormat="1">
      <c r="A31048" s="83"/>
      <c r="H31048" s="83"/>
      <c r="K31048" s="82"/>
      <c r="M31048" s="112"/>
      <c r="N31048" s="84"/>
    </row>
    <row r="31049" spans="1:14" s="2" customFormat="1">
      <c r="A31049" s="83"/>
      <c r="H31049" s="83"/>
      <c r="K31049" s="82"/>
      <c r="M31049" s="112"/>
      <c r="N31049" s="84"/>
    </row>
    <row r="31050" spans="1:14" s="2" customFormat="1">
      <c r="A31050" s="83"/>
      <c r="H31050" s="83"/>
      <c r="K31050" s="82"/>
      <c r="M31050" s="112"/>
      <c r="N31050" s="84"/>
    </row>
    <row r="31051" spans="1:14" s="2" customFormat="1">
      <c r="A31051" s="83"/>
      <c r="H31051" s="83"/>
      <c r="K31051" s="82"/>
      <c r="M31051" s="112"/>
      <c r="N31051" s="84"/>
    </row>
    <row r="31052" spans="1:14" s="2" customFormat="1">
      <c r="A31052" s="83"/>
      <c r="H31052" s="83"/>
      <c r="K31052" s="82"/>
      <c r="M31052" s="112"/>
      <c r="N31052" s="84"/>
    </row>
    <row r="31053" spans="1:14" s="2" customFormat="1">
      <c r="A31053" s="83"/>
      <c r="H31053" s="83"/>
      <c r="K31053" s="82"/>
      <c r="M31053" s="112"/>
      <c r="N31053" s="84"/>
    </row>
    <row r="31054" spans="1:14" s="2" customFormat="1">
      <c r="A31054" s="83"/>
      <c r="H31054" s="83"/>
      <c r="K31054" s="82"/>
      <c r="M31054" s="112"/>
      <c r="N31054" s="84"/>
    </row>
    <row r="31055" spans="1:14" s="2" customFormat="1">
      <c r="A31055" s="83"/>
      <c r="H31055" s="83"/>
      <c r="K31055" s="82"/>
      <c r="M31055" s="112"/>
      <c r="N31055" s="84"/>
    </row>
    <row r="31056" spans="1:14" s="2" customFormat="1">
      <c r="A31056" s="83"/>
      <c r="H31056" s="83"/>
      <c r="K31056" s="82"/>
      <c r="M31056" s="112"/>
      <c r="N31056" s="84"/>
    </row>
    <row r="31057" spans="1:14" s="2" customFormat="1">
      <c r="A31057" s="83"/>
      <c r="H31057" s="83"/>
      <c r="K31057" s="82"/>
      <c r="M31057" s="112"/>
      <c r="N31057" s="84"/>
    </row>
    <row r="31058" spans="1:14" s="2" customFormat="1">
      <c r="A31058" s="83"/>
      <c r="H31058" s="83"/>
      <c r="K31058" s="82"/>
      <c r="M31058" s="112"/>
      <c r="N31058" s="84"/>
    </row>
    <row r="31059" spans="1:14" s="2" customFormat="1">
      <c r="A31059" s="83"/>
      <c r="H31059" s="83"/>
      <c r="K31059" s="82"/>
      <c r="M31059" s="112"/>
      <c r="N31059" s="84"/>
    </row>
    <row r="31060" spans="1:14" s="2" customFormat="1">
      <c r="A31060" s="83"/>
      <c r="H31060" s="83"/>
      <c r="K31060" s="82"/>
      <c r="M31060" s="112"/>
      <c r="N31060" s="84"/>
    </row>
    <row r="31061" spans="1:14" s="2" customFormat="1">
      <c r="A31061" s="83"/>
      <c r="H31061" s="83"/>
      <c r="K31061" s="82"/>
      <c r="M31061" s="112"/>
      <c r="N31061" s="84"/>
    </row>
    <row r="31062" spans="1:14" s="2" customFormat="1">
      <c r="A31062" s="83"/>
      <c r="H31062" s="83"/>
      <c r="K31062" s="82"/>
      <c r="M31062" s="112"/>
      <c r="N31062" s="84"/>
    </row>
    <row r="31063" spans="1:14" s="2" customFormat="1">
      <c r="A31063" s="83"/>
      <c r="H31063" s="83"/>
      <c r="K31063" s="82"/>
      <c r="M31063" s="112"/>
      <c r="N31063" s="84"/>
    </row>
    <row r="31064" spans="1:14" s="2" customFormat="1">
      <c r="A31064" s="83"/>
      <c r="H31064" s="83"/>
      <c r="K31064" s="82"/>
      <c r="M31064" s="112"/>
      <c r="N31064" s="84"/>
    </row>
    <row r="31065" spans="1:14" s="2" customFormat="1">
      <c r="A31065" s="83"/>
      <c r="H31065" s="83"/>
      <c r="K31065" s="82"/>
      <c r="M31065" s="112"/>
      <c r="N31065" s="84"/>
    </row>
    <row r="31066" spans="1:14" s="2" customFormat="1">
      <c r="A31066" s="83"/>
      <c r="H31066" s="83"/>
      <c r="K31066" s="82"/>
      <c r="M31066" s="112"/>
      <c r="N31066" s="84"/>
    </row>
    <row r="31067" spans="1:14" s="2" customFormat="1">
      <c r="A31067" s="83"/>
      <c r="H31067" s="83"/>
      <c r="K31067" s="82"/>
      <c r="M31067" s="112"/>
      <c r="N31067" s="84"/>
    </row>
    <row r="31068" spans="1:14" s="2" customFormat="1">
      <c r="A31068" s="83"/>
      <c r="H31068" s="83"/>
      <c r="K31068" s="82"/>
      <c r="M31068" s="112"/>
      <c r="N31068" s="84"/>
    </row>
    <row r="31069" spans="1:14" s="2" customFormat="1">
      <c r="A31069" s="83"/>
      <c r="H31069" s="83"/>
      <c r="K31069" s="82"/>
      <c r="M31069" s="112"/>
      <c r="N31069" s="84"/>
    </row>
    <row r="31070" spans="1:14" s="2" customFormat="1">
      <c r="A31070" s="83"/>
      <c r="H31070" s="83"/>
      <c r="K31070" s="82"/>
      <c r="M31070" s="112"/>
      <c r="N31070" s="84"/>
    </row>
    <row r="31071" spans="1:14" s="2" customFormat="1">
      <c r="A31071" s="83"/>
      <c r="H31071" s="83"/>
      <c r="K31071" s="82"/>
      <c r="M31071" s="112"/>
      <c r="N31071" s="84"/>
    </row>
    <row r="31072" spans="1:14" s="2" customFormat="1">
      <c r="A31072" s="83"/>
      <c r="H31072" s="83"/>
      <c r="K31072" s="82"/>
      <c r="M31072" s="112"/>
      <c r="N31072" s="84"/>
    </row>
    <row r="31073" spans="1:14" s="2" customFormat="1">
      <c r="A31073" s="83"/>
      <c r="H31073" s="83"/>
      <c r="K31073" s="82"/>
      <c r="M31073" s="112"/>
      <c r="N31073" s="84"/>
    </row>
    <row r="31074" spans="1:14" s="2" customFormat="1">
      <c r="A31074" s="83"/>
      <c r="H31074" s="83"/>
      <c r="K31074" s="82"/>
      <c r="M31074" s="112"/>
      <c r="N31074" s="84"/>
    </row>
    <row r="31075" spans="1:14" s="2" customFormat="1">
      <c r="A31075" s="83"/>
      <c r="H31075" s="83"/>
      <c r="K31075" s="82"/>
      <c r="M31075" s="112"/>
      <c r="N31075" s="84"/>
    </row>
    <row r="31076" spans="1:14" s="2" customFormat="1">
      <c r="A31076" s="83"/>
      <c r="H31076" s="83"/>
      <c r="K31076" s="82"/>
      <c r="M31076" s="112"/>
      <c r="N31076" s="84"/>
    </row>
    <row r="31077" spans="1:14" s="2" customFormat="1">
      <c r="A31077" s="83"/>
      <c r="H31077" s="83"/>
      <c r="K31077" s="82"/>
      <c r="M31077" s="112"/>
      <c r="N31077" s="84"/>
    </row>
    <row r="31078" spans="1:14" s="2" customFormat="1">
      <c r="A31078" s="83"/>
      <c r="H31078" s="83"/>
      <c r="K31078" s="82"/>
      <c r="M31078" s="112"/>
      <c r="N31078" s="84"/>
    </row>
    <row r="31079" spans="1:14" s="2" customFormat="1">
      <c r="A31079" s="83"/>
      <c r="H31079" s="83"/>
      <c r="K31079" s="82"/>
      <c r="M31079" s="112"/>
      <c r="N31079" s="84"/>
    </row>
    <row r="31080" spans="1:14" s="2" customFormat="1">
      <c r="A31080" s="83"/>
      <c r="H31080" s="83"/>
      <c r="K31080" s="82"/>
      <c r="M31080" s="112"/>
      <c r="N31080" s="84"/>
    </row>
    <row r="31081" spans="1:14" s="2" customFormat="1">
      <c r="A31081" s="83"/>
      <c r="H31081" s="83"/>
      <c r="K31081" s="82"/>
      <c r="M31081" s="112"/>
      <c r="N31081" s="84"/>
    </row>
    <row r="31082" spans="1:14" s="2" customFormat="1">
      <c r="A31082" s="83"/>
      <c r="H31082" s="83"/>
      <c r="K31082" s="82"/>
      <c r="M31082" s="112"/>
      <c r="N31082" s="84"/>
    </row>
    <row r="31083" spans="1:14" s="2" customFormat="1">
      <c r="A31083" s="83"/>
      <c r="H31083" s="83"/>
      <c r="K31083" s="82"/>
      <c r="M31083" s="112"/>
      <c r="N31083" s="84"/>
    </row>
    <row r="31084" spans="1:14" s="2" customFormat="1">
      <c r="A31084" s="83"/>
      <c r="H31084" s="83"/>
      <c r="K31084" s="82"/>
      <c r="M31084" s="112"/>
      <c r="N31084" s="84"/>
    </row>
    <row r="31085" spans="1:14" s="2" customFormat="1">
      <c r="A31085" s="83"/>
      <c r="H31085" s="83"/>
      <c r="K31085" s="82"/>
      <c r="M31085" s="112"/>
      <c r="N31085" s="84"/>
    </row>
    <row r="31086" spans="1:14" s="2" customFormat="1">
      <c r="A31086" s="83"/>
      <c r="H31086" s="83"/>
      <c r="K31086" s="82"/>
      <c r="M31086" s="112"/>
      <c r="N31086" s="84"/>
    </row>
    <row r="31087" spans="1:14" s="2" customFormat="1">
      <c r="A31087" s="83"/>
      <c r="H31087" s="83"/>
      <c r="K31087" s="82"/>
      <c r="M31087" s="112"/>
      <c r="N31087" s="84"/>
    </row>
    <row r="31088" spans="1:14" s="2" customFormat="1">
      <c r="A31088" s="83"/>
      <c r="H31088" s="83"/>
      <c r="K31088" s="82"/>
      <c r="M31088" s="112"/>
      <c r="N31088" s="84"/>
    </row>
    <row r="31089" spans="1:14" s="2" customFormat="1">
      <c r="A31089" s="83"/>
      <c r="H31089" s="83"/>
      <c r="K31089" s="82"/>
      <c r="M31089" s="112"/>
      <c r="N31089" s="84"/>
    </row>
    <row r="31090" spans="1:14" s="2" customFormat="1">
      <c r="A31090" s="83"/>
      <c r="H31090" s="83"/>
      <c r="K31090" s="82"/>
      <c r="M31090" s="112"/>
      <c r="N31090" s="84"/>
    </row>
    <row r="31091" spans="1:14" s="2" customFormat="1">
      <c r="A31091" s="83"/>
      <c r="H31091" s="83"/>
      <c r="K31091" s="82"/>
      <c r="M31091" s="112"/>
      <c r="N31091" s="84"/>
    </row>
    <row r="31092" spans="1:14" s="2" customFormat="1">
      <c r="A31092" s="83"/>
      <c r="H31092" s="83"/>
      <c r="K31092" s="82"/>
      <c r="M31092" s="112"/>
      <c r="N31092" s="84"/>
    </row>
    <row r="31093" spans="1:14" s="2" customFormat="1">
      <c r="A31093" s="83"/>
      <c r="H31093" s="83"/>
      <c r="K31093" s="82"/>
      <c r="M31093" s="112"/>
      <c r="N31093" s="84"/>
    </row>
    <row r="31094" spans="1:14" s="2" customFormat="1">
      <c r="A31094" s="83"/>
      <c r="H31094" s="83"/>
      <c r="K31094" s="82"/>
      <c r="M31094" s="112"/>
      <c r="N31094" s="84"/>
    </row>
    <row r="31095" spans="1:14" s="2" customFormat="1">
      <c r="A31095" s="83"/>
      <c r="H31095" s="83"/>
      <c r="K31095" s="82"/>
      <c r="M31095" s="112"/>
      <c r="N31095" s="84"/>
    </row>
    <row r="31096" spans="1:14" s="2" customFormat="1">
      <c r="A31096" s="83"/>
      <c r="H31096" s="83"/>
      <c r="K31096" s="82"/>
      <c r="M31096" s="112"/>
      <c r="N31096" s="84"/>
    </row>
    <row r="31097" spans="1:14" s="2" customFormat="1">
      <c r="A31097" s="83"/>
      <c r="H31097" s="83"/>
      <c r="K31097" s="82"/>
      <c r="M31097" s="112"/>
      <c r="N31097" s="84"/>
    </row>
    <row r="31098" spans="1:14" s="2" customFormat="1">
      <c r="A31098" s="83"/>
      <c r="H31098" s="83"/>
      <c r="K31098" s="82"/>
      <c r="M31098" s="112"/>
      <c r="N31098" s="84"/>
    </row>
    <row r="31099" spans="1:14" s="2" customFormat="1">
      <c r="A31099" s="83"/>
      <c r="H31099" s="83"/>
      <c r="K31099" s="82"/>
      <c r="M31099" s="112"/>
      <c r="N31099" s="84"/>
    </row>
    <row r="31100" spans="1:14" s="2" customFormat="1">
      <c r="A31100" s="83"/>
      <c r="H31100" s="83"/>
      <c r="K31100" s="82"/>
      <c r="M31100" s="112"/>
      <c r="N31100" s="84"/>
    </row>
    <row r="31101" spans="1:14" s="2" customFormat="1">
      <c r="A31101" s="83"/>
      <c r="H31101" s="83"/>
      <c r="K31101" s="82"/>
      <c r="M31101" s="112"/>
      <c r="N31101" s="84"/>
    </row>
    <row r="31102" spans="1:14" s="2" customFormat="1">
      <c r="A31102" s="83"/>
      <c r="H31102" s="83"/>
      <c r="K31102" s="82"/>
      <c r="M31102" s="112"/>
      <c r="N31102" s="84"/>
    </row>
    <row r="31103" spans="1:14" s="2" customFormat="1">
      <c r="A31103" s="83"/>
      <c r="H31103" s="83"/>
      <c r="K31103" s="82"/>
      <c r="M31103" s="112"/>
      <c r="N31103" s="84"/>
    </row>
    <row r="31104" spans="1:14" s="2" customFormat="1">
      <c r="A31104" s="83"/>
      <c r="H31104" s="83"/>
      <c r="K31104" s="82"/>
      <c r="M31104" s="112"/>
      <c r="N31104" s="84"/>
    </row>
    <row r="31105" spans="1:14" s="2" customFormat="1">
      <c r="A31105" s="83"/>
      <c r="H31105" s="83"/>
      <c r="K31105" s="82"/>
      <c r="M31105" s="112"/>
      <c r="N31105" s="84"/>
    </row>
    <row r="31106" spans="1:14" s="2" customFormat="1">
      <c r="A31106" s="83"/>
      <c r="H31106" s="83"/>
      <c r="K31106" s="82"/>
      <c r="M31106" s="112"/>
      <c r="N31106" s="84"/>
    </row>
    <row r="31107" spans="1:14" s="2" customFormat="1">
      <c r="A31107" s="83"/>
      <c r="H31107" s="83"/>
      <c r="K31107" s="82"/>
      <c r="M31107" s="112"/>
      <c r="N31107" s="84"/>
    </row>
    <row r="31108" spans="1:14" s="2" customFormat="1">
      <c r="A31108" s="83"/>
      <c r="H31108" s="83"/>
      <c r="K31108" s="82"/>
      <c r="M31108" s="112"/>
      <c r="N31108" s="84"/>
    </row>
    <row r="31109" spans="1:14" s="2" customFormat="1">
      <c r="A31109" s="83"/>
      <c r="H31109" s="83"/>
      <c r="K31109" s="82"/>
      <c r="M31109" s="112"/>
      <c r="N31109" s="84"/>
    </row>
    <row r="31110" spans="1:14" s="2" customFormat="1">
      <c r="A31110" s="83"/>
      <c r="H31110" s="83"/>
      <c r="K31110" s="82"/>
      <c r="M31110" s="112"/>
      <c r="N31110" s="84"/>
    </row>
    <row r="31111" spans="1:14" s="2" customFormat="1">
      <c r="A31111" s="83"/>
      <c r="H31111" s="83"/>
      <c r="K31111" s="82"/>
      <c r="M31111" s="112"/>
      <c r="N31111" s="84"/>
    </row>
    <row r="31112" spans="1:14" s="2" customFormat="1">
      <c r="A31112" s="83"/>
      <c r="H31112" s="83"/>
      <c r="K31112" s="82"/>
      <c r="M31112" s="112"/>
      <c r="N31112" s="84"/>
    </row>
    <row r="31113" spans="1:14" s="2" customFormat="1">
      <c r="A31113" s="83"/>
      <c r="H31113" s="83"/>
      <c r="K31113" s="82"/>
      <c r="M31113" s="112"/>
      <c r="N31113" s="84"/>
    </row>
    <row r="31114" spans="1:14" s="2" customFormat="1">
      <c r="A31114" s="83"/>
      <c r="H31114" s="83"/>
      <c r="K31114" s="82"/>
      <c r="M31114" s="112"/>
      <c r="N31114" s="84"/>
    </row>
    <row r="31115" spans="1:14" s="2" customFormat="1">
      <c r="A31115" s="83"/>
      <c r="H31115" s="83"/>
      <c r="K31115" s="82"/>
      <c r="M31115" s="112"/>
      <c r="N31115" s="84"/>
    </row>
    <row r="31116" spans="1:14" s="2" customFormat="1">
      <c r="A31116" s="83"/>
      <c r="H31116" s="83"/>
      <c r="K31116" s="82"/>
      <c r="M31116" s="112"/>
      <c r="N31116" s="84"/>
    </row>
    <row r="31117" spans="1:14" s="2" customFormat="1">
      <c r="A31117" s="83"/>
      <c r="H31117" s="83"/>
      <c r="K31117" s="82"/>
      <c r="M31117" s="112"/>
      <c r="N31117" s="84"/>
    </row>
    <row r="31118" spans="1:14" s="2" customFormat="1">
      <c r="A31118" s="83"/>
      <c r="H31118" s="83"/>
      <c r="K31118" s="82"/>
      <c r="M31118" s="112"/>
      <c r="N31118" s="84"/>
    </row>
    <row r="31119" spans="1:14" s="2" customFormat="1">
      <c r="A31119" s="83"/>
      <c r="H31119" s="83"/>
      <c r="K31119" s="82"/>
      <c r="M31119" s="112"/>
      <c r="N31119" s="84"/>
    </row>
    <row r="31120" spans="1:14" s="2" customFormat="1">
      <c r="A31120" s="83"/>
      <c r="H31120" s="83"/>
      <c r="K31120" s="82"/>
      <c r="M31120" s="112"/>
      <c r="N31120" s="84"/>
    </row>
    <row r="31121" spans="1:14" s="2" customFormat="1">
      <c r="A31121" s="83"/>
      <c r="H31121" s="83"/>
      <c r="K31121" s="82"/>
      <c r="M31121" s="112"/>
      <c r="N31121" s="84"/>
    </row>
    <row r="31122" spans="1:14" s="2" customFormat="1">
      <c r="A31122" s="83"/>
      <c r="H31122" s="83"/>
      <c r="K31122" s="82"/>
      <c r="M31122" s="112"/>
      <c r="N31122" s="84"/>
    </row>
    <row r="31123" spans="1:14" s="2" customFormat="1">
      <c r="A31123" s="83"/>
      <c r="H31123" s="83"/>
      <c r="K31123" s="82"/>
      <c r="M31123" s="112"/>
      <c r="N31123" s="84"/>
    </row>
    <row r="31124" spans="1:14" s="2" customFormat="1">
      <c r="A31124" s="83"/>
      <c r="H31124" s="83"/>
      <c r="K31124" s="82"/>
      <c r="M31124" s="112"/>
      <c r="N31124" s="84"/>
    </row>
    <row r="31125" spans="1:14" s="2" customFormat="1">
      <c r="A31125" s="83"/>
      <c r="H31125" s="83"/>
      <c r="K31125" s="82"/>
      <c r="M31125" s="112"/>
      <c r="N31125" s="84"/>
    </row>
    <row r="31126" spans="1:14" s="2" customFormat="1">
      <c r="A31126" s="83"/>
      <c r="H31126" s="83"/>
      <c r="K31126" s="82"/>
      <c r="M31126" s="112"/>
      <c r="N31126" s="84"/>
    </row>
    <row r="31127" spans="1:14" s="2" customFormat="1">
      <c r="A31127" s="83"/>
      <c r="H31127" s="83"/>
      <c r="K31127" s="82"/>
      <c r="M31127" s="112"/>
      <c r="N31127" s="84"/>
    </row>
    <row r="31128" spans="1:14" s="2" customFormat="1">
      <c r="A31128" s="83"/>
      <c r="H31128" s="83"/>
      <c r="K31128" s="82"/>
      <c r="M31128" s="112"/>
      <c r="N31128" s="84"/>
    </row>
    <row r="31129" spans="1:14" s="2" customFormat="1">
      <c r="A31129" s="83"/>
      <c r="H31129" s="83"/>
      <c r="K31129" s="82"/>
      <c r="M31129" s="112"/>
      <c r="N31129" s="84"/>
    </row>
    <row r="31130" spans="1:14" s="2" customFormat="1">
      <c r="A31130" s="83"/>
      <c r="H31130" s="83"/>
      <c r="K31130" s="82"/>
      <c r="M31130" s="112"/>
      <c r="N31130" s="84"/>
    </row>
    <row r="31131" spans="1:14" s="2" customFormat="1">
      <c r="A31131" s="83"/>
      <c r="H31131" s="83"/>
      <c r="K31131" s="82"/>
      <c r="M31131" s="112"/>
      <c r="N31131" s="84"/>
    </row>
    <row r="31132" spans="1:14" s="2" customFormat="1">
      <c r="A31132" s="83"/>
      <c r="H31132" s="83"/>
      <c r="K31132" s="82"/>
      <c r="M31132" s="112"/>
      <c r="N31132" s="84"/>
    </row>
    <row r="31133" spans="1:14" s="2" customFormat="1">
      <c r="A31133" s="83"/>
      <c r="H31133" s="83"/>
      <c r="K31133" s="82"/>
      <c r="M31133" s="112"/>
      <c r="N31133" s="84"/>
    </row>
    <row r="31134" spans="1:14" s="2" customFormat="1">
      <c r="A31134" s="83"/>
      <c r="H31134" s="83"/>
      <c r="K31134" s="82"/>
      <c r="M31134" s="112"/>
      <c r="N31134" s="84"/>
    </row>
    <row r="31135" spans="1:14" s="2" customFormat="1">
      <c r="A31135" s="83"/>
      <c r="H31135" s="83"/>
      <c r="K31135" s="82"/>
      <c r="M31135" s="112"/>
      <c r="N31135" s="84"/>
    </row>
    <row r="31136" spans="1:14" s="2" customFormat="1">
      <c r="A31136" s="83"/>
      <c r="H31136" s="83"/>
      <c r="K31136" s="82"/>
      <c r="M31136" s="112"/>
      <c r="N31136" s="84"/>
    </row>
    <row r="31137" spans="1:14" s="2" customFormat="1">
      <c r="A31137" s="83"/>
      <c r="H31137" s="83"/>
      <c r="K31137" s="82"/>
      <c r="M31137" s="112"/>
      <c r="N31137" s="84"/>
    </row>
    <row r="31138" spans="1:14" s="2" customFormat="1">
      <c r="A31138" s="83"/>
      <c r="H31138" s="83"/>
      <c r="K31138" s="82"/>
      <c r="M31138" s="112"/>
      <c r="N31138" s="84"/>
    </row>
    <row r="31139" spans="1:14" s="2" customFormat="1">
      <c r="A31139" s="83"/>
      <c r="H31139" s="83"/>
      <c r="K31139" s="82"/>
      <c r="M31139" s="112"/>
      <c r="N31139" s="84"/>
    </row>
    <row r="31140" spans="1:14" s="2" customFormat="1">
      <c r="A31140" s="83"/>
      <c r="H31140" s="83"/>
      <c r="K31140" s="82"/>
      <c r="M31140" s="112"/>
      <c r="N31140" s="84"/>
    </row>
    <row r="31141" spans="1:14" s="2" customFormat="1">
      <c r="A31141" s="83"/>
      <c r="H31141" s="83"/>
      <c r="K31141" s="82"/>
      <c r="M31141" s="112"/>
      <c r="N31141" s="84"/>
    </row>
    <row r="31142" spans="1:14" s="2" customFormat="1">
      <c r="A31142" s="83"/>
      <c r="H31142" s="83"/>
      <c r="K31142" s="82"/>
      <c r="M31142" s="112"/>
      <c r="N31142" s="84"/>
    </row>
    <row r="31143" spans="1:14" s="2" customFormat="1">
      <c r="A31143" s="83"/>
      <c r="H31143" s="83"/>
      <c r="K31143" s="82"/>
      <c r="M31143" s="112"/>
      <c r="N31143" s="84"/>
    </row>
    <row r="31144" spans="1:14" s="2" customFormat="1">
      <c r="A31144" s="83"/>
      <c r="H31144" s="83"/>
      <c r="K31144" s="82"/>
      <c r="M31144" s="112"/>
      <c r="N31144" s="84"/>
    </row>
    <row r="31145" spans="1:14" s="2" customFormat="1">
      <c r="A31145" s="83"/>
      <c r="H31145" s="83"/>
      <c r="K31145" s="82"/>
      <c r="M31145" s="112"/>
      <c r="N31145" s="84"/>
    </row>
    <row r="31146" spans="1:14" s="2" customFormat="1">
      <c r="A31146" s="83"/>
      <c r="H31146" s="83"/>
      <c r="K31146" s="82"/>
      <c r="M31146" s="112"/>
      <c r="N31146" s="84"/>
    </row>
    <row r="31147" spans="1:14" s="2" customFormat="1">
      <c r="A31147" s="83"/>
      <c r="H31147" s="83"/>
      <c r="K31147" s="82"/>
      <c r="M31147" s="112"/>
      <c r="N31147" s="84"/>
    </row>
    <row r="31148" spans="1:14" s="2" customFormat="1">
      <c r="A31148" s="83"/>
      <c r="H31148" s="83"/>
      <c r="K31148" s="82"/>
      <c r="M31148" s="112"/>
      <c r="N31148" s="84"/>
    </row>
    <row r="31149" spans="1:14" s="2" customFormat="1">
      <c r="A31149" s="83"/>
      <c r="H31149" s="83"/>
      <c r="K31149" s="82"/>
      <c r="M31149" s="112"/>
      <c r="N31149" s="84"/>
    </row>
    <row r="31150" spans="1:14" s="2" customFormat="1">
      <c r="A31150" s="83"/>
      <c r="H31150" s="83"/>
      <c r="K31150" s="82"/>
      <c r="M31150" s="112"/>
      <c r="N31150" s="84"/>
    </row>
    <row r="31151" spans="1:14" s="2" customFormat="1">
      <c r="A31151" s="83"/>
      <c r="H31151" s="83"/>
      <c r="K31151" s="82"/>
      <c r="M31151" s="112"/>
      <c r="N31151" s="84"/>
    </row>
    <row r="31152" spans="1:14" s="2" customFormat="1">
      <c r="A31152" s="83"/>
      <c r="H31152" s="83"/>
      <c r="K31152" s="82"/>
      <c r="M31152" s="112"/>
      <c r="N31152" s="84"/>
    </row>
    <row r="31153" spans="1:14" s="2" customFormat="1">
      <c r="A31153" s="83"/>
      <c r="H31153" s="83"/>
      <c r="K31153" s="82"/>
      <c r="M31153" s="112"/>
      <c r="N31153" s="84"/>
    </row>
    <row r="31154" spans="1:14" s="2" customFormat="1">
      <c r="A31154" s="83"/>
      <c r="H31154" s="83"/>
      <c r="K31154" s="82"/>
      <c r="M31154" s="112"/>
      <c r="N31154" s="84"/>
    </row>
    <row r="31155" spans="1:14" s="2" customFormat="1">
      <c r="A31155" s="83"/>
      <c r="H31155" s="83"/>
      <c r="K31155" s="82"/>
      <c r="M31155" s="112"/>
      <c r="N31155" s="84"/>
    </row>
    <row r="31156" spans="1:14" s="2" customFormat="1">
      <c r="A31156" s="83"/>
      <c r="H31156" s="83"/>
      <c r="K31156" s="82"/>
      <c r="M31156" s="112"/>
      <c r="N31156" s="84"/>
    </row>
    <row r="31157" spans="1:14" s="2" customFormat="1">
      <c r="A31157" s="83"/>
      <c r="H31157" s="83"/>
      <c r="K31157" s="82"/>
      <c r="M31157" s="112"/>
      <c r="N31157" s="84"/>
    </row>
    <row r="31158" spans="1:14" s="2" customFormat="1">
      <c r="A31158" s="83"/>
      <c r="H31158" s="83"/>
      <c r="K31158" s="82"/>
      <c r="M31158" s="112"/>
      <c r="N31158" s="84"/>
    </row>
    <row r="31159" spans="1:14" s="2" customFormat="1">
      <c r="A31159" s="83"/>
      <c r="H31159" s="83"/>
      <c r="K31159" s="82"/>
      <c r="M31159" s="112"/>
      <c r="N31159" s="84"/>
    </row>
    <row r="31160" spans="1:14" s="2" customFormat="1">
      <c r="A31160" s="83"/>
      <c r="H31160" s="83"/>
      <c r="K31160" s="82"/>
      <c r="M31160" s="112"/>
      <c r="N31160" s="84"/>
    </row>
    <row r="31161" spans="1:14" s="2" customFormat="1">
      <c r="A31161" s="83"/>
      <c r="H31161" s="83"/>
      <c r="K31161" s="82"/>
      <c r="M31161" s="112"/>
      <c r="N31161" s="84"/>
    </row>
    <row r="31162" spans="1:14" s="2" customFormat="1">
      <c r="A31162" s="83"/>
      <c r="H31162" s="83"/>
      <c r="K31162" s="82"/>
      <c r="M31162" s="112"/>
      <c r="N31162" s="84"/>
    </row>
    <row r="31163" spans="1:14" s="2" customFormat="1">
      <c r="A31163" s="83"/>
      <c r="H31163" s="83"/>
      <c r="K31163" s="82"/>
      <c r="M31163" s="112"/>
      <c r="N31163" s="84"/>
    </row>
    <row r="31164" spans="1:14" s="2" customFormat="1">
      <c r="A31164" s="83"/>
      <c r="H31164" s="83"/>
      <c r="K31164" s="82"/>
      <c r="M31164" s="112"/>
      <c r="N31164" s="84"/>
    </row>
    <row r="31165" spans="1:14" s="2" customFormat="1">
      <c r="A31165" s="83"/>
      <c r="H31165" s="83"/>
      <c r="K31165" s="82"/>
      <c r="M31165" s="112"/>
      <c r="N31165" s="84"/>
    </row>
    <row r="31166" spans="1:14" s="2" customFormat="1">
      <c r="A31166" s="83"/>
      <c r="H31166" s="83"/>
      <c r="K31166" s="82"/>
      <c r="M31166" s="112"/>
      <c r="N31166" s="84"/>
    </row>
    <row r="31167" spans="1:14" s="2" customFormat="1">
      <c r="A31167" s="83"/>
      <c r="H31167" s="83"/>
      <c r="K31167" s="82"/>
      <c r="M31167" s="112"/>
      <c r="N31167" s="84"/>
    </row>
    <row r="31168" spans="1:14" s="2" customFormat="1">
      <c r="A31168" s="83"/>
      <c r="H31168" s="83"/>
      <c r="K31168" s="82"/>
      <c r="M31168" s="112"/>
      <c r="N31168" s="84"/>
    </row>
    <row r="31169" spans="1:14" s="2" customFormat="1">
      <c r="A31169" s="83"/>
      <c r="H31169" s="83"/>
      <c r="K31169" s="82"/>
      <c r="M31169" s="112"/>
      <c r="N31169" s="84"/>
    </row>
    <row r="31170" spans="1:14" s="2" customFormat="1">
      <c r="A31170" s="83"/>
      <c r="H31170" s="83"/>
      <c r="K31170" s="82"/>
      <c r="M31170" s="112"/>
      <c r="N31170" s="84"/>
    </row>
    <row r="31171" spans="1:14" s="2" customFormat="1">
      <c r="A31171" s="83"/>
      <c r="H31171" s="83"/>
      <c r="K31171" s="82"/>
      <c r="M31171" s="112"/>
      <c r="N31171" s="84"/>
    </row>
    <row r="31172" spans="1:14" s="2" customFormat="1">
      <c r="A31172" s="83"/>
      <c r="H31172" s="83"/>
      <c r="K31172" s="82"/>
      <c r="M31172" s="112"/>
      <c r="N31172" s="84"/>
    </row>
    <row r="31173" spans="1:14" s="2" customFormat="1">
      <c r="A31173" s="83"/>
      <c r="H31173" s="83"/>
      <c r="K31173" s="82"/>
      <c r="M31173" s="112"/>
      <c r="N31173" s="84"/>
    </row>
    <row r="31174" spans="1:14" s="2" customFormat="1">
      <c r="A31174" s="83"/>
      <c r="H31174" s="83"/>
      <c r="K31174" s="82"/>
      <c r="M31174" s="112"/>
      <c r="N31174" s="84"/>
    </row>
    <row r="31175" spans="1:14" s="2" customFormat="1">
      <c r="A31175" s="83"/>
      <c r="H31175" s="83"/>
      <c r="K31175" s="82"/>
      <c r="M31175" s="112"/>
      <c r="N31175" s="84"/>
    </row>
    <row r="31176" spans="1:14" s="2" customFormat="1">
      <c r="A31176" s="83"/>
      <c r="H31176" s="83"/>
      <c r="K31176" s="82"/>
      <c r="M31176" s="112"/>
      <c r="N31176" s="84"/>
    </row>
    <row r="31177" spans="1:14" s="2" customFormat="1">
      <c r="A31177" s="83"/>
      <c r="H31177" s="83"/>
      <c r="K31177" s="82"/>
      <c r="M31177" s="112"/>
      <c r="N31177" s="84"/>
    </row>
    <row r="31178" spans="1:14" s="2" customFormat="1">
      <c r="A31178" s="83"/>
      <c r="H31178" s="83"/>
      <c r="K31178" s="82"/>
      <c r="M31178" s="112"/>
      <c r="N31178" s="84"/>
    </row>
    <row r="31179" spans="1:14" s="2" customFormat="1">
      <c r="A31179" s="83"/>
      <c r="H31179" s="83"/>
      <c r="K31179" s="82"/>
      <c r="M31179" s="112"/>
      <c r="N31179" s="84"/>
    </row>
    <row r="31180" spans="1:14" s="2" customFormat="1">
      <c r="A31180" s="83"/>
      <c r="H31180" s="83"/>
      <c r="K31180" s="82"/>
      <c r="M31180" s="112"/>
      <c r="N31180" s="84"/>
    </row>
    <row r="31181" spans="1:14" s="2" customFormat="1">
      <c r="A31181" s="83"/>
      <c r="H31181" s="83"/>
      <c r="K31181" s="82"/>
      <c r="M31181" s="112"/>
      <c r="N31181" s="84"/>
    </row>
    <row r="31182" spans="1:14" s="2" customFormat="1">
      <c r="A31182" s="83"/>
      <c r="H31182" s="83"/>
      <c r="K31182" s="82"/>
      <c r="M31182" s="112"/>
      <c r="N31182" s="84"/>
    </row>
    <row r="31183" spans="1:14" s="2" customFormat="1">
      <c r="A31183" s="83"/>
      <c r="H31183" s="83"/>
      <c r="K31183" s="82"/>
      <c r="M31183" s="112"/>
      <c r="N31183" s="84"/>
    </row>
    <row r="31184" spans="1:14" s="2" customFormat="1">
      <c r="A31184" s="83"/>
      <c r="H31184" s="83"/>
      <c r="K31184" s="82"/>
      <c r="M31184" s="112"/>
      <c r="N31184" s="84"/>
    </row>
    <row r="31185" spans="1:14" s="2" customFormat="1">
      <c r="A31185" s="83"/>
      <c r="H31185" s="83"/>
      <c r="K31185" s="82"/>
      <c r="M31185" s="112"/>
      <c r="N31185" s="84"/>
    </row>
    <row r="31186" spans="1:14" s="2" customFormat="1">
      <c r="A31186" s="83"/>
      <c r="H31186" s="83"/>
      <c r="K31186" s="82"/>
      <c r="M31186" s="112"/>
      <c r="N31186" s="84"/>
    </row>
    <row r="31187" spans="1:14" s="2" customFormat="1">
      <c r="A31187" s="83"/>
      <c r="H31187" s="83"/>
      <c r="K31187" s="82"/>
      <c r="M31187" s="112"/>
      <c r="N31187" s="84"/>
    </row>
    <row r="31188" spans="1:14" s="2" customFormat="1">
      <c r="A31188" s="83"/>
      <c r="H31188" s="83"/>
      <c r="K31188" s="82"/>
      <c r="M31188" s="112"/>
      <c r="N31188" s="84"/>
    </row>
    <row r="31189" spans="1:14" s="2" customFormat="1">
      <c r="A31189" s="83"/>
      <c r="H31189" s="83"/>
      <c r="K31189" s="82"/>
      <c r="M31189" s="112"/>
      <c r="N31189" s="84"/>
    </row>
    <row r="31190" spans="1:14" s="2" customFormat="1">
      <c r="A31190" s="83"/>
      <c r="H31190" s="83"/>
      <c r="K31190" s="82"/>
      <c r="M31190" s="112"/>
      <c r="N31190" s="84"/>
    </row>
    <row r="31191" spans="1:14" s="2" customFormat="1">
      <c r="A31191" s="83"/>
      <c r="H31191" s="83"/>
      <c r="K31191" s="82"/>
      <c r="M31191" s="112"/>
      <c r="N31191" s="84"/>
    </row>
    <row r="31192" spans="1:14" s="2" customFormat="1">
      <c r="A31192" s="83"/>
      <c r="H31192" s="83"/>
      <c r="K31192" s="82"/>
      <c r="M31192" s="112"/>
      <c r="N31192" s="84"/>
    </row>
    <row r="31193" spans="1:14" s="2" customFormat="1">
      <c r="A31193" s="83"/>
      <c r="H31193" s="83"/>
      <c r="K31193" s="82"/>
      <c r="M31193" s="112"/>
      <c r="N31193" s="84"/>
    </row>
    <row r="31194" spans="1:14" s="2" customFormat="1">
      <c r="A31194" s="83"/>
      <c r="H31194" s="83"/>
      <c r="K31194" s="82"/>
      <c r="M31194" s="112"/>
      <c r="N31194" s="84"/>
    </row>
    <row r="31195" spans="1:14" s="2" customFormat="1">
      <c r="A31195" s="83"/>
      <c r="H31195" s="83"/>
      <c r="K31195" s="82"/>
      <c r="M31195" s="112"/>
      <c r="N31195" s="84"/>
    </row>
    <row r="31196" spans="1:14" s="2" customFormat="1">
      <c r="A31196" s="83"/>
      <c r="H31196" s="83"/>
      <c r="K31196" s="82"/>
      <c r="M31196" s="112"/>
      <c r="N31196" s="84"/>
    </row>
    <row r="31197" spans="1:14" s="2" customFormat="1">
      <c r="A31197" s="83"/>
      <c r="H31197" s="83"/>
      <c r="K31197" s="82"/>
      <c r="M31197" s="112"/>
      <c r="N31197" s="84"/>
    </row>
    <row r="31198" spans="1:14" s="2" customFormat="1">
      <c r="A31198" s="83"/>
      <c r="H31198" s="83"/>
      <c r="K31198" s="82"/>
      <c r="M31198" s="112"/>
      <c r="N31198" s="84"/>
    </row>
    <row r="31199" spans="1:14" s="2" customFormat="1">
      <c r="A31199" s="83"/>
      <c r="H31199" s="83"/>
      <c r="K31199" s="82"/>
      <c r="M31199" s="112"/>
      <c r="N31199" s="84"/>
    </row>
    <row r="31200" spans="1:14" s="2" customFormat="1">
      <c r="A31200" s="83"/>
      <c r="H31200" s="83"/>
      <c r="K31200" s="82"/>
      <c r="M31200" s="112"/>
      <c r="N31200" s="84"/>
    </row>
    <row r="31201" spans="1:14" s="2" customFormat="1">
      <c r="A31201" s="83"/>
      <c r="H31201" s="83"/>
      <c r="K31201" s="82"/>
      <c r="M31201" s="112"/>
      <c r="N31201" s="84"/>
    </row>
    <row r="31202" spans="1:14" s="2" customFormat="1">
      <c r="A31202" s="83"/>
      <c r="H31202" s="83"/>
      <c r="K31202" s="82"/>
      <c r="M31202" s="112"/>
      <c r="N31202" s="84"/>
    </row>
    <row r="31203" spans="1:14" s="2" customFormat="1">
      <c r="A31203" s="83"/>
      <c r="H31203" s="83"/>
      <c r="K31203" s="82"/>
      <c r="M31203" s="112"/>
      <c r="N31203" s="84"/>
    </row>
    <row r="31204" spans="1:14" s="2" customFormat="1">
      <c r="A31204" s="83"/>
      <c r="H31204" s="83"/>
      <c r="K31204" s="82"/>
      <c r="M31204" s="112"/>
      <c r="N31204" s="84"/>
    </row>
    <row r="31205" spans="1:14" s="2" customFormat="1">
      <c r="A31205" s="83"/>
      <c r="H31205" s="83"/>
      <c r="K31205" s="82"/>
      <c r="M31205" s="112"/>
      <c r="N31205" s="84"/>
    </row>
    <row r="31206" spans="1:14" s="2" customFormat="1">
      <c r="A31206" s="83"/>
      <c r="H31206" s="83"/>
      <c r="K31206" s="82"/>
      <c r="M31206" s="112"/>
      <c r="N31206" s="84"/>
    </row>
    <row r="31207" spans="1:14" s="2" customFormat="1">
      <c r="A31207" s="83"/>
      <c r="H31207" s="83"/>
      <c r="K31207" s="82"/>
      <c r="M31207" s="112"/>
      <c r="N31207" s="84"/>
    </row>
    <row r="31208" spans="1:14" s="2" customFormat="1">
      <c r="A31208" s="83"/>
      <c r="H31208" s="83"/>
      <c r="K31208" s="82"/>
      <c r="M31208" s="112"/>
      <c r="N31208" s="84"/>
    </row>
    <row r="31209" spans="1:14" s="2" customFormat="1">
      <c r="A31209" s="83"/>
      <c r="H31209" s="83"/>
      <c r="K31209" s="82"/>
      <c r="M31209" s="112"/>
      <c r="N31209" s="84"/>
    </row>
    <row r="31210" spans="1:14" s="2" customFormat="1">
      <c r="A31210" s="83"/>
      <c r="H31210" s="83"/>
      <c r="K31210" s="82"/>
      <c r="M31210" s="112"/>
      <c r="N31210" s="84"/>
    </row>
    <row r="31211" spans="1:14" s="2" customFormat="1">
      <c r="A31211" s="83"/>
      <c r="H31211" s="83"/>
      <c r="K31211" s="82"/>
      <c r="M31211" s="112"/>
      <c r="N31211" s="84"/>
    </row>
    <row r="31212" spans="1:14" s="2" customFormat="1">
      <c r="A31212" s="83"/>
      <c r="H31212" s="83"/>
      <c r="K31212" s="82"/>
      <c r="M31212" s="112"/>
      <c r="N31212" s="84"/>
    </row>
    <row r="31213" spans="1:14" s="2" customFormat="1">
      <c r="A31213" s="83"/>
      <c r="H31213" s="83"/>
      <c r="K31213" s="82"/>
      <c r="M31213" s="112"/>
      <c r="N31213" s="84"/>
    </row>
    <row r="31214" spans="1:14" s="2" customFormat="1">
      <c r="A31214" s="83"/>
      <c r="H31214" s="83"/>
      <c r="K31214" s="82"/>
      <c r="M31214" s="112"/>
      <c r="N31214" s="84"/>
    </row>
    <row r="31215" spans="1:14" s="2" customFormat="1">
      <c r="A31215" s="83"/>
      <c r="H31215" s="83"/>
      <c r="K31215" s="82"/>
      <c r="M31215" s="112"/>
      <c r="N31215" s="84"/>
    </row>
    <row r="31216" spans="1:14" s="2" customFormat="1">
      <c r="A31216" s="83"/>
      <c r="H31216" s="83"/>
      <c r="K31216" s="82"/>
      <c r="M31216" s="112"/>
      <c r="N31216" s="84"/>
    </row>
    <row r="31217" spans="1:14" s="2" customFormat="1">
      <c r="A31217" s="83"/>
      <c r="H31217" s="83"/>
      <c r="K31217" s="82"/>
      <c r="M31217" s="112"/>
      <c r="N31217" s="84"/>
    </row>
    <row r="31218" spans="1:14" s="2" customFormat="1">
      <c r="A31218" s="83"/>
      <c r="H31218" s="83"/>
      <c r="K31218" s="82"/>
      <c r="M31218" s="112"/>
      <c r="N31218" s="84"/>
    </row>
    <row r="31219" spans="1:14" s="2" customFormat="1">
      <c r="A31219" s="83"/>
      <c r="H31219" s="83"/>
      <c r="K31219" s="82"/>
      <c r="M31219" s="112"/>
      <c r="N31219" s="84"/>
    </row>
    <row r="31220" spans="1:14" s="2" customFormat="1">
      <c r="A31220" s="83"/>
      <c r="H31220" s="83"/>
      <c r="K31220" s="82"/>
      <c r="M31220" s="112"/>
      <c r="N31220" s="84"/>
    </row>
    <row r="31221" spans="1:14" s="2" customFormat="1">
      <c r="A31221" s="83"/>
      <c r="H31221" s="83"/>
      <c r="K31221" s="82"/>
      <c r="M31221" s="112"/>
      <c r="N31221" s="84"/>
    </row>
    <row r="31222" spans="1:14" s="2" customFormat="1">
      <c r="A31222" s="83"/>
      <c r="H31222" s="83"/>
      <c r="K31222" s="82"/>
      <c r="M31222" s="112"/>
      <c r="N31222" s="84"/>
    </row>
    <row r="31223" spans="1:14" s="2" customFormat="1">
      <c r="A31223" s="83"/>
      <c r="H31223" s="83"/>
      <c r="K31223" s="82"/>
      <c r="M31223" s="112"/>
      <c r="N31223" s="84"/>
    </row>
    <row r="31224" spans="1:14" s="2" customFormat="1">
      <c r="A31224" s="83"/>
      <c r="H31224" s="83"/>
      <c r="K31224" s="82"/>
      <c r="M31224" s="112"/>
      <c r="N31224" s="84"/>
    </row>
    <row r="31225" spans="1:14" s="2" customFormat="1">
      <c r="A31225" s="83"/>
      <c r="H31225" s="83"/>
      <c r="K31225" s="82"/>
      <c r="M31225" s="112"/>
      <c r="N31225" s="84"/>
    </row>
    <row r="31226" spans="1:14" s="2" customFormat="1">
      <c r="A31226" s="83"/>
      <c r="H31226" s="83"/>
      <c r="K31226" s="82"/>
      <c r="M31226" s="112"/>
      <c r="N31226" s="84"/>
    </row>
    <row r="31227" spans="1:14" s="2" customFormat="1">
      <c r="A31227" s="83"/>
      <c r="H31227" s="83"/>
      <c r="K31227" s="82"/>
      <c r="M31227" s="112"/>
      <c r="N31227" s="84"/>
    </row>
    <row r="31228" spans="1:14" s="2" customFormat="1">
      <c r="A31228" s="83"/>
      <c r="H31228" s="83"/>
      <c r="K31228" s="82"/>
      <c r="M31228" s="112"/>
      <c r="N31228" s="84"/>
    </row>
    <row r="31229" spans="1:14" s="2" customFormat="1">
      <c r="A31229" s="83"/>
      <c r="H31229" s="83"/>
      <c r="K31229" s="82"/>
      <c r="M31229" s="112"/>
      <c r="N31229" s="84"/>
    </row>
    <row r="31230" spans="1:14" s="2" customFormat="1">
      <c r="A31230" s="83"/>
      <c r="H31230" s="83"/>
      <c r="K31230" s="82"/>
      <c r="M31230" s="112"/>
      <c r="N31230" s="84"/>
    </row>
    <row r="31231" spans="1:14" s="2" customFormat="1">
      <c r="A31231" s="83"/>
      <c r="H31231" s="83"/>
      <c r="K31231" s="82"/>
      <c r="M31231" s="112"/>
      <c r="N31231" s="84"/>
    </row>
    <row r="31232" spans="1:14" s="2" customFormat="1">
      <c r="A31232" s="83"/>
      <c r="H31232" s="83"/>
      <c r="K31232" s="82"/>
      <c r="M31232" s="112"/>
      <c r="N31232" s="84"/>
    </row>
    <row r="31233" spans="1:14" s="2" customFormat="1">
      <c r="A31233" s="83"/>
      <c r="H31233" s="83"/>
      <c r="K31233" s="82"/>
      <c r="M31233" s="112"/>
      <c r="N31233" s="84"/>
    </row>
    <row r="31234" spans="1:14" s="2" customFormat="1">
      <c r="A31234" s="83"/>
      <c r="H31234" s="83"/>
      <c r="K31234" s="82"/>
      <c r="M31234" s="112"/>
      <c r="N31234" s="84"/>
    </row>
    <row r="31235" spans="1:14" s="2" customFormat="1">
      <c r="A31235" s="83"/>
      <c r="H31235" s="83"/>
      <c r="K31235" s="82"/>
      <c r="M31235" s="112"/>
      <c r="N31235" s="84"/>
    </row>
    <row r="31236" spans="1:14" s="2" customFormat="1">
      <c r="A31236" s="83"/>
      <c r="H31236" s="83"/>
      <c r="K31236" s="82"/>
      <c r="M31236" s="112"/>
      <c r="N31236" s="84"/>
    </row>
    <row r="31237" spans="1:14" s="2" customFormat="1">
      <c r="A31237" s="83"/>
      <c r="H31237" s="83"/>
      <c r="K31237" s="82"/>
      <c r="M31237" s="112"/>
      <c r="N31237" s="84"/>
    </row>
    <row r="31238" spans="1:14" s="2" customFormat="1">
      <c r="A31238" s="83"/>
      <c r="H31238" s="83"/>
      <c r="K31238" s="82"/>
      <c r="M31238" s="112"/>
      <c r="N31238" s="84"/>
    </row>
    <row r="31239" spans="1:14" s="2" customFormat="1">
      <c r="A31239" s="83"/>
      <c r="H31239" s="83"/>
      <c r="K31239" s="82"/>
      <c r="M31239" s="112"/>
      <c r="N31239" s="84"/>
    </row>
    <row r="31240" spans="1:14" s="2" customFormat="1">
      <c r="A31240" s="83"/>
      <c r="H31240" s="83"/>
      <c r="K31240" s="82"/>
      <c r="M31240" s="112"/>
      <c r="N31240" s="84"/>
    </row>
    <row r="31241" spans="1:14" s="2" customFormat="1">
      <c r="A31241" s="83"/>
      <c r="H31241" s="83"/>
      <c r="K31241" s="82"/>
      <c r="M31241" s="112"/>
      <c r="N31241" s="84"/>
    </row>
    <row r="31242" spans="1:14" s="2" customFormat="1">
      <c r="A31242" s="83"/>
      <c r="H31242" s="83"/>
      <c r="K31242" s="82"/>
      <c r="M31242" s="112"/>
      <c r="N31242" s="84"/>
    </row>
    <row r="31243" spans="1:14" s="2" customFormat="1">
      <c r="A31243" s="83"/>
      <c r="H31243" s="83"/>
      <c r="K31243" s="82"/>
      <c r="M31243" s="112"/>
      <c r="N31243" s="84"/>
    </row>
    <row r="31244" spans="1:14" s="2" customFormat="1">
      <c r="A31244" s="83"/>
      <c r="H31244" s="83"/>
      <c r="K31244" s="82"/>
      <c r="M31244" s="112"/>
      <c r="N31244" s="84"/>
    </row>
    <row r="31245" spans="1:14" s="2" customFormat="1">
      <c r="A31245" s="83"/>
      <c r="H31245" s="83"/>
      <c r="K31245" s="82"/>
      <c r="M31245" s="112"/>
      <c r="N31245" s="84"/>
    </row>
    <row r="31246" spans="1:14" s="2" customFormat="1">
      <c r="A31246" s="83"/>
      <c r="H31246" s="83"/>
      <c r="K31246" s="82"/>
      <c r="M31246" s="112"/>
      <c r="N31246" s="84"/>
    </row>
    <row r="31247" spans="1:14" s="2" customFormat="1">
      <c r="A31247" s="83"/>
      <c r="H31247" s="83"/>
      <c r="K31247" s="82"/>
      <c r="M31247" s="112"/>
      <c r="N31247" s="84"/>
    </row>
    <row r="31248" spans="1:14" s="2" customFormat="1">
      <c r="A31248" s="83"/>
      <c r="H31248" s="83"/>
      <c r="K31248" s="82"/>
      <c r="M31248" s="112"/>
      <c r="N31248" s="84"/>
    </row>
    <row r="31249" spans="1:14" s="2" customFormat="1">
      <c r="A31249" s="83"/>
      <c r="H31249" s="83"/>
      <c r="K31249" s="82"/>
      <c r="M31249" s="112"/>
      <c r="N31249" s="84"/>
    </row>
    <row r="31250" spans="1:14" s="2" customFormat="1">
      <c r="A31250" s="83"/>
      <c r="H31250" s="83"/>
      <c r="K31250" s="82"/>
      <c r="M31250" s="112"/>
      <c r="N31250" s="84"/>
    </row>
    <row r="31251" spans="1:14" s="2" customFormat="1">
      <c r="A31251" s="83"/>
      <c r="H31251" s="83"/>
      <c r="K31251" s="82"/>
      <c r="M31251" s="112"/>
      <c r="N31251" s="84"/>
    </row>
    <row r="31252" spans="1:14" s="2" customFormat="1">
      <c r="A31252" s="83"/>
      <c r="H31252" s="83"/>
      <c r="K31252" s="82"/>
      <c r="M31252" s="112"/>
      <c r="N31252" s="84"/>
    </row>
    <row r="31253" spans="1:14" s="2" customFormat="1">
      <c r="A31253" s="83"/>
      <c r="H31253" s="83"/>
      <c r="K31253" s="82"/>
      <c r="M31253" s="112"/>
      <c r="N31253" s="84"/>
    </row>
    <row r="31254" spans="1:14" s="2" customFormat="1">
      <c r="A31254" s="83"/>
      <c r="H31254" s="83"/>
      <c r="K31254" s="82"/>
      <c r="M31254" s="112"/>
      <c r="N31254" s="84"/>
    </row>
    <row r="31255" spans="1:14" s="2" customFormat="1">
      <c r="A31255" s="83"/>
      <c r="H31255" s="83"/>
      <c r="K31255" s="82"/>
      <c r="M31255" s="112"/>
      <c r="N31255" s="84"/>
    </row>
    <row r="31256" spans="1:14" s="2" customFormat="1">
      <c r="A31256" s="83"/>
      <c r="H31256" s="83"/>
      <c r="K31256" s="82"/>
      <c r="M31256" s="112"/>
      <c r="N31256" s="84"/>
    </row>
    <row r="31257" spans="1:14" s="2" customFormat="1">
      <c r="A31257" s="83"/>
      <c r="H31257" s="83"/>
      <c r="K31257" s="82"/>
      <c r="M31257" s="112"/>
      <c r="N31257" s="84"/>
    </row>
    <row r="31258" spans="1:14" s="2" customFormat="1">
      <c r="A31258" s="83"/>
      <c r="H31258" s="83"/>
      <c r="K31258" s="82"/>
      <c r="M31258" s="112"/>
      <c r="N31258" s="84"/>
    </row>
    <row r="31259" spans="1:14" s="2" customFormat="1">
      <c r="A31259" s="83"/>
      <c r="H31259" s="83"/>
      <c r="K31259" s="82"/>
      <c r="M31259" s="112"/>
      <c r="N31259" s="84"/>
    </row>
    <row r="31260" spans="1:14" s="2" customFormat="1">
      <c r="A31260" s="83"/>
      <c r="H31260" s="83"/>
      <c r="K31260" s="82"/>
      <c r="M31260" s="112"/>
      <c r="N31260" s="84"/>
    </row>
    <row r="31261" spans="1:14" s="2" customFormat="1">
      <c r="A31261" s="83"/>
      <c r="H31261" s="83"/>
      <c r="K31261" s="82"/>
      <c r="M31261" s="112"/>
      <c r="N31261" s="84"/>
    </row>
    <row r="31262" spans="1:14" s="2" customFormat="1">
      <c r="A31262" s="83"/>
      <c r="H31262" s="83"/>
      <c r="K31262" s="82"/>
      <c r="M31262" s="112"/>
      <c r="N31262" s="84"/>
    </row>
    <row r="31263" spans="1:14" s="2" customFormat="1">
      <c r="A31263" s="83"/>
      <c r="H31263" s="83"/>
      <c r="K31263" s="82"/>
      <c r="M31263" s="112"/>
      <c r="N31263" s="84"/>
    </row>
    <row r="31264" spans="1:14" s="2" customFormat="1">
      <c r="A31264" s="83"/>
      <c r="H31264" s="83"/>
      <c r="K31264" s="82"/>
      <c r="M31264" s="112"/>
      <c r="N31264" s="84"/>
    </row>
    <row r="31265" spans="1:14" s="2" customFormat="1">
      <c r="A31265" s="83"/>
      <c r="H31265" s="83"/>
      <c r="K31265" s="82"/>
      <c r="M31265" s="112"/>
      <c r="N31265" s="84"/>
    </row>
    <row r="31266" spans="1:14" s="2" customFormat="1">
      <c r="A31266" s="83"/>
      <c r="H31266" s="83"/>
      <c r="K31266" s="82"/>
      <c r="M31266" s="112"/>
      <c r="N31266" s="84"/>
    </row>
    <row r="31267" spans="1:14" s="2" customFormat="1">
      <c r="A31267" s="83"/>
      <c r="H31267" s="83"/>
      <c r="K31267" s="82"/>
      <c r="M31267" s="112"/>
      <c r="N31267" s="84"/>
    </row>
    <row r="31268" spans="1:14" s="2" customFormat="1">
      <c r="A31268" s="83"/>
      <c r="H31268" s="83"/>
      <c r="K31268" s="82"/>
      <c r="M31268" s="112"/>
      <c r="N31268" s="84"/>
    </row>
    <row r="31269" spans="1:14" s="2" customFormat="1">
      <c r="A31269" s="83"/>
      <c r="H31269" s="83"/>
      <c r="K31269" s="82"/>
      <c r="M31269" s="112"/>
      <c r="N31269" s="84"/>
    </row>
    <row r="31270" spans="1:14" s="2" customFormat="1">
      <c r="A31270" s="83"/>
      <c r="H31270" s="83"/>
      <c r="K31270" s="82"/>
      <c r="M31270" s="112"/>
      <c r="N31270" s="84"/>
    </row>
    <row r="31271" spans="1:14" s="2" customFormat="1">
      <c r="A31271" s="83"/>
      <c r="H31271" s="83"/>
      <c r="K31271" s="82"/>
      <c r="M31271" s="112"/>
      <c r="N31271" s="84"/>
    </row>
    <row r="31272" spans="1:14" s="2" customFormat="1">
      <c r="A31272" s="83"/>
      <c r="H31272" s="83"/>
      <c r="K31272" s="82"/>
      <c r="M31272" s="112"/>
      <c r="N31272" s="84"/>
    </row>
    <row r="31273" spans="1:14" s="2" customFormat="1">
      <c r="A31273" s="83"/>
      <c r="H31273" s="83"/>
      <c r="K31273" s="82"/>
      <c r="M31273" s="112"/>
      <c r="N31273" s="84"/>
    </row>
    <row r="31274" spans="1:14" s="2" customFormat="1">
      <c r="A31274" s="83"/>
      <c r="H31274" s="83"/>
      <c r="K31274" s="82"/>
      <c r="M31274" s="112"/>
      <c r="N31274" s="84"/>
    </row>
    <row r="31275" spans="1:14" s="2" customFormat="1">
      <c r="A31275" s="83"/>
      <c r="H31275" s="83"/>
      <c r="K31275" s="82"/>
      <c r="M31275" s="112"/>
      <c r="N31275" s="84"/>
    </row>
    <row r="31276" spans="1:14" s="2" customFormat="1">
      <c r="A31276" s="83"/>
      <c r="H31276" s="83"/>
      <c r="K31276" s="82"/>
      <c r="M31276" s="112"/>
      <c r="N31276" s="84"/>
    </row>
    <row r="31277" spans="1:14" s="2" customFormat="1">
      <c r="A31277" s="83"/>
      <c r="H31277" s="83"/>
      <c r="K31277" s="82"/>
      <c r="M31277" s="112"/>
      <c r="N31277" s="84"/>
    </row>
    <row r="31278" spans="1:14" s="2" customFormat="1">
      <c r="A31278" s="83"/>
      <c r="H31278" s="83"/>
      <c r="K31278" s="82"/>
      <c r="M31278" s="112"/>
      <c r="N31278" s="84"/>
    </row>
    <row r="31279" spans="1:14" s="2" customFormat="1">
      <c r="A31279" s="83"/>
      <c r="H31279" s="83"/>
      <c r="K31279" s="82"/>
      <c r="M31279" s="112"/>
      <c r="N31279" s="84"/>
    </row>
    <row r="31280" spans="1:14" s="2" customFormat="1">
      <c r="A31280" s="83"/>
      <c r="H31280" s="83"/>
      <c r="K31280" s="82"/>
      <c r="M31280" s="112"/>
      <c r="N31280" s="84"/>
    </row>
    <row r="31281" spans="1:14" s="2" customFormat="1">
      <c r="A31281" s="83"/>
      <c r="H31281" s="83"/>
      <c r="K31281" s="82"/>
      <c r="M31281" s="112"/>
      <c r="N31281" s="84"/>
    </row>
    <row r="31282" spans="1:14" s="2" customFormat="1">
      <c r="A31282" s="83"/>
      <c r="H31282" s="83"/>
      <c r="K31282" s="82"/>
      <c r="M31282" s="112"/>
      <c r="N31282" s="84"/>
    </row>
    <row r="31283" spans="1:14" s="2" customFormat="1">
      <c r="A31283" s="83"/>
      <c r="H31283" s="83"/>
      <c r="K31283" s="82"/>
      <c r="M31283" s="112"/>
      <c r="N31283" s="84"/>
    </row>
    <row r="31284" spans="1:14" s="2" customFormat="1">
      <c r="A31284" s="83"/>
      <c r="H31284" s="83"/>
      <c r="K31284" s="82"/>
      <c r="M31284" s="112"/>
      <c r="N31284" s="84"/>
    </row>
    <row r="31285" spans="1:14" s="2" customFormat="1">
      <c r="A31285" s="83"/>
      <c r="H31285" s="83"/>
      <c r="K31285" s="82"/>
      <c r="M31285" s="112"/>
      <c r="N31285" s="84"/>
    </row>
    <row r="31286" spans="1:14" s="2" customFormat="1">
      <c r="A31286" s="83"/>
      <c r="H31286" s="83"/>
      <c r="K31286" s="82"/>
      <c r="M31286" s="112"/>
      <c r="N31286" s="84"/>
    </row>
    <row r="31287" spans="1:14" s="2" customFormat="1">
      <c r="A31287" s="83"/>
      <c r="H31287" s="83"/>
      <c r="K31287" s="82"/>
      <c r="M31287" s="112"/>
      <c r="N31287" s="84"/>
    </row>
    <row r="31288" spans="1:14" s="2" customFormat="1">
      <c r="A31288" s="83"/>
      <c r="H31288" s="83"/>
      <c r="K31288" s="82"/>
      <c r="M31288" s="112"/>
      <c r="N31288" s="84"/>
    </row>
    <row r="31289" spans="1:14" s="2" customFormat="1">
      <c r="A31289" s="83"/>
      <c r="H31289" s="83"/>
      <c r="K31289" s="82"/>
      <c r="M31289" s="112"/>
      <c r="N31289" s="84"/>
    </row>
    <row r="31290" spans="1:14" s="2" customFormat="1">
      <c r="A31290" s="83"/>
      <c r="H31290" s="83"/>
      <c r="K31290" s="82"/>
      <c r="M31290" s="112"/>
      <c r="N31290" s="84"/>
    </row>
    <row r="31291" spans="1:14" s="2" customFormat="1">
      <c r="A31291" s="83"/>
      <c r="H31291" s="83"/>
      <c r="K31291" s="82"/>
      <c r="M31291" s="112"/>
      <c r="N31291" s="84"/>
    </row>
    <row r="31292" spans="1:14" s="2" customFormat="1">
      <c r="A31292" s="83"/>
      <c r="H31292" s="83"/>
      <c r="K31292" s="82"/>
      <c r="M31292" s="112"/>
      <c r="N31292" s="84"/>
    </row>
    <row r="31293" spans="1:14" s="2" customFormat="1">
      <c r="A31293" s="83"/>
      <c r="H31293" s="83"/>
      <c r="K31293" s="82"/>
      <c r="M31293" s="112"/>
      <c r="N31293" s="84"/>
    </row>
    <row r="31294" spans="1:14" s="2" customFormat="1">
      <c r="A31294" s="83"/>
      <c r="H31294" s="83"/>
      <c r="K31294" s="82"/>
      <c r="M31294" s="112"/>
      <c r="N31294" s="84"/>
    </row>
    <row r="31295" spans="1:14" s="2" customFormat="1">
      <c r="A31295" s="83"/>
      <c r="H31295" s="83"/>
      <c r="K31295" s="82"/>
      <c r="M31295" s="112"/>
      <c r="N31295" s="84"/>
    </row>
    <row r="31296" spans="1:14" s="2" customFormat="1">
      <c r="A31296" s="83"/>
      <c r="H31296" s="83"/>
      <c r="K31296" s="82"/>
      <c r="M31296" s="112"/>
      <c r="N31296" s="84"/>
    </row>
    <row r="31297" spans="1:14" s="2" customFormat="1">
      <c r="A31297" s="83"/>
      <c r="H31297" s="83"/>
      <c r="K31297" s="82"/>
      <c r="M31297" s="112"/>
      <c r="N31297" s="84"/>
    </row>
    <row r="31298" spans="1:14" s="2" customFormat="1">
      <c r="A31298" s="83"/>
      <c r="H31298" s="83"/>
      <c r="K31298" s="82"/>
      <c r="M31298" s="112"/>
      <c r="N31298" s="84"/>
    </row>
    <row r="31299" spans="1:14" s="2" customFormat="1">
      <c r="A31299" s="83"/>
      <c r="H31299" s="83"/>
      <c r="K31299" s="82"/>
      <c r="M31299" s="112"/>
      <c r="N31299" s="84"/>
    </row>
    <row r="31300" spans="1:14" s="2" customFormat="1">
      <c r="A31300" s="83"/>
      <c r="H31300" s="83"/>
      <c r="K31300" s="82"/>
      <c r="M31300" s="112"/>
      <c r="N31300" s="84"/>
    </row>
    <row r="31301" spans="1:14" s="2" customFormat="1">
      <c r="A31301" s="83"/>
      <c r="H31301" s="83"/>
      <c r="K31301" s="82"/>
      <c r="M31301" s="112"/>
      <c r="N31301" s="84"/>
    </row>
    <row r="31302" spans="1:14" s="2" customFormat="1">
      <c r="A31302" s="83"/>
      <c r="H31302" s="83"/>
      <c r="K31302" s="82"/>
      <c r="M31302" s="112"/>
      <c r="N31302" s="84"/>
    </row>
    <row r="31303" spans="1:14" s="2" customFormat="1">
      <c r="A31303" s="83"/>
      <c r="H31303" s="83"/>
      <c r="K31303" s="82"/>
      <c r="M31303" s="112"/>
      <c r="N31303" s="84"/>
    </row>
    <row r="31304" spans="1:14" s="2" customFormat="1">
      <c r="A31304" s="83"/>
      <c r="H31304" s="83"/>
      <c r="K31304" s="82"/>
      <c r="M31304" s="112"/>
      <c r="N31304" s="84"/>
    </row>
    <row r="31305" spans="1:14" s="2" customFormat="1">
      <c r="A31305" s="83"/>
      <c r="H31305" s="83"/>
      <c r="K31305" s="82"/>
      <c r="M31305" s="112"/>
      <c r="N31305" s="84"/>
    </row>
    <row r="31306" spans="1:14" s="2" customFormat="1">
      <c r="A31306" s="83"/>
      <c r="H31306" s="83"/>
      <c r="K31306" s="82"/>
      <c r="M31306" s="112"/>
      <c r="N31306" s="84"/>
    </row>
    <row r="31307" spans="1:14" s="2" customFormat="1">
      <c r="A31307" s="83"/>
      <c r="H31307" s="83"/>
      <c r="K31307" s="82"/>
      <c r="M31307" s="112"/>
      <c r="N31307" s="84"/>
    </row>
    <row r="31308" spans="1:14" s="2" customFormat="1">
      <c r="A31308" s="83"/>
      <c r="H31308" s="83"/>
      <c r="K31308" s="82"/>
      <c r="M31308" s="112"/>
      <c r="N31308" s="84"/>
    </row>
    <row r="31309" spans="1:14" s="2" customFormat="1">
      <c r="A31309" s="83"/>
      <c r="H31309" s="83"/>
      <c r="K31309" s="82"/>
      <c r="M31309" s="112"/>
      <c r="N31309" s="84"/>
    </row>
    <row r="31310" spans="1:14" s="2" customFormat="1">
      <c r="A31310" s="83"/>
      <c r="H31310" s="83"/>
      <c r="K31310" s="82"/>
      <c r="M31310" s="112"/>
      <c r="N31310" s="84"/>
    </row>
    <row r="31311" spans="1:14" s="2" customFormat="1">
      <c r="A31311" s="83"/>
      <c r="H31311" s="83"/>
      <c r="K31311" s="82"/>
      <c r="M31311" s="112"/>
      <c r="N31311" s="84"/>
    </row>
    <row r="31312" spans="1:14" s="2" customFormat="1">
      <c r="A31312" s="83"/>
      <c r="H31312" s="83"/>
      <c r="K31312" s="82"/>
      <c r="M31312" s="112"/>
      <c r="N31312" s="84"/>
    </row>
    <row r="31313" spans="1:14" s="2" customFormat="1">
      <c r="A31313" s="83"/>
      <c r="H31313" s="83"/>
      <c r="K31313" s="82"/>
      <c r="M31313" s="112"/>
      <c r="N31313" s="84"/>
    </row>
    <row r="31314" spans="1:14" s="2" customFormat="1">
      <c r="A31314" s="83"/>
      <c r="H31314" s="83"/>
      <c r="K31314" s="82"/>
      <c r="M31314" s="112"/>
      <c r="N31314" s="84"/>
    </row>
    <row r="31315" spans="1:14" s="2" customFormat="1">
      <c r="A31315" s="83"/>
      <c r="H31315" s="83"/>
      <c r="K31315" s="82"/>
      <c r="M31315" s="112"/>
      <c r="N31315" s="84"/>
    </row>
    <row r="31316" spans="1:14" s="2" customFormat="1">
      <c r="A31316" s="83"/>
      <c r="H31316" s="83"/>
      <c r="K31316" s="82"/>
      <c r="M31316" s="112"/>
      <c r="N31316" s="84"/>
    </row>
    <row r="31317" spans="1:14" s="2" customFormat="1">
      <c r="A31317" s="83"/>
      <c r="H31317" s="83"/>
      <c r="K31317" s="82"/>
      <c r="M31317" s="112"/>
      <c r="N31317" s="84"/>
    </row>
    <row r="31318" spans="1:14" s="2" customFormat="1">
      <c r="A31318" s="83"/>
      <c r="H31318" s="83"/>
      <c r="K31318" s="82"/>
      <c r="M31318" s="112"/>
      <c r="N31318" s="84"/>
    </row>
    <row r="31319" spans="1:14" s="2" customFormat="1">
      <c r="A31319" s="83"/>
      <c r="H31319" s="83"/>
      <c r="K31319" s="82"/>
      <c r="M31319" s="112"/>
      <c r="N31319" s="84"/>
    </row>
    <row r="31320" spans="1:14" s="2" customFormat="1">
      <c r="A31320" s="83"/>
      <c r="H31320" s="83"/>
      <c r="K31320" s="82"/>
      <c r="M31320" s="112"/>
      <c r="N31320" s="84"/>
    </row>
    <row r="31321" spans="1:14" s="2" customFormat="1">
      <c r="A31321" s="83"/>
      <c r="H31321" s="83"/>
      <c r="K31321" s="82"/>
      <c r="M31321" s="112"/>
      <c r="N31321" s="84"/>
    </row>
    <row r="31322" spans="1:14" s="2" customFormat="1">
      <c r="A31322" s="83"/>
      <c r="H31322" s="83"/>
      <c r="K31322" s="82"/>
      <c r="M31322" s="112"/>
      <c r="N31322" s="84"/>
    </row>
    <row r="31323" spans="1:14" s="2" customFormat="1">
      <c r="A31323" s="83"/>
      <c r="H31323" s="83"/>
      <c r="K31323" s="82"/>
      <c r="M31323" s="112"/>
      <c r="N31323" s="84"/>
    </row>
    <row r="31324" spans="1:14" s="2" customFormat="1">
      <c r="A31324" s="83"/>
      <c r="H31324" s="83"/>
      <c r="K31324" s="82"/>
      <c r="M31324" s="112"/>
      <c r="N31324" s="84"/>
    </row>
    <row r="31325" spans="1:14" s="2" customFormat="1">
      <c r="A31325" s="83"/>
      <c r="H31325" s="83"/>
      <c r="K31325" s="82"/>
      <c r="M31325" s="112"/>
      <c r="N31325" s="84"/>
    </row>
    <row r="31326" spans="1:14" s="2" customFormat="1">
      <c r="A31326" s="83"/>
      <c r="H31326" s="83"/>
      <c r="K31326" s="82"/>
      <c r="M31326" s="112"/>
      <c r="N31326" s="84"/>
    </row>
    <row r="31327" spans="1:14" s="2" customFormat="1">
      <c r="A31327" s="83"/>
      <c r="H31327" s="83"/>
      <c r="K31327" s="82"/>
      <c r="M31327" s="112"/>
      <c r="N31327" s="84"/>
    </row>
    <row r="31328" spans="1:14" s="2" customFormat="1">
      <c r="A31328" s="83"/>
      <c r="H31328" s="83"/>
      <c r="K31328" s="82"/>
      <c r="M31328" s="112"/>
      <c r="N31328" s="84"/>
    </row>
    <row r="31329" spans="1:14" s="2" customFormat="1">
      <c r="A31329" s="83"/>
      <c r="H31329" s="83"/>
      <c r="K31329" s="82"/>
      <c r="M31329" s="112"/>
      <c r="N31329" s="84"/>
    </row>
    <row r="31330" spans="1:14" s="2" customFormat="1">
      <c r="A31330" s="83"/>
      <c r="H31330" s="83"/>
      <c r="K31330" s="82"/>
      <c r="M31330" s="112"/>
      <c r="N31330" s="84"/>
    </row>
    <row r="31331" spans="1:14" s="2" customFormat="1">
      <c r="A31331" s="83"/>
      <c r="H31331" s="83"/>
      <c r="K31331" s="82"/>
      <c r="M31331" s="112"/>
      <c r="N31331" s="84"/>
    </row>
    <row r="31332" spans="1:14" s="2" customFormat="1">
      <c r="A31332" s="83"/>
      <c r="H31332" s="83"/>
      <c r="K31332" s="82"/>
      <c r="M31332" s="112"/>
      <c r="N31332" s="84"/>
    </row>
    <row r="31333" spans="1:14" s="2" customFormat="1">
      <c r="A31333" s="83"/>
      <c r="H31333" s="83"/>
      <c r="K31333" s="82"/>
      <c r="M31333" s="112"/>
      <c r="N31333" s="84"/>
    </row>
    <row r="31334" spans="1:14" s="2" customFormat="1">
      <c r="A31334" s="83"/>
      <c r="H31334" s="83"/>
      <c r="K31334" s="82"/>
      <c r="M31334" s="112"/>
      <c r="N31334" s="84"/>
    </row>
    <row r="31335" spans="1:14" s="2" customFormat="1">
      <c r="A31335" s="83"/>
      <c r="H31335" s="83"/>
      <c r="K31335" s="82"/>
      <c r="M31335" s="112"/>
      <c r="N31335" s="84"/>
    </row>
    <row r="31336" spans="1:14" s="2" customFormat="1">
      <c r="A31336" s="83"/>
      <c r="H31336" s="83"/>
      <c r="K31336" s="82"/>
      <c r="M31336" s="112"/>
      <c r="N31336" s="84"/>
    </row>
    <row r="31337" spans="1:14" s="2" customFormat="1">
      <c r="A31337" s="83"/>
      <c r="H31337" s="83"/>
      <c r="K31337" s="82"/>
      <c r="M31337" s="112"/>
      <c r="N31337" s="84"/>
    </row>
    <row r="31338" spans="1:14" s="2" customFormat="1">
      <c r="A31338" s="83"/>
      <c r="H31338" s="83"/>
      <c r="K31338" s="82"/>
      <c r="M31338" s="112"/>
      <c r="N31338" s="84"/>
    </row>
    <row r="31339" spans="1:14" s="2" customFormat="1">
      <c r="A31339" s="83"/>
      <c r="H31339" s="83"/>
      <c r="K31339" s="82"/>
      <c r="M31339" s="112"/>
      <c r="N31339" s="84"/>
    </row>
    <row r="31340" spans="1:14" s="2" customFormat="1">
      <c r="A31340" s="83"/>
      <c r="H31340" s="83"/>
      <c r="K31340" s="82"/>
      <c r="M31340" s="112"/>
      <c r="N31340" s="84"/>
    </row>
    <row r="31341" spans="1:14" s="2" customFormat="1">
      <c r="A31341" s="83"/>
      <c r="H31341" s="83"/>
      <c r="K31341" s="82"/>
      <c r="M31341" s="112"/>
      <c r="N31341" s="84"/>
    </row>
    <row r="31342" spans="1:14" s="2" customFormat="1">
      <c r="A31342" s="83"/>
      <c r="H31342" s="83"/>
      <c r="K31342" s="82"/>
      <c r="M31342" s="112"/>
      <c r="N31342" s="84"/>
    </row>
    <row r="31343" spans="1:14" s="2" customFormat="1">
      <c r="A31343" s="83"/>
      <c r="H31343" s="83"/>
      <c r="K31343" s="82"/>
      <c r="M31343" s="112"/>
      <c r="N31343" s="84"/>
    </row>
    <row r="31344" spans="1:14" s="2" customFormat="1">
      <c r="A31344" s="83"/>
      <c r="H31344" s="83"/>
      <c r="K31344" s="82"/>
      <c r="M31344" s="112"/>
      <c r="N31344" s="84"/>
    </row>
    <row r="31345" spans="1:14" s="2" customFormat="1">
      <c r="A31345" s="83"/>
      <c r="H31345" s="83"/>
      <c r="K31345" s="82"/>
      <c r="M31345" s="112"/>
      <c r="N31345" s="84"/>
    </row>
    <row r="31346" spans="1:14" s="2" customFormat="1">
      <c r="A31346" s="83"/>
      <c r="H31346" s="83"/>
      <c r="K31346" s="82"/>
      <c r="M31346" s="112"/>
      <c r="N31346" s="84"/>
    </row>
    <row r="31347" spans="1:14" s="2" customFormat="1">
      <c r="A31347" s="83"/>
      <c r="H31347" s="83"/>
      <c r="K31347" s="82"/>
      <c r="M31347" s="112"/>
      <c r="N31347" s="84"/>
    </row>
    <row r="31348" spans="1:14" s="2" customFormat="1">
      <c r="A31348" s="83"/>
      <c r="H31348" s="83"/>
      <c r="K31348" s="82"/>
      <c r="M31348" s="112"/>
      <c r="N31348" s="84"/>
    </row>
    <row r="31349" spans="1:14" s="2" customFormat="1">
      <c r="A31349" s="83"/>
      <c r="H31349" s="83"/>
      <c r="K31349" s="82"/>
      <c r="M31349" s="112"/>
      <c r="N31349" s="84"/>
    </row>
    <row r="31350" spans="1:14" s="2" customFormat="1">
      <c r="A31350" s="83"/>
      <c r="H31350" s="83"/>
      <c r="K31350" s="82"/>
      <c r="M31350" s="112"/>
      <c r="N31350" s="84"/>
    </row>
    <row r="31351" spans="1:14" s="2" customFormat="1">
      <c r="A31351" s="83"/>
      <c r="H31351" s="83"/>
      <c r="K31351" s="82"/>
      <c r="M31351" s="112"/>
      <c r="N31351" s="84"/>
    </row>
    <row r="31352" spans="1:14" s="2" customFormat="1">
      <c r="A31352" s="83"/>
      <c r="H31352" s="83"/>
      <c r="K31352" s="82"/>
      <c r="M31352" s="112"/>
      <c r="N31352" s="84"/>
    </row>
    <row r="31353" spans="1:14" s="2" customFormat="1">
      <c r="A31353" s="83"/>
      <c r="H31353" s="83"/>
      <c r="K31353" s="82"/>
      <c r="M31353" s="112"/>
      <c r="N31353" s="84"/>
    </row>
    <row r="31354" spans="1:14" s="2" customFormat="1">
      <c r="A31354" s="83"/>
      <c r="H31354" s="83"/>
      <c r="K31354" s="82"/>
      <c r="M31354" s="112"/>
      <c r="N31354" s="84"/>
    </row>
    <row r="31355" spans="1:14" s="2" customFormat="1">
      <c r="A31355" s="83"/>
      <c r="H31355" s="83"/>
      <c r="K31355" s="82"/>
      <c r="M31355" s="112"/>
      <c r="N31355" s="84"/>
    </row>
    <row r="31356" spans="1:14" s="2" customFormat="1">
      <c r="A31356" s="83"/>
      <c r="H31356" s="83"/>
      <c r="K31356" s="82"/>
      <c r="M31356" s="112"/>
      <c r="N31356" s="84"/>
    </row>
    <row r="31357" spans="1:14" s="2" customFormat="1">
      <c r="A31357" s="83"/>
      <c r="H31357" s="83"/>
      <c r="K31357" s="82"/>
      <c r="M31357" s="112"/>
      <c r="N31357" s="84"/>
    </row>
    <row r="31358" spans="1:14" s="2" customFormat="1">
      <c r="A31358" s="83"/>
      <c r="H31358" s="83"/>
      <c r="K31358" s="82"/>
      <c r="M31358" s="112"/>
      <c r="N31358" s="84"/>
    </row>
    <row r="31359" spans="1:14" s="2" customFormat="1">
      <c r="A31359" s="83"/>
      <c r="H31359" s="83"/>
      <c r="K31359" s="82"/>
      <c r="M31359" s="112"/>
      <c r="N31359" s="84"/>
    </row>
    <row r="31360" spans="1:14" s="2" customFormat="1">
      <c r="A31360" s="83"/>
      <c r="H31360" s="83"/>
      <c r="K31360" s="82"/>
      <c r="M31360" s="112"/>
      <c r="N31360" s="84"/>
    </row>
    <row r="31361" spans="1:14" s="2" customFormat="1">
      <c r="A31361" s="83"/>
      <c r="H31361" s="83"/>
      <c r="K31361" s="82"/>
      <c r="M31361" s="112"/>
      <c r="N31361" s="84"/>
    </row>
    <row r="31362" spans="1:14" s="2" customFormat="1">
      <c r="A31362" s="83"/>
      <c r="H31362" s="83"/>
      <c r="K31362" s="82"/>
      <c r="M31362" s="112"/>
      <c r="N31362" s="84"/>
    </row>
    <row r="31363" spans="1:14" s="2" customFormat="1">
      <c r="A31363" s="83"/>
      <c r="H31363" s="83"/>
      <c r="K31363" s="82"/>
      <c r="M31363" s="112"/>
      <c r="N31363" s="84"/>
    </row>
    <row r="31364" spans="1:14" s="2" customFormat="1">
      <c r="A31364" s="83"/>
      <c r="H31364" s="83"/>
      <c r="K31364" s="82"/>
      <c r="M31364" s="112"/>
      <c r="N31364" s="84"/>
    </row>
    <row r="31365" spans="1:14" s="2" customFormat="1">
      <c r="A31365" s="83"/>
      <c r="H31365" s="83"/>
      <c r="K31365" s="82"/>
      <c r="M31365" s="112"/>
      <c r="N31365" s="84"/>
    </row>
    <row r="31366" spans="1:14" s="2" customFormat="1">
      <c r="A31366" s="83"/>
      <c r="H31366" s="83"/>
      <c r="K31366" s="82"/>
      <c r="M31366" s="112"/>
      <c r="N31366" s="84"/>
    </row>
    <row r="31367" spans="1:14" s="2" customFormat="1">
      <c r="A31367" s="83"/>
      <c r="H31367" s="83"/>
      <c r="K31367" s="82"/>
      <c r="M31367" s="112"/>
      <c r="N31367" s="84"/>
    </row>
    <row r="31368" spans="1:14" s="2" customFormat="1">
      <c r="A31368" s="83"/>
      <c r="H31368" s="83"/>
      <c r="K31368" s="82"/>
      <c r="M31368" s="112"/>
      <c r="N31368" s="84"/>
    </row>
    <row r="31369" spans="1:14" s="2" customFormat="1">
      <c r="A31369" s="83"/>
      <c r="H31369" s="83"/>
      <c r="K31369" s="82"/>
      <c r="M31369" s="112"/>
      <c r="N31369" s="84"/>
    </row>
    <row r="31370" spans="1:14" s="2" customFormat="1">
      <c r="A31370" s="83"/>
      <c r="H31370" s="83"/>
      <c r="K31370" s="82"/>
      <c r="M31370" s="112"/>
      <c r="N31370" s="84"/>
    </row>
    <row r="31371" spans="1:14" s="2" customFormat="1">
      <c r="A31371" s="83"/>
      <c r="H31371" s="83"/>
      <c r="K31371" s="82"/>
      <c r="M31371" s="112"/>
      <c r="N31371" s="84"/>
    </row>
    <row r="31372" spans="1:14" s="2" customFormat="1">
      <c r="A31372" s="83"/>
      <c r="H31372" s="83"/>
      <c r="K31372" s="82"/>
      <c r="M31372" s="112"/>
      <c r="N31372" s="84"/>
    </row>
    <row r="31373" spans="1:14" s="2" customFormat="1">
      <c r="A31373" s="83"/>
      <c r="H31373" s="83"/>
      <c r="K31373" s="82"/>
      <c r="M31373" s="112"/>
      <c r="N31373" s="84"/>
    </row>
    <row r="31374" spans="1:14" s="2" customFormat="1">
      <c r="A31374" s="83"/>
      <c r="H31374" s="83"/>
      <c r="K31374" s="82"/>
      <c r="M31374" s="112"/>
      <c r="N31374" s="84"/>
    </row>
    <row r="31375" spans="1:14" s="2" customFormat="1">
      <c r="A31375" s="83"/>
      <c r="H31375" s="83"/>
      <c r="K31375" s="82"/>
      <c r="M31375" s="112"/>
      <c r="N31375" s="84"/>
    </row>
    <row r="31376" spans="1:14" s="2" customFormat="1">
      <c r="A31376" s="83"/>
      <c r="H31376" s="83"/>
      <c r="K31376" s="82"/>
      <c r="M31376" s="112"/>
      <c r="N31376" s="84"/>
    </row>
    <row r="31377" spans="1:14" s="2" customFormat="1">
      <c r="A31377" s="83"/>
      <c r="H31377" s="83"/>
      <c r="K31377" s="82"/>
      <c r="M31377" s="112"/>
      <c r="N31377" s="84"/>
    </row>
    <row r="31378" spans="1:14" s="2" customFormat="1">
      <c r="A31378" s="83"/>
      <c r="H31378" s="83"/>
      <c r="K31378" s="82"/>
      <c r="M31378" s="112"/>
      <c r="N31378" s="84"/>
    </row>
    <row r="31379" spans="1:14" s="2" customFormat="1">
      <c r="A31379" s="83"/>
      <c r="H31379" s="83"/>
      <c r="K31379" s="82"/>
      <c r="M31379" s="112"/>
      <c r="N31379" s="84"/>
    </row>
    <row r="31380" spans="1:14" s="2" customFormat="1">
      <c r="A31380" s="83"/>
      <c r="H31380" s="83"/>
      <c r="K31380" s="82"/>
      <c r="M31380" s="112"/>
      <c r="N31380" s="84"/>
    </row>
    <row r="31381" spans="1:14" s="2" customFormat="1">
      <c r="A31381" s="83"/>
      <c r="H31381" s="83"/>
      <c r="K31381" s="82"/>
      <c r="M31381" s="112"/>
      <c r="N31381" s="84"/>
    </row>
    <row r="31382" spans="1:14" s="2" customFormat="1">
      <c r="A31382" s="83"/>
      <c r="H31382" s="83"/>
      <c r="K31382" s="82"/>
      <c r="M31382" s="112"/>
      <c r="N31382" s="84"/>
    </row>
    <row r="31383" spans="1:14" s="2" customFormat="1">
      <c r="A31383" s="83"/>
      <c r="H31383" s="83"/>
      <c r="K31383" s="82"/>
      <c r="M31383" s="112"/>
      <c r="N31383" s="84"/>
    </row>
    <row r="31384" spans="1:14" s="2" customFormat="1">
      <c r="A31384" s="83"/>
      <c r="H31384" s="83"/>
      <c r="K31384" s="82"/>
      <c r="M31384" s="112"/>
      <c r="N31384" s="84"/>
    </row>
    <row r="31385" spans="1:14" s="2" customFormat="1">
      <c r="A31385" s="83"/>
      <c r="H31385" s="83"/>
      <c r="K31385" s="82"/>
      <c r="M31385" s="112"/>
      <c r="N31385" s="84"/>
    </row>
    <row r="31386" spans="1:14" s="2" customFormat="1">
      <c r="A31386" s="83"/>
      <c r="H31386" s="83"/>
      <c r="K31386" s="82"/>
      <c r="M31386" s="112"/>
      <c r="N31386" s="84"/>
    </row>
    <row r="31387" spans="1:14" s="2" customFormat="1">
      <c r="A31387" s="83"/>
      <c r="H31387" s="83"/>
      <c r="K31387" s="82"/>
      <c r="M31387" s="112"/>
      <c r="N31387" s="84"/>
    </row>
    <row r="31388" spans="1:14" s="2" customFormat="1">
      <c r="A31388" s="83"/>
      <c r="H31388" s="83"/>
      <c r="K31388" s="82"/>
      <c r="M31388" s="112"/>
      <c r="N31388" s="84"/>
    </row>
    <row r="31389" spans="1:14" s="2" customFormat="1">
      <c r="A31389" s="83"/>
      <c r="H31389" s="83"/>
      <c r="K31389" s="82"/>
      <c r="M31389" s="112"/>
      <c r="N31389" s="84"/>
    </row>
    <row r="31390" spans="1:14" s="2" customFormat="1">
      <c r="A31390" s="83"/>
      <c r="H31390" s="83"/>
      <c r="K31390" s="82"/>
      <c r="M31390" s="112"/>
      <c r="N31390" s="84"/>
    </row>
    <row r="31391" spans="1:14" s="2" customFormat="1">
      <c r="A31391" s="83"/>
      <c r="H31391" s="83"/>
      <c r="K31391" s="82"/>
      <c r="M31391" s="112"/>
      <c r="N31391" s="84"/>
    </row>
    <row r="31392" spans="1:14" s="2" customFormat="1">
      <c r="A31392" s="83"/>
      <c r="H31392" s="83"/>
      <c r="K31392" s="82"/>
      <c r="M31392" s="112"/>
      <c r="N31392" s="84"/>
    </row>
    <row r="31393" spans="1:14" s="2" customFormat="1">
      <c r="A31393" s="83"/>
      <c r="H31393" s="83"/>
      <c r="K31393" s="82"/>
      <c r="M31393" s="112"/>
      <c r="N31393" s="84"/>
    </row>
    <row r="31394" spans="1:14" s="2" customFormat="1">
      <c r="A31394" s="83"/>
      <c r="H31394" s="83"/>
      <c r="K31394" s="82"/>
      <c r="M31394" s="112"/>
      <c r="N31394" s="84"/>
    </row>
    <row r="31395" spans="1:14" s="2" customFormat="1">
      <c r="A31395" s="83"/>
      <c r="H31395" s="83"/>
      <c r="K31395" s="82"/>
      <c r="M31395" s="112"/>
      <c r="N31395" s="84"/>
    </row>
    <row r="31396" spans="1:14" s="2" customFormat="1">
      <c r="A31396" s="83"/>
      <c r="H31396" s="83"/>
      <c r="K31396" s="82"/>
      <c r="M31396" s="112"/>
      <c r="N31396" s="84"/>
    </row>
    <row r="31397" spans="1:14" s="2" customFormat="1">
      <c r="A31397" s="83"/>
      <c r="H31397" s="83"/>
      <c r="K31397" s="82"/>
      <c r="M31397" s="112"/>
      <c r="N31397" s="84"/>
    </row>
    <row r="31398" spans="1:14" s="2" customFormat="1">
      <c r="A31398" s="83"/>
      <c r="H31398" s="83"/>
      <c r="K31398" s="82"/>
      <c r="M31398" s="112"/>
      <c r="N31398" s="84"/>
    </row>
    <row r="31399" spans="1:14" s="2" customFormat="1">
      <c r="A31399" s="83"/>
      <c r="H31399" s="83"/>
      <c r="K31399" s="82"/>
      <c r="M31399" s="112"/>
      <c r="N31399" s="84"/>
    </row>
    <row r="31400" spans="1:14" s="2" customFormat="1">
      <c r="A31400" s="83"/>
      <c r="H31400" s="83"/>
      <c r="K31400" s="82"/>
      <c r="M31400" s="112"/>
      <c r="N31400" s="84"/>
    </row>
    <row r="31401" spans="1:14" s="2" customFormat="1">
      <c r="A31401" s="83"/>
      <c r="H31401" s="83"/>
      <c r="K31401" s="82"/>
      <c r="M31401" s="112"/>
      <c r="N31401" s="84"/>
    </row>
    <row r="31402" spans="1:14" s="2" customFormat="1">
      <c r="A31402" s="83"/>
      <c r="H31402" s="83"/>
      <c r="K31402" s="82"/>
      <c r="M31402" s="112"/>
      <c r="N31402" s="84"/>
    </row>
    <row r="31403" spans="1:14" s="2" customFormat="1">
      <c r="A31403" s="83"/>
      <c r="H31403" s="83"/>
      <c r="K31403" s="82"/>
      <c r="M31403" s="112"/>
      <c r="N31403" s="84"/>
    </row>
    <row r="31404" spans="1:14" s="2" customFormat="1">
      <c r="A31404" s="83"/>
      <c r="H31404" s="83"/>
      <c r="K31404" s="82"/>
      <c r="M31404" s="112"/>
      <c r="N31404" s="84"/>
    </row>
    <row r="31405" spans="1:14" s="2" customFormat="1">
      <c r="A31405" s="83"/>
      <c r="H31405" s="83"/>
      <c r="K31405" s="82"/>
      <c r="M31405" s="112"/>
      <c r="N31405" s="84"/>
    </row>
    <row r="31406" spans="1:14" s="2" customFormat="1">
      <c r="A31406" s="83"/>
      <c r="H31406" s="83"/>
      <c r="K31406" s="82"/>
      <c r="M31406" s="112"/>
      <c r="N31406" s="84"/>
    </row>
    <row r="31407" spans="1:14" s="2" customFormat="1">
      <c r="A31407" s="83"/>
      <c r="H31407" s="83"/>
      <c r="K31407" s="82"/>
      <c r="M31407" s="112"/>
      <c r="N31407" s="84"/>
    </row>
    <row r="31408" spans="1:14" s="2" customFormat="1">
      <c r="A31408" s="83"/>
      <c r="H31408" s="83"/>
      <c r="K31408" s="82"/>
      <c r="M31408" s="112"/>
      <c r="N31408" s="84"/>
    </row>
    <row r="31409" spans="1:14" s="2" customFormat="1">
      <c r="A31409" s="83"/>
      <c r="H31409" s="83"/>
      <c r="K31409" s="82"/>
      <c r="M31409" s="112"/>
      <c r="N31409" s="84"/>
    </row>
    <row r="31410" spans="1:14" s="2" customFormat="1">
      <c r="A31410" s="83"/>
      <c r="H31410" s="83"/>
      <c r="K31410" s="82"/>
      <c r="M31410" s="112"/>
      <c r="N31410" s="84"/>
    </row>
    <row r="31411" spans="1:14" s="2" customFormat="1">
      <c r="A31411" s="83"/>
      <c r="H31411" s="83"/>
      <c r="K31411" s="82"/>
      <c r="M31411" s="112"/>
      <c r="N31411" s="84"/>
    </row>
    <row r="31412" spans="1:14" s="2" customFormat="1">
      <c r="A31412" s="83"/>
      <c r="H31412" s="83"/>
      <c r="K31412" s="82"/>
      <c r="M31412" s="112"/>
      <c r="N31412" s="84"/>
    </row>
    <row r="31413" spans="1:14" s="2" customFormat="1">
      <c r="A31413" s="83"/>
      <c r="H31413" s="83"/>
      <c r="K31413" s="82"/>
      <c r="M31413" s="112"/>
      <c r="N31413" s="84"/>
    </row>
    <row r="31414" spans="1:14" s="2" customFormat="1">
      <c r="A31414" s="83"/>
      <c r="H31414" s="83"/>
      <c r="K31414" s="82"/>
      <c r="M31414" s="112"/>
      <c r="N31414" s="84"/>
    </row>
    <row r="31415" spans="1:14" s="2" customFormat="1">
      <c r="A31415" s="83"/>
      <c r="H31415" s="83"/>
      <c r="K31415" s="82"/>
      <c r="M31415" s="112"/>
      <c r="N31415" s="84"/>
    </row>
    <row r="31416" spans="1:14" s="2" customFormat="1">
      <c r="A31416" s="83"/>
      <c r="H31416" s="83"/>
      <c r="K31416" s="82"/>
      <c r="M31416" s="112"/>
      <c r="N31416" s="84"/>
    </row>
    <row r="31417" spans="1:14" s="2" customFormat="1">
      <c r="A31417" s="83"/>
      <c r="H31417" s="83"/>
      <c r="K31417" s="82"/>
      <c r="M31417" s="112"/>
      <c r="N31417" s="84"/>
    </row>
    <row r="31418" spans="1:14" s="2" customFormat="1">
      <c r="A31418" s="83"/>
      <c r="H31418" s="83"/>
      <c r="K31418" s="82"/>
      <c r="M31418" s="112"/>
      <c r="N31418" s="84"/>
    </row>
    <row r="31419" spans="1:14" s="2" customFormat="1">
      <c r="A31419" s="83"/>
      <c r="H31419" s="83"/>
      <c r="K31419" s="82"/>
      <c r="M31419" s="112"/>
      <c r="N31419" s="84"/>
    </row>
    <row r="31420" spans="1:14" s="2" customFormat="1">
      <c r="A31420" s="83"/>
      <c r="H31420" s="83"/>
      <c r="K31420" s="82"/>
      <c r="M31420" s="112"/>
      <c r="N31420" s="84"/>
    </row>
    <row r="31421" spans="1:14" s="2" customFormat="1">
      <c r="A31421" s="83"/>
      <c r="H31421" s="83"/>
      <c r="K31421" s="82"/>
      <c r="M31421" s="112"/>
      <c r="N31421" s="84"/>
    </row>
    <row r="31422" spans="1:14" s="2" customFormat="1">
      <c r="A31422" s="83"/>
      <c r="H31422" s="83"/>
      <c r="K31422" s="82"/>
      <c r="M31422" s="112"/>
      <c r="N31422" s="84"/>
    </row>
    <row r="31423" spans="1:14" s="2" customFormat="1">
      <c r="A31423" s="83"/>
      <c r="H31423" s="83"/>
      <c r="K31423" s="82"/>
      <c r="M31423" s="112"/>
      <c r="N31423" s="84"/>
    </row>
    <row r="31424" spans="1:14" s="2" customFormat="1">
      <c r="A31424" s="83"/>
      <c r="H31424" s="83"/>
      <c r="K31424" s="82"/>
      <c r="M31424" s="112"/>
      <c r="N31424" s="84"/>
    </row>
    <row r="31425" spans="1:14" s="2" customFormat="1">
      <c r="A31425" s="83"/>
      <c r="H31425" s="83"/>
      <c r="K31425" s="82"/>
      <c r="M31425" s="112"/>
      <c r="N31425" s="84"/>
    </row>
    <row r="31426" spans="1:14" s="2" customFormat="1">
      <c r="A31426" s="83"/>
      <c r="H31426" s="83"/>
      <c r="K31426" s="82"/>
      <c r="M31426" s="112"/>
      <c r="N31426" s="84"/>
    </row>
    <row r="31427" spans="1:14" s="2" customFormat="1">
      <c r="A31427" s="83"/>
      <c r="H31427" s="83"/>
      <c r="K31427" s="82"/>
      <c r="M31427" s="112"/>
      <c r="N31427" s="84"/>
    </row>
    <row r="31428" spans="1:14" s="2" customFormat="1">
      <c r="A31428" s="83"/>
      <c r="H31428" s="83"/>
      <c r="K31428" s="82"/>
      <c r="M31428" s="112"/>
      <c r="N31428" s="84"/>
    </row>
    <row r="31429" spans="1:14" s="2" customFormat="1">
      <c r="A31429" s="83"/>
      <c r="H31429" s="83"/>
      <c r="K31429" s="82"/>
      <c r="M31429" s="112"/>
      <c r="N31429" s="84"/>
    </row>
    <row r="31430" spans="1:14" s="2" customFormat="1">
      <c r="A31430" s="83"/>
      <c r="H31430" s="83"/>
      <c r="K31430" s="82"/>
      <c r="M31430" s="112"/>
      <c r="N31430" s="84"/>
    </row>
    <row r="31431" spans="1:14" s="2" customFormat="1">
      <c r="A31431" s="83"/>
      <c r="H31431" s="83"/>
      <c r="K31431" s="82"/>
      <c r="M31431" s="112"/>
      <c r="N31431" s="84"/>
    </row>
    <row r="31432" spans="1:14" s="2" customFormat="1">
      <c r="A31432" s="83"/>
      <c r="H31432" s="83"/>
      <c r="K31432" s="82"/>
      <c r="M31432" s="112"/>
      <c r="N31432" s="84"/>
    </row>
    <row r="31433" spans="1:14" s="2" customFormat="1">
      <c r="A31433" s="83"/>
      <c r="H31433" s="83"/>
      <c r="K31433" s="82"/>
      <c r="M31433" s="112"/>
      <c r="N31433" s="84"/>
    </row>
    <row r="31434" spans="1:14" s="2" customFormat="1">
      <c r="A31434" s="83"/>
      <c r="H31434" s="83"/>
      <c r="K31434" s="82"/>
      <c r="M31434" s="112"/>
      <c r="N31434" s="84"/>
    </row>
    <row r="31435" spans="1:14" s="2" customFormat="1">
      <c r="A31435" s="83"/>
      <c r="H31435" s="83"/>
      <c r="K31435" s="82"/>
      <c r="M31435" s="112"/>
      <c r="N31435" s="84"/>
    </row>
    <row r="31436" spans="1:14" s="2" customFormat="1">
      <c r="A31436" s="83"/>
      <c r="H31436" s="83"/>
      <c r="K31436" s="82"/>
      <c r="M31436" s="112"/>
      <c r="N31436" s="84"/>
    </row>
    <row r="31437" spans="1:14" s="2" customFormat="1">
      <c r="A31437" s="83"/>
      <c r="H31437" s="83"/>
      <c r="K31437" s="82"/>
      <c r="M31437" s="112"/>
      <c r="N31437" s="84"/>
    </row>
    <row r="31438" spans="1:14" s="2" customFormat="1">
      <c r="A31438" s="83"/>
      <c r="H31438" s="83"/>
      <c r="K31438" s="82"/>
      <c r="M31438" s="112"/>
      <c r="N31438" s="84"/>
    </row>
    <row r="31439" spans="1:14" s="2" customFormat="1">
      <c r="A31439" s="83"/>
      <c r="H31439" s="83"/>
      <c r="K31439" s="82"/>
      <c r="M31439" s="112"/>
      <c r="N31439" s="84"/>
    </row>
    <row r="31440" spans="1:14" s="2" customFormat="1">
      <c r="A31440" s="83"/>
      <c r="H31440" s="83"/>
      <c r="K31440" s="82"/>
      <c r="M31440" s="112"/>
      <c r="N31440" s="84"/>
    </row>
    <row r="31441" spans="1:14" s="2" customFormat="1">
      <c r="A31441" s="83"/>
      <c r="H31441" s="83"/>
      <c r="K31441" s="82"/>
      <c r="M31441" s="112"/>
      <c r="N31441" s="84"/>
    </row>
    <row r="31442" spans="1:14" s="2" customFormat="1">
      <c r="A31442" s="83"/>
      <c r="H31442" s="83"/>
      <c r="K31442" s="82"/>
      <c r="M31442" s="112"/>
      <c r="N31442" s="84"/>
    </row>
    <row r="31443" spans="1:14" s="2" customFormat="1">
      <c r="A31443" s="83"/>
      <c r="H31443" s="83"/>
      <c r="K31443" s="82"/>
      <c r="M31443" s="112"/>
      <c r="N31443" s="84"/>
    </row>
    <row r="31444" spans="1:14" s="2" customFormat="1">
      <c r="A31444" s="83"/>
      <c r="H31444" s="83"/>
      <c r="K31444" s="82"/>
      <c r="M31444" s="112"/>
      <c r="N31444" s="84"/>
    </row>
    <row r="31445" spans="1:14" s="2" customFormat="1">
      <c r="A31445" s="83"/>
      <c r="H31445" s="83"/>
      <c r="K31445" s="82"/>
      <c r="M31445" s="112"/>
      <c r="N31445" s="84"/>
    </row>
    <row r="31446" spans="1:14" s="2" customFormat="1">
      <c r="A31446" s="83"/>
      <c r="H31446" s="83"/>
      <c r="K31446" s="82"/>
      <c r="M31446" s="112"/>
      <c r="N31446" s="84"/>
    </row>
    <row r="31447" spans="1:14" s="2" customFormat="1">
      <c r="A31447" s="83"/>
      <c r="H31447" s="83"/>
      <c r="K31447" s="82"/>
      <c r="M31447" s="112"/>
      <c r="N31447" s="84"/>
    </row>
    <row r="31448" spans="1:14" s="2" customFormat="1">
      <c r="A31448" s="83"/>
      <c r="H31448" s="83"/>
      <c r="K31448" s="82"/>
      <c r="M31448" s="112"/>
      <c r="N31448" s="84"/>
    </row>
    <row r="31449" spans="1:14" s="2" customFormat="1">
      <c r="A31449" s="83"/>
      <c r="H31449" s="83"/>
      <c r="K31449" s="82"/>
      <c r="M31449" s="112"/>
      <c r="N31449" s="84"/>
    </row>
    <row r="31450" spans="1:14" s="2" customFormat="1">
      <c r="A31450" s="83"/>
      <c r="H31450" s="83"/>
      <c r="K31450" s="82"/>
      <c r="M31450" s="112"/>
      <c r="N31450" s="84"/>
    </row>
    <row r="31451" spans="1:14" s="2" customFormat="1">
      <c r="A31451" s="83"/>
      <c r="H31451" s="83"/>
      <c r="K31451" s="82"/>
      <c r="M31451" s="112"/>
      <c r="N31451" s="84"/>
    </row>
    <row r="31452" spans="1:14" s="2" customFormat="1">
      <c r="A31452" s="83"/>
      <c r="H31452" s="83"/>
      <c r="K31452" s="82"/>
      <c r="M31452" s="112"/>
      <c r="N31452" s="84"/>
    </row>
    <row r="31453" spans="1:14" s="2" customFormat="1">
      <c r="A31453" s="83"/>
      <c r="H31453" s="83"/>
      <c r="K31453" s="82"/>
      <c r="M31453" s="112"/>
      <c r="N31453" s="84"/>
    </row>
    <row r="31454" spans="1:14" s="2" customFormat="1">
      <c r="A31454" s="83"/>
      <c r="H31454" s="83"/>
      <c r="K31454" s="82"/>
      <c r="M31454" s="112"/>
      <c r="N31454" s="84"/>
    </row>
    <row r="31455" spans="1:14" s="2" customFormat="1">
      <c r="A31455" s="83"/>
      <c r="H31455" s="83"/>
      <c r="K31455" s="82"/>
      <c r="M31455" s="112"/>
      <c r="N31455" s="84"/>
    </row>
    <row r="31456" spans="1:14" s="2" customFormat="1">
      <c r="A31456" s="83"/>
      <c r="H31456" s="83"/>
      <c r="K31456" s="82"/>
      <c r="M31456" s="112"/>
      <c r="N31456" s="84"/>
    </row>
    <row r="31457" spans="1:14" s="2" customFormat="1">
      <c r="A31457" s="83"/>
      <c r="H31457" s="83"/>
      <c r="K31457" s="82"/>
      <c r="M31457" s="112"/>
      <c r="N31457" s="84"/>
    </row>
    <row r="31458" spans="1:14" s="2" customFormat="1">
      <c r="A31458" s="83"/>
      <c r="H31458" s="83"/>
      <c r="K31458" s="82"/>
      <c r="M31458" s="112"/>
      <c r="N31458" s="84"/>
    </row>
    <row r="31459" spans="1:14" s="2" customFormat="1">
      <c r="A31459" s="83"/>
      <c r="H31459" s="83"/>
      <c r="K31459" s="82"/>
      <c r="M31459" s="112"/>
      <c r="N31459" s="84"/>
    </row>
    <row r="31460" spans="1:14" s="2" customFormat="1">
      <c r="A31460" s="83"/>
      <c r="H31460" s="83"/>
      <c r="K31460" s="82"/>
      <c r="M31460" s="112"/>
      <c r="N31460" s="84"/>
    </row>
    <row r="31461" spans="1:14" s="2" customFormat="1">
      <c r="A31461" s="83"/>
      <c r="H31461" s="83"/>
      <c r="K31461" s="82"/>
      <c r="M31461" s="112"/>
      <c r="N31461" s="84"/>
    </row>
    <row r="31462" spans="1:14" s="2" customFormat="1">
      <c r="A31462" s="83"/>
      <c r="H31462" s="83"/>
      <c r="K31462" s="82"/>
      <c r="M31462" s="112"/>
      <c r="N31462" s="84"/>
    </row>
    <row r="31463" spans="1:14" s="2" customFormat="1">
      <c r="A31463" s="83"/>
      <c r="H31463" s="83"/>
      <c r="K31463" s="82"/>
      <c r="M31463" s="112"/>
      <c r="N31463" s="84"/>
    </row>
    <row r="31464" spans="1:14" s="2" customFormat="1">
      <c r="A31464" s="83"/>
      <c r="H31464" s="83"/>
      <c r="K31464" s="82"/>
      <c r="M31464" s="112"/>
      <c r="N31464" s="84"/>
    </row>
    <row r="31465" spans="1:14" s="2" customFormat="1">
      <c r="A31465" s="83"/>
      <c r="H31465" s="83"/>
      <c r="K31465" s="82"/>
      <c r="M31465" s="112"/>
      <c r="N31465" s="84"/>
    </row>
    <row r="31466" spans="1:14" s="2" customFormat="1">
      <c r="A31466" s="83"/>
      <c r="H31466" s="83"/>
      <c r="K31466" s="82"/>
      <c r="M31466" s="112"/>
      <c r="N31466" s="84"/>
    </row>
    <row r="31467" spans="1:14" s="2" customFormat="1">
      <c r="A31467" s="83"/>
      <c r="H31467" s="83"/>
      <c r="K31467" s="82"/>
      <c r="M31467" s="112"/>
      <c r="N31467" s="84"/>
    </row>
    <row r="31468" spans="1:14" s="2" customFormat="1">
      <c r="A31468" s="83"/>
      <c r="H31468" s="83"/>
      <c r="K31468" s="82"/>
      <c r="M31468" s="112"/>
      <c r="N31468" s="84"/>
    </row>
    <row r="31469" spans="1:14" s="2" customFormat="1">
      <c r="A31469" s="83"/>
      <c r="H31469" s="83"/>
      <c r="K31469" s="82"/>
      <c r="M31469" s="112"/>
      <c r="N31469" s="84"/>
    </row>
    <row r="31470" spans="1:14" s="2" customFormat="1">
      <c r="A31470" s="83"/>
      <c r="H31470" s="83"/>
      <c r="K31470" s="82"/>
      <c r="M31470" s="112"/>
      <c r="N31470" s="84"/>
    </row>
    <row r="31471" spans="1:14" s="2" customFormat="1">
      <c r="A31471" s="83"/>
      <c r="H31471" s="83"/>
      <c r="K31471" s="82"/>
      <c r="M31471" s="112"/>
      <c r="N31471" s="84"/>
    </row>
    <row r="31472" spans="1:14" s="2" customFormat="1">
      <c r="A31472" s="83"/>
      <c r="H31472" s="83"/>
      <c r="K31472" s="82"/>
      <c r="M31472" s="112"/>
      <c r="N31472" s="84"/>
    </row>
    <row r="31473" spans="1:14" s="2" customFormat="1">
      <c r="A31473" s="83"/>
      <c r="H31473" s="83"/>
      <c r="K31473" s="82"/>
      <c r="M31473" s="112"/>
      <c r="N31473" s="84"/>
    </row>
    <row r="31474" spans="1:14" s="2" customFormat="1">
      <c r="A31474" s="83"/>
      <c r="H31474" s="83"/>
      <c r="K31474" s="82"/>
      <c r="M31474" s="112"/>
      <c r="N31474" s="84"/>
    </row>
    <row r="31475" spans="1:14" s="2" customFormat="1">
      <c r="A31475" s="83"/>
      <c r="H31475" s="83"/>
      <c r="K31475" s="82"/>
      <c r="M31475" s="112"/>
      <c r="N31475" s="84"/>
    </row>
    <row r="31476" spans="1:14" s="2" customFormat="1">
      <c r="A31476" s="83"/>
      <c r="H31476" s="83"/>
      <c r="K31476" s="82"/>
      <c r="M31476" s="112"/>
      <c r="N31476" s="84"/>
    </row>
    <row r="31477" spans="1:14" s="2" customFormat="1">
      <c r="A31477" s="83"/>
      <c r="H31477" s="83"/>
      <c r="K31477" s="82"/>
      <c r="M31477" s="112"/>
      <c r="N31477" s="84"/>
    </row>
    <row r="31478" spans="1:14" s="2" customFormat="1">
      <c r="A31478" s="83"/>
      <c r="H31478" s="83"/>
      <c r="K31478" s="82"/>
      <c r="M31478" s="112"/>
      <c r="N31478" s="84"/>
    </row>
    <row r="31479" spans="1:14" s="2" customFormat="1">
      <c r="A31479" s="83"/>
      <c r="H31479" s="83"/>
      <c r="K31479" s="82"/>
      <c r="M31479" s="112"/>
      <c r="N31479" s="84"/>
    </row>
    <row r="31480" spans="1:14" s="2" customFormat="1">
      <c r="A31480" s="83"/>
      <c r="H31480" s="83"/>
      <c r="K31480" s="82"/>
      <c r="M31480" s="112"/>
      <c r="N31480" s="84"/>
    </row>
    <row r="31481" spans="1:14" s="2" customFormat="1">
      <c r="A31481" s="83"/>
      <c r="H31481" s="83"/>
      <c r="K31481" s="82"/>
      <c r="M31481" s="112"/>
      <c r="N31481" s="84"/>
    </row>
    <row r="31482" spans="1:14" s="2" customFormat="1">
      <c r="A31482" s="83"/>
      <c r="H31482" s="83"/>
      <c r="K31482" s="82"/>
      <c r="M31482" s="112"/>
      <c r="N31482" s="84"/>
    </row>
    <row r="31483" spans="1:14" s="2" customFormat="1">
      <c r="A31483" s="83"/>
      <c r="H31483" s="83"/>
      <c r="K31483" s="82"/>
      <c r="M31483" s="112"/>
      <c r="N31483" s="84"/>
    </row>
    <row r="31484" spans="1:14" s="2" customFormat="1">
      <c r="A31484" s="83"/>
      <c r="H31484" s="83"/>
      <c r="K31484" s="82"/>
      <c r="M31484" s="112"/>
      <c r="N31484" s="84"/>
    </row>
    <row r="31485" spans="1:14" s="2" customFormat="1">
      <c r="A31485" s="83"/>
      <c r="H31485" s="83"/>
      <c r="K31485" s="82"/>
      <c r="M31485" s="112"/>
      <c r="N31485" s="84"/>
    </row>
    <row r="31486" spans="1:14" s="2" customFormat="1">
      <c r="A31486" s="83"/>
      <c r="H31486" s="83"/>
      <c r="K31486" s="82"/>
      <c r="M31486" s="112"/>
      <c r="N31486" s="84"/>
    </row>
    <row r="31487" spans="1:14" s="2" customFormat="1">
      <c r="A31487" s="83"/>
      <c r="H31487" s="83"/>
      <c r="K31487" s="82"/>
      <c r="M31487" s="112"/>
      <c r="N31487" s="84"/>
    </row>
    <row r="31488" spans="1:14" s="2" customFormat="1">
      <c r="A31488" s="83"/>
      <c r="H31488" s="83"/>
      <c r="K31488" s="82"/>
      <c r="M31488" s="112"/>
      <c r="N31488" s="84"/>
    </row>
    <row r="31489" spans="1:14" s="2" customFormat="1">
      <c r="A31489" s="83"/>
      <c r="H31489" s="83"/>
      <c r="K31489" s="82"/>
      <c r="M31489" s="112"/>
      <c r="N31489" s="84"/>
    </row>
    <row r="31490" spans="1:14" s="2" customFormat="1">
      <c r="A31490" s="83"/>
      <c r="H31490" s="83"/>
      <c r="K31490" s="82"/>
      <c r="M31490" s="112"/>
      <c r="N31490" s="84"/>
    </row>
    <row r="31491" spans="1:14" s="2" customFormat="1">
      <c r="A31491" s="83"/>
      <c r="H31491" s="83"/>
      <c r="K31491" s="82"/>
      <c r="M31491" s="112"/>
      <c r="N31491" s="84"/>
    </row>
    <row r="31492" spans="1:14" s="2" customFormat="1">
      <c r="A31492" s="83"/>
      <c r="H31492" s="83"/>
      <c r="K31492" s="82"/>
      <c r="M31492" s="112"/>
      <c r="N31492" s="84"/>
    </row>
    <row r="31493" spans="1:14" s="2" customFormat="1">
      <c r="A31493" s="83"/>
      <c r="H31493" s="83"/>
      <c r="K31493" s="82"/>
      <c r="M31493" s="112"/>
      <c r="N31493" s="84"/>
    </row>
    <row r="31494" spans="1:14" s="2" customFormat="1">
      <c r="A31494" s="83"/>
      <c r="H31494" s="83"/>
      <c r="K31494" s="82"/>
      <c r="M31494" s="112"/>
      <c r="N31494" s="84"/>
    </row>
    <row r="31495" spans="1:14" s="2" customFormat="1">
      <c r="A31495" s="83"/>
      <c r="H31495" s="83"/>
      <c r="K31495" s="82"/>
      <c r="M31495" s="112"/>
      <c r="N31495" s="84"/>
    </row>
    <row r="31496" spans="1:14" s="2" customFormat="1">
      <c r="A31496" s="83"/>
      <c r="H31496" s="83"/>
      <c r="K31496" s="82"/>
      <c r="M31496" s="112"/>
      <c r="N31496" s="84"/>
    </row>
    <row r="31497" spans="1:14" s="2" customFormat="1">
      <c r="A31497" s="83"/>
      <c r="H31497" s="83"/>
      <c r="K31497" s="82"/>
      <c r="M31497" s="112"/>
      <c r="N31497" s="84"/>
    </row>
    <row r="31498" spans="1:14" s="2" customFormat="1">
      <c r="A31498" s="83"/>
      <c r="H31498" s="83"/>
      <c r="K31498" s="82"/>
      <c r="M31498" s="112"/>
      <c r="N31498" s="84"/>
    </row>
    <row r="31499" spans="1:14" s="2" customFormat="1">
      <c r="A31499" s="83"/>
      <c r="H31499" s="83"/>
      <c r="K31499" s="82"/>
      <c r="M31499" s="112"/>
      <c r="N31499" s="84"/>
    </row>
    <row r="31500" spans="1:14" s="2" customFormat="1">
      <c r="A31500" s="83"/>
      <c r="H31500" s="83"/>
      <c r="K31500" s="82"/>
      <c r="M31500" s="112"/>
      <c r="N31500" s="84"/>
    </row>
    <row r="31501" spans="1:14" s="2" customFormat="1">
      <c r="A31501" s="83"/>
      <c r="H31501" s="83"/>
      <c r="K31501" s="82"/>
      <c r="M31501" s="112"/>
      <c r="N31501" s="84"/>
    </row>
    <row r="31502" spans="1:14" s="2" customFormat="1">
      <c r="A31502" s="83"/>
      <c r="H31502" s="83"/>
      <c r="K31502" s="82"/>
      <c r="M31502" s="112"/>
      <c r="N31502" s="84"/>
    </row>
    <row r="31503" spans="1:14" s="2" customFormat="1">
      <c r="A31503" s="83"/>
      <c r="H31503" s="83"/>
      <c r="K31503" s="82"/>
      <c r="M31503" s="112"/>
      <c r="N31503" s="84"/>
    </row>
    <row r="31504" spans="1:14" s="2" customFormat="1">
      <c r="A31504" s="83"/>
      <c r="H31504" s="83"/>
      <c r="K31504" s="82"/>
      <c r="M31504" s="112"/>
      <c r="N31504" s="84"/>
    </row>
    <row r="31505" spans="1:14" s="2" customFormat="1">
      <c r="A31505" s="83"/>
      <c r="H31505" s="83"/>
      <c r="K31505" s="82"/>
      <c r="M31505" s="112"/>
      <c r="N31505" s="84"/>
    </row>
    <row r="31506" spans="1:14" s="2" customFormat="1">
      <c r="A31506" s="83"/>
      <c r="H31506" s="83"/>
      <c r="K31506" s="82"/>
      <c r="M31506" s="112"/>
      <c r="N31506" s="84"/>
    </row>
    <row r="31507" spans="1:14" s="2" customFormat="1">
      <c r="A31507" s="83"/>
      <c r="H31507" s="83"/>
      <c r="K31507" s="82"/>
      <c r="M31507" s="112"/>
      <c r="N31507" s="84"/>
    </row>
    <row r="31508" spans="1:14" s="2" customFormat="1">
      <c r="A31508" s="83"/>
      <c r="H31508" s="83"/>
      <c r="K31508" s="82"/>
      <c r="M31508" s="112"/>
      <c r="N31508" s="84"/>
    </row>
    <row r="31509" spans="1:14" s="2" customFormat="1">
      <c r="A31509" s="83"/>
      <c r="H31509" s="83"/>
      <c r="K31509" s="82"/>
      <c r="M31509" s="112"/>
      <c r="N31509" s="84"/>
    </row>
    <row r="31510" spans="1:14" s="2" customFormat="1">
      <c r="A31510" s="83"/>
      <c r="H31510" s="83"/>
      <c r="K31510" s="82"/>
      <c r="M31510" s="112"/>
      <c r="N31510" s="84"/>
    </row>
    <row r="31511" spans="1:14" s="2" customFormat="1">
      <c r="A31511" s="83"/>
      <c r="H31511" s="83"/>
      <c r="K31511" s="82"/>
      <c r="M31511" s="112"/>
      <c r="N31511" s="84"/>
    </row>
    <row r="31512" spans="1:14" s="2" customFormat="1">
      <c r="A31512" s="83"/>
      <c r="H31512" s="83"/>
      <c r="K31512" s="82"/>
      <c r="M31512" s="112"/>
      <c r="N31512" s="84"/>
    </row>
    <row r="31513" spans="1:14" s="2" customFormat="1">
      <c r="A31513" s="83"/>
      <c r="H31513" s="83"/>
      <c r="K31513" s="82"/>
      <c r="M31513" s="112"/>
      <c r="N31513" s="84"/>
    </row>
    <row r="31514" spans="1:14" s="2" customFormat="1">
      <c r="A31514" s="83"/>
      <c r="H31514" s="83"/>
      <c r="K31514" s="82"/>
      <c r="M31514" s="112"/>
      <c r="N31514" s="84"/>
    </row>
    <row r="31515" spans="1:14" s="2" customFormat="1">
      <c r="A31515" s="83"/>
      <c r="H31515" s="83"/>
      <c r="K31515" s="82"/>
      <c r="M31515" s="112"/>
      <c r="N31515" s="84"/>
    </row>
    <row r="31516" spans="1:14" s="2" customFormat="1">
      <c r="A31516" s="83"/>
      <c r="H31516" s="83"/>
      <c r="K31516" s="82"/>
      <c r="M31516" s="112"/>
      <c r="N31516" s="84"/>
    </row>
    <row r="31517" spans="1:14" s="2" customFormat="1">
      <c r="A31517" s="83"/>
      <c r="H31517" s="83"/>
      <c r="K31517" s="82"/>
      <c r="M31517" s="112"/>
      <c r="N31517" s="84"/>
    </row>
    <row r="31518" spans="1:14" s="2" customFormat="1">
      <c r="A31518" s="83"/>
      <c r="H31518" s="83"/>
      <c r="K31518" s="82"/>
      <c r="M31518" s="112"/>
      <c r="N31518" s="84"/>
    </row>
    <row r="31519" spans="1:14" s="2" customFormat="1">
      <c r="A31519" s="83"/>
      <c r="H31519" s="83"/>
      <c r="K31519" s="82"/>
      <c r="M31519" s="112"/>
      <c r="N31519" s="84"/>
    </row>
    <row r="31520" spans="1:14" s="2" customFormat="1">
      <c r="A31520" s="83"/>
      <c r="H31520" s="83"/>
      <c r="K31520" s="82"/>
      <c r="M31520" s="112"/>
      <c r="N31520" s="84"/>
    </row>
    <row r="31521" spans="1:14" s="2" customFormat="1">
      <c r="A31521" s="83"/>
      <c r="H31521" s="83"/>
      <c r="K31521" s="82"/>
      <c r="M31521" s="112"/>
      <c r="N31521" s="84"/>
    </row>
    <row r="31522" spans="1:14" s="2" customFormat="1">
      <c r="A31522" s="83"/>
      <c r="H31522" s="83"/>
      <c r="K31522" s="82"/>
      <c r="M31522" s="112"/>
      <c r="N31522" s="84"/>
    </row>
    <row r="31523" spans="1:14" s="2" customFormat="1">
      <c r="A31523" s="83"/>
      <c r="H31523" s="83"/>
      <c r="K31523" s="82"/>
      <c r="M31523" s="112"/>
      <c r="N31523" s="84"/>
    </row>
    <row r="31524" spans="1:14" s="2" customFormat="1">
      <c r="A31524" s="83"/>
      <c r="H31524" s="83"/>
      <c r="K31524" s="82"/>
      <c r="M31524" s="112"/>
      <c r="N31524" s="84"/>
    </row>
    <row r="31525" spans="1:14" s="2" customFormat="1">
      <c r="A31525" s="83"/>
      <c r="H31525" s="83"/>
      <c r="K31525" s="82"/>
      <c r="M31525" s="112"/>
      <c r="N31525" s="84"/>
    </row>
    <row r="31526" spans="1:14" s="2" customFormat="1">
      <c r="A31526" s="83"/>
      <c r="H31526" s="83"/>
      <c r="K31526" s="82"/>
      <c r="M31526" s="112"/>
      <c r="N31526" s="84"/>
    </row>
    <row r="31527" spans="1:14" s="2" customFormat="1">
      <c r="A31527" s="83"/>
      <c r="H31527" s="83"/>
      <c r="K31527" s="82"/>
      <c r="M31527" s="112"/>
      <c r="N31527" s="84"/>
    </row>
    <row r="31528" spans="1:14" s="2" customFormat="1">
      <c r="A31528" s="83"/>
      <c r="H31528" s="83"/>
      <c r="K31528" s="82"/>
      <c r="M31528" s="112"/>
      <c r="N31528" s="84"/>
    </row>
    <row r="31529" spans="1:14" s="2" customFormat="1">
      <c r="A31529" s="83"/>
      <c r="H31529" s="83"/>
      <c r="K31529" s="82"/>
      <c r="M31529" s="112"/>
      <c r="N31529" s="84"/>
    </row>
    <row r="31530" spans="1:14" s="2" customFormat="1">
      <c r="A31530" s="83"/>
      <c r="H31530" s="83"/>
      <c r="K31530" s="82"/>
      <c r="M31530" s="112"/>
      <c r="N31530" s="84"/>
    </row>
    <row r="31531" spans="1:14" s="2" customFormat="1">
      <c r="A31531" s="83"/>
      <c r="H31531" s="83"/>
      <c r="K31531" s="82"/>
      <c r="M31531" s="112"/>
      <c r="N31531" s="84"/>
    </row>
    <row r="31532" spans="1:14" s="2" customFormat="1">
      <c r="A31532" s="83"/>
      <c r="H31532" s="83"/>
      <c r="K31532" s="82"/>
      <c r="M31532" s="112"/>
      <c r="N31532" s="84"/>
    </row>
    <row r="31533" spans="1:14" s="2" customFormat="1">
      <c r="A31533" s="83"/>
      <c r="H31533" s="83"/>
      <c r="K31533" s="82"/>
      <c r="M31533" s="112"/>
      <c r="N31533" s="84"/>
    </row>
    <row r="31534" spans="1:14" s="2" customFormat="1">
      <c r="A31534" s="83"/>
      <c r="H31534" s="83"/>
      <c r="K31534" s="82"/>
      <c r="M31534" s="112"/>
      <c r="N31534" s="84"/>
    </row>
    <row r="31535" spans="1:14" s="2" customFormat="1">
      <c r="A31535" s="83"/>
      <c r="H31535" s="83"/>
      <c r="K31535" s="82"/>
      <c r="M31535" s="112"/>
      <c r="N31535" s="84"/>
    </row>
    <row r="31536" spans="1:14" s="2" customFormat="1">
      <c r="A31536" s="83"/>
      <c r="H31536" s="83"/>
      <c r="K31536" s="82"/>
      <c r="M31536" s="112"/>
      <c r="N31536" s="84"/>
    </row>
    <row r="31537" spans="1:14" s="2" customFormat="1">
      <c r="A31537" s="83"/>
      <c r="H31537" s="83"/>
      <c r="K31537" s="82"/>
      <c r="M31537" s="112"/>
      <c r="N31537" s="84"/>
    </row>
    <row r="31538" spans="1:14" s="2" customFormat="1">
      <c r="A31538" s="83"/>
      <c r="H31538" s="83"/>
      <c r="K31538" s="82"/>
      <c r="M31538" s="112"/>
      <c r="N31538" s="84"/>
    </row>
    <row r="31539" spans="1:14" s="2" customFormat="1">
      <c r="A31539" s="83"/>
      <c r="H31539" s="83"/>
      <c r="K31539" s="82"/>
      <c r="M31539" s="112"/>
      <c r="N31539" s="84"/>
    </row>
    <row r="31540" spans="1:14" s="2" customFormat="1">
      <c r="A31540" s="83"/>
      <c r="H31540" s="83"/>
      <c r="K31540" s="82"/>
      <c r="M31540" s="112"/>
      <c r="N31540" s="84"/>
    </row>
    <row r="31541" spans="1:14" s="2" customFormat="1">
      <c r="A31541" s="83"/>
      <c r="H31541" s="83"/>
      <c r="K31541" s="82"/>
      <c r="M31541" s="112"/>
      <c r="N31541" s="84"/>
    </row>
    <row r="31542" spans="1:14" s="2" customFormat="1">
      <c r="A31542" s="83"/>
      <c r="H31542" s="83"/>
      <c r="K31542" s="82"/>
      <c r="M31542" s="112"/>
      <c r="N31542" s="84"/>
    </row>
    <row r="31543" spans="1:14" s="2" customFormat="1">
      <c r="A31543" s="83"/>
      <c r="H31543" s="83"/>
      <c r="K31543" s="82"/>
      <c r="M31543" s="112"/>
      <c r="N31543" s="84"/>
    </row>
    <row r="31544" spans="1:14" s="2" customFormat="1">
      <c r="A31544" s="83"/>
      <c r="H31544" s="83"/>
      <c r="K31544" s="82"/>
      <c r="M31544" s="112"/>
      <c r="N31544" s="84"/>
    </row>
    <row r="31545" spans="1:14" s="2" customFormat="1">
      <c r="A31545" s="83"/>
      <c r="H31545" s="83"/>
      <c r="K31545" s="82"/>
      <c r="M31545" s="112"/>
      <c r="N31545" s="84"/>
    </row>
    <row r="31546" spans="1:14" s="2" customFormat="1">
      <c r="A31546" s="83"/>
      <c r="H31546" s="83"/>
      <c r="K31546" s="82"/>
      <c r="M31546" s="112"/>
      <c r="N31546" s="84"/>
    </row>
    <row r="31547" spans="1:14" s="2" customFormat="1">
      <c r="A31547" s="83"/>
      <c r="H31547" s="83"/>
      <c r="K31547" s="82"/>
      <c r="M31547" s="112"/>
      <c r="N31547" s="84"/>
    </row>
    <row r="31548" spans="1:14" s="2" customFormat="1">
      <c r="A31548" s="83"/>
      <c r="H31548" s="83"/>
      <c r="K31548" s="82"/>
      <c r="M31548" s="112"/>
      <c r="N31548" s="84"/>
    </row>
    <row r="31549" spans="1:14" s="2" customFormat="1">
      <c r="A31549" s="83"/>
      <c r="H31549" s="83"/>
      <c r="K31549" s="82"/>
      <c r="M31549" s="112"/>
      <c r="N31549" s="84"/>
    </row>
    <row r="31550" spans="1:14" s="2" customFormat="1">
      <c r="A31550" s="83"/>
      <c r="H31550" s="83"/>
      <c r="K31550" s="82"/>
      <c r="M31550" s="112"/>
      <c r="N31550" s="84"/>
    </row>
    <row r="31551" spans="1:14" s="2" customFormat="1">
      <c r="A31551" s="83"/>
      <c r="H31551" s="83"/>
      <c r="K31551" s="82"/>
      <c r="M31551" s="112"/>
      <c r="N31551" s="84"/>
    </row>
    <row r="31552" spans="1:14" s="2" customFormat="1">
      <c r="A31552" s="83"/>
      <c r="H31552" s="83"/>
      <c r="K31552" s="82"/>
      <c r="M31552" s="112"/>
      <c r="N31552" s="84"/>
    </row>
    <row r="31553" spans="1:14" s="2" customFormat="1">
      <c r="A31553" s="83"/>
      <c r="H31553" s="83"/>
      <c r="K31553" s="82"/>
      <c r="M31553" s="112"/>
      <c r="N31553" s="84"/>
    </row>
    <row r="31554" spans="1:14" s="2" customFormat="1">
      <c r="A31554" s="83"/>
      <c r="H31554" s="83"/>
      <c r="K31554" s="82"/>
      <c r="M31554" s="112"/>
      <c r="N31554" s="84"/>
    </row>
    <row r="31555" spans="1:14" s="2" customFormat="1">
      <c r="A31555" s="83"/>
      <c r="H31555" s="83"/>
      <c r="K31555" s="82"/>
      <c r="M31555" s="112"/>
      <c r="N31555" s="84"/>
    </row>
    <row r="31556" spans="1:14" s="2" customFormat="1">
      <c r="A31556" s="83"/>
      <c r="H31556" s="83"/>
      <c r="K31556" s="82"/>
      <c r="M31556" s="112"/>
      <c r="N31556" s="84"/>
    </row>
    <row r="31557" spans="1:14" s="2" customFormat="1">
      <c r="A31557" s="83"/>
      <c r="H31557" s="83"/>
      <c r="K31557" s="82"/>
      <c r="M31557" s="112"/>
      <c r="N31557" s="84"/>
    </row>
    <row r="31558" spans="1:14" s="2" customFormat="1">
      <c r="A31558" s="83"/>
      <c r="H31558" s="83"/>
      <c r="K31558" s="82"/>
      <c r="M31558" s="112"/>
      <c r="N31558" s="84"/>
    </row>
    <row r="31559" spans="1:14" s="2" customFormat="1">
      <c r="A31559" s="83"/>
      <c r="H31559" s="83"/>
      <c r="K31559" s="82"/>
      <c r="M31559" s="112"/>
      <c r="N31559" s="84"/>
    </row>
    <row r="31560" spans="1:14" s="2" customFormat="1">
      <c r="A31560" s="83"/>
      <c r="H31560" s="83"/>
      <c r="K31560" s="82"/>
      <c r="M31560" s="112"/>
      <c r="N31560" s="84"/>
    </row>
    <row r="31561" spans="1:14" s="2" customFormat="1">
      <c r="A31561" s="83"/>
      <c r="H31561" s="83"/>
      <c r="K31561" s="82"/>
      <c r="M31561" s="112"/>
      <c r="N31561" s="84"/>
    </row>
    <row r="31562" spans="1:14" s="2" customFormat="1">
      <c r="A31562" s="83"/>
      <c r="H31562" s="83"/>
      <c r="K31562" s="82"/>
      <c r="M31562" s="112"/>
      <c r="N31562" s="84"/>
    </row>
    <row r="31563" spans="1:14" s="2" customFormat="1">
      <c r="A31563" s="83"/>
      <c r="H31563" s="83"/>
      <c r="K31563" s="82"/>
      <c r="M31563" s="112"/>
      <c r="N31563" s="84"/>
    </row>
    <row r="31564" spans="1:14" s="2" customFormat="1">
      <c r="A31564" s="83"/>
      <c r="H31564" s="83"/>
      <c r="K31564" s="82"/>
      <c r="M31564" s="112"/>
      <c r="N31564" s="84"/>
    </row>
    <row r="31565" spans="1:14" s="2" customFormat="1">
      <c r="A31565" s="83"/>
      <c r="H31565" s="83"/>
      <c r="K31565" s="82"/>
      <c r="M31565" s="112"/>
      <c r="N31565" s="84"/>
    </row>
    <row r="31566" spans="1:14" s="2" customFormat="1">
      <c r="A31566" s="83"/>
      <c r="H31566" s="83"/>
      <c r="K31566" s="82"/>
      <c r="M31566" s="112"/>
      <c r="N31566" s="84"/>
    </row>
    <row r="31567" spans="1:14" s="2" customFormat="1">
      <c r="A31567" s="83"/>
      <c r="H31567" s="83"/>
      <c r="K31567" s="82"/>
      <c r="M31567" s="112"/>
      <c r="N31567" s="84"/>
    </row>
    <row r="31568" spans="1:14" s="2" customFormat="1">
      <c r="A31568" s="83"/>
      <c r="H31568" s="83"/>
      <c r="K31568" s="82"/>
      <c r="M31568" s="112"/>
      <c r="N31568" s="84"/>
    </row>
    <row r="31569" spans="1:14" s="2" customFormat="1">
      <c r="A31569" s="83"/>
      <c r="H31569" s="83"/>
      <c r="K31569" s="82"/>
      <c r="M31569" s="112"/>
      <c r="N31569" s="84"/>
    </row>
    <row r="31570" spans="1:14" s="2" customFormat="1">
      <c r="A31570" s="83"/>
      <c r="H31570" s="83"/>
      <c r="K31570" s="82"/>
      <c r="M31570" s="112"/>
      <c r="N31570" s="84"/>
    </row>
    <row r="31571" spans="1:14" s="2" customFormat="1">
      <c r="A31571" s="83"/>
      <c r="H31571" s="83"/>
      <c r="K31571" s="82"/>
      <c r="M31571" s="112"/>
      <c r="N31571" s="84"/>
    </row>
    <row r="31572" spans="1:14" s="2" customFormat="1">
      <c r="A31572" s="83"/>
      <c r="H31572" s="83"/>
      <c r="K31572" s="82"/>
      <c r="M31572" s="112"/>
      <c r="N31572" s="84"/>
    </row>
    <row r="31573" spans="1:14" s="2" customFormat="1">
      <c r="A31573" s="83"/>
      <c r="H31573" s="83"/>
      <c r="K31573" s="82"/>
      <c r="M31573" s="112"/>
      <c r="N31573" s="84"/>
    </row>
    <row r="31574" spans="1:14" s="2" customFormat="1">
      <c r="A31574" s="83"/>
      <c r="H31574" s="83"/>
      <c r="K31574" s="82"/>
      <c r="M31574" s="112"/>
      <c r="N31574" s="84"/>
    </row>
    <row r="31575" spans="1:14" s="2" customFormat="1">
      <c r="A31575" s="83"/>
      <c r="H31575" s="83"/>
      <c r="K31575" s="82"/>
      <c r="M31575" s="112"/>
      <c r="N31575" s="84"/>
    </row>
    <row r="31576" spans="1:14" s="2" customFormat="1">
      <c r="A31576" s="83"/>
      <c r="H31576" s="83"/>
      <c r="K31576" s="82"/>
      <c r="M31576" s="112"/>
      <c r="N31576" s="84"/>
    </row>
    <row r="31577" spans="1:14" s="2" customFormat="1">
      <c r="A31577" s="83"/>
      <c r="H31577" s="83"/>
      <c r="K31577" s="82"/>
      <c r="M31577" s="112"/>
      <c r="N31577" s="84"/>
    </row>
    <row r="31578" spans="1:14" s="2" customFormat="1">
      <c r="A31578" s="83"/>
      <c r="H31578" s="83"/>
      <c r="K31578" s="82"/>
      <c r="M31578" s="112"/>
      <c r="N31578" s="84"/>
    </row>
    <row r="31579" spans="1:14" s="2" customFormat="1">
      <c r="A31579" s="83"/>
      <c r="H31579" s="83"/>
      <c r="K31579" s="82"/>
      <c r="M31579" s="112"/>
      <c r="N31579" s="84"/>
    </row>
    <row r="31580" spans="1:14" s="2" customFormat="1">
      <c r="A31580" s="83"/>
      <c r="H31580" s="83"/>
      <c r="K31580" s="82"/>
      <c r="M31580" s="112"/>
      <c r="N31580" s="84"/>
    </row>
    <row r="31581" spans="1:14" s="2" customFormat="1">
      <c r="A31581" s="83"/>
      <c r="H31581" s="83"/>
      <c r="K31581" s="82"/>
      <c r="M31581" s="112"/>
      <c r="N31581" s="84"/>
    </row>
    <row r="31582" spans="1:14" s="2" customFormat="1">
      <c r="A31582" s="83"/>
      <c r="H31582" s="83"/>
      <c r="K31582" s="82"/>
      <c r="M31582" s="112"/>
      <c r="N31582" s="84"/>
    </row>
    <row r="31583" spans="1:14" s="2" customFormat="1">
      <c r="A31583" s="83"/>
      <c r="H31583" s="83"/>
      <c r="K31583" s="82"/>
      <c r="M31583" s="112"/>
      <c r="N31583" s="84"/>
    </row>
    <row r="31584" spans="1:14" s="2" customFormat="1">
      <c r="A31584" s="83"/>
      <c r="H31584" s="83"/>
      <c r="K31584" s="82"/>
      <c r="M31584" s="112"/>
      <c r="N31584" s="84"/>
    </row>
    <row r="31585" spans="1:14" s="2" customFormat="1">
      <c r="A31585" s="83"/>
      <c r="H31585" s="83"/>
      <c r="K31585" s="82"/>
      <c r="M31585" s="112"/>
      <c r="N31585" s="84"/>
    </row>
    <row r="31586" spans="1:14" s="2" customFormat="1">
      <c r="A31586" s="83"/>
      <c r="H31586" s="83"/>
      <c r="K31586" s="82"/>
      <c r="M31586" s="112"/>
      <c r="N31586" s="84"/>
    </row>
    <row r="31587" spans="1:14" s="2" customFormat="1">
      <c r="A31587" s="83"/>
      <c r="H31587" s="83"/>
      <c r="K31587" s="82"/>
      <c r="M31587" s="112"/>
      <c r="N31587" s="84"/>
    </row>
    <row r="31588" spans="1:14" s="2" customFormat="1">
      <c r="A31588" s="83"/>
      <c r="H31588" s="83"/>
      <c r="K31588" s="82"/>
      <c r="M31588" s="112"/>
      <c r="N31588" s="84"/>
    </row>
    <row r="31589" spans="1:14" s="2" customFormat="1">
      <c r="A31589" s="83"/>
      <c r="H31589" s="83"/>
      <c r="K31589" s="82"/>
      <c r="M31589" s="112"/>
      <c r="N31589" s="84"/>
    </row>
    <row r="31590" spans="1:14" s="2" customFormat="1">
      <c r="A31590" s="83"/>
      <c r="H31590" s="83"/>
      <c r="K31590" s="82"/>
      <c r="M31590" s="112"/>
      <c r="N31590" s="84"/>
    </row>
    <row r="31591" spans="1:14" s="2" customFormat="1">
      <c r="A31591" s="83"/>
      <c r="H31591" s="83"/>
      <c r="K31591" s="82"/>
      <c r="M31591" s="112"/>
      <c r="N31591" s="84"/>
    </row>
    <row r="31592" spans="1:14" s="2" customFormat="1">
      <c r="A31592" s="83"/>
      <c r="H31592" s="83"/>
      <c r="K31592" s="82"/>
      <c r="M31592" s="112"/>
      <c r="N31592" s="84"/>
    </row>
    <row r="31593" spans="1:14" s="2" customFormat="1">
      <c r="A31593" s="83"/>
      <c r="H31593" s="83"/>
      <c r="K31593" s="82"/>
      <c r="M31593" s="112"/>
      <c r="N31593" s="84"/>
    </row>
    <row r="31594" spans="1:14" s="2" customFormat="1">
      <c r="A31594" s="83"/>
      <c r="H31594" s="83"/>
      <c r="K31594" s="82"/>
      <c r="M31594" s="112"/>
      <c r="N31594" s="84"/>
    </row>
    <row r="31595" spans="1:14" s="2" customFormat="1">
      <c r="A31595" s="83"/>
      <c r="H31595" s="83"/>
      <c r="K31595" s="82"/>
      <c r="M31595" s="112"/>
      <c r="N31595" s="84"/>
    </row>
    <row r="31596" spans="1:14" s="2" customFormat="1">
      <c r="A31596" s="83"/>
      <c r="H31596" s="83"/>
      <c r="K31596" s="82"/>
      <c r="M31596" s="112"/>
      <c r="N31596" s="84"/>
    </row>
    <row r="31597" spans="1:14" s="2" customFormat="1">
      <c r="A31597" s="83"/>
      <c r="H31597" s="83"/>
      <c r="K31597" s="82"/>
      <c r="M31597" s="112"/>
      <c r="N31597" s="84"/>
    </row>
    <row r="31598" spans="1:14" s="2" customFormat="1">
      <c r="A31598" s="83"/>
      <c r="H31598" s="83"/>
      <c r="K31598" s="82"/>
      <c r="M31598" s="112"/>
      <c r="N31598" s="84"/>
    </row>
    <row r="31599" spans="1:14" s="2" customFormat="1">
      <c r="A31599" s="83"/>
      <c r="H31599" s="83"/>
      <c r="K31599" s="82"/>
      <c r="M31599" s="112"/>
      <c r="N31599" s="84"/>
    </row>
    <row r="31600" spans="1:14" s="2" customFormat="1">
      <c r="A31600" s="83"/>
      <c r="H31600" s="83"/>
      <c r="K31600" s="82"/>
      <c r="M31600" s="112"/>
      <c r="N31600" s="84"/>
    </row>
    <row r="31601" spans="1:14" s="2" customFormat="1">
      <c r="A31601" s="83"/>
      <c r="H31601" s="83"/>
      <c r="K31601" s="82"/>
      <c r="M31601" s="112"/>
      <c r="N31601" s="84"/>
    </row>
    <row r="31602" spans="1:14" s="2" customFormat="1">
      <c r="A31602" s="83"/>
      <c r="H31602" s="83"/>
      <c r="K31602" s="82"/>
      <c r="M31602" s="112"/>
      <c r="N31602" s="84"/>
    </row>
    <row r="31603" spans="1:14" s="2" customFormat="1">
      <c r="A31603" s="83"/>
      <c r="H31603" s="83"/>
      <c r="K31603" s="82"/>
      <c r="M31603" s="112"/>
      <c r="N31603" s="84"/>
    </row>
    <row r="31604" spans="1:14" s="2" customFormat="1">
      <c r="A31604" s="83"/>
      <c r="H31604" s="83"/>
      <c r="K31604" s="82"/>
      <c r="M31604" s="112"/>
      <c r="N31604" s="84"/>
    </row>
    <row r="31605" spans="1:14" s="2" customFormat="1">
      <c r="A31605" s="83"/>
      <c r="H31605" s="83"/>
      <c r="K31605" s="82"/>
      <c r="M31605" s="112"/>
      <c r="N31605" s="84"/>
    </row>
    <row r="31606" spans="1:14" s="2" customFormat="1">
      <c r="A31606" s="83"/>
      <c r="H31606" s="83"/>
      <c r="K31606" s="82"/>
      <c r="M31606" s="112"/>
      <c r="N31606" s="84"/>
    </row>
    <row r="31607" spans="1:14" s="2" customFormat="1">
      <c r="A31607" s="83"/>
      <c r="H31607" s="83"/>
      <c r="K31607" s="82"/>
      <c r="M31607" s="112"/>
      <c r="N31607" s="84"/>
    </row>
    <row r="31608" spans="1:14" s="2" customFormat="1">
      <c r="A31608" s="83"/>
      <c r="H31608" s="83"/>
      <c r="K31608" s="82"/>
      <c r="M31608" s="112"/>
      <c r="N31608" s="84"/>
    </row>
    <row r="31609" spans="1:14" s="2" customFormat="1">
      <c r="A31609" s="83"/>
      <c r="H31609" s="83"/>
      <c r="K31609" s="82"/>
      <c r="M31609" s="112"/>
      <c r="N31609" s="84"/>
    </row>
    <row r="31610" spans="1:14" s="2" customFormat="1">
      <c r="A31610" s="83"/>
      <c r="H31610" s="83"/>
      <c r="K31610" s="82"/>
      <c r="M31610" s="112"/>
      <c r="N31610" s="84"/>
    </row>
    <row r="31611" spans="1:14" s="2" customFormat="1">
      <c r="A31611" s="83"/>
      <c r="H31611" s="83"/>
      <c r="K31611" s="82"/>
      <c r="M31611" s="112"/>
      <c r="N31611" s="84"/>
    </row>
    <row r="31612" spans="1:14" s="2" customFormat="1">
      <c r="A31612" s="83"/>
      <c r="H31612" s="83"/>
      <c r="K31612" s="82"/>
      <c r="M31612" s="112"/>
      <c r="N31612" s="84"/>
    </row>
    <row r="31613" spans="1:14" s="2" customFormat="1">
      <c r="A31613" s="83"/>
      <c r="H31613" s="83"/>
      <c r="K31613" s="82"/>
      <c r="M31613" s="112"/>
      <c r="N31613" s="84"/>
    </row>
    <row r="31614" spans="1:14" s="2" customFormat="1">
      <c r="A31614" s="83"/>
      <c r="H31614" s="83"/>
      <c r="K31614" s="82"/>
      <c r="M31614" s="112"/>
      <c r="N31614" s="84"/>
    </row>
    <row r="31615" spans="1:14" s="2" customFormat="1">
      <c r="A31615" s="83"/>
      <c r="H31615" s="83"/>
      <c r="K31615" s="82"/>
      <c r="M31615" s="112"/>
      <c r="N31615" s="84"/>
    </row>
    <row r="31616" spans="1:14" s="2" customFormat="1">
      <c r="A31616" s="83"/>
      <c r="H31616" s="83"/>
      <c r="K31616" s="82"/>
      <c r="M31616" s="112"/>
      <c r="N31616" s="84"/>
    </row>
    <row r="31617" spans="1:14" s="2" customFormat="1">
      <c r="A31617" s="83"/>
      <c r="H31617" s="83"/>
      <c r="K31617" s="82"/>
      <c r="M31617" s="112"/>
      <c r="N31617" s="84"/>
    </row>
    <row r="31618" spans="1:14" s="2" customFormat="1">
      <c r="A31618" s="83"/>
      <c r="H31618" s="83"/>
      <c r="K31618" s="82"/>
      <c r="M31618" s="112"/>
      <c r="N31618" s="84"/>
    </row>
    <row r="31619" spans="1:14" s="2" customFormat="1">
      <c r="A31619" s="83"/>
      <c r="H31619" s="83"/>
      <c r="K31619" s="82"/>
      <c r="M31619" s="112"/>
      <c r="N31619" s="84"/>
    </row>
    <row r="31620" spans="1:14" s="2" customFormat="1">
      <c r="A31620" s="83"/>
      <c r="H31620" s="83"/>
      <c r="K31620" s="82"/>
      <c r="M31620" s="112"/>
      <c r="N31620" s="84"/>
    </row>
    <row r="31621" spans="1:14" s="2" customFormat="1">
      <c r="A31621" s="83"/>
      <c r="H31621" s="83"/>
      <c r="K31621" s="82"/>
      <c r="M31621" s="112"/>
      <c r="N31621" s="84"/>
    </row>
    <row r="31622" spans="1:14" s="2" customFormat="1">
      <c r="A31622" s="83"/>
      <c r="H31622" s="83"/>
      <c r="K31622" s="82"/>
      <c r="M31622" s="112"/>
      <c r="N31622" s="84"/>
    </row>
    <row r="31623" spans="1:14" s="2" customFormat="1">
      <c r="A31623" s="83"/>
      <c r="H31623" s="83"/>
      <c r="K31623" s="82"/>
      <c r="M31623" s="112"/>
      <c r="N31623" s="84"/>
    </row>
    <row r="31624" spans="1:14" s="2" customFormat="1">
      <c r="A31624" s="83"/>
      <c r="H31624" s="83"/>
      <c r="K31624" s="82"/>
      <c r="M31624" s="112"/>
      <c r="N31624" s="84"/>
    </row>
    <row r="31625" spans="1:14" s="2" customFormat="1">
      <c r="A31625" s="83"/>
      <c r="H31625" s="83"/>
      <c r="K31625" s="82"/>
      <c r="M31625" s="112"/>
      <c r="N31625" s="84"/>
    </row>
    <row r="31626" spans="1:14" s="2" customFormat="1">
      <c r="A31626" s="83"/>
      <c r="H31626" s="83"/>
      <c r="K31626" s="82"/>
      <c r="M31626" s="112"/>
      <c r="N31626" s="84"/>
    </row>
    <row r="31627" spans="1:14" s="2" customFormat="1">
      <c r="A31627" s="83"/>
      <c r="H31627" s="83"/>
      <c r="K31627" s="82"/>
      <c r="M31627" s="112"/>
      <c r="N31627" s="84"/>
    </row>
    <row r="31628" spans="1:14" s="2" customFormat="1">
      <c r="A31628" s="83"/>
      <c r="H31628" s="83"/>
      <c r="K31628" s="82"/>
      <c r="M31628" s="112"/>
      <c r="N31628" s="84"/>
    </row>
    <row r="31629" spans="1:14" s="2" customFormat="1">
      <c r="A31629" s="83"/>
      <c r="H31629" s="83"/>
      <c r="K31629" s="82"/>
      <c r="M31629" s="112"/>
      <c r="N31629" s="84"/>
    </row>
    <row r="31630" spans="1:14" s="2" customFormat="1">
      <c r="A31630" s="83"/>
      <c r="H31630" s="83"/>
      <c r="K31630" s="82"/>
      <c r="M31630" s="112"/>
      <c r="N31630" s="84"/>
    </row>
    <row r="31631" spans="1:14" s="2" customFormat="1">
      <c r="A31631" s="83"/>
      <c r="H31631" s="83"/>
      <c r="K31631" s="82"/>
      <c r="M31631" s="112"/>
      <c r="N31631" s="84"/>
    </row>
    <row r="31632" spans="1:14" s="2" customFormat="1">
      <c r="A31632" s="83"/>
      <c r="H31632" s="83"/>
      <c r="K31632" s="82"/>
      <c r="M31632" s="112"/>
      <c r="N31632" s="84"/>
    </row>
    <row r="31633" spans="1:14" s="2" customFormat="1">
      <c r="A31633" s="83"/>
      <c r="H31633" s="83"/>
      <c r="K31633" s="82"/>
      <c r="M31633" s="112"/>
      <c r="N31633" s="84"/>
    </row>
    <row r="31634" spans="1:14" s="2" customFormat="1">
      <c r="A31634" s="83"/>
      <c r="H31634" s="83"/>
      <c r="K31634" s="82"/>
      <c r="M31634" s="112"/>
      <c r="N31634" s="84"/>
    </row>
    <row r="31635" spans="1:14" s="2" customFormat="1">
      <c r="A31635" s="83"/>
      <c r="H31635" s="83"/>
      <c r="K31635" s="82"/>
      <c r="M31635" s="112"/>
      <c r="N31635" s="84"/>
    </row>
    <row r="31636" spans="1:14" s="2" customFormat="1">
      <c r="A31636" s="83"/>
      <c r="H31636" s="83"/>
      <c r="K31636" s="82"/>
      <c r="M31636" s="112"/>
      <c r="N31636" s="84"/>
    </row>
    <row r="31637" spans="1:14" s="2" customFormat="1">
      <c r="A31637" s="83"/>
      <c r="H31637" s="83"/>
      <c r="K31637" s="82"/>
      <c r="M31637" s="112"/>
      <c r="N31637" s="84"/>
    </row>
    <row r="31638" spans="1:14" s="2" customFormat="1">
      <c r="A31638" s="83"/>
      <c r="H31638" s="83"/>
      <c r="K31638" s="82"/>
      <c r="M31638" s="112"/>
      <c r="N31638" s="84"/>
    </row>
    <row r="31639" spans="1:14" s="2" customFormat="1">
      <c r="A31639" s="83"/>
      <c r="H31639" s="83"/>
      <c r="K31639" s="82"/>
      <c r="M31639" s="112"/>
      <c r="N31639" s="84"/>
    </row>
    <row r="31640" spans="1:14" s="2" customFormat="1">
      <c r="A31640" s="83"/>
      <c r="H31640" s="83"/>
      <c r="K31640" s="82"/>
      <c r="M31640" s="112"/>
      <c r="N31640" s="84"/>
    </row>
    <row r="31641" spans="1:14" s="2" customFormat="1">
      <c r="A31641" s="83"/>
      <c r="H31641" s="83"/>
      <c r="K31641" s="82"/>
      <c r="M31641" s="112"/>
      <c r="N31641" s="84"/>
    </row>
    <row r="31642" spans="1:14" s="2" customFormat="1">
      <c r="A31642" s="83"/>
      <c r="H31642" s="83"/>
      <c r="K31642" s="82"/>
      <c r="M31642" s="112"/>
      <c r="N31642" s="84"/>
    </row>
    <row r="31643" spans="1:14" s="2" customFormat="1">
      <c r="A31643" s="83"/>
      <c r="H31643" s="83"/>
      <c r="K31643" s="82"/>
      <c r="M31643" s="112"/>
      <c r="N31643" s="84"/>
    </row>
    <row r="31644" spans="1:14" s="2" customFormat="1">
      <c r="A31644" s="83"/>
      <c r="H31644" s="83"/>
      <c r="K31644" s="82"/>
      <c r="M31644" s="112"/>
      <c r="N31644" s="84"/>
    </row>
    <row r="31645" spans="1:14" s="2" customFormat="1">
      <c r="A31645" s="83"/>
      <c r="H31645" s="83"/>
      <c r="K31645" s="82"/>
      <c r="M31645" s="112"/>
      <c r="N31645" s="84"/>
    </row>
    <row r="31646" spans="1:14" s="2" customFormat="1">
      <c r="A31646" s="83"/>
      <c r="H31646" s="83"/>
      <c r="K31646" s="82"/>
      <c r="M31646" s="112"/>
      <c r="N31646" s="84"/>
    </row>
    <row r="31647" spans="1:14" s="2" customFormat="1">
      <c r="A31647" s="83"/>
      <c r="H31647" s="83"/>
      <c r="K31647" s="82"/>
      <c r="M31647" s="112"/>
      <c r="N31647" s="84"/>
    </row>
    <row r="31648" spans="1:14" s="2" customFormat="1">
      <c r="A31648" s="83"/>
      <c r="H31648" s="83"/>
      <c r="K31648" s="82"/>
      <c r="M31648" s="112"/>
      <c r="N31648" s="84"/>
    </row>
    <row r="31649" spans="1:14" s="2" customFormat="1">
      <c r="A31649" s="83"/>
      <c r="H31649" s="83"/>
      <c r="K31649" s="82"/>
      <c r="M31649" s="112"/>
      <c r="N31649" s="84"/>
    </row>
    <row r="31650" spans="1:14" s="2" customFormat="1">
      <c r="A31650" s="83"/>
      <c r="H31650" s="83"/>
      <c r="K31650" s="82"/>
      <c r="M31650" s="112"/>
      <c r="N31650" s="84"/>
    </row>
    <row r="31651" spans="1:14" s="2" customFormat="1">
      <c r="A31651" s="83"/>
      <c r="H31651" s="83"/>
      <c r="K31651" s="82"/>
      <c r="M31651" s="112"/>
      <c r="N31651" s="84"/>
    </row>
    <row r="31652" spans="1:14" s="2" customFormat="1">
      <c r="A31652" s="83"/>
      <c r="H31652" s="83"/>
      <c r="K31652" s="82"/>
      <c r="M31652" s="112"/>
      <c r="N31652" s="84"/>
    </row>
    <row r="31653" spans="1:14" s="2" customFormat="1">
      <c r="A31653" s="83"/>
      <c r="H31653" s="83"/>
      <c r="K31653" s="82"/>
      <c r="M31653" s="112"/>
      <c r="N31653" s="84"/>
    </row>
    <row r="31654" spans="1:14" s="2" customFormat="1">
      <c r="A31654" s="83"/>
      <c r="H31654" s="83"/>
      <c r="K31654" s="82"/>
      <c r="M31654" s="112"/>
      <c r="N31654" s="84"/>
    </row>
    <row r="31655" spans="1:14" s="2" customFormat="1">
      <c r="A31655" s="83"/>
      <c r="H31655" s="83"/>
      <c r="K31655" s="82"/>
      <c r="M31655" s="112"/>
      <c r="N31655" s="84"/>
    </row>
    <row r="31656" spans="1:14" s="2" customFormat="1">
      <c r="A31656" s="83"/>
      <c r="H31656" s="83"/>
      <c r="K31656" s="82"/>
      <c r="M31656" s="112"/>
      <c r="N31656" s="84"/>
    </row>
    <row r="31657" spans="1:14" s="2" customFormat="1">
      <c r="A31657" s="83"/>
      <c r="H31657" s="83"/>
      <c r="K31657" s="82"/>
      <c r="M31657" s="112"/>
      <c r="N31657" s="84"/>
    </row>
    <row r="31658" spans="1:14" s="2" customFormat="1">
      <c r="A31658" s="83"/>
      <c r="H31658" s="83"/>
      <c r="K31658" s="82"/>
      <c r="M31658" s="112"/>
      <c r="N31658" s="84"/>
    </row>
    <row r="31659" spans="1:14" s="2" customFormat="1">
      <c r="A31659" s="83"/>
      <c r="H31659" s="83"/>
      <c r="K31659" s="82"/>
      <c r="M31659" s="112"/>
      <c r="N31659" s="84"/>
    </row>
    <row r="31660" spans="1:14" s="2" customFormat="1">
      <c r="A31660" s="83"/>
      <c r="H31660" s="83"/>
      <c r="K31660" s="82"/>
      <c r="M31660" s="112"/>
      <c r="N31660" s="84"/>
    </row>
    <row r="31661" spans="1:14" s="2" customFormat="1">
      <c r="A31661" s="83"/>
      <c r="H31661" s="83"/>
      <c r="K31661" s="82"/>
      <c r="M31661" s="112"/>
      <c r="N31661" s="84"/>
    </row>
    <row r="31662" spans="1:14" s="2" customFormat="1">
      <c r="A31662" s="83"/>
      <c r="H31662" s="83"/>
      <c r="K31662" s="82"/>
      <c r="M31662" s="112"/>
      <c r="N31662" s="84"/>
    </row>
    <row r="31663" spans="1:14" s="2" customFormat="1">
      <c r="A31663" s="83"/>
      <c r="H31663" s="83"/>
      <c r="K31663" s="82"/>
      <c r="M31663" s="112"/>
      <c r="N31663" s="84"/>
    </row>
    <row r="31664" spans="1:14" s="2" customFormat="1">
      <c r="A31664" s="83"/>
      <c r="H31664" s="83"/>
      <c r="K31664" s="82"/>
      <c r="M31664" s="112"/>
      <c r="N31664" s="84"/>
    </row>
    <row r="31665" spans="1:14" s="2" customFormat="1">
      <c r="A31665" s="83"/>
      <c r="H31665" s="83"/>
      <c r="K31665" s="82"/>
      <c r="M31665" s="112"/>
      <c r="N31665" s="84"/>
    </row>
    <row r="31666" spans="1:14" s="2" customFormat="1">
      <c r="A31666" s="83"/>
      <c r="H31666" s="83"/>
      <c r="K31666" s="82"/>
      <c r="M31666" s="112"/>
      <c r="N31666" s="84"/>
    </row>
    <row r="31667" spans="1:14" s="2" customFormat="1">
      <c r="A31667" s="83"/>
      <c r="H31667" s="83"/>
      <c r="K31667" s="82"/>
      <c r="M31667" s="112"/>
      <c r="N31667" s="84"/>
    </row>
    <row r="31668" spans="1:14" s="2" customFormat="1">
      <c r="A31668" s="83"/>
      <c r="H31668" s="83"/>
      <c r="K31668" s="82"/>
      <c r="M31668" s="112"/>
      <c r="N31668" s="84"/>
    </row>
    <row r="31669" spans="1:14" s="2" customFormat="1">
      <c r="A31669" s="83"/>
      <c r="H31669" s="83"/>
      <c r="K31669" s="82"/>
      <c r="M31669" s="112"/>
      <c r="N31669" s="84"/>
    </row>
    <row r="31670" spans="1:14" s="2" customFormat="1">
      <c r="A31670" s="83"/>
      <c r="H31670" s="83"/>
      <c r="K31670" s="82"/>
      <c r="M31670" s="112"/>
      <c r="N31670" s="84"/>
    </row>
    <row r="31671" spans="1:14" s="2" customFormat="1">
      <c r="A31671" s="83"/>
      <c r="H31671" s="83"/>
      <c r="K31671" s="82"/>
      <c r="M31671" s="112"/>
      <c r="N31671" s="84"/>
    </row>
    <row r="31672" spans="1:14" s="2" customFormat="1">
      <c r="A31672" s="83"/>
      <c r="H31672" s="83"/>
      <c r="K31672" s="82"/>
      <c r="M31672" s="112"/>
      <c r="N31672" s="84"/>
    </row>
    <row r="31673" spans="1:14" s="2" customFormat="1">
      <c r="A31673" s="83"/>
      <c r="H31673" s="83"/>
      <c r="K31673" s="82"/>
      <c r="M31673" s="112"/>
      <c r="N31673" s="84"/>
    </row>
    <row r="31674" spans="1:14" s="2" customFormat="1">
      <c r="A31674" s="83"/>
      <c r="H31674" s="83"/>
      <c r="K31674" s="82"/>
      <c r="M31674" s="112"/>
      <c r="N31674" s="84"/>
    </row>
    <row r="31675" spans="1:14" s="2" customFormat="1">
      <c r="A31675" s="83"/>
      <c r="H31675" s="83"/>
      <c r="K31675" s="82"/>
      <c r="M31675" s="112"/>
      <c r="N31675" s="84"/>
    </row>
    <row r="31676" spans="1:14" s="2" customFormat="1">
      <c r="A31676" s="83"/>
      <c r="H31676" s="83"/>
      <c r="K31676" s="82"/>
      <c r="M31676" s="112"/>
      <c r="N31676" s="84"/>
    </row>
    <row r="31677" spans="1:14" s="2" customFormat="1">
      <c r="A31677" s="83"/>
      <c r="H31677" s="83"/>
      <c r="K31677" s="82"/>
      <c r="M31677" s="112"/>
      <c r="N31677" s="84"/>
    </row>
    <row r="31678" spans="1:14" s="2" customFormat="1">
      <c r="A31678" s="83"/>
      <c r="H31678" s="83"/>
      <c r="K31678" s="82"/>
      <c r="M31678" s="112"/>
      <c r="N31678" s="84"/>
    </row>
    <row r="31679" spans="1:14" s="2" customFormat="1">
      <c r="A31679" s="83"/>
      <c r="H31679" s="83"/>
      <c r="K31679" s="82"/>
      <c r="M31679" s="112"/>
      <c r="N31679" s="84"/>
    </row>
    <row r="31680" spans="1:14" s="2" customFormat="1">
      <c r="A31680" s="83"/>
      <c r="H31680" s="83"/>
      <c r="K31680" s="82"/>
      <c r="M31680" s="112"/>
      <c r="N31680" s="84"/>
    </row>
    <row r="31681" spans="1:14" s="2" customFormat="1">
      <c r="A31681" s="83"/>
      <c r="H31681" s="83"/>
      <c r="K31681" s="82"/>
      <c r="M31681" s="112"/>
      <c r="N31681" s="84"/>
    </row>
    <row r="31682" spans="1:14" s="2" customFormat="1">
      <c r="A31682" s="83"/>
      <c r="H31682" s="83"/>
      <c r="K31682" s="82"/>
      <c r="M31682" s="112"/>
      <c r="N31682" s="84"/>
    </row>
    <row r="31683" spans="1:14" s="2" customFormat="1">
      <c r="A31683" s="83"/>
      <c r="H31683" s="83"/>
      <c r="K31683" s="82"/>
      <c r="M31683" s="112"/>
      <c r="N31683" s="84"/>
    </row>
    <row r="31684" spans="1:14" s="2" customFormat="1">
      <c r="A31684" s="83"/>
      <c r="H31684" s="83"/>
      <c r="K31684" s="82"/>
      <c r="M31684" s="112"/>
      <c r="N31684" s="84"/>
    </row>
    <row r="31685" spans="1:14" s="2" customFormat="1">
      <c r="A31685" s="83"/>
      <c r="H31685" s="83"/>
      <c r="K31685" s="82"/>
      <c r="M31685" s="112"/>
      <c r="N31685" s="84"/>
    </row>
    <row r="31686" spans="1:14" s="2" customFormat="1">
      <c r="A31686" s="83"/>
      <c r="H31686" s="83"/>
      <c r="K31686" s="82"/>
      <c r="M31686" s="112"/>
      <c r="N31686" s="84"/>
    </row>
    <row r="31687" spans="1:14" s="2" customFormat="1">
      <c r="A31687" s="83"/>
      <c r="H31687" s="83"/>
      <c r="K31687" s="82"/>
      <c r="M31687" s="112"/>
      <c r="N31687" s="84"/>
    </row>
    <row r="31688" spans="1:14" s="2" customFormat="1">
      <c r="A31688" s="83"/>
      <c r="H31688" s="83"/>
      <c r="K31688" s="82"/>
      <c r="M31688" s="112"/>
      <c r="N31688" s="84"/>
    </row>
    <row r="31689" spans="1:14" s="2" customFormat="1">
      <c r="A31689" s="83"/>
      <c r="H31689" s="83"/>
      <c r="K31689" s="82"/>
      <c r="M31689" s="112"/>
      <c r="N31689" s="84"/>
    </row>
    <row r="31690" spans="1:14" s="2" customFormat="1">
      <c r="A31690" s="83"/>
      <c r="H31690" s="83"/>
      <c r="K31690" s="82"/>
      <c r="M31690" s="112"/>
      <c r="N31690" s="84"/>
    </row>
    <row r="31691" spans="1:14" s="2" customFormat="1">
      <c r="A31691" s="83"/>
      <c r="H31691" s="83"/>
      <c r="K31691" s="82"/>
      <c r="M31691" s="112"/>
      <c r="N31691" s="84"/>
    </row>
    <row r="31692" spans="1:14" s="2" customFormat="1">
      <c r="A31692" s="83"/>
      <c r="H31692" s="83"/>
      <c r="K31692" s="82"/>
      <c r="M31692" s="112"/>
      <c r="N31692" s="84"/>
    </row>
    <row r="31693" spans="1:14" s="2" customFormat="1">
      <c r="A31693" s="83"/>
      <c r="H31693" s="83"/>
      <c r="K31693" s="82"/>
      <c r="M31693" s="112"/>
      <c r="N31693" s="84"/>
    </row>
    <row r="31694" spans="1:14" s="2" customFormat="1">
      <c r="A31694" s="83"/>
      <c r="H31694" s="83"/>
      <c r="K31694" s="82"/>
      <c r="M31694" s="112"/>
      <c r="N31694" s="84"/>
    </row>
    <row r="31695" spans="1:14" s="2" customFormat="1">
      <c r="A31695" s="83"/>
      <c r="H31695" s="83"/>
      <c r="K31695" s="82"/>
      <c r="M31695" s="112"/>
      <c r="N31695" s="84"/>
    </row>
    <row r="31696" spans="1:14" s="2" customFormat="1">
      <c r="A31696" s="83"/>
      <c r="H31696" s="83"/>
      <c r="K31696" s="82"/>
      <c r="M31696" s="112"/>
      <c r="N31696" s="84"/>
    </row>
    <row r="31697" spans="1:14" s="2" customFormat="1">
      <c r="A31697" s="83"/>
      <c r="H31697" s="83"/>
      <c r="K31697" s="82"/>
      <c r="M31697" s="112"/>
      <c r="N31697" s="84"/>
    </row>
    <row r="31698" spans="1:14" s="2" customFormat="1">
      <c r="A31698" s="83"/>
      <c r="H31698" s="83"/>
      <c r="K31698" s="82"/>
      <c r="M31698" s="112"/>
      <c r="N31698" s="84"/>
    </row>
    <row r="31699" spans="1:14" s="2" customFormat="1">
      <c r="A31699" s="83"/>
      <c r="H31699" s="83"/>
      <c r="K31699" s="82"/>
      <c r="M31699" s="112"/>
      <c r="N31699" s="84"/>
    </row>
    <row r="31700" spans="1:14" s="2" customFormat="1">
      <c r="A31700" s="83"/>
      <c r="H31700" s="83"/>
      <c r="K31700" s="82"/>
      <c r="M31700" s="112"/>
      <c r="N31700" s="84"/>
    </row>
    <row r="31701" spans="1:14" s="2" customFormat="1">
      <c r="A31701" s="83"/>
      <c r="H31701" s="83"/>
      <c r="K31701" s="82"/>
      <c r="M31701" s="112"/>
      <c r="N31701" s="84"/>
    </row>
    <row r="31702" spans="1:14" s="2" customFormat="1">
      <c r="A31702" s="83"/>
      <c r="H31702" s="83"/>
      <c r="K31702" s="82"/>
      <c r="M31702" s="112"/>
      <c r="N31702" s="84"/>
    </row>
    <row r="31703" spans="1:14" s="2" customFormat="1">
      <c r="A31703" s="83"/>
      <c r="H31703" s="83"/>
      <c r="K31703" s="82"/>
      <c r="M31703" s="112"/>
      <c r="N31703" s="84"/>
    </row>
    <row r="31704" spans="1:14" s="2" customFormat="1">
      <c r="A31704" s="83"/>
      <c r="H31704" s="83"/>
      <c r="K31704" s="82"/>
      <c r="M31704" s="112"/>
      <c r="N31704" s="84"/>
    </row>
    <row r="31705" spans="1:14" s="2" customFormat="1">
      <c r="A31705" s="83"/>
      <c r="H31705" s="83"/>
      <c r="K31705" s="82"/>
      <c r="M31705" s="112"/>
      <c r="N31705" s="84"/>
    </row>
    <row r="31706" spans="1:14" s="2" customFormat="1">
      <c r="A31706" s="83"/>
      <c r="H31706" s="83"/>
      <c r="K31706" s="82"/>
      <c r="M31706" s="112"/>
      <c r="N31706" s="84"/>
    </row>
    <row r="31707" spans="1:14" s="2" customFormat="1">
      <c r="A31707" s="83"/>
      <c r="H31707" s="83"/>
      <c r="K31707" s="82"/>
      <c r="M31707" s="112"/>
      <c r="N31707" s="84"/>
    </row>
    <row r="31708" spans="1:14" s="2" customFormat="1">
      <c r="A31708" s="83"/>
      <c r="H31708" s="83"/>
      <c r="K31708" s="82"/>
      <c r="M31708" s="112"/>
      <c r="N31708" s="84"/>
    </row>
    <row r="31709" spans="1:14" s="2" customFormat="1">
      <c r="A31709" s="83"/>
      <c r="H31709" s="83"/>
      <c r="K31709" s="82"/>
      <c r="M31709" s="112"/>
      <c r="N31709" s="84"/>
    </row>
    <row r="31710" spans="1:14" s="2" customFormat="1">
      <c r="A31710" s="83"/>
      <c r="H31710" s="83"/>
      <c r="K31710" s="82"/>
      <c r="M31710" s="112"/>
      <c r="N31710" s="84"/>
    </row>
    <row r="31711" spans="1:14" s="2" customFormat="1">
      <c r="A31711" s="83"/>
      <c r="H31711" s="83"/>
      <c r="K31711" s="82"/>
      <c r="M31711" s="112"/>
      <c r="N31711" s="84"/>
    </row>
    <row r="31712" spans="1:14" s="2" customFormat="1">
      <c r="A31712" s="83"/>
      <c r="H31712" s="83"/>
      <c r="K31712" s="82"/>
      <c r="M31712" s="112"/>
      <c r="N31712" s="84"/>
    </row>
    <row r="31713" spans="1:14" s="2" customFormat="1">
      <c r="A31713" s="83"/>
      <c r="H31713" s="83"/>
      <c r="K31713" s="82"/>
      <c r="M31713" s="112"/>
      <c r="N31713" s="84"/>
    </row>
    <row r="31714" spans="1:14" s="2" customFormat="1">
      <c r="A31714" s="83"/>
      <c r="H31714" s="83"/>
      <c r="K31714" s="82"/>
      <c r="M31714" s="112"/>
      <c r="N31714" s="84"/>
    </row>
    <row r="31715" spans="1:14" s="2" customFormat="1">
      <c r="A31715" s="83"/>
      <c r="H31715" s="83"/>
      <c r="K31715" s="82"/>
      <c r="M31715" s="112"/>
      <c r="N31715" s="84"/>
    </row>
    <row r="31716" spans="1:14" s="2" customFormat="1">
      <c r="A31716" s="83"/>
      <c r="H31716" s="83"/>
      <c r="K31716" s="82"/>
      <c r="M31716" s="112"/>
      <c r="N31716" s="84"/>
    </row>
    <row r="31717" spans="1:14" s="2" customFormat="1">
      <c r="A31717" s="83"/>
      <c r="H31717" s="83"/>
      <c r="K31717" s="82"/>
      <c r="M31717" s="112"/>
      <c r="N31717" s="84"/>
    </row>
    <row r="31718" spans="1:14" s="2" customFormat="1">
      <c r="A31718" s="83"/>
      <c r="H31718" s="83"/>
      <c r="K31718" s="82"/>
      <c r="M31718" s="112"/>
      <c r="N31718" s="84"/>
    </row>
    <row r="31719" spans="1:14" s="2" customFormat="1">
      <c r="A31719" s="83"/>
      <c r="H31719" s="83"/>
      <c r="K31719" s="82"/>
      <c r="M31719" s="112"/>
      <c r="N31719" s="84"/>
    </row>
    <row r="31720" spans="1:14" s="2" customFormat="1">
      <c r="A31720" s="83"/>
      <c r="H31720" s="83"/>
      <c r="K31720" s="82"/>
      <c r="M31720" s="112"/>
      <c r="N31720" s="84"/>
    </row>
    <row r="31721" spans="1:14" s="2" customFormat="1">
      <c r="A31721" s="83"/>
      <c r="H31721" s="83"/>
      <c r="K31721" s="82"/>
      <c r="M31721" s="112"/>
      <c r="N31721" s="84"/>
    </row>
    <row r="31722" spans="1:14" s="2" customFormat="1">
      <c r="A31722" s="83"/>
      <c r="H31722" s="83"/>
      <c r="K31722" s="82"/>
      <c r="M31722" s="112"/>
      <c r="N31722" s="84"/>
    </row>
    <row r="31723" spans="1:14" s="2" customFormat="1">
      <c r="A31723" s="83"/>
      <c r="H31723" s="83"/>
      <c r="K31723" s="82"/>
      <c r="M31723" s="112"/>
      <c r="N31723" s="84"/>
    </row>
    <row r="31724" spans="1:14" s="2" customFormat="1">
      <c r="A31724" s="83"/>
      <c r="H31724" s="83"/>
      <c r="K31724" s="82"/>
      <c r="M31724" s="112"/>
      <c r="N31724" s="84"/>
    </row>
    <row r="31725" spans="1:14" s="2" customFormat="1">
      <c r="A31725" s="83"/>
      <c r="H31725" s="83"/>
      <c r="K31725" s="82"/>
      <c r="M31725" s="112"/>
      <c r="N31725" s="84"/>
    </row>
    <row r="31726" spans="1:14" s="2" customFormat="1">
      <c r="A31726" s="83"/>
      <c r="H31726" s="83"/>
      <c r="K31726" s="82"/>
      <c r="M31726" s="112"/>
      <c r="N31726" s="84"/>
    </row>
    <row r="31727" spans="1:14" s="2" customFormat="1">
      <c r="A31727" s="83"/>
      <c r="H31727" s="83"/>
      <c r="K31727" s="82"/>
      <c r="M31727" s="112"/>
      <c r="N31727" s="84"/>
    </row>
    <row r="31728" spans="1:14" s="2" customFormat="1">
      <c r="A31728" s="83"/>
      <c r="H31728" s="83"/>
      <c r="K31728" s="82"/>
      <c r="M31728" s="112"/>
      <c r="N31728" s="84"/>
    </row>
    <row r="31729" spans="1:14" s="2" customFormat="1">
      <c r="A31729" s="83"/>
      <c r="H31729" s="83"/>
      <c r="K31729" s="82"/>
      <c r="M31729" s="112"/>
      <c r="N31729" s="84"/>
    </row>
    <row r="31730" spans="1:14" s="2" customFormat="1">
      <c r="A31730" s="83"/>
      <c r="H31730" s="83"/>
      <c r="K31730" s="82"/>
      <c r="M31730" s="112"/>
      <c r="N31730" s="84"/>
    </row>
    <row r="31731" spans="1:14" s="2" customFormat="1">
      <c r="A31731" s="83"/>
      <c r="H31731" s="83"/>
      <c r="K31731" s="82"/>
      <c r="M31731" s="112"/>
      <c r="N31731" s="84"/>
    </row>
    <row r="31732" spans="1:14" s="2" customFormat="1">
      <c r="A31732" s="83"/>
      <c r="H31732" s="83"/>
      <c r="K31732" s="82"/>
      <c r="M31732" s="112"/>
      <c r="N31732" s="84"/>
    </row>
    <row r="31733" spans="1:14" s="2" customFormat="1">
      <c r="A31733" s="83"/>
      <c r="H31733" s="83"/>
      <c r="K31733" s="82"/>
      <c r="M31733" s="112"/>
      <c r="N31733" s="84"/>
    </row>
    <row r="31734" spans="1:14" s="2" customFormat="1">
      <c r="A31734" s="83"/>
      <c r="H31734" s="83"/>
      <c r="K31734" s="82"/>
      <c r="M31734" s="112"/>
      <c r="N31734" s="84"/>
    </row>
    <row r="31735" spans="1:14" s="2" customFormat="1">
      <c r="A31735" s="83"/>
      <c r="H31735" s="83"/>
      <c r="K31735" s="82"/>
      <c r="M31735" s="112"/>
      <c r="N31735" s="84"/>
    </row>
    <row r="31736" spans="1:14" s="2" customFormat="1">
      <c r="A31736" s="83"/>
      <c r="H31736" s="83"/>
      <c r="K31736" s="82"/>
      <c r="M31736" s="112"/>
      <c r="N31736" s="84"/>
    </row>
    <row r="31737" spans="1:14" s="2" customFormat="1">
      <c r="A31737" s="83"/>
      <c r="H31737" s="83"/>
      <c r="K31737" s="82"/>
      <c r="M31737" s="112"/>
      <c r="N31737" s="84"/>
    </row>
    <row r="31738" spans="1:14" s="2" customFormat="1">
      <c r="A31738" s="83"/>
      <c r="H31738" s="83"/>
      <c r="K31738" s="82"/>
      <c r="M31738" s="112"/>
      <c r="N31738" s="84"/>
    </row>
    <row r="31739" spans="1:14" s="2" customFormat="1">
      <c r="A31739" s="83"/>
      <c r="H31739" s="83"/>
      <c r="K31739" s="82"/>
      <c r="M31739" s="112"/>
      <c r="N31739" s="84"/>
    </row>
    <row r="31740" spans="1:14" s="2" customFormat="1">
      <c r="A31740" s="83"/>
      <c r="H31740" s="83"/>
      <c r="K31740" s="82"/>
      <c r="M31740" s="112"/>
      <c r="N31740" s="84"/>
    </row>
    <row r="31741" spans="1:14" s="2" customFormat="1">
      <c r="A31741" s="83"/>
      <c r="H31741" s="83"/>
      <c r="K31741" s="82"/>
      <c r="M31741" s="112"/>
      <c r="N31741" s="84"/>
    </row>
    <row r="31742" spans="1:14" s="2" customFormat="1">
      <c r="A31742" s="83"/>
      <c r="H31742" s="83"/>
      <c r="K31742" s="82"/>
      <c r="M31742" s="112"/>
      <c r="N31742" s="84"/>
    </row>
    <row r="31743" spans="1:14" s="2" customFormat="1">
      <c r="A31743" s="83"/>
      <c r="H31743" s="83"/>
      <c r="K31743" s="82"/>
      <c r="M31743" s="112"/>
      <c r="N31743" s="84"/>
    </row>
    <row r="31744" spans="1:14" s="2" customFormat="1">
      <c r="A31744" s="83"/>
      <c r="H31744" s="83"/>
      <c r="K31744" s="82"/>
      <c r="M31744" s="112"/>
      <c r="N31744" s="84"/>
    </row>
    <row r="31745" spans="1:14" s="2" customFormat="1">
      <c r="A31745" s="83"/>
      <c r="H31745" s="83"/>
      <c r="K31745" s="82"/>
      <c r="M31745" s="112"/>
      <c r="N31745" s="84"/>
    </row>
    <row r="31746" spans="1:14" s="2" customFormat="1">
      <c r="A31746" s="83"/>
      <c r="H31746" s="83"/>
      <c r="K31746" s="82"/>
      <c r="M31746" s="112"/>
      <c r="N31746" s="84"/>
    </row>
    <row r="31747" spans="1:14" s="2" customFormat="1">
      <c r="A31747" s="83"/>
      <c r="H31747" s="83"/>
      <c r="K31747" s="82"/>
      <c r="M31747" s="112"/>
      <c r="N31747" s="84"/>
    </row>
    <row r="31748" spans="1:14" s="2" customFormat="1">
      <c r="A31748" s="83"/>
      <c r="H31748" s="83"/>
      <c r="K31748" s="82"/>
      <c r="M31748" s="112"/>
      <c r="N31748" s="84"/>
    </row>
    <row r="31749" spans="1:14" s="2" customFormat="1">
      <c r="A31749" s="83"/>
      <c r="H31749" s="83"/>
      <c r="K31749" s="82"/>
      <c r="M31749" s="112"/>
      <c r="N31749" s="84"/>
    </row>
    <row r="31750" spans="1:14" s="2" customFormat="1">
      <c r="A31750" s="83"/>
      <c r="H31750" s="83"/>
      <c r="K31750" s="82"/>
      <c r="M31750" s="112"/>
      <c r="N31750" s="84"/>
    </row>
    <row r="31751" spans="1:14" s="2" customFormat="1">
      <c r="A31751" s="83"/>
      <c r="H31751" s="83"/>
      <c r="K31751" s="82"/>
      <c r="M31751" s="112"/>
      <c r="N31751" s="84"/>
    </row>
    <row r="31752" spans="1:14" s="2" customFormat="1">
      <c r="A31752" s="83"/>
      <c r="H31752" s="83"/>
      <c r="K31752" s="82"/>
      <c r="M31752" s="112"/>
      <c r="N31752" s="84"/>
    </row>
    <row r="31753" spans="1:14" s="2" customFormat="1">
      <c r="A31753" s="83"/>
      <c r="H31753" s="83"/>
      <c r="K31753" s="82"/>
      <c r="M31753" s="112"/>
      <c r="N31753" s="84"/>
    </row>
    <row r="31754" spans="1:14" s="2" customFormat="1">
      <c r="A31754" s="83"/>
      <c r="H31754" s="83"/>
      <c r="K31754" s="82"/>
      <c r="M31754" s="112"/>
      <c r="N31754" s="84"/>
    </row>
    <row r="31755" spans="1:14" s="2" customFormat="1">
      <c r="A31755" s="83"/>
      <c r="H31755" s="83"/>
      <c r="K31755" s="82"/>
      <c r="M31755" s="112"/>
      <c r="N31755" s="84"/>
    </row>
    <row r="31756" spans="1:14" s="2" customFormat="1">
      <c r="A31756" s="83"/>
      <c r="H31756" s="83"/>
      <c r="K31756" s="82"/>
      <c r="M31756" s="112"/>
      <c r="N31756" s="84"/>
    </row>
    <row r="31757" spans="1:14" s="2" customFormat="1">
      <c r="A31757" s="83"/>
      <c r="H31757" s="83"/>
      <c r="K31757" s="82"/>
      <c r="M31757" s="112"/>
      <c r="N31757" s="84"/>
    </row>
    <row r="31758" spans="1:14" s="2" customFormat="1">
      <c r="A31758" s="83"/>
      <c r="H31758" s="83"/>
      <c r="K31758" s="82"/>
      <c r="M31758" s="112"/>
      <c r="N31758" s="84"/>
    </row>
    <row r="31759" spans="1:14" s="2" customFormat="1">
      <c r="A31759" s="83"/>
      <c r="H31759" s="83"/>
      <c r="K31759" s="82"/>
      <c r="M31759" s="112"/>
      <c r="N31759" s="84"/>
    </row>
    <row r="31760" spans="1:14" s="2" customFormat="1">
      <c r="A31760" s="83"/>
      <c r="H31760" s="83"/>
      <c r="K31760" s="82"/>
      <c r="M31760" s="112"/>
      <c r="N31760" s="84"/>
    </row>
    <row r="31761" spans="1:14" s="2" customFormat="1">
      <c r="A31761" s="83"/>
      <c r="H31761" s="83"/>
      <c r="K31761" s="82"/>
      <c r="M31761" s="112"/>
      <c r="N31761" s="84"/>
    </row>
    <row r="31762" spans="1:14" s="2" customFormat="1">
      <c r="A31762" s="83"/>
      <c r="H31762" s="83"/>
      <c r="K31762" s="82"/>
      <c r="M31762" s="112"/>
      <c r="N31762" s="84"/>
    </row>
    <row r="31763" spans="1:14" s="2" customFormat="1">
      <c r="A31763" s="83"/>
      <c r="H31763" s="83"/>
      <c r="K31763" s="82"/>
      <c r="M31763" s="112"/>
      <c r="N31763" s="84"/>
    </row>
    <row r="31764" spans="1:14" s="2" customFormat="1">
      <c r="A31764" s="83"/>
      <c r="H31764" s="83"/>
      <c r="K31764" s="82"/>
      <c r="M31764" s="112"/>
      <c r="N31764" s="84"/>
    </row>
    <row r="31765" spans="1:14" s="2" customFormat="1">
      <c r="A31765" s="83"/>
      <c r="H31765" s="83"/>
      <c r="K31765" s="82"/>
      <c r="M31765" s="112"/>
      <c r="N31765" s="84"/>
    </row>
    <row r="31766" spans="1:14" s="2" customFormat="1">
      <c r="A31766" s="83"/>
      <c r="H31766" s="83"/>
      <c r="K31766" s="82"/>
      <c r="M31766" s="112"/>
      <c r="N31766" s="84"/>
    </row>
    <row r="31767" spans="1:14" s="2" customFormat="1">
      <c r="A31767" s="83"/>
      <c r="H31767" s="83"/>
      <c r="K31767" s="82"/>
      <c r="M31767" s="112"/>
      <c r="N31767" s="84"/>
    </row>
    <row r="31768" spans="1:14" s="2" customFormat="1">
      <c r="A31768" s="83"/>
      <c r="H31768" s="83"/>
      <c r="K31768" s="82"/>
      <c r="M31768" s="112"/>
      <c r="N31768" s="84"/>
    </row>
    <row r="31769" spans="1:14" s="2" customFormat="1">
      <c r="A31769" s="83"/>
      <c r="H31769" s="83"/>
      <c r="K31769" s="82"/>
      <c r="M31769" s="112"/>
      <c r="N31769" s="84"/>
    </row>
    <row r="31770" spans="1:14" s="2" customFormat="1">
      <c r="A31770" s="83"/>
      <c r="H31770" s="83"/>
      <c r="K31770" s="82"/>
      <c r="M31770" s="112"/>
      <c r="N31770" s="84"/>
    </row>
    <row r="31771" spans="1:14" s="2" customFormat="1">
      <c r="A31771" s="83"/>
      <c r="H31771" s="83"/>
      <c r="K31771" s="82"/>
      <c r="M31771" s="112"/>
      <c r="N31771" s="84"/>
    </row>
    <row r="31772" spans="1:14" s="2" customFormat="1">
      <c r="A31772" s="83"/>
      <c r="H31772" s="83"/>
      <c r="K31772" s="82"/>
      <c r="M31772" s="112"/>
      <c r="N31772" s="84"/>
    </row>
    <row r="31773" spans="1:14" s="2" customFormat="1">
      <c r="A31773" s="83"/>
      <c r="H31773" s="83"/>
      <c r="K31773" s="82"/>
      <c r="M31773" s="112"/>
      <c r="N31773" s="84"/>
    </row>
    <row r="31774" spans="1:14" s="2" customFormat="1">
      <c r="A31774" s="83"/>
      <c r="H31774" s="83"/>
      <c r="K31774" s="82"/>
      <c r="M31774" s="112"/>
      <c r="N31774" s="84"/>
    </row>
    <row r="31775" spans="1:14" s="2" customFormat="1">
      <c r="A31775" s="83"/>
      <c r="H31775" s="83"/>
      <c r="K31775" s="82"/>
      <c r="M31775" s="112"/>
      <c r="N31775" s="84"/>
    </row>
    <row r="31776" spans="1:14" s="2" customFormat="1">
      <c r="A31776" s="83"/>
      <c r="H31776" s="83"/>
      <c r="K31776" s="82"/>
      <c r="M31776" s="112"/>
      <c r="N31776" s="84"/>
    </row>
    <row r="31777" spans="1:14" s="2" customFormat="1">
      <c r="A31777" s="83"/>
      <c r="H31777" s="83"/>
      <c r="K31777" s="82"/>
      <c r="M31777" s="112"/>
      <c r="N31777" s="84"/>
    </row>
    <row r="31778" spans="1:14" s="2" customFormat="1">
      <c r="A31778" s="83"/>
      <c r="H31778" s="83"/>
      <c r="K31778" s="82"/>
      <c r="M31778" s="112"/>
      <c r="N31778" s="84"/>
    </row>
    <row r="31779" spans="1:14" s="2" customFormat="1">
      <c r="A31779" s="83"/>
      <c r="H31779" s="83"/>
      <c r="K31779" s="82"/>
      <c r="M31779" s="112"/>
      <c r="N31779" s="84"/>
    </row>
    <row r="31780" spans="1:14" s="2" customFormat="1">
      <c r="A31780" s="83"/>
      <c r="H31780" s="83"/>
      <c r="K31780" s="82"/>
      <c r="M31780" s="112"/>
      <c r="N31780" s="84"/>
    </row>
    <row r="31781" spans="1:14" s="2" customFormat="1">
      <c r="A31781" s="83"/>
      <c r="H31781" s="83"/>
      <c r="K31781" s="82"/>
      <c r="M31781" s="112"/>
      <c r="N31781" s="84"/>
    </row>
    <row r="31782" spans="1:14" s="2" customFormat="1">
      <c r="A31782" s="83"/>
      <c r="H31782" s="83"/>
      <c r="K31782" s="82"/>
      <c r="M31782" s="112"/>
      <c r="N31782" s="84"/>
    </row>
    <row r="31783" spans="1:14" s="2" customFormat="1">
      <c r="A31783" s="83"/>
      <c r="H31783" s="83"/>
      <c r="K31783" s="82"/>
      <c r="M31783" s="112"/>
      <c r="N31783" s="84"/>
    </row>
    <row r="31784" spans="1:14" s="2" customFormat="1">
      <c r="A31784" s="83"/>
      <c r="H31784" s="83"/>
      <c r="K31784" s="82"/>
      <c r="M31784" s="112"/>
      <c r="N31784" s="84"/>
    </row>
    <row r="31785" spans="1:14" s="2" customFormat="1">
      <c r="A31785" s="83"/>
      <c r="H31785" s="83"/>
      <c r="K31785" s="82"/>
      <c r="M31785" s="112"/>
      <c r="N31785" s="84"/>
    </row>
    <row r="31786" spans="1:14" s="2" customFormat="1">
      <c r="A31786" s="83"/>
      <c r="H31786" s="83"/>
      <c r="K31786" s="82"/>
      <c r="M31786" s="112"/>
      <c r="N31786" s="84"/>
    </row>
    <row r="31787" spans="1:14" s="2" customFormat="1">
      <c r="A31787" s="83"/>
      <c r="H31787" s="83"/>
      <c r="K31787" s="82"/>
      <c r="M31787" s="112"/>
      <c r="N31787" s="84"/>
    </row>
    <row r="31788" spans="1:14" s="2" customFormat="1">
      <c r="A31788" s="83"/>
      <c r="H31788" s="83"/>
      <c r="K31788" s="82"/>
      <c r="M31788" s="112"/>
      <c r="N31788" s="84"/>
    </row>
    <row r="31789" spans="1:14" s="2" customFormat="1">
      <c r="A31789" s="83"/>
      <c r="H31789" s="83"/>
      <c r="K31789" s="82"/>
      <c r="M31789" s="112"/>
      <c r="N31789" s="84"/>
    </row>
    <row r="31790" spans="1:14" s="2" customFormat="1">
      <c r="A31790" s="83"/>
      <c r="H31790" s="83"/>
      <c r="K31790" s="82"/>
      <c r="M31790" s="112"/>
      <c r="N31790" s="84"/>
    </row>
    <row r="31791" spans="1:14" s="2" customFormat="1">
      <c r="A31791" s="83"/>
      <c r="H31791" s="83"/>
      <c r="K31791" s="82"/>
      <c r="M31791" s="112"/>
      <c r="N31791" s="84"/>
    </row>
    <row r="31792" spans="1:14" s="2" customFormat="1">
      <c r="A31792" s="83"/>
      <c r="H31792" s="83"/>
      <c r="K31792" s="82"/>
      <c r="M31792" s="112"/>
      <c r="N31792" s="84"/>
    </row>
    <row r="31793" spans="1:14" s="2" customFormat="1">
      <c r="A31793" s="83"/>
      <c r="H31793" s="83"/>
      <c r="K31793" s="82"/>
      <c r="M31793" s="112"/>
      <c r="N31793" s="84"/>
    </row>
    <row r="31794" spans="1:14" s="2" customFormat="1">
      <c r="A31794" s="83"/>
      <c r="H31794" s="83"/>
      <c r="K31794" s="82"/>
      <c r="M31794" s="112"/>
      <c r="N31794" s="84"/>
    </row>
    <row r="31795" spans="1:14" s="2" customFormat="1">
      <c r="A31795" s="83"/>
      <c r="H31795" s="83"/>
      <c r="K31795" s="82"/>
      <c r="M31795" s="112"/>
      <c r="N31795" s="84"/>
    </row>
    <row r="31796" spans="1:14" s="2" customFormat="1">
      <c r="A31796" s="83"/>
      <c r="H31796" s="83"/>
      <c r="K31796" s="82"/>
      <c r="M31796" s="112"/>
      <c r="N31796" s="84"/>
    </row>
    <row r="31797" spans="1:14" s="2" customFormat="1">
      <c r="A31797" s="83"/>
      <c r="H31797" s="83"/>
      <c r="K31797" s="82"/>
      <c r="M31797" s="112"/>
      <c r="N31797" s="84"/>
    </row>
    <row r="31798" spans="1:14" s="2" customFormat="1">
      <c r="A31798" s="83"/>
      <c r="H31798" s="83"/>
      <c r="K31798" s="82"/>
      <c r="M31798" s="112"/>
      <c r="N31798" s="84"/>
    </row>
    <row r="31799" spans="1:14" s="2" customFormat="1">
      <c r="A31799" s="83"/>
      <c r="H31799" s="83"/>
      <c r="K31799" s="82"/>
      <c r="M31799" s="112"/>
      <c r="N31799" s="84"/>
    </row>
    <row r="31800" spans="1:14" s="2" customFormat="1">
      <c r="A31800" s="83"/>
      <c r="H31800" s="83"/>
      <c r="K31800" s="82"/>
      <c r="M31800" s="112"/>
      <c r="N31800" s="84"/>
    </row>
    <row r="31801" spans="1:14" s="2" customFormat="1">
      <c r="A31801" s="83"/>
      <c r="H31801" s="83"/>
      <c r="K31801" s="82"/>
      <c r="M31801" s="112"/>
      <c r="N31801" s="84"/>
    </row>
    <row r="31802" spans="1:14" s="2" customFormat="1">
      <c r="A31802" s="83"/>
      <c r="H31802" s="83"/>
      <c r="K31802" s="82"/>
      <c r="M31802" s="112"/>
      <c r="N31802" s="84"/>
    </row>
    <row r="31803" spans="1:14" s="2" customFormat="1">
      <c r="A31803" s="83"/>
      <c r="H31803" s="83"/>
      <c r="K31803" s="82"/>
      <c r="M31803" s="112"/>
      <c r="N31803" s="84"/>
    </row>
    <row r="31804" spans="1:14" s="2" customFormat="1">
      <c r="A31804" s="83"/>
      <c r="H31804" s="83"/>
      <c r="K31804" s="82"/>
      <c r="M31804" s="112"/>
      <c r="N31804" s="84"/>
    </row>
    <row r="31805" spans="1:14" s="2" customFormat="1">
      <c r="A31805" s="83"/>
      <c r="H31805" s="83"/>
      <c r="K31805" s="82"/>
      <c r="M31805" s="112"/>
      <c r="N31805" s="84"/>
    </row>
    <row r="31806" spans="1:14" s="2" customFormat="1">
      <c r="A31806" s="83"/>
      <c r="H31806" s="83"/>
      <c r="K31806" s="82"/>
      <c r="M31806" s="112"/>
      <c r="N31806" s="84"/>
    </row>
    <row r="31807" spans="1:14" s="2" customFormat="1">
      <c r="A31807" s="83"/>
      <c r="H31807" s="83"/>
      <c r="K31807" s="82"/>
      <c r="M31807" s="112"/>
      <c r="N31807" s="84"/>
    </row>
    <row r="31808" spans="1:14" s="2" customFormat="1">
      <c r="A31808" s="83"/>
      <c r="H31808" s="83"/>
      <c r="K31808" s="82"/>
      <c r="M31808" s="112"/>
      <c r="N31808" s="84"/>
    </row>
    <row r="31809" spans="1:14" s="2" customFormat="1">
      <c r="A31809" s="83"/>
      <c r="H31809" s="83"/>
      <c r="K31809" s="82"/>
      <c r="M31809" s="112"/>
      <c r="N31809" s="84"/>
    </row>
    <row r="31810" spans="1:14" s="2" customFormat="1">
      <c r="A31810" s="83"/>
      <c r="H31810" s="83"/>
      <c r="K31810" s="82"/>
      <c r="M31810" s="112"/>
      <c r="N31810" s="84"/>
    </row>
    <row r="31811" spans="1:14" s="2" customFormat="1">
      <c r="A31811" s="83"/>
      <c r="H31811" s="83"/>
      <c r="K31811" s="82"/>
      <c r="M31811" s="112"/>
      <c r="N31811" s="84"/>
    </row>
    <row r="31812" spans="1:14" s="2" customFormat="1">
      <c r="A31812" s="83"/>
      <c r="H31812" s="83"/>
      <c r="K31812" s="82"/>
      <c r="M31812" s="112"/>
      <c r="N31812" s="84"/>
    </row>
    <row r="31813" spans="1:14" s="2" customFormat="1">
      <c r="A31813" s="83"/>
      <c r="H31813" s="83"/>
      <c r="K31813" s="82"/>
      <c r="M31813" s="112"/>
      <c r="N31813" s="84"/>
    </row>
    <row r="31814" spans="1:14" s="2" customFormat="1">
      <c r="A31814" s="83"/>
      <c r="H31814" s="83"/>
      <c r="K31814" s="82"/>
      <c r="M31814" s="112"/>
      <c r="N31814" s="84"/>
    </row>
    <row r="31815" spans="1:14" s="2" customFormat="1">
      <c r="A31815" s="83"/>
      <c r="H31815" s="83"/>
      <c r="K31815" s="82"/>
      <c r="M31815" s="112"/>
      <c r="N31815" s="84"/>
    </row>
    <row r="31816" spans="1:14" s="2" customFormat="1">
      <c r="A31816" s="83"/>
      <c r="H31816" s="83"/>
      <c r="K31816" s="82"/>
      <c r="M31816" s="112"/>
      <c r="N31816" s="84"/>
    </row>
    <row r="31817" spans="1:14" s="2" customFormat="1">
      <c r="A31817" s="83"/>
      <c r="H31817" s="83"/>
      <c r="K31817" s="82"/>
      <c r="M31817" s="112"/>
      <c r="N31817" s="84"/>
    </row>
    <row r="31818" spans="1:14" s="2" customFormat="1">
      <c r="A31818" s="83"/>
      <c r="H31818" s="83"/>
      <c r="K31818" s="82"/>
      <c r="M31818" s="112"/>
      <c r="N31818" s="84"/>
    </row>
    <row r="31819" spans="1:14" s="2" customFormat="1">
      <c r="A31819" s="83"/>
      <c r="H31819" s="83"/>
      <c r="K31819" s="82"/>
      <c r="M31819" s="112"/>
      <c r="N31819" s="84"/>
    </row>
    <row r="31820" spans="1:14" s="2" customFormat="1">
      <c r="A31820" s="83"/>
      <c r="H31820" s="83"/>
      <c r="K31820" s="82"/>
      <c r="M31820" s="112"/>
      <c r="N31820" s="84"/>
    </row>
    <row r="31821" spans="1:14" s="2" customFormat="1">
      <c r="A31821" s="83"/>
      <c r="H31821" s="83"/>
      <c r="K31821" s="82"/>
      <c r="M31821" s="112"/>
      <c r="N31821" s="84"/>
    </row>
    <row r="31822" spans="1:14" s="2" customFormat="1">
      <c r="A31822" s="83"/>
      <c r="H31822" s="83"/>
      <c r="K31822" s="82"/>
      <c r="M31822" s="112"/>
      <c r="N31822" s="84"/>
    </row>
    <row r="31823" spans="1:14" s="2" customFormat="1">
      <c r="A31823" s="83"/>
      <c r="H31823" s="83"/>
      <c r="K31823" s="82"/>
      <c r="M31823" s="112"/>
      <c r="N31823" s="84"/>
    </row>
    <row r="31824" spans="1:14" s="2" customFormat="1">
      <c r="A31824" s="83"/>
      <c r="H31824" s="83"/>
      <c r="K31824" s="82"/>
      <c r="M31824" s="112"/>
      <c r="N31824" s="84"/>
    </row>
    <row r="31825" spans="1:14" s="2" customFormat="1">
      <c r="A31825" s="83"/>
      <c r="H31825" s="83"/>
      <c r="K31825" s="82"/>
      <c r="M31825" s="112"/>
      <c r="N31825" s="84"/>
    </row>
    <row r="31826" spans="1:14" s="2" customFormat="1">
      <c r="A31826" s="83"/>
      <c r="H31826" s="83"/>
      <c r="K31826" s="82"/>
      <c r="M31826" s="112"/>
      <c r="N31826" s="84"/>
    </row>
    <row r="31827" spans="1:14" s="2" customFormat="1">
      <c r="A31827" s="83"/>
      <c r="H31827" s="83"/>
      <c r="K31827" s="82"/>
      <c r="M31827" s="112"/>
      <c r="N31827" s="84"/>
    </row>
    <row r="31828" spans="1:14" s="2" customFormat="1">
      <c r="A31828" s="83"/>
      <c r="H31828" s="83"/>
      <c r="K31828" s="82"/>
      <c r="M31828" s="112"/>
      <c r="N31828" s="84"/>
    </row>
    <row r="31829" spans="1:14" s="2" customFormat="1">
      <c r="A31829" s="83"/>
      <c r="H31829" s="83"/>
      <c r="K31829" s="82"/>
      <c r="M31829" s="112"/>
      <c r="N31829" s="84"/>
    </row>
    <row r="31830" spans="1:14" s="2" customFormat="1">
      <c r="A31830" s="83"/>
      <c r="H31830" s="83"/>
      <c r="K31830" s="82"/>
      <c r="M31830" s="112"/>
      <c r="N31830" s="84"/>
    </row>
    <row r="31831" spans="1:14" s="2" customFormat="1">
      <c r="A31831" s="83"/>
      <c r="H31831" s="83"/>
      <c r="K31831" s="82"/>
      <c r="M31831" s="112"/>
      <c r="N31831" s="84"/>
    </row>
    <row r="31832" spans="1:14" s="2" customFormat="1">
      <c r="A31832" s="83"/>
      <c r="H31832" s="83"/>
      <c r="K31832" s="82"/>
      <c r="M31832" s="112"/>
      <c r="N31832" s="84"/>
    </row>
    <row r="31833" spans="1:14" s="2" customFormat="1">
      <c r="A31833" s="83"/>
      <c r="H31833" s="83"/>
      <c r="K31833" s="82"/>
      <c r="M31833" s="112"/>
      <c r="N31833" s="84"/>
    </row>
    <row r="31834" spans="1:14" s="2" customFormat="1">
      <c r="A31834" s="83"/>
      <c r="H31834" s="83"/>
      <c r="K31834" s="82"/>
      <c r="M31834" s="112"/>
      <c r="N31834" s="84"/>
    </row>
    <row r="31835" spans="1:14" s="2" customFormat="1">
      <c r="A31835" s="83"/>
      <c r="H31835" s="83"/>
      <c r="K31835" s="82"/>
      <c r="M31835" s="112"/>
      <c r="N31835" s="84"/>
    </row>
    <row r="31836" spans="1:14" s="2" customFormat="1">
      <c r="A31836" s="83"/>
      <c r="H31836" s="83"/>
      <c r="K31836" s="82"/>
      <c r="M31836" s="112"/>
      <c r="N31836" s="84"/>
    </row>
    <row r="31837" spans="1:14" s="2" customFormat="1">
      <c r="A31837" s="83"/>
      <c r="H31837" s="83"/>
      <c r="K31837" s="82"/>
      <c r="M31837" s="112"/>
      <c r="N31837" s="84"/>
    </row>
    <row r="31838" spans="1:14" s="2" customFormat="1">
      <c r="A31838" s="83"/>
      <c r="H31838" s="83"/>
      <c r="K31838" s="82"/>
      <c r="M31838" s="112"/>
      <c r="N31838" s="84"/>
    </row>
    <row r="31839" spans="1:14" s="2" customFormat="1">
      <c r="A31839" s="83"/>
      <c r="H31839" s="83"/>
      <c r="K31839" s="82"/>
      <c r="M31839" s="112"/>
      <c r="N31839" s="84"/>
    </row>
    <row r="31840" spans="1:14" s="2" customFormat="1">
      <c r="A31840" s="83"/>
      <c r="H31840" s="83"/>
      <c r="K31840" s="82"/>
      <c r="M31840" s="112"/>
      <c r="N31840" s="84"/>
    </row>
    <row r="31841" spans="1:14" s="2" customFormat="1">
      <c r="A31841" s="83"/>
      <c r="H31841" s="83"/>
      <c r="K31841" s="82"/>
      <c r="M31841" s="112"/>
      <c r="N31841" s="84"/>
    </row>
    <row r="31842" spans="1:14" s="2" customFormat="1">
      <c r="A31842" s="83"/>
      <c r="H31842" s="83"/>
      <c r="K31842" s="82"/>
      <c r="M31842" s="112"/>
      <c r="N31842" s="84"/>
    </row>
    <row r="31843" spans="1:14" s="2" customFormat="1">
      <c r="A31843" s="83"/>
      <c r="H31843" s="83"/>
      <c r="K31843" s="82"/>
      <c r="M31843" s="112"/>
      <c r="N31843" s="84"/>
    </row>
    <row r="31844" spans="1:14" s="2" customFormat="1">
      <c r="A31844" s="83"/>
      <c r="H31844" s="83"/>
      <c r="K31844" s="82"/>
      <c r="M31844" s="112"/>
      <c r="N31844" s="84"/>
    </row>
    <row r="31845" spans="1:14" s="2" customFormat="1">
      <c r="A31845" s="83"/>
      <c r="H31845" s="83"/>
      <c r="K31845" s="82"/>
      <c r="M31845" s="112"/>
      <c r="N31845" s="84"/>
    </row>
    <row r="31846" spans="1:14" s="2" customFormat="1">
      <c r="A31846" s="83"/>
      <c r="H31846" s="83"/>
      <c r="K31846" s="82"/>
      <c r="M31846" s="112"/>
      <c r="N31846" s="84"/>
    </row>
    <row r="31847" spans="1:14" s="2" customFormat="1">
      <c r="A31847" s="83"/>
      <c r="H31847" s="83"/>
      <c r="K31847" s="82"/>
      <c r="M31847" s="112"/>
      <c r="N31847" s="84"/>
    </row>
    <row r="31848" spans="1:14" s="2" customFormat="1">
      <c r="A31848" s="83"/>
      <c r="H31848" s="83"/>
      <c r="K31848" s="82"/>
      <c r="M31848" s="112"/>
      <c r="N31848" s="84"/>
    </row>
    <row r="31849" spans="1:14" s="2" customFormat="1">
      <c r="A31849" s="83"/>
      <c r="H31849" s="83"/>
      <c r="K31849" s="82"/>
      <c r="M31849" s="112"/>
      <c r="N31849" s="84"/>
    </row>
    <row r="31850" spans="1:14" s="2" customFormat="1">
      <c r="A31850" s="83"/>
      <c r="H31850" s="83"/>
      <c r="K31850" s="82"/>
      <c r="M31850" s="112"/>
      <c r="N31850" s="84"/>
    </row>
    <row r="31851" spans="1:14" s="2" customFormat="1">
      <c r="A31851" s="83"/>
      <c r="H31851" s="83"/>
      <c r="K31851" s="82"/>
      <c r="M31851" s="112"/>
      <c r="N31851" s="84"/>
    </row>
    <row r="31852" spans="1:14" s="2" customFormat="1">
      <c r="A31852" s="83"/>
      <c r="H31852" s="83"/>
      <c r="K31852" s="82"/>
      <c r="M31852" s="112"/>
      <c r="N31852" s="84"/>
    </row>
    <row r="31853" spans="1:14" s="2" customFormat="1">
      <c r="A31853" s="83"/>
      <c r="H31853" s="83"/>
      <c r="K31853" s="82"/>
      <c r="M31853" s="112"/>
      <c r="N31853" s="84"/>
    </row>
    <row r="31854" spans="1:14" s="2" customFormat="1">
      <c r="A31854" s="83"/>
      <c r="H31854" s="83"/>
      <c r="K31854" s="82"/>
      <c r="M31854" s="112"/>
      <c r="N31854" s="84"/>
    </row>
    <row r="31855" spans="1:14" s="2" customFormat="1">
      <c r="A31855" s="83"/>
      <c r="H31855" s="83"/>
      <c r="K31855" s="82"/>
      <c r="M31855" s="112"/>
      <c r="N31855" s="84"/>
    </row>
    <row r="31856" spans="1:14" s="2" customFormat="1">
      <c r="A31856" s="83"/>
      <c r="H31856" s="83"/>
      <c r="K31856" s="82"/>
      <c r="M31856" s="112"/>
      <c r="N31856" s="84"/>
    </row>
    <row r="31857" spans="1:14" s="2" customFormat="1">
      <c r="A31857" s="83"/>
      <c r="H31857" s="83"/>
      <c r="K31857" s="82"/>
      <c r="M31857" s="112"/>
      <c r="N31857" s="84"/>
    </row>
    <row r="31858" spans="1:14" s="2" customFormat="1">
      <c r="A31858" s="83"/>
      <c r="H31858" s="83"/>
      <c r="K31858" s="82"/>
      <c r="M31858" s="112"/>
      <c r="N31858" s="84"/>
    </row>
    <row r="31859" spans="1:14" s="2" customFormat="1">
      <c r="A31859" s="83"/>
      <c r="H31859" s="83"/>
      <c r="K31859" s="82"/>
      <c r="M31859" s="112"/>
      <c r="N31859" s="84"/>
    </row>
    <row r="31860" spans="1:14" s="2" customFormat="1">
      <c r="A31860" s="83"/>
      <c r="H31860" s="83"/>
      <c r="K31860" s="82"/>
      <c r="M31860" s="112"/>
      <c r="N31860" s="84"/>
    </row>
    <row r="31861" spans="1:14" s="2" customFormat="1">
      <c r="A31861" s="83"/>
      <c r="H31861" s="83"/>
      <c r="K31861" s="82"/>
      <c r="M31861" s="112"/>
      <c r="N31861" s="84"/>
    </row>
    <row r="31862" spans="1:14" s="2" customFormat="1">
      <c r="A31862" s="83"/>
      <c r="H31862" s="83"/>
      <c r="K31862" s="82"/>
      <c r="M31862" s="112"/>
      <c r="N31862" s="84"/>
    </row>
    <row r="31863" spans="1:14" s="2" customFormat="1">
      <c r="A31863" s="83"/>
      <c r="H31863" s="83"/>
      <c r="K31863" s="82"/>
      <c r="M31863" s="112"/>
      <c r="N31863" s="84"/>
    </row>
    <row r="31864" spans="1:14" s="2" customFormat="1">
      <c r="A31864" s="83"/>
      <c r="H31864" s="83"/>
      <c r="K31864" s="82"/>
      <c r="M31864" s="112"/>
      <c r="N31864" s="84"/>
    </row>
    <row r="31865" spans="1:14" s="2" customFormat="1">
      <c r="A31865" s="83"/>
      <c r="H31865" s="83"/>
      <c r="K31865" s="82"/>
      <c r="M31865" s="112"/>
      <c r="N31865" s="84"/>
    </row>
    <row r="31866" spans="1:14" s="2" customFormat="1">
      <c r="A31866" s="83"/>
      <c r="H31866" s="83"/>
      <c r="K31866" s="82"/>
      <c r="M31866" s="112"/>
      <c r="N31866" s="84"/>
    </row>
    <row r="31867" spans="1:14" s="2" customFormat="1">
      <c r="A31867" s="83"/>
      <c r="H31867" s="83"/>
      <c r="K31867" s="82"/>
      <c r="M31867" s="112"/>
      <c r="N31867" s="84"/>
    </row>
    <row r="31868" spans="1:14" s="2" customFormat="1">
      <c r="A31868" s="83"/>
      <c r="H31868" s="83"/>
      <c r="K31868" s="82"/>
      <c r="M31868" s="112"/>
      <c r="N31868" s="84"/>
    </row>
    <row r="31869" spans="1:14" s="2" customFormat="1">
      <c r="A31869" s="83"/>
      <c r="H31869" s="83"/>
      <c r="K31869" s="82"/>
      <c r="M31869" s="112"/>
      <c r="N31869" s="84"/>
    </row>
    <row r="31870" spans="1:14" s="2" customFormat="1">
      <c r="A31870" s="83"/>
      <c r="H31870" s="83"/>
      <c r="K31870" s="82"/>
      <c r="M31870" s="112"/>
      <c r="N31870" s="84"/>
    </row>
    <row r="31871" spans="1:14" s="2" customFormat="1">
      <c r="A31871" s="83"/>
      <c r="H31871" s="83"/>
      <c r="K31871" s="82"/>
      <c r="M31871" s="112"/>
      <c r="N31871" s="84"/>
    </row>
    <row r="31872" spans="1:14" s="2" customFormat="1">
      <c r="A31872" s="83"/>
      <c r="H31872" s="83"/>
      <c r="K31872" s="82"/>
      <c r="M31872" s="112"/>
      <c r="N31872" s="84"/>
    </row>
    <row r="31873" spans="1:14" s="2" customFormat="1">
      <c r="A31873" s="83"/>
      <c r="H31873" s="83"/>
      <c r="K31873" s="82"/>
      <c r="M31873" s="112"/>
      <c r="N31873" s="84"/>
    </row>
    <row r="31874" spans="1:14" s="2" customFormat="1">
      <c r="A31874" s="83"/>
      <c r="H31874" s="83"/>
      <c r="K31874" s="82"/>
      <c r="M31874" s="112"/>
      <c r="N31874" s="84"/>
    </row>
    <row r="31875" spans="1:14" s="2" customFormat="1">
      <c r="A31875" s="83"/>
      <c r="H31875" s="83"/>
      <c r="K31875" s="82"/>
      <c r="M31875" s="112"/>
      <c r="N31875" s="84"/>
    </row>
    <row r="31876" spans="1:14" s="2" customFormat="1">
      <c r="A31876" s="83"/>
      <c r="H31876" s="83"/>
      <c r="K31876" s="82"/>
      <c r="M31876" s="112"/>
      <c r="N31876" s="84"/>
    </row>
    <row r="31877" spans="1:14" s="2" customFormat="1">
      <c r="A31877" s="83"/>
      <c r="H31877" s="83"/>
      <c r="K31877" s="82"/>
      <c r="M31877" s="112"/>
      <c r="N31877" s="84"/>
    </row>
    <row r="31878" spans="1:14" s="2" customFormat="1">
      <c r="A31878" s="83"/>
      <c r="H31878" s="83"/>
      <c r="K31878" s="82"/>
      <c r="M31878" s="112"/>
      <c r="N31878" s="84"/>
    </row>
    <row r="31879" spans="1:14" s="2" customFormat="1">
      <c r="A31879" s="83"/>
      <c r="H31879" s="83"/>
      <c r="K31879" s="82"/>
      <c r="M31879" s="112"/>
      <c r="N31879" s="84"/>
    </row>
    <row r="31880" spans="1:14" s="2" customFormat="1">
      <c r="A31880" s="83"/>
      <c r="H31880" s="83"/>
      <c r="K31880" s="82"/>
      <c r="M31880" s="112"/>
      <c r="N31880" s="84"/>
    </row>
    <row r="31881" spans="1:14" s="2" customFormat="1">
      <c r="A31881" s="83"/>
      <c r="H31881" s="83"/>
      <c r="K31881" s="82"/>
      <c r="M31881" s="112"/>
      <c r="N31881" s="84"/>
    </row>
    <row r="31882" spans="1:14" s="2" customFormat="1">
      <c r="A31882" s="83"/>
      <c r="H31882" s="83"/>
      <c r="K31882" s="82"/>
      <c r="M31882" s="112"/>
      <c r="N31882" s="84"/>
    </row>
    <row r="31883" spans="1:14" s="2" customFormat="1">
      <c r="A31883" s="83"/>
      <c r="H31883" s="83"/>
      <c r="K31883" s="82"/>
      <c r="M31883" s="112"/>
      <c r="N31883" s="84"/>
    </row>
    <row r="31884" spans="1:14" s="2" customFormat="1">
      <c r="A31884" s="83"/>
      <c r="H31884" s="83"/>
      <c r="K31884" s="82"/>
      <c r="M31884" s="112"/>
      <c r="N31884" s="84"/>
    </row>
    <row r="31885" spans="1:14" s="2" customFormat="1">
      <c r="A31885" s="83"/>
      <c r="H31885" s="83"/>
      <c r="K31885" s="82"/>
      <c r="M31885" s="112"/>
      <c r="N31885" s="84"/>
    </row>
    <row r="31886" spans="1:14" s="2" customFormat="1">
      <c r="A31886" s="83"/>
      <c r="H31886" s="83"/>
      <c r="K31886" s="82"/>
      <c r="M31886" s="112"/>
      <c r="N31886" s="84"/>
    </row>
    <row r="31887" spans="1:14" s="2" customFormat="1">
      <c r="A31887" s="83"/>
      <c r="H31887" s="83"/>
      <c r="K31887" s="82"/>
      <c r="M31887" s="112"/>
      <c r="N31887" s="84"/>
    </row>
    <row r="31888" spans="1:14" s="2" customFormat="1">
      <c r="A31888" s="83"/>
      <c r="H31888" s="83"/>
      <c r="K31888" s="82"/>
      <c r="M31888" s="112"/>
      <c r="N31888" s="84"/>
    </row>
    <row r="31889" spans="1:14" s="2" customFormat="1">
      <c r="A31889" s="83"/>
      <c r="H31889" s="83"/>
      <c r="K31889" s="82"/>
      <c r="M31889" s="112"/>
      <c r="N31889" s="84"/>
    </row>
    <row r="31890" spans="1:14" s="2" customFormat="1">
      <c r="A31890" s="83"/>
      <c r="H31890" s="83"/>
      <c r="K31890" s="82"/>
      <c r="M31890" s="112"/>
      <c r="N31890" s="84"/>
    </row>
    <row r="31891" spans="1:14" s="2" customFormat="1">
      <c r="A31891" s="83"/>
      <c r="H31891" s="83"/>
      <c r="K31891" s="82"/>
      <c r="M31891" s="112"/>
      <c r="N31891" s="84"/>
    </row>
    <row r="31892" spans="1:14" s="2" customFormat="1">
      <c r="A31892" s="83"/>
      <c r="H31892" s="83"/>
      <c r="K31892" s="82"/>
      <c r="M31892" s="112"/>
      <c r="N31892" s="84"/>
    </row>
    <row r="31893" spans="1:14" s="2" customFormat="1">
      <c r="A31893" s="83"/>
      <c r="H31893" s="83"/>
      <c r="K31893" s="82"/>
      <c r="M31893" s="112"/>
      <c r="N31893" s="84"/>
    </row>
    <row r="31894" spans="1:14" s="2" customFormat="1">
      <c r="A31894" s="83"/>
      <c r="H31894" s="83"/>
      <c r="K31894" s="82"/>
      <c r="M31894" s="112"/>
      <c r="N31894" s="84"/>
    </row>
    <row r="31895" spans="1:14" s="2" customFormat="1">
      <c r="A31895" s="83"/>
      <c r="H31895" s="83"/>
      <c r="K31895" s="82"/>
      <c r="M31895" s="112"/>
      <c r="N31895" s="84"/>
    </row>
    <row r="31896" spans="1:14" s="2" customFormat="1">
      <c r="A31896" s="83"/>
      <c r="H31896" s="83"/>
      <c r="K31896" s="82"/>
      <c r="M31896" s="112"/>
      <c r="N31896" s="84"/>
    </row>
    <row r="31897" spans="1:14" s="2" customFormat="1">
      <c r="A31897" s="83"/>
      <c r="H31897" s="83"/>
      <c r="K31897" s="82"/>
      <c r="M31897" s="112"/>
      <c r="N31897" s="84"/>
    </row>
    <row r="31898" spans="1:14" s="2" customFormat="1">
      <c r="A31898" s="83"/>
      <c r="H31898" s="83"/>
      <c r="K31898" s="82"/>
      <c r="M31898" s="112"/>
      <c r="N31898" s="84"/>
    </row>
    <row r="31899" spans="1:14" s="2" customFormat="1">
      <c r="A31899" s="83"/>
      <c r="H31899" s="83"/>
      <c r="K31899" s="82"/>
      <c r="M31899" s="112"/>
      <c r="N31899" s="84"/>
    </row>
    <row r="31900" spans="1:14" s="2" customFormat="1">
      <c r="A31900" s="83"/>
      <c r="H31900" s="83"/>
      <c r="K31900" s="82"/>
      <c r="M31900" s="112"/>
      <c r="N31900" s="84"/>
    </row>
    <row r="31901" spans="1:14" s="2" customFormat="1">
      <c r="A31901" s="83"/>
      <c r="H31901" s="83"/>
      <c r="K31901" s="82"/>
      <c r="M31901" s="112"/>
      <c r="N31901" s="84"/>
    </row>
    <row r="31902" spans="1:14" s="2" customFormat="1">
      <c r="A31902" s="83"/>
      <c r="H31902" s="83"/>
      <c r="K31902" s="82"/>
      <c r="M31902" s="112"/>
      <c r="N31902" s="84"/>
    </row>
    <row r="31903" spans="1:14" s="2" customFormat="1">
      <c r="A31903" s="83"/>
      <c r="H31903" s="83"/>
      <c r="K31903" s="82"/>
      <c r="M31903" s="112"/>
      <c r="N31903" s="84"/>
    </row>
    <row r="31904" spans="1:14" s="2" customFormat="1">
      <c r="A31904" s="83"/>
      <c r="H31904" s="83"/>
      <c r="K31904" s="82"/>
      <c r="M31904" s="112"/>
      <c r="N31904" s="84"/>
    </row>
    <row r="31905" spans="1:14" s="2" customFormat="1">
      <c r="A31905" s="83"/>
      <c r="H31905" s="83"/>
      <c r="K31905" s="82"/>
      <c r="M31905" s="112"/>
      <c r="N31905" s="84"/>
    </row>
    <row r="31906" spans="1:14" s="2" customFormat="1">
      <c r="A31906" s="83"/>
      <c r="H31906" s="83"/>
      <c r="K31906" s="82"/>
      <c r="M31906" s="112"/>
      <c r="N31906" s="84"/>
    </row>
    <row r="31907" spans="1:14" s="2" customFormat="1">
      <c r="A31907" s="83"/>
      <c r="H31907" s="83"/>
      <c r="K31907" s="82"/>
      <c r="M31907" s="112"/>
      <c r="N31907" s="84"/>
    </row>
    <row r="31908" spans="1:14" s="2" customFormat="1">
      <c r="A31908" s="83"/>
      <c r="H31908" s="83"/>
      <c r="K31908" s="82"/>
      <c r="M31908" s="112"/>
      <c r="N31908" s="84"/>
    </row>
    <row r="31909" spans="1:14" s="2" customFormat="1">
      <c r="A31909" s="83"/>
      <c r="H31909" s="83"/>
      <c r="K31909" s="82"/>
      <c r="M31909" s="112"/>
      <c r="N31909" s="84"/>
    </row>
    <row r="31910" spans="1:14" s="2" customFormat="1">
      <c r="A31910" s="83"/>
      <c r="H31910" s="83"/>
      <c r="K31910" s="82"/>
      <c r="M31910" s="112"/>
      <c r="N31910" s="84"/>
    </row>
    <row r="31911" spans="1:14" s="2" customFormat="1">
      <c r="A31911" s="83"/>
      <c r="H31911" s="83"/>
      <c r="K31911" s="82"/>
      <c r="M31911" s="112"/>
      <c r="N31911" s="84"/>
    </row>
    <row r="31912" spans="1:14" s="2" customFormat="1">
      <c r="A31912" s="83"/>
      <c r="H31912" s="83"/>
      <c r="K31912" s="82"/>
      <c r="M31912" s="112"/>
      <c r="N31912" s="84"/>
    </row>
    <row r="31913" spans="1:14" s="2" customFormat="1">
      <c r="A31913" s="83"/>
      <c r="H31913" s="83"/>
      <c r="K31913" s="82"/>
      <c r="M31913" s="112"/>
      <c r="N31913" s="84"/>
    </row>
    <row r="31914" spans="1:14" s="2" customFormat="1">
      <c r="A31914" s="83"/>
      <c r="H31914" s="83"/>
      <c r="K31914" s="82"/>
      <c r="M31914" s="112"/>
      <c r="N31914" s="84"/>
    </row>
    <row r="31915" spans="1:14" s="2" customFormat="1">
      <c r="A31915" s="83"/>
      <c r="H31915" s="83"/>
      <c r="K31915" s="82"/>
      <c r="M31915" s="112"/>
      <c r="N31915" s="84"/>
    </row>
    <row r="31916" spans="1:14" s="2" customFormat="1">
      <c r="A31916" s="83"/>
      <c r="H31916" s="83"/>
      <c r="K31916" s="82"/>
      <c r="M31916" s="112"/>
      <c r="N31916" s="84"/>
    </row>
    <row r="31917" spans="1:14" s="2" customFormat="1">
      <c r="A31917" s="83"/>
      <c r="H31917" s="83"/>
      <c r="K31917" s="82"/>
      <c r="M31917" s="112"/>
      <c r="N31917" s="84"/>
    </row>
    <row r="31918" spans="1:14" s="2" customFormat="1">
      <c r="A31918" s="83"/>
      <c r="H31918" s="83"/>
      <c r="K31918" s="82"/>
      <c r="M31918" s="112"/>
      <c r="N31918" s="84"/>
    </row>
    <row r="31919" spans="1:14" s="2" customFormat="1">
      <c r="A31919" s="83"/>
      <c r="H31919" s="83"/>
      <c r="K31919" s="82"/>
      <c r="M31919" s="112"/>
      <c r="N31919" s="84"/>
    </row>
    <row r="31920" spans="1:14" s="2" customFormat="1">
      <c r="A31920" s="83"/>
      <c r="H31920" s="83"/>
      <c r="K31920" s="82"/>
      <c r="M31920" s="112"/>
      <c r="N31920" s="84"/>
    </row>
    <row r="31921" spans="1:14" s="2" customFormat="1">
      <c r="A31921" s="83"/>
      <c r="H31921" s="83"/>
      <c r="K31921" s="82"/>
      <c r="M31921" s="112"/>
      <c r="N31921" s="84"/>
    </row>
    <row r="31922" spans="1:14" s="2" customFormat="1">
      <c r="A31922" s="83"/>
      <c r="H31922" s="83"/>
      <c r="K31922" s="82"/>
      <c r="M31922" s="112"/>
      <c r="N31922" s="84"/>
    </row>
    <row r="31923" spans="1:14" s="2" customFormat="1">
      <c r="A31923" s="83"/>
      <c r="H31923" s="83"/>
      <c r="K31923" s="82"/>
      <c r="M31923" s="112"/>
      <c r="N31923" s="84"/>
    </row>
    <row r="31924" spans="1:14" s="2" customFormat="1">
      <c r="A31924" s="83"/>
      <c r="H31924" s="83"/>
      <c r="K31924" s="82"/>
      <c r="M31924" s="112"/>
      <c r="N31924" s="84"/>
    </row>
    <row r="31925" spans="1:14" s="2" customFormat="1">
      <c r="A31925" s="83"/>
      <c r="H31925" s="83"/>
      <c r="K31925" s="82"/>
      <c r="M31925" s="112"/>
      <c r="N31925" s="84"/>
    </row>
    <row r="31926" spans="1:14" s="2" customFormat="1">
      <c r="A31926" s="83"/>
      <c r="H31926" s="83"/>
      <c r="K31926" s="82"/>
      <c r="M31926" s="112"/>
      <c r="N31926" s="84"/>
    </row>
    <row r="31927" spans="1:14" s="2" customFormat="1">
      <c r="A31927" s="83"/>
      <c r="H31927" s="83"/>
      <c r="K31927" s="82"/>
      <c r="M31927" s="112"/>
      <c r="N31927" s="84"/>
    </row>
    <row r="31928" spans="1:14" s="2" customFormat="1">
      <c r="A31928" s="83"/>
      <c r="H31928" s="83"/>
      <c r="K31928" s="82"/>
      <c r="M31928" s="112"/>
      <c r="N31928" s="84"/>
    </row>
    <row r="31929" spans="1:14" s="2" customFormat="1">
      <c r="A31929" s="83"/>
      <c r="H31929" s="83"/>
      <c r="K31929" s="82"/>
      <c r="M31929" s="112"/>
      <c r="N31929" s="84"/>
    </row>
    <row r="31930" spans="1:14" s="2" customFormat="1">
      <c r="A31930" s="83"/>
      <c r="H31930" s="83"/>
      <c r="K31930" s="82"/>
      <c r="M31930" s="112"/>
      <c r="N31930" s="84"/>
    </row>
    <row r="31931" spans="1:14" s="2" customFormat="1">
      <c r="A31931" s="83"/>
      <c r="H31931" s="83"/>
      <c r="K31931" s="82"/>
      <c r="M31931" s="112"/>
      <c r="N31931" s="84"/>
    </row>
    <row r="31932" spans="1:14" s="2" customFormat="1">
      <c r="A31932" s="83"/>
      <c r="H31932" s="83"/>
      <c r="K31932" s="82"/>
      <c r="M31932" s="112"/>
      <c r="N31932" s="84"/>
    </row>
    <row r="31933" spans="1:14" s="2" customFormat="1">
      <c r="A31933" s="83"/>
      <c r="H31933" s="83"/>
      <c r="K31933" s="82"/>
      <c r="M31933" s="112"/>
      <c r="N31933" s="84"/>
    </row>
    <row r="31934" spans="1:14" s="2" customFormat="1">
      <c r="A31934" s="83"/>
      <c r="H31934" s="83"/>
      <c r="K31934" s="82"/>
      <c r="M31934" s="112"/>
      <c r="N31934" s="84"/>
    </row>
    <row r="31935" spans="1:14" s="2" customFormat="1">
      <c r="A31935" s="83"/>
      <c r="H31935" s="83"/>
      <c r="K31935" s="82"/>
      <c r="M31935" s="112"/>
      <c r="N31935" s="84"/>
    </row>
    <row r="31936" spans="1:14" s="2" customFormat="1">
      <c r="A31936" s="83"/>
      <c r="H31936" s="83"/>
      <c r="K31936" s="82"/>
      <c r="M31936" s="112"/>
      <c r="N31936" s="84"/>
    </row>
    <row r="31937" spans="1:14" s="2" customFormat="1">
      <c r="A31937" s="83"/>
      <c r="H31937" s="83"/>
      <c r="K31937" s="82"/>
      <c r="M31937" s="112"/>
      <c r="N31937" s="84"/>
    </row>
    <row r="31938" spans="1:14" s="2" customFormat="1">
      <c r="A31938" s="83"/>
      <c r="H31938" s="83"/>
      <c r="K31938" s="82"/>
      <c r="M31938" s="112"/>
      <c r="N31938" s="84"/>
    </row>
    <row r="31939" spans="1:14" s="2" customFormat="1">
      <c r="A31939" s="83"/>
      <c r="H31939" s="83"/>
      <c r="K31939" s="82"/>
      <c r="M31939" s="112"/>
      <c r="N31939" s="84"/>
    </row>
    <row r="31940" spans="1:14" s="2" customFormat="1">
      <c r="A31940" s="83"/>
      <c r="H31940" s="83"/>
      <c r="K31940" s="82"/>
      <c r="M31940" s="112"/>
      <c r="N31940" s="84"/>
    </row>
    <row r="31941" spans="1:14" s="2" customFormat="1">
      <c r="A31941" s="83"/>
      <c r="H31941" s="83"/>
      <c r="K31941" s="82"/>
      <c r="M31941" s="112"/>
      <c r="N31941" s="84"/>
    </row>
    <row r="31942" spans="1:14" s="2" customFormat="1">
      <c r="A31942" s="83"/>
      <c r="H31942" s="83"/>
      <c r="K31942" s="82"/>
      <c r="M31942" s="112"/>
      <c r="N31942" s="84"/>
    </row>
    <row r="31943" spans="1:14" s="2" customFormat="1">
      <c r="A31943" s="83"/>
      <c r="H31943" s="83"/>
      <c r="K31943" s="82"/>
      <c r="M31943" s="112"/>
      <c r="N31943" s="84"/>
    </row>
    <row r="31944" spans="1:14" s="2" customFormat="1">
      <c r="A31944" s="83"/>
      <c r="H31944" s="83"/>
      <c r="K31944" s="82"/>
      <c r="M31944" s="112"/>
      <c r="N31944" s="84"/>
    </row>
    <row r="31945" spans="1:14" s="2" customFormat="1">
      <c r="A31945" s="83"/>
      <c r="H31945" s="83"/>
      <c r="K31945" s="82"/>
      <c r="M31945" s="112"/>
      <c r="N31945" s="84"/>
    </row>
    <row r="31946" spans="1:14" s="2" customFormat="1">
      <c r="A31946" s="83"/>
      <c r="H31946" s="83"/>
      <c r="K31946" s="82"/>
      <c r="M31946" s="112"/>
      <c r="N31946" s="84"/>
    </row>
    <row r="31947" spans="1:14" s="2" customFormat="1">
      <c r="A31947" s="83"/>
      <c r="H31947" s="83"/>
      <c r="K31947" s="82"/>
      <c r="M31947" s="112"/>
      <c r="N31947" s="84"/>
    </row>
    <row r="31948" spans="1:14" s="2" customFormat="1">
      <c r="A31948" s="83"/>
      <c r="H31948" s="83"/>
      <c r="K31948" s="82"/>
      <c r="M31948" s="112"/>
      <c r="N31948" s="84"/>
    </row>
    <row r="31949" spans="1:14" s="2" customFormat="1">
      <c r="A31949" s="83"/>
      <c r="H31949" s="83"/>
      <c r="K31949" s="82"/>
      <c r="M31949" s="112"/>
      <c r="N31949" s="84"/>
    </row>
    <row r="31950" spans="1:14" s="2" customFormat="1">
      <c r="A31950" s="83"/>
      <c r="H31950" s="83"/>
      <c r="K31950" s="82"/>
      <c r="M31950" s="112"/>
      <c r="N31950" s="84"/>
    </row>
    <row r="31951" spans="1:14" s="2" customFormat="1">
      <c r="A31951" s="83"/>
      <c r="H31951" s="83"/>
      <c r="K31951" s="82"/>
      <c r="M31951" s="112"/>
      <c r="N31951" s="84"/>
    </row>
    <row r="31952" spans="1:14" s="2" customFormat="1">
      <c r="A31952" s="83"/>
      <c r="H31952" s="83"/>
      <c r="K31952" s="82"/>
      <c r="M31952" s="112"/>
      <c r="N31952" s="84"/>
    </row>
    <row r="31953" spans="1:14" s="2" customFormat="1">
      <c r="A31953" s="83"/>
      <c r="H31953" s="83"/>
      <c r="K31953" s="82"/>
      <c r="M31953" s="112"/>
      <c r="N31953" s="84"/>
    </row>
    <row r="31954" spans="1:14" s="2" customFormat="1">
      <c r="A31954" s="83"/>
      <c r="H31954" s="83"/>
      <c r="K31954" s="82"/>
      <c r="M31954" s="112"/>
      <c r="N31954" s="84"/>
    </row>
    <row r="31955" spans="1:14" s="2" customFormat="1">
      <c r="A31955" s="83"/>
      <c r="H31955" s="83"/>
      <c r="K31955" s="82"/>
      <c r="M31955" s="112"/>
      <c r="N31955" s="84"/>
    </row>
    <row r="31956" spans="1:14" s="2" customFormat="1">
      <c r="A31956" s="83"/>
      <c r="H31956" s="83"/>
      <c r="K31956" s="82"/>
      <c r="M31956" s="112"/>
      <c r="N31956" s="84"/>
    </row>
    <row r="31957" spans="1:14" s="2" customFormat="1">
      <c r="A31957" s="83"/>
      <c r="H31957" s="83"/>
      <c r="K31957" s="82"/>
      <c r="M31957" s="112"/>
      <c r="N31957" s="84"/>
    </row>
    <row r="31958" spans="1:14" s="2" customFormat="1">
      <c r="A31958" s="83"/>
      <c r="H31958" s="83"/>
      <c r="K31958" s="82"/>
      <c r="M31958" s="112"/>
      <c r="N31958" s="84"/>
    </row>
    <row r="31959" spans="1:14" s="2" customFormat="1">
      <c r="A31959" s="83"/>
      <c r="H31959" s="83"/>
      <c r="K31959" s="82"/>
      <c r="M31959" s="112"/>
      <c r="N31959" s="84"/>
    </row>
    <row r="31960" spans="1:14" s="2" customFormat="1">
      <c r="A31960" s="83"/>
      <c r="H31960" s="83"/>
      <c r="K31960" s="82"/>
      <c r="M31960" s="112"/>
      <c r="N31960" s="84"/>
    </row>
    <row r="31961" spans="1:14" s="2" customFormat="1">
      <c r="A31961" s="83"/>
      <c r="H31961" s="83"/>
      <c r="K31961" s="82"/>
      <c r="M31961" s="112"/>
      <c r="N31961" s="84"/>
    </row>
    <row r="31962" spans="1:14" s="2" customFormat="1">
      <c r="A31962" s="83"/>
      <c r="H31962" s="83"/>
      <c r="K31962" s="82"/>
      <c r="M31962" s="112"/>
      <c r="N31962" s="84"/>
    </row>
    <row r="31963" spans="1:14" s="2" customFormat="1">
      <c r="A31963" s="83"/>
      <c r="H31963" s="83"/>
      <c r="K31963" s="82"/>
      <c r="M31963" s="112"/>
      <c r="N31963" s="84"/>
    </row>
    <row r="31964" spans="1:14" s="2" customFormat="1">
      <c r="A31964" s="83"/>
      <c r="H31964" s="83"/>
      <c r="K31964" s="82"/>
      <c r="M31964" s="112"/>
      <c r="N31964" s="84"/>
    </row>
    <row r="31965" spans="1:14" s="2" customFormat="1">
      <c r="A31965" s="83"/>
      <c r="H31965" s="83"/>
      <c r="K31965" s="82"/>
      <c r="M31965" s="112"/>
      <c r="N31965" s="84"/>
    </row>
    <row r="31966" spans="1:14" s="2" customFormat="1">
      <c r="A31966" s="83"/>
      <c r="H31966" s="83"/>
      <c r="K31966" s="82"/>
      <c r="M31966" s="112"/>
      <c r="N31966" s="84"/>
    </row>
    <row r="31967" spans="1:14" s="2" customFormat="1">
      <c r="A31967" s="83"/>
      <c r="H31967" s="83"/>
      <c r="K31967" s="82"/>
      <c r="M31967" s="112"/>
      <c r="N31967" s="84"/>
    </row>
    <row r="31968" spans="1:14" s="2" customFormat="1">
      <c r="A31968" s="83"/>
      <c r="H31968" s="83"/>
      <c r="K31968" s="82"/>
      <c r="M31968" s="112"/>
      <c r="N31968" s="84"/>
    </row>
    <row r="31969" spans="1:14" s="2" customFormat="1">
      <c r="A31969" s="83"/>
      <c r="H31969" s="83"/>
      <c r="K31969" s="82"/>
      <c r="M31969" s="112"/>
      <c r="N31969" s="84"/>
    </row>
    <row r="31970" spans="1:14" s="2" customFormat="1">
      <c r="A31970" s="83"/>
      <c r="H31970" s="83"/>
      <c r="K31970" s="82"/>
      <c r="M31970" s="112"/>
      <c r="N31970" s="84"/>
    </row>
    <row r="31971" spans="1:14" s="2" customFormat="1">
      <c r="A31971" s="83"/>
      <c r="H31971" s="83"/>
      <c r="K31971" s="82"/>
      <c r="M31971" s="112"/>
      <c r="N31971" s="84"/>
    </row>
    <row r="31972" spans="1:14" s="2" customFormat="1">
      <c r="A31972" s="83"/>
      <c r="H31972" s="83"/>
      <c r="K31972" s="82"/>
      <c r="M31972" s="112"/>
      <c r="N31972" s="84"/>
    </row>
    <row r="31973" spans="1:14" s="2" customFormat="1">
      <c r="A31973" s="83"/>
      <c r="H31973" s="83"/>
      <c r="K31973" s="82"/>
      <c r="M31973" s="112"/>
      <c r="N31973" s="84"/>
    </row>
    <row r="31974" spans="1:14" s="2" customFormat="1">
      <c r="A31974" s="83"/>
      <c r="H31974" s="83"/>
      <c r="K31974" s="82"/>
      <c r="M31974" s="112"/>
      <c r="N31974" s="84"/>
    </row>
    <row r="31975" spans="1:14" s="2" customFormat="1">
      <c r="A31975" s="83"/>
      <c r="H31975" s="83"/>
      <c r="K31975" s="82"/>
      <c r="M31975" s="112"/>
      <c r="N31975" s="84"/>
    </row>
    <row r="31976" spans="1:14" s="2" customFormat="1">
      <c r="A31976" s="83"/>
      <c r="H31976" s="83"/>
      <c r="K31976" s="82"/>
      <c r="M31976" s="112"/>
      <c r="N31976" s="84"/>
    </row>
    <row r="31977" spans="1:14" s="2" customFormat="1">
      <c r="A31977" s="83"/>
      <c r="H31977" s="83"/>
      <c r="K31977" s="82"/>
      <c r="M31977" s="112"/>
      <c r="N31977" s="84"/>
    </row>
    <row r="31978" spans="1:14" s="2" customFormat="1">
      <c r="A31978" s="83"/>
      <c r="H31978" s="83"/>
      <c r="K31978" s="82"/>
      <c r="M31978" s="112"/>
      <c r="N31978" s="84"/>
    </row>
    <row r="31979" spans="1:14" s="2" customFormat="1">
      <c r="A31979" s="83"/>
      <c r="H31979" s="83"/>
      <c r="K31979" s="82"/>
      <c r="M31979" s="112"/>
      <c r="N31979" s="84"/>
    </row>
    <row r="31980" spans="1:14" s="2" customFormat="1">
      <c r="A31980" s="83"/>
      <c r="H31980" s="83"/>
      <c r="K31980" s="82"/>
      <c r="M31980" s="112"/>
      <c r="N31980" s="84"/>
    </row>
    <row r="31981" spans="1:14" s="2" customFormat="1">
      <c r="A31981" s="83"/>
      <c r="H31981" s="83"/>
      <c r="K31981" s="82"/>
      <c r="M31981" s="112"/>
      <c r="N31981" s="84"/>
    </row>
    <row r="31982" spans="1:14" s="2" customFormat="1">
      <c r="A31982" s="83"/>
      <c r="H31982" s="83"/>
      <c r="K31982" s="82"/>
      <c r="M31982" s="112"/>
      <c r="N31982" s="84"/>
    </row>
    <row r="31983" spans="1:14" s="2" customFormat="1">
      <c r="A31983" s="83"/>
      <c r="H31983" s="83"/>
      <c r="K31983" s="82"/>
      <c r="M31983" s="112"/>
      <c r="N31983" s="84"/>
    </row>
    <row r="31984" spans="1:14" s="2" customFormat="1">
      <c r="A31984" s="83"/>
      <c r="H31984" s="83"/>
      <c r="K31984" s="82"/>
      <c r="M31984" s="112"/>
      <c r="N31984" s="84"/>
    </row>
    <row r="31985" spans="1:14" s="2" customFormat="1">
      <c r="A31985" s="83"/>
      <c r="H31985" s="83"/>
      <c r="K31985" s="82"/>
      <c r="M31985" s="112"/>
      <c r="N31985" s="84"/>
    </row>
    <row r="31986" spans="1:14" s="2" customFormat="1">
      <c r="A31986" s="83"/>
      <c r="H31986" s="83"/>
      <c r="K31986" s="82"/>
      <c r="M31986" s="112"/>
      <c r="N31986" s="84"/>
    </row>
    <row r="31987" spans="1:14" s="2" customFormat="1">
      <c r="A31987" s="83"/>
      <c r="H31987" s="83"/>
      <c r="K31987" s="82"/>
      <c r="M31987" s="112"/>
      <c r="N31987" s="84"/>
    </row>
    <row r="31988" spans="1:14" s="2" customFormat="1">
      <c r="A31988" s="83"/>
      <c r="H31988" s="83"/>
      <c r="K31988" s="82"/>
      <c r="M31988" s="112"/>
      <c r="N31988" s="84"/>
    </row>
    <row r="31989" spans="1:14" s="2" customFormat="1">
      <c r="A31989" s="83"/>
      <c r="H31989" s="83"/>
      <c r="K31989" s="82"/>
      <c r="M31989" s="112"/>
      <c r="N31989" s="84"/>
    </row>
    <row r="31990" spans="1:14" s="2" customFormat="1">
      <c r="A31990" s="83"/>
      <c r="H31990" s="83"/>
      <c r="K31990" s="82"/>
      <c r="M31990" s="112"/>
      <c r="N31990" s="84"/>
    </row>
    <row r="31991" spans="1:14" s="2" customFormat="1">
      <c r="A31991" s="83"/>
      <c r="H31991" s="83"/>
      <c r="K31991" s="82"/>
      <c r="M31991" s="112"/>
      <c r="N31991" s="84"/>
    </row>
    <row r="31992" spans="1:14" s="2" customFormat="1">
      <c r="A31992" s="83"/>
      <c r="H31992" s="83"/>
      <c r="K31992" s="82"/>
      <c r="M31992" s="112"/>
      <c r="N31992" s="84"/>
    </row>
    <row r="31993" spans="1:14" s="2" customFormat="1">
      <c r="A31993" s="83"/>
      <c r="H31993" s="83"/>
      <c r="K31993" s="82"/>
      <c r="M31993" s="112"/>
      <c r="N31993" s="84"/>
    </row>
    <row r="31994" spans="1:14" s="2" customFormat="1">
      <c r="A31994" s="83"/>
      <c r="H31994" s="83"/>
      <c r="K31994" s="82"/>
      <c r="M31994" s="112"/>
      <c r="N31994" s="84"/>
    </row>
    <row r="31995" spans="1:14" s="2" customFormat="1">
      <c r="A31995" s="83"/>
      <c r="H31995" s="83"/>
      <c r="K31995" s="82"/>
      <c r="M31995" s="112"/>
      <c r="N31995" s="84"/>
    </row>
    <row r="31996" spans="1:14" s="2" customFormat="1">
      <c r="A31996" s="83"/>
      <c r="H31996" s="83"/>
      <c r="K31996" s="82"/>
      <c r="M31996" s="112"/>
      <c r="N31996" s="84"/>
    </row>
    <row r="31997" spans="1:14" s="2" customFormat="1">
      <c r="A31997" s="83"/>
      <c r="H31997" s="83"/>
      <c r="K31997" s="82"/>
      <c r="M31997" s="112"/>
      <c r="N31997" s="84"/>
    </row>
    <row r="31998" spans="1:14" s="2" customFormat="1">
      <c r="A31998" s="83"/>
      <c r="H31998" s="83"/>
      <c r="K31998" s="82"/>
      <c r="M31998" s="112"/>
      <c r="N31998" s="84"/>
    </row>
    <row r="31999" spans="1:14" s="2" customFormat="1">
      <c r="A31999" s="83"/>
      <c r="H31999" s="83"/>
      <c r="K31999" s="82"/>
      <c r="M31999" s="112"/>
      <c r="N31999" s="84"/>
    </row>
    <row r="32000" spans="1:14" s="2" customFormat="1">
      <c r="A32000" s="83"/>
      <c r="H32000" s="83"/>
      <c r="K32000" s="82"/>
      <c r="M32000" s="112"/>
      <c r="N32000" s="84"/>
    </row>
    <row r="32001" spans="1:14" s="2" customFormat="1">
      <c r="A32001" s="83"/>
      <c r="H32001" s="83"/>
      <c r="K32001" s="82"/>
      <c r="M32001" s="112"/>
      <c r="N32001" s="84"/>
    </row>
    <row r="32002" spans="1:14" s="2" customFormat="1">
      <c r="A32002" s="83"/>
      <c r="H32002" s="83"/>
      <c r="K32002" s="82"/>
      <c r="M32002" s="112"/>
      <c r="N32002" s="84"/>
    </row>
    <row r="32003" spans="1:14" s="2" customFormat="1">
      <c r="A32003" s="83"/>
      <c r="H32003" s="83"/>
      <c r="K32003" s="82"/>
      <c r="M32003" s="112"/>
      <c r="N32003" s="84"/>
    </row>
    <row r="32004" spans="1:14" s="2" customFormat="1">
      <c r="A32004" s="83"/>
      <c r="H32004" s="83"/>
      <c r="K32004" s="82"/>
      <c r="M32004" s="112"/>
      <c r="N32004" s="84"/>
    </row>
    <row r="32005" spans="1:14" s="2" customFormat="1">
      <c r="A32005" s="83"/>
      <c r="H32005" s="83"/>
      <c r="K32005" s="82"/>
      <c r="M32005" s="112"/>
      <c r="N32005" s="84"/>
    </row>
    <row r="32006" spans="1:14" s="2" customFormat="1">
      <c r="A32006" s="83"/>
      <c r="H32006" s="83"/>
      <c r="K32006" s="82"/>
      <c r="M32006" s="112"/>
      <c r="N32006" s="84"/>
    </row>
    <row r="32007" spans="1:14" s="2" customFormat="1">
      <c r="A32007" s="83"/>
      <c r="H32007" s="83"/>
      <c r="K32007" s="82"/>
      <c r="M32007" s="112"/>
      <c r="N32007" s="84"/>
    </row>
    <row r="32008" spans="1:14" s="2" customFormat="1">
      <c r="A32008" s="83"/>
      <c r="H32008" s="83"/>
      <c r="K32008" s="82"/>
      <c r="M32008" s="112"/>
      <c r="N32008" s="84"/>
    </row>
    <row r="32009" spans="1:14" s="2" customFormat="1">
      <c r="A32009" s="83"/>
      <c r="H32009" s="83"/>
      <c r="K32009" s="82"/>
      <c r="M32009" s="112"/>
      <c r="N32009" s="84"/>
    </row>
    <row r="32010" spans="1:14" s="2" customFormat="1">
      <c r="A32010" s="83"/>
      <c r="H32010" s="83"/>
      <c r="K32010" s="82"/>
      <c r="M32010" s="112"/>
      <c r="N32010" s="84"/>
    </row>
    <row r="32011" spans="1:14" s="2" customFormat="1">
      <c r="A32011" s="83"/>
      <c r="H32011" s="83"/>
      <c r="K32011" s="82"/>
      <c r="M32011" s="112"/>
      <c r="N32011" s="84"/>
    </row>
    <row r="32012" spans="1:14" s="2" customFormat="1">
      <c r="A32012" s="83"/>
      <c r="H32012" s="83"/>
      <c r="K32012" s="82"/>
      <c r="M32012" s="112"/>
      <c r="N32012" s="84"/>
    </row>
    <row r="32013" spans="1:14" s="2" customFormat="1">
      <c r="A32013" s="83"/>
      <c r="H32013" s="83"/>
      <c r="K32013" s="82"/>
      <c r="M32013" s="112"/>
      <c r="N32013" s="84"/>
    </row>
    <row r="32014" spans="1:14" s="2" customFormat="1">
      <c r="A32014" s="83"/>
      <c r="H32014" s="83"/>
      <c r="K32014" s="82"/>
      <c r="M32014" s="112"/>
      <c r="N32014" s="84"/>
    </row>
    <row r="32015" spans="1:14" s="2" customFormat="1">
      <c r="A32015" s="83"/>
      <c r="H32015" s="83"/>
      <c r="K32015" s="82"/>
      <c r="M32015" s="112"/>
      <c r="N32015" s="84"/>
    </row>
    <row r="32016" spans="1:14" s="2" customFormat="1">
      <c r="A32016" s="83"/>
      <c r="H32016" s="83"/>
      <c r="K32016" s="82"/>
      <c r="M32016" s="112"/>
      <c r="N32016" s="84"/>
    </row>
    <row r="32017" spans="1:14" s="2" customFormat="1">
      <c r="A32017" s="83"/>
      <c r="H32017" s="83"/>
      <c r="K32017" s="82"/>
      <c r="M32017" s="112"/>
      <c r="N32017" s="84"/>
    </row>
    <row r="32018" spans="1:14" s="2" customFormat="1">
      <c r="A32018" s="83"/>
      <c r="H32018" s="83"/>
      <c r="K32018" s="82"/>
      <c r="M32018" s="112"/>
      <c r="N32018" s="84"/>
    </row>
    <row r="32019" spans="1:14" s="2" customFormat="1">
      <c r="A32019" s="83"/>
      <c r="H32019" s="83"/>
      <c r="K32019" s="82"/>
      <c r="M32019" s="112"/>
      <c r="N32019" s="84"/>
    </row>
    <row r="32020" spans="1:14" s="2" customFormat="1">
      <c r="A32020" s="83"/>
      <c r="H32020" s="83"/>
      <c r="K32020" s="82"/>
      <c r="M32020" s="112"/>
      <c r="N32020" s="84"/>
    </row>
    <row r="32021" spans="1:14" s="2" customFormat="1">
      <c r="A32021" s="83"/>
      <c r="H32021" s="83"/>
      <c r="K32021" s="82"/>
      <c r="M32021" s="112"/>
      <c r="N32021" s="84"/>
    </row>
    <row r="32022" spans="1:14" s="2" customFormat="1">
      <c r="A32022" s="83"/>
      <c r="H32022" s="83"/>
      <c r="K32022" s="82"/>
      <c r="M32022" s="112"/>
      <c r="N32022" s="84"/>
    </row>
    <row r="32023" spans="1:14" s="2" customFormat="1">
      <c r="A32023" s="83"/>
      <c r="H32023" s="83"/>
      <c r="K32023" s="82"/>
      <c r="M32023" s="112"/>
      <c r="N32023" s="84"/>
    </row>
    <row r="32024" spans="1:14" s="2" customFormat="1">
      <c r="A32024" s="83"/>
      <c r="H32024" s="83"/>
      <c r="K32024" s="82"/>
      <c r="M32024" s="112"/>
      <c r="N32024" s="84"/>
    </row>
    <row r="32025" spans="1:14" s="2" customFormat="1">
      <c r="A32025" s="83"/>
      <c r="H32025" s="83"/>
      <c r="K32025" s="82"/>
      <c r="M32025" s="112"/>
      <c r="N32025" s="84"/>
    </row>
    <row r="32026" spans="1:14" s="2" customFormat="1">
      <c r="A32026" s="83"/>
      <c r="H32026" s="83"/>
      <c r="K32026" s="82"/>
      <c r="M32026" s="112"/>
      <c r="N32026" s="84"/>
    </row>
    <row r="32027" spans="1:14" s="2" customFormat="1">
      <c r="A32027" s="83"/>
      <c r="H32027" s="83"/>
      <c r="K32027" s="82"/>
      <c r="M32027" s="112"/>
      <c r="N32027" s="84"/>
    </row>
    <row r="32028" spans="1:14" s="2" customFormat="1">
      <c r="A32028" s="83"/>
      <c r="H32028" s="83"/>
      <c r="K32028" s="82"/>
      <c r="M32028" s="112"/>
      <c r="N32028" s="84"/>
    </row>
    <row r="32029" spans="1:14" s="2" customFormat="1">
      <c r="A32029" s="83"/>
      <c r="H32029" s="83"/>
      <c r="K32029" s="82"/>
      <c r="M32029" s="112"/>
      <c r="N32029" s="84"/>
    </row>
    <row r="32030" spans="1:14" s="2" customFormat="1">
      <c r="A32030" s="83"/>
      <c r="H32030" s="83"/>
      <c r="K32030" s="82"/>
      <c r="M32030" s="112"/>
      <c r="N32030" s="84"/>
    </row>
    <row r="32031" spans="1:14" s="2" customFormat="1">
      <c r="A32031" s="83"/>
      <c r="H32031" s="83"/>
      <c r="K32031" s="82"/>
      <c r="M32031" s="112"/>
      <c r="N32031" s="84"/>
    </row>
    <row r="32032" spans="1:14" s="2" customFormat="1">
      <c r="A32032" s="83"/>
      <c r="H32032" s="83"/>
      <c r="K32032" s="82"/>
      <c r="M32032" s="112"/>
      <c r="N32032" s="84"/>
    </row>
    <row r="32033" spans="1:14" s="2" customFormat="1">
      <c r="A32033" s="83"/>
      <c r="H32033" s="83"/>
      <c r="K32033" s="82"/>
      <c r="M32033" s="112"/>
      <c r="N32033" s="84"/>
    </row>
    <row r="32034" spans="1:14" s="2" customFormat="1">
      <c r="A32034" s="83"/>
      <c r="H32034" s="83"/>
      <c r="K32034" s="82"/>
      <c r="M32034" s="112"/>
      <c r="N32034" s="84"/>
    </row>
    <row r="32035" spans="1:14" s="2" customFormat="1">
      <c r="A32035" s="83"/>
      <c r="H32035" s="83"/>
      <c r="K32035" s="82"/>
      <c r="M32035" s="112"/>
      <c r="N32035" s="84"/>
    </row>
    <row r="32036" spans="1:14" s="2" customFormat="1">
      <c r="A32036" s="83"/>
      <c r="H32036" s="83"/>
      <c r="K32036" s="82"/>
      <c r="M32036" s="112"/>
      <c r="N32036" s="84"/>
    </row>
    <row r="32037" spans="1:14" s="2" customFormat="1">
      <c r="A32037" s="83"/>
      <c r="H32037" s="83"/>
      <c r="K32037" s="82"/>
      <c r="M32037" s="112"/>
      <c r="N32037" s="84"/>
    </row>
    <row r="32038" spans="1:14" s="2" customFormat="1">
      <c r="A32038" s="83"/>
      <c r="H32038" s="83"/>
      <c r="K32038" s="82"/>
      <c r="M32038" s="112"/>
      <c r="N32038" s="84"/>
    </row>
    <row r="32039" spans="1:14" s="2" customFormat="1">
      <c r="A32039" s="83"/>
      <c r="H32039" s="83"/>
      <c r="K32039" s="82"/>
      <c r="M32039" s="112"/>
      <c r="N32039" s="84"/>
    </row>
    <row r="32040" spans="1:14" s="2" customFormat="1">
      <c r="A32040" s="83"/>
      <c r="H32040" s="83"/>
      <c r="K32040" s="82"/>
      <c r="M32040" s="112"/>
      <c r="N32040" s="84"/>
    </row>
    <row r="32041" spans="1:14" s="2" customFormat="1">
      <c r="A32041" s="83"/>
      <c r="H32041" s="83"/>
      <c r="K32041" s="82"/>
      <c r="M32041" s="112"/>
      <c r="N32041" s="84"/>
    </row>
    <row r="32042" spans="1:14" s="2" customFormat="1">
      <c r="A32042" s="83"/>
      <c r="H32042" s="83"/>
      <c r="K32042" s="82"/>
      <c r="M32042" s="112"/>
      <c r="N32042" s="84"/>
    </row>
    <row r="32043" spans="1:14" s="2" customFormat="1">
      <c r="A32043" s="83"/>
      <c r="H32043" s="83"/>
      <c r="K32043" s="82"/>
      <c r="M32043" s="112"/>
      <c r="N32043" s="84"/>
    </row>
    <row r="32044" spans="1:14" s="2" customFormat="1">
      <c r="A32044" s="83"/>
      <c r="H32044" s="83"/>
      <c r="K32044" s="82"/>
      <c r="M32044" s="112"/>
      <c r="N32044" s="84"/>
    </row>
    <row r="32045" spans="1:14" s="2" customFormat="1">
      <c r="A32045" s="83"/>
      <c r="H32045" s="83"/>
      <c r="K32045" s="82"/>
      <c r="M32045" s="112"/>
      <c r="N32045" s="84"/>
    </row>
    <row r="32046" spans="1:14" s="2" customFormat="1">
      <c r="A32046" s="83"/>
      <c r="H32046" s="83"/>
      <c r="K32046" s="82"/>
      <c r="M32046" s="112"/>
      <c r="N32046" s="84"/>
    </row>
    <row r="32047" spans="1:14" s="2" customFormat="1">
      <c r="A32047" s="83"/>
      <c r="H32047" s="83"/>
      <c r="K32047" s="82"/>
      <c r="M32047" s="112"/>
      <c r="N32047" s="84"/>
    </row>
    <row r="32048" spans="1:14" s="2" customFormat="1">
      <c r="A32048" s="83"/>
      <c r="H32048" s="83"/>
      <c r="K32048" s="82"/>
      <c r="M32048" s="112"/>
      <c r="N32048" s="84"/>
    </row>
    <row r="32049" spans="1:14" s="2" customFormat="1">
      <c r="A32049" s="83"/>
      <c r="H32049" s="83"/>
      <c r="K32049" s="82"/>
      <c r="M32049" s="112"/>
      <c r="N32049" s="84"/>
    </row>
    <row r="32050" spans="1:14" s="2" customFormat="1">
      <c r="A32050" s="83"/>
      <c r="H32050" s="83"/>
      <c r="K32050" s="82"/>
      <c r="M32050" s="112"/>
      <c r="N32050" s="84"/>
    </row>
    <row r="32051" spans="1:14" s="2" customFormat="1">
      <c r="A32051" s="83"/>
      <c r="H32051" s="83"/>
      <c r="K32051" s="82"/>
      <c r="M32051" s="112"/>
      <c r="N32051" s="84"/>
    </row>
    <row r="32052" spans="1:14" s="2" customFormat="1">
      <c r="A32052" s="83"/>
      <c r="H32052" s="83"/>
      <c r="K32052" s="82"/>
      <c r="M32052" s="112"/>
      <c r="N32052" s="84"/>
    </row>
    <row r="32053" spans="1:14" s="2" customFormat="1">
      <c r="A32053" s="83"/>
      <c r="H32053" s="83"/>
      <c r="K32053" s="82"/>
      <c r="M32053" s="112"/>
      <c r="N32053" s="84"/>
    </row>
    <row r="32054" spans="1:14" s="2" customFormat="1">
      <c r="A32054" s="83"/>
      <c r="H32054" s="83"/>
      <c r="K32054" s="82"/>
      <c r="M32054" s="112"/>
      <c r="N32054" s="84"/>
    </row>
    <row r="32055" spans="1:14" s="2" customFormat="1">
      <c r="A32055" s="83"/>
      <c r="H32055" s="83"/>
      <c r="K32055" s="82"/>
      <c r="M32055" s="112"/>
      <c r="N32055" s="84"/>
    </row>
    <row r="32056" spans="1:14" s="2" customFormat="1">
      <c r="A32056" s="83"/>
      <c r="H32056" s="83"/>
      <c r="K32056" s="82"/>
      <c r="M32056" s="112"/>
      <c r="N32056" s="84"/>
    </row>
    <row r="32057" spans="1:14" s="2" customFormat="1">
      <c r="A32057" s="83"/>
      <c r="H32057" s="83"/>
      <c r="K32057" s="82"/>
      <c r="M32057" s="112"/>
      <c r="N32057" s="84"/>
    </row>
    <row r="32058" spans="1:14" s="2" customFormat="1">
      <c r="A32058" s="83"/>
      <c r="H32058" s="83"/>
      <c r="K32058" s="82"/>
      <c r="M32058" s="112"/>
      <c r="N32058" s="84"/>
    </row>
    <row r="32059" spans="1:14" s="2" customFormat="1">
      <c r="A32059" s="83"/>
      <c r="H32059" s="83"/>
      <c r="K32059" s="82"/>
      <c r="M32059" s="112"/>
      <c r="N32059" s="84"/>
    </row>
    <row r="32060" spans="1:14" s="2" customFormat="1">
      <c r="A32060" s="83"/>
      <c r="H32060" s="83"/>
      <c r="K32060" s="82"/>
      <c r="M32060" s="112"/>
      <c r="N32060" s="84"/>
    </row>
    <row r="32061" spans="1:14" s="2" customFormat="1">
      <c r="A32061" s="83"/>
      <c r="H32061" s="83"/>
      <c r="K32061" s="82"/>
      <c r="M32061" s="112"/>
      <c r="N32061" s="84"/>
    </row>
    <row r="32062" spans="1:14" s="2" customFormat="1">
      <c r="A32062" s="83"/>
      <c r="H32062" s="83"/>
      <c r="K32062" s="82"/>
      <c r="M32062" s="112"/>
      <c r="N32062" s="84"/>
    </row>
    <row r="32063" spans="1:14" s="2" customFormat="1">
      <c r="A32063" s="83"/>
      <c r="H32063" s="83"/>
      <c r="K32063" s="82"/>
      <c r="M32063" s="112"/>
      <c r="N32063" s="84"/>
    </row>
    <row r="32064" spans="1:14" s="2" customFormat="1">
      <c r="A32064" s="83"/>
      <c r="H32064" s="83"/>
      <c r="K32064" s="82"/>
      <c r="M32064" s="112"/>
      <c r="N32064" s="84"/>
    </row>
    <row r="32065" spans="1:14" s="2" customFormat="1">
      <c r="A32065" s="83"/>
      <c r="H32065" s="83"/>
      <c r="K32065" s="82"/>
      <c r="M32065" s="112"/>
      <c r="N32065" s="84"/>
    </row>
    <row r="32066" spans="1:14" s="2" customFormat="1">
      <c r="A32066" s="83"/>
      <c r="H32066" s="83"/>
      <c r="K32066" s="82"/>
      <c r="M32066" s="112"/>
      <c r="N32066" s="84"/>
    </row>
    <row r="32067" spans="1:14" s="2" customFormat="1">
      <c r="A32067" s="83"/>
      <c r="H32067" s="83"/>
      <c r="K32067" s="82"/>
      <c r="M32067" s="112"/>
      <c r="N32067" s="84"/>
    </row>
    <row r="32068" spans="1:14" s="2" customFormat="1">
      <c r="A32068" s="83"/>
      <c r="H32068" s="83"/>
      <c r="K32068" s="82"/>
      <c r="M32068" s="112"/>
      <c r="N32068" s="84"/>
    </row>
    <row r="32069" spans="1:14" s="2" customFormat="1">
      <c r="A32069" s="83"/>
      <c r="H32069" s="83"/>
      <c r="K32069" s="82"/>
      <c r="M32069" s="112"/>
      <c r="N32069" s="84"/>
    </row>
    <row r="32070" spans="1:14" s="2" customFormat="1">
      <c r="A32070" s="83"/>
      <c r="H32070" s="83"/>
      <c r="K32070" s="82"/>
      <c r="M32070" s="112"/>
      <c r="N32070" s="84"/>
    </row>
    <row r="32071" spans="1:14" s="2" customFormat="1">
      <c r="A32071" s="83"/>
      <c r="H32071" s="83"/>
      <c r="K32071" s="82"/>
      <c r="M32071" s="112"/>
      <c r="N32071" s="84"/>
    </row>
    <row r="32072" spans="1:14" s="2" customFormat="1">
      <c r="A32072" s="83"/>
      <c r="H32072" s="83"/>
      <c r="K32072" s="82"/>
      <c r="M32072" s="112"/>
      <c r="N32072" s="84"/>
    </row>
    <row r="32073" spans="1:14" s="2" customFormat="1">
      <c r="A32073" s="83"/>
      <c r="H32073" s="83"/>
      <c r="K32073" s="82"/>
      <c r="M32073" s="112"/>
      <c r="N32073" s="84"/>
    </row>
    <row r="32074" spans="1:14" s="2" customFormat="1">
      <c r="A32074" s="83"/>
      <c r="H32074" s="83"/>
      <c r="K32074" s="82"/>
      <c r="M32074" s="112"/>
      <c r="N32074" s="84"/>
    </row>
    <row r="32075" spans="1:14" s="2" customFormat="1">
      <c r="A32075" s="83"/>
      <c r="H32075" s="83"/>
      <c r="K32075" s="82"/>
      <c r="M32075" s="112"/>
      <c r="N32075" s="84"/>
    </row>
    <row r="32076" spans="1:14" s="2" customFormat="1">
      <c r="A32076" s="83"/>
      <c r="H32076" s="83"/>
      <c r="K32076" s="82"/>
      <c r="M32076" s="112"/>
      <c r="N32076" s="84"/>
    </row>
    <row r="32077" spans="1:14" s="2" customFormat="1">
      <c r="A32077" s="83"/>
      <c r="H32077" s="83"/>
      <c r="K32077" s="82"/>
      <c r="M32077" s="112"/>
      <c r="N32077" s="84"/>
    </row>
    <row r="32078" spans="1:14" s="2" customFormat="1">
      <c r="A32078" s="83"/>
      <c r="H32078" s="83"/>
      <c r="K32078" s="82"/>
      <c r="M32078" s="112"/>
      <c r="N32078" s="84"/>
    </row>
    <row r="32079" spans="1:14" s="2" customFormat="1">
      <c r="A32079" s="83"/>
      <c r="H32079" s="83"/>
      <c r="K32079" s="82"/>
      <c r="M32079" s="112"/>
      <c r="N32079" s="84"/>
    </row>
    <row r="32080" spans="1:14" s="2" customFormat="1">
      <c r="A32080" s="83"/>
      <c r="H32080" s="83"/>
      <c r="K32080" s="82"/>
      <c r="M32080" s="112"/>
      <c r="N32080" s="84"/>
    </row>
    <row r="32081" spans="1:14" s="2" customFormat="1">
      <c r="A32081" s="83"/>
      <c r="H32081" s="83"/>
      <c r="K32081" s="82"/>
      <c r="M32081" s="112"/>
      <c r="N32081" s="84"/>
    </row>
    <row r="32082" spans="1:14" s="2" customFormat="1">
      <c r="A32082" s="83"/>
      <c r="H32082" s="83"/>
      <c r="K32082" s="82"/>
      <c r="M32082" s="112"/>
      <c r="N32082" s="84"/>
    </row>
    <row r="32083" spans="1:14" s="2" customFormat="1">
      <c r="A32083" s="83"/>
      <c r="H32083" s="83"/>
      <c r="K32083" s="82"/>
      <c r="M32083" s="112"/>
      <c r="N32083" s="84"/>
    </row>
    <row r="32084" spans="1:14" s="2" customFormat="1">
      <c r="A32084" s="83"/>
      <c r="H32084" s="83"/>
      <c r="K32084" s="82"/>
      <c r="M32084" s="112"/>
      <c r="N32084" s="84"/>
    </row>
    <row r="32085" spans="1:14" s="2" customFormat="1">
      <c r="A32085" s="83"/>
      <c r="H32085" s="83"/>
      <c r="K32085" s="82"/>
      <c r="M32085" s="112"/>
      <c r="N32085" s="84"/>
    </row>
    <row r="32086" spans="1:14" s="2" customFormat="1">
      <c r="A32086" s="83"/>
      <c r="H32086" s="83"/>
      <c r="K32086" s="82"/>
      <c r="M32086" s="112"/>
      <c r="N32086" s="84"/>
    </row>
    <row r="32087" spans="1:14" s="2" customFormat="1">
      <c r="A32087" s="83"/>
      <c r="H32087" s="83"/>
      <c r="K32087" s="82"/>
      <c r="M32087" s="112"/>
      <c r="N32087" s="84"/>
    </row>
    <row r="32088" spans="1:14" s="2" customFormat="1">
      <c r="A32088" s="83"/>
      <c r="H32088" s="83"/>
      <c r="K32088" s="82"/>
      <c r="M32088" s="112"/>
      <c r="N32088" s="84"/>
    </row>
    <row r="32089" spans="1:14" s="2" customFormat="1">
      <c r="A32089" s="83"/>
      <c r="H32089" s="83"/>
      <c r="K32089" s="82"/>
      <c r="M32089" s="112"/>
      <c r="N32089" s="84"/>
    </row>
    <row r="32090" spans="1:14" s="2" customFormat="1">
      <c r="A32090" s="83"/>
      <c r="H32090" s="83"/>
      <c r="K32090" s="82"/>
      <c r="M32090" s="112"/>
      <c r="N32090" s="84"/>
    </row>
    <row r="32091" spans="1:14" s="2" customFormat="1">
      <c r="A32091" s="83"/>
      <c r="H32091" s="83"/>
      <c r="K32091" s="82"/>
      <c r="M32091" s="112"/>
      <c r="N32091" s="84"/>
    </row>
    <row r="32092" spans="1:14" s="2" customFormat="1">
      <c r="A32092" s="83"/>
      <c r="H32092" s="83"/>
      <c r="K32092" s="82"/>
      <c r="M32092" s="112"/>
      <c r="N32092" s="84"/>
    </row>
    <row r="32093" spans="1:14" s="2" customFormat="1">
      <c r="A32093" s="83"/>
      <c r="H32093" s="83"/>
      <c r="K32093" s="82"/>
      <c r="M32093" s="112"/>
      <c r="N32093" s="84"/>
    </row>
    <row r="32094" spans="1:14" s="2" customFormat="1">
      <c r="A32094" s="83"/>
      <c r="H32094" s="83"/>
      <c r="K32094" s="82"/>
      <c r="M32094" s="112"/>
      <c r="N32094" s="84"/>
    </row>
    <row r="32095" spans="1:14" s="2" customFormat="1">
      <c r="A32095" s="83"/>
      <c r="H32095" s="83"/>
      <c r="K32095" s="82"/>
      <c r="M32095" s="112"/>
      <c r="N32095" s="84"/>
    </row>
    <row r="32096" spans="1:14" s="2" customFormat="1">
      <c r="A32096" s="83"/>
      <c r="H32096" s="83"/>
      <c r="K32096" s="82"/>
      <c r="M32096" s="112"/>
      <c r="N32096" s="84"/>
    </row>
    <row r="32097" spans="1:14" s="2" customFormat="1">
      <c r="A32097" s="83"/>
      <c r="H32097" s="83"/>
      <c r="K32097" s="82"/>
      <c r="M32097" s="112"/>
      <c r="N32097" s="84"/>
    </row>
    <row r="32098" spans="1:14" s="2" customFormat="1">
      <c r="A32098" s="83"/>
      <c r="H32098" s="83"/>
      <c r="K32098" s="82"/>
      <c r="M32098" s="112"/>
      <c r="N32098" s="84"/>
    </row>
    <row r="32099" spans="1:14" s="2" customFormat="1">
      <c r="A32099" s="83"/>
      <c r="H32099" s="83"/>
      <c r="K32099" s="82"/>
      <c r="M32099" s="112"/>
      <c r="N32099" s="84"/>
    </row>
    <row r="32100" spans="1:14" s="2" customFormat="1">
      <c r="A32100" s="83"/>
      <c r="H32100" s="83"/>
      <c r="K32100" s="82"/>
      <c r="M32100" s="112"/>
      <c r="N32100" s="84"/>
    </row>
    <row r="32101" spans="1:14" s="2" customFormat="1">
      <c r="A32101" s="83"/>
      <c r="H32101" s="83"/>
      <c r="K32101" s="82"/>
      <c r="M32101" s="112"/>
      <c r="N32101" s="84"/>
    </row>
    <row r="32102" spans="1:14" s="2" customFormat="1">
      <c r="A32102" s="83"/>
      <c r="H32102" s="83"/>
      <c r="K32102" s="82"/>
      <c r="M32102" s="112"/>
      <c r="N32102" s="84"/>
    </row>
    <row r="32103" spans="1:14" s="2" customFormat="1">
      <c r="A32103" s="83"/>
      <c r="H32103" s="83"/>
      <c r="K32103" s="82"/>
      <c r="M32103" s="112"/>
      <c r="N32103" s="84"/>
    </row>
    <row r="32104" spans="1:14" s="2" customFormat="1">
      <c r="A32104" s="83"/>
      <c r="H32104" s="83"/>
      <c r="K32104" s="82"/>
      <c r="M32104" s="112"/>
      <c r="N32104" s="84"/>
    </row>
    <row r="32105" spans="1:14" s="2" customFormat="1">
      <c r="A32105" s="83"/>
      <c r="H32105" s="83"/>
      <c r="K32105" s="82"/>
      <c r="M32105" s="112"/>
      <c r="N32105" s="84"/>
    </row>
    <row r="32106" spans="1:14" s="2" customFormat="1">
      <c r="A32106" s="83"/>
      <c r="H32106" s="83"/>
      <c r="K32106" s="82"/>
      <c r="M32106" s="112"/>
      <c r="N32106" s="84"/>
    </row>
    <row r="32107" spans="1:14" s="2" customFormat="1">
      <c r="A32107" s="83"/>
      <c r="H32107" s="83"/>
      <c r="K32107" s="82"/>
      <c r="M32107" s="112"/>
      <c r="N32107" s="84"/>
    </row>
    <row r="32108" spans="1:14" s="2" customFormat="1">
      <c r="A32108" s="83"/>
      <c r="H32108" s="83"/>
      <c r="K32108" s="82"/>
      <c r="M32108" s="112"/>
      <c r="N32108" s="84"/>
    </row>
    <row r="32109" spans="1:14" s="2" customFormat="1">
      <c r="A32109" s="83"/>
      <c r="H32109" s="83"/>
      <c r="K32109" s="82"/>
      <c r="M32109" s="112"/>
      <c r="N32109" s="84"/>
    </row>
    <row r="32110" spans="1:14" s="2" customFormat="1">
      <c r="A32110" s="83"/>
      <c r="H32110" s="83"/>
      <c r="K32110" s="82"/>
      <c r="M32110" s="112"/>
      <c r="N32110" s="84"/>
    </row>
    <row r="32111" spans="1:14" s="2" customFormat="1">
      <c r="A32111" s="83"/>
      <c r="H32111" s="83"/>
      <c r="K32111" s="82"/>
      <c r="M32111" s="112"/>
      <c r="N32111" s="84"/>
    </row>
    <row r="32112" spans="1:14" s="2" customFormat="1">
      <c r="A32112" s="83"/>
      <c r="H32112" s="83"/>
      <c r="K32112" s="82"/>
      <c r="M32112" s="112"/>
      <c r="N32112" s="84"/>
    </row>
    <row r="32113" spans="1:14" s="2" customFormat="1">
      <c r="A32113" s="83"/>
      <c r="H32113" s="83"/>
      <c r="K32113" s="82"/>
      <c r="M32113" s="112"/>
      <c r="N32113" s="84"/>
    </row>
    <row r="32114" spans="1:14" s="2" customFormat="1">
      <c r="A32114" s="83"/>
      <c r="H32114" s="83"/>
      <c r="K32114" s="82"/>
      <c r="M32114" s="112"/>
      <c r="N32114" s="84"/>
    </row>
    <row r="32115" spans="1:14" s="2" customFormat="1">
      <c r="A32115" s="83"/>
      <c r="H32115" s="83"/>
      <c r="K32115" s="82"/>
      <c r="M32115" s="112"/>
      <c r="N32115" s="84"/>
    </row>
    <row r="32116" spans="1:14" s="2" customFormat="1">
      <c r="A32116" s="83"/>
      <c r="H32116" s="83"/>
      <c r="K32116" s="82"/>
      <c r="M32116" s="112"/>
      <c r="N32116" s="84"/>
    </row>
    <row r="32117" spans="1:14" s="2" customFormat="1">
      <c r="A32117" s="83"/>
      <c r="H32117" s="83"/>
      <c r="K32117" s="82"/>
      <c r="M32117" s="112"/>
      <c r="N32117" s="84"/>
    </row>
    <row r="32118" spans="1:14" s="2" customFormat="1">
      <c r="A32118" s="83"/>
      <c r="H32118" s="83"/>
      <c r="K32118" s="82"/>
      <c r="M32118" s="112"/>
      <c r="N32118" s="84"/>
    </row>
    <row r="32119" spans="1:14" s="2" customFormat="1">
      <c r="A32119" s="83"/>
      <c r="H32119" s="83"/>
      <c r="K32119" s="82"/>
      <c r="M32119" s="112"/>
      <c r="N32119" s="84"/>
    </row>
    <row r="32120" spans="1:14" s="2" customFormat="1">
      <c r="A32120" s="83"/>
      <c r="H32120" s="83"/>
      <c r="K32120" s="82"/>
      <c r="M32120" s="112"/>
      <c r="N32120" s="84"/>
    </row>
    <row r="32121" spans="1:14" s="2" customFormat="1">
      <c r="A32121" s="83"/>
      <c r="H32121" s="83"/>
      <c r="K32121" s="82"/>
      <c r="M32121" s="112"/>
      <c r="N32121" s="84"/>
    </row>
    <row r="32122" spans="1:14" s="2" customFormat="1">
      <c r="A32122" s="83"/>
      <c r="H32122" s="83"/>
      <c r="K32122" s="82"/>
      <c r="M32122" s="112"/>
      <c r="N32122" s="84"/>
    </row>
    <row r="32123" spans="1:14" s="2" customFormat="1">
      <c r="A32123" s="83"/>
      <c r="H32123" s="83"/>
      <c r="K32123" s="82"/>
      <c r="M32123" s="112"/>
      <c r="N32123" s="84"/>
    </row>
    <row r="32124" spans="1:14" s="2" customFormat="1">
      <c r="A32124" s="83"/>
      <c r="H32124" s="83"/>
      <c r="K32124" s="82"/>
      <c r="M32124" s="112"/>
      <c r="N32124" s="84"/>
    </row>
    <row r="32125" spans="1:14" s="2" customFormat="1">
      <c r="A32125" s="83"/>
      <c r="H32125" s="83"/>
      <c r="K32125" s="82"/>
      <c r="M32125" s="112"/>
      <c r="N32125" s="84"/>
    </row>
    <row r="32126" spans="1:14" s="2" customFormat="1">
      <c r="A32126" s="83"/>
      <c r="H32126" s="83"/>
      <c r="K32126" s="82"/>
      <c r="M32126" s="112"/>
      <c r="N32126" s="84"/>
    </row>
    <row r="32127" spans="1:14" s="2" customFormat="1">
      <c r="A32127" s="83"/>
      <c r="H32127" s="83"/>
      <c r="K32127" s="82"/>
      <c r="M32127" s="112"/>
      <c r="N32127" s="84"/>
    </row>
    <row r="32128" spans="1:14" s="2" customFormat="1">
      <c r="A32128" s="83"/>
      <c r="H32128" s="83"/>
      <c r="K32128" s="82"/>
      <c r="M32128" s="112"/>
      <c r="N32128" s="84"/>
    </row>
    <row r="32129" spans="1:14" s="2" customFormat="1">
      <c r="A32129" s="83"/>
      <c r="H32129" s="83"/>
      <c r="K32129" s="82"/>
      <c r="M32129" s="112"/>
      <c r="N32129" s="84"/>
    </row>
    <row r="32130" spans="1:14" s="2" customFormat="1">
      <c r="A32130" s="83"/>
      <c r="H32130" s="83"/>
      <c r="K32130" s="82"/>
      <c r="M32130" s="112"/>
      <c r="N32130" s="84"/>
    </row>
    <row r="32131" spans="1:14" s="2" customFormat="1">
      <c r="A32131" s="83"/>
      <c r="H32131" s="83"/>
      <c r="K32131" s="82"/>
      <c r="M32131" s="112"/>
      <c r="N32131" s="84"/>
    </row>
    <row r="32132" spans="1:14" s="2" customFormat="1">
      <c r="A32132" s="83"/>
      <c r="H32132" s="83"/>
      <c r="K32132" s="82"/>
      <c r="M32132" s="112"/>
      <c r="N32132" s="84"/>
    </row>
    <row r="32133" spans="1:14" s="2" customFormat="1">
      <c r="A32133" s="83"/>
      <c r="H32133" s="83"/>
      <c r="K32133" s="82"/>
      <c r="M32133" s="112"/>
      <c r="N32133" s="84"/>
    </row>
    <row r="32134" spans="1:14" s="2" customFormat="1">
      <c r="A32134" s="83"/>
      <c r="H32134" s="83"/>
      <c r="K32134" s="82"/>
      <c r="M32134" s="112"/>
      <c r="N32134" s="84"/>
    </row>
    <row r="32135" spans="1:14" s="2" customFormat="1">
      <c r="A32135" s="83"/>
      <c r="H32135" s="83"/>
      <c r="K32135" s="82"/>
      <c r="M32135" s="112"/>
      <c r="N32135" s="84"/>
    </row>
    <row r="32136" spans="1:14" s="2" customFormat="1">
      <c r="A32136" s="83"/>
      <c r="H32136" s="83"/>
      <c r="K32136" s="82"/>
      <c r="M32136" s="112"/>
      <c r="N32136" s="84"/>
    </row>
    <row r="32137" spans="1:14" s="2" customFormat="1">
      <c r="A32137" s="83"/>
      <c r="H32137" s="83"/>
      <c r="K32137" s="82"/>
      <c r="M32137" s="112"/>
      <c r="N32137" s="84"/>
    </row>
    <row r="32138" spans="1:14" s="2" customFormat="1">
      <c r="A32138" s="83"/>
      <c r="H32138" s="83"/>
      <c r="K32138" s="82"/>
      <c r="M32138" s="112"/>
      <c r="N32138" s="84"/>
    </row>
    <row r="32139" spans="1:14" s="2" customFormat="1">
      <c r="A32139" s="83"/>
      <c r="H32139" s="83"/>
      <c r="K32139" s="82"/>
      <c r="M32139" s="112"/>
      <c r="N32139" s="84"/>
    </row>
    <row r="32140" spans="1:14" s="2" customFormat="1">
      <c r="A32140" s="83"/>
      <c r="H32140" s="83"/>
      <c r="K32140" s="82"/>
      <c r="M32140" s="112"/>
      <c r="N32140" s="84"/>
    </row>
    <row r="32141" spans="1:14" s="2" customFormat="1">
      <c r="A32141" s="83"/>
      <c r="H32141" s="83"/>
      <c r="K32141" s="82"/>
      <c r="M32141" s="112"/>
      <c r="N32141" s="84"/>
    </row>
    <row r="32142" spans="1:14" s="2" customFormat="1">
      <c r="A32142" s="83"/>
      <c r="H32142" s="83"/>
      <c r="K32142" s="82"/>
      <c r="M32142" s="112"/>
      <c r="N32142" s="84"/>
    </row>
    <row r="32143" spans="1:14" s="2" customFormat="1">
      <c r="A32143" s="83"/>
      <c r="H32143" s="83"/>
      <c r="K32143" s="82"/>
      <c r="M32143" s="112"/>
      <c r="N32143" s="84"/>
    </row>
    <row r="32144" spans="1:14" s="2" customFormat="1">
      <c r="A32144" s="83"/>
      <c r="H32144" s="83"/>
      <c r="K32144" s="82"/>
      <c r="M32144" s="112"/>
      <c r="N32144" s="84"/>
    </row>
    <row r="32145" spans="1:14" s="2" customFormat="1">
      <c r="A32145" s="83"/>
      <c r="H32145" s="83"/>
      <c r="K32145" s="82"/>
      <c r="M32145" s="112"/>
      <c r="N32145" s="84"/>
    </row>
    <row r="32146" spans="1:14" s="2" customFormat="1">
      <c r="A32146" s="83"/>
      <c r="H32146" s="83"/>
      <c r="K32146" s="82"/>
      <c r="M32146" s="112"/>
      <c r="N32146" s="84"/>
    </row>
    <row r="32147" spans="1:14" s="2" customFormat="1">
      <c r="A32147" s="83"/>
      <c r="H32147" s="83"/>
      <c r="K32147" s="82"/>
      <c r="M32147" s="112"/>
      <c r="N32147" s="84"/>
    </row>
    <row r="32148" spans="1:14" s="2" customFormat="1">
      <c r="A32148" s="83"/>
      <c r="H32148" s="83"/>
      <c r="K32148" s="82"/>
      <c r="M32148" s="112"/>
      <c r="N32148" s="84"/>
    </row>
    <row r="32149" spans="1:14" s="2" customFormat="1">
      <c r="A32149" s="83"/>
      <c r="H32149" s="83"/>
      <c r="K32149" s="82"/>
      <c r="M32149" s="112"/>
      <c r="N32149" s="84"/>
    </row>
    <row r="32150" spans="1:14" s="2" customFormat="1">
      <c r="A32150" s="83"/>
      <c r="H32150" s="83"/>
      <c r="K32150" s="82"/>
      <c r="M32150" s="112"/>
      <c r="N32150" s="84"/>
    </row>
    <row r="32151" spans="1:14" s="2" customFormat="1">
      <c r="A32151" s="83"/>
      <c r="H32151" s="83"/>
      <c r="K32151" s="82"/>
      <c r="M32151" s="112"/>
      <c r="N32151" s="84"/>
    </row>
    <row r="32152" spans="1:14" s="2" customFormat="1">
      <c r="A32152" s="83"/>
      <c r="H32152" s="83"/>
      <c r="K32152" s="82"/>
      <c r="M32152" s="112"/>
      <c r="N32152" s="84"/>
    </row>
    <row r="32153" spans="1:14" s="2" customFormat="1">
      <c r="A32153" s="83"/>
      <c r="H32153" s="83"/>
      <c r="K32153" s="82"/>
      <c r="M32153" s="112"/>
      <c r="N32153" s="84"/>
    </row>
    <row r="32154" spans="1:14" s="2" customFormat="1">
      <c r="A32154" s="83"/>
      <c r="H32154" s="83"/>
      <c r="K32154" s="82"/>
      <c r="M32154" s="112"/>
      <c r="N32154" s="84"/>
    </row>
    <row r="32155" spans="1:14" s="2" customFormat="1">
      <c r="A32155" s="83"/>
      <c r="H32155" s="83"/>
      <c r="K32155" s="82"/>
      <c r="M32155" s="112"/>
      <c r="N32155" s="84"/>
    </row>
    <row r="32156" spans="1:14" s="2" customFormat="1">
      <c r="A32156" s="83"/>
      <c r="H32156" s="83"/>
      <c r="K32156" s="82"/>
      <c r="M32156" s="112"/>
      <c r="N32156" s="84"/>
    </row>
    <row r="32157" spans="1:14" s="2" customFormat="1">
      <c r="A32157" s="83"/>
      <c r="H32157" s="83"/>
      <c r="K32157" s="82"/>
      <c r="M32157" s="112"/>
      <c r="N32157" s="84"/>
    </row>
    <row r="32158" spans="1:14" s="2" customFormat="1">
      <c r="A32158" s="83"/>
      <c r="H32158" s="83"/>
      <c r="K32158" s="82"/>
      <c r="M32158" s="112"/>
      <c r="N32158" s="84"/>
    </row>
    <row r="32159" spans="1:14" s="2" customFormat="1">
      <c r="A32159" s="83"/>
      <c r="H32159" s="83"/>
      <c r="K32159" s="82"/>
      <c r="M32159" s="112"/>
      <c r="N32159" s="84"/>
    </row>
    <row r="32160" spans="1:14" s="2" customFormat="1">
      <c r="A32160" s="83"/>
      <c r="H32160" s="83"/>
      <c r="K32160" s="82"/>
      <c r="M32160" s="112"/>
      <c r="N32160" s="84"/>
    </row>
    <row r="32161" spans="1:14" s="2" customFormat="1">
      <c r="A32161" s="83"/>
      <c r="H32161" s="83"/>
      <c r="K32161" s="82"/>
      <c r="M32161" s="112"/>
      <c r="N32161" s="84"/>
    </row>
    <row r="32162" spans="1:14" s="2" customFormat="1">
      <c r="A32162" s="83"/>
      <c r="H32162" s="83"/>
      <c r="K32162" s="82"/>
      <c r="M32162" s="112"/>
      <c r="N32162" s="84"/>
    </row>
    <row r="32163" spans="1:14" s="2" customFormat="1">
      <c r="A32163" s="83"/>
      <c r="H32163" s="83"/>
      <c r="K32163" s="82"/>
      <c r="M32163" s="112"/>
      <c r="N32163" s="84"/>
    </row>
    <row r="32164" spans="1:14" s="2" customFormat="1">
      <c r="A32164" s="83"/>
      <c r="H32164" s="83"/>
      <c r="K32164" s="82"/>
      <c r="M32164" s="112"/>
      <c r="N32164" s="84"/>
    </row>
    <row r="32165" spans="1:14" s="2" customFormat="1">
      <c r="A32165" s="83"/>
      <c r="H32165" s="83"/>
      <c r="K32165" s="82"/>
      <c r="M32165" s="112"/>
      <c r="N32165" s="84"/>
    </row>
    <row r="32166" spans="1:14" s="2" customFormat="1">
      <c r="A32166" s="83"/>
      <c r="H32166" s="83"/>
      <c r="K32166" s="82"/>
      <c r="M32166" s="112"/>
      <c r="N32166" s="84"/>
    </row>
    <row r="32167" spans="1:14" s="2" customFormat="1">
      <c r="A32167" s="83"/>
      <c r="H32167" s="83"/>
      <c r="K32167" s="82"/>
      <c r="M32167" s="112"/>
      <c r="N32167" s="84"/>
    </row>
    <row r="32168" spans="1:14" s="2" customFormat="1">
      <c r="A32168" s="83"/>
      <c r="H32168" s="83"/>
      <c r="K32168" s="82"/>
      <c r="M32168" s="112"/>
      <c r="N32168" s="84"/>
    </row>
    <row r="32169" spans="1:14" s="2" customFormat="1">
      <c r="A32169" s="83"/>
      <c r="H32169" s="83"/>
      <c r="K32169" s="82"/>
      <c r="M32169" s="112"/>
      <c r="N32169" s="84"/>
    </row>
    <row r="32170" spans="1:14" s="2" customFormat="1">
      <c r="A32170" s="83"/>
      <c r="H32170" s="83"/>
      <c r="K32170" s="82"/>
      <c r="M32170" s="112"/>
      <c r="N32170" s="84"/>
    </row>
    <row r="32171" spans="1:14" s="2" customFormat="1">
      <c r="A32171" s="83"/>
      <c r="H32171" s="83"/>
      <c r="K32171" s="82"/>
      <c r="M32171" s="112"/>
      <c r="N32171" s="84"/>
    </row>
    <row r="32172" spans="1:14" s="2" customFormat="1">
      <c r="A32172" s="83"/>
      <c r="H32172" s="83"/>
      <c r="K32172" s="82"/>
      <c r="M32172" s="112"/>
      <c r="N32172" s="84"/>
    </row>
    <row r="32173" spans="1:14" s="2" customFormat="1">
      <c r="A32173" s="83"/>
      <c r="H32173" s="83"/>
      <c r="K32173" s="82"/>
      <c r="M32173" s="112"/>
      <c r="N32173" s="84"/>
    </row>
    <row r="32174" spans="1:14" s="2" customFormat="1">
      <c r="A32174" s="83"/>
      <c r="H32174" s="83"/>
      <c r="K32174" s="82"/>
      <c r="M32174" s="112"/>
      <c r="N32174" s="84"/>
    </row>
    <row r="32175" spans="1:14" s="2" customFormat="1">
      <c r="A32175" s="83"/>
      <c r="H32175" s="83"/>
      <c r="K32175" s="82"/>
      <c r="M32175" s="112"/>
      <c r="N32175" s="84"/>
    </row>
    <row r="32176" spans="1:14" s="2" customFormat="1">
      <c r="A32176" s="83"/>
      <c r="H32176" s="83"/>
      <c r="K32176" s="82"/>
      <c r="M32176" s="112"/>
      <c r="N32176" s="84"/>
    </row>
    <row r="32177" spans="1:14" s="2" customFormat="1">
      <c r="A32177" s="83"/>
      <c r="H32177" s="83"/>
      <c r="K32177" s="82"/>
      <c r="M32177" s="112"/>
      <c r="N32177" s="84"/>
    </row>
    <row r="32178" spans="1:14" s="2" customFormat="1">
      <c r="A32178" s="83"/>
      <c r="H32178" s="83"/>
      <c r="K32178" s="82"/>
      <c r="M32178" s="112"/>
      <c r="N32178" s="84"/>
    </row>
    <row r="32179" spans="1:14" s="2" customFormat="1">
      <c r="A32179" s="83"/>
      <c r="H32179" s="83"/>
      <c r="K32179" s="82"/>
      <c r="M32179" s="112"/>
      <c r="N32179" s="84"/>
    </row>
    <row r="32180" spans="1:14" s="2" customFormat="1">
      <c r="A32180" s="83"/>
      <c r="H32180" s="83"/>
      <c r="K32180" s="82"/>
      <c r="M32180" s="112"/>
      <c r="N32180" s="84"/>
    </row>
    <row r="32181" spans="1:14" s="2" customFormat="1">
      <c r="A32181" s="83"/>
      <c r="H32181" s="83"/>
      <c r="K32181" s="82"/>
      <c r="M32181" s="112"/>
      <c r="N32181" s="84"/>
    </row>
    <row r="32182" spans="1:14" s="2" customFormat="1">
      <c r="A32182" s="83"/>
      <c r="H32182" s="83"/>
      <c r="K32182" s="82"/>
      <c r="M32182" s="112"/>
      <c r="N32182" s="84"/>
    </row>
    <row r="32183" spans="1:14" s="2" customFormat="1">
      <c r="A32183" s="83"/>
      <c r="H32183" s="83"/>
      <c r="K32183" s="82"/>
      <c r="M32183" s="112"/>
      <c r="N32183" s="84"/>
    </row>
    <row r="32184" spans="1:14" s="2" customFormat="1">
      <c r="A32184" s="83"/>
      <c r="H32184" s="83"/>
      <c r="K32184" s="82"/>
      <c r="M32184" s="112"/>
      <c r="N32184" s="84"/>
    </row>
    <row r="32185" spans="1:14" s="2" customFormat="1">
      <c r="A32185" s="83"/>
      <c r="H32185" s="83"/>
      <c r="K32185" s="82"/>
      <c r="M32185" s="112"/>
      <c r="N32185" s="84"/>
    </row>
    <row r="32186" spans="1:14" s="2" customFormat="1">
      <c r="A32186" s="83"/>
      <c r="H32186" s="83"/>
      <c r="K32186" s="82"/>
      <c r="M32186" s="112"/>
      <c r="N32186" s="84"/>
    </row>
    <row r="32187" spans="1:14" s="2" customFormat="1">
      <c r="A32187" s="83"/>
      <c r="H32187" s="83"/>
      <c r="K32187" s="82"/>
      <c r="M32187" s="112"/>
      <c r="N32187" s="84"/>
    </row>
    <row r="32188" spans="1:14" s="2" customFormat="1">
      <c r="A32188" s="83"/>
      <c r="H32188" s="83"/>
      <c r="K32188" s="82"/>
      <c r="M32188" s="112"/>
      <c r="N32188" s="84"/>
    </row>
    <row r="32189" spans="1:14" s="2" customFormat="1">
      <c r="A32189" s="83"/>
      <c r="H32189" s="83"/>
      <c r="K32189" s="82"/>
      <c r="M32189" s="112"/>
      <c r="N32189" s="84"/>
    </row>
    <row r="32190" spans="1:14" s="2" customFormat="1">
      <c r="A32190" s="83"/>
      <c r="H32190" s="83"/>
      <c r="K32190" s="82"/>
      <c r="M32190" s="112"/>
      <c r="N32190" s="84"/>
    </row>
    <row r="32191" spans="1:14" s="2" customFormat="1">
      <c r="A32191" s="83"/>
      <c r="H32191" s="83"/>
      <c r="K32191" s="82"/>
      <c r="M32191" s="112"/>
      <c r="N32191" s="84"/>
    </row>
    <row r="32192" spans="1:14" s="2" customFormat="1">
      <c r="A32192" s="83"/>
      <c r="H32192" s="83"/>
      <c r="K32192" s="82"/>
      <c r="M32192" s="112"/>
      <c r="N32192" s="84"/>
    </row>
    <row r="32193" spans="1:14" s="2" customFormat="1">
      <c r="A32193" s="83"/>
      <c r="H32193" s="83"/>
      <c r="K32193" s="82"/>
      <c r="M32193" s="112"/>
      <c r="N32193" s="84"/>
    </row>
    <row r="32194" spans="1:14" s="2" customFormat="1">
      <c r="A32194" s="83"/>
      <c r="H32194" s="83"/>
      <c r="K32194" s="82"/>
      <c r="M32194" s="112"/>
      <c r="N32194" s="84"/>
    </row>
    <row r="32195" spans="1:14" s="2" customFormat="1">
      <c r="A32195" s="83"/>
      <c r="H32195" s="83"/>
      <c r="K32195" s="82"/>
      <c r="M32195" s="112"/>
      <c r="N32195" s="84"/>
    </row>
    <row r="32196" spans="1:14" s="2" customFormat="1">
      <c r="A32196" s="83"/>
      <c r="H32196" s="83"/>
      <c r="K32196" s="82"/>
      <c r="M32196" s="112"/>
      <c r="N32196" s="84"/>
    </row>
    <row r="32197" spans="1:14" s="2" customFormat="1">
      <c r="A32197" s="83"/>
      <c r="H32197" s="83"/>
      <c r="K32197" s="82"/>
      <c r="M32197" s="112"/>
      <c r="N32197" s="84"/>
    </row>
    <row r="32198" spans="1:14" s="2" customFormat="1">
      <c r="A32198" s="83"/>
      <c r="H32198" s="83"/>
      <c r="K32198" s="82"/>
      <c r="M32198" s="112"/>
      <c r="N32198" s="84"/>
    </row>
    <row r="32199" spans="1:14" s="2" customFormat="1">
      <c r="A32199" s="83"/>
      <c r="H32199" s="83"/>
      <c r="K32199" s="82"/>
      <c r="M32199" s="112"/>
      <c r="N32199" s="84"/>
    </row>
    <row r="32200" spans="1:14" s="2" customFormat="1">
      <c r="A32200" s="83"/>
      <c r="H32200" s="83"/>
      <c r="K32200" s="82"/>
      <c r="M32200" s="112"/>
      <c r="N32200" s="84"/>
    </row>
    <row r="32201" spans="1:14" s="2" customFormat="1">
      <c r="A32201" s="83"/>
      <c r="H32201" s="83"/>
      <c r="K32201" s="82"/>
      <c r="M32201" s="112"/>
      <c r="N32201" s="84"/>
    </row>
    <row r="32202" spans="1:14" s="2" customFormat="1">
      <c r="A32202" s="83"/>
      <c r="H32202" s="83"/>
      <c r="K32202" s="82"/>
      <c r="M32202" s="112"/>
      <c r="N32202" s="84"/>
    </row>
    <row r="32203" spans="1:14" s="2" customFormat="1">
      <c r="A32203" s="83"/>
      <c r="H32203" s="83"/>
      <c r="K32203" s="82"/>
      <c r="M32203" s="112"/>
      <c r="N32203" s="84"/>
    </row>
    <row r="32204" spans="1:14" s="2" customFormat="1">
      <c r="A32204" s="83"/>
      <c r="H32204" s="83"/>
      <c r="K32204" s="82"/>
      <c r="M32204" s="112"/>
      <c r="N32204" s="84"/>
    </row>
    <row r="32205" spans="1:14" s="2" customFormat="1">
      <c r="A32205" s="83"/>
      <c r="H32205" s="83"/>
      <c r="K32205" s="82"/>
      <c r="M32205" s="112"/>
      <c r="N32205" s="84"/>
    </row>
    <row r="32206" spans="1:14" s="2" customFormat="1">
      <c r="A32206" s="83"/>
      <c r="H32206" s="83"/>
      <c r="K32206" s="82"/>
      <c r="M32206" s="112"/>
      <c r="N32206" s="84"/>
    </row>
    <row r="32207" spans="1:14" s="2" customFormat="1">
      <c r="A32207" s="83"/>
      <c r="H32207" s="83"/>
      <c r="K32207" s="82"/>
      <c r="M32207" s="112"/>
      <c r="N32207" s="84"/>
    </row>
    <row r="32208" spans="1:14" s="2" customFormat="1">
      <c r="A32208" s="83"/>
      <c r="H32208" s="83"/>
      <c r="K32208" s="82"/>
      <c r="M32208" s="112"/>
      <c r="N32208" s="84"/>
    </row>
    <row r="32209" spans="1:14" s="2" customFormat="1">
      <c r="A32209" s="83"/>
      <c r="H32209" s="83"/>
      <c r="K32209" s="82"/>
      <c r="M32209" s="112"/>
      <c r="N32209" s="84"/>
    </row>
    <row r="32210" spans="1:14" s="2" customFormat="1">
      <c r="A32210" s="83"/>
      <c r="H32210" s="83"/>
      <c r="K32210" s="82"/>
      <c r="M32210" s="112"/>
      <c r="N32210" s="84"/>
    </row>
    <row r="32211" spans="1:14" s="2" customFormat="1">
      <c r="A32211" s="83"/>
      <c r="H32211" s="83"/>
      <c r="K32211" s="82"/>
      <c r="M32211" s="112"/>
      <c r="N32211" s="84"/>
    </row>
    <row r="32212" spans="1:14" s="2" customFormat="1">
      <c r="A32212" s="83"/>
      <c r="H32212" s="83"/>
      <c r="K32212" s="82"/>
      <c r="M32212" s="112"/>
      <c r="N32212" s="84"/>
    </row>
    <row r="32213" spans="1:14" s="2" customFormat="1">
      <c r="A32213" s="83"/>
      <c r="H32213" s="83"/>
      <c r="K32213" s="82"/>
      <c r="M32213" s="112"/>
      <c r="N32213" s="84"/>
    </row>
    <row r="32214" spans="1:14" s="2" customFormat="1">
      <c r="A32214" s="83"/>
      <c r="H32214" s="83"/>
      <c r="K32214" s="82"/>
      <c r="M32214" s="112"/>
      <c r="N32214" s="84"/>
    </row>
    <row r="32215" spans="1:14" s="2" customFormat="1">
      <c r="A32215" s="83"/>
      <c r="H32215" s="83"/>
      <c r="K32215" s="82"/>
      <c r="M32215" s="112"/>
      <c r="N32215" s="84"/>
    </row>
    <row r="32216" spans="1:14" s="2" customFormat="1">
      <c r="A32216" s="83"/>
      <c r="H32216" s="83"/>
      <c r="K32216" s="82"/>
      <c r="M32216" s="112"/>
      <c r="N32216" s="84"/>
    </row>
    <row r="32217" spans="1:14" s="2" customFormat="1">
      <c r="A32217" s="83"/>
      <c r="H32217" s="83"/>
      <c r="K32217" s="82"/>
      <c r="M32217" s="112"/>
      <c r="N32217" s="84"/>
    </row>
    <row r="32218" spans="1:14" s="2" customFormat="1">
      <c r="A32218" s="83"/>
      <c r="H32218" s="83"/>
      <c r="K32218" s="82"/>
      <c r="M32218" s="112"/>
      <c r="N32218" s="84"/>
    </row>
    <row r="32219" spans="1:14" s="2" customFormat="1">
      <c r="A32219" s="83"/>
      <c r="H32219" s="83"/>
      <c r="K32219" s="82"/>
      <c r="M32219" s="112"/>
      <c r="N32219" s="84"/>
    </row>
    <row r="32220" spans="1:14" s="2" customFormat="1">
      <c r="A32220" s="83"/>
      <c r="H32220" s="83"/>
      <c r="K32220" s="82"/>
      <c r="M32220" s="112"/>
      <c r="N32220" s="84"/>
    </row>
    <row r="32221" spans="1:14" s="2" customFormat="1">
      <c r="A32221" s="83"/>
      <c r="H32221" s="83"/>
      <c r="K32221" s="82"/>
      <c r="M32221" s="112"/>
      <c r="N32221" s="84"/>
    </row>
    <row r="32222" spans="1:14" s="2" customFormat="1">
      <c r="A32222" s="83"/>
      <c r="H32222" s="83"/>
      <c r="K32222" s="82"/>
      <c r="M32222" s="112"/>
      <c r="N32222" s="84"/>
    </row>
    <row r="32223" spans="1:14" s="2" customFormat="1">
      <c r="A32223" s="83"/>
      <c r="H32223" s="83"/>
      <c r="K32223" s="82"/>
      <c r="M32223" s="112"/>
      <c r="N32223" s="84"/>
    </row>
    <row r="32224" spans="1:14" s="2" customFormat="1">
      <c r="A32224" s="83"/>
      <c r="H32224" s="83"/>
      <c r="K32224" s="82"/>
      <c r="M32224" s="112"/>
      <c r="N32224" s="84"/>
    </row>
    <row r="32225" spans="1:14" s="2" customFormat="1">
      <c r="A32225" s="83"/>
      <c r="H32225" s="83"/>
      <c r="K32225" s="82"/>
      <c r="M32225" s="112"/>
      <c r="N32225" s="84"/>
    </row>
    <row r="32226" spans="1:14" s="2" customFormat="1">
      <c r="A32226" s="83"/>
      <c r="H32226" s="83"/>
      <c r="K32226" s="82"/>
      <c r="M32226" s="112"/>
      <c r="N32226" s="84"/>
    </row>
    <row r="32227" spans="1:14" s="2" customFormat="1">
      <c r="A32227" s="83"/>
      <c r="H32227" s="83"/>
      <c r="K32227" s="82"/>
      <c r="M32227" s="112"/>
      <c r="N32227" s="84"/>
    </row>
    <row r="32228" spans="1:14" s="2" customFormat="1">
      <c r="A32228" s="83"/>
      <c r="H32228" s="83"/>
      <c r="K32228" s="82"/>
      <c r="M32228" s="112"/>
      <c r="N32228" s="84"/>
    </row>
    <row r="32229" spans="1:14" s="2" customFormat="1">
      <c r="A32229" s="83"/>
      <c r="H32229" s="83"/>
      <c r="K32229" s="82"/>
      <c r="M32229" s="112"/>
      <c r="N32229" s="84"/>
    </row>
    <row r="32230" spans="1:14" s="2" customFormat="1">
      <c r="A32230" s="83"/>
      <c r="H32230" s="83"/>
      <c r="K32230" s="82"/>
      <c r="M32230" s="112"/>
      <c r="N32230" s="84"/>
    </row>
    <row r="32231" spans="1:14" s="2" customFormat="1">
      <c r="A32231" s="83"/>
      <c r="H32231" s="83"/>
      <c r="K32231" s="82"/>
      <c r="M32231" s="112"/>
      <c r="N32231" s="84"/>
    </row>
    <row r="32232" spans="1:14" s="2" customFormat="1">
      <c r="A32232" s="83"/>
      <c r="H32232" s="83"/>
      <c r="K32232" s="82"/>
      <c r="M32232" s="112"/>
      <c r="N32232" s="84"/>
    </row>
    <row r="32233" spans="1:14" s="2" customFormat="1">
      <c r="A32233" s="83"/>
      <c r="H32233" s="83"/>
      <c r="K32233" s="82"/>
      <c r="M32233" s="112"/>
      <c r="N32233" s="84"/>
    </row>
    <row r="32234" spans="1:14" s="2" customFormat="1">
      <c r="A32234" s="83"/>
      <c r="H32234" s="83"/>
      <c r="K32234" s="82"/>
      <c r="M32234" s="112"/>
      <c r="N32234" s="84"/>
    </row>
    <row r="32235" spans="1:14" s="2" customFormat="1">
      <c r="A32235" s="83"/>
      <c r="H32235" s="83"/>
      <c r="K32235" s="82"/>
      <c r="M32235" s="112"/>
      <c r="N32235" s="84"/>
    </row>
    <row r="32236" spans="1:14" s="2" customFormat="1">
      <c r="A32236" s="83"/>
      <c r="H32236" s="83"/>
      <c r="K32236" s="82"/>
      <c r="M32236" s="112"/>
      <c r="N32236" s="84"/>
    </row>
    <row r="32237" spans="1:14" s="2" customFormat="1">
      <c r="A32237" s="83"/>
      <c r="H32237" s="83"/>
      <c r="K32237" s="82"/>
      <c r="M32237" s="112"/>
      <c r="N32237" s="84"/>
    </row>
    <row r="32238" spans="1:14" s="2" customFormat="1">
      <c r="A32238" s="83"/>
      <c r="H32238" s="83"/>
      <c r="K32238" s="82"/>
      <c r="M32238" s="112"/>
      <c r="N32238" s="84"/>
    </row>
    <row r="32239" spans="1:14" s="2" customFormat="1">
      <c r="A32239" s="83"/>
      <c r="H32239" s="83"/>
      <c r="K32239" s="82"/>
      <c r="M32239" s="112"/>
      <c r="N32239" s="84"/>
    </row>
    <row r="32240" spans="1:14" s="2" customFormat="1">
      <c r="A32240" s="83"/>
      <c r="H32240" s="83"/>
      <c r="K32240" s="82"/>
      <c r="M32240" s="112"/>
      <c r="N32240" s="84"/>
    </row>
    <row r="32241" spans="1:14" s="2" customFormat="1">
      <c r="A32241" s="83"/>
      <c r="H32241" s="83"/>
      <c r="K32241" s="82"/>
      <c r="M32241" s="112"/>
      <c r="N32241" s="84"/>
    </row>
    <row r="32242" spans="1:14" s="2" customFormat="1">
      <c r="A32242" s="83"/>
      <c r="H32242" s="83"/>
      <c r="K32242" s="82"/>
      <c r="M32242" s="112"/>
      <c r="N32242" s="84"/>
    </row>
    <row r="32243" spans="1:14" s="2" customFormat="1">
      <c r="A32243" s="83"/>
      <c r="H32243" s="83"/>
      <c r="K32243" s="82"/>
      <c r="M32243" s="112"/>
      <c r="N32243" s="84"/>
    </row>
    <row r="32244" spans="1:14" s="2" customFormat="1">
      <c r="A32244" s="83"/>
      <c r="H32244" s="83"/>
      <c r="K32244" s="82"/>
      <c r="M32244" s="112"/>
      <c r="N32244" s="84"/>
    </row>
    <row r="32245" spans="1:14" s="2" customFormat="1">
      <c r="A32245" s="83"/>
      <c r="H32245" s="83"/>
      <c r="K32245" s="82"/>
      <c r="M32245" s="112"/>
      <c r="N32245" s="84"/>
    </row>
    <row r="32246" spans="1:14" s="2" customFormat="1">
      <c r="A32246" s="83"/>
      <c r="H32246" s="83"/>
      <c r="K32246" s="82"/>
      <c r="M32246" s="112"/>
      <c r="N32246" s="84"/>
    </row>
    <row r="32247" spans="1:14" s="2" customFormat="1">
      <c r="A32247" s="83"/>
      <c r="H32247" s="83"/>
      <c r="K32247" s="82"/>
      <c r="M32247" s="112"/>
      <c r="N32247" s="84"/>
    </row>
    <row r="32248" spans="1:14" s="2" customFormat="1">
      <c r="A32248" s="83"/>
      <c r="H32248" s="83"/>
      <c r="K32248" s="82"/>
      <c r="M32248" s="112"/>
      <c r="N32248" s="84"/>
    </row>
    <row r="32249" spans="1:14" s="2" customFormat="1">
      <c r="A32249" s="83"/>
      <c r="H32249" s="83"/>
      <c r="K32249" s="82"/>
      <c r="M32249" s="112"/>
      <c r="N32249" s="84"/>
    </row>
    <row r="32250" spans="1:14" s="2" customFormat="1">
      <c r="A32250" s="83"/>
      <c r="H32250" s="83"/>
      <c r="K32250" s="82"/>
      <c r="M32250" s="112"/>
      <c r="N32250" s="84"/>
    </row>
    <row r="32251" spans="1:14" s="2" customFormat="1">
      <c r="A32251" s="83"/>
      <c r="H32251" s="83"/>
      <c r="K32251" s="82"/>
      <c r="M32251" s="112"/>
      <c r="N32251" s="84"/>
    </row>
    <row r="32252" spans="1:14" s="2" customFormat="1">
      <c r="A32252" s="83"/>
      <c r="H32252" s="83"/>
      <c r="K32252" s="82"/>
      <c r="M32252" s="112"/>
      <c r="N32252" s="84"/>
    </row>
    <row r="32253" spans="1:14" s="2" customFormat="1">
      <c r="A32253" s="83"/>
      <c r="H32253" s="83"/>
      <c r="K32253" s="82"/>
      <c r="M32253" s="112"/>
      <c r="N32253" s="84"/>
    </row>
    <row r="32254" spans="1:14" s="2" customFormat="1">
      <c r="A32254" s="83"/>
      <c r="H32254" s="83"/>
      <c r="K32254" s="82"/>
      <c r="M32254" s="112"/>
      <c r="N32254" s="84"/>
    </row>
    <row r="32255" spans="1:14" s="2" customFormat="1">
      <c r="A32255" s="83"/>
      <c r="H32255" s="83"/>
      <c r="K32255" s="82"/>
      <c r="M32255" s="112"/>
      <c r="N32255" s="84"/>
    </row>
    <row r="32256" spans="1:14" s="2" customFormat="1">
      <c r="A32256" s="83"/>
      <c r="H32256" s="83"/>
      <c r="K32256" s="82"/>
      <c r="M32256" s="112"/>
      <c r="N32256" s="84"/>
    </row>
    <row r="32257" spans="1:14" s="2" customFormat="1">
      <c r="A32257" s="83"/>
      <c r="H32257" s="83"/>
      <c r="K32257" s="82"/>
      <c r="M32257" s="112"/>
      <c r="N32257" s="84"/>
    </row>
    <row r="32258" spans="1:14" s="2" customFormat="1">
      <c r="A32258" s="83"/>
      <c r="H32258" s="83"/>
      <c r="K32258" s="82"/>
      <c r="M32258" s="112"/>
      <c r="N32258" s="84"/>
    </row>
    <row r="32259" spans="1:14" s="2" customFormat="1">
      <c r="A32259" s="83"/>
      <c r="H32259" s="83"/>
      <c r="K32259" s="82"/>
      <c r="M32259" s="112"/>
      <c r="N32259" s="84"/>
    </row>
    <row r="32260" spans="1:14" s="2" customFormat="1">
      <c r="A32260" s="83"/>
      <c r="H32260" s="83"/>
      <c r="K32260" s="82"/>
      <c r="M32260" s="112"/>
      <c r="N32260" s="84"/>
    </row>
    <row r="32261" spans="1:14" s="2" customFormat="1">
      <c r="A32261" s="83"/>
      <c r="H32261" s="83"/>
      <c r="K32261" s="82"/>
      <c r="M32261" s="112"/>
      <c r="N32261" s="84"/>
    </row>
    <row r="32262" spans="1:14" s="2" customFormat="1">
      <c r="A32262" s="83"/>
      <c r="H32262" s="83"/>
      <c r="K32262" s="82"/>
      <c r="M32262" s="112"/>
      <c r="N32262" s="84"/>
    </row>
    <row r="32263" spans="1:14" s="2" customFormat="1">
      <c r="A32263" s="83"/>
      <c r="H32263" s="83"/>
      <c r="K32263" s="82"/>
      <c r="M32263" s="112"/>
      <c r="N32263" s="84"/>
    </row>
    <row r="32264" spans="1:14" s="2" customFormat="1">
      <c r="A32264" s="83"/>
      <c r="H32264" s="83"/>
      <c r="K32264" s="82"/>
      <c r="M32264" s="112"/>
      <c r="N32264" s="84"/>
    </row>
    <row r="32265" spans="1:14" s="2" customFormat="1">
      <c r="A32265" s="83"/>
      <c r="H32265" s="83"/>
      <c r="K32265" s="82"/>
      <c r="M32265" s="112"/>
      <c r="N32265" s="84"/>
    </row>
    <row r="32266" spans="1:14" s="2" customFormat="1">
      <c r="A32266" s="83"/>
      <c r="H32266" s="83"/>
      <c r="K32266" s="82"/>
      <c r="M32266" s="112"/>
      <c r="N32266" s="84"/>
    </row>
    <row r="32267" spans="1:14" s="2" customFormat="1">
      <c r="A32267" s="83"/>
      <c r="H32267" s="83"/>
      <c r="K32267" s="82"/>
      <c r="M32267" s="112"/>
      <c r="N32267" s="84"/>
    </row>
    <row r="32268" spans="1:14" s="2" customFormat="1">
      <c r="A32268" s="83"/>
      <c r="H32268" s="83"/>
      <c r="K32268" s="82"/>
      <c r="M32268" s="112"/>
      <c r="N32268" s="84"/>
    </row>
    <row r="32269" spans="1:14" s="2" customFormat="1">
      <c r="A32269" s="83"/>
      <c r="H32269" s="83"/>
      <c r="K32269" s="82"/>
      <c r="M32269" s="112"/>
      <c r="N32269" s="84"/>
    </row>
    <row r="32270" spans="1:14" s="2" customFormat="1">
      <c r="A32270" s="83"/>
      <c r="H32270" s="83"/>
      <c r="K32270" s="82"/>
      <c r="M32270" s="112"/>
      <c r="N32270" s="84"/>
    </row>
    <row r="32271" spans="1:14" s="2" customFormat="1">
      <c r="A32271" s="83"/>
      <c r="H32271" s="83"/>
      <c r="K32271" s="82"/>
      <c r="M32271" s="112"/>
      <c r="N32271" s="84"/>
    </row>
    <row r="32272" spans="1:14" s="2" customFormat="1">
      <c r="A32272" s="83"/>
      <c r="H32272" s="83"/>
      <c r="K32272" s="82"/>
      <c r="M32272" s="112"/>
      <c r="N32272" s="84"/>
    </row>
    <row r="32273" spans="1:14" s="2" customFormat="1">
      <c r="A32273" s="83"/>
      <c r="H32273" s="83"/>
      <c r="K32273" s="82"/>
      <c r="M32273" s="112"/>
      <c r="N32273" s="84"/>
    </row>
    <row r="32274" spans="1:14" s="2" customFormat="1">
      <c r="A32274" s="83"/>
      <c r="H32274" s="83"/>
      <c r="K32274" s="82"/>
      <c r="M32274" s="112"/>
      <c r="N32274" s="84"/>
    </row>
    <row r="32275" spans="1:14" s="2" customFormat="1">
      <c r="A32275" s="83"/>
      <c r="H32275" s="83"/>
      <c r="K32275" s="82"/>
      <c r="M32275" s="112"/>
      <c r="N32275" s="84"/>
    </row>
    <row r="32276" spans="1:14" s="2" customFormat="1">
      <c r="A32276" s="83"/>
      <c r="H32276" s="83"/>
      <c r="K32276" s="82"/>
      <c r="M32276" s="112"/>
      <c r="N32276" s="84"/>
    </row>
    <row r="32277" spans="1:14" s="2" customFormat="1">
      <c r="A32277" s="83"/>
      <c r="H32277" s="83"/>
      <c r="K32277" s="82"/>
      <c r="M32277" s="112"/>
      <c r="N32277" s="84"/>
    </row>
    <row r="32278" spans="1:14" s="2" customFormat="1">
      <c r="A32278" s="83"/>
      <c r="H32278" s="83"/>
      <c r="K32278" s="82"/>
      <c r="M32278" s="112"/>
      <c r="N32278" s="84"/>
    </row>
    <row r="32279" spans="1:14" s="2" customFormat="1">
      <c r="A32279" s="83"/>
      <c r="H32279" s="83"/>
      <c r="K32279" s="82"/>
      <c r="M32279" s="112"/>
      <c r="N32279" s="84"/>
    </row>
    <row r="32280" spans="1:14" s="2" customFormat="1">
      <c r="A32280" s="83"/>
      <c r="H32280" s="83"/>
      <c r="K32280" s="82"/>
      <c r="M32280" s="112"/>
      <c r="N32280" s="84"/>
    </row>
    <row r="32281" spans="1:14" s="2" customFormat="1">
      <c r="A32281" s="83"/>
      <c r="H32281" s="83"/>
      <c r="K32281" s="82"/>
      <c r="M32281" s="112"/>
      <c r="N32281" s="84"/>
    </row>
    <row r="32282" spans="1:14" s="2" customFormat="1">
      <c r="A32282" s="83"/>
      <c r="H32282" s="83"/>
      <c r="K32282" s="82"/>
      <c r="M32282" s="112"/>
      <c r="N32282" s="84"/>
    </row>
    <row r="32283" spans="1:14" s="2" customFormat="1">
      <c r="A32283" s="83"/>
      <c r="H32283" s="83"/>
      <c r="K32283" s="82"/>
      <c r="M32283" s="112"/>
      <c r="N32283" s="84"/>
    </row>
    <row r="32284" spans="1:14" s="2" customFormat="1">
      <c r="A32284" s="83"/>
      <c r="H32284" s="83"/>
      <c r="K32284" s="82"/>
      <c r="M32284" s="112"/>
      <c r="N32284" s="84"/>
    </row>
    <row r="32285" spans="1:14" s="2" customFormat="1">
      <c r="A32285" s="83"/>
      <c r="H32285" s="83"/>
      <c r="K32285" s="82"/>
      <c r="M32285" s="112"/>
      <c r="N32285" s="84"/>
    </row>
    <row r="32286" spans="1:14" s="2" customFormat="1">
      <c r="A32286" s="83"/>
      <c r="H32286" s="83"/>
      <c r="K32286" s="82"/>
      <c r="M32286" s="112"/>
      <c r="N32286" s="84"/>
    </row>
    <row r="32287" spans="1:14" s="2" customFormat="1">
      <c r="A32287" s="83"/>
      <c r="H32287" s="83"/>
      <c r="K32287" s="82"/>
      <c r="M32287" s="112"/>
      <c r="N32287" s="84"/>
    </row>
    <row r="32288" spans="1:14" s="2" customFormat="1">
      <c r="A32288" s="83"/>
      <c r="H32288" s="83"/>
      <c r="K32288" s="82"/>
      <c r="M32288" s="112"/>
      <c r="N32288" s="84"/>
    </row>
    <row r="32289" spans="1:14" s="2" customFormat="1">
      <c r="A32289" s="83"/>
      <c r="H32289" s="83"/>
      <c r="K32289" s="82"/>
      <c r="M32289" s="112"/>
      <c r="N32289" s="84"/>
    </row>
    <row r="32290" spans="1:14" s="2" customFormat="1">
      <c r="A32290" s="83"/>
      <c r="H32290" s="83"/>
      <c r="K32290" s="82"/>
      <c r="M32290" s="112"/>
      <c r="N32290" s="84"/>
    </row>
    <row r="32291" spans="1:14" s="2" customFormat="1">
      <c r="A32291" s="83"/>
      <c r="H32291" s="83"/>
      <c r="K32291" s="82"/>
      <c r="M32291" s="112"/>
      <c r="N32291" s="84"/>
    </row>
    <row r="32292" spans="1:14" s="2" customFormat="1">
      <c r="A32292" s="83"/>
      <c r="H32292" s="83"/>
      <c r="K32292" s="82"/>
      <c r="M32292" s="112"/>
      <c r="N32292" s="84"/>
    </row>
    <row r="32293" spans="1:14" s="2" customFormat="1">
      <c r="A32293" s="83"/>
      <c r="H32293" s="83"/>
      <c r="K32293" s="82"/>
      <c r="M32293" s="112"/>
      <c r="N32293" s="84"/>
    </row>
    <row r="32294" spans="1:14" s="2" customFormat="1">
      <c r="A32294" s="83"/>
      <c r="H32294" s="83"/>
      <c r="K32294" s="82"/>
      <c r="M32294" s="112"/>
      <c r="N32294" s="84"/>
    </row>
    <row r="32295" spans="1:14" s="2" customFormat="1">
      <c r="A32295" s="83"/>
      <c r="H32295" s="83"/>
      <c r="K32295" s="82"/>
      <c r="M32295" s="112"/>
      <c r="N32295" s="84"/>
    </row>
    <row r="32296" spans="1:14" s="2" customFormat="1">
      <c r="A32296" s="83"/>
      <c r="H32296" s="83"/>
      <c r="K32296" s="82"/>
      <c r="M32296" s="112"/>
      <c r="N32296" s="84"/>
    </row>
    <row r="32297" spans="1:14" s="2" customFormat="1">
      <c r="A32297" s="83"/>
      <c r="H32297" s="83"/>
      <c r="K32297" s="82"/>
      <c r="M32297" s="112"/>
      <c r="N32297" s="84"/>
    </row>
    <row r="32298" spans="1:14" s="2" customFormat="1">
      <c r="A32298" s="83"/>
      <c r="H32298" s="83"/>
      <c r="K32298" s="82"/>
      <c r="M32298" s="112"/>
      <c r="N32298" s="84"/>
    </row>
    <row r="32299" spans="1:14" s="2" customFormat="1">
      <c r="A32299" s="83"/>
      <c r="H32299" s="83"/>
      <c r="K32299" s="82"/>
      <c r="M32299" s="112"/>
      <c r="N32299" s="84"/>
    </row>
    <row r="32300" spans="1:14" s="2" customFormat="1">
      <c r="A32300" s="83"/>
      <c r="H32300" s="83"/>
      <c r="K32300" s="82"/>
      <c r="M32300" s="112"/>
      <c r="N32300" s="84"/>
    </row>
    <row r="32301" spans="1:14" s="2" customFormat="1">
      <c r="A32301" s="83"/>
      <c r="H32301" s="83"/>
      <c r="K32301" s="82"/>
      <c r="M32301" s="112"/>
      <c r="N32301" s="84"/>
    </row>
    <row r="32302" spans="1:14" s="2" customFormat="1">
      <c r="A32302" s="83"/>
      <c r="H32302" s="83"/>
      <c r="K32302" s="82"/>
      <c r="M32302" s="112"/>
      <c r="N32302" s="84"/>
    </row>
    <row r="32303" spans="1:14" s="2" customFormat="1">
      <c r="A32303" s="83"/>
      <c r="H32303" s="83"/>
      <c r="K32303" s="82"/>
      <c r="M32303" s="112"/>
      <c r="N32303" s="84"/>
    </row>
    <row r="32304" spans="1:14" s="2" customFormat="1">
      <c r="A32304" s="83"/>
      <c r="H32304" s="83"/>
      <c r="K32304" s="82"/>
      <c r="M32304" s="112"/>
      <c r="N32304" s="84"/>
    </row>
    <row r="32305" spans="1:14" s="2" customFormat="1">
      <c r="A32305" s="83"/>
      <c r="H32305" s="83"/>
      <c r="K32305" s="82"/>
      <c r="M32305" s="112"/>
      <c r="N32305" s="84"/>
    </row>
    <row r="32306" spans="1:14" s="2" customFormat="1">
      <c r="A32306" s="83"/>
      <c r="H32306" s="83"/>
      <c r="K32306" s="82"/>
      <c r="M32306" s="112"/>
      <c r="N32306" s="84"/>
    </row>
    <row r="32307" spans="1:14" s="2" customFormat="1">
      <c r="A32307" s="83"/>
      <c r="H32307" s="83"/>
      <c r="K32307" s="82"/>
      <c r="M32307" s="112"/>
      <c r="N32307" s="84"/>
    </row>
    <row r="32308" spans="1:14" s="2" customFormat="1">
      <c r="A32308" s="83"/>
      <c r="H32308" s="83"/>
      <c r="K32308" s="82"/>
      <c r="M32308" s="112"/>
      <c r="N32308" s="84"/>
    </row>
    <row r="32309" spans="1:14" s="2" customFormat="1">
      <c r="A32309" s="83"/>
      <c r="H32309" s="83"/>
      <c r="K32309" s="82"/>
      <c r="M32309" s="112"/>
      <c r="N32309" s="84"/>
    </row>
    <row r="32310" spans="1:14" s="2" customFormat="1">
      <c r="A32310" s="83"/>
      <c r="H32310" s="83"/>
      <c r="K32310" s="82"/>
      <c r="M32310" s="112"/>
      <c r="N32310" s="84"/>
    </row>
    <row r="32311" spans="1:14" s="2" customFormat="1">
      <c r="A32311" s="83"/>
      <c r="H32311" s="83"/>
      <c r="K32311" s="82"/>
      <c r="M32311" s="112"/>
      <c r="N32311" s="84"/>
    </row>
    <row r="32312" spans="1:14" s="2" customFormat="1">
      <c r="A32312" s="83"/>
      <c r="H32312" s="83"/>
      <c r="K32312" s="82"/>
      <c r="M32312" s="112"/>
      <c r="N32312" s="84"/>
    </row>
    <row r="32313" spans="1:14" s="2" customFormat="1">
      <c r="A32313" s="83"/>
      <c r="H32313" s="83"/>
      <c r="K32313" s="82"/>
      <c r="M32313" s="112"/>
      <c r="N32313" s="84"/>
    </row>
    <row r="32314" spans="1:14" s="2" customFormat="1">
      <c r="A32314" s="83"/>
      <c r="H32314" s="83"/>
      <c r="K32314" s="82"/>
      <c r="M32314" s="112"/>
      <c r="N32314" s="84"/>
    </row>
    <row r="32315" spans="1:14" s="2" customFormat="1">
      <c r="A32315" s="83"/>
      <c r="H32315" s="83"/>
      <c r="K32315" s="82"/>
      <c r="M32315" s="112"/>
      <c r="N32315" s="84"/>
    </row>
    <row r="32316" spans="1:14" s="2" customFormat="1">
      <c r="A32316" s="83"/>
      <c r="H32316" s="83"/>
      <c r="K32316" s="82"/>
      <c r="M32316" s="112"/>
      <c r="N32316" s="84"/>
    </row>
    <row r="32317" spans="1:14" s="2" customFormat="1">
      <c r="A32317" s="83"/>
      <c r="H32317" s="83"/>
      <c r="K32317" s="82"/>
      <c r="M32317" s="112"/>
      <c r="N32317" s="84"/>
    </row>
    <row r="32318" spans="1:14" s="2" customFormat="1">
      <c r="A32318" s="83"/>
      <c r="H32318" s="83"/>
      <c r="K32318" s="82"/>
      <c r="M32318" s="112"/>
      <c r="N32318" s="84"/>
    </row>
    <row r="32319" spans="1:14" s="2" customFormat="1">
      <c r="A32319" s="83"/>
      <c r="H32319" s="83"/>
      <c r="K32319" s="82"/>
      <c r="M32319" s="112"/>
      <c r="N32319" s="84"/>
    </row>
    <row r="32320" spans="1:14" s="2" customFormat="1">
      <c r="A32320" s="83"/>
      <c r="H32320" s="83"/>
      <c r="K32320" s="82"/>
      <c r="M32320" s="112"/>
      <c r="N32320" s="84"/>
    </row>
    <row r="32321" spans="1:14" s="2" customFormat="1">
      <c r="A32321" s="83"/>
      <c r="H32321" s="83"/>
      <c r="K32321" s="82"/>
      <c r="M32321" s="112"/>
      <c r="N32321" s="84"/>
    </row>
    <row r="32322" spans="1:14" s="2" customFormat="1">
      <c r="A32322" s="83"/>
      <c r="H32322" s="83"/>
      <c r="K32322" s="82"/>
      <c r="M32322" s="112"/>
      <c r="N32322" s="84"/>
    </row>
    <row r="32323" spans="1:14" s="2" customFormat="1">
      <c r="A32323" s="83"/>
      <c r="H32323" s="83"/>
      <c r="K32323" s="82"/>
      <c r="M32323" s="112"/>
      <c r="N32323" s="84"/>
    </row>
    <row r="32324" spans="1:14" s="2" customFormat="1">
      <c r="A32324" s="83"/>
      <c r="H32324" s="83"/>
      <c r="K32324" s="82"/>
      <c r="M32324" s="112"/>
      <c r="N32324" s="84"/>
    </row>
    <row r="32325" spans="1:14" s="2" customFormat="1">
      <c r="A32325" s="83"/>
      <c r="H32325" s="83"/>
      <c r="K32325" s="82"/>
      <c r="M32325" s="112"/>
      <c r="N32325" s="84"/>
    </row>
    <row r="32326" spans="1:14" s="2" customFormat="1">
      <c r="A32326" s="83"/>
      <c r="H32326" s="83"/>
      <c r="K32326" s="82"/>
      <c r="M32326" s="112"/>
      <c r="N32326" s="84"/>
    </row>
    <row r="32327" spans="1:14" s="2" customFormat="1">
      <c r="A32327" s="83"/>
      <c r="H32327" s="83"/>
      <c r="K32327" s="82"/>
      <c r="M32327" s="112"/>
      <c r="N32327" s="84"/>
    </row>
    <row r="32328" spans="1:14" s="2" customFormat="1">
      <c r="A32328" s="83"/>
      <c r="H32328" s="83"/>
      <c r="K32328" s="82"/>
      <c r="M32328" s="112"/>
      <c r="N32328" s="84"/>
    </row>
    <row r="32329" spans="1:14" s="2" customFormat="1">
      <c r="A32329" s="83"/>
      <c r="H32329" s="83"/>
      <c r="K32329" s="82"/>
      <c r="M32329" s="112"/>
      <c r="N32329" s="84"/>
    </row>
    <row r="32330" spans="1:14" s="2" customFormat="1">
      <c r="A32330" s="83"/>
      <c r="H32330" s="83"/>
      <c r="K32330" s="82"/>
      <c r="M32330" s="112"/>
      <c r="N32330" s="84"/>
    </row>
    <row r="32331" spans="1:14" s="2" customFormat="1">
      <c r="A32331" s="83"/>
      <c r="H32331" s="83"/>
      <c r="K32331" s="82"/>
      <c r="M32331" s="112"/>
      <c r="N32331" s="84"/>
    </row>
    <row r="32332" spans="1:14" s="2" customFormat="1">
      <c r="A32332" s="83"/>
      <c r="H32332" s="83"/>
      <c r="K32332" s="82"/>
      <c r="M32332" s="112"/>
      <c r="N32332" s="84"/>
    </row>
    <row r="32333" spans="1:14" s="2" customFormat="1">
      <c r="A32333" s="83"/>
      <c r="H32333" s="83"/>
      <c r="K32333" s="82"/>
      <c r="M32333" s="112"/>
      <c r="N32333" s="84"/>
    </row>
    <row r="32334" spans="1:14" s="2" customFormat="1">
      <c r="A32334" s="83"/>
      <c r="H32334" s="83"/>
      <c r="K32334" s="82"/>
      <c r="M32334" s="112"/>
      <c r="N32334" s="84"/>
    </row>
    <row r="32335" spans="1:14" s="2" customFormat="1">
      <c r="A32335" s="83"/>
      <c r="H32335" s="83"/>
      <c r="K32335" s="82"/>
      <c r="M32335" s="112"/>
      <c r="N32335" s="84"/>
    </row>
    <row r="32336" spans="1:14" s="2" customFormat="1">
      <c r="A32336" s="83"/>
      <c r="H32336" s="83"/>
      <c r="K32336" s="82"/>
      <c r="M32336" s="112"/>
      <c r="N32336" s="84"/>
    </row>
    <row r="32337" spans="1:14" s="2" customFormat="1">
      <c r="A32337" s="83"/>
      <c r="H32337" s="83"/>
      <c r="K32337" s="82"/>
      <c r="M32337" s="112"/>
      <c r="N32337" s="84"/>
    </row>
    <row r="32338" spans="1:14" s="2" customFormat="1">
      <c r="A32338" s="83"/>
      <c r="H32338" s="83"/>
      <c r="K32338" s="82"/>
      <c r="M32338" s="112"/>
      <c r="N32338" s="84"/>
    </row>
    <row r="32339" spans="1:14" s="2" customFormat="1">
      <c r="A32339" s="83"/>
      <c r="H32339" s="83"/>
      <c r="K32339" s="82"/>
      <c r="M32339" s="112"/>
      <c r="N32339" s="84"/>
    </row>
    <row r="32340" spans="1:14" s="2" customFormat="1">
      <c r="A32340" s="83"/>
      <c r="H32340" s="83"/>
      <c r="K32340" s="82"/>
      <c r="M32340" s="112"/>
      <c r="N32340" s="84"/>
    </row>
    <row r="32341" spans="1:14" s="2" customFormat="1">
      <c r="A32341" s="83"/>
      <c r="H32341" s="83"/>
      <c r="K32341" s="82"/>
      <c r="M32341" s="112"/>
      <c r="N32341" s="84"/>
    </row>
    <row r="32342" spans="1:14" s="2" customFormat="1">
      <c r="A32342" s="83"/>
      <c r="H32342" s="83"/>
      <c r="K32342" s="82"/>
      <c r="M32342" s="112"/>
      <c r="N32342" s="84"/>
    </row>
    <row r="32343" spans="1:14" s="2" customFormat="1">
      <c r="A32343" s="83"/>
      <c r="H32343" s="83"/>
      <c r="K32343" s="82"/>
      <c r="M32343" s="112"/>
      <c r="N32343" s="84"/>
    </row>
    <row r="32344" spans="1:14" s="2" customFormat="1">
      <c r="A32344" s="83"/>
      <c r="H32344" s="83"/>
      <c r="K32344" s="82"/>
      <c r="M32344" s="112"/>
      <c r="N32344" s="84"/>
    </row>
    <row r="32345" spans="1:14" s="2" customFormat="1">
      <c r="A32345" s="83"/>
      <c r="H32345" s="83"/>
      <c r="K32345" s="82"/>
      <c r="M32345" s="112"/>
      <c r="N32345" s="84"/>
    </row>
    <row r="32346" spans="1:14" s="2" customFormat="1">
      <c r="A32346" s="83"/>
      <c r="H32346" s="83"/>
      <c r="K32346" s="82"/>
      <c r="M32346" s="112"/>
      <c r="N32346" s="84"/>
    </row>
    <row r="32347" spans="1:14" s="2" customFormat="1">
      <c r="A32347" s="83"/>
      <c r="H32347" s="83"/>
      <c r="K32347" s="82"/>
      <c r="M32347" s="112"/>
      <c r="N32347" s="84"/>
    </row>
    <row r="32348" spans="1:14" s="2" customFormat="1">
      <c r="A32348" s="83"/>
      <c r="H32348" s="83"/>
      <c r="K32348" s="82"/>
      <c r="M32348" s="112"/>
      <c r="N32348" s="84"/>
    </row>
    <row r="32349" spans="1:14" s="2" customFormat="1">
      <c r="A32349" s="83"/>
      <c r="H32349" s="83"/>
      <c r="K32349" s="82"/>
      <c r="M32349" s="112"/>
      <c r="N32349" s="84"/>
    </row>
    <row r="32350" spans="1:14" s="2" customFormat="1">
      <c r="A32350" s="83"/>
      <c r="H32350" s="83"/>
      <c r="K32350" s="82"/>
      <c r="M32350" s="112"/>
      <c r="N32350" s="84"/>
    </row>
    <row r="32351" spans="1:14" s="2" customFormat="1">
      <c r="A32351" s="83"/>
      <c r="H32351" s="83"/>
      <c r="K32351" s="82"/>
      <c r="M32351" s="112"/>
      <c r="N32351" s="84"/>
    </row>
    <row r="32352" spans="1:14" s="2" customFormat="1">
      <c r="A32352" s="83"/>
      <c r="H32352" s="83"/>
      <c r="K32352" s="82"/>
      <c r="M32352" s="112"/>
      <c r="N32352" s="84"/>
    </row>
    <row r="32353" spans="1:14" s="2" customFormat="1">
      <c r="A32353" s="83"/>
      <c r="H32353" s="83"/>
      <c r="K32353" s="82"/>
      <c r="M32353" s="112"/>
      <c r="N32353" s="84"/>
    </row>
    <row r="32354" spans="1:14" s="2" customFormat="1">
      <c r="A32354" s="83"/>
      <c r="H32354" s="83"/>
      <c r="K32354" s="82"/>
      <c r="M32354" s="112"/>
      <c r="N32354" s="84"/>
    </row>
    <row r="32355" spans="1:14" s="2" customFormat="1">
      <c r="A32355" s="83"/>
      <c r="H32355" s="83"/>
      <c r="K32355" s="82"/>
      <c r="M32355" s="112"/>
      <c r="N32355" s="84"/>
    </row>
    <row r="32356" spans="1:14" s="2" customFormat="1">
      <c r="A32356" s="83"/>
      <c r="H32356" s="83"/>
      <c r="K32356" s="82"/>
      <c r="M32356" s="112"/>
      <c r="N32356" s="84"/>
    </row>
    <row r="32357" spans="1:14" s="2" customFormat="1">
      <c r="A32357" s="83"/>
      <c r="H32357" s="83"/>
      <c r="K32357" s="82"/>
      <c r="M32357" s="112"/>
      <c r="N32357" s="84"/>
    </row>
    <row r="32358" spans="1:14" s="2" customFormat="1">
      <c r="A32358" s="83"/>
      <c r="H32358" s="83"/>
      <c r="K32358" s="82"/>
      <c r="M32358" s="112"/>
      <c r="N32358" s="84"/>
    </row>
    <row r="32359" spans="1:14" s="2" customFormat="1">
      <c r="A32359" s="83"/>
      <c r="H32359" s="83"/>
      <c r="K32359" s="82"/>
      <c r="M32359" s="112"/>
      <c r="N32359" s="84"/>
    </row>
    <row r="32360" spans="1:14" s="2" customFormat="1">
      <c r="A32360" s="83"/>
      <c r="H32360" s="83"/>
      <c r="K32360" s="82"/>
      <c r="M32360" s="112"/>
      <c r="N32360" s="84"/>
    </row>
    <row r="32361" spans="1:14" s="2" customFormat="1">
      <c r="A32361" s="83"/>
      <c r="H32361" s="83"/>
      <c r="K32361" s="82"/>
      <c r="M32361" s="112"/>
      <c r="N32361" s="84"/>
    </row>
    <row r="32362" spans="1:14" s="2" customFormat="1">
      <c r="A32362" s="83"/>
      <c r="H32362" s="83"/>
      <c r="K32362" s="82"/>
      <c r="M32362" s="112"/>
      <c r="N32362" s="84"/>
    </row>
    <row r="32363" spans="1:14" s="2" customFormat="1">
      <c r="A32363" s="83"/>
      <c r="H32363" s="83"/>
      <c r="K32363" s="82"/>
      <c r="M32363" s="112"/>
      <c r="N32363" s="84"/>
    </row>
    <row r="32364" spans="1:14" s="2" customFormat="1">
      <c r="A32364" s="83"/>
      <c r="H32364" s="83"/>
      <c r="K32364" s="82"/>
      <c r="M32364" s="112"/>
      <c r="N32364" s="84"/>
    </row>
    <row r="32365" spans="1:14" s="2" customFormat="1">
      <c r="A32365" s="83"/>
      <c r="H32365" s="83"/>
      <c r="K32365" s="82"/>
      <c r="M32365" s="112"/>
      <c r="N32365" s="84"/>
    </row>
    <row r="32366" spans="1:14" s="2" customFormat="1">
      <c r="A32366" s="83"/>
      <c r="H32366" s="83"/>
      <c r="K32366" s="82"/>
      <c r="M32366" s="112"/>
      <c r="N32366" s="84"/>
    </row>
    <row r="32367" spans="1:14" s="2" customFormat="1">
      <c r="A32367" s="83"/>
      <c r="H32367" s="83"/>
      <c r="K32367" s="82"/>
      <c r="M32367" s="112"/>
      <c r="N32367" s="84"/>
    </row>
    <row r="32368" spans="1:14" s="2" customFormat="1">
      <c r="A32368" s="83"/>
      <c r="H32368" s="83"/>
      <c r="K32368" s="82"/>
      <c r="M32368" s="112"/>
      <c r="N32368" s="84"/>
    </row>
    <row r="32369" spans="1:14" s="2" customFormat="1">
      <c r="A32369" s="83"/>
      <c r="H32369" s="83"/>
      <c r="K32369" s="82"/>
      <c r="M32369" s="112"/>
      <c r="N32369" s="84"/>
    </row>
    <row r="32370" spans="1:14" s="2" customFormat="1">
      <c r="A32370" s="83"/>
      <c r="H32370" s="83"/>
      <c r="K32370" s="82"/>
      <c r="M32370" s="112"/>
      <c r="N32370" s="84"/>
    </row>
    <row r="32371" spans="1:14" s="2" customFormat="1">
      <c r="A32371" s="83"/>
      <c r="H32371" s="83"/>
      <c r="K32371" s="82"/>
      <c r="M32371" s="112"/>
      <c r="N32371" s="84"/>
    </row>
    <row r="32372" spans="1:14" s="2" customFormat="1">
      <c r="A32372" s="83"/>
      <c r="H32372" s="83"/>
      <c r="K32372" s="82"/>
      <c r="M32372" s="112"/>
      <c r="N32372" s="84"/>
    </row>
    <row r="32373" spans="1:14" s="2" customFormat="1">
      <c r="A32373" s="83"/>
      <c r="H32373" s="83"/>
      <c r="K32373" s="82"/>
      <c r="M32373" s="112"/>
      <c r="N32373" s="84"/>
    </row>
    <row r="32374" spans="1:14" s="2" customFormat="1">
      <c r="A32374" s="83"/>
      <c r="H32374" s="83"/>
      <c r="K32374" s="82"/>
      <c r="M32374" s="112"/>
      <c r="N32374" s="84"/>
    </row>
    <row r="32375" spans="1:14" s="2" customFormat="1">
      <c r="A32375" s="83"/>
      <c r="H32375" s="83"/>
      <c r="K32375" s="82"/>
      <c r="M32375" s="112"/>
      <c r="N32375" s="84"/>
    </row>
    <row r="32376" spans="1:14" s="2" customFormat="1">
      <c r="A32376" s="83"/>
      <c r="H32376" s="83"/>
      <c r="K32376" s="82"/>
      <c r="M32376" s="112"/>
      <c r="N32376" s="84"/>
    </row>
    <row r="32377" spans="1:14" s="2" customFormat="1">
      <c r="A32377" s="83"/>
      <c r="H32377" s="83"/>
      <c r="K32377" s="82"/>
      <c r="M32377" s="112"/>
      <c r="N32377" s="84"/>
    </row>
    <row r="32378" spans="1:14" s="2" customFormat="1">
      <c r="A32378" s="83"/>
      <c r="H32378" s="83"/>
      <c r="K32378" s="82"/>
      <c r="M32378" s="112"/>
      <c r="N32378" s="84"/>
    </row>
    <row r="32379" spans="1:14" s="2" customFormat="1">
      <c r="A32379" s="83"/>
      <c r="H32379" s="83"/>
      <c r="K32379" s="82"/>
      <c r="M32379" s="112"/>
      <c r="N32379" s="84"/>
    </row>
    <row r="32380" spans="1:14" s="2" customFormat="1">
      <c r="A32380" s="83"/>
      <c r="H32380" s="83"/>
      <c r="K32380" s="82"/>
      <c r="M32380" s="112"/>
      <c r="N32380" s="84"/>
    </row>
    <row r="32381" spans="1:14" s="2" customFormat="1">
      <c r="A32381" s="83"/>
      <c r="H32381" s="83"/>
      <c r="K32381" s="82"/>
      <c r="M32381" s="112"/>
      <c r="N32381" s="84"/>
    </row>
    <row r="32382" spans="1:14" s="2" customFormat="1">
      <c r="A32382" s="83"/>
      <c r="H32382" s="83"/>
      <c r="K32382" s="82"/>
      <c r="M32382" s="112"/>
      <c r="N32382" s="84"/>
    </row>
    <row r="32383" spans="1:14" s="2" customFormat="1">
      <c r="A32383" s="83"/>
      <c r="H32383" s="83"/>
      <c r="K32383" s="82"/>
      <c r="M32383" s="112"/>
      <c r="N32383" s="84"/>
    </row>
    <row r="32384" spans="1:14" s="2" customFormat="1">
      <c r="A32384" s="83"/>
      <c r="H32384" s="83"/>
      <c r="K32384" s="82"/>
      <c r="M32384" s="112"/>
      <c r="N32384" s="84"/>
    </row>
    <row r="32385" spans="1:14" s="2" customFormat="1">
      <c r="A32385" s="83"/>
      <c r="H32385" s="83"/>
      <c r="K32385" s="82"/>
      <c r="M32385" s="112"/>
      <c r="N32385" s="84"/>
    </row>
    <row r="32386" spans="1:14" s="2" customFormat="1">
      <c r="A32386" s="83"/>
      <c r="H32386" s="83"/>
      <c r="K32386" s="82"/>
      <c r="M32386" s="112"/>
      <c r="N32386" s="84"/>
    </row>
    <row r="32387" spans="1:14" s="2" customFormat="1">
      <c r="A32387" s="83"/>
      <c r="H32387" s="83"/>
      <c r="K32387" s="82"/>
      <c r="M32387" s="112"/>
      <c r="N32387" s="84"/>
    </row>
    <row r="32388" spans="1:14" s="2" customFormat="1">
      <c r="A32388" s="83"/>
      <c r="H32388" s="83"/>
      <c r="K32388" s="82"/>
      <c r="M32388" s="112"/>
      <c r="N32388" s="84"/>
    </row>
    <row r="32389" spans="1:14" s="2" customFormat="1">
      <c r="A32389" s="83"/>
      <c r="H32389" s="83"/>
      <c r="K32389" s="82"/>
      <c r="M32389" s="112"/>
      <c r="N32389" s="84"/>
    </row>
    <row r="32390" spans="1:14" s="2" customFormat="1">
      <c r="A32390" s="83"/>
      <c r="H32390" s="83"/>
      <c r="K32390" s="82"/>
      <c r="M32390" s="112"/>
      <c r="N32390" s="84"/>
    </row>
    <row r="32391" spans="1:14" s="2" customFormat="1">
      <c r="A32391" s="83"/>
      <c r="H32391" s="83"/>
      <c r="K32391" s="82"/>
      <c r="M32391" s="112"/>
      <c r="N32391" s="84"/>
    </row>
    <row r="32392" spans="1:14" s="2" customFormat="1">
      <c r="A32392" s="83"/>
      <c r="H32392" s="83"/>
      <c r="K32392" s="82"/>
      <c r="M32392" s="112"/>
      <c r="N32392" s="84"/>
    </row>
    <row r="32393" spans="1:14" s="2" customFormat="1">
      <c r="A32393" s="83"/>
      <c r="H32393" s="83"/>
      <c r="K32393" s="82"/>
      <c r="M32393" s="112"/>
      <c r="N32393" s="84"/>
    </row>
    <row r="32394" spans="1:14" s="2" customFormat="1">
      <c r="A32394" s="83"/>
      <c r="H32394" s="83"/>
      <c r="K32394" s="82"/>
      <c r="M32394" s="112"/>
      <c r="N32394" s="84"/>
    </row>
    <row r="32395" spans="1:14" s="2" customFormat="1">
      <c r="A32395" s="83"/>
      <c r="H32395" s="83"/>
      <c r="K32395" s="82"/>
      <c r="M32395" s="112"/>
      <c r="N32395" s="84"/>
    </row>
    <row r="32396" spans="1:14" s="2" customFormat="1">
      <c r="A32396" s="83"/>
      <c r="H32396" s="83"/>
      <c r="K32396" s="82"/>
      <c r="M32396" s="112"/>
      <c r="N32396" s="84"/>
    </row>
    <row r="32397" spans="1:14" s="2" customFormat="1">
      <c r="A32397" s="83"/>
      <c r="H32397" s="83"/>
      <c r="K32397" s="82"/>
      <c r="M32397" s="112"/>
      <c r="N32397" s="84"/>
    </row>
    <row r="32398" spans="1:14" s="2" customFormat="1">
      <c r="A32398" s="83"/>
      <c r="H32398" s="83"/>
      <c r="K32398" s="82"/>
      <c r="M32398" s="112"/>
      <c r="N32398" s="84"/>
    </row>
    <row r="32399" spans="1:14" s="2" customFormat="1">
      <c r="A32399" s="83"/>
      <c r="H32399" s="83"/>
      <c r="K32399" s="82"/>
      <c r="M32399" s="112"/>
      <c r="N32399" s="84"/>
    </row>
    <row r="32400" spans="1:14" s="2" customFormat="1">
      <c r="A32400" s="83"/>
      <c r="H32400" s="83"/>
      <c r="K32400" s="82"/>
      <c r="M32400" s="112"/>
      <c r="N32400" s="84"/>
    </row>
    <row r="32401" spans="1:14" s="2" customFormat="1">
      <c r="A32401" s="83"/>
      <c r="H32401" s="83"/>
      <c r="K32401" s="82"/>
      <c r="M32401" s="112"/>
      <c r="N32401" s="84"/>
    </row>
    <row r="32402" spans="1:14" s="2" customFormat="1">
      <c r="A32402" s="83"/>
      <c r="H32402" s="83"/>
      <c r="K32402" s="82"/>
      <c r="M32402" s="112"/>
      <c r="N32402" s="84"/>
    </row>
    <row r="32403" spans="1:14" s="2" customFormat="1">
      <c r="A32403" s="83"/>
      <c r="H32403" s="83"/>
      <c r="K32403" s="82"/>
      <c r="M32403" s="112"/>
      <c r="N32403" s="84"/>
    </row>
    <row r="32404" spans="1:14" s="2" customFormat="1">
      <c r="A32404" s="83"/>
      <c r="H32404" s="83"/>
      <c r="K32404" s="82"/>
      <c r="M32404" s="112"/>
      <c r="N32404" s="84"/>
    </row>
    <row r="32405" spans="1:14" s="2" customFormat="1">
      <c r="A32405" s="83"/>
      <c r="H32405" s="83"/>
      <c r="K32405" s="82"/>
      <c r="M32405" s="112"/>
      <c r="N32405" s="84"/>
    </row>
    <row r="32406" spans="1:14" s="2" customFormat="1">
      <c r="A32406" s="83"/>
      <c r="H32406" s="83"/>
      <c r="K32406" s="82"/>
      <c r="M32406" s="112"/>
      <c r="N32406" s="84"/>
    </row>
    <row r="32407" spans="1:14" s="2" customFormat="1">
      <c r="A32407" s="83"/>
      <c r="H32407" s="83"/>
      <c r="K32407" s="82"/>
      <c r="M32407" s="112"/>
      <c r="N32407" s="84"/>
    </row>
    <row r="32408" spans="1:14" s="2" customFormat="1">
      <c r="A32408" s="83"/>
      <c r="H32408" s="83"/>
      <c r="K32408" s="82"/>
      <c r="M32408" s="112"/>
      <c r="N32408" s="84"/>
    </row>
    <row r="32409" spans="1:14" s="2" customFormat="1">
      <c r="A32409" s="83"/>
      <c r="H32409" s="83"/>
      <c r="K32409" s="82"/>
      <c r="M32409" s="112"/>
      <c r="N32409" s="84"/>
    </row>
    <row r="32410" spans="1:14" s="2" customFormat="1">
      <c r="A32410" s="83"/>
      <c r="H32410" s="83"/>
      <c r="K32410" s="82"/>
      <c r="M32410" s="112"/>
      <c r="N32410" s="84"/>
    </row>
    <row r="32411" spans="1:14" s="2" customFormat="1">
      <c r="A32411" s="83"/>
      <c r="H32411" s="83"/>
      <c r="K32411" s="82"/>
      <c r="M32411" s="112"/>
      <c r="N32411" s="84"/>
    </row>
    <row r="32412" spans="1:14" s="2" customFormat="1">
      <c r="A32412" s="83"/>
      <c r="H32412" s="83"/>
      <c r="K32412" s="82"/>
      <c r="M32412" s="112"/>
      <c r="N32412" s="84"/>
    </row>
    <row r="32413" spans="1:14" s="2" customFormat="1">
      <c r="A32413" s="83"/>
      <c r="H32413" s="83"/>
      <c r="K32413" s="82"/>
      <c r="M32413" s="112"/>
      <c r="N32413" s="84"/>
    </row>
    <row r="32414" spans="1:14" s="2" customFormat="1">
      <c r="A32414" s="83"/>
      <c r="H32414" s="83"/>
      <c r="K32414" s="82"/>
      <c r="M32414" s="112"/>
      <c r="N32414" s="84"/>
    </row>
    <row r="32415" spans="1:14" s="2" customFormat="1">
      <c r="A32415" s="83"/>
      <c r="H32415" s="83"/>
      <c r="K32415" s="82"/>
      <c r="M32415" s="112"/>
      <c r="N32415" s="84"/>
    </row>
    <row r="32416" spans="1:14" s="2" customFormat="1">
      <c r="A32416" s="83"/>
      <c r="H32416" s="83"/>
      <c r="K32416" s="82"/>
      <c r="M32416" s="112"/>
      <c r="N32416" s="84"/>
    </row>
    <row r="32417" spans="1:14" s="2" customFormat="1">
      <c r="A32417" s="83"/>
      <c r="H32417" s="83"/>
      <c r="K32417" s="82"/>
      <c r="M32417" s="112"/>
      <c r="N32417" s="84"/>
    </row>
    <row r="32418" spans="1:14" s="2" customFormat="1">
      <c r="A32418" s="83"/>
      <c r="H32418" s="83"/>
      <c r="K32418" s="82"/>
      <c r="M32418" s="112"/>
      <c r="N32418" s="84"/>
    </row>
    <row r="32419" spans="1:14" s="2" customFormat="1">
      <c r="A32419" s="83"/>
      <c r="H32419" s="83"/>
      <c r="K32419" s="82"/>
      <c r="M32419" s="112"/>
      <c r="N32419" s="84"/>
    </row>
    <row r="32420" spans="1:14" s="2" customFormat="1">
      <c r="A32420" s="83"/>
      <c r="H32420" s="83"/>
      <c r="K32420" s="82"/>
      <c r="M32420" s="112"/>
      <c r="N32420" s="84"/>
    </row>
    <row r="32421" spans="1:14" s="2" customFormat="1">
      <c r="A32421" s="83"/>
      <c r="H32421" s="83"/>
      <c r="K32421" s="82"/>
      <c r="M32421" s="112"/>
      <c r="N32421" s="84"/>
    </row>
    <row r="32422" spans="1:14" s="2" customFormat="1">
      <c r="A32422" s="83"/>
      <c r="H32422" s="83"/>
      <c r="K32422" s="82"/>
      <c r="M32422" s="112"/>
      <c r="N32422" s="84"/>
    </row>
    <row r="32423" spans="1:14" s="2" customFormat="1">
      <c r="A32423" s="83"/>
      <c r="H32423" s="83"/>
      <c r="K32423" s="82"/>
      <c r="M32423" s="112"/>
      <c r="N32423" s="84"/>
    </row>
    <row r="32424" spans="1:14" s="2" customFormat="1">
      <c r="A32424" s="83"/>
      <c r="H32424" s="83"/>
      <c r="K32424" s="82"/>
      <c r="M32424" s="112"/>
      <c r="N32424" s="84"/>
    </row>
    <row r="32425" spans="1:14" s="2" customFormat="1">
      <c r="A32425" s="83"/>
      <c r="H32425" s="83"/>
      <c r="K32425" s="82"/>
      <c r="M32425" s="112"/>
      <c r="N32425" s="84"/>
    </row>
    <row r="32426" spans="1:14" s="2" customFormat="1">
      <c r="A32426" s="83"/>
      <c r="H32426" s="83"/>
      <c r="K32426" s="82"/>
      <c r="M32426" s="112"/>
      <c r="N32426" s="84"/>
    </row>
    <row r="32427" spans="1:14" s="2" customFormat="1">
      <c r="A32427" s="83"/>
      <c r="H32427" s="83"/>
      <c r="K32427" s="82"/>
      <c r="M32427" s="112"/>
      <c r="N32427" s="84"/>
    </row>
    <row r="32428" spans="1:14" s="2" customFormat="1">
      <c r="A32428" s="83"/>
      <c r="H32428" s="83"/>
      <c r="K32428" s="82"/>
      <c r="M32428" s="112"/>
      <c r="N32428" s="84"/>
    </row>
    <row r="32429" spans="1:14" s="2" customFormat="1">
      <c r="A32429" s="83"/>
      <c r="H32429" s="83"/>
      <c r="K32429" s="82"/>
      <c r="M32429" s="112"/>
      <c r="N32429" s="84"/>
    </row>
    <row r="32430" spans="1:14" s="2" customFormat="1">
      <c r="A32430" s="83"/>
      <c r="H32430" s="83"/>
      <c r="K32430" s="82"/>
      <c r="M32430" s="112"/>
      <c r="N32430" s="84"/>
    </row>
    <row r="32431" spans="1:14" s="2" customFormat="1">
      <c r="A32431" s="83"/>
      <c r="H32431" s="83"/>
      <c r="K32431" s="82"/>
      <c r="M32431" s="112"/>
      <c r="N32431" s="84"/>
    </row>
    <row r="32432" spans="1:14" s="2" customFormat="1">
      <c r="A32432" s="83"/>
      <c r="H32432" s="83"/>
      <c r="K32432" s="82"/>
      <c r="M32432" s="112"/>
      <c r="N32432" s="84"/>
    </row>
    <row r="32433" spans="1:14" s="2" customFormat="1">
      <c r="A32433" s="83"/>
      <c r="H32433" s="83"/>
      <c r="K32433" s="82"/>
      <c r="M32433" s="112"/>
      <c r="N32433" s="84"/>
    </row>
    <row r="32434" spans="1:14" s="2" customFormat="1">
      <c r="A32434" s="83"/>
      <c r="H32434" s="83"/>
      <c r="K32434" s="82"/>
      <c r="M32434" s="112"/>
      <c r="N32434" s="84"/>
    </row>
    <row r="32435" spans="1:14" s="2" customFormat="1">
      <c r="A32435" s="83"/>
      <c r="H32435" s="83"/>
      <c r="K32435" s="82"/>
      <c r="M32435" s="112"/>
      <c r="N32435" s="84"/>
    </row>
    <row r="32436" spans="1:14" s="2" customFormat="1">
      <c r="A32436" s="83"/>
      <c r="H32436" s="83"/>
      <c r="K32436" s="82"/>
      <c r="M32436" s="112"/>
      <c r="N32436" s="84"/>
    </row>
    <row r="32437" spans="1:14" s="2" customFormat="1">
      <c r="A32437" s="83"/>
      <c r="H32437" s="83"/>
      <c r="K32437" s="82"/>
      <c r="M32437" s="112"/>
      <c r="N32437" s="84"/>
    </row>
    <row r="32438" spans="1:14" s="2" customFormat="1">
      <c r="A32438" s="83"/>
      <c r="H32438" s="83"/>
      <c r="K32438" s="82"/>
      <c r="M32438" s="112"/>
      <c r="N32438" s="84"/>
    </row>
    <row r="32439" spans="1:14" s="2" customFormat="1">
      <c r="A32439" s="83"/>
      <c r="H32439" s="83"/>
      <c r="K32439" s="82"/>
      <c r="M32439" s="112"/>
      <c r="N32439" s="84"/>
    </row>
    <row r="32440" spans="1:14" s="2" customFormat="1">
      <c r="A32440" s="83"/>
      <c r="H32440" s="83"/>
      <c r="K32440" s="82"/>
      <c r="M32440" s="112"/>
      <c r="N32440" s="84"/>
    </row>
    <row r="32441" spans="1:14" s="2" customFormat="1">
      <c r="A32441" s="83"/>
      <c r="H32441" s="83"/>
      <c r="K32441" s="82"/>
      <c r="M32441" s="112"/>
      <c r="N32441" s="84"/>
    </row>
    <row r="32442" spans="1:14" s="2" customFormat="1">
      <c r="A32442" s="83"/>
      <c r="H32442" s="83"/>
      <c r="K32442" s="82"/>
      <c r="M32442" s="112"/>
      <c r="N32442" s="84"/>
    </row>
    <row r="32443" spans="1:14" s="2" customFormat="1">
      <c r="A32443" s="83"/>
      <c r="H32443" s="83"/>
      <c r="K32443" s="82"/>
      <c r="M32443" s="112"/>
      <c r="N32443" s="84"/>
    </row>
    <row r="32444" spans="1:14" s="2" customFormat="1">
      <c r="A32444" s="83"/>
      <c r="H32444" s="83"/>
      <c r="K32444" s="82"/>
      <c r="M32444" s="112"/>
      <c r="N32444" s="84"/>
    </row>
    <row r="32445" spans="1:14" s="2" customFormat="1">
      <c r="A32445" s="83"/>
      <c r="H32445" s="83"/>
      <c r="K32445" s="82"/>
      <c r="M32445" s="112"/>
      <c r="N32445" s="84"/>
    </row>
    <row r="32446" spans="1:14" s="2" customFormat="1">
      <c r="A32446" s="83"/>
      <c r="H32446" s="83"/>
      <c r="K32446" s="82"/>
      <c r="M32446" s="112"/>
      <c r="N32446" s="84"/>
    </row>
    <row r="32447" spans="1:14" s="2" customFormat="1">
      <c r="A32447" s="83"/>
      <c r="H32447" s="83"/>
      <c r="K32447" s="82"/>
      <c r="M32447" s="112"/>
      <c r="N32447" s="84"/>
    </row>
    <row r="32448" spans="1:14" s="2" customFormat="1">
      <c r="A32448" s="83"/>
      <c r="H32448" s="83"/>
      <c r="K32448" s="82"/>
      <c r="M32448" s="112"/>
      <c r="N32448" s="84"/>
    </row>
    <row r="32449" spans="1:14" s="2" customFormat="1">
      <c r="A32449" s="83"/>
      <c r="H32449" s="83"/>
      <c r="K32449" s="82"/>
      <c r="M32449" s="112"/>
      <c r="N32449" s="84"/>
    </row>
    <row r="32450" spans="1:14" s="2" customFormat="1">
      <c r="A32450" s="83"/>
      <c r="H32450" s="83"/>
      <c r="K32450" s="82"/>
      <c r="M32450" s="112"/>
      <c r="N32450" s="84"/>
    </row>
    <row r="32451" spans="1:14" s="2" customFormat="1">
      <c r="A32451" s="83"/>
      <c r="H32451" s="83"/>
      <c r="K32451" s="82"/>
      <c r="M32451" s="112"/>
      <c r="N32451" s="84"/>
    </row>
    <row r="32452" spans="1:14" s="2" customFormat="1">
      <c r="A32452" s="83"/>
      <c r="H32452" s="83"/>
      <c r="K32452" s="82"/>
      <c r="M32452" s="112"/>
      <c r="N32452" s="84"/>
    </row>
    <row r="32453" spans="1:14" s="2" customFormat="1">
      <c r="A32453" s="83"/>
      <c r="H32453" s="83"/>
      <c r="K32453" s="82"/>
      <c r="M32453" s="112"/>
      <c r="N32453" s="84"/>
    </row>
    <row r="32454" spans="1:14" s="2" customFormat="1">
      <c r="A32454" s="83"/>
      <c r="H32454" s="83"/>
      <c r="K32454" s="82"/>
      <c r="M32454" s="112"/>
      <c r="N32454" s="84"/>
    </row>
    <row r="32455" spans="1:14" s="2" customFormat="1">
      <c r="A32455" s="83"/>
      <c r="H32455" s="83"/>
      <c r="K32455" s="82"/>
      <c r="M32455" s="112"/>
      <c r="N32455" s="84"/>
    </row>
    <row r="32456" spans="1:14" s="2" customFormat="1">
      <c r="A32456" s="83"/>
      <c r="H32456" s="83"/>
      <c r="K32456" s="82"/>
      <c r="M32456" s="112"/>
      <c r="N32456" s="84"/>
    </row>
    <row r="32457" spans="1:14" s="2" customFormat="1">
      <c r="A32457" s="83"/>
      <c r="H32457" s="83"/>
      <c r="K32457" s="82"/>
      <c r="M32457" s="112"/>
      <c r="N32457" s="84"/>
    </row>
    <row r="32458" spans="1:14" s="2" customFormat="1">
      <c r="A32458" s="83"/>
      <c r="H32458" s="83"/>
      <c r="K32458" s="82"/>
      <c r="M32458" s="112"/>
      <c r="N32458" s="84"/>
    </row>
    <row r="32459" spans="1:14" s="2" customFormat="1">
      <c r="A32459" s="83"/>
      <c r="H32459" s="83"/>
      <c r="K32459" s="82"/>
      <c r="M32459" s="112"/>
      <c r="N32459" s="84"/>
    </row>
    <row r="32460" spans="1:14" s="2" customFormat="1">
      <c r="A32460" s="83"/>
      <c r="H32460" s="83"/>
      <c r="K32460" s="82"/>
      <c r="M32460" s="112"/>
      <c r="N32460" s="84"/>
    </row>
    <row r="32461" spans="1:14" s="2" customFormat="1">
      <c r="A32461" s="83"/>
      <c r="H32461" s="83"/>
      <c r="K32461" s="82"/>
      <c r="M32461" s="112"/>
      <c r="N32461" s="84"/>
    </row>
    <row r="32462" spans="1:14" s="2" customFormat="1">
      <c r="A32462" s="83"/>
      <c r="H32462" s="83"/>
      <c r="K32462" s="82"/>
      <c r="M32462" s="112"/>
      <c r="N32462" s="84"/>
    </row>
    <row r="32463" spans="1:14" s="2" customFormat="1">
      <c r="A32463" s="83"/>
      <c r="H32463" s="83"/>
      <c r="K32463" s="82"/>
      <c r="M32463" s="112"/>
      <c r="N32463" s="84"/>
    </row>
    <row r="32464" spans="1:14" s="2" customFormat="1">
      <c r="A32464" s="83"/>
      <c r="H32464" s="83"/>
      <c r="K32464" s="82"/>
      <c r="M32464" s="112"/>
      <c r="N32464" s="84"/>
    </row>
    <row r="32465" spans="1:14" s="2" customFormat="1">
      <c r="A32465" s="83"/>
      <c r="H32465" s="83"/>
      <c r="K32465" s="82"/>
      <c r="M32465" s="112"/>
      <c r="N32465" s="84"/>
    </row>
    <row r="32466" spans="1:14" s="2" customFormat="1">
      <c r="A32466" s="83"/>
      <c r="H32466" s="83"/>
      <c r="K32466" s="82"/>
      <c r="M32466" s="112"/>
      <c r="N32466" s="84"/>
    </row>
    <row r="32467" spans="1:14" s="2" customFormat="1">
      <c r="A32467" s="83"/>
      <c r="H32467" s="83"/>
      <c r="K32467" s="82"/>
      <c r="M32467" s="112"/>
      <c r="N32467" s="84"/>
    </row>
    <row r="32468" spans="1:14" s="2" customFormat="1">
      <c r="A32468" s="83"/>
      <c r="H32468" s="83"/>
      <c r="K32468" s="82"/>
      <c r="M32468" s="112"/>
      <c r="N32468" s="84"/>
    </row>
    <row r="32469" spans="1:14" s="2" customFormat="1">
      <c r="A32469" s="83"/>
      <c r="H32469" s="83"/>
      <c r="K32469" s="82"/>
      <c r="M32469" s="112"/>
      <c r="N32469" s="84"/>
    </row>
    <row r="32470" spans="1:14" s="2" customFormat="1">
      <c r="A32470" s="83"/>
      <c r="H32470" s="83"/>
      <c r="K32470" s="82"/>
      <c r="M32470" s="112"/>
      <c r="N32470" s="84"/>
    </row>
    <row r="32471" spans="1:14" s="2" customFormat="1">
      <c r="A32471" s="83"/>
      <c r="H32471" s="83"/>
      <c r="K32471" s="82"/>
      <c r="M32471" s="112"/>
      <c r="N32471" s="84"/>
    </row>
    <row r="32472" spans="1:14" s="2" customFormat="1">
      <c r="A32472" s="83"/>
      <c r="H32472" s="83"/>
      <c r="K32472" s="82"/>
      <c r="M32472" s="112"/>
      <c r="N32472" s="84"/>
    </row>
    <row r="32473" spans="1:14" s="2" customFormat="1">
      <c r="A32473" s="83"/>
      <c r="H32473" s="83"/>
      <c r="K32473" s="82"/>
      <c r="M32473" s="112"/>
      <c r="N32473" s="84"/>
    </row>
    <row r="32474" spans="1:14" s="2" customFormat="1">
      <c r="A32474" s="83"/>
      <c r="H32474" s="83"/>
      <c r="K32474" s="82"/>
      <c r="M32474" s="112"/>
      <c r="N32474" s="84"/>
    </row>
    <row r="32475" spans="1:14" s="2" customFormat="1">
      <c r="A32475" s="83"/>
      <c r="H32475" s="83"/>
      <c r="K32475" s="82"/>
      <c r="M32475" s="112"/>
      <c r="N32475" s="84"/>
    </row>
    <row r="32476" spans="1:14" s="2" customFormat="1">
      <c r="A32476" s="83"/>
      <c r="H32476" s="83"/>
      <c r="K32476" s="82"/>
      <c r="M32476" s="112"/>
      <c r="N32476" s="84"/>
    </row>
    <row r="32477" spans="1:14" s="2" customFormat="1">
      <c r="A32477" s="83"/>
      <c r="H32477" s="83"/>
      <c r="K32477" s="82"/>
      <c r="M32477" s="112"/>
      <c r="N32477" s="84"/>
    </row>
    <row r="32478" spans="1:14" s="2" customFormat="1">
      <c r="A32478" s="83"/>
      <c r="H32478" s="83"/>
      <c r="K32478" s="82"/>
      <c r="M32478" s="112"/>
      <c r="N32478" s="84"/>
    </row>
    <row r="32479" spans="1:14" s="2" customFormat="1">
      <c r="A32479" s="83"/>
      <c r="H32479" s="83"/>
      <c r="K32479" s="82"/>
      <c r="M32479" s="112"/>
      <c r="N32479" s="84"/>
    </row>
    <row r="32480" spans="1:14" s="2" customFormat="1">
      <c r="A32480" s="83"/>
      <c r="H32480" s="83"/>
      <c r="K32480" s="82"/>
      <c r="M32480" s="112"/>
      <c r="N32480" s="84"/>
    </row>
    <row r="32481" spans="1:14" s="2" customFormat="1">
      <c r="A32481" s="83"/>
      <c r="H32481" s="83"/>
      <c r="K32481" s="82"/>
      <c r="M32481" s="112"/>
      <c r="N32481" s="84"/>
    </row>
    <row r="32482" spans="1:14" s="2" customFormat="1">
      <c r="A32482" s="83"/>
      <c r="H32482" s="83"/>
      <c r="K32482" s="82"/>
      <c r="M32482" s="112"/>
      <c r="N32482" s="84"/>
    </row>
    <row r="32483" spans="1:14" s="2" customFormat="1">
      <c r="A32483" s="83"/>
      <c r="H32483" s="83"/>
      <c r="K32483" s="82"/>
      <c r="M32483" s="112"/>
      <c r="N32483" s="84"/>
    </row>
    <row r="32484" spans="1:14" s="2" customFormat="1">
      <c r="A32484" s="83"/>
      <c r="H32484" s="83"/>
      <c r="K32484" s="82"/>
      <c r="M32484" s="112"/>
      <c r="N32484" s="84"/>
    </row>
    <row r="32485" spans="1:14" s="2" customFormat="1">
      <c r="A32485" s="83"/>
      <c r="H32485" s="83"/>
      <c r="K32485" s="82"/>
      <c r="M32485" s="112"/>
      <c r="N32485" s="84"/>
    </row>
    <row r="32486" spans="1:14" s="2" customFormat="1">
      <c r="A32486" s="83"/>
      <c r="H32486" s="83"/>
      <c r="K32486" s="82"/>
      <c r="M32486" s="112"/>
      <c r="N32486" s="84"/>
    </row>
    <row r="32487" spans="1:14" s="2" customFormat="1">
      <c r="A32487" s="83"/>
      <c r="H32487" s="83"/>
      <c r="K32487" s="82"/>
      <c r="M32487" s="112"/>
      <c r="N32487" s="84"/>
    </row>
    <row r="32488" spans="1:14" s="2" customFormat="1">
      <c r="A32488" s="83"/>
      <c r="H32488" s="83"/>
      <c r="K32488" s="82"/>
      <c r="M32488" s="112"/>
      <c r="N32488" s="84"/>
    </row>
    <row r="32489" spans="1:14" s="2" customFormat="1">
      <c r="A32489" s="83"/>
      <c r="H32489" s="83"/>
      <c r="K32489" s="82"/>
      <c r="M32489" s="112"/>
      <c r="N32489" s="84"/>
    </row>
    <row r="32490" spans="1:14" s="2" customFormat="1">
      <c r="A32490" s="83"/>
      <c r="H32490" s="83"/>
      <c r="K32490" s="82"/>
      <c r="M32490" s="112"/>
      <c r="N32490" s="84"/>
    </row>
    <row r="32491" spans="1:14" s="2" customFormat="1">
      <c r="A32491" s="83"/>
      <c r="H32491" s="83"/>
      <c r="K32491" s="82"/>
      <c r="M32491" s="112"/>
      <c r="N32491" s="84"/>
    </row>
    <row r="32492" spans="1:14" s="2" customFormat="1">
      <c r="A32492" s="83"/>
      <c r="H32492" s="83"/>
      <c r="K32492" s="82"/>
      <c r="M32492" s="112"/>
      <c r="N32492" s="84"/>
    </row>
    <row r="32493" spans="1:14" s="2" customFormat="1">
      <c r="A32493" s="83"/>
      <c r="H32493" s="83"/>
      <c r="K32493" s="82"/>
      <c r="M32493" s="112"/>
      <c r="N32493" s="84"/>
    </row>
    <row r="32494" spans="1:14" s="2" customFormat="1">
      <c r="A32494" s="83"/>
      <c r="H32494" s="83"/>
      <c r="K32494" s="82"/>
      <c r="M32494" s="112"/>
      <c r="N32494" s="84"/>
    </row>
    <row r="32495" spans="1:14" s="2" customFormat="1">
      <c r="A32495" s="83"/>
      <c r="H32495" s="83"/>
      <c r="K32495" s="82"/>
      <c r="M32495" s="112"/>
      <c r="N32495" s="84"/>
    </row>
    <row r="32496" spans="1:14" s="2" customFormat="1">
      <c r="A32496" s="83"/>
      <c r="H32496" s="83"/>
      <c r="K32496" s="82"/>
      <c r="M32496" s="112"/>
      <c r="N32496" s="84"/>
    </row>
    <row r="32497" spans="1:14" s="2" customFormat="1">
      <c r="A32497" s="83"/>
      <c r="H32497" s="83"/>
      <c r="K32497" s="82"/>
      <c r="M32497" s="112"/>
      <c r="N32497" s="84"/>
    </row>
    <row r="32498" spans="1:14" s="2" customFormat="1">
      <c r="A32498" s="83"/>
      <c r="H32498" s="83"/>
      <c r="K32498" s="82"/>
      <c r="M32498" s="112"/>
      <c r="N32498" s="84"/>
    </row>
    <row r="32499" spans="1:14" s="2" customFormat="1">
      <c r="A32499" s="83"/>
      <c r="H32499" s="83"/>
      <c r="K32499" s="82"/>
      <c r="M32499" s="112"/>
      <c r="N32499" s="84"/>
    </row>
    <row r="32500" spans="1:14" s="2" customFormat="1">
      <c r="A32500" s="83"/>
      <c r="H32500" s="83"/>
      <c r="K32500" s="82"/>
      <c r="M32500" s="112"/>
      <c r="N32500" s="84"/>
    </row>
    <row r="32501" spans="1:14" s="2" customFormat="1">
      <c r="A32501" s="83"/>
      <c r="H32501" s="83"/>
      <c r="K32501" s="82"/>
      <c r="M32501" s="112"/>
      <c r="N32501" s="84"/>
    </row>
    <row r="32502" spans="1:14" s="2" customFormat="1">
      <c r="A32502" s="83"/>
      <c r="H32502" s="83"/>
      <c r="K32502" s="82"/>
      <c r="M32502" s="112"/>
      <c r="N32502" s="84"/>
    </row>
    <row r="32503" spans="1:14" s="2" customFormat="1">
      <c r="A32503" s="83"/>
      <c r="H32503" s="83"/>
      <c r="K32503" s="82"/>
      <c r="M32503" s="112"/>
      <c r="N32503" s="84"/>
    </row>
    <row r="32504" spans="1:14" s="2" customFormat="1">
      <c r="A32504" s="83"/>
      <c r="H32504" s="83"/>
      <c r="K32504" s="82"/>
      <c r="M32504" s="112"/>
      <c r="N32504" s="84"/>
    </row>
    <row r="32505" spans="1:14" s="2" customFormat="1">
      <c r="A32505" s="83"/>
      <c r="H32505" s="83"/>
      <c r="K32505" s="82"/>
      <c r="M32505" s="112"/>
      <c r="N32505" s="84"/>
    </row>
    <row r="32506" spans="1:14" s="2" customFormat="1">
      <c r="A32506" s="83"/>
      <c r="H32506" s="83"/>
      <c r="K32506" s="82"/>
      <c r="M32506" s="112"/>
      <c r="N32506" s="84"/>
    </row>
    <row r="32507" spans="1:14" s="2" customFormat="1">
      <c r="A32507" s="83"/>
      <c r="H32507" s="83"/>
      <c r="K32507" s="82"/>
      <c r="M32507" s="112"/>
      <c r="N32507" s="84"/>
    </row>
    <row r="32508" spans="1:14" s="2" customFormat="1">
      <c r="A32508" s="83"/>
      <c r="H32508" s="83"/>
      <c r="K32508" s="82"/>
      <c r="M32508" s="112"/>
      <c r="N32508" s="84"/>
    </row>
    <row r="32509" spans="1:14" s="2" customFormat="1">
      <c r="A32509" s="83"/>
      <c r="H32509" s="83"/>
      <c r="K32509" s="82"/>
      <c r="M32509" s="112"/>
      <c r="N32509" s="84"/>
    </row>
    <row r="32510" spans="1:14" s="2" customFormat="1">
      <c r="A32510" s="83"/>
      <c r="H32510" s="83"/>
      <c r="K32510" s="82"/>
      <c r="M32510" s="112"/>
      <c r="N32510" s="84"/>
    </row>
    <row r="32511" spans="1:14" s="2" customFormat="1">
      <c r="A32511" s="83"/>
      <c r="H32511" s="83"/>
      <c r="K32511" s="82"/>
      <c r="M32511" s="112"/>
      <c r="N32511" s="84"/>
    </row>
    <row r="32512" spans="1:14" s="2" customFormat="1">
      <c r="A32512" s="83"/>
      <c r="H32512" s="83"/>
      <c r="K32512" s="82"/>
      <c r="M32512" s="112"/>
      <c r="N32512" s="84"/>
    </row>
    <row r="32513" spans="1:14" s="2" customFormat="1">
      <c r="A32513" s="83"/>
      <c r="H32513" s="83"/>
      <c r="K32513" s="82"/>
      <c r="M32513" s="112"/>
      <c r="N32513" s="84"/>
    </row>
    <row r="32514" spans="1:14" s="2" customFormat="1">
      <c r="A32514" s="83"/>
      <c r="H32514" s="83"/>
      <c r="K32514" s="82"/>
      <c r="M32514" s="112"/>
      <c r="N32514" s="84"/>
    </row>
    <row r="32515" spans="1:14" s="2" customFormat="1">
      <c r="A32515" s="83"/>
      <c r="H32515" s="83"/>
      <c r="K32515" s="82"/>
      <c r="M32515" s="112"/>
      <c r="N32515" s="84"/>
    </row>
    <row r="32516" spans="1:14" s="2" customFormat="1">
      <c r="A32516" s="83"/>
      <c r="H32516" s="83"/>
      <c r="K32516" s="82"/>
      <c r="M32516" s="112"/>
      <c r="N32516" s="84"/>
    </row>
    <row r="32517" spans="1:14" s="2" customFormat="1">
      <c r="A32517" s="83"/>
      <c r="H32517" s="83"/>
      <c r="K32517" s="82"/>
      <c r="M32517" s="112"/>
      <c r="N32517" s="84"/>
    </row>
    <row r="32518" spans="1:14" s="2" customFormat="1">
      <c r="A32518" s="83"/>
      <c r="H32518" s="83"/>
      <c r="K32518" s="82"/>
      <c r="M32518" s="112"/>
      <c r="N32518" s="84"/>
    </row>
    <row r="32519" spans="1:14" s="2" customFormat="1">
      <c r="A32519" s="83"/>
      <c r="H32519" s="83"/>
      <c r="K32519" s="82"/>
      <c r="M32519" s="112"/>
      <c r="N32519" s="84"/>
    </row>
    <row r="32520" spans="1:14" s="2" customFormat="1">
      <c r="A32520" s="83"/>
      <c r="H32520" s="83"/>
      <c r="K32520" s="82"/>
      <c r="M32520" s="112"/>
      <c r="N32520" s="84"/>
    </row>
    <row r="32521" spans="1:14" s="2" customFormat="1">
      <c r="A32521" s="83"/>
      <c r="H32521" s="83"/>
      <c r="K32521" s="82"/>
      <c r="M32521" s="112"/>
      <c r="N32521" s="84"/>
    </row>
    <row r="32522" spans="1:14" s="2" customFormat="1">
      <c r="A32522" s="83"/>
      <c r="H32522" s="83"/>
      <c r="K32522" s="82"/>
      <c r="M32522" s="112"/>
      <c r="N32522" s="84"/>
    </row>
    <row r="32523" spans="1:14" s="2" customFormat="1">
      <c r="A32523" s="83"/>
      <c r="H32523" s="83"/>
      <c r="K32523" s="82"/>
      <c r="M32523" s="112"/>
      <c r="N32523" s="84"/>
    </row>
    <row r="32524" spans="1:14" s="2" customFormat="1">
      <c r="A32524" s="83"/>
      <c r="H32524" s="83"/>
      <c r="K32524" s="82"/>
      <c r="M32524" s="112"/>
      <c r="N32524" s="84"/>
    </row>
    <row r="32525" spans="1:14" s="2" customFormat="1">
      <c r="A32525" s="83"/>
      <c r="H32525" s="83"/>
      <c r="K32525" s="82"/>
      <c r="M32525" s="112"/>
      <c r="N32525" s="84"/>
    </row>
    <row r="32526" spans="1:14" s="2" customFormat="1">
      <c r="A32526" s="83"/>
      <c r="H32526" s="83"/>
      <c r="K32526" s="82"/>
      <c r="M32526" s="112"/>
      <c r="N32526" s="84"/>
    </row>
    <row r="32527" spans="1:14" s="2" customFormat="1">
      <c r="A32527" s="83"/>
      <c r="H32527" s="83"/>
      <c r="K32527" s="82"/>
      <c r="M32527" s="112"/>
      <c r="N32527" s="84"/>
    </row>
    <row r="32528" spans="1:14" s="2" customFormat="1">
      <c r="A32528" s="83"/>
      <c r="H32528" s="83"/>
      <c r="K32528" s="82"/>
      <c r="M32528" s="112"/>
      <c r="N32528" s="84"/>
    </row>
    <row r="32529" spans="1:14" s="2" customFormat="1">
      <c r="A32529" s="83"/>
      <c r="H32529" s="83"/>
      <c r="K32529" s="82"/>
      <c r="M32529" s="112"/>
      <c r="N32529" s="84"/>
    </row>
    <row r="32530" spans="1:14" s="2" customFormat="1">
      <c r="A32530" s="83"/>
      <c r="H32530" s="83"/>
      <c r="K32530" s="82"/>
      <c r="M32530" s="112"/>
      <c r="N32530" s="84"/>
    </row>
    <row r="32531" spans="1:14" s="2" customFormat="1">
      <c r="A32531" s="83"/>
      <c r="H32531" s="83"/>
      <c r="K32531" s="82"/>
      <c r="M32531" s="112"/>
      <c r="N32531" s="84"/>
    </row>
    <row r="32532" spans="1:14" s="2" customFormat="1">
      <c r="A32532" s="83"/>
      <c r="H32532" s="83"/>
      <c r="K32532" s="82"/>
      <c r="M32532" s="112"/>
      <c r="N32532" s="84"/>
    </row>
    <row r="32533" spans="1:14" s="2" customFormat="1">
      <c r="A32533" s="83"/>
      <c r="H32533" s="83"/>
      <c r="K32533" s="82"/>
      <c r="M32533" s="112"/>
      <c r="N32533" s="84"/>
    </row>
    <row r="32534" spans="1:14" s="2" customFormat="1">
      <c r="A32534" s="83"/>
      <c r="H32534" s="83"/>
      <c r="K32534" s="82"/>
      <c r="M32534" s="112"/>
      <c r="N32534" s="84"/>
    </row>
    <row r="32535" spans="1:14" s="2" customFormat="1">
      <c r="A32535" s="83"/>
      <c r="H32535" s="83"/>
      <c r="K32535" s="82"/>
      <c r="M32535" s="112"/>
      <c r="N32535" s="84"/>
    </row>
    <row r="32536" spans="1:14" s="2" customFormat="1">
      <c r="A32536" s="83"/>
      <c r="H32536" s="83"/>
      <c r="K32536" s="82"/>
      <c r="M32536" s="112"/>
      <c r="N32536" s="84"/>
    </row>
    <row r="32537" spans="1:14" s="2" customFormat="1">
      <c r="A32537" s="83"/>
      <c r="H32537" s="83"/>
      <c r="K32537" s="82"/>
      <c r="M32537" s="112"/>
      <c r="N32537" s="84"/>
    </row>
    <row r="32538" spans="1:14" s="2" customFormat="1">
      <c r="A32538" s="83"/>
      <c r="H32538" s="83"/>
      <c r="K32538" s="82"/>
      <c r="M32538" s="112"/>
      <c r="N32538" s="84"/>
    </row>
    <row r="32539" spans="1:14" s="2" customFormat="1">
      <c r="A32539" s="83"/>
      <c r="H32539" s="83"/>
      <c r="K32539" s="82"/>
      <c r="M32539" s="112"/>
      <c r="N32539" s="84"/>
    </row>
    <row r="32540" spans="1:14" s="2" customFormat="1">
      <c r="A32540" s="83"/>
      <c r="H32540" s="83"/>
      <c r="K32540" s="82"/>
      <c r="M32540" s="112"/>
      <c r="N32540" s="84"/>
    </row>
    <row r="32541" spans="1:14" s="2" customFormat="1">
      <c r="A32541" s="83"/>
      <c r="H32541" s="83"/>
      <c r="K32541" s="82"/>
      <c r="M32541" s="112"/>
      <c r="N32541" s="84"/>
    </row>
    <row r="32542" spans="1:14" s="2" customFormat="1">
      <c r="A32542" s="83"/>
      <c r="H32542" s="83"/>
      <c r="K32542" s="82"/>
      <c r="M32542" s="112"/>
      <c r="N32542" s="84"/>
    </row>
    <row r="32543" spans="1:14" s="2" customFormat="1">
      <c r="A32543" s="83"/>
      <c r="H32543" s="83"/>
      <c r="K32543" s="82"/>
      <c r="M32543" s="112"/>
      <c r="N32543" s="84"/>
    </row>
    <row r="32544" spans="1:14" s="2" customFormat="1">
      <c r="A32544" s="83"/>
      <c r="H32544" s="83"/>
      <c r="K32544" s="82"/>
      <c r="M32544" s="112"/>
      <c r="N32544" s="84"/>
    </row>
    <row r="32545" spans="1:14" s="2" customFormat="1">
      <c r="A32545" s="83"/>
      <c r="H32545" s="83"/>
      <c r="K32545" s="82"/>
      <c r="M32545" s="112"/>
      <c r="N32545" s="84"/>
    </row>
    <row r="32546" spans="1:14" s="2" customFormat="1">
      <c r="A32546" s="83"/>
      <c r="H32546" s="83"/>
      <c r="K32546" s="82"/>
      <c r="M32546" s="112"/>
      <c r="N32546" s="84"/>
    </row>
    <row r="32547" spans="1:14" s="2" customFormat="1">
      <c r="A32547" s="83"/>
      <c r="H32547" s="83"/>
      <c r="K32547" s="82"/>
      <c r="M32547" s="112"/>
      <c r="N32547" s="84"/>
    </row>
    <row r="32548" spans="1:14" s="2" customFormat="1">
      <c r="A32548" s="83"/>
      <c r="H32548" s="83"/>
      <c r="K32548" s="82"/>
      <c r="M32548" s="112"/>
      <c r="N32548" s="84"/>
    </row>
    <row r="32549" spans="1:14" s="2" customFormat="1">
      <c r="A32549" s="83"/>
      <c r="H32549" s="83"/>
      <c r="K32549" s="82"/>
      <c r="M32549" s="112"/>
      <c r="N32549" s="84"/>
    </row>
    <row r="32550" spans="1:14" s="2" customFormat="1">
      <c r="A32550" s="83"/>
      <c r="H32550" s="83"/>
      <c r="K32550" s="82"/>
      <c r="M32550" s="112"/>
      <c r="N32550" s="84"/>
    </row>
    <row r="32551" spans="1:14" s="2" customFormat="1">
      <c r="A32551" s="83"/>
      <c r="H32551" s="83"/>
      <c r="K32551" s="82"/>
      <c r="M32551" s="112"/>
      <c r="N32551" s="84"/>
    </row>
    <row r="32552" spans="1:14" s="2" customFormat="1">
      <c r="A32552" s="83"/>
      <c r="H32552" s="83"/>
      <c r="K32552" s="82"/>
      <c r="M32552" s="112"/>
      <c r="N32552" s="84"/>
    </row>
    <row r="32553" spans="1:14" s="2" customFormat="1">
      <c r="A32553" s="83"/>
      <c r="H32553" s="83"/>
      <c r="K32553" s="82"/>
      <c r="M32553" s="112"/>
      <c r="N32553" s="84"/>
    </row>
    <row r="32554" spans="1:14" s="2" customFormat="1">
      <c r="A32554" s="83"/>
      <c r="H32554" s="83"/>
      <c r="K32554" s="82"/>
      <c r="M32554" s="112"/>
      <c r="N32554" s="84"/>
    </row>
    <row r="32555" spans="1:14" s="2" customFormat="1">
      <c r="A32555" s="83"/>
      <c r="H32555" s="83"/>
      <c r="K32555" s="82"/>
      <c r="M32555" s="112"/>
      <c r="N32555" s="84"/>
    </row>
    <row r="32556" spans="1:14" s="2" customFormat="1">
      <c r="A32556" s="83"/>
      <c r="H32556" s="83"/>
      <c r="K32556" s="82"/>
      <c r="M32556" s="112"/>
      <c r="N32556" s="84"/>
    </row>
    <row r="32557" spans="1:14" s="2" customFormat="1">
      <c r="A32557" s="83"/>
      <c r="H32557" s="83"/>
      <c r="K32557" s="82"/>
      <c r="M32557" s="112"/>
      <c r="N32557" s="84"/>
    </row>
    <row r="32558" spans="1:14" s="2" customFormat="1">
      <c r="A32558" s="83"/>
      <c r="H32558" s="83"/>
      <c r="K32558" s="82"/>
      <c r="M32558" s="112"/>
      <c r="N32558" s="84"/>
    </row>
    <row r="32559" spans="1:14" s="2" customFormat="1">
      <c r="A32559" s="83"/>
      <c r="H32559" s="83"/>
      <c r="K32559" s="82"/>
      <c r="M32559" s="112"/>
      <c r="N32559" s="84"/>
    </row>
    <row r="32560" spans="1:14" s="2" customFormat="1">
      <c r="A32560" s="83"/>
      <c r="H32560" s="83"/>
      <c r="K32560" s="82"/>
      <c r="M32560" s="112"/>
      <c r="N32560" s="84"/>
    </row>
    <row r="32561" spans="1:14" s="2" customFormat="1">
      <c r="A32561" s="83"/>
      <c r="H32561" s="83"/>
      <c r="K32561" s="82"/>
      <c r="M32561" s="112"/>
      <c r="N32561" s="84"/>
    </row>
    <row r="32562" spans="1:14" s="2" customFormat="1">
      <c r="A32562" s="83"/>
      <c r="H32562" s="83"/>
      <c r="K32562" s="82"/>
      <c r="M32562" s="112"/>
      <c r="N32562" s="84"/>
    </row>
    <row r="32563" spans="1:14" s="2" customFormat="1">
      <c r="A32563" s="83"/>
      <c r="H32563" s="83"/>
      <c r="K32563" s="82"/>
      <c r="M32563" s="112"/>
      <c r="N32563" s="84"/>
    </row>
    <row r="32564" spans="1:14" s="2" customFormat="1">
      <c r="A32564" s="83"/>
      <c r="H32564" s="83"/>
      <c r="K32564" s="82"/>
      <c r="M32564" s="112"/>
      <c r="N32564" s="84"/>
    </row>
    <row r="32565" spans="1:14" s="2" customFormat="1">
      <c r="A32565" s="83"/>
      <c r="H32565" s="83"/>
      <c r="K32565" s="82"/>
      <c r="M32565" s="112"/>
      <c r="N32565" s="84"/>
    </row>
    <row r="32566" spans="1:14" s="2" customFormat="1">
      <c r="A32566" s="83"/>
      <c r="H32566" s="83"/>
      <c r="K32566" s="82"/>
      <c r="M32566" s="112"/>
      <c r="N32566" s="84"/>
    </row>
    <row r="32567" spans="1:14" s="2" customFormat="1">
      <c r="A32567" s="83"/>
      <c r="H32567" s="83"/>
      <c r="K32567" s="82"/>
      <c r="M32567" s="112"/>
      <c r="N32567" s="84"/>
    </row>
    <row r="32568" spans="1:14" s="2" customFormat="1">
      <c r="A32568" s="83"/>
      <c r="H32568" s="83"/>
      <c r="K32568" s="82"/>
      <c r="M32568" s="112"/>
      <c r="N32568" s="84"/>
    </row>
    <row r="32569" spans="1:14" s="2" customFormat="1">
      <c r="A32569" s="83"/>
      <c r="H32569" s="83"/>
      <c r="K32569" s="82"/>
      <c r="M32569" s="112"/>
      <c r="N32569" s="84"/>
    </row>
    <row r="32570" spans="1:14" s="2" customFormat="1">
      <c r="A32570" s="83"/>
      <c r="H32570" s="83"/>
      <c r="K32570" s="82"/>
      <c r="M32570" s="112"/>
      <c r="N32570" s="84"/>
    </row>
    <row r="32571" spans="1:14" s="2" customFormat="1">
      <c r="A32571" s="83"/>
      <c r="H32571" s="83"/>
      <c r="K32571" s="82"/>
      <c r="M32571" s="112"/>
      <c r="N32571" s="84"/>
    </row>
    <row r="32572" spans="1:14" s="2" customFormat="1">
      <c r="A32572" s="83"/>
      <c r="H32572" s="83"/>
      <c r="K32572" s="82"/>
      <c r="M32572" s="112"/>
      <c r="N32572" s="84"/>
    </row>
    <row r="32573" spans="1:14" s="2" customFormat="1">
      <c r="A32573" s="83"/>
      <c r="H32573" s="83"/>
      <c r="K32573" s="82"/>
      <c r="M32573" s="112"/>
      <c r="N32573" s="84"/>
    </row>
    <row r="32574" spans="1:14" s="2" customFormat="1">
      <c r="A32574" s="83"/>
      <c r="H32574" s="83"/>
      <c r="K32574" s="82"/>
      <c r="M32574" s="112"/>
      <c r="N32574" s="84"/>
    </row>
    <row r="32575" spans="1:14" s="2" customFormat="1">
      <c r="A32575" s="83"/>
      <c r="H32575" s="83"/>
      <c r="K32575" s="82"/>
      <c r="M32575" s="112"/>
      <c r="N32575" s="84"/>
    </row>
    <row r="32576" spans="1:14" s="2" customFormat="1">
      <c r="A32576" s="83"/>
      <c r="H32576" s="83"/>
      <c r="K32576" s="82"/>
      <c r="M32576" s="112"/>
      <c r="N32576" s="84"/>
    </row>
    <row r="32577" spans="1:14" s="2" customFormat="1">
      <c r="A32577" s="83"/>
      <c r="H32577" s="83"/>
      <c r="K32577" s="82"/>
      <c r="M32577" s="112"/>
      <c r="N32577" s="84"/>
    </row>
    <row r="32578" spans="1:14" s="2" customFormat="1">
      <c r="A32578" s="83"/>
      <c r="H32578" s="83"/>
      <c r="K32578" s="82"/>
      <c r="M32578" s="112"/>
      <c r="N32578" s="84"/>
    </row>
    <row r="32579" spans="1:14" s="2" customFormat="1">
      <c r="A32579" s="83"/>
      <c r="H32579" s="83"/>
      <c r="K32579" s="82"/>
      <c r="M32579" s="112"/>
      <c r="N32579" s="84"/>
    </row>
    <row r="32580" spans="1:14" s="2" customFormat="1">
      <c r="A32580" s="83"/>
      <c r="H32580" s="83"/>
      <c r="K32580" s="82"/>
      <c r="M32580" s="112"/>
      <c r="N32580" s="84"/>
    </row>
    <row r="32581" spans="1:14" s="2" customFormat="1">
      <c r="A32581" s="83"/>
      <c r="H32581" s="83"/>
      <c r="K32581" s="82"/>
      <c r="M32581" s="112"/>
      <c r="N32581" s="84"/>
    </row>
    <row r="32582" spans="1:14" s="2" customFormat="1">
      <c r="A32582" s="83"/>
      <c r="H32582" s="83"/>
      <c r="K32582" s="82"/>
      <c r="M32582" s="112"/>
      <c r="N32582" s="84"/>
    </row>
    <row r="32583" spans="1:14" s="2" customFormat="1">
      <c r="A32583" s="83"/>
      <c r="H32583" s="83"/>
      <c r="K32583" s="82"/>
      <c r="M32583" s="112"/>
      <c r="N32583" s="84"/>
    </row>
    <row r="32584" spans="1:14" s="2" customFormat="1">
      <c r="A32584" s="83"/>
      <c r="H32584" s="83"/>
      <c r="K32584" s="82"/>
      <c r="M32584" s="112"/>
      <c r="N32584" s="84"/>
    </row>
    <row r="32585" spans="1:14" s="2" customFormat="1">
      <c r="A32585" s="83"/>
      <c r="H32585" s="83"/>
      <c r="K32585" s="82"/>
      <c r="M32585" s="112"/>
      <c r="N32585" s="84"/>
    </row>
    <row r="32586" spans="1:14" s="2" customFormat="1">
      <c r="A32586" s="83"/>
      <c r="H32586" s="83"/>
      <c r="K32586" s="82"/>
      <c r="M32586" s="112"/>
      <c r="N32586" s="84"/>
    </row>
    <row r="32587" spans="1:14" s="2" customFormat="1">
      <c r="A32587" s="83"/>
      <c r="H32587" s="83"/>
      <c r="K32587" s="82"/>
      <c r="M32587" s="112"/>
      <c r="N32587" s="84"/>
    </row>
    <row r="32588" spans="1:14" s="2" customFormat="1">
      <c r="A32588" s="83"/>
      <c r="H32588" s="83"/>
      <c r="K32588" s="82"/>
      <c r="M32588" s="112"/>
      <c r="N32588" s="84"/>
    </row>
    <row r="32589" spans="1:14" s="2" customFormat="1">
      <c r="A32589" s="83"/>
      <c r="H32589" s="83"/>
      <c r="K32589" s="82"/>
      <c r="M32589" s="112"/>
      <c r="N32589" s="84"/>
    </row>
    <row r="32590" spans="1:14" s="2" customFormat="1">
      <c r="A32590" s="83"/>
      <c r="H32590" s="83"/>
      <c r="K32590" s="82"/>
      <c r="M32590" s="112"/>
      <c r="N32590" s="84"/>
    </row>
    <row r="32591" spans="1:14" s="2" customFormat="1">
      <c r="A32591" s="83"/>
      <c r="H32591" s="83"/>
      <c r="K32591" s="82"/>
      <c r="M32591" s="112"/>
      <c r="N32591" s="84"/>
    </row>
    <row r="32592" spans="1:14" s="2" customFormat="1">
      <c r="A32592" s="83"/>
      <c r="H32592" s="83"/>
      <c r="K32592" s="82"/>
      <c r="M32592" s="112"/>
      <c r="N32592" s="84"/>
    </row>
    <row r="32593" spans="1:14" s="2" customFormat="1">
      <c r="A32593" s="83"/>
      <c r="H32593" s="83"/>
      <c r="K32593" s="82"/>
      <c r="M32593" s="112"/>
      <c r="N32593" s="84"/>
    </row>
    <row r="32594" spans="1:14" s="2" customFormat="1">
      <c r="A32594" s="83"/>
      <c r="H32594" s="83"/>
      <c r="K32594" s="82"/>
      <c r="M32594" s="112"/>
      <c r="N32594" s="84"/>
    </row>
    <row r="32595" spans="1:14" s="2" customFormat="1">
      <c r="A32595" s="83"/>
      <c r="H32595" s="83"/>
      <c r="K32595" s="82"/>
      <c r="M32595" s="112"/>
      <c r="N32595" s="84"/>
    </row>
    <row r="32596" spans="1:14" s="2" customFormat="1">
      <c r="A32596" s="83"/>
      <c r="H32596" s="83"/>
      <c r="K32596" s="82"/>
      <c r="M32596" s="112"/>
      <c r="N32596" s="84"/>
    </row>
    <row r="32597" spans="1:14" s="2" customFormat="1">
      <c r="A32597" s="83"/>
      <c r="H32597" s="83"/>
      <c r="K32597" s="82"/>
      <c r="M32597" s="112"/>
      <c r="N32597" s="84"/>
    </row>
    <row r="32598" spans="1:14" s="2" customFormat="1">
      <c r="A32598" s="83"/>
      <c r="H32598" s="83"/>
      <c r="K32598" s="82"/>
      <c r="M32598" s="112"/>
      <c r="N32598" s="84"/>
    </row>
    <row r="32599" spans="1:14" s="2" customFormat="1">
      <c r="A32599" s="83"/>
      <c r="H32599" s="83"/>
      <c r="K32599" s="82"/>
      <c r="M32599" s="112"/>
      <c r="N32599" s="84"/>
    </row>
    <row r="32600" spans="1:14" s="2" customFormat="1">
      <c r="A32600" s="83"/>
      <c r="H32600" s="83"/>
      <c r="K32600" s="82"/>
      <c r="M32600" s="112"/>
      <c r="N32600" s="84"/>
    </row>
    <row r="32601" spans="1:14" s="2" customFormat="1">
      <c r="A32601" s="83"/>
      <c r="H32601" s="83"/>
      <c r="K32601" s="82"/>
      <c r="M32601" s="112"/>
      <c r="N32601" s="84"/>
    </row>
    <row r="32602" spans="1:14" s="2" customFormat="1">
      <c r="A32602" s="83"/>
      <c r="H32602" s="83"/>
      <c r="K32602" s="82"/>
      <c r="M32602" s="112"/>
      <c r="N32602" s="84"/>
    </row>
    <row r="32603" spans="1:14" s="2" customFormat="1">
      <c r="A32603" s="83"/>
      <c r="H32603" s="83"/>
      <c r="K32603" s="82"/>
      <c r="M32603" s="112"/>
      <c r="N32603" s="84"/>
    </row>
    <row r="32604" spans="1:14" s="2" customFormat="1">
      <c r="A32604" s="83"/>
      <c r="H32604" s="83"/>
      <c r="K32604" s="82"/>
      <c r="M32604" s="112"/>
      <c r="N32604" s="84"/>
    </row>
    <row r="32605" spans="1:14" s="2" customFormat="1">
      <c r="A32605" s="83"/>
      <c r="H32605" s="83"/>
      <c r="K32605" s="82"/>
      <c r="M32605" s="112"/>
      <c r="N32605" s="84"/>
    </row>
    <row r="32606" spans="1:14" s="2" customFormat="1">
      <c r="A32606" s="83"/>
      <c r="H32606" s="83"/>
      <c r="K32606" s="82"/>
      <c r="M32606" s="112"/>
      <c r="N32606" s="84"/>
    </row>
    <row r="32607" spans="1:14" s="2" customFormat="1">
      <c r="A32607" s="83"/>
      <c r="H32607" s="83"/>
      <c r="K32607" s="82"/>
      <c r="M32607" s="112"/>
      <c r="N32607" s="84"/>
    </row>
    <row r="32608" spans="1:14" s="2" customFormat="1">
      <c r="A32608" s="83"/>
      <c r="H32608" s="83"/>
      <c r="K32608" s="82"/>
      <c r="M32608" s="112"/>
      <c r="N32608" s="84"/>
    </row>
    <row r="32609" spans="1:14" s="2" customFormat="1">
      <c r="A32609" s="83"/>
      <c r="H32609" s="83"/>
      <c r="K32609" s="82"/>
      <c r="M32609" s="112"/>
      <c r="N32609" s="84"/>
    </row>
    <row r="32610" spans="1:14" s="2" customFormat="1">
      <c r="A32610" s="83"/>
      <c r="H32610" s="83"/>
      <c r="K32610" s="82"/>
      <c r="M32610" s="112"/>
      <c r="N32610" s="84"/>
    </row>
    <row r="32611" spans="1:14" s="2" customFormat="1">
      <c r="A32611" s="83"/>
      <c r="H32611" s="83"/>
      <c r="K32611" s="82"/>
      <c r="M32611" s="112"/>
      <c r="N32611" s="84"/>
    </row>
    <row r="32612" spans="1:14" s="2" customFormat="1">
      <c r="A32612" s="83"/>
      <c r="H32612" s="83"/>
      <c r="K32612" s="82"/>
      <c r="M32612" s="112"/>
      <c r="N32612" s="84"/>
    </row>
    <row r="32613" spans="1:14" s="2" customFormat="1">
      <c r="A32613" s="83"/>
      <c r="H32613" s="83"/>
      <c r="K32613" s="82"/>
      <c r="M32613" s="112"/>
      <c r="N32613" s="84"/>
    </row>
    <row r="32614" spans="1:14" s="2" customFormat="1">
      <c r="A32614" s="83"/>
      <c r="H32614" s="83"/>
      <c r="K32614" s="82"/>
      <c r="M32614" s="112"/>
      <c r="N32614" s="84"/>
    </row>
    <row r="32615" spans="1:14" s="2" customFormat="1">
      <c r="A32615" s="83"/>
      <c r="H32615" s="83"/>
      <c r="K32615" s="82"/>
      <c r="M32615" s="112"/>
      <c r="N32615" s="84"/>
    </row>
    <row r="32616" spans="1:14" s="2" customFormat="1">
      <c r="A32616" s="83"/>
      <c r="H32616" s="83"/>
      <c r="K32616" s="82"/>
      <c r="M32616" s="112"/>
      <c r="N32616" s="84"/>
    </row>
    <row r="32617" spans="1:14" s="2" customFormat="1">
      <c r="A32617" s="83"/>
      <c r="H32617" s="83"/>
      <c r="K32617" s="82"/>
      <c r="M32617" s="112"/>
      <c r="N32617" s="84"/>
    </row>
    <row r="32618" spans="1:14" s="2" customFormat="1">
      <c r="A32618" s="83"/>
      <c r="H32618" s="83"/>
      <c r="K32618" s="82"/>
      <c r="M32618" s="112"/>
      <c r="N32618" s="84"/>
    </row>
    <row r="32619" spans="1:14" s="2" customFormat="1">
      <c r="A32619" s="83"/>
      <c r="H32619" s="83"/>
      <c r="K32619" s="82"/>
      <c r="M32619" s="112"/>
      <c r="N32619" s="84"/>
    </row>
    <row r="32620" spans="1:14" s="2" customFormat="1">
      <c r="A32620" s="83"/>
      <c r="H32620" s="83"/>
      <c r="K32620" s="82"/>
      <c r="M32620" s="112"/>
      <c r="N32620" s="84"/>
    </row>
    <row r="32621" spans="1:14" s="2" customFormat="1">
      <c r="A32621" s="83"/>
      <c r="H32621" s="83"/>
      <c r="K32621" s="82"/>
      <c r="M32621" s="112"/>
      <c r="N32621" s="84"/>
    </row>
    <row r="32622" spans="1:14" s="2" customFormat="1">
      <c r="A32622" s="83"/>
      <c r="H32622" s="83"/>
      <c r="K32622" s="82"/>
      <c r="M32622" s="112"/>
      <c r="N32622" s="84"/>
    </row>
    <row r="32623" spans="1:14" s="2" customFormat="1">
      <c r="A32623" s="83"/>
      <c r="H32623" s="83"/>
      <c r="K32623" s="82"/>
      <c r="M32623" s="112"/>
      <c r="N32623" s="84"/>
    </row>
    <row r="32624" spans="1:14" s="2" customFormat="1">
      <c r="A32624" s="83"/>
      <c r="H32624" s="83"/>
      <c r="K32624" s="82"/>
      <c r="M32624" s="112"/>
      <c r="N32624" s="84"/>
    </row>
    <row r="32625" spans="1:14" s="2" customFormat="1">
      <c r="A32625" s="83"/>
      <c r="H32625" s="83"/>
      <c r="K32625" s="82"/>
      <c r="M32625" s="112"/>
      <c r="N32625" s="84"/>
    </row>
    <row r="32626" spans="1:14" s="2" customFormat="1">
      <c r="A32626" s="83"/>
      <c r="H32626" s="83"/>
      <c r="K32626" s="82"/>
      <c r="M32626" s="112"/>
      <c r="N32626" s="84"/>
    </row>
    <row r="32627" spans="1:14" s="2" customFormat="1">
      <c r="A32627" s="83"/>
      <c r="H32627" s="83"/>
      <c r="K32627" s="82"/>
      <c r="M32627" s="112"/>
      <c r="N32627" s="84"/>
    </row>
    <row r="32628" spans="1:14" s="2" customFormat="1">
      <c r="A32628" s="83"/>
      <c r="H32628" s="83"/>
      <c r="K32628" s="82"/>
      <c r="M32628" s="112"/>
      <c r="N32628" s="84"/>
    </row>
    <row r="32629" spans="1:14" s="2" customFormat="1">
      <c r="A32629" s="83"/>
      <c r="H32629" s="83"/>
      <c r="K32629" s="82"/>
      <c r="M32629" s="112"/>
      <c r="N32629" s="84"/>
    </row>
    <row r="32630" spans="1:14" s="2" customFormat="1">
      <c r="A32630" s="83"/>
      <c r="H32630" s="83"/>
      <c r="K32630" s="82"/>
      <c r="M32630" s="112"/>
      <c r="N32630" s="84"/>
    </row>
    <row r="32631" spans="1:14" s="2" customFormat="1">
      <c r="A32631" s="83"/>
      <c r="H32631" s="83"/>
      <c r="K32631" s="82"/>
      <c r="M32631" s="112"/>
      <c r="N32631" s="84"/>
    </row>
    <row r="32632" spans="1:14" s="2" customFormat="1">
      <c r="A32632" s="83"/>
      <c r="H32632" s="83"/>
      <c r="K32632" s="82"/>
      <c r="M32632" s="112"/>
      <c r="N32632" s="84"/>
    </row>
    <row r="32633" spans="1:14" s="2" customFormat="1">
      <c r="A32633" s="83"/>
      <c r="H32633" s="83"/>
      <c r="K32633" s="82"/>
      <c r="M32633" s="112"/>
      <c r="N32633" s="84"/>
    </row>
    <row r="32634" spans="1:14" s="2" customFormat="1">
      <c r="A32634" s="83"/>
      <c r="H32634" s="83"/>
      <c r="K32634" s="82"/>
      <c r="M32634" s="112"/>
      <c r="N32634" s="84"/>
    </row>
    <row r="32635" spans="1:14" s="2" customFormat="1">
      <c r="A32635" s="83"/>
      <c r="H32635" s="83"/>
      <c r="K32635" s="82"/>
      <c r="M32635" s="112"/>
      <c r="N32635" s="84"/>
    </row>
    <row r="32636" spans="1:14" s="2" customFormat="1">
      <c r="A32636" s="83"/>
      <c r="H32636" s="83"/>
      <c r="K32636" s="82"/>
      <c r="M32636" s="112"/>
      <c r="N32636" s="84"/>
    </row>
    <row r="32637" spans="1:14" s="2" customFormat="1">
      <c r="A32637" s="83"/>
      <c r="H32637" s="83"/>
      <c r="K32637" s="82"/>
      <c r="M32637" s="112"/>
      <c r="N32637" s="84"/>
    </row>
    <row r="32638" spans="1:14" s="2" customFormat="1">
      <c r="A32638" s="83"/>
      <c r="H32638" s="83"/>
      <c r="K32638" s="82"/>
      <c r="M32638" s="112"/>
      <c r="N32638" s="84"/>
    </row>
    <row r="32639" spans="1:14" s="2" customFormat="1">
      <c r="A32639" s="83"/>
      <c r="H32639" s="83"/>
      <c r="K32639" s="82"/>
      <c r="M32639" s="112"/>
      <c r="N32639" s="84"/>
    </row>
    <row r="32640" spans="1:14" s="2" customFormat="1">
      <c r="A32640" s="83"/>
      <c r="H32640" s="83"/>
      <c r="K32640" s="82"/>
      <c r="M32640" s="112"/>
      <c r="N32640" s="84"/>
    </row>
    <row r="32641" spans="1:14" s="2" customFormat="1">
      <c r="A32641" s="83"/>
      <c r="H32641" s="83"/>
      <c r="K32641" s="82"/>
      <c r="M32641" s="112"/>
      <c r="N32641" s="84"/>
    </row>
    <row r="32642" spans="1:14" s="2" customFormat="1">
      <c r="A32642" s="83"/>
      <c r="H32642" s="83"/>
      <c r="K32642" s="82"/>
      <c r="M32642" s="112"/>
      <c r="N32642" s="84"/>
    </row>
    <row r="32643" spans="1:14" s="2" customFormat="1">
      <c r="A32643" s="83"/>
      <c r="H32643" s="83"/>
      <c r="K32643" s="82"/>
      <c r="M32643" s="112"/>
      <c r="N32643" s="84"/>
    </row>
    <row r="32644" spans="1:14" s="2" customFormat="1">
      <c r="A32644" s="83"/>
      <c r="H32644" s="83"/>
      <c r="K32644" s="82"/>
      <c r="M32644" s="112"/>
      <c r="N32644" s="84"/>
    </row>
    <row r="32645" spans="1:14" s="2" customFormat="1">
      <c r="A32645" s="83"/>
      <c r="H32645" s="83"/>
      <c r="K32645" s="82"/>
      <c r="M32645" s="112"/>
      <c r="N32645" s="84"/>
    </row>
    <row r="32646" spans="1:14" s="2" customFormat="1">
      <c r="A32646" s="83"/>
      <c r="H32646" s="83"/>
      <c r="K32646" s="82"/>
      <c r="M32646" s="112"/>
      <c r="N32646" s="84"/>
    </row>
    <row r="32647" spans="1:14" s="2" customFormat="1">
      <c r="A32647" s="83"/>
      <c r="H32647" s="83"/>
      <c r="K32647" s="82"/>
      <c r="M32647" s="112"/>
      <c r="N32647" s="84"/>
    </row>
    <row r="32648" spans="1:14" s="2" customFormat="1">
      <c r="A32648" s="83"/>
      <c r="H32648" s="83"/>
      <c r="K32648" s="82"/>
      <c r="M32648" s="112"/>
      <c r="N32648" s="84"/>
    </row>
    <row r="32649" spans="1:14" s="2" customFormat="1">
      <c r="A32649" s="83"/>
      <c r="H32649" s="83"/>
      <c r="K32649" s="82"/>
      <c r="M32649" s="112"/>
      <c r="N32649" s="84"/>
    </row>
    <row r="32650" spans="1:14" s="2" customFormat="1">
      <c r="A32650" s="83"/>
      <c r="H32650" s="83"/>
      <c r="K32650" s="82"/>
      <c r="M32650" s="112"/>
      <c r="N32650" s="84"/>
    </row>
    <row r="32651" spans="1:14" s="2" customFormat="1">
      <c r="A32651" s="83"/>
      <c r="H32651" s="83"/>
      <c r="K32651" s="82"/>
      <c r="M32651" s="112"/>
      <c r="N32651" s="84"/>
    </row>
    <row r="32652" spans="1:14" s="2" customFormat="1">
      <c r="A32652" s="83"/>
      <c r="H32652" s="83"/>
      <c r="K32652" s="82"/>
      <c r="M32652" s="112"/>
      <c r="N32652" s="84"/>
    </row>
    <row r="32653" spans="1:14" s="2" customFormat="1">
      <c r="A32653" s="83"/>
      <c r="H32653" s="83"/>
      <c r="K32653" s="82"/>
      <c r="M32653" s="112"/>
      <c r="N32653" s="84"/>
    </row>
    <row r="32654" spans="1:14" s="2" customFormat="1">
      <c r="A32654" s="83"/>
      <c r="H32654" s="83"/>
      <c r="K32654" s="82"/>
      <c r="M32654" s="112"/>
      <c r="N32654" s="84"/>
    </row>
    <row r="32655" spans="1:14" s="2" customFormat="1">
      <c r="A32655" s="83"/>
      <c r="H32655" s="83"/>
      <c r="K32655" s="82"/>
      <c r="M32655" s="112"/>
      <c r="N32655" s="84"/>
    </row>
    <row r="32656" spans="1:14" s="2" customFormat="1">
      <c r="A32656" s="83"/>
      <c r="H32656" s="83"/>
      <c r="K32656" s="82"/>
      <c r="M32656" s="112"/>
      <c r="N32656" s="84"/>
    </row>
    <row r="32657" spans="1:14" s="2" customFormat="1">
      <c r="A32657" s="83"/>
      <c r="H32657" s="83"/>
      <c r="K32657" s="82"/>
      <c r="M32657" s="112"/>
      <c r="N32657" s="84"/>
    </row>
    <row r="32658" spans="1:14" s="2" customFormat="1">
      <c r="A32658" s="83"/>
      <c r="H32658" s="83"/>
      <c r="K32658" s="82"/>
      <c r="M32658" s="112"/>
      <c r="N32658" s="84"/>
    </row>
    <row r="32659" spans="1:14" s="2" customFormat="1">
      <c r="A32659" s="83"/>
      <c r="H32659" s="83"/>
      <c r="K32659" s="82"/>
      <c r="M32659" s="112"/>
      <c r="N32659" s="84"/>
    </row>
    <row r="32660" spans="1:14" s="2" customFormat="1">
      <c r="A32660" s="83"/>
      <c r="H32660" s="83"/>
      <c r="K32660" s="82"/>
      <c r="M32660" s="112"/>
      <c r="N32660" s="84"/>
    </row>
    <row r="32661" spans="1:14" s="2" customFormat="1">
      <c r="A32661" s="83"/>
      <c r="H32661" s="83"/>
      <c r="K32661" s="82"/>
      <c r="M32661" s="112"/>
      <c r="N32661" s="84"/>
    </row>
    <row r="32662" spans="1:14" s="2" customFormat="1">
      <c r="A32662" s="83"/>
      <c r="H32662" s="83"/>
      <c r="K32662" s="82"/>
      <c r="M32662" s="112"/>
      <c r="N32662" s="84"/>
    </row>
    <row r="32663" spans="1:14" s="2" customFormat="1">
      <c r="A32663" s="83"/>
      <c r="H32663" s="83"/>
      <c r="K32663" s="82"/>
      <c r="M32663" s="112"/>
      <c r="N32663" s="84"/>
    </row>
    <row r="32664" spans="1:14" s="2" customFormat="1">
      <c r="A32664" s="83"/>
      <c r="H32664" s="83"/>
      <c r="K32664" s="82"/>
      <c r="M32664" s="112"/>
      <c r="N32664" s="84"/>
    </row>
    <row r="32665" spans="1:14" s="2" customFormat="1">
      <c r="A32665" s="83"/>
      <c r="H32665" s="83"/>
      <c r="K32665" s="82"/>
      <c r="M32665" s="112"/>
      <c r="N32665" s="84"/>
    </row>
    <row r="32666" spans="1:14" s="2" customFormat="1">
      <c r="A32666" s="83"/>
      <c r="H32666" s="83"/>
      <c r="K32666" s="82"/>
      <c r="M32666" s="112"/>
      <c r="N32666" s="84"/>
    </row>
    <row r="32667" spans="1:14" s="2" customFormat="1">
      <c r="A32667" s="83"/>
      <c r="H32667" s="83"/>
      <c r="K32667" s="82"/>
      <c r="M32667" s="112"/>
      <c r="N32667" s="84"/>
    </row>
    <row r="32668" spans="1:14" s="2" customFormat="1">
      <c r="A32668" s="83"/>
      <c r="H32668" s="83"/>
      <c r="K32668" s="82"/>
      <c r="M32668" s="112"/>
      <c r="N32668" s="84"/>
    </row>
    <row r="32669" spans="1:14" s="2" customFormat="1">
      <c r="A32669" s="83"/>
      <c r="H32669" s="83"/>
      <c r="K32669" s="82"/>
      <c r="M32669" s="112"/>
      <c r="N32669" s="84"/>
    </row>
    <row r="32670" spans="1:14" s="2" customFormat="1">
      <c r="A32670" s="83"/>
      <c r="H32670" s="83"/>
      <c r="K32670" s="82"/>
      <c r="M32670" s="112"/>
      <c r="N32670" s="84"/>
    </row>
    <row r="32671" spans="1:14" s="2" customFormat="1">
      <c r="A32671" s="83"/>
      <c r="H32671" s="83"/>
      <c r="K32671" s="82"/>
      <c r="M32671" s="112"/>
      <c r="N32671" s="84"/>
    </row>
    <row r="32672" spans="1:14" s="2" customFormat="1">
      <c r="A32672" s="83"/>
      <c r="H32672" s="83"/>
      <c r="K32672" s="82"/>
      <c r="M32672" s="112"/>
      <c r="N32672" s="84"/>
    </row>
    <row r="32673" spans="1:14" s="2" customFormat="1">
      <c r="A32673" s="83"/>
      <c r="H32673" s="83"/>
      <c r="K32673" s="82"/>
      <c r="M32673" s="112"/>
      <c r="N32673" s="84"/>
    </row>
    <row r="32674" spans="1:14" s="2" customFormat="1">
      <c r="A32674" s="83"/>
      <c r="H32674" s="83"/>
      <c r="K32674" s="82"/>
      <c r="M32674" s="112"/>
      <c r="N32674" s="84"/>
    </row>
    <row r="32675" spans="1:14" s="2" customFormat="1">
      <c r="A32675" s="83"/>
      <c r="H32675" s="83"/>
      <c r="K32675" s="82"/>
      <c r="M32675" s="112"/>
      <c r="N32675" s="84"/>
    </row>
    <row r="32676" spans="1:14" s="2" customFormat="1">
      <c r="A32676" s="83"/>
      <c r="H32676" s="83"/>
      <c r="K32676" s="82"/>
      <c r="M32676" s="112"/>
      <c r="N32676" s="84"/>
    </row>
    <row r="32677" spans="1:14" s="2" customFormat="1">
      <c r="A32677" s="83"/>
      <c r="H32677" s="83"/>
      <c r="K32677" s="82"/>
      <c r="M32677" s="112"/>
      <c r="N32677" s="84"/>
    </row>
    <row r="32678" spans="1:14" s="2" customFormat="1">
      <c r="A32678" s="83"/>
      <c r="H32678" s="83"/>
      <c r="K32678" s="82"/>
      <c r="M32678" s="112"/>
      <c r="N32678" s="84"/>
    </row>
    <row r="32679" spans="1:14" s="2" customFormat="1">
      <c r="A32679" s="83"/>
      <c r="H32679" s="83"/>
      <c r="K32679" s="82"/>
      <c r="M32679" s="112"/>
      <c r="N32679" s="84"/>
    </row>
    <row r="32680" spans="1:14" s="2" customFormat="1">
      <c r="A32680" s="83"/>
      <c r="H32680" s="83"/>
      <c r="K32680" s="82"/>
      <c r="M32680" s="112"/>
      <c r="N32680" s="84"/>
    </row>
    <row r="32681" spans="1:14" s="2" customFormat="1">
      <c r="A32681" s="83"/>
      <c r="H32681" s="83"/>
      <c r="K32681" s="82"/>
      <c r="M32681" s="112"/>
      <c r="N32681" s="84"/>
    </row>
    <row r="32682" spans="1:14" s="2" customFormat="1">
      <c r="A32682" s="83"/>
      <c r="H32682" s="83"/>
      <c r="K32682" s="82"/>
      <c r="M32682" s="112"/>
      <c r="N32682" s="84"/>
    </row>
    <row r="32683" spans="1:14" s="2" customFormat="1">
      <c r="A32683" s="83"/>
      <c r="H32683" s="83"/>
      <c r="K32683" s="82"/>
      <c r="M32683" s="112"/>
      <c r="N32683" s="84"/>
    </row>
    <row r="32684" spans="1:14" s="2" customFormat="1">
      <c r="A32684" s="83"/>
      <c r="H32684" s="83"/>
      <c r="K32684" s="82"/>
      <c r="M32684" s="112"/>
      <c r="N32684" s="84"/>
    </row>
    <row r="32685" spans="1:14" s="2" customFormat="1">
      <c r="A32685" s="83"/>
      <c r="H32685" s="83"/>
      <c r="K32685" s="82"/>
      <c r="M32685" s="112"/>
      <c r="N32685" s="84"/>
    </row>
    <row r="32686" spans="1:14" s="2" customFormat="1">
      <c r="A32686" s="83"/>
      <c r="H32686" s="83"/>
      <c r="K32686" s="82"/>
      <c r="M32686" s="112"/>
      <c r="N32686" s="84"/>
    </row>
    <row r="32687" spans="1:14" s="2" customFormat="1">
      <c r="A32687" s="83"/>
      <c r="H32687" s="83"/>
      <c r="K32687" s="82"/>
      <c r="M32687" s="112"/>
      <c r="N32687" s="84"/>
    </row>
    <row r="32688" spans="1:14" s="2" customFormat="1">
      <c r="A32688" s="83"/>
      <c r="H32688" s="83"/>
      <c r="K32688" s="82"/>
      <c r="M32688" s="112"/>
      <c r="N32688" s="84"/>
    </row>
    <row r="32689" spans="1:14" s="2" customFormat="1">
      <c r="A32689" s="83"/>
      <c r="H32689" s="83"/>
      <c r="K32689" s="82"/>
      <c r="M32689" s="112"/>
      <c r="N32689" s="84"/>
    </row>
    <row r="32690" spans="1:14" s="2" customFormat="1">
      <c r="A32690" s="83"/>
      <c r="H32690" s="83"/>
      <c r="K32690" s="82"/>
      <c r="M32690" s="112"/>
      <c r="N32690" s="84"/>
    </row>
    <row r="32691" spans="1:14" s="2" customFormat="1">
      <c r="A32691" s="83"/>
      <c r="H32691" s="83"/>
      <c r="K32691" s="82"/>
      <c r="M32691" s="112"/>
      <c r="N32691" s="84"/>
    </row>
    <row r="32692" spans="1:14" s="2" customFormat="1">
      <c r="A32692" s="83"/>
      <c r="H32692" s="83"/>
      <c r="K32692" s="82"/>
      <c r="M32692" s="112"/>
      <c r="N32692" s="84"/>
    </row>
    <row r="32693" spans="1:14" s="2" customFormat="1">
      <c r="A32693" s="83"/>
      <c r="H32693" s="83"/>
      <c r="K32693" s="82"/>
      <c r="M32693" s="112"/>
      <c r="N32693" s="84"/>
    </row>
    <row r="32694" spans="1:14" s="2" customFormat="1">
      <c r="A32694" s="83"/>
      <c r="H32694" s="83"/>
      <c r="K32694" s="82"/>
      <c r="M32694" s="112"/>
      <c r="N32694" s="84"/>
    </row>
    <row r="32695" spans="1:14" s="2" customFormat="1">
      <c r="A32695" s="83"/>
      <c r="H32695" s="83"/>
      <c r="K32695" s="82"/>
      <c r="M32695" s="112"/>
      <c r="N32695" s="84"/>
    </row>
    <row r="32696" spans="1:14" s="2" customFormat="1">
      <c r="A32696" s="83"/>
      <c r="H32696" s="83"/>
      <c r="K32696" s="82"/>
      <c r="M32696" s="112"/>
      <c r="N32696" s="84"/>
    </row>
    <row r="32697" spans="1:14" s="2" customFormat="1">
      <c r="A32697" s="83"/>
      <c r="H32697" s="83"/>
      <c r="K32697" s="82"/>
      <c r="M32697" s="112"/>
      <c r="N32697" s="84"/>
    </row>
    <row r="32698" spans="1:14" s="2" customFormat="1">
      <c r="A32698" s="83"/>
      <c r="H32698" s="83"/>
      <c r="K32698" s="82"/>
      <c r="M32698" s="112"/>
      <c r="N32698" s="84"/>
    </row>
    <row r="32699" spans="1:14" s="2" customFormat="1">
      <c r="A32699" s="83"/>
      <c r="H32699" s="83"/>
      <c r="K32699" s="82"/>
      <c r="M32699" s="112"/>
      <c r="N32699" s="84"/>
    </row>
    <row r="32700" spans="1:14" s="2" customFormat="1">
      <c r="A32700" s="83"/>
      <c r="H32700" s="83"/>
      <c r="K32700" s="82"/>
      <c r="M32700" s="112"/>
      <c r="N32700" s="84"/>
    </row>
    <row r="32701" spans="1:14" s="2" customFormat="1">
      <c r="A32701" s="83"/>
      <c r="H32701" s="83"/>
      <c r="K32701" s="82"/>
      <c r="M32701" s="112"/>
      <c r="N32701" s="84"/>
    </row>
    <row r="32702" spans="1:14" s="2" customFormat="1">
      <c r="A32702" s="83"/>
      <c r="H32702" s="83"/>
      <c r="K32702" s="82"/>
      <c r="M32702" s="112"/>
      <c r="N32702" s="84"/>
    </row>
    <row r="32703" spans="1:14" s="2" customFormat="1">
      <c r="A32703" s="83"/>
      <c r="H32703" s="83"/>
      <c r="K32703" s="82"/>
      <c r="M32703" s="112"/>
      <c r="N32703" s="84"/>
    </row>
    <row r="32704" spans="1:14" s="2" customFormat="1">
      <c r="A32704" s="83"/>
      <c r="H32704" s="83"/>
      <c r="K32704" s="82"/>
      <c r="M32704" s="112"/>
      <c r="N32704" s="84"/>
    </row>
    <row r="32705" spans="1:14" s="2" customFormat="1">
      <c r="A32705" s="83"/>
      <c r="H32705" s="83"/>
      <c r="K32705" s="82"/>
      <c r="M32705" s="112"/>
      <c r="N32705" s="84"/>
    </row>
    <row r="32706" spans="1:14" s="2" customFormat="1">
      <c r="A32706" s="83"/>
      <c r="H32706" s="83"/>
      <c r="K32706" s="82"/>
      <c r="M32706" s="112"/>
      <c r="N32706" s="84"/>
    </row>
    <row r="32707" spans="1:14" s="2" customFormat="1">
      <c r="A32707" s="83"/>
      <c r="H32707" s="83"/>
      <c r="K32707" s="82"/>
      <c r="M32707" s="112"/>
      <c r="N32707" s="84"/>
    </row>
    <row r="32708" spans="1:14" s="2" customFormat="1">
      <c r="A32708" s="83"/>
      <c r="H32708" s="83"/>
      <c r="K32708" s="82"/>
      <c r="M32708" s="112"/>
      <c r="N32708" s="84"/>
    </row>
    <row r="32709" spans="1:14" s="2" customFormat="1">
      <c r="A32709" s="83"/>
      <c r="H32709" s="83"/>
      <c r="K32709" s="82"/>
      <c r="M32709" s="112"/>
      <c r="N32709" s="84"/>
    </row>
    <row r="32710" spans="1:14" s="2" customFormat="1">
      <c r="A32710" s="83"/>
      <c r="H32710" s="83"/>
      <c r="K32710" s="82"/>
      <c r="M32710" s="112"/>
      <c r="N32710" s="84"/>
    </row>
    <row r="32711" spans="1:14" s="2" customFormat="1">
      <c r="A32711" s="83"/>
      <c r="H32711" s="83"/>
      <c r="K32711" s="82"/>
      <c r="M32711" s="112"/>
      <c r="N32711" s="84"/>
    </row>
    <row r="32712" spans="1:14" s="2" customFormat="1">
      <c r="A32712" s="83"/>
      <c r="H32712" s="83"/>
      <c r="K32712" s="82"/>
      <c r="M32712" s="112"/>
      <c r="N32712" s="84"/>
    </row>
    <row r="32713" spans="1:14" s="2" customFormat="1">
      <c r="A32713" s="83"/>
      <c r="H32713" s="83"/>
      <c r="K32713" s="82"/>
      <c r="M32713" s="112"/>
      <c r="N32713" s="84"/>
    </row>
    <row r="32714" spans="1:14" s="2" customFormat="1">
      <c r="A32714" s="83"/>
      <c r="H32714" s="83"/>
      <c r="K32714" s="82"/>
      <c r="M32714" s="112"/>
      <c r="N32714" s="84"/>
    </row>
    <row r="32715" spans="1:14" s="2" customFormat="1">
      <c r="A32715" s="83"/>
      <c r="H32715" s="83"/>
      <c r="K32715" s="82"/>
      <c r="M32715" s="112"/>
      <c r="N32715" s="84"/>
    </row>
    <row r="32716" spans="1:14" s="2" customFormat="1">
      <c r="A32716" s="83"/>
      <c r="H32716" s="83"/>
      <c r="K32716" s="82"/>
      <c r="M32716" s="112"/>
      <c r="N32716" s="84"/>
    </row>
    <row r="32717" spans="1:14" s="2" customFormat="1">
      <c r="A32717" s="83"/>
      <c r="H32717" s="83"/>
      <c r="K32717" s="82"/>
      <c r="M32717" s="112"/>
      <c r="N32717" s="84"/>
    </row>
    <row r="32718" spans="1:14" s="2" customFormat="1">
      <c r="A32718" s="83"/>
      <c r="H32718" s="83"/>
      <c r="K32718" s="82"/>
      <c r="M32718" s="112"/>
      <c r="N32718" s="84"/>
    </row>
    <row r="32719" spans="1:14" s="2" customFormat="1">
      <c r="A32719" s="83"/>
      <c r="H32719" s="83"/>
      <c r="K32719" s="82"/>
      <c r="M32719" s="112"/>
      <c r="N32719" s="84"/>
    </row>
    <row r="32720" spans="1:14" s="2" customFormat="1">
      <c r="A32720" s="83"/>
      <c r="H32720" s="83"/>
      <c r="K32720" s="82"/>
      <c r="M32720" s="112"/>
      <c r="N32720" s="84"/>
    </row>
    <row r="32721" spans="1:14" s="2" customFormat="1">
      <c r="A32721" s="83"/>
      <c r="H32721" s="83"/>
      <c r="K32721" s="82"/>
      <c r="M32721" s="112"/>
      <c r="N32721" s="84"/>
    </row>
    <row r="32722" spans="1:14" s="2" customFormat="1">
      <c r="A32722" s="83"/>
      <c r="H32722" s="83"/>
      <c r="K32722" s="82"/>
      <c r="M32722" s="112"/>
      <c r="N32722" s="84"/>
    </row>
    <row r="32723" spans="1:14" s="2" customFormat="1">
      <c r="A32723" s="83"/>
      <c r="H32723" s="83"/>
      <c r="K32723" s="82"/>
      <c r="M32723" s="112"/>
      <c r="N32723" s="84"/>
    </row>
    <row r="32724" spans="1:14" s="2" customFormat="1">
      <c r="A32724" s="83"/>
      <c r="H32724" s="83"/>
      <c r="K32724" s="82"/>
      <c r="M32724" s="112"/>
      <c r="N32724" s="84"/>
    </row>
    <row r="32725" spans="1:14" s="2" customFormat="1">
      <c r="A32725" s="83"/>
      <c r="H32725" s="83"/>
      <c r="K32725" s="82"/>
      <c r="M32725" s="112"/>
      <c r="N32725" s="84"/>
    </row>
    <row r="32726" spans="1:14" s="2" customFormat="1">
      <c r="A32726" s="83"/>
      <c r="H32726" s="83"/>
      <c r="K32726" s="82"/>
      <c r="M32726" s="112"/>
      <c r="N32726" s="84"/>
    </row>
    <row r="32727" spans="1:14" s="2" customFormat="1">
      <c r="A32727" s="83"/>
      <c r="H32727" s="83"/>
      <c r="K32727" s="82"/>
      <c r="M32727" s="112"/>
      <c r="N32727" s="84"/>
    </row>
    <row r="32728" spans="1:14" s="2" customFormat="1">
      <c r="A32728" s="83"/>
      <c r="H32728" s="83"/>
      <c r="K32728" s="82"/>
      <c r="M32728" s="112"/>
      <c r="N32728" s="84"/>
    </row>
    <row r="32729" spans="1:14" s="2" customFormat="1">
      <c r="A32729" s="83"/>
      <c r="H32729" s="83"/>
      <c r="K32729" s="82"/>
      <c r="M32729" s="112"/>
      <c r="N32729" s="84"/>
    </row>
    <row r="32730" spans="1:14" s="2" customFormat="1">
      <c r="A32730" s="83"/>
      <c r="H32730" s="83"/>
      <c r="K32730" s="82"/>
      <c r="M32730" s="112"/>
      <c r="N32730" s="84"/>
    </row>
    <row r="32731" spans="1:14" s="2" customFormat="1">
      <c r="A32731" s="83"/>
      <c r="H32731" s="83"/>
      <c r="K32731" s="82"/>
      <c r="M32731" s="112"/>
      <c r="N32731" s="84"/>
    </row>
    <row r="32732" spans="1:14" s="2" customFormat="1">
      <c r="A32732" s="83"/>
      <c r="H32732" s="83"/>
      <c r="K32732" s="82"/>
      <c r="M32732" s="112"/>
      <c r="N32732" s="84"/>
    </row>
    <row r="32733" spans="1:14" s="2" customFormat="1">
      <c r="A32733" s="83"/>
      <c r="H32733" s="83"/>
      <c r="K32733" s="82"/>
      <c r="M32733" s="112"/>
      <c r="N32733" s="84"/>
    </row>
    <row r="32734" spans="1:14" s="2" customFormat="1">
      <c r="A32734" s="83"/>
      <c r="H32734" s="83"/>
      <c r="K32734" s="82"/>
      <c r="M32734" s="112"/>
      <c r="N32734" s="84"/>
    </row>
    <row r="32735" spans="1:14" s="2" customFormat="1">
      <c r="A32735" s="83"/>
      <c r="H32735" s="83"/>
      <c r="K32735" s="82"/>
      <c r="M32735" s="112"/>
      <c r="N32735" s="84"/>
    </row>
    <row r="32736" spans="1:14" s="2" customFormat="1">
      <c r="A32736" s="83"/>
      <c r="H32736" s="83"/>
      <c r="K32736" s="82"/>
      <c r="M32736" s="112"/>
      <c r="N32736" s="84"/>
    </row>
    <row r="32737" spans="1:14" s="2" customFormat="1">
      <c r="A32737" s="83"/>
      <c r="H32737" s="83"/>
      <c r="K32737" s="82"/>
      <c r="M32737" s="112"/>
      <c r="N32737" s="84"/>
    </row>
    <row r="32738" spans="1:14" s="2" customFormat="1">
      <c r="A32738" s="83"/>
      <c r="H32738" s="83"/>
      <c r="K32738" s="82"/>
      <c r="M32738" s="112"/>
      <c r="N32738" s="84"/>
    </row>
    <row r="32739" spans="1:14" s="2" customFormat="1">
      <c r="A32739" s="83"/>
      <c r="H32739" s="83"/>
      <c r="K32739" s="82"/>
      <c r="M32739" s="112"/>
      <c r="N32739" s="84"/>
    </row>
    <row r="32740" spans="1:14" s="2" customFormat="1">
      <c r="A32740" s="83"/>
      <c r="H32740" s="83"/>
      <c r="K32740" s="82"/>
      <c r="M32740" s="112"/>
      <c r="N32740" s="84"/>
    </row>
    <row r="32741" spans="1:14" s="2" customFormat="1">
      <c r="A32741" s="83"/>
      <c r="H32741" s="83"/>
      <c r="K32741" s="82"/>
      <c r="M32741" s="112"/>
      <c r="N32741" s="84"/>
    </row>
    <row r="32742" spans="1:14" s="2" customFormat="1">
      <c r="A32742" s="83"/>
      <c r="H32742" s="83"/>
      <c r="K32742" s="82"/>
      <c r="M32742" s="112"/>
      <c r="N32742" s="84"/>
    </row>
    <row r="32743" spans="1:14" s="2" customFormat="1">
      <c r="A32743" s="83"/>
      <c r="H32743" s="83"/>
      <c r="K32743" s="82"/>
      <c r="M32743" s="112"/>
      <c r="N32743" s="84"/>
    </row>
    <row r="32744" spans="1:14" s="2" customFormat="1">
      <c r="A32744" s="83"/>
      <c r="H32744" s="83"/>
      <c r="K32744" s="82"/>
      <c r="M32744" s="112"/>
      <c r="N32744" s="84"/>
    </row>
    <row r="32745" spans="1:14" s="2" customFormat="1">
      <c r="A32745" s="83"/>
      <c r="H32745" s="83"/>
      <c r="K32745" s="82"/>
      <c r="M32745" s="112"/>
      <c r="N32745" s="84"/>
    </row>
    <row r="32746" spans="1:14" s="2" customFormat="1">
      <c r="A32746" s="83"/>
      <c r="H32746" s="83"/>
      <c r="K32746" s="82"/>
      <c r="M32746" s="112"/>
      <c r="N32746" s="84"/>
    </row>
    <row r="32747" spans="1:14" s="2" customFormat="1">
      <c r="A32747" s="83"/>
      <c r="H32747" s="83"/>
      <c r="K32747" s="82"/>
      <c r="M32747" s="112"/>
      <c r="N32747" s="84"/>
    </row>
    <row r="32748" spans="1:14" s="2" customFormat="1">
      <c r="A32748" s="83"/>
      <c r="H32748" s="83"/>
      <c r="K32748" s="82"/>
      <c r="M32748" s="112"/>
      <c r="N32748" s="84"/>
    </row>
    <row r="32749" spans="1:14" s="2" customFormat="1">
      <c r="A32749" s="83"/>
      <c r="H32749" s="83"/>
      <c r="K32749" s="82"/>
      <c r="M32749" s="112"/>
      <c r="N32749" s="84"/>
    </row>
    <row r="32750" spans="1:14" s="2" customFormat="1">
      <c r="A32750" s="83"/>
      <c r="H32750" s="83"/>
      <c r="K32750" s="82"/>
      <c r="M32750" s="112"/>
      <c r="N32750" s="84"/>
    </row>
    <row r="32751" spans="1:14" s="2" customFormat="1">
      <c r="A32751" s="83"/>
      <c r="H32751" s="83"/>
      <c r="K32751" s="82"/>
      <c r="M32751" s="112"/>
      <c r="N32751" s="84"/>
    </row>
    <row r="32752" spans="1:14" s="2" customFormat="1">
      <c r="A32752" s="83"/>
      <c r="H32752" s="83"/>
      <c r="K32752" s="82"/>
      <c r="M32752" s="112"/>
      <c r="N32752" s="84"/>
    </row>
    <row r="32753" spans="1:14" s="2" customFormat="1">
      <c r="A32753" s="83"/>
      <c r="H32753" s="83"/>
      <c r="K32753" s="82"/>
      <c r="M32753" s="112"/>
      <c r="N32753" s="84"/>
    </row>
    <row r="32754" spans="1:14" s="2" customFormat="1">
      <c r="A32754" s="83"/>
      <c r="H32754" s="83"/>
      <c r="K32754" s="82"/>
      <c r="M32754" s="112"/>
      <c r="N32754" s="84"/>
    </row>
    <row r="32755" spans="1:14" s="2" customFormat="1">
      <c r="A32755" s="83"/>
      <c r="H32755" s="83"/>
      <c r="K32755" s="82"/>
      <c r="M32755" s="112"/>
      <c r="N32755" s="84"/>
    </row>
    <row r="32756" spans="1:14" s="2" customFormat="1">
      <c r="A32756" s="83"/>
      <c r="H32756" s="83"/>
      <c r="K32756" s="82"/>
      <c r="M32756" s="112"/>
      <c r="N32756" s="84"/>
    </row>
    <row r="32757" spans="1:14" s="2" customFormat="1">
      <c r="A32757" s="83"/>
      <c r="H32757" s="83"/>
      <c r="K32757" s="82"/>
      <c r="M32757" s="112"/>
      <c r="N32757" s="84"/>
    </row>
    <row r="32758" spans="1:14" s="2" customFormat="1">
      <c r="A32758" s="83"/>
      <c r="H32758" s="83"/>
      <c r="K32758" s="82"/>
      <c r="M32758" s="112"/>
      <c r="N32758" s="84"/>
    </row>
    <row r="32759" spans="1:14" s="2" customFormat="1">
      <c r="A32759" s="83"/>
      <c r="H32759" s="83"/>
      <c r="K32759" s="82"/>
      <c r="M32759" s="112"/>
      <c r="N32759" s="84"/>
    </row>
    <row r="32760" spans="1:14" s="2" customFormat="1">
      <c r="A32760" s="83"/>
      <c r="H32760" s="83"/>
      <c r="K32760" s="82"/>
      <c r="M32760" s="112"/>
      <c r="N32760" s="84"/>
    </row>
    <row r="32761" spans="1:14" s="2" customFormat="1">
      <c r="A32761" s="83"/>
      <c r="H32761" s="83"/>
      <c r="K32761" s="82"/>
      <c r="M32761" s="112"/>
      <c r="N32761" s="84"/>
    </row>
    <row r="32762" spans="1:14" s="2" customFormat="1">
      <c r="A32762" s="83"/>
      <c r="H32762" s="83"/>
      <c r="K32762" s="82"/>
      <c r="M32762" s="112"/>
      <c r="N32762" s="84"/>
    </row>
    <row r="32763" spans="1:14" s="2" customFormat="1">
      <c r="A32763" s="83"/>
      <c r="H32763" s="83"/>
      <c r="K32763" s="82"/>
      <c r="M32763" s="112"/>
      <c r="N32763" s="84"/>
    </row>
    <row r="32764" spans="1:14" s="2" customFormat="1">
      <c r="A32764" s="83"/>
      <c r="H32764" s="83"/>
      <c r="K32764" s="82"/>
      <c r="M32764" s="112"/>
      <c r="N32764" s="84"/>
    </row>
    <row r="32765" spans="1:14" s="2" customFormat="1">
      <c r="A32765" s="83"/>
      <c r="H32765" s="83"/>
      <c r="K32765" s="82"/>
      <c r="M32765" s="112"/>
      <c r="N32765" s="84"/>
    </row>
    <row r="32766" spans="1:14" s="2" customFormat="1">
      <c r="A32766" s="83"/>
      <c r="H32766" s="83"/>
      <c r="K32766" s="82"/>
      <c r="M32766" s="112"/>
      <c r="N32766" s="84"/>
    </row>
    <row r="32767" spans="1:14" s="2" customFormat="1">
      <c r="A32767" s="83"/>
      <c r="H32767" s="83"/>
      <c r="K32767" s="82"/>
      <c r="M32767" s="112"/>
      <c r="N32767" s="84"/>
    </row>
    <row r="32768" spans="1:14" s="2" customFormat="1">
      <c r="A32768" s="83"/>
      <c r="H32768" s="83"/>
      <c r="K32768" s="82"/>
      <c r="M32768" s="112"/>
      <c r="N32768" s="84"/>
    </row>
    <row r="32769" spans="1:14" s="2" customFormat="1">
      <c r="A32769" s="83"/>
      <c r="H32769" s="83"/>
      <c r="K32769" s="82"/>
      <c r="M32769" s="112"/>
      <c r="N32769" s="84"/>
    </row>
    <row r="32770" spans="1:14" s="2" customFormat="1">
      <c r="A32770" s="83"/>
      <c r="H32770" s="83"/>
      <c r="K32770" s="82"/>
      <c r="M32770" s="112"/>
      <c r="N32770" s="84"/>
    </row>
    <row r="32771" spans="1:14" s="2" customFormat="1">
      <c r="A32771" s="83"/>
      <c r="H32771" s="83"/>
      <c r="K32771" s="82"/>
      <c r="M32771" s="112"/>
      <c r="N32771" s="84"/>
    </row>
    <row r="32772" spans="1:14" s="2" customFormat="1">
      <c r="A32772" s="83"/>
      <c r="H32772" s="83"/>
      <c r="K32772" s="82"/>
      <c r="M32772" s="112"/>
      <c r="N32772" s="84"/>
    </row>
    <row r="32773" spans="1:14" s="2" customFormat="1">
      <c r="A32773" s="83"/>
      <c r="H32773" s="83"/>
      <c r="K32773" s="82"/>
      <c r="M32773" s="112"/>
      <c r="N32773" s="84"/>
    </row>
    <row r="32774" spans="1:14" s="2" customFormat="1">
      <c r="A32774" s="83"/>
      <c r="H32774" s="83"/>
      <c r="K32774" s="82"/>
      <c r="M32774" s="112"/>
      <c r="N32774" s="84"/>
    </row>
    <row r="32775" spans="1:14" s="2" customFormat="1">
      <c r="A32775" s="83"/>
      <c r="H32775" s="83"/>
      <c r="K32775" s="82"/>
      <c r="M32775" s="112"/>
      <c r="N32775" s="84"/>
    </row>
    <row r="32776" spans="1:14" s="2" customFormat="1">
      <c r="A32776" s="83"/>
      <c r="H32776" s="83"/>
      <c r="K32776" s="82"/>
      <c r="M32776" s="112"/>
      <c r="N32776" s="84"/>
    </row>
    <row r="32777" spans="1:14" s="2" customFormat="1">
      <c r="A32777" s="83"/>
      <c r="H32777" s="83"/>
      <c r="K32777" s="82"/>
      <c r="M32777" s="112"/>
      <c r="N32777" s="84"/>
    </row>
    <row r="32778" spans="1:14" s="2" customFormat="1">
      <c r="A32778" s="83"/>
      <c r="H32778" s="83"/>
      <c r="K32778" s="82"/>
      <c r="M32778" s="112"/>
      <c r="N32778" s="84"/>
    </row>
    <row r="32779" spans="1:14" s="2" customFormat="1">
      <c r="A32779" s="83"/>
      <c r="H32779" s="83"/>
      <c r="K32779" s="82"/>
      <c r="M32779" s="112"/>
      <c r="N32779" s="84"/>
    </row>
    <row r="32780" spans="1:14" s="2" customFormat="1">
      <c r="A32780" s="83"/>
      <c r="H32780" s="83"/>
      <c r="K32780" s="82"/>
      <c r="M32780" s="112"/>
      <c r="N32780" s="84"/>
    </row>
    <row r="32781" spans="1:14" s="2" customFormat="1">
      <c r="A32781" s="83"/>
      <c r="H32781" s="83"/>
      <c r="K32781" s="82"/>
      <c r="M32781" s="112"/>
      <c r="N32781" s="84"/>
    </row>
    <row r="32782" spans="1:14" s="2" customFormat="1">
      <c r="A32782" s="83"/>
      <c r="H32782" s="83"/>
      <c r="K32782" s="82"/>
      <c r="M32782" s="112"/>
      <c r="N32782" s="84"/>
    </row>
    <row r="32783" spans="1:14" s="2" customFormat="1">
      <c r="A32783" s="83"/>
      <c r="H32783" s="83"/>
      <c r="K32783" s="82"/>
      <c r="M32783" s="112"/>
      <c r="N32783" s="84"/>
    </row>
    <row r="32784" spans="1:14" s="2" customFormat="1">
      <c r="A32784" s="83"/>
      <c r="H32784" s="83"/>
      <c r="K32784" s="82"/>
      <c r="M32784" s="112"/>
      <c r="N32784" s="84"/>
    </row>
    <row r="32785" spans="1:14" s="2" customFormat="1">
      <c r="A32785" s="83"/>
      <c r="H32785" s="83"/>
      <c r="K32785" s="82"/>
      <c r="M32785" s="112"/>
      <c r="N32785" s="84"/>
    </row>
    <row r="32786" spans="1:14" s="2" customFormat="1">
      <c r="A32786" s="83"/>
      <c r="H32786" s="83"/>
      <c r="K32786" s="82"/>
      <c r="M32786" s="112"/>
      <c r="N32786" s="84"/>
    </row>
    <row r="32787" spans="1:14" s="2" customFormat="1">
      <c r="A32787" s="83"/>
      <c r="H32787" s="83"/>
      <c r="K32787" s="82"/>
      <c r="M32787" s="112"/>
      <c r="N32787" s="84"/>
    </row>
    <row r="32788" spans="1:14" s="2" customFormat="1">
      <c r="A32788" s="83"/>
      <c r="H32788" s="83"/>
      <c r="K32788" s="82"/>
      <c r="M32788" s="112"/>
      <c r="N32788" s="84"/>
    </row>
    <row r="32789" spans="1:14" s="2" customFormat="1">
      <c r="A32789" s="83"/>
      <c r="H32789" s="83"/>
      <c r="K32789" s="82"/>
      <c r="M32789" s="112"/>
      <c r="N32789" s="84"/>
    </row>
    <row r="32790" spans="1:14" s="2" customFormat="1">
      <c r="A32790" s="83"/>
      <c r="H32790" s="83"/>
      <c r="K32790" s="82"/>
      <c r="M32790" s="112"/>
      <c r="N32790" s="84"/>
    </row>
    <row r="32791" spans="1:14" s="2" customFormat="1">
      <c r="A32791" s="83"/>
      <c r="H32791" s="83"/>
      <c r="K32791" s="82"/>
      <c r="M32791" s="112"/>
      <c r="N32791" s="84"/>
    </row>
    <row r="32792" spans="1:14" s="2" customFormat="1">
      <c r="A32792" s="83"/>
      <c r="H32792" s="83"/>
      <c r="K32792" s="82"/>
      <c r="M32792" s="112"/>
      <c r="N32792" s="84"/>
    </row>
    <row r="32793" spans="1:14" s="2" customFormat="1">
      <c r="A32793" s="83"/>
      <c r="H32793" s="83"/>
      <c r="K32793" s="82"/>
      <c r="M32793" s="112"/>
      <c r="N32793" s="84"/>
    </row>
    <row r="32794" spans="1:14" s="2" customFormat="1">
      <c r="A32794" s="83"/>
      <c r="H32794" s="83"/>
      <c r="K32794" s="82"/>
      <c r="M32794" s="112"/>
      <c r="N32794" s="84"/>
    </row>
    <row r="32795" spans="1:14" s="2" customFormat="1">
      <c r="A32795" s="83"/>
      <c r="H32795" s="83"/>
      <c r="K32795" s="82"/>
      <c r="M32795" s="112"/>
      <c r="N32795" s="84"/>
    </row>
    <row r="32796" spans="1:14" s="2" customFormat="1">
      <c r="A32796" s="83"/>
      <c r="H32796" s="83"/>
      <c r="K32796" s="82"/>
      <c r="M32796" s="112"/>
      <c r="N32796" s="84"/>
    </row>
    <row r="32797" spans="1:14" s="2" customFormat="1">
      <c r="A32797" s="83"/>
      <c r="H32797" s="83"/>
      <c r="K32797" s="82"/>
      <c r="M32797" s="112"/>
      <c r="N32797" s="84"/>
    </row>
    <row r="32798" spans="1:14" s="2" customFormat="1">
      <c r="A32798" s="83"/>
      <c r="H32798" s="83"/>
      <c r="K32798" s="82"/>
      <c r="M32798" s="112"/>
      <c r="N32798" s="84"/>
    </row>
    <row r="32799" spans="1:14" s="2" customFormat="1">
      <c r="A32799" s="83"/>
      <c r="H32799" s="83"/>
      <c r="K32799" s="82"/>
      <c r="M32799" s="112"/>
      <c r="N32799" s="84"/>
    </row>
    <row r="32800" spans="1:14" s="2" customFormat="1">
      <c r="A32800" s="83"/>
      <c r="H32800" s="83"/>
      <c r="K32800" s="82"/>
      <c r="M32800" s="112"/>
      <c r="N32800" s="84"/>
    </row>
    <row r="32801" spans="1:14" s="2" customFormat="1">
      <c r="A32801" s="83"/>
      <c r="H32801" s="83"/>
      <c r="K32801" s="82"/>
      <c r="M32801" s="112"/>
      <c r="N32801" s="84"/>
    </row>
    <row r="32802" spans="1:14" s="2" customFormat="1">
      <c r="A32802" s="83"/>
      <c r="H32802" s="83"/>
      <c r="K32802" s="82"/>
      <c r="M32802" s="112"/>
      <c r="N32802" s="84"/>
    </row>
    <row r="32803" spans="1:14" s="2" customFormat="1">
      <c r="A32803" s="83"/>
      <c r="H32803" s="83"/>
      <c r="K32803" s="82"/>
      <c r="M32803" s="112"/>
      <c r="N32803" s="84"/>
    </row>
    <row r="32804" spans="1:14" s="2" customFormat="1">
      <c r="A32804" s="83"/>
      <c r="H32804" s="83"/>
      <c r="K32804" s="82"/>
      <c r="M32804" s="112"/>
      <c r="N32804" s="84"/>
    </row>
    <row r="32805" spans="1:14" s="2" customFormat="1">
      <c r="A32805" s="83"/>
      <c r="H32805" s="83"/>
      <c r="K32805" s="82"/>
      <c r="M32805" s="112"/>
      <c r="N32805" s="84"/>
    </row>
    <row r="32806" spans="1:14" s="2" customFormat="1">
      <c r="A32806" s="83"/>
      <c r="H32806" s="83"/>
      <c r="K32806" s="82"/>
      <c r="M32806" s="112"/>
      <c r="N32806" s="84"/>
    </row>
    <row r="32807" spans="1:14" s="2" customFormat="1">
      <c r="A32807" s="83"/>
      <c r="H32807" s="83"/>
      <c r="K32807" s="82"/>
      <c r="M32807" s="112"/>
      <c r="N32807" s="84"/>
    </row>
    <row r="32808" spans="1:14" s="2" customFormat="1">
      <c r="A32808" s="83"/>
      <c r="H32808" s="83"/>
      <c r="K32808" s="82"/>
      <c r="M32808" s="112"/>
      <c r="N32808" s="84"/>
    </row>
    <row r="32809" spans="1:14" s="2" customFormat="1">
      <c r="A32809" s="83"/>
      <c r="H32809" s="83"/>
      <c r="K32809" s="82"/>
      <c r="M32809" s="112"/>
      <c r="N32809" s="84"/>
    </row>
    <row r="32810" spans="1:14" s="2" customFormat="1">
      <c r="A32810" s="83"/>
      <c r="H32810" s="83"/>
      <c r="K32810" s="82"/>
      <c r="M32810" s="112"/>
      <c r="N32810" s="84"/>
    </row>
    <row r="32811" spans="1:14" s="2" customFormat="1">
      <c r="A32811" s="83"/>
      <c r="H32811" s="83"/>
      <c r="K32811" s="82"/>
      <c r="M32811" s="112"/>
      <c r="N32811" s="84"/>
    </row>
    <row r="32812" spans="1:14" s="2" customFormat="1">
      <c r="A32812" s="83"/>
      <c r="H32812" s="83"/>
      <c r="K32812" s="82"/>
      <c r="M32812" s="112"/>
      <c r="N32812" s="84"/>
    </row>
    <row r="32813" spans="1:14" s="2" customFormat="1">
      <c r="A32813" s="83"/>
      <c r="H32813" s="83"/>
      <c r="K32813" s="82"/>
      <c r="M32813" s="112"/>
      <c r="N32813" s="84"/>
    </row>
    <row r="32814" spans="1:14" s="2" customFormat="1">
      <c r="A32814" s="83"/>
      <c r="H32814" s="83"/>
      <c r="K32814" s="82"/>
      <c r="M32814" s="112"/>
      <c r="N32814" s="84"/>
    </row>
    <row r="32815" spans="1:14" s="2" customFormat="1">
      <c r="A32815" s="83"/>
      <c r="H32815" s="83"/>
      <c r="K32815" s="82"/>
      <c r="M32815" s="112"/>
      <c r="N32815" s="84"/>
    </row>
    <row r="32816" spans="1:14" s="2" customFormat="1">
      <c r="A32816" s="83"/>
      <c r="H32816" s="83"/>
      <c r="K32816" s="82"/>
      <c r="M32816" s="112"/>
      <c r="N32816" s="84"/>
    </row>
    <row r="32817" spans="1:14" s="2" customFormat="1">
      <c r="A32817" s="83"/>
      <c r="H32817" s="83"/>
      <c r="K32817" s="82"/>
      <c r="M32817" s="112"/>
      <c r="N32817" s="84"/>
    </row>
    <row r="32818" spans="1:14" s="2" customFormat="1">
      <c r="A32818" s="83"/>
      <c r="H32818" s="83"/>
      <c r="K32818" s="82"/>
      <c r="M32818" s="112"/>
      <c r="N32818" s="84"/>
    </row>
    <row r="32819" spans="1:14" s="2" customFormat="1">
      <c r="A32819" s="83"/>
      <c r="H32819" s="83"/>
      <c r="K32819" s="82"/>
      <c r="M32819" s="112"/>
      <c r="N32819" s="84"/>
    </row>
    <row r="32820" spans="1:14" s="2" customFormat="1">
      <c r="A32820" s="83"/>
      <c r="H32820" s="83"/>
      <c r="K32820" s="82"/>
      <c r="M32820" s="112"/>
      <c r="N32820" s="84"/>
    </row>
    <row r="32821" spans="1:14" s="2" customFormat="1">
      <c r="A32821" s="83"/>
      <c r="H32821" s="83"/>
      <c r="K32821" s="82"/>
      <c r="M32821" s="112"/>
      <c r="N32821" s="84"/>
    </row>
    <row r="32822" spans="1:14" s="2" customFormat="1">
      <c r="A32822" s="83"/>
      <c r="H32822" s="83"/>
      <c r="K32822" s="82"/>
      <c r="M32822" s="112"/>
      <c r="N32822" s="84"/>
    </row>
    <row r="32823" spans="1:14" s="2" customFormat="1">
      <c r="A32823" s="83"/>
      <c r="H32823" s="83"/>
      <c r="K32823" s="82"/>
      <c r="M32823" s="112"/>
      <c r="N32823" s="84"/>
    </row>
    <row r="32824" spans="1:14" s="2" customFormat="1">
      <c r="A32824" s="83"/>
      <c r="H32824" s="83"/>
      <c r="K32824" s="82"/>
      <c r="M32824" s="112"/>
      <c r="N32824" s="84"/>
    </row>
    <row r="32825" spans="1:14" s="2" customFormat="1">
      <c r="A32825" s="83"/>
      <c r="H32825" s="83"/>
      <c r="K32825" s="82"/>
      <c r="M32825" s="112"/>
      <c r="N32825" s="84"/>
    </row>
    <row r="32826" spans="1:14" s="2" customFormat="1">
      <c r="A32826" s="83"/>
      <c r="H32826" s="83"/>
      <c r="K32826" s="82"/>
      <c r="M32826" s="112"/>
      <c r="N32826" s="84"/>
    </row>
    <row r="32827" spans="1:14" s="2" customFormat="1">
      <c r="A32827" s="83"/>
      <c r="H32827" s="83"/>
      <c r="K32827" s="82"/>
      <c r="M32827" s="112"/>
      <c r="N32827" s="84"/>
    </row>
    <row r="32828" spans="1:14" s="2" customFormat="1">
      <c r="A32828" s="83"/>
      <c r="H32828" s="83"/>
      <c r="K32828" s="82"/>
      <c r="M32828" s="112"/>
      <c r="N32828" s="84"/>
    </row>
    <row r="32829" spans="1:14" s="2" customFormat="1">
      <c r="A32829" s="83"/>
      <c r="H32829" s="83"/>
      <c r="K32829" s="82"/>
      <c r="M32829" s="112"/>
      <c r="N32829" s="84"/>
    </row>
    <row r="32830" spans="1:14" s="2" customFormat="1">
      <c r="A32830" s="83"/>
      <c r="H32830" s="83"/>
      <c r="K32830" s="82"/>
      <c r="M32830" s="112"/>
      <c r="N32830" s="84"/>
    </row>
    <row r="32831" spans="1:14" s="2" customFormat="1">
      <c r="A32831" s="83"/>
      <c r="H32831" s="83"/>
      <c r="K32831" s="82"/>
      <c r="M32831" s="112"/>
      <c r="N32831" s="84"/>
    </row>
    <row r="32832" spans="1:14" s="2" customFormat="1">
      <c r="A32832" s="83"/>
      <c r="H32832" s="83"/>
      <c r="K32832" s="82"/>
      <c r="M32832" s="112"/>
      <c r="N32832" s="84"/>
    </row>
    <row r="32833" spans="1:14" s="2" customFormat="1">
      <c r="A32833" s="83"/>
      <c r="H32833" s="83"/>
      <c r="K32833" s="82"/>
      <c r="M32833" s="112"/>
      <c r="N32833" s="84"/>
    </row>
    <row r="32834" spans="1:14" s="2" customFormat="1">
      <c r="A32834" s="83"/>
      <c r="H32834" s="83"/>
      <c r="K32834" s="82"/>
      <c r="M32834" s="112"/>
      <c r="N32834" s="84"/>
    </row>
    <row r="32835" spans="1:14" s="2" customFormat="1">
      <c r="A32835" s="83"/>
      <c r="H32835" s="83"/>
      <c r="K32835" s="82"/>
      <c r="M32835" s="112"/>
      <c r="N32835" s="84"/>
    </row>
    <row r="32836" spans="1:14" s="2" customFormat="1">
      <c r="A32836" s="83"/>
      <c r="H32836" s="83"/>
      <c r="K32836" s="82"/>
      <c r="M32836" s="112"/>
      <c r="N32836" s="84"/>
    </row>
    <row r="32837" spans="1:14" s="2" customFormat="1">
      <c r="A32837" s="83"/>
      <c r="H32837" s="83"/>
      <c r="K32837" s="82"/>
      <c r="M32837" s="112"/>
      <c r="N32837" s="84"/>
    </row>
    <row r="32838" spans="1:14" s="2" customFormat="1">
      <c r="A32838" s="83"/>
      <c r="H32838" s="83"/>
      <c r="K32838" s="82"/>
      <c r="M32838" s="112"/>
      <c r="N32838" s="84"/>
    </row>
    <row r="32839" spans="1:14" s="2" customFormat="1">
      <c r="A32839" s="83"/>
      <c r="H32839" s="83"/>
      <c r="K32839" s="82"/>
      <c r="M32839" s="112"/>
      <c r="N32839" s="84"/>
    </row>
    <row r="32840" spans="1:14" s="2" customFormat="1">
      <c r="A32840" s="83"/>
      <c r="H32840" s="83"/>
      <c r="K32840" s="82"/>
      <c r="M32840" s="112"/>
      <c r="N32840" s="84"/>
    </row>
    <row r="32841" spans="1:14" s="2" customFormat="1">
      <c r="A32841" s="83"/>
      <c r="H32841" s="83"/>
      <c r="K32841" s="82"/>
      <c r="M32841" s="112"/>
      <c r="N32841" s="84"/>
    </row>
    <row r="32842" spans="1:14" s="2" customFormat="1">
      <c r="A32842" s="83"/>
      <c r="H32842" s="83"/>
      <c r="K32842" s="82"/>
      <c r="M32842" s="112"/>
      <c r="N32842" s="84"/>
    </row>
    <row r="32843" spans="1:14" s="2" customFormat="1">
      <c r="A32843" s="83"/>
      <c r="H32843" s="83"/>
      <c r="K32843" s="82"/>
      <c r="M32843" s="112"/>
      <c r="N32843" s="84"/>
    </row>
    <row r="32844" spans="1:14" s="2" customFormat="1">
      <c r="A32844" s="83"/>
      <c r="H32844" s="83"/>
      <c r="K32844" s="82"/>
      <c r="M32844" s="112"/>
      <c r="N32844" s="84"/>
    </row>
    <row r="32845" spans="1:14" s="2" customFormat="1">
      <c r="A32845" s="83"/>
      <c r="H32845" s="83"/>
      <c r="K32845" s="82"/>
      <c r="M32845" s="112"/>
      <c r="N32845" s="84"/>
    </row>
    <row r="32846" spans="1:14" s="2" customFormat="1">
      <c r="A32846" s="83"/>
      <c r="H32846" s="83"/>
      <c r="K32846" s="82"/>
      <c r="M32846" s="112"/>
      <c r="N32846" s="84"/>
    </row>
    <row r="32847" spans="1:14" s="2" customFormat="1">
      <c r="A32847" s="83"/>
      <c r="H32847" s="83"/>
      <c r="K32847" s="82"/>
      <c r="M32847" s="112"/>
      <c r="N32847" s="84"/>
    </row>
    <row r="32848" spans="1:14" s="2" customFormat="1">
      <c r="A32848" s="83"/>
      <c r="H32848" s="83"/>
      <c r="K32848" s="82"/>
      <c r="M32848" s="112"/>
      <c r="N32848" s="84"/>
    </row>
    <row r="32849" spans="1:14" s="2" customFormat="1">
      <c r="A32849" s="83"/>
      <c r="H32849" s="83"/>
      <c r="K32849" s="82"/>
      <c r="M32849" s="112"/>
      <c r="N32849" s="84"/>
    </row>
    <row r="32850" spans="1:14" s="2" customFormat="1">
      <c r="A32850" s="83"/>
      <c r="H32850" s="83"/>
      <c r="K32850" s="82"/>
      <c r="M32850" s="112"/>
      <c r="N32850" s="84"/>
    </row>
    <row r="32851" spans="1:14" s="2" customFormat="1">
      <c r="A32851" s="83"/>
      <c r="H32851" s="83"/>
      <c r="K32851" s="82"/>
      <c r="M32851" s="112"/>
      <c r="N32851" s="84"/>
    </row>
    <row r="32852" spans="1:14" s="2" customFormat="1">
      <c r="A32852" s="83"/>
      <c r="H32852" s="83"/>
      <c r="K32852" s="82"/>
      <c r="M32852" s="112"/>
      <c r="N32852" s="84"/>
    </row>
    <row r="32853" spans="1:14" s="2" customFormat="1">
      <c r="A32853" s="83"/>
      <c r="H32853" s="83"/>
      <c r="K32853" s="82"/>
      <c r="M32853" s="112"/>
      <c r="N32853" s="84"/>
    </row>
    <row r="32854" spans="1:14" s="2" customFormat="1">
      <c r="A32854" s="83"/>
      <c r="H32854" s="83"/>
      <c r="K32854" s="82"/>
      <c r="M32854" s="112"/>
      <c r="N32854" s="84"/>
    </row>
    <row r="32855" spans="1:14" s="2" customFormat="1">
      <c r="A32855" s="83"/>
      <c r="H32855" s="83"/>
      <c r="K32855" s="82"/>
      <c r="M32855" s="112"/>
      <c r="N32855" s="84"/>
    </row>
    <row r="32856" spans="1:14" s="2" customFormat="1">
      <c r="A32856" s="83"/>
      <c r="H32856" s="83"/>
      <c r="K32856" s="82"/>
      <c r="M32856" s="112"/>
      <c r="N32856" s="84"/>
    </row>
    <row r="32857" spans="1:14" s="2" customFormat="1">
      <c r="A32857" s="83"/>
      <c r="H32857" s="83"/>
      <c r="K32857" s="82"/>
      <c r="M32857" s="112"/>
      <c r="N32857" s="84"/>
    </row>
    <row r="32858" spans="1:14" s="2" customFormat="1">
      <c r="A32858" s="83"/>
      <c r="H32858" s="83"/>
      <c r="K32858" s="82"/>
      <c r="M32858" s="112"/>
      <c r="N32858" s="84"/>
    </row>
    <row r="32859" spans="1:14" s="2" customFormat="1">
      <c r="A32859" s="83"/>
      <c r="H32859" s="83"/>
      <c r="K32859" s="82"/>
      <c r="M32859" s="112"/>
      <c r="N32859" s="84"/>
    </row>
    <row r="32860" spans="1:14" s="2" customFormat="1">
      <c r="A32860" s="83"/>
      <c r="H32860" s="83"/>
      <c r="K32860" s="82"/>
      <c r="M32860" s="112"/>
      <c r="N32860" s="84"/>
    </row>
    <row r="32861" spans="1:14" s="2" customFormat="1">
      <c r="A32861" s="83"/>
      <c r="H32861" s="83"/>
      <c r="K32861" s="82"/>
      <c r="M32861" s="112"/>
      <c r="N32861" s="84"/>
    </row>
    <row r="32862" spans="1:14" s="2" customFormat="1">
      <c r="A32862" s="83"/>
      <c r="H32862" s="83"/>
      <c r="K32862" s="82"/>
      <c r="M32862" s="112"/>
      <c r="N32862" s="84"/>
    </row>
    <row r="32863" spans="1:14" s="2" customFormat="1">
      <c r="A32863" s="83"/>
      <c r="H32863" s="83"/>
      <c r="K32863" s="82"/>
      <c r="M32863" s="112"/>
      <c r="N32863" s="84"/>
    </row>
    <row r="32864" spans="1:14" s="2" customFormat="1">
      <c r="A32864" s="83"/>
      <c r="H32864" s="83"/>
      <c r="K32864" s="82"/>
      <c r="M32864" s="112"/>
      <c r="N32864" s="84"/>
    </row>
    <row r="32865" spans="1:14" s="2" customFormat="1">
      <c r="A32865" s="83"/>
      <c r="H32865" s="83"/>
      <c r="K32865" s="82"/>
      <c r="M32865" s="112"/>
      <c r="N32865" s="84"/>
    </row>
    <row r="32866" spans="1:14" s="2" customFormat="1">
      <c r="A32866" s="83"/>
      <c r="H32866" s="83"/>
      <c r="K32866" s="82"/>
      <c r="M32866" s="112"/>
      <c r="N32866" s="84"/>
    </row>
    <row r="32867" spans="1:14" s="2" customFormat="1">
      <c r="A32867" s="83"/>
      <c r="H32867" s="83"/>
      <c r="K32867" s="82"/>
      <c r="M32867" s="112"/>
      <c r="N32867" s="84"/>
    </row>
    <row r="32868" spans="1:14" s="2" customFormat="1">
      <c r="A32868" s="83"/>
      <c r="H32868" s="83"/>
      <c r="K32868" s="82"/>
      <c r="M32868" s="112"/>
      <c r="N32868" s="84"/>
    </row>
    <row r="32869" spans="1:14" s="2" customFormat="1">
      <c r="A32869" s="83"/>
      <c r="H32869" s="83"/>
      <c r="K32869" s="82"/>
      <c r="M32869" s="112"/>
      <c r="N32869" s="84"/>
    </row>
    <row r="32870" spans="1:14" s="2" customFormat="1">
      <c r="A32870" s="83"/>
      <c r="H32870" s="83"/>
      <c r="K32870" s="82"/>
      <c r="M32870" s="112"/>
      <c r="N32870" s="84"/>
    </row>
    <row r="32871" spans="1:14" s="2" customFormat="1">
      <c r="A32871" s="83"/>
      <c r="H32871" s="83"/>
      <c r="K32871" s="82"/>
      <c r="M32871" s="112"/>
      <c r="N32871" s="84"/>
    </row>
    <row r="32872" spans="1:14" s="2" customFormat="1">
      <c r="A32872" s="83"/>
      <c r="H32872" s="83"/>
      <c r="K32872" s="82"/>
      <c r="M32872" s="112"/>
      <c r="N32872" s="84"/>
    </row>
    <row r="32873" spans="1:14" s="2" customFormat="1">
      <c r="A32873" s="83"/>
      <c r="H32873" s="83"/>
      <c r="K32873" s="82"/>
      <c r="M32873" s="112"/>
      <c r="N32873" s="84"/>
    </row>
    <row r="32874" spans="1:14" s="2" customFormat="1">
      <c r="A32874" s="83"/>
      <c r="H32874" s="83"/>
      <c r="K32874" s="82"/>
      <c r="M32874" s="112"/>
      <c r="N32874" s="84"/>
    </row>
    <row r="32875" spans="1:14" s="2" customFormat="1">
      <c r="A32875" s="83"/>
      <c r="H32875" s="83"/>
      <c r="K32875" s="82"/>
      <c r="M32875" s="112"/>
      <c r="N32875" s="84"/>
    </row>
    <row r="32876" spans="1:14" s="2" customFormat="1">
      <c r="A32876" s="83"/>
      <c r="H32876" s="83"/>
      <c r="K32876" s="82"/>
      <c r="M32876" s="112"/>
      <c r="N32876" s="84"/>
    </row>
    <row r="32877" spans="1:14" s="2" customFormat="1">
      <c r="A32877" s="83"/>
      <c r="H32877" s="83"/>
      <c r="K32877" s="82"/>
      <c r="M32877" s="112"/>
      <c r="N32877" s="84"/>
    </row>
    <row r="32878" spans="1:14" s="2" customFormat="1">
      <c r="A32878" s="83"/>
      <c r="H32878" s="83"/>
      <c r="K32878" s="82"/>
      <c r="M32878" s="112"/>
      <c r="N32878" s="84"/>
    </row>
    <row r="32879" spans="1:14" s="2" customFormat="1">
      <c r="A32879" s="83"/>
      <c r="H32879" s="83"/>
      <c r="K32879" s="82"/>
      <c r="M32879" s="112"/>
      <c r="N32879" s="84"/>
    </row>
    <row r="32880" spans="1:14" s="2" customFormat="1">
      <c r="A32880" s="83"/>
      <c r="H32880" s="83"/>
      <c r="K32880" s="82"/>
      <c r="M32880" s="112"/>
      <c r="N32880" s="84"/>
    </row>
    <row r="32881" spans="1:14" s="2" customFormat="1">
      <c r="A32881" s="83"/>
      <c r="H32881" s="83"/>
      <c r="K32881" s="82"/>
      <c r="M32881" s="112"/>
      <c r="N32881" s="84"/>
    </row>
    <row r="32882" spans="1:14" s="2" customFormat="1">
      <c r="A32882" s="83"/>
      <c r="H32882" s="83"/>
      <c r="K32882" s="82"/>
      <c r="M32882" s="112"/>
      <c r="N32882" s="84"/>
    </row>
    <row r="32883" spans="1:14" s="2" customFormat="1">
      <c r="A32883" s="83"/>
      <c r="H32883" s="83"/>
      <c r="K32883" s="82"/>
      <c r="M32883" s="112"/>
      <c r="N32883" s="84"/>
    </row>
    <row r="32884" spans="1:14" s="2" customFormat="1">
      <c r="A32884" s="83"/>
      <c r="H32884" s="83"/>
      <c r="K32884" s="82"/>
      <c r="M32884" s="112"/>
      <c r="N32884" s="84"/>
    </row>
    <row r="32885" spans="1:14" s="2" customFormat="1">
      <c r="A32885" s="83"/>
      <c r="H32885" s="83"/>
      <c r="K32885" s="82"/>
      <c r="M32885" s="112"/>
      <c r="N32885" s="84"/>
    </row>
    <row r="32886" spans="1:14" s="2" customFormat="1">
      <c r="A32886" s="83"/>
      <c r="H32886" s="83"/>
      <c r="K32886" s="82"/>
      <c r="M32886" s="112"/>
      <c r="N32886" s="84"/>
    </row>
    <row r="32887" spans="1:14" s="2" customFormat="1">
      <c r="A32887" s="83"/>
      <c r="H32887" s="83"/>
      <c r="K32887" s="82"/>
      <c r="M32887" s="112"/>
      <c r="N32887" s="84"/>
    </row>
    <row r="32888" spans="1:14" s="2" customFormat="1">
      <c r="A32888" s="83"/>
      <c r="H32888" s="83"/>
      <c r="K32888" s="82"/>
      <c r="M32888" s="112"/>
      <c r="N32888" s="84"/>
    </row>
    <row r="32889" spans="1:14" s="2" customFormat="1">
      <c r="A32889" s="83"/>
      <c r="H32889" s="83"/>
      <c r="K32889" s="82"/>
      <c r="M32889" s="112"/>
      <c r="N32889" s="84"/>
    </row>
    <row r="32890" spans="1:14" s="2" customFormat="1">
      <c r="A32890" s="83"/>
      <c r="H32890" s="83"/>
      <c r="K32890" s="82"/>
      <c r="M32890" s="112"/>
      <c r="N32890" s="84"/>
    </row>
    <row r="32891" spans="1:14" s="2" customFormat="1">
      <c r="A32891" s="83"/>
      <c r="H32891" s="83"/>
      <c r="K32891" s="82"/>
      <c r="M32891" s="112"/>
      <c r="N32891" s="84"/>
    </row>
    <row r="32892" spans="1:14" s="2" customFormat="1">
      <c r="A32892" s="83"/>
      <c r="H32892" s="83"/>
      <c r="K32892" s="82"/>
      <c r="M32892" s="112"/>
      <c r="N32892" s="84"/>
    </row>
    <row r="32893" spans="1:14" s="2" customFormat="1">
      <c r="A32893" s="83"/>
      <c r="H32893" s="83"/>
      <c r="K32893" s="82"/>
      <c r="M32893" s="112"/>
      <c r="N32893" s="84"/>
    </row>
    <row r="32894" spans="1:14" s="2" customFormat="1">
      <c r="A32894" s="83"/>
      <c r="H32894" s="83"/>
      <c r="K32894" s="82"/>
      <c r="M32894" s="112"/>
      <c r="N32894" s="84"/>
    </row>
    <row r="32895" spans="1:14" s="2" customFormat="1">
      <c r="A32895" s="83"/>
      <c r="H32895" s="83"/>
      <c r="K32895" s="82"/>
      <c r="M32895" s="112"/>
      <c r="N32895" s="84"/>
    </row>
    <row r="32896" spans="1:14" s="2" customFormat="1">
      <c r="A32896" s="83"/>
      <c r="H32896" s="83"/>
      <c r="K32896" s="82"/>
      <c r="M32896" s="112"/>
      <c r="N32896" s="84"/>
    </row>
    <row r="32897" spans="1:14" s="2" customFormat="1">
      <c r="A32897" s="83"/>
      <c r="H32897" s="83"/>
      <c r="K32897" s="82"/>
      <c r="M32897" s="112"/>
      <c r="N32897" s="84"/>
    </row>
    <row r="32898" spans="1:14" s="2" customFormat="1">
      <c r="A32898" s="83"/>
      <c r="H32898" s="83"/>
      <c r="K32898" s="82"/>
      <c r="M32898" s="112"/>
      <c r="N32898" s="84"/>
    </row>
    <row r="32899" spans="1:14" s="2" customFormat="1">
      <c r="A32899" s="83"/>
      <c r="H32899" s="83"/>
      <c r="K32899" s="82"/>
      <c r="M32899" s="112"/>
      <c r="N32899" s="84"/>
    </row>
    <row r="32900" spans="1:14" s="2" customFormat="1">
      <c r="A32900" s="83"/>
      <c r="H32900" s="83"/>
      <c r="K32900" s="82"/>
      <c r="M32900" s="112"/>
      <c r="N32900" s="84"/>
    </row>
    <row r="32901" spans="1:14" s="2" customFormat="1">
      <c r="A32901" s="83"/>
      <c r="H32901" s="83"/>
      <c r="K32901" s="82"/>
      <c r="M32901" s="112"/>
      <c r="N32901" s="84"/>
    </row>
    <row r="32902" spans="1:14" s="2" customFormat="1">
      <c r="A32902" s="83"/>
      <c r="H32902" s="83"/>
      <c r="K32902" s="82"/>
      <c r="M32902" s="112"/>
      <c r="N32902" s="84"/>
    </row>
    <row r="32903" spans="1:14" s="2" customFormat="1">
      <c r="A32903" s="83"/>
      <c r="H32903" s="83"/>
      <c r="K32903" s="82"/>
      <c r="M32903" s="112"/>
      <c r="N32903" s="84"/>
    </row>
    <row r="32904" spans="1:14" s="2" customFormat="1">
      <c r="A32904" s="83"/>
      <c r="H32904" s="83"/>
      <c r="K32904" s="82"/>
      <c r="M32904" s="112"/>
      <c r="N32904" s="84"/>
    </row>
    <row r="32905" spans="1:14" s="2" customFormat="1">
      <c r="A32905" s="83"/>
      <c r="H32905" s="83"/>
      <c r="K32905" s="82"/>
      <c r="M32905" s="112"/>
      <c r="N32905" s="84"/>
    </row>
    <row r="32906" spans="1:14" s="2" customFormat="1">
      <c r="A32906" s="83"/>
      <c r="H32906" s="83"/>
      <c r="K32906" s="82"/>
      <c r="M32906" s="112"/>
      <c r="N32906" s="84"/>
    </row>
    <row r="32907" spans="1:14" s="2" customFormat="1">
      <c r="A32907" s="83"/>
      <c r="H32907" s="83"/>
      <c r="K32907" s="82"/>
      <c r="M32907" s="112"/>
      <c r="N32907" s="84"/>
    </row>
    <row r="32908" spans="1:14" s="2" customFormat="1">
      <c r="A32908" s="83"/>
      <c r="H32908" s="83"/>
      <c r="K32908" s="82"/>
      <c r="M32908" s="112"/>
      <c r="N32908" s="84"/>
    </row>
    <row r="32909" spans="1:14" s="2" customFormat="1">
      <c r="A32909" s="83"/>
      <c r="H32909" s="83"/>
      <c r="K32909" s="82"/>
      <c r="M32909" s="112"/>
      <c r="N32909" s="84"/>
    </row>
    <row r="32910" spans="1:14" s="2" customFormat="1">
      <c r="A32910" s="83"/>
      <c r="H32910" s="83"/>
      <c r="K32910" s="82"/>
      <c r="M32910" s="112"/>
      <c r="N32910" s="84"/>
    </row>
    <row r="32911" spans="1:14" s="2" customFormat="1">
      <c r="A32911" s="83"/>
      <c r="H32911" s="83"/>
      <c r="K32911" s="82"/>
      <c r="M32911" s="112"/>
      <c r="N32911" s="84"/>
    </row>
    <row r="32912" spans="1:14" s="2" customFormat="1">
      <c r="A32912" s="83"/>
      <c r="H32912" s="83"/>
      <c r="K32912" s="82"/>
      <c r="M32912" s="112"/>
      <c r="N32912" s="84"/>
    </row>
    <row r="32913" spans="1:14" s="2" customFormat="1">
      <c r="A32913" s="83"/>
      <c r="H32913" s="83"/>
      <c r="K32913" s="82"/>
      <c r="M32913" s="112"/>
      <c r="N32913" s="84"/>
    </row>
    <row r="32914" spans="1:14" s="2" customFormat="1">
      <c r="A32914" s="83"/>
      <c r="H32914" s="83"/>
      <c r="K32914" s="82"/>
      <c r="M32914" s="112"/>
      <c r="N32914" s="84"/>
    </row>
    <row r="32915" spans="1:14" s="2" customFormat="1">
      <c r="A32915" s="83"/>
      <c r="H32915" s="83"/>
      <c r="K32915" s="82"/>
      <c r="M32915" s="112"/>
      <c r="N32915" s="84"/>
    </row>
    <row r="32916" spans="1:14" s="2" customFormat="1">
      <c r="A32916" s="83"/>
      <c r="H32916" s="83"/>
      <c r="K32916" s="82"/>
      <c r="M32916" s="112"/>
      <c r="N32916" s="84"/>
    </row>
    <row r="32917" spans="1:14" s="2" customFormat="1">
      <c r="A32917" s="83"/>
      <c r="H32917" s="83"/>
      <c r="K32917" s="82"/>
      <c r="M32917" s="112"/>
      <c r="N32917" s="84"/>
    </row>
    <row r="32918" spans="1:14" s="2" customFormat="1">
      <c r="A32918" s="83"/>
      <c r="H32918" s="83"/>
      <c r="K32918" s="82"/>
      <c r="M32918" s="112"/>
      <c r="N32918" s="84"/>
    </row>
    <row r="32919" spans="1:14" s="2" customFormat="1">
      <c r="A32919" s="83"/>
      <c r="H32919" s="83"/>
      <c r="K32919" s="82"/>
      <c r="M32919" s="112"/>
      <c r="N32919" s="84"/>
    </row>
    <row r="32920" spans="1:14" s="2" customFormat="1">
      <c r="A32920" s="83"/>
      <c r="H32920" s="83"/>
      <c r="K32920" s="82"/>
      <c r="M32920" s="112"/>
      <c r="N32920" s="84"/>
    </row>
    <row r="32921" spans="1:14" s="2" customFormat="1">
      <c r="A32921" s="83"/>
      <c r="H32921" s="83"/>
      <c r="K32921" s="82"/>
      <c r="M32921" s="112"/>
      <c r="N32921" s="84"/>
    </row>
    <row r="32922" spans="1:14" s="2" customFormat="1">
      <c r="A32922" s="83"/>
      <c r="H32922" s="83"/>
      <c r="K32922" s="82"/>
      <c r="M32922" s="112"/>
      <c r="N32922" s="84"/>
    </row>
    <row r="32923" spans="1:14" s="2" customFormat="1">
      <c r="A32923" s="83"/>
      <c r="H32923" s="83"/>
      <c r="K32923" s="82"/>
      <c r="M32923" s="112"/>
      <c r="N32923" s="84"/>
    </row>
    <row r="32924" spans="1:14" s="2" customFormat="1">
      <c r="A32924" s="83"/>
      <c r="H32924" s="83"/>
      <c r="K32924" s="82"/>
      <c r="M32924" s="112"/>
      <c r="N32924" s="84"/>
    </row>
    <row r="32925" spans="1:14" s="2" customFormat="1">
      <c r="A32925" s="83"/>
      <c r="H32925" s="83"/>
      <c r="K32925" s="82"/>
      <c r="M32925" s="112"/>
      <c r="N32925" s="84"/>
    </row>
    <row r="32926" spans="1:14" s="2" customFormat="1">
      <c r="A32926" s="83"/>
      <c r="H32926" s="83"/>
      <c r="K32926" s="82"/>
      <c r="M32926" s="112"/>
      <c r="N32926" s="84"/>
    </row>
    <row r="32927" spans="1:14" s="2" customFormat="1">
      <c r="A32927" s="83"/>
      <c r="H32927" s="83"/>
      <c r="K32927" s="82"/>
      <c r="M32927" s="112"/>
      <c r="N32927" s="84"/>
    </row>
    <row r="32928" spans="1:14" s="2" customFormat="1">
      <c r="A32928" s="83"/>
      <c r="H32928" s="83"/>
      <c r="K32928" s="82"/>
      <c r="M32928" s="112"/>
      <c r="N32928" s="84"/>
    </row>
    <row r="32929" spans="1:14" s="2" customFormat="1">
      <c r="A32929" s="83"/>
      <c r="H32929" s="83"/>
      <c r="K32929" s="82"/>
      <c r="M32929" s="112"/>
      <c r="N32929" s="84"/>
    </row>
    <row r="32930" spans="1:14" s="2" customFormat="1">
      <c r="A32930" s="83"/>
      <c r="H32930" s="83"/>
      <c r="K32930" s="82"/>
      <c r="M32930" s="112"/>
      <c r="N32930" s="84"/>
    </row>
    <row r="32931" spans="1:14" s="2" customFormat="1">
      <c r="A32931" s="83"/>
      <c r="H32931" s="83"/>
      <c r="K32931" s="82"/>
      <c r="M32931" s="112"/>
      <c r="N32931" s="84"/>
    </row>
    <row r="32932" spans="1:14" s="2" customFormat="1">
      <c r="A32932" s="83"/>
      <c r="H32932" s="83"/>
      <c r="K32932" s="82"/>
      <c r="M32932" s="112"/>
      <c r="N32932" s="84"/>
    </row>
    <row r="32933" spans="1:14" s="2" customFormat="1">
      <c r="A32933" s="83"/>
      <c r="H32933" s="83"/>
      <c r="K32933" s="82"/>
      <c r="M32933" s="112"/>
      <c r="N32933" s="84"/>
    </row>
    <row r="32934" spans="1:14" s="2" customFormat="1">
      <c r="A32934" s="83"/>
      <c r="H32934" s="83"/>
      <c r="K32934" s="82"/>
      <c r="M32934" s="112"/>
      <c r="N32934" s="84"/>
    </row>
    <row r="32935" spans="1:14" s="2" customFormat="1">
      <c r="A32935" s="83"/>
      <c r="H32935" s="83"/>
      <c r="K32935" s="82"/>
      <c r="M32935" s="112"/>
      <c r="N32935" s="84"/>
    </row>
    <row r="32936" spans="1:14" s="2" customFormat="1">
      <c r="A32936" s="83"/>
      <c r="H32936" s="83"/>
      <c r="K32936" s="82"/>
      <c r="M32936" s="112"/>
      <c r="N32936" s="84"/>
    </row>
    <row r="32937" spans="1:14" s="2" customFormat="1">
      <c r="A32937" s="83"/>
      <c r="H32937" s="83"/>
      <c r="K32937" s="82"/>
      <c r="M32937" s="112"/>
      <c r="N32937" s="84"/>
    </row>
    <row r="32938" spans="1:14" s="2" customFormat="1">
      <c r="A32938" s="83"/>
      <c r="H32938" s="83"/>
      <c r="K32938" s="82"/>
      <c r="M32938" s="112"/>
      <c r="N32938" s="84"/>
    </row>
    <row r="32939" spans="1:14" s="2" customFormat="1">
      <c r="A32939" s="83"/>
      <c r="H32939" s="83"/>
      <c r="K32939" s="82"/>
      <c r="M32939" s="112"/>
      <c r="N32939" s="84"/>
    </row>
    <row r="32940" spans="1:14" s="2" customFormat="1">
      <c r="A32940" s="83"/>
      <c r="H32940" s="83"/>
      <c r="K32940" s="82"/>
      <c r="M32940" s="112"/>
      <c r="N32940" s="84"/>
    </row>
    <row r="32941" spans="1:14" s="2" customFormat="1">
      <c r="A32941" s="83"/>
      <c r="H32941" s="83"/>
      <c r="K32941" s="82"/>
      <c r="M32941" s="112"/>
      <c r="N32941" s="84"/>
    </row>
    <row r="32942" spans="1:14" s="2" customFormat="1">
      <c r="A32942" s="83"/>
      <c r="H32942" s="83"/>
      <c r="K32942" s="82"/>
      <c r="M32942" s="112"/>
      <c r="N32942" s="84"/>
    </row>
    <row r="32943" spans="1:14" s="2" customFormat="1">
      <c r="A32943" s="83"/>
      <c r="H32943" s="83"/>
      <c r="K32943" s="82"/>
      <c r="M32943" s="112"/>
      <c r="N32943" s="84"/>
    </row>
    <row r="32944" spans="1:14" s="2" customFormat="1">
      <c r="A32944" s="83"/>
      <c r="H32944" s="83"/>
      <c r="K32944" s="82"/>
      <c r="M32944" s="112"/>
      <c r="N32944" s="84"/>
    </row>
    <row r="32945" spans="1:14" s="2" customFormat="1">
      <c r="A32945" s="83"/>
      <c r="H32945" s="83"/>
      <c r="K32945" s="82"/>
      <c r="M32945" s="112"/>
      <c r="N32945" s="84"/>
    </row>
    <row r="32946" spans="1:14" s="2" customFormat="1">
      <c r="A32946" s="83"/>
      <c r="H32946" s="83"/>
      <c r="K32946" s="82"/>
      <c r="M32946" s="112"/>
      <c r="N32946" s="84"/>
    </row>
    <row r="32947" spans="1:14" s="2" customFormat="1">
      <c r="A32947" s="83"/>
      <c r="H32947" s="83"/>
      <c r="K32947" s="82"/>
      <c r="M32947" s="112"/>
      <c r="N32947" s="84"/>
    </row>
    <row r="32948" spans="1:14" s="2" customFormat="1">
      <c r="A32948" s="83"/>
      <c r="H32948" s="83"/>
      <c r="K32948" s="82"/>
      <c r="M32948" s="112"/>
      <c r="N32948" s="84"/>
    </row>
    <row r="32949" spans="1:14" s="2" customFormat="1">
      <c r="A32949" s="83"/>
      <c r="H32949" s="83"/>
      <c r="K32949" s="82"/>
      <c r="M32949" s="112"/>
      <c r="N32949" s="84"/>
    </row>
    <row r="32950" spans="1:14" s="2" customFormat="1">
      <c r="A32950" s="83"/>
      <c r="H32950" s="83"/>
      <c r="K32950" s="82"/>
      <c r="M32950" s="112"/>
      <c r="N32950" s="84"/>
    </row>
    <row r="32951" spans="1:14" s="2" customFormat="1">
      <c r="A32951" s="83"/>
      <c r="H32951" s="83"/>
      <c r="K32951" s="82"/>
      <c r="M32951" s="112"/>
      <c r="N32951" s="84"/>
    </row>
    <row r="32952" spans="1:14" s="2" customFormat="1">
      <c r="A32952" s="83"/>
      <c r="H32952" s="83"/>
      <c r="K32952" s="82"/>
      <c r="M32952" s="112"/>
      <c r="N32952" s="84"/>
    </row>
    <row r="32953" spans="1:14" s="2" customFormat="1">
      <c r="A32953" s="83"/>
      <c r="H32953" s="83"/>
      <c r="K32953" s="82"/>
      <c r="M32953" s="112"/>
      <c r="N32953" s="84"/>
    </row>
    <row r="32954" spans="1:14" s="2" customFormat="1">
      <c r="A32954" s="83"/>
      <c r="H32954" s="83"/>
      <c r="K32954" s="82"/>
      <c r="M32954" s="112"/>
      <c r="N32954" s="84"/>
    </row>
    <row r="32955" spans="1:14" s="2" customFormat="1">
      <c r="A32955" s="83"/>
      <c r="H32955" s="83"/>
      <c r="K32955" s="82"/>
      <c r="M32955" s="112"/>
      <c r="N32955" s="84"/>
    </row>
    <row r="32956" spans="1:14" s="2" customFormat="1">
      <c r="A32956" s="83"/>
      <c r="H32956" s="83"/>
      <c r="K32956" s="82"/>
      <c r="M32956" s="112"/>
      <c r="N32956" s="84"/>
    </row>
    <row r="32957" spans="1:14" s="2" customFormat="1">
      <c r="A32957" s="83"/>
      <c r="H32957" s="83"/>
      <c r="K32957" s="82"/>
      <c r="M32957" s="112"/>
      <c r="N32957" s="84"/>
    </row>
    <row r="32958" spans="1:14" s="2" customFormat="1">
      <c r="A32958" s="83"/>
      <c r="H32958" s="83"/>
      <c r="K32958" s="82"/>
      <c r="M32958" s="112"/>
      <c r="N32958" s="84"/>
    </row>
    <row r="32959" spans="1:14" s="2" customFormat="1">
      <c r="A32959" s="83"/>
      <c r="H32959" s="83"/>
      <c r="K32959" s="82"/>
      <c r="M32959" s="112"/>
      <c r="N32959" s="84"/>
    </row>
    <row r="32960" spans="1:14" s="2" customFormat="1">
      <c r="A32960" s="83"/>
      <c r="H32960" s="83"/>
      <c r="K32960" s="82"/>
      <c r="M32960" s="112"/>
      <c r="N32960" s="84"/>
    </row>
    <row r="32961" spans="1:14" s="2" customFormat="1">
      <c r="A32961" s="83"/>
      <c r="H32961" s="83"/>
      <c r="K32961" s="82"/>
      <c r="M32961" s="112"/>
      <c r="N32961" s="84"/>
    </row>
    <row r="32962" spans="1:14" s="2" customFormat="1">
      <c r="A32962" s="83"/>
      <c r="H32962" s="83"/>
      <c r="K32962" s="82"/>
      <c r="M32962" s="112"/>
      <c r="N32962" s="84"/>
    </row>
    <row r="32963" spans="1:14" s="2" customFormat="1">
      <c r="A32963" s="83"/>
      <c r="H32963" s="83"/>
      <c r="K32963" s="82"/>
      <c r="M32963" s="112"/>
      <c r="N32963" s="84"/>
    </row>
    <row r="32964" spans="1:14" s="2" customFormat="1">
      <c r="A32964" s="83"/>
      <c r="H32964" s="83"/>
      <c r="K32964" s="82"/>
      <c r="M32964" s="112"/>
      <c r="N32964" s="84"/>
    </row>
    <row r="32965" spans="1:14" s="2" customFormat="1">
      <c r="A32965" s="83"/>
      <c r="H32965" s="83"/>
      <c r="K32965" s="82"/>
      <c r="M32965" s="112"/>
      <c r="N32965" s="84"/>
    </row>
    <row r="32966" spans="1:14" s="2" customFormat="1">
      <c r="A32966" s="83"/>
      <c r="H32966" s="83"/>
      <c r="K32966" s="82"/>
      <c r="M32966" s="112"/>
      <c r="N32966" s="84"/>
    </row>
    <row r="32967" spans="1:14" s="2" customFormat="1">
      <c r="A32967" s="83"/>
      <c r="H32967" s="83"/>
      <c r="K32967" s="82"/>
      <c r="M32967" s="112"/>
      <c r="N32967" s="84"/>
    </row>
    <row r="32968" spans="1:14" s="2" customFormat="1">
      <c r="A32968" s="83"/>
      <c r="H32968" s="83"/>
      <c r="K32968" s="82"/>
      <c r="M32968" s="112"/>
      <c r="N32968" s="84"/>
    </row>
    <row r="32969" spans="1:14" s="2" customFormat="1">
      <c r="A32969" s="83"/>
      <c r="H32969" s="83"/>
      <c r="K32969" s="82"/>
      <c r="M32969" s="112"/>
      <c r="N32969" s="84"/>
    </row>
    <row r="32970" spans="1:14" s="2" customFormat="1">
      <c r="A32970" s="83"/>
      <c r="H32970" s="83"/>
      <c r="K32970" s="82"/>
      <c r="M32970" s="112"/>
      <c r="N32970" s="84"/>
    </row>
    <row r="32971" spans="1:14" s="2" customFormat="1">
      <c r="A32971" s="83"/>
      <c r="H32971" s="83"/>
      <c r="K32971" s="82"/>
      <c r="M32971" s="112"/>
      <c r="N32971" s="84"/>
    </row>
    <row r="32972" spans="1:14" s="2" customFormat="1">
      <c r="A32972" s="83"/>
      <c r="H32972" s="83"/>
      <c r="K32972" s="82"/>
      <c r="M32972" s="112"/>
      <c r="N32972" s="84"/>
    </row>
    <row r="32973" spans="1:14" s="2" customFormat="1">
      <c r="A32973" s="83"/>
      <c r="H32973" s="83"/>
      <c r="K32973" s="82"/>
      <c r="M32973" s="112"/>
      <c r="N32973" s="84"/>
    </row>
    <row r="32974" spans="1:14" s="2" customFormat="1">
      <c r="A32974" s="83"/>
      <c r="H32974" s="83"/>
      <c r="K32974" s="82"/>
      <c r="M32974" s="112"/>
      <c r="N32974" s="84"/>
    </row>
    <row r="32975" spans="1:14" s="2" customFormat="1">
      <c r="A32975" s="83"/>
      <c r="H32975" s="83"/>
      <c r="K32975" s="82"/>
      <c r="M32975" s="112"/>
      <c r="N32975" s="84"/>
    </row>
    <row r="32976" spans="1:14" s="2" customFormat="1">
      <c r="A32976" s="83"/>
      <c r="H32976" s="83"/>
      <c r="K32976" s="82"/>
      <c r="M32976" s="112"/>
      <c r="N32976" s="84"/>
    </row>
    <row r="32977" spans="1:14" s="2" customFormat="1">
      <c r="A32977" s="83"/>
      <c r="H32977" s="83"/>
      <c r="K32977" s="82"/>
      <c r="M32977" s="112"/>
      <c r="N32977" s="84"/>
    </row>
    <row r="32978" spans="1:14" s="2" customFormat="1">
      <c r="A32978" s="83"/>
      <c r="H32978" s="83"/>
      <c r="K32978" s="82"/>
      <c r="M32978" s="112"/>
      <c r="N32978" s="84"/>
    </row>
    <row r="32979" spans="1:14" s="2" customFormat="1">
      <c r="A32979" s="83"/>
      <c r="H32979" s="83"/>
      <c r="K32979" s="82"/>
      <c r="M32979" s="112"/>
      <c r="N32979" s="84"/>
    </row>
    <row r="32980" spans="1:14" s="2" customFormat="1">
      <c r="A32980" s="83"/>
      <c r="H32980" s="83"/>
      <c r="K32980" s="82"/>
      <c r="M32980" s="112"/>
      <c r="N32980" s="84"/>
    </row>
    <row r="32981" spans="1:14" s="2" customFormat="1">
      <c r="A32981" s="83"/>
      <c r="H32981" s="83"/>
      <c r="K32981" s="82"/>
      <c r="M32981" s="112"/>
      <c r="N32981" s="84"/>
    </row>
    <row r="32982" spans="1:14" s="2" customFormat="1">
      <c r="A32982" s="83"/>
      <c r="H32982" s="83"/>
      <c r="K32982" s="82"/>
      <c r="M32982" s="112"/>
      <c r="N32982" s="84"/>
    </row>
    <row r="32983" spans="1:14" s="2" customFormat="1">
      <c r="A32983" s="83"/>
      <c r="H32983" s="83"/>
      <c r="K32983" s="82"/>
      <c r="M32983" s="112"/>
      <c r="N32983" s="84"/>
    </row>
    <row r="32984" spans="1:14" s="2" customFormat="1">
      <c r="A32984" s="83"/>
      <c r="H32984" s="83"/>
      <c r="K32984" s="82"/>
      <c r="M32984" s="112"/>
      <c r="N32984" s="84"/>
    </row>
    <row r="32985" spans="1:14" s="2" customFormat="1">
      <c r="A32985" s="83"/>
      <c r="H32985" s="83"/>
      <c r="K32985" s="82"/>
      <c r="M32985" s="112"/>
      <c r="N32985" s="84"/>
    </row>
    <row r="32986" spans="1:14" s="2" customFormat="1">
      <c r="A32986" s="83"/>
      <c r="H32986" s="83"/>
      <c r="K32986" s="82"/>
      <c r="M32986" s="112"/>
      <c r="N32986" s="84"/>
    </row>
    <row r="32987" spans="1:14" s="2" customFormat="1">
      <c r="A32987" s="83"/>
      <c r="H32987" s="83"/>
      <c r="K32987" s="82"/>
      <c r="M32987" s="112"/>
      <c r="N32987" s="84"/>
    </row>
    <row r="32988" spans="1:14" s="2" customFormat="1">
      <c r="A32988" s="83"/>
      <c r="H32988" s="83"/>
      <c r="K32988" s="82"/>
      <c r="M32988" s="112"/>
      <c r="N32988" s="84"/>
    </row>
    <row r="32989" spans="1:14" s="2" customFormat="1">
      <c r="A32989" s="83"/>
      <c r="H32989" s="83"/>
      <c r="K32989" s="82"/>
      <c r="M32989" s="112"/>
      <c r="N32989" s="84"/>
    </row>
    <row r="32990" spans="1:14" s="2" customFormat="1">
      <c r="A32990" s="83"/>
      <c r="H32990" s="83"/>
      <c r="K32990" s="82"/>
      <c r="M32990" s="112"/>
      <c r="N32990" s="84"/>
    </row>
    <row r="32991" spans="1:14" s="2" customFormat="1">
      <c r="A32991" s="83"/>
      <c r="H32991" s="83"/>
      <c r="K32991" s="82"/>
      <c r="M32991" s="112"/>
      <c r="N32991" s="84"/>
    </row>
    <row r="32992" spans="1:14" s="2" customFormat="1">
      <c r="A32992" s="83"/>
      <c r="H32992" s="83"/>
      <c r="K32992" s="82"/>
      <c r="M32992" s="112"/>
      <c r="N32992" s="84"/>
    </row>
    <row r="32993" spans="1:14" s="2" customFormat="1">
      <c r="A32993" s="83"/>
      <c r="H32993" s="83"/>
      <c r="K32993" s="82"/>
      <c r="M32993" s="112"/>
      <c r="N32993" s="84"/>
    </row>
    <row r="32994" spans="1:14" s="2" customFormat="1">
      <c r="A32994" s="83"/>
      <c r="H32994" s="83"/>
      <c r="K32994" s="82"/>
      <c r="M32994" s="112"/>
      <c r="N32994" s="84"/>
    </row>
    <row r="32995" spans="1:14" s="2" customFormat="1">
      <c r="A32995" s="83"/>
      <c r="H32995" s="83"/>
      <c r="K32995" s="82"/>
      <c r="M32995" s="112"/>
      <c r="N32995" s="84"/>
    </row>
    <row r="32996" spans="1:14" s="2" customFormat="1">
      <c r="A32996" s="83"/>
      <c r="H32996" s="83"/>
      <c r="K32996" s="82"/>
      <c r="M32996" s="112"/>
      <c r="N32996" s="84"/>
    </row>
    <row r="32997" spans="1:14" s="2" customFormat="1">
      <c r="A32997" s="83"/>
      <c r="H32997" s="83"/>
      <c r="K32997" s="82"/>
      <c r="M32997" s="112"/>
      <c r="N32997" s="84"/>
    </row>
    <row r="32998" spans="1:14" s="2" customFormat="1">
      <c r="A32998" s="83"/>
      <c r="H32998" s="83"/>
      <c r="K32998" s="82"/>
      <c r="M32998" s="112"/>
      <c r="N32998" s="84"/>
    </row>
    <row r="32999" spans="1:14" s="2" customFormat="1">
      <c r="A32999" s="83"/>
      <c r="H32999" s="83"/>
      <c r="K32999" s="82"/>
      <c r="M32999" s="112"/>
      <c r="N32999" s="84"/>
    </row>
    <row r="33000" spans="1:14" s="2" customFormat="1">
      <c r="A33000" s="83"/>
      <c r="H33000" s="83"/>
      <c r="K33000" s="82"/>
      <c r="M33000" s="112"/>
      <c r="N33000" s="84"/>
    </row>
    <row r="33001" spans="1:14" s="2" customFormat="1">
      <c r="A33001" s="83"/>
      <c r="H33001" s="83"/>
      <c r="K33001" s="82"/>
      <c r="M33001" s="112"/>
      <c r="N33001" s="84"/>
    </row>
    <row r="33002" spans="1:14" s="2" customFormat="1">
      <c r="A33002" s="83"/>
      <c r="H33002" s="83"/>
      <c r="K33002" s="82"/>
      <c r="M33002" s="112"/>
      <c r="N33002" s="84"/>
    </row>
    <row r="33003" spans="1:14" s="2" customFormat="1">
      <c r="A33003" s="83"/>
      <c r="H33003" s="83"/>
      <c r="K33003" s="82"/>
      <c r="M33003" s="112"/>
      <c r="N33003" s="84"/>
    </row>
    <row r="33004" spans="1:14" s="2" customFormat="1">
      <c r="A33004" s="83"/>
      <c r="H33004" s="83"/>
      <c r="K33004" s="82"/>
      <c r="M33004" s="112"/>
      <c r="N33004" s="84"/>
    </row>
    <row r="33005" spans="1:14" s="2" customFormat="1">
      <c r="A33005" s="83"/>
      <c r="H33005" s="83"/>
      <c r="K33005" s="82"/>
      <c r="M33005" s="112"/>
      <c r="N33005" s="84"/>
    </row>
    <row r="33006" spans="1:14" s="2" customFormat="1">
      <c r="A33006" s="83"/>
      <c r="H33006" s="83"/>
      <c r="K33006" s="82"/>
      <c r="M33006" s="112"/>
      <c r="N33006" s="84"/>
    </row>
    <row r="33007" spans="1:14" s="2" customFormat="1">
      <c r="A33007" s="83"/>
      <c r="H33007" s="83"/>
      <c r="K33007" s="82"/>
      <c r="M33007" s="112"/>
      <c r="N33007" s="84"/>
    </row>
    <row r="33008" spans="1:14" s="2" customFormat="1">
      <c r="A33008" s="83"/>
      <c r="H33008" s="83"/>
      <c r="K33008" s="82"/>
      <c r="M33008" s="112"/>
      <c r="N33008" s="84"/>
    </row>
    <row r="33009" spans="1:14" s="2" customFormat="1">
      <c r="A33009" s="83"/>
      <c r="H33009" s="83"/>
      <c r="K33009" s="82"/>
      <c r="M33009" s="112"/>
      <c r="N33009" s="84"/>
    </row>
    <row r="33010" spans="1:14" s="2" customFormat="1">
      <c r="A33010" s="83"/>
      <c r="H33010" s="83"/>
      <c r="K33010" s="82"/>
      <c r="M33010" s="112"/>
      <c r="N33010" s="84"/>
    </row>
    <row r="33011" spans="1:14" s="2" customFormat="1">
      <c r="A33011" s="83"/>
      <c r="H33011" s="83"/>
      <c r="K33011" s="82"/>
      <c r="M33011" s="112"/>
      <c r="N33011" s="84"/>
    </row>
    <row r="33012" spans="1:14" s="2" customFormat="1">
      <c r="A33012" s="83"/>
      <c r="H33012" s="83"/>
      <c r="K33012" s="82"/>
      <c r="M33012" s="112"/>
      <c r="N33012" s="84"/>
    </row>
    <row r="33013" spans="1:14" s="2" customFormat="1">
      <c r="A33013" s="83"/>
      <c r="H33013" s="83"/>
      <c r="K33013" s="82"/>
      <c r="M33013" s="112"/>
      <c r="N33013" s="84"/>
    </row>
    <row r="33014" spans="1:14" s="2" customFormat="1">
      <c r="A33014" s="83"/>
      <c r="H33014" s="83"/>
      <c r="K33014" s="82"/>
      <c r="M33014" s="112"/>
      <c r="N33014" s="84"/>
    </row>
    <row r="33015" spans="1:14" s="2" customFormat="1">
      <c r="A33015" s="83"/>
      <c r="H33015" s="83"/>
      <c r="K33015" s="82"/>
      <c r="M33015" s="112"/>
      <c r="N33015" s="84"/>
    </row>
    <row r="33016" spans="1:14" s="2" customFormat="1">
      <c r="A33016" s="83"/>
      <c r="H33016" s="83"/>
      <c r="K33016" s="82"/>
      <c r="M33016" s="112"/>
      <c r="N33016" s="84"/>
    </row>
    <row r="33017" spans="1:14" s="2" customFormat="1">
      <c r="A33017" s="83"/>
      <c r="H33017" s="83"/>
      <c r="K33017" s="82"/>
      <c r="M33017" s="112"/>
      <c r="N33017" s="84"/>
    </row>
    <row r="33018" spans="1:14" s="2" customFormat="1">
      <c r="A33018" s="83"/>
      <c r="H33018" s="83"/>
      <c r="K33018" s="82"/>
      <c r="M33018" s="112"/>
      <c r="N33018" s="84"/>
    </row>
    <row r="33019" spans="1:14" s="2" customFormat="1">
      <c r="A33019" s="83"/>
      <c r="H33019" s="83"/>
      <c r="K33019" s="82"/>
      <c r="M33019" s="112"/>
      <c r="N33019" s="84"/>
    </row>
    <row r="33020" spans="1:14" s="2" customFormat="1">
      <c r="A33020" s="83"/>
      <c r="H33020" s="83"/>
      <c r="K33020" s="82"/>
      <c r="M33020" s="112"/>
      <c r="N33020" s="84"/>
    </row>
    <row r="33021" spans="1:14" s="2" customFormat="1">
      <c r="A33021" s="83"/>
      <c r="H33021" s="83"/>
      <c r="K33021" s="82"/>
      <c r="M33021" s="112"/>
      <c r="N33021" s="84"/>
    </row>
    <row r="33022" spans="1:14" s="2" customFormat="1">
      <c r="A33022" s="83"/>
      <c r="H33022" s="83"/>
      <c r="K33022" s="82"/>
      <c r="M33022" s="112"/>
      <c r="N33022" s="84"/>
    </row>
    <row r="33023" spans="1:14" s="2" customFormat="1">
      <c r="A33023" s="83"/>
      <c r="H33023" s="83"/>
      <c r="K33023" s="82"/>
      <c r="M33023" s="112"/>
      <c r="N33023" s="84"/>
    </row>
    <row r="33024" spans="1:14" s="2" customFormat="1">
      <c r="A33024" s="83"/>
      <c r="H33024" s="83"/>
      <c r="K33024" s="82"/>
      <c r="M33024" s="112"/>
      <c r="N33024" s="84"/>
    </row>
    <row r="33025" spans="1:14" s="2" customFormat="1">
      <c r="A33025" s="83"/>
      <c r="H33025" s="83"/>
      <c r="K33025" s="82"/>
      <c r="M33025" s="112"/>
      <c r="N33025" s="84"/>
    </row>
    <row r="33026" spans="1:14" s="2" customFormat="1">
      <c r="A33026" s="83"/>
      <c r="H33026" s="83"/>
      <c r="K33026" s="82"/>
      <c r="M33026" s="112"/>
      <c r="N33026" s="84"/>
    </row>
    <row r="33027" spans="1:14" s="2" customFormat="1">
      <c r="A33027" s="83"/>
      <c r="H33027" s="83"/>
      <c r="K33027" s="82"/>
      <c r="M33027" s="112"/>
      <c r="N33027" s="84"/>
    </row>
    <row r="33028" spans="1:14" s="2" customFormat="1">
      <c r="A33028" s="83"/>
      <c r="H33028" s="83"/>
      <c r="K33028" s="82"/>
      <c r="M33028" s="112"/>
      <c r="N33028" s="84"/>
    </row>
    <row r="33029" spans="1:14" s="2" customFormat="1">
      <c r="A33029" s="83"/>
      <c r="H33029" s="83"/>
      <c r="K33029" s="82"/>
      <c r="M33029" s="112"/>
      <c r="N33029" s="84"/>
    </row>
    <row r="33030" spans="1:14" s="2" customFormat="1">
      <c r="A33030" s="83"/>
      <c r="H33030" s="83"/>
      <c r="K33030" s="82"/>
      <c r="M33030" s="112"/>
      <c r="N33030" s="84"/>
    </row>
    <row r="33031" spans="1:14" s="2" customFormat="1">
      <c r="A33031" s="83"/>
      <c r="H33031" s="83"/>
      <c r="K33031" s="82"/>
      <c r="M33031" s="112"/>
      <c r="N33031" s="84"/>
    </row>
    <row r="33032" spans="1:14" s="2" customFormat="1">
      <c r="A33032" s="83"/>
      <c r="H33032" s="83"/>
      <c r="K33032" s="82"/>
      <c r="M33032" s="112"/>
      <c r="N33032" s="84"/>
    </row>
    <row r="33033" spans="1:14" s="2" customFormat="1">
      <c r="A33033" s="83"/>
      <c r="H33033" s="83"/>
      <c r="K33033" s="82"/>
      <c r="M33033" s="112"/>
      <c r="N33033" s="84"/>
    </row>
    <row r="33034" spans="1:14" s="2" customFormat="1">
      <c r="A33034" s="83"/>
      <c r="H33034" s="83"/>
      <c r="K33034" s="82"/>
      <c r="M33034" s="112"/>
      <c r="N33034" s="84"/>
    </row>
    <row r="33035" spans="1:14" s="2" customFormat="1">
      <c r="A33035" s="83"/>
      <c r="H33035" s="83"/>
      <c r="K33035" s="82"/>
      <c r="M33035" s="112"/>
      <c r="N33035" s="84"/>
    </row>
    <row r="33036" spans="1:14" s="2" customFormat="1">
      <c r="A33036" s="83"/>
      <c r="H33036" s="83"/>
      <c r="K33036" s="82"/>
      <c r="M33036" s="112"/>
      <c r="N33036" s="84"/>
    </row>
    <row r="33037" spans="1:14" s="2" customFormat="1">
      <c r="A33037" s="83"/>
      <c r="H33037" s="83"/>
      <c r="K33037" s="82"/>
      <c r="M33037" s="112"/>
      <c r="N33037" s="84"/>
    </row>
    <row r="33038" spans="1:14" s="2" customFormat="1">
      <c r="A33038" s="83"/>
      <c r="H33038" s="83"/>
      <c r="K33038" s="82"/>
      <c r="M33038" s="112"/>
      <c r="N33038" s="84"/>
    </row>
    <row r="33039" spans="1:14" s="2" customFormat="1">
      <c r="A33039" s="83"/>
      <c r="H33039" s="83"/>
      <c r="K33039" s="82"/>
      <c r="M33039" s="112"/>
      <c r="N33039" s="84"/>
    </row>
    <row r="33040" spans="1:14" s="2" customFormat="1">
      <c r="A33040" s="83"/>
      <c r="H33040" s="83"/>
      <c r="K33040" s="82"/>
      <c r="M33040" s="112"/>
      <c r="N33040" s="84"/>
    </row>
    <row r="33041" spans="1:14" s="2" customFormat="1">
      <c r="A33041" s="83"/>
      <c r="H33041" s="83"/>
      <c r="K33041" s="82"/>
      <c r="M33041" s="112"/>
      <c r="N33041" s="84"/>
    </row>
    <row r="33042" spans="1:14" s="2" customFormat="1">
      <c r="A33042" s="83"/>
      <c r="H33042" s="83"/>
      <c r="K33042" s="82"/>
      <c r="M33042" s="112"/>
      <c r="N33042" s="84"/>
    </row>
    <row r="33043" spans="1:14" s="2" customFormat="1">
      <c r="A33043" s="83"/>
      <c r="H33043" s="83"/>
      <c r="K33043" s="82"/>
      <c r="M33043" s="112"/>
      <c r="N33043" s="84"/>
    </row>
    <row r="33044" spans="1:14" s="2" customFormat="1">
      <c r="A33044" s="83"/>
      <c r="H33044" s="83"/>
      <c r="K33044" s="82"/>
      <c r="M33044" s="112"/>
      <c r="N33044" s="84"/>
    </row>
    <row r="33045" spans="1:14" s="2" customFormat="1">
      <c r="A33045" s="83"/>
      <c r="H33045" s="83"/>
      <c r="K33045" s="82"/>
      <c r="M33045" s="112"/>
      <c r="N33045" s="84"/>
    </row>
    <row r="33046" spans="1:14" s="2" customFormat="1">
      <c r="A33046" s="83"/>
      <c r="H33046" s="83"/>
      <c r="K33046" s="82"/>
      <c r="M33046" s="112"/>
      <c r="N33046" s="84"/>
    </row>
    <row r="33047" spans="1:14" s="2" customFormat="1">
      <c r="A33047" s="83"/>
      <c r="H33047" s="83"/>
      <c r="K33047" s="82"/>
      <c r="M33047" s="112"/>
      <c r="N33047" s="84"/>
    </row>
    <row r="33048" spans="1:14" s="2" customFormat="1">
      <c r="A33048" s="83"/>
      <c r="H33048" s="83"/>
      <c r="K33048" s="82"/>
      <c r="M33048" s="112"/>
      <c r="N33048" s="84"/>
    </row>
    <row r="33049" spans="1:14" s="2" customFormat="1">
      <c r="A33049" s="83"/>
      <c r="H33049" s="83"/>
      <c r="K33049" s="82"/>
      <c r="M33049" s="112"/>
      <c r="N33049" s="84"/>
    </row>
    <row r="33050" spans="1:14" s="2" customFormat="1">
      <c r="A33050" s="83"/>
      <c r="H33050" s="83"/>
      <c r="K33050" s="82"/>
      <c r="M33050" s="112"/>
      <c r="N33050" s="84"/>
    </row>
    <row r="33051" spans="1:14" s="2" customFormat="1">
      <c r="A33051" s="83"/>
      <c r="H33051" s="83"/>
      <c r="K33051" s="82"/>
      <c r="M33051" s="112"/>
      <c r="N33051" s="84"/>
    </row>
    <row r="33052" spans="1:14" s="2" customFormat="1">
      <c r="A33052" s="83"/>
      <c r="H33052" s="83"/>
      <c r="K33052" s="82"/>
      <c r="M33052" s="112"/>
      <c r="N33052" s="84"/>
    </row>
    <row r="33053" spans="1:14" s="2" customFormat="1">
      <c r="A33053" s="83"/>
      <c r="H33053" s="83"/>
      <c r="K33053" s="82"/>
      <c r="M33053" s="112"/>
      <c r="N33053" s="84"/>
    </row>
    <row r="33054" spans="1:14" s="2" customFormat="1">
      <c r="A33054" s="83"/>
      <c r="H33054" s="83"/>
      <c r="K33054" s="82"/>
      <c r="M33054" s="112"/>
      <c r="N33054" s="84"/>
    </row>
    <row r="33055" spans="1:14" s="2" customFormat="1">
      <c r="A33055" s="83"/>
      <c r="H33055" s="83"/>
      <c r="K33055" s="82"/>
      <c r="M33055" s="112"/>
      <c r="N33055" s="84"/>
    </row>
    <row r="33056" spans="1:14" s="2" customFormat="1">
      <c r="A33056" s="83"/>
      <c r="H33056" s="83"/>
      <c r="K33056" s="82"/>
      <c r="M33056" s="112"/>
      <c r="N33056" s="84"/>
    </row>
    <row r="33057" spans="1:14" s="2" customFormat="1">
      <c r="A33057" s="83"/>
      <c r="H33057" s="83"/>
      <c r="K33057" s="82"/>
      <c r="M33057" s="112"/>
      <c r="N33057" s="84"/>
    </row>
    <row r="33058" spans="1:14" s="2" customFormat="1">
      <c r="A33058" s="83"/>
      <c r="H33058" s="83"/>
      <c r="K33058" s="82"/>
      <c r="M33058" s="112"/>
      <c r="N33058" s="84"/>
    </row>
    <row r="33059" spans="1:14" s="2" customFormat="1">
      <c r="A33059" s="83"/>
      <c r="H33059" s="83"/>
      <c r="K33059" s="82"/>
      <c r="M33059" s="112"/>
      <c r="N33059" s="84"/>
    </row>
    <row r="33060" spans="1:14" s="2" customFormat="1">
      <c r="A33060" s="83"/>
      <c r="H33060" s="83"/>
      <c r="K33060" s="82"/>
      <c r="M33060" s="112"/>
      <c r="N33060" s="84"/>
    </row>
    <row r="33061" spans="1:14" s="2" customFormat="1">
      <c r="A33061" s="83"/>
      <c r="H33061" s="83"/>
      <c r="K33061" s="82"/>
      <c r="M33061" s="112"/>
      <c r="N33061" s="84"/>
    </row>
    <row r="33062" spans="1:14" s="2" customFormat="1">
      <c r="A33062" s="83"/>
      <c r="H33062" s="83"/>
      <c r="K33062" s="82"/>
      <c r="M33062" s="112"/>
      <c r="N33062" s="84"/>
    </row>
    <row r="33063" spans="1:14" s="2" customFormat="1">
      <c r="A33063" s="83"/>
      <c r="H33063" s="83"/>
      <c r="K33063" s="82"/>
      <c r="M33063" s="112"/>
      <c r="N33063" s="84"/>
    </row>
    <row r="33064" spans="1:14" s="2" customFormat="1">
      <c r="A33064" s="83"/>
      <c r="H33064" s="83"/>
      <c r="K33064" s="82"/>
      <c r="M33064" s="112"/>
      <c r="N33064" s="84"/>
    </row>
    <row r="33065" spans="1:14" s="2" customFormat="1">
      <c r="A33065" s="83"/>
      <c r="H33065" s="83"/>
      <c r="K33065" s="82"/>
      <c r="M33065" s="112"/>
      <c r="N33065" s="84"/>
    </row>
    <row r="33066" spans="1:14" s="2" customFormat="1">
      <c r="A33066" s="83"/>
      <c r="H33066" s="83"/>
      <c r="K33066" s="82"/>
      <c r="M33066" s="112"/>
      <c r="N33066" s="84"/>
    </row>
    <row r="33067" spans="1:14" s="2" customFormat="1">
      <c r="A33067" s="83"/>
      <c r="H33067" s="83"/>
      <c r="K33067" s="82"/>
      <c r="M33067" s="112"/>
      <c r="N33067" s="84"/>
    </row>
    <row r="33068" spans="1:14" s="2" customFormat="1">
      <c r="A33068" s="83"/>
      <c r="H33068" s="83"/>
      <c r="K33068" s="82"/>
      <c r="M33068" s="112"/>
      <c r="N33068" s="84"/>
    </row>
    <row r="33069" spans="1:14" s="2" customFormat="1">
      <c r="A33069" s="83"/>
      <c r="H33069" s="83"/>
      <c r="K33069" s="82"/>
      <c r="M33069" s="112"/>
      <c r="N33069" s="84"/>
    </row>
    <row r="33070" spans="1:14" s="2" customFormat="1">
      <c r="A33070" s="83"/>
      <c r="H33070" s="83"/>
      <c r="K33070" s="82"/>
      <c r="M33070" s="112"/>
      <c r="N33070" s="84"/>
    </row>
    <row r="33071" spans="1:14" s="2" customFormat="1">
      <c r="A33071" s="83"/>
      <c r="H33071" s="83"/>
      <c r="K33071" s="82"/>
      <c r="M33071" s="112"/>
      <c r="N33071" s="84"/>
    </row>
    <row r="33072" spans="1:14" s="2" customFormat="1">
      <c r="A33072" s="83"/>
      <c r="H33072" s="83"/>
      <c r="K33072" s="82"/>
      <c r="M33072" s="112"/>
      <c r="N33072" s="84"/>
    </row>
    <row r="33073" spans="1:14" s="2" customFormat="1">
      <c r="A33073" s="83"/>
      <c r="H33073" s="83"/>
      <c r="K33073" s="82"/>
      <c r="M33073" s="112"/>
      <c r="N33073" s="84"/>
    </row>
    <row r="33074" spans="1:14" s="2" customFormat="1">
      <c r="A33074" s="83"/>
      <c r="H33074" s="83"/>
      <c r="K33074" s="82"/>
      <c r="M33074" s="112"/>
      <c r="N33074" s="84"/>
    </row>
    <row r="33075" spans="1:14" s="2" customFormat="1">
      <c r="A33075" s="83"/>
      <c r="H33075" s="83"/>
      <c r="K33075" s="82"/>
      <c r="M33075" s="112"/>
      <c r="N33075" s="84"/>
    </row>
    <row r="33076" spans="1:14" s="2" customFormat="1">
      <c r="A33076" s="83"/>
      <c r="H33076" s="83"/>
      <c r="K33076" s="82"/>
      <c r="M33076" s="112"/>
      <c r="N33076" s="84"/>
    </row>
    <row r="33077" spans="1:14" s="2" customFormat="1">
      <c r="A33077" s="83"/>
      <c r="H33077" s="83"/>
      <c r="K33077" s="82"/>
      <c r="M33077" s="112"/>
      <c r="N33077" s="84"/>
    </row>
    <row r="33078" spans="1:14" s="2" customFormat="1">
      <c r="A33078" s="83"/>
      <c r="H33078" s="83"/>
      <c r="K33078" s="82"/>
      <c r="M33078" s="112"/>
      <c r="N33078" s="84"/>
    </row>
    <row r="33079" spans="1:14" s="2" customFormat="1">
      <c r="A33079" s="83"/>
      <c r="H33079" s="83"/>
      <c r="K33079" s="82"/>
      <c r="M33079" s="112"/>
      <c r="N33079" s="84"/>
    </row>
    <row r="33080" spans="1:14" s="2" customFormat="1">
      <c r="A33080" s="83"/>
      <c r="H33080" s="83"/>
      <c r="K33080" s="82"/>
      <c r="M33080" s="112"/>
      <c r="N33080" s="84"/>
    </row>
    <row r="33081" spans="1:14" s="2" customFormat="1">
      <c r="A33081" s="83"/>
      <c r="H33081" s="83"/>
      <c r="K33081" s="82"/>
      <c r="M33081" s="112"/>
      <c r="N33081" s="84"/>
    </row>
    <row r="33082" spans="1:14" s="2" customFormat="1">
      <c r="A33082" s="83"/>
      <c r="H33082" s="83"/>
      <c r="K33082" s="82"/>
      <c r="M33082" s="112"/>
      <c r="N33082" s="84"/>
    </row>
    <row r="33083" spans="1:14" s="2" customFormat="1">
      <c r="A33083" s="83"/>
      <c r="H33083" s="83"/>
      <c r="K33083" s="82"/>
      <c r="M33083" s="112"/>
      <c r="N33083" s="84"/>
    </row>
    <row r="33084" spans="1:14" s="2" customFormat="1">
      <c r="A33084" s="83"/>
      <c r="H33084" s="83"/>
      <c r="K33084" s="82"/>
      <c r="M33084" s="112"/>
      <c r="N33084" s="84"/>
    </row>
    <row r="33085" spans="1:14" s="2" customFormat="1">
      <c r="A33085" s="83"/>
      <c r="H33085" s="83"/>
      <c r="K33085" s="82"/>
      <c r="M33085" s="112"/>
      <c r="N33085" s="84"/>
    </row>
    <row r="33086" spans="1:14" s="2" customFormat="1">
      <c r="A33086" s="83"/>
      <c r="H33086" s="83"/>
      <c r="K33086" s="82"/>
      <c r="M33086" s="112"/>
      <c r="N33086" s="84"/>
    </row>
    <row r="33087" spans="1:14" s="2" customFormat="1">
      <c r="A33087" s="83"/>
      <c r="H33087" s="83"/>
      <c r="K33087" s="82"/>
      <c r="M33087" s="112"/>
      <c r="N33087" s="84"/>
    </row>
    <row r="33088" spans="1:14" s="2" customFormat="1">
      <c r="A33088" s="83"/>
      <c r="H33088" s="83"/>
      <c r="K33088" s="82"/>
      <c r="M33088" s="112"/>
      <c r="N33088" s="84"/>
    </row>
    <row r="33089" spans="1:14" s="2" customFormat="1">
      <c r="A33089" s="83"/>
      <c r="H33089" s="83"/>
      <c r="K33089" s="82"/>
      <c r="M33089" s="112"/>
      <c r="N33089" s="84"/>
    </row>
    <row r="33090" spans="1:14" s="2" customFormat="1">
      <c r="A33090" s="83"/>
      <c r="H33090" s="83"/>
      <c r="K33090" s="82"/>
      <c r="M33090" s="112"/>
      <c r="N33090" s="84"/>
    </row>
    <row r="33091" spans="1:14" s="2" customFormat="1">
      <c r="A33091" s="83"/>
      <c r="H33091" s="83"/>
      <c r="K33091" s="82"/>
      <c r="M33091" s="112"/>
      <c r="N33091" s="84"/>
    </row>
    <row r="33092" spans="1:14" s="2" customFormat="1">
      <c r="A33092" s="83"/>
      <c r="H33092" s="83"/>
      <c r="K33092" s="82"/>
      <c r="M33092" s="112"/>
      <c r="N33092" s="84"/>
    </row>
    <row r="33093" spans="1:14" s="2" customFormat="1">
      <c r="A33093" s="83"/>
      <c r="H33093" s="83"/>
      <c r="K33093" s="82"/>
      <c r="M33093" s="112"/>
      <c r="N33093" s="84"/>
    </row>
    <row r="33094" spans="1:14" s="2" customFormat="1">
      <c r="A33094" s="83"/>
      <c r="H33094" s="83"/>
      <c r="K33094" s="82"/>
      <c r="M33094" s="112"/>
      <c r="N33094" s="84"/>
    </row>
    <row r="33095" spans="1:14" s="2" customFormat="1">
      <c r="A33095" s="83"/>
      <c r="H33095" s="83"/>
      <c r="K33095" s="82"/>
      <c r="M33095" s="112"/>
      <c r="N33095" s="84"/>
    </row>
    <row r="33096" spans="1:14" s="2" customFormat="1">
      <c r="A33096" s="83"/>
      <c r="H33096" s="83"/>
      <c r="K33096" s="82"/>
      <c r="M33096" s="112"/>
      <c r="N33096" s="84"/>
    </row>
    <row r="33097" spans="1:14" s="2" customFormat="1">
      <c r="A33097" s="83"/>
      <c r="H33097" s="83"/>
      <c r="K33097" s="82"/>
      <c r="M33097" s="112"/>
      <c r="N33097" s="84"/>
    </row>
    <row r="33098" spans="1:14" s="2" customFormat="1">
      <c r="A33098" s="83"/>
      <c r="H33098" s="83"/>
      <c r="K33098" s="82"/>
      <c r="M33098" s="112"/>
      <c r="N33098" s="84"/>
    </row>
    <row r="33099" spans="1:14" s="2" customFormat="1">
      <c r="A33099" s="83"/>
      <c r="H33099" s="83"/>
      <c r="K33099" s="82"/>
      <c r="M33099" s="112"/>
      <c r="N33099" s="84"/>
    </row>
    <row r="33100" spans="1:14" s="2" customFormat="1">
      <c r="A33100" s="83"/>
      <c r="H33100" s="83"/>
      <c r="K33100" s="82"/>
      <c r="M33100" s="112"/>
      <c r="N33100" s="84"/>
    </row>
    <row r="33101" spans="1:14" s="2" customFormat="1">
      <c r="A33101" s="83"/>
      <c r="H33101" s="83"/>
      <c r="K33101" s="82"/>
      <c r="M33101" s="112"/>
      <c r="N33101" s="84"/>
    </row>
    <row r="33102" spans="1:14" s="2" customFormat="1">
      <c r="A33102" s="83"/>
      <c r="H33102" s="83"/>
      <c r="K33102" s="82"/>
      <c r="M33102" s="112"/>
      <c r="N33102" s="84"/>
    </row>
    <row r="33103" spans="1:14" s="2" customFormat="1">
      <c r="A33103" s="83"/>
      <c r="H33103" s="83"/>
      <c r="K33103" s="82"/>
      <c r="M33103" s="112"/>
      <c r="N33103" s="84"/>
    </row>
    <row r="33104" spans="1:14" s="2" customFormat="1">
      <c r="A33104" s="83"/>
      <c r="H33104" s="83"/>
      <c r="K33104" s="82"/>
      <c r="M33104" s="112"/>
      <c r="N33104" s="84"/>
    </row>
    <row r="33105" spans="1:14" s="2" customFormat="1">
      <c r="A33105" s="83"/>
      <c r="H33105" s="83"/>
      <c r="K33105" s="82"/>
      <c r="M33105" s="112"/>
      <c r="N33105" s="84"/>
    </row>
    <row r="33106" spans="1:14" s="2" customFormat="1">
      <c r="A33106" s="83"/>
      <c r="H33106" s="83"/>
      <c r="K33106" s="82"/>
      <c r="M33106" s="112"/>
      <c r="N33106" s="84"/>
    </row>
    <row r="33107" spans="1:14" s="2" customFormat="1">
      <c r="A33107" s="83"/>
      <c r="H33107" s="83"/>
      <c r="K33107" s="82"/>
      <c r="M33107" s="112"/>
      <c r="N33107" s="84"/>
    </row>
    <row r="33108" spans="1:14" s="2" customFormat="1">
      <c r="A33108" s="83"/>
      <c r="H33108" s="83"/>
      <c r="K33108" s="82"/>
      <c r="M33108" s="112"/>
      <c r="N33108" s="84"/>
    </row>
    <row r="33109" spans="1:14" s="2" customFormat="1">
      <c r="A33109" s="83"/>
      <c r="H33109" s="83"/>
      <c r="K33109" s="82"/>
      <c r="M33109" s="112"/>
      <c r="N33109" s="84"/>
    </row>
    <row r="33110" spans="1:14" s="2" customFormat="1">
      <c r="A33110" s="83"/>
      <c r="H33110" s="83"/>
      <c r="K33110" s="82"/>
      <c r="M33110" s="112"/>
      <c r="N33110" s="84"/>
    </row>
    <row r="33111" spans="1:14" s="2" customFormat="1">
      <c r="A33111" s="83"/>
      <c r="H33111" s="83"/>
      <c r="K33111" s="82"/>
      <c r="M33111" s="112"/>
      <c r="N33111" s="84"/>
    </row>
    <row r="33112" spans="1:14" s="2" customFormat="1">
      <c r="A33112" s="83"/>
      <c r="H33112" s="83"/>
      <c r="K33112" s="82"/>
      <c r="M33112" s="112"/>
      <c r="N33112" s="84"/>
    </row>
    <row r="33113" spans="1:14" s="2" customFormat="1">
      <c r="A33113" s="83"/>
      <c r="H33113" s="83"/>
      <c r="K33113" s="82"/>
      <c r="M33113" s="112"/>
      <c r="N33113" s="84"/>
    </row>
    <row r="33114" spans="1:14" s="2" customFormat="1">
      <c r="A33114" s="83"/>
      <c r="H33114" s="83"/>
      <c r="K33114" s="82"/>
      <c r="M33114" s="112"/>
      <c r="N33114" s="84"/>
    </row>
    <row r="33115" spans="1:14" s="2" customFormat="1">
      <c r="A33115" s="83"/>
      <c r="H33115" s="83"/>
      <c r="K33115" s="82"/>
      <c r="M33115" s="112"/>
      <c r="N33115" s="84"/>
    </row>
    <row r="33116" spans="1:14" s="2" customFormat="1">
      <c r="A33116" s="83"/>
      <c r="H33116" s="83"/>
      <c r="K33116" s="82"/>
      <c r="M33116" s="112"/>
      <c r="N33116" s="84"/>
    </row>
    <row r="33117" spans="1:14" s="2" customFormat="1">
      <c r="A33117" s="83"/>
      <c r="H33117" s="83"/>
      <c r="K33117" s="82"/>
      <c r="M33117" s="112"/>
      <c r="N33117" s="84"/>
    </row>
    <row r="33118" spans="1:14" s="2" customFormat="1">
      <c r="A33118" s="83"/>
      <c r="H33118" s="83"/>
      <c r="K33118" s="82"/>
      <c r="M33118" s="112"/>
      <c r="N33118" s="84"/>
    </row>
    <row r="33119" spans="1:14" s="2" customFormat="1">
      <c r="A33119" s="83"/>
      <c r="H33119" s="83"/>
      <c r="K33119" s="82"/>
      <c r="M33119" s="112"/>
      <c r="N33119" s="84"/>
    </row>
    <row r="33120" spans="1:14" s="2" customFormat="1">
      <c r="A33120" s="83"/>
      <c r="H33120" s="83"/>
      <c r="K33120" s="82"/>
      <c r="M33120" s="112"/>
      <c r="N33120" s="84"/>
    </row>
    <row r="33121" spans="1:14" s="2" customFormat="1">
      <c r="A33121" s="83"/>
      <c r="H33121" s="83"/>
      <c r="K33121" s="82"/>
      <c r="M33121" s="112"/>
      <c r="N33121" s="84"/>
    </row>
    <row r="33122" spans="1:14" s="2" customFormat="1">
      <c r="A33122" s="83"/>
      <c r="H33122" s="83"/>
      <c r="K33122" s="82"/>
      <c r="M33122" s="112"/>
      <c r="N33122" s="84"/>
    </row>
    <row r="33123" spans="1:14" s="2" customFormat="1">
      <c r="A33123" s="83"/>
      <c r="H33123" s="83"/>
      <c r="K33123" s="82"/>
      <c r="M33123" s="112"/>
      <c r="N33123" s="84"/>
    </row>
    <row r="33124" spans="1:14" s="2" customFormat="1">
      <c r="A33124" s="83"/>
      <c r="H33124" s="83"/>
      <c r="K33124" s="82"/>
      <c r="M33124" s="112"/>
      <c r="N33124" s="84"/>
    </row>
    <row r="33125" spans="1:14" s="2" customFormat="1">
      <c r="A33125" s="83"/>
      <c r="H33125" s="83"/>
      <c r="K33125" s="82"/>
      <c r="M33125" s="112"/>
      <c r="N33125" s="84"/>
    </row>
    <row r="33126" spans="1:14" s="2" customFormat="1">
      <c r="A33126" s="83"/>
      <c r="H33126" s="83"/>
      <c r="K33126" s="82"/>
      <c r="M33126" s="112"/>
      <c r="N33126" s="84"/>
    </row>
    <row r="33127" spans="1:14" s="2" customFormat="1">
      <c r="A33127" s="83"/>
      <c r="H33127" s="83"/>
      <c r="K33127" s="82"/>
      <c r="M33127" s="112"/>
      <c r="N33127" s="84"/>
    </row>
    <row r="33128" spans="1:14" s="2" customFormat="1">
      <c r="A33128" s="83"/>
      <c r="H33128" s="83"/>
      <c r="K33128" s="82"/>
      <c r="M33128" s="112"/>
      <c r="N33128" s="84"/>
    </row>
    <row r="33129" spans="1:14" s="2" customFormat="1">
      <c r="A33129" s="83"/>
      <c r="H33129" s="83"/>
      <c r="K33129" s="82"/>
      <c r="M33129" s="112"/>
      <c r="N33129" s="84"/>
    </row>
    <row r="33130" spans="1:14" s="2" customFormat="1">
      <c r="A33130" s="83"/>
      <c r="H33130" s="83"/>
      <c r="K33130" s="82"/>
      <c r="M33130" s="112"/>
      <c r="N33130" s="84"/>
    </row>
    <row r="33131" spans="1:14" s="2" customFormat="1">
      <c r="A33131" s="83"/>
      <c r="H33131" s="83"/>
      <c r="K33131" s="82"/>
      <c r="M33131" s="112"/>
      <c r="N33131" s="84"/>
    </row>
    <row r="33132" spans="1:14" s="2" customFormat="1">
      <c r="A33132" s="83"/>
      <c r="H33132" s="83"/>
      <c r="K33132" s="82"/>
      <c r="M33132" s="112"/>
      <c r="N33132" s="84"/>
    </row>
    <row r="33133" spans="1:14" s="2" customFormat="1">
      <c r="A33133" s="83"/>
      <c r="H33133" s="83"/>
      <c r="K33133" s="82"/>
      <c r="M33133" s="112"/>
      <c r="N33133" s="84"/>
    </row>
    <row r="33134" spans="1:14" s="2" customFormat="1">
      <c r="A33134" s="83"/>
      <c r="H33134" s="83"/>
      <c r="K33134" s="82"/>
      <c r="M33134" s="112"/>
      <c r="N33134" s="84"/>
    </row>
    <row r="33135" spans="1:14" s="2" customFormat="1">
      <c r="A33135" s="83"/>
      <c r="H33135" s="83"/>
      <c r="K33135" s="82"/>
      <c r="M33135" s="112"/>
      <c r="N33135" s="84"/>
    </row>
    <row r="33136" spans="1:14" s="2" customFormat="1">
      <c r="A33136" s="83"/>
      <c r="H33136" s="83"/>
      <c r="K33136" s="82"/>
      <c r="M33136" s="112"/>
      <c r="N33136" s="84"/>
    </row>
    <row r="33137" spans="1:14" s="2" customFormat="1">
      <c r="A33137" s="83"/>
      <c r="H33137" s="83"/>
      <c r="K33137" s="82"/>
      <c r="M33137" s="112"/>
      <c r="N33137" s="84"/>
    </row>
    <row r="33138" spans="1:14" s="2" customFormat="1">
      <c r="A33138" s="83"/>
      <c r="H33138" s="83"/>
      <c r="K33138" s="82"/>
      <c r="M33138" s="112"/>
      <c r="N33138" s="84"/>
    </row>
    <row r="33139" spans="1:14" s="2" customFormat="1">
      <c r="A33139" s="83"/>
      <c r="H33139" s="83"/>
      <c r="K33139" s="82"/>
      <c r="M33139" s="112"/>
      <c r="N33139" s="84"/>
    </row>
    <row r="33140" spans="1:14" s="2" customFormat="1">
      <c r="A33140" s="83"/>
      <c r="H33140" s="83"/>
      <c r="K33140" s="82"/>
      <c r="M33140" s="112"/>
      <c r="N33140" s="84"/>
    </row>
    <row r="33141" spans="1:14" s="2" customFormat="1">
      <c r="A33141" s="83"/>
      <c r="H33141" s="83"/>
      <c r="K33141" s="82"/>
      <c r="M33141" s="112"/>
      <c r="N33141" s="84"/>
    </row>
    <row r="33142" spans="1:14" s="2" customFormat="1">
      <c r="A33142" s="83"/>
      <c r="H33142" s="83"/>
      <c r="K33142" s="82"/>
      <c r="M33142" s="112"/>
      <c r="N33142" s="84"/>
    </row>
    <row r="33143" spans="1:14" s="2" customFormat="1">
      <c r="A33143" s="83"/>
      <c r="H33143" s="83"/>
      <c r="K33143" s="82"/>
      <c r="M33143" s="112"/>
      <c r="N33143" s="84"/>
    </row>
    <row r="33144" spans="1:14" s="2" customFormat="1">
      <c r="A33144" s="83"/>
      <c r="H33144" s="83"/>
      <c r="K33144" s="82"/>
      <c r="M33144" s="112"/>
      <c r="N33144" s="84"/>
    </row>
    <row r="33145" spans="1:14" s="2" customFormat="1">
      <c r="A33145" s="83"/>
      <c r="H33145" s="83"/>
      <c r="K33145" s="82"/>
      <c r="M33145" s="112"/>
      <c r="N33145" s="84"/>
    </row>
    <row r="33146" spans="1:14" s="2" customFormat="1">
      <c r="A33146" s="83"/>
      <c r="H33146" s="83"/>
      <c r="K33146" s="82"/>
      <c r="M33146" s="112"/>
      <c r="N33146" s="84"/>
    </row>
    <row r="33147" spans="1:14" s="2" customFormat="1">
      <c r="A33147" s="83"/>
      <c r="H33147" s="83"/>
      <c r="K33147" s="82"/>
      <c r="M33147" s="112"/>
      <c r="N33147" s="84"/>
    </row>
    <row r="33148" spans="1:14" s="2" customFormat="1">
      <c r="A33148" s="83"/>
      <c r="H33148" s="83"/>
      <c r="K33148" s="82"/>
      <c r="M33148" s="112"/>
      <c r="N33148" s="84"/>
    </row>
    <row r="33149" spans="1:14" s="2" customFormat="1">
      <c r="A33149" s="83"/>
      <c r="H33149" s="83"/>
      <c r="K33149" s="82"/>
      <c r="M33149" s="112"/>
      <c r="N33149" s="84"/>
    </row>
    <row r="33150" spans="1:14" s="2" customFormat="1">
      <c r="A33150" s="83"/>
      <c r="H33150" s="83"/>
      <c r="K33150" s="82"/>
      <c r="M33150" s="112"/>
      <c r="N33150" s="84"/>
    </row>
    <row r="33151" spans="1:14" s="2" customFormat="1">
      <c r="A33151" s="83"/>
      <c r="H33151" s="83"/>
      <c r="K33151" s="82"/>
      <c r="M33151" s="112"/>
      <c r="N33151" s="84"/>
    </row>
    <row r="33152" spans="1:14" s="2" customFormat="1">
      <c r="A33152" s="83"/>
      <c r="H33152" s="83"/>
      <c r="K33152" s="82"/>
      <c r="M33152" s="112"/>
      <c r="N33152" s="84"/>
    </row>
    <row r="33153" spans="1:14" s="2" customFormat="1">
      <c r="A33153" s="83"/>
      <c r="H33153" s="83"/>
      <c r="K33153" s="82"/>
      <c r="M33153" s="112"/>
      <c r="N33153" s="84"/>
    </row>
    <row r="33154" spans="1:14" s="2" customFormat="1">
      <c r="A33154" s="83"/>
      <c r="H33154" s="83"/>
      <c r="K33154" s="82"/>
      <c r="M33154" s="112"/>
      <c r="N33154" s="84"/>
    </row>
    <row r="33155" spans="1:14" s="2" customFormat="1">
      <c r="A33155" s="83"/>
      <c r="H33155" s="83"/>
      <c r="K33155" s="82"/>
      <c r="M33155" s="112"/>
      <c r="N33155" s="84"/>
    </row>
    <row r="33156" spans="1:14" s="2" customFormat="1">
      <c r="A33156" s="83"/>
      <c r="H33156" s="83"/>
      <c r="K33156" s="82"/>
      <c r="M33156" s="112"/>
      <c r="N33156" s="84"/>
    </row>
    <row r="33157" spans="1:14" s="2" customFormat="1">
      <c r="A33157" s="83"/>
      <c r="H33157" s="83"/>
      <c r="K33157" s="82"/>
      <c r="M33157" s="112"/>
      <c r="N33157" s="84"/>
    </row>
    <row r="33158" spans="1:14" s="2" customFormat="1">
      <c r="A33158" s="83"/>
      <c r="H33158" s="83"/>
      <c r="K33158" s="82"/>
      <c r="M33158" s="112"/>
      <c r="N33158" s="84"/>
    </row>
    <row r="33159" spans="1:14" s="2" customFormat="1">
      <c r="A33159" s="83"/>
      <c r="H33159" s="83"/>
      <c r="K33159" s="82"/>
      <c r="M33159" s="112"/>
      <c r="N33159" s="84"/>
    </row>
    <row r="33160" spans="1:14" s="2" customFormat="1">
      <c r="A33160" s="83"/>
      <c r="H33160" s="83"/>
      <c r="K33160" s="82"/>
      <c r="M33160" s="112"/>
      <c r="N33160" s="84"/>
    </row>
    <row r="33161" spans="1:14" s="2" customFormat="1">
      <c r="A33161" s="83"/>
      <c r="H33161" s="83"/>
      <c r="K33161" s="82"/>
      <c r="M33161" s="112"/>
      <c r="N33161" s="84"/>
    </row>
    <row r="33162" spans="1:14" s="2" customFormat="1">
      <c r="A33162" s="83"/>
      <c r="H33162" s="83"/>
      <c r="K33162" s="82"/>
      <c r="M33162" s="112"/>
      <c r="N33162" s="84"/>
    </row>
    <row r="33163" spans="1:14" s="2" customFormat="1">
      <c r="A33163" s="83"/>
      <c r="H33163" s="83"/>
      <c r="K33163" s="82"/>
      <c r="M33163" s="112"/>
      <c r="N33163" s="84"/>
    </row>
    <row r="33164" spans="1:14" s="2" customFormat="1">
      <c r="A33164" s="83"/>
      <c r="H33164" s="83"/>
      <c r="K33164" s="82"/>
      <c r="M33164" s="112"/>
      <c r="N33164" s="84"/>
    </row>
    <row r="33165" spans="1:14" s="2" customFormat="1">
      <c r="A33165" s="83"/>
      <c r="H33165" s="83"/>
      <c r="K33165" s="82"/>
      <c r="M33165" s="112"/>
      <c r="N33165" s="84"/>
    </row>
    <row r="33166" spans="1:14" s="2" customFormat="1">
      <c r="A33166" s="83"/>
      <c r="H33166" s="83"/>
      <c r="K33166" s="82"/>
      <c r="M33166" s="112"/>
      <c r="N33166" s="84"/>
    </row>
    <row r="33167" spans="1:14" s="2" customFormat="1">
      <c r="A33167" s="83"/>
      <c r="H33167" s="83"/>
      <c r="K33167" s="82"/>
      <c r="M33167" s="112"/>
      <c r="N33167" s="84"/>
    </row>
    <row r="33168" spans="1:14" s="2" customFormat="1">
      <c r="A33168" s="83"/>
      <c r="H33168" s="83"/>
      <c r="K33168" s="82"/>
      <c r="M33168" s="112"/>
      <c r="N33168" s="84"/>
    </row>
    <row r="33169" spans="1:14" s="2" customFormat="1">
      <c r="A33169" s="83"/>
      <c r="H33169" s="83"/>
      <c r="K33169" s="82"/>
      <c r="M33169" s="112"/>
      <c r="N33169" s="84"/>
    </row>
    <row r="33170" spans="1:14" s="2" customFormat="1">
      <c r="A33170" s="83"/>
      <c r="H33170" s="83"/>
      <c r="K33170" s="82"/>
      <c r="M33170" s="112"/>
      <c r="N33170" s="84"/>
    </row>
    <row r="33171" spans="1:14" s="2" customFormat="1">
      <c r="A33171" s="83"/>
      <c r="H33171" s="83"/>
      <c r="K33171" s="82"/>
      <c r="M33171" s="112"/>
      <c r="N33171" s="84"/>
    </row>
    <row r="33172" spans="1:14" s="2" customFormat="1">
      <c r="A33172" s="83"/>
      <c r="H33172" s="83"/>
      <c r="K33172" s="82"/>
      <c r="M33172" s="112"/>
      <c r="N33172" s="84"/>
    </row>
    <row r="33173" spans="1:14" s="2" customFormat="1">
      <c r="A33173" s="83"/>
      <c r="H33173" s="83"/>
      <c r="K33173" s="82"/>
      <c r="M33173" s="112"/>
      <c r="N33173" s="84"/>
    </row>
    <row r="33174" spans="1:14" s="2" customFormat="1">
      <c r="A33174" s="83"/>
      <c r="H33174" s="83"/>
      <c r="K33174" s="82"/>
      <c r="M33174" s="112"/>
      <c r="N33174" s="84"/>
    </row>
    <row r="33175" spans="1:14" s="2" customFormat="1">
      <c r="A33175" s="83"/>
      <c r="H33175" s="83"/>
      <c r="K33175" s="82"/>
      <c r="M33175" s="112"/>
      <c r="N33175" s="84"/>
    </row>
    <row r="33176" spans="1:14" s="2" customFormat="1">
      <c r="A33176" s="83"/>
      <c r="H33176" s="83"/>
      <c r="K33176" s="82"/>
      <c r="M33176" s="112"/>
      <c r="N33176" s="84"/>
    </row>
    <row r="33177" spans="1:14" s="2" customFormat="1">
      <c r="A33177" s="83"/>
      <c r="H33177" s="83"/>
      <c r="K33177" s="82"/>
      <c r="M33177" s="112"/>
      <c r="N33177" s="84"/>
    </row>
    <row r="33178" spans="1:14" s="2" customFormat="1">
      <c r="A33178" s="83"/>
      <c r="H33178" s="83"/>
      <c r="K33178" s="82"/>
      <c r="M33178" s="112"/>
      <c r="N33178" s="84"/>
    </row>
    <row r="33179" spans="1:14" s="2" customFormat="1">
      <c r="A33179" s="83"/>
      <c r="H33179" s="83"/>
      <c r="K33179" s="82"/>
      <c r="M33179" s="112"/>
      <c r="N33179" s="84"/>
    </row>
    <row r="33180" spans="1:14" s="2" customFormat="1">
      <c r="A33180" s="83"/>
      <c r="H33180" s="83"/>
      <c r="K33180" s="82"/>
      <c r="M33180" s="112"/>
      <c r="N33180" s="84"/>
    </row>
    <row r="33181" spans="1:14" s="2" customFormat="1">
      <c r="A33181" s="83"/>
      <c r="H33181" s="83"/>
      <c r="K33181" s="82"/>
      <c r="M33181" s="112"/>
      <c r="N33181" s="84"/>
    </row>
    <row r="33182" spans="1:14" s="2" customFormat="1">
      <c r="A33182" s="83"/>
      <c r="H33182" s="83"/>
      <c r="K33182" s="82"/>
      <c r="M33182" s="112"/>
      <c r="N33182" s="84"/>
    </row>
    <row r="33183" spans="1:14" s="2" customFormat="1">
      <c r="A33183" s="83"/>
      <c r="H33183" s="83"/>
      <c r="K33183" s="82"/>
      <c r="M33183" s="112"/>
      <c r="N33183" s="84"/>
    </row>
    <row r="33184" spans="1:14" s="2" customFormat="1">
      <c r="A33184" s="83"/>
      <c r="H33184" s="83"/>
      <c r="K33184" s="82"/>
      <c r="M33184" s="112"/>
      <c r="N33184" s="84"/>
    </row>
    <row r="33185" spans="1:14" s="2" customFormat="1">
      <c r="A33185" s="83"/>
      <c r="H33185" s="83"/>
      <c r="K33185" s="82"/>
      <c r="M33185" s="112"/>
      <c r="N33185" s="84"/>
    </row>
    <row r="33186" spans="1:14" s="2" customFormat="1">
      <c r="A33186" s="83"/>
      <c r="H33186" s="83"/>
      <c r="K33186" s="82"/>
      <c r="M33186" s="112"/>
      <c r="N33186" s="84"/>
    </row>
    <row r="33187" spans="1:14" s="2" customFormat="1">
      <c r="A33187" s="83"/>
      <c r="H33187" s="83"/>
      <c r="K33187" s="82"/>
      <c r="M33187" s="112"/>
      <c r="N33187" s="84"/>
    </row>
    <row r="33188" spans="1:14" s="2" customFormat="1">
      <c r="A33188" s="83"/>
      <c r="H33188" s="83"/>
      <c r="K33188" s="82"/>
      <c r="M33188" s="112"/>
      <c r="N33188" s="84"/>
    </row>
    <row r="33189" spans="1:14" s="2" customFormat="1">
      <c r="A33189" s="83"/>
      <c r="H33189" s="83"/>
      <c r="K33189" s="82"/>
      <c r="M33189" s="112"/>
      <c r="N33189" s="84"/>
    </row>
    <row r="33190" spans="1:14" s="2" customFormat="1">
      <c r="A33190" s="83"/>
      <c r="H33190" s="83"/>
      <c r="K33190" s="82"/>
      <c r="M33190" s="112"/>
      <c r="N33190" s="84"/>
    </row>
    <row r="33191" spans="1:14" s="2" customFormat="1">
      <c r="A33191" s="83"/>
      <c r="H33191" s="83"/>
      <c r="K33191" s="82"/>
      <c r="M33191" s="112"/>
      <c r="N33191" s="84"/>
    </row>
    <row r="33192" spans="1:14" s="2" customFormat="1">
      <c r="A33192" s="83"/>
      <c r="H33192" s="83"/>
      <c r="K33192" s="82"/>
      <c r="M33192" s="112"/>
      <c r="N33192" s="84"/>
    </row>
    <row r="33193" spans="1:14" s="2" customFormat="1">
      <c r="A33193" s="83"/>
      <c r="H33193" s="83"/>
      <c r="K33193" s="82"/>
      <c r="M33193" s="112"/>
      <c r="N33193" s="84"/>
    </row>
    <row r="33194" spans="1:14" s="2" customFormat="1">
      <c r="A33194" s="83"/>
      <c r="H33194" s="83"/>
      <c r="K33194" s="82"/>
      <c r="M33194" s="112"/>
      <c r="N33194" s="84"/>
    </row>
    <row r="33195" spans="1:14" s="2" customFormat="1">
      <c r="A33195" s="83"/>
      <c r="H33195" s="83"/>
      <c r="K33195" s="82"/>
      <c r="M33195" s="112"/>
      <c r="N33195" s="84"/>
    </row>
    <row r="33196" spans="1:14" s="2" customFormat="1">
      <c r="A33196" s="83"/>
      <c r="H33196" s="83"/>
      <c r="K33196" s="82"/>
      <c r="M33196" s="112"/>
      <c r="N33196" s="84"/>
    </row>
    <row r="33197" spans="1:14" s="2" customFormat="1">
      <c r="A33197" s="83"/>
      <c r="H33197" s="83"/>
      <c r="K33197" s="82"/>
      <c r="M33197" s="112"/>
      <c r="N33197" s="84"/>
    </row>
    <row r="33198" spans="1:14" s="2" customFormat="1">
      <c r="A33198" s="83"/>
      <c r="H33198" s="83"/>
      <c r="K33198" s="82"/>
      <c r="M33198" s="112"/>
      <c r="N33198" s="84"/>
    </row>
    <row r="33199" spans="1:14" s="2" customFormat="1">
      <c r="A33199" s="83"/>
      <c r="H33199" s="83"/>
      <c r="K33199" s="82"/>
      <c r="M33199" s="112"/>
      <c r="N33199" s="84"/>
    </row>
    <row r="33200" spans="1:14" s="2" customFormat="1">
      <c r="A33200" s="83"/>
      <c r="H33200" s="83"/>
      <c r="K33200" s="82"/>
      <c r="M33200" s="112"/>
      <c r="N33200" s="84"/>
    </row>
    <row r="33201" spans="1:14" s="2" customFormat="1">
      <c r="A33201" s="83"/>
      <c r="H33201" s="83"/>
      <c r="K33201" s="82"/>
      <c r="M33201" s="112"/>
      <c r="N33201" s="84"/>
    </row>
    <row r="33202" spans="1:14" s="2" customFormat="1">
      <c r="A33202" s="83"/>
      <c r="H33202" s="83"/>
      <c r="K33202" s="82"/>
      <c r="M33202" s="112"/>
      <c r="N33202" s="84"/>
    </row>
    <row r="33203" spans="1:14" s="2" customFormat="1">
      <c r="A33203" s="83"/>
      <c r="H33203" s="83"/>
      <c r="K33203" s="82"/>
      <c r="M33203" s="112"/>
      <c r="N33203" s="84"/>
    </row>
    <row r="33204" spans="1:14" s="2" customFormat="1">
      <c r="A33204" s="83"/>
      <c r="H33204" s="83"/>
      <c r="K33204" s="82"/>
      <c r="M33204" s="112"/>
      <c r="N33204" s="84"/>
    </row>
    <row r="33205" spans="1:14" s="2" customFormat="1">
      <c r="A33205" s="83"/>
      <c r="H33205" s="83"/>
      <c r="K33205" s="82"/>
      <c r="M33205" s="112"/>
      <c r="N33205" s="84"/>
    </row>
    <row r="33206" spans="1:14" s="2" customFormat="1">
      <c r="A33206" s="83"/>
      <c r="H33206" s="83"/>
      <c r="K33206" s="82"/>
      <c r="M33206" s="112"/>
      <c r="N33206" s="84"/>
    </row>
    <row r="33207" spans="1:14" s="2" customFormat="1">
      <c r="A33207" s="83"/>
      <c r="H33207" s="83"/>
      <c r="K33207" s="82"/>
      <c r="M33207" s="112"/>
      <c r="N33207" s="84"/>
    </row>
    <row r="33208" spans="1:14" s="2" customFormat="1">
      <c r="A33208" s="83"/>
      <c r="H33208" s="83"/>
      <c r="K33208" s="82"/>
      <c r="M33208" s="112"/>
      <c r="N33208" s="84"/>
    </row>
    <row r="33209" spans="1:14" s="2" customFormat="1">
      <c r="A33209" s="83"/>
      <c r="H33209" s="83"/>
      <c r="K33209" s="82"/>
      <c r="M33209" s="112"/>
      <c r="N33209" s="84"/>
    </row>
    <row r="33210" spans="1:14" s="2" customFormat="1">
      <c r="A33210" s="83"/>
      <c r="H33210" s="83"/>
      <c r="K33210" s="82"/>
      <c r="M33210" s="112"/>
      <c r="N33210" s="84"/>
    </row>
    <row r="33211" spans="1:14" s="2" customFormat="1">
      <c r="A33211" s="83"/>
      <c r="H33211" s="83"/>
      <c r="K33211" s="82"/>
      <c r="M33211" s="112"/>
      <c r="N33211" s="84"/>
    </row>
    <row r="33212" spans="1:14" s="2" customFormat="1">
      <c r="A33212" s="83"/>
      <c r="H33212" s="83"/>
      <c r="K33212" s="82"/>
      <c r="M33212" s="112"/>
      <c r="N33212" s="84"/>
    </row>
    <row r="33213" spans="1:14" s="2" customFormat="1">
      <c r="A33213" s="83"/>
      <c r="H33213" s="83"/>
      <c r="K33213" s="82"/>
      <c r="M33213" s="112"/>
      <c r="N33213" s="84"/>
    </row>
    <row r="33214" spans="1:14" s="2" customFormat="1">
      <c r="A33214" s="83"/>
      <c r="H33214" s="83"/>
      <c r="K33214" s="82"/>
      <c r="M33214" s="112"/>
      <c r="N33214" s="84"/>
    </row>
    <row r="33215" spans="1:14" s="2" customFormat="1">
      <c r="A33215" s="83"/>
      <c r="H33215" s="83"/>
      <c r="K33215" s="82"/>
      <c r="M33215" s="112"/>
      <c r="N33215" s="84"/>
    </row>
    <row r="33216" spans="1:14" s="2" customFormat="1">
      <c r="A33216" s="83"/>
      <c r="H33216" s="83"/>
      <c r="K33216" s="82"/>
      <c r="M33216" s="112"/>
      <c r="N33216" s="84"/>
    </row>
    <row r="33217" spans="1:14" s="2" customFormat="1">
      <c r="A33217" s="83"/>
      <c r="H33217" s="83"/>
      <c r="K33217" s="82"/>
      <c r="M33217" s="112"/>
      <c r="N33217" s="84"/>
    </row>
    <row r="33218" spans="1:14" s="2" customFormat="1">
      <c r="A33218" s="83"/>
      <c r="H33218" s="83"/>
      <c r="K33218" s="82"/>
      <c r="M33218" s="112"/>
      <c r="N33218" s="84"/>
    </row>
    <row r="33219" spans="1:14" s="2" customFormat="1">
      <c r="A33219" s="83"/>
      <c r="H33219" s="83"/>
      <c r="K33219" s="82"/>
      <c r="M33219" s="112"/>
      <c r="N33219" s="84"/>
    </row>
    <row r="33220" spans="1:14" s="2" customFormat="1">
      <c r="A33220" s="83"/>
      <c r="H33220" s="83"/>
      <c r="K33220" s="82"/>
      <c r="M33220" s="112"/>
      <c r="N33220" s="84"/>
    </row>
    <row r="33221" spans="1:14" s="2" customFormat="1">
      <c r="A33221" s="83"/>
      <c r="H33221" s="83"/>
      <c r="K33221" s="82"/>
      <c r="M33221" s="112"/>
      <c r="N33221" s="84"/>
    </row>
    <row r="33222" spans="1:14" s="2" customFormat="1">
      <c r="A33222" s="83"/>
      <c r="H33222" s="83"/>
      <c r="K33222" s="82"/>
      <c r="M33222" s="112"/>
      <c r="N33222" s="84"/>
    </row>
    <row r="33223" spans="1:14" s="2" customFormat="1">
      <c r="A33223" s="83"/>
      <c r="H33223" s="83"/>
      <c r="K33223" s="82"/>
      <c r="M33223" s="112"/>
      <c r="N33223" s="84"/>
    </row>
    <row r="33224" spans="1:14" s="2" customFormat="1">
      <c r="A33224" s="83"/>
      <c r="H33224" s="83"/>
      <c r="K33224" s="82"/>
      <c r="M33224" s="112"/>
      <c r="N33224" s="84"/>
    </row>
    <row r="33225" spans="1:14" s="2" customFormat="1">
      <c r="A33225" s="83"/>
      <c r="H33225" s="83"/>
      <c r="K33225" s="82"/>
      <c r="M33225" s="112"/>
      <c r="N33225" s="84"/>
    </row>
    <row r="33226" spans="1:14" s="2" customFormat="1">
      <c r="A33226" s="83"/>
      <c r="H33226" s="83"/>
      <c r="K33226" s="82"/>
      <c r="M33226" s="112"/>
      <c r="N33226" s="84"/>
    </row>
    <row r="33227" spans="1:14" s="2" customFormat="1">
      <c r="A33227" s="83"/>
      <c r="H33227" s="83"/>
      <c r="K33227" s="82"/>
      <c r="M33227" s="112"/>
      <c r="N33227" s="84"/>
    </row>
    <row r="33228" spans="1:14" s="2" customFormat="1">
      <c r="A33228" s="83"/>
      <c r="H33228" s="83"/>
      <c r="K33228" s="82"/>
      <c r="M33228" s="112"/>
      <c r="N33228" s="84"/>
    </row>
    <row r="33229" spans="1:14" s="2" customFormat="1">
      <c r="A33229" s="83"/>
      <c r="H33229" s="83"/>
      <c r="K33229" s="82"/>
      <c r="M33229" s="112"/>
      <c r="N33229" s="84"/>
    </row>
    <row r="33230" spans="1:14" s="2" customFormat="1">
      <c r="A33230" s="83"/>
      <c r="H33230" s="83"/>
      <c r="K33230" s="82"/>
      <c r="M33230" s="112"/>
      <c r="N33230" s="84"/>
    </row>
    <row r="33231" spans="1:14" s="2" customFormat="1">
      <c r="A33231" s="83"/>
      <c r="H33231" s="83"/>
      <c r="K33231" s="82"/>
      <c r="M33231" s="112"/>
      <c r="N33231" s="84"/>
    </row>
    <row r="33232" spans="1:14" s="2" customFormat="1">
      <c r="A33232" s="83"/>
      <c r="H33232" s="83"/>
      <c r="K33232" s="82"/>
      <c r="M33232" s="112"/>
      <c r="N33232" s="84"/>
    </row>
    <row r="33233" spans="1:14" s="2" customFormat="1">
      <c r="A33233" s="83"/>
      <c r="H33233" s="83"/>
      <c r="K33233" s="82"/>
      <c r="M33233" s="112"/>
      <c r="N33233" s="84"/>
    </row>
    <row r="33234" spans="1:14" s="2" customFormat="1">
      <c r="A33234" s="83"/>
      <c r="H33234" s="83"/>
      <c r="K33234" s="82"/>
      <c r="M33234" s="112"/>
      <c r="N33234" s="84"/>
    </row>
    <row r="33235" spans="1:14" s="2" customFormat="1">
      <c r="A33235" s="83"/>
      <c r="H33235" s="83"/>
      <c r="K33235" s="82"/>
      <c r="M33235" s="112"/>
      <c r="N33235" s="84"/>
    </row>
    <row r="33236" spans="1:14" s="2" customFormat="1">
      <c r="A33236" s="83"/>
      <c r="H33236" s="83"/>
      <c r="K33236" s="82"/>
      <c r="M33236" s="112"/>
      <c r="N33236" s="84"/>
    </row>
    <row r="33237" spans="1:14" s="2" customFormat="1">
      <c r="A33237" s="83"/>
      <c r="H33237" s="83"/>
      <c r="K33237" s="82"/>
      <c r="M33237" s="112"/>
      <c r="N33237" s="84"/>
    </row>
    <row r="33238" spans="1:14" s="2" customFormat="1">
      <c r="A33238" s="83"/>
      <c r="H33238" s="83"/>
      <c r="K33238" s="82"/>
      <c r="M33238" s="112"/>
      <c r="N33238" s="84"/>
    </row>
    <row r="33239" spans="1:14" s="2" customFormat="1">
      <c r="A33239" s="83"/>
      <c r="H33239" s="83"/>
      <c r="K33239" s="82"/>
      <c r="M33239" s="112"/>
      <c r="N33239" s="84"/>
    </row>
    <row r="33240" spans="1:14" s="2" customFormat="1">
      <c r="A33240" s="83"/>
      <c r="H33240" s="83"/>
      <c r="K33240" s="82"/>
      <c r="M33240" s="112"/>
      <c r="N33240" s="84"/>
    </row>
    <row r="33241" spans="1:14" s="2" customFormat="1">
      <c r="A33241" s="83"/>
      <c r="H33241" s="83"/>
      <c r="K33241" s="82"/>
      <c r="M33241" s="112"/>
      <c r="N33241" s="84"/>
    </row>
    <row r="33242" spans="1:14" s="2" customFormat="1">
      <c r="A33242" s="83"/>
      <c r="H33242" s="83"/>
      <c r="K33242" s="82"/>
      <c r="M33242" s="112"/>
      <c r="N33242" s="84"/>
    </row>
    <row r="33243" spans="1:14" s="2" customFormat="1">
      <c r="A33243" s="83"/>
      <c r="H33243" s="83"/>
      <c r="K33243" s="82"/>
      <c r="M33243" s="112"/>
      <c r="N33243" s="84"/>
    </row>
    <row r="33244" spans="1:14" s="2" customFormat="1">
      <c r="A33244" s="83"/>
      <c r="H33244" s="83"/>
      <c r="K33244" s="82"/>
      <c r="M33244" s="112"/>
      <c r="N33244" s="84"/>
    </row>
    <row r="33245" spans="1:14" s="2" customFormat="1">
      <c r="A33245" s="83"/>
      <c r="H33245" s="83"/>
      <c r="K33245" s="82"/>
      <c r="M33245" s="112"/>
      <c r="N33245" s="84"/>
    </row>
    <row r="33246" spans="1:14" s="2" customFormat="1">
      <c r="A33246" s="83"/>
      <c r="H33246" s="83"/>
      <c r="K33246" s="82"/>
      <c r="M33246" s="112"/>
      <c r="N33246" s="84"/>
    </row>
    <row r="33247" spans="1:14" s="2" customFormat="1">
      <c r="A33247" s="83"/>
      <c r="H33247" s="83"/>
      <c r="K33247" s="82"/>
      <c r="M33247" s="112"/>
      <c r="N33247" s="84"/>
    </row>
    <row r="33248" spans="1:14" s="2" customFormat="1">
      <c r="A33248" s="83"/>
      <c r="H33248" s="83"/>
      <c r="K33248" s="82"/>
      <c r="M33248" s="112"/>
      <c r="N33248" s="84"/>
    </row>
    <row r="33249" spans="1:14" s="2" customFormat="1">
      <c r="A33249" s="83"/>
      <c r="H33249" s="83"/>
      <c r="K33249" s="82"/>
      <c r="M33249" s="112"/>
      <c r="N33249" s="84"/>
    </row>
    <row r="33250" spans="1:14" s="2" customFormat="1">
      <c r="A33250" s="83"/>
      <c r="H33250" s="83"/>
      <c r="K33250" s="82"/>
      <c r="M33250" s="112"/>
      <c r="N33250" s="84"/>
    </row>
    <row r="33251" spans="1:14" s="2" customFormat="1">
      <c r="A33251" s="83"/>
      <c r="H33251" s="83"/>
      <c r="K33251" s="82"/>
      <c r="M33251" s="112"/>
      <c r="N33251" s="84"/>
    </row>
    <row r="33252" spans="1:14" s="2" customFormat="1">
      <c r="A33252" s="83"/>
      <c r="H33252" s="83"/>
      <c r="K33252" s="82"/>
      <c r="M33252" s="112"/>
      <c r="N33252" s="84"/>
    </row>
    <row r="33253" spans="1:14" s="2" customFormat="1">
      <c r="A33253" s="83"/>
      <c r="H33253" s="83"/>
      <c r="K33253" s="82"/>
      <c r="M33253" s="112"/>
      <c r="N33253" s="84"/>
    </row>
    <row r="33254" spans="1:14" s="2" customFormat="1">
      <c r="A33254" s="83"/>
      <c r="H33254" s="83"/>
      <c r="K33254" s="82"/>
      <c r="M33254" s="112"/>
      <c r="N33254" s="84"/>
    </row>
    <row r="33255" spans="1:14" s="2" customFormat="1">
      <c r="A33255" s="83"/>
      <c r="H33255" s="83"/>
      <c r="K33255" s="82"/>
      <c r="M33255" s="112"/>
      <c r="N33255" s="84"/>
    </row>
    <row r="33256" spans="1:14" s="2" customFormat="1">
      <c r="A33256" s="83"/>
      <c r="H33256" s="83"/>
      <c r="K33256" s="82"/>
      <c r="M33256" s="112"/>
      <c r="N33256" s="84"/>
    </row>
    <row r="33257" spans="1:14" s="2" customFormat="1">
      <c r="A33257" s="83"/>
      <c r="H33257" s="83"/>
      <c r="K33257" s="82"/>
      <c r="M33257" s="112"/>
      <c r="N33257" s="84"/>
    </row>
    <row r="33258" spans="1:14" s="2" customFormat="1">
      <c r="A33258" s="83"/>
      <c r="H33258" s="83"/>
      <c r="K33258" s="82"/>
      <c r="M33258" s="112"/>
      <c r="N33258" s="84"/>
    </row>
    <row r="33259" spans="1:14" s="2" customFormat="1">
      <c r="A33259" s="83"/>
      <c r="H33259" s="83"/>
      <c r="K33259" s="82"/>
      <c r="M33259" s="112"/>
      <c r="N33259" s="84"/>
    </row>
    <row r="33260" spans="1:14" s="2" customFormat="1">
      <c r="A33260" s="83"/>
      <c r="H33260" s="83"/>
      <c r="K33260" s="82"/>
      <c r="M33260" s="112"/>
      <c r="N33260" s="84"/>
    </row>
    <row r="33261" spans="1:14" s="2" customFormat="1">
      <c r="A33261" s="83"/>
      <c r="H33261" s="83"/>
      <c r="K33261" s="82"/>
      <c r="M33261" s="112"/>
      <c r="N33261" s="84"/>
    </row>
    <row r="33262" spans="1:14" s="2" customFormat="1">
      <c r="A33262" s="83"/>
      <c r="H33262" s="83"/>
      <c r="K33262" s="82"/>
      <c r="M33262" s="112"/>
      <c r="N33262" s="84"/>
    </row>
    <row r="33263" spans="1:14" s="2" customFormat="1">
      <c r="A33263" s="83"/>
      <c r="H33263" s="83"/>
      <c r="K33263" s="82"/>
      <c r="M33263" s="112"/>
      <c r="N33263" s="84"/>
    </row>
    <row r="33264" spans="1:14" s="2" customFormat="1">
      <c r="A33264" s="83"/>
      <c r="H33264" s="83"/>
      <c r="K33264" s="82"/>
      <c r="M33264" s="112"/>
      <c r="N33264" s="84"/>
    </row>
    <row r="33265" spans="1:14" s="2" customFormat="1">
      <c r="A33265" s="83"/>
      <c r="H33265" s="83"/>
      <c r="K33265" s="82"/>
      <c r="M33265" s="112"/>
      <c r="N33265" s="84"/>
    </row>
    <row r="33266" spans="1:14" s="2" customFormat="1">
      <c r="A33266" s="83"/>
      <c r="H33266" s="83"/>
      <c r="K33266" s="82"/>
      <c r="M33266" s="112"/>
      <c r="N33266" s="84"/>
    </row>
    <row r="33267" spans="1:14" s="2" customFormat="1">
      <c r="A33267" s="83"/>
      <c r="H33267" s="83"/>
      <c r="K33267" s="82"/>
      <c r="M33267" s="112"/>
      <c r="N33267" s="84"/>
    </row>
    <row r="33268" spans="1:14" s="2" customFormat="1">
      <c r="A33268" s="83"/>
      <c r="H33268" s="83"/>
      <c r="K33268" s="82"/>
      <c r="M33268" s="112"/>
      <c r="N33268" s="84"/>
    </row>
    <row r="33269" spans="1:14" s="2" customFormat="1">
      <c r="A33269" s="83"/>
      <c r="H33269" s="83"/>
      <c r="K33269" s="82"/>
      <c r="M33269" s="112"/>
      <c r="N33269" s="84"/>
    </row>
    <row r="33270" spans="1:14" s="2" customFormat="1">
      <c r="A33270" s="83"/>
      <c r="H33270" s="83"/>
      <c r="K33270" s="82"/>
      <c r="M33270" s="112"/>
      <c r="N33270" s="84"/>
    </row>
    <row r="33271" spans="1:14" s="2" customFormat="1">
      <c r="A33271" s="83"/>
      <c r="H33271" s="83"/>
      <c r="K33271" s="82"/>
      <c r="M33271" s="112"/>
      <c r="N33271" s="84"/>
    </row>
    <row r="33272" spans="1:14" s="2" customFormat="1">
      <c r="A33272" s="83"/>
      <c r="H33272" s="83"/>
      <c r="K33272" s="82"/>
      <c r="M33272" s="112"/>
      <c r="N33272" s="84"/>
    </row>
    <row r="33273" spans="1:14" s="2" customFormat="1">
      <c r="A33273" s="83"/>
      <c r="H33273" s="83"/>
      <c r="K33273" s="82"/>
      <c r="M33273" s="112"/>
      <c r="N33273" s="84"/>
    </row>
    <row r="33274" spans="1:14" s="2" customFormat="1">
      <c r="A33274" s="83"/>
      <c r="H33274" s="83"/>
      <c r="K33274" s="82"/>
      <c r="M33274" s="112"/>
      <c r="N33274" s="84"/>
    </row>
    <row r="33275" spans="1:14" s="2" customFormat="1">
      <c r="A33275" s="83"/>
      <c r="H33275" s="83"/>
      <c r="K33275" s="82"/>
      <c r="M33275" s="112"/>
      <c r="N33275" s="84"/>
    </row>
    <row r="33276" spans="1:14" s="2" customFormat="1">
      <c r="A33276" s="83"/>
      <c r="H33276" s="83"/>
      <c r="K33276" s="82"/>
      <c r="M33276" s="112"/>
      <c r="N33276" s="84"/>
    </row>
    <row r="33277" spans="1:14" s="2" customFormat="1">
      <c r="A33277" s="83"/>
      <c r="H33277" s="83"/>
      <c r="K33277" s="82"/>
      <c r="M33277" s="112"/>
      <c r="N33277" s="84"/>
    </row>
    <row r="33278" spans="1:14" s="2" customFormat="1">
      <c r="A33278" s="83"/>
      <c r="H33278" s="83"/>
      <c r="K33278" s="82"/>
      <c r="M33278" s="112"/>
      <c r="N33278" s="84"/>
    </row>
    <row r="33279" spans="1:14" s="2" customFormat="1">
      <c r="A33279" s="83"/>
      <c r="H33279" s="83"/>
      <c r="K33279" s="82"/>
      <c r="M33279" s="112"/>
      <c r="N33279" s="84"/>
    </row>
    <row r="33280" spans="1:14" s="2" customFormat="1">
      <c r="A33280" s="83"/>
      <c r="H33280" s="83"/>
      <c r="K33280" s="82"/>
      <c r="M33280" s="112"/>
      <c r="N33280" s="84"/>
    </row>
    <row r="33281" spans="1:14" s="2" customFormat="1">
      <c r="A33281" s="83"/>
      <c r="H33281" s="83"/>
      <c r="K33281" s="82"/>
      <c r="M33281" s="112"/>
      <c r="N33281" s="84"/>
    </row>
    <row r="33282" spans="1:14" s="2" customFormat="1">
      <c r="A33282" s="83"/>
      <c r="H33282" s="83"/>
      <c r="K33282" s="82"/>
      <c r="M33282" s="112"/>
      <c r="N33282" s="84"/>
    </row>
    <row r="33283" spans="1:14" s="2" customFormat="1">
      <c r="A33283" s="83"/>
      <c r="H33283" s="83"/>
      <c r="K33283" s="82"/>
      <c r="M33283" s="112"/>
      <c r="N33283" s="84"/>
    </row>
    <row r="33284" spans="1:14" s="2" customFormat="1">
      <c r="A33284" s="83"/>
      <c r="H33284" s="83"/>
      <c r="K33284" s="82"/>
      <c r="M33284" s="112"/>
      <c r="N33284" s="84"/>
    </row>
    <row r="33285" spans="1:14" s="2" customFormat="1">
      <c r="A33285" s="83"/>
      <c r="H33285" s="83"/>
      <c r="K33285" s="82"/>
      <c r="M33285" s="112"/>
      <c r="N33285" s="84"/>
    </row>
    <row r="33286" spans="1:14" s="2" customFormat="1">
      <c r="A33286" s="83"/>
      <c r="H33286" s="83"/>
      <c r="K33286" s="82"/>
      <c r="M33286" s="112"/>
      <c r="N33286" s="84"/>
    </row>
    <row r="33287" spans="1:14" s="2" customFormat="1">
      <c r="A33287" s="83"/>
      <c r="H33287" s="83"/>
      <c r="K33287" s="82"/>
      <c r="M33287" s="112"/>
      <c r="N33287" s="84"/>
    </row>
    <row r="33288" spans="1:14" s="2" customFormat="1">
      <c r="A33288" s="83"/>
      <c r="H33288" s="83"/>
      <c r="K33288" s="82"/>
      <c r="M33288" s="112"/>
      <c r="N33288" s="84"/>
    </row>
    <row r="33289" spans="1:14" s="2" customFormat="1">
      <c r="A33289" s="83"/>
      <c r="H33289" s="83"/>
      <c r="K33289" s="82"/>
      <c r="M33289" s="112"/>
      <c r="N33289" s="84"/>
    </row>
    <row r="33290" spans="1:14" s="2" customFormat="1">
      <c r="A33290" s="83"/>
      <c r="H33290" s="83"/>
      <c r="K33290" s="82"/>
      <c r="M33290" s="112"/>
      <c r="N33290" s="84"/>
    </row>
    <row r="33291" spans="1:14" s="2" customFormat="1">
      <c r="A33291" s="83"/>
      <c r="H33291" s="83"/>
      <c r="K33291" s="82"/>
      <c r="M33291" s="112"/>
      <c r="N33291" s="84"/>
    </row>
    <row r="33292" spans="1:14" s="2" customFormat="1">
      <c r="A33292" s="83"/>
      <c r="H33292" s="83"/>
      <c r="K33292" s="82"/>
      <c r="M33292" s="112"/>
      <c r="N33292" s="84"/>
    </row>
    <row r="33293" spans="1:14" s="2" customFormat="1">
      <c r="A33293" s="83"/>
      <c r="H33293" s="83"/>
      <c r="K33293" s="82"/>
      <c r="M33293" s="112"/>
      <c r="N33293" s="84"/>
    </row>
    <row r="33294" spans="1:14" s="2" customFormat="1">
      <c r="A33294" s="83"/>
      <c r="H33294" s="83"/>
      <c r="K33294" s="82"/>
      <c r="M33294" s="112"/>
      <c r="N33294" s="84"/>
    </row>
    <row r="33295" spans="1:14" s="2" customFormat="1">
      <c r="A33295" s="83"/>
      <c r="H33295" s="83"/>
      <c r="K33295" s="82"/>
      <c r="M33295" s="112"/>
      <c r="N33295" s="84"/>
    </row>
    <row r="33296" spans="1:14" s="2" customFormat="1">
      <c r="A33296" s="83"/>
      <c r="H33296" s="83"/>
      <c r="K33296" s="82"/>
      <c r="M33296" s="112"/>
      <c r="N33296" s="84"/>
    </row>
    <row r="33297" spans="1:14" s="2" customFormat="1">
      <c r="A33297" s="83"/>
      <c r="H33297" s="83"/>
      <c r="K33297" s="82"/>
      <c r="M33297" s="112"/>
      <c r="N33297" s="84"/>
    </row>
    <row r="33298" spans="1:14" s="2" customFormat="1">
      <c r="A33298" s="83"/>
      <c r="H33298" s="83"/>
      <c r="K33298" s="82"/>
      <c r="M33298" s="112"/>
      <c r="N33298" s="84"/>
    </row>
    <row r="33299" spans="1:14" s="2" customFormat="1">
      <c r="A33299" s="83"/>
      <c r="H33299" s="83"/>
      <c r="K33299" s="82"/>
      <c r="M33299" s="112"/>
      <c r="N33299" s="84"/>
    </row>
    <row r="33300" spans="1:14" s="2" customFormat="1">
      <c r="A33300" s="83"/>
      <c r="H33300" s="83"/>
      <c r="K33300" s="82"/>
      <c r="M33300" s="112"/>
      <c r="N33300" s="84"/>
    </row>
    <row r="33301" spans="1:14" s="2" customFormat="1">
      <c r="A33301" s="83"/>
      <c r="H33301" s="83"/>
      <c r="K33301" s="82"/>
      <c r="M33301" s="112"/>
      <c r="N33301" s="84"/>
    </row>
    <row r="33302" spans="1:14" s="2" customFormat="1">
      <c r="A33302" s="83"/>
      <c r="H33302" s="83"/>
      <c r="K33302" s="82"/>
      <c r="M33302" s="112"/>
      <c r="N33302" s="84"/>
    </row>
    <row r="33303" spans="1:14" s="2" customFormat="1">
      <c r="A33303" s="83"/>
      <c r="H33303" s="83"/>
      <c r="K33303" s="82"/>
      <c r="M33303" s="112"/>
      <c r="N33303" s="84"/>
    </row>
    <row r="33304" spans="1:14" s="2" customFormat="1">
      <c r="A33304" s="83"/>
      <c r="H33304" s="83"/>
      <c r="K33304" s="82"/>
      <c r="M33304" s="112"/>
      <c r="N33304" s="84"/>
    </row>
    <row r="33305" spans="1:14" s="2" customFormat="1">
      <c r="A33305" s="83"/>
      <c r="H33305" s="83"/>
      <c r="K33305" s="82"/>
      <c r="M33305" s="112"/>
      <c r="N33305" s="84"/>
    </row>
    <row r="33306" spans="1:14" s="2" customFormat="1">
      <c r="A33306" s="83"/>
      <c r="H33306" s="83"/>
      <c r="K33306" s="82"/>
      <c r="M33306" s="112"/>
      <c r="N33306" s="84"/>
    </row>
    <row r="33307" spans="1:14" s="2" customFormat="1">
      <c r="A33307" s="83"/>
      <c r="H33307" s="83"/>
      <c r="K33307" s="82"/>
      <c r="M33307" s="112"/>
      <c r="N33307" s="84"/>
    </row>
    <row r="33308" spans="1:14" s="2" customFormat="1">
      <c r="A33308" s="83"/>
      <c r="H33308" s="83"/>
      <c r="K33308" s="82"/>
      <c r="M33308" s="112"/>
      <c r="N33308" s="84"/>
    </row>
    <row r="33309" spans="1:14" s="2" customFormat="1">
      <c r="A33309" s="83"/>
      <c r="H33309" s="83"/>
      <c r="K33309" s="82"/>
      <c r="M33309" s="112"/>
      <c r="N33309" s="84"/>
    </row>
    <row r="33310" spans="1:14" s="2" customFormat="1">
      <c r="A33310" s="83"/>
      <c r="H33310" s="83"/>
      <c r="K33310" s="82"/>
      <c r="M33310" s="112"/>
      <c r="N33310" s="84"/>
    </row>
    <row r="33311" spans="1:14" s="2" customFormat="1">
      <c r="A33311" s="83"/>
      <c r="H33311" s="83"/>
      <c r="K33311" s="82"/>
      <c r="M33311" s="112"/>
      <c r="N33311" s="84"/>
    </row>
    <row r="33312" spans="1:14" s="2" customFormat="1">
      <c r="A33312" s="83"/>
      <c r="H33312" s="83"/>
      <c r="K33312" s="82"/>
      <c r="M33312" s="112"/>
      <c r="N33312" s="84"/>
    </row>
    <row r="33313" spans="1:14" s="2" customFormat="1">
      <c r="A33313" s="83"/>
      <c r="H33313" s="83"/>
      <c r="K33313" s="82"/>
      <c r="M33313" s="112"/>
      <c r="N33313" s="84"/>
    </row>
    <row r="33314" spans="1:14" s="2" customFormat="1">
      <c r="A33314" s="83"/>
      <c r="H33314" s="83"/>
      <c r="K33314" s="82"/>
      <c r="M33314" s="112"/>
      <c r="N33314" s="84"/>
    </row>
    <row r="33315" spans="1:14" s="2" customFormat="1">
      <c r="A33315" s="83"/>
      <c r="H33315" s="83"/>
      <c r="K33315" s="82"/>
      <c r="M33315" s="112"/>
      <c r="N33315" s="84"/>
    </row>
    <row r="33316" spans="1:14" s="2" customFormat="1">
      <c r="A33316" s="83"/>
      <c r="H33316" s="83"/>
      <c r="K33316" s="82"/>
      <c r="M33316" s="112"/>
      <c r="N33316" s="84"/>
    </row>
    <row r="33317" spans="1:14" s="2" customFormat="1">
      <c r="A33317" s="83"/>
      <c r="H33317" s="83"/>
      <c r="K33317" s="82"/>
      <c r="M33317" s="112"/>
      <c r="N33317" s="84"/>
    </row>
    <row r="33318" spans="1:14" s="2" customFormat="1">
      <c r="A33318" s="83"/>
      <c r="H33318" s="83"/>
      <c r="K33318" s="82"/>
      <c r="M33318" s="112"/>
      <c r="N33318" s="84"/>
    </row>
    <row r="33319" spans="1:14" s="2" customFormat="1">
      <c r="A33319" s="83"/>
      <c r="H33319" s="83"/>
      <c r="K33319" s="82"/>
      <c r="M33319" s="112"/>
      <c r="N33319" s="84"/>
    </row>
    <row r="33320" spans="1:14" s="2" customFormat="1">
      <c r="A33320" s="83"/>
      <c r="H33320" s="83"/>
      <c r="K33320" s="82"/>
      <c r="M33320" s="112"/>
      <c r="N33320" s="84"/>
    </row>
    <row r="33321" spans="1:14" s="2" customFormat="1">
      <c r="A33321" s="83"/>
      <c r="H33321" s="83"/>
      <c r="K33321" s="82"/>
      <c r="M33321" s="112"/>
      <c r="N33321" s="84"/>
    </row>
    <row r="33322" spans="1:14" s="2" customFormat="1">
      <c r="A33322" s="83"/>
      <c r="H33322" s="83"/>
      <c r="K33322" s="82"/>
      <c r="M33322" s="112"/>
      <c r="N33322" s="84"/>
    </row>
    <row r="33323" spans="1:14" s="2" customFormat="1">
      <c r="A33323" s="83"/>
      <c r="H33323" s="83"/>
      <c r="K33323" s="82"/>
      <c r="M33323" s="112"/>
      <c r="N33323" s="84"/>
    </row>
    <row r="33324" spans="1:14" s="2" customFormat="1">
      <c r="A33324" s="83"/>
      <c r="H33324" s="83"/>
      <c r="K33324" s="82"/>
      <c r="M33324" s="112"/>
      <c r="N33324" s="84"/>
    </row>
    <row r="33325" spans="1:14" s="2" customFormat="1">
      <c r="A33325" s="83"/>
      <c r="H33325" s="83"/>
      <c r="K33325" s="82"/>
      <c r="M33325" s="112"/>
      <c r="N33325" s="84"/>
    </row>
    <row r="33326" spans="1:14" s="2" customFormat="1">
      <c r="A33326" s="83"/>
      <c r="H33326" s="83"/>
      <c r="K33326" s="82"/>
      <c r="M33326" s="112"/>
      <c r="N33326" s="84"/>
    </row>
    <row r="33327" spans="1:14" s="2" customFormat="1">
      <c r="A33327" s="83"/>
      <c r="H33327" s="83"/>
      <c r="K33327" s="82"/>
      <c r="M33327" s="112"/>
      <c r="N33327" s="84"/>
    </row>
    <row r="33328" spans="1:14" s="2" customFormat="1">
      <c r="A33328" s="83"/>
      <c r="H33328" s="83"/>
      <c r="K33328" s="82"/>
      <c r="M33328" s="112"/>
      <c r="N33328" s="84"/>
    </row>
    <row r="33329" spans="1:14" s="2" customFormat="1">
      <c r="A33329" s="83"/>
      <c r="H33329" s="83"/>
      <c r="K33329" s="82"/>
      <c r="M33329" s="112"/>
      <c r="N33329" s="84"/>
    </row>
    <row r="33330" spans="1:14" s="2" customFormat="1">
      <c r="A33330" s="83"/>
      <c r="H33330" s="83"/>
      <c r="K33330" s="82"/>
      <c r="M33330" s="112"/>
      <c r="N33330" s="84"/>
    </row>
    <row r="33331" spans="1:14" s="2" customFormat="1">
      <c r="A33331" s="83"/>
      <c r="H33331" s="83"/>
      <c r="K33331" s="82"/>
      <c r="M33331" s="112"/>
      <c r="N33331" s="84"/>
    </row>
    <row r="33332" spans="1:14" s="2" customFormat="1">
      <c r="A33332" s="83"/>
      <c r="H33332" s="83"/>
      <c r="K33332" s="82"/>
      <c r="M33332" s="112"/>
      <c r="N33332" s="84"/>
    </row>
    <row r="33333" spans="1:14" s="2" customFormat="1">
      <c r="A33333" s="83"/>
      <c r="H33333" s="83"/>
      <c r="K33333" s="82"/>
      <c r="M33333" s="112"/>
      <c r="N33333" s="84"/>
    </row>
    <row r="33334" spans="1:14" s="2" customFormat="1">
      <c r="A33334" s="83"/>
      <c r="H33334" s="83"/>
      <c r="K33334" s="82"/>
      <c r="M33334" s="112"/>
      <c r="N33334" s="84"/>
    </row>
    <row r="33335" spans="1:14" s="2" customFormat="1">
      <c r="A33335" s="83"/>
      <c r="H33335" s="83"/>
      <c r="K33335" s="82"/>
      <c r="M33335" s="112"/>
      <c r="N33335" s="84"/>
    </row>
    <row r="33336" spans="1:14" s="2" customFormat="1">
      <c r="A33336" s="83"/>
      <c r="H33336" s="83"/>
      <c r="K33336" s="82"/>
      <c r="M33336" s="112"/>
      <c r="N33336" s="84"/>
    </row>
    <row r="33337" spans="1:14" s="2" customFormat="1">
      <c r="A33337" s="83"/>
      <c r="H33337" s="83"/>
      <c r="K33337" s="82"/>
      <c r="M33337" s="112"/>
      <c r="N33337" s="84"/>
    </row>
    <row r="33338" spans="1:14" s="2" customFormat="1">
      <c r="A33338" s="83"/>
      <c r="H33338" s="83"/>
      <c r="K33338" s="82"/>
      <c r="M33338" s="112"/>
      <c r="N33338" s="84"/>
    </row>
    <row r="33339" spans="1:14" s="2" customFormat="1">
      <c r="A33339" s="83"/>
      <c r="H33339" s="83"/>
      <c r="K33339" s="82"/>
      <c r="M33339" s="112"/>
      <c r="N33339" s="84"/>
    </row>
    <row r="33340" spans="1:14" s="2" customFormat="1">
      <c r="A33340" s="83"/>
      <c r="H33340" s="83"/>
      <c r="K33340" s="82"/>
      <c r="M33340" s="112"/>
      <c r="N33340" s="84"/>
    </row>
    <row r="33341" spans="1:14" s="2" customFormat="1">
      <c r="A33341" s="83"/>
      <c r="H33341" s="83"/>
      <c r="K33341" s="82"/>
      <c r="M33341" s="112"/>
      <c r="N33341" s="84"/>
    </row>
    <row r="33342" spans="1:14" s="2" customFormat="1">
      <c r="A33342" s="83"/>
      <c r="H33342" s="83"/>
      <c r="K33342" s="82"/>
      <c r="M33342" s="112"/>
      <c r="N33342" s="84"/>
    </row>
    <row r="33343" spans="1:14" s="2" customFormat="1">
      <c r="A33343" s="83"/>
      <c r="H33343" s="83"/>
      <c r="K33343" s="82"/>
      <c r="M33343" s="112"/>
      <c r="N33343" s="84"/>
    </row>
    <row r="33344" spans="1:14" s="2" customFormat="1">
      <c r="A33344" s="83"/>
      <c r="H33344" s="83"/>
      <c r="K33344" s="82"/>
      <c r="M33344" s="112"/>
      <c r="N33344" s="84"/>
    </row>
    <row r="33345" spans="1:14" s="2" customFormat="1">
      <c r="A33345" s="83"/>
      <c r="H33345" s="83"/>
      <c r="K33345" s="82"/>
      <c r="M33345" s="112"/>
      <c r="N33345" s="84"/>
    </row>
    <row r="33346" spans="1:14" s="2" customFormat="1">
      <c r="A33346" s="83"/>
      <c r="H33346" s="83"/>
      <c r="K33346" s="82"/>
      <c r="M33346" s="112"/>
      <c r="N33346" s="84"/>
    </row>
    <row r="33347" spans="1:14" s="2" customFormat="1">
      <c r="A33347" s="83"/>
      <c r="H33347" s="83"/>
      <c r="K33347" s="82"/>
      <c r="M33347" s="112"/>
      <c r="N33347" s="84"/>
    </row>
    <row r="33348" spans="1:14" s="2" customFormat="1">
      <c r="A33348" s="83"/>
      <c r="H33348" s="83"/>
      <c r="K33348" s="82"/>
      <c r="M33348" s="112"/>
      <c r="N33348" s="84"/>
    </row>
    <row r="33349" spans="1:14" s="2" customFormat="1">
      <c r="A33349" s="83"/>
      <c r="H33349" s="83"/>
      <c r="K33349" s="82"/>
      <c r="M33349" s="112"/>
      <c r="N33349" s="84"/>
    </row>
    <row r="33350" spans="1:14" s="2" customFormat="1">
      <c r="A33350" s="83"/>
      <c r="H33350" s="83"/>
      <c r="K33350" s="82"/>
      <c r="M33350" s="112"/>
      <c r="N33350" s="84"/>
    </row>
    <row r="33351" spans="1:14" s="2" customFormat="1">
      <c r="A33351" s="83"/>
      <c r="H33351" s="83"/>
      <c r="K33351" s="82"/>
      <c r="M33351" s="112"/>
      <c r="N33351" s="84"/>
    </row>
    <row r="33352" spans="1:14" s="2" customFormat="1">
      <c r="A33352" s="83"/>
      <c r="H33352" s="83"/>
      <c r="K33352" s="82"/>
      <c r="M33352" s="112"/>
      <c r="N33352" s="84"/>
    </row>
    <row r="33353" spans="1:14" s="2" customFormat="1">
      <c r="A33353" s="83"/>
      <c r="H33353" s="83"/>
      <c r="K33353" s="82"/>
      <c r="M33353" s="112"/>
      <c r="N33353" s="84"/>
    </row>
    <row r="33354" spans="1:14" s="2" customFormat="1">
      <c r="A33354" s="83"/>
      <c r="H33354" s="83"/>
      <c r="K33354" s="82"/>
      <c r="M33354" s="112"/>
      <c r="N33354" s="84"/>
    </row>
    <row r="33355" spans="1:14" s="2" customFormat="1">
      <c r="A33355" s="83"/>
      <c r="H33355" s="83"/>
      <c r="K33355" s="82"/>
      <c r="M33355" s="112"/>
      <c r="N33355" s="84"/>
    </row>
    <row r="33356" spans="1:14" s="2" customFormat="1">
      <c r="A33356" s="83"/>
      <c r="H33356" s="83"/>
      <c r="K33356" s="82"/>
      <c r="M33356" s="112"/>
      <c r="N33356" s="84"/>
    </row>
    <row r="33357" spans="1:14" s="2" customFormat="1">
      <c r="A33357" s="83"/>
      <c r="H33357" s="83"/>
      <c r="K33357" s="82"/>
      <c r="M33357" s="112"/>
      <c r="N33357" s="84"/>
    </row>
    <row r="33358" spans="1:14" s="2" customFormat="1">
      <c r="A33358" s="83"/>
      <c r="H33358" s="83"/>
      <c r="K33358" s="82"/>
      <c r="M33358" s="112"/>
      <c r="N33358" s="84"/>
    </row>
    <row r="33359" spans="1:14" s="2" customFormat="1">
      <c r="A33359" s="83"/>
      <c r="H33359" s="83"/>
      <c r="K33359" s="82"/>
      <c r="M33359" s="112"/>
      <c r="N33359" s="84"/>
    </row>
    <row r="33360" spans="1:14" s="2" customFormat="1">
      <c r="A33360" s="83"/>
      <c r="H33360" s="83"/>
      <c r="K33360" s="82"/>
      <c r="M33360" s="112"/>
      <c r="N33360" s="84"/>
    </row>
    <row r="33361" spans="1:14" s="2" customFormat="1">
      <c r="A33361" s="83"/>
      <c r="H33361" s="83"/>
      <c r="K33361" s="82"/>
      <c r="M33361" s="112"/>
      <c r="N33361" s="84"/>
    </row>
    <row r="33362" spans="1:14" s="2" customFormat="1">
      <c r="A33362" s="83"/>
      <c r="H33362" s="83"/>
      <c r="K33362" s="82"/>
      <c r="M33362" s="112"/>
      <c r="N33362" s="84"/>
    </row>
    <row r="33363" spans="1:14" s="2" customFormat="1">
      <c r="A33363" s="83"/>
      <c r="H33363" s="83"/>
      <c r="K33363" s="82"/>
      <c r="M33363" s="112"/>
      <c r="N33363" s="84"/>
    </row>
    <row r="33364" spans="1:14" s="2" customFormat="1">
      <c r="A33364" s="83"/>
      <c r="H33364" s="83"/>
      <c r="K33364" s="82"/>
      <c r="M33364" s="112"/>
      <c r="N33364" s="84"/>
    </row>
    <row r="33365" spans="1:14" s="2" customFormat="1">
      <c r="A33365" s="83"/>
      <c r="H33365" s="83"/>
      <c r="K33365" s="82"/>
      <c r="M33365" s="112"/>
      <c r="N33365" s="84"/>
    </row>
    <row r="33366" spans="1:14" s="2" customFormat="1">
      <c r="A33366" s="83"/>
      <c r="H33366" s="83"/>
      <c r="K33366" s="82"/>
      <c r="M33366" s="112"/>
      <c r="N33366" s="84"/>
    </row>
    <row r="33367" spans="1:14" s="2" customFormat="1">
      <c r="A33367" s="83"/>
      <c r="H33367" s="83"/>
      <c r="K33367" s="82"/>
      <c r="M33367" s="112"/>
      <c r="N33367" s="84"/>
    </row>
    <row r="33368" spans="1:14" s="2" customFormat="1">
      <c r="A33368" s="83"/>
      <c r="H33368" s="83"/>
      <c r="K33368" s="82"/>
      <c r="M33368" s="112"/>
      <c r="N33368" s="84"/>
    </row>
    <row r="33369" spans="1:14" s="2" customFormat="1">
      <c r="A33369" s="83"/>
      <c r="H33369" s="83"/>
      <c r="K33369" s="82"/>
      <c r="M33369" s="112"/>
      <c r="N33369" s="84"/>
    </row>
    <row r="33370" spans="1:14" s="2" customFormat="1">
      <c r="A33370" s="83"/>
      <c r="H33370" s="83"/>
      <c r="K33370" s="82"/>
      <c r="M33370" s="112"/>
      <c r="N33370" s="84"/>
    </row>
    <row r="33371" spans="1:14" s="2" customFormat="1">
      <c r="A33371" s="83"/>
      <c r="H33371" s="83"/>
      <c r="K33371" s="82"/>
      <c r="M33371" s="112"/>
      <c r="N33371" s="84"/>
    </row>
    <row r="33372" spans="1:14" s="2" customFormat="1">
      <c r="A33372" s="83"/>
      <c r="H33372" s="83"/>
      <c r="K33372" s="82"/>
      <c r="M33372" s="112"/>
      <c r="N33372" s="84"/>
    </row>
    <row r="33373" spans="1:14" s="2" customFormat="1">
      <c r="A33373" s="83"/>
      <c r="H33373" s="83"/>
      <c r="K33373" s="82"/>
      <c r="M33373" s="112"/>
      <c r="N33373" s="84"/>
    </row>
    <row r="33374" spans="1:14" s="2" customFormat="1">
      <c r="A33374" s="83"/>
      <c r="H33374" s="83"/>
      <c r="K33374" s="82"/>
      <c r="M33374" s="112"/>
      <c r="N33374" s="84"/>
    </row>
    <row r="33375" spans="1:14" s="2" customFormat="1">
      <c r="A33375" s="83"/>
      <c r="H33375" s="83"/>
      <c r="K33375" s="82"/>
      <c r="M33375" s="112"/>
      <c r="N33375" s="84"/>
    </row>
    <row r="33376" spans="1:14" s="2" customFormat="1">
      <c r="A33376" s="83"/>
      <c r="H33376" s="83"/>
      <c r="K33376" s="82"/>
      <c r="M33376" s="112"/>
      <c r="N33376" s="84"/>
    </row>
    <row r="33377" spans="1:14" s="2" customFormat="1">
      <c r="A33377" s="83"/>
      <c r="H33377" s="83"/>
      <c r="K33377" s="82"/>
      <c r="M33377" s="112"/>
      <c r="N33377" s="84"/>
    </row>
    <row r="33378" spans="1:14" s="2" customFormat="1">
      <c r="A33378" s="83"/>
      <c r="H33378" s="83"/>
      <c r="K33378" s="82"/>
      <c r="M33378" s="112"/>
      <c r="N33378" s="84"/>
    </row>
    <row r="33379" spans="1:14" s="2" customFormat="1">
      <c r="A33379" s="83"/>
      <c r="H33379" s="83"/>
      <c r="K33379" s="82"/>
      <c r="M33379" s="112"/>
      <c r="N33379" s="84"/>
    </row>
    <row r="33380" spans="1:14" s="2" customFormat="1">
      <c r="A33380" s="83"/>
      <c r="H33380" s="83"/>
      <c r="K33380" s="82"/>
      <c r="M33380" s="112"/>
      <c r="N33380" s="84"/>
    </row>
    <row r="33381" spans="1:14" s="2" customFormat="1">
      <c r="A33381" s="83"/>
      <c r="H33381" s="83"/>
      <c r="K33381" s="82"/>
      <c r="M33381" s="112"/>
      <c r="N33381" s="84"/>
    </row>
    <row r="33382" spans="1:14" s="2" customFormat="1">
      <c r="A33382" s="83"/>
      <c r="H33382" s="83"/>
      <c r="K33382" s="82"/>
      <c r="M33382" s="112"/>
      <c r="N33382" s="84"/>
    </row>
    <row r="33383" spans="1:14" s="2" customFormat="1">
      <c r="A33383" s="83"/>
      <c r="H33383" s="83"/>
      <c r="K33383" s="82"/>
      <c r="M33383" s="112"/>
      <c r="N33383" s="84"/>
    </row>
    <row r="33384" spans="1:14" s="2" customFormat="1">
      <c r="A33384" s="83"/>
      <c r="H33384" s="83"/>
      <c r="K33384" s="82"/>
      <c r="M33384" s="112"/>
      <c r="N33384" s="84"/>
    </row>
    <row r="33385" spans="1:14" s="2" customFormat="1">
      <c r="A33385" s="83"/>
      <c r="H33385" s="83"/>
      <c r="K33385" s="82"/>
      <c r="M33385" s="112"/>
      <c r="N33385" s="84"/>
    </row>
    <row r="33386" spans="1:14" s="2" customFormat="1">
      <c r="A33386" s="83"/>
      <c r="H33386" s="83"/>
      <c r="K33386" s="82"/>
      <c r="M33386" s="112"/>
      <c r="N33386" s="84"/>
    </row>
    <row r="33387" spans="1:14" s="2" customFormat="1">
      <c r="A33387" s="83"/>
      <c r="H33387" s="83"/>
      <c r="K33387" s="82"/>
      <c r="M33387" s="112"/>
      <c r="N33387" s="84"/>
    </row>
    <row r="33388" spans="1:14" s="2" customFormat="1">
      <c r="A33388" s="83"/>
      <c r="H33388" s="83"/>
      <c r="K33388" s="82"/>
      <c r="M33388" s="112"/>
      <c r="N33388" s="84"/>
    </row>
    <row r="33389" spans="1:14" s="2" customFormat="1">
      <c r="A33389" s="83"/>
      <c r="H33389" s="83"/>
      <c r="K33389" s="82"/>
      <c r="M33389" s="112"/>
      <c r="N33389" s="84"/>
    </row>
    <row r="33390" spans="1:14" s="2" customFormat="1">
      <c r="A33390" s="83"/>
      <c r="H33390" s="83"/>
      <c r="K33390" s="82"/>
      <c r="M33390" s="112"/>
      <c r="N33390" s="84"/>
    </row>
    <row r="33391" spans="1:14" s="2" customFormat="1">
      <c r="A33391" s="83"/>
      <c r="H33391" s="83"/>
      <c r="K33391" s="82"/>
      <c r="M33391" s="112"/>
      <c r="N33391" s="84"/>
    </row>
    <row r="33392" spans="1:14" s="2" customFormat="1">
      <c r="A33392" s="83"/>
      <c r="H33392" s="83"/>
      <c r="K33392" s="82"/>
      <c r="M33392" s="112"/>
      <c r="N33392" s="84"/>
    </row>
    <row r="33393" spans="1:14" s="2" customFormat="1">
      <c r="A33393" s="83"/>
      <c r="H33393" s="83"/>
      <c r="K33393" s="82"/>
      <c r="M33393" s="112"/>
      <c r="N33393" s="84"/>
    </row>
    <row r="33394" spans="1:14" s="2" customFormat="1">
      <c r="A33394" s="83"/>
      <c r="H33394" s="83"/>
      <c r="K33394" s="82"/>
      <c r="M33394" s="112"/>
      <c r="N33394" s="84"/>
    </row>
    <row r="33395" spans="1:14" s="2" customFormat="1">
      <c r="A33395" s="83"/>
      <c r="H33395" s="83"/>
      <c r="K33395" s="82"/>
      <c r="M33395" s="112"/>
      <c r="N33395" s="84"/>
    </row>
    <row r="33396" spans="1:14" s="2" customFormat="1">
      <c r="A33396" s="83"/>
      <c r="H33396" s="83"/>
      <c r="K33396" s="82"/>
      <c r="M33396" s="112"/>
      <c r="N33396" s="84"/>
    </row>
    <row r="33397" spans="1:14" s="2" customFormat="1">
      <c r="A33397" s="83"/>
      <c r="H33397" s="83"/>
      <c r="K33397" s="82"/>
      <c r="M33397" s="112"/>
      <c r="N33397" s="84"/>
    </row>
    <row r="33398" spans="1:14" s="2" customFormat="1">
      <c r="A33398" s="83"/>
      <c r="H33398" s="83"/>
      <c r="K33398" s="82"/>
      <c r="M33398" s="112"/>
      <c r="N33398" s="84"/>
    </row>
    <row r="33399" spans="1:14" s="2" customFormat="1">
      <c r="A33399" s="83"/>
      <c r="H33399" s="83"/>
      <c r="K33399" s="82"/>
      <c r="M33399" s="112"/>
      <c r="N33399" s="84"/>
    </row>
    <row r="33400" spans="1:14" s="2" customFormat="1">
      <c r="A33400" s="83"/>
      <c r="H33400" s="83"/>
      <c r="K33400" s="82"/>
      <c r="M33400" s="112"/>
      <c r="N33400" s="84"/>
    </row>
    <row r="33401" spans="1:14" s="2" customFormat="1">
      <c r="A33401" s="83"/>
      <c r="H33401" s="83"/>
      <c r="K33401" s="82"/>
      <c r="M33401" s="112"/>
      <c r="N33401" s="84"/>
    </row>
    <row r="33402" spans="1:14" s="2" customFormat="1">
      <c r="A33402" s="83"/>
      <c r="H33402" s="83"/>
      <c r="K33402" s="82"/>
      <c r="M33402" s="112"/>
      <c r="N33402" s="84"/>
    </row>
    <row r="33403" spans="1:14" s="2" customFormat="1">
      <c r="A33403" s="83"/>
      <c r="H33403" s="83"/>
      <c r="K33403" s="82"/>
      <c r="M33403" s="112"/>
      <c r="N33403" s="84"/>
    </row>
    <row r="33404" spans="1:14" s="2" customFormat="1">
      <c r="A33404" s="83"/>
      <c r="H33404" s="83"/>
      <c r="K33404" s="82"/>
      <c r="M33404" s="112"/>
      <c r="N33404" s="84"/>
    </row>
    <row r="33405" spans="1:14" s="2" customFormat="1">
      <c r="A33405" s="83"/>
      <c r="H33405" s="83"/>
      <c r="K33405" s="82"/>
      <c r="M33405" s="112"/>
      <c r="N33405" s="84"/>
    </row>
    <row r="33406" spans="1:14" s="2" customFormat="1">
      <c r="A33406" s="83"/>
      <c r="H33406" s="83"/>
      <c r="K33406" s="82"/>
      <c r="M33406" s="112"/>
      <c r="N33406" s="84"/>
    </row>
    <row r="33407" spans="1:14" s="2" customFormat="1">
      <c r="A33407" s="83"/>
      <c r="H33407" s="83"/>
      <c r="K33407" s="82"/>
      <c r="M33407" s="112"/>
      <c r="N33407" s="84"/>
    </row>
    <row r="33408" spans="1:14" s="2" customFormat="1">
      <c r="A33408" s="83"/>
      <c r="H33408" s="83"/>
      <c r="K33408" s="82"/>
      <c r="M33408" s="112"/>
      <c r="N33408" s="84"/>
    </row>
    <row r="33409" spans="1:14" s="2" customFormat="1">
      <c r="A33409" s="83"/>
      <c r="H33409" s="83"/>
      <c r="K33409" s="82"/>
      <c r="M33409" s="112"/>
      <c r="N33409" s="84"/>
    </row>
    <row r="33410" spans="1:14" s="2" customFormat="1">
      <c r="A33410" s="83"/>
      <c r="H33410" s="83"/>
      <c r="K33410" s="82"/>
      <c r="M33410" s="112"/>
      <c r="N33410" s="84"/>
    </row>
    <row r="33411" spans="1:14" s="2" customFormat="1">
      <c r="A33411" s="83"/>
      <c r="H33411" s="83"/>
      <c r="K33411" s="82"/>
      <c r="M33411" s="112"/>
      <c r="N33411" s="84"/>
    </row>
    <row r="33412" spans="1:14" s="2" customFormat="1">
      <c r="A33412" s="83"/>
      <c r="H33412" s="83"/>
      <c r="K33412" s="82"/>
      <c r="M33412" s="112"/>
      <c r="N33412" s="84"/>
    </row>
    <row r="33413" spans="1:14" s="2" customFormat="1">
      <c r="A33413" s="83"/>
      <c r="H33413" s="83"/>
      <c r="K33413" s="82"/>
      <c r="M33413" s="112"/>
      <c r="N33413" s="84"/>
    </row>
    <row r="33414" spans="1:14" s="2" customFormat="1">
      <c r="A33414" s="83"/>
      <c r="H33414" s="83"/>
      <c r="K33414" s="82"/>
      <c r="M33414" s="112"/>
      <c r="N33414" s="84"/>
    </row>
    <row r="33415" spans="1:14" s="2" customFormat="1">
      <c r="A33415" s="83"/>
      <c r="H33415" s="83"/>
      <c r="K33415" s="82"/>
      <c r="M33415" s="112"/>
      <c r="N33415" s="84"/>
    </row>
    <row r="33416" spans="1:14" s="2" customFormat="1">
      <c r="A33416" s="83"/>
      <c r="H33416" s="83"/>
      <c r="K33416" s="82"/>
      <c r="M33416" s="112"/>
      <c r="N33416" s="84"/>
    </row>
    <row r="33417" spans="1:14" s="2" customFormat="1">
      <c r="A33417" s="83"/>
      <c r="H33417" s="83"/>
      <c r="K33417" s="82"/>
      <c r="M33417" s="112"/>
      <c r="N33417" s="84"/>
    </row>
    <row r="33418" spans="1:14" s="2" customFormat="1">
      <c r="A33418" s="83"/>
      <c r="H33418" s="83"/>
      <c r="K33418" s="82"/>
      <c r="M33418" s="112"/>
      <c r="N33418" s="84"/>
    </row>
    <row r="33419" spans="1:14" s="2" customFormat="1">
      <c r="A33419" s="83"/>
      <c r="H33419" s="83"/>
      <c r="K33419" s="82"/>
      <c r="M33419" s="112"/>
      <c r="N33419" s="84"/>
    </row>
    <row r="33420" spans="1:14" s="2" customFormat="1">
      <c r="A33420" s="83"/>
      <c r="H33420" s="83"/>
      <c r="K33420" s="82"/>
      <c r="M33420" s="112"/>
      <c r="N33420" s="84"/>
    </row>
    <row r="33421" spans="1:14" s="2" customFormat="1">
      <c r="A33421" s="83"/>
      <c r="H33421" s="83"/>
      <c r="K33421" s="82"/>
      <c r="M33421" s="112"/>
      <c r="N33421" s="84"/>
    </row>
    <row r="33422" spans="1:14" s="2" customFormat="1">
      <c r="A33422" s="83"/>
      <c r="H33422" s="83"/>
      <c r="K33422" s="82"/>
      <c r="M33422" s="112"/>
      <c r="N33422" s="84"/>
    </row>
    <row r="33423" spans="1:14" s="2" customFormat="1">
      <c r="A33423" s="83"/>
      <c r="H33423" s="83"/>
      <c r="K33423" s="82"/>
      <c r="M33423" s="112"/>
      <c r="N33423" s="84"/>
    </row>
    <row r="33424" spans="1:14" s="2" customFormat="1">
      <c r="A33424" s="83"/>
      <c r="H33424" s="83"/>
      <c r="K33424" s="82"/>
      <c r="M33424" s="112"/>
      <c r="N33424" s="84"/>
    </row>
    <row r="33425" spans="1:14" s="2" customFormat="1">
      <c r="A33425" s="83"/>
      <c r="H33425" s="83"/>
      <c r="K33425" s="82"/>
      <c r="M33425" s="112"/>
      <c r="N33425" s="84"/>
    </row>
    <row r="33426" spans="1:14" s="2" customFormat="1">
      <c r="A33426" s="83"/>
      <c r="H33426" s="83"/>
      <c r="K33426" s="82"/>
      <c r="M33426" s="112"/>
      <c r="N33426" s="84"/>
    </row>
    <row r="33427" spans="1:14" s="2" customFormat="1">
      <c r="A33427" s="83"/>
      <c r="H33427" s="83"/>
      <c r="K33427" s="82"/>
      <c r="M33427" s="112"/>
      <c r="N33427" s="84"/>
    </row>
    <row r="33428" spans="1:14" s="2" customFormat="1">
      <c r="A33428" s="83"/>
      <c r="H33428" s="83"/>
      <c r="K33428" s="82"/>
      <c r="M33428" s="112"/>
      <c r="N33428" s="84"/>
    </row>
    <row r="33429" spans="1:14" s="2" customFormat="1">
      <c r="A33429" s="83"/>
      <c r="H33429" s="83"/>
      <c r="K33429" s="82"/>
      <c r="M33429" s="112"/>
      <c r="N33429" s="84"/>
    </row>
    <row r="33430" spans="1:14" s="2" customFormat="1">
      <c r="A33430" s="83"/>
      <c r="H33430" s="83"/>
      <c r="K33430" s="82"/>
      <c r="M33430" s="112"/>
      <c r="N33430" s="84"/>
    </row>
    <row r="33431" spans="1:14" s="2" customFormat="1">
      <c r="A33431" s="83"/>
      <c r="H33431" s="83"/>
      <c r="K33431" s="82"/>
      <c r="M33431" s="112"/>
      <c r="N33431" s="84"/>
    </row>
    <row r="33432" spans="1:14" s="2" customFormat="1">
      <c r="A33432" s="83"/>
      <c r="H33432" s="83"/>
      <c r="K33432" s="82"/>
      <c r="M33432" s="112"/>
      <c r="N33432" s="84"/>
    </row>
    <row r="33433" spans="1:14" s="2" customFormat="1">
      <c r="A33433" s="83"/>
      <c r="H33433" s="83"/>
      <c r="K33433" s="82"/>
      <c r="M33433" s="112"/>
      <c r="N33433" s="84"/>
    </row>
    <row r="33434" spans="1:14" s="2" customFormat="1">
      <c r="A33434" s="83"/>
      <c r="H33434" s="83"/>
      <c r="K33434" s="82"/>
      <c r="M33434" s="112"/>
      <c r="N33434" s="84"/>
    </row>
    <row r="33435" spans="1:14" s="2" customFormat="1">
      <c r="A33435" s="83"/>
      <c r="H33435" s="83"/>
      <c r="K33435" s="82"/>
      <c r="M33435" s="112"/>
      <c r="N33435" s="84"/>
    </row>
    <row r="33436" spans="1:14" s="2" customFormat="1">
      <c r="A33436" s="83"/>
      <c r="H33436" s="83"/>
      <c r="K33436" s="82"/>
      <c r="M33436" s="112"/>
      <c r="N33436" s="84"/>
    </row>
    <row r="33437" spans="1:14" s="2" customFormat="1">
      <c r="A33437" s="83"/>
      <c r="H33437" s="83"/>
      <c r="K33437" s="82"/>
      <c r="M33437" s="112"/>
      <c r="N33437" s="84"/>
    </row>
    <row r="33438" spans="1:14" s="2" customFormat="1">
      <c r="A33438" s="83"/>
      <c r="H33438" s="83"/>
      <c r="K33438" s="82"/>
      <c r="M33438" s="112"/>
      <c r="N33438" s="84"/>
    </row>
    <row r="33439" spans="1:14" s="2" customFormat="1">
      <c r="A33439" s="83"/>
      <c r="H33439" s="83"/>
      <c r="K33439" s="82"/>
      <c r="M33439" s="112"/>
      <c r="N33439" s="84"/>
    </row>
    <row r="33440" spans="1:14" s="2" customFormat="1">
      <c r="A33440" s="83"/>
      <c r="H33440" s="83"/>
      <c r="K33440" s="82"/>
      <c r="M33440" s="112"/>
      <c r="N33440" s="84"/>
    </row>
    <row r="33441" spans="1:14" s="2" customFormat="1">
      <c r="A33441" s="83"/>
      <c r="H33441" s="83"/>
      <c r="K33441" s="82"/>
      <c r="M33441" s="112"/>
      <c r="N33441" s="84"/>
    </row>
    <row r="33442" spans="1:14" s="2" customFormat="1">
      <c r="A33442" s="83"/>
      <c r="H33442" s="83"/>
      <c r="K33442" s="82"/>
      <c r="M33442" s="112"/>
      <c r="N33442" s="84"/>
    </row>
    <row r="33443" spans="1:14" s="2" customFormat="1">
      <c r="A33443" s="83"/>
      <c r="H33443" s="83"/>
      <c r="K33443" s="82"/>
      <c r="M33443" s="112"/>
      <c r="N33443" s="84"/>
    </row>
    <row r="33444" spans="1:14" s="2" customFormat="1">
      <c r="A33444" s="83"/>
      <c r="H33444" s="83"/>
      <c r="K33444" s="82"/>
      <c r="M33444" s="112"/>
      <c r="N33444" s="84"/>
    </row>
    <row r="33445" spans="1:14" s="2" customFormat="1">
      <c r="A33445" s="83"/>
      <c r="H33445" s="83"/>
      <c r="K33445" s="82"/>
      <c r="M33445" s="112"/>
      <c r="N33445" s="84"/>
    </row>
    <row r="33446" spans="1:14" s="2" customFormat="1">
      <c r="A33446" s="83"/>
      <c r="H33446" s="83"/>
      <c r="K33446" s="82"/>
      <c r="M33446" s="112"/>
      <c r="N33446" s="84"/>
    </row>
    <row r="33447" spans="1:14" s="2" customFormat="1">
      <c r="A33447" s="83"/>
      <c r="H33447" s="83"/>
      <c r="K33447" s="82"/>
      <c r="M33447" s="112"/>
      <c r="N33447" s="84"/>
    </row>
    <row r="33448" spans="1:14" s="2" customFormat="1">
      <c r="A33448" s="83"/>
      <c r="H33448" s="83"/>
      <c r="K33448" s="82"/>
      <c r="M33448" s="112"/>
      <c r="N33448" s="84"/>
    </row>
    <row r="33449" spans="1:14" s="2" customFormat="1">
      <c r="A33449" s="83"/>
      <c r="H33449" s="83"/>
      <c r="K33449" s="82"/>
      <c r="M33449" s="112"/>
      <c r="N33449" s="84"/>
    </row>
    <row r="33450" spans="1:14" s="2" customFormat="1">
      <c r="A33450" s="83"/>
      <c r="H33450" s="83"/>
      <c r="K33450" s="82"/>
      <c r="M33450" s="112"/>
      <c r="N33450" s="84"/>
    </row>
    <row r="33451" spans="1:14" s="2" customFormat="1">
      <c r="A33451" s="83"/>
      <c r="H33451" s="83"/>
      <c r="K33451" s="82"/>
      <c r="M33451" s="112"/>
      <c r="N33451" s="84"/>
    </row>
    <row r="33452" spans="1:14" s="2" customFormat="1">
      <c r="A33452" s="83"/>
      <c r="H33452" s="83"/>
      <c r="K33452" s="82"/>
      <c r="M33452" s="112"/>
      <c r="N33452" s="84"/>
    </row>
    <row r="33453" spans="1:14" s="2" customFormat="1">
      <c r="A33453" s="83"/>
      <c r="H33453" s="83"/>
      <c r="K33453" s="82"/>
      <c r="M33453" s="112"/>
      <c r="N33453" s="84"/>
    </row>
    <row r="33454" spans="1:14" s="2" customFormat="1">
      <c r="A33454" s="83"/>
      <c r="H33454" s="83"/>
      <c r="K33454" s="82"/>
      <c r="M33454" s="112"/>
      <c r="N33454" s="84"/>
    </row>
    <row r="33455" spans="1:14" s="2" customFormat="1">
      <c r="A33455" s="83"/>
      <c r="H33455" s="83"/>
      <c r="K33455" s="82"/>
      <c r="M33455" s="112"/>
      <c r="N33455" s="84"/>
    </row>
    <row r="33456" spans="1:14" s="2" customFormat="1">
      <c r="A33456" s="83"/>
      <c r="H33456" s="83"/>
      <c r="K33456" s="82"/>
      <c r="M33456" s="112"/>
      <c r="N33456" s="84"/>
    </row>
    <row r="33457" spans="1:14" s="2" customFormat="1">
      <c r="A33457" s="83"/>
      <c r="H33457" s="83"/>
      <c r="K33457" s="82"/>
      <c r="M33457" s="112"/>
      <c r="N33457" s="84"/>
    </row>
    <row r="33458" spans="1:14" s="2" customFormat="1">
      <c r="A33458" s="83"/>
      <c r="H33458" s="83"/>
      <c r="K33458" s="82"/>
      <c r="M33458" s="112"/>
      <c r="N33458" s="84"/>
    </row>
    <row r="33459" spans="1:14" s="2" customFormat="1">
      <c r="A33459" s="83"/>
      <c r="H33459" s="83"/>
      <c r="K33459" s="82"/>
      <c r="M33459" s="112"/>
      <c r="N33459" s="84"/>
    </row>
    <row r="33460" spans="1:14" s="2" customFormat="1">
      <c r="A33460" s="83"/>
      <c r="H33460" s="83"/>
      <c r="K33460" s="82"/>
      <c r="M33460" s="112"/>
      <c r="N33460" s="84"/>
    </row>
    <row r="33461" spans="1:14" s="2" customFormat="1">
      <c r="A33461" s="83"/>
      <c r="H33461" s="83"/>
      <c r="K33461" s="82"/>
      <c r="M33461" s="112"/>
      <c r="N33461" s="84"/>
    </row>
    <row r="33462" spans="1:14" s="2" customFormat="1">
      <c r="A33462" s="83"/>
      <c r="H33462" s="83"/>
      <c r="K33462" s="82"/>
      <c r="M33462" s="112"/>
      <c r="N33462" s="84"/>
    </row>
    <row r="33463" spans="1:14" s="2" customFormat="1">
      <c r="A33463" s="83"/>
      <c r="H33463" s="83"/>
      <c r="K33463" s="82"/>
      <c r="M33463" s="112"/>
      <c r="N33463" s="84"/>
    </row>
    <row r="33464" spans="1:14" s="2" customFormat="1">
      <c r="A33464" s="83"/>
      <c r="H33464" s="83"/>
      <c r="K33464" s="82"/>
      <c r="M33464" s="112"/>
      <c r="N33464" s="84"/>
    </row>
    <row r="33465" spans="1:14" s="2" customFormat="1">
      <c r="A33465" s="83"/>
      <c r="H33465" s="83"/>
      <c r="K33465" s="82"/>
      <c r="M33465" s="112"/>
      <c r="N33465" s="84"/>
    </row>
    <row r="33466" spans="1:14" s="2" customFormat="1">
      <c r="A33466" s="83"/>
      <c r="H33466" s="83"/>
      <c r="K33466" s="82"/>
      <c r="M33466" s="112"/>
      <c r="N33466" s="84"/>
    </row>
    <row r="33467" spans="1:14" s="2" customFormat="1">
      <c r="A33467" s="83"/>
      <c r="H33467" s="83"/>
      <c r="K33467" s="82"/>
      <c r="M33467" s="112"/>
      <c r="N33467" s="84"/>
    </row>
    <row r="33468" spans="1:14" s="2" customFormat="1">
      <c r="A33468" s="83"/>
      <c r="H33468" s="83"/>
      <c r="K33468" s="82"/>
      <c r="M33468" s="112"/>
      <c r="N33468" s="84"/>
    </row>
    <row r="33469" spans="1:14" s="2" customFormat="1">
      <c r="A33469" s="83"/>
      <c r="H33469" s="83"/>
      <c r="K33469" s="82"/>
      <c r="M33469" s="112"/>
      <c r="N33469" s="84"/>
    </row>
    <row r="33470" spans="1:14" s="2" customFormat="1">
      <c r="A33470" s="83"/>
      <c r="H33470" s="83"/>
      <c r="K33470" s="82"/>
      <c r="M33470" s="112"/>
      <c r="N33470" s="84"/>
    </row>
    <row r="33471" spans="1:14" s="2" customFormat="1">
      <c r="A33471" s="83"/>
      <c r="H33471" s="83"/>
      <c r="K33471" s="82"/>
      <c r="M33471" s="112"/>
      <c r="N33471" s="84"/>
    </row>
    <row r="33472" spans="1:14" s="2" customFormat="1">
      <c r="A33472" s="83"/>
      <c r="H33472" s="83"/>
      <c r="K33472" s="82"/>
      <c r="M33472" s="112"/>
      <c r="N33472" s="84"/>
    </row>
    <row r="33473" spans="1:14" s="2" customFormat="1">
      <c r="A33473" s="83"/>
      <c r="H33473" s="83"/>
      <c r="K33473" s="82"/>
      <c r="M33473" s="112"/>
      <c r="N33473" s="84"/>
    </row>
    <row r="33474" spans="1:14" s="2" customFormat="1">
      <c r="A33474" s="83"/>
      <c r="H33474" s="83"/>
      <c r="K33474" s="82"/>
      <c r="M33474" s="112"/>
      <c r="N33474" s="84"/>
    </row>
    <row r="33475" spans="1:14" s="2" customFormat="1">
      <c r="A33475" s="83"/>
      <c r="H33475" s="83"/>
      <c r="K33475" s="82"/>
      <c r="M33475" s="112"/>
      <c r="N33475" s="84"/>
    </row>
    <row r="33476" spans="1:14" s="2" customFormat="1">
      <c r="A33476" s="83"/>
      <c r="H33476" s="83"/>
      <c r="K33476" s="82"/>
      <c r="M33476" s="112"/>
      <c r="N33476" s="84"/>
    </row>
    <row r="33477" spans="1:14" s="2" customFormat="1">
      <c r="A33477" s="83"/>
      <c r="H33477" s="83"/>
      <c r="K33477" s="82"/>
      <c r="M33477" s="112"/>
      <c r="N33477" s="84"/>
    </row>
    <row r="33478" spans="1:14" s="2" customFormat="1">
      <c r="A33478" s="83"/>
      <c r="H33478" s="83"/>
      <c r="K33478" s="82"/>
      <c r="M33478" s="112"/>
      <c r="N33478" s="84"/>
    </row>
    <row r="33479" spans="1:14" s="2" customFormat="1">
      <c r="A33479" s="83"/>
      <c r="H33479" s="83"/>
      <c r="K33479" s="82"/>
      <c r="M33479" s="112"/>
      <c r="N33479" s="84"/>
    </row>
    <row r="33480" spans="1:14" s="2" customFormat="1">
      <c r="A33480" s="83"/>
      <c r="H33480" s="83"/>
      <c r="K33480" s="82"/>
      <c r="M33480" s="112"/>
      <c r="N33480" s="84"/>
    </row>
    <row r="33481" spans="1:14" s="2" customFormat="1">
      <c r="A33481" s="83"/>
      <c r="H33481" s="83"/>
      <c r="K33481" s="82"/>
      <c r="M33481" s="112"/>
      <c r="N33481" s="84"/>
    </row>
    <row r="33482" spans="1:14" s="2" customFormat="1">
      <c r="A33482" s="83"/>
      <c r="H33482" s="83"/>
      <c r="K33482" s="82"/>
      <c r="M33482" s="112"/>
      <c r="N33482" s="84"/>
    </row>
    <row r="33483" spans="1:14" s="2" customFormat="1">
      <c r="A33483" s="83"/>
      <c r="H33483" s="83"/>
      <c r="K33483" s="82"/>
      <c r="M33483" s="112"/>
      <c r="N33483" s="84"/>
    </row>
    <row r="33484" spans="1:14" s="2" customFormat="1">
      <c r="A33484" s="83"/>
      <c r="H33484" s="83"/>
      <c r="K33484" s="82"/>
      <c r="M33484" s="112"/>
      <c r="N33484" s="84"/>
    </row>
    <row r="33485" spans="1:14" s="2" customFormat="1">
      <c r="A33485" s="83"/>
      <c r="H33485" s="83"/>
      <c r="K33485" s="82"/>
      <c r="M33485" s="112"/>
      <c r="N33485" s="84"/>
    </row>
    <row r="33486" spans="1:14" s="2" customFormat="1">
      <c r="A33486" s="83"/>
      <c r="H33486" s="83"/>
      <c r="K33486" s="82"/>
      <c r="M33486" s="112"/>
      <c r="N33486" s="84"/>
    </row>
    <row r="33487" spans="1:14" s="2" customFormat="1">
      <c r="A33487" s="83"/>
      <c r="H33487" s="83"/>
      <c r="K33487" s="82"/>
      <c r="M33487" s="112"/>
      <c r="N33487" s="84"/>
    </row>
    <row r="33488" spans="1:14" s="2" customFormat="1">
      <c r="A33488" s="83"/>
      <c r="H33488" s="83"/>
      <c r="K33488" s="82"/>
      <c r="M33488" s="112"/>
      <c r="N33488" s="84"/>
    </row>
    <row r="33489" spans="1:14" s="2" customFormat="1">
      <c r="A33489" s="83"/>
      <c r="H33489" s="83"/>
      <c r="K33489" s="82"/>
      <c r="M33489" s="112"/>
      <c r="N33489" s="84"/>
    </row>
    <row r="33490" spans="1:14" s="2" customFormat="1">
      <c r="A33490" s="83"/>
      <c r="H33490" s="83"/>
      <c r="K33490" s="82"/>
      <c r="M33490" s="112"/>
      <c r="N33490" s="84"/>
    </row>
    <row r="33491" spans="1:14" s="2" customFormat="1">
      <c r="A33491" s="83"/>
      <c r="H33491" s="83"/>
      <c r="K33491" s="82"/>
      <c r="M33491" s="112"/>
      <c r="N33491" s="84"/>
    </row>
    <row r="33492" spans="1:14" s="2" customFormat="1">
      <c r="A33492" s="83"/>
      <c r="H33492" s="83"/>
      <c r="K33492" s="82"/>
      <c r="M33492" s="112"/>
      <c r="N33492" s="84"/>
    </row>
    <row r="33493" spans="1:14" s="2" customFormat="1">
      <c r="A33493" s="83"/>
      <c r="H33493" s="83"/>
      <c r="K33493" s="82"/>
      <c r="M33493" s="112"/>
      <c r="N33493" s="84"/>
    </row>
    <row r="33494" spans="1:14" s="2" customFormat="1">
      <c r="A33494" s="83"/>
      <c r="H33494" s="83"/>
      <c r="K33494" s="82"/>
      <c r="M33494" s="112"/>
      <c r="N33494" s="84"/>
    </row>
    <row r="33495" spans="1:14" s="2" customFormat="1">
      <c r="A33495" s="83"/>
      <c r="H33495" s="83"/>
      <c r="K33495" s="82"/>
      <c r="M33495" s="112"/>
      <c r="N33495" s="84"/>
    </row>
    <row r="33496" spans="1:14" s="2" customFormat="1">
      <c r="A33496" s="83"/>
      <c r="H33496" s="83"/>
      <c r="K33496" s="82"/>
      <c r="M33496" s="112"/>
      <c r="N33496" s="84"/>
    </row>
    <row r="33497" spans="1:14" s="2" customFormat="1">
      <c r="A33497" s="83"/>
      <c r="H33497" s="83"/>
      <c r="K33497" s="82"/>
      <c r="M33497" s="112"/>
      <c r="N33497" s="84"/>
    </row>
    <row r="33498" spans="1:14" s="2" customFormat="1">
      <c r="A33498" s="83"/>
      <c r="H33498" s="83"/>
      <c r="K33498" s="82"/>
      <c r="M33498" s="112"/>
      <c r="N33498" s="84"/>
    </row>
    <row r="33499" spans="1:14" s="2" customFormat="1">
      <c r="A33499" s="83"/>
      <c r="H33499" s="83"/>
      <c r="K33499" s="82"/>
      <c r="M33499" s="112"/>
      <c r="N33499" s="84"/>
    </row>
    <row r="33500" spans="1:14" s="2" customFormat="1">
      <c r="A33500" s="83"/>
      <c r="H33500" s="83"/>
      <c r="K33500" s="82"/>
      <c r="M33500" s="112"/>
      <c r="N33500" s="84"/>
    </row>
    <row r="33501" spans="1:14" s="2" customFormat="1">
      <c r="A33501" s="83"/>
      <c r="H33501" s="83"/>
      <c r="K33501" s="82"/>
      <c r="M33501" s="112"/>
      <c r="N33501" s="84"/>
    </row>
    <row r="33502" spans="1:14" s="2" customFormat="1">
      <c r="A33502" s="83"/>
      <c r="H33502" s="83"/>
      <c r="K33502" s="82"/>
      <c r="M33502" s="112"/>
      <c r="N33502" s="84"/>
    </row>
    <row r="33503" spans="1:14" s="2" customFormat="1">
      <c r="A33503" s="83"/>
      <c r="H33503" s="83"/>
      <c r="K33503" s="82"/>
      <c r="M33503" s="112"/>
      <c r="N33503" s="84"/>
    </row>
    <row r="33504" spans="1:14" s="2" customFormat="1">
      <c r="A33504" s="83"/>
      <c r="H33504" s="83"/>
      <c r="K33504" s="82"/>
      <c r="M33504" s="112"/>
      <c r="N33504" s="84"/>
    </row>
    <row r="33505" spans="1:14" s="2" customFormat="1">
      <c r="A33505" s="83"/>
      <c r="H33505" s="83"/>
      <c r="K33505" s="82"/>
      <c r="M33505" s="112"/>
      <c r="N33505" s="84"/>
    </row>
    <row r="33506" spans="1:14" s="2" customFormat="1">
      <c r="A33506" s="83"/>
      <c r="H33506" s="83"/>
      <c r="K33506" s="82"/>
      <c r="M33506" s="112"/>
      <c r="N33506" s="84"/>
    </row>
    <row r="33507" spans="1:14" s="2" customFormat="1">
      <c r="A33507" s="83"/>
      <c r="H33507" s="83"/>
      <c r="K33507" s="82"/>
      <c r="M33507" s="112"/>
      <c r="N33507" s="84"/>
    </row>
    <row r="33508" spans="1:14" s="2" customFormat="1">
      <c r="A33508" s="83"/>
      <c r="H33508" s="83"/>
      <c r="K33508" s="82"/>
      <c r="M33508" s="112"/>
      <c r="N33508" s="84"/>
    </row>
    <row r="33509" spans="1:14" s="2" customFormat="1">
      <c r="A33509" s="83"/>
      <c r="H33509" s="83"/>
      <c r="K33509" s="82"/>
      <c r="M33509" s="112"/>
      <c r="N33509" s="84"/>
    </row>
    <row r="33510" spans="1:14" s="2" customFormat="1">
      <c r="A33510" s="83"/>
      <c r="H33510" s="83"/>
      <c r="K33510" s="82"/>
      <c r="M33510" s="112"/>
      <c r="N33510" s="84"/>
    </row>
    <row r="33511" spans="1:14" s="2" customFormat="1">
      <c r="A33511" s="83"/>
      <c r="H33511" s="83"/>
      <c r="K33511" s="82"/>
      <c r="M33511" s="112"/>
      <c r="N33511" s="84"/>
    </row>
    <row r="33512" spans="1:14" s="2" customFormat="1">
      <c r="A33512" s="83"/>
      <c r="H33512" s="83"/>
      <c r="K33512" s="82"/>
      <c r="M33512" s="112"/>
      <c r="N33512" s="84"/>
    </row>
    <row r="33513" spans="1:14" s="2" customFormat="1">
      <c r="A33513" s="83"/>
      <c r="H33513" s="83"/>
      <c r="K33513" s="82"/>
      <c r="M33513" s="112"/>
      <c r="N33513" s="84"/>
    </row>
    <row r="33514" spans="1:14" s="2" customFormat="1">
      <c r="A33514" s="83"/>
      <c r="H33514" s="83"/>
      <c r="K33514" s="82"/>
      <c r="M33514" s="112"/>
      <c r="N33514" s="84"/>
    </row>
    <row r="33515" spans="1:14" s="2" customFormat="1">
      <c r="A33515" s="83"/>
      <c r="H33515" s="83"/>
      <c r="K33515" s="82"/>
      <c r="M33515" s="112"/>
      <c r="N33515" s="84"/>
    </row>
    <row r="33516" spans="1:14" s="2" customFormat="1">
      <c r="A33516" s="83"/>
      <c r="H33516" s="83"/>
      <c r="K33516" s="82"/>
      <c r="M33516" s="112"/>
      <c r="N33516" s="84"/>
    </row>
    <row r="33517" spans="1:14" s="2" customFormat="1">
      <c r="A33517" s="83"/>
      <c r="H33517" s="83"/>
      <c r="K33517" s="82"/>
      <c r="M33517" s="112"/>
      <c r="N33517" s="84"/>
    </row>
    <row r="33518" spans="1:14" s="2" customFormat="1">
      <c r="A33518" s="83"/>
      <c r="H33518" s="83"/>
      <c r="K33518" s="82"/>
      <c r="M33518" s="112"/>
      <c r="N33518" s="84"/>
    </row>
    <row r="33519" spans="1:14" s="2" customFormat="1">
      <c r="A33519" s="83"/>
      <c r="H33519" s="83"/>
      <c r="K33519" s="82"/>
      <c r="M33519" s="112"/>
      <c r="N33519" s="84"/>
    </row>
    <row r="33520" spans="1:14" s="2" customFormat="1">
      <c r="A33520" s="83"/>
      <c r="H33520" s="83"/>
      <c r="K33520" s="82"/>
      <c r="M33520" s="112"/>
      <c r="N33520" s="84"/>
    </row>
    <row r="33521" spans="1:14" s="2" customFormat="1">
      <c r="A33521" s="83"/>
      <c r="H33521" s="83"/>
      <c r="K33521" s="82"/>
      <c r="M33521" s="112"/>
      <c r="N33521" s="84"/>
    </row>
    <row r="33522" spans="1:14" s="2" customFormat="1">
      <c r="A33522" s="83"/>
      <c r="H33522" s="83"/>
      <c r="K33522" s="82"/>
      <c r="M33522" s="112"/>
      <c r="N33522" s="84"/>
    </row>
    <row r="33523" spans="1:14" s="2" customFormat="1">
      <c r="A33523" s="83"/>
      <c r="H33523" s="83"/>
      <c r="K33523" s="82"/>
      <c r="M33523" s="112"/>
      <c r="N33523" s="84"/>
    </row>
    <row r="33524" spans="1:14" s="2" customFormat="1">
      <c r="A33524" s="83"/>
      <c r="H33524" s="83"/>
      <c r="K33524" s="82"/>
      <c r="M33524" s="112"/>
      <c r="N33524" s="84"/>
    </row>
    <row r="33525" spans="1:14" s="2" customFormat="1">
      <c r="A33525" s="83"/>
      <c r="H33525" s="83"/>
      <c r="K33525" s="82"/>
      <c r="M33525" s="112"/>
      <c r="N33525" s="84"/>
    </row>
    <row r="33526" spans="1:14" s="2" customFormat="1">
      <c r="A33526" s="83"/>
      <c r="H33526" s="83"/>
      <c r="K33526" s="82"/>
      <c r="M33526" s="112"/>
      <c r="N33526" s="84"/>
    </row>
    <row r="33527" spans="1:14" s="2" customFormat="1">
      <c r="A33527" s="83"/>
      <c r="H33527" s="83"/>
      <c r="K33527" s="82"/>
      <c r="M33527" s="112"/>
      <c r="N33527" s="84"/>
    </row>
    <row r="33528" spans="1:14" s="2" customFormat="1">
      <c r="A33528" s="83"/>
      <c r="H33528" s="83"/>
      <c r="K33528" s="82"/>
      <c r="M33528" s="112"/>
      <c r="N33528" s="84"/>
    </row>
    <row r="33529" spans="1:14" s="2" customFormat="1">
      <c r="A33529" s="83"/>
      <c r="H33529" s="83"/>
      <c r="K33529" s="82"/>
      <c r="M33529" s="112"/>
      <c r="N33529" s="84"/>
    </row>
    <row r="33530" spans="1:14" s="2" customFormat="1">
      <c r="A33530" s="83"/>
      <c r="H33530" s="83"/>
      <c r="K33530" s="82"/>
      <c r="M33530" s="112"/>
      <c r="N33530" s="84"/>
    </row>
    <row r="33531" spans="1:14" s="2" customFormat="1">
      <c r="A33531" s="83"/>
      <c r="H33531" s="83"/>
      <c r="K33531" s="82"/>
      <c r="M33531" s="112"/>
      <c r="N33531" s="84"/>
    </row>
    <row r="33532" spans="1:14" s="2" customFormat="1">
      <c r="A33532" s="83"/>
      <c r="H33532" s="83"/>
      <c r="K33532" s="82"/>
      <c r="M33532" s="112"/>
      <c r="N33532" s="84"/>
    </row>
    <row r="33533" spans="1:14" s="2" customFormat="1">
      <c r="A33533" s="83"/>
      <c r="H33533" s="83"/>
      <c r="K33533" s="82"/>
      <c r="M33533" s="112"/>
      <c r="N33533" s="84"/>
    </row>
    <row r="33534" spans="1:14" s="2" customFormat="1">
      <c r="A33534" s="83"/>
      <c r="H33534" s="83"/>
      <c r="K33534" s="82"/>
      <c r="M33534" s="112"/>
      <c r="N33534" s="84"/>
    </row>
    <row r="33535" spans="1:14" s="2" customFormat="1">
      <c r="A33535" s="83"/>
      <c r="H33535" s="83"/>
      <c r="K33535" s="82"/>
      <c r="M33535" s="112"/>
      <c r="N33535" s="84"/>
    </row>
    <row r="33536" spans="1:14" s="2" customFormat="1">
      <c r="A33536" s="83"/>
      <c r="H33536" s="83"/>
      <c r="K33536" s="82"/>
      <c r="M33536" s="112"/>
      <c r="N33536" s="84"/>
    </row>
    <row r="33537" spans="1:14" s="2" customFormat="1">
      <c r="A33537" s="83"/>
      <c r="H33537" s="83"/>
      <c r="K33537" s="82"/>
      <c r="M33537" s="112"/>
      <c r="N33537" s="84"/>
    </row>
    <row r="33538" spans="1:14" s="2" customFormat="1">
      <c r="A33538" s="83"/>
      <c r="H33538" s="83"/>
      <c r="K33538" s="82"/>
      <c r="M33538" s="112"/>
      <c r="N33538" s="84"/>
    </row>
    <row r="33539" spans="1:14" s="2" customFormat="1">
      <c r="A33539" s="83"/>
      <c r="H33539" s="83"/>
      <c r="K33539" s="82"/>
      <c r="M33539" s="112"/>
      <c r="N33539" s="84"/>
    </row>
    <row r="33540" spans="1:14" s="2" customFormat="1">
      <c r="A33540" s="83"/>
      <c r="H33540" s="83"/>
      <c r="K33540" s="82"/>
      <c r="M33540" s="112"/>
      <c r="N33540" s="84"/>
    </row>
    <row r="33541" spans="1:14" s="2" customFormat="1">
      <c r="A33541" s="83"/>
      <c r="H33541" s="83"/>
      <c r="K33541" s="82"/>
      <c r="M33541" s="112"/>
      <c r="N33541" s="84"/>
    </row>
    <row r="33542" spans="1:14" s="2" customFormat="1">
      <c r="A33542" s="83"/>
      <c r="H33542" s="83"/>
      <c r="K33542" s="82"/>
      <c r="M33542" s="112"/>
      <c r="N33542" s="84"/>
    </row>
    <row r="33543" spans="1:14" s="2" customFormat="1">
      <c r="A33543" s="83"/>
      <c r="H33543" s="83"/>
      <c r="K33543" s="82"/>
      <c r="M33543" s="112"/>
      <c r="N33543" s="84"/>
    </row>
    <row r="33544" spans="1:14" s="2" customFormat="1">
      <c r="A33544" s="83"/>
      <c r="H33544" s="83"/>
      <c r="K33544" s="82"/>
      <c r="M33544" s="112"/>
      <c r="N33544" s="84"/>
    </row>
    <row r="33545" spans="1:14" s="2" customFormat="1">
      <c r="A33545" s="83"/>
      <c r="H33545" s="83"/>
      <c r="K33545" s="82"/>
      <c r="M33545" s="112"/>
      <c r="N33545" s="84"/>
    </row>
    <row r="33546" spans="1:14" s="2" customFormat="1">
      <c r="A33546" s="83"/>
      <c r="H33546" s="83"/>
      <c r="K33546" s="82"/>
      <c r="M33546" s="112"/>
      <c r="N33546" s="84"/>
    </row>
    <row r="33547" spans="1:14" s="2" customFormat="1">
      <c r="A33547" s="83"/>
      <c r="H33547" s="83"/>
      <c r="K33547" s="82"/>
      <c r="M33547" s="112"/>
      <c r="N33547" s="84"/>
    </row>
    <row r="33548" spans="1:14" s="2" customFormat="1">
      <c r="A33548" s="83"/>
      <c r="H33548" s="83"/>
      <c r="K33548" s="82"/>
      <c r="M33548" s="112"/>
      <c r="N33548" s="84"/>
    </row>
    <row r="33549" spans="1:14" s="2" customFormat="1">
      <c r="A33549" s="83"/>
      <c r="H33549" s="83"/>
      <c r="K33549" s="82"/>
      <c r="M33549" s="112"/>
      <c r="N33549" s="84"/>
    </row>
    <row r="33550" spans="1:14" s="2" customFormat="1">
      <c r="A33550" s="83"/>
      <c r="H33550" s="83"/>
      <c r="K33550" s="82"/>
      <c r="M33550" s="112"/>
      <c r="N33550" s="84"/>
    </row>
    <row r="33551" spans="1:14" s="2" customFormat="1">
      <c r="A33551" s="83"/>
      <c r="H33551" s="83"/>
      <c r="K33551" s="82"/>
      <c r="M33551" s="112"/>
      <c r="N33551" s="84"/>
    </row>
    <row r="33552" spans="1:14" s="2" customFormat="1">
      <c r="A33552" s="83"/>
      <c r="H33552" s="83"/>
      <c r="K33552" s="82"/>
      <c r="M33552" s="112"/>
      <c r="N33552" s="84"/>
    </row>
    <row r="33553" spans="1:14" s="2" customFormat="1">
      <c r="A33553" s="83"/>
      <c r="H33553" s="83"/>
      <c r="K33553" s="82"/>
      <c r="M33553" s="112"/>
      <c r="N33553" s="84"/>
    </row>
    <row r="33554" spans="1:14" s="2" customFormat="1">
      <c r="A33554" s="83"/>
      <c r="H33554" s="83"/>
      <c r="K33554" s="82"/>
      <c r="M33554" s="112"/>
      <c r="N33554" s="84"/>
    </row>
    <row r="33555" spans="1:14" s="2" customFormat="1">
      <c r="A33555" s="83"/>
      <c r="H33555" s="83"/>
      <c r="K33555" s="82"/>
      <c r="M33555" s="112"/>
      <c r="N33555" s="84"/>
    </row>
    <row r="33556" spans="1:14" s="2" customFormat="1">
      <c r="A33556" s="83"/>
      <c r="H33556" s="83"/>
      <c r="K33556" s="82"/>
      <c r="M33556" s="112"/>
      <c r="N33556" s="84"/>
    </row>
    <row r="33557" spans="1:14" s="2" customFormat="1">
      <c r="A33557" s="83"/>
      <c r="H33557" s="83"/>
      <c r="K33557" s="82"/>
      <c r="M33557" s="112"/>
      <c r="N33557" s="84"/>
    </row>
    <row r="33558" spans="1:14" s="2" customFormat="1">
      <c r="A33558" s="83"/>
      <c r="H33558" s="83"/>
      <c r="K33558" s="82"/>
      <c r="M33558" s="112"/>
      <c r="N33558" s="84"/>
    </row>
    <row r="33559" spans="1:14" s="2" customFormat="1">
      <c r="A33559" s="83"/>
      <c r="H33559" s="83"/>
      <c r="K33559" s="82"/>
      <c r="M33559" s="112"/>
      <c r="N33559" s="84"/>
    </row>
    <row r="33560" spans="1:14" s="2" customFormat="1">
      <c r="A33560" s="83"/>
      <c r="H33560" s="83"/>
      <c r="K33560" s="82"/>
      <c r="M33560" s="112"/>
      <c r="N33560" s="84"/>
    </row>
    <row r="33561" spans="1:14" s="2" customFormat="1">
      <c r="A33561" s="83"/>
      <c r="H33561" s="83"/>
      <c r="K33561" s="82"/>
      <c r="M33561" s="112"/>
      <c r="N33561" s="84"/>
    </row>
    <row r="33562" spans="1:14" s="2" customFormat="1">
      <c r="A33562" s="83"/>
      <c r="H33562" s="83"/>
      <c r="K33562" s="82"/>
      <c r="M33562" s="112"/>
      <c r="N33562" s="84"/>
    </row>
    <row r="33563" spans="1:14" s="2" customFormat="1">
      <c r="A33563" s="83"/>
      <c r="H33563" s="83"/>
      <c r="K33563" s="82"/>
      <c r="M33563" s="112"/>
      <c r="N33563" s="84"/>
    </row>
    <row r="33564" spans="1:14" s="2" customFormat="1">
      <c r="A33564" s="83"/>
      <c r="H33564" s="83"/>
      <c r="K33564" s="82"/>
      <c r="M33564" s="112"/>
      <c r="N33564" s="84"/>
    </row>
    <row r="33565" spans="1:14" s="2" customFormat="1">
      <c r="A33565" s="83"/>
      <c r="H33565" s="83"/>
      <c r="K33565" s="82"/>
      <c r="M33565" s="112"/>
      <c r="N33565" s="84"/>
    </row>
    <row r="33566" spans="1:14" s="2" customFormat="1">
      <c r="A33566" s="83"/>
      <c r="H33566" s="83"/>
      <c r="K33566" s="82"/>
      <c r="M33566" s="112"/>
      <c r="N33566" s="84"/>
    </row>
    <row r="33567" spans="1:14" s="2" customFormat="1">
      <c r="A33567" s="83"/>
      <c r="H33567" s="83"/>
      <c r="K33567" s="82"/>
      <c r="M33567" s="112"/>
      <c r="N33567" s="84"/>
    </row>
    <row r="33568" spans="1:14" s="2" customFormat="1">
      <c r="A33568" s="83"/>
      <c r="H33568" s="83"/>
      <c r="K33568" s="82"/>
      <c r="M33568" s="112"/>
      <c r="N33568" s="84"/>
    </row>
    <row r="33569" spans="1:14" s="2" customFormat="1">
      <c r="A33569" s="83"/>
      <c r="H33569" s="83"/>
      <c r="K33569" s="82"/>
      <c r="M33569" s="112"/>
      <c r="N33569" s="84"/>
    </row>
    <row r="33570" spans="1:14" s="2" customFormat="1">
      <c r="A33570" s="83"/>
      <c r="H33570" s="83"/>
      <c r="K33570" s="82"/>
      <c r="M33570" s="112"/>
      <c r="N33570" s="84"/>
    </row>
    <row r="33571" spans="1:14" s="2" customFormat="1">
      <c r="A33571" s="83"/>
      <c r="H33571" s="83"/>
      <c r="K33571" s="82"/>
      <c r="M33571" s="112"/>
      <c r="N33571" s="84"/>
    </row>
    <row r="33572" spans="1:14" s="2" customFormat="1">
      <c r="A33572" s="83"/>
      <c r="H33572" s="83"/>
      <c r="K33572" s="82"/>
      <c r="M33572" s="112"/>
      <c r="N33572" s="84"/>
    </row>
    <row r="33573" spans="1:14" s="2" customFormat="1">
      <c r="A33573" s="83"/>
      <c r="H33573" s="83"/>
      <c r="K33573" s="82"/>
      <c r="M33573" s="112"/>
      <c r="N33573" s="84"/>
    </row>
    <row r="33574" spans="1:14" s="2" customFormat="1">
      <c r="A33574" s="83"/>
      <c r="H33574" s="83"/>
      <c r="K33574" s="82"/>
      <c r="M33574" s="112"/>
      <c r="N33574" s="84"/>
    </row>
    <row r="33575" spans="1:14" s="2" customFormat="1">
      <c r="A33575" s="83"/>
      <c r="H33575" s="83"/>
      <c r="K33575" s="82"/>
      <c r="M33575" s="112"/>
      <c r="N33575" s="84"/>
    </row>
    <row r="33576" spans="1:14" s="2" customFormat="1">
      <c r="A33576" s="83"/>
      <c r="H33576" s="83"/>
      <c r="K33576" s="82"/>
      <c r="M33576" s="112"/>
      <c r="N33576" s="84"/>
    </row>
    <row r="33577" spans="1:14" s="2" customFormat="1">
      <c r="A33577" s="83"/>
      <c r="H33577" s="83"/>
      <c r="K33577" s="82"/>
      <c r="M33577" s="112"/>
      <c r="N33577" s="84"/>
    </row>
    <row r="33578" spans="1:14" s="2" customFormat="1">
      <c r="A33578" s="83"/>
      <c r="H33578" s="83"/>
      <c r="K33578" s="82"/>
      <c r="M33578" s="112"/>
      <c r="N33578" s="84"/>
    </row>
    <row r="33579" spans="1:14" s="2" customFormat="1">
      <c r="A33579" s="83"/>
      <c r="H33579" s="83"/>
      <c r="K33579" s="82"/>
      <c r="M33579" s="112"/>
      <c r="N33579" s="84"/>
    </row>
    <row r="33580" spans="1:14" s="2" customFormat="1">
      <c r="A33580" s="83"/>
      <c r="H33580" s="83"/>
      <c r="K33580" s="82"/>
      <c r="M33580" s="112"/>
      <c r="N33580" s="84"/>
    </row>
    <row r="33581" spans="1:14" s="2" customFormat="1">
      <c r="A33581" s="83"/>
      <c r="H33581" s="83"/>
      <c r="K33581" s="82"/>
      <c r="M33581" s="112"/>
      <c r="N33581" s="84"/>
    </row>
    <row r="33582" spans="1:14" s="2" customFormat="1">
      <c r="A33582" s="83"/>
      <c r="H33582" s="83"/>
      <c r="K33582" s="82"/>
      <c r="M33582" s="112"/>
      <c r="N33582" s="84"/>
    </row>
    <row r="33583" spans="1:14" s="2" customFormat="1">
      <c r="A33583" s="83"/>
      <c r="H33583" s="83"/>
      <c r="K33583" s="82"/>
      <c r="M33583" s="112"/>
      <c r="N33583" s="84"/>
    </row>
    <row r="33584" spans="1:14" s="2" customFormat="1">
      <c r="A33584" s="83"/>
      <c r="H33584" s="83"/>
      <c r="K33584" s="82"/>
      <c r="M33584" s="112"/>
      <c r="N33584" s="84"/>
    </row>
    <row r="33585" spans="1:14" s="2" customFormat="1">
      <c r="A33585" s="83"/>
      <c r="H33585" s="83"/>
      <c r="K33585" s="82"/>
      <c r="M33585" s="112"/>
      <c r="N33585" s="84"/>
    </row>
    <row r="33586" spans="1:14" s="2" customFormat="1">
      <c r="A33586" s="83"/>
      <c r="H33586" s="83"/>
      <c r="K33586" s="82"/>
      <c r="M33586" s="112"/>
      <c r="N33586" s="84"/>
    </row>
    <row r="33587" spans="1:14" s="2" customFormat="1">
      <c r="A33587" s="83"/>
      <c r="H33587" s="83"/>
      <c r="K33587" s="82"/>
      <c r="M33587" s="112"/>
      <c r="N33587" s="84"/>
    </row>
    <row r="33588" spans="1:14" s="2" customFormat="1">
      <c r="A33588" s="83"/>
      <c r="H33588" s="83"/>
      <c r="K33588" s="82"/>
      <c r="M33588" s="112"/>
      <c r="N33588" s="84"/>
    </row>
    <row r="33589" spans="1:14" s="2" customFormat="1">
      <c r="A33589" s="83"/>
      <c r="H33589" s="83"/>
      <c r="K33589" s="82"/>
      <c r="M33589" s="112"/>
      <c r="N33589" s="84"/>
    </row>
    <row r="33590" spans="1:14" s="2" customFormat="1">
      <c r="A33590" s="83"/>
      <c r="H33590" s="83"/>
      <c r="K33590" s="82"/>
      <c r="M33590" s="112"/>
      <c r="N33590" s="84"/>
    </row>
    <row r="33591" spans="1:14" s="2" customFormat="1">
      <c r="A33591" s="83"/>
      <c r="H33591" s="83"/>
      <c r="K33591" s="82"/>
      <c r="M33591" s="112"/>
      <c r="N33591" s="84"/>
    </row>
    <row r="33592" spans="1:14" s="2" customFormat="1">
      <c r="A33592" s="83"/>
      <c r="H33592" s="83"/>
      <c r="K33592" s="82"/>
      <c r="M33592" s="112"/>
      <c r="N33592" s="84"/>
    </row>
    <row r="33593" spans="1:14" s="2" customFormat="1">
      <c r="A33593" s="83"/>
      <c r="H33593" s="83"/>
      <c r="K33593" s="82"/>
      <c r="M33593" s="112"/>
      <c r="N33593" s="84"/>
    </row>
    <row r="33594" spans="1:14" s="2" customFormat="1">
      <c r="A33594" s="83"/>
      <c r="H33594" s="83"/>
      <c r="K33594" s="82"/>
      <c r="M33594" s="112"/>
      <c r="N33594" s="84"/>
    </row>
    <row r="33595" spans="1:14" s="2" customFormat="1">
      <c r="A33595" s="83"/>
      <c r="H33595" s="83"/>
      <c r="K33595" s="82"/>
      <c r="M33595" s="112"/>
      <c r="N33595" s="84"/>
    </row>
    <row r="33596" spans="1:14" s="2" customFormat="1">
      <c r="A33596" s="83"/>
      <c r="H33596" s="83"/>
      <c r="K33596" s="82"/>
      <c r="M33596" s="112"/>
      <c r="N33596" s="84"/>
    </row>
    <row r="33597" spans="1:14" s="2" customFormat="1">
      <c r="A33597" s="83"/>
      <c r="H33597" s="83"/>
      <c r="K33597" s="82"/>
      <c r="M33597" s="112"/>
      <c r="N33597" s="84"/>
    </row>
    <row r="33598" spans="1:14" s="2" customFormat="1">
      <c r="A33598" s="83"/>
      <c r="H33598" s="83"/>
      <c r="K33598" s="82"/>
      <c r="M33598" s="112"/>
      <c r="N33598" s="84"/>
    </row>
    <row r="33599" spans="1:14" s="2" customFormat="1">
      <c r="A33599" s="83"/>
      <c r="H33599" s="83"/>
      <c r="K33599" s="82"/>
      <c r="M33599" s="112"/>
      <c r="N33599" s="84"/>
    </row>
    <row r="33600" spans="1:14" s="2" customFormat="1">
      <c r="A33600" s="83"/>
      <c r="H33600" s="83"/>
      <c r="K33600" s="82"/>
      <c r="M33600" s="112"/>
      <c r="N33600" s="84"/>
    </row>
    <row r="33601" spans="1:14" s="2" customFormat="1">
      <c r="A33601" s="83"/>
      <c r="H33601" s="83"/>
      <c r="K33601" s="82"/>
      <c r="M33601" s="112"/>
      <c r="N33601" s="84"/>
    </row>
    <row r="33602" spans="1:14" s="2" customFormat="1">
      <c r="A33602" s="83"/>
      <c r="H33602" s="83"/>
      <c r="K33602" s="82"/>
      <c r="M33602" s="112"/>
      <c r="N33602" s="84"/>
    </row>
    <row r="33603" spans="1:14" s="2" customFormat="1">
      <c r="A33603" s="83"/>
      <c r="H33603" s="83"/>
      <c r="K33603" s="82"/>
      <c r="M33603" s="112"/>
      <c r="N33603" s="84"/>
    </row>
    <row r="33604" spans="1:14" s="2" customFormat="1">
      <c r="A33604" s="83"/>
      <c r="H33604" s="83"/>
      <c r="K33604" s="82"/>
      <c r="M33604" s="112"/>
      <c r="N33604" s="84"/>
    </row>
    <row r="33605" spans="1:14" s="2" customFormat="1">
      <c r="A33605" s="83"/>
      <c r="H33605" s="83"/>
      <c r="K33605" s="82"/>
      <c r="M33605" s="112"/>
      <c r="N33605" s="84"/>
    </row>
    <row r="33606" spans="1:14" s="2" customFormat="1">
      <c r="A33606" s="83"/>
      <c r="H33606" s="83"/>
      <c r="K33606" s="82"/>
      <c r="M33606" s="112"/>
      <c r="N33606" s="84"/>
    </row>
    <row r="33607" spans="1:14" s="2" customFormat="1">
      <c r="A33607" s="83"/>
      <c r="H33607" s="83"/>
      <c r="K33607" s="82"/>
      <c r="M33607" s="112"/>
      <c r="N33607" s="84"/>
    </row>
    <row r="33608" spans="1:14" s="2" customFormat="1">
      <c r="A33608" s="83"/>
      <c r="H33608" s="83"/>
      <c r="K33608" s="82"/>
      <c r="M33608" s="112"/>
      <c r="N33608" s="84"/>
    </row>
    <row r="33609" spans="1:14" s="2" customFormat="1">
      <c r="A33609" s="83"/>
      <c r="H33609" s="83"/>
      <c r="K33609" s="82"/>
      <c r="M33609" s="112"/>
      <c r="N33609" s="84"/>
    </row>
    <row r="33610" spans="1:14" s="2" customFormat="1">
      <c r="A33610" s="83"/>
      <c r="H33610" s="83"/>
      <c r="K33610" s="82"/>
      <c r="M33610" s="112"/>
      <c r="N33610" s="84"/>
    </row>
    <row r="33611" spans="1:14" s="2" customFormat="1">
      <c r="A33611" s="83"/>
      <c r="H33611" s="83"/>
      <c r="K33611" s="82"/>
      <c r="M33611" s="112"/>
      <c r="N33611" s="84"/>
    </row>
    <row r="33612" spans="1:14" s="2" customFormat="1">
      <c r="A33612" s="83"/>
      <c r="H33612" s="83"/>
      <c r="K33612" s="82"/>
      <c r="M33612" s="112"/>
      <c r="N33612" s="84"/>
    </row>
    <row r="33613" spans="1:14" s="2" customFormat="1">
      <c r="A33613" s="83"/>
      <c r="H33613" s="83"/>
      <c r="K33613" s="82"/>
      <c r="M33613" s="112"/>
      <c r="N33613" s="84"/>
    </row>
    <row r="33614" spans="1:14" s="2" customFormat="1">
      <c r="A33614" s="83"/>
      <c r="H33614" s="83"/>
      <c r="K33614" s="82"/>
      <c r="M33614" s="112"/>
      <c r="N33614" s="84"/>
    </row>
    <row r="33615" spans="1:14" s="2" customFormat="1">
      <c r="A33615" s="83"/>
      <c r="H33615" s="83"/>
      <c r="K33615" s="82"/>
      <c r="M33615" s="112"/>
      <c r="N33615" s="84"/>
    </row>
    <row r="33616" spans="1:14" s="2" customFormat="1">
      <c r="A33616" s="83"/>
      <c r="H33616" s="83"/>
      <c r="K33616" s="82"/>
      <c r="M33616" s="112"/>
      <c r="N33616" s="84"/>
    </row>
    <row r="33617" spans="1:14" s="2" customFormat="1">
      <c r="A33617" s="83"/>
      <c r="H33617" s="83"/>
      <c r="K33617" s="82"/>
      <c r="M33617" s="112"/>
      <c r="N33617" s="84"/>
    </row>
    <row r="33618" spans="1:14" s="2" customFormat="1">
      <c r="A33618" s="83"/>
      <c r="H33618" s="83"/>
      <c r="K33618" s="82"/>
      <c r="M33618" s="112"/>
      <c r="N33618" s="84"/>
    </row>
    <row r="33619" spans="1:14" s="2" customFormat="1">
      <c r="A33619" s="83"/>
      <c r="H33619" s="83"/>
      <c r="K33619" s="82"/>
      <c r="M33619" s="112"/>
      <c r="N33619" s="84"/>
    </row>
    <row r="33620" spans="1:14" s="2" customFormat="1">
      <c r="A33620" s="83"/>
      <c r="H33620" s="83"/>
      <c r="K33620" s="82"/>
      <c r="M33620" s="112"/>
      <c r="N33620" s="84"/>
    </row>
    <row r="33621" spans="1:14" s="2" customFormat="1">
      <c r="A33621" s="83"/>
      <c r="H33621" s="83"/>
      <c r="K33621" s="82"/>
      <c r="M33621" s="112"/>
      <c r="N33621" s="84"/>
    </row>
    <row r="33622" spans="1:14" s="2" customFormat="1">
      <c r="A33622" s="83"/>
      <c r="H33622" s="83"/>
      <c r="K33622" s="82"/>
      <c r="M33622" s="112"/>
      <c r="N33622" s="84"/>
    </row>
    <row r="33623" spans="1:14" s="2" customFormat="1">
      <c r="A33623" s="83"/>
      <c r="H33623" s="83"/>
      <c r="K33623" s="82"/>
      <c r="M33623" s="112"/>
      <c r="N33623" s="84"/>
    </row>
    <row r="33624" spans="1:14" s="2" customFormat="1">
      <c r="A33624" s="83"/>
      <c r="H33624" s="83"/>
      <c r="K33624" s="82"/>
      <c r="M33624" s="112"/>
      <c r="N33624" s="84"/>
    </row>
    <row r="33625" spans="1:14" s="2" customFormat="1">
      <c r="A33625" s="83"/>
      <c r="H33625" s="83"/>
      <c r="K33625" s="82"/>
      <c r="M33625" s="112"/>
      <c r="N33625" s="84"/>
    </row>
    <row r="33626" spans="1:14" s="2" customFormat="1">
      <c r="A33626" s="83"/>
      <c r="H33626" s="83"/>
      <c r="K33626" s="82"/>
      <c r="M33626" s="112"/>
      <c r="N33626" s="84"/>
    </row>
    <row r="33627" spans="1:14" s="2" customFormat="1">
      <c r="A33627" s="83"/>
      <c r="H33627" s="83"/>
      <c r="K33627" s="82"/>
      <c r="M33627" s="112"/>
      <c r="N33627" s="84"/>
    </row>
    <row r="33628" spans="1:14" s="2" customFormat="1">
      <c r="A33628" s="83"/>
      <c r="H33628" s="83"/>
      <c r="K33628" s="82"/>
      <c r="M33628" s="112"/>
      <c r="N33628" s="84"/>
    </row>
    <row r="33629" spans="1:14" s="2" customFormat="1">
      <c r="A33629" s="83"/>
      <c r="H33629" s="83"/>
      <c r="K33629" s="82"/>
      <c r="M33629" s="112"/>
      <c r="N33629" s="84"/>
    </row>
    <row r="33630" spans="1:14" s="2" customFormat="1">
      <c r="A33630" s="83"/>
      <c r="H33630" s="83"/>
      <c r="K33630" s="82"/>
      <c r="M33630" s="112"/>
      <c r="N33630" s="84"/>
    </row>
    <row r="33631" spans="1:14" s="2" customFormat="1">
      <c r="A33631" s="83"/>
      <c r="H33631" s="83"/>
      <c r="K33631" s="82"/>
      <c r="M33631" s="112"/>
      <c r="N33631" s="84"/>
    </row>
    <row r="33632" spans="1:14" s="2" customFormat="1">
      <c r="A33632" s="83"/>
      <c r="H33632" s="83"/>
      <c r="K33632" s="82"/>
      <c r="M33632" s="112"/>
      <c r="N33632" s="84"/>
    </row>
    <row r="33633" spans="1:14" s="2" customFormat="1">
      <c r="A33633" s="83"/>
      <c r="H33633" s="83"/>
      <c r="K33633" s="82"/>
      <c r="M33633" s="112"/>
      <c r="N33633" s="84"/>
    </row>
    <row r="33634" spans="1:14" s="2" customFormat="1">
      <c r="A33634" s="83"/>
      <c r="H33634" s="83"/>
      <c r="K33634" s="82"/>
      <c r="M33634" s="112"/>
      <c r="N33634" s="84"/>
    </row>
    <row r="33635" spans="1:14" s="2" customFormat="1">
      <c r="A33635" s="83"/>
      <c r="H33635" s="83"/>
      <c r="K33635" s="82"/>
      <c r="M33635" s="112"/>
      <c r="N33635" s="84"/>
    </row>
    <row r="33636" spans="1:14" s="2" customFormat="1">
      <c r="A33636" s="83"/>
      <c r="H33636" s="83"/>
      <c r="K33636" s="82"/>
      <c r="M33636" s="112"/>
      <c r="N33636" s="84"/>
    </row>
    <row r="33637" spans="1:14" s="2" customFormat="1">
      <c r="A33637" s="83"/>
      <c r="H33637" s="83"/>
      <c r="K33637" s="82"/>
      <c r="M33637" s="112"/>
      <c r="N33637" s="84"/>
    </row>
    <row r="33638" spans="1:14" s="2" customFormat="1">
      <c r="A33638" s="83"/>
      <c r="H33638" s="83"/>
      <c r="K33638" s="82"/>
      <c r="M33638" s="112"/>
      <c r="N33638" s="84"/>
    </row>
    <row r="33639" spans="1:14" s="2" customFormat="1">
      <c r="A33639" s="83"/>
      <c r="H33639" s="83"/>
      <c r="K33639" s="82"/>
      <c r="M33639" s="112"/>
      <c r="N33639" s="84"/>
    </row>
    <row r="33640" spans="1:14" s="2" customFormat="1">
      <c r="A33640" s="83"/>
      <c r="H33640" s="83"/>
      <c r="K33640" s="82"/>
      <c r="M33640" s="112"/>
      <c r="N33640" s="84"/>
    </row>
    <row r="33641" spans="1:14" s="2" customFormat="1">
      <c r="A33641" s="83"/>
      <c r="H33641" s="83"/>
      <c r="K33641" s="82"/>
      <c r="M33641" s="112"/>
      <c r="N33641" s="84"/>
    </row>
    <row r="33642" spans="1:14" s="2" customFormat="1">
      <c r="A33642" s="83"/>
      <c r="H33642" s="83"/>
      <c r="K33642" s="82"/>
      <c r="M33642" s="112"/>
      <c r="N33642" s="84"/>
    </row>
    <row r="33643" spans="1:14" s="2" customFormat="1">
      <c r="A33643" s="83"/>
      <c r="H33643" s="83"/>
      <c r="K33643" s="82"/>
      <c r="M33643" s="112"/>
      <c r="N33643" s="84"/>
    </row>
    <row r="33644" spans="1:14" s="2" customFormat="1">
      <c r="A33644" s="83"/>
      <c r="H33644" s="83"/>
      <c r="K33644" s="82"/>
      <c r="M33644" s="112"/>
      <c r="N33644" s="84"/>
    </row>
    <row r="33645" spans="1:14" s="2" customFormat="1">
      <c r="A33645" s="83"/>
      <c r="H33645" s="83"/>
      <c r="K33645" s="82"/>
      <c r="M33645" s="112"/>
      <c r="N33645" s="84"/>
    </row>
    <row r="33646" spans="1:14" s="2" customFormat="1">
      <c r="A33646" s="83"/>
      <c r="H33646" s="83"/>
      <c r="K33646" s="82"/>
      <c r="M33646" s="112"/>
      <c r="N33646" s="84"/>
    </row>
    <row r="33647" spans="1:14" s="2" customFormat="1">
      <c r="A33647" s="83"/>
      <c r="H33647" s="83"/>
      <c r="K33647" s="82"/>
      <c r="M33647" s="112"/>
      <c r="N33647" s="84"/>
    </row>
    <row r="33648" spans="1:14" s="2" customFormat="1">
      <c r="A33648" s="83"/>
      <c r="H33648" s="83"/>
      <c r="K33648" s="82"/>
      <c r="M33648" s="112"/>
      <c r="N33648" s="84"/>
    </row>
    <row r="33649" spans="1:14" s="2" customFormat="1">
      <c r="A33649" s="83"/>
      <c r="H33649" s="83"/>
      <c r="K33649" s="82"/>
      <c r="M33649" s="112"/>
      <c r="N33649" s="84"/>
    </row>
    <row r="33650" spans="1:14" s="2" customFormat="1">
      <c r="A33650" s="83"/>
      <c r="H33650" s="83"/>
      <c r="K33650" s="82"/>
      <c r="M33650" s="112"/>
      <c r="N33650" s="84"/>
    </row>
    <row r="33651" spans="1:14" s="2" customFormat="1">
      <c r="A33651" s="83"/>
      <c r="H33651" s="83"/>
      <c r="K33651" s="82"/>
      <c r="M33651" s="112"/>
      <c r="N33651" s="84"/>
    </row>
    <row r="33652" spans="1:14" s="2" customFormat="1">
      <c r="A33652" s="83"/>
      <c r="H33652" s="83"/>
      <c r="K33652" s="82"/>
      <c r="M33652" s="112"/>
      <c r="N33652" s="84"/>
    </row>
    <row r="33653" spans="1:14" s="2" customFormat="1">
      <c r="A33653" s="83"/>
      <c r="H33653" s="83"/>
      <c r="K33653" s="82"/>
      <c r="M33653" s="112"/>
      <c r="N33653" s="84"/>
    </row>
    <row r="33654" spans="1:14" s="2" customFormat="1">
      <c r="A33654" s="83"/>
      <c r="H33654" s="83"/>
      <c r="K33654" s="82"/>
      <c r="M33654" s="112"/>
      <c r="N33654" s="84"/>
    </row>
    <row r="33655" spans="1:14" s="2" customFormat="1">
      <c r="A33655" s="83"/>
      <c r="H33655" s="83"/>
      <c r="K33655" s="82"/>
      <c r="M33655" s="112"/>
      <c r="N33655" s="84"/>
    </row>
    <row r="33656" spans="1:14" s="2" customFormat="1">
      <c r="A33656" s="83"/>
      <c r="H33656" s="83"/>
      <c r="K33656" s="82"/>
      <c r="M33656" s="112"/>
      <c r="N33656" s="84"/>
    </row>
    <row r="33657" spans="1:14" s="2" customFormat="1">
      <c r="A33657" s="83"/>
      <c r="H33657" s="83"/>
      <c r="K33657" s="82"/>
      <c r="M33657" s="112"/>
      <c r="N33657" s="84"/>
    </row>
    <row r="33658" spans="1:14" s="2" customFormat="1">
      <c r="A33658" s="83"/>
      <c r="H33658" s="83"/>
      <c r="K33658" s="82"/>
      <c r="M33658" s="112"/>
      <c r="N33658" s="84"/>
    </row>
    <row r="33659" spans="1:14" s="2" customFormat="1">
      <c r="A33659" s="83"/>
      <c r="H33659" s="83"/>
      <c r="K33659" s="82"/>
      <c r="M33659" s="112"/>
      <c r="N33659" s="84"/>
    </row>
    <row r="33660" spans="1:14" s="2" customFormat="1">
      <c r="A33660" s="83"/>
      <c r="H33660" s="83"/>
      <c r="K33660" s="82"/>
      <c r="M33660" s="112"/>
      <c r="N33660" s="84"/>
    </row>
    <row r="33661" spans="1:14" s="2" customFormat="1">
      <c r="A33661" s="83"/>
      <c r="H33661" s="83"/>
      <c r="K33661" s="82"/>
      <c r="M33661" s="112"/>
      <c r="N33661" s="84"/>
    </row>
    <row r="33662" spans="1:14" s="2" customFormat="1">
      <c r="A33662" s="83"/>
      <c r="H33662" s="83"/>
      <c r="K33662" s="82"/>
      <c r="M33662" s="112"/>
      <c r="N33662" s="84"/>
    </row>
    <row r="33663" spans="1:14" s="2" customFormat="1">
      <c r="A33663" s="83"/>
      <c r="H33663" s="83"/>
      <c r="K33663" s="82"/>
      <c r="M33663" s="112"/>
      <c r="N33663" s="84"/>
    </row>
    <row r="33664" spans="1:14" s="2" customFormat="1">
      <c r="A33664" s="83"/>
      <c r="H33664" s="83"/>
      <c r="K33664" s="82"/>
      <c r="M33664" s="112"/>
      <c r="N33664" s="84"/>
    </row>
    <row r="33665" spans="1:14" s="2" customFormat="1">
      <c r="A33665" s="83"/>
      <c r="H33665" s="83"/>
      <c r="K33665" s="82"/>
      <c r="M33665" s="112"/>
      <c r="N33665" s="84"/>
    </row>
    <row r="33666" spans="1:14" s="2" customFormat="1">
      <c r="A33666" s="83"/>
      <c r="H33666" s="83"/>
      <c r="K33666" s="82"/>
      <c r="M33666" s="112"/>
      <c r="N33666" s="84"/>
    </row>
    <row r="33667" spans="1:14" s="2" customFormat="1">
      <c r="A33667" s="83"/>
      <c r="H33667" s="83"/>
      <c r="K33667" s="82"/>
      <c r="M33667" s="112"/>
      <c r="N33667" s="84"/>
    </row>
    <row r="33668" spans="1:14" s="2" customFormat="1">
      <c r="A33668" s="83"/>
      <c r="H33668" s="83"/>
      <c r="K33668" s="82"/>
      <c r="M33668" s="112"/>
      <c r="N33668" s="84"/>
    </row>
    <row r="33669" spans="1:14" s="2" customFormat="1">
      <c r="A33669" s="83"/>
      <c r="H33669" s="83"/>
      <c r="K33669" s="82"/>
      <c r="M33669" s="112"/>
      <c r="N33669" s="84"/>
    </row>
    <row r="33670" spans="1:14" s="2" customFormat="1">
      <c r="A33670" s="83"/>
      <c r="H33670" s="83"/>
      <c r="K33670" s="82"/>
      <c r="M33670" s="112"/>
      <c r="N33670" s="84"/>
    </row>
    <row r="33671" spans="1:14" s="2" customFormat="1">
      <c r="A33671" s="83"/>
      <c r="H33671" s="83"/>
      <c r="K33671" s="82"/>
      <c r="M33671" s="112"/>
      <c r="N33671" s="84"/>
    </row>
    <row r="33672" spans="1:14" s="2" customFormat="1">
      <c r="A33672" s="83"/>
      <c r="H33672" s="83"/>
      <c r="K33672" s="82"/>
      <c r="M33672" s="112"/>
      <c r="N33672" s="84"/>
    </row>
    <row r="33673" spans="1:14" s="2" customFormat="1">
      <c r="A33673" s="83"/>
      <c r="H33673" s="83"/>
      <c r="K33673" s="82"/>
      <c r="M33673" s="112"/>
      <c r="N33673" s="84"/>
    </row>
    <row r="33674" spans="1:14" s="2" customFormat="1">
      <c r="A33674" s="83"/>
      <c r="H33674" s="83"/>
      <c r="K33674" s="82"/>
      <c r="M33674" s="112"/>
      <c r="N33674" s="84"/>
    </row>
    <row r="33675" spans="1:14" s="2" customFormat="1">
      <c r="A33675" s="83"/>
      <c r="H33675" s="83"/>
      <c r="K33675" s="82"/>
      <c r="M33675" s="112"/>
      <c r="N33675" s="84"/>
    </row>
    <row r="33676" spans="1:14" s="2" customFormat="1">
      <c r="A33676" s="83"/>
      <c r="H33676" s="83"/>
      <c r="K33676" s="82"/>
      <c r="M33676" s="112"/>
      <c r="N33676" s="84"/>
    </row>
    <row r="33677" spans="1:14" s="2" customFormat="1">
      <c r="A33677" s="83"/>
      <c r="H33677" s="83"/>
      <c r="K33677" s="82"/>
      <c r="M33677" s="112"/>
      <c r="N33677" s="84"/>
    </row>
    <row r="33678" spans="1:14" s="2" customFormat="1">
      <c r="A33678" s="83"/>
      <c r="H33678" s="83"/>
      <c r="K33678" s="82"/>
      <c r="M33678" s="112"/>
      <c r="N33678" s="84"/>
    </row>
    <row r="33679" spans="1:14" s="2" customFormat="1">
      <c r="A33679" s="83"/>
      <c r="H33679" s="83"/>
      <c r="K33679" s="82"/>
      <c r="M33679" s="112"/>
      <c r="N33679" s="84"/>
    </row>
    <row r="33680" spans="1:14" s="2" customFormat="1">
      <c r="A33680" s="83"/>
      <c r="H33680" s="83"/>
      <c r="K33680" s="82"/>
      <c r="M33680" s="112"/>
      <c r="N33680" s="84"/>
    </row>
    <row r="33681" spans="1:14" s="2" customFormat="1">
      <c r="A33681" s="83"/>
      <c r="H33681" s="83"/>
      <c r="K33681" s="82"/>
      <c r="M33681" s="112"/>
      <c r="N33681" s="84"/>
    </row>
    <row r="33682" spans="1:14" s="2" customFormat="1">
      <c r="A33682" s="83"/>
      <c r="H33682" s="83"/>
      <c r="K33682" s="82"/>
      <c r="M33682" s="112"/>
      <c r="N33682" s="84"/>
    </row>
    <row r="33683" spans="1:14" s="2" customFormat="1">
      <c r="A33683" s="83"/>
      <c r="H33683" s="83"/>
      <c r="K33683" s="82"/>
      <c r="M33683" s="112"/>
      <c r="N33683" s="84"/>
    </row>
    <row r="33684" spans="1:14" s="2" customFormat="1">
      <c r="A33684" s="83"/>
      <c r="H33684" s="83"/>
      <c r="K33684" s="82"/>
      <c r="M33684" s="112"/>
      <c r="N33684" s="84"/>
    </row>
    <row r="33685" spans="1:14" s="2" customFormat="1">
      <c r="A33685" s="83"/>
      <c r="H33685" s="83"/>
      <c r="K33685" s="82"/>
      <c r="M33685" s="112"/>
      <c r="N33685" s="84"/>
    </row>
    <row r="33686" spans="1:14" s="2" customFormat="1">
      <c r="A33686" s="83"/>
      <c r="H33686" s="83"/>
      <c r="K33686" s="82"/>
      <c r="M33686" s="112"/>
      <c r="N33686" s="84"/>
    </row>
    <row r="33687" spans="1:14" s="2" customFormat="1">
      <c r="A33687" s="83"/>
      <c r="H33687" s="83"/>
      <c r="K33687" s="82"/>
      <c r="M33687" s="112"/>
      <c r="N33687" s="84"/>
    </row>
    <row r="33688" spans="1:14" s="2" customFormat="1">
      <c r="A33688" s="83"/>
      <c r="H33688" s="83"/>
      <c r="K33688" s="82"/>
      <c r="M33688" s="112"/>
      <c r="N33688" s="84"/>
    </row>
    <row r="33689" spans="1:14" s="2" customFormat="1">
      <c r="A33689" s="83"/>
      <c r="H33689" s="83"/>
      <c r="K33689" s="82"/>
      <c r="M33689" s="112"/>
      <c r="N33689" s="84"/>
    </row>
    <row r="33690" spans="1:14" s="2" customFormat="1">
      <c r="A33690" s="83"/>
      <c r="H33690" s="83"/>
      <c r="K33690" s="82"/>
      <c r="M33690" s="112"/>
      <c r="N33690" s="84"/>
    </row>
    <row r="33691" spans="1:14" s="2" customFormat="1">
      <c r="A33691" s="83"/>
      <c r="H33691" s="83"/>
      <c r="K33691" s="82"/>
      <c r="M33691" s="112"/>
      <c r="N33691" s="84"/>
    </row>
    <row r="33692" spans="1:14" s="2" customFormat="1">
      <c r="A33692" s="83"/>
      <c r="H33692" s="83"/>
      <c r="K33692" s="82"/>
      <c r="M33692" s="112"/>
      <c r="N33692" s="84"/>
    </row>
    <row r="33693" spans="1:14" s="2" customFormat="1">
      <c r="A33693" s="83"/>
      <c r="H33693" s="83"/>
      <c r="K33693" s="82"/>
      <c r="M33693" s="112"/>
      <c r="N33693" s="84"/>
    </row>
    <row r="33694" spans="1:14" s="2" customFormat="1">
      <c r="A33694" s="83"/>
      <c r="H33694" s="83"/>
      <c r="K33694" s="82"/>
      <c r="M33694" s="112"/>
      <c r="N33694" s="84"/>
    </row>
    <row r="33695" spans="1:14" s="2" customFormat="1">
      <c r="A33695" s="83"/>
      <c r="H33695" s="83"/>
      <c r="K33695" s="82"/>
      <c r="M33695" s="112"/>
      <c r="N33695" s="84"/>
    </row>
    <row r="33696" spans="1:14" s="2" customFormat="1">
      <c r="A33696" s="83"/>
      <c r="H33696" s="83"/>
      <c r="K33696" s="82"/>
      <c r="M33696" s="112"/>
      <c r="N33696" s="84"/>
    </row>
    <row r="33697" spans="1:14" s="2" customFormat="1">
      <c r="A33697" s="83"/>
      <c r="H33697" s="83"/>
      <c r="K33697" s="82"/>
      <c r="M33697" s="112"/>
      <c r="N33697" s="84"/>
    </row>
    <row r="33698" spans="1:14" s="2" customFormat="1">
      <c r="A33698" s="83"/>
      <c r="H33698" s="83"/>
      <c r="K33698" s="82"/>
      <c r="M33698" s="112"/>
      <c r="N33698" s="84"/>
    </row>
    <row r="33699" spans="1:14" s="2" customFormat="1">
      <c r="A33699" s="83"/>
      <c r="H33699" s="83"/>
      <c r="K33699" s="82"/>
      <c r="M33699" s="112"/>
      <c r="N33699" s="84"/>
    </row>
    <row r="33700" spans="1:14" s="2" customFormat="1">
      <c r="A33700" s="83"/>
      <c r="H33700" s="83"/>
      <c r="K33700" s="82"/>
      <c r="M33700" s="112"/>
      <c r="N33700" s="84"/>
    </row>
    <row r="33701" spans="1:14" s="2" customFormat="1">
      <c r="A33701" s="83"/>
      <c r="H33701" s="83"/>
      <c r="K33701" s="82"/>
      <c r="M33701" s="112"/>
      <c r="N33701" s="84"/>
    </row>
    <row r="33702" spans="1:14" s="2" customFormat="1">
      <c r="A33702" s="83"/>
      <c r="H33702" s="83"/>
      <c r="K33702" s="82"/>
      <c r="M33702" s="112"/>
      <c r="N33702" s="84"/>
    </row>
    <row r="33703" spans="1:14" s="2" customFormat="1">
      <c r="A33703" s="83"/>
      <c r="H33703" s="83"/>
      <c r="K33703" s="82"/>
      <c r="M33703" s="112"/>
      <c r="N33703" s="84"/>
    </row>
    <row r="33704" spans="1:14" s="2" customFormat="1">
      <c r="A33704" s="83"/>
      <c r="H33704" s="83"/>
      <c r="K33704" s="82"/>
      <c r="M33704" s="112"/>
      <c r="N33704" s="84"/>
    </row>
    <row r="33705" spans="1:14" s="2" customFormat="1">
      <c r="A33705" s="83"/>
      <c r="H33705" s="83"/>
      <c r="K33705" s="82"/>
      <c r="M33705" s="112"/>
      <c r="N33705" s="84"/>
    </row>
    <row r="33706" spans="1:14" s="2" customFormat="1">
      <c r="A33706" s="83"/>
      <c r="H33706" s="83"/>
      <c r="K33706" s="82"/>
      <c r="M33706" s="112"/>
      <c r="N33706" s="84"/>
    </row>
    <row r="33707" spans="1:14" s="2" customFormat="1">
      <c r="A33707" s="83"/>
      <c r="H33707" s="83"/>
      <c r="K33707" s="82"/>
      <c r="M33707" s="112"/>
      <c r="N33707" s="84"/>
    </row>
    <row r="33708" spans="1:14" s="2" customFormat="1">
      <c r="A33708" s="83"/>
      <c r="H33708" s="83"/>
      <c r="K33708" s="82"/>
      <c r="M33708" s="112"/>
      <c r="N33708" s="84"/>
    </row>
    <row r="33709" spans="1:14" s="2" customFormat="1">
      <c r="A33709" s="83"/>
      <c r="H33709" s="83"/>
      <c r="K33709" s="82"/>
      <c r="M33709" s="112"/>
      <c r="N33709" s="84"/>
    </row>
    <row r="33710" spans="1:14" s="2" customFormat="1">
      <c r="A33710" s="83"/>
      <c r="H33710" s="83"/>
      <c r="K33710" s="82"/>
      <c r="M33710" s="112"/>
      <c r="N33710" s="84"/>
    </row>
    <row r="33711" spans="1:14" s="2" customFormat="1">
      <c r="A33711" s="83"/>
      <c r="H33711" s="83"/>
      <c r="K33711" s="82"/>
      <c r="M33711" s="112"/>
      <c r="N33711" s="84"/>
    </row>
    <row r="33712" spans="1:14" s="2" customFormat="1">
      <c r="A33712" s="83"/>
      <c r="H33712" s="83"/>
      <c r="K33712" s="82"/>
      <c r="M33712" s="112"/>
      <c r="N33712" s="84"/>
    </row>
    <row r="33713" spans="1:14" s="2" customFormat="1">
      <c r="A33713" s="83"/>
      <c r="H33713" s="83"/>
      <c r="K33713" s="82"/>
      <c r="M33713" s="112"/>
      <c r="N33713" s="84"/>
    </row>
    <row r="33714" spans="1:14" s="2" customFormat="1">
      <c r="A33714" s="83"/>
      <c r="H33714" s="83"/>
      <c r="K33714" s="82"/>
      <c r="M33714" s="112"/>
      <c r="N33714" s="84"/>
    </row>
    <row r="33715" spans="1:14" s="2" customFormat="1">
      <c r="A33715" s="83"/>
      <c r="H33715" s="83"/>
      <c r="K33715" s="82"/>
      <c r="M33715" s="112"/>
      <c r="N33715" s="84"/>
    </row>
    <row r="33716" spans="1:14" s="2" customFormat="1">
      <c r="A33716" s="83"/>
      <c r="H33716" s="83"/>
      <c r="K33716" s="82"/>
      <c r="M33716" s="112"/>
      <c r="N33716" s="84"/>
    </row>
    <row r="33717" spans="1:14" s="2" customFormat="1">
      <c r="A33717" s="83"/>
      <c r="H33717" s="83"/>
      <c r="K33717" s="82"/>
      <c r="M33717" s="112"/>
      <c r="N33717" s="84"/>
    </row>
    <row r="33718" spans="1:14" s="2" customFormat="1">
      <c r="A33718" s="83"/>
      <c r="H33718" s="83"/>
      <c r="K33718" s="82"/>
      <c r="M33718" s="112"/>
      <c r="N33718" s="84"/>
    </row>
    <row r="33719" spans="1:14" s="2" customFormat="1">
      <c r="A33719" s="83"/>
      <c r="H33719" s="83"/>
      <c r="K33719" s="82"/>
      <c r="M33719" s="112"/>
      <c r="N33719" s="84"/>
    </row>
    <row r="33720" spans="1:14" s="2" customFormat="1">
      <c r="A33720" s="83"/>
      <c r="H33720" s="83"/>
      <c r="K33720" s="82"/>
      <c r="M33720" s="112"/>
      <c r="N33720" s="84"/>
    </row>
    <row r="33721" spans="1:14" s="2" customFormat="1">
      <c r="A33721" s="83"/>
      <c r="H33721" s="83"/>
      <c r="K33721" s="82"/>
      <c r="M33721" s="112"/>
      <c r="N33721" s="84"/>
    </row>
    <row r="33722" spans="1:14" s="2" customFormat="1">
      <c r="A33722" s="83"/>
      <c r="H33722" s="83"/>
      <c r="K33722" s="82"/>
      <c r="M33722" s="112"/>
      <c r="N33722" s="84"/>
    </row>
    <row r="33723" spans="1:14" s="2" customFormat="1">
      <c r="A33723" s="83"/>
      <c r="H33723" s="83"/>
      <c r="K33723" s="82"/>
      <c r="M33723" s="112"/>
      <c r="N33723" s="84"/>
    </row>
    <row r="33724" spans="1:14" s="2" customFormat="1">
      <c r="A33724" s="83"/>
      <c r="H33724" s="83"/>
      <c r="K33724" s="82"/>
      <c r="M33724" s="112"/>
      <c r="N33724" s="84"/>
    </row>
    <row r="33725" spans="1:14" s="2" customFormat="1">
      <c r="A33725" s="83"/>
      <c r="H33725" s="83"/>
      <c r="K33725" s="82"/>
      <c r="M33725" s="112"/>
      <c r="N33725" s="84"/>
    </row>
    <row r="33726" spans="1:14" s="2" customFormat="1">
      <c r="A33726" s="83"/>
      <c r="H33726" s="83"/>
      <c r="K33726" s="82"/>
      <c r="M33726" s="112"/>
      <c r="N33726" s="84"/>
    </row>
    <row r="33727" spans="1:14" s="2" customFormat="1">
      <c r="A33727" s="83"/>
      <c r="H33727" s="83"/>
      <c r="K33727" s="82"/>
      <c r="M33727" s="112"/>
      <c r="N33727" s="84"/>
    </row>
    <row r="33728" spans="1:14" s="2" customFormat="1">
      <c r="A33728" s="83"/>
      <c r="H33728" s="83"/>
      <c r="K33728" s="82"/>
      <c r="M33728" s="112"/>
      <c r="N33728" s="84"/>
    </row>
    <row r="33729" spans="1:14" s="2" customFormat="1">
      <c r="A33729" s="83"/>
      <c r="H33729" s="83"/>
      <c r="K33729" s="82"/>
      <c r="M33729" s="112"/>
      <c r="N33729" s="84"/>
    </row>
    <row r="33730" spans="1:14" s="2" customFormat="1">
      <c r="A33730" s="83"/>
      <c r="H33730" s="83"/>
      <c r="K33730" s="82"/>
      <c r="M33730" s="112"/>
      <c r="N33730" s="84"/>
    </row>
    <row r="33731" spans="1:14" s="2" customFormat="1">
      <c r="A33731" s="83"/>
      <c r="H33731" s="83"/>
      <c r="K33731" s="82"/>
      <c r="M33731" s="112"/>
      <c r="N33731" s="84"/>
    </row>
    <row r="33732" spans="1:14" s="2" customFormat="1">
      <c r="A33732" s="83"/>
      <c r="H33732" s="83"/>
      <c r="K33732" s="82"/>
      <c r="M33732" s="112"/>
      <c r="N33732" s="84"/>
    </row>
    <row r="33733" spans="1:14" s="2" customFormat="1">
      <c r="A33733" s="83"/>
      <c r="H33733" s="83"/>
      <c r="K33733" s="82"/>
      <c r="M33733" s="112"/>
      <c r="N33733" s="84"/>
    </row>
    <row r="33734" spans="1:14" s="2" customFormat="1">
      <c r="A33734" s="83"/>
      <c r="H33734" s="83"/>
      <c r="K33734" s="82"/>
      <c r="M33734" s="112"/>
      <c r="N33734" s="84"/>
    </row>
    <row r="33735" spans="1:14" s="2" customFormat="1">
      <c r="A33735" s="83"/>
      <c r="H33735" s="83"/>
      <c r="K33735" s="82"/>
      <c r="M33735" s="112"/>
      <c r="N33735" s="84"/>
    </row>
    <row r="33736" spans="1:14" s="2" customFormat="1">
      <c r="A33736" s="83"/>
      <c r="H33736" s="83"/>
      <c r="K33736" s="82"/>
      <c r="M33736" s="112"/>
      <c r="N33736" s="84"/>
    </row>
    <row r="33737" spans="1:14" s="2" customFormat="1">
      <c r="A33737" s="83"/>
      <c r="H33737" s="83"/>
      <c r="K33737" s="82"/>
      <c r="M33737" s="112"/>
      <c r="N33737" s="84"/>
    </row>
    <row r="33738" spans="1:14" s="2" customFormat="1">
      <c r="A33738" s="83"/>
      <c r="H33738" s="83"/>
      <c r="K33738" s="82"/>
      <c r="M33738" s="112"/>
      <c r="N33738" s="84"/>
    </row>
    <row r="33739" spans="1:14" s="2" customFormat="1">
      <c r="A33739" s="83"/>
      <c r="H33739" s="83"/>
      <c r="K33739" s="82"/>
      <c r="M33739" s="112"/>
      <c r="N33739" s="84"/>
    </row>
    <row r="33740" spans="1:14" s="2" customFormat="1">
      <c r="A33740" s="83"/>
      <c r="H33740" s="83"/>
      <c r="K33740" s="82"/>
      <c r="M33740" s="112"/>
      <c r="N33740" s="84"/>
    </row>
    <row r="33741" spans="1:14" s="2" customFormat="1">
      <c r="A33741" s="83"/>
      <c r="H33741" s="83"/>
      <c r="K33741" s="82"/>
      <c r="M33741" s="112"/>
      <c r="N33741" s="84"/>
    </row>
    <row r="33742" spans="1:14" s="2" customFormat="1">
      <c r="A33742" s="83"/>
      <c r="H33742" s="83"/>
      <c r="K33742" s="82"/>
      <c r="M33742" s="112"/>
      <c r="N33742" s="84"/>
    </row>
    <row r="33743" spans="1:14" s="2" customFormat="1">
      <c r="A33743" s="83"/>
      <c r="H33743" s="83"/>
      <c r="K33743" s="82"/>
      <c r="M33743" s="112"/>
      <c r="N33743" s="84"/>
    </row>
    <row r="33744" spans="1:14" s="2" customFormat="1">
      <c r="A33744" s="83"/>
      <c r="H33744" s="83"/>
      <c r="K33744" s="82"/>
      <c r="M33744" s="112"/>
      <c r="N33744" s="84"/>
    </row>
    <row r="33745" spans="1:14" s="2" customFormat="1">
      <c r="A33745" s="83"/>
      <c r="H33745" s="83"/>
      <c r="K33745" s="82"/>
      <c r="M33745" s="112"/>
      <c r="N33745" s="84"/>
    </row>
    <row r="33746" spans="1:14" s="2" customFormat="1">
      <c r="A33746" s="83"/>
      <c r="H33746" s="83"/>
      <c r="K33746" s="82"/>
      <c r="M33746" s="112"/>
      <c r="N33746" s="84"/>
    </row>
    <row r="33747" spans="1:14" s="2" customFormat="1">
      <c r="A33747" s="83"/>
      <c r="H33747" s="83"/>
      <c r="K33747" s="82"/>
      <c r="M33747" s="112"/>
      <c r="N33747" s="84"/>
    </row>
    <row r="33748" spans="1:14" s="2" customFormat="1">
      <c r="A33748" s="83"/>
      <c r="H33748" s="83"/>
      <c r="K33748" s="82"/>
      <c r="M33748" s="112"/>
      <c r="N33748" s="84"/>
    </row>
    <row r="33749" spans="1:14" s="2" customFormat="1">
      <c r="A33749" s="83"/>
      <c r="H33749" s="83"/>
      <c r="K33749" s="82"/>
      <c r="M33749" s="112"/>
      <c r="N33749" s="84"/>
    </row>
    <row r="33750" spans="1:14" s="2" customFormat="1">
      <c r="A33750" s="83"/>
      <c r="H33750" s="83"/>
      <c r="K33750" s="82"/>
      <c r="M33750" s="112"/>
      <c r="N33750" s="84"/>
    </row>
    <row r="33751" spans="1:14" s="2" customFormat="1">
      <c r="A33751" s="83"/>
      <c r="H33751" s="83"/>
      <c r="K33751" s="82"/>
      <c r="M33751" s="112"/>
      <c r="N33751" s="84"/>
    </row>
    <row r="33752" spans="1:14" s="2" customFormat="1">
      <c r="A33752" s="83"/>
      <c r="H33752" s="83"/>
      <c r="K33752" s="82"/>
      <c r="M33752" s="112"/>
      <c r="N33752" s="84"/>
    </row>
    <row r="33753" spans="1:14" s="2" customFormat="1">
      <c r="A33753" s="83"/>
      <c r="H33753" s="83"/>
      <c r="K33753" s="82"/>
      <c r="M33753" s="112"/>
      <c r="N33753" s="84"/>
    </row>
    <row r="33754" spans="1:14" s="2" customFormat="1">
      <c r="A33754" s="83"/>
      <c r="H33754" s="83"/>
      <c r="K33754" s="82"/>
      <c r="M33754" s="112"/>
      <c r="N33754" s="84"/>
    </row>
    <row r="33755" spans="1:14" s="2" customFormat="1">
      <c r="A33755" s="83"/>
      <c r="H33755" s="83"/>
      <c r="K33755" s="82"/>
      <c r="M33755" s="112"/>
      <c r="N33755" s="84"/>
    </row>
    <row r="33756" spans="1:14" s="2" customFormat="1">
      <c r="A33756" s="83"/>
      <c r="H33756" s="83"/>
      <c r="K33756" s="82"/>
      <c r="M33756" s="112"/>
      <c r="N33756" s="84"/>
    </row>
    <row r="33757" spans="1:14" s="2" customFormat="1">
      <c r="A33757" s="83"/>
      <c r="H33757" s="83"/>
      <c r="K33757" s="82"/>
      <c r="M33757" s="112"/>
      <c r="N33757" s="84"/>
    </row>
    <row r="33758" spans="1:14" s="2" customFormat="1">
      <c r="A33758" s="83"/>
      <c r="H33758" s="83"/>
      <c r="K33758" s="82"/>
      <c r="M33758" s="112"/>
      <c r="N33758" s="84"/>
    </row>
    <row r="33759" spans="1:14" s="2" customFormat="1">
      <c r="A33759" s="83"/>
      <c r="H33759" s="83"/>
      <c r="K33759" s="82"/>
      <c r="M33759" s="112"/>
      <c r="N33759" s="84"/>
    </row>
    <row r="33760" spans="1:14" s="2" customFormat="1">
      <c r="A33760" s="83"/>
      <c r="H33760" s="83"/>
      <c r="K33760" s="82"/>
      <c r="M33760" s="112"/>
      <c r="N33760" s="84"/>
    </row>
    <row r="33761" spans="1:14" s="2" customFormat="1">
      <c r="A33761" s="83"/>
      <c r="H33761" s="83"/>
      <c r="K33761" s="82"/>
      <c r="M33761" s="112"/>
      <c r="N33761" s="84"/>
    </row>
    <row r="33762" spans="1:14" s="2" customFormat="1">
      <c r="A33762" s="83"/>
      <c r="H33762" s="83"/>
      <c r="K33762" s="82"/>
      <c r="M33762" s="112"/>
      <c r="N33762" s="84"/>
    </row>
    <row r="33763" spans="1:14" s="2" customFormat="1">
      <c r="A33763" s="83"/>
      <c r="H33763" s="83"/>
      <c r="K33763" s="82"/>
      <c r="M33763" s="112"/>
      <c r="N33763" s="84"/>
    </row>
    <row r="33764" spans="1:14" s="2" customFormat="1">
      <c r="A33764" s="83"/>
      <c r="H33764" s="83"/>
      <c r="K33764" s="82"/>
      <c r="M33764" s="112"/>
      <c r="N33764" s="84"/>
    </row>
    <row r="33765" spans="1:14" s="2" customFormat="1">
      <c r="A33765" s="83"/>
      <c r="H33765" s="83"/>
      <c r="K33765" s="82"/>
      <c r="M33765" s="112"/>
      <c r="N33765" s="84"/>
    </row>
    <row r="33766" spans="1:14" s="2" customFormat="1">
      <c r="A33766" s="83"/>
      <c r="H33766" s="83"/>
      <c r="K33766" s="82"/>
      <c r="M33766" s="112"/>
      <c r="N33766" s="84"/>
    </row>
    <row r="33767" spans="1:14" s="2" customFormat="1">
      <c r="A33767" s="83"/>
      <c r="H33767" s="83"/>
      <c r="K33767" s="82"/>
      <c r="M33767" s="112"/>
      <c r="N33767" s="84"/>
    </row>
    <row r="33768" spans="1:14" s="2" customFormat="1">
      <c r="A33768" s="83"/>
      <c r="H33768" s="83"/>
      <c r="K33768" s="82"/>
      <c r="M33768" s="112"/>
      <c r="N33768" s="84"/>
    </row>
    <row r="33769" spans="1:14" s="2" customFormat="1">
      <c r="A33769" s="83"/>
      <c r="H33769" s="83"/>
      <c r="K33769" s="82"/>
      <c r="M33769" s="112"/>
      <c r="N33769" s="84"/>
    </row>
    <row r="33770" spans="1:14" s="2" customFormat="1">
      <c r="A33770" s="83"/>
      <c r="H33770" s="83"/>
      <c r="K33770" s="82"/>
      <c r="M33770" s="112"/>
      <c r="N33770" s="84"/>
    </row>
    <row r="33771" spans="1:14" s="2" customFormat="1">
      <c r="A33771" s="83"/>
      <c r="H33771" s="83"/>
      <c r="K33771" s="82"/>
      <c r="M33771" s="112"/>
      <c r="N33771" s="84"/>
    </row>
    <row r="33772" spans="1:14" s="2" customFormat="1">
      <c r="A33772" s="83"/>
      <c r="H33772" s="83"/>
      <c r="K33772" s="82"/>
      <c r="M33772" s="112"/>
      <c r="N33772" s="84"/>
    </row>
    <row r="33773" spans="1:14" s="2" customFormat="1">
      <c r="A33773" s="83"/>
      <c r="H33773" s="83"/>
      <c r="K33773" s="82"/>
      <c r="M33773" s="112"/>
      <c r="N33773" s="84"/>
    </row>
    <row r="33774" spans="1:14" s="2" customFormat="1">
      <c r="A33774" s="83"/>
      <c r="H33774" s="83"/>
      <c r="K33774" s="82"/>
      <c r="M33774" s="112"/>
      <c r="N33774" s="84"/>
    </row>
    <row r="33775" spans="1:14" s="2" customFormat="1">
      <c r="A33775" s="83"/>
      <c r="H33775" s="83"/>
      <c r="K33775" s="82"/>
      <c r="M33775" s="112"/>
      <c r="N33775" s="84"/>
    </row>
    <row r="33776" spans="1:14" s="2" customFormat="1">
      <c r="A33776" s="83"/>
      <c r="H33776" s="83"/>
      <c r="K33776" s="82"/>
      <c r="M33776" s="112"/>
      <c r="N33776" s="84"/>
    </row>
    <row r="33777" spans="1:14" s="2" customFormat="1">
      <c r="A33777" s="83"/>
      <c r="H33777" s="83"/>
      <c r="K33777" s="82"/>
      <c r="M33777" s="112"/>
      <c r="N33777" s="84"/>
    </row>
    <row r="33778" spans="1:14" s="2" customFormat="1">
      <c r="A33778" s="83"/>
      <c r="H33778" s="83"/>
      <c r="K33778" s="82"/>
      <c r="M33778" s="112"/>
      <c r="N33778" s="84"/>
    </row>
    <row r="33779" spans="1:14" s="2" customFormat="1">
      <c r="A33779" s="83"/>
      <c r="H33779" s="83"/>
      <c r="K33779" s="82"/>
      <c r="M33779" s="112"/>
      <c r="N33779" s="84"/>
    </row>
    <row r="33780" spans="1:14" s="2" customFormat="1">
      <c r="A33780" s="83"/>
      <c r="H33780" s="83"/>
      <c r="K33780" s="82"/>
      <c r="M33780" s="112"/>
      <c r="N33780" s="84"/>
    </row>
    <row r="33781" spans="1:14" s="2" customFormat="1">
      <c r="A33781" s="83"/>
      <c r="H33781" s="83"/>
      <c r="K33781" s="82"/>
      <c r="M33781" s="112"/>
      <c r="N33781" s="84"/>
    </row>
    <row r="33782" spans="1:14" s="2" customFormat="1">
      <c r="A33782" s="83"/>
      <c r="H33782" s="83"/>
      <c r="K33782" s="82"/>
      <c r="M33782" s="112"/>
      <c r="N33782" s="84"/>
    </row>
    <row r="33783" spans="1:14" s="2" customFormat="1">
      <c r="A33783" s="83"/>
      <c r="H33783" s="83"/>
      <c r="K33783" s="82"/>
      <c r="M33783" s="112"/>
      <c r="N33783" s="84"/>
    </row>
    <row r="33784" spans="1:14" s="2" customFormat="1">
      <c r="A33784" s="83"/>
      <c r="H33784" s="83"/>
      <c r="K33784" s="82"/>
      <c r="M33784" s="112"/>
      <c r="N33784" s="84"/>
    </row>
    <row r="33785" spans="1:14" s="2" customFormat="1">
      <c r="A33785" s="83"/>
      <c r="H33785" s="83"/>
      <c r="K33785" s="82"/>
      <c r="M33785" s="112"/>
      <c r="N33785" s="84"/>
    </row>
    <row r="33786" spans="1:14" s="2" customFormat="1">
      <c r="A33786" s="83"/>
      <c r="H33786" s="83"/>
      <c r="K33786" s="82"/>
      <c r="M33786" s="112"/>
      <c r="N33786" s="84"/>
    </row>
    <row r="33787" spans="1:14" s="2" customFormat="1">
      <c r="A33787" s="83"/>
      <c r="H33787" s="83"/>
      <c r="K33787" s="82"/>
      <c r="M33787" s="112"/>
      <c r="N33787" s="84"/>
    </row>
    <row r="33788" spans="1:14" s="2" customFormat="1">
      <c r="A33788" s="83"/>
      <c r="H33788" s="83"/>
      <c r="K33788" s="82"/>
      <c r="M33788" s="112"/>
      <c r="N33788" s="84"/>
    </row>
    <row r="33789" spans="1:14" s="2" customFormat="1">
      <c r="A33789" s="83"/>
      <c r="H33789" s="83"/>
      <c r="K33789" s="82"/>
      <c r="M33789" s="112"/>
      <c r="N33789" s="84"/>
    </row>
    <row r="33790" spans="1:14" s="2" customFormat="1">
      <c r="A33790" s="83"/>
      <c r="H33790" s="83"/>
      <c r="K33790" s="82"/>
      <c r="M33790" s="112"/>
      <c r="N33790" s="84"/>
    </row>
    <row r="33791" spans="1:14" s="2" customFormat="1">
      <c r="A33791" s="83"/>
      <c r="H33791" s="83"/>
      <c r="K33791" s="82"/>
      <c r="M33791" s="112"/>
      <c r="N33791" s="84"/>
    </row>
    <row r="33792" spans="1:14" s="2" customFormat="1">
      <c r="A33792" s="83"/>
      <c r="H33792" s="83"/>
      <c r="K33792" s="82"/>
      <c r="M33792" s="112"/>
      <c r="N33792" s="84"/>
    </row>
    <row r="33793" spans="1:14" s="2" customFormat="1">
      <c r="A33793" s="83"/>
      <c r="H33793" s="83"/>
      <c r="K33793" s="82"/>
      <c r="M33793" s="112"/>
      <c r="N33793" s="84"/>
    </row>
    <row r="33794" spans="1:14" s="2" customFormat="1">
      <c r="A33794" s="83"/>
      <c r="H33794" s="83"/>
      <c r="K33794" s="82"/>
      <c r="M33794" s="112"/>
      <c r="N33794" s="84"/>
    </row>
    <row r="33795" spans="1:14" s="2" customFormat="1">
      <c r="A33795" s="83"/>
      <c r="H33795" s="83"/>
      <c r="K33795" s="82"/>
      <c r="M33795" s="112"/>
      <c r="N33795" s="84"/>
    </row>
    <row r="33796" spans="1:14" s="2" customFormat="1">
      <c r="A33796" s="83"/>
      <c r="H33796" s="83"/>
      <c r="K33796" s="82"/>
      <c r="M33796" s="112"/>
      <c r="N33796" s="84"/>
    </row>
    <row r="33797" spans="1:14" s="2" customFormat="1">
      <c r="A33797" s="83"/>
      <c r="H33797" s="83"/>
      <c r="K33797" s="82"/>
      <c r="M33797" s="112"/>
      <c r="N33797" s="84"/>
    </row>
    <row r="33798" spans="1:14" s="2" customFormat="1">
      <c r="A33798" s="83"/>
      <c r="H33798" s="83"/>
      <c r="K33798" s="82"/>
      <c r="M33798" s="112"/>
      <c r="N33798" s="84"/>
    </row>
    <row r="33799" spans="1:14" s="2" customFormat="1">
      <c r="A33799" s="83"/>
      <c r="H33799" s="83"/>
      <c r="K33799" s="82"/>
      <c r="M33799" s="112"/>
      <c r="N33799" s="84"/>
    </row>
    <row r="33800" spans="1:14" s="2" customFormat="1">
      <c r="A33800" s="83"/>
      <c r="H33800" s="83"/>
      <c r="K33800" s="82"/>
      <c r="M33800" s="112"/>
      <c r="N33800" s="84"/>
    </row>
    <row r="33801" spans="1:14" s="2" customFormat="1">
      <c r="A33801" s="83"/>
      <c r="H33801" s="83"/>
      <c r="K33801" s="82"/>
      <c r="M33801" s="112"/>
      <c r="N33801" s="84"/>
    </row>
    <row r="33802" spans="1:14" s="2" customFormat="1">
      <c r="A33802" s="83"/>
      <c r="H33802" s="83"/>
      <c r="K33802" s="82"/>
      <c r="M33802" s="112"/>
      <c r="N33802" s="84"/>
    </row>
    <row r="33803" spans="1:14" s="2" customFormat="1">
      <c r="A33803" s="83"/>
      <c r="H33803" s="83"/>
      <c r="K33803" s="82"/>
      <c r="M33803" s="112"/>
      <c r="N33803" s="84"/>
    </row>
    <row r="33804" spans="1:14" s="2" customFormat="1">
      <c r="A33804" s="83"/>
      <c r="H33804" s="83"/>
      <c r="K33804" s="82"/>
      <c r="M33804" s="112"/>
      <c r="N33804" s="84"/>
    </row>
    <row r="33805" spans="1:14" s="2" customFormat="1">
      <c r="A33805" s="83"/>
      <c r="H33805" s="83"/>
      <c r="K33805" s="82"/>
      <c r="M33805" s="112"/>
      <c r="N33805" s="84"/>
    </row>
    <row r="33806" spans="1:14" s="2" customFormat="1">
      <c r="A33806" s="83"/>
      <c r="H33806" s="83"/>
      <c r="K33806" s="82"/>
      <c r="M33806" s="112"/>
      <c r="N33806" s="84"/>
    </row>
    <row r="33807" spans="1:14" s="2" customFormat="1">
      <c r="A33807" s="83"/>
      <c r="H33807" s="83"/>
      <c r="K33807" s="82"/>
      <c r="M33807" s="112"/>
      <c r="N33807" s="84"/>
    </row>
    <row r="33808" spans="1:14" s="2" customFormat="1">
      <c r="A33808" s="83"/>
      <c r="H33808" s="83"/>
      <c r="K33808" s="82"/>
      <c r="M33808" s="112"/>
      <c r="N33808" s="84"/>
    </row>
    <row r="33809" spans="1:14" s="2" customFormat="1">
      <c r="A33809" s="83"/>
      <c r="H33809" s="83"/>
      <c r="K33809" s="82"/>
      <c r="M33809" s="112"/>
      <c r="N33809" s="84"/>
    </row>
    <row r="33810" spans="1:14" s="2" customFormat="1">
      <c r="A33810" s="83"/>
      <c r="H33810" s="83"/>
      <c r="K33810" s="82"/>
      <c r="M33810" s="112"/>
      <c r="N33810" s="84"/>
    </row>
    <row r="33811" spans="1:14" s="2" customFormat="1">
      <c r="A33811" s="83"/>
      <c r="H33811" s="83"/>
      <c r="K33811" s="82"/>
      <c r="M33811" s="112"/>
      <c r="N33811" s="84"/>
    </row>
    <row r="33812" spans="1:14" s="2" customFormat="1">
      <c r="A33812" s="83"/>
      <c r="H33812" s="83"/>
      <c r="K33812" s="82"/>
      <c r="M33812" s="112"/>
      <c r="N33812" s="84"/>
    </row>
    <row r="33813" spans="1:14" s="2" customFormat="1">
      <c r="A33813" s="83"/>
      <c r="H33813" s="83"/>
      <c r="K33813" s="82"/>
      <c r="M33813" s="112"/>
      <c r="N33813" s="84"/>
    </row>
    <row r="33814" spans="1:14" s="2" customFormat="1">
      <c r="A33814" s="83"/>
      <c r="H33814" s="83"/>
      <c r="K33814" s="82"/>
      <c r="M33814" s="112"/>
      <c r="N33814" s="84"/>
    </row>
    <row r="33815" spans="1:14" s="2" customFormat="1">
      <c r="A33815" s="83"/>
      <c r="H33815" s="83"/>
      <c r="K33815" s="82"/>
      <c r="M33815" s="112"/>
      <c r="N33815" s="84"/>
    </row>
    <row r="33816" spans="1:14" s="2" customFormat="1">
      <c r="A33816" s="83"/>
      <c r="H33816" s="83"/>
      <c r="K33816" s="82"/>
      <c r="M33816" s="112"/>
      <c r="N33816" s="84"/>
    </row>
    <row r="33817" spans="1:14" s="2" customFormat="1">
      <c r="A33817" s="83"/>
      <c r="H33817" s="83"/>
      <c r="K33817" s="82"/>
      <c r="M33817" s="112"/>
      <c r="N33817" s="84"/>
    </row>
    <row r="33818" spans="1:14" s="2" customFormat="1">
      <c r="A33818" s="83"/>
      <c r="H33818" s="83"/>
      <c r="K33818" s="82"/>
      <c r="M33818" s="112"/>
      <c r="N33818" s="84"/>
    </row>
    <row r="33819" spans="1:14" s="2" customFormat="1">
      <c r="A33819" s="83"/>
      <c r="H33819" s="83"/>
      <c r="K33819" s="82"/>
      <c r="M33819" s="112"/>
      <c r="N33819" s="84"/>
    </row>
    <row r="33820" spans="1:14" s="2" customFormat="1">
      <c r="A33820" s="83"/>
      <c r="H33820" s="83"/>
      <c r="K33820" s="82"/>
      <c r="M33820" s="112"/>
      <c r="N33820" s="84"/>
    </row>
    <row r="33821" spans="1:14" s="2" customFormat="1">
      <c r="A33821" s="83"/>
      <c r="H33821" s="83"/>
      <c r="K33821" s="82"/>
      <c r="M33821" s="112"/>
      <c r="N33821" s="84"/>
    </row>
    <row r="33822" spans="1:14" s="2" customFormat="1">
      <c r="A33822" s="83"/>
      <c r="H33822" s="83"/>
      <c r="K33822" s="82"/>
      <c r="M33822" s="112"/>
      <c r="N33822" s="84"/>
    </row>
    <row r="33823" spans="1:14" s="2" customFormat="1">
      <c r="A33823" s="83"/>
      <c r="H33823" s="83"/>
      <c r="K33823" s="82"/>
      <c r="M33823" s="112"/>
      <c r="N33823" s="84"/>
    </row>
    <row r="33824" spans="1:14" s="2" customFormat="1">
      <c r="A33824" s="83"/>
      <c r="H33824" s="83"/>
      <c r="K33824" s="82"/>
      <c r="M33824" s="112"/>
      <c r="N33824" s="84"/>
    </row>
    <row r="33825" spans="1:14" s="2" customFormat="1">
      <c r="A33825" s="83"/>
      <c r="H33825" s="83"/>
      <c r="K33825" s="82"/>
      <c r="M33825" s="112"/>
      <c r="N33825" s="84"/>
    </row>
    <row r="33826" spans="1:14" s="2" customFormat="1">
      <c r="A33826" s="83"/>
      <c r="H33826" s="83"/>
      <c r="K33826" s="82"/>
      <c r="M33826" s="112"/>
      <c r="N33826" s="84"/>
    </row>
    <row r="33827" spans="1:14" s="2" customFormat="1">
      <c r="A33827" s="83"/>
      <c r="H33827" s="83"/>
      <c r="K33827" s="82"/>
      <c r="M33827" s="112"/>
      <c r="N33827" s="84"/>
    </row>
    <row r="33828" spans="1:14" s="2" customFormat="1">
      <c r="A33828" s="83"/>
      <c r="H33828" s="83"/>
      <c r="K33828" s="82"/>
      <c r="M33828" s="112"/>
      <c r="N33828" s="84"/>
    </row>
    <row r="33829" spans="1:14" s="2" customFormat="1">
      <c r="A33829" s="83"/>
      <c r="H33829" s="83"/>
      <c r="K33829" s="82"/>
      <c r="M33829" s="112"/>
      <c r="N33829" s="84"/>
    </row>
    <row r="33830" spans="1:14" s="2" customFormat="1">
      <c r="A33830" s="83"/>
      <c r="H33830" s="83"/>
      <c r="K33830" s="82"/>
      <c r="M33830" s="112"/>
      <c r="N33830" s="84"/>
    </row>
    <row r="33831" spans="1:14" s="2" customFormat="1">
      <c r="A33831" s="83"/>
      <c r="H33831" s="83"/>
      <c r="K33831" s="82"/>
      <c r="M33831" s="112"/>
      <c r="N33831" s="84"/>
    </row>
    <row r="33832" spans="1:14" s="2" customFormat="1">
      <c r="A33832" s="83"/>
      <c r="H33832" s="83"/>
      <c r="K33832" s="82"/>
      <c r="M33832" s="112"/>
      <c r="N33832" s="84"/>
    </row>
    <row r="33833" spans="1:14" s="2" customFormat="1">
      <c r="A33833" s="83"/>
      <c r="H33833" s="83"/>
      <c r="K33833" s="82"/>
      <c r="M33833" s="112"/>
      <c r="N33833" s="84"/>
    </row>
    <row r="33834" spans="1:14" s="2" customFormat="1">
      <c r="A33834" s="83"/>
      <c r="H33834" s="83"/>
      <c r="K33834" s="82"/>
      <c r="M33834" s="112"/>
      <c r="N33834" s="84"/>
    </row>
    <row r="33835" spans="1:14" s="2" customFormat="1">
      <c r="A33835" s="83"/>
      <c r="H33835" s="83"/>
      <c r="K33835" s="82"/>
      <c r="M33835" s="112"/>
      <c r="N33835" s="84"/>
    </row>
    <row r="33836" spans="1:14" s="2" customFormat="1">
      <c r="A33836" s="83"/>
      <c r="H33836" s="83"/>
      <c r="K33836" s="82"/>
      <c r="M33836" s="112"/>
      <c r="N33836" s="84"/>
    </row>
    <row r="33837" spans="1:14" s="2" customFormat="1">
      <c r="A33837" s="83"/>
      <c r="H33837" s="83"/>
      <c r="K33837" s="82"/>
      <c r="M33837" s="112"/>
      <c r="N33837" s="84"/>
    </row>
    <row r="33838" spans="1:14" s="2" customFormat="1">
      <c r="A33838" s="83"/>
      <c r="H33838" s="83"/>
      <c r="K33838" s="82"/>
      <c r="M33838" s="112"/>
      <c r="N33838" s="84"/>
    </row>
    <row r="33839" spans="1:14" s="2" customFormat="1">
      <c r="A33839" s="83"/>
      <c r="H33839" s="83"/>
      <c r="K33839" s="82"/>
      <c r="M33839" s="112"/>
      <c r="N33839" s="84"/>
    </row>
    <row r="33840" spans="1:14" s="2" customFormat="1">
      <c r="A33840" s="83"/>
      <c r="H33840" s="83"/>
      <c r="K33840" s="82"/>
      <c r="M33840" s="112"/>
      <c r="N33840" s="84"/>
    </row>
    <row r="33841" spans="1:14" s="2" customFormat="1">
      <c r="A33841" s="83"/>
      <c r="H33841" s="83"/>
      <c r="K33841" s="82"/>
      <c r="M33841" s="112"/>
      <c r="N33841" s="84"/>
    </row>
    <row r="33842" spans="1:14" s="2" customFormat="1">
      <c r="A33842" s="83"/>
      <c r="H33842" s="83"/>
      <c r="K33842" s="82"/>
      <c r="M33842" s="112"/>
      <c r="N33842" s="84"/>
    </row>
    <row r="33843" spans="1:14" s="2" customFormat="1">
      <c r="A33843" s="83"/>
      <c r="H33843" s="83"/>
      <c r="K33843" s="82"/>
      <c r="M33843" s="112"/>
      <c r="N33843" s="84"/>
    </row>
    <row r="33844" spans="1:14" s="2" customFormat="1">
      <c r="A33844" s="83"/>
      <c r="H33844" s="83"/>
      <c r="K33844" s="82"/>
      <c r="M33844" s="112"/>
      <c r="N33844" s="84"/>
    </row>
    <row r="33845" spans="1:14" s="2" customFormat="1">
      <c r="A33845" s="83"/>
      <c r="H33845" s="83"/>
      <c r="K33845" s="82"/>
      <c r="M33845" s="112"/>
      <c r="N33845" s="84"/>
    </row>
    <row r="33846" spans="1:14" s="2" customFormat="1">
      <c r="A33846" s="83"/>
      <c r="H33846" s="83"/>
      <c r="K33846" s="82"/>
      <c r="M33846" s="112"/>
      <c r="N33846" s="84"/>
    </row>
    <row r="33847" spans="1:14" s="2" customFormat="1">
      <c r="A33847" s="83"/>
      <c r="H33847" s="83"/>
      <c r="K33847" s="82"/>
      <c r="M33847" s="112"/>
      <c r="N33847" s="84"/>
    </row>
    <row r="33848" spans="1:14" s="2" customFormat="1">
      <c r="A33848" s="83"/>
      <c r="H33848" s="83"/>
      <c r="K33848" s="82"/>
      <c r="M33848" s="112"/>
      <c r="N33848" s="84"/>
    </row>
    <row r="33849" spans="1:14" s="2" customFormat="1">
      <c r="A33849" s="83"/>
      <c r="H33849" s="83"/>
      <c r="K33849" s="82"/>
      <c r="M33849" s="112"/>
      <c r="N33849" s="84"/>
    </row>
    <row r="33850" spans="1:14" s="2" customFormat="1">
      <c r="A33850" s="83"/>
      <c r="H33850" s="83"/>
      <c r="K33850" s="82"/>
      <c r="M33850" s="112"/>
      <c r="N33850" s="84"/>
    </row>
    <row r="33851" spans="1:14" s="2" customFormat="1">
      <c r="A33851" s="83"/>
      <c r="H33851" s="83"/>
      <c r="K33851" s="82"/>
      <c r="M33851" s="112"/>
      <c r="N33851" s="84"/>
    </row>
    <row r="33852" spans="1:14" s="2" customFormat="1">
      <c r="A33852" s="83"/>
      <c r="H33852" s="83"/>
      <c r="K33852" s="82"/>
      <c r="M33852" s="112"/>
      <c r="N33852" s="84"/>
    </row>
    <row r="33853" spans="1:14" s="2" customFormat="1">
      <c r="A33853" s="83"/>
      <c r="H33853" s="83"/>
      <c r="K33853" s="82"/>
      <c r="M33853" s="112"/>
      <c r="N33853" s="84"/>
    </row>
    <row r="33854" spans="1:14" s="2" customFormat="1">
      <c r="A33854" s="83"/>
      <c r="H33854" s="83"/>
      <c r="K33854" s="82"/>
      <c r="M33854" s="112"/>
      <c r="N33854" s="84"/>
    </row>
    <row r="33855" spans="1:14" s="2" customFormat="1">
      <c r="A33855" s="83"/>
      <c r="H33855" s="83"/>
      <c r="K33855" s="82"/>
      <c r="M33855" s="112"/>
      <c r="N33855" s="84"/>
    </row>
    <row r="33856" spans="1:14" s="2" customFormat="1">
      <c r="A33856" s="83"/>
      <c r="H33856" s="83"/>
      <c r="K33856" s="82"/>
      <c r="M33856" s="112"/>
      <c r="N33856" s="84"/>
    </row>
    <row r="33857" spans="1:14" s="2" customFormat="1">
      <c r="A33857" s="83"/>
      <c r="H33857" s="83"/>
      <c r="K33857" s="82"/>
      <c r="M33857" s="112"/>
      <c r="N33857" s="84"/>
    </row>
    <row r="33858" spans="1:14" s="2" customFormat="1">
      <c r="A33858" s="83"/>
      <c r="H33858" s="83"/>
      <c r="K33858" s="82"/>
      <c r="M33858" s="112"/>
      <c r="N33858" s="84"/>
    </row>
    <row r="33859" spans="1:14" s="2" customFormat="1">
      <c r="A33859" s="83"/>
      <c r="H33859" s="83"/>
      <c r="K33859" s="82"/>
      <c r="M33859" s="112"/>
      <c r="N33859" s="84"/>
    </row>
    <row r="33860" spans="1:14" s="2" customFormat="1">
      <c r="A33860" s="83"/>
      <c r="H33860" s="83"/>
      <c r="K33860" s="82"/>
      <c r="M33860" s="112"/>
      <c r="N33860" s="84"/>
    </row>
    <row r="33861" spans="1:14" s="2" customFormat="1">
      <c r="A33861" s="83"/>
      <c r="H33861" s="83"/>
      <c r="K33861" s="82"/>
      <c r="M33861" s="112"/>
      <c r="N33861" s="84"/>
    </row>
    <row r="33862" spans="1:14" s="2" customFormat="1">
      <c r="A33862" s="83"/>
      <c r="H33862" s="83"/>
      <c r="K33862" s="82"/>
      <c r="M33862" s="112"/>
      <c r="N33862" s="84"/>
    </row>
    <row r="33863" spans="1:14" s="2" customFormat="1">
      <c r="A33863" s="83"/>
      <c r="H33863" s="83"/>
      <c r="K33863" s="82"/>
      <c r="M33863" s="112"/>
      <c r="N33863" s="84"/>
    </row>
    <row r="33864" spans="1:14" s="2" customFormat="1">
      <c r="A33864" s="83"/>
      <c r="H33864" s="83"/>
      <c r="K33864" s="82"/>
      <c r="M33864" s="112"/>
      <c r="N33864" s="84"/>
    </row>
    <row r="33865" spans="1:14" s="2" customFormat="1">
      <c r="A33865" s="83"/>
      <c r="H33865" s="83"/>
      <c r="K33865" s="82"/>
      <c r="M33865" s="112"/>
      <c r="N33865" s="84"/>
    </row>
    <row r="33866" spans="1:14" s="2" customFormat="1">
      <c r="A33866" s="83"/>
      <c r="H33866" s="83"/>
      <c r="K33866" s="82"/>
      <c r="M33866" s="112"/>
      <c r="N33866" s="84"/>
    </row>
    <row r="33867" spans="1:14" s="2" customFormat="1">
      <c r="A33867" s="83"/>
      <c r="H33867" s="83"/>
      <c r="K33867" s="82"/>
      <c r="M33867" s="112"/>
      <c r="N33867" s="84"/>
    </row>
    <row r="33868" spans="1:14" s="2" customFormat="1">
      <c r="A33868" s="83"/>
      <c r="H33868" s="83"/>
      <c r="K33868" s="82"/>
      <c r="M33868" s="112"/>
      <c r="N33868" s="84"/>
    </row>
    <row r="33869" spans="1:14" s="2" customFormat="1">
      <c r="A33869" s="83"/>
      <c r="H33869" s="83"/>
      <c r="K33869" s="82"/>
      <c r="M33869" s="112"/>
      <c r="N33869" s="84"/>
    </row>
    <row r="33870" spans="1:14" s="2" customFormat="1">
      <c r="A33870" s="83"/>
      <c r="H33870" s="83"/>
      <c r="K33870" s="82"/>
      <c r="M33870" s="112"/>
      <c r="N33870" s="84"/>
    </row>
    <row r="33871" spans="1:14" s="2" customFormat="1">
      <c r="A33871" s="83"/>
      <c r="H33871" s="83"/>
      <c r="K33871" s="82"/>
      <c r="M33871" s="112"/>
      <c r="N33871" s="84"/>
    </row>
    <row r="33872" spans="1:14" s="2" customFormat="1">
      <c r="A33872" s="83"/>
      <c r="H33872" s="83"/>
      <c r="K33872" s="82"/>
      <c r="M33872" s="112"/>
      <c r="N33872" s="84"/>
    </row>
    <row r="33873" spans="1:14" s="2" customFormat="1">
      <c r="A33873" s="83"/>
      <c r="H33873" s="83"/>
      <c r="K33873" s="82"/>
      <c r="M33873" s="112"/>
      <c r="N33873" s="84"/>
    </row>
    <row r="33874" spans="1:14" s="2" customFormat="1">
      <c r="A33874" s="83"/>
      <c r="H33874" s="83"/>
      <c r="K33874" s="82"/>
      <c r="M33874" s="112"/>
      <c r="N33874" s="84"/>
    </row>
    <row r="33875" spans="1:14" s="2" customFormat="1">
      <c r="A33875" s="83"/>
      <c r="H33875" s="83"/>
      <c r="K33875" s="82"/>
      <c r="M33875" s="112"/>
      <c r="N33875" s="84"/>
    </row>
    <row r="33876" spans="1:14" s="2" customFormat="1">
      <c r="A33876" s="83"/>
      <c r="H33876" s="83"/>
      <c r="K33876" s="82"/>
      <c r="M33876" s="112"/>
      <c r="N33876" s="84"/>
    </row>
    <row r="33877" spans="1:14" s="2" customFormat="1">
      <c r="A33877" s="83"/>
      <c r="H33877" s="83"/>
      <c r="K33877" s="82"/>
      <c r="M33877" s="112"/>
      <c r="N33877" s="84"/>
    </row>
    <row r="33878" spans="1:14" s="2" customFormat="1">
      <c r="A33878" s="83"/>
      <c r="H33878" s="83"/>
      <c r="K33878" s="82"/>
      <c r="M33878" s="112"/>
      <c r="N33878" s="84"/>
    </row>
    <row r="33879" spans="1:14" s="2" customFormat="1">
      <c r="A33879" s="83"/>
      <c r="H33879" s="83"/>
      <c r="K33879" s="82"/>
      <c r="M33879" s="112"/>
      <c r="N33879" s="84"/>
    </row>
    <row r="33880" spans="1:14" s="2" customFormat="1">
      <c r="A33880" s="83"/>
      <c r="H33880" s="83"/>
      <c r="K33880" s="82"/>
      <c r="M33880" s="112"/>
      <c r="N33880" s="84"/>
    </row>
    <row r="33881" spans="1:14" s="2" customFormat="1">
      <c r="A33881" s="83"/>
      <c r="H33881" s="83"/>
      <c r="K33881" s="82"/>
      <c r="M33881" s="112"/>
      <c r="N33881" s="84"/>
    </row>
    <row r="33882" spans="1:14" s="2" customFormat="1">
      <c r="A33882" s="83"/>
      <c r="H33882" s="83"/>
      <c r="K33882" s="82"/>
      <c r="M33882" s="112"/>
      <c r="N33882" s="84"/>
    </row>
    <row r="33883" spans="1:14" s="2" customFormat="1">
      <c r="A33883" s="83"/>
      <c r="H33883" s="83"/>
      <c r="K33883" s="82"/>
      <c r="M33883" s="112"/>
      <c r="N33883" s="84"/>
    </row>
    <row r="33884" spans="1:14" s="2" customFormat="1">
      <c r="A33884" s="83"/>
      <c r="H33884" s="83"/>
      <c r="K33884" s="82"/>
      <c r="M33884" s="112"/>
      <c r="N33884" s="84"/>
    </row>
    <row r="33885" spans="1:14" s="2" customFormat="1">
      <c r="A33885" s="83"/>
      <c r="H33885" s="83"/>
      <c r="K33885" s="82"/>
      <c r="M33885" s="112"/>
      <c r="N33885" s="84"/>
    </row>
    <row r="33886" spans="1:14" s="2" customFormat="1">
      <c r="A33886" s="83"/>
      <c r="H33886" s="83"/>
      <c r="K33886" s="82"/>
      <c r="M33886" s="112"/>
      <c r="N33886" s="84"/>
    </row>
    <row r="33887" spans="1:14" s="2" customFormat="1">
      <c r="A33887" s="83"/>
      <c r="H33887" s="83"/>
      <c r="K33887" s="82"/>
      <c r="M33887" s="112"/>
      <c r="N33887" s="84"/>
    </row>
    <row r="33888" spans="1:14" s="2" customFormat="1">
      <c r="A33888" s="83"/>
      <c r="H33888" s="83"/>
      <c r="K33888" s="82"/>
      <c r="M33888" s="112"/>
      <c r="N33888" s="84"/>
    </row>
    <row r="33889" spans="1:14" s="2" customFormat="1">
      <c r="A33889" s="83"/>
      <c r="H33889" s="83"/>
      <c r="K33889" s="82"/>
      <c r="M33889" s="112"/>
      <c r="N33889" s="84"/>
    </row>
    <row r="33890" spans="1:14" s="2" customFormat="1">
      <c r="A33890" s="83"/>
      <c r="H33890" s="83"/>
      <c r="K33890" s="82"/>
      <c r="M33890" s="112"/>
      <c r="N33890" s="84"/>
    </row>
    <row r="33891" spans="1:14" s="2" customFormat="1">
      <c r="A33891" s="83"/>
      <c r="H33891" s="83"/>
      <c r="K33891" s="82"/>
      <c r="M33891" s="112"/>
      <c r="N33891" s="84"/>
    </row>
    <row r="33892" spans="1:14" s="2" customFormat="1">
      <c r="A33892" s="83"/>
      <c r="H33892" s="83"/>
      <c r="K33892" s="82"/>
      <c r="M33892" s="112"/>
      <c r="N33892" s="84"/>
    </row>
    <row r="33893" spans="1:14" s="2" customFormat="1">
      <c r="A33893" s="83"/>
      <c r="H33893" s="83"/>
      <c r="K33893" s="82"/>
      <c r="M33893" s="112"/>
      <c r="N33893" s="84"/>
    </row>
    <row r="33894" spans="1:14" s="2" customFormat="1">
      <c r="A33894" s="83"/>
      <c r="H33894" s="83"/>
      <c r="K33894" s="82"/>
      <c r="M33894" s="112"/>
      <c r="N33894" s="84"/>
    </row>
    <row r="33895" spans="1:14" s="2" customFormat="1">
      <c r="A33895" s="83"/>
      <c r="H33895" s="83"/>
      <c r="K33895" s="82"/>
      <c r="M33895" s="112"/>
      <c r="N33895" s="84"/>
    </row>
    <row r="33896" spans="1:14" s="2" customFormat="1">
      <c r="A33896" s="83"/>
      <c r="H33896" s="83"/>
      <c r="K33896" s="82"/>
      <c r="M33896" s="112"/>
      <c r="N33896" s="84"/>
    </row>
    <row r="33897" spans="1:14" s="2" customFormat="1">
      <c r="A33897" s="83"/>
      <c r="H33897" s="83"/>
      <c r="K33897" s="82"/>
      <c r="M33897" s="112"/>
      <c r="N33897" s="84"/>
    </row>
    <row r="33898" spans="1:14" s="2" customFormat="1">
      <c r="A33898" s="83"/>
      <c r="H33898" s="83"/>
      <c r="K33898" s="82"/>
      <c r="M33898" s="112"/>
      <c r="N33898" s="84"/>
    </row>
    <row r="33899" spans="1:14" s="2" customFormat="1">
      <c r="A33899" s="83"/>
      <c r="H33899" s="83"/>
      <c r="K33899" s="82"/>
      <c r="M33899" s="112"/>
      <c r="N33899" s="84"/>
    </row>
    <row r="33900" spans="1:14" s="2" customFormat="1">
      <c r="A33900" s="83"/>
      <c r="H33900" s="83"/>
      <c r="K33900" s="82"/>
      <c r="M33900" s="112"/>
      <c r="N33900" s="84"/>
    </row>
    <row r="33901" spans="1:14" s="2" customFormat="1">
      <c r="A33901" s="83"/>
      <c r="H33901" s="83"/>
      <c r="K33901" s="82"/>
      <c r="M33901" s="112"/>
      <c r="N33901" s="84"/>
    </row>
    <row r="33902" spans="1:14" s="2" customFormat="1">
      <c r="A33902" s="83"/>
      <c r="H33902" s="83"/>
      <c r="K33902" s="82"/>
      <c r="M33902" s="112"/>
      <c r="N33902" s="84"/>
    </row>
    <row r="33903" spans="1:14" s="2" customFormat="1">
      <c r="A33903" s="83"/>
      <c r="H33903" s="83"/>
      <c r="K33903" s="82"/>
      <c r="M33903" s="112"/>
      <c r="N33903" s="84"/>
    </row>
    <row r="33904" spans="1:14" s="2" customFormat="1">
      <c r="A33904" s="83"/>
      <c r="H33904" s="83"/>
      <c r="K33904" s="82"/>
      <c r="M33904" s="112"/>
      <c r="N33904" s="84"/>
    </row>
    <row r="33905" spans="1:14" s="2" customFormat="1">
      <c r="A33905" s="83"/>
      <c r="H33905" s="83"/>
      <c r="K33905" s="82"/>
      <c r="M33905" s="112"/>
      <c r="N33905" s="84"/>
    </row>
    <row r="33906" spans="1:14" s="2" customFormat="1">
      <c r="A33906" s="83"/>
      <c r="H33906" s="83"/>
      <c r="K33906" s="82"/>
      <c r="M33906" s="112"/>
      <c r="N33906" s="84"/>
    </row>
    <row r="33907" spans="1:14" s="2" customFormat="1">
      <c r="A33907" s="83"/>
      <c r="H33907" s="83"/>
      <c r="K33907" s="82"/>
      <c r="M33907" s="112"/>
      <c r="N33907" s="84"/>
    </row>
    <row r="33908" spans="1:14" s="2" customFormat="1">
      <c r="A33908" s="83"/>
      <c r="H33908" s="83"/>
      <c r="K33908" s="82"/>
      <c r="M33908" s="112"/>
      <c r="N33908" s="84"/>
    </row>
    <row r="33909" spans="1:14" s="2" customFormat="1">
      <c r="A33909" s="83"/>
      <c r="H33909" s="83"/>
      <c r="K33909" s="82"/>
      <c r="M33909" s="112"/>
      <c r="N33909" s="84"/>
    </row>
    <row r="33910" spans="1:14" s="2" customFormat="1">
      <c r="A33910" s="83"/>
      <c r="H33910" s="83"/>
      <c r="K33910" s="82"/>
      <c r="M33910" s="112"/>
      <c r="N33910" s="84"/>
    </row>
    <row r="33911" spans="1:14" s="2" customFormat="1">
      <c r="A33911" s="83"/>
      <c r="H33911" s="83"/>
      <c r="K33911" s="82"/>
      <c r="M33911" s="112"/>
      <c r="N33911" s="84"/>
    </row>
    <row r="33912" spans="1:14" s="2" customFormat="1">
      <c r="A33912" s="83"/>
      <c r="H33912" s="83"/>
      <c r="K33912" s="82"/>
      <c r="M33912" s="112"/>
      <c r="N33912" s="84"/>
    </row>
    <row r="33913" spans="1:14" s="2" customFormat="1">
      <c r="A33913" s="83"/>
      <c r="H33913" s="83"/>
      <c r="K33913" s="82"/>
      <c r="M33913" s="112"/>
      <c r="N33913" s="84"/>
    </row>
    <row r="33914" spans="1:14" s="2" customFormat="1">
      <c r="A33914" s="83"/>
      <c r="H33914" s="83"/>
      <c r="K33914" s="82"/>
      <c r="M33914" s="112"/>
      <c r="N33914" s="84"/>
    </row>
    <row r="33915" spans="1:14" s="2" customFormat="1">
      <c r="A33915" s="83"/>
      <c r="H33915" s="83"/>
      <c r="K33915" s="82"/>
      <c r="M33915" s="112"/>
      <c r="N33915" s="84"/>
    </row>
    <row r="33916" spans="1:14" s="2" customFormat="1">
      <c r="A33916" s="83"/>
      <c r="H33916" s="83"/>
      <c r="K33916" s="82"/>
      <c r="M33916" s="112"/>
      <c r="N33916" s="84"/>
    </row>
    <row r="33917" spans="1:14" s="2" customFormat="1">
      <c r="A33917" s="83"/>
      <c r="H33917" s="83"/>
      <c r="K33917" s="82"/>
      <c r="M33917" s="112"/>
      <c r="N33917" s="84"/>
    </row>
    <row r="33918" spans="1:14" s="2" customFormat="1">
      <c r="A33918" s="83"/>
      <c r="H33918" s="83"/>
      <c r="K33918" s="82"/>
      <c r="M33918" s="112"/>
      <c r="N33918" s="84"/>
    </row>
    <row r="33919" spans="1:14" s="2" customFormat="1">
      <c r="A33919" s="83"/>
      <c r="H33919" s="83"/>
      <c r="K33919" s="82"/>
      <c r="M33919" s="112"/>
      <c r="N33919" s="84"/>
    </row>
    <row r="33920" spans="1:14" s="2" customFormat="1">
      <c r="A33920" s="83"/>
      <c r="H33920" s="83"/>
      <c r="K33920" s="82"/>
      <c r="M33920" s="112"/>
      <c r="N33920" s="84"/>
    </row>
    <row r="33921" spans="1:14" s="2" customFormat="1">
      <c r="A33921" s="83"/>
      <c r="H33921" s="83"/>
      <c r="K33921" s="82"/>
      <c r="M33921" s="112"/>
      <c r="N33921" s="84"/>
    </row>
    <row r="33922" spans="1:14" s="2" customFormat="1">
      <c r="A33922" s="83"/>
      <c r="H33922" s="83"/>
      <c r="K33922" s="82"/>
      <c r="M33922" s="112"/>
      <c r="N33922" s="84"/>
    </row>
    <row r="33923" spans="1:14" s="2" customFormat="1">
      <c r="A33923" s="83"/>
      <c r="H33923" s="83"/>
      <c r="K33923" s="82"/>
      <c r="M33923" s="112"/>
      <c r="N33923" s="84"/>
    </row>
    <row r="33924" spans="1:14" s="2" customFormat="1">
      <c r="A33924" s="83"/>
      <c r="H33924" s="83"/>
      <c r="K33924" s="82"/>
      <c r="M33924" s="112"/>
      <c r="N33924" s="84"/>
    </row>
    <row r="33925" spans="1:14" s="2" customFormat="1">
      <c r="A33925" s="83"/>
      <c r="H33925" s="83"/>
      <c r="K33925" s="82"/>
      <c r="M33925" s="112"/>
      <c r="N33925" s="84"/>
    </row>
    <row r="33926" spans="1:14" s="2" customFormat="1">
      <c r="A33926" s="83"/>
      <c r="H33926" s="83"/>
      <c r="K33926" s="82"/>
      <c r="M33926" s="112"/>
      <c r="N33926" s="84"/>
    </row>
    <row r="33927" spans="1:14" s="2" customFormat="1">
      <c r="A33927" s="83"/>
      <c r="H33927" s="83"/>
      <c r="K33927" s="82"/>
      <c r="M33927" s="112"/>
      <c r="N33927" s="84"/>
    </row>
    <row r="33928" spans="1:14" s="2" customFormat="1">
      <c r="A33928" s="83"/>
      <c r="H33928" s="83"/>
      <c r="K33928" s="82"/>
      <c r="M33928" s="112"/>
      <c r="N33928" s="84"/>
    </row>
    <row r="33929" spans="1:14" s="2" customFormat="1">
      <c r="A33929" s="83"/>
      <c r="H33929" s="83"/>
      <c r="K33929" s="82"/>
      <c r="M33929" s="112"/>
      <c r="N33929" s="84"/>
    </row>
    <row r="33930" spans="1:14" s="2" customFormat="1">
      <c r="A33930" s="83"/>
      <c r="H33930" s="83"/>
      <c r="K33930" s="82"/>
      <c r="M33930" s="112"/>
      <c r="N33930" s="84"/>
    </row>
    <row r="33931" spans="1:14" s="2" customFormat="1">
      <c r="A33931" s="83"/>
      <c r="H33931" s="83"/>
      <c r="K33931" s="82"/>
      <c r="M33931" s="112"/>
      <c r="N33931" s="84"/>
    </row>
    <row r="33932" spans="1:14" s="2" customFormat="1">
      <c r="A33932" s="83"/>
      <c r="H33932" s="83"/>
      <c r="K33932" s="82"/>
      <c r="M33932" s="112"/>
      <c r="N33932" s="84"/>
    </row>
    <row r="33933" spans="1:14" s="2" customFormat="1">
      <c r="A33933" s="83"/>
      <c r="H33933" s="83"/>
      <c r="K33933" s="82"/>
      <c r="M33933" s="112"/>
      <c r="N33933" s="84"/>
    </row>
    <row r="33934" spans="1:14" s="2" customFormat="1">
      <c r="A33934" s="83"/>
      <c r="H33934" s="83"/>
      <c r="K33934" s="82"/>
      <c r="M33934" s="112"/>
      <c r="N33934" s="84"/>
    </row>
    <row r="33935" spans="1:14" s="2" customFormat="1">
      <c r="A33935" s="83"/>
      <c r="H33935" s="83"/>
      <c r="K33935" s="82"/>
      <c r="M33935" s="112"/>
      <c r="N33935" s="84"/>
    </row>
    <row r="33936" spans="1:14" s="2" customFormat="1">
      <c r="A33936" s="83"/>
      <c r="H33936" s="83"/>
      <c r="K33936" s="82"/>
      <c r="M33936" s="112"/>
      <c r="N33936" s="84"/>
    </row>
    <row r="33937" spans="1:14" s="2" customFormat="1">
      <c r="A33937" s="83"/>
      <c r="H33937" s="83"/>
      <c r="K33937" s="82"/>
      <c r="M33937" s="112"/>
      <c r="N33937" s="84"/>
    </row>
    <row r="33938" spans="1:14" s="2" customFormat="1">
      <c r="A33938" s="83"/>
      <c r="H33938" s="83"/>
      <c r="K33938" s="82"/>
      <c r="M33938" s="112"/>
      <c r="N33938" s="84"/>
    </row>
    <row r="33939" spans="1:14" s="2" customFormat="1">
      <c r="A33939" s="83"/>
      <c r="H33939" s="83"/>
      <c r="K33939" s="82"/>
      <c r="M33939" s="112"/>
      <c r="N33939" s="84"/>
    </row>
    <row r="33940" spans="1:14" s="2" customFormat="1">
      <c r="A33940" s="83"/>
      <c r="H33940" s="83"/>
      <c r="K33940" s="82"/>
      <c r="M33940" s="112"/>
      <c r="N33940" s="84"/>
    </row>
    <row r="33941" spans="1:14" s="2" customFormat="1">
      <c r="A33941" s="83"/>
      <c r="H33941" s="83"/>
      <c r="K33941" s="82"/>
      <c r="M33941" s="112"/>
      <c r="N33941" s="84"/>
    </row>
    <row r="33942" spans="1:14" s="2" customFormat="1">
      <c r="A33942" s="83"/>
      <c r="H33942" s="83"/>
      <c r="K33942" s="82"/>
      <c r="M33942" s="112"/>
      <c r="N33942" s="84"/>
    </row>
    <row r="33943" spans="1:14" s="2" customFormat="1">
      <c r="A33943" s="83"/>
      <c r="H33943" s="83"/>
      <c r="K33943" s="82"/>
      <c r="M33943" s="112"/>
      <c r="N33943" s="84"/>
    </row>
    <row r="33944" spans="1:14" s="2" customFormat="1">
      <c r="A33944" s="83"/>
      <c r="H33944" s="83"/>
      <c r="K33944" s="82"/>
      <c r="M33944" s="112"/>
      <c r="N33944" s="84"/>
    </row>
    <row r="33945" spans="1:14" s="2" customFormat="1">
      <c r="A33945" s="83"/>
      <c r="H33945" s="83"/>
      <c r="K33945" s="82"/>
      <c r="M33945" s="112"/>
      <c r="N33945" s="84"/>
    </row>
    <row r="33946" spans="1:14" s="2" customFormat="1">
      <c r="A33946" s="83"/>
      <c r="H33946" s="83"/>
      <c r="K33946" s="82"/>
      <c r="M33946" s="112"/>
      <c r="N33946" s="84"/>
    </row>
    <row r="33947" spans="1:14" s="2" customFormat="1">
      <c r="A33947" s="83"/>
      <c r="H33947" s="83"/>
      <c r="K33947" s="82"/>
      <c r="M33947" s="112"/>
      <c r="N33947" s="84"/>
    </row>
    <row r="33948" spans="1:14" s="2" customFormat="1">
      <c r="A33948" s="83"/>
      <c r="H33948" s="83"/>
      <c r="K33948" s="82"/>
      <c r="M33948" s="112"/>
      <c r="N33948" s="84"/>
    </row>
    <row r="33949" spans="1:14" s="2" customFormat="1">
      <c r="A33949" s="83"/>
      <c r="H33949" s="83"/>
      <c r="K33949" s="82"/>
      <c r="M33949" s="112"/>
      <c r="N33949" s="84"/>
    </row>
    <row r="33950" spans="1:14" s="2" customFormat="1">
      <c r="A33950" s="83"/>
      <c r="H33950" s="83"/>
      <c r="K33950" s="82"/>
      <c r="M33950" s="112"/>
      <c r="N33950" s="84"/>
    </row>
    <row r="33951" spans="1:14" s="2" customFormat="1">
      <c r="A33951" s="83"/>
      <c r="H33951" s="83"/>
      <c r="K33951" s="82"/>
      <c r="M33951" s="112"/>
      <c r="N33951" s="84"/>
    </row>
    <row r="33952" spans="1:14" s="2" customFormat="1">
      <c r="A33952" s="83"/>
      <c r="H33952" s="83"/>
      <c r="K33952" s="82"/>
      <c r="M33952" s="112"/>
      <c r="N33952" s="84"/>
    </row>
    <row r="33953" spans="1:14" s="2" customFormat="1">
      <c r="A33953" s="83"/>
      <c r="H33953" s="83"/>
      <c r="K33953" s="82"/>
      <c r="M33953" s="112"/>
      <c r="N33953" s="84"/>
    </row>
    <row r="33954" spans="1:14" s="2" customFormat="1">
      <c r="A33954" s="83"/>
      <c r="H33954" s="83"/>
      <c r="K33954" s="82"/>
      <c r="M33954" s="112"/>
      <c r="N33954" s="84"/>
    </row>
    <row r="33955" spans="1:14" s="2" customFormat="1">
      <c r="A33955" s="83"/>
      <c r="H33955" s="83"/>
      <c r="K33955" s="82"/>
      <c r="M33955" s="112"/>
      <c r="N33955" s="84"/>
    </row>
    <row r="33956" spans="1:14" s="2" customFormat="1">
      <c r="A33956" s="83"/>
      <c r="H33956" s="83"/>
      <c r="K33956" s="82"/>
      <c r="M33956" s="112"/>
      <c r="N33956" s="84"/>
    </row>
    <row r="33957" spans="1:14" s="2" customFormat="1">
      <c r="A33957" s="83"/>
      <c r="H33957" s="83"/>
      <c r="K33957" s="82"/>
      <c r="M33957" s="112"/>
      <c r="N33957" s="84"/>
    </row>
    <row r="33958" spans="1:14" s="2" customFormat="1">
      <c r="A33958" s="83"/>
      <c r="H33958" s="83"/>
      <c r="K33958" s="82"/>
      <c r="M33958" s="112"/>
      <c r="N33958" s="84"/>
    </row>
    <row r="33959" spans="1:14" s="2" customFormat="1">
      <c r="A33959" s="83"/>
      <c r="H33959" s="83"/>
      <c r="K33959" s="82"/>
      <c r="M33959" s="112"/>
      <c r="N33959" s="84"/>
    </row>
    <row r="33960" spans="1:14" s="2" customFormat="1">
      <c r="A33960" s="83"/>
      <c r="H33960" s="83"/>
      <c r="K33960" s="82"/>
      <c r="M33960" s="112"/>
      <c r="N33960" s="84"/>
    </row>
    <row r="33961" spans="1:14" s="2" customFormat="1">
      <c r="A33961" s="83"/>
      <c r="H33961" s="83"/>
      <c r="K33961" s="82"/>
      <c r="M33961" s="112"/>
      <c r="N33961" s="84"/>
    </row>
    <row r="33962" spans="1:14" s="2" customFormat="1">
      <c r="A33962" s="83"/>
      <c r="H33962" s="83"/>
      <c r="K33962" s="82"/>
      <c r="M33962" s="112"/>
      <c r="N33962" s="84"/>
    </row>
    <row r="33963" spans="1:14" s="2" customFormat="1">
      <c r="A33963" s="83"/>
      <c r="H33963" s="83"/>
      <c r="K33963" s="82"/>
      <c r="M33963" s="112"/>
      <c r="N33963" s="84"/>
    </row>
    <row r="33964" spans="1:14" s="2" customFormat="1">
      <c r="A33964" s="83"/>
      <c r="H33964" s="83"/>
      <c r="K33964" s="82"/>
      <c r="M33964" s="112"/>
      <c r="N33964" s="84"/>
    </row>
    <row r="33965" spans="1:14" s="2" customFormat="1">
      <c r="A33965" s="83"/>
      <c r="H33965" s="83"/>
      <c r="K33965" s="82"/>
      <c r="M33965" s="112"/>
      <c r="N33965" s="84"/>
    </row>
    <row r="33966" spans="1:14" s="2" customFormat="1">
      <c r="A33966" s="83"/>
      <c r="H33966" s="83"/>
      <c r="K33966" s="82"/>
      <c r="M33966" s="112"/>
      <c r="N33966" s="84"/>
    </row>
    <row r="33967" spans="1:14" s="2" customFormat="1">
      <c r="A33967" s="83"/>
      <c r="H33967" s="83"/>
      <c r="K33967" s="82"/>
      <c r="M33967" s="112"/>
      <c r="N33967" s="84"/>
    </row>
    <row r="33968" spans="1:14" s="2" customFormat="1">
      <c r="A33968" s="83"/>
      <c r="H33968" s="83"/>
      <c r="K33968" s="82"/>
      <c r="M33968" s="112"/>
      <c r="N33968" s="84"/>
    </row>
    <row r="33969" spans="1:14" s="2" customFormat="1">
      <c r="A33969" s="83"/>
      <c r="H33969" s="83"/>
      <c r="K33969" s="82"/>
      <c r="M33969" s="112"/>
      <c r="N33969" s="84"/>
    </row>
    <row r="33970" spans="1:14" s="2" customFormat="1">
      <c r="A33970" s="83"/>
      <c r="H33970" s="83"/>
      <c r="K33970" s="82"/>
      <c r="M33970" s="112"/>
      <c r="N33970" s="84"/>
    </row>
    <row r="33971" spans="1:14" s="2" customFormat="1">
      <c r="A33971" s="83"/>
      <c r="H33971" s="83"/>
      <c r="K33971" s="82"/>
      <c r="M33971" s="112"/>
      <c r="N33971" s="84"/>
    </row>
    <row r="33972" spans="1:14" s="2" customFormat="1">
      <c r="A33972" s="83"/>
      <c r="H33972" s="83"/>
      <c r="K33972" s="82"/>
      <c r="M33972" s="112"/>
      <c r="N33972" s="84"/>
    </row>
    <row r="33973" spans="1:14" s="2" customFormat="1">
      <c r="A33973" s="83"/>
      <c r="H33973" s="83"/>
      <c r="K33973" s="82"/>
      <c r="M33973" s="112"/>
      <c r="N33973" s="84"/>
    </row>
    <row r="33974" spans="1:14" s="2" customFormat="1">
      <c r="A33974" s="83"/>
      <c r="H33974" s="83"/>
      <c r="K33974" s="82"/>
      <c r="M33974" s="112"/>
      <c r="N33974" s="84"/>
    </row>
    <row r="33975" spans="1:14" s="2" customFormat="1">
      <c r="A33975" s="83"/>
      <c r="H33975" s="83"/>
      <c r="K33975" s="82"/>
      <c r="M33975" s="112"/>
      <c r="N33975" s="84"/>
    </row>
    <row r="33976" spans="1:14" s="2" customFormat="1">
      <c r="A33976" s="83"/>
      <c r="H33976" s="83"/>
      <c r="K33976" s="82"/>
      <c r="M33976" s="112"/>
      <c r="N33976" s="84"/>
    </row>
    <row r="33977" spans="1:14" s="2" customFormat="1">
      <c r="A33977" s="83"/>
      <c r="H33977" s="83"/>
      <c r="K33977" s="82"/>
      <c r="M33977" s="112"/>
      <c r="N33977" s="84"/>
    </row>
    <row r="33978" spans="1:14" s="2" customFormat="1">
      <c r="A33978" s="83"/>
      <c r="H33978" s="83"/>
      <c r="K33978" s="82"/>
      <c r="M33978" s="112"/>
      <c r="N33978" s="84"/>
    </row>
    <row r="33979" spans="1:14" s="2" customFormat="1">
      <c r="A33979" s="83"/>
      <c r="H33979" s="83"/>
      <c r="K33979" s="82"/>
      <c r="M33979" s="112"/>
      <c r="N33979" s="84"/>
    </row>
    <row r="33980" spans="1:14" s="2" customFormat="1">
      <c r="A33980" s="83"/>
      <c r="H33980" s="83"/>
      <c r="K33980" s="82"/>
      <c r="M33980" s="112"/>
      <c r="N33980" s="84"/>
    </row>
    <row r="33981" spans="1:14" s="2" customFormat="1">
      <c r="A33981" s="83"/>
      <c r="H33981" s="83"/>
      <c r="K33981" s="82"/>
      <c r="M33981" s="112"/>
      <c r="N33981" s="84"/>
    </row>
    <row r="33982" spans="1:14" s="2" customFormat="1">
      <c r="A33982" s="83"/>
      <c r="H33982" s="83"/>
      <c r="K33982" s="82"/>
      <c r="M33982" s="112"/>
      <c r="N33982" s="84"/>
    </row>
    <row r="33983" spans="1:14" s="2" customFormat="1">
      <c r="A33983" s="83"/>
      <c r="H33983" s="83"/>
      <c r="K33983" s="82"/>
      <c r="M33983" s="112"/>
      <c r="N33983" s="84"/>
    </row>
    <row r="33984" spans="1:14" s="2" customFormat="1">
      <c r="A33984" s="83"/>
      <c r="H33984" s="83"/>
      <c r="K33984" s="82"/>
      <c r="M33984" s="112"/>
      <c r="N33984" s="84"/>
    </row>
    <row r="33985" spans="1:14" s="2" customFormat="1">
      <c r="A33985" s="83"/>
      <c r="H33985" s="83"/>
      <c r="K33985" s="82"/>
      <c r="M33985" s="112"/>
      <c r="N33985" s="84"/>
    </row>
    <row r="33986" spans="1:14" s="2" customFormat="1">
      <c r="A33986" s="83"/>
      <c r="H33986" s="83"/>
      <c r="K33986" s="82"/>
      <c r="M33986" s="112"/>
      <c r="N33986" s="84"/>
    </row>
    <row r="33987" spans="1:14" s="2" customFormat="1">
      <c r="A33987" s="83"/>
      <c r="H33987" s="83"/>
      <c r="K33987" s="82"/>
      <c r="M33987" s="112"/>
      <c r="N33987" s="84"/>
    </row>
    <row r="33988" spans="1:14" s="2" customFormat="1">
      <c r="A33988" s="83"/>
      <c r="H33988" s="83"/>
      <c r="K33988" s="82"/>
      <c r="M33988" s="112"/>
      <c r="N33988" s="84"/>
    </row>
    <row r="33989" spans="1:14" s="2" customFormat="1">
      <c r="A33989" s="83"/>
      <c r="H33989" s="83"/>
      <c r="K33989" s="82"/>
      <c r="M33989" s="112"/>
      <c r="N33989" s="84"/>
    </row>
    <row r="33990" spans="1:14" s="2" customFormat="1">
      <c r="A33990" s="83"/>
      <c r="H33990" s="83"/>
      <c r="K33990" s="82"/>
      <c r="M33990" s="112"/>
      <c r="N33990" s="84"/>
    </row>
    <row r="33991" spans="1:14" s="2" customFormat="1">
      <c r="A33991" s="83"/>
      <c r="H33991" s="83"/>
      <c r="K33991" s="82"/>
      <c r="M33991" s="112"/>
      <c r="N33991" s="84"/>
    </row>
    <row r="33992" spans="1:14" s="2" customFormat="1">
      <c r="A33992" s="83"/>
      <c r="H33992" s="83"/>
      <c r="K33992" s="82"/>
      <c r="M33992" s="112"/>
      <c r="N33992" s="84"/>
    </row>
    <row r="33993" spans="1:14" s="2" customFormat="1">
      <c r="A33993" s="83"/>
      <c r="H33993" s="83"/>
      <c r="K33993" s="82"/>
      <c r="M33993" s="112"/>
      <c r="N33993" s="84"/>
    </row>
    <row r="33994" spans="1:14" s="2" customFormat="1">
      <c r="A33994" s="83"/>
      <c r="H33994" s="83"/>
      <c r="K33994" s="82"/>
      <c r="M33994" s="112"/>
      <c r="N33994" s="84"/>
    </row>
    <row r="33995" spans="1:14" s="2" customFormat="1">
      <c r="A33995" s="83"/>
      <c r="H33995" s="83"/>
      <c r="K33995" s="82"/>
      <c r="M33995" s="112"/>
      <c r="N33995" s="84"/>
    </row>
    <row r="33996" spans="1:14" s="2" customFormat="1">
      <c r="A33996" s="83"/>
      <c r="H33996" s="83"/>
      <c r="K33996" s="82"/>
      <c r="M33996" s="112"/>
      <c r="N33996" s="84"/>
    </row>
    <row r="33997" spans="1:14" s="2" customFormat="1">
      <c r="A33997" s="83"/>
      <c r="H33997" s="83"/>
      <c r="K33997" s="82"/>
      <c r="M33997" s="112"/>
      <c r="N33997" s="84"/>
    </row>
    <row r="33998" spans="1:14" s="2" customFormat="1">
      <c r="A33998" s="83"/>
      <c r="H33998" s="83"/>
      <c r="K33998" s="82"/>
      <c r="M33998" s="112"/>
      <c r="N33998" s="84"/>
    </row>
    <row r="33999" spans="1:14" s="2" customFormat="1">
      <c r="A33999" s="83"/>
      <c r="H33999" s="83"/>
      <c r="K33999" s="82"/>
      <c r="M33999" s="112"/>
      <c r="N33999" s="84"/>
    </row>
    <row r="34000" spans="1:14" s="2" customFormat="1">
      <c r="A34000" s="83"/>
      <c r="H34000" s="83"/>
      <c r="K34000" s="82"/>
      <c r="M34000" s="112"/>
      <c r="N34000" s="84"/>
    </row>
    <row r="34001" spans="1:14" s="2" customFormat="1">
      <c r="A34001" s="83"/>
      <c r="H34001" s="83"/>
      <c r="K34001" s="82"/>
      <c r="M34001" s="112"/>
      <c r="N34001" s="84"/>
    </row>
    <row r="34002" spans="1:14" s="2" customFormat="1">
      <c r="A34002" s="83"/>
      <c r="H34002" s="83"/>
      <c r="K34002" s="82"/>
      <c r="M34002" s="112"/>
      <c r="N34002" s="84"/>
    </row>
    <row r="34003" spans="1:14" s="2" customFormat="1">
      <c r="A34003" s="83"/>
      <c r="H34003" s="83"/>
      <c r="K34003" s="82"/>
      <c r="M34003" s="112"/>
      <c r="N34003" s="84"/>
    </row>
    <row r="34004" spans="1:14" s="2" customFormat="1">
      <c r="A34004" s="83"/>
      <c r="H34004" s="83"/>
      <c r="K34004" s="82"/>
      <c r="M34004" s="112"/>
      <c r="N34004" s="84"/>
    </row>
    <row r="34005" spans="1:14" s="2" customFormat="1">
      <c r="A34005" s="83"/>
      <c r="H34005" s="83"/>
      <c r="K34005" s="82"/>
      <c r="M34005" s="112"/>
      <c r="N34005" s="84"/>
    </row>
    <row r="34006" spans="1:14" s="2" customFormat="1">
      <c r="A34006" s="83"/>
      <c r="H34006" s="83"/>
      <c r="K34006" s="82"/>
      <c r="M34006" s="112"/>
      <c r="N34006" s="84"/>
    </row>
    <row r="34007" spans="1:14" s="2" customFormat="1">
      <c r="A34007" s="83"/>
      <c r="H34007" s="83"/>
      <c r="K34007" s="82"/>
      <c r="M34007" s="112"/>
      <c r="N34007" s="84"/>
    </row>
    <row r="34008" spans="1:14" s="2" customFormat="1">
      <c r="A34008" s="83"/>
      <c r="H34008" s="83"/>
      <c r="K34008" s="82"/>
      <c r="M34008" s="112"/>
      <c r="N34008" s="84"/>
    </row>
    <row r="34009" spans="1:14" s="2" customFormat="1">
      <c r="A34009" s="83"/>
      <c r="H34009" s="83"/>
      <c r="K34009" s="82"/>
      <c r="M34009" s="112"/>
      <c r="N34009" s="84"/>
    </row>
    <row r="34010" spans="1:14" s="2" customFormat="1">
      <c r="A34010" s="83"/>
      <c r="H34010" s="83"/>
      <c r="K34010" s="82"/>
      <c r="M34010" s="112"/>
      <c r="N34010" s="84"/>
    </row>
    <row r="34011" spans="1:14" s="2" customFormat="1">
      <c r="A34011" s="83"/>
      <c r="H34011" s="83"/>
      <c r="K34011" s="82"/>
      <c r="M34011" s="112"/>
      <c r="N34011" s="84"/>
    </row>
    <row r="34012" spans="1:14" s="2" customFormat="1">
      <c r="A34012" s="83"/>
      <c r="H34012" s="83"/>
      <c r="K34012" s="82"/>
      <c r="M34012" s="112"/>
      <c r="N34012" s="84"/>
    </row>
    <row r="34013" spans="1:14" s="2" customFormat="1">
      <c r="A34013" s="83"/>
      <c r="H34013" s="83"/>
      <c r="K34013" s="82"/>
      <c r="M34013" s="112"/>
      <c r="N34013" s="84"/>
    </row>
    <row r="34014" spans="1:14" s="2" customFormat="1">
      <c r="A34014" s="83"/>
      <c r="H34014" s="83"/>
      <c r="K34014" s="82"/>
      <c r="M34014" s="112"/>
      <c r="N34014" s="84"/>
    </row>
    <row r="34015" spans="1:14" s="2" customFormat="1">
      <c r="A34015" s="83"/>
      <c r="H34015" s="83"/>
      <c r="K34015" s="82"/>
      <c r="M34015" s="112"/>
      <c r="N34015" s="84"/>
    </row>
    <row r="34016" spans="1:14" s="2" customFormat="1">
      <c r="A34016" s="83"/>
      <c r="H34016" s="83"/>
      <c r="K34016" s="82"/>
      <c r="M34016" s="112"/>
      <c r="N34016" s="84"/>
    </row>
    <row r="34017" spans="1:14" s="2" customFormat="1">
      <c r="A34017" s="83"/>
      <c r="H34017" s="83"/>
      <c r="K34017" s="82"/>
      <c r="M34017" s="112"/>
      <c r="N34017" s="84"/>
    </row>
    <row r="34018" spans="1:14" s="2" customFormat="1">
      <c r="A34018" s="83"/>
      <c r="H34018" s="83"/>
      <c r="K34018" s="82"/>
      <c r="M34018" s="112"/>
      <c r="N34018" s="84"/>
    </row>
    <row r="34019" spans="1:14" s="2" customFormat="1">
      <c r="A34019" s="83"/>
      <c r="H34019" s="83"/>
      <c r="K34019" s="82"/>
      <c r="M34019" s="112"/>
      <c r="N34019" s="84"/>
    </row>
    <row r="34020" spans="1:14" s="2" customFormat="1">
      <c r="A34020" s="83"/>
      <c r="H34020" s="83"/>
      <c r="K34020" s="82"/>
      <c r="M34020" s="112"/>
      <c r="N34020" s="84"/>
    </row>
    <row r="34021" spans="1:14" s="2" customFormat="1">
      <c r="A34021" s="83"/>
      <c r="H34021" s="83"/>
      <c r="K34021" s="82"/>
      <c r="M34021" s="112"/>
      <c r="N34021" s="84"/>
    </row>
    <row r="34022" spans="1:14" s="2" customFormat="1">
      <c r="A34022" s="83"/>
      <c r="H34022" s="83"/>
      <c r="K34022" s="82"/>
      <c r="M34022" s="112"/>
      <c r="N34022" s="84"/>
    </row>
    <row r="34023" spans="1:14" s="2" customFormat="1">
      <c r="A34023" s="83"/>
      <c r="H34023" s="83"/>
      <c r="K34023" s="82"/>
      <c r="M34023" s="112"/>
      <c r="N34023" s="84"/>
    </row>
    <row r="34024" spans="1:14" s="2" customFormat="1">
      <c r="A34024" s="83"/>
      <c r="H34024" s="83"/>
      <c r="K34024" s="82"/>
      <c r="M34024" s="112"/>
      <c r="N34024" s="84"/>
    </row>
    <row r="34025" spans="1:14" s="2" customFormat="1">
      <c r="A34025" s="83"/>
      <c r="H34025" s="83"/>
      <c r="K34025" s="82"/>
      <c r="M34025" s="112"/>
      <c r="N34025" s="84"/>
    </row>
    <row r="34026" spans="1:14" s="2" customFormat="1">
      <c r="A34026" s="83"/>
      <c r="H34026" s="83"/>
      <c r="K34026" s="82"/>
      <c r="M34026" s="112"/>
      <c r="N34026" s="84"/>
    </row>
    <row r="34027" spans="1:14" s="2" customFormat="1">
      <c r="A34027" s="83"/>
      <c r="H34027" s="83"/>
      <c r="K34027" s="82"/>
      <c r="M34027" s="112"/>
      <c r="N34027" s="84"/>
    </row>
    <row r="34028" spans="1:14" s="2" customFormat="1">
      <c r="A34028" s="83"/>
      <c r="H34028" s="83"/>
      <c r="K34028" s="82"/>
      <c r="M34028" s="112"/>
      <c r="N34028" s="84"/>
    </row>
    <row r="34029" spans="1:14" s="2" customFormat="1">
      <c r="A34029" s="83"/>
      <c r="H34029" s="83"/>
      <c r="K34029" s="82"/>
      <c r="M34029" s="112"/>
      <c r="N34029" s="84"/>
    </row>
    <row r="34030" spans="1:14" s="2" customFormat="1">
      <c r="A34030" s="83"/>
      <c r="H34030" s="83"/>
      <c r="K34030" s="82"/>
      <c r="M34030" s="112"/>
      <c r="N34030" s="84"/>
    </row>
    <row r="34031" spans="1:14" s="2" customFormat="1">
      <c r="A34031" s="83"/>
      <c r="H34031" s="83"/>
      <c r="K34031" s="82"/>
      <c r="M34031" s="112"/>
      <c r="N34031" s="84"/>
    </row>
    <row r="34032" spans="1:14" s="2" customFormat="1">
      <c r="A34032" s="83"/>
      <c r="H34032" s="83"/>
      <c r="K34032" s="82"/>
      <c r="M34032" s="112"/>
      <c r="N34032" s="84"/>
    </row>
    <row r="34033" spans="1:14" s="2" customFormat="1">
      <c r="A34033" s="83"/>
      <c r="H34033" s="83"/>
      <c r="K34033" s="82"/>
      <c r="M34033" s="112"/>
      <c r="N34033" s="84"/>
    </row>
    <row r="34034" spans="1:14" s="2" customFormat="1">
      <c r="A34034" s="83"/>
      <c r="H34034" s="83"/>
      <c r="K34034" s="82"/>
      <c r="M34034" s="112"/>
      <c r="N34034" s="84"/>
    </row>
    <row r="34035" spans="1:14" s="2" customFormat="1">
      <c r="A34035" s="83"/>
      <c r="H34035" s="83"/>
      <c r="K34035" s="82"/>
      <c r="M34035" s="112"/>
      <c r="N34035" s="84"/>
    </row>
    <row r="34036" spans="1:14" s="2" customFormat="1">
      <c r="A34036" s="83"/>
      <c r="H34036" s="83"/>
      <c r="K34036" s="82"/>
      <c r="M34036" s="112"/>
      <c r="N34036" s="84"/>
    </row>
    <row r="34037" spans="1:14" s="2" customFormat="1">
      <c r="A34037" s="83"/>
      <c r="H34037" s="83"/>
      <c r="K34037" s="82"/>
      <c r="M34037" s="112"/>
      <c r="N34037" s="84"/>
    </row>
    <row r="34038" spans="1:14" s="2" customFormat="1">
      <c r="A34038" s="83"/>
      <c r="H34038" s="83"/>
      <c r="K34038" s="82"/>
      <c r="M34038" s="112"/>
      <c r="N34038" s="84"/>
    </row>
    <row r="34039" spans="1:14" s="2" customFormat="1">
      <c r="A34039" s="83"/>
      <c r="H34039" s="83"/>
      <c r="K34039" s="82"/>
      <c r="M34039" s="112"/>
      <c r="N34039" s="84"/>
    </row>
    <row r="34040" spans="1:14" s="2" customFormat="1">
      <c r="A34040" s="83"/>
      <c r="H34040" s="83"/>
      <c r="K34040" s="82"/>
      <c r="M34040" s="112"/>
      <c r="N34040" s="84"/>
    </row>
    <row r="34041" spans="1:14" s="2" customFormat="1">
      <c r="A34041" s="83"/>
      <c r="H34041" s="83"/>
      <c r="K34041" s="82"/>
      <c r="M34041" s="112"/>
      <c r="N34041" s="84"/>
    </row>
    <row r="34042" spans="1:14" s="2" customFormat="1">
      <c r="A34042" s="83"/>
      <c r="H34042" s="83"/>
      <c r="K34042" s="82"/>
      <c r="M34042" s="112"/>
      <c r="N34042" s="84"/>
    </row>
    <row r="34043" spans="1:14" s="2" customFormat="1">
      <c r="A34043" s="83"/>
      <c r="H34043" s="83"/>
      <c r="K34043" s="82"/>
      <c r="M34043" s="112"/>
      <c r="N34043" s="84"/>
    </row>
    <row r="34044" spans="1:14" s="2" customFormat="1">
      <c r="A34044" s="83"/>
      <c r="H34044" s="83"/>
      <c r="K34044" s="82"/>
      <c r="M34044" s="112"/>
      <c r="N34044" s="84"/>
    </row>
    <row r="34045" spans="1:14" s="2" customFormat="1">
      <c r="A34045" s="83"/>
      <c r="H34045" s="83"/>
      <c r="K34045" s="82"/>
      <c r="M34045" s="112"/>
      <c r="N34045" s="84"/>
    </row>
    <row r="34046" spans="1:14" s="2" customFormat="1">
      <c r="A34046" s="83"/>
      <c r="H34046" s="83"/>
      <c r="K34046" s="82"/>
      <c r="M34046" s="112"/>
      <c r="N34046" s="84"/>
    </row>
    <row r="34047" spans="1:14" s="2" customFormat="1">
      <c r="A34047" s="83"/>
      <c r="H34047" s="83"/>
      <c r="K34047" s="82"/>
      <c r="M34047" s="112"/>
      <c r="N34047" s="84"/>
    </row>
    <row r="34048" spans="1:14" s="2" customFormat="1">
      <c r="A34048" s="83"/>
      <c r="H34048" s="83"/>
      <c r="K34048" s="82"/>
      <c r="M34048" s="112"/>
      <c r="N34048" s="84"/>
    </row>
    <row r="34049" spans="1:14" s="2" customFormat="1">
      <c r="A34049" s="83"/>
      <c r="H34049" s="83"/>
      <c r="K34049" s="82"/>
      <c r="M34049" s="112"/>
      <c r="N34049" s="84"/>
    </row>
    <row r="34050" spans="1:14" s="2" customFormat="1">
      <c r="A34050" s="83"/>
      <c r="H34050" s="83"/>
      <c r="K34050" s="82"/>
      <c r="M34050" s="112"/>
      <c r="N34050" s="84"/>
    </row>
    <row r="34051" spans="1:14" s="2" customFormat="1">
      <c r="A34051" s="83"/>
      <c r="H34051" s="83"/>
      <c r="K34051" s="82"/>
      <c r="M34051" s="112"/>
      <c r="N34051" s="84"/>
    </row>
    <row r="34052" spans="1:14" s="2" customFormat="1">
      <c r="A34052" s="83"/>
      <c r="H34052" s="83"/>
      <c r="K34052" s="82"/>
      <c r="M34052" s="112"/>
      <c r="N34052" s="84"/>
    </row>
    <row r="34053" spans="1:14" s="2" customFormat="1">
      <c r="A34053" s="83"/>
      <c r="H34053" s="83"/>
      <c r="K34053" s="82"/>
      <c r="M34053" s="112"/>
      <c r="N34053" s="84"/>
    </row>
    <row r="34054" spans="1:14" s="2" customFormat="1">
      <c r="A34054" s="83"/>
      <c r="H34054" s="83"/>
      <c r="K34054" s="82"/>
      <c r="M34054" s="112"/>
      <c r="N34054" s="84"/>
    </row>
    <row r="34055" spans="1:14" s="2" customFormat="1">
      <c r="A34055" s="83"/>
      <c r="H34055" s="83"/>
      <c r="K34055" s="82"/>
      <c r="M34055" s="112"/>
      <c r="N34055" s="84"/>
    </row>
    <row r="34056" spans="1:14" s="2" customFormat="1">
      <c r="A34056" s="83"/>
      <c r="H34056" s="83"/>
      <c r="K34056" s="82"/>
      <c r="M34056" s="112"/>
      <c r="N34056" s="84"/>
    </row>
    <row r="34057" spans="1:14" s="2" customFormat="1">
      <c r="A34057" s="83"/>
      <c r="H34057" s="83"/>
      <c r="K34057" s="82"/>
      <c r="M34057" s="112"/>
      <c r="N34057" s="84"/>
    </row>
    <row r="34058" spans="1:14" s="2" customFormat="1">
      <c r="A34058" s="83"/>
      <c r="H34058" s="83"/>
      <c r="K34058" s="82"/>
      <c r="M34058" s="112"/>
      <c r="N34058" s="84"/>
    </row>
    <row r="34059" spans="1:14" s="2" customFormat="1">
      <c r="A34059" s="83"/>
      <c r="H34059" s="83"/>
      <c r="K34059" s="82"/>
      <c r="M34059" s="112"/>
      <c r="N34059" s="84"/>
    </row>
    <row r="34060" spans="1:14" s="2" customFormat="1">
      <c r="A34060" s="83"/>
      <c r="H34060" s="83"/>
      <c r="K34060" s="82"/>
      <c r="M34060" s="112"/>
      <c r="N34060" s="84"/>
    </row>
    <row r="34061" spans="1:14" s="2" customFormat="1">
      <c r="A34061" s="83"/>
      <c r="H34061" s="83"/>
      <c r="K34061" s="82"/>
      <c r="M34061" s="112"/>
      <c r="N34061" s="84"/>
    </row>
    <row r="34062" spans="1:14" s="2" customFormat="1">
      <c r="A34062" s="83"/>
      <c r="H34062" s="83"/>
      <c r="K34062" s="82"/>
      <c r="M34062" s="112"/>
      <c r="N34062" s="84"/>
    </row>
    <row r="34063" spans="1:14" s="2" customFormat="1">
      <c r="A34063" s="83"/>
      <c r="H34063" s="83"/>
      <c r="K34063" s="82"/>
      <c r="M34063" s="112"/>
      <c r="N34063" s="84"/>
    </row>
    <row r="34064" spans="1:14" s="2" customFormat="1">
      <c r="A34064" s="83"/>
      <c r="H34064" s="83"/>
      <c r="K34064" s="82"/>
      <c r="M34064" s="112"/>
      <c r="N34064" s="84"/>
    </row>
    <row r="34065" spans="1:14" s="2" customFormat="1">
      <c r="A34065" s="83"/>
      <c r="H34065" s="83"/>
      <c r="K34065" s="82"/>
      <c r="M34065" s="112"/>
      <c r="N34065" s="84"/>
    </row>
    <row r="34066" spans="1:14" s="2" customFormat="1">
      <c r="A34066" s="83"/>
      <c r="H34066" s="83"/>
      <c r="K34066" s="82"/>
      <c r="M34066" s="112"/>
      <c r="N34066" s="84"/>
    </row>
    <row r="34067" spans="1:14" s="2" customFormat="1">
      <c r="A34067" s="83"/>
      <c r="H34067" s="83"/>
      <c r="K34067" s="82"/>
      <c r="M34067" s="112"/>
      <c r="N34067" s="84"/>
    </row>
    <row r="34068" spans="1:14" s="2" customFormat="1">
      <c r="A34068" s="83"/>
      <c r="H34068" s="83"/>
      <c r="K34068" s="82"/>
      <c r="M34068" s="112"/>
      <c r="N34068" s="84"/>
    </row>
    <row r="34069" spans="1:14" s="2" customFormat="1">
      <c r="A34069" s="83"/>
      <c r="H34069" s="83"/>
      <c r="K34069" s="82"/>
      <c r="M34069" s="112"/>
      <c r="N34069" s="84"/>
    </row>
    <row r="34070" spans="1:14" s="2" customFormat="1">
      <c r="A34070" s="83"/>
      <c r="H34070" s="83"/>
      <c r="K34070" s="82"/>
      <c r="M34070" s="112"/>
      <c r="N34070" s="84"/>
    </row>
    <row r="34071" spans="1:14" s="2" customFormat="1">
      <c r="A34071" s="83"/>
      <c r="H34071" s="83"/>
      <c r="K34071" s="82"/>
      <c r="M34071" s="112"/>
      <c r="N34071" s="84"/>
    </row>
    <row r="34072" spans="1:14" s="2" customFormat="1">
      <c r="A34072" s="83"/>
      <c r="H34072" s="83"/>
      <c r="K34072" s="82"/>
      <c r="M34072" s="112"/>
      <c r="N34072" s="84"/>
    </row>
    <row r="34073" spans="1:14" s="2" customFormat="1">
      <c r="A34073" s="83"/>
      <c r="H34073" s="83"/>
      <c r="K34073" s="82"/>
      <c r="M34073" s="112"/>
      <c r="N34073" s="84"/>
    </row>
    <row r="34074" spans="1:14" s="2" customFormat="1">
      <c r="A34074" s="83"/>
      <c r="H34074" s="83"/>
      <c r="K34074" s="82"/>
      <c r="M34074" s="112"/>
      <c r="N34074" s="84"/>
    </row>
    <row r="34075" spans="1:14" s="2" customFormat="1">
      <c r="A34075" s="83"/>
      <c r="H34075" s="83"/>
      <c r="K34075" s="82"/>
      <c r="M34075" s="112"/>
      <c r="N34075" s="84"/>
    </row>
    <row r="34076" spans="1:14" s="2" customFormat="1">
      <c r="A34076" s="83"/>
      <c r="H34076" s="83"/>
      <c r="K34076" s="82"/>
      <c r="M34076" s="112"/>
      <c r="N34076" s="84"/>
    </row>
    <row r="34077" spans="1:14" s="2" customFormat="1">
      <c r="A34077" s="83"/>
      <c r="H34077" s="83"/>
      <c r="K34077" s="82"/>
      <c r="M34077" s="112"/>
      <c r="N34077" s="84"/>
    </row>
    <row r="34078" spans="1:14" s="2" customFormat="1">
      <c r="A34078" s="83"/>
      <c r="H34078" s="83"/>
      <c r="K34078" s="82"/>
      <c r="M34078" s="112"/>
      <c r="N34078" s="84"/>
    </row>
    <row r="34079" spans="1:14" s="2" customFormat="1">
      <c r="A34079" s="83"/>
      <c r="H34079" s="83"/>
      <c r="K34079" s="82"/>
      <c r="M34079" s="112"/>
      <c r="N34079" s="84"/>
    </row>
    <row r="34080" spans="1:14" s="2" customFormat="1">
      <c r="A34080" s="83"/>
      <c r="H34080" s="83"/>
      <c r="K34080" s="82"/>
      <c r="M34080" s="112"/>
      <c r="N34080" s="84"/>
    </row>
    <row r="34081" spans="1:14" s="2" customFormat="1">
      <c r="A34081" s="83"/>
      <c r="H34081" s="83"/>
      <c r="K34081" s="82"/>
      <c r="M34081" s="112"/>
      <c r="N34081" s="84"/>
    </row>
    <row r="34082" spans="1:14" s="2" customFormat="1">
      <c r="A34082" s="83"/>
      <c r="H34082" s="83"/>
      <c r="K34082" s="82"/>
      <c r="M34082" s="112"/>
      <c r="N34082" s="84"/>
    </row>
    <row r="34083" spans="1:14" s="2" customFormat="1">
      <c r="A34083" s="83"/>
      <c r="H34083" s="83"/>
      <c r="K34083" s="82"/>
      <c r="M34083" s="112"/>
      <c r="N34083" s="84"/>
    </row>
    <row r="34084" spans="1:14" s="2" customFormat="1">
      <c r="A34084" s="83"/>
      <c r="H34084" s="83"/>
      <c r="K34084" s="82"/>
      <c r="M34084" s="112"/>
      <c r="N34084" s="84"/>
    </row>
    <row r="34085" spans="1:14" s="2" customFormat="1">
      <c r="A34085" s="83"/>
      <c r="H34085" s="83"/>
      <c r="K34085" s="82"/>
      <c r="M34085" s="112"/>
      <c r="N34085" s="84"/>
    </row>
    <row r="34086" spans="1:14" s="2" customFormat="1">
      <c r="A34086" s="83"/>
      <c r="H34086" s="83"/>
      <c r="K34086" s="82"/>
      <c r="M34086" s="112"/>
      <c r="N34086" s="84"/>
    </row>
    <row r="34087" spans="1:14" s="2" customFormat="1">
      <c r="A34087" s="83"/>
      <c r="H34087" s="83"/>
      <c r="K34087" s="82"/>
      <c r="M34087" s="112"/>
      <c r="N34087" s="84"/>
    </row>
    <row r="34088" spans="1:14" s="2" customFormat="1">
      <c r="A34088" s="83"/>
      <c r="H34088" s="83"/>
      <c r="K34088" s="82"/>
      <c r="M34088" s="112"/>
      <c r="N34088" s="84"/>
    </row>
    <row r="34089" spans="1:14" s="2" customFormat="1">
      <c r="A34089" s="83"/>
      <c r="H34089" s="83"/>
      <c r="K34089" s="82"/>
      <c r="M34089" s="112"/>
      <c r="N34089" s="84"/>
    </row>
    <row r="34090" spans="1:14" s="2" customFormat="1">
      <c r="A34090" s="83"/>
      <c r="H34090" s="83"/>
      <c r="K34090" s="82"/>
      <c r="M34090" s="112"/>
      <c r="N34090" s="84"/>
    </row>
    <row r="34091" spans="1:14" s="2" customFormat="1">
      <c r="A34091" s="83"/>
      <c r="H34091" s="83"/>
      <c r="K34091" s="82"/>
      <c r="M34091" s="112"/>
      <c r="N34091" s="84"/>
    </row>
    <row r="34092" spans="1:14" s="2" customFormat="1">
      <c r="A34092" s="83"/>
      <c r="H34092" s="83"/>
      <c r="K34092" s="82"/>
      <c r="M34092" s="112"/>
      <c r="N34092" s="84"/>
    </row>
    <row r="34093" spans="1:14" s="2" customFormat="1">
      <c r="A34093" s="83"/>
      <c r="H34093" s="83"/>
      <c r="K34093" s="82"/>
      <c r="M34093" s="112"/>
      <c r="N34093" s="84"/>
    </row>
    <row r="34094" spans="1:14" s="2" customFormat="1">
      <c r="A34094" s="83"/>
      <c r="H34094" s="83"/>
      <c r="K34094" s="82"/>
      <c r="M34094" s="112"/>
      <c r="N34094" s="84"/>
    </row>
    <row r="34095" spans="1:14" s="2" customFormat="1">
      <c r="A34095" s="83"/>
      <c r="H34095" s="83"/>
      <c r="K34095" s="82"/>
      <c r="M34095" s="112"/>
      <c r="N34095" s="84"/>
    </row>
    <row r="34096" spans="1:14" s="2" customFormat="1">
      <c r="A34096" s="83"/>
      <c r="H34096" s="83"/>
      <c r="K34096" s="82"/>
      <c r="M34096" s="112"/>
      <c r="N34096" s="84"/>
    </row>
    <row r="34097" spans="1:14" s="2" customFormat="1">
      <c r="A34097" s="83"/>
      <c r="H34097" s="83"/>
      <c r="K34097" s="82"/>
      <c r="M34097" s="112"/>
      <c r="N34097" s="84"/>
    </row>
    <row r="34098" spans="1:14" s="2" customFormat="1">
      <c r="A34098" s="83"/>
      <c r="H34098" s="83"/>
      <c r="K34098" s="82"/>
      <c r="M34098" s="112"/>
      <c r="N34098" s="84"/>
    </row>
    <row r="34099" spans="1:14" s="2" customFormat="1">
      <c r="A34099" s="83"/>
      <c r="H34099" s="83"/>
      <c r="K34099" s="82"/>
      <c r="M34099" s="112"/>
      <c r="N34099" s="84"/>
    </row>
    <row r="34100" spans="1:14" s="2" customFormat="1">
      <c r="A34100" s="83"/>
      <c r="H34100" s="83"/>
      <c r="K34100" s="82"/>
      <c r="M34100" s="112"/>
      <c r="N34100" s="84"/>
    </row>
    <row r="34101" spans="1:14" s="2" customFormat="1">
      <c r="A34101" s="83"/>
      <c r="H34101" s="83"/>
      <c r="K34101" s="82"/>
      <c r="M34101" s="112"/>
      <c r="N34101" s="84"/>
    </row>
    <row r="34102" spans="1:14" s="2" customFormat="1">
      <c r="A34102" s="83"/>
      <c r="H34102" s="83"/>
      <c r="K34102" s="82"/>
      <c r="M34102" s="112"/>
      <c r="N34102" s="84"/>
    </row>
    <row r="34103" spans="1:14" s="2" customFormat="1">
      <c r="A34103" s="83"/>
      <c r="H34103" s="83"/>
      <c r="K34103" s="82"/>
      <c r="M34103" s="112"/>
      <c r="N34103" s="84"/>
    </row>
    <row r="34104" spans="1:14" s="2" customFormat="1">
      <c r="A34104" s="83"/>
      <c r="H34104" s="83"/>
      <c r="K34104" s="82"/>
      <c r="M34104" s="112"/>
      <c r="N34104" s="84"/>
    </row>
    <row r="34105" spans="1:14" s="2" customFormat="1">
      <c r="A34105" s="83"/>
      <c r="H34105" s="83"/>
      <c r="K34105" s="82"/>
      <c r="M34105" s="112"/>
      <c r="N34105" s="84"/>
    </row>
    <row r="34106" spans="1:14" s="2" customFormat="1">
      <c r="A34106" s="83"/>
      <c r="H34106" s="83"/>
      <c r="K34106" s="82"/>
      <c r="M34106" s="112"/>
      <c r="N34106" s="84"/>
    </row>
    <row r="34107" spans="1:14" s="2" customFormat="1">
      <c r="A34107" s="83"/>
      <c r="H34107" s="83"/>
      <c r="K34107" s="82"/>
      <c r="M34107" s="112"/>
      <c r="N34107" s="84"/>
    </row>
    <row r="34108" spans="1:14" s="2" customFormat="1">
      <c r="A34108" s="83"/>
      <c r="H34108" s="83"/>
      <c r="K34108" s="82"/>
      <c r="M34108" s="112"/>
      <c r="N34108" s="84"/>
    </row>
    <row r="34109" spans="1:14" s="2" customFormat="1">
      <c r="A34109" s="83"/>
      <c r="H34109" s="83"/>
      <c r="K34109" s="82"/>
      <c r="M34109" s="112"/>
      <c r="N34109" s="84"/>
    </row>
    <row r="34110" spans="1:14" s="2" customFormat="1">
      <c r="A34110" s="83"/>
      <c r="H34110" s="83"/>
      <c r="K34110" s="82"/>
      <c r="M34110" s="112"/>
      <c r="N34110" s="84"/>
    </row>
    <row r="34111" spans="1:14" s="2" customFormat="1">
      <c r="A34111" s="83"/>
      <c r="H34111" s="83"/>
      <c r="K34111" s="82"/>
      <c r="M34111" s="112"/>
      <c r="N34111" s="84"/>
    </row>
    <row r="34112" spans="1:14" s="2" customFormat="1">
      <c r="A34112" s="83"/>
      <c r="H34112" s="83"/>
      <c r="K34112" s="82"/>
      <c r="M34112" s="112"/>
      <c r="N34112" s="84"/>
    </row>
    <row r="34113" spans="1:14" s="2" customFormat="1">
      <c r="A34113" s="83"/>
      <c r="H34113" s="83"/>
      <c r="K34113" s="82"/>
      <c r="M34113" s="112"/>
      <c r="N34113" s="84"/>
    </row>
    <row r="34114" spans="1:14" s="2" customFormat="1">
      <c r="A34114" s="83"/>
      <c r="H34114" s="83"/>
      <c r="K34114" s="82"/>
      <c r="M34114" s="112"/>
      <c r="N34114" s="84"/>
    </row>
    <row r="34115" spans="1:14" s="2" customFormat="1">
      <c r="A34115" s="83"/>
      <c r="H34115" s="83"/>
      <c r="K34115" s="82"/>
      <c r="M34115" s="112"/>
      <c r="N34115" s="84"/>
    </row>
    <row r="34116" spans="1:14" s="2" customFormat="1">
      <c r="A34116" s="83"/>
      <c r="H34116" s="83"/>
      <c r="K34116" s="82"/>
      <c r="M34116" s="112"/>
      <c r="N34116" s="84"/>
    </row>
    <row r="34117" spans="1:14" s="2" customFormat="1">
      <c r="A34117" s="83"/>
      <c r="H34117" s="83"/>
      <c r="K34117" s="82"/>
      <c r="M34117" s="112"/>
      <c r="N34117" s="84"/>
    </row>
    <row r="34118" spans="1:14" s="2" customFormat="1">
      <c r="A34118" s="83"/>
      <c r="H34118" s="83"/>
      <c r="K34118" s="82"/>
      <c r="M34118" s="112"/>
      <c r="N34118" s="84"/>
    </row>
    <row r="34119" spans="1:14" s="2" customFormat="1">
      <c r="A34119" s="83"/>
      <c r="H34119" s="83"/>
      <c r="K34119" s="82"/>
      <c r="M34119" s="112"/>
      <c r="N34119" s="84"/>
    </row>
    <row r="34120" spans="1:14" s="2" customFormat="1">
      <c r="A34120" s="83"/>
      <c r="H34120" s="83"/>
      <c r="K34120" s="82"/>
      <c r="M34120" s="112"/>
      <c r="N34120" s="84"/>
    </row>
    <row r="34121" spans="1:14" s="2" customFormat="1">
      <c r="A34121" s="83"/>
      <c r="H34121" s="83"/>
      <c r="K34121" s="82"/>
      <c r="M34121" s="112"/>
      <c r="N34121" s="84"/>
    </row>
    <row r="34122" spans="1:14" s="2" customFormat="1">
      <c r="A34122" s="83"/>
      <c r="H34122" s="83"/>
      <c r="K34122" s="82"/>
      <c r="M34122" s="112"/>
      <c r="N34122" s="84"/>
    </row>
    <row r="34123" spans="1:14" s="2" customFormat="1">
      <c r="A34123" s="83"/>
      <c r="H34123" s="83"/>
      <c r="K34123" s="82"/>
      <c r="M34123" s="112"/>
      <c r="N34123" s="84"/>
    </row>
    <row r="34124" spans="1:14" s="2" customFormat="1">
      <c r="A34124" s="83"/>
      <c r="H34124" s="83"/>
      <c r="K34124" s="82"/>
      <c r="M34124" s="112"/>
      <c r="N34124" s="84"/>
    </row>
    <row r="34125" spans="1:14" s="2" customFormat="1">
      <c r="A34125" s="83"/>
      <c r="H34125" s="83"/>
      <c r="K34125" s="82"/>
      <c r="M34125" s="112"/>
      <c r="N34125" s="84"/>
    </row>
    <row r="34126" spans="1:14" s="2" customFormat="1">
      <c r="A34126" s="83"/>
      <c r="H34126" s="83"/>
      <c r="K34126" s="82"/>
      <c r="M34126" s="112"/>
      <c r="N34126" s="84"/>
    </row>
    <row r="34127" spans="1:14" s="2" customFormat="1">
      <c r="A34127" s="83"/>
      <c r="H34127" s="83"/>
      <c r="K34127" s="82"/>
      <c r="M34127" s="112"/>
      <c r="N34127" s="84"/>
    </row>
    <row r="34128" spans="1:14" s="2" customFormat="1">
      <c r="A34128" s="83"/>
      <c r="H34128" s="83"/>
      <c r="K34128" s="82"/>
      <c r="M34128" s="112"/>
      <c r="N34128" s="84"/>
    </row>
    <row r="34129" spans="1:14" s="2" customFormat="1">
      <c r="A34129" s="83"/>
      <c r="H34129" s="83"/>
      <c r="K34129" s="82"/>
      <c r="M34129" s="112"/>
      <c r="N34129" s="84"/>
    </row>
    <row r="34130" spans="1:14" s="2" customFormat="1">
      <c r="A34130" s="83"/>
      <c r="H34130" s="83"/>
      <c r="K34130" s="82"/>
      <c r="M34130" s="112"/>
      <c r="N34130" s="84"/>
    </row>
    <row r="34131" spans="1:14" s="2" customFormat="1">
      <c r="A34131" s="83"/>
      <c r="H34131" s="83"/>
      <c r="K34131" s="82"/>
      <c r="M34131" s="112"/>
      <c r="N34131" s="84"/>
    </row>
    <row r="34132" spans="1:14" s="2" customFormat="1">
      <c r="A34132" s="83"/>
      <c r="H34132" s="83"/>
      <c r="K34132" s="82"/>
      <c r="M34132" s="112"/>
      <c r="N34132" s="84"/>
    </row>
    <row r="34133" spans="1:14" s="2" customFormat="1">
      <c r="A34133" s="83"/>
      <c r="H34133" s="83"/>
      <c r="K34133" s="82"/>
      <c r="M34133" s="112"/>
      <c r="N34133" s="84"/>
    </row>
    <row r="34134" spans="1:14" s="2" customFormat="1">
      <c r="A34134" s="83"/>
      <c r="H34134" s="83"/>
      <c r="K34134" s="82"/>
      <c r="M34134" s="112"/>
      <c r="N34134" s="84"/>
    </row>
    <row r="34135" spans="1:14" s="2" customFormat="1">
      <c r="A34135" s="83"/>
      <c r="H34135" s="83"/>
      <c r="K34135" s="82"/>
      <c r="M34135" s="112"/>
      <c r="N34135" s="84"/>
    </row>
    <row r="34136" spans="1:14" s="2" customFormat="1">
      <c r="A34136" s="83"/>
      <c r="H34136" s="83"/>
      <c r="K34136" s="82"/>
      <c r="M34136" s="112"/>
      <c r="N34136" s="84"/>
    </row>
    <row r="34137" spans="1:14" s="2" customFormat="1">
      <c r="A34137" s="83"/>
      <c r="H34137" s="83"/>
      <c r="K34137" s="82"/>
      <c r="M34137" s="112"/>
      <c r="N34137" s="84"/>
    </row>
    <row r="34138" spans="1:14" s="2" customFormat="1">
      <c r="A34138" s="83"/>
      <c r="H34138" s="83"/>
      <c r="K34138" s="82"/>
      <c r="M34138" s="112"/>
      <c r="N34138" s="84"/>
    </row>
    <row r="34139" spans="1:14" s="2" customFormat="1">
      <c r="A34139" s="83"/>
      <c r="H34139" s="83"/>
      <c r="K34139" s="82"/>
      <c r="M34139" s="112"/>
      <c r="N34139" s="84"/>
    </row>
    <row r="34140" spans="1:14" s="2" customFormat="1">
      <c r="A34140" s="83"/>
      <c r="H34140" s="83"/>
      <c r="K34140" s="82"/>
      <c r="M34140" s="112"/>
      <c r="N34140" s="84"/>
    </row>
    <row r="34141" spans="1:14" s="2" customFormat="1">
      <c r="A34141" s="83"/>
      <c r="H34141" s="83"/>
      <c r="K34141" s="82"/>
      <c r="M34141" s="112"/>
      <c r="N34141" s="84"/>
    </row>
    <row r="34142" spans="1:14" s="2" customFormat="1">
      <c r="A34142" s="83"/>
      <c r="H34142" s="83"/>
      <c r="K34142" s="82"/>
      <c r="M34142" s="112"/>
      <c r="N34142" s="84"/>
    </row>
    <row r="34143" spans="1:14" s="2" customFormat="1">
      <c r="A34143" s="83"/>
      <c r="H34143" s="83"/>
      <c r="K34143" s="82"/>
      <c r="M34143" s="112"/>
      <c r="N34143" s="84"/>
    </row>
    <row r="34144" spans="1:14" s="2" customFormat="1">
      <c r="A34144" s="83"/>
      <c r="H34144" s="83"/>
      <c r="K34144" s="82"/>
      <c r="M34144" s="112"/>
      <c r="N34144" s="84"/>
    </row>
    <row r="34145" spans="1:14" s="2" customFormat="1">
      <c r="A34145" s="83"/>
      <c r="H34145" s="83"/>
      <c r="K34145" s="82"/>
      <c r="M34145" s="112"/>
      <c r="N34145" s="84"/>
    </row>
    <row r="34146" spans="1:14" s="2" customFormat="1">
      <c r="A34146" s="83"/>
      <c r="H34146" s="83"/>
      <c r="K34146" s="82"/>
      <c r="M34146" s="112"/>
      <c r="N34146" s="84"/>
    </row>
    <row r="34147" spans="1:14" s="2" customFormat="1">
      <c r="A34147" s="83"/>
      <c r="H34147" s="83"/>
      <c r="K34147" s="82"/>
      <c r="M34147" s="112"/>
      <c r="N34147" s="84"/>
    </row>
    <row r="34148" spans="1:14" s="2" customFormat="1">
      <c r="A34148" s="83"/>
      <c r="H34148" s="83"/>
      <c r="K34148" s="82"/>
      <c r="M34148" s="112"/>
      <c r="N34148" s="84"/>
    </row>
    <row r="34149" spans="1:14" s="2" customFormat="1">
      <c r="A34149" s="83"/>
      <c r="H34149" s="83"/>
      <c r="K34149" s="82"/>
      <c r="M34149" s="112"/>
      <c r="N34149" s="84"/>
    </row>
    <row r="34150" spans="1:14" s="2" customFormat="1">
      <c r="A34150" s="83"/>
      <c r="H34150" s="83"/>
      <c r="K34150" s="82"/>
      <c r="M34150" s="112"/>
      <c r="N34150" s="84"/>
    </row>
    <row r="34151" spans="1:14" s="2" customFormat="1">
      <c r="A34151" s="83"/>
      <c r="H34151" s="83"/>
      <c r="K34151" s="82"/>
      <c r="M34151" s="112"/>
      <c r="N34151" s="84"/>
    </row>
    <row r="34152" spans="1:14" s="2" customFormat="1">
      <c r="A34152" s="83"/>
      <c r="H34152" s="83"/>
      <c r="K34152" s="82"/>
      <c r="M34152" s="112"/>
      <c r="N34152" s="84"/>
    </row>
    <row r="34153" spans="1:14" s="2" customFormat="1">
      <c r="A34153" s="83"/>
      <c r="H34153" s="83"/>
      <c r="K34153" s="82"/>
      <c r="M34153" s="112"/>
      <c r="N34153" s="84"/>
    </row>
    <row r="34154" spans="1:14" s="2" customFormat="1">
      <c r="A34154" s="83"/>
      <c r="H34154" s="83"/>
      <c r="K34154" s="82"/>
      <c r="M34154" s="112"/>
      <c r="N34154" s="84"/>
    </row>
    <row r="34155" spans="1:14" s="2" customFormat="1">
      <c r="A34155" s="83"/>
      <c r="H34155" s="83"/>
      <c r="K34155" s="82"/>
      <c r="M34155" s="112"/>
      <c r="N34155" s="84"/>
    </row>
    <row r="34156" spans="1:14" s="2" customFormat="1">
      <c r="A34156" s="83"/>
      <c r="H34156" s="83"/>
      <c r="K34156" s="82"/>
      <c r="M34156" s="112"/>
      <c r="N34156" s="84"/>
    </row>
    <row r="34157" spans="1:14" s="2" customFormat="1">
      <c r="A34157" s="83"/>
      <c r="H34157" s="83"/>
      <c r="K34157" s="82"/>
      <c r="M34157" s="112"/>
      <c r="N34157" s="84"/>
    </row>
    <row r="34158" spans="1:14" s="2" customFormat="1">
      <c r="A34158" s="83"/>
      <c r="H34158" s="83"/>
      <c r="K34158" s="82"/>
      <c r="M34158" s="112"/>
      <c r="N34158" s="84"/>
    </row>
    <row r="34159" spans="1:14" s="2" customFormat="1">
      <c r="A34159" s="83"/>
      <c r="H34159" s="83"/>
      <c r="K34159" s="82"/>
      <c r="M34159" s="112"/>
      <c r="N34159" s="84"/>
    </row>
    <row r="34160" spans="1:14" s="2" customFormat="1">
      <c r="A34160" s="83"/>
      <c r="H34160" s="83"/>
      <c r="K34160" s="82"/>
      <c r="M34160" s="112"/>
      <c r="N34160" s="84"/>
    </row>
    <row r="34161" spans="1:14" s="2" customFormat="1">
      <c r="A34161" s="83"/>
      <c r="H34161" s="83"/>
      <c r="K34161" s="82"/>
      <c r="M34161" s="112"/>
      <c r="N34161" s="84"/>
    </row>
    <row r="34162" spans="1:14" s="2" customFormat="1">
      <c r="A34162" s="83"/>
      <c r="H34162" s="83"/>
      <c r="K34162" s="82"/>
      <c r="M34162" s="112"/>
      <c r="N34162" s="84"/>
    </row>
    <row r="34163" spans="1:14" s="2" customFormat="1">
      <c r="A34163" s="83"/>
      <c r="H34163" s="83"/>
      <c r="K34163" s="82"/>
      <c r="M34163" s="112"/>
      <c r="N34163" s="84"/>
    </row>
    <row r="34164" spans="1:14" s="2" customFormat="1">
      <c r="A34164" s="83"/>
      <c r="H34164" s="83"/>
      <c r="K34164" s="82"/>
      <c r="M34164" s="112"/>
      <c r="N34164" s="84"/>
    </row>
    <row r="34165" spans="1:14" s="2" customFormat="1">
      <c r="A34165" s="83"/>
      <c r="H34165" s="83"/>
      <c r="K34165" s="82"/>
      <c r="M34165" s="112"/>
      <c r="N34165" s="84"/>
    </row>
    <row r="34166" spans="1:14" s="2" customFormat="1">
      <c r="A34166" s="83"/>
      <c r="H34166" s="83"/>
      <c r="K34166" s="82"/>
      <c r="M34166" s="112"/>
      <c r="N34166" s="84"/>
    </row>
    <row r="34167" spans="1:14" s="2" customFormat="1">
      <c r="A34167" s="83"/>
      <c r="H34167" s="83"/>
      <c r="K34167" s="82"/>
      <c r="M34167" s="112"/>
      <c r="N34167" s="84"/>
    </row>
    <row r="34168" spans="1:14" s="2" customFormat="1">
      <c r="A34168" s="83"/>
      <c r="H34168" s="83"/>
      <c r="K34168" s="82"/>
      <c r="M34168" s="112"/>
      <c r="N34168" s="84"/>
    </row>
    <row r="34169" spans="1:14" s="2" customFormat="1">
      <c r="A34169" s="83"/>
      <c r="H34169" s="83"/>
      <c r="K34169" s="82"/>
      <c r="M34169" s="112"/>
      <c r="N34169" s="84"/>
    </row>
    <row r="34170" spans="1:14" s="2" customFormat="1">
      <c r="A34170" s="83"/>
      <c r="H34170" s="83"/>
      <c r="K34170" s="82"/>
      <c r="M34170" s="112"/>
      <c r="N34170" s="84"/>
    </row>
    <row r="34171" spans="1:14" s="2" customFormat="1">
      <c r="A34171" s="83"/>
      <c r="H34171" s="83"/>
      <c r="K34171" s="82"/>
      <c r="M34171" s="112"/>
      <c r="N34171" s="84"/>
    </row>
    <row r="34172" spans="1:14" s="2" customFormat="1">
      <c r="A34172" s="83"/>
      <c r="H34172" s="83"/>
      <c r="K34172" s="82"/>
      <c r="M34172" s="112"/>
      <c r="N34172" s="84"/>
    </row>
    <row r="34173" spans="1:14" s="2" customFormat="1">
      <c r="A34173" s="83"/>
      <c r="H34173" s="83"/>
      <c r="K34173" s="82"/>
      <c r="M34173" s="112"/>
      <c r="N34173" s="84"/>
    </row>
    <row r="34174" spans="1:14" s="2" customFormat="1">
      <c r="A34174" s="83"/>
      <c r="H34174" s="83"/>
      <c r="K34174" s="82"/>
      <c r="M34174" s="112"/>
      <c r="N34174" s="84"/>
    </row>
    <row r="34175" spans="1:14" s="2" customFormat="1">
      <c r="A34175" s="83"/>
      <c r="H34175" s="83"/>
      <c r="K34175" s="82"/>
      <c r="M34175" s="112"/>
      <c r="N34175" s="84"/>
    </row>
    <row r="34176" spans="1:14" s="2" customFormat="1">
      <c r="A34176" s="83"/>
      <c r="H34176" s="83"/>
      <c r="K34176" s="82"/>
      <c r="M34176" s="112"/>
      <c r="N34176" s="84"/>
    </row>
    <row r="34177" spans="1:14" s="2" customFormat="1">
      <c r="A34177" s="83"/>
      <c r="H34177" s="83"/>
      <c r="K34177" s="82"/>
      <c r="M34177" s="112"/>
      <c r="N34177" s="84"/>
    </row>
    <row r="34178" spans="1:14" s="2" customFormat="1">
      <c r="A34178" s="83"/>
      <c r="H34178" s="83"/>
      <c r="K34178" s="82"/>
      <c r="M34178" s="112"/>
      <c r="N34178" s="84"/>
    </row>
    <row r="34179" spans="1:14" s="2" customFormat="1">
      <c r="A34179" s="83"/>
      <c r="H34179" s="83"/>
      <c r="K34179" s="82"/>
      <c r="M34179" s="112"/>
      <c r="N34179" s="84"/>
    </row>
    <row r="34180" spans="1:14" s="2" customFormat="1">
      <c r="A34180" s="83"/>
      <c r="H34180" s="83"/>
      <c r="K34180" s="82"/>
      <c r="M34180" s="112"/>
      <c r="N34180" s="84"/>
    </row>
    <row r="34181" spans="1:14" s="2" customFormat="1">
      <c r="A34181" s="83"/>
      <c r="H34181" s="83"/>
      <c r="K34181" s="82"/>
      <c r="M34181" s="112"/>
      <c r="N34181" s="84"/>
    </row>
    <row r="34182" spans="1:14" s="2" customFormat="1">
      <c r="A34182" s="83"/>
      <c r="H34182" s="83"/>
      <c r="K34182" s="82"/>
      <c r="M34182" s="112"/>
      <c r="N34182" s="84"/>
    </row>
    <row r="34183" spans="1:14" s="2" customFormat="1">
      <c r="A34183" s="83"/>
      <c r="H34183" s="83"/>
      <c r="K34183" s="82"/>
      <c r="M34183" s="112"/>
      <c r="N34183" s="84"/>
    </row>
    <row r="34184" spans="1:14" s="2" customFormat="1">
      <c r="A34184" s="83"/>
      <c r="H34184" s="83"/>
      <c r="K34184" s="82"/>
      <c r="M34184" s="112"/>
      <c r="N34184" s="84"/>
    </row>
    <row r="34185" spans="1:14" s="2" customFormat="1">
      <c r="A34185" s="83"/>
      <c r="H34185" s="83"/>
      <c r="K34185" s="82"/>
      <c r="M34185" s="112"/>
      <c r="N34185" s="84"/>
    </row>
    <row r="34186" spans="1:14" s="2" customFormat="1">
      <c r="A34186" s="83"/>
      <c r="H34186" s="83"/>
      <c r="K34186" s="82"/>
      <c r="M34186" s="112"/>
      <c r="N34186" s="84"/>
    </row>
    <row r="34187" spans="1:14" s="2" customFormat="1">
      <c r="A34187" s="83"/>
      <c r="H34187" s="83"/>
      <c r="K34187" s="82"/>
      <c r="M34187" s="112"/>
      <c r="N34187" s="84"/>
    </row>
    <row r="34188" spans="1:14" s="2" customFormat="1">
      <c r="A34188" s="83"/>
      <c r="H34188" s="83"/>
      <c r="K34188" s="82"/>
      <c r="M34188" s="112"/>
      <c r="N34188" s="84"/>
    </row>
    <row r="34189" spans="1:14" s="2" customFormat="1">
      <c r="A34189" s="83"/>
      <c r="H34189" s="83"/>
      <c r="K34189" s="82"/>
      <c r="M34189" s="112"/>
      <c r="N34189" s="84"/>
    </row>
    <row r="34190" spans="1:14" s="2" customFormat="1">
      <c r="A34190" s="83"/>
      <c r="H34190" s="83"/>
      <c r="K34190" s="82"/>
      <c r="M34190" s="112"/>
      <c r="N34190" s="84"/>
    </row>
    <row r="34191" spans="1:14" s="2" customFormat="1">
      <c r="A34191" s="83"/>
      <c r="H34191" s="83"/>
      <c r="K34191" s="82"/>
      <c r="M34191" s="112"/>
      <c r="N34191" s="84"/>
    </row>
    <row r="34192" spans="1:14" s="2" customFormat="1">
      <c r="A34192" s="83"/>
      <c r="H34192" s="83"/>
      <c r="K34192" s="82"/>
      <c r="M34192" s="112"/>
      <c r="N34192" s="84"/>
    </row>
    <row r="34193" spans="1:14" s="2" customFormat="1">
      <c r="A34193" s="83"/>
      <c r="H34193" s="83"/>
      <c r="K34193" s="82"/>
      <c r="M34193" s="112"/>
      <c r="N34193" s="84"/>
    </row>
    <row r="34194" spans="1:14" s="2" customFormat="1">
      <c r="A34194" s="83"/>
      <c r="H34194" s="83"/>
      <c r="K34194" s="82"/>
      <c r="M34194" s="112"/>
      <c r="N34194" s="84"/>
    </row>
    <row r="34195" spans="1:14" s="2" customFormat="1">
      <c r="A34195" s="83"/>
      <c r="H34195" s="83"/>
      <c r="K34195" s="82"/>
      <c r="M34195" s="112"/>
      <c r="N34195" s="84"/>
    </row>
    <row r="34196" spans="1:14" s="2" customFormat="1">
      <c r="A34196" s="83"/>
      <c r="H34196" s="83"/>
      <c r="K34196" s="82"/>
      <c r="M34196" s="112"/>
      <c r="N34196" s="84"/>
    </row>
    <row r="34197" spans="1:14" s="2" customFormat="1">
      <c r="A34197" s="83"/>
      <c r="H34197" s="83"/>
      <c r="K34197" s="82"/>
      <c r="M34197" s="112"/>
      <c r="N34197" s="84"/>
    </row>
    <row r="34198" spans="1:14" s="2" customFormat="1">
      <c r="A34198" s="83"/>
      <c r="H34198" s="83"/>
      <c r="K34198" s="82"/>
      <c r="M34198" s="112"/>
      <c r="N34198" s="84"/>
    </row>
    <row r="34199" spans="1:14" s="2" customFormat="1">
      <c r="A34199" s="83"/>
      <c r="H34199" s="83"/>
      <c r="K34199" s="82"/>
      <c r="M34199" s="112"/>
      <c r="N34199" s="84"/>
    </row>
    <row r="34200" spans="1:14" s="2" customFormat="1">
      <c r="A34200" s="83"/>
      <c r="H34200" s="83"/>
      <c r="K34200" s="82"/>
      <c r="M34200" s="112"/>
      <c r="N34200" s="84"/>
    </row>
    <row r="34201" spans="1:14" s="2" customFormat="1">
      <c r="A34201" s="83"/>
      <c r="H34201" s="83"/>
      <c r="K34201" s="82"/>
      <c r="M34201" s="112"/>
      <c r="N34201" s="84"/>
    </row>
    <row r="34202" spans="1:14" s="2" customFormat="1">
      <c r="A34202" s="83"/>
      <c r="H34202" s="83"/>
      <c r="K34202" s="82"/>
      <c r="M34202" s="112"/>
      <c r="N34202" s="84"/>
    </row>
    <row r="34203" spans="1:14" s="2" customFormat="1">
      <c r="A34203" s="83"/>
      <c r="H34203" s="83"/>
      <c r="K34203" s="82"/>
      <c r="M34203" s="112"/>
      <c r="N34203" s="84"/>
    </row>
    <row r="34204" spans="1:14" s="2" customFormat="1">
      <c r="A34204" s="83"/>
      <c r="H34204" s="83"/>
      <c r="K34204" s="82"/>
      <c r="M34204" s="112"/>
      <c r="N34204" s="84"/>
    </row>
    <row r="34205" spans="1:14" s="2" customFormat="1">
      <c r="A34205" s="83"/>
      <c r="H34205" s="83"/>
      <c r="K34205" s="82"/>
      <c r="M34205" s="112"/>
      <c r="N34205" s="84"/>
    </row>
    <row r="34206" spans="1:14" s="2" customFormat="1">
      <c r="A34206" s="83"/>
      <c r="H34206" s="83"/>
      <c r="K34206" s="82"/>
      <c r="M34206" s="112"/>
      <c r="N34206" s="84"/>
    </row>
    <row r="34207" spans="1:14" s="2" customFormat="1">
      <c r="A34207" s="83"/>
      <c r="H34207" s="83"/>
      <c r="K34207" s="82"/>
      <c r="M34207" s="112"/>
      <c r="N34207" s="84"/>
    </row>
    <row r="34208" spans="1:14" s="2" customFormat="1">
      <c r="A34208" s="83"/>
      <c r="H34208" s="83"/>
      <c r="K34208" s="82"/>
      <c r="M34208" s="112"/>
      <c r="N34208" s="84"/>
    </row>
    <row r="34209" spans="1:14" s="2" customFormat="1">
      <c r="A34209" s="83"/>
      <c r="H34209" s="83"/>
      <c r="K34209" s="82"/>
      <c r="M34209" s="112"/>
      <c r="N34209" s="84"/>
    </row>
    <row r="34210" spans="1:14" s="2" customFormat="1">
      <c r="A34210" s="83"/>
      <c r="H34210" s="83"/>
      <c r="K34210" s="82"/>
      <c r="M34210" s="112"/>
      <c r="N34210" s="84"/>
    </row>
    <row r="34211" spans="1:14" s="2" customFormat="1">
      <c r="A34211" s="83"/>
      <c r="H34211" s="83"/>
      <c r="K34211" s="82"/>
      <c r="M34211" s="112"/>
      <c r="N34211" s="84"/>
    </row>
    <row r="34212" spans="1:14" s="2" customFormat="1">
      <c r="A34212" s="83"/>
      <c r="H34212" s="83"/>
      <c r="K34212" s="82"/>
      <c r="M34212" s="112"/>
      <c r="N34212" s="84"/>
    </row>
    <row r="34213" spans="1:14" s="2" customFormat="1">
      <c r="A34213" s="83"/>
      <c r="H34213" s="83"/>
      <c r="K34213" s="82"/>
      <c r="M34213" s="112"/>
      <c r="N34213" s="84"/>
    </row>
    <row r="34214" spans="1:14" s="2" customFormat="1">
      <c r="A34214" s="83"/>
      <c r="H34214" s="83"/>
      <c r="K34214" s="82"/>
      <c r="M34214" s="112"/>
      <c r="N34214" s="84"/>
    </row>
    <row r="34215" spans="1:14" s="2" customFormat="1">
      <c r="A34215" s="83"/>
      <c r="H34215" s="83"/>
      <c r="K34215" s="82"/>
      <c r="M34215" s="112"/>
      <c r="N34215" s="84"/>
    </row>
    <row r="34216" spans="1:14" s="2" customFormat="1">
      <c r="A34216" s="83"/>
      <c r="H34216" s="83"/>
      <c r="K34216" s="82"/>
      <c r="M34216" s="112"/>
      <c r="N34216" s="84"/>
    </row>
    <row r="34217" spans="1:14" s="2" customFormat="1">
      <c r="A34217" s="83"/>
      <c r="H34217" s="83"/>
      <c r="K34217" s="82"/>
      <c r="M34217" s="112"/>
      <c r="N34217" s="84"/>
    </row>
    <row r="34218" spans="1:14" s="2" customFormat="1">
      <c r="A34218" s="83"/>
      <c r="H34218" s="83"/>
      <c r="K34218" s="82"/>
      <c r="M34218" s="112"/>
      <c r="N34218" s="84"/>
    </row>
    <row r="34219" spans="1:14" s="2" customFormat="1">
      <c r="A34219" s="83"/>
      <c r="H34219" s="83"/>
      <c r="K34219" s="82"/>
      <c r="M34219" s="112"/>
      <c r="N34219" s="84"/>
    </row>
    <row r="34220" spans="1:14" s="2" customFormat="1">
      <c r="A34220" s="83"/>
      <c r="H34220" s="83"/>
      <c r="K34220" s="82"/>
      <c r="M34220" s="112"/>
      <c r="N34220" s="84"/>
    </row>
    <row r="34221" spans="1:14" s="2" customFormat="1">
      <c r="A34221" s="83"/>
      <c r="H34221" s="83"/>
      <c r="K34221" s="82"/>
      <c r="M34221" s="112"/>
      <c r="N34221" s="84"/>
    </row>
    <row r="34222" spans="1:14" s="2" customFormat="1">
      <c r="A34222" s="83"/>
      <c r="H34222" s="83"/>
      <c r="K34222" s="82"/>
      <c r="M34222" s="112"/>
      <c r="N34222" s="84"/>
    </row>
    <row r="34223" spans="1:14" s="2" customFormat="1">
      <c r="A34223" s="83"/>
      <c r="H34223" s="83"/>
      <c r="K34223" s="82"/>
      <c r="M34223" s="112"/>
      <c r="N34223" s="84"/>
    </row>
    <row r="34224" spans="1:14" s="2" customFormat="1">
      <c r="A34224" s="83"/>
      <c r="H34224" s="83"/>
      <c r="K34224" s="82"/>
      <c r="M34224" s="112"/>
      <c r="N34224" s="84"/>
    </row>
    <row r="34225" spans="1:14" s="2" customFormat="1">
      <c r="A34225" s="83"/>
      <c r="H34225" s="83"/>
      <c r="K34225" s="82"/>
      <c r="M34225" s="112"/>
      <c r="N34225" s="84"/>
    </row>
    <row r="34226" spans="1:14" s="2" customFormat="1">
      <c r="A34226" s="83"/>
      <c r="H34226" s="83"/>
      <c r="K34226" s="82"/>
      <c r="M34226" s="112"/>
      <c r="N34226" s="84"/>
    </row>
    <row r="34227" spans="1:14" s="2" customFormat="1">
      <c r="A34227" s="83"/>
      <c r="H34227" s="83"/>
      <c r="K34227" s="82"/>
      <c r="M34227" s="112"/>
      <c r="N34227" s="84"/>
    </row>
    <row r="34228" spans="1:14" s="2" customFormat="1">
      <c r="A34228" s="83"/>
      <c r="H34228" s="83"/>
      <c r="K34228" s="82"/>
      <c r="M34228" s="112"/>
      <c r="N34228" s="84"/>
    </row>
    <row r="34229" spans="1:14" s="2" customFormat="1">
      <c r="A34229" s="83"/>
      <c r="H34229" s="83"/>
      <c r="K34229" s="82"/>
      <c r="M34229" s="112"/>
      <c r="N34229" s="84"/>
    </row>
    <row r="34230" spans="1:14" s="2" customFormat="1">
      <c r="A34230" s="83"/>
      <c r="H34230" s="83"/>
      <c r="K34230" s="82"/>
      <c r="M34230" s="112"/>
      <c r="N34230" s="84"/>
    </row>
    <row r="34231" spans="1:14" s="2" customFormat="1">
      <c r="A34231" s="83"/>
      <c r="H34231" s="83"/>
      <c r="K34231" s="82"/>
      <c r="M34231" s="112"/>
      <c r="N34231" s="84"/>
    </row>
    <row r="34232" spans="1:14" s="2" customFormat="1">
      <c r="A34232" s="83"/>
      <c r="H34232" s="83"/>
      <c r="K34232" s="82"/>
      <c r="M34232" s="112"/>
      <c r="N34232" s="84"/>
    </row>
    <row r="34233" spans="1:14" s="2" customFormat="1">
      <c r="A34233" s="83"/>
      <c r="H34233" s="83"/>
      <c r="K34233" s="82"/>
      <c r="M34233" s="112"/>
      <c r="N34233" s="84"/>
    </row>
    <row r="34234" spans="1:14" s="2" customFormat="1">
      <c r="A34234" s="83"/>
      <c r="H34234" s="83"/>
      <c r="K34234" s="82"/>
      <c r="M34234" s="112"/>
      <c r="N34234" s="84"/>
    </row>
    <row r="34235" spans="1:14" s="2" customFormat="1">
      <c r="A34235" s="83"/>
      <c r="H34235" s="83"/>
      <c r="K34235" s="82"/>
      <c r="M34235" s="112"/>
      <c r="N34235" s="84"/>
    </row>
    <row r="34236" spans="1:14" s="2" customFormat="1">
      <c r="A34236" s="83"/>
      <c r="H34236" s="83"/>
      <c r="K34236" s="82"/>
      <c r="M34236" s="112"/>
      <c r="N34236" s="84"/>
    </row>
    <row r="34237" spans="1:14" s="2" customFormat="1">
      <c r="A34237" s="83"/>
      <c r="H34237" s="83"/>
      <c r="K34237" s="82"/>
      <c r="M34237" s="112"/>
      <c r="N34237" s="84"/>
    </row>
    <row r="34238" spans="1:14" s="2" customFormat="1">
      <c r="A34238" s="83"/>
      <c r="H34238" s="83"/>
      <c r="K34238" s="82"/>
      <c r="M34238" s="112"/>
      <c r="N34238" s="84"/>
    </row>
    <row r="34239" spans="1:14" s="2" customFormat="1">
      <c r="A34239" s="83"/>
      <c r="H34239" s="83"/>
      <c r="K34239" s="82"/>
      <c r="M34239" s="112"/>
      <c r="N34239" s="84"/>
    </row>
    <row r="34240" spans="1:14" s="2" customFormat="1">
      <c r="A34240" s="83"/>
      <c r="H34240" s="83"/>
      <c r="K34240" s="82"/>
      <c r="M34240" s="112"/>
      <c r="N34240" s="84"/>
    </row>
    <row r="34241" spans="1:14" s="2" customFormat="1">
      <c r="A34241" s="83"/>
      <c r="H34241" s="83"/>
      <c r="K34241" s="82"/>
      <c r="M34241" s="112"/>
      <c r="N34241" s="84"/>
    </row>
    <row r="34242" spans="1:14" s="2" customFormat="1">
      <c r="A34242" s="83"/>
      <c r="H34242" s="83"/>
      <c r="K34242" s="82"/>
      <c r="M34242" s="112"/>
      <c r="N34242" s="84"/>
    </row>
    <row r="34243" spans="1:14" s="2" customFormat="1">
      <c r="A34243" s="83"/>
      <c r="H34243" s="83"/>
      <c r="K34243" s="82"/>
      <c r="M34243" s="112"/>
      <c r="N34243" s="84"/>
    </row>
    <row r="34244" spans="1:14" s="2" customFormat="1">
      <c r="A34244" s="83"/>
      <c r="H34244" s="83"/>
      <c r="K34244" s="82"/>
      <c r="M34244" s="112"/>
      <c r="N34244" s="84"/>
    </row>
    <row r="34245" spans="1:14" s="2" customFormat="1">
      <c r="A34245" s="83"/>
      <c r="H34245" s="83"/>
      <c r="K34245" s="82"/>
      <c r="M34245" s="112"/>
      <c r="N34245" s="84"/>
    </row>
    <row r="34246" spans="1:14" s="2" customFormat="1">
      <c r="A34246" s="83"/>
      <c r="H34246" s="83"/>
      <c r="K34246" s="82"/>
      <c r="M34246" s="112"/>
      <c r="N34246" s="84"/>
    </row>
    <row r="34247" spans="1:14" s="2" customFormat="1">
      <c r="A34247" s="83"/>
      <c r="H34247" s="83"/>
      <c r="K34247" s="82"/>
      <c r="M34247" s="112"/>
      <c r="N34247" s="84"/>
    </row>
    <row r="34248" spans="1:14" s="2" customFormat="1">
      <c r="A34248" s="83"/>
      <c r="H34248" s="83"/>
      <c r="K34248" s="82"/>
      <c r="M34248" s="112"/>
      <c r="N34248" s="84"/>
    </row>
    <row r="34249" spans="1:14" s="2" customFormat="1">
      <c r="A34249" s="83"/>
      <c r="H34249" s="83"/>
      <c r="K34249" s="82"/>
      <c r="M34249" s="112"/>
      <c r="N34249" s="84"/>
    </row>
    <row r="34250" spans="1:14" s="2" customFormat="1">
      <c r="A34250" s="83"/>
      <c r="H34250" s="83"/>
      <c r="K34250" s="82"/>
      <c r="M34250" s="112"/>
      <c r="N34250" s="84"/>
    </row>
    <row r="34251" spans="1:14" s="2" customFormat="1">
      <c r="A34251" s="83"/>
      <c r="H34251" s="83"/>
      <c r="K34251" s="82"/>
      <c r="M34251" s="112"/>
      <c r="N34251" s="84"/>
    </row>
    <row r="34252" spans="1:14" s="2" customFormat="1">
      <c r="A34252" s="83"/>
      <c r="H34252" s="83"/>
      <c r="K34252" s="82"/>
      <c r="M34252" s="112"/>
      <c r="N34252" s="84"/>
    </row>
    <row r="34253" spans="1:14" s="2" customFormat="1">
      <c r="A34253" s="83"/>
      <c r="H34253" s="83"/>
      <c r="K34253" s="82"/>
      <c r="M34253" s="112"/>
      <c r="N34253" s="84"/>
    </row>
    <row r="34254" spans="1:14" s="2" customFormat="1">
      <c r="A34254" s="83"/>
      <c r="H34254" s="83"/>
      <c r="K34254" s="82"/>
      <c r="M34254" s="112"/>
      <c r="N34254" s="84"/>
    </row>
    <row r="34255" spans="1:14" s="2" customFormat="1">
      <c r="A34255" s="83"/>
      <c r="H34255" s="83"/>
      <c r="K34255" s="82"/>
      <c r="M34255" s="112"/>
      <c r="N34255" s="84"/>
    </row>
    <row r="34256" spans="1:14" s="2" customFormat="1">
      <c r="A34256" s="83"/>
      <c r="H34256" s="83"/>
      <c r="K34256" s="82"/>
      <c r="M34256" s="112"/>
      <c r="N34256" s="84"/>
    </row>
    <row r="34257" spans="1:14" s="2" customFormat="1">
      <c r="A34257" s="83"/>
      <c r="H34257" s="83"/>
      <c r="K34257" s="82"/>
      <c r="M34257" s="112"/>
      <c r="N34257" s="84"/>
    </row>
    <row r="34258" spans="1:14" s="2" customFormat="1">
      <c r="A34258" s="83"/>
      <c r="H34258" s="83"/>
      <c r="K34258" s="82"/>
      <c r="M34258" s="112"/>
      <c r="N34258" s="84"/>
    </row>
    <row r="34259" spans="1:14" s="2" customFormat="1">
      <c r="A34259" s="83"/>
      <c r="H34259" s="83"/>
      <c r="K34259" s="82"/>
      <c r="M34259" s="112"/>
      <c r="N34259" s="84"/>
    </row>
    <row r="34260" spans="1:14" s="2" customFormat="1">
      <c r="A34260" s="83"/>
      <c r="H34260" s="83"/>
      <c r="K34260" s="82"/>
      <c r="M34260" s="112"/>
      <c r="N34260" s="84"/>
    </row>
    <row r="34261" spans="1:14" s="2" customFormat="1">
      <c r="A34261" s="83"/>
      <c r="H34261" s="83"/>
      <c r="K34261" s="82"/>
      <c r="M34261" s="112"/>
      <c r="N34261" s="84"/>
    </row>
    <row r="34262" spans="1:14" s="2" customFormat="1">
      <c r="A34262" s="83"/>
      <c r="H34262" s="83"/>
      <c r="K34262" s="82"/>
      <c r="M34262" s="112"/>
      <c r="N34262" s="84"/>
    </row>
    <row r="34263" spans="1:14" s="2" customFormat="1">
      <c r="A34263" s="83"/>
      <c r="H34263" s="83"/>
      <c r="K34263" s="82"/>
      <c r="M34263" s="112"/>
      <c r="N34263" s="84"/>
    </row>
    <row r="34264" spans="1:14" s="2" customFormat="1">
      <c r="A34264" s="83"/>
      <c r="H34264" s="83"/>
      <c r="K34264" s="82"/>
      <c r="M34264" s="112"/>
      <c r="N34264" s="84"/>
    </row>
    <row r="34265" spans="1:14" s="2" customFormat="1">
      <c r="A34265" s="83"/>
      <c r="H34265" s="83"/>
      <c r="K34265" s="82"/>
      <c r="M34265" s="112"/>
      <c r="N34265" s="84"/>
    </row>
    <row r="34266" spans="1:14" s="2" customFormat="1">
      <c r="A34266" s="83"/>
      <c r="H34266" s="83"/>
      <c r="K34266" s="82"/>
      <c r="M34266" s="112"/>
      <c r="N34266" s="84"/>
    </row>
    <row r="34267" spans="1:14" s="2" customFormat="1">
      <c r="A34267" s="83"/>
      <c r="H34267" s="83"/>
      <c r="K34267" s="82"/>
      <c r="M34267" s="112"/>
      <c r="N34267" s="84"/>
    </row>
    <row r="34268" spans="1:14" s="2" customFormat="1">
      <c r="A34268" s="83"/>
      <c r="H34268" s="83"/>
      <c r="K34268" s="82"/>
      <c r="M34268" s="112"/>
      <c r="N34268" s="84"/>
    </row>
    <row r="34269" spans="1:14" s="2" customFormat="1">
      <c r="A34269" s="83"/>
      <c r="H34269" s="83"/>
      <c r="K34269" s="82"/>
      <c r="M34269" s="112"/>
      <c r="N34269" s="84"/>
    </row>
    <row r="34270" spans="1:14" s="2" customFormat="1">
      <c r="A34270" s="83"/>
      <c r="H34270" s="83"/>
      <c r="K34270" s="82"/>
      <c r="M34270" s="112"/>
      <c r="N34270" s="84"/>
    </row>
    <row r="34271" spans="1:14" s="2" customFormat="1">
      <c r="A34271" s="83"/>
      <c r="H34271" s="83"/>
      <c r="K34271" s="82"/>
      <c r="M34271" s="112"/>
      <c r="N34271" s="84"/>
    </row>
    <row r="34272" spans="1:14" s="2" customFormat="1">
      <c r="A34272" s="83"/>
      <c r="H34272" s="83"/>
      <c r="K34272" s="82"/>
      <c r="M34272" s="112"/>
      <c r="N34272" s="84"/>
    </row>
    <row r="34273" spans="1:14" s="2" customFormat="1">
      <c r="A34273" s="83"/>
      <c r="H34273" s="83"/>
      <c r="K34273" s="82"/>
      <c r="M34273" s="112"/>
      <c r="N34273" s="84"/>
    </row>
    <row r="34274" spans="1:14" s="2" customFormat="1">
      <c r="A34274" s="83"/>
      <c r="H34274" s="83"/>
      <c r="K34274" s="82"/>
      <c r="M34274" s="112"/>
      <c r="N34274" s="84"/>
    </row>
    <row r="34275" spans="1:14" s="2" customFormat="1">
      <c r="A34275" s="83"/>
      <c r="H34275" s="83"/>
      <c r="K34275" s="82"/>
      <c r="M34275" s="112"/>
      <c r="N34275" s="84"/>
    </row>
    <row r="34276" spans="1:14" s="2" customFormat="1">
      <c r="A34276" s="83"/>
      <c r="H34276" s="83"/>
      <c r="K34276" s="82"/>
      <c r="M34276" s="112"/>
      <c r="N34276" s="84"/>
    </row>
    <row r="34277" spans="1:14" s="2" customFormat="1">
      <c r="A34277" s="83"/>
      <c r="H34277" s="83"/>
      <c r="K34277" s="82"/>
      <c r="M34277" s="112"/>
      <c r="N34277" s="84"/>
    </row>
    <row r="34278" spans="1:14" s="2" customFormat="1">
      <c r="A34278" s="83"/>
      <c r="H34278" s="83"/>
      <c r="K34278" s="82"/>
      <c r="M34278" s="112"/>
      <c r="N34278" s="84"/>
    </row>
    <row r="34279" spans="1:14" s="2" customFormat="1">
      <c r="A34279" s="83"/>
      <c r="H34279" s="83"/>
      <c r="K34279" s="82"/>
      <c r="M34279" s="112"/>
      <c r="N34279" s="84"/>
    </row>
    <row r="34280" spans="1:14" s="2" customFormat="1">
      <c r="A34280" s="83"/>
      <c r="H34280" s="83"/>
      <c r="K34280" s="82"/>
      <c r="M34280" s="112"/>
      <c r="N34280" s="84"/>
    </row>
    <row r="34281" spans="1:14" s="2" customFormat="1">
      <c r="A34281" s="83"/>
      <c r="H34281" s="83"/>
      <c r="K34281" s="82"/>
      <c r="M34281" s="112"/>
      <c r="N34281" s="84"/>
    </row>
    <row r="34282" spans="1:14" s="2" customFormat="1">
      <c r="A34282" s="83"/>
      <c r="H34282" s="83"/>
      <c r="K34282" s="82"/>
      <c r="M34282" s="112"/>
      <c r="N34282" s="84"/>
    </row>
    <row r="34283" spans="1:14" s="2" customFormat="1">
      <c r="A34283" s="83"/>
      <c r="H34283" s="83"/>
      <c r="K34283" s="82"/>
      <c r="M34283" s="112"/>
      <c r="N34283" s="84"/>
    </row>
    <row r="34284" spans="1:14" s="2" customFormat="1">
      <c r="A34284" s="83"/>
      <c r="H34284" s="83"/>
      <c r="K34284" s="82"/>
      <c r="M34284" s="112"/>
      <c r="N34284" s="84"/>
    </row>
    <row r="34285" spans="1:14" s="2" customFormat="1">
      <c r="A34285" s="83"/>
      <c r="H34285" s="83"/>
      <c r="K34285" s="82"/>
      <c r="M34285" s="112"/>
      <c r="N34285" s="84"/>
    </row>
    <row r="34286" spans="1:14" s="2" customFormat="1">
      <c r="A34286" s="83"/>
      <c r="H34286" s="83"/>
      <c r="K34286" s="82"/>
      <c r="M34286" s="112"/>
      <c r="N34286" s="84"/>
    </row>
    <row r="34287" spans="1:14" s="2" customFormat="1">
      <c r="A34287" s="83"/>
      <c r="H34287" s="83"/>
      <c r="K34287" s="82"/>
      <c r="M34287" s="112"/>
      <c r="N34287" s="84"/>
    </row>
    <row r="34288" spans="1:14" s="2" customFormat="1">
      <c r="A34288" s="83"/>
      <c r="H34288" s="83"/>
      <c r="K34288" s="82"/>
      <c r="M34288" s="112"/>
      <c r="N34288" s="84"/>
    </row>
    <row r="34289" spans="1:14" s="2" customFormat="1">
      <c r="A34289" s="83"/>
      <c r="H34289" s="83"/>
      <c r="K34289" s="82"/>
      <c r="M34289" s="112"/>
      <c r="N34289" s="84"/>
    </row>
    <row r="34290" spans="1:14" s="2" customFormat="1">
      <c r="A34290" s="83"/>
      <c r="H34290" s="83"/>
      <c r="K34290" s="82"/>
      <c r="M34290" s="112"/>
      <c r="N34290" s="84"/>
    </row>
    <row r="34291" spans="1:14" s="2" customFormat="1">
      <c r="A34291" s="83"/>
      <c r="H34291" s="83"/>
      <c r="K34291" s="82"/>
      <c r="M34291" s="112"/>
      <c r="N34291" s="84"/>
    </row>
    <row r="34292" spans="1:14" s="2" customFormat="1">
      <c r="A34292" s="83"/>
      <c r="H34292" s="83"/>
      <c r="K34292" s="82"/>
      <c r="M34292" s="112"/>
      <c r="N34292" s="84"/>
    </row>
    <row r="34293" spans="1:14" s="2" customFormat="1">
      <c r="A34293" s="83"/>
      <c r="H34293" s="83"/>
      <c r="K34293" s="82"/>
      <c r="M34293" s="112"/>
      <c r="N34293" s="84"/>
    </row>
    <row r="34294" spans="1:14" s="2" customFormat="1">
      <c r="A34294" s="83"/>
      <c r="H34294" s="83"/>
      <c r="K34294" s="82"/>
      <c r="M34294" s="112"/>
      <c r="N34294" s="84"/>
    </row>
    <row r="34295" spans="1:14" s="2" customFormat="1">
      <c r="A34295" s="83"/>
      <c r="H34295" s="83"/>
      <c r="K34295" s="82"/>
      <c r="M34295" s="112"/>
      <c r="N34295" s="84"/>
    </row>
    <row r="34296" spans="1:14" s="2" customFormat="1">
      <c r="A34296" s="83"/>
      <c r="H34296" s="83"/>
      <c r="K34296" s="82"/>
      <c r="M34296" s="112"/>
      <c r="N34296" s="84"/>
    </row>
    <row r="34297" spans="1:14" s="2" customFormat="1">
      <c r="A34297" s="83"/>
      <c r="H34297" s="83"/>
      <c r="K34297" s="82"/>
      <c r="M34297" s="112"/>
      <c r="N34297" s="84"/>
    </row>
    <row r="34298" spans="1:14" s="2" customFormat="1">
      <c r="A34298" s="83"/>
      <c r="H34298" s="83"/>
      <c r="K34298" s="82"/>
      <c r="M34298" s="112"/>
      <c r="N34298" s="84"/>
    </row>
    <row r="34299" spans="1:14" s="2" customFormat="1">
      <c r="A34299" s="83"/>
      <c r="H34299" s="83"/>
      <c r="K34299" s="82"/>
      <c r="M34299" s="112"/>
      <c r="N34299" s="84"/>
    </row>
    <row r="34300" spans="1:14" s="2" customFormat="1">
      <c r="A34300" s="83"/>
      <c r="H34300" s="83"/>
      <c r="K34300" s="82"/>
      <c r="M34300" s="112"/>
      <c r="N34300" s="84"/>
    </row>
    <row r="34301" spans="1:14" s="2" customFormat="1">
      <c r="A34301" s="83"/>
      <c r="H34301" s="83"/>
      <c r="K34301" s="82"/>
      <c r="M34301" s="112"/>
      <c r="N34301" s="84"/>
    </row>
    <row r="34302" spans="1:14" s="2" customFormat="1">
      <c r="A34302" s="83"/>
      <c r="H34302" s="83"/>
      <c r="K34302" s="82"/>
      <c r="M34302" s="112"/>
      <c r="N34302" s="84"/>
    </row>
    <row r="34303" spans="1:14" s="2" customFormat="1">
      <c r="A34303" s="83"/>
      <c r="H34303" s="83"/>
      <c r="K34303" s="82"/>
      <c r="M34303" s="112"/>
      <c r="N34303" s="84"/>
    </row>
    <row r="34304" spans="1:14" s="2" customFormat="1">
      <c r="A34304" s="83"/>
      <c r="H34304" s="83"/>
      <c r="K34304" s="82"/>
      <c r="M34304" s="112"/>
      <c r="N34304" s="84"/>
    </row>
    <row r="34305" spans="1:14" s="2" customFormat="1">
      <c r="A34305" s="83"/>
      <c r="H34305" s="83"/>
      <c r="K34305" s="82"/>
      <c r="M34305" s="112"/>
      <c r="N34305" s="84"/>
    </row>
    <row r="34306" spans="1:14" s="2" customFormat="1">
      <c r="A34306" s="83"/>
      <c r="H34306" s="83"/>
      <c r="K34306" s="82"/>
      <c r="M34306" s="112"/>
      <c r="N34306" s="84"/>
    </row>
    <row r="34307" spans="1:14" s="2" customFormat="1">
      <c r="A34307" s="83"/>
      <c r="H34307" s="83"/>
      <c r="K34307" s="82"/>
      <c r="M34307" s="112"/>
      <c r="N34307" s="84"/>
    </row>
    <row r="34308" spans="1:14" s="2" customFormat="1">
      <c r="A34308" s="83"/>
      <c r="H34308" s="83"/>
      <c r="K34308" s="82"/>
      <c r="M34308" s="112"/>
      <c r="N34308" s="84"/>
    </row>
    <row r="34309" spans="1:14" s="2" customFormat="1">
      <c r="A34309" s="83"/>
      <c r="H34309" s="83"/>
      <c r="K34309" s="82"/>
      <c r="M34309" s="112"/>
      <c r="N34309" s="84"/>
    </row>
    <row r="34310" spans="1:14" s="2" customFormat="1">
      <c r="A34310" s="83"/>
      <c r="H34310" s="83"/>
      <c r="K34310" s="82"/>
      <c r="M34310" s="112"/>
      <c r="N34310" s="84"/>
    </row>
    <row r="34311" spans="1:14" s="2" customFormat="1">
      <c r="A34311" s="83"/>
      <c r="H34311" s="83"/>
      <c r="K34311" s="82"/>
      <c r="M34311" s="112"/>
      <c r="N34311" s="84"/>
    </row>
    <row r="34312" spans="1:14" s="2" customFormat="1">
      <c r="A34312" s="83"/>
      <c r="H34312" s="83"/>
      <c r="K34312" s="82"/>
      <c r="M34312" s="112"/>
      <c r="N34312" s="84"/>
    </row>
    <row r="34313" spans="1:14" s="2" customFormat="1">
      <c r="A34313" s="83"/>
      <c r="H34313" s="83"/>
      <c r="K34313" s="82"/>
      <c r="M34313" s="112"/>
      <c r="N34313" s="84"/>
    </row>
    <row r="34314" spans="1:14" s="2" customFormat="1">
      <c r="A34314" s="83"/>
      <c r="H34314" s="83"/>
      <c r="K34314" s="82"/>
      <c r="M34314" s="112"/>
      <c r="N34314" s="84"/>
    </row>
    <row r="34315" spans="1:14" s="2" customFormat="1">
      <c r="A34315" s="83"/>
      <c r="H34315" s="83"/>
      <c r="K34315" s="82"/>
      <c r="M34315" s="112"/>
      <c r="N34315" s="84"/>
    </row>
    <row r="34316" spans="1:14" s="2" customFormat="1">
      <c r="A34316" s="83"/>
      <c r="H34316" s="83"/>
      <c r="K34316" s="82"/>
      <c r="M34316" s="112"/>
      <c r="N34316" s="84"/>
    </row>
    <row r="34317" spans="1:14" s="2" customFormat="1">
      <c r="A34317" s="83"/>
      <c r="H34317" s="83"/>
      <c r="K34317" s="82"/>
      <c r="M34317" s="112"/>
      <c r="N34317" s="84"/>
    </row>
    <row r="34318" spans="1:14" s="2" customFormat="1">
      <c r="A34318" s="83"/>
      <c r="H34318" s="83"/>
      <c r="K34318" s="82"/>
      <c r="M34318" s="112"/>
      <c r="N34318" s="84"/>
    </row>
    <row r="34319" spans="1:14" s="2" customFormat="1">
      <c r="A34319" s="83"/>
      <c r="H34319" s="83"/>
      <c r="K34319" s="82"/>
      <c r="M34319" s="112"/>
      <c r="N34319" s="84"/>
    </row>
    <row r="34320" spans="1:14" s="2" customFormat="1">
      <c r="A34320" s="83"/>
      <c r="H34320" s="83"/>
      <c r="K34320" s="82"/>
      <c r="M34320" s="112"/>
      <c r="N34320" s="84"/>
    </row>
    <row r="34321" spans="1:14" s="2" customFormat="1">
      <c r="A34321" s="83"/>
      <c r="H34321" s="83"/>
      <c r="K34321" s="82"/>
      <c r="M34321" s="112"/>
      <c r="N34321" s="84"/>
    </row>
    <row r="34322" spans="1:14" s="2" customFormat="1">
      <c r="A34322" s="83"/>
      <c r="H34322" s="83"/>
      <c r="K34322" s="82"/>
      <c r="M34322" s="112"/>
      <c r="N34322" s="84"/>
    </row>
    <row r="34323" spans="1:14" s="2" customFormat="1">
      <c r="A34323" s="83"/>
      <c r="H34323" s="83"/>
      <c r="K34323" s="82"/>
      <c r="M34323" s="112"/>
      <c r="N34323" s="84"/>
    </row>
    <row r="34324" spans="1:14" s="2" customFormat="1">
      <c r="A34324" s="83"/>
      <c r="H34324" s="83"/>
      <c r="K34324" s="82"/>
      <c r="M34324" s="112"/>
      <c r="N34324" s="84"/>
    </row>
    <row r="34325" spans="1:14" s="2" customFormat="1">
      <c r="A34325" s="83"/>
      <c r="H34325" s="83"/>
      <c r="K34325" s="82"/>
      <c r="M34325" s="112"/>
      <c r="N34325" s="84"/>
    </row>
    <row r="34326" spans="1:14" s="2" customFormat="1">
      <c r="A34326" s="83"/>
      <c r="H34326" s="83"/>
      <c r="K34326" s="82"/>
      <c r="M34326" s="112"/>
      <c r="N34326" s="84"/>
    </row>
    <row r="34327" spans="1:14" s="2" customFormat="1">
      <c r="A34327" s="83"/>
      <c r="H34327" s="83"/>
      <c r="K34327" s="82"/>
      <c r="M34327" s="112"/>
      <c r="N34327" s="84"/>
    </row>
    <row r="34328" spans="1:14" s="2" customFormat="1">
      <c r="A34328" s="83"/>
      <c r="H34328" s="83"/>
      <c r="K34328" s="82"/>
      <c r="M34328" s="112"/>
      <c r="N34328" s="84"/>
    </row>
    <row r="34329" spans="1:14" s="2" customFormat="1">
      <c r="A34329" s="83"/>
      <c r="H34329" s="83"/>
      <c r="K34329" s="82"/>
      <c r="M34329" s="112"/>
      <c r="N34329" s="84"/>
    </row>
    <row r="34330" spans="1:14" s="2" customFormat="1">
      <c r="A34330" s="83"/>
      <c r="H34330" s="83"/>
      <c r="K34330" s="82"/>
      <c r="M34330" s="112"/>
      <c r="N34330" s="84"/>
    </row>
    <row r="34331" spans="1:14" s="2" customFormat="1">
      <c r="A34331" s="83"/>
      <c r="H34331" s="83"/>
      <c r="K34331" s="82"/>
      <c r="M34331" s="112"/>
      <c r="N34331" s="84"/>
    </row>
    <row r="34332" spans="1:14" s="2" customFormat="1">
      <c r="A34332" s="83"/>
      <c r="H34332" s="83"/>
      <c r="K34332" s="82"/>
      <c r="M34332" s="112"/>
      <c r="N34332" s="84"/>
    </row>
    <row r="34333" spans="1:14" s="2" customFormat="1">
      <c r="A34333" s="83"/>
      <c r="H34333" s="83"/>
      <c r="K34333" s="82"/>
      <c r="M34333" s="112"/>
      <c r="N34333" s="84"/>
    </row>
    <row r="34334" spans="1:14" s="2" customFormat="1">
      <c r="A34334" s="83"/>
      <c r="H34334" s="83"/>
      <c r="K34334" s="82"/>
      <c r="M34334" s="112"/>
      <c r="N34334" s="84"/>
    </row>
    <row r="34335" spans="1:14" s="2" customFormat="1">
      <c r="A34335" s="83"/>
      <c r="H34335" s="83"/>
      <c r="K34335" s="82"/>
      <c r="M34335" s="112"/>
      <c r="N34335" s="84"/>
    </row>
    <row r="34336" spans="1:14" s="2" customFormat="1">
      <c r="A34336" s="83"/>
      <c r="H34336" s="83"/>
      <c r="K34336" s="82"/>
      <c r="M34336" s="112"/>
      <c r="N34336" s="84"/>
    </row>
    <row r="34337" spans="1:14" s="2" customFormat="1">
      <c r="A34337" s="83"/>
      <c r="H34337" s="83"/>
      <c r="K34337" s="82"/>
      <c r="M34337" s="112"/>
      <c r="N34337" s="84"/>
    </row>
    <row r="34338" spans="1:14" s="2" customFormat="1">
      <c r="A34338" s="83"/>
      <c r="H34338" s="83"/>
      <c r="K34338" s="82"/>
      <c r="M34338" s="112"/>
      <c r="N34338" s="84"/>
    </row>
    <row r="34339" spans="1:14" s="2" customFormat="1">
      <c r="A34339" s="83"/>
      <c r="H34339" s="83"/>
      <c r="K34339" s="82"/>
      <c r="M34339" s="112"/>
      <c r="N34339" s="84"/>
    </row>
    <row r="34340" spans="1:14" s="2" customFormat="1">
      <c r="A34340" s="83"/>
      <c r="H34340" s="83"/>
      <c r="K34340" s="82"/>
      <c r="M34340" s="112"/>
      <c r="N34340" s="84"/>
    </row>
    <row r="34341" spans="1:14" s="2" customFormat="1">
      <c r="A34341" s="83"/>
      <c r="H34341" s="83"/>
      <c r="K34341" s="82"/>
      <c r="M34341" s="112"/>
      <c r="N34341" s="84"/>
    </row>
    <row r="34342" spans="1:14" s="2" customFormat="1">
      <c r="A34342" s="83"/>
      <c r="H34342" s="83"/>
      <c r="K34342" s="82"/>
      <c r="M34342" s="112"/>
      <c r="N34342" s="84"/>
    </row>
    <row r="34343" spans="1:14" s="2" customFormat="1">
      <c r="A34343" s="83"/>
      <c r="H34343" s="83"/>
      <c r="K34343" s="82"/>
      <c r="M34343" s="112"/>
      <c r="N34343" s="84"/>
    </row>
    <row r="34344" spans="1:14" s="2" customFormat="1">
      <c r="A34344" s="83"/>
      <c r="H34344" s="83"/>
      <c r="K34344" s="82"/>
      <c r="M34344" s="112"/>
      <c r="N34344" s="84"/>
    </row>
    <row r="34345" spans="1:14" s="2" customFormat="1">
      <c r="A34345" s="83"/>
      <c r="H34345" s="83"/>
      <c r="K34345" s="82"/>
      <c r="M34345" s="112"/>
      <c r="N34345" s="84"/>
    </row>
    <row r="34346" spans="1:14" s="2" customFormat="1">
      <c r="A34346" s="83"/>
      <c r="H34346" s="83"/>
      <c r="K34346" s="82"/>
      <c r="M34346" s="112"/>
      <c r="N34346" s="84"/>
    </row>
    <row r="34347" spans="1:14" s="2" customFormat="1">
      <c r="A34347" s="83"/>
      <c r="H34347" s="83"/>
      <c r="K34347" s="82"/>
      <c r="M34347" s="112"/>
      <c r="N34347" s="84"/>
    </row>
    <row r="34348" spans="1:14" s="2" customFormat="1">
      <c r="A34348" s="83"/>
      <c r="H34348" s="83"/>
      <c r="K34348" s="82"/>
      <c r="M34348" s="112"/>
      <c r="N34348" s="84"/>
    </row>
    <row r="34349" spans="1:14" s="2" customFormat="1">
      <c r="A34349" s="83"/>
      <c r="H34349" s="83"/>
      <c r="K34349" s="82"/>
      <c r="M34349" s="112"/>
      <c r="N34349" s="84"/>
    </row>
    <row r="34350" spans="1:14" s="2" customFormat="1">
      <c r="A34350" s="83"/>
      <c r="H34350" s="83"/>
      <c r="K34350" s="82"/>
      <c r="M34350" s="112"/>
      <c r="N34350" s="84"/>
    </row>
    <row r="34351" spans="1:14" s="2" customFormat="1">
      <c r="A34351" s="83"/>
      <c r="H34351" s="83"/>
      <c r="K34351" s="82"/>
      <c r="M34351" s="112"/>
      <c r="N34351" s="84"/>
    </row>
    <row r="34352" spans="1:14" s="2" customFormat="1">
      <c r="A34352" s="83"/>
      <c r="H34352" s="83"/>
      <c r="K34352" s="82"/>
      <c r="M34352" s="112"/>
      <c r="N34352" s="84"/>
    </row>
    <row r="34353" spans="1:14" s="2" customFormat="1">
      <c r="A34353" s="83"/>
      <c r="H34353" s="83"/>
      <c r="K34353" s="82"/>
      <c r="M34353" s="112"/>
      <c r="N34353" s="84"/>
    </row>
    <row r="34354" spans="1:14" s="2" customFormat="1">
      <c r="A34354" s="83"/>
      <c r="H34354" s="83"/>
      <c r="K34354" s="82"/>
      <c r="M34354" s="112"/>
      <c r="N34354" s="84"/>
    </row>
    <row r="34355" spans="1:14" s="2" customFormat="1">
      <c r="A34355" s="83"/>
      <c r="H34355" s="83"/>
      <c r="K34355" s="82"/>
      <c r="M34355" s="112"/>
      <c r="N34355" s="84"/>
    </row>
    <row r="34356" spans="1:14" s="2" customFormat="1">
      <c r="A34356" s="83"/>
      <c r="H34356" s="83"/>
      <c r="K34356" s="82"/>
      <c r="M34356" s="112"/>
      <c r="N34356" s="84"/>
    </row>
    <row r="34357" spans="1:14" s="2" customFormat="1">
      <c r="A34357" s="83"/>
      <c r="H34357" s="83"/>
      <c r="K34357" s="82"/>
      <c r="M34357" s="112"/>
      <c r="N34357" s="84"/>
    </row>
    <row r="34358" spans="1:14" s="2" customFormat="1">
      <c r="A34358" s="83"/>
      <c r="H34358" s="83"/>
      <c r="K34358" s="82"/>
      <c r="M34358" s="112"/>
      <c r="N34358" s="84"/>
    </row>
    <row r="34359" spans="1:14" s="2" customFormat="1">
      <c r="A34359" s="83"/>
      <c r="H34359" s="83"/>
      <c r="K34359" s="82"/>
      <c r="M34359" s="112"/>
      <c r="N34359" s="84"/>
    </row>
    <row r="34360" spans="1:14" s="2" customFormat="1">
      <c r="A34360" s="83"/>
      <c r="H34360" s="83"/>
      <c r="K34360" s="82"/>
      <c r="M34360" s="112"/>
      <c r="N34360" s="84"/>
    </row>
    <row r="34361" spans="1:14" s="2" customFormat="1">
      <c r="A34361" s="83"/>
      <c r="H34361" s="83"/>
      <c r="K34361" s="82"/>
      <c r="M34361" s="112"/>
      <c r="N34361" s="84"/>
    </row>
    <row r="34362" spans="1:14" s="2" customFormat="1">
      <c r="A34362" s="83"/>
      <c r="H34362" s="83"/>
      <c r="K34362" s="82"/>
      <c r="M34362" s="112"/>
      <c r="N34362" s="84"/>
    </row>
    <row r="34363" spans="1:14" s="2" customFormat="1">
      <c r="A34363" s="83"/>
      <c r="H34363" s="83"/>
      <c r="K34363" s="82"/>
      <c r="M34363" s="112"/>
      <c r="N34363" s="84"/>
    </row>
    <row r="34364" spans="1:14" s="2" customFormat="1">
      <c r="A34364" s="83"/>
      <c r="H34364" s="83"/>
      <c r="K34364" s="82"/>
      <c r="M34364" s="112"/>
      <c r="N34364" s="84"/>
    </row>
    <row r="34365" spans="1:14" s="2" customFormat="1">
      <c r="A34365" s="83"/>
      <c r="H34365" s="83"/>
      <c r="K34365" s="82"/>
      <c r="M34365" s="112"/>
      <c r="N34365" s="84"/>
    </row>
    <row r="34366" spans="1:14" s="2" customFormat="1">
      <c r="A34366" s="83"/>
      <c r="H34366" s="83"/>
      <c r="K34366" s="82"/>
      <c r="M34366" s="112"/>
      <c r="N34366" s="84"/>
    </row>
    <row r="34367" spans="1:14" s="2" customFormat="1">
      <c r="A34367" s="83"/>
      <c r="H34367" s="83"/>
      <c r="K34367" s="82"/>
      <c r="M34367" s="112"/>
      <c r="N34367" s="84"/>
    </row>
    <row r="34368" spans="1:14" s="2" customFormat="1">
      <c r="A34368" s="83"/>
      <c r="H34368" s="83"/>
      <c r="K34368" s="82"/>
      <c r="M34368" s="112"/>
      <c r="N34368" s="84"/>
    </row>
    <row r="34369" spans="1:14" s="2" customFormat="1">
      <c r="A34369" s="83"/>
      <c r="H34369" s="83"/>
      <c r="K34369" s="82"/>
      <c r="M34369" s="112"/>
      <c r="N34369" s="84"/>
    </row>
    <row r="34370" spans="1:14" s="2" customFormat="1">
      <c r="A34370" s="83"/>
      <c r="H34370" s="83"/>
      <c r="K34370" s="82"/>
      <c r="M34370" s="112"/>
      <c r="N34370" s="84"/>
    </row>
    <row r="34371" spans="1:14" s="2" customFormat="1">
      <c r="A34371" s="83"/>
      <c r="H34371" s="83"/>
      <c r="K34371" s="82"/>
      <c r="M34371" s="112"/>
      <c r="N34371" s="84"/>
    </row>
    <row r="34372" spans="1:14" s="2" customFormat="1">
      <c r="A34372" s="83"/>
      <c r="H34372" s="83"/>
      <c r="K34372" s="82"/>
      <c r="M34372" s="112"/>
      <c r="N34372" s="84"/>
    </row>
    <row r="34373" spans="1:14" s="2" customFormat="1">
      <c r="A34373" s="83"/>
      <c r="H34373" s="83"/>
      <c r="K34373" s="82"/>
      <c r="M34373" s="112"/>
      <c r="N34373" s="84"/>
    </row>
    <row r="34374" spans="1:14" s="2" customFormat="1">
      <c r="A34374" s="83"/>
      <c r="H34374" s="83"/>
      <c r="K34374" s="82"/>
      <c r="M34374" s="112"/>
      <c r="N34374" s="84"/>
    </row>
    <row r="34375" spans="1:14" s="2" customFormat="1">
      <c r="A34375" s="83"/>
      <c r="H34375" s="83"/>
      <c r="K34375" s="82"/>
      <c r="M34375" s="112"/>
      <c r="N34375" s="84"/>
    </row>
    <row r="34376" spans="1:14" s="2" customFormat="1">
      <c r="A34376" s="83"/>
      <c r="H34376" s="83"/>
      <c r="K34376" s="82"/>
      <c r="M34376" s="112"/>
      <c r="N34376" s="84"/>
    </row>
    <row r="34377" spans="1:14" s="2" customFormat="1">
      <c r="A34377" s="83"/>
      <c r="H34377" s="83"/>
      <c r="K34377" s="82"/>
      <c r="M34377" s="112"/>
      <c r="N34377" s="84"/>
    </row>
    <row r="34378" spans="1:14" s="2" customFormat="1">
      <c r="A34378" s="83"/>
      <c r="H34378" s="83"/>
      <c r="K34378" s="82"/>
      <c r="M34378" s="112"/>
      <c r="N34378" s="84"/>
    </row>
    <row r="34379" spans="1:14" s="2" customFormat="1">
      <c r="A34379" s="83"/>
      <c r="H34379" s="83"/>
      <c r="K34379" s="82"/>
      <c r="M34379" s="112"/>
      <c r="N34379" s="84"/>
    </row>
    <row r="34380" spans="1:14" s="2" customFormat="1">
      <c r="A34380" s="83"/>
      <c r="H34380" s="83"/>
      <c r="K34380" s="82"/>
      <c r="M34380" s="112"/>
      <c r="N34380" s="84"/>
    </row>
    <row r="34381" spans="1:14" s="2" customFormat="1">
      <c r="A34381" s="83"/>
      <c r="H34381" s="83"/>
      <c r="K34381" s="82"/>
      <c r="M34381" s="112"/>
      <c r="N34381" s="84"/>
    </row>
    <row r="34382" spans="1:14" s="2" customFormat="1">
      <c r="A34382" s="83"/>
      <c r="H34382" s="83"/>
      <c r="K34382" s="82"/>
      <c r="M34382" s="112"/>
      <c r="N34382" s="84"/>
    </row>
    <row r="34383" spans="1:14" s="2" customFormat="1">
      <c r="A34383" s="83"/>
      <c r="H34383" s="83"/>
      <c r="K34383" s="82"/>
      <c r="M34383" s="112"/>
      <c r="N34383" s="84"/>
    </row>
    <row r="34384" spans="1:14" s="2" customFormat="1">
      <c r="A34384" s="83"/>
      <c r="H34384" s="83"/>
      <c r="K34384" s="82"/>
      <c r="M34384" s="112"/>
      <c r="N34384" s="84"/>
    </row>
    <row r="34385" spans="1:14" s="2" customFormat="1">
      <c r="A34385" s="83"/>
      <c r="H34385" s="83"/>
      <c r="K34385" s="82"/>
      <c r="M34385" s="112"/>
      <c r="N34385" s="84"/>
    </row>
    <row r="34386" spans="1:14" s="2" customFormat="1">
      <c r="A34386" s="83"/>
      <c r="H34386" s="83"/>
      <c r="K34386" s="82"/>
      <c r="M34386" s="112"/>
      <c r="N34386" s="84"/>
    </row>
    <row r="34387" spans="1:14" s="2" customFormat="1">
      <c r="A34387" s="83"/>
      <c r="H34387" s="83"/>
      <c r="K34387" s="82"/>
      <c r="M34387" s="112"/>
      <c r="N34387" s="84"/>
    </row>
    <row r="34388" spans="1:14" s="2" customFormat="1">
      <c r="A34388" s="83"/>
      <c r="H34388" s="83"/>
      <c r="K34388" s="82"/>
      <c r="M34388" s="112"/>
      <c r="N34388" s="84"/>
    </row>
    <row r="34389" spans="1:14" s="2" customFormat="1">
      <c r="A34389" s="83"/>
      <c r="H34389" s="83"/>
      <c r="K34389" s="82"/>
      <c r="M34389" s="112"/>
      <c r="N34389" s="84"/>
    </row>
    <row r="34390" spans="1:14" s="2" customFormat="1">
      <c r="A34390" s="83"/>
      <c r="H34390" s="83"/>
      <c r="K34390" s="82"/>
      <c r="M34390" s="112"/>
      <c r="N34390" s="84"/>
    </row>
    <row r="34391" spans="1:14" s="2" customFormat="1">
      <c r="A34391" s="83"/>
      <c r="H34391" s="83"/>
      <c r="K34391" s="82"/>
      <c r="M34391" s="112"/>
      <c r="N34391" s="84"/>
    </row>
    <row r="34392" spans="1:14" s="2" customFormat="1">
      <c r="A34392" s="83"/>
      <c r="H34392" s="83"/>
      <c r="K34392" s="82"/>
      <c r="M34392" s="112"/>
      <c r="N34392" s="84"/>
    </row>
    <row r="34393" spans="1:14" s="2" customFormat="1">
      <c r="A34393" s="83"/>
      <c r="H34393" s="83"/>
      <c r="K34393" s="82"/>
      <c r="M34393" s="112"/>
      <c r="N34393" s="84"/>
    </row>
    <row r="34394" spans="1:14" s="2" customFormat="1">
      <c r="A34394" s="83"/>
      <c r="H34394" s="83"/>
      <c r="K34394" s="82"/>
      <c r="M34394" s="112"/>
      <c r="N34394" s="84"/>
    </row>
    <row r="34395" spans="1:14" s="2" customFormat="1">
      <c r="A34395" s="83"/>
      <c r="H34395" s="83"/>
      <c r="K34395" s="82"/>
      <c r="M34395" s="112"/>
      <c r="N34395" s="84"/>
    </row>
    <row r="34396" spans="1:14" s="2" customFormat="1">
      <c r="A34396" s="83"/>
      <c r="H34396" s="83"/>
      <c r="K34396" s="82"/>
      <c r="M34396" s="112"/>
      <c r="N34396" s="84"/>
    </row>
    <row r="34397" spans="1:14" s="2" customFormat="1">
      <c r="A34397" s="83"/>
      <c r="H34397" s="83"/>
      <c r="K34397" s="82"/>
      <c r="M34397" s="112"/>
      <c r="N34397" s="84"/>
    </row>
    <row r="34398" spans="1:14" s="2" customFormat="1">
      <c r="A34398" s="83"/>
      <c r="H34398" s="83"/>
      <c r="K34398" s="82"/>
      <c r="M34398" s="112"/>
      <c r="N34398" s="84"/>
    </row>
    <row r="34399" spans="1:14" s="2" customFormat="1">
      <c r="A34399" s="83"/>
      <c r="H34399" s="83"/>
      <c r="K34399" s="82"/>
      <c r="M34399" s="112"/>
      <c r="N34399" s="84"/>
    </row>
    <row r="34400" spans="1:14" s="2" customFormat="1">
      <c r="A34400" s="83"/>
      <c r="H34400" s="83"/>
      <c r="K34400" s="82"/>
      <c r="M34400" s="112"/>
      <c r="N34400" s="84"/>
    </row>
    <row r="34401" spans="1:14" s="2" customFormat="1">
      <c r="A34401" s="83"/>
      <c r="H34401" s="83"/>
      <c r="K34401" s="82"/>
      <c r="M34401" s="112"/>
      <c r="N34401" s="84"/>
    </row>
    <row r="34402" spans="1:14" s="2" customFormat="1">
      <c r="A34402" s="83"/>
      <c r="H34402" s="83"/>
      <c r="K34402" s="82"/>
      <c r="M34402" s="112"/>
      <c r="N34402" s="84"/>
    </row>
    <row r="34403" spans="1:14" s="2" customFormat="1">
      <c r="A34403" s="83"/>
      <c r="H34403" s="83"/>
      <c r="K34403" s="82"/>
      <c r="M34403" s="112"/>
      <c r="N34403" s="84"/>
    </row>
    <row r="34404" spans="1:14" s="2" customFormat="1">
      <c r="A34404" s="83"/>
      <c r="H34404" s="83"/>
      <c r="K34404" s="82"/>
      <c r="M34404" s="112"/>
      <c r="N34404" s="84"/>
    </row>
    <row r="34405" spans="1:14" s="2" customFormat="1">
      <c r="A34405" s="83"/>
      <c r="H34405" s="83"/>
      <c r="K34405" s="82"/>
      <c r="M34405" s="112"/>
      <c r="N34405" s="84"/>
    </row>
    <row r="34406" spans="1:14" s="2" customFormat="1">
      <c r="A34406" s="83"/>
      <c r="H34406" s="83"/>
      <c r="K34406" s="82"/>
      <c r="M34406" s="112"/>
      <c r="N34406" s="84"/>
    </row>
    <row r="34407" spans="1:14" s="2" customFormat="1">
      <c r="A34407" s="83"/>
      <c r="H34407" s="83"/>
      <c r="K34407" s="82"/>
      <c r="M34407" s="112"/>
      <c r="N34407" s="84"/>
    </row>
    <row r="34408" spans="1:14" s="2" customFormat="1">
      <c r="A34408" s="83"/>
      <c r="H34408" s="83"/>
      <c r="K34408" s="82"/>
      <c r="M34408" s="112"/>
      <c r="N34408" s="84"/>
    </row>
    <row r="34409" spans="1:14" s="2" customFormat="1">
      <c r="A34409" s="83"/>
      <c r="H34409" s="83"/>
      <c r="K34409" s="82"/>
      <c r="M34409" s="112"/>
      <c r="N34409" s="84"/>
    </row>
    <row r="34410" spans="1:14" s="2" customFormat="1">
      <c r="A34410" s="83"/>
      <c r="H34410" s="83"/>
      <c r="K34410" s="82"/>
      <c r="M34410" s="112"/>
      <c r="N34410" s="84"/>
    </row>
    <row r="34411" spans="1:14" s="2" customFormat="1">
      <c r="A34411" s="83"/>
      <c r="H34411" s="83"/>
      <c r="K34411" s="82"/>
      <c r="M34411" s="112"/>
      <c r="N34411" s="84"/>
    </row>
    <row r="34412" spans="1:14" s="2" customFormat="1">
      <c r="A34412" s="83"/>
      <c r="H34412" s="83"/>
      <c r="K34412" s="82"/>
      <c r="M34412" s="112"/>
      <c r="N34412" s="84"/>
    </row>
    <row r="34413" spans="1:14" s="2" customFormat="1">
      <c r="A34413" s="83"/>
      <c r="H34413" s="83"/>
      <c r="K34413" s="82"/>
      <c r="M34413" s="112"/>
      <c r="N34413" s="84"/>
    </row>
    <row r="34414" spans="1:14" s="2" customFormat="1">
      <c r="A34414" s="83"/>
      <c r="H34414" s="83"/>
      <c r="K34414" s="82"/>
      <c r="M34414" s="112"/>
      <c r="N34414" s="84"/>
    </row>
    <row r="34415" spans="1:14" s="2" customFormat="1">
      <c r="A34415" s="83"/>
      <c r="H34415" s="83"/>
      <c r="K34415" s="82"/>
      <c r="M34415" s="112"/>
      <c r="N34415" s="84"/>
    </row>
    <row r="34416" spans="1:14" s="2" customFormat="1">
      <c r="A34416" s="83"/>
      <c r="H34416" s="83"/>
      <c r="K34416" s="82"/>
      <c r="M34416" s="112"/>
      <c r="N34416" s="84"/>
    </row>
    <row r="34417" spans="1:14" s="2" customFormat="1">
      <c r="A34417" s="83"/>
      <c r="H34417" s="83"/>
      <c r="K34417" s="82"/>
      <c r="M34417" s="112"/>
      <c r="N34417" s="84"/>
    </row>
    <row r="34418" spans="1:14" s="2" customFormat="1">
      <c r="A34418" s="83"/>
      <c r="H34418" s="83"/>
      <c r="K34418" s="82"/>
      <c r="M34418" s="112"/>
      <c r="N34418" s="84"/>
    </row>
    <row r="34419" spans="1:14" s="2" customFormat="1">
      <c r="A34419" s="83"/>
      <c r="H34419" s="83"/>
      <c r="K34419" s="82"/>
      <c r="M34419" s="112"/>
      <c r="N34419" s="84"/>
    </row>
    <row r="34420" spans="1:14" s="2" customFormat="1">
      <c r="A34420" s="83"/>
      <c r="H34420" s="83"/>
      <c r="K34420" s="82"/>
      <c r="M34420" s="112"/>
      <c r="N34420" s="84"/>
    </row>
    <row r="34421" spans="1:14" s="2" customFormat="1">
      <c r="A34421" s="83"/>
      <c r="H34421" s="83"/>
      <c r="K34421" s="82"/>
      <c r="M34421" s="112"/>
      <c r="N34421" s="84"/>
    </row>
    <row r="34422" spans="1:14" s="2" customFormat="1">
      <c r="A34422" s="83"/>
      <c r="H34422" s="83"/>
      <c r="K34422" s="82"/>
      <c r="M34422" s="112"/>
      <c r="N34422" s="84"/>
    </row>
    <row r="34423" spans="1:14" s="2" customFormat="1">
      <c r="A34423" s="83"/>
      <c r="H34423" s="83"/>
      <c r="K34423" s="82"/>
      <c r="M34423" s="112"/>
      <c r="N34423" s="84"/>
    </row>
    <row r="34424" spans="1:14" s="2" customFormat="1">
      <c r="A34424" s="83"/>
      <c r="H34424" s="83"/>
      <c r="K34424" s="82"/>
      <c r="M34424" s="112"/>
      <c r="N34424" s="84"/>
    </row>
    <row r="34425" spans="1:14" s="2" customFormat="1">
      <c r="A34425" s="83"/>
      <c r="H34425" s="83"/>
      <c r="K34425" s="82"/>
      <c r="M34425" s="112"/>
      <c r="N34425" s="84"/>
    </row>
    <row r="34426" spans="1:14" s="2" customFormat="1">
      <c r="A34426" s="83"/>
      <c r="H34426" s="83"/>
      <c r="K34426" s="82"/>
      <c r="M34426" s="112"/>
      <c r="N34426" s="84"/>
    </row>
    <row r="34427" spans="1:14" s="2" customFormat="1">
      <c r="A34427" s="83"/>
      <c r="H34427" s="83"/>
      <c r="K34427" s="82"/>
      <c r="M34427" s="112"/>
      <c r="N34427" s="84"/>
    </row>
    <row r="34428" spans="1:14" s="2" customFormat="1">
      <c r="A34428" s="83"/>
      <c r="H34428" s="83"/>
      <c r="K34428" s="82"/>
      <c r="M34428" s="112"/>
      <c r="N34428" s="84"/>
    </row>
    <row r="34429" spans="1:14" s="2" customFormat="1">
      <c r="A34429" s="83"/>
      <c r="H34429" s="83"/>
      <c r="K34429" s="82"/>
      <c r="M34429" s="112"/>
      <c r="N34429" s="84"/>
    </row>
    <row r="34430" spans="1:14" s="2" customFormat="1">
      <c r="A34430" s="83"/>
      <c r="H34430" s="83"/>
      <c r="K34430" s="82"/>
      <c r="M34430" s="112"/>
      <c r="N34430" s="84"/>
    </row>
    <row r="34431" spans="1:14" s="2" customFormat="1">
      <c r="A34431" s="83"/>
      <c r="H34431" s="83"/>
      <c r="K34431" s="82"/>
      <c r="M34431" s="112"/>
      <c r="N34431" s="84"/>
    </row>
    <row r="34432" spans="1:14" s="2" customFormat="1">
      <c r="A34432" s="83"/>
      <c r="H34432" s="83"/>
      <c r="K34432" s="82"/>
      <c r="M34432" s="112"/>
      <c r="N34432" s="84"/>
    </row>
    <row r="34433" spans="1:14" s="2" customFormat="1">
      <c r="A34433" s="83"/>
      <c r="H34433" s="83"/>
      <c r="K34433" s="82"/>
      <c r="M34433" s="112"/>
      <c r="N34433" s="84"/>
    </row>
    <row r="34434" spans="1:14" s="2" customFormat="1">
      <c r="A34434" s="83"/>
      <c r="H34434" s="83"/>
      <c r="K34434" s="82"/>
      <c r="M34434" s="112"/>
      <c r="N34434" s="84"/>
    </row>
    <row r="34435" spans="1:14" s="2" customFormat="1">
      <c r="A34435" s="83"/>
      <c r="H34435" s="83"/>
      <c r="K34435" s="82"/>
      <c r="M34435" s="112"/>
      <c r="N34435" s="84"/>
    </row>
    <row r="34436" spans="1:14" s="2" customFormat="1">
      <c r="A34436" s="83"/>
      <c r="H34436" s="83"/>
      <c r="K34436" s="82"/>
      <c r="M34436" s="112"/>
      <c r="N34436" s="84"/>
    </row>
    <row r="34437" spans="1:14" s="2" customFormat="1">
      <c r="A34437" s="83"/>
      <c r="H34437" s="83"/>
      <c r="K34437" s="82"/>
      <c r="M34437" s="112"/>
      <c r="N34437" s="84"/>
    </row>
    <row r="34438" spans="1:14" s="2" customFormat="1">
      <c r="A34438" s="83"/>
      <c r="H34438" s="83"/>
      <c r="K34438" s="82"/>
      <c r="M34438" s="112"/>
      <c r="N34438" s="84"/>
    </row>
    <row r="34439" spans="1:14" s="2" customFormat="1">
      <c r="A34439" s="83"/>
      <c r="H34439" s="83"/>
      <c r="K34439" s="82"/>
      <c r="M34439" s="112"/>
      <c r="N34439" s="84"/>
    </row>
    <row r="34440" spans="1:14" s="2" customFormat="1">
      <c r="A34440" s="83"/>
      <c r="H34440" s="83"/>
      <c r="K34440" s="82"/>
      <c r="M34440" s="112"/>
      <c r="N34440" s="84"/>
    </row>
    <row r="34441" spans="1:14" s="2" customFormat="1">
      <c r="A34441" s="83"/>
      <c r="H34441" s="83"/>
      <c r="K34441" s="82"/>
      <c r="M34441" s="112"/>
      <c r="N34441" s="84"/>
    </row>
    <row r="34442" spans="1:14" s="2" customFormat="1">
      <c r="A34442" s="83"/>
      <c r="H34442" s="83"/>
      <c r="K34442" s="82"/>
      <c r="M34442" s="112"/>
      <c r="N34442" s="84"/>
    </row>
    <row r="34443" spans="1:14" s="2" customFormat="1">
      <c r="A34443" s="83"/>
      <c r="H34443" s="83"/>
      <c r="K34443" s="82"/>
      <c r="M34443" s="112"/>
      <c r="N34443" s="84"/>
    </row>
    <row r="34444" spans="1:14" s="2" customFormat="1">
      <c r="A34444" s="83"/>
      <c r="H34444" s="83"/>
      <c r="K34444" s="82"/>
      <c r="M34444" s="112"/>
      <c r="N34444" s="84"/>
    </row>
    <row r="34445" spans="1:14" s="2" customFormat="1">
      <c r="A34445" s="83"/>
      <c r="H34445" s="83"/>
      <c r="K34445" s="82"/>
      <c r="M34445" s="112"/>
      <c r="N34445" s="84"/>
    </row>
    <row r="34446" spans="1:14" s="2" customFormat="1">
      <c r="A34446" s="83"/>
      <c r="H34446" s="83"/>
      <c r="K34446" s="82"/>
      <c r="M34446" s="112"/>
      <c r="N34446" s="84"/>
    </row>
    <row r="34447" spans="1:14" s="2" customFormat="1">
      <c r="A34447" s="83"/>
      <c r="H34447" s="83"/>
      <c r="K34447" s="82"/>
      <c r="M34447" s="112"/>
      <c r="N34447" s="84"/>
    </row>
    <row r="34448" spans="1:14" s="2" customFormat="1">
      <c r="A34448" s="83"/>
      <c r="H34448" s="83"/>
      <c r="K34448" s="82"/>
      <c r="M34448" s="112"/>
      <c r="N34448" s="84"/>
    </row>
    <row r="34449" spans="1:14" s="2" customFormat="1">
      <c r="A34449" s="83"/>
      <c r="H34449" s="83"/>
      <c r="K34449" s="82"/>
      <c r="M34449" s="112"/>
      <c r="N34449" s="84"/>
    </row>
    <row r="34450" spans="1:14" s="2" customFormat="1">
      <c r="A34450" s="83"/>
      <c r="H34450" s="83"/>
      <c r="K34450" s="82"/>
      <c r="M34450" s="112"/>
      <c r="N34450" s="84"/>
    </row>
    <row r="34451" spans="1:14" s="2" customFormat="1">
      <c r="A34451" s="83"/>
      <c r="H34451" s="83"/>
      <c r="K34451" s="82"/>
      <c r="M34451" s="112"/>
      <c r="N34451" s="84"/>
    </row>
    <row r="34452" spans="1:14" s="2" customFormat="1">
      <c r="A34452" s="83"/>
      <c r="H34452" s="83"/>
      <c r="K34452" s="82"/>
      <c r="M34452" s="112"/>
      <c r="N34452" s="84"/>
    </row>
    <row r="34453" spans="1:14" s="2" customFormat="1">
      <c r="A34453" s="83"/>
      <c r="H34453" s="83"/>
      <c r="K34453" s="82"/>
      <c r="M34453" s="112"/>
      <c r="N34453" s="84"/>
    </row>
    <row r="34454" spans="1:14" s="2" customFormat="1">
      <c r="A34454" s="83"/>
      <c r="H34454" s="83"/>
      <c r="K34454" s="82"/>
      <c r="M34454" s="112"/>
      <c r="N34454" s="84"/>
    </row>
    <row r="34455" spans="1:14" s="2" customFormat="1">
      <c r="A34455" s="83"/>
      <c r="H34455" s="83"/>
      <c r="K34455" s="82"/>
      <c r="M34455" s="112"/>
      <c r="N34455" s="84"/>
    </row>
    <row r="34456" spans="1:14" s="2" customFormat="1">
      <c r="A34456" s="83"/>
      <c r="H34456" s="83"/>
      <c r="K34456" s="82"/>
      <c r="M34456" s="112"/>
      <c r="N34456" s="84"/>
    </row>
    <row r="34457" spans="1:14" s="2" customFormat="1">
      <c r="A34457" s="83"/>
      <c r="H34457" s="83"/>
      <c r="K34457" s="82"/>
      <c r="M34457" s="112"/>
      <c r="N34457" s="84"/>
    </row>
    <row r="34458" spans="1:14" s="2" customFormat="1">
      <c r="A34458" s="83"/>
      <c r="H34458" s="83"/>
      <c r="K34458" s="82"/>
      <c r="M34458" s="112"/>
      <c r="N34458" s="84"/>
    </row>
    <row r="34459" spans="1:14" s="2" customFormat="1">
      <c r="A34459" s="83"/>
      <c r="H34459" s="83"/>
      <c r="K34459" s="82"/>
      <c r="M34459" s="112"/>
      <c r="N34459" s="84"/>
    </row>
    <row r="34460" spans="1:14" s="2" customFormat="1">
      <c r="A34460" s="83"/>
      <c r="H34460" s="83"/>
      <c r="K34460" s="82"/>
      <c r="M34460" s="112"/>
      <c r="N34460" s="84"/>
    </row>
    <row r="34461" spans="1:14" s="2" customFormat="1">
      <c r="A34461" s="83"/>
      <c r="H34461" s="83"/>
      <c r="K34461" s="82"/>
      <c r="M34461" s="112"/>
      <c r="N34461" s="84"/>
    </row>
    <row r="34462" spans="1:14" s="2" customFormat="1">
      <c r="A34462" s="83"/>
      <c r="H34462" s="83"/>
      <c r="K34462" s="82"/>
      <c r="M34462" s="112"/>
      <c r="N34462" s="84"/>
    </row>
    <row r="34463" spans="1:14" s="2" customFormat="1">
      <c r="A34463" s="83"/>
      <c r="H34463" s="83"/>
      <c r="K34463" s="82"/>
      <c r="M34463" s="112"/>
      <c r="N34463" s="84"/>
    </row>
    <row r="34464" spans="1:14" s="2" customFormat="1">
      <c r="A34464" s="83"/>
      <c r="H34464" s="83"/>
      <c r="K34464" s="82"/>
      <c r="M34464" s="112"/>
      <c r="N34464" s="84"/>
    </row>
    <row r="34465" spans="1:14" s="2" customFormat="1">
      <c r="A34465" s="83"/>
      <c r="H34465" s="83"/>
      <c r="K34465" s="82"/>
      <c r="M34465" s="112"/>
      <c r="N34465" s="84"/>
    </row>
    <row r="34466" spans="1:14" s="2" customFormat="1">
      <c r="A34466" s="83"/>
      <c r="H34466" s="83"/>
      <c r="K34466" s="82"/>
      <c r="M34466" s="112"/>
      <c r="N34466" s="84"/>
    </row>
    <row r="34467" spans="1:14" s="2" customFormat="1">
      <c r="A34467" s="83"/>
      <c r="H34467" s="83"/>
      <c r="K34467" s="82"/>
      <c r="M34467" s="112"/>
      <c r="N34467" s="84"/>
    </row>
    <row r="34468" spans="1:14" s="2" customFormat="1">
      <c r="A34468" s="83"/>
      <c r="H34468" s="83"/>
      <c r="K34468" s="82"/>
      <c r="M34468" s="112"/>
      <c r="N34468" s="84"/>
    </row>
    <row r="34469" spans="1:14" s="2" customFormat="1">
      <c r="A34469" s="83"/>
      <c r="H34469" s="83"/>
      <c r="K34469" s="82"/>
      <c r="M34469" s="112"/>
      <c r="N34469" s="84"/>
    </row>
    <row r="34470" spans="1:14" s="2" customFormat="1">
      <c r="A34470" s="83"/>
      <c r="H34470" s="83"/>
      <c r="K34470" s="82"/>
      <c r="M34470" s="112"/>
      <c r="N34470" s="84"/>
    </row>
    <row r="34471" spans="1:14" s="2" customFormat="1">
      <c r="A34471" s="83"/>
      <c r="H34471" s="83"/>
      <c r="K34471" s="82"/>
      <c r="M34471" s="112"/>
      <c r="N34471" s="84"/>
    </row>
    <row r="34472" spans="1:14" s="2" customFormat="1">
      <c r="A34472" s="83"/>
      <c r="H34472" s="83"/>
      <c r="K34472" s="82"/>
      <c r="M34472" s="112"/>
      <c r="N34472" s="84"/>
    </row>
    <row r="34473" spans="1:14" s="2" customFormat="1">
      <c r="A34473" s="83"/>
      <c r="H34473" s="83"/>
      <c r="K34473" s="82"/>
      <c r="M34473" s="112"/>
      <c r="N34473" s="84"/>
    </row>
    <row r="34474" spans="1:14" s="2" customFormat="1">
      <c r="A34474" s="83"/>
      <c r="H34474" s="83"/>
      <c r="K34474" s="82"/>
      <c r="M34474" s="112"/>
      <c r="N34474" s="84"/>
    </row>
    <row r="34475" spans="1:14" s="2" customFormat="1">
      <c r="A34475" s="83"/>
      <c r="H34475" s="83"/>
      <c r="K34475" s="82"/>
      <c r="M34475" s="112"/>
      <c r="N34475" s="84"/>
    </row>
    <row r="34476" spans="1:14" s="2" customFormat="1">
      <c r="A34476" s="83"/>
      <c r="H34476" s="83"/>
      <c r="K34476" s="82"/>
      <c r="M34476" s="112"/>
      <c r="N34476" s="84"/>
    </row>
    <row r="34477" spans="1:14" s="2" customFormat="1">
      <c r="A34477" s="83"/>
      <c r="H34477" s="83"/>
      <c r="K34477" s="82"/>
      <c r="M34477" s="112"/>
      <c r="N34477" s="84"/>
    </row>
    <row r="34478" spans="1:14" s="2" customFormat="1">
      <c r="A34478" s="83"/>
      <c r="H34478" s="83"/>
      <c r="K34478" s="82"/>
      <c r="M34478" s="112"/>
      <c r="N34478" s="84"/>
    </row>
    <row r="34479" spans="1:14" s="2" customFormat="1">
      <c r="A34479" s="83"/>
      <c r="H34479" s="83"/>
      <c r="K34479" s="82"/>
      <c r="M34479" s="112"/>
      <c r="N34479" s="84"/>
    </row>
    <row r="34480" spans="1:14" s="2" customFormat="1">
      <c r="A34480" s="83"/>
      <c r="H34480" s="83"/>
      <c r="K34480" s="82"/>
      <c r="M34480" s="112"/>
      <c r="N34480" s="84"/>
    </row>
    <row r="34481" spans="1:14" s="2" customFormat="1">
      <c r="A34481" s="83"/>
      <c r="H34481" s="83"/>
      <c r="K34481" s="82"/>
      <c r="M34481" s="112"/>
      <c r="N34481" s="84"/>
    </row>
    <row r="34482" spans="1:14" s="2" customFormat="1">
      <c r="A34482" s="83"/>
      <c r="H34482" s="83"/>
      <c r="K34482" s="82"/>
      <c r="M34482" s="112"/>
      <c r="N34482" s="84"/>
    </row>
    <row r="34483" spans="1:14" s="2" customFormat="1">
      <c r="A34483" s="83"/>
      <c r="H34483" s="83"/>
      <c r="K34483" s="82"/>
      <c r="M34483" s="112"/>
      <c r="N34483" s="84"/>
    </row>
    <row r="34484" spans="1:14" s="2" customFormat="1">
      <c r="A34484" s="83"/>
      <c r="H34484" s="83"/>
      <c r="K34484" s="82"/>
      <c r="M34484" s="112"/>
      <c r="N34484" s="84"/>
    </row>
    <row r="34485" spans="1:14" s="2" customFormat="1">
      <c r="A34485" s="83"/>
      <c r="H34485" s="83"/>
      <c r="K34485" s="82"/>
      <c r="M34485" s="112"/>
      <c r="N34485" s="84"/>
    </row>
    <row r="34486" spans="1:14" s="2" customFormat="1">
      <c r="A34486" s="83"/>
      <c r="H34486" s="83"/>
      <c r="K34486" s="82"/>
      <c r="M34486" s="112"/>
      <c r="N34486" s="84"/>
    </row>
    <row r="34487" spans="1:14" s="2" customFormat="1">
      <c r="A34487" s="83"/>
      <c r="H34487" s="83"/>
      <c r="K34487" s="82"/>
      <c r="M34487" s="112"/>
      <c r="N34487" s="84"/>
    </row>
    <row r="34488" spans="1:14" s="2" customFormat="1">
      <c r="A34488" s="83"/>
      <c r="H34488" s="83"/>
      <c r="K34488" s="82"/>
      <c r="M34488" s="112"/>
      <c r="N34488" s="84"/>
    </row>
    <row r="34489" spans="1:14" s="2" customFormat="1">
      <c r="A34489" s="83"/>
      <c r="H34489" s="83"/>
      <c r="K34489" s="82"/>
      <c r="M34489" s="112"/>
      <c r="N34489" s="84"/>
    </row>
    <row r="34490" spans="1:14" s="2" customFormat="1">
      <c r="A34490" s="83"/>
      <c r="H34490" s="83"/>
      <c r="K34490" s="82"/>
      <c r="M34490" s="112"/>
      <c r="N34490" s="84"/>
    </row>
    <row r="34491" spans="1:14" s="2" customFormat="1">
      <c r="A34491" s="83"/>
      <c r="H34491" s="83"/>
      <c r="K34491" s="82"/>
      <c r="M34491" s="112"/>
      <c r="N34491" s="84"/>
    </row>
    <row r="34492" spans="1:14" s="2" customFormat="1">
      <c r="A34492" s="83"/>
      <c r="H34492" s="83"/>
      <c r="K34492" s="82"/>
      <c r="M34492" s="112"/>
      <c r="N34492" s="84"/>
    </row>
    <row r="34493" spans="1:14" s="2" customFormat="1">
      <c r="A34493" s="83"/>
      <c r="H34493" s="83"/>
      <c r="K34493" s="82"/>
      <c r="M34493" s="112"/>
      <c r="N34493" s="84"/>
    </row>
    <row r="34494" spans="1:14" s="2" customFormat="1">
      <c r="A34494" s="83"/>
      <c r="H34494" s="83"/>
      <c r="K34494" s="82"/>
      <c r="M34494" s="112"/>
      <c r="N34494" s="84"/>
    </row>
    <row r="34495" spans="1:14" s="2" customFormat="1">
      <c r="A34495" s="83"/>
      <c r="H34495" s="83"/>
      <c r="K34495" s="82"/>
      <c r="M34495" s="112"/>
      <c r="N34495" s="84"/>
    </row>
    <row r="34496" spans="1:14" s="2" customFormat="1">
      <c r="A34496" s="83"/>
      <c r="H34496" s="83"/>
      <c r="K34496" s="82"/>
      <c r="M34496" s="112"/>
      <c r="N34496" s="84"/>
    </row>
    <row r="34497" spans="1:14" s="2" customFormat="1">
      <c r="A34497" s="83"/>
      <c r="H34497" s="83"/>
      <c r="K34497" s="82"/>
      <c r="M34497" s="112"/>
      <c r="N34497" s="84"/>
    </row>
    <row r="34498" spans="1:14" s="2" customFormat="1">
      <c r="A34498" s="83"/>
      <c r="H34498" s="83"/>
      <c r="K34498" s="82"/>
      <c r="M34498" s="112"/>
      <c r="N34498" s="84"/>
    </row>
    <row r="34499" spans="1:14" s="2" customFormat="1">
      <c r="A34499" s="83"/>
      <c r="H34499" s="83"/>
      <c r="K34499" s="82"/>
      <c r="M34499" s="112"/>
      <c r="N34499" s="84"/>
    </row>
    <row r="34500" spans="1:14" s="2" customFormat="1">
      <c r="A34500" s="83"/>
      <c r="H34500" s="83"/>
      <c r="K34500" s="82"/>
      <c r="M34500" s="112"/>
      <c r="N34500" s="84"/>
    </row>
    <row r="34501" spans="1:14" s="2" customFormat="1">
      <c r="A34501" s="83"/>
      <c r="H34501" s="83"/>
      <c r="K34501" s="82"/>
      <c r="M34501" s="112"/>
      <c r="N34501" s="84"/>
    </row>
    <row r="34502" spans="1:14" s="2" customFormat="1">
      <c r="A34502" s="83"/>
      <c r="H34502" s="83"/>
      <c r="K34502" s="82"/>
      <c r="M34502" s="112"/>
      <c r="N34502" s="84"/>
    </row>
    <row r="34503" spans="1:14" s="2" customFormat="1">
      <c r="A34503" s="83"/>
      <c r="H34503" s="83"/>
      <c r="K34503" s="82"/>
      <c r="M34503" s="112"/>
      <c r="N34503" s="84"/>
    </row>
    <row r="34504" spans="1:14" s="2" customFormat="1">
      <c r="A34504" s="83"/>
      <c r="H34504" s="83"/>
      <c r="K34504" s="82"/>
      <c r="M34504" s="112"/>
      <c r="N34504" s="84"/>
    </row>
    <row r="34505" spans="1:14" s="2" customFormat="1">
      <c r="A34505" s="83"/>
      <c r="H34505" s="83"/>
      <c r="K34505" s="82"/>
      <c r="M34505" s="112"/>
      <c r="N34505" s="84"/>
    </row>
    <row r="34506" spans="1:14" s="2" customFormat="1">
      <c r="A34506" s="83"/>
      <c r="H34506" s="83"/>
      <c r="K34506" s="82"/>
      <c r="M34506" s="112"/>
      <c r="N34506" s="84"/>
    </row>
    <row r="34507" spans="1:14" s="2" customFormat="1">
      <c r="A34507" s="83"/>
      <c r="H34507" s="83"/>
      <c r="K34507" s="82"/>
      <c r="M34507" s="112"/>
      <c r="N34507" s="84"/>
    </row>
    <row r="34508" spans="1:14" s="2" customFormat="1">
      <c r="A34508" s="83"/>
      <c r="H34508" s="83"/>
      <c r="K34508" s="82"/>
      <c r="M34508" s="112"/>
      <c r="N34508" s="84"/>
    </row>
    <row r="34509" spans="1:14" s="2" customFormat="1">
      <c r="A34509" s="83"/>
      <c r="H34509" s="83"/>
      <c r="K34509" s="82"/>
      <c r="M34509" s="112"/>
      <c r="N34509" s="84"/>
    </row>
    <row r="34510" spans="1:14" s="2" customFormat="1">
      <c r="A34510" s="83"/>
      <c r="H34510" s="83"/>
      <c r="K34510" s="82"/>
      <c r="M34510" s="112"/>
      <c r="N34510" s="84"/>
    </row>
    <row r="34511" spans="1:14" s="2" customFormat="1">
      <c r="A34511" s="83"/>
      <c r="H34511" s="83"/>
      <c r="K34511" s="82"/>
      <c r="M34511" s="112"/>
      <c r="N34511" s="84"/>
    </row>
    <row r="34512" spans="1:14" s="2" customFormat="1">
      <c r="A34512" s="83"/>
      <c r="H34512" s="83"/>
      <c r="K34512" s="82"/>
      <c r="M34512" s="112"/>
      <c r="N34512" s="84"/>
    </row>
    <row r="34513" spans="1:14" s="2" customFormat="1">
      <c r="A34513" s="83"/>
      <c r="H34513" s="83"/>
      <c r="K34513" s="82"/>
      <c r="M34513" s="112"/>
      <c r="N34513" s="84"/>
    </row>
    <row r="34514" spans="1:14" s="2" customFormat="1">
      <c r="A34514" s="83"/>
      <c r="H34514" s="83"/>
      <c r="K34514" s="82"/>
      <c r="M34514" s="112"/>
      <c r="N34514" s="84"/>
    </row>
    <row r="34515" spans="1:14" s="2" customFormat="1">
      <c r="A34515" s="83"/>
      <c r="H34515" s="83"/>
      <c r="K34515" s="82"/>
      <c r="M34515" s="112"/>
      <c r="N34515" s="84"/>
    </row>
    <row r="34516" spans="1:14" s="2" customFormat="1">
      <c r="A34516" s="83"/>
      <c r="H34516" s="83"/>
      <c r="K34516" s="82"/>
      <c r="M34516" s="112"/>
      <c r="N34516" s="84"/>
    </row>
    <row r="34517" spans="1:14" s="2" customFormat="1">
      <c r="A34517" s="83"/>
      <c r="H34517" s="83"/>
      <c r="K34517" s="82"/>
      <c r="M34517" s="112"/>
      <c r="N34517" s="84"/>
    </row>
    <row r="34518" spans="1:14" s="2" customFormat="1">
      <c r="A34518" s="83"/>
      <c r="H34518" s="83"/>
      <c r="K34518" s="82"/>
      <c r="M34518" s="112"/>
      <c r="N34518" s="84"/>
    </row>
    <row r="34519" spans="1:14" s="2" customFormat="1">
      <c r="A34519" s="83"/>
      <c r="H34519" s="83"/>
      <c r="K34519" s="82"/>
      <c r="M34519" s="112"/>
      <c r="N34519" s="84"/>
    </row>
    <row r="34520" spans="1:14" s="2" customFormat="1">
      <c r="A34520" s="83"/>
      <c r="H34520" s="83"/>
      <c r="K34520" s="82"/>
      <c r="M34520" s="112"/>
      <c r="N34520" s="84"/>
    </row>
    <row r="34521" spans="1:14" s="2" customFormat="1">
      <c r="A34521" s="83"/>
      <c r="H34521" s="83"/>
      <c r="K34521" s="82"/>
      <c r="M34521" s="112"/>
      <c r="N34521" s="84"/>
    </row>
    <row r="34522" spans="1:14" s="2" customFormat="1">
      <c r="A34522" s="83"/>
      <c r="H34522" s="83"/>
      <c r="K34522" s="82"/>
      <c r="M34522" s="112"/>
      <c r="N34522" s="84"/>
    </row>
    <row r="34523" spans="1:14" s="2" customFormat="1">
      <c r="A34523" s="83"/>
      <c r="H34523" s="83"/>
      <c r="K34523" s="82"/>
      <c r="M34523" s="112"/>
      <c r="N34523" s="84"/>
    </row>
    <row r="34524" spans="1:14" s="2" customFormat="1">
      <c r="A34524" s="83"/>
      <c r="H34524" s="83"/>
      <c r="K34524" s="82"/>
      <c r="M34524" s="112"/>
      <c r="N34524" s="84"/>
    </row>
    <row r="34525" spans="1:14" s="2" customFormat="1">
      <c r="A34525" s="83"/>
      <c r="H34525" s="83"/>
      <c r="K34525" s="82"/>
      <c r="M34525" s="112"/>
      <c r="N34525" s="84"/>
    </row>
    <row r="34526" spans="1:14" s="2" customFormat="1">
      <c r="A34526" s="83"/>
      <c r="H34526" s="83"/>
      <c r="K34526" s="82"/>
      <c r="M34526" s="112"/>
      <c r="N34526" s="84"/>
    </row>
    <row r="34527" spans="1:14" s="2" customFormat="1">
      <c r="A34527" s="83"/>
      <c r="H34527" s="83"/>
      <c r="K34527" s="82"/>
      <c r="M34527" s="112"/>
      <c r="N34527" s="84"/>
    </row>
    <row r="34528" spans="1:14" s="2" customFormat="1">
      <c r="A34528" s="83"/>
      <c r="H34528" s="83"/>
      <c r="K34528" s="82"/>
      <c r="M34528" s="112"/>
      <c r="N34528" s="84"/>
    </row>
    <row r="34529" spans="1:14" s="2" customFormat="1">
      <c r="A34529" s="83"/>
      <c r="H34529" s="83"/>
      <c r="K34529" s="82"/>
      <c r="M34529" s="112"/>
      <c r="N34529" s="84"/>
    </row>
    <row r="34530" spans="1:14" s="2" customFormat="1">
      <c r="A34530" s="83"/>
      <c r="H34530" s="83"/>
      <c r="K34530" s="82"/>
      <c r="M34530" s="112"/>
      <c r="N34530" s="84"/>
    </row>
    <row r="34531" spans="1:14" s="2" customFormat="1">
      <c r="A34531" s="83"/>
      <c r="H34531" s="83"/>
      <c r="K34531" s="82"/>
      <c r="M34531" s="112"/>
      <c r="N34531" s="84"/>
    </row>
    <row r="34532" spans="1:14" s="2" customFormat="1">
      <c r="A34532" s="83"/>
      <c r="H34532" s="83"/>
      <c r="K34532" s="82"/>
      <c r="M34532" s="112"/>
      <c r="N34532" s="84"/>
    </row>
    <row r="34533" spans="1:14" s="2" customFormat="1">
      <c r="A34533" s="83"/>
      <c r="H34533" s="83"/>
      <c r="K34533" s="82"/>
      <c r="M34533" s="112"/>
      <c r="N34533" s="84"/>
    </row>
    <row r="34534" spans="1:14" s="2" customFormat="1">
      <c r="A34534" s="83"/>
      <c r="H34534" s="83"/>
      <c r="K34534" s="82"/>
      <c r="M34534" s="112"/>
      <c r="N34534" s="84"/>
    </row>
    <row r="34535" spans="1:14" s="2" customFormat="1">
      <c r="A34535" s="83"/>
      <c r="H34535" s="83"/>
      <c r="K34535" s="82"/>
      <c r="M34535" s="112"/>
      <c r="N34535" s="84"/>
    </row>
    <row r="34536" spans="1:14" s="2" customFormat="1">
      <c r="A34536" s="83"/>
      <c r="H34536" s="83"/>
      <c r="K34536" s="82"/>
      <c r="M34536" s="112"/>
      <c r="N34536" s="84"/>
    </row>
    <row r="34537" spans="1:14" s="2" customFormat="1">
      <c r="A34537" s="83"/>
      <c r="H34537" s="83"/>
      <c r="K34537" s="82"/>
      <c r="M34537" s="112"/>
      <c r="N34537" s="84"/>
    </row>
    <row r="34538" spans="1:14" s="2" customFormat="1">
      <c r="A34538" s="83"/>
      <c r="H34538" s="83"/>
      <c r="K34538" s="82"/>
      <c r="M34538" s="112"/>
      <c r="N34538" s="84"/>
    </row>
    <row r="34539" spans="1:14" s="2" customFormat="1">
      <c r="A34539" s="83"/>
      <c r="H34539" s="83"/>
      <c r="K34539" s="82"/>
      <c r="M34539" s="112"/>
      <c r="N34539" s="84"/>
    </row>
    <row r="34540" spans="1:14" s="2" customFormat="1">
      <c r="A34540" s="83"/>
      <c r="H34540" s="83"/>
      <c r="K34540" s="82"/>
      <c r="M34540" s="112"/>
      <c r="N34540" s="84"/>
    </row>
    <row r="34541" spans="1:14" s="2" customFormat="1">
      <c r="A34541" s="83"/>
      <c r="H34541" s="83"/>
      <c r="K34541" s="82"/>
      <c r="M34541" s="112"/>
      <c r="N34541" s="84"/>
    </row>
    <row r="34542" spans="1:14" s="2" customFormat="1">
      <c r="A34542" s="83"/>
      <c r="H34542" s="83"/>
      <c r="K34542" s="82"/>
      <c r="M34542" s="112"/>
      <c r="N34542" s="84"/>
    </row>
    <row r="34543" spans="1:14" s="2" customFormat="1">
      <c r="A34543" s="83"/>
      <c r="H34543" s="83"/>
      <c r="K34543" s="82"/>
      <c r="M34543" s="112"/>
      <c r="N34543" s="84"/>
    </row>
    <row r="34544" spans="1:14" s="2" customFormat="1">
      <c r="A34544" s="83"/>
      <c r="H34544" s="83"/>
      <c r="K34544" s="82"/>
      <c r="M34544" s="112"/>
      <c r="N34544" s="84"/>
    </row>
    <row r="34545" spans="1:14" s="2" customFormat="1">
      <c r="A34545" s="83"/>
      <c r="H34545" s="83"/>
      <c r="K34545" s="82"/>
      <c r="M34545" s="112"/>
      <c r="N34545" s="84"/>
    </row>
    <row r="34546" spans="1:14" s="2" customFormat="1">
      <c r="A34546" s="83"/>
      <c r="H34546" s="83"/>
      <c r="K34546" s="82"/>
      <c r="M34546" s="112"/>
      <c r="N34546" s="84"/>
    </row>
    <row r="34547" spans="1:14" s="2" customFormat="1">
      <c r="A34547" s="83"/>
      <c r="H34547" s="83"/>
      <c r="K34547" s="82"/>
      <c r="M34547" s="112"/>
      <c r="N34547" s="84"/>
    </row>
    <row r="34548" spans="1:14" s="2" customFormat="1">
      <c r="A34548" s="83"/>
      <c r="H34548" s="83"/>
      <c r="K34548" s="82"/>
      <c r="M34548" s="112"/>
      <c r="N34548" s="84"/>
    </row>
    <row r="34549" spans="1:14" s="2" customFormat="1">
      <c r="A34549" s="83"/>
      <c r="H34549" s="83"/>
      <c r="K34549" s="82"/>
      <c r="M34549" s="112"/>
      <c r="N34549" s="84"/>
    </row>
    <row r="34550" spans="1:14" s="2" customFormat="1">
      <c r="A34550" s="83"/>
      <c r="H34550" s="83"/>
      <c r="K34550" s="82"/>
      <c r="M34550" s="112"/>
      <c r="N34550" s="84"/>
    </row>
    <row r="34551" spans="1:14" s="2" customFormat="1">
      <c r="A34551" s="83"/>
      <c r="H34551" s="83"/>
      <c r="K34551" s="82"/>
      <c r="M34551" s="112"/>
      <c r="N34551" s="84"/>
    </row>
    <row r="34552" spans="1:14" s="2" customFormat="1">
      <c r="A34552" s="83"/>
      <c r="H34552" s="83"/>
      <c r="K34552" s="82"/>
      <c r="M34552" s="112"/>
      <c r="N34552" s="84"/>
    </row>
    <row r="34553" spans="1:14" s="2" customFormat="1">
      <c r="A34553" s="83"/>
      <c r="H34553" s="83"/>
      <c r="K34553" s="82"/>
      <c r="M34553" s="112"/>
      <c r="N34553" s="84"/>
    </row>
    <row r="34554" spans="1:14" s="2" customFormat="1">
      <c r="A34554" s="83"/>
      <c r="H34554" s="83"/>
      <c r="K34554" s="82"/>
      <c r="M34554" s="112"/>
      <c r="N34554" s="84"/>
    </row>
    <row r="34555" spans="1:14" s="2" customFormat="1">
      <c r="A34555" s="83"/>
      <c r="H34555" s="83"/>
      <c r="K34555" s="82"/>
      <c r="M34555" s="112"/>
      <c r="N34555" s="84"/>
    </row>
    <row r="34556" spans="1:14" s="2" customFormat="1">
      <c r="A34556" s="83"/>
      <c r="H34556" s="83"/>
      <c r="K34556" s="82"/>
      <c r="M34556" s="112"/>
      <c r="N34556" s="84"/>
    </row>
    <row r="34557" spans="1:14" s="2" customFormat="1">
      <c r="A34557" s="83"/>
      <c r="H34557" s="83"/>
      <c r="K34557" s="82"/>
      <c r="M34557" s="112"/>
      <c r="N34557" s="84"/>
    </row>
    <row r="34558" spans="1:14" s="2" customFormat="1">
      <c r="A34558" s="83"/>
      <c r="H34558" s="83"/>
      <c r="K34558" s="82"/>
      <c r="M34558" s="112"/>
      <c r="N34558" s="84"/>
    </row>
    <row r="34559" spans="1:14" s="2" customFormat="1">
      <c r="A34559" s="83"/>
      <c r="H34559" s="83"/>
      <c r="K34559" s="82"/>
      <c r="M34559" s="112"/>
      <c r="N34559" s="84"/>
    </row>
    <row r="34560" spans="1:14" s="2" customFormat="1">
      <c r="A34560" s="83"/>
      <c r="H34560" s="83"/>
      <c r="K34560" s="82"/>
      <c r="M34560" s="112"/>
      <c r="N34560" s="84"/>
    </row>
    <row r="34561" spans="1:14" s="2" customFormat="1">
      <c r="A34561" s="83"/>
      <c r="H34561" s="83"/>
      <c r="K34561" s="82"/>
      <c r="M34561" s="112"/>
      <c r="N34561" s="84"/>
    </row>
    <row r="34562" spans="1:14" s="2" customFormat="1">
      <c r="A34562" s="83"/>
      <c r="H34562" s="83"/>
      <c r="K34562" s="82"/>
      <c r="M34562" s="112"/>
      <c r="N34562" s="84"/>
    </row>
    <row r="34563" spans="1:14" s="2" customFormat="1">
      <c r="A34563" s="83"/>
      <c r="H34563" s="83"/>
      <c r="K34563" s="82"/>
      <c r="M34563" s="112"/>
      <c r="N34563" s="84"/>
    </row>
    <row r="34564" spans="1:14" s="2" customFormat="1">
      <c r="A34564" s="83"/>
      <c r="H34564" s="83"/>
      <c r="K34564" s="82"/>
      <c r="M34564" s="112"/>
      <c r="N34564" s="84"/>
    </row>
    <row r="34565" spans="1:14" s="2" customFormat="1">
      <c r="A34565" s="83"/>
      <c r="H34565" s="83"/>
      <c r="K34565" s="82"/>
      <c r="M34565" s="112"/>
      <c r="N34565" s="84"/>
    </row>
    <row r="34566" spans="1:14" s="2" customFormat="1">
      <c r="A34566" s="83"/>
      <c r="H34566" s="83"/>
      <c r="K34566" s="82"/>
      <c r="M34566" s="112"/>
      <c r="N34566" s="84"/>
    </row>
    <row r="34567" spans="1:14" s="2" customFormat="1">
      <c r="A34567" s="83"/>
      <c r="H34567" s="83"/>
      <c r="K34567" s="82"/>
      <c r="M34567" s="112"/>
      <c r="N34567" s="84"/>
    </row>
    <row r="34568" spans="1:14" s="2" customFormat="1">
      <c r="A34568" s="83"/>
      <c r="H34568" s="83"/>
      <c r="K34568" s="82"/>
      <c r="M34568" s="112"/>
      <c r="N34568" s="84"/>
    </row>
    <row r="34569" spans="1:14" s="2" customFormat="1">
      <c r="A34569" s="83"/>
      <c r="H34569" s="83"/>
      <c r="K34569" s="82"/>
      <c r="M34569" s="112"/>
      <c r="N34569" s="84"/>
    </row>
    <row r="34570" spans="1:14" s="2" customFormat="1">
      <c r="A34570" s="83"/>
      <c r="H34570" s="83"/>
      <c r="K34570" s="82"/>
      <c r="M34570" s="112"/>
      <c r="N34570" s="84"/>
    </row>
    <row r="34571" spans="1:14" s="2" customFormat="1">
      <c r="A34571" s="83"/>
      <c r="H34571" s="83"/>
      <c r="K34571" s="82"/>
      <c r="M34571" s="112"/>
      <c r="N34571" s="84"/>
    </row>
    <row r="34572" spans="1:14" s="2" customFormat="1">
      <c r="A34572" s="83"/>
      <c r="H34572" s="83"/>
      <c r="K34572" s="82"/>
      <c r="M34572" s="112"/>
      <c r="N34572" s="84"/>
    </row>
    <row r="34573" spans="1:14" s="2" customFormat="1">
      <c r="A34573" s="83"/>
      <c r="H34573" s="83"/>
      <c r="K34573" s="82"/>
      <c r="M34573" s="112"/>
      <c r="N34573" s="84"/>
    </row>
    <row r="34574" spans="1:14" s="2" customFormat="1">
      <c r="A34574" s="83"/>
      <c r="H34574" s="83"/>
      <c r="K34574" s="82"/>
      <c r="M34574" s="112"/>
      <c r="N34574" s="84"/>
    </row>
    <row r="34575" spans="1:14" s="2" customFormat="1">
      <c r="A34575" s="83"/>
      <c r="H34575" s="83"/>
      <c r="K34575" s="82"/>
      <c r="M34575" s="112"/>
      <c r="N34575" s="84"/>
    </row>
    <row r="34576" spans="1:14" s="2" customFormat="1">
      <c r="A34576" s="83"/>
      <c r="H34576" s="83"/>
      <c r="K34576" s="82"/>
      <c r="M34576" s="112"/>
      <c r="N34576" s="84"/>
    </row>
    <row r="34577" spans="1:14" s="2" customFormat="1">
      <c r="A34577" s="83"/>
      <c r="H34577" s="83"/>
      <c r="K34577" s="82"/>
      <c r="M34577" s="112"/>
      <c r="N34577" s="84"/>
    </row>
    <row r="34578" spans="1:14" s="2" customFormat="1">
      <c r="A34578" s="83"/>
      <c r="H34578" s="83"/>
      <c r="K34578" s="82"/>
      <c r="M34578" s="112"/>
      <c r="N34578" s="84"/>
    </row>
    <row r="34579" spans="1:14" s="2" customFormat="1">
      <c r="A34579" s="83"/>
      <c r="H34579" s="83"/>
      <c r="K34579" s="82"/>
      <c r="M34579" s="112"/>
      <c r="N34579" s="84"/>
    </row>
    <row r="34580" spans="1:14" s="2" customFormat="1">
      <c r="A34580" s="83"/>
      <c r="H34580" s="83"/>
      <c r="K34580" s="82"/>
      <c r="M34580" s="112"/>
      <c r="N34580" s="84"/>
    </row>
    <row r="34581" spans="1:14" s="2" customFormat="1">
      <c r="A34581" s="83"/>
      <c r="H34581" s="83"/>
      <c r="K34581" s="82"/>
      <c r="M34581" s="112"/>
      <c r="N34581" s="84"/>
    </row>
    <row r="34582" spans="1:14" s="2" customFormat="1">
      <c r="A34582" s="83"/>
      <c r="H34582" s="83"/>
      <c r="K34582" s="82"/>
      <c r="M34582" s="112"/>
      <c r="N34582" s="84"/>
    </row>
    <row r="34583" spans="1:14" s="2" customFormat="1">
      <c r="A34583" s="83"/>
      <c r="H34583" s="83"/>
      <c r="K34583" s="82"/>
      <c r="M34583" s="112"/>
      <c r="N34583" s="84"/>
    </row>
    <row r="34584" spans="1:14" s="2" customFormat="1">
      <c r="A34584" s="83"/>
      <c r="H34584" s="83"/>
      <c r="K34584" s="82"/>
      <c r="M34584" s="112"/>
      <c r="N34584" s="84"/>
    </row>
    <row r="34585" spans="1:14" s="2" customFormat="1">
      <c r="A34585" s="83"/>
      <c r="H34585" s="83"/>
      <c r="K34585" s="82"/>
      <c r="M34585" s="112"/>
      <c r="N34585" s="84"/>
    </row>
    <row r="34586" spans="1:14" s="2" customFormat="1">
      <c r="A34586" s="83"/>
      <c r="H34586" s="83"/>
      <c r="K34586" s="82"/>
      <c r="M34586" s="112"/>
      <c r="N34586" s="84"/>
    </row>
    <row r="34587" spans="1:14" s="2" customFormat="1">
      <c r="A34587" s="83"/>
      <c r="H34587" s="83"/>
      <c r="K34587" s="82"/>
      <c r="M34587" s="112"/>
      <c r="N34587" s="84"/>
    </row>
    <row r="34588" spans="1:14" s="2" customFormat="1">
      <c r="A34588" s="83"/>
      <c r="H34588" s="83"/>
      <c r="K34588" s="82"/>
      <c r="M34588" s="112"/>
      <c r="N34588" s="84"/>
    </row>
    <row r="34589" spans="1:14" s="2" customFormat="1">
      <c r="A34589" s="83"/>
      <c r="H34589" s="83"/>
      <c r="K34589" s="82"/>
      <c r="M34589" s="112"/>
      <c r="N34589" s="84"/>
    </row>
    <row r="34590" spans="1:14" s="2" customFormat="1">
      <c r="A34590" s="83"/>
      <c r="H34590" s="83"/>
      <c r="K34590" s="82"/>
      <c r="M34590" s="112"/>
      <c r="N34590" s="84"/>
    </row>
    <row r="34591" spans="1:14" s="2" customFormat="1">
      <c r="A34591" s="83"/>
      <c r="H34591" s="83"/>
      <c r="K34591" s="82"/>
      <c r="M34591" s="112"/>
      <c r="N34591" s="84"/>
    </row>
    <row r="34592" spans="1:14" s="2" customFormat="1">
      <c r="A34592" s="83"/>
      <c r="H34592" s="83"/>
      <c r="K34592" s="82"/>
      <c r="M34592" s="112"/>
      <c r="N34592" s="84"/>
    </row>
    <row r="34593" spans="1:14" s="2" customFormat="1">
      <c r="A34593" s="83"/>
      <c r="H34593" s="83"/>
      <c r="K34593" s="82"/>
      <c r="M34593" s="112"/>
      <c r="N34593" s="84"/>
    </row>
    <row r="34594" spans="1:14" s="2" customFormat="1">
      <c r="A34594" s="83"/>
      <c r="H34594" s="83"/>
      <c r="K34594" s="82"/>
      <c r="M34594" s="112"/>
      <c r="N34594" s="84"/>
    </row>
    <row r="34595" spans="1:14" s="2" customFormat="1">
      <c r="A34595" s="83"/>
      <c r="H34595" s="83"/>
      <c r="K34595" s="82"/>
      <c r="M34595" s="112"/>
      <c r="N34595" s="84"/>
    </row>
    <row r="34596" spans="1:14" s="2" customFormat="1">
      <c r="A34596" s="83"/>
      <c r="H34596" s="83"/>
      <c r="K34596" s="82"/>
      <c r="M34596" s="112"/>
      <c r="N34596" s="84"/>
    </row>
    <row r="34597" spans="1:14" s="2" customFormat="1">
      <c r="A34597" s="83"/>
      <c r="H34597" s="83"/>
      <c r="K34597" s="82"/>
      <c r="M34597" s="112"/>
      <c r="N34597" s="84"/>
    </row>
    <row r="34598" spans="1:14" s="2" customFormat="1">
      <c r="A34598" s="83"/>
      <c r="H34598" s="83"/>
      <c r="K34598" s="82"/>
      <c r="M34598" s="112"/>
      <c r="N34598" s="84"/>
    </row>
    <row r="34599" spans="1:14" s="2" customFormat="1">
      <c r="A34599" s="83"/>
      <c r="H34599" s="83"/>
      <c r="K34599" s="82"/>
      <c r="M34599" s="112"/>
      <c r="N34599" s="84"/>
    </row>
    <row r="34600" spans="1:14" s="2" customFormat="1">
      <c r="A34600" s="83"/>
      <c r="H34600" s="83"/>
      <c r="K34600" s="82"/>
      <c r="M34600" s="112"/>
      <c r="N34600" s="84"/>
    </row>
    <row r="34601" spans="1:14" s="2" customFormat="1">
      <c r="A34601" s="83"/>
      <c r="H34601" s="83"/>
      <c r="K34601" s="82"/>
      <c r="M34601" s="112"/>
      <c r="N34601" s="84"/>
    </row>
    <row r="34602" spans="1:14" s="2" customFormat="1">
      <c r="A34602" s="83"/>
      <c r="H34602" s="83"/>
      <c r="K34602" s="82"/>
      <c r="M34602" s="112"/>
      <c r="N34602" s="84"/>
    </row>
    <row r="34603" spans="1:14" s="2" customFormat="1">
      <c r="A34603" s="83"/>
      <c r="H34603" s="83"/>
      <c r="K34603" s="82"/>
      <c r="M34603" s="112"/>
      <c r="N34603" s="84"/>
    </row>
    <row r="34604" spans="1:14" s="2" customFormat="1">
      <c r="A34604" s="83"/>
      <c r="H34604" s="83"/>
      <c r="K34604" s="82"/>
      <c r="M34604" s="112"/>
      <c r="N34604" s="84"/>
    </row>
    <row r="34605" spans="1:14" s="2" customFormat="1">
      <c r="A34605" s="83"/>
      <c r="H34605" s="83"/>
      <c r="K34605" s="82"/>
      <c r="M34605" s="112"/>
      <c r="N34605" s="84"/>
    </row>
    <row r="34606" spans="1:14" s="2" customFormat="1">
      <c r="A34606" s="83"/>
      <c r="H34606" s="83"/>
      <c r="K34606" s="82"/>
      <c r="M34606" s="112"/>
      <c r="N34606" s="84"/>
    </row>
    <row r="34607" spans="1:14" s="2" customFormat="1">
      <c r="A34607" s="83"/>
      <c r="H34607" s="83"/>
      <c r="K34607" s="82"/>
      <c r="M34607" s="112"/>
      <c r="N34607" s="84"/>
    </row>
    <row r="34608" spans="1:14" s="2" customFormat="1">
      <c r="A34608" s="83"/>
      <c r="H34608" s="83"/>
      <c r="K34608" s="82"/>
      <c r="M34608" s="112"/>
      <c r="N34608" s="84"/>
    </row>
    <row r="34609" spans="1:14" s="2" customFormat="1">
      <c r="A34609" s="83"/>
      <c r="H34609" s="83"/>
      <c r="K34609" s="82"/>
      <c r="M34609" s="112"/>
      <c r="N34609" s="84"/>
    </row>
    <row r="34610" spans="1:14" s="2" customFormat="1">
      <c r="A34610" s="83"/>
      <c r="H34610" s="83"/>
      <c r="K34610" s="82"/>
      <c r="M34610" s="112"/>
      <c r="N34610" s="84"/>
    </row>
    <row r="34611" spans="1:14" s="2" customFormat="1">
      <c r="A34611" s="83"/>
      <c r="H34611" s="83"/>
      <c r="K34611" s="82"/>
      <c r="M34611" s="112"/>
      <c r="N34611" s="84"/>
    </row>
    <row r="34612" spans="1:14" s="2" customFormat="1">
      <c r="A34612" s="83"/>
      <c r="H34612" s="83"/>
      <c r="K34612" s="82"/>
      <c r="M34612" s="112"/>
      <c r="N34612" s="84"/>
    </row>
    <row r="34613" spans="1:14" s="2" customFormat="1">
      <c r="A34613" s="83"/>
      <c r="H34613" s="83"/>
      <c r="K34613" s="82"/>
      <c r="M34613" s="112"/>
      <c r="N34613" s="84"/>
    </row>
    <row r="34614" spans="1:14" s="2" customFormat="1">
      <c r="A34614" s="83"/>
      <c r="H34614" s="83"/>
      <c r="K34614" s="82"/>
      <c r="M34614" s="112"/>
      <c r="N34614" s="84"/>
    </row>
    <row r="34615" spans="1:14" s="2" customFormat="1">
      <c r="A34615" s="83"/>
      <c r="H34615" s="83"/>
      <c r="K34615" s="82"/>
      <c r="M34615" s="112"/>
      <c r="N34615" s="84"/>
    </row>
    <row r="34616" spans="1:14" s="2" customFormat="1">
      <c r="A34616" s="83"/>
      <c r="H34616" s="83"/>
      <c r="K34616" s="82"/>
      <c r="M34616" s="112"/>
      <c r="N34616" s="84"/>
    </row>
    <row r="34617" spans="1:14" s="2" customFormat="1">
      <c r="A34617" s="83"/>
      <c r="H34617" s="83"/>
      <c r="K34617" s="82"/>
      <c r="M34617" s="112"/>
      <c r="N34617" s="84"/>
    </row>
    <row r="34618" spans="1:14" s="2" customFormat="1">
      <c r="A34618" s="83"/>
      <c r="H34618" s="83"/>
      <c r="K34618" s="82"/>
      <c r="M34618" s="112"/>
      <c r="N34618" s="84"/>
    </row>
    <row r="34619" spans="1:14" s="2" customFormat="1">
      <c r="A34619" s="83"/>
      <c r="H34619" s="83"/>
      <c r="K34619" s="82"/>
      <c r="M34619" s="112"/>
      <c r="N34619" s="84"/>
    </row>
    <row r="34620" spans="1:14" s="2" customFormat="1">
      <c r="A34620" s="83"/>
      <c r="H34620" s="83"/>
      <c r="K34620" s="82"/>
      <c r="M34620" s="112"/>
      <c r="N34620" s="84"/>
    </row>
    <row r="34621" spans="1:14" s="2" customFormat="1">
      <c r="A34621" s="83"/>
      <c r="H34621" s="83"/>
      <c r="K34621" s="82"/>
      <c r="M34621" s="112"/>
      <c r="N34621" s="84"/>
    </row>
    <row r="34622" spans="1:14" s="2" customFormat="1">
      <c r="A34622" s="83"/>
      <c r="H34622" s="83"/>
      <c r="K34622" s="82"/>
      <c r="M34622" s="112"/>
      <c r="N34622" s="84"/>
    </row>
    <row r="34623" spans="1:14" s="2" customFormat="1">
      <c r="A34623" s="83"/>
      <c r="H34623" s="83"/>
      <c r="K34623" s="82"/>
      <c r="M34623" s="112"/>
      <c r="N34623" s="84"/>
    </row>
    <row r="34624" spans="1:14" s="2" customFormat="1">
      <c r="A34624" s="83"/>
      <c r="H34624" s="83"/>
      <c r="K34624" s="82"/>
      <c r="M34624" s="112"/>
      <c r="N34624" s="84"/>
    </row>
    <row r="34625" spans="1:14" s="2" customFormat="1">
      <c r="A34625" s="83"/>
      <c r="H34625" s="83"/>
      <c r="K34625" s="82"/>
      <c r="M34625" s="112"/>
      <c r="N34625" s="84"/>
    </row>
    <row r="34626" spans="1:14" s="2" customFormat="1">
      <c r="A34626" s="83"/>
      <c r="H34626" s="83"/>
      <c r="K34626" s="82"/>
      <c r="M34626" s="112"/>
      <c r="N34626" s="84"/>
    </row>
    <row r="34627" spans="1:14" s="2" customFormat="1">
      <c r="A34627" s="83"/>
      <c r="H34627" s="83"/>
      <c r="K34627" s="82"/>
      <c r="M34627" s="112"/>
      <c r="N34627" s="84"/>
    </row>
    <row r="34628" spans="1:14" s="2" customFormat="1">
      <c r="A34628" s="83"/>
      <c r="H34628" s="83"/>
      <c r="K34628" s="82"/>
      <c r="M34628" s="112"/>
      <c r="N34628" s="84"/>
    </row>
    <row r="34629" spans="1:14" s="2" customFormat="1">
      <c r="A34629" s="83"/>
      <c r="H34629" s="83"/>
      <c r="K34629" s="82"/>
      <c r="M34629" s="112"/>
      <c r="N34629" s="84"/>
    </row>
    <row r="34630" spans="1:14" s="2" customFormat="1">
      <c r="A34630" s="83"/>
      <c r="H34630" s="83"/>
      <c r="K34630" s="82"/>
      <c r="M34630" s="112"/>
      <c r="N34630" s="84"/>
    </row>
    <row r="34631" spans="1:14" s="2" customFormat="1">
      <c r="A34631" s="83"/>
      <c r="H34631" s="83"/>
      <c r="K34631" s="82"/>
      <c r="M34631" s="112"/>
      <c r="N34631" s="84"/>
    </row>
    <row r="34632" spans="1:14" s="2" customFormat="1">
      <c r="A34632" s="83"/>
      <c r="H34632" s="83"/>
      <c r="K34632" s="82"/>
      <c r="M34632" s="112"/>
      <c r="N34632" s="84"/>
    </row>
    <row r="34633" spans="1:14" s="2" customFormat="1">
      <c r="A34633" s="83"/>
      <c r="H34633" s="83"/>
      <c r="K34633" s="82"/>
      <c r="M34633" s="112"/>
      <c r="N34633" s="84"/>
    </row>
    <row r="34634" spans="1:14" s="2" customFormat="1">
      <c r="A34634" s="83"/>
      <c r="H34634" s="83"/>
      <c r="K34634" s="82"/>
      <c r="M34634" s="112"/>
      <c r="N34634" s="84"/>
    </row>
    <row r="34635" spans="1:14" s="2" customFormat="1">
      <c r="A34635" s="83"/>
      <c r="H34635" s="83"/>
      <c r="K34635" s="82"/>
      <c r="M34635" s="112"/>
      <c r="N34635" s="84"/>
    </row>
    <row r="34636" spans="1:14" s="2" customFormat="1">
      <c r="A34636" s="83"/>
      <c r="H34636" s="83"/>
      <c r="K34636" s="82"/>
      <c r="M34636" s="112"/>
      <c r="N34636" s="84"/>
    </row>
    <row r="34637" spans="1:14" s="2" customFormat="1">
      <c r="A34637" s="83"/>
      <c r="H34637" s="83"/>
      <c r="K34637" s="82"/>
      <c r="M34637" s="112"/>
      <c r="N34637" s="84"/>
    </row>
    <row r="34638" spans="1:14" s="2" customFormat="1">
      <c r="A34638" s="83"/>
      <c r="H34638" s="83"/>
      <c r="K34638" s="82"/>
      <c r="M34638" s="112"/>
      <c r="N34638" s="84"/>
    </row>
    <row r="34639" spans="1:14" s="2" customFormat="1">
      <c r="A34639" s="83"/>
      <c r="H34639" s="83"/>
      <c r="K34639" s="82"/>
      <c r="M34639" s="112"/>
      <c r="N34639" s="84"/>
    </row>
    <row r="34640" spans="1:14" s="2" customFormat="1">
      <c r="A34640" s="83"/>
      <c r="H34640" s="83"/>
      <c r="K34640" s="82"/>
      <c r="M34640" s="112"/>
      <c r="N34640" s="84"/>
    </row>
    <row r="34641" spans="1:14" s="2" customFormat="1">
      <c r="A34641" s="83"/>
      <c r="H34641" s="83"/>
      <c r="K34641" s="82"/>
      <c r="M34641" s="112"/>
      <c r="N34641" s="84"/>
    </row>
    <row r="34642" spans="1:14" s="2" customFormat="1">
      <c r="A34642" s="83"/>
      <c r="H34642" s="83"/>
      <c r="K34642" s="82"/>
      <c r="M34642" s="112"/>
      <c r="N34642" s="84"/>
    </row>
    <row r="34643" spans="1:14" s="2" customFormat="1">
      <c r="A34643" s="83"/>
      <c r="H34643" s="83"/>
      <c r="K34643" s="82"/>
      <c r="M34643" s="112"/>
      <c r="N34643" s="84"/>
    </row>
    <row r="34644" spans="1:14" s="2" customFormat="1">
      <c r="A34644" s="83"/>
      <c r="H34644" s="83"/>
      <c r="K34644" s="82"/>
      <c r="M34644" s="112"/>
      <c r="N34644" s="84"/>
    </row>
    <row r="34645" spans="1:14" s="2" customFormat="1">
      <c r="A34645" s="83"/>
      <c r="H34645" s="83"/>
      <c r="K34645" s="82"/>
      <c r="M34645" s="112"/>
      <c r="N34645" s="84"/>
    </row>
    <row r="34646" spans="1:14" s="2" customFormat="1">
      <c r="A34646" s="83"/>
      <c r="H34646" s="83"/>
      <c r="K34646" s="82"/>
      <c r="M34646" s="112"/>
      <c r="N34646" s="84"/>
    </row>
    <row r="34647" spans="1:14" s="2" customFormat="1">
      <c r="A34647" s="83"/>
      <c r="H34647" s="83"/>
      <c r="K34647" s="82"/>
      <c r="M34647" s="112"/>
      <c r="N34647" s="84"/>
    </row>
    <row r="34648" spans="1:14" s="2" customFormat="1">
      <c r="A34648" s="83"/>
      <c r="H34648" s="83"/>
      <c r="K34648" s="82"/>
      <c r="M34648" s="112"/>
      <c r="N34648" s="84"/>
    </row>
    <row r="34649" spans="1:14" s="2" customFormat="1">
      <c r="A34649" s="83"/>
      <c r="H34649" s="83"/>
      <c r="K34649" s="82"/>
      <c r="M34649" s="112"/>
      <c r="N34649" s="84"/>
    </row>
    <row r="34650" spans="1:14" s="2" customFormat="1">
      <c r="A34650" s="83"/>
      <c r="H34650" s="83"/>
      <c r="K34650" s="82"/>
      <c r="M34650" s="112"/>
      <c r="N34650" s="84"/>
    </row>
    <row r="34651" spans="1:14" s="2" customFormat="1">
      <c r="A34651" s="83"/>
      <c r="H34651" s="83"/>
      <c r="K34651" s="82"/>
      <c r="M34651" s="112"/>
      <c r="N34651" s="84"/>
    </row>
    <row r="34652" spans="1:14" s="2" customFormat="1">
      <c r="A34652" s="83"/>
      <c r="H34652" s="83"/>
      <c r="K34652" s="82"/>
      <c r="M34652" s="112"/>
      <c r="N34652" s="84"/>
    </row>
    <row r="34653" spans="1:14" s="2" customFormat="1">
      <c r="A34653" s="83"/>
      <c r="H34653" s="83"/>
      <c r="K34653" s="82"/>
      <c r="M34653" s="112"/>
      <c r="N34653" s="84"/>
    </row>
    <row r="34654" spans="1:14" s="2" customFormat="1">
      <c r="A34654" s="83"/>
      <c r="H34654" s="83"/>
      <c r="K34654" s="82"/>
      <c r="M34654" s="112"/>
      <c r="N34654" s="84"/>
    </row>
    <row r="34655" spans="1:14" s="2" customFormat="1">
      <c r="A34655" s="83"/>
      <c r="H34655" s="83"/>
      <c r="K34655" s="82"/>
      <c r="M34655" s="112"/>
      <c r="N34655" s="84"/>
    </row>
    <row r="34656" spans="1:14" s="2" customFormat="1">
      <c r="A34656" s="83"/>
      <c r="H34656" s="83"/>
      <c r="K34656" s="82"/>
      <c r="M34656" s="112"/>
      <c r="N34656" s="84"/>
    </row>
    <row r="34657" spans="1:14" s="2" customFormat="1">
      <c r="A34657" s="83"/>
      <c r="H34657" s="83"/>
      <c r="K34657" s="82"/>
      <c r="M34657" s="112"/>
      <c r="N34657" s="84"/>
    </row>
    <row r="34658" spans="1:14" s="2" customFormat="1">
      <c r="A34658" s="83"/>
      <c r="H34658" s="83"/>
      <c r="K34658" s="82"/>
      <c r="M34658" s="112"/>
      <c r="N34658" s="84"/>
    </row>
    <row r="34659" spans="1:14" s="2" customFormat="1">
      <c r="A34659" s="83"/>
      <c r="H34659" s="83"/>
      <c r="K34659" s="82"/>
      <c r="M34659" s="112"/>
      <c r="N34659" s="84"/>
    </row>
    <row r="34660" spans="1:14" s="2" customFormat="1">
      <c r="A34660" s="83"/>
      <c r="H34660" s="83"/>
      <c r="K34660" s="82"/>
      <c r="M34660" s="112"/>
      <c r="N34660" s="84"/>
    </row>
    <row r="34661" spans="1:14" s="2" customFormat="1">
      <c r="A34661" s="83"/>
      <c r="H34661" s="83"/>
      <c r="K34661" s="82"/>
      <c r="M34661" s="112"/>
      <c r="N34661" s="84"/>
    </row>
    <row r="34662" spans="1:14" s="2" customFormat="1">
      <c r="A34662" s="83"/>
      <c r="H34662" s="83"/>
      <c r="K34662" s="82"/>
      <c r="M34662" s="112"/>
      <c r="N34662" s="84"/>
    </row>
    <row r="34663" spans="1:14" s="2" customFormat="1">
      <c r="A34663" s="83"/>
      <c r="H34663" s="83"/>
      <c r="K34663" s="82"/>
      <c r="M34663" s="112"/>
      <c r="N34663" s="84"/>
    </row>
    <row r="34664" spans="1:14" s="2" customFormat="1">
      <c r="A34664" s="83"/>
      <c r="H34664" s="83"/>
      <c r="K34664" s="82"/>
      <c r="M34664" s="112"/>
      <c r="N34664" s="84"/>
    </row>
    <row r="34665" spans="1:14" s="2" customFormat="1">
      <c r="A34665" s="83"/>
      <c r="H34665" s="83"/>
      <c r="K34665" s="82"/>
      <c r="M34665" s="112"/>
      <c r="N34665" s="84"/>
    </row>
    <row r="34666" spans="1:14" s="2" customFormat="1">
      <c r="A34666" s="83"/>
      <c r="H34666" s="83"/>
      <c r="K34666" s="82"/>
      <c r="M34666" s="112"/>
      <c r="N34666" s="84"/>
    </row>
    <row r="34667" spans="1:14" s="2" customFormat="1">
      <c r="A34667" s="83"/>
      <c r="H34667" s="83"/>
      <c r="K34667" s="82"/>
      <c r="M34667" s="112"/>
      <c r="N34667" s="84"/>
    </row>
    <row r="34668" spans="1:14" s="2" customFormat="1">
      <c r="A34668" s="83"/>
      <c r="H34668" s="83"/>
      <c r="K34668" s="82"/>
      <c r="M34668" s="112"/>
      <c r="N34668" s="84"/>
    </row>
    <row r="34669" spans="1:14" s="2" customFormat="1">
      <c r="A34669" s="83"/>
      <c r="H34669" s="83"/>
      <c r="K34669" s="82"/>
      <c r="M34669" s="112"/>
      <c r="N34669" s="84"/>
    </row>
    <row r="34670" spans="1:14" s="2" customFormat="1">
      <c r="A34670" s="83"/>
      <c r="H34670" s="83"/>
      <c r="K34670" s="82"/>
      <c r="M34670" s="112"/>
      <c r="N34670" s="84"/>
    </row>
    <row r="34671" spans="1:14" s="2" customFormat="1">
      <c r="A34671" s="83"/>
      <c r="H34671" s="83"/>
      <c r="K34671" s="82"/>
      <c r="M34671" s="112"/>
      <c r="N34671" s="84"/>
    </row>
    <row r="34672" spans="1:14" s="2" customFormat="1">
      <c r="A34672" s="83"/>
      <c r="H34672" s="83"/>
      <c r="K34672" s="82"/>
      <c r="M34672" s="112"/>
      <c r="N34672" s="84"/>
    </row>
    <row r="34673" spans="1:14" s="2" customFormat="1">
      <c r="A34673" s="83"/>
      <c r="H34673" s="83"/>
      <c r="K34673" s="82"/>
      <c r="M34673" s="112"/>
      <c r="N34673" s="84"/>
    </row>
    <row r="34674" spans="1:14" s="2" customFormat="1">
      <c r="A34674" s="83"/>
      <c r="H34674" s="83"/>
      <c r="K34674" s="82"/>
      <c r="M34674" s="112"/>
      <c r="N34674" s="84"/>
    </row>
    <row r="34675" spans="1:14" s="2" customFormat="1">
      <c r="A34675" s="83"/>
      <c r="H34675" s="83"/>
      <c r="K34675" s="82"/>
      <c r="M34675" s="112"/>
      <c r="N34675" s="84"/>
    </row>
    <row r="34676" spans="1:14" s="2" customFormat="1">
      <c r="A34676" s="83"/>
      <c r="H34676" s="83"/>
      <c r="K34676" s="82"/>
      <c r="M34676" s="112"/>
      <c r="N34676" s="84"/>
    </row>
    <row r="34677" spans="1:14" s="2" customFormat="1">
      <c r="A34677" s="83"/>
      <c r="H34677" s="83"/>
      <c r="K34677" s="82"/>
      <c r="M34677" s="112"/>
      <c r="N34677" s="84"/>
    </row>
    <row r="34678" spans="1:14" s="2" customFormat="1">
      <c r="A34678" s="83"/>
      <c r="H34678" s="83"/>
      <c r="K34678" s="82"/>
      <c r="M34678" s="112"/>
      <c r="N34678" s="84"/>
    </row>
    <row r="34679" spans="1:14" s="2" customFormat="1">
      <c r="A34679" s="83"/>
      <c r="H34679" s="83"/>
      <c r="K34679" s="82"/>
      <c r="M34679" s="112"/>
      <c r="N34679" s="84"/>
    </row>
    <row r="34680" spans="1:14" s="2" customFormat="1">
      <c r="A34680" s="83"/>
      <c r="H34680" s="83"/>
      <c r="K34680" s="82"/>
      <c r="M34680" s="112"/>
      <c r="N34680" s="84"/>
    </row>
    <row r="34681" spans="1:14" s="2" customFormat="1">
      <c r="A34681" s="83"/>
      <c r="H34681" s="83"/>
      <c r="K34681" s="82"/>
      <c r="M34681" s="112"/>
      <c r="N34681" s="84"/>
    </row>
    <row r="34682" spans="1:14" s="2" customFormat="1">
      <c r="A34682" s="83"/>
      <c r="H34682" s="83"/>
      <c r="K34682" s="82"/>
      <c r="M34682" s="112"/>
      <c r="N34682" s="84"/>
    </row>
    <row r="34683" spans="1:14" s="2" customFormat="1">
      <c r="A34683" s="83"/>
      <c r="H34683" s="83"/>
      <c r="K34683" s="82"/>
      <c r="M34683" s="112"/>
      <c r="N34683" s="84"/>
    </row>
    <row r="34684" spans="1:14" s="2" customFormat="1">
      <c r="A34684" s="83"/>
      <c r="H34684" s="83"/>
      <c r="K34684" s="82"/>
      <c r="M34684" s="112"/>
      <c r="N34684" s="84"/>
    </row>
    <row r="34685" spans="1:14" s="2" customFormat="1">
      <c r="A34685" s="83"/>
      <c r="H34685" s="83"/>
      <c r="K34685" s="82"/>
      <c r="M34685" s="112"/>
      <c r="N34685" s="84"/>
    </row>
    <row r="34686" spans="1:14" s="2" customFormat="1">
      <c r="A34686" s="83"/>
      <c r="H34686" s="83"/>
      <c r="K34686" s="82"/>
      <c r="M34686" s="112"/>
      <c r="N34686" s="84"/>
    </row>
    <row r="34687" spans="1:14" s="2" customFormat="1">
      <c r="A34687" s="83"/>
      <c r="H34687" s="83"/>
      <c r="K34687" s="82"/>
      <c r="M34687" s="112"/>
      <c r="N34687" s="84"/>
    </row>
    <row r="34688" spans="1:14" s="2" customFormat="1">
      <c r="A34688" s="83"/>
      <c r="H34688" s="83"/>
      <c r="K34688" s="82"/>
      <c r="M34688" s="112"/>
      <c r="N34688" s="84"/>
    </row>
    <row r="34689" spans="1:14" s="2" customFormat="1">
      <c r="A34689" s="83"/>
      <c r="H34689" s="83"/>
      <c r="K34689" s="82"/>
      <c r="M34689" s="112"/>
      <c r="N34689" s="84"/>
    </row>
    <row r="34690" spans="1:14" s="2" customFormat="1">
      <c r="A34690" s="83"/>
      <c r="H34690" s="83"/>
      <c r="K34690" s="82"/>
      <c r="M34690" s="112"/>
      <c r="N34690" s="84"/>
    </row>
    <row r="34691" spans="1:14" s="2" customFormat="1">
      <c r="A34691" s="83"/>
      <c r="H34691" s="83"/>
      <c r="K34691" s="82"/>
      <c r="M34691" s="112"/>
      <c r="N34691" s="84"/>
    </row>
    <row r="34692" spans="1:14" s="2" customFormat="1">
      <c r="A34692" s="83"/>
      <c r="H34692" s="83"/>
      <c r="K34692" s="82"/>
      <c r="M34692" s="112"/>
      <c r="N34692" s="84"/>
    </row>
    <row r="34693" spans="1:14" s="2" customFormat="1">
      <c r="A34693" s="83"/>
      <c r="H34693" s="83"/>
      <c r="K34693" s="82"/>
      <c r="M34693" s="112"/>
      <c r="N34693" s="84"/>
    </row>
    <row r="34694" spans="1:14" s="2" customFormat="1">
      <c r="A34694" s="83"/>
      <c r="H34694" s="83"/>
      <c r="K34694" s="82"/>
      <c r="M34694" s="112"/>
      <c r="N34694" s="84"/>
    </row>
    <row r="34695" spans="1:14" s="2" customFormat="1">
      <c r="A34695" s="83"/>
      <c r="H34695" s="83"/>
      <c r="K34695" s="82"/>
      <c r="M34695" s="112"/>
      <c r="N34695" s="84"/>
    </row>
    <row r="34696" spans="1:14" s="2" customFormat="1">
      <c r="A34696" s="83"/>
      <c r="H34696" s="83"/>
      <c r="K34696" s="82"/>
      <c r="M34696" s="112"/>
      <c r="N34696" s="84"/>
    </row>
    <row r="34697" spans="1:14" s="2" customFormat="1">
      <c r="A34697" s="83"/>
      <c r="H34697" s="83"/>
      <c r="K34697" s="82"/>
      <c r="M34697" s="112"/>
      <c r="N34697" s="84"/>
    </row>
    <row r="34698" spans="1:14" s="2" customFormat="1">
      <c r="A34698" s="83"/>
      <c r="H34698" s="83"/>
      <c r="K34698" s="82"/>
      <c r="M34698" s="112"/>
      <c r="N34698" s="84"/>
    </row>
    <row r="34699" spans="1:14" s="2" customFormat="1">
      <c r="A34699" s="83"/>
      <c r="H34699" s="83"/>
      <c r="K34699" s="82"/>
      <c r="M34699" s="112"/>
      <c r="N34699" s="84"/>
    </row>
    <row r="34700" spans="1:14" s="2" customFormat="1">
      <c r="A34700" s="83"/>
      <c r="H34700" s="83"/>
      <c r="K34700" s="82"/>
      <c r="M34700" s="112"/>
      <c r="N34700" s="84"/>
    </row>
    <row r="34701" spans="1:14" s="2" customFormat="1">
      <c r="A34701" s="83"/>
      <c r="H34701" s="83"/>
      <c r="K34701" s="82"/>
      <c r="M34701" s="112"/>
      <c r="N34701" s="84"/>
    </row>
    <row r="34702" spans="1:14" s="2" customFormat="1">
      <c r="A34702" s="83"/>
      <c r="H34702" s="83"/>
      <c r="K34702" s="82"/>
      <c r="M34702" s="112"/>
      <c r="N34702" s="84"/>
    </row>
    <row r="34703" spans="1:14" s="2" customFormat="1">
      <c r="A34703" s="83"/>
      <c r="H34703" s="83"/>
      <c r="K34703" s="82"/>
      <c r="M34703" s="112"/>
      <c r="N34703" s="84"/>
    </row>
    <row r="34704" spans="1:14" s="2" customFormat="1">
      <c r="A34704" s="83"/>
      <c r="H34704" s="83"/>
      <c r="K34704" s="82"/>
      <c r="M34704" s="112"/>
      <c r="N34704" s="84"/>
    </row>
    <row r="34705" spans="1:14" s="2" customFormat="1">
      <c r="A34705" s="83"/>
      <c r="H34705" s="83"/>
      <c r="K34705" s="82"/>
      <c r="M34705" s="112"/>
      <c r="N34705" s="84"/>
    </row>
    <row r="34706" spans="1:14" s="2" customFormat="1">
      <c r="A34706" s="83"/>
      <c r="H34706" s="83"/>
      <c r="K34706" s="82"/>
      <c r="M34706" s="112"/>
      <c r="N34706" s="84"/>
    </row>
    <row r="34707" spans="1:14" s="2" customFormat="1">
      <c r="A34707" s="83"/>
      <c r="H34707" s="83"/>
      <c r="K34707" s="82"/>
      <c r="M34707" s="112"/>
      <c r="N34707" s="84"/>
    </row>
    <row r="34708" spans="1:14" s="2" customFormat="1">
      <c r="A34708" s="83"/>
      <c r="H34708" s="83"/>
      <c r="K34708" s="82"/>
      <c r="M34708" s="112"/>
      <c r="N34708" s="84"/>
    </row>
    <row r="34709" spans="1:14" s="2" customFormat="1">
      <c r="A34709" s="83"/>
      <c r="H34709" s="83"/>
      <c r="K34709" s="82"/>
      <c r="M34709" s="112"/>
      <c r="N34709" s="84"/>
    </row>
    <row r="34710" spans="1:14" s="2" customFormat="1">
      <c r="A34710" s="83"/>
      <c r="H34710" s="83"/>
      <c r="K34710" s="82"/>
      <c r="M34710" s="112"/>
      <c r="N34710" s="84"/>
    </row>
    <row r="34711" spans="1:14" s="2" customFormat="1">
      <c r="A34711" s="83"/>
      <c r="H34711" s="83"/>
      <c r="K34711" s="82"/>
      <c r="M34711" s="112"/>
      <c r="N34711" s="84"/>
    </row>
    <row r="34712" spans="1:14" s="2" customFormat="1">
      <c r="A34712" s="83"/>
      <c r="H34712" s="83"/>
      <c r="K34712" s="82"/>
      <c r="M34712" s="112"/>
      <c r="N34712" s="84"/>
    </row>
    <row r="34713" spans="1:14" s="2" customFormat="1">
      <c r="A34713" s="83"/>
      <c r="H34713" s="83"/>
      <c r="K34713" s="82"/>
      <c r="M34713" s="112"/>
      <c r="N34713" s="84"/>
    </row>
    <row r="34714" spans="1:14" s="2" customFormat="1">
      <c r="A34714" s="83"/>
      <c r="H34714" s="83"/>
      <c r="K34714" s="82"/>
      <c r="M34714" s="112"/>
      <c r="N34714" s="84"/>
    </row>
    <row r="34715" spans="1:14" s="2" customFormat="1">
      <c r="A34715" s="83"/>
      <c r="H34715" s="83"/>
      <c r="K34715" s="82"/>
      <c r="M34715" s="112"/>
      <c r="N34715" s="84"/>
    </row>
    <row r="34716" spans="1:14" s="2" customFormat="1">
      <c r="A34716" s="83"/>
      <c r="H34716" s="83"/>
      <c r="K34716" s="82"/>
      <c r="M34716" s="112"/>
      <c r="N34716" s="84"/>
    </row>
    <row r="34717" spans="1:14" s="2" customFormat="1">
      <c r="A34717" s="83"/>
      <c r="H34717" s="83"/>
      <c r="K34717" s="82"/>
      <c r="M34717" s="112"/>
      <c r="N34717" s="84"/>
    </row>
    <row r="34718" spans="1:14" s="2" customFormat="1">
      <c r="A34718" s="83"/>
      <c r="H34718" s="83"/>
      <c r="K34718" s="82"/>
      <c r="M34718" s="112"/>
      <c r="N34718" s="84"/>
    </row>
    <row r="34719" spans="1:14" s="2" customFormat="1">
      <c r="A34719" s="83"/>
      <c r="H34719" s="83"/>
      <c r="K34719" s="82"/>
      <c r="M34719" s="112"/>
      <c r="N34719" s="84"/>
    </row>
    <row r="34720" spans="1:14" s="2" customFormat="1">
      <c r="A34720" s="83"/>
      <c r="H34720" s="83"/>
      <c r="K34720" s="82"/>
      <c r="M34720" s="112"/>
      <c r="N34720" s="84"/>
    </row>
    <row r="34721" spans="1:14" s="2" customFormat="1">
      <c r="A34721" s="83"/>
      <c r="H34721" s="83"/>
      <c r="K34721" s="82"/>
      <c r="M34721" s="112"/>
      <c r="N34721" s="84"/>
    </row>
    <row r="34722" spans="1:14" s="2" customFormat="1">
      <c r="A34722" s="83"/>
      <c r="H34722" s="83"/>
      <c r="K34722" s="82"/>
      <c r="M34722" s="112"/>
      <c r="N34722" s="84"/>
    </row>
    <row r="34723" spans="1:14" s="2" customFormat="1">
      <c r="A34723" s="83"/>
      <c r="H34723" s="83"/>
      <c r="K34723" s="82"/>
      <c r="M34723" s="112"/>
      <c r="N34723" s="84"/>
    </row>
    <row r="34724" spans="1:14" s="2" customFormat="1">
      <c r="A34724" s="83"/>
      <c r="H34724" s="83"/>
      <c r="K34724" s="82"/>
      <c r="M34724" s="112"/>
      <c r="N34724" s="84"/>
    </row>
    <row r="34725" spans="1:14" s="2" customFormat="1">
      <c r="A34725" s="83"/>
      <c r="H34725" s="83"/>
      <c r="K34725" s="82"/>
      <c r="M34725" s="112"/>
      <c r="N34725" s="84"/>
    </row>
    <row r="34726" spans="1:14" s="2" customFormat="1">
      <c r="A34726" s="83"/>
      <c r="H34726" s="83"/>
      <c r="K34726" s="82"/>
      <c r="M34726" s="112"/>
      <c r="N34726" s="84"/>
    </row>
    <row r="34727" spans="1:14" s="2" customFormat="1">
      <c r="A34727" s="83"/>
      <c r="H34727" s="83"/>
      <c r="K34727" s="82"/>
      <c r="M34727" s="112"/>
      <c r="N34727" s="84"/>
    </row>
    <row r="34728" spans="1:14" s="2" customFormat="1">
      <c r="A34728" s="83"/>
      <c r="H34728" s="83"/>
      <c r="K34728" s="82"/>
      <c r="M34728" s="112"/>
      <c r="N34728" s="84"/>
    </row>
    <row r="34729" spans="1:14" s="2" customFormat="1">
      <c r="A34729" s="83"/>
      <c r="H34729" s="83"/>
      <c r="K34729" s="82"/>
      <c r="M34729" s="112"/>
      <c r="N34729" s="84"/>
    </row>
    <row r="34730" spans="1:14" s="2" customFormat="1">
      <c r="A34730" s="83"/>
      <c r="H34730" s="83"/>
      <c r="K34730" s="82"/>
      <c r="M34730" s="112"/>
      <c r="N34730" s="84"/>
    </row>
    <row r="34731" spans="1:14" s="2" customFormat="1">
      <c r="A34731" s="83"/>
      <c r="H34731" s="83"/>
      <c r="K34731" s="82"/>
      <c r="M34731" s="112"/>
      <c r="N34731" s="84"/>
    </row>
    <row r="34732" spans="1:14" s="2" customFormat="1">
      <c r="A34732" s="83"/>
      <c r="H34732" s="83"/>
      <c r="K34732" s="82"/>
      <c r="M34732" s="112"/>
      <c r="N34732" s="84"/>
    </row>
    <row r="34733" spans="1:14" s="2" customFormat="1">
      <c r="A34733" s="83"/>
      <c r="H34733" s="83"/>
      <c r="K34733" s="82"/>
      <c r="M34733" s="112"/>
      <c r="N34733" s="84"/>
    </row>
    <row r="34734" spans="1:14" s="2" customFormat="1">
      <c r="A34734" s="83"/>
      <c r="H34734" s="83"/>
      <c r="K34734" s="82"/>
      <c r="M34734" s="112"/>
      <c r="N34734" s="84"/>
    </row>
    <row r="34735" spans="1:14" s="2" customFormat="1">
      <c r="A34735" s="83"/>
      <c r="H34735" s="83"/>
      <c r="K34735" s="82"/>
      <c r="M34735" s="112"/>
      <c r="N34735" s="84"/>
    </row>
    <row r="34736" spans="1:14" s="2" customFormat="1">
      <c r="A34736" s="83"/>
      <c r="H34736" s="83"/>
      <c r="K34736" s="82"/>
      <c r="M34736" s="112"/>
      <c r="N34736" s="84"/>
    </row>
    <row r="34737" spans="1:14" s="2" customFormat="1">
      <c r="A34737" s="83"/>
      <c r="H34737" s="83"/>
      <c r="K34737" s="82"/>
      <c r="M34737" s="112"/>
      <c r="N34737" s="84"/>
    </row>
    <row r="34738" spans="1:14" s="2" customFormat="1">
      <c r="A34738" s="83"/>
      <c r="H34738" s="83"/>
      <c r="K34738" s="82"/>
      <c r="M34738" s="112"/>
      <c r="N34738" s="84"/>
    </row>
    <row r="34739" spans="1:14" s="2" customFormat="1">
      <c r="A34739" s="83"/>
      <c r="H34739" s="83"/>
      <c r="K34739" s="82"/>
      <c r="M34739" s="112"/>
      <c r="N34739" s="84"/>
    </row>
    <row r="34740" spans="1:14" s="2" customFormat="1">
      <c r="A34740" s="83"/>
      <c r="H34740" s="83"/>
      <c r="K34740" s="82"/>
      <c r="M34740" s="112"/>
      <c r="N34740" s="84"/>
    </row>
    <row r="34741" spans="1:14" s="2" customFormat="1">
      <c r="A34741" s="83"/>
      <c r="H34741" s="83"/>
      <c r="K34741" s="82"/>
      <c r="M34741" s="112"/>
      <c r="N34741" s="84"/>
    </row>
    <row r="34742" spans="1:14" s="2" customFormat="1">
      <c r="A34742" s="83"/>
      <c r="H34742" s="83"/>
      <c r="K34742" s="82"/>
      <c r="M34742" s="112"/>
      <c r="N34742" s="84"/>
    </row>
    <row r="34743" spans="1:14" s="2" customFormat="1">
      <c r="A34743" s="83"/>
      <c r="H34743" s="83"/>
      <c r="K34743" s="82"/>
      <c r="M34743" s="112"/>
      <c r="N34743" s="84"/>
    </row>
    <row r="34744" spans="1:14" s="2" customFormat="1">
      <c r="A34744" s="83"/>
      <c r="H34744" s="83"/>
      <c r="K34744" s="82"/>
      <c r="M34744" s="112"/>
      <c r="N34744" s="84"/>
    </row>
    <row r="34745" spans="1:14" s="2" customFormat="1">
      <c r="A34745" s="83"/>
      <c r="H34745" s="83"/>
      <c r="K34745" s="82"/>
      <c r="M34745" s="112"/>
      <c r="N34745" s="84"/>
    </row>
    <row r="34746" spans="1:14" s="2" customFormat="1">
      <c r="A34746" s="83"/>
      <c r="H34746" s="83"/>
      <c r="K34746" s="82"/>
      <c r="M34746" s="112"/>
      <c r="N34746" s="84"/>
    </row>
    <row r="34747" spans="1:14" s="2" customFormat="1">
      <c r="A34747" s="83"/>
      <c r="H34747" s="83"/>
      <c r="K34747" s="82"/>
      <c r="M34747" s="112"/>
      <c r="N34747" s="84"/>
    </row>
    <row r="34748" spans="1:14" s="2" customFormat="1">
      <c r="A34748" s="83"/>
      <c r="H34748" s="83"/>
      <c r="K34748" s="82"/>
      <c r="M34748" s="112"/>
      <c r="N34748" s="84"/>
    </row>
    <row r="34749" spans="1:14" s="2" customFormat="1">
      <c r="A34749" s="83"/>
      <c r="H34749" s="83"/>
      <c r="K34749" s="82"/>
      <c r="M34749" s="112"/>
      <c r="N34749" s="84"/>
    </row>
    <row r="34750" spans="1:14" s="2" customFormat="1">
      <c r="A34750" s="83"/>
      <c r="H34750" s="83"/>
      <c r="K34750" s="82"/>
      <c r="M34750" s="112"/>
      <c r="N34750" s="84"/>
    </row>
    <row r="34751" spans="1:14" s="2" customFormat="1">
      <c r="A34751" s="83"/>
      <c r="H34751" s="83"/>
      <c r="K34751" s="82"/>
      <c r="M34751" s="112"/>
      <c r="N34751" s="84"/>
    </row>
    <row r="34752" spans="1:14" s="2" customFormat="1">
      <c r="A34752" s="83"/>
      <c r="H34752" s="83"/>
      <c r="K34752" s="82"/>
      <c r="M34752" s="112"/>
      <c r="N34752" s="84"/>
    </row>
    <row r="34753" spans="1:14" s="2" customFormat="1">
      <c r="A34753" s="83"/>
      <c r="H34753" s="83"/>
      <c r="K34753" s="82"/>
      <c r="M34753" s="112"/>
      <c r="N34753" s="84"/>
    </row>
    <row r="34754" spans="1:14" s="2" customFormat="1">
      <c r="A34754" s="83"/>
      <c r="H34754" s="83"/>
      <c r="K34754" s="82"/>
      <c r="M34754" s="112"/>
      <c r="N34754" s="84"/>
    </row>
    <row r="34755" spans="1:14" s="2" customFormat="1">
      <c r="A34755" s="83"/>
      <c r="H34755" s="83"/>
      <c r="K34755" s="82"/>
      <c r="M34755" s="112"/>
      <c r="N34755" s="84"/>
    </row>
    <row r="34756" spans="1:14" s="2" customFormat="1">
      <c r="A34756" s="83"/>
      <c r="H34756" s="83"/>
      <c r="K34756" s="82"/>
      <c r="M34756" s="112"/>
      <c r="N34756" s="84"/>
    </row>
    <row r="34757" spans="1:14" s="2" customFormat="1">
      <c r="A34757" s="83"/>
      <c r="H34757" s="83"/>
      <c r="K34757" s="82"/>
      <c r="M34757" s="112"/>
      <c r="N34757" s="84"/>
    </row>
    <row r="34758" spans="1:14" s="2" customFormat="1">
      <c r="A34758" s="83"/>
      <c r="H34758" s="83"/>
      <c r="K34758" s="82"/>
      <c r="M34758" s="112"/>
      <c r="N34758" s="84"/>
    </row>
    <row r="34759" spans="1:14" s="2" customFormat="1">
      <c r="A34759" s="83"/>
      <c r="H34759" s="83"/>
      <c r="K34759" s="82"/>
      <c r="M34759" s="112"/>
      <c r="N34759" s="84"/>
    </row>
    <row r="34760" spans="1:14" s="2" customFormat="1">
      <c r="A34760" s="83"/>
      <c r="H34760" s="83"/>
      <c r="K34760" s="82"/>
      <c r="M34760" s="112"/>
      <c r="N34760" s="84"/>
    </row>
    <row r="34761" spans="1:14" s="2" customFormat="1">
      <c r="A34761" s="83"/>
      <c r="H34761" s="83"/>
      <c r="K34761" s="82"/>
      <c r="M34761" s="112"/>
      <c r="N34761" s="84"/>
    </row>
    <row r="34762" spans="1:14" s="2" customFormat="1">
      <c r="A34762" s="83"/>
      <c r="H34762" s="83"/>
      <c r="K34762" s="82"/>
      <c r="M34762" s="112"/>
      <c r="N34762" s="84"/>
    </row>
    <row r="34763" spans="1:14" s="2" customFormat="1">
      <c r="A34763" s="83"/>
      <c r="H34763" s="83"/>
      <c r="K34763" s="82"/>
      <c r="M34763" s="112"/>
      <c r="N34763" s="84"/>
    </row>
    <row r="34764" spans="1:14" s="2" customFormat="1">
      <c r="A34764" s="83"/>
      <c r="H34764" s="83"/>
      <c r="K34764" s="82"/>
      <c r="M34764" s="112"/>
      <c r="N34764" s="84"/>
    </row>
    <row r="34765" spans="1:14" s="2" customFormat="1">
      <c r="A34765" s="83"/>
      <c r="H34765" s="83"/>
      <c r="K34765" s="82"/>
      <c r="M34765" s="112"/>
      <c r="N34765" s="84"/>
    </row>
    <row r="34766" spans="1:14" s="2" customFormat="1">
      <c r="A34766" s="83"/>
      <c r="H34766" s="83"/>
      <c r="K34766" s="82"/>
      <c r="M34766" s="112"/>
      <c r="N34766" s="84"/>
    </row>
    <row r="34767" spans="1:14" s="2" customFormat="1">
      <c r="A34767" s="83"/>
      <c r="H34767" s="83"/>
      <c r="K34767" s="82"/>
      <c r="M34767" s="112"/>
      <c r="N34767" s="84"/>
    </row>
    <row r="34768" spans="1:14" s="2" customFormat="1">
      <c r="A34768" s="83"/>
      <c r="H34768" s="83"/>
      <c r="K34768" s="82"/>
      <c r="M34768" s="112"/>
      <c r="N34768" s="84"/>
    </row>
    <row r="34769" spans="1:14" s="2" customFormat="1">
      <c r="A34769" s="83"/>
      <c r="H34769" s="83"/>
      <c r="K34769" s="82"/>
      <c r="M34769" s="112"/>
      <c r="N34769" s="84"/>
    </row>
    <row r="34770" spans="1:14" s="2" customFormat="1">
      <c r="A34770" s="83"/>
      <c r="H34770" s="83"/>
      <c r="K34770" s="82"/>
      <c r="M34770" s="112"/>
      <c r="N34770" s="84"/>
    </row>
    <row r="34771" spans="1:14" s="2" customFormat="1">
      <c r="A34771" s="83"/>
      <c r="H34771" s="83"/>
      <c r="K34771" s="82"/>
      <c r="M34771" s="112"/>
      <c r="N34771" s="84"/>
    </row>
    <row r="34772" spans="1:14" s="2" customFormat="1">
      <c r="A34772" s="83"/>
      <c r="H34772" s="83"/>
      <c r="K34772" s="82"/>
      <c r="M34772" s="112"/>
      <c r="N34772" s="84"/>
    </row>
    <row r="34773" spans="1:14" s="2" customFormat="1">
      <c r="A34773" s="83"/>
      <c r="H34773" s="83"/>
      <c r="K34773" s="82"/>
      <c r="M34773" s="112"/>
      <c r="N34773" s="84"/>
    </row>
    <row r="34774" spans="1:14" s="2" customFormat="1">
      <c r="A34774" s="83"/>
      <c r="H34774" s="83"/>
      <c r="K34774" s="82"/>
      <c r="M34774" s="112"/>
      <c r="N34774" s="84"/>
    </row>
    <row r="34775" spans="1:14" s="2" customFormat="1">
      <c r="A34775" s="83"/>
      <c r="H34775" s="83"/>
      <c r="K34775" s="82"/>
      <c r="M34775" s="112"/>
      <c r="N34775" s="84"/>
    </row>
    <row r="34776" spans="1:14" s="2" customFormat="1">
      <c r="A34776" s="83"/>
      <c r="H34776" s="83"/>
      <c r="K34776" s="82"/>
      <c r="M34776" s="112"/>
      <c r="N34776" s="84"/>
    </row>
    <row r="34777" spans="1:14" s="2" customFormat="1">
      <c r="A34777" s="83"/>
      <c r="H34777" s="83"/>
      <c r="K34777" s="82"/>
      <c r="M34777" s="112"/>
      <c r="N34777" s="84"/>
    </row>
    <row r="34778" spans="1:14" s="2" customFormat="1">
      <c r="A34778" s="83"/>
      <c r="H34778" s="83"/>
      <c r="K34778" s="82"/>
      <c r="M34778" s="112"/>
      <c r="N34778" s="84"/>
    </row>
    <row r="34779" spans="1:14" s="2" customFormat="1">
      <c r="A34779" s="83"/>
      <c r="H34779" s="83"/>
      <c r="K34779" s="82"/>
      <c r="M34779" s="112"/>
      <c r="N34779" s="84"/>
    </row>
    <row r="34780" spans="1:14" s="2" customFormat="1">
      <c r="A34780" s="83"/>
      <c r="H34780" s="83"/>
      <c r="K34780" s="82"/>
      <c r="M34780" s="112"/>
      <c r="N34780" s="84"/>
    </row>
    <row r="34781" spans="1:14" s="2" customFormat="1">
      <c r="A34781" s="83"/>
      <c r="H34781" s="83"/>
      <c r="K34781" s="82"/>
      <c r="M34781" s="112"/>
      <c r="N34781" s="84"/>
    </row>
    <row r="34782" spans="1:14" s="2" customFormat="1">
      <c r="A34782" s="83"/>
      <c r="H34782" s="83"/>
      <c r="K34782" s="82"/>
      <c r="M34782" s="112"/>
      <c r="N34782" s="84"/>
    </row>
    <row r="34783" spans="1:14" s="2" customFormat="1">
      <c r="A34783" s="83"/>
      <c r="H34783" s="83"/>
      <c r="K34783" s="82"/>
      <c r="M34783" s="112"/>
      <c r="N34783" s="84"/>
    </row>
    <row r="34784" spans="1:14" s="2" customFormat="1">
      <c r="A34784" s="83"/>
      <c r="H34784" s="83"/>
      <c r="K34784" s="82"/>
      <c r="M34784" s="112"/>
      <c r="N34784" s="84"/>
    </row>
    <row r="34785" spans="1:14" s="2" customFormat="1">
      <c r="A34785" s="83"/>
      <c r="H34785" s="83"/>
      <c r="K34785" s="82"/>
      <c r="M34785" s="112"/>
      <c r="N34785" s="84"/>
    </row>
    <row r="34786" spans="1:14" s="2" customFormat="1">
      <c r="A34786" s="83"/>
      <c r="H34786" s="83"/>
      <c r="K34786" s="82"/>
      <c r="M34786" s="112"/>
      <c r="N34786" s="84"/>
    </row>
    <row r="34787" spans="1:14" s="2" customFormat="1">
      <c r="A34787" s="83"/>
      <c r="H34787" s="83"/>
      <c r="K34787" s="82"/>
      <c r="M34787" s="112"/>
      <c r="N34787" s="84"/>
    </row>
    <row r="34788" spans="1:14" s="2" customFormat="1">
      <c r="A34788" s="83"/>
      <c r="H34788" s="83"/>
      <c r="K34788" s="82"/>
      <c r="M34788" s="112"/>
      <c r="N34788" s="84"/>
    </row>
    <row r="34789" spans="1:14" s="2" customFormat="1">
      <c r="A34789" s="83"/>
      <c r="H34789" s="83"/>
      <c r="K34789" s="82"/>
      <c r="M34789" s="112"/>
      <c r="N34789" s="84"/>
    </row>
    <row r="34790" spans="1:14" s="2" customFormat="1">
      <c r="A34790" s="83"/>
      <c r="H34790" s="83"/>
      <c r="K34790" s="82"/>
      <c r="M34790" s="112"/>
      <c r="N34790" s="84"/>
    </row>
    <row r="34791" spans="1:14" s="2" customFormat="1">
      <c r="A34791" s="83"/>
      <c r="H34791" s="83"/>
      <c r="K34791" s="82"/>
      <c r="M34791" s="112"/>
      <c r="N34791" s="84"/>
    </row>
    <row r="34792" spans="1:14" s="2" customFormat="1">
      <c r="A34792" s="83"/>
      <c r="H34792" s="83"/>
      <c r="K34792" s="82"/>
      <c r="M34792" s="112"/>
      <c r="N34792" s="84"/>
    </row>
    <row r="34793" spans="1:14" s="2" customFormat="1">
      <c r="A34793" s="83"/>
      <c r="H34793" s="83"/>
      <c r="K34793" s="82"/>
      <c r="M34793" s="112"/>
      <c r="N34793" s="84"/>
    </row>
    <row r="34794" spans="1:14" s="2" customFormat="1">
      <c r="A34794" s="83"/>
      <c r="H34794" s="83"/>
      <c r="K34794" s="82"/>
      <c r="M34794" s="112"/>
      <c r="N34794" s="84"/>
    </row>
    <row r="34795" spans="1:14" s="2" customFormat="1">
      <c r="A34795" s="83"/>
      <c r="H34795" s="83"/>
      <c r="K34795" s="82"/>
      <c r="M34795" s="112"/>
      <c r="N34795" s="84"/>
    </row>
    <row r="34796" spans="1:14" s="2" customFormat="1">
      <c r="A34796" s="83"/>
      <c r="H34796" s="83"/>
      <c r="K34796" s="82"/>
      <c r="M34796" s="112"/>
      <c r="N34796" s="84"/>
    </row>
    <row r="34797" spans="1:14" s="2" customFormat="1">
      <c r="A34797" s="83"/>
      <c r="H34797" s="83"/>
      <c r="K34797" s="82"/>
      <c r="M34797" s="112"/>
      <c r="N34797" s="84"/>
    </row>
    <row r="34798" spans="1:14" s="2" customFormat="1">
      <c r="A34798" s="83"/>
      <c r="H34798" s="83"/>
      <c r="K34798" s="82"/>
      <c r="M34798" s="112"/>
      <c r="N34798" s="84"/>
    </row>
    <row r="34799" spans="1:14" s="2" customFormat="1">
      <c r="A34799" s="83"/>
      <c r="H34799" s="83"/>
      <c r="K34799" s="82"/>
      <c r="M34799" s="112"/>
      <c r="N34799" s="84"/>
    </row>
    <row r="34800" spans="1:14" s="2" customFormat="1">
      <c r="A34800" s="83"/>
      <c r="H34800" s="83"/>
      <c r="K34800" s="82"/>
      <c r="M34800" s="112"/>
      <c r="N34800" s="84"/>
    </row>
    <row r="34801" spans="1:14" s="2" customFormat="1">
      <c r="A34801" s="83"/>
      <c r="H34801" s="83"/>
      <c r="K34801" s="82"/>
      <c r="M34801" s="112"/>
      <c r="N34801" s="84"/>
    </row>
    <row r="34802" spans="1:14" s="2" customFormat="1">
      <c r="A34802" s="83"/>
      <c r="H34802" s="83"/>
      <c r="K34802" s="82"/>
      <c r="M34802" s="112"/>
      <c r="N34802" s="84"/>
    </row>
    <row r="34803" spans="1:14" s="2" customFormat="1">
      <c r="A34803" s="83"/>
      <c r="H34803" s="83"/>
      <c r="K34803" s="82"/>
      <c r="M34803" s="112"/>
      <c r="N34803" s="84"/>
    </row>
    <row r="34804" spans="1:14" s="2" customFormat="1">
      <c r="A34804" s="83"/>
      <c r="H34804" s="83"/>
      <c r="K34804" s="82"/>
      <c r="M34804" s="112"/>
      <c r="N34804" s="84"/>
    </row>
    <row r="34805" spans="1:14" s="2" customFormat="1">
      <c r="A34805" s="83"/>
      <c r="H34805" s="83"/>
      <c r="K34805" s="82"/>
      <c r="M34805" s="112"/>
      <c r="N34805" s="84"/>
    </row>
    <row r="34806" spans="1:14" s="2" customFormat="1">
      <c r="A34806" s="83"/>
      <c r="H34806" s="83"/>
      <c r="K34806" s="82"/>
      <c r="M34806" s="112"/>
      <c r="N34806" s="84"/>
    </row>
    <row r="34807" spans="1:14" s="2" customFormat="1">
      <c r="A34807" s="83"/>
      <c r="H34807" s="83"/>
      <c r="K34807" s="82"/>
      <c r="M34807" s="112"/>
      <c r="N34807" s="84"/>
    </row>
    <row r="34808" spans="1:14" s="2" customFormat="1">
      <c r="A34808" s="83"/>
      <c r="H34808" s="83"/>
      <c r="K34808" s="82"/>
      <c r="M34808" s="112"/>
      <c r="N34808" s="84"/>
    </row>
    <row r="34809" spans="1:14" s="2" customFormat="1">
      <c r="A34809" s="83"/>
      <c r="H34809" s="83"/>
      <c r="K34809" s="82"/>
      <c r="M34809" s="112"/>
      <c r="N34809" s="84"/>
    </row>
    <row r="34810" spans="1:14" s="2" customFormat="1">
      <c r="A34810" s="83"/>
      <c r="H34810" s="83"/>
      <c r="K34810" s="82"/>
      <c r="M34810" s="112"/>
      <c r="N34810" s="84"/>
    </row>
    <row r="34811" spans="1:14" s="2" customFormat="1">
      <c r="A34811" s="83"/>
      <c r="H34811" s="83"/>
      <c r="K34811" s="82"/>
      <c r="M34811" s="112"/>
      <c r="N34811" s="84"/>
    </row>
    <row r="34812" spans="1:14" s="2" customFormat="1">
      <c r="A34812" s="83"/>
      <c r="H34812" s="83"/>
      <c r="K34812" s="82"/>
      <c r="M34812" s="112"/>
      <c r="N34812" s="84"/>
    </row>
    <row r="34813" spans="1:14" s="2" customFormat="1">
      <c r="A34813" s="83"/>
      <c r="H34813" s="83"/>
      <c r="K34813" s="82"/>
      <c r="M34813" s="112"/>
      <c r="N34813" s="84"/>
    </row>
    <row r="34814" spans="1:14" s="2" customFormat="1">
      <c r="A34814" s="83"/>
      <c r="H34814" s="83"/>
      <c r="K34814" s="82"/>
      <c r="M34814" s="112"/>
      <c r="N34814" s="84"/>
    </row>
    <row r="34815" spans="1:14" s="2" customFormat="1">
      <c r="A34815" s="83"/>
      <c r="H34815" s="83"/>
      <c r="K34815" s="82"/>
      <c r="M34815" s="112"/>
      <c r="N34815" s="84"/>
    </row>
    <row r="34816" spans="1:14" s="2" customFormat="1">
      <c r="A34816" s="83"/>
      <c r="H34816" s="83"/>
      <c r="K34816" s="82"/>
      <c r="M34816" s="112"/>
      <c r="N34816" s="84"/>
    </row>
    <row r="34817" spans="1:14" s="2" customFormat="1">
      <c r="A34817" s="83"/>
      <c r="H34817" s="83"/>
      <c r="K34817" s="82"/>
      <c r="M34817" s="112"/>
      <c r="N34817" s="84"/>
    </row>
    <row r="34818" spans="1:14" s="2" customFormat="1">
      <c r="A34818" s="83"/>
      <c r="H34818" s="83"/>
      <c r="K34818" s="82"/>
      <c r="M34818" s="112"/>
      <c r="N34818" s="84"/>
    </row>
    <row r="34819" spans="1:14" s="2" customFormat="1">
      <c r="A34819" s="83"/>
      <c r="H34819" s="83"/>
      <c r="K34819" s="82"/>
      <c r="M34819" s="112"/>
      <c r="N34819" s="84"/>
    </row>
    <row r="34820" spans="1:14" s="2" customFormat="1">
      <c r="A34820" s="83"/>
      <c r="H34820" s="83"/>
      <c r="K34820" s="82"/>
      <c r="M34820" s="112"/>
      <c r="N34820" s="84"/>
    </row>
    <row r="34821" spans="1:14" s="2" customFormat="1">
      <c r="A34821" s="83"/>
      <c r="H34821" s="83"/>
      <c r="K34821" s="82"/>
      <c r="M34821" s="112"/>
      <c r="N34821" s="84"/>
    </row>
    <row r="34822" spans="1:14" s="2" customFormat="1">
      <c r="A34822" s="83"/>
      <c r="H34822" s="83"/>
      <c r="K34822" s="82"/>
      <c r="M34822" s="112"/>
      <c r="N34822" s="84"/>
    </row>
    <row r="34823" spans="1:14" s="2" customFormat="1">
      <c r="A34823" s="83"/>
      <c r="H34823" s="83"/>
      <c r="K34823" s="82"/>
      <c r="M34823" s="112"/>
      <c r="N34823" s="84"/>
    </row>
    <row r="34824" spans="1:14" s="2" customFormat="1">
      <c r="A34824" s="83"/>
      <c r="H34824" s="83"/>
      <c r="K34824" s="82"/>
      <c r="M34824" s="112"/>
      <c r="N34824" s="84"/>
    </row>
    <row r="34825" spans="1:14" s="2" customFormat="1">
      <c r="A34825" s="83"/>
      <c r="H34825" s="83"/>
      <c r="K34825" s="82"/>
      <c r="M34825" s="112"/>
      <c r="N34825" s="84"/>
    </row>
    <row r="34826" spans="1:14" s="2" customFormat="1">
      <c r="A34826" s="83"/>
      <c r="H34826" s="83"/>
      <c r="K34826" s="82"/>
      <c r="M34826" s="112"/>
      <c r="N34826" s="84"/>
    </row>
    <row r="34827" spans="1:14" s="2" customFormat="1">
      <c r="A34827" s="83"/>
      <c r="H34827" s="83"/>
      <c r="K34827" s="82"/>
      <c r="M34827" s="112"/>
      <c r="N34827" s="84"/>
    </row>
    <row r="34828" spans="1:14" s="2" customFormat="1">
      <c r="A34828" s="83"/>
      <c r="H34828" s="83"/>
      <c r="K34828" s="82"/>
      <c r="M34828" s="112"/>
      <c r="N34828" s="84"/>
    </row>
    <row r="34829" spans="1:14" s="2" customFormat="1">
      <c r="A34829" s="83"/>
      <c r="H34829" s="83"/>
      <c r="K34829" s="82"/>
      <c r="M34829" s="112"/>
      <c r="N34829" s="84"/>
    </row>
    <row r="34830" spans="1:14" s="2" customFormat="1">
      <c r="A34830" s="83"/>
      <c r="H34830" s="83"/>
      <c r="K34830" s="82"/>
      <c r="M34830" s="112"/>
      <c r="N34830" s="84"/>
    </row>
    <row r="34831" spans="1:14" s="2" customFormat="1">
      <c r="A34831" s="83"/>
      <c r="H34831" s="83"/>
      <c r="K34831" s="82"/>
      <c r="M34831" s="112"/>
      <c r="N34831" s="84"/>
    </row>
    <row r="34832" spans="1:14" s="2" customFormat="1">
      <c r="A34832" s="83"/>
      <c r="H34832" s="83"/>
      <c r="K34832" s="82"/>
      <c r="M34832" s="112"/>
      <c r="N34832" s="84"/>
    </row>
    <row r="34833" spans="1:14" s="2" customFormat="1">
      <c r="A34833" s="83"/>
      <c r="H34833" s="83"/>
      <c r="K34833" s="82"/>
      <c r="M34833" s="112"/>
      <c r="N34833" s="84"/>
    </row>
    <row r="34834" spans="1:14" s="2" customFormat="1">
      <c r="A34834" s="83"/>
      <c r="H34834" s="83"/>
      <c r="K34834" s="82"/>
      <c r="M34834" s="112"/>
      <c r="N34834" s="84"/>
    </row>
    <row r="34835" spans="1:14" s="2" customFormat="1">
      <c r="A34835" s="83"/>
      <c r="H34835" s="83"/>
      <c r="K34835" s="82"/>
      <c r="M34835" s="112"/>
      <c r="N34835" s="84"/>
    </row>
    <row r="34836" spans="1:14" s="2" customFormat="1">
      <c r="A34836" s="83"/>
      <c r="H34836" s="83"/>
      <c r="K34836" s="82"/>
      <c r="M34836" s="112"/>
      <c r="N34836" s="84"/>
    </row>
    <row r="34837" spans="1:14" s="2" customFormat="1">
      <c r="A34837" s="83"/>
      <c r="H34837" s="83"/>
      <c r="K34837" s="82"/>
      <c r="M34837" s="112"/>
      <c r="N34837" s="84"/>
    </row>
    <row r="34838" spans="1:14" s="2" customFormat="1">
      <c r="A34838" s="83"/>
      <c r="H34838" s="83"/>
      <c r="K34838" s="82"/>
      <c r="M34838" s="112"/>
      <c r="N34838" s="84"/>
    </row>
    <row r="34839" spans="1:14" s="2" customFormat="1">
      <c r="A34839" s="83"/>
      <c r="H34839" s="83"/>
      <c r="K34839" s="82"/>
      <c r="M34839" s="112"/>
      <c r="N34839" s="84"/>
    </row>
    <row r="34840" spans="1:14" s="2" customFormat="1">
      <c r="A34840" s="83"/>
      <c r="H34840" s="83"/>
      <c r="K34840" s="82"/>
      <c r="M34840" s="112"/>
      <c r="N34840" s="84"/>
    </row>
    <row r="34841" spans="1:14" s="2" customFormat="1">
      <c r="A34841" s="83"/>
      <c r="H34841" s="83"/>
      <c r="K34841" s="82"/>
      <c r="M34841" s="112"/>
      <c r="N34841" s="84"/>
    </row>
    <row r="34842" spans="1:14" s="2" customFormat="1">
      <c r="A34842" s="83"/>
      <c r="H34842" s="83"/>
      <c r="K34842" s="82"/>
      <c r="M34842" s="112"/>
      <c r="N34842" s="84"/>
    </row>
    <row r="34843" spans="1:14" s="2" customFormat="1">
      <c r="A34843" s="83"/>
      <c r="H34843" s="83"/>
      <c r="K34843" s="82"/>
      <c r="M34843" s="112"/>
      <c r="N34843" s="84"/>
    </row>
    <row r="34844" spans="1:14" s="2" customFormat="1">
      <c r="A34844" s="83"/>
      <c r="H34844" s="83"/>
      <c r="K34844" s="82"/>
      <c r="M34844" s="112"/>
      <c r="N34844" s="84"/>
    </row>
    <row r="34845" spans="1:14" s="2" customFormat="1">
      <c r="A34845" s="83"/>
      <c r="H34845" s="83"/>
      <c r="K34845" s="82"/>
      <c r="M34845" s="112"/>
      <c r="N34845" s="84"/>
    </row>
    <row r="34846" spans="1:14" s="2" customFormat="1">
      <c r="A34846" s="83"/>
      <c r="H34846" s="83"/>
      <c r="K34846" s="82"/>
      <c r="M34846" s="112"/>
      <c r="N34846" s="84"/>
    </row>
    <row r="34847" spans="1:14" s="2" customFormat="1">
      <c r="A34847" s="83"/>
      <c r="H34847" s="83"/>
      <c r="K34847" s="82"/>
      <c r="M34847" s="112"/>
      <c r="N34847" s="84"/>
    </row>
    <row r="34848" spans="1:14" s="2" customFormat="1">
      <c r="A34848" s="83"/>
      <c r="H34848" s="83"/>
      <c r="K34848" s="82"/>
      <c r="M34848" s="112"/>
      <c r="N34848" s="84"/>
    </row>
    <row r="34849" spans="1:14" s="2" customFormat="1">
      <c r="A34849" s="83"/>
      <c r="H34849" s="83"/>
      <c r="K34849" s="82"/>
      <c r="M34849" s="112"/>
      <c r="N34849" s="84"/>
    </row>
    <row r="34850" spans="1:14" s="2" customFormat="1">
      <c r="A34850" s="83"/>
      <c r="H34850" s="83"/>
      <c r="K34850" s="82"/>
      <c r="M34850" s="112"/>
      <c r="N34850" s="84"/>
    </row>
    <row r="34851" spans="1:14" s="2" customFormat="1">
      <c r="A34851" s="83"/>
      <c r="H34851" s="83"/>
      <c r="K34851" s="82"/>
      <c r="M34851" s="112"/>
      <c r="N34851" s="84"/>
    </row>
    <row r="34852" spans="1:14" s="2" customFormat="1">
      <c r="A34852" s="83"/>
      <c r="H34852" s="83"/>
      <c r="K34852" s="82"/>
      <c r="M34852" s="112"/>
      <c r="N34852" s="84"/>
    </row>
    <row r="34853" spans="1:14" s="2" customFormat="1">
      <c r="A34853" s="83"/>
      <c r="H34853" s="83"/>
      <c r="K34853" s="82"/>
      <c r="M34853" s="112"/>
      <c r="N34853" s="84"/>
    </row>
    <row r="34854" spans="1:14" s="2" customFormat="1">
      <c r="A34854" s="83"/>
      <c r="H34854" s="83"/>
      <c r="K34854" s="82"/>
      <c r="M34854" s="112"/>
      <c r="N34854" s="84"/>
    </row>
    <row r="34855" spans="1:14" s="2" customFormat="1">
      <c r="A34855" s="83"/>
      <c r="H34855" s="83"/>
      <c r="K34855" s="82"/>
      <c r="M34855" s="112"/>
      <c r="N34855" s="84"/>
    </row>
    <row r="34856" spans="1:14" s="2" customFormat="1">
      <c r="A34856" s="83"/>
      <c r="H34856" s="83"/>
      <c r="K34856" s="82"/>
      <c r="M34856" s="112"/>
      <c r="N34856" s="84"/>
    </row>
    <row r="34857" spans="1:14" s="2" customFormat="1">
      <c r="A34857" s="83"/>
      <c r="H34857" s="83"/>
      <c r="K34857" s="82"/>
      <c r="M34857" s="112"/>
      <c r="N34857" s="84"/>
    </row>
    <row r="34858" spans="1:14" s="2" customFormat="1">
      <c r="A34858" s="83"/>
      <c r="H34858" s="83"/>
      <c r="K34858" s="82"/>
      <c r="M34858" s="112"/>
      <c r="N34858" s="84"/>
    </row>
    <row r="34859" spans="1:14" s="2" customFormat="1">
      <c r="A34859" s="83"/>
      <c r="H34859" s="83"/>
      <c r="K34859" s="82"/>
      <c r="M34859" s="112"/>
      <c r="N34859" s="84"/>
    </row>
    <row r="34860" spans="1:14" s="2" customFormat="1">
      <c r="A34860" s="83"/>
      <c r="H34860" s="83"/>
      <c r="K34860" s="82"/>
      <c r="M34860" s="112"/>
      <c r="N34860" s="84"/>
    </row>
    <row r="34861" spans="1:14" s="2" customFormat="1">
      <c r="A34861" s="83"/>
      <c r="H34861" s="83"/>
      <c r="K34861" s="82"/>
      <c r="M34861" s="112"/>
      <c r="N34861" s="84"/>
    </row>
    <row r="34862" spans="1:14" s="2" customFormat="1">
      <c r="A34862" s="83"/>
      <c r="H34862" s="83"/>
      <c r="K34862" s="82"/>
      <c r="M34862" s="112"/>
      <c r="N34862" s="84"/>
    </row>
    <row r="34863" spans="1:14" s="2" customFormat="1">
      <c r="A34863" s="83"/>
      <c r="H34863" s="83"/>
      <c r="K34863" s="82"/>
      <c r="M34863" s="112"/>
      <c r="N34863" s="84"/>
    </row>
    <row r="34864" spans="1:14" s="2" customFormat="1">
      <c r="A34864" s="83"/>
      <c r="H34864" s="83"/>
      <c r="K34864" s="82"/>
      <c r="M34864" s="112"/>
      <c r="N34864" s="84"/>
    </row>
    <row r="34865" spans="1:14" s="2" customFormat="1">
      <c r="A34865" s="83"/>
      <c r="H34865" s="83"/>
      <c r="K34865" s="82"/>
      <c r="M34865" s="112"/>
      <c r="N34865" s="84"/>
    </row>
    <row r="34866" spans="1:14" s="2" customFormat="1">
      <c r="A34866" s="83"/>
      <c r="H34866" s="83"/>
      <c r="K34866" s="82"/>
      <c r="M34866" s="112"/>
      <c r="N34866" s="84"/>
    </row>
    <row r="34867" spans="1:14" s="2" customFormat="1">
      <c r="A34867" s="83"/>
      <c r="H34867" s="83"/>
      <c r="K34867" s="82"/>
      <c r="M34867" s="112"/>
      <c r="N34867" s="84"/>
    </row>
    <row r="34868" spans="1:14" s="2" customFormat="1">
      <c r="A34868" s="83"/>
      <c r="H34868" s="83"/>
      <c r="K34868" s="82"/>
      <c r="M34868" s="112"/>
      <c r="N34868" s="84"/>
    </row>
    <row r="34869" spans="1:14" s="2" customFormat="1">
      <c r="A34869" s="83"/>
      <c r="H34869" s="83"/>
      <c r="K34869" s="82"/>
      <c r="M34869" s="112"/>
      <c r="N34869" s="84"/>
    </row>
    <row r="34870" spans="1:14" s="2" customFormat="1">
      <c r="A34870" s="83"/>
      <c r="H34870" s="83"/>
      <c r="K34870" s="82"/>
      <c r="M34870" s="112"/>
      <c r="N34870" s="84"/>
    </row>
    <row r="34871" spans="1:14" s="2" customFormat="1">
      <c r="A34871" s="83"/>
      <c r="H34871" s="83"/>
      <c r="K34871" s="82"/>
      <c r="M34871" s="112"/>
      <c r="N34871" s="84"/>
    </row>
    <row r="34872" spans="1:14" s="2" customFormat="1">
      <c r="A34872" s="83"/>
      <c r="H34872" s="83"/>
      <c r="K34872" s="82"/>
      <c r="M34872" s="112"/>
      <c r="N34872" s="84"/>
    </row>
    <row r="34873" spans="1:14" s="2" customFormat="1">
      <c r="A34873" s="83"/>
      <c r="H34873" s="83"/>
      <c r="K34873" s="82"/>
      <c r="M34873" s="112"/>
      <c r="N34873" s="84"/>
    </row>
    <row r="34874" spans="1:14" s="2" customFormat="1">
      <c r="A34874" s="83"/>
      <c r="H34874" s="83"/>
      <c r="K34874" s="82"/>
      <c r="M34874" s="112"/>
      <c r="N34874" s="84"/>
    </row>
    <row r="34875" spans="1:14" s="2" customFormat="1">
      <c r="A34875" s="83"/>
      <c r="H34875" s="83"/>
      <c r="K34875" s="82"/>
      <c r="M34875" s="112"/>
      <c r="N34875" s="84"/>
    </row>
    <row r="34876" spans="1:14" s="2" customFormat="1">
      <c r="A34876" s="83"/>
      <c r="H34876" s="83"/>
      <c r="K34876" s="82"/>
      <c r="M34876" s="112"/>
      <c r="N34876" s="84"/>
    </row>
    <row r="34877" spans="1:14" s="2" customFormat="1">
      <c r="A34877" s="83"/>
      <c r="H34877" s="83"/>
      <c r="K34877" s="82"/>
      <c r="M34877" s="112"/>
      <c r="N34877" s="84"/>
    </row>
    <row r="34878" spans="1:14" s="2" customFormat="1">
      <c r="A34878" s="83"/>
      <c r="H34878" s="83"/>
      <c r="K34878" s="82"/>
      <c r="M34878" s="112"/>
      <c r="N34878" s="84"/>
    </row>
    <row r="34879" spans="1:14" s="2" customFormat="1">
      <c r="A34879" s="83"/>
      <c r="H34879" s="83"/>
      <c r="K34879" s="82"/>
      <c r="M34879" s="112"/>
      <c r="N34879" s="84"/>
    </row>
    <row r="34880" spans="1:14" s="2" customFormat="1">
      <c r="A34880" s="83"/>
      <c r="H34880" s="83"/>
      <c r="K34880" s="82"/>
      <c r="M34880" s="112"/>
      <c r="N34880" s="84"/>
    </row>
    <row r="34881" spans="1:14" s="2" customFormat="1">
      <c r="A34881" s="83"/>
      <c r="H34881" s="83"/>
      <c r="K34881" s="82"/>
      <c r="M34881" s="112"/>
      <c r="N34881" s="84"/>
    </row>
    <row r="34882" spans="1:14" s="2" customFormat="1">
      <c r="A34882" s="83"/>
      <c r="H34882" s="83"/>
      <c r="K34882" s="82"/>
      <c r="M34882" s="112"/>
      <c r="N34882" s="84"/>
    </row>
    <row r="34883" spans="1:14" s="2" customFormat="1">
      <c r="A34883" s="83"/>
      <c r="H34883" s="83"/>
      <c r="K34883" s="82"/>
      <c r="M34883" s="112"/>
      <c r="N34883" s="84"/>
    </row>
    <row r="34884" spans="1:14" s="2" customFormat="1">
      <c r="A34884" s="83"/>
      <c r="H34884" s="83"/>
      <c r="K34884" s="82"/>
      <c r="M34884" s="112"/>
      <c r="N34884" s="84"/>
    </row>
    <row r="34885" spans="1:14" s="2" customFormat="1">
      <c r="A34885" s="83"/>
      <c r="H34885" s="83"/>
      <c r="K34885" s="82"/>
      <c r="M34885" s="112"/>
      <c r="N34885" s="84"/>
    </row>
    <row r="34886" spans="1:14" s="2" customFormat="1">
      <c r="A34886" s="83"/>
      <c r="H34886" s="83"/>
      <c r="K34886" s="82"/>
      <c r="M34886" s="112"/>
      <c r="N34886" s="84"/>
    </row>
    <row r="34887" spans="1:14" s="2" customFormat="1">
      <c r="A34887" s="83"/>
      <c r="H34887" s="83"/>
      <c r="K34887" s="82"/>
      <c r="M34887" s="112"/>
      <c r="N34887" s="84"/>
    </row>
    <row r="34888" spans="1:14" s="2" customFormat="1">
      <c r="A34888" s="83"/>
      <c r="H34888" s="83"/>
      <c r="K34888" s="82"/>
      <c r="M34888" s="112"/>
      <c r="N34888" s="84"/>
    </row>
    <row r="34889" spans="1:14" s="2" customFormat="1">
      <c r="A34889" s="83"/>
      <c r="H34889" s="83"/>
      <c r="K34889" s="82"/>
      <c r="M34889" s="112"/>
      <c r="N34889" s="84"/>
    </row>
    <row r="34890" spans="1:14" s="2" customFormat="1">
      <c r="A34890" s="83"/>
      <c r="H34890" s="83"/>
      <c r="K34890" s="82"/>
      <c r="M34890" s="112"/>
      <c r="N34890" s="84"/>
    </row>
    <row r="34891" spans="1:14" s="2" customFormat="1">
      <c r="A34891" s="83"/>
      <c r="H34891" s="83"/>
      <c r="K34891" s="82"/>
      <c r="M34891" s="112"/>
      <c r="N34891" s="84"/>
    </row>
    <row r="34892" spans="1:14" s="2" customFormat="1">
      <c r="A34892" s="83"/>
      <c r="H34892" s="83"/>
      <c r="K34892" s="82"/>
      <c r="M34892" s="112"/>
      <c r="N34892" s="84"/>
    </row>
    <row r="34893" spans="1:14" s="2" customFormat="1">
      <c r="A34893" s="83"/>
      <c r="H34893" s="83"/>
      <c r="K34893" s="82"/>
      <c r="M34893" s="112"/>
      <c r="N34893" s="84"/>
    </row>
    <row r="34894" spans="1:14" s="2" customFormat="1">
      <c r="A34894" s="83"/>
      <c r="H34894" s="83"/>
      <c r="K34894" s="82"/>
      <c r="M34894" s="112"/>
      <c r="N34894" s="84"/>
    </row>
    <row r="34895" spans="1:14" s="2" customFormat="1">
      <c r="A34895" s="83"/>
      <c r="H34895" s="83"/>
      <c r="K34895" s="82"/>
      <c r="M34895" s="112"/>
      <c r="N34895" s="84"/>
    </row>
    <row r="34896" spans="1:14" s="2" customFormat="1">
      <c r="A34896" s="83"/>
      <c r="H34896" s="83"/>
      <c r="K34896" s="82"/>
      <c r="M34896" s="112"/>
      <c r="N34896" s="84"/>
    </row>
    <row r="34897" spans="1:14" s="2" customFormat="1">
      <c r="A34897" s="83"/>
      <c r="H34897" s="83"/>
      <c r="K34897" s="82"/>
      <c r="M34897" s="112"/>
      <c r="N34897" s="84"/>
    </row>
    <row r="34898" spans="1:14" s="2" customFormat="1">
      <c r="A34898" s="83"/>
      <c r="H34898" s="83"/>
      <c r="K34898" s="82"/>
      <c r="M34898" s="112"/>
      <c r="N34898" s="84"/>
    </row>
    <row r="34899" spans="1:14" s="2" customFormat="1">
      <c r="A34899" s="83"/>
      <c r="H34899" s="83"/>
      <c r="K34899" s="82"/>
      <c r="M34899" s="112"/>
      <c r="N34899" s="84"/>
    </row>
    <row r="34900" spans="1:14" s="2" customFormat="1">
      <c r="A34900" s="83"/>
      <c r="H34900" s="83"/>
      <c r="K34900" s="82"/>
      <c r="M34900" s="112"/>
      <c r="N34900" s="84"/>
    </row>
    <row r="34901" spans="1:14" s="2" customFormat="1">
      <c r="A34901" s="83"/>
      <c r="H34901" s="83"/>
      <c r="K34901" s="82"/>
      <c r="M34901" s="112"/>
      <c r="N34901" s="84"/>
    </row>
    <row r="34902" spans="1:14" s="2" customFormat="1">
      <c r="A34902" s="83"/>
      <c r="H34902" s="83"/>
      <c r="K34902" s="82"/>
      <c r="M34902" s="112"/>
      <c r="N34902" s="84"/>
    </row>
    <row r="34903" spans="1:14" s="2" customFormat="1">
      <c r="A34903" s="83"/>
      <c r="H34903" s="83"/>
      <c r="K34903" s="82"/>
      <c r="M34903" s="112"/>
      <c r="N34903" s="84"/>
    </row>
    <row r="34904" spans="1:14" s="2" customFormat="1">
      <c r="A34904" s="83"/>
      <c r="H34904" s="83"/>
      <c r="K34904" s="82"/>
      <c r="M34904" s="112"/>
      <c r="N34904" s="84"/>
    </row>
    <row r="34905" spans="1:14" s="2" customFormat="1">
      <c r="A34905" s="83"/>
      <c r="H34905" s="83"/>
      <c r="K34905" s="82"/>
      <c r="M34905" s="112"/>
      <c r="N34905" s="84"/>
    </row>
    <row r="34906" spans="1:14" s="2" customFormat="1">
      <c r="A34906" s="83"/>
      <c r="H34906" s="83"/>
      <c r="K34906" s="82"/>
      <c r="M34906" s="112"/>
      <c r="N34906" s="84"/>
    </row>
    <row r="34907" spans="1:14" s="2" customFormat="1">
      <c r="A34907" s="83"/>
      <c r="H34907" s="83"/>
      <c r="K34907" s="82"/>
      <c r="M34907" s="112"/>
      <c r="N34907" s="84"/>
    </row>
    <row r="34908" spans="1:14" s="2" customFormat="1">
      <c r="A34908" s="83"/>
      <c r="H34908" s="83"/>
      <c r="K34908" s="82"/>
      <c r="M34908" s="112"/>
      <c r="N34908" s="84"/>
    </row>
    <row r="34909" spans="1:14" s="2" customFormat="1">
      <c r="A34909" s="83"/>
      <c r="H34909" s="83"/>
      <c r="K34909" s="82"/>
      <c r="M34909" s="112"/>
      <c r="N34909" s="84"/>
    </row>
    <row r="34910" spans="1:14" s="2" customFormat="1">
      <c r="A34910" s="83"/>
      <c r="H34910" s="83"/>
      <c r="K34910" s="82"/>
      <c r="M34910" s="112"/>
      <c r="N34910" s="84"/>
    </row>
    <row r="34911" spans="1:14" s="2" customFormat="1">
      <c r="A34911" s="83"/>
      <c r="H34911" s="83"/>
      <c r="K34911" s="82"/>
      <c r="M34911" s="112"/>
      <c r="N34911" s="84"/>
    </row>
    <row r="34912" spans="1:14" s="2" customFormat="1">
      <c r="A34912" s="83"/>
      <c r="H34912" s="83"/>
      <c r="K34912" s="82"/>
      <c r="M34912" s="112"/>
      <c r="N34912" s="84"/>
    </row>
    <row r="34913" spans="1:14" s="2" customFormat="1">
      <c r="A34913" s="83"/>
      <c r="H34913" s="83"/>
      <c r="K34913" s="82"/>
      <c r="M34913" s="112"/>
      <c r="N34913" s="84"/>
    </row>
    <row r="34914" spans="1:14" s="2" customFormat="1">
      <c r="A34914" s="83"/>
      <c r="H34914" s="83"/>
      <c r="K34914" s="82"/>
      <c r="M34914" s="112"/>
      <c r="N34914" s="84"/>
    </row>
    <row r="34915" spans="1:14" s="2" customFormat="1">
      <c r="A34915" s="83"/>
      <c r="H34915" s="83"/>
      <c r="K34915" s="82"/>
      <c r="M34915" s="112"/>
      <c r="N34915" s="84"/>
    </row>
    <row r="34916" spans="1:14" s="2" customFormat="1">
      <c r="A34916" s="83"/>
      <c r="H34916" s="83"/>
      <c r="K34916" s="82"/>
      <c r="M34916" s="112"/>
      <c r="N34916" s="84"/>
    </row>
    <row r="34917" spans="1:14" s="2" customFormat="1">
      <c r="A34917" s="83"/>
      <c r="H34917" s="83"/>
      <c r="K34917" s="82"/>
      <c r="M34917" s="112"/>
      <c r="N34917" s="84"/>
    </row>
    <row r="34918" spans="1:14" s="2" customFormat="1">
      <c r="A34918" s="83"/>
      <c r="H34918" s="83"/>
      <c r="K34918" s="82"/>
      <c r="M34918" s="112"/>
      <c r="N34918" s="84"/>
    </row>
    <row r="34919" spans="1:14" s="2" customFormat="1">
      <c r="A34919" s="83"/>
      <c r="H34919" s="83"/>
      <c r="K34919" s="82"/>
      <c r="M34919" s="112"/>
      <c r="N34919" s="84"/>
    </row>
    <row r="34920" spans="1:14" s="2" customFormat="1">
      <c r="A34920" s="83"/>
      <c r="H34920" s="83"/>
      <c r="K34920" s="82"/>
      <c r="M34920" s="112"/>
      <c r="N34920" s="84"/>
    </row>
    <row r="34921" spans="1:14" s="2" customFormat="1">
      <c r="A34921" s="83"/>
      <c r="H34921" s="83"/>
      <c r="K34921" s="82"/>
      <c r="M34921" s="112"/>
      <c r="N34921" s="84"/>
    </row>
    <row r="34922" spans="1:14" s="2" customFormat="1">
      <c r="A34922" s="83"/>
      <c r="H34922" s="83"/>
      <c r="K34922" s="82"/>
      <c r="M34922" s="112"/>
      <c r="N34922" s="84"/>
    </row>
    <row r="34923" spans="1:14" s="2" customFormat="1">
      <c r="A34923" s="83"/>
      <c r="H34923" s="83"/>
      <c r="K34923" s="82"/>
      <c r="M34923" s="112"/>
      <c r="N34923" s="84"/>
    </row>
    <row r="34924" spans="1:14" s="2" customFormat="1">
      <c r="A34924" s="83"/>
      <c r="H34924" s="83"/>
      <c r="K34924" s="82"/>
      <c r="M34924" s="112"/>
      <c r="N34924" s="84"/>
    </row>
    <row r="34925" spans="1:14" s="2" customFormat="1">
      <c r="A34925" s="83"/>
      <c r="H34925" s="83"/>
      <c r="K34925" s="82"/>
      <c r="M34925" s="112"/>
      <c r="N34925" s="84"/>
    </row>
    <row r="34926" spans="1:14" s="2" customFormat="1">
      <c r="A34926" s="83"/>
      <c r="H34926" s="83"/>
      <c r="K34926" s="82"/>
      <c r="M34926" s="112"/>
      <c r="N34926" s="84"/>
    </row>
    <row r="34927" spans="1:14" s="2" customFormat="1">
      <c r="A34927" s="83"/>
      <c r="H34927" s="83"/>
      <c r="K34927" s="82"/>
      <c r="M34927" s="112"/>
      <c r="N34927" s="84"/>
    </row>
    <row r="34928" spans="1:14" s="2" customFormat="1">
      <c r="A34928" s="83"/>
      <c r="H34928" s="83"/>
      <c r="K34928" s="82"/>
      <c r="M34928" s="112"/>
      <c r="N34928" s="84"/>
    </row>
    <row r="34929" spans="1:14" s="2" customFormat="1">
      <c r="A34929" s="83"/>
      <c r="H34929" s="83"/>
      <c r="K34929" s="82"/>
      <c r="M34929" s="112"/>
      <c r="N34929" s="84"/>
    </row>
    <row r="34930" spans="1:14" s="2" customFormat="1">
      <c r="A34930" s="83"/>
      <c r="H34930" s="83"/>
      <c r="K34930" s="82"/>
      <c r="M34930" s="112"/>
      <c r="N34930" s="84"/>
    </row>
    <row r="34931" spans="1:14" s="2" customFormat="1">
      <c r="A34931" s="83"/>
      <c r="H34931" s="83"/>
      <c r="K34931" s="82"/>
      <c r="M34931" s="112"/>
      <c r="N34931" s="84"/>
    </row>
    <row r="34932" spans="1:14" s="2" customFormat="1">
      <c r="A34932" s="83"/>
      <c r="H34932" s="83"/>
      <c r="K34932" s="82"/>
      <c r="M34932" s="112"/>
      <c r="N34932" s="84"/>
    </row>
    <row r="34933" spans="1:14" s="2" customFormat="1">
      <c r="A34933" s="83"/>
      <c r="H34933" s="83"/>
      <c r="K34933" s="82"/>
      <c r="M34933" s="112"/>
      <c r="N34933" s="84"/>
    </row>
    <row r="34934" spans="1:14" s="2" customFormat="1">
      <c r="A34934" s="83"/>
      <c r="H34934" s="83"/>
      <c r="K34934" s="82"/>
      <c r="M34934" s="112"/>
      <c r="N34934" s="84"/>
    </row>
    <row r="34935" spans="1:14" s="2" customFormat="1">
      <c r="A34935" s="83"/>
      <c r="H34935" s="83"/>
      <c r="K34935" s="82"/>
      <c r="M34935" s="112"/>
      <c r="N34935" s="84"/>
    </row>
    <row r="34936" spans="1:14" s="2" customFormat="1">
      <c r="A34936" s="83"/>
      <c r="H34936" s="83"/>
      <c r="K34936" s="82"/>
      <c r="M34936" s="112"/>
      <c r="N34936" s="84"/>
    </row>
    <row r="34937" spans="1:14" s="2" customFormat="1">
      <c r="A34937" s="83"/>
      <c r="H34937" s="83"/>
      <c r="K34937" s="82"/>
      <c r="M34937" s="112"/>
      <c r="N34937" s="84"/>
    </row>
    <row r="34938" spans="1:14" s="2" customFormat="1">
      <c r="A34938" s="83"/>
      <c r="H34938" s="83"/>
      <c r="K34938" s="82"/>
      <c r="M34938" s="112"/>
      <c r="N34938" s="84"/>
    </row>
    <row r="34939" spans="1:14" s="2" customFormat="1">
      <c r="A34939" s="83"/>
      <c r="H34939" s="83"/>
      <c r="K34939" s="82"/>
      <c r="M34939" s="112"/>
      <c r="N34939" s="84"/>
    </row>
    <row r="34940" spans="1:14" s="2" customFormat="1">
      <c r="A34940" s="83"/>
      <c r="H34940" s="83"/>
      <c r="K34940" s="82"/>
      <c r="M34940" s="112"/>
      <c r="N34940" s="84"/>
    </row>
    <row r="34941" spans="1:14" s="2" customFormat="1">
      <c r="A34941" s="83"/>
      <c r="H34941" s="83"/>
      <c r="K34941" s="82"/>
      <c r="M34941" s="112"/>
      <c r="N34941" s="84"/>
    </row>
    <row r="34942" spans="1:14" s="2" customFormat="1">
      <c r="A34942" s="83"/>
      <c r="H34942" s="83"/>
      <c r="K34942" s="82"/>
      <c r="M34942" s="112"/>
      <c r="N34942" s="84"/>
    </row>
    <row r="34943" spans="1:14" s="2" customFormat="1">
      <c r="A34943" s="83"/>
      <c r="H34943" s="83"/>
      <c r="K34943" s="82"/>
      <c r="M34943" s="112"/>
      <c r="N34943" s="84"/>
    </row>
    <row r="34944" spans="1:14" s="2" customFormat="1">
      <c r="A34944" s="83"/>
      <c r="H34944" s="83"/>
      <c r="K34944" s="82"/>
      <c r="M34944" s="112"/>
      <c r="N34944" s="84"/>
    </row>
    <row r="34945" spans="1:14" s="2" customFormat="1">
      <c r="A34945" s="83"/>
      <c r="H34945" s="83"/>
      <c r="K34945" s="82"/>
      <c r="M34945" s="112"/>
      <c r="N34945" s="84"/>
    </row>
    <row r="34946" spans="1:14" s="2" customFormat="1">
      <c r="A34946" s="83"/>
      <c r="H34946" s="83"/>
      <c r="K34946" s="82"/>
      <c r="M34946" s="112"/>
      <c r="N34946" s="84"/>
    </row>
    <row r="34947" spans="1:14" s="2" customFormat="1">
      <c r="A34947" s="83"/>
      <c r="H34947" s="83"/>
      <c r="K34947" s="82"/>
      <c r="M34947" s="112"/>
      <c r="N34947" s="84"/>
    </row>
    <row r="34948" spans="1:14" s="2" customFormat="1">
      <c r="A34948" s="83"/>
      <c r="H34948" s="83"/>
      <c r="K34948" s="82"/>
      <c r="M34948" s="112"/>
      <c r="N34948" s="84"/>
    </row>
    <row r="34949" spans="1:14" s="2" customFormat="1">
      <c r="A34949" s="83"/>
      <c r="H34949" s="83"/>
      <c r="K34949" s="82"/>
      <c r="M34949" s="112"/>
      <c r="N34949" s="84"/>
    </row>
    <row r="34950" spans="1:14" s="2" customFormat="1">
      <c r="A34950" s="83"/>
      <c r="H34950" s="83"/>
      <c r="K34950" s="82"/>
      <c r="M34950" s="112"/>
      <c r="N34950" s="84"/>
    </row>
    <row r="34951" spans="1:14" s="2" customFormat="1">
      <c r="A34951" s="83"/>
      <c r="H34951" s="83"/>
      <c r="K34951" s="82"/>
      <c r="M34951" s="112"/>
      <c r="N34951" s="84"/>
    </row>
    <row r="34952" spans="1:14" s="2" customFormat="1">
      <c r="A34952" s="83"/>
      <c r="H34952" s="83"/>
      <c r="K34952" s="82"/>
      <c r="M34952" s="112"/>
      <c r="N34952" s="84"/>
    </row>
    <row r="34953" spans="1:14" s="2" customFormat="1">
      <c r="A34953" s="83"/>
      <c r="H34953" s="83"/>
      <c r="K34953" s="82"/>
      <c r="M34953" s="112"/>
      <c r="N34953" s="84"/>
    </row>
    <row r="34954" spans="1:14" s="2" customFormat="1">
      <c r="A34954" s="83"/>
      <c r="H34954" s="83"/>
      <c r="K34954" s="82"/>
      <c r="M34954" s="112"/>
      <c r="N34954" s="84"/>
    </row>
    <row r="34955" spans="1:14" s="2" customFormat="1">
      <c r="A34955" s="83"/>
      <c r="H34955" s="83"/>
      <c r="K34955" s="82"/>
      <c r="M34955" s="112"/>
      <c r="N34955" s="84"/>
    </row>
    <row r="34956" spans="1:14" s="2" customFormat="1">
      <c r="A34956" s="83"/>
      <c r="H34956" s="83"/>
      <c r="K34956" s="82"/>
      <c r="M34956" s="112"/>
      <c r="N34956" s="84"/>
    </row>
    <row r="34957" spans="1:14" s="2" customFormat="1">
      <c r="A34957" s="83"/>
      <c r="H34957" s="83"/>
      <c r="K34957" s="82"/>
      <c r="M34957" s="112"/>
      <c r="N34957" s="84"/>
    </row>
    <row r="34958" spans="1:14" s="2" customFormat="1">
      <c r="A34958" s="83"/>
      <c r="H34958" s="83"/>
      <c r="K34958" s="82"/>
      <c r="M34958" s="112"/>
      <c r="N34958" s="84"/>
    </row>
    <row r="34959" spans="1:14" s="2" customFormat="1">
      <c r="A34959" s="83"/>
      <c r="H34959" s="83"/>
      <c r="K34959" s="82"/>
      <c r="M34959" s="112"/>
      <c r="N34959" s="84"/>
    </row>
    <row r="34960" spans="1:14" s="2" customFormat="1">
      <c r="A34960" s="83"/>
      <c r="H34960" s="83"/>
      <c r="K34960" s="82"/>
      <c r="M34960" s="112"/>
      <c r="N34960" s="84"/>
    </row>
    <row r="34961" spans="1:14" s="2" customFormat="1">
      <c r="A34961" s="83"/>
      <c r="H34961" s="83"/>
      <c r="K34961" s="82"/>
      <c r="M34961" s="112"/>
      <c r="N34961" s="84"/>
    </row>
    <row r="34962" spans="1:14" s="2" customFormat="1">
      <c r="A34962" s="83"/>
      <c r="H34962" s="83"/>
      <c r="K34962" s="82"/>
      <c r="M34962" s="112"/>
      <c r="N34962" s="84"/>
    </row>
    <row r="34963" spans="1:14" s="2" customFormat="1">
      <c r="A34963" s="83"/>
      <c r="H34963" s="83"/>
      <c r="K34963" s="82"/>
      <c r="M34963" s="112"/>
      <c r="N34963" s="84"/>
    </row>
    <row r="34964" spans="1:14" s="2" customFormat="1">
      <c r="A34964" s="83"/>
      <c r="H34964" s="83"/>
      <c r="K34964" s="82"/>
      <c r="M34964" s="112"/>
      <c r="N34964" s="84"/>
    </row>
    <row r="34965" spans="1:14" s="2" customFormat="1">
      <c r="A34965" s="83"/>
      <c r="H34965" s="83"/>
      <c r="K34965" s="82"/>
      <c r="M34965" s="112"/>
      <c r="N34965" s="84"/>
    </row>
    <row r="34966" spans="1:14" s="2" customFormat="1">
      <c r="A34966" s="83"/>
      <c r="H34966" s="83"/>
      <c r="K34966" s="82"/>
      <c r="M34966" s="112"/>
      <c r="N34966" s="84"/>
    </row>
    <row r="34967" spans="1:14" s="2" customFormat="1">
      <c r="A34967" s="83"/>
      <c r="H34967" s="83"/>
      <c r="K34967" s="82"/>
      <c r="M34967" s="112"/>
      <c r="N34967" s="84"/>
    </row>
    <row r="34968" spans="1:14" s="2" customFormat="1">
      <c r="A34968" s="83"/>
      <c r="H34968" s="83"/>
      <c r="K34968" s="82"/>
      <c r="M34968" s="112"/>
      <c r="N34968" s="84"/>
    </row>
    <row r="34969" spans="1:14" s="2" customFormat="1">
      <c r="A34969" s="83"/>
      <c r="H34969" s="83"/>
      <c r="K34969" s="82"/>
      <c r="M34969" s="112"/>
      <c r="N34969" s="84"/>
    </row>
    <row r="34970" spans="1:14" s="2" customFormat="1">
      <c r="A34970" s="83"/>
      <c r="H34970" s="83"/>
      <c r="K34970" s="82"/>
      <c r="M34970" s="112"/>
      <c r="N34970" s="84"/>
    </row>
    <row r="34971" spans="1:14" s="2" customFormat="1">
      <c r="A34971" s="83"/>
      <c r="H34971" s="83"/>
      <c r="K34971" s="82"/>
      <c r="M34971" s="112"/>
      <c r="N34971" s="84"/>
    </row>
    <row r="34972" spans="1:14" s="2" customFormat="1">
      <c r="A34972" s="83"/>
      <c r="H34972" s="83"/>
      <c r="K34972" s="82"/>
      <c r="M34972" s="112"/>
      <c r="N34972" s="84"/>
    </row>
    <row r="34973" spans="1:14" s="2" customFormat="1">
      <c r="A34973" s="83"/>
      <c r="H34973" s="83"/>
      <c r="K34973" s="82"/>
      <c r="M34973" s="112"/>
      <c r="N34973" s="84"/>
    </row>
    <row r="34974" spans="1:14" s="2" customFormat="1">
      <c r="A34974" s="83"/>
      <c r="H34974" s="83"/>
      <c r="K34974" s="82"/>
      <c r="M34974" s="112"/>
      <c r="N34974" s="84"/>
    </row>
    <row r="34975" spans="1:14" s="2" customFormat="1">
      <c r="A34975" s="83"/>
      <c r="H34975" s="83"/>
      <c r="K34975" s="82"/>
      <c r="M34975" s="112"/>
      <c r="N34975" s="84"/>
    </row>
    <row r="34976" spans="1:14" s="2" customFormat="1">
      <c r="A34976" s="83"/>
      <c r="H34976" s="83"/>
      <c r="K34976" s="82"/>
      <c r="M34976" s="112"/>
      <c r="N34976" s="84"/>
    </row>
    <row r="34977" spans="1:14" s="2" customFormat="1">
      <c r="A34977" s="83"/>
      <c r="H34977" s="83"/>
      <c r="K34977" s="82"/>
      <c r="M34977" s="112"/>
      <c r="N34977" s="84"/>
    </row>
    <row r="34978" spans="1:14" s="2" customFormat="1">
      <c r="A34978" s="83"/>
      <c r="H34978" s="83"/>
      <c r="K34978" s="82"/>
      <c r="M34978" s="112"/>
      <c r="N34978" s="84"/>
    </row>
    <row r="34979" spans="1:14" s="2" customFormat="1">
      <c r="A34979" s="83"/>
      <c r="H34979" s="83"/>
      <c r="K34979" s="82"/>
      <c r="M34979" s="112"/>
      <c r="N34979" s="84"/>
    </row>
    <row r="34980" spans="1:14" s="2" customFormat="1">
      <c r="A34980" s="83"/>
      <c r="H34980" s="83"/>
      <c r="K34980" s="82"/>
      <c r="M34980" s="112"/>
      <c r="N34980" s="84"/>
    </row>
    <row r="34981" spans="1:14" s="2" customFormat="1">
      <c r="A34981" s="83"/>
      <c r="H34981" s="83"/>
      <c r="K34981" s="82"/>
      <c r="M34981" s="112"/>
      <c r="N34981" s="84"/>
    </row>
    <row r="34982" spans="1:14" s="2" customFormat="1">
      <c r="A34982" s="83"/>
      <c r="H34982" s="83"/>
      <c r="K34982" s="82"/>
      <c r="M34982" s="112"/>
      <c r="N34982" s="84"/>
    </row>
    <row r="34983" spans="1:14" s="2" customFormat="1">
      <c r="A34983" s="83"/>
      <c r="H34983" s="83"/>
      <c r="K34983" s="82"/>
      <c r="M34983" s="112"/>
      <c r="N34983" s="84"/>
    </row>
    <row r="34984" spans="1:14" s="2" customFormat="1">
      <c r="A34984" s="83"/>
      <c r="H34984" s="83"/>
      <c r="K34984" s="82"/>
      <c r="M34984" s="112"/>
      <c r="N34984" s="84"/>
    </row>
    <row r="34985" spans="1:14" s="2" customFormat="1">
      <c r="A34985" s="83"/>
      <c r="H34985" s="83"/>
      <c r="K34985" s="82"/>
      <c r="M34985" s="112"/>
      <c r="N34985" s="84"/>
    </row>
    <row r="34986" spans="1:14" s="2" customFormat="1">
      <c r="A34986" s="83"/>
      <c r="H34986" s="83"/>
      <c r="K34986" s="82"/>
      <c r="M34986" s="112"/>
      <c r="N34986" s="84"/>
    </row>
    <row r="34987" spans="1:14" s="2" customFormat="1">
      <c r="A34987" s="83"/>
      <c r="H34987" s="83"/>
      <c r="K34987" s="82"/>
      <c r="M34987" s="112"/>
      <c r="N34987" s="84"/>
    </row>
    <row r="34988" spans="1:14" s="2" customFormat="1">
      <c r="A34988" s="83"/>
      <c r="H34988" s="83"/>
      <c r="K34988" s="82"/>
      <c r="M34988" s="112"/>
      <c r="N34988" s="84"/>
    </row>
    <row r="34989" spans="1:14" s="2" customFormat="1">
      <c r="A34989" s="83"/>
      <c r="H34989" s="83"/>
      <c r="K34989" s="82"/>
      <c r="M34989" s="112"/>
      <c r="N34989" s="84"/>
    </row>
    <row r="34990" spans="1:14" s="2" customFormat="1">
      <c r="A34990" s="83"/>
      <c r="H34990" s="83"/>
      <c r="K34990" s="82"/>
      <c r="M34990" s="112"/>
      <c r="N34990" s="84"/>
    </row>
    <row r="34991" spans="1:14" s="2" customFormat="1">
      <c r="A34991" s="83"/>
      <c r="H34991" s="83"/>
      <c r="K34991" s="82"/>
      <c r="M34991" s="112"/>
      <c r="N34991" s="84"/>
    </row>
    <row r="34992" spans="1:14" s="2" customFormat="1">
      <c r="A34992" s="83"/>
      <c r="H34992" s="83"/>
      <c r="K34992" s="82"/>
      <c r="M34992" s="112"/>
      <c r="N34992" s="84"/>
    </row>
    <row r="34993" spans="1:14" s="2" customFormat="1">
      <c r="A34993" s="83"/>
      <c r="H34993" s="83"/>
      <c r="K34993" s="82"/>
      <c r="M34993" s="112"/>
      <c r="N34993" s="84"/>
    </row>
    <row r="34994" spans="1:14" s="2" customFormat="1">
      <c r="A34994" s="83"/>
      <c r="H34994" s="83"/>
      <c r="K34994" s="82"/>
      <c r="M34994" s="112"/>
      <c r="N34994" s="84"/>
    </row>
    <row r="34995" spans="1:14" s="2" customFormat="1">
      <c r="A34995" s="83"/>
      <c r="H34995" s="83"/>
      <c r="K34995" s="82"/>
      <c r="M34995" s="112"/>
      <c r="N34995" s="84"/>
    </row>
    <row r="34996" spans="1:14" s="2" customFormat="1">
      <c r="A34996" s="83"/>
      <c r="H34996" s="83"/>
      <c r="K34996" s="82"/>
      <c r="M34996" s="112"/>
      <c r="N34996" s="84"/>
    </row>
    <row r="34997" spans="1:14" s="2" customFormat="1">
      <c r="A34997" s="83"/>
      <c r="H34997" s="83"/>
      <c r="K34997" s="82"/>
      <c r="M34997" s="112"/>
      <c r="N34997" s="84"/>
    </row>
    <row r="34998" spans="1:14" s="2" customFormat="1">
      <c r="A34998" s="83"/>
      <c r="H34998" s="83"/>
      <c r="K34998" s="82"/>
      <c r="M34998" s="112"/>
      <c r="N34998" s="84"/>
    </row>
    <row r="34999" spans="1:14" s="2" customFormat="1">
      <c r="A34999" s="83"/>
      <c r="H34999" s="83"/>
      <c r="K34999" s="82"/>
      <c r="M34999" s="112"/>
      <c r="N34999" s="84"/>
    </row>
    <row r="35000" spans="1:14" s="2" customFormat="1">
      <c r="A35000" s="83"/>
      <c r="H35000" s="83"/>
      <c r="K35000" s="82"/>
      <c r="M35000" s="112"/>
      <c r="N35000" s="84"/>
    </row>
    <row r="35001" spans="1:14" s="2" customFormat="1">
      <c r="A35001" s="83"/>
      <c r="H35001" s="83"/>
      <c r="K35001" s="82"/>
      <c r="M35001" s="112"/>
      <c r="N35001" s="84"/>
    </row>
    <row r="35002" spans="1:14" s="2" customFormat="1">
      <c r="A35002" s="83"/>
      <c r="H35002" s="83"/>
      <c r="K35002" s="82"/>
      <c r="M35002" s="112"/>
      <c r="N35002" s="84"/>
    </row>
    <row r="35003" spans="1:14" s="2" customFormat="1">
      <c r="A35003" s="83"/>
      <c r="H35003" s="83"/>
      <c r="K35003" s="82"/>
      <c r="M35003" s="112"/>
      <c r="N35003" s="84"/>
    </row>
    <row r="35004" spans="1:14" s="2" customFormat="1">
      <c r="A35004" s="83"/>
      <c r="H35004" s="83"/>
      <c r="K35004" s="82"/>
      <c r="M35004" s="112"/>
      <c r="N35004" s="84"/>
    </row>
    <row r="35005" spans="1:14" s="2" customFormat="1">
      <c r="A35005" s="83"/>
      <c r="H35005" s="83"/>
      <c r="K35005" s="82"/>
      <c r="M35005" s="112"/>
      <c r="N35005" s="84"/>
    </row>
    <row r="35006" spans="1:14" s="2" customFormat="1">
      <c r="A35006" s="83"/>
      <c r="H35006" s="83"/>
      <c r="K35006" s="82"/>
      <c r="M35006" s="112"/>
      <c r="N35006" s="84"/>
    </row>
    <row r="35007" spans="1:14" s="2" customFormat="1">
      <c r="A35007" s="83"/>
      <c r="H35007" s="83"/>
      <c r="K35007" s="82"/>
      <c r="M35007" s="112"/>
      <c r="N35007" s="84"/>
    </row>
    <row r="35008" spans="1:14" s="2" customFormat="1">
      <c r="A35008" s="83"/>
      <c r="H35008" s="83"/>
      <c r="K35008" s="82"/>
      <c r="M35008" s="112"/>
      <c r="N35008" s="84"/>
    </row>
    <row r="35009" spans="1:14" s="2" customFormat="1">
      <c r="A35009" s="83"/>
      <c r="H35009" s="83"/>
      <c r="K35009" s="82"/>
      <c r="M35009" s="112"/>
      <c r="N35009" s="84"/>
    </row>
    <row r="35010" spans="1:14" s="2" customFormat="1">
      <c r="A35010" s="83"/>
      <c r="H35010" s="83"/>
      <c r="K35010" s="82"/>
      <c r="M35010" s="112"/>
      <c r="N35010" s="84"/>
    </row>
    <row r="35011" spans="1:14" s="2" customFormat="1">
      <c r="A35011" s="83"/>
      <c r="H35011" s="83"/>
      <c r="K35011" s="82"/>
      <c r="M35011" s="112"/>
      <c r="N35011" s="84"/>
    </row>
    <row r="35012" spans="1:14" s="2" customFormat="1">
      <c r="A35012" s="83"/>
      <c r="H35012" s="83"/>
      <c r="K35012" s="82"/>
      <c r="M35012" s="112"/>
      <c r="N35012" s="84"/>
    </row>
    <row r="35013" spans="1:14" s="2" customFormat="1">
      <c r="A35013" s="83"/>
      <c r="H35013" s="83"/>
      <c r="K35013" s="82"/>
      <c r="M35013" s="112"/>
      <c r="N35013" s="84"/>
    </row>
    <row r="35014" spans="1:14" s="2" customFormat="1">
      <c r="A35014" s="83"/>
      <c r="H35014" s="83"/>
      <c r="K35014" s="82"/>
      <c r="M35014" s="112"/>
      <c r="N35014" s="84"/>
    </row>
    <row r="35015" spans="1:14" s="2" customFormat="1">
      <c r="A35015" s="83"/>
      <c r="H35015" s="83"/>
      <c r="K35015" s="82"/>
      <c r="M35015" s="112"/>
      <c r="N35015" s="84"/>
    </row>
    <row r="35016" spans="1:14" s="2" customFormat="1">
      <c r="A35016" s="83"/>
      <c r="H35016" s="83"/>
      <c r="K35016" s="82"/>
      <c r="M35016" s="112"/>
      <c r="N35016" s="84"/>
    </row>
    <row r="35017" spans="1:14" s="2" customFormat="1">
      <c r="A35017" s="83"/>
      <c r="H35017" s="83"/>
      <c r="K35017" s="82"/>
      <c r="M35017" s="112"/>
      <c r="N35017" s="84"/>
    </row>
    <row r="35018" spans="1:14" s="2" customFormat="1">
      <c r="A35018" s="83"/>
      <c r="H35018" s="83"/>
      <c r="K35018" s="82"/>
      <c r="M35018" s="112"/>
      <c r="N35018" s="84"/>
    </row>
    <row r="35019" spans="1:14" s="2" customFormat="1">
      <c r="A35019" s="83"/>
      <c r="H35019" s="83"/>
      <c r="K35019" s="82"/>
      <c r="M35019" s="112"/>
      <c r="N35019" s="84"/>
    </row>
    <row r="35020" spans="1:14" s="2" customFormat="1">
      <c r="A35020" s="83"/>
      <c r="H35020" s="83"/>
      <c r="K35020" s="82"/>
      <c r="M35020" s="112"/>
      <c r="N35020" s="84"/>
    </row>
    <row r="35021" spans="1:14" s="2" customFormat="1">
      <c r="A35021" s="83"/>
      <c r="H35021" s="83"/>
      <c r="K35021" s="82"/>
      <c r="M35021" s="112"/>
      <c r="N35021" s="84"/>
    </row>
    <row r="35022" spans="1:14" s="2" customFormat="1">
      <c r="A35022" s="83"/>
      <c r="H35022" s="83"/>
      <c r="K35022" s="82"/>
      <c r="M35022" s="112"/>
      <c r="N35022" s="84"/>
    </row>
    <row r="35023" spans="1:14" s="2" customFormat="1">
      <c r="A35023" s="83"/>
      <c r="H35023" s="83"/>
      <c r="K35023" s="82"/>
      <c r="M35023" s="112"/>
      <c r="N35023" s="84"/>
    </row>
    <row r="35024" spans="1:14" s="2" customFormat="1">
      <c r="A35024" s="83"/>
      <c r="H35024" s="83"/>
      <c r="K35024" s="82"/>
      <c r="M35024" s="112"/>
      <c r="N35024" s="84"/>
    </row>
    <row r="35025" spans="1:14" s="2" customFormat="1">
      <c r="A35025" s="83"/>
      <c r="H35025" s="83"/>
      <c r="K35025" s="82"/>
      <c r="M35025" s="112"/>
      <c r="N35025" s="84"/>
    </row>
    <row r="35026" spans="1:14" s="2" customFormat="1">
      <c r="A35026" s="83"/>
      <c r="H35026" s="83"/>
      <c r="K35026" s="82"/>
      <c r="M35026" s="112"/>
      <c r="N35026" s="84"/>
    </row>
    <row r="35027" spans="1:14" s="2" customFormat="1">
      <c r="A35027" s="83"/>
      <c r="H35027" s="83"/>
      <c r="K35027" s="82"/>
      <c r="M35027" s="112"/>
      <c r="N35027" s="84"/>
    </row>
    <row r="35028" spans="1:14" s="2" customFormat="1">
      <c r="A35028" s="83"/>
      <c r="H35028" s="83"/>
      <c r="K35028" s="82"/>
      <c r="M35028" s="112"/>
      <c r="N35028" s="84"/>
    </row>
    <row r="35029" spans="1:14" s="2" customFormat="1">
      <c r="A35029" s="83"/>
      <c r="H35029" s="83"/>
      <c r="K35029" s="82"/>
      <c r="M35029" s="112"/>
      <c r="N35029" s="84"/>
    </row>
    <row r="35030" spans="1:14" s="2" customFormat="1">
      <c r="A35030" s="83"/>
      <c r="H35030" s="83"/>
      <c r="K35030" s="82"/>
      <c r="M35030" s="112"/>
      <c r="N35030" s="84"/>
    </row>
    <row r="35031" spans="1:14" s="2" customFormat="1">
      <c r="A35031" s="83"/>
      <c r="H35031" s="83"/>
      <c r="K35031" s="82"/>
      <c r="M35031" s="112"/>
      <c r="N35031" s="84"/>
    </row>
    <row r="35032" spans="1:14" s="2" customFormat="1">
      <c r="A35032" s="83"/>
      <c r="H35032" s="83"/>
      <c r="K35032" s="82"/>
      <c r="M35032" s="112"/>
      <c r="N35032" s="84"/>
    </row>
    <row r="35033" spans="1:14" s="2" customFormat="1">
      <c r="A35033" s="83"/>
      <c r="H35033" s="83"/>
      <c r="K35033" s="82"/>
      <c r="M35033" s="112"/>
      <c r="N35033" s="84"/>
    </row>
    <row r="35034" spans="1:14" s="2" customFormat="1">
      <c r="A35034" s="83"/>
      <c r="H35034" s="83"/>
      <c r="K35034" s="82"/>
      <c r="M35034" s="112"/>
      <c r="N35034" s="84"/>
    </row>
    <row r="35035" spans="1:14" s="2" customFormat="1">
      <c r="A35035" s="83"/>
      <c r="H35035" s="83"/>
      <c r="K35035" s="82"/>
      <c r="M35035" s="112"/>
      <c r="N35035" s="84"/>
    </row>
    <row r="35036" spans="1:14" s="2" customFormat="1">
      <c r="A35036" s="83"/>
      <c r="H35036" s="83"/>
      <c r="K35036" s="82"/>
      <c r="M35036" s="112"/>
      <c r="N35036" s="84"/>
    </row>
    <row r="35037" spans="1:14" s="2" customFormat="1">
      <c r="A35037" s="83"/>
      <c r="H35037" s="83"/>
      <c r="K35037" s="82"/>
      <c r="M35037" s="112"/>
      <c r="N35037" s="84"/>
    </row>
    <row r="35038" spans="1:14" s="2" customFormat="1">
      <c r="A35038" s="83"/>
      <c r="H35038" s="83"/>
      <c r="K35038" s="82"/>
      <c r="M35038" s="112"/>
      <c r="N35038" s="84"/>
    </row>
    <row r="35039" spans="1:14" s="2" customFormat="1">
      <c r="A35039" s="83"/>
      <c r="H35039" s="83"/>
      <c r="K35039" s="82"/>
      <c r="M35039" s="112"/>
      <c r="N35039" s="84"/>
    </row>
    <row r="35040" spans="1:14" s="2" customFormat="1">
      <c r="A35040" s="83"/>
      <c r="H35040" s="83"/>
      <c r="K35040" s="82"/>
      <c r="M35040" s="112"/>
      <c r="N35040" s="84"/>
    </row>
    <row r="35041" spans="1:14" s="2" customFormat="1">
      <c r="A35041" s="83"/>
      <c r="H35041" s="83"/>
      <c r="K35041" s="82"/>
      <c r="M35041" s="112"/>
      <c r="N35041" s="84"/>
    </row>
    <row r="35042" spans="1:14" s="2" customFormat="1">
      <c r="A35042" s="83"/>
      <c r="H35042" s="83"/>
      <c r="K35042" s="82"/>
      <c r="M35042" s="112"/>
      <c r="N35042" s="84"/>
    </row>
    <row r="35043" spans="1:14" s="2" customFormat="1">
      <c r="A35043" s="83"/>
      <c r="H35043" s="83"/>
      <c r="K35043" s="82"/>
      <c r="M35043" s="112"/>
      <c r="N35043" s="84"/>
    </row>
    <row r="35044" spans="1:14" s="2" customFormat="1">
      <c r="A35044" s="83"/>
      <c r="H35044" s="83"/>
      <c r="K35044" s="82"/>
      <c r="M35044" s="112"/>
      <c r="N35044" s="84"/>
    </row>
    <row r="35045" spans="1:14" s="2" customFormat="1">
      <c r="A35045" s="83"/>
      <c r="H35045" s="83"/>
      <c r="K35045" s="82"/>
      <c r="M35045" s="112"/>
      <c r="N35045" s="84"/>
    </row>
    <row r="35046" spans="1:14" s="2" customFormat="1">
      <c r="A35046" s="83"/>
      <c r="H35046" s="83"/>
      <c r="K35046" s="82"/>
      <c r="M35046" s="112"/>
      <c r="N35046" s="84"/>
    </row>
    <row r="35047" spans="1:14" s="2" customFormat="1">
      <c r="A35047" s="83"/>
      <c r="H35047" s="83"/>
      <c r="K35047" s="82"/>
      <c r="M35047" s="112"/>
      <c r="N35047" s="84"/>
    </row>
    <row r="35048" spans="1:14" s="2" customFormat="1">
      <c r="A35048" s="83"/>
      <c r="H35048" s="83"/>
      <c r="K35048" s="82"/>
      <c r="M35048" s="112"/>
      <c r="N35048" s="84"/>
    </row>
    <row r="35049" spans="1:14" s="2" customFormat="1">
      <c r="A35049" s="83"/>
      <c r="H35049" s="83"/>
      <c r="K35049" s="82"/>
      <c r="M35049" s="112"/>
      <c r="N35049" s="84"/>
    </row>
    <row r="35050" spans="1:14" s="2" customFormat="1">
      <c r="A35050" s="83"/>
      <c r="H35050" s="83"/>
      <c r="K35050" s="82"/>
      <c r="M35050" s="112"/>
      <c r="N35050" s="84"/>
    </row>
    <row r="35051" spans="1:14" s="2" customFormat="1">
      <c r="A35051" s="83"/>
      <c r="H35051" s="83"/>
      <c r="K35051" s="82"/>
      <c r="M35051" s="112"/>
      <c r="N35051" s="84"/>
    </row>
    <row r="35052" spans="1:14" s="2" customFormat="1">
      <c r="A35052" s="83"/>
      <c r="H35052" s="83"/>
      <c r="K35052" s="82"/>
      <c r="M35052" s="112"/>
      <c r="N35052" s="84"/>
    </row>
    <row r="35053" spans="1:14" s="2" customFormat="1">
      <c r="A35053" s="83"/>
      <c r="H35053" s="83"/>
      <c r="K35053" s="82"/>
      <c r="M35053" s="112"/>
      <c r="N35053" s="84"/>
    </row>
    <row r="35054" spans="1:14" s="2" customFormat="1">
      <c r="A35054" s="83"/>
      <c r="H35054" s="83"/>
      <c r="K35054" s="82"/>
      <c r="M35054" s="112"/>
      <c r="N35054" s="84"/>
    </row>
    <row r="35055" spans="1:14" s="2" customFormat="1">
      <c r="A35055" s="83"/>
      <c r="H35055" s="83"/>
      <c r="K35055" s="82"/>
      <c r="M35055" s="112"/>
      <c r="N35055" s="84"/>
    </row>
    <row r="35056" spans="1:14" s="2" customFormat="1">
      <c r="A35056" s="83"/>
      <c r="H35056" s="83"/>
      <c r="K35056" s="82"/>
      <c r="M35056" s="112"/>
      <c r="N35056" s="84"/>
    </row>
    <row r="35057" spans="1:14" s="2" customFormat="1">
      <c r="A35057" s="83"/>
      <c r="H35057" s="83"/>
      <c r="K35057" s="82"/>
      <c r="M35057" s="112"/>
      <c r="N35057" s="84"/>
    </row>
    <row r="35058" spans="1:14" s="2" customFormat="1">
      <c r="A35058" s="83"/>
      <c r="H35058" s="83"/>
      <c r="K35058" s="82"/>
      <c r="M35058" s="112"/>
      <c r="N35058" s="84"/>
    </row>
    <row r="35059" spans="1:14" s="2" customFormat="1">
      <c r="A35059" s="83"/>
      <c r="H35059" s="83"/>
      <c r="K35059" s="82"/>
      <c r="M35059" s="112"/>
      <c r="N35059" s="84"/>
    </row>
    <row r="35060" spans="1:14" s="2" customFormat="1">
      <c r="A35060" s="83"/>
      <c r="H35060" s="83"/>
      <c r="K35060" s="82"/>
      <c r="M35060" s="112"/>
      <c r="N35060" s="84"/>
    </row>
    <row r="35061" spans="1:14" s="2" customFormat="1">
      <c r="A35061" s="83"/>
      <c r="H35061" s="83"/>
      <c r="K35061" s="82"/>
      <c r="M35061" s="112"/>
      <c r="N35061" s="84"/>
    </row>
    <row r="35062" spans="1:14" s="2" customFormat="1">
      <c r="A35062" s="83"/>
      <c r="H35062" s="83"/>
      <c r="K35062" s="82"/>
      <c r="M35062" s="112"/>
      <c r="N35062" s="84"/>
    </row>
    <row r="35063" spans="1:14" s="2" customFormat="1">
      <c r="A35063" s="83"/>
      <c r="H35063" s="83"/>
      <c r="K35063" s="82"/>
      <c r="M35063" s="112"/>
      <c r="N35063" s="84"/>
    </row>
    <row r="35064" spans="1:14" s="2" customFormat="1">
      <c r="A35064" s="83"/>
      <c r="H35064" s="83"/>
      <c r="K35064" s="82"/>
      <c r="M35064" s="112"/>
      <c r="N35064" s="84"/>
    </row>
    <row r="35065" spans="1:14" s="2" customFormat="1">
      <c r="A35065" s="83"/>
      <c r="H35065" s="83"/>
      <c r="K35065" s="82"/>
      <c r="M35065" s="112"/>
      <c r="N35065" s="84"/>
    </row>
    <row r="35066" spans="1:14" s="2" customFormat="1">
      <c r="A35066" s="83"/>
      <c r="H35066" s="83"/>
      <c r="K35066" s="82"/>
      <c r="M35066" s="112"/>
      <c r="N35066" s="84"/>
    </row>
    <row r="35067" spans="1:14" s="2" customFormat="1">
      <c r="A35067" s="83"/>
      <c r="H35067" s="83"/>
      <c r="K35067" s="82"/>
      <c r="M35067" s="112"/>
      <c r="N35067" s="84"/>
    </row>
    <row r="35068" spans="1:14" s="2" customFormat="1">
      <c r="A35068" s="83"/>
      <c r="H35068" s="83"/>
      <c r="K35068" s="82"/>
      <c r="M35068" s="112"/>
      <c r="N35068" s="84"/>
    </row>
    <row r="35069" spans="1:14" s="2" customFormat="1">
      <c r="A35069" s="83"/>
      <c r="H35069" s="83"/>
      <c r="K35069" s="82"/>
      <c r="M35069" s="112"/>
      <c r="N35069" s="84"/>
    </row>
    <row r="35070" spans="1:14" s="2" customFormat="1">
      <c r="A35070" s="83"/>
      <c r="H35070" s="83"/>
      <c r="K35070" s="82"/>
      <c r="M35070" s="112"/>
      <c r="N35070" s="84"/>
    </row>
    <row r="35071" spans="1:14" s="2" customFormat="1">
      <c r="A35071" s="83"/>
      <c r="H35071" s="83"/>
      <c r="K35071" s="82"/>
      <c r="M35071" s="112"/>
      <c r="N35071" s="84"/>
    </row>
    <row r="35072" spans="1:14" s="2" customFormat="1">
      <c r="A35072" s="83"/>
      <c r="H35072" s="83"/>
      <c r="K35072" s="82"/>
      <c r="M35072" s="112"/>
      <c r="N35072" s="84"/>
    </row>
    <row r="35073" spans="1:14" s="2" customFormat="1">
      <c r="A35073" s="83"/>
      <c r="H35073" s="83"/>
      <c r="K35073" s="82"/>
      <c r="M35073" s="112"/>
      <c r="N35073" s="84"/>
    </row>
    <row r="35074" spans="1:14" s="2" customFormat="1">
      <c r="A35074" s="83"/>
      <c r="H35074" s="83"/>
      <c r="K35074" s="82"/>
      <c r="M35074" s="112"/>
      <c r="N35074" s="84"/>
    </row>
    <row r="35075" spans="1:14" s="2" customFormat="1">
      <c r="A35075" s="83"/>
      <c r="H35075" s="83"/>
      <c r="K35075" s="82"/>
      <c r="M35075" s="112"/>
      <c r="N35075" s="84"/>
    </row>
    <row r="35076" spans="1:14" s="2" customFormat="1">
      <c r="A35076" s="83"/>
      <c r="H35076" s="83"/>
      <c r="K35076" s="82"/>
      <c r="M35076" s="112"/>
      <c r="N35076" s="84"/>
    </row>
    <row r="35077" spans="1:14" s="2" customFormat="1">
      <c r="A35077" s="83"/>
      <c r="H35077" s="83"/>
      <c r="K35077" s="82"/>
      <c r="M35077" s="112"/>
      <c r="N35077" s="84"/>
    </row>
    <row r="35078" spans="1:14" s="2" customFormat="1">
      <c r="A35078" s="83"/>
      <c r="H35078" s="83"/>
      <c r="K35078" s="82"/>
      <c r="M35078" s="112"/>
      <c r="N35078" s="84"/>
    </row>
    <row r="35079" spans="1:14" s="2" customFormat="1">
      <c r="A35079" s="83"/>
      <c r="H35079" s="83"/>
      <c r="K35079" s="82"/>
      <c r="M35079" s="112"/>
      <c r="N35079" s="84"/>
    </row>
    <row r="35080" spans="1:14" s="2" customFormat="1">
      <c r="A35080" s="83"/>
      <c r="H35080" s="83"/>
      <c r="K35080" s="82"/>
      <c r="M35080" s="112"/>
      <c r="N35080" s="84"/>
    </row>
    <row r="35081" spans="1:14" s="2" customFormat="1">
      <c r="A35081" s="83"/>
      <c r="H35081" s="83"/>
      <c r="K35081" s="82"/>
      <c r="M35081" s="112"/>
      <c r="N35081" s="84"/>
    </row>
    <row r="35082" spans="1:14" s="2" customFormat="1">
      <c r="A35082" s="83"/>
      <c r="H35082" s="83"/>
      <c r="K35082" s="82"/>
      <c r="M35082" s="112"/>
      <c r="N35082" s="84"/>
    </row>
    <row r="35083" spans="1:14" s="2" customFormat="1">
      <c r="A35083" s="83"/>
      <c r="H35083" s="83"/>
      <c r="K35083" s="82"/>
      <c r="M35083" s="112"/>
      <c r="N35083" s="84"/>
    </row>
    <row r="35084" spans="1:14" s="2" customFormat="1">
      <c r="A35084" s="83"/>
      <c r="H35084" s="83"/>
      <c r="K35084" s="82"/>
      <c r="M35084" s="112"/>
      <c r="N35084" s="84"/>
    </row>
    <row r="35085" spans="1:14" s="2" customFormat="1">
      <c r="A35085" s="83"/>
      <c r="H35085" s="83"/>
      <c r="K35085" s="82"/>
      <c r="M35085" s="112"/>
      <c r="N35085" s="84"/>
    </row>
    <row r="35086" spans="1:14" s="2" customFormat="1">
      <c r="A35086" s="83"/>
      <c r="H35086" s="83"/>
      <c r="K35086" s="82"/>
      <c r="M35086" s="112"/>
      <c r="N35086" s="84"/>
    </row>
    <row r="35087" spans="1:14" s="2" customFormat="1">
      <c r="A35087" s="83"/>
      <c r="H35087" s="83"/>
      <c r="K35087" s="82"/>
      <c r="M35087" s="112"/>
      <c r="N35087" s="84"/>
    </row>
    <row r="35088" spans="1:14" s="2" customFormat="1">
      <c r="A35088" s="83"/>
      <c r="H35088" s="83"/>
      <c r="K35088" s="82"/>
      <c r="M35088" s="112"/>
      <c r="N35088" s="84"/>
    </row>
    <row r="35089" spans="1:14" s="2" customFormat="1">
      <c r="A35089" s="83"/>
      <c r="H35089" s="83"/>
      <c r="K35089" s="82"/>
      <c r="M35089" s="112"/>
      <c r="N35089" s="84"/>
    </row>
    <row r="35090" spans="1:14" s="2" customFormat="1">
      <c r="A35090" s="83"/>
      <c r="H35090" s="83"/>
      <c r="K35090" s="82"/>
      <c r="M35090" s="112"/>
      <c r="N35090" s="84"/>
    </row>
    <row r="35091" spans="1:14" s="2" customFormat="1">
      <c r="A35091" s="83"/>
      <c r="H35091" s="83"/>
      <c r="K35091" s="82"/>
      <c r="M35091" s="112"/>
      <c r="N35091" s="84"/>
    </row>
    <row r="35092" spans="1:14" s="2" customFormat="1">
      <c r="A35092" s="83"/>
      <c r="H35092" s="83"/>
      <c r="K35092" s="82"/>
      <c r="M35092" s="112"/>
      <c r="N35092" s="84"/>
    </row>
    <row r="35093" spans="1:14" s="2" customFormat="1">
      <c r="A35093" s="83"/>
      <c r="H35093" s="83"/>
      <c r="K35093" s="82"/>
      <c r="M35093" s="112"/>
      <c r="N35093" s="84"/>
    </row>
    <row r="35094" spans="1:14" s="2" customFormat="1">
      <c r="A35094" s="83"/>
      <c r="H35094" s="83"/>
      <c r="K35094" s="82"/>
      <c r="M35094" s="112"/>
      <c r="N35094" s="84"/>
    </row>
    <row r="35095" spans="1:14" s="2" customFormat="1">
      <c r="A35095" s="83"/>
      <c r="H35095" s="83"/>
      <c r="K35095" s="82"/>
      <c r="M35095" s="112"/>
      <c r="N35095" s="84"/>
    </row>
    <row r="35096" spans="1:14" s="2" customFormat="1">
      <c r="A35096" s="83"/>
      <c r="H35096" s="83"/>
      <c r="K35096" s="82"/>
      <c r="M35096" s="112"/>
      <c r="N35096" s="84"/>
    </row>
    <row r="35097" spans="1:14" s="2" customFormat="1">
      <c r="A35097" s="83"/>
      <c r="H35097" s="83"/>
      <c r="K35097" s="82"/>
      <c r="M35097" s="112"/>
      <c r="N35097" s="84"/>
    </row>
    <row r="35098" spans="1:14" s="2" customFormat="1">
      <c r="A35098" s="83"/>
      <c r="H35098" s="83"/>
      <c r="K35098" s="82"/>
      <c r="M35098" s="112"/>
      <c r="N35098" s="84"/>
    </row>
    <row r="35099" spans="1:14" s="2" customFormat="1">
      <c r="A35099" s="83"/>
      <c r="H35099" s="83"/>
      <c r="K35099" s="82"/>
      <c r="M35099" s="112"/>
      <c r="N35099" s="84"/>
    </row>
    <row r="35100" spans="1:14" s="2" customFormat="1">
      <c r="A35100" s="83"/>
      <c r="H35100" s="83"/>
      <c r="K35100" s="82"/>
      <c r="M35100" s="112"/>
      <c r="N35100" s="84"/>
    </row>
    <row r="35101" spans="1:14" s="2" customFormat="1">
      <c r="A35101" s="83"/>
      <c r="H35101" s="83"/>
      <c r="K35101" s="82"/>
      <c r="M35101" s="112"/>
      <c r="N35101" s="84"/>
    </row>
    <row r="35102" spans="1:14" s="2" customFormat="1">
      <c r="A35102" s="83"/>
      <c r="H35102" s="83"/>
      <c r="K35102" s="82"/>
      <c r="M35102" s="112"/>
      <c r="N35102" s="84"/>
    </row>
    <row r="35103" spans="1:14" s="2" customFormat="1">
      <c r="A35103" s="83"/>
      <c r="H35103" s="83"/>
      <c r="K35103" s="82"/>
      <c r="M35103" s="112"/>
      <c r="N35103" s="84"/>
    </row>
    <row r="35104" spans="1:14" s="2" customFormat="1">
      <c r="A35104" s="83"/>
      <c r="H35104" s="83"/>
      <c r="K35104" s="82"/>
      <c r="M35104" s="112"/>
      <c r="N35104" s="84"/>
    </row>
    <row r="35105" spans="1:14" s="2" customFormat="1">
      <c r="A35105" s="83"/>
      <c r="H35105" s="83"/>
      <c r="K35105" s="82"/>
      <c r="M35105" s="112"/>
      <c r="N35105" s="84"/>
    </row>
    <row r="35106" spans="1:14" s="2" customFormat="1">
      <c r="A35106" s="83"/>
      <c r="H35106" s="83"/>
      <c r="K35106" s="82"/>
      <c r="M35106" s="112"/>
      <c r="N35106" s="84"/>
    </row>
    <row r="35107" spans="1:14" s="2" customFormat="1">
      <c r="A35107" s="83"/>
      <c r="H35107" s="83"/>
      <c r="K35107" s="82"/>
      <c r="M35107" s="112"/>
      <c r="N35107" s="84"/>
    </row>
    <row r="35108" spans="1:14" s="2" customFormat="1">
      <c r="A35108" s="83"/>
      <c r="H35108" s="83"/>
      <c r="K35108" s="82"/>
      <c r="M35108" s="112"/>
      <c r="N35108" s="84"/>
    </row>
    <row r="35109" spans="1:14" s="2" customFormat="1">
      <c r="A35109" s="83"/>
      <c r="H35109" s="83"/>
      <c r="K35109" s="82"/>
      <c r="M35109" s="112"/>
      <c r="N35109" s="84"/>
    </row>
    <row r="35110" spans="1:14" s="2" customFormat="1">
      <c r="A35110" s="83"/>
      <c r="H35110" s="83"/>
      <c r="K35110" s="82"/>
      <c r="M35110" s="112"/>
      <c r="N35110" s="84"/>
    </row>
    <row r="35111" spans="1:14" s="2" customFormat="1">
      <c r="A35111" s="83"/>
      <c r="H35111" s="83"/>
      <c r="K35111" s="82"/>
      <c r="M35111" s="112"/>
      <c r="N35111" s="84"/>
    </row>
    <row r="35112" spans="1:14" s="2" customFormat="1">
      <c r="A35112" s="83"/>
      <c r="H35112" s="83"/>
      <c r="K35112" s="82"/>
      <c r="M35112" s="112"/>
      <c r="N35112" s="84"/>
    </row>
    <row r="35113" spans="1:14" s="2" customFormat="1">
      <c r="A35113" s="83"/>
      <c r="H35113" s="83"/>
      <c r="K35113" s="82"/>
      <c r="M35113" s="112"/>
      <c r="N35113" s="84"/>
    </row>
    <row r="35114" spans="1:14" s="2" customFormat="1">
      <c r="A35114" s="83"/>
      <c r="H35114" s="83"/>
      <c r="K35114" s="82"/>
      <c r="M35114" s="112"/>
      <c r="N35114" s="84"/>
    </row>
    <row r="35115" spans="1:14" s="2" customFormat="1">
      <c r="A35115" s="83"/>
      <c r="H35115" s="83"/>
      <c r="K35115" s="82"/>
      <c r="M35115" s="112"/>
      <c r="N35115" s="84"/>
    </row>
    <row r="35116" spans="1:14" s="2" customFormat="1">
      <c r="A35116" s="83"/>
      <c r="H35116" s="83"/>
      <c r="K35116" s="82"/>
      <c r="M35116" s="112"/>
      <c r="N35116" s="84"/>
    </row>
    <row r="35117" spans="1:14" s="2" customFormat="1">
      <c r="A35117" s="83"/>
      <c r="H35117" s="83"/>
      <c r="K35117" s="82"/>
      <c r="M35117" s="112"/>
      <c r="N35117" s="84"/>
    </row>
    <row r="35118" spans="1:14" s="2" customFormat="1">
      <c r="A35118" s="83"/>
      <c r="H35118" s="83"/>
      <c r="K35118" s="82"/>
      <c r="M35118" s="112"/>
      <c r="N35118" s="84"/>
    </row>
    <row r="35119" spans="1:14" s="2" customFormat="1">
      <c r="A35119" s="83"/>
      <c r="H35119" s="83"/>
      <c r="K35119" s="82"/>
      <c r="M35119" s="112"/>
      <c r="N35119" s="84"/>
    </row>
    <row r="35120" spans="1:14" s="2" customFormat="1">
      <c r="A35120" s="83"/>
      <c r="H35120" s="83"/>
      <c r="K35120" s="82"/>
      <c r="M35120" s="112"/>
      <c r="N35120" s="84"/>
    </row>
    <row r="35121" spans="1:14" s="2" customFormat="1">
      <c r="A35121" s="83"/>
      <c r="H35121" s="83"/>
      <c r="K35121" s="82"/>
      <c r="M35121" s="112"/>
      <c r="N35121" s="84"/>
    </row>
    <row r="35122" spans="1:14" s="2" customFormat="1">
      <c r="A35122" s="83"/>
      <c r="H35122" s="83"/>
      <c r="K35122" s="82"/>
      <c r="M35122" s="112"/>
      <c r="N35122" s="84"/>
    </row>
    <row r="35123" spans="1:14" s="2" customFormat="1">
      <c r="A35123" s="83"/>
      <c r="H35123" s="83"/>
      <c r="K35123" s="82"/>
      <c r="M35123" s="112"/>
      <c r="N35123" s="84"/>
    </row>
    <row r="35124" spans="1:14" s="2" customFormat="1">
      <c r="A35124" s="83"/>
      <c r="H35124" s="83"/>
      <c r="K35124" s="82"/>
      <c r="M35124" s="112"/>
      <c r="N35124" s="84"/>
    </row>
    <row r="35125" spans="1:14" s="2" customFormat="1">
      <c r="A35125" s="83"/>
      <c r="H35125" s="83"/>
      <c r="K35125" s="82"/>
      <c r="M35125" s="112"/>
      <c r="N35125" s="84"/>
    </row>
    <row r="35126" spans="1:14" s="2" customFormat="1">
      <c r="A35126" s="83"/>
      <c r="H35126" s="83"/>
      <c r="K35126" s="82"/>
      <c r="M35126" s="112"/>
      <c r="N35126" s="84"/>
    </row>
    <row r="35127" spans="1:14" s="2" customFormat="1">
      <c r="A35127" s="83"/>
      <c r="H35127" s="83"/>
      <c r="K35127" s="82"/>
      <c r="M35127" s="112"/>
      <c r="N35127" s="84"/>
    </row>
    <row r="35128" spans="1:14" s="2" customFormat="1">
      <c r="A35128" s="83"/>
      <c r="H35128" s="83"/>
      <c r="K35128" s="82"/>
      <c r="M35128" s="112"/>
      <c r="N35128" s="84"/>
    </row>
    <row r="35129" spans="1:14" s="2" customFormat="1">
      <c r="A35129" s="83"/>
      <c r="H35129" s="83"/>
      <c r="K35129" s="82"/>
      <c r="M35129" s="112"/>
      <c r="N35129" s="84"/>
    </row>
    <row r="35130" spans="1:14" s="2" customFormat="1">
      <c r="A35130" s="83"/>
      <c r="H35130" s="83"/>
      <c r="K35130" s="82"/>
      <c r="M35130" s="112"/>
      <c r="N35130" s="84"/>
    </row>
    <row r="35131" spans="1:14" s="2" customFormat="1">
      <c r="A35131" s="83"/>
      <c r="H35131" s="83"/>
      <c r="K35131" s="82"/>
      <c r="M35131" s="112"/>
      <c r="N35131" s="84"/>
    </row>
    <row r="35132" spans="1:14" s="2" customFormat="1">
      <c r="A35132" s="83"/>
      <c r="H35132" s="83"/>
      <c r="K35132" s="82"/>
      <c r="M35132" s="112"/>
      <c r="N35132" s="84"/>
    </row>
    <row r="35133" spans="1:14" s="2" customFormat="1">
      <c r="A35133" s="83"/>
      <c r="H35133" s="83"/>
      <c r="K35133" s="82"/>
      <c r="M35133" s="112"/>
      <c r="N35133" s="84"/>
    </row>
    <row r="35134" spans="1:14" s="2" customFormat="1">
      <c r="A35134" s="83"/>
      <c r="H35134" s="83"/>
      <c r="K35134" s="82"/>
      <c r="M35134" s="112"/>
      <c r="N35134" s="84"/>
    </row>
    <row r="35135" spans="1:14" s="2" customFormat="1">
      <c r="A35135" s="83"/>
      <c r="H35135" s="83"/>
      <c r="K35135" s="82"/>
      <c r="M35135" s="112"/>
      <c r="N35135" s="84"/>
    </row>
    <row r="35136" spans="1:14" s="2" customFormat="1">
      <c r="A35136" s="83"/>
      <c r="H35136" s="83"/>
      <c r="K35136" s="82"/>
      <c r="M35136" s="112"/>
      <c r="N35136" s="84"/>
    </row>
    <row r="35137" spans="1:14" s="2" customFormat="1">
      <c r="A35137" s="83"/>
      <c r="H35137" s="83"/>
      <c r="K35137" s="82"/>
      <c r="M35137" s="112"/>
      <c r="N35137" s="84"/>
    </row>
    <row r="35138" spans="1:14" s="2" customFormat="1">
      <c r="A35138" s="83"/>
      <c r="H35138" s="83"/>
      <c r="K35138" s="82"/>
      <c r="M35138" s="112"/>
      <c r="N35138" s="84"/>
    </row>
    <row r="35139" spans="1:14" s="2" customFormat="1">
      <c r="A35139" s="83"/>
      <c r="H35139" s="83"/>
      <c r="K35139" s="82"/>
      <c r="M35139" s="112"/>
      <c r="N35139" s="84"/>
    </row>
    <row r="35140" spans="1:14" s="2" customFormat="1">
      <c r="A35140" s="83"/>
      <c r="H35140" s="83"/>
      <c r="K35140" s="82"/>
      <c r="M35140" s="112"/>
      <c r="N35140" s="84"/>
    </row>
    <row r="35141" spans="1:14" s="2" customFormat="1">
      <c r="A35141" s="83"/>
      <c r="H35141" s="83"/>
      <c r="K35141" s="82"/>
      <c r="M35141" s="112"/>
      <c r="N35141" s="84"/>
    </row>
    <row r="35142" spans="1:14" s="2" customFormat="1">
      <c r="A35142" s="83"/>
      <c r="H35142" s="83"/>
      <c r="K35142" s="82"/>
      <c r="M35142" s="112"/>
      <c r="N35142" s="84"/>
    </row>
    <row r="35143" spans="1:14" s="2" customFormat="1">
      <c r="A35143" s="83"/>
      <c r="H35143" s="83"/>
      <c r="K35143" s="82"/>
      <c r="M35143" s="112"/>
      <c r="N35143" s="84"/>
    </row>
    <row r="35144" spans="1:14" s="2" customFormat="1">
      <c r="A35144" s="83"/>
      <c r="H35144" s="83"/>
      <c r="K35144" s="82"/>
      <c r="M35144" s="112"/>
      <c r="N35144" s="84"/>
    </row>
    <row r="35145" spans="1:14" s="2" customFormat="1">
      <c r="A35145" s="83"/>
      <c r="H35145" s="83"/>
      <c r="K35145" s="82"/>
      <c r="M35145" s="112"/>
      <c r="N35145" s="84"/>
    </row>
    <row r="35146" spans="1:14" s="2" customFormat="1">
      <c r="A35146" s="83"/>
      <c r="H35146" s="83"/>
      <c r="K35146" s="82"/>
      <c r="M35146" s="112"/>
      <c r="N35146" s="84"/>
    </row>
    <row r="35147" spans="1:14" s="2" customFormat="1">
      <c r="A35147" s="83"/>
      <c r="H35147" s="83"/>
      <c r="K35147" s="82"/>
      <c r="M35147" s="112"/>
      <c r="N35147" s="84"/>
    </row>
    <row r="35148" spans="1:14" s="2" customFormat="1">
      <c r="A35148" s="83"/>
      <c r="H35148" s="83"/>
      <c r="K35148" s="82"/>
      <c r="M35148" s="112"/>
      <c r="N35148" s="84"/>
    </row>
    <row r="35149" spans="1:14" s="2" customFormat="1">
      <c r="A35149" s="83"/>
      <c r="H35149" s="83"/>
      <c r="K35149" s="82"/>
      <c r="M35149" s="112"/>
      <c r="N35149" s="84"/>
    </row>
    <row r="35150" spans="1:14" s="2" customFormat="1">
      <c r="A35150" s="83"/>
      <c r="H35150" s="83"/>
      <c r="K35150" s="82"/>
      <c r="M35150" s="112"/>
      <c r="N35150" s="84"/>
    </row>
    <row r="35151" spans="1:14" s="2" customFormat="1">
      <c r="A35151" s="83"/>
      <c r="H35151" s="83"/>
      <c r="K35151" s="82"/>
      <c r="M35151" s="112"/>
      <c r="N35151" s="84"/>
    </row>
    <row r="35152" spans="1:14" s="2" customFormat="1">
      <c r="A35152" s="83"/>
      <c r="H35152" s="83"/>
      <c r="K35152" s="82"/>
      <c r="M35152" s="112"/>
      <c r="N35152" s="84"/>
    </row>
    <row r="35153" spans="1:14" s="2" customFormat="1">
      <c r="A35153" s="83"/>
      <c r="H35153" s="83"/>
      <c r="K35153" s="82"/>
      <c r="M35153" s="112"/>
      <c r="N35153" s="84"/>
    </row>
    <row r="35154" spans="1:14" s="2" customFormat="1">
      <c r="A35154" s="83"/>
      <c r="H35154" s="83"/>
      <c r="K35154" s="82"/>
      <c r="M35154" s="112"/>
      <c r="N35154" s="84"/>
    </row>
    <row r="35155" spans="1:14" s="2" customFormat="1">
      <c r="A35155" s="83"/>
      <c r="H35155" s="83"/>
      <c r="K35155" s="82"/>
      <c r="M35155" s="112"/>
      <c r="N35155" s="84"/>
    </row>
    <row r="35156" spans="1:14" s="2" customFormat="1">
      <c r="A35156" s="83"/>
      <c r="H35156" s="83"/>
      <c r="K35156" s="82"/>
      <c r="M35156" s="112"/>
      <c r="N35156" s="84"/>
    </row>
    <row r="35157" spans="1:14" s="2" customFormat="1">
      <c r="A35157" s="83"/>
      <c r="H35157" s="83"/>
      <c r="K35157" s="82"/>
      <c r="M35157" s="112"/>
      <c r="N35157" s="84"/>
    </row>
    <row r="35158" spans="1:14" s="2" customFormat="1">
      <c r="A35158" s="83"/>
      <c r="H35158" s="83"/>
      <c r="K35158" s="82"/>
      <c r="M35158" s="112"/>
      <c r="N35158" s="84"/>
    </row>
    <row r="35159" spans="1:14" s="2" customFormat="1">
      <c r="A35159" s="83"/>
      <c r="H35159" s="83"/>
      <c r="K35159" s="82"/>
      <c r="M35159" s="112"/>
      <c r="N35159" s="84"/>
    </row>
    <row r="35160" spans="1:14" s="2" customFormat="1">
      <c r="A35160" s="83"/>
      <c r="H35160" s="83"/>
      <c r="K35160" s="82"/>
      <c r="M35160" s="112"/>
      <c r="N35160" s="84"/>
    </row>
    <row r="35161" spans="1:14" s="2" customFormat="1">
      <c r="A35161" s="83"/>
      <c r="H35161" s="83"/>
      <c r="K35161" s="82"/>
      <c r="M35161" s="112"/>
      <c r="N35161" s="84"/>
    </row>
    <row r="35162" spans="1:14" s="2" customFormat="1">
      <c r="A35162" s="83"/>
      <c r="H35162" s="83"/>
      <c r="K35162" s="82"/>
      <c r="M35162" s="112"/>
      <c r="N35162" s="84"/>
    </row>
    <row r="35163" spans="1:14" s="2" customFormat="1">
      <c r="A35163" s="83"/>
      <c r="H35163" s="83"/>
      <c r="K35163" s="82"/>
      <c r="M35163" s="112"/>
      <c r="N35163" s="84"/>
    </row>
    <row r="35164" spans="1:14" s="2" customFormat="1">
      <c r="A35164" s="83"/>
      <c r="H35164" s="83"/>
      <c r="K35164" s="82"/>
      <c r="M35164" s="112"/>
      <c r="N35164" s="84"/>
    </row>
    <row r="35165" spans="1:14" s="2" customFormat="1">
      <c r="A35165" s="83"/>
      <c r="H35165" s="83"/>
      <c r="K35165" s="82"/>
      <c r="M35165" s="112"/>
      <c r="N35165" s="84"/>
    </row>
    <row r="35166" spans="1:14" s="2" customFormat="1">
      <c r="A35166" s="83"/>
      <c r="H35166" s="83"/>
      <c r="K35166" s="82"/>
      <c r="M35166" s="112"/>
      <c r="N35166" s="84"/>
    </row>
    <row r="35167" spans="1:14" s="2" customFormat="1">
      <c r="A35167" s="83"/>
      <c r="H35167" s="83"/>
      <c r="K35167" s="82"/>
      <c r="M35167" s="112"/>
      <c r="N35167" s="84"/>
    </row>
    <row r="35168" spans="1:14" s="2" customFormat="1">
      <c r="A35168" s="83"/>
      <c r="H35168" s="83"/>
      <c r="K35168" s="82"/>
      <c r="M35168" s="112"/>
      <c r="N35168" s="84"/>
    </row>
    <row r="35169" spans="1:14" s="2" customFormat="1">
      <c r="A35169" s="83"/>
      <c r="H35169" s="83"/>
      <c r="K35169" s="82"/>
      <c r="M35169" s="112"/>
      <c r="N35169" s="84"/>
    </row>
    <row r="35170" spans="1:14" s="2" customFormat="1">
      <c r="A35170" s="83"/>
      <c r="H35170" s="83"/>
      <c r="K35170" s="82"/>
      <c r="M35170" s="112"/>
      <c r="N35170" s="84"/>
    </row>
    <row r="35171" spans="1:14" s="2" customFormat="1">
      <c r="A35171" s="83"/>
      <c r="H35171" s="83"/>
      <c r="K35171" s="82"/>
      <c r="M35171" s="112"/>
      <c r="N35171" s="84"/>
    </row>
    <row r="35172" spans="1:14" s="2" customFormat="1">
      <c r="A35172" s="83"/>
      <c r="H35172" s="83"/>
      <c r="K35172" s="82"/>
      <c r="M35172" s="112"/>
      <c r="N35172" s="84"/>
    </row>
    <row r="35173" spans="1:14" s="2" customFormat="1">
      <c r="A35173" s="83"/>
      <c r="H35173" s="83"/>
      <c r="K35173" s="82"/>
      <c r="M35173" s="112"/>
      <c r="N35173" s="84"/>
    </row>
    <row r="35174" spans="1:14" s="2" customFormat="1">
      <c r="A35174" s="83"/>
      <c r="H35174" s="83"/>
      <c r="K35174" s="82"/>
      <c r="M35174" s="112"/>
      <c r="N35174" s="84"/>
    </row>
    <row r="35175" spans="1:14" s="2" customFormat="1">
      <c r="A35175" s="83"/>
      <c r="H35175" s="83"/>
      <c r="K35175" s="82"/>
      <c r="M35175" s="112"/>
      <c r="N35175" s="84"/>
    </row>
    <row r="35176" spans="1:14" s="2" customFormat="1">
      <c r="A35176" s="83"/>
      <c r="H35176" s="83"/>
      <c r="K35176" s="82"/>
      <c r="M35176" s="112"/>
      <c r="N35176" s="84"/>
    </row>
    <row r="35177" spans="1:14" s="2" customFormat="1">
      <c r="A35177" s="83"/>
      <c r="H35177" s="83"/>
      <c r="K35177" s="82"/>
      <c r="M35177" s="112"/>
      <c r="N35177" s="84"/>
    </row>
    <row r="35178" spans="1:14" s="2" customFormat="1">
      <c r="A35178" s="83"/>
      <c r="H35178" s="83"/>
      <c r="K35178" s="82"/>
      <c r="M35178" s="112"/>
      <c r="N35178" s="84"/>
    </row>
    <row r="35179" spans="1:14" s="2" customFormat="1">
      <c r="A35179" s="83"/>
      <c r="H35179" s="83"/>
      <c r="K35179" s="82"/>
      <c r="M35179" s="112"/>
      <c r="N35179" s="84"/>
    </row>
    <row r="35180" spans="1:14" s="2" customFormat="1">
      <c r="A35180" s="83"/>
      <c r="H35180" s="83"/>
      <c r="K35180" s="82"/>
      <c r="M35180" s="112"/>
      <c r="N35180" s="84"/>
    </row>
    <row r="35181" spans="1:14" s="2" customFormat="1">
      <c r="A35181" s="83"/>
      <c r="H35181" s="83"/>
      <c r="K35181" s="82"/>
      <c r="M35181" s="112"/>
      <c r="N35181" s="84"/>
    </row>
    <row r="35182" spans="1:14" s="2" customFormat="1">
      <c r="A35182" s="83"/>
      <c r="H35182" s="83"/>
      <c r="K35182" s="82"/>
      <c r="M35182" s="112"/>
      <c r="N35182" s="84"/>
    </row>
    <row r="35183" spans="1:14" s="2" customFormat="1">
      <c r="A35183" s="83"/>
      <c r="H35183" s="83"/>
      <c r="K35183" s="82"/>
      <c r="M35183" s="112"/>
      <c r="N35183" s="84"/>
    </row>
    <row r="35184" spans="1:14" s="2" customFormat="1">
      <c r="A35184" s="83"/>
      <c r="H35184" s="83"/>
      <c r="K35184" s="82"/>
      <c r="M35184" s="112"/>
      <c r="N35184" s="84"/>
    </row>
    <row r="35185" spans="1:14" s="2" customFormat="1">
      <c r="A35185" s="83"/>
      <c r="H35185" s="83"/>
      <c r="K35185" s="82"/>
      <c r="M35185" s="112"/>
      <c r="N35185" s="84"/>
    </row>
    <row r="35186" spans="1:14" s="2" customFormat="1">
      <c r="A35186" s="83"/>
      <c r="H35186" s="83"/>
      <c r="K35186" s="82"/>
      <c r="M35186" s="112"/>
      <c r="N35186" s="84"/>
    </row>
    <row r="35187" spans="1:14" s="2" customFormat="1">
      <c r="A35187" s="83"/>
      <c r="H35187" s="83"/>
      <c r="K35187" s="82"/>
      <c r="M35187" s="112"/>
      <c r="N35187" s="84"/>
    </row>
    <row r="35188" spans="1:14" s="2" customFormat="1">
      <c r="A35188" s="83"/>
      <c r="H35188" s="83"/>
      <c r="K35188" s="82"/>
      <c r="M35188" s="112"/>
      <c r="N35188" s="84"/>
    </row>
    <row r="35189" spans="1:14" s="2" customFormat="1">
      <c r="A35189" s="83"/>
      <c r="H35189" s="83"/>
      <c r="K35189" s="82"/>
      <c r="M35189" s="112"/>
      <c r="N35189" s="84"/>
    </row>
    <row r="35190" spans="1:14" s="2" customFormat="1">
      <c r="A35190" s="83"/>
      <c r="H35190" s="83"/>
      <c r="K35190" s="82"/>
      <c r="M35190" s="112"/>
      <c r="N35190" s="84"/>
    </row>
    <row r="35191" spans="1:14" s="2" customFormat="1">
      <c r="A35191" s="83"/>
      <c r="H35191" s="83"/>
      <c r="K35191" s="82"/>
      <c r="M35191" s="112"/>
      <c r="N35191" s="84"/>
    </row>
    <row r="35192" spans="1:14" s="2" customFormat="1">
      <c r="A35192" s="83"/>
      <c r="H35192" s="83"/>
      <c r="K35192" s="82"/>
      <c r="M35192" s="112"/>
      <c r="N35192" s="84"/>
    </row>
    <row r="35193" spans="1:14" s="2" customFormat="1">
      <c r="A35193" s="83"/>
      <c r="H35193" s="83"/>
      <c r="K35193" s="82"/>
      <c r="M35193" s="112"/>
      <c r="N35193" s="84"/>
    </row>
    <row r="35194" spans="1:14" s="2" customFormat="1">
      <c r="A35194" s="83"/>
      <c r="H35194" s="83"/>
      <c r="K35194" s="82"/>
      <c r="M35194" s="112"/>
      <c r="N35194" s="84"/>
    </row>
    <row r="35195" spans="1:14" s="2" customFormat="1">
      <c r="A35195" s="83"/>
      <c r="H35195" s="83"/>
      <c r="K35195" s="82"/>
      <c r="M35195" s="112"/>
      <c r="N35195" s="84"/>
    </row>
    <row r="35196" spans="1:14" s="2" customFormat="1">
      <c r="A35196" s="83"/>
      <c r="H35196" s="83"/>
      <c r="K35196" s="82"/>
      <c r="M35196" s="112"/>
      <c r="N35196" s="84"/>
    </row>
    <row r="35197" spans="1:14" s="2" customFormat="1">
      <c r="A35197" s="83"/>
      <c r="H35197" s="83"/>
      <c r="K35197" s="82"/>
      <c r="M35197" s="112"/>
      <c r="N35197" s="84"/>
    </row>
    <row r="35198" spans="1:14" s="2" customFormat="1">
      <c r="A35198" s="83"/>
      <c r="H35198" s="83"/>
      <c r="K35198" s="82"/>
      <c r="M35198" s="112"/>
      <c r="N35198" s="84"/>
    </row>
    <row r="35199" spans="1:14" s="2" customFormat="1">
      <c r="A35199" s="83"/>
      <c r="H35199" s="83"/>
      <c r="K35199" s="82"/>
      <c r="M35199" s="112"/>
      <c r="N35199" s="84"/>
    </row>
    <row r="35200" spans="1:14" s="2" customFormat="1">
      <c r="A35200" s="83"/>
      <c r="H35200" s="83"/>
      <c r="K35200" s="82"/>
      <c r="M35200" s="112"/>
      <c r="N35200" s="84"/>
    </row>
    <row r="35201" spans="1:14" s="2" customFormat="1">
      <c r="A35201" s="83"/>
      <c r="H35201" s="83"/>
      <c r="K35201" s="82"/>
      <c r="M35201" s="112"/>
      <c r="N35201" s="84"/>
    </row>
    <row r="35202" spans="1:14" s="2" customFormat="1">
      <c r="A35202" s="83"/>
      <c r="H35202" s="83"/>
      <c r="K35202" s="82"/>
      <c r="M35202" s="112"/>
      <c r="N35202" s="84"/>
    </row>
    <row r="35203" spans="1:14" s="2" customFormat="1">
      <c r="A35203" s="83"/>
      <c r="H35203" s="83"/>
      <c r="K35203" s="82"/>
      <c r="M35203" s="112"/>
      <c r="N35203" s="84"/>
    </row>
    <row r="35204" spans="1:14" s="2" customFormat="1">
      <c r="A35204" s="83"/>
      <c r="H35204" s="83"/>
      <c r="K35204" s="82"/>
      <c r="M35204" s="112"/>
      <c r="N35204" s="84"/>
    </row>
    <row r="35205" spans="1:14" s="2" customFormat="1">
      <c r="A35205" s="83"/>
      <c r="H35205" s="83"/>
      <c r="K35205" s="82"/>
      <c r="M35205" s="112"/>
      <c r="N35205" s="84"/>
    </row>
    <row r="35206" spans="1:14" s="2" customFormat="1">
      <c r="A35206" s="83"/>
      <c r="H35206" s="83"/>
      <c r="K35206" s="82"/>
      <c r="M35206" s="112"/>
      <c r="N35206" s="84"/>
    </row>
    <row r="35207" spans="1:14" s="2" customFormat="1">
      <c r="A35207" s="83"/>
      <c r="H35207" s="83"/>
      <c r="K35207" s="82"/>
      <c r="M35207" s="112"/>
      <c r="N35207" s="84"/>
    </row>
    <row r="35208" spans="1:14" s="2" customFormat="1">
      <c r="A35208" s="83"/>
      <c r="H35208" s="83"/>
      <c r="K35208" s="82"/>
      <c r="M35208" s="112"/>
      <c r="N35208" s="84"/>
    </row>
    <row r="35209" spans="1:14" s="2" customFormat="1">
      <c r="A35209" s="83"/>
      <c r="H35209" s="83"/>
      <c r="K35209" s="82"/>
      <c r="M35209" s="112"/>
      <c r="N35209" s="84"/>
    </row>
    <row r="35210" spans="1:14" s="2" customFormat="1">
      <c r="A35210" s="83"/>
      <c r="H35210" s="83"/>
      <c r="K35210" s="82"/>
      <c r="M35210" s="112"/>
      <c r="N35210" s="84"/>
    </row>
    <row r="35211" spans="1:14" s="2" customFormat="1">
      <c r="A35211" s="83"/>
      <c r="H35211" s="83"/>
      <c r="K35211" s="82"/>
      <c r="M35211" s="112"/>
      <c r="N35211" s="84"/>
    </row>
    <row r="35212" spans="1:14" s="2" customFormat="1">
      <c r="A35212" s="83"/>
      <c r="H35212" s="83"/>
      <c r="K35212" s="82"/>
      <c r="M35212" s="112"/>
      <c r="N35212" s="84"/>
    </row>
    <row r="35213" spans="1:14" s="2" customFormat="1">
      <c r="A35213" s="83"/>
      <c r="H35213" s="83"/>
      <c r="K35213" s="82"/>
      <c r="M35213" s="112"/>
      <c r="N35213" s="84"/>
    </row>
    <row r="35214" spans="1:14" s="2" customFormat="1">
      <c r="A35214" s="83"/>
      <c r="H35214" s="83"/>
      <c r="K35214" s="82"/>
      <c r="M35214" s="112"/>
      <c r="N35214" s="84"/>
    </row>
    <row r="35215" spans="1:14" s="2" customFormat="1">
      <c r="A35215" s="83"/>
      <c r="H35215" s="83"/>
      <c r="K35215" s="82"/>
      <c r="M35215" s="112"/>
      <c r="N35215" s="84"/>
    </row>
    <row r="35216" spans="1:14" s="2" customFormat="1">
      <c r="A35216" s="83"/>
      <c r="H35216" s="83"/>
      <c r="K35216" s="82"/>
      <c r="M35216" s="112"/>
      <c r="N35216" s="84"/>
    </row>
    <row r="35217" spans="1:14" s="2" customFormat="1">
      <c r="A35217" s="83"/>
      <c r="H35217" s="83"/>
      <c r="K35217" s="82"/>
      <c r="M35217" s="112"/>
      <c r="N35217" s="84"/>
    </row>
    <row r="35218" spans="1:14" s="2" customFormat="1">
      <c r="A35218" s="83"/>
      <c r="H35218" s="83"/>
      <c r="K35218" s="82"/>
      <c r="M35218" s="112"/>
      <c r="N35218" s="84"/>
    </row>
    <row r="35219" spans="1:14" s="2" customFormat="1">
      <c r="A35219" s="83"/>
      <c r="H35219" s="83"/>
      <c r="K35219" s="82"/>
      <c r="M35219" s="112"/>
      <c r="N35219" s="84"/>
    </row>
    <row r="35220" spans="1:14" s="2" customFormat="1">
      <c r="A35220" s="83"/>
      <c r="H35220" s="83"/>
      <c r="K35220" s="82"/>
      <c r="M35220" s="112"/>
      <c r="N35220" s="84"/>
    </row>
    <row r="35221" spans="1:14" s="2" customFormat="1">
      <c r="A35221" s="83"/>
      <c r="H35221" s="83"/>
      <c r="K35221" s="82"/>
      <c r="M35221" s="112"/>
      <c r="N35221" s="84"/>
    </row>
    <row r="35222" spans="1:14" s="2" customFormat="1">
      <c r="A35222" s="83"/>
      <c r="H35222" s="83"/>
      <c r="K35222" s="82"/>
      <c r="M35222" s="112"/>
      <c r="N35222" s="84"/>
    </row>
    <row r="35223" spans="1:14" s="2" customFormat="1">
      <c r="A35223" s="83"/>
      <c r="H35223" s="83"/>
      <c r="K35223" s="82"/>
      <c r="M35223" s="112"/>
      <c r="N35223" s="84"/>
    </row>
    <row r="35224" spans="1:14" s="2" customFormat="1">
      <c r="A35224" s="83"/>
      <c r="H35224" s="83"/>
      <c r="K35224" s="82"/>
      <c r="M35224" s="112"/>
      <c r="N35224" s="84"/>
    </row>
    <row r="35225" spans="1:14" s="2" customFormat="1">
      <c r="A35225" s="83"/>
      <c r="H35225" s="83"/>
      <c r="K35225" s="82"/>
      <c r="M35225" s="112"/>
      <c r="N35225" s="84"/>
    </row>
    <row r="35226" spans="1:14" s="2" customFormat="1">
      <c r="A35226" s="83"/>
      <c r="H35226" s="83"/>
      <c r="K35226" s="82"/>
      <c r="M35226" s="112"/>
      <c r="N35226" s="84"/>
    </row>
    <row r="35227" spans="1:14" s="2" customFormat="1">
      <c r="A35227" s="83"/>
      <c r="H35227" s="83"/>
      <c r="K35227" s="82"/>
      <c r="M35227" s="112"/>
      <c r="N35227" s="84"/>
    </row>
    <row r="35228" spans="1:14" s="2" customFormat="1">
      <c r="A35228" s="83"/>
      <c r="H35228" s="83"/>
      <c r="K35228" s="82"/>
      <c r="M35228" s="112"/>
      <c r="N35228" s="84"/>
    </row>
    <row r="35229" spans="1:14" s="2" customFormat="1">
      <c r="A35229" s="83"/>
      <c r="H35229" s="83"/>
      <c r="K35229" s="82"/>
      <c r="M35229" s="112"/>
      <c r="N35229" s="84"/>
    </row>
    <row r="35230" spans="1:14" s="2" customFormat="1">
      <c r="A35230" s="83"/>
      <c r="H35230" s="83"/>
      <c r="K35230" s="82"/>
      <c r="M35230" s="112"/>
      <c r="N35230" s="84"/>
    </row>
    <row r="35231" spans="1:14" s="2" customFormat="1">
      <c r="A35231" s="83"/>
      <c r="H35231" s="83"/>
      <c r="K35231" s="82"/>
      <c r="M35231" s="112"/>
      <c r="N35231" s="84"/>
    </row>
    <row r="35232" spans="1:14" s="2" customFormat="1">
      <c r="A35232" s="83"/>
      <c r="H35232" s="83"/>
      <c r="K35232" s="82"/>
      <c r="M35232" s="112"/>
      <c r="N35232" s="84"/>
    </row>
    <row r="35233" spans="1:14" s="2" customFormat="1">
      <c r="A35233" s="83"/>
      <c r="H35233" s="83"/>
      <c r="K35233" s="82"/>
      <c r="M35233" s="112"/>
      <c r="N35233" s="84"/>
    </row>
    <row r="35234" spans="1:14" s="2" customFormat="1">
      <c r="A35234" s="83"/>
      <c r="H35234" s="83"/>
      <c r="K35234" s="82"/>
      <c r="M35234" s="112"/>
      <c r="N35234" s="84"/>
    </row>
    <row r="35235" spans="1:14" s="2" customFormat="1">
      <c r="A35235" s="83"/>
      <c r="H35235" s="83"/>
      <c r="K35235" s="82"/>
      <c r="M35235" s="112"/>
      <c r="N35235" s="84"/>
    </row>
    <row r="35236" spans="1:14" s="2" customFormat="1">
      <c r="A35236" s="83"/>
      <c r="H35236" s="83"/>
      <c r="K35236" s="82"/>
      <c r="M35236" s="112"/>
      <c r="N35236" s="84"/>
    </row>
    <row r="35237" spans="1:14" s="2" customFormat="1">
      <c r="A35237" s="83"/>
      <c r="H35237" s="83"/>
      <c r="K35237" s="82"/>
      <c r="M35237" s="112"/>
      <c r="N35237" s="84"/>
    </row>
    <row r="35238" spans="1:14" s="2" customFormat="1">
      <c r="A35238" s="83"/>
      <c r="H35238" s="83"/>
      <c r="K35238" s="82"/>
      <c r="M35238" s="112"/>
      <c r="N35238" s="84"/>
    </row>
    <row r="35239" spans="1:14" s="2" customFormat="1">
      <c r="A35239" s="83"/>
      <c r="H35239" s="83"/>
      <c r="K35239" s="82"/>
      <c r="M35239" s="112"/>
      <c r="N35239" s="84"/>
    </row>
    <row r="35240" spans="1:14" s="2" customFormat="1">
      <c r="A35240" s="83"/>
      <c r="H35240" s="83"/>
      <c r="K35240" s="82"/>
      <c r="M35240" s="112"/>
      <c r="N35240" s="84"/>
    </row>
    <row r="35241" spans="1:14" s="2" customFormat="1">
      <c r="A35241" s="83"/>
      <c r="H35241" s="83"/>
      <c r="K35241" s="82"/>
      <c r="M35241" s="112"/>
      <c r="N35241" s="84"/>
    </row>
    <row r="35242" spans="1:14" s="2" customFormat="1">
      <c r="A35242" s="83"/>
      <c r="H35242" s="83"/>
      <c r="K35242" s="82"/>
      <c r="M35242" s="112"/>
      <c r="N35242" s="84"/>
    </row>
    <row r="35243" spans="1:14" s="2" customFormat="1">
      <c r="A35243" s="83"/>
      <c r="H35243" s="83"/>
      <c r="K35243" s="82"/>
      <c r="M35243" s="112"/>
      <c r="N35243" s="84"/>
    </row>
    <row r="35244" spans="1:14" s="2" customFormat="1">
      <c r="A35244" s="83"/>
      <c r="H35244" s="83"/>
      <c r="K35244" s="82"/>
      <c r="M35244" s="112"/>
      <c r="N35244" s="84"/>
    </row>
    <row r="35245" spans="1:14" s="2" customFormat="1">
      <c r="A35245" s="83"/>
      <c r="H35245" s="83"/>
      <c r="K35245" s="82"/>
      <c r="M35245" s="112"/>
      <c r="N35245" s="84"/>
    </row>
    <row r="35246" spans="1:14" s="2" customFormat="1">
      <c r="A35246" s="83"/>
      <c r="H35246" s="83"/>
      <c r="K35246" s="82"/>
      <c r="M35246" s="112"/>
      <c r="N35246" s="84"/>
    </row>
    <row r="35247" spans="1:14" s="2" customFormat="1">
      <c r="A35247" s="83"/>
      <c r="H35247" s="83"/>
      <c r="K35247" s="82"/>
      <c r="M35247" s="112"/>
      <c r="N35247" s="84"/>
    </row>
    <row r="35248" spans="1:14" s="2" customFormat="1">
      <c r="A35248" s="83"/>
      <c r="H35248" s="83"/>
      <c r="K35248" s="82"/>
      <c r="M35248" s="112"/>
      <c r="N35248" s="84"/>
    </row>
    <row r="35249" spans="1:14" s="2" customFormat="1">
      <c r="A35249" s="83"/>
      <c r="H35249" s="83"/>
      <c r="K35249" s="82"/>
      <c r="M35249" s="112"/>
      <c r="N35249" s="84"/>
    </row>
    <row r="35250" spans="1:14" s="2" customFormat="1">
      <c r="A35250" s="83"/>
      <c r="H35250" s="83"/>
      <c r="K35250" s="82"/>
      <c r="M35250" s="112"/>
      <c r="N35250" s="84"/>
    </row>
    <row r="35251" spans="1:14" s="2" customFormat="1">
      <c r="A35251" s="83"/>
      <c r="H35251" s="83"/>
      <c r="K35251" s="82"/>
      <c r="M35251" s="112"/>
      <c r="N35251" s="84"/>
    </row>
    <row r="35252" spans="1:14" s="2" customFormat="1">
      <c r="A35252" s="83"/>
      <c r="H35252" s="83"/>
      <c r="K35252" s="82"/>
      <c r="M35252" s="112"/>
      <c r="N35252" s="84"/>
    </row>
    <row r="35253" spans="1:14" s="2" customFormat="1">
      <c r="A35253" s="83"/>
      <c r="H35253" s="83"/>
      <c r="K35253" s="82"/>
      <c r="M35253" s="112"/>
      <c r="N35253" s="84"/>
    </row>
    <row r="35254" spans="1:14" s="2" customFormat="1">
      <c r="A35254" s="83"/>
      <c r="H35254" s="83"/>
      <c r="K35254" s="82"/>
      <c r="M35254" s="112"/>
      <c r="N35254" s="84"/>
    </row>
    <row r="35255" spans="1:14" s="2" customFormat="1">
      <c r="A35255" s="83"/>
      <c r="H35255" s="83"/>
      <c r="K35255" s="82"/>
      <c r="M35255" s="112"/>
      <c r="N35255" s="84"/>
    </row>
    <row r="35256" spans="1:14" s="2" customFormat="1">
      <c r="A35256" s="83"/>
      <c r="H35256" s="83"/>
      <c r="K35256" s="82"/>
      <c r="M35256" s="112"/>
      <c r="N35256" s="84"/>
    </row>
    <row r="35257" spans="1:14" s="2" customFormat="1">
      <c r="A35257" s="83"/>
      <c r="H35257" s="83"/>
      <c r="K35257" s="82"/>
      <c r="M35257" s="112"/>
      <c r="N35257" s="84"/>
    </row>
    <row r="35258" spans="1:14" s="2" customFormat="1">
      <c r="A35258" s="83"/>
      <c r="H35258" s="83"/>
      <c r="K35258" s="82"/>
      <c r="M35258" s="112"/>
      <c r="N35258" s="84"/>
    </row>
    <row r="35259" spans="1:14" s="2" customFormat="1">
      <c r="A35259" s="83"/>
      <c r="H35259" s="83"/>
      <c r="K35259" s="82"/>
      <c r="M35259" s="112"/>
      <c r="N35259" s="84"/>
    </row>
    <row r="35260" spans="1:14" s="2" customFormat="1">
      <c r="A35260" s="83"/>
      <c r="H35260" s="83"/>
      <c r="K35260" s="82"/>
      <c r="M35260" s="112"/>
      <c r="N35260" s="84"/>
    </row>
    <row r="35261" spans="1:14" s="2" customFormat="1">
      <c r="A35261" s="83"/>
      <c r="H35261" s="83"/>
      <c r="K35261" s="82"/>
      <c r="M35261" s="112"/>
      <c r="N35261" s="84"/>
    </row>
    <row r="35262" spans="1:14" s="2" customFormat="1">
      <c r="A35262" s="83"/>
      <c r="H35262" s="83"/>
      <c r="K35262" s="82"/>
      <c r="M35262" s="112"/>
      <c r="N35262" s="84"/>
    </row>
    <row r="35263" spans="1:14" s="2" customFormat="1">
      <c r="A35263" s="83"/>
      <c r="H35263" s="83"/>
      <c r="K35263" s="82"/>
      <c r="M35263" s="112"/>
      <c r="N35263" s="84"/>
    </row>
    <row r="35264" spans="1:14" s="2" customFormat="1">
      <c r="A35264" s="83"/>
      <c r="H35264" s="83"/>
      <c r="K35264" s="82"/>
      <c r="M35264" s="112"/>
      <c r="N35264" s="84"/>
    </row>
    <row r="35265" spans="1:14" s="2" customFormat="1">
      <c r="A35265" s="83"/>
      <c r="H35265" s="83"/>
      <c r="K35265" s="82"/>
      <c r="M35265" s="112"/>
      <c r="N35265" s="84"/>
    </row>
    <row r="35266" spans="1:14" s="2" customFormat="1">
      <c r="A35266" s="83"/>
      <c r="H35266" s="83"/>
      <c r="K35266" s="82"/>
      <c r="M35266" s="112"/>
      <c r="N35266" s="84"/>
    </row>
    <row r="35267" spans="1:14" s="2" customFormat="1">
      <c r="A35267" s="83"/>
      <c r="H35267" s="83"/>
      <c r="K35267" s="82"/>
      <c r="M35267" s="112"/>
      <c r="N35267" s="84"/>
    </row>
    <row r="35268" spans="1:14" s="2" customFormat="1">
      <c r="A35268" s="83"/>
      <c r="H35268" s="83"/>
      <c r="K35268" s="82"/>
      <c r="M35268" s="112"/>
      <c r="N35268" s="84"/>
    </row>
    <row r="35269" spans="1:14" s="2" customFormat="1">
      <c r="A35269" s="83"/>
      <c r="H35269" s="83"/>
      <c r="K35269" s="82"/>
      <c r="M35269" s="112"/>
      <c r="N35269" s="84"/>
    </row>
    <row r="35270" spans="1:14" s="2" customFormat="1">
      <c r="A35270" s="83"/>
      <c r="H35270" s="83"/>
      <c r="K35270" s="82"/>
      <c r="M35270" s="112"/>
      <c r="N35270" s="84"/>
    </row>
    <row r="35271" spans="1:14" s="2" customFormat="1">
      <c r="A35271" s="83"/>
      <c r="H35271" s="83"/>
      <c r="K35271" s="82"/>
      <c r="M35271" s="112"/>
      <c r="N35271" s="84"/>
    </row>
    <row r="35272" spans="1:14" s="2" customFormat="1">
      <c r="A35272" s="83"/>
      <c r="H35272" s="83"/>
      <c r="K35272" s="82"/>
      <c r="M35272" s="112"/>
      <c r="N35272" s="84"/>
    </row>
    <row r="35273" spans="1:14" s="2" customFormat="1">
      <c r="A35273" s="83"/>
      <c r="H35273" s="83"/>
      <c r="K35273" s="82"/>
      <c r="M35273" s="112"/>
      <c r="N35273" s="84"/>
    </row>
    <row r="35274" spans="1:14" s="2" customFormat="1">
      <c r="A35274" s="83"/>
      <c r="H35274" s="83"/>
      <c r="K35274" s="82"/>
      <c r="M35274" s="112"/>
      <c r="N35274" s="84"/>
    </row>
    <row r="35275" spans="1:14" s="2" customFormat="1">
      <c r="A35275" s="83"/>
      <c r="H35275" s="83"/>
      <c r="K35275" s="82"/>
      <c r="M35275" s="112"/>
      <c r="N35275" s="84"/>
    </row>
    <row r="35276" spans="1:14" s="2" customFormat="1">
      <c r="A35276" s="83"/>
      <c r="H35276" s="83"/>
      <c r="K35276" s="82"/>
      <c r="M35276" s="112"/>
      <c r="N35276" s="84"/>
    </row>
    <row r="35277" spans="1:14" s="2" customFormat="1">
      <c r="A35277" s="83"/>
      <c r="H35277" s="83"/>
      <c r="K35277" s="82"/>
      <c r="M35277" s="112"/>
      <c r="N35277" s="84"/>
    </row>
    <row r="35278" spans="1:14" s="2" customFormat="1">
      <c r="A35278" s="83"/>
      <c r="H35278" s="83"/>
      <c r="K35278" s="82"/>
      <c r="M35278" s="112"/>
      <c r="N35278" s="84"/>
    </row>
    <row r="35279" spans="1:14" s="2" customFormat="1">
      <c r="A35279" s="83"/>
      <c r="H35279" s="83"/>
      <c r="K35279" s="82"/>
      <c r="M35279" s="112"/>
      <c r="N35279" s="84"/>
    </row>
    <row r="35280" spans="1:14" s="2" customFormat="1">
      <c r="A35280" s="83"/>
      <c r="H35280" s="83"/>
      <c r="K35280" s="82"/>
      <c r="M35280" s="112"/>
      <c r="N35280" s="84"/>
    </row>
    <row r="35281" spans="1:14" s="2" customFormat="1">
      <c r="A35281" s="83"/>
      <c r="H35281" s="83"/>
      <c r="K35281" s="82"/>
      <c r="M35281" s="112"/>
      <c r="N35281" s="84"/>
    </row>
    <row r="35282" spans="1:14" s="2" customFormat="1">
      <c r="A35282" s="83"/>
      <c r="H35282" s="83"/>
      <c r="K35282" s="82"/>
      <c r="M35282" s="112"/>
      <c r="N35282" s="84"/>
    </row>
    <row r="35283" spans="1:14" s="2" customFormat="1">
      <c r="A35283" s="83"/>
      <c r="H35283" s="83"/>
      <c r="K35283" s="82"/>
      <c r="M35283" s="112"/>
      <c r="N35283" s="84"/>
    </row>
    <row r="35284" spans="1:14" s="2" customFormat="1">
      <c r="A35284" s="83"/>
      <c r="H35284" s="83"/>
      <c r="K35284" s="82"/>
      <c r="M35284" s="112"/>
      <c r="N35284" s="84"/>
    </row>
    <row r="35285" spans="1:14" s="2" customFormat="1">
      <c r="A35285" s="83"/>
      <c r="H35285" s="83"/>
      <c r="K35285" s="82"/>
      <c r="M35285" s="112"/>
      <c r="N35285" s="84"/>
    </row>
    <row r="35286" spans="1:14" s="2" customFormat="1">
      <c r="A35286" s="83"/>
      <c r="H35286" s="83"/>
      <c r="K35286" s="82"/>
      <c r="M35286" s="112"/>
      <c r="N35286" s="84"/>
    </row>
    <row r="35287" spans="1:14" s="2" customFormat="1">
      <c r="A35287" s="83"/>
      <c r="H35287" s="83"/>
      <c r="K35287" s="82"/>
      <c r="M35287" s="112"/>
      <c r="N35287" s="84"/>
    </row>
    <row r="35288" spans="1:14" s="2" customFormat="1">
      <c r="A35288" s="83"/>
      <c r="H35288" s="83"/>
      <c r="K35288" s="82"/>
      <c r="M35288" s="112"/>
      <c r="N35288" s="84"/>
    </row>
    <row r="35289" spans="1:14" s="2" customFormat="1">
      <c r="A35289" s="83"/>
      <c r="H35289" s="83"/>
      <c r="K35289" s="82"/>
      <c r="M35289" s="112"/>
      <c r="N35289" s="84"/>
    </row>
    <row r="35290" spans="1:14" s="2" customFormat="1">
      <c r="A35290" s="83"/>
      <c r="H35290" s="83"/>
      <c r="K35290" s="82"/>
      <c r="M35290" s="112"/>
      <c r="N35290" s="84"/>
    </row>
    <row r="35291" spans="1:14" s="2" customFormat="1">
      <c r="A35291" s="83"/>
      <c r="H35291" s="83"/>
      <c r="K35291" s="82"/>
      <c r="M35291" s="112"/>
      <c r="N35291" s="84"/>
    </row>
    <row r="35292" spans="1:14" s="2" customFormat="1">
      <c r="A35292" s="83"/>
      <c r="H35292" s="83"/>
      <c r="K35292" s="82"/>
      <c r="M35292" s="112"/>
      <c r="N35292" s="84"/>
    </row>
    <row r="35293" spans="1:14" s="2" customFormat="1">
      <c r="A35293" s="83"/>
      <c r="H35293" s="83"/>
      <c r="K35293" s="82"/>
      <c r="M35293" s="112"/>
      <c r="N35293" s="84"/>
    </row>
    <row r="35294" spans="1:14" s="2" customFormat="1">
      <c r="A35294" s="83"/>
      <c r="H35294" s="83"/>
      <c r="K35294" s="82"/>
      <c r="M35294" s="112"/>
      <c r="N35294" s="84"/>
    </row>
    <row r="35295" spans="1:14" s="2" customFormat="1">
      <c r="A35295" s="83"/>
      <c r="H35295" s="83"/>
      <c r="K35295" s="82"/>
      <c r="M35295" s="112"/>
      <c r="N35295" s="84"/>
    </row>
    <row r="35296" spans="1:14" s="2" customFormat="1">
      <c r="A35296" s="83"/>
      <c r="H35296" s="83"/>
      <c r="K35296" s="82"/>
      <c r="M35296" s="112"/>
      <c r="N35296" s="84"/>
    </row>
    <row r="35297" spans="1:14" s="2" customFormat="1">
      <c r="A35297" s="83"/>
      <c r="H35297" s="83"/>
      <c r="K35297" s="82"/>
      <c r="M35297" s="112"/>
      <c r="N35297" s="84"/>
    </row>
    <row r="35298" spans="1:14" s="2" customFormat="1">
      <c r="A35298" s="83"/>
      <c r="H35298" s="83"/>
      <c r="K35298" s="82"/>
      <c r="M35298" s="112"/>
      <c r="N35298" s="84"/>
    </row>
    <row r="35299" spans="1:14" s="2" customFormat="1">
      <c r="A35299" s="83"/>
      <c r="H35299" s="83"/>
      <c r="K35299" s="82"/>
      <c r="M35299" s="112"/>
      <c r="N35299" s="84"/>
    </row>
    <row r="35300" spans="1:14" s="2" customFormat="1">
      <c r="A35300" s="83"/>
      <c r="H35300" s="83"/>
      <c r="K35300" s="82"/>
      <c r="M35300" s="112"/>
      <c r="N35300" s="84"/>
    </row>
    <row r="35301" spans="1:14" s="2" customFormat="1">
      <c r="A35301" s="83"/>
      <c r="H35301" s="83"/>
      <c r="K35301" s="82"/>
      <c r="M35301" s="112"/>
      <c r="N35301" s="84"/>
    </row>
    <row r="35302" spans="1:14" s="2" customFormat="1">
      <c r="A35302" s="83"/>
      <c r="H35302" s="83"/>
      <c r="K35302" s="82"/>
      <c r="M35302" s="112"/>
      <c r="N35302" s="84"/>
    </row>
    <row r="35303" spans="1:14" s="2" customFormat="1">
      <c r="A35303" s="83"/>
      <c r="H35303" s="83"/>
      <c r="K35303" s="82"/>
      <c r="M35303" s="112"/>
      <c r="N35303" s="84"/>
    </row>
    <row r="35304" spans="1:14" s="2" customFormat="1">
      <c r="A35304" s="83"/>
      <c r="H35304" s="83"/>
      <c r="K35304" s="82"/>
      <c r="M35304" s="112"/>
      <c r="N35304" s="84"/>
    </row>
    <row r="35305" spans="1:14" s="2" customFormat="1">
      <c r="A35305" s="83"/>
      <c r="H35305" s="83"/>
      <c r="K35305" s="82"/>
      <c r="M35305" s="112"/>
      <c r="N35305" s="84"/>
    </row>
    <row r="35306" spans="1:14" s="2" customFormat="1">
      <c r="A35306" s="83"/>
      <c r="H35306" s="83"/>
      <c r="K35306" s="82"/>
      <c r="M35306" s="112"/>
      <c r="N35306" s="84"/>
    </row>
    <row r="35307" spans="1:14" s="2" customFormat="1">
      <c r="A35307" s="83"/>
      <c r="H35307" s="83"/>
      <c r="K35307" s="82"/>
      <c r="M35307" s="112"/>
      <c r="N35307" s="84"/>
    </row>
    <row r="35308" spans="1:14" s="2" customFormat="1">
      <c r="A35308" s="83"/>
      <c r="H35308" s="83"/>
      <c r="K35308" s="82"/>
      <c r="M35308" s="112"/>
      <c r="N35308" s="84"/>
    </row>
    <row r="35309" spans="1:14" s="2" customFormat="1">
      <c r="A35309" s="83"/>
      <c r="H35309" s="83"/>
      <c r="K35309" s="82"/>
      <c r="M35309" s="112"/>
      <c r="N35309" s="84"/>
    </row>
    <row r="35310" spans="1:14" s="2" customFormat="1">
      <c r="A35310" s="83"/>
      <c r="H35310" s="83"/>
      <c r="K35310" s="82"/>
      <c r="M35310" s="112"/>
      <c r="N35310" s="84"/>
    </row>
    <row r="35311" spans="1:14" s="2" customFormat="1">
      <c r="A35311" s="83"/>
      <c r="H35311" s="83"/>
      <c r="K35311" s="82"/>
      <c r="M35311" s="112"/>
      <c r="N35311" s="84"/>
    </row>
    <row r="35312" spans="1:14" s="2" customFormat="1">
      <c r="A35312" s="83"/>
      <c r="H35312" s="83"/>
      <c r="K35312" s="82"/>
      <c r="M35312" s="112"/>
      <c r="N35312" s="84"/>
    </row>
    <row r="35313" spans="1:14" s="2" customFormat="1">
      <c r="A35313" s="83"/>
      <c r="H35313" s="83"/>
      <c r="K35313" s="82"/>
      <c r="M35313" s="112"/>
      <c r="N35313" s="84"/>
    </row>
    <row r="35314" spans="1:14" s="2" customFormat="1">
      <c r="A35314" s="83"/>
      <c r="H35314" s="83"/>
      <c r="K35314" s="82"/>
      <c r="M35314" s="112"/>
      <c r="N35314" s="84"/>
    </row>
    <row r="35315" spans="1:14" s="2" customFormat="1">
      <c r="A35315" s="83"/>
      <c r="H35315" s="83"/>
      <c r="K35315" s="82"/>
      <c r="M35315" s="112"/>
      <c r="N35315" s="84"/>
    </row>
    <row r="35316" spans="1:14" s="2" customFormat="1">
      <c r="A35316" s="83"/>
      <c r="H35316" s="83"/>
      <c r="K35316" s="82"/>
      <c r="M35316" s="112"/>
      <c r="N35316" s="84"/>
    </row>
    <row r="35317" spans="1:14" s="2" customFormat="1">
      <c r="A35317" s="83"/>
      <c r="H35317" s="83"/>
      <c r="K35317" s="82"/>
      <c r="M35317" s="112"/>
      <c r="N35317" s="84"/>
    </row>
    <row r="35318" spans="1:14" s="2" customFormat="1">
      <c r="A35318" s="83"/>
      <c r="H35318" s="83"/>
      <c r="K35318" s="82"/>
      <c r="M35318" s="112"/>
      <c r="N35318" s="84"/>
    </row>
    <row r="35319" spans="1:14" s="2" customFormat="1">
      <c r="A35319" s="83"/>
      <c r="H35319" s="83"/>
      <c r="K35319" s="82"/>
      <c r="M35319" s="112"/>
      <c r="N35319" s="84"/>
    </row>
    <row r="35320" spans="1:14" s="2" customFormat="1">
      <c r="A35320" s="83"/>
      <c r="H35320" s="83"/>
      <c r="K35320" s="82"/>
      <c r="M35320" s="112"/>
      <c r="N35320" s="84"/>
    </row>
    <row r="35321" spans="1:14" s="2" customFormat="1">
      <c r="A35321" s="83"/>
      <c r="H35321" s="83"/>
      <c r="K35321" s="82"/>
      <c r="M35321" s="112"/>
      <c r="N35321" s="84"/>
    </row>
    <row r="35322" spans="1:14" s="2" customFormat="1">
      <c r="A35322" s="83"/>
      <c r="H35322" s="83"/>
      <c r="K35322" s="82"/>
      <c r="M35322" s="112"/>
      <c r="N35322" s="84"/>
    </row>
    <row r="35323" spans="1:14" s="2" customFormat="1">
      <c r="A35323" s="83"/>
      <c r="H35323" s="83"/>
      <c r="K35323" s="82"/>
      <c r="M35323" s="112"/>
      <c r="N35323" s="84"/>
    </row>
    <row r="35324" spans="1:14" s="2" customFormat="1">
      <c r="A35324" s="83"/>
      <c r="H35324" s="83"/>
      <c r="K35324" s="82"/>
      <c r="M35324" s="112"/>
      <c r="N35324" s="84"/>
    </row>
    <row r="35325" spans="1:14" s="2" customFormat="1">
      <c r="A35325" s="83"/>
      <c r="H35325" s="83"/>
      <c r="K35325" s="82"/>
      <c r="M35325" s="112"/>
      <c r="N35325" s="84"/>
    </row>
    <row r="35326" spans="1:14" s="2" customFormat="1">
      <c r="A35326" s="83"/>
      <c r="H35326" s="83"/>
      <c r="K35326" s="82"/>
      <c r="M35326" s="112"/>
      <c r="N35326" s="84"/>
    </row>
    <row r="35327" spans="1:14" s="2" customFormat="1">
      <c r="A35327" s="83"/>
      <c r="H35327" s="83"/>
      <c r="K35327" s="82"/>
      <c r="M35327" s="112"/>
      <c r="N35327" s="84"/>
    </row>
    <row r="35328" spans="1:14" s="2" customFormat="1">
      <c r="A35328" s="83"/>
      <c r="H35328" s="83"/>
      <c r="K35328" s="82"/>
      <c r="M35328" s="112"/>
      <c r="N35328" s="84"/>
    </row>
    <row r="35329" spans="1:14" s="2" customFormat="1">
      <c r="A35329" s="83"/>
      <c r="H35329" s="83"/>
      <c r="K35329" s="82"/>
      <c r="M35329" s="112"/>
      <c r="N35329" s="84"/>
    </row>
    <row r="35330" spans="1:14" s="2" customFormat="1">
      <c r="A35330" s="83"/>
      <c r="H35330" s="83"/>
      <c r="K35330" s="82"/>
      <c r="M35330" s="112"/>
      <c r="N35330" s="84"/>
    </row>
    <row r="35331" spans="1:14" s="2" customFormat="1">
      <c r="A35331" s="83"/>
      <c r="H35331" s="83"/>
      <c r="K35331" s="82"/>
      <c r="M35331" s="112"/>
      <c r="N35331" s="84"/>
    </row>
    <row r="35332" spans="1:14" s="2" customFormat="1">
      <c r="A35332" s="83"/>
      <c r="H35332" s="83"/>
      <c r="K35332" s="82"/>
      <c r="M35332" s="112"/>
      <c r="N35332" s="84"/>
    </row>
    <row r="35333" spans="1:14" s="2" customFormat="1">
      <c r="A35333" s="83"/>
      <c r="H35333" s="83"/>
      <c r="K35333" s="82"/>
      <c r="M35333" s="112"/>
      <c r="N35333" s="84"/>
    </row>
    <row r="35334" spans="1:14" s="2" customFormat="1">
      <c r="A35334" s="83"/>
      <c r="H35334" s="83"/>
      <c r="K35334" s="82"/>
      <c r="M35334" s="112"/>
      <c r="N35334" s="84"/>
    </row>
    <row r="35335" spans="1:14" s="2" customFormat="1">
      <c r="A35335" s="83"/>
      <c r="H35335" s="83"/>
      <c r="K35335" s="82"/>
      <c r="M35335" s="112"/>
      <c r="N35335" s="84"/>
    </row>
    <row r="35336" spans="1:14" s="2" customFormat="1">
      <c r="A35336" s="83"/>
      <c r="H35336" s="83"/>
      <c r="K35336" s="82"/>
      <c r="M35336" s="112"/>
      <c r="N35336" s="84"/>
    </row>
    <row r="35337" spans="1:14" s="2" customFormat="1">
      <c r="A35337" s="83"/>
      <c r="H35337" s="83"/>
      <c r="K35337" s="82"/>
      <c r="M35337" s="112"/>
      <c r="N35337" s="84"/>
    </row>
    <row r="35338" spans="1:14" s="2" customFormat="1">
      <c r="A35338" s="83"/>
      <c r="H35338" s="83"/>
      <c r="K35338" s="82"/>
      <c r="M35338" s="112"/>
      <c r="N35338" s="84"/>
    </row>
    <row r="35339" spans="1:14" s="2" customFormat="1">
      <c r="A35339" s="83"/>
      <c r="H35339" s="83"/>
      <c r="K35339" s="82"/>
      <c r="M35339" s="112"/>
      <c r="N35339" s="84"/>
    </row>
    <row r="35340" spans="1:14" s="2" customFormat="1">
      <c r="A35340" s="83"/>
      <c r="H35340" s="83"/>
      <c r="K35340" s="82"/>
      <c r="M35340" s="112"/>
      <c r="N35340" s="84"/>
    </row>
    <row r="35341" spans="1:14" s="2" customFormat="1">
      <c r="A35341" s="83"/>
      <c r="H35341" s="83"/>
      <c r="K35341" s="82"/>
      <c r="M35341" s="112"/>
      <c r="N35341" s="84"/>
    </row>
    <row r="35342" spans="1:14" s="2" customFormat="1">
      <c r="A35342" s="83"/>
      <c r="H35342" s="83"/>
      <c r="K35342" s="82"/>
      <c r="M35342" s="112"/>
      <c r="N35342" s="84"/>
    </row>
    <row r="35343" spans="1:14" s="2" customFormat="1">
      <c r="A35343" s="83"/>
      <c r="H35343" s="83"/>
      <c r="K35343" s="82"/>
      <c r="M35343" s="112"/>
      <c r="N35343" s="84"/>
    </row>
    <row r="35344" spans="1:14" s="2" customFormat="1">
      <c r="A35344" s="83"/>
      <c r="H35344" s="83"/>
      <c r="K35344" s="82"/>
      <c r="M35344" s="112"/>
      <c r="N35344" s="84"/>
    </row>
    <row r="35345" spans="1:14" s="2" customFormat="1">
      <c r="A35345" s="83"/>
      <c r="H35345" s="83"/>
      <c r="K35345" s="82"/>
      <c r="M35345" s="112"/>
      <c r="N35345" s="84"/>
    </row>
    <row r="35346" spans="1:14" s="2" customFormat="1">
      <c r="A35346" s="83"/>
      <c r="H35346" s="83"/>
      <c r="K35346" s="82"/>
      <c r="M35346" s="112"/>
      <c r="N35346" s="84"/>
    </row>
    <row r="35347" spans="1:14" s="2" customFormat="1">
      <c r="A35347" s="83"/>
      <c r="H35347" s="83"/>
      <c r="K35347" s="82"/>
      <c r="M35347" s="112"/>
      <c r="N35347" s="84"/>
    </row>
    <row r="35348" spans="1:14" s="2" customFormat="1">
      <c r="A35348" s="83"/>
      <c r="H35348" s="83"/>
      <c r="K35348" s="82"/>
      <c r="M35348" s="112"/>
      <c r="N35348" s="84"/>
    </row>
    <row r="35349" spans="1:14" s="2" customFormat="1">
      <c r="A35349" s="83"/>
      <c r="H35349" s="83"/>
      <c r="K35349" s="82"/>
      <c r="M35349" s="112"/>
      <c r="N35349" s="84"/>
    </row>
    <row r="35350" spans="1:14" s="2" customFormat="1">
      <c r="A35350" s="83"/>
      <c r="H35350" s="83"/>
      <c r="K35350" s="82"/>
      <c r="M35350" s="112"/>
      <c r="N35350" s="84"/>
    </row>
    <row r="35351" spans="1:14" s="2" customFormat="1">
      <c r="A35351" s="83"/>
      <c r="H35351" s="83"/>
      <c r="K35351" s="82"/>
      <c r="M35351" s="112"/>
      <c r="N35351" s="84"/>
    </row>
    <row r="35352" spans="1:14" s="2" customFormat="1">
      <c r="A35352" s="83"/>
      <c r="H35352" s="83"/>
      <c r="K35352" s="82"/>
      <c r="M35352" s="112"/>
      <c r="N35352" s="84"/>
    </row>
    <row r="35353" spans="1:14" s="2" customFormat="1">
      <c r="A35353" s="83"/>
      <c r="H35353" s="83"/>
      <c r="K35353" s="82"/>
      <c r="M35353" s="112"/>
      <c r="N35353" s="84"/>
    </row>
    <row r="35354" spans="1:14" s="2" customFormat="1">
      <c r="A35354" s="83"/>
      <c r="H35354" s="83"/>
      <c r="K35354" s="82"/>
      <c r="M35354" s="112"/>
      <c r="N35354" s="84"/>
    </row>
    <row r="35355" spans="1:14" s="2" customFormat="1">
      <c r="A35355" s="83"/>
      <c r="H35355" s="83"/>
      <c r="K35355" s="82"/>
      <c r="M35355" s="112"/>
      <c r="N35355" s="84"/>
    </row>
    <row r="35356" spans="1:14" s="2" customFormat="1">
      <c r="A35356" s="83"/>
      <c r="H35356" s="83"/>
      <c r="K35356" s="82"/>
      <c r="M35356" s="112"/>
      <c r="N35356" s="84"/>
    </row>
    <row r="35357" spans="1:14" s="2" customFormat="1">
      <c r="A35357" s="83"/>
      <c r="H35357" s="83"/>
      <c r="K35357" s="82"/>
      <c r="M35357" s="112"/>
      <c r="N35357" s="84"/>
    </row>
    <row r="35358" spans="1:14" s="2" customFormat="1">
      <c r="A35358" s="83"/>
      <c r="H35358" s="83"/>
      <c r="K35358" s="82"/>
      <c r="M35358" s="112"/>
      <c r="N35358" s="84"/>
    </row>
    <row r="35359" spans="1:14" s="2" customFormat="1">
      <c r="A35359" s="83"/>
      <c r="H35359" s="83"/>
      <c r="K35359" s="82"/>
      <c r="M35359" s="112"/>
      <c r="N35359" s="84"/>
    </row>
    <row r="35360" spans="1:14" s="2" customFormat="1">
      <c r="A35360" s="83"/>
      <c r="H35360" s="83"/>
      <c r="K35360" s="82"/>
      <c r="M35360" s="112"/>
      <c r="N35360" s="84"/>
    </row>
    <row r="35361" spans="1:14" s="2" customFormat="1">
      <c r="A35361" s="83"/>
      <c r="H35361" s="83"/>
      <c r="K35361" s="82"/>
      <c r="M35361" s="112"/>
      <c r="N35361" s="84"/>
    </row>
    <row r="35362" spans="1:14" s="2" customFormat="1">
      <c r="A35362" s="83"/>
      <c r="H35362" s="83"/>
      <c r="K35362" s="82"/>
      <c r="M35362" s="112"/>
      <c r="N35362" s="84"/>
    </row>
    <row r="35363" spans="1:14" s="2" customFormat="1">
      <c r="A35363" s="83"/>
      <c r="H35363" s="83"/>
      <c r="K35363" s="82"/>
      <c r="M35363" s="112"/>
      <c r="N35363" s="84"/>
    </row>
    <row r="35364" spans="1:14" s="2" customFormat="1">
      <c r="A35364" s="83"/>
      <c r="H35364" s="83"/>
      <c r="K35364" s="82"/>
      <c r="M35364" s="112"/>
      <c r="N35364" s="84"/>
    </row>
    <row r="35365" spans="1:14" s="2" customFormat="1">
      <c r="A35365" s="83"/>
      <c r="H35365" s="83"/>
      <c r="K35365" s="82"/>
      <c r="M35365" s="112"/>
      <c r="N35365" s="84"/>
    </row>
    <row r="35366" spans="1:14" s="2" customFormat="1">
      <c r="A35366" s="83"/>
      <c r="H35366" s="83"/>
      <c r="K35366" s="82"/>
      <c r="M35366" s="112"/>
      <c r="N35366" s="84"/>
    </row>
    <row r="35367" spans="1:14" s="2" customFormat="1">
      <c r="A35367" s="83"/>
      <c r="H35367" s="83"/>
      <c r="K35367" s="82"/>
      <c r="M35367" s="112"/>
      <c r="N35367" s="84"/>
    </row>
    <row r="35368" spans="1:14" s="2" customFormat="1">
      <c r="A35368" s="83"/>
      <c r="H35368" s="83"/>
      <c r="K35368" s="82"/>
      <c r="M35368" s="112"/>
      <c r="N35368" s="84"/>
    </row>
    <row r="35369" spans="1:14" s="2" customFormat="1">
      <c r="A35369" s="83"/>
      <c r="H35369" s="83"/>
      <c r="K35369" s="82"/>
      <c r="M35369" s="112"/>
      <c r="N35369" s="84"/>
    </row>
    <row r="35370" spans="1:14" s="2" customFormat="1">
      <c r="A35370" s="83"/>
      <c r="H35370" s="83"/>
      <c r="K35370" s="82"/>
      <c r="M35370" s="112"/>
      <c r="N35370" s="84"/>
    </row>
    <row r="35371" spans="1:14" s="2" customFormat="1">
      <c r="A35371" s="83"/>
      <c r="H35371" s="83"/>
      <c r="K35371" s="82"/>
      <c r="M35371" s="112"/>
      <c r="N35371" s="84"/>
    </row>
    <row r="35372" spans="1:14" s="2" customFormat="1">
      <c r="A35372" s="83"/>
      <c r="H35372" s="83"/>
      <c r="K35372" s="82"/>
      <c r="M35372" s="112"/>
      <c r="N35372" s="84"/>
    </row>
    <row r="35373" spans="1:14" s="2" customFormat="1">
      <c r="A35373" s="83"/>
      <c r="H35373" s="83"/>
      <c r="K35373" s="82"/>
      <c r="M35373" s="112"/>
      <c r="N35373" s="84"/>
    </row>
    <row r="35374" spans="1:14" s="2" customFormat="1">
      <c r="A35374" s="83"/>
      <c r="H35374" s="83"/>
      <c r="K35374" s="82"/>
      <c r="M35374" s="112"/>
      <c r="N35374" s="84"/>
    </row>
    <row r="35375" spans="1:14" s="2" customFormat="1">
      <c r="A35375" s="83"/>
      <c r="H35375" s="83"/>
      <c r="K35375" s="82"/>
      <c r="M35375" s="112"/>
      <c r="N35375" s="84"/>
    </row>
    <row r="35376" spans="1:14" s="2" customFormat="1">
      <c r="A35376" s="83"/>
      <c r="H35376" s="83"/>
      <c r="K35376" s="82"/>
      <c r="M35376" s="112"/>
      <c r="N35376" s="84"/>
    </row>
    <row r="35377" spans="1:14" s="2" customFormat="1">
      <c r="A35377" s="83"/>
      <c r="H35377" s="83"/>
      <c r="K35377" s="82"/>
      <c r="M35377" s="112"/>
      <c r="N35377" s="84"/>
    </row>
    <row r="35378" spans="1:14" s="2" customFormat="1">
      <c r="A35378" s="83"/>
      <c r="H35378" s="83"/>
      <c r="K35378" s="82"/>
      <c r="M35378" s="112"/>
      <c r="N35378" s="84"/>
    </row>
    <row r="35379" spans="1:14" s="2" customFormat="1">
      <c r="A35379" s="83"/>
      <c r="H35379" s="83"/>
      <c r="K35379" s="82"/>
      <c r="M35379" s="112"/>
      <c r="N35379" s="84"/>
    </row>
    <row r="35380" spans="1:14" s="2" customFormat="1">
      <c r="A35380" s="83"/>
      <c r="H35380" s="83"/>
      <c r="K35380" s="82"/>
      <c r="M35380" s="112"/>
      <c r="N35380" s="84"/>
    </row>
    <row r="35381" spans="1:14" s="2" customFormat="1">
      <c r="A35381" s="83"/>
      <c r="H35381" s="83"/>
      <c r="K35381" s="82"/>
      <c r="M35381" s="112"/>
      <c r="N35381" s="84"/>
    </row>
    <row r="35382" spans="1:14" s="2" customFormat="1">
      <c r="A35382" s="83"/>
      <c r="H35382" s="83"/>
      <c r="K35382" s="82"/>
      <c r="M35382" s="112"/>
      <c r="N35382" s="84"/>
    </row>
    <row r="35383" spans="1:14" s="2" customFormat="1">
      <c r="A35383" s="83"/>
      <c r="H35383" s="83"/>
      <c r="K35383" s="82"/>
      <c r="M35383" s="112"/>
      <c r="N35383" s="84"/>
    </row>
    <row r="35384" spans="1:14" s="2" customFormat="1">
      <c r="A35384" s="83"/>
      <c r="H35384" s="83"/>
      <c r="K35384" s="82"/>
      <c r="M35384" s="112"/>
      <c r="N35384" s="84"/>
    </row>
    <row r="35385" spans="1:14" s="2" customFormat="1">
      <c r="A35385" s="83"/>
      <c r="H35385" s="83"/>
      <c r="K35385" s="82"/>
      <c r="M35385" s="112"/>
      <c r="N35385" s="84"/>
    </row>
    <row r="35386" spans="1:14" s="2" customFormat="1">
      <c r="A35386" s="83"/>
      <c r="H35386" s="83"/>
      <c r="K35386" s="82"/>
      <c r="M35386" s="112"/>
      <c r="N35386" s="84"/>
    </row>
    <row r="35387" spans="1:14" s="2" customFormat="1">
      <c r="A35387" s="83"/>
      <c r="H35387" s="83"/>
      <c r="K35387" s="82"/>
      <c r="M35387" s="112"/>
      <c r="N35387" s="84"/>
    </row>
    <row r="35388" spans="1:14" s="2" customFormat="1">
      <c r="A35388" s="83"/>
      <c r="H35388" s="83"/>
      <c r="K35388" s="82"/>
      <c r="M35388" s="112"/>
      <c r="N35388" s="84"/>
    </row>
    <row r="35389" spans="1:14" s="2" customFormat="1">
      <c r="A35389" s="83"/>
      <c r="H35389" s="83"/>
      <c r="K35389" s="82"/>
      <c r="M35389" s="112"/>
      <c r="N35389" s="84"/>
    </row>
    <row r="35390" spans="1:14" s="2" customFormat="1">
      <c r="A35390" s="83"/>
      <c r="H35390" s="83"/>
      <c r="K35390" s="82"/>
      <c r="M35390" s="112"/>
      <c r="N35390" s="84"/>
    </row>
    <row r="35391" spans="1:14" s="2" customFormat="1">
      <c r="A35391" s="83"/>
      <c r="H35391" s="83"/>
      <c r="K35391" s="82"/>
      <c r="M35391" s="112"/>
      <c r="N35391" s="84"/>
    </row>
    <row r="35392" spans="1:14" s="2" customFormat="1">
      <c r="A35392" s="83"/>
      <c r="H35392" s="83"/>
      <c r="K35392" s="82"/>
      <c r="M35392" s="112"/>
      <c r="N35392" s="84"/>
    </row>
    <row r="35393" spans="1:14" s="2" customFormat="1">
      <c r="A35393" s="83"/>
      <c r="H35393" s="83"/>
      <c r="K35393" s="82"/>
      <c r="M35393" s="112"/>
      <c r="N35393" s="84"/>
    </row>
    <row r="35394" spans="1:14" s="2" customFormat="1">
      <c r="A35394" s="83"/>
      <c r="H35394" s="83"/>
      <c r="K35394" s="82"/>
      <c r="M35394" s="112"/>
      <c r="N35394" s="84"/>
    </row>
    <row r="35395" spans="1:14" s="2" customFormat="1">
      <c r="A35395" s="83"/>
      <c r="H35395" s="83"/>
      <c r="K35395" s="82"/>
      <c r="M35395" s="112"/>
      <c r="N35395" s="84"/>
    </row>
    <row r="35396" spans="1:14" s="2" customFormat="1">
      <c r="A35396" s="83"/>
      <c r="H35396" s="83"/>
      <c r="K35396" s="82"/>
      <c r="M35396" s="112"/>
      <c r="N35396" s="84"/>
    </row>
    <row r="35397" spans="1:14" s="2" customFormat="1">
      <c r="A35397" s="83"/>
      <c r="H35397" s="83"/>
      <c r="K35397" s="82"/>
      <c r="M35397" s="112"/>
      <c r="N35397" s="84"/>
    </row>
    <row r="35398" spans="1:14" s="2" customFormat="1">
      <c r="A35398" s="83"/>
      <c r="H35398" s="83"/>
      <c r="K35398" s="82"/>
      <c r="M35398" s="112"/>
      <c r="N35398" s="84"/>
    </row>
    <row r="35399" spans="1:14" s="2" customFormat="1">
      <c r="A35399" s="83"/>
      <c r="H35399" s="83"/>
      <c r="K35399" s="82"/>
      <c r="M35399" s="112"/>
      <c r="N35399" s="84"/>
    </row>
    <row r="35400" spans="1:14" s="2" customFormat="1">
      <c r="A35400" s="83"/>
      <c r="H35400" s="83"/>
      <c r="K35400" s="82"/>
      <c r="M35400" s="112"/>
      <c r="N35400" s="84"/>
    </row>
    <row r="35401" spans="1:14" s="2" customFormat="1">
      <c r="A35401" s="83"/>
      <c r="H35401" s="83"/>
      <c r="K35401" s="82"/>
      <c r="M35401" s="112"/>
      <c r="N35401" s="84"/>
    </row>
    <row r="35402" spans="1:14" s="2" customFormat="1">
      <c r="A35402" s="83"/>
      <c r="H35402" s="83"/>
      <c r="K35402" s="82"/>
      <c r="M35402" s="112"/>
      <c r="N35402" s="84"/>
    </row>
    <row r="35403" spans="1:14" s="2" customFormat="1">
      <c r="A35403" s="83"/>
      <c r="H35403" s="83"/>
      <c r="K35403" s="82"/>
      <c r="M35403" s="112"/>
      <c r="N35403" s="84"/>
    </row>
    <row r="35404" spans="1:14" s="2" customFormat="1">
      <c r="A35404" s="83"/>
      <c r="H35404" s="83"/>
      <c r="K35404" s="82"/>
      <c r="M35404" s="112"/>
      <c r="N35404" s="84"/>
    </row>
    <row r="35405" spans="1:14" s="2" customFormat="1">
      <c r="A35405" s="83"/>
      <c r="H35405" s="83"/>
      <c r="K35405" s="82"/>
      <c r="M35405" s="112"/>
      <c r="N35405" s="84"/>
    </row>
    <row r="35406" spans="1:14" s="2" customFormat="1">
      <c r="A35406" s="83"/>
      <c r="H35406" s="83"/>
      <c r="K35406" s="82"/>
      <c r="M35406" s="112"/>
      <c r="N35406" s="84"/>
    </row>
    <row r="35407" spans="1:14" s="2" customFormat="1">
      <c r="A35407" s="83"/>
      <c r="H35407" s="83"/>
      <c r="K35407" s="82"/>
      <c r="M35407" s="112"/>
      <c r="N35407" s="84"/>
    </row>
    <row r="35408" spans="1:14" s="2" customFormat="1">
      <c r="A35408" s="83"/>
      <c r="H35408" s="83"/>
      <c r="K35408" s="82"/>
      <c r="M35408" s="112"/>
      <c r="N35408" s="84"/>
    </row>
    <row r="35409" spans="1:14" s="2" customFormat="1">
      <c r="A35409" s="83"/>
      <c r="H35409" s="83"/>
      <c r="K35409" s="82"/>
      <c r="M35409" s="112"/>
      <c r="N35409" s="84"/>
    </row>
    <row r="35410" spans="1:14" s="2" customFormat="1">
      <c r="A35410" s="83"/>
      <c r="H35410" s="83"/>
      <c r="K35410" s="82"/>
      <c r="M35410" s="112"/>
      <c r="N35410" s="84"/>
    </row>
    <row r="35411" spans="1:14" s="2" customFormat="1">
      <c r="A35411" s="83"/>
      <c r="H35411" s="83"/>
      <c r="K35411" s="82"/>
      <c r="M35411" s="112"/>
      <c r="N35411" s="84"/>
    </row>
    <row r="35412" spans="1:14" s="2" customFormat="1">
      <c r="A35412" s="83"/>
      <c r="H35412" s="83"/>
      <c r="K35412" s="82"/>
      <c r="M35412" s="112"/>
      <c r="N35412" s="84"/>
    </row>
    <row r="35413" spans="1:14" s="2" customFormat="1">
      <c r="A35413" s="83"/>
      <c r="H35413" s="83"/>
      <c r="K35413" s="82"/>
      <c r="M35413" s="112"/>
      <c r="N35413" s="84"/>
    </row>
    <row r="35414" spans="1:14" s="2" customFormat="1">
      <c r="A35414" s="83"/>
      <c r="H35414" s="83"/>
      <c r="K35414" s="82"/>
      <c r="M35414" s="112"/>
      <c r="N35414" s="84"/>
    </row>
    <row r="35415" spans="1:14" s="2" customFormat="1">
      <c r="A35415" s="83"/>
      <c r="H35415" s="83"/>
      <c r="K35415" s="82"/>
      <c r="M35415" s="112"/>
      <c r="N35415" s="84"/>
    </row>
    <row r="35416" spans="1:14" s="2" customFormat="1">
      <c r="A35416" s="83"/>
      <c r="H35416" s="83"/>
      <c r="K35416" s="82"/>
      <c r="M35416" s="112"/>
      <c r="N35416" s="84"/>
    </row>
    <row r="35417" spans="1:14" s="2" customFormat="1">
      <c r="A35417" s="83"/>
      <c r="H35417" s="83"/>
      <c r="K35417" s="82"/>
      <c r="M35417" s="112"/>
      <c r="N35417" s="84"/>
    </row>
    <row r="35418" spans="1:14" s="2" customFormat="1">
      <c r="A35418" s="83"/>
      <c r="H35418" s="83"/>
      <c r="K35418" s="82"/>
      <c r="M35418" s="112"/>
      <c r="N35418" s="84"/>
    </row>
    <row r="35419" spans="1:14" s="2" customFormat="1">
      <c r="A35419" s="83"/>
      <c r="H35419" s="83"/>
      <c r="K35419" s="82"/>
      <c r="M35419" s="112"/>
      <c r="N35419" s="84"/>
    </row>
    <row r="35420" spans="1:14" s="2" customFormat="1">
      <c r="A35420" s="83"/>
      <c r="H35420" s="83"/>
      <c r="K35420" s="82"/>
      <c r="M35420" s="112"/>
      <c r="N35420" s="84"/>
    </row>
    <row r="35421" spans="1:14" s="2" customFormat="1">
      <c r="A35421" s="83"/>
      <c r="H35421" s="83"/>
      <c r="K35421" s="82"/>
      <c r="M35421" s="112"/>
      <c r="N35421" s="84"/>
    </row>
    <row r="35422" spans="1:14" s="2" customFormat="1">
      <c r="A35422" s="83"/>
      <c r="H35422" s="83"/>
      <c r="K35422" s="82"/>
      <c r="M35422" s="112"/>
      <c r="N35422" s="84"/>
    </row>
    <row r="35423" spans="1:14" s="2" customFormat="1">
      <c r="A35423" s="83"/>
      <c r="H35423" s="83"/>
      <c r="K35423" s="82"/>
      <c r="M35423" s="112"/>
      <c r="N35423" s="84"/>
    </row>
    <row r="35424" spans="1:14" s="2" customFormat="1">
      <c r="A35424" s="83"/>
      <c r="H35424" s="83"/>
      <c r="K35424" s="82"/>
      <c r="M35424" s="112"/>
      <c r="N35424" s="84"/>
    </row>
    <row r="35425" spans="1:14" s="2" customFormat="1">
      <c r="A35425" s="83"/>
      <c r="H35425" s="83"/>
      <c r="K35425" s="82"/>
      <c r="M35425" s="112"/>
      <c r="N35425" s="84"/>
    </row>
    <row r="35426" spans="1:14" s="2" customFormat="1">
      <c r="A35426" s="83"/>
      <c r="H35426" s="83"/>
      <c r="K35426" s="82"/>
      <c r="M35426" s="112"/>
      <c r="N35426" s="84"/>
    </row>
    <row r="35427" spans="1:14" s="2" customFormat="1">
      <c r="A35427" s="83"/>
      <c r="H35427" s="83"/>
      <c r="K35427" s="82"/>
      <c r="M35427" s="112"/>
      <c r="N35427" s="84"/>
    </row>
    <row r="35428" spans="1:14" s="2" customFormat="1">
      <c r="A35428" s="83"/>
      <c r="H35428" s="83"/>
      <c r="K35428" s="82"/>
      <c r="M35428" s="112"/>
      <c r="N35428" s="84"/>
    </row>
    <row r="35429" spans="1:14" s="2" customFormat="1">
      <c r="A35429" s="83"/>
      <c r="H35429" s="83"/>
      <c r="K35429" s="82"/>
      <c r="M35429" s="112"/>
      <c r="N35429" s="84"/>
    </row>
    <row r="35430" spans="1:14" s="2" customFormat="1">
      <c r="A35430" s="83"/>
      <c r="H35430" s="83"/>
      <c r="K35430" s="82"/>
      <c r="M35430" s="112"/>
      <c r="N35430" s="84"/>
    </row>
    <row r="35431" spans="1:14" s="2" customFormat="1">
      <c r="A35431" s="83"/>
      <c r="H35431" s="83"/>
      <c r="K35431" s="82"/>
      <c r="M35431" s="112"/>
      <c r="N35431" s="84"/>
    </row>
    <row r="35432" spans="1:14" s="2" customFormat="1">
      <c r="A35432" s="83"/>
      <c r="H35432" s="83"/>
      <c r="K35432" s="82"/>
      <c r="M35432" s="112"/>
      <c r="N35432" s="84"/>
    </row>
    <row r="35433" spans="1:14" s="2" customFormat="1">
      <c r="A35433" s="83"/>
      <c r="H35433" s="83"/>
      <c r="K35433" s="82"/>
      <c r="M35433" s="112"/>
      <c r="N35433" s="84"/>
    </row>
    <row r="35434" spans="1:14" s="2" customFormat="1">
      <c r="A35434" s="83"/>
      <c r="H35434" s="83"/>
      <c r="K35434" s="82"/>
      <c r="M35434" s="112"/>
      <c r="N35434" s="84"/>
    </row>
    <row r="35435" spans="1:14" s="2" customFormat="1">
      <c r="A35435" s="83"/>
      <c r="H35435" s="83"/>
      <c r="K35435" s="82"/>
      <c r="M35435" s="112"/>
      <c r="N35435" s="84"/>
    </row>
    <row r="35436" spans="1:14" s="2" customFormat="1">
      <c r="A35436" s="83"/>
      <c r="H35436" s="83"/>
      <c r="K35436" s="82"/>
      <c r="M35436" s="112"/>
      <c r="N35436" s="84"/>
    </row>
    <row r="35437" spans="1:14" s="2" customFormat="1">
      <c r="A35437" s="83"/>
      <c r="H35437" s="83"/>
      <c r="K35437" s="82"/>
      <c r="M35437" s="112"/>
      <c r="N35437" s="84"/>
    </row>
    <row r="35438" spans="1:14" s="2" customFormat="1">
      <c r="A35438" s="83"/>
      <c r="H35438" s="83"/>
      <c r="K35438" s="82"/>
      <c r="M35438" s="112"/>
      <c r="N35438" s="84"/>
    </row>
    <row r="35439" spans="1:14" s="2" customFormat="1">
      <c r="A35439" s="83"/>
      <c r="H35439" s="83"/>
      <c r="K35439" s="82"/>
      <c r="M35439" s="112"/>
      <c r="N35439" s="84"/>
    </row>
    <row r="35440" spans="1:14" s="2" customFormat="1">
      <c r="A35440" s="83"/>
      <c r="H35440" s="83"/>
      <c r="K35440" s="82"/>
      <c r="M35440" s="112"/>
      <c r="N35440" s="84"/>
    </row>
    <row r="35441" spans="1:14" s="2" customFormat="1">
      <c r="A35441" s="83"/>
      <c r="H35441" s="83"/>
      <c r="K35441" s="82"/>
      <c r="M35441" s="112"/>
      <c r="N35441" s="84"/>
    </row>
    <row r="35442" spans="1:14" s="2" customFormat="1">
      <c r="A35442" s="83"/>
      <c r="H35442" s="83"/>
      <c r="K35442" s="82"/>
      <c r="M35442" s="112"/>
      <c r="N35442" s="84"/>
    </row>
    <row r="35443" spans="1:14" s="2" customFormat="1">
      <c r="A35443" s="83"/>
      <c r="H35443" s="83"/>
      <c r="K35443" s="82"/>
      <c r="M35443" s="112"/>
      <c r="N35443" s="84"/>
    </row>
    <row r="35444" spans="1:14" s="2" customFormat="1">
      <c r="A35444" s="83"/>
      <c r="H35444" s="83"/>
      <c r="K35444" s="82"/>
      <c r="M35444" s="112"/>
      <c r="N35444" s="84"/>
    </row>
    <row r="35445" spans="1:14" s="2" customFormat="1">
      <c r="A35445" s="83"/>
      <c r="H35445" s="83"/>
      <c r="K35445" s="82"/>
      <c r="M35445" s="112"/>
      <c r="N35445" s="84"/>
    </row>
    <row r="35446" spans="1:14" s="2" customFormat="1">
      <c r="A35446" s="83"/>
      <c r="H35446" s="83"/>
      <c r="K35446" s="82"/>
      <c r="M35446" s="112"/>
      <c r="N35446" s="84"/>
    </row>
    <row r="35447" spans="1:14" s="2" customFormat="1">
      <c r="A35447" s="83"/>
      <c r="H35447" s="83"/>
      <c r="K35447" s="82"/>
      <c r="M35447" s="112"/>
      <c r="N35447" s="84"/>
    </row>
    <row r="35448" spans="1:14" s="2" customFormat="1">
      <c r="A35448" s="83"/>
      <c r="H35448" s="83"/>
      <c r="K35448" s="82"/>
      <c r="M35448" s="112"/>
      <c r="N35448" s="84"/>
    </row>
    <row r="35449" spans="1:14" s="2" customFormat="1">
      <c r="A35449" s="83"/>
      <c r="H35449" s="83"/>
      <c r="K35449" s="82"/>
      <c r="M35449" s="112"/>
      <c r="N35449" s="84"/>
    </row>
    <row r="35450" spans="1:14" s="2" customFormat="1">
      <c r="A35450" s="83"/>
      <c r="H35450" s="83"/>
      <c r="K35450" s="82"/>
      <c r="M35450" s="112"/>
      <c r="N35450" s="84"/>
    </row>
    <row r="35451" spans="1:14" s="2" customFormat="1">
      <c r="A35451" s="83"/>
      <c r="H35451" s="83"/>
      <c r="K35451" s="82"/>
      <c r="M35451" s="112"/>
      <c r="N35451" s="84"/>
    </row>
    <row r="35452" spans="1:14" s="2" customFormat="1">
      <c r="A35452" s="83"/>
      <c r="H35452" s="83"/>
      <c r="K35452" s="82"/>
      <c r="M35452" s="112"/>
      <c r="N35452" s="84"/>
    </row>
    <row r="35453" spans="1:14" s="2" customFormat="1">
      <c r="A35453" s="83"/>
      <c r="H35453" s="83"/>
      <c r="K35453" s="82"/>
      <c r="M35453" s="112"/>
      <c r="N35453" s="84"/>
    </row>
    <row r="35454" spans="1:14" s="2" customFormat="1">
      <c r="A35454" s="83"/>
      <c r="H35454" s="83"/>
      <c r="K35454" s="82"/>
      <c r="M35454" s="112"/>
      <c r="N35454" s="84"/>
    </row>
    <row r="35455" spans="1:14" s="2" customFormat="1">
      <c r="A35455" s="83"/>
      <c r="H35455" s="83"/>
      <c r="K35455" s="82"/>
      <c r="M35455" s="112"/>
      <c r="N35455" s="84"/>
    </row>
    <row r="35456" spans="1:14" s="2" customFormat="1">
      <c r="A35456" s="83"/>
      <c r="H35456" s="83"/>
      <c r="K35456" s="82"/>
      <c r="M35456" s="112"/>
      <c r="N35456" s="84"/>
    </row>
    <row r="35457" spans="1:14" s="2" customFormat="1">
      <c r="A35457" s="83"/>
      <c r="H35457" s="83"/>
      <c r="K35457" s="82"/>
      <c r="M35457" s="112"/>
      <c r="N35457" s="84"/>
    </row>
    <row r="35458" spans="1:14" s="2" customFormat="1">
      <c r="A35458" s="83"/>
      <c r="H35458" s="83"/>
      <c r="K35458" s="82"/>
      <c r="M35458" s="112"/>
      <c r="N35458" s="84"/>
    </row>
    <row r="35459" spans="1:14" s="2" customFormat="1">
      <c r="A35459" s="83"/>
      <c r="H35459" s="83"/>
      <c r="K35459" s="82"/>
      <c r="M35459" s="112"/>
      <c r="N35459" s="84"/>
    </row>
    <row r="35460" spans="1:14" s="2" customFormat="1">
      <c r="A35460" s="83"/>
      <c r="H35460" s="83"/>
      <c r="K35460" s="82"/>
      <c r="M35460" s="112"/>
      <c r="N35460" s="84"/>
    </row>
    <row r="35461" spans="1:14" s="2" customFormat="1">
      <c r="A35461" s="83"/>
      <c r="H35461" s="83"/>
      <c r="K35461" s="82"/>
      <c r="M35461" s="112"/>
      <c r="N35461" s="84"/>
    </row>
    <row r="35462" spans="1:14" s="2" customFormat="1">
      <c r="A35462" s="83"/>
      <c r="H35462" s="83"/>
      <c r="K35462" s="82"/>
      <c r="M35462" s="112"/>
      <c r="N35462" s="84"/>
    </row>
    <row r="35463" spans="1:14" s="2" customFormat="1">
      <c r="A35463" s="83"/>
      <c r="H35463" s="83"/>
      <c r="K35463" s="82"/>
      <c r="M35463" s="112"/>
      <c r="N35463" s="84"/>
    </row>
    <row r="35464" spans="1:14" s="2" customFormat="1">
      <c r="A35464" s="83"/>
      <c r="H35464" s="83"/>
      <c r="K35464" s="82"/>
      <c r="M35464" s="112"/>
      <c r="N35464" s="84"/>
    </row>
    <row r="35465" spans="1:14" s="2" customFormat="1">
      <c r="A35465" s="83"/>
      <c r="H35465" s="83"/>
      <c r="K35465" s="82"/>
      <c r="M35465" s="112"/>
      <c r="N35465" s="84"/>
    </row>
    <row r="35466" spans="1:14" s="2" customFormat="1">
      <c r="A35466" s="83"/>
      <c r="H35466" s="83"/>
      <c r="K35466" s="82"/>
      <c r="M35466" s="112"/>
      <c r="N35466" s="84"/>
    </row>
    <row r="35467" spans="1:14" s="2" customFormat="1">
      <c r="A35467" s="83"/>
      <c r="H35467" s="83"/>
      <c r="K35467" s="82"/>
      <c r="M35467" s="112"/>
      <c r="N35467" s="84"/>
    </row>
    <row r="35468" spans="1:14" s="2" customFormat="1">
      <c r="A35468" s="83"/>
      <c r="H35468" s="83"/>
      <c r="K35468" s="82"/>
      <c r="M35468" s="112"/>
      <c r="N35468" s="84"/>
    </row>
    <row r="35469" spans="1:14" s="2" customFormat="1">
      <c r="A35469" s="83"/>
      <c r="H35469" s="83"/>
      <c r="K35469" s="82"/>
      <c r="M35469" s="112"/>
      <c r="N35469" s="84"/>
    </row>
    <row r="35470" spans="1:14" s="2" customFormat="1">
      <c r="A35470" s="83"/>
      <c r="H35470" s="83"/>
      <c r="K35470" s="82"/>
      <c r="M35470" s="112"/>
      <c r="N35470" s="84"/>
    </row>
    <row r="35471" spans="1:14" s="2" customFormat="1">
      <c r="A35471" s="83"/>
      <c r="H35471" s="83"/>
      <c r="K35471" s="82"/>
      <c r="M35471" s="112"/>
      <c r="N35471" s="84"/>
    </row>
    <row r="35472" spans="1:14" s="2" customFormat="1">
      <c r="A35472" s="83"/>
      <c r="H35472" s="83"/>
      <c r="K35472" s="82"/>
      <c r="M35472" s="112"/>
      <c r="N35472" s="84"/>
    </row>
    <row r="35473" spans="1:14" s="2" customFormat="1">
      <c r="A35473" s="83"/>
      <c r="H35473" s="83"/>
      <c r="K35473" s="82"/>
      <c r="M35473" s="112"/>
      <c r="N35473" s="84"/>
    </row>
    <row r="35474" spans="1:14" s="2" customFormat="1">
      <c r="A35474" s="83"/>
      <c r="H35474" s="83"/>
      <c r="K35474" s="82"/>
      <c r="M35474" s="112"/>
      <c r="N35474" s="84"/>
    </row>
    <row r="35475" spans="1:14" s="2" customFormat="1">
      <c r="A35475" s="83"/>
      <c r="H35475" s="83"/>
      <c r="K35475" s="82"/>
      <c r="M35475" s="112"/>
      <c r="N35475" s="84"/>
    </row>
    <row r="35476" spans="1:14" s="2" customFormat="1">
      <c r="A35476" s="83"/>
      <c r="H35476" s="83"/>
      <c r="K35476" s="82"/>
      <c r="M35476" s="112"/>
      <c r="N35476" s="84"/>
    </row>
    <row r="35477" spans="1:14" s="2" customFormat="1">
      <c r="A35477" s="83"/>
      <c r="H35477" s="83"/>
      <c r="K35477" s="82"/>
      <c r="M35477" s="112"/>
      <c r="N35477" s="84"/>
    </row>
    <row r="35478" spans="1:14" s="2" customFormat="1">
      <c r="A35478" s="83"/>
      <c r="H35478" s="83"/>
      <c r="K35478" s="82"/>
      <c r="M35478" s="112"/>
      <c r="N35478" s="84"/>
    </row>
    <row r="35479" spans="1:14" s="2" customFormat="1">
      <c r="A35479" s="83"/>
      <c r="H35479" s="83"/>
      <c r="K35479" s="82"/>
      <c r="M35479" s="112"/>
      <c r="N35479" s="84"/>
    </row>
    <row r="35480" spans="1:14" s="2" customFormat="1">
      <c r="A35480" s="83"/>
      <c r="H35480" s="83"/>
      <c r="K35480" s="82"/>
      <c r="M35480" s="112"/>
      <c r="N35480" s="84"/>
    </row>
    <row r="35481" spans="1:14" s="2" customFormat="1">
      <c r="A35481" s="83"/>
      <c r="H35481" s="83"/>
      <c r="K35481" s="82"/>
      <c r="M35481" s="112"/>
      <c r="N35481" s="84"/>
    </row>
    <row r="35482" spans="1:14" s="2" customFormat="1">
      <c r="A35482" s="83"/>
      <c r="H35482" s="83"/>
      <c r="K35482" s="82"/>
      <c r="M35482" s="112"/>
      <c r="N35482" s="84"/>
    </row>
    <row r="35483" spans="1:14" s="2" customFormat="1">
      <c r="A35483" s="83"/>
      <c r="H35483" s="83"/>
      <c r="K35483" s="82"/>
      <c r="M35483" s="112"/>
      <c r="N35483" s="84"/>
    </row>
    <row r="35484" spans="1:14" s="2" customFormat="1">
      <c r="A35484" s="83"/>
      <c r="H35484" s="83"/>
      <c r="K35484" s="82"/>
      <c r="M35484" s="112"/>
      <c r="N35484" s="84"/>
    </row>
    <row r="35485" spans="1:14" s="2" customFormat="1">
      <c r="A35485" s="83"/>
      <c r="H35485" s="83"/>
      <c r="K35485" s="82"/>
      <c r="M35485" s="112"/>
      <c r="N35485" s="84"/>
    </row>
    <row r="35486" spans="1:14" s="2" customFormat="1">
      <c r="A35486" s="83"/>
      <c r="H35486" s="83"/>
      <c r="K35486" s="82"/>
      <c r="M35486" s="112"/>
      <c r="N35486" s="84"/>
    </row>
    <row r="35487" spans="1:14" s="2" customFormat="1">
      <c r="A35487" s="83"/>
      <c r="H35487" s="83"/>
      <c r="K35487" s="82"/>
      <c r="M35487" s="112"/>
      <c r="N35487" s="84"/>
    </row>
    <row r="35488" spans="1:14" s="2" customFormat="1">
      <c r="A35488" s="83"/>
      <c r="H35488" s="83"/>
      <c r="K35488" s="82"/>
      <c r="M35488" s="112"/>
      <c r="N35488" s="84"/>
    </row>
    <row r="35489" spans="1:14" s="2" customFormat="1">
      <c r="A35489" s="83"/>
      <c r="H35489" s="83"/>
      <c r="K35489" s="82"/>
      <c r="M35489" s="112"/>
      <c r="N35489" s="84"/>
    </row>
    <row r="35490" spans="1:14" s="2" customFormat="1">
      <c r="A35490" s="83"/>
      <c r="H35490" s="83"/>
      <c r="K35490" s="82"/>
      <c r="M35490" s="112"/>
      <c r="N35490" s="84"/>
    </row>
    <row r="35491" spans="1:14" s="2" customFormat="1">
      <c r="A35491" s="83"/>
      <c r="H35491" s="83"/>
      <c r="K35491" s="82"/>
      <c r="M35491" s="112"/>
      <c r="N35491" s="84"/>
    </row>
    <row r="35492" spans="1:14" s="2" customFormat="1">
      <c r="A35492" s="83"/>
      <c r="H35492" s="83"/>
      <c r="K35492" s="82"/>
      <c r="M35492" s="112"/>
      <c r="N35492" s="84"/>
    </row>
    <row r="35493" spans="1:14" s="2" customFormat="1">
      <c r="A35493" s="83"/>
      <c r="H35493" s="83"/>
      <c r="K35493" s="82"/>
      <c r="M35493" s="112"/>
      <c r="N35493" s="84"/>
    </row>
    <row r="35494" spans="1:14" s="2" customFormat="1">
      <c r="A35494" s="83"/>
      <c r="H35494" s="83"/>
      <c r="K35494" s="82"/>
      <c r="M35494" s="112"/>
      <c r="N35494" s="84"/>
    </row>
    <row r="35495" spans="1:14" s="2" customFormat="1">
      <c r="A35495" s="83"/>
      <c r="H35495" s="83"/>
      <c r="K35495" s="82"/>
      <c r="M35495" s="112"/>
      <c r="N35495" s="84"/>
    </row>
    <row r="35496" spans="1:14" s="2" customFormat="1">
      <c r="A35496" s="83"/>
      <c r="H35496" s="83"/>
      <c r="K35496" s="82"/>
      <c r="M35496" s="112"/>
      <c r="N35496" s="84"/>
    </row>
    <row r="35497" spans="1:14" s="2" customFormat="1">
      <c r="A35497" s="83"/>
      <c r="H35497" s="83"/>
      <c r="K35497" s="82"/>
      <c r="M35497" s="112"/>
      <c r="N35497" s="84"/>
    </row>
    <row r="35498" spans="1:14" s="2" customFormat="1">
      <c r="A35498" s="83"/>
      <c r="H35498" s="83"/>
      <c r="K35498" s="82"/>
      <c r="M35498" s="112"/>
      <c r="N35498" s="84"/>
    </row>
    <row r="35499" spans="1:14" s="2" customFormat="1">
      <c r="A35499" s="83"/>
      <c r="H35499" s="83"/>
      <c r="K35499" s="82"/>
      <c r="M35499" s="112"/>
      <c r="N35499" s="84"/>
    </row>
    <row r="35500" spans="1:14" s="2" customFormat="1">
      <c r="A35500" s="83"/>
      <c r="H35500" s="83"/>
      <c r="K35500" s="82"/>
      <c r="M35500" s="112"/>
      <c r="N35500" s="84"/>
    </row>
    <row r="35501" spans="1:14" s="2" customFormat="1">
      <c r="A35501" s="83"/>
      <c r="H35501" s="83"/>
      <c r="K35501" s="82"/>
      <c r="M35501" s="112"/>
      <c r="N35501" s="84"/>
    </row>
    <row r="35502" spans="1:14" s="2" customFormat="1">
      <c r="A35502" s="83"/>
      <c r="H35502" s="83"/>
      <c r="K35502" s="82"/>
      <c r="M35502" s="112"/>
      <c r="N35502" s="84"/>
    </row>
    <row r="35503" spans="1:14" s="2" customFormat="1">
      <c r="A35503" s="83"/>
      <c r="H35503" s="83"/>
      <c r="K35503" s="82"/>
      <c r="M35503" s="112"/>
      <c r="N35503" s="84"/>
    </row>
    <row r="35504" spans="1:14" s="2" customFormat="1">
      <c r="A35504" s="83"/>
      <c r="H35504" s="83"/>
      <c r="K35504" s="82"/>
      <c r="M35504" s="112"/>
      <c r="N35504" s="84"/>
    </row>
    <row r="35505" spans="1:14" s="2" customFormat="1">
      <c r="A35505" s="83"/>
      <c r="H35505" s="83"/>
      <c r="K35505" s="82"/>
      <c r="M35505" s="112"/>
      <c r="N35505" s="84"/>
    </row>
    <row r="35506" spans="1:14" s="2" customFormat="1">
      <c r="A35506" s="83"/>
      <c r="H35506" s="83"/>
      <c r="K35506" s="82"/>
      <c r="M35506" s="112"/>
      <c r="N35506" s="84"/>
    </row>
    <row r="35507" spans="1:14" s="2" customFormat="1">
      <c r="A35507" s="83"/>
      <c r="H35507" s="83"/>
      <c r="K35507" s="82"/>
      <c r="M35507" s="112"/>
      <c r="N35507" s="84"/>
    </row>
    <row r="35508" spans="1:14" s="2" customFormat="1">
      <c r="A35508" s="83"/>
      <c r="H35508" s="83"/>
      <c r="K35508" s="82"/>
      <c r="M35508" s="112"/>
      <c r="N35508" s="84"/>
    </row>
    <row r="35509" spans="1:14" s="2" customFormat="1">
      <c r="A35509" s="83"/>
      <c r="H35509" s="83"/>
      <c r="K35509" s="82"/>
      <c r="M35509" s="112"/>
      <c r="N35509" s="84"/>
    </row>
    <row r="35510" spans="1:14" s="2" customFormat="1">
      <c r="A35510" s="83"/>
      <c r="H35510" s="83"/>
      <c r="K35510" s="82"/>
      <c r="M35510" s="112"/>
      <c r="N35510" s="84"/>
    </row>
    <row r="35511" spans="1:14" s="2" customFormat="1">
      <c r="A35511" s="83"/>
      <c r="H35511" s="83"/>
      <c r="K35511" s="82"/>
      <c r="M35511" s="112"/>
      <c r="N35511" s="84"/>
    </row>
    <row r="35512" spans="1:14" s="2" customFormat="1">
      <c r="A35512" s="83"/>
      <c r="H35512" s="83"/>
      <c r="K35512" s="82"/>
      <c r="M35512" s="112"/>
      <c r="N35512" s="84"/>
    </row>
    <row r="35513" spans="1:14" s="2" customFormat="1">
      <c r="A35513" s="83"/>
      <c r="H35513" s="83"/>
      <c r="K35513" s="82"/>
      <c r="M35513" s="112"/>
      <c r="N35513" s="84"/>
    </row>
    <row r="35514" spans="1:14" s="2" customFormat="1">
      <c r="A35514" s="83"/>
      <c r="H35514" s="83"/>
      <c r="K35514" s="82"/>
      <c r="M35514" s="112"/>
      <c r="N35514" s="84"/>
    </row>
    <row r="35515" spans="1:14" s="2" customFormat="1">
      <c r="A35515" s="83"/>
      <c r="H35515" s="83"/>
      <c r="K35515" s="82"/>
      <c r="M35515" s="112"/>
      <c r="N35515" s="84"/>
    </row>
    <row r="35516" spans="1:14" s="2" customFormat="1">
      <c r="A35516" s="83"/>
      <c r="H35516" s="83"/>
      <c r="K35516" s="82"/>
      <c r="M35516" s="112"/>
      <c r="N35516" s="84"/>
    </row>
    <row r="35517" spans="1:14" s="2" customFormat="1">
      <c r="A35517" s="83"/>
      <c r="H35517" s="83"/>
      <c r="K35517" s="82"/>
      <c r="M35517" s="112"/>
      <c r="N35517" s="84"/>
    </row>
    <row r="35518" spans="1:14" s="2" customFormat="1">
      <c r="A35518" s="83"/>
      <c r="H35518" s="83"/>
      <c r="K35518" s="82"/>
      <c r="M35518" s="112"/>
      <c r="N35518" s="84"/>
    </row>
    <row r="35519" spans="1:14" s="2" customFormat="1">
      <c r="A35519" s="83"/>
      <c r="H35519" s="83"/>
      <c r="K35519" s="82"/>
      <c r="M35519" s="112"/>
      <c r="N35519" s="84"/>
    </row>
    <row r="35520" spans="1:14" s="2" customFormat="1">
      <c r="A35520" s="83"/>
      <c r="H35520" s="83"/>
      <c r="K35520" s="82"/>
      <c r="M35520" s="112"/>
      <c r="N35520" s="84"/>
    </row>
    <row r="35521" spans="1:14" s="2" customFormat="1">
      <c r="A35521" s="83"/>
      <c r="H35521" s="83"/>
      <c r="K35521" s="82"/>
      <c r="M35521" s="112"/>
      <c r="N35521" s="84"/>
    </row>
    <row r="35522" spans="1:14" s="2" customFormat="1">
      <c r="A35522" s="83"/>
      <c r="H35522" s="83"/>
      <c r="K35522" s="82"/>
      <c r="M35522" s="112"/>
      <c r="N35522" s="84"/>
    </row>
    <row r="35523" spans="1:14" s="2" customFormat="1">
      <c r="A35523" s="83"/>
      <c r="H35523" s="83"/>
      <c r="K35523" s="82"/>
      <c r="M35523" s="112"/>
      <c r="N35523" s="84"/>
    </row>
    <row r="35524" spans="1:14" s="2" customFormat="1">
      <c r="A35524" s="83"/>
      <c r="H35524" s="83"/>
      <c r="K35524" s="82"/>
      <c r="M35524" s="112"/>
      <c r="N35524" s="84"/>
    </row>
    <row r="35525" spans="1:14" s="2" customFormat="1">
      <c r="A35525" s="83"/>
      <c r="H35525" s="83"/>
      <c r="K35525" s="82"/>
      <c r="M35525" s="112"/>
      <c r="N35525" s="84"/>
    </row>
    <row r="35526" spans="1:14" s="2" customFormat="1">
      <c r="A35526" s="83"/>
      <c r="H35526" s="83"/>
      <c r="K35526" s="82"/>
      <c r="M35526" s="112"/>
      <c r="N35526" s="84"/>
    </row>
    <row r="35527" spans="1:14" s="2" customFormat="1">
      <c r="A35527" s="83"/>
      <c r="H35527" s="83"/>
      <c r="K35527" s="82"/>
      <c r="M35527" s="112"/>
      <c r="N35527" s="84"/>
    </row>
    <row r="35528" spans="1:14" s="2" customFormat="1">
      <c r="A35528" s="83"/>
      <c r="H35528" s="83"/>
      <c r="K35528" s="82"/>
      <c r="M35528" s="112"/>
      <c r="N35528" s="84"/>
    </row>
    <row r="35529" spans="1:14" s="2" customFormat="1">
      <c r="A35529" s="83"/>
      <c r="H35529" s="83"/>
      <c r="K35529" s="82"/>
      <c r="M35529" s="112"/>
      <c r="N35529" s="84"/>
    </row>
    <row r="35530" spans="1:14" s="2" customFormat="1">
      <c r="A35530" s="83"/>
      <c r="H35530" s="83"/>
      <c r="K35530" s="82"/>
      <c r="M35530" s="112"/>
      <c r="N35530" s="84"/>
    </row>
    <row r="35531" spans="1:14" s="2" customFormat="1">
      <c r="A35531" s="83"/>
      <c r="H35531" s="83"/>
      <c r="K35531" s="82"/>
      <c r="M35531" s="112"/>
      <c r="N35531" s="84"/>
    </row>
    <row r="35532" spans="1:14" s="2" customFormat="1">
      <c r="A35532" s="83"/>
      <c r="H35532" s="83"/>
      <c r="K35532" s="82"/>
      <c r="M35532" s="112"/>
      <c r="N35532" s="84"/>
    </row>
    <row r="35533" spans="1:14" s="2" customFormat="1">
      <c r="A35533" s="83"/>
      <c r="H35533" s="83"/>
      <c r="K35533" s="82"/>
      <c r="M35533" s="112"/>
      <c r="N35533" s="84"/>
    </row>
    <row r="35534" spans="1:14" s="2" customFormat="1">
      <c r="A35534" s="83"/>
      <c r="H35534" s="83"/>
      <c r="K35534" s="82"/>
      <c r="M35534" s="112"/>
      <c r="N35534" s="84"/>
    </row>
    <row r="35535" spans="1:14" s="2" customFormat="1">
      <c r="A35535" s="83"/>
      <c r="H35535" s="83"/>
      <c r="K35535" s="82"/>
      <c r="M35535" s="112"/>
      <c r="N35535" s="84"/>
    </row>
    <row r="35536" spans="1:14" s="2" customFormat="1">
      <c r="A35536" s="83"/>
      <c r="H35536" s="83"/>
      <c r="K35536" s="82"/>
      <c r="M35536" s="112"/>
      <c r="N35536" s="84"/>
    </row>
    <row r="35537" spans="1:14" s="2" customFormat="1">
      <c r="A35537" s="83"/>
      <c r="H35537" s="83"/>
      <c r="K35537" s="82"/>
      <c r="M35537" s="112"/>
      <c r="N35537" s="84"/>
    </row>
    <row r="35538" spans="1:14" s="2" customFormat="1">
      <c r="A35538" s="83"/>
      <c r="H35538" s="83"/>
      <c r="K35538" s="82"/>
      <c r="M35538" s="112"/>
      <c r="N35538" s="84"/>
    </row>
    <row r="35539" spans="1:14" s="2" customFormat="1">
      <c r="A35539" s="83"/>
      <c r="H35539" s="83"/>
      <c r="K35539" s="82"/>
      <c r="M35539" s="112"/>
      <c r="N35539" s="84"/>
    </row>
    <row r="35540" spans="1:14" s="2" customFormat="1">
      <c r="A35540" s="83"/>
      <c r="H35540" s="83"/>
      <c r="K35540" s="82"/>
      <c r="M35540" s="112"/>
      <c r="N35540" s="84"/>
    </row>
    <row r="35541" spans="1:14" s="2" customFormat="1">
      <c r="A35541" s="83"/>
      <c r="H35541" s="83"/>
      <c r="K35541" s="82"/>
      <c r="M35541" s="112"/>
      <c r="N35541" s="84"/>
    </row>
    <row r="35542" spans="1:14" s="2" customFormat="1">
      <c r="A35542" s="83"/>
      <c r="H35542" s="83"/>
      <c r="K35542" s="82"/>
      <c r="M35542" s="112"/>
      <c r="N35542" s="84"/>
    </row>
    <row r="35543" spans="1:14" s="2" customFormat="1">
      <c r="A35543" s="83"/>
      <c r="H35543" s="83"/>
      <c r="K35543" s="82"/>
      <c r="M35543" s="112"/>
      <c r="N35543" s="84"/>
    </row>
    <row r="35544" spans="1:14" s="2" customFormat="1">
      <c r="A35544" s="83"/>
      <c r="H35544" s="83"/>
      <c r="K35544" s="82"/>
      <c r="M35544" s="112"/>
      <c r="N35544" s="84"/>
    </row>
    <row r="35545" spans="1:14" s="2" customFormat="1">
      <c r="A35545" s="83"/>
      <c r="H35545" s="83"/>
      <c r="K35545" s="82"/>
      <c r="M35545" s="112"/>
      <c r="N35545" s="84"/>
    </row>
    <row r="35546" spans="1:14" s="2" customFormat="1">
      <c r="A35546" s="83"/>
      <c r="H35546" s="83"/>
      <c r="K35546" s="82"/>
      <c r="M35546" s="112"/>
      <c r="N35546" s="84"/>
    </row>
    <row r="35547" spans="1:14" s="2" customFormat="1">
      <c r="A35547" s="83"/>
      <c r="H35547" s="83"/>
      <c r="K35547" s="82"/>
      <c r="M35547" s="112"/>
      <c r="N35547" s="84"/>
    </row>
    <row r="35548" spans="1:14" s="2" customFormat="1">
      <c r="A35548" s="83"/>
      <c r="H35548" s="83"/>
      <c r="K35548" s="82"/>
      <c r="M35548" s="112"/>
      <c r="N35548" s="84"/>
    </row>
    <row r="35549" spans="1:14" s="2" customFormat="1">
      <c r="A35549" s="83"/>
      <c r="H35549" s="83"/>
      <c r="K35549" s="82"/>
      <c r="M35549" s="112"/>
      <c r="N35549" s="84"/>
    </row>
    <row r="35550" spans="1:14" s="2" customFormat="1">
      <c r="A35550" s="83"/>
      <c r="H35550" s="83"/>
      <c r="K35550" s="82"/>
      <c r="M35550" s="112"/>
      <c r="N35550" s="84"/>
    </row>
    <row r="35551" spans="1:14" s="2" customFormat="1">
      <c r="A35551" s="83"/>
      <c r="H35551" s="83"/>
      <c r="K35551" s="82"/>
      <c r="M35551" s="112"/>
      <c r="N35551" s="84"/>
    </row>
    <row r="35552" spans="1:14" s="2" customFormat="1">
      <c r="A35552" s="83"/>
      <c r="H35552" s="83"/>
      <c r="K35552" s="82"/>
      <c r="M35552" s="112"/>
      <c r="N35552" s="84"/>
    </row>
    <row r="35553" spans="1:14" s="2" customFormat="1">
      <c r="A35553" s="83"/>
      <c r="H35553" s="83"/>
      <c r="K35553" s="82"/>
      <c r="M35553" s="112"/>
      <c r="N35553" s="84"/>
    </row>
    <row r="35554" spans="1:14" s="2" customFormat="1">
      <c r="A35554" s="83"/>
      <c r="H35554" s="83"/>
      <c r="K35554" s="82"/>
      <c r="M35554" s="112"/>
      <c r="N35554" s="84"/>
    </row>
    <row r="35555" spans="1:14" s="2" customFormat="1">
      <c r="A35555" s="83"/>
      <c r="H35555" s="83"/>
      <c r="K35555" s="82"/>
      <c r="M35555" s="112"/>
      <c r="N35555" s="84"/>
    </row>
    <row r="35556" spans="1:14" s="2" customFormat="1">
      <c r="A35556" s="83"/>
      <c r="H35556" s="83"/>
      <c r="K35556" s="82"/>
      <c r="M35556" s="112"/>
      <c r="N35556" s="84"/>
    </row>
    <row r="35557" spans="1:14" s="2" customFormat="1">
      <c r="A35557" s="83"/>
      <c r="H35557" s="83"/>
      <c r="K35557" s="82"/>
      <c r="M35557" s="112"/>
      <c r="N35557" s="84"/>
    </row>
    <row r="35558" spans="1:14" s="2" customFormat="1">
      <c r="A35558" s="83"/>
      <c r="H35558" s="83"/>
      <c r="K35558" s="82"/>
      <c r="M35558" s="112"/>
      <c r="N35558" s="84"/>
    </row>
    <row r="35559" spans="1:14" s="2" customFormat="1">
      <c r="A35559" s="83"/>
      <c r="H35559" s="83"/>
      <c r="K35559" s="82"/>
      <c r="M35559" s="112"/>
      <c r="N35559" s="84"/>
    </row>
    <row r="35560" spans="1:14" s="2" customFormat="1">
      <c r="A35560" s="83"/>
      <c r="H35560" s="83"/>
      <c r="K35560" s="82"/>
      <c r="M35560" s="112"/>
      <c r="N35560" s="84"/>
    </row>
    <row r="35561" spans="1:14" s="2" customFormat="1">
      <c r="A35561" s="83"/>
      <c r="H35561" s="83"/>
      <c r="K35561" s="82"/>
      <c r="M35561" s="112"/>
      <c r="N35561" s="84"/>
    </row>
    <row r="35562" spans="1:14" s="2" customFormat="1">
      <c r="A35562" s="83"/>
      <c r="H35562" s="83"/>
      <c r="K35562" s="82"/>
      <c r="M35562" s="112"/>
      <c r="N35562" s="84"/>
    </row>
    <row r="35563" spans="1:14" s="2" customFormat="1">
      <c r="A35563" s="83"/>
      <c r="H35563" s="83"/>
      <c r="K35563" s="82"/>
      <c r="M35563" s="112"/>
      <c r="N35563" s="84"/>
    </row>
    <row r="35564" spans="1:14" s="2" customFormat="1">
      <c r="A35564" s="83"/>
      <c r="H35564" s="83"/>
      <c r="K35564" s="82"/>
      <c r="M35564" s="112"/>
      <c r="N35564" s="84"/>
    </row>
    <row r="35565" spans="1:14" s="2" customFormat="1">
      <c r="A35565" s="83"/>
      <c r="H35565" s="83"/>
      <c r="K35565" s="82"/>
      <c r="M35565" s="112"/>
      <c r="N35565" s="84"/>
    </row>
    <row r="35566" spans="1:14" s="2" customFormat="1">
      <c r="A35566" s="83"/>
      <c r="H35566" s="83"/>
      <c r="K35566" s="82"/>
      <c r="M35566" s="112"/>
      <c r="N35566" s="84"/>
    </row>
    <row r="35567" spans="1:14" s="2" customFormat="1">
      <c r="A35567" s="83"/>
      <c r="H35567" s="83"/>
      <c r="K35567" s="82"/>
      <c r="M35567" s="112"/>
      <c r="N35567" s="84"/>
    </row>
    <row r="35568" spans="1:14" s="2" customFormat="1">
      <c r="A35568" s="83"/>
      <c r="H35568" s="83"/>
      <c r="K35568" s="82"/>
      <c r="M35568" s="112"/>
      <c r="N35568" s="84"/>
    </row>
    <row r="35569" spans="1:14" s="2" customFormat="1">
      <c r="A35569" s="83"/>
      <c r="H35569" s="83"/>
      <c r="K35569" s="82"/>
      <c r="M35569" s="112"/>
      <c r="N35569" s="84"/>
    </row>
    <row r="35570" spans="1:14" s="2" customFormat="1">
      <c r="A35570" s="83"/>
      <c r="H35570" s="83"/>
      <c r="K35570" s="82"/>
      <c r="M35570" s="112"/>
      <c r="N35570" s="84"/>
    </row>
    <row r="35571" spans="1:14" s="2" customFormat="1">
      <c r="A35571" s="83"/>
      <c r="H35571" s="83"/>
      <c r="K35571" s="82"/>
      <c r="M35571" s="112"/>
      <c r="N35571" s="84"/>
    </row>
    <row r="35572" spans="1:14" s="2" customFormat="1">
      <c r="A35572" s="83"/>
      <c r="H35572" s="83"/>
      <c r="K35572" s="82"/>
      <c r="M35572" s="112"/>
      <c r="N35572" s="84"/>
    </row>
    <row r="35573" spans="1:14" s="2" customFormat="1">
      <c r="A35573" s="83"/>
      <c r="H35573" s="83"/>
      <c r="K35573" s="82"/>
      <c r="M35573" s="112"/>
      <c r="N35573" s="84"/>
    </row>
    <row r="35574" spans="1:14" s="2" customFormat="1">
      <c r="A35574" s="83"/>
      <c r="H35574" s="83"/>
      <c r="K35574" s="82"/>
      <c r="M35574" s="112"/>
      <c r="N35574" s="84"/>
    </row>
    <row r="35575" spans="1:14" s="2" customFormat="1">
      <c r="A35575" s="83"/>
      <c r="H35575" s="83"/>
      <c r="K35575" s="82"/>
      <c r="M35575" s="112"/>
      <c r="N35575" s="84"/>
    </row>
    <row r="35576" spans="1:14" s="2" customFormat="1">
      <c r="A35576" s="83"/>
      <c r="H35576" s="83"/>
      <c r="K35576" s="82"/>
      <c r="M35576" s="112"/>
      <c r="N35576" s="84"/>
    </row>
    <row r="35577" spans="1:14" s="2" customFormat="1">
      <c r="A35577" s="83"/>
      <c r="H35577" s="83"/>
      <c r="K35577" s="82"/>
      <c r="M35577" s="112"/>
      <c r="N35577" s="84"/>
    </row>
    <row r="35578" spans="1:14" s="2" customFormat="1">
      <c r="A35578" s="83"/>
      <c r="H35578" s="83"/>
      <c r="K35578" s="82"/>
      <c r="M35578" s="112"/>
      <c r="N35578" s="84"/>
    </row>
    <row r="35579" spans="1:14" s="2" customFormat="1">
      <c r="A35579" s="83"/>
      <c r="H35579" s="83"/>
      <c r="K35579" s="82"/>
      <c r="M35579" s="112"/>
      <c r="N35579" s="84"/>
    </row>
    <row r="35580" spans="1:14" s="2" customFormat="1">
      <c r="A35580" s="83"/>
      <c r="H35580" s="83"/>
      <c r="K35580" s="82"/>
      <c r="M35580" s="112"/>
      <c r="N35580" s="84"/>
    </row>
    <row r="35581" spans="1:14" s="2" customFormat="1">
      <c r="A35581" s="83"/>
      <c r="H35581" s="83"/>
      <c r="K35581" s="82"/>
      <c r="M35581" s="112"/>
      <c r="N35581" s="84"/>
    </row>
    <row r="35582" spans="1:14" s="2" customFormat="1">
      <c r="A35582" s="83"/>
      <c r="H35582" s="83"/>
      <c r="K35582" s="82"/>
      <c r="M35582" s="112"/>
      <c r="N35582" s="84"/>
    </row>
    <row r="35583" spans="1:14" s="2" customFormat="1">
      <c r="A35583" s="83"/>
      <c r="H35583" s="83"/>
      <c r="K35583" s="82"/>
      <c r="M35583" s="112"/>
      <c r="N35583" s="84"/>
    </row>
    <row r="35584" spans="1:14" s="2" customFormat="1">
      <c r="A35584" s="83"/>
      <c r="H35584" s="83"/>
      <c r="K35584" s="82"/>
      <c r="M35584" s="112"/>
      <c r="N35584" s="84"/>
    </row>
    <row r="35585" spans="1:14" s="2" customFormat="1">
      <c r="A35585" s="83"/>
      <c r="H35585" s="83"/>
      <c r="K35585" s="82"/>
      <c r="M35585" s="112"/>
      <c r="N35585" s="84"/>
    </row>
    <row r="35586" spans="1:14" s="2" customFormat="1">
      <c r="A35586" s="83"/>
      <c r="H35586" s="83"/>
      <c r="K35586" s="82"/>
      <c r="M35586" s="112"/>
      <c r="N35586" s="84"/>
    </row>
    <row r="35587" spans="1:14" s="2" customFormat="1">
      <c r="A35587" s="83"/>
      <c r="H35587" s="83"/>
      <c r="K35587" s="82"/>
      <c r="M35587" s="112"/>
      <c r="N35587" s="84"/>
    </row>
    <row r="35588" spans="1:14" s="2" customFormat="1">
      <c r="A35588" s="83"/>
      <c r="H35588" s="83"/>
      <c r="K35588" s="82"/>
      <c r="M35588" s="112"/>
      <c r="N35588" s="84"/>
    </row>
    <row r="35589" spans="1:14" s="2" customFormat="1">
      <c r="A35589" s="83"/>
      <c r="H35589" s="83"/>
      <c r="K35589" s="82"/>
      <c r="M35589" s="112"/>
      <c r="N35589" s="84"/>
    </row>
    <row r="35590" spans="1:14" s="2" customFormat="1">
      <c r="A35590" s="83"/>
      <c r="H35590" s="83"/>
      <c r="K35590" s="82"/>
      <c r="M35590" s="112"/>
      <c r="N35590" s="84"/>
    </row>
    <row r="35591" spans="1:14" s="2" customFormat="1">
      <c r="A35591" s="83"/>
      <c r="H35591" s="83"/>
      <c r="K35591" s="82"/>
      <c r="M35591" s="112"/>
      <c r="N35591" s="84"/>
    </row>
    <row r="35592" spans="1:14" s="2" customFormat="1">
      <c r="A35592" s="83"/>
      <c r="H35592" s="83"/>
      <c r="K35592" s="82"/>
      <c r="M35592" s="112"/>
      <c r="N35592" s="84"/>
    </row>
    <row r="35593" spans="1:14" s="2" customFormat="1">
      <c r="A35593" s="83"/>
      <c r="H35593" s="83"/>
      <c r="K35593" s="82"/>
      <c r="M35593" s="112"/>
      <c r="N35593" s="84"/>
    </row>
    <row r="35594" spans="1:14" s="2" customFormat="1">
      <c r="A35594" s="83"/>
      <c r="H35594" s="83"/>
      <c r="K35594" s="82"/>
      <c r="M35594" s="112"/>
      <c r="N35594" s="84"/>
    </row>
    <row r="35595" spans="1:14" s="2" customFormat="1">
      <c r="A35595" s="83"/>
      <c r="H35595" s="83"/>
      <c r="K35595" s="82"/>
      <c r="M35595" s="112"/>
      <c r="N35595" s="84"/>
    </row>
    <row r="35596" spans="1:14" s="2" customFormat="1">
      <c r="A35596" s="83"/>
      <c r="H35596" s="83"/>
      <c r="K35596" s="82"/>
      <c r="M35596" s="112"/>
      <c r="N35596" s="84"/>
    </row>
    <row r="35597" spans="1:14" s="2" customFormat="1">
      <c r="A35597" s="83"/>
      <c r="H35597" s="83"/>
      <c r="K35597" s="82"/>
      <c r="M35597" s="112"/>
      <c r="N35597" s="84"/>
    </row>
    <row r="35598" spans="1:14" s="2" customFormat="1">
      <c r="A35598" s="83"/>
      <c r="H35598" s="83"/>
      <c r="K35598" s="82"/>
      <c r="M35598" s="112"/>
      <c r="N35598" s="84"/>
    </row>
    <row r="35599" spans="1:14" s="2" customFormat="1">
      <c r="A35599" s="83"/>
      <c r="H35599" s="83"/>
      <c r="K35599" s="82"/>
      <c r="M35599" s="112"/>
      <c r="N35599" s="84"/>
    </row>
    <row r="35600" spans="1:14" s="2" customFormat="1">
      <c r="A35600" s="83"/>
      <c r="H35600" s="83"/>
      <c r="K35600" s="82"/>
      <c r="M35600" s="112"/>
      <c r="N35600" s="84"/>
    </row>
    <row r="35601" spans="1:14" s="2" customFormat="1">
      <c r="A35601" s="83"/>
      <c r="H35601" s="83"/>
      <c r="K35601" s="82"/>
      <c r="M35601" s="112"/>
      <c r="N35601" s="84"/>
    </row>
    <row r="35602" spans="1:14" s="2" customFormat="1">
      <c r="A35602" s="83"/>
      <c r="H35602" s="83"/>
      <c r="K35602" s="82"/>
      <c r="M35602" s="112"/>
      <c r="N35602" s="84"/>
    </row>
    <row r="35603" spans="1:14" s="2" customFormat="1">
      <c r="A35603" s="83"/>
      <c r="H35603" s="83"/>
      <c r="K35603" s="82"/>
      <c r="M35603" s="112"/>
      <c r="N35603" s="84"/>
    </row>
    <row r="35604" spans="1:14" s="2" customFormat="1">
      <c r="A35604" s="83"/>
      <c r="H35604" s="83"/>
      <c r="K35604" s="82"/>
      <c r="M35604" s="112"/>
      <c r="N35604" s="84"/>
    </row>
    <row r="35605" spans="1:14" s="2" customFormat="1">
      <c r="A35605" s="83"/>
      <c r="H35605" s="83"/>
      <c r="K35605" s="82"/>
      <c r="M35605" s="112"/>
      <c r="N35605" s="84"/>
    </row>
    <row r="35606" spans="1:14" s="2" customFormat="1">
      <c r="A35606" s="83"/>
      <c r="H35606" s="83"/>
      <c r="K35606" s="82"/>
      <c r="M35606" s="112"/>
      <c r="N35606" s="84"/>
    </row>
    <row r="35607" spans="1:14" s="2" customFormat="1">
      <c r="A35607" s="83"/>
      <c r="H35607" s="83"/>
      <c r="K35607" s="82"/>
      <c r="M35607" s="112"/>
      <c r="N35607" s="84"/>
    </row>
    <row r="35608" spans="1:14" s="2" customFormat="1">
      <c r="A35608" s="83"/>
      <c r="H35608" s="83"/>
      <c r="K35608" s="82"/>
      <c r="M35608" s="112"/>
      <c r="N35608" s="84"/>
    </row>
    <row r="35609" spans="1:14" s="2" customFormat="1">
      <c r="A35609" s="83"/>
      <c r="H35609" s="83"/>
      <c r="K35609" s="82"/>
      <c r="M35609" s="112"/>
      <c r="N35609" s="84"/>
    </row>
    <row r="35610" spans="1:14" s="2" customFormat="1">
      <c r="A35610" s="83"/>
      <c r="H35610" s="83"/>
      <c r="K35610" s="82"/>
      <c r="M35610" s="112"/>
      <c r="N35610" s="84"/>
    </row>
    <row r="35611" spans="1:14" s="2" customFormat="1">
      <c r="A35611" s="83"/>
      <c r="H35611" s="83"/>
      <c r="K35611" s="82"/>
      <c r="M35611" s="112"/>
      <c r="N35611" s="84"/>
    </row>
    <row r="35612" spans="1:14" s="2" customFormat="1">
      <c r="A35612" s="83"/>
      <c r="H35612" s="83"/>
      <c r="K35612" s="82"/>
      <c r="M35612" s="112"/>
      <c r="N35612" s="84"/>
    </row>
    <row r="35613" spans="1:14" s="2" customFormat="1">
      <c r="A35613" s="83"/>
      <c r="H35613" s="83"/>
      <c r="K35613" s="82"/>
      <c r="M35613" s="112"/>
      <c r="N35613" s="84"/>
    </row>
    <row r="35614" spans="1:14" s="2" customFormat="1">
      <c r="A35614" s="83"/>
      <c r="H35614" s="83"/>
      <c r="K35614" s="82"/>
      <c r="M35614" s="112"/>
      <c r="N35614" s="84"/>
    </row>
    <row r="35615" spans="1:14" s="2" customFormat="1">
      <c r="A35615" s="83"/>
      <c r="H35615" s="83"/>
      <c r="K35615" s="82"/>
      <c r="M35615" s="112"/>
      <c r="N35615" s="84"/>
    </row>
    <row r="35616" spans="1:14" s="2" customFormat="1">
      <c r="A35616" s="83"/>
      <c r="H35616" s="83"/>
      <c r="K35616" s="82"/>
      <c r="M35616" s="112"/>
      <c r="N35616" s="84"/>
    </row>
    <row r="35617" spans="1:14" s="2" customFormat="1">
      <c r="A35617" s="83"/>
      <c r="H35617" s="83"/>
      <c r="K35617" s="82"/>
      <c r="M35617" s="112"/>
      <c r="N35617" s="84"/>
    </row>
    <row r="35618" spans="1:14" s="2" customFormat="1">
      <c r="A35618" s="83"/>
      <c r="H35618" s="83"/>
      <c r="K35618" s="82"/>
      <c r="M35618" s="112"/>
      <c r="N35618" s="84"/>
    </row>
    <row r="35619" spans="1:14" s="2" customFormat="1">
      <c r="A35619" s="83"/>
      <c r="H35619" s="83"/>
      <c r="K35619" s="82"/>
      <c r="M35619" s="112"/>
      <c r="N35619" s="84"/>
    </row>
    <row r="35620" spans="1:14" s="2" customFormat="1">
      <c r="A35620" s="83"/>
      <c r="H35620" s="83"/>
      <c r="K35620" s="82"/>
      <c r="M35620" s="112"/>
      <c r="N35620" s="84"/>
    </row>
    <row r="35621" spans="1:14" s="2" customFormat="1">
      <c r="A35621" s="83"/>
      <c r="H35621" s="83"/>
      <c r="K35621" s="82"/>
      <c r="M35621" s="112"/>
      <c r="N35621" s="84"/>
    </row>
    <row r="35622" spans="1:14" s="2" customFormat="1">
      <c r="A35622" s="83"/>
      <c r="H35622" s="83"/>
      <c r="K35622" s="82"/>
      <c r="M35622" s="112"/>
      <c r="N35622" s="84"/>
    </row>
    <row r="35623" spans="1:14" s="2" customFormat="1">
      <c r="A35623" s="83"/>
      <c r="H35623" s="83"/>
      <c r="K35623" s="82"/>
      <c r="M35623" s="112"/>
      <c r="N35623" s="84"/>
    </row>
    <row r="35624" spans="1:14" s="2" customFormat="1">
      <c r="A35624" s="83"/>
      <c r="H35624" s="83"/>
      <c r="K35624" s="82"/>
      <c r="M35624" s="112"/>
      <c r="N35624" s="84"/>
    </row>
    <row r="35625" spans="1:14" s="2" customFormat="1">
      <c r="A35625" s="83"/>
      <c r="H35625" s="83"/>
      <c r="K35625" s="82"/>
      <c r="M35625" s="112"/>
      <c r="N35625" s="84"/>
    </row>
    <row r="35626" spans="1:14" s="2" customFormat="1">
      <c r="A35626" s="83"/>
      <c r="H35626" s="83"/>
      <c r="K35626" s="82"/>
      <c r="M35626" s="112"/>
      <c r="N35626" s="84"/>
    </row>
    <row r="35627" spans="1:14" s="2" customFormat="1">
      <c r="A35627" s="83"/>
      <c r="H35627" s="83"/>
      <c r="K35627" s="82"/>
      <c r="M35627" s="112"/>
      <c r="N35627" s="84"/>
    </row>
    <row r="35628" spans="1:14" s="2" customFormat="1">
      <c r="A35628" s="83"/>
      <c r="H35628" s="83"/>
      <c r="K35628" s="82"/>
      <c r="M35628" s="112"/>
      <c r="N35628" s="84"/>
    </row>
    <row r="35629" spans="1:14" s="2" customFormat="1">
      <c r="A35629" s="83"/>
      <c r="H35629" s="83"/>
      <c r="K35629" s="82"/>
      <c r="M35629" s="112"/>
      <c r="N35629" s="84"/>
    </row>
    <row r="35630" spans="1:14" s="2" customFormat="1">
      <c r="A35630" s="83"/>
      <c r="H35630" s="83"/>
      <c r="K35630" s="82"/>
      <c r="M35630" s="112"/>
      <c r="N35630" s="84"/>
    </row>
    <row r="35631" spans="1:14" s="2" customFormat="1">
      <c r="A35631" s="83"/>
      <c r="H35631" s="83"/>
      <c r="K35631" s="82"/>
      <c r="M35631" s="112"/>
      <c r="N35631" s="84"/>
    </row>
    <row r="35632" spans="1:14" s="2" customFormat="1">
      <c r="A35632" s="83"/>
      <c r="H35632" s="83"/>
      <c r="K35632" s="82"/>
      <c r="M35632" s="112"/>
      <c r="N35632" s="84"/>
    </row>
    <row r="35633" spans="1:14" s="2" customFormat="1">
      <c r="A35633" s="83"/>
      <c r="H35633" s="83"/>
      <c r="K35633" s="82"/>
      <c r="M35633" s="112"/>
      <c r="N35633" s="84"/>
    </row>
    <row r="35634" spans="1:14" s="2" customFormat="1">
      <c r="A35634" s="83"/>
      <c r="H35634" s="83"/>
      <c r="K35634" s="82"/>
      <c r="M35634" s="112"/>
      <c r="N35634" s="84"/>
    </row>
    <row r="35635" spans="1:14" s="2" customFormat="1">
      <c r="A35635" s="83"/>
      <c r="H35635" s="83"/>
      <c r="K35635" s="82"/>
      <c r="M35635" s="112"/>
      <c r="N35635" s="84"/>
    </row>
    <row r="35636" spans="1:14" s="2" customFormat="1">
      <c r="A35636" s="83"/>
      <c r="H35636" s="83"/>
      <c r="K35636" s="82"/>
      <c r="M35636" s="112"/>
      <c r="N35636" s="84"/>
    </row>
    <row r="35637" spans="1:14" s="2" customFormat="1">
      <c r="A35637" s="83"/>
      <c r="H35637" s="83"/>
      <c r="K35637" s="82"/>
      <c r="M35637" s="112"/>
      <c r="N35637" s="84"/>
    </row>
    <row r="35638" spans="1:14" s="2" customFormat="1">
      <c r="A35638" s="83"/>
      <c r="H35638" s="83"/>
      <c r="K35638" s="82"/>
      <c r="M35638" s="112"/>
      <c r="N35638" s="84"/>
    </row>
    <row r="35639" spans="1:14" s="2" customFormat="1">
      <c r="A35639" s="83"/>
      <c r="H35639" s="83"/>
      <c r="K35639" s="82"/>
      <c r="M35639" s="112"/>
      <c r="N35639" s="84"/>
    </row>
    <row r="35640" spans="1:14" s="2" customFormat="1">
      <c r="A35640" s="83"/>
      <c r="H35640" s="83"/>
      <c r="K35640" s="82"/>
      <c r="M35640" s="112"/>
      <c r="N35640" s="84"/>
    </row>
    <row r="35641" spans="1:14" s="2" customFormat="1">
      <c r="A35641" s="83"/>
      <c r="H35641" s="83"/>
      <c r="K35641" s="82"/>
      <c r="M35641" s="112"/>
      <c r="N35641" s="84"/>
    </row>
    <row r="35642" spans="1:14" s="2" customFormat="1">
      <c r="A35642" s="83"/>
      <c r="H35642" s="83"/>
      <c r="K35642" s="82"/>
      <c r="M35642" s="112"/>
      <c r="N35642" s="84"/>
    </row>
    <row r="35643" spans="1:14" s="2" customFormat="1">
      <c r="A35643" s="83"/>
      <c r="H35643" s="83"/>
      <c r="K35643" s="82"/>
      <c r="M35643" s="112"/>
      <c r="N35643" s="84"/>
    </row>
    <row r="35644" spans="1:14" s="2" customFormat="1">
      <c r="A35644" s="83"/>
      <c r="H35644" s="83"/>
      <c r="K35644" s="82"/>
      <c r="M35644" s="112"/>
      <c r="N35644" s="84"/>
    </row>
    <row r="35645" spans="1:14" s="2" customFormat="1">
      <c r="A35645" s="83"/>
      <c r="H35645" s="83"/>
      <c r="K35645" s="82"/>
      <c r="M35645" s="112"/>
      <c r="N35645" s="84"/>
    </row>
    <row r="35646" spans="1:14" s="2" customFormat="1">
      <c r="A35646" s="83"/>
      <c r="H35646" s="83"/>
      <c r="K35646" s="82"/>
      <c r="M35646" s="112"/>
      <c r="N35646" s="84"/>
    </row>
    <row r="35647" spans="1:14" s="2" customFormat="1">
      <c r="A35647" s="83"/>
      <c r="H35647" s="83"/>
      <c r="K35647" s="82"/>
      <c r="M35647" s="112"/>
      <c r="N35647" s="84"/>
    </row>
    <row r="35648" spans="1:14" s="2" customFormat="1">
      <c r="A35648" s="83"/>
      <c r="H35648" s="83"/>
      <c r="K35648" s="82"/>
      <c r="M35648" s="112"/>
      <c r="N35648" s="84"/>
    </row>
    <row r="35649" spans="1:14" s="2" customFormat="1">
      <c r="A35649" s="83"/>
      <c r="H35649" s="83"/>
      <c r="K35649" s="82"/>
      <c r="M35649" s="112"/>
      <c r="N35649" s="84"/>
    </row>
    <row r="35650" spans="1:14" s="2" customFormat="1">
      <c r="A35650" s="83"/>
      <c r="H35650" s="83"/>
      <c r="K35650" s="82"/>
      <c r="M35650" s="112"/>
      <c r="N35650" s="84"/>
    </row>
    <row r="35651" spans="1:14" s="2" customFormat="1">
      <c r="A35651" s="83"/>
      <c r="H35651" s="83"/>
      <c r="K35651" s="82"/>
      <c r="M35651" s="112"/>
      <c r="N35651" s="84"/>
    </row>
    <row r="35652" spans="1:14" s="2" customFormat="1">
      <c r="A35652" s="83"/>
      <c r="H35652" s="83"/>
      <c r="K35652" s="82"/>
      <c r="M35652" s="112"/>
      <c r="N35652" s="84"/>
    </row>
    <row r="35653" spans="1:14" s="2" customFormat="1">
      <c r="A35653" s="83"/>
      <c r="H35653" s="83"/>
      <c r="K35653" s="82"/>
      <c r="M35653" s="112"/>
      <c r="N35653" s="84"/>
    </row>
    <row r="35654" spans="1:14" s="2" customFormat="1">
      <c r="A35654" s="83"/>
      <c r="H35654" s="83"/>
      <c r="K35654" s="82"/>
      <c r="M35654" s="112"/>
      <c r="N35654" s="84"/>
    </row>
    <row r="35655" spans="1:14" s="2" customFormat="1">
      <c r="A35655" s="83"/>
      <c r="H35655" s="83"/>
      <c r="K35655" s="82"/>
      <c r="M35655" s="112"/>
      <c r="N35655" s="84"/>
    </row>
    <row r="35656" spans="1:14" s="2" customFormat="1">
      <c r="A35656" s="83"/>
      <c r="H35656" s="83"/>
      <c r="K35656" s="82"/>
      <c r="M35656" s="112"/>
      <c r="N35656" s="84"/>
    </row>
    <row r="35657" spans="1:14" s="2" customFormat="1">
      <c r="A35657" s="83"/>
      <c r="H35657" s="83"/>
      <c r="K35657" s="82"/>
      <c r="M35657" s="112"/>
      <c r="N35657" s="84"/>
    </row>
    <row r="35658" spans="1:14" s="2" customFormat="1">
      <c r="A35658" s="83"/>
      <c r="H35658" s="83"/>
      <c r="K35658" s="82"/>
      <c r="M35658" s="112"/>
      <c r="N35658" s="84"/>
    </row>
    <row r="35659" spans="1:14" s="2" customFormat="1">
      <c r="A35659" s="83"/>
      <c r="H35659" s="83"/>
      <c r="K35659" s="82"/>
      <c r="M35659" s="112"/>
      <c r="N35659" s="84"/>
    </row>
    <row r="35660" spans="1:14" s="2" customFormat="1">
      <c r="A35660" s="83"/>
      <c r="H35660" s="83"/>
      <c r="K35660" s="82"/>
      <c r="M35660" s="112"/>
      <c r="N35660" s="84"/>
    </row>
    <row r="35661" spans="1:14" s="2" customFormat="1">
      <c r="A35661" s="83"/>
      <c r="H35661" s="83"/>
      <c r="K35661" s="82"/>
      <c r="M35661" s="112"/>
      <c r="N35661" s="84"/>
    </row>
    <row r="35662" spans="1:14" s="2" customFormat="1">
      <c r="A35662" s="83"/>
      <c r="H35662" s="83"/>
      <c r="K35662" s="82"/>
      <c r="M35662" s="112"/>
      <c r="N35662" s="84"/>
    </row>
    <row r="35663" spans="1:14" s="2" customFormat="1">
      <c r="A35663" s="83"/>
      <c r="H35663" s="83"/>
      <c r="K35663" s="82"/>
      <c r="M35663" s="112"/>
      <c r="N35663" s="84"/>
    </row>
    <row r="35664" spans="1:14" s="2" customFormat="1">
      <c r="A35664" s="83"/>
      <c r="H35664" s="83"/>
      <c r="K35664" s="82"/>
      <c r="M35664" s="112"/>
      <c r="N35664" s="84"/>
    </row>
    <row r="35665" spans="1:14" s="2" customFormat="1">
      <c r="A35665" s="83"/>
      <c r="H35665" s="83"/>
      <c r="K35665" s="82"/>
      <c r="M35665" s="112"/>
      <c r="N35665" s="84"/>
    </row>
    <row r="35666" spans="1:14" s="2" customFormat="1">
      <c r="A35666" s="83"/>
      <c r="H35666" s="83"/>
      <c r="K35666" s="82"/>
      <c r="M35666" s="112"/>
      <c r="N35666" s="84"/>
    </row>
    <row r="35667" spans="1:14" s="2" customFormat="1">
      <c r="A35667" s="83"/>
      <c r="H35667" s="83"/>
      <c r="K35667" s="82"/>
      <c r="M35667" s="112"/>
      <c r="N35667" s="84"/>
    </row>
    <row r="35668" spans="1:14" s="2" customFormat="1">
      <c r="A35668" s="83"/>
      <c r="H35668" s="83"/>
      <c r="K35668" s="82"/>
      <c r="M35668" s="112"/>
      <c r="N35668" s="84"/>
    </row>
    <row r="35669" spans="1:14" s="2" customFormat="1">
      <c r="A35669" s="83"/>
      <c r="H35669" s="83"/>
      <c r="K35669" s="82"/>
      <c r="M35669" s="112"/>
      <c r="N35669" s="84"/>
    </row>
    <row r="35670" spans="1:14" s="2" customFormat="1">
      <c r="A35670" s="83"/>
      <c r="H35670" s="83"/>
      <c r="K35670" s="82"/>
      <c r="M35670" s="112"/>
      <c r="N35670" s="84"/>
    </row>
    <row r="35671" spans="1:14" s="2" customFormat="1">
      <c r="A35671" s="83"/>
      <c r="H35671" s="83"/>
      <c r="K35671" s="82"/>
      <c r="M35671" s="112"/>
      <c r="N35671" s="84"/>
    </row>
    <row r="35672" spans="1:14" s="2" customFormat="1">
      <c r="A35672" s="83"/>
      <c r="H35672" s="83"/>
      <c r="K35672" s="82"/>
      <c r="M35672" s="112"/>
      <c r="N35672" s="84"/>
    </row>
    <row r="35673" spans="1:14" s="2" customFormat="1">
      <c r="A35673" s="83"/>
      <c r="H35673" s="83"/>
      <c r="K35673" s="82"/>
      <c r="M35673" s="112"/>
      <c r="N35673" s="84"/>
    </row>
    <row r="35674" spans="1:14" s="2" customFormat="1">
      <c r="A35674" s="83"/>
      <c r="H35674" s="83"/>
      <c r="K35674" s="82"/>
      <c r="M35674" s="112"/>
      <c r="N35674" s="84"/>
    </row>
    <row r="35675" spans="1:14" s="2" customFormat="1">
      <c r="A35675" s="83"/>
      <c r="H35675" s="83"/>
      <c r="K35675" s="82"/>
      <c r="M35675" s="112"/>
      <c r="N35675" s="84"/>
    </row>
    <row r="35676" spans="1:14" s="2" customFormat="1">
      <c r="A35676" s="83"/>
      <c r="H35676" s="83"/>
      <c r="K35676" s="82"/>
      <c r="M35676" s="112"/>
      <c r="N35676" s="84"/>
    </row>
    <row r="35677" spans="1:14" s="2" customFormat="1">
      <c r="A35677" s="83"/>
      <c r="H35677" s="83"/>
      <c r="K35677" s="82"/>
      <c r="M35677" s="112"/>
      <c r="N35677" s="84"/>
    </row>
    <row r="35678" spans="1:14" s="2" customFormat="1">
      <c r="A35678" s="83"/>
      <c r="H35678" s="83"/>
      <c r="K35678" s="82"/>
      <c r="M35678" s="112"/>
      <c r="N35678" s="84"/>
    </row>
    <row r="35679" spans="1:14" s="2" customFormat="1">
      <c r="A35679" s="83"/>
      <c r="H35679" s="83"/>
      <c r="K35679" s="82"/>
      <c r="M35679" s="112"/>
      <c r="N35679" s="84"/>
    </row>
    <row r="35680" spans="1:14" s="2" customFormat="1">
      <c r="A35680" s="83"/>
      <c r="H35680" s="83"/>
      <c r="K35680" s="82"/>
      <c r="M35680" s="112"/>
      <c r="N35680" s="84"/>
    </row>
    <row r="35681" spans="1:14" s="2" customFormat="1">
      <c r="A35681" s="83"/>
      <c r="H35681" s="83"/>
      <c r="K35681" s="82"/>
      <c r="M35681" s="112"/>
      <c r="N35681" s="84"/>
    </row>
    <row r="35682" spans="1:14" s="2" customFormat="1">
      <c r="A35682" s="83"/>
      <c r="H35682" s="83"/>
      <c r="K35682" s="82"/>
      <c r="M35682" s="112"/>
      <c r="N35682" s="84"/>
    </row>
    <row r="35683" spans="1:14" s="2" customFormat="1">
      <c r="A35683" s="83"/>
      <c r="H35683" s="83"/>
      <c r="K35683" s="82"/>
      <c r="M35683" s="112"/>
      <c r="N35683" s="84"/>
    </row>
    <row r="35684" spans="1:14" s="2" customFormat="1">
      <c r="A35684" s="83"/>
      <c r="H35684" s="83"/>
      <c r="K35684" s="82"/>
      <c r="M35684" s="112"/>
      <c r="N35684" s="84"/>
    </row>
    <row r="35685" spans="1:14" s="2" customFormat="1">
      <c r="A35685" s="83"/>
      <c r="H35685" s="83"/>
      <c r="K35685" s="82"/>
      <c r="M35685" s="112"/>
      <c r="N35685" s="84"/>
    </row>
    <row r="35686" spans="1:14" s="2" customFormat="1">
      <c r="A35686" s="83"/>
      <c r="H35686" s="83"/>
      <c r="K35686" s="82"/>
      <c r="M35686" s="112"/>
      <c r="N35686" s="84"/>
    </row>
    <row r="35687" spans="1:14" s="2" customFormat="1">
      <c r="A35687" s="83"/>
      <c r="H35687" s="83"/>
      <c r="K35687" s="82"/>
      <c r="M35687" s="112"/>
      <c r="N35687" s="84"/>
    </row>
    <row r="35688" spans="1:14" s="2" customFormat="1">
      <c r="A35688" s="83"/>
      <c r="H35688" s="83"/>
      <c r="K35688" s="82"/>
      <c r="M35688" s="112"/>
      <c r="N35688" s="84"/>
    </row>
    <row r="35689" spans="1:14" s="2" customFormat="1">
      <c r="A35689" s="83"/>
      <c r="H35689" s="83"/>
      <c r="K35689" s="82"/>
      <c r="M35689" s="112"/>
      <c r="N35689" s="84"/>
    </row>
    <row r="35690" spans="1:14" s="2" customFormat="1">
      <c r="A35690" s="83"/>
      <c r="H35690" s="83"/>
      <c r="K35690" s="82"/>
      <c r="M35690" s="112"/>
      <c r="N35690" s="84"/>
    </row>
    <row r="35691" spans="1:14" s="2" customFormat="1">
      <c r="A35691" s="83"/>
      <c r="H35691" s="83"/>
      <c r="K35691" s="82"/>
      <c r="M35691" s="112"/>
      <c r="N35691" s="84"/>
    </row>
    <row r="35692" spans="1:14" s="2" customFormat="1">
      <c r="A35692" s="83"/>
      <c r="H35692" s="83"/>
      <c r="K35692" s="82"/>
      <c r="M35692" s="112"/>
      <c r="N35692" s="84"/>
    </row>
    <row r="35693" spans="1:14" s="2" customFormat="1">
      <c r="A35693" s="83"/>
      <c r="H35693" s="83"/>
      <c r="K35693" s="82"/>
      <c r="M35693" s="112"/>
      <c r="N35693" s="84"/>
    </row>
    <row r="35694" spans="1:14" s="2" customFormat="1">
      <c r="A35694" s="83"/>
      <c r="H35694" s="83"/>
      <c r="K35694" s="82"/>
      <c r="M35694" s="112"/>
      <c r="N35694" s="84"/>
    </row>
    <row r="35695" spans="1:14" s="2" customFormat="1">
      <c r="A35695" s="83"/>
      <c r="H35695" s="83"/>
      <c r="K35695" s="82"/>
      <c r="M35695" s="112"/>
      <c r="N35695" s="84"/>
    </row>
    <row r="35696" spans="1:14" s="2" customFormat="1">
      <c r="A35696" s="83"/>
      <c r="H35696" s="83"/>
      <c r="K35696" s="82"/>
      <c r="M35696" s="112"/>
      <c r="N35696" s="84"/>
    </row>
    <row r="35697" spans="1:14" s="2" customFormat="1">
      <c r="A35697" s="83"/>
      <c r="H35697" s="83"/>
      <c r="K35697" s="82"/>
      <c r="M35697" s="112"/>
      <c r="N35697" s="84"/>
    </row>
    <row r="35698" spans="1:14" s="2" customFormat="1">
      <c r="A35698" s="83"/>
      <c r="H35698" s="83"/>
      <c r="K35698" s="82"/>
      <c r="M35698" s="112"/>
      <c r="N35698" s="84"/>
    </row>
    <row r="35699" spans="1:14" s="2" customFormat="1">
      <c r="A35699" s="83"/>
      <c r="H35699" s="83"/>
      <c r="K35699" s="82"/>
      <c r="M35699" s="112"/>
      <c r="N35699" s="84"/>
    </row>
    <row r="35700" spans="1:14" s="2" customFormat="1">
      <c r="A35700" s="83"/>
      <c r="H35700" s="83"/>
      <c r="K35700" s="82"/>
      <c r="M35700" s="112"/>
      <c r="N35700" s="84"/>
    </row>
    <row r="35701" spans="1:14" s="2" customFormat="1">
      <c r="A35701" s="83"/>
      <c r="H35701" s="83"/>
      <c r="K35701" s="82"/>
      <c r="M35701" s="112"/>
      <c r="N35701" s="84"/>
    </row>
    <row r="35702" spans="1:14" s="2" customFormat="1">
      <c r="A35702" s="83"/>
      <c r="H35702" s="83"/>
      <c r="K35702" s="82"/>
      <c r="M35702" s="112"/>
      <c r="N35702" s="84"/>
    </row>
    <row r="35703" spans="1:14" s="2" customFormat="1">
      <c r="A35703" s="83"/>
      <c r="H35703" s="83"/>
      <c r="K35703" s="82"/>
      <c r="M35703" s="112"/>
      <c r="N35703" s="84"/>
    </row>
    <row r="35704" spans="1:14" s="2" customFormat="1">
      <c r="A35704" s="83"/>
      <c r="H35704" s="83"/>
      <c r="K35704" s="82"/>
      <c r="M35704" s="112"/>
      <c r="N35704" s="84"/>
    </row>
    <row r="35705" spans="1:14" s="2" customFormat="1">
      <c r="A35705" s="83"/>
      <c r="H35705" s="83"/>
      <c r="K35705" s="82"/>
      <c r="M35705" s="112"/>
      <c r="N35705" s="84"/>
    </row>
    <row r="35706" spans="1:14" s="2" customFormat="1">
      <c r="A35706" s="83"/>
      <c r="H35706" s="83"/>
      <c r="K35706" s="82"/>
      <c r="M35706" s="112"/>
      <c r="N35706" s="84"/>
    </row>
    <row r="35707" spans="1:14" s="2" customFormat="1">
      <c r="A35707" s="83"/>
      <c r="H35707" s="83"/>
      <c r="K35707" s="82"/>
      <c r="M35707" s="112"/>
      <c r="N35707" s="84"/>
    </row>
    <row r="35708" spans="1:14" s="2" customFormat="1">
      <c r="A35708" s="83"/>
      <c r="H35708" s="83"/>
      <c r="K35708" s="82"/>
      <c r="M35708" s="112"/>
      <c r="N35708" s="84"/>
    </row>
    <row r="35709" spans="1:14" s="2" customFormat="1">
      <c r="A35709" s="83"/>
      <c r="H35709" s="83"/>
      <c r="K35709" s="82"/>
      <c r="M35709" s="112"/>
      <c r="N35709" s="84"/>
    </row>
    <row r="35710" spans="1:14" s="2" customFormat="1">
      <c r="A35710" s="83"/>
      <c r="H35710" s="83"/>
      <c r="K35710" s="82"/>
      <c r="M35710" s="112"/>
      <c r="N35710" s="84"/>
    </row>
    <row r="35711" spans="1:14" s="2" customFormat="1">
      <c r="A35711" s="83"/>
      <c r="H35711" s="83"/>
      <c r="K35711" s="82"/>
      <c r="M35711" s="112"/>
      <c r="N35711" s="84"/>
    </row>
    <row r="35712" spans="1:14" s="2" customFormat="1">
      <c r="A35712" s="83"/>
      <c r="H35712" s="83"/>
      <c r="K35712" s="82"/>
      <c r="M35712" s="112"/>
      <c r="N35712" s="84"/>
    </row>
    <row r="35713" spans="1:14" s="2" customFormat="1">
      <c r="A35713" s="83"/>
      <c r="H35713" s="83"/>
      <c r="K35713" s="82"/>
      <c r="M35713" s="112"/>
      <c r="N35713" s="84"/>
    </row>
    <row r="35714" spans="1:14" s="2" customFormat="1">
      <c r="A35714" s="83"/>
      <c r="H35714" s="83"/>
      <c r="K35714" s="82"/>
      <c r="M35714" s="112"/>
      <c r="N35714" s="84"/>
    </row>
    <row r="35715" spans="1:14" s="2" customFormat="1">
      <c r="A35715" s="83"/>
      <c r="H35715" s="83"/>
      <c r="K35715" s="82"/>
      <c r="M35715" s="112"/>
      <c r="N35715" s="84"/>
    </row>
    <row r="35716" spans="1:14" s="2" customFormat="1">
      <c r="A35716" s="83"/>
      <c r="H35716" s="83"/>
      <c r="K35716" s="82"/>
      <c r="M35716" s="112"/>
      <c r="N35716" s="84"/>
    </row>
    <row r="35717" spans="1:14" s="2" customFormat="1">
      <c r="A35717" s="83"/>
      <c r="H35717" s="83"/>
      <c r="K35717" s="82"/>
      <c r="M35717" s="112"/>
      <c r="N35717" s="84"/>
    </row>
    <row r="35718" spans="1:14" s="2" customFormat="1">
      <c r="A35718" s="83"/>
      <c r="H35718" s="83"/>
      <c r="K35718" s="82"/>
      <c r="M35718" s="112"/>
      <c r="N35718" s="84"/>
    </row>
    <row r="35719" spans="1:14" s="2" customFormat="1">
      <c r="A35719" s="83"/>
      <c r="H35719" s="83"/>
      <c r="K35719" s="82"/>
      <c r="M35719" s="112"/>
      <c r="N35719" s="84"/>
    </row>
    <row r="35720" spans="1:14" s="2" customFormat="1">
      <c r="A35720" s="83"/>
      <c r="H35720" s="83"/>
      <c r="K35720" s="82"/>
      <c r="M35720" s="112"/>
      <c r="N35720" s="84"/>
    </row>
    <row r="35721" spans="1:14" s="2" customFormat="1">
      <c r="A35721" s="83"/>
      <c r="H35721" s="83"/>
      <c r="K35721" s="82"/>
      <c r="M35721" s="112"/>
      <c r="N35721" s="84"/>
    </row>
    <row r="35722" spans="1:14" s="2" customFormat="1">
      <c r="A35722" s="83"/>
      <c r="H35722" s="83"/>
      <c r="K35722" s="82"/>
      <c r="M35722" s="112"/>
      <c r="N35722" s="84"/>
    </row>
    <row r="35723" spans="1:14" s="2" customFormat="1">
      <c r="A35723" s="83"/>
      <c r="H35723" s="83"/>
      <c r="K35723" s="82"/>
      <c r="M35723" s="112"/>
      <c r="N35723" s="84"/>
    </row>
    <row r="35724" spans="1:14" s="2" customFormat="1">
      <c r="A35724" s="83"/>
      <c r="H35724" s="83"/>
      <c r="K35724" s="82"/>
      <c r="M35724" s="112"/>
      <c r="N35724" s="84"/>
    </row>
    <row r="35725" spans="1:14" s="2" customFormat="1">
      <c r="A35725" s="83"/>
      <c r="H35725" s="83"/>
      <c r="K35725" s="82"/>
      <c r="M35725" s="112"/>
      <c r="N35725" s="84"/>
    </row>
    <row r="35726" spans="1:14" s="2" customFormat="1">
      <c r="A35726" s="83"/>
      <c r="H35726" s="83"/>
      <c r="K35726" s="82"/>
      <c r="M35726" s="112"/>
      <c r="N35726" s="84"/>
    </row>
    <row r="35727" spans="1:14" s="2" customFormat="1">
      <c r="A35727" s="83"/>
      <c r="H35727" s="83"/>
      <c r="K35727" s="82"/>
      <c r="M35727" s="112"/>
      <c r="N35727" s="84"/>
    </row>
    <row r="35728" spans="1:14" s="2" customFormat="1">
      <c r="A35728" s="83"/>
      <c r="H35728" s="83"/>
      <c r="K35728" s="82"/>
      <c r="M35728" s="112"/>
      <c r="N35728" s="84"/>
    </row>
    <row r="35729" spans="1:14" s="2" customFormat="1">
      <c r="A35729" s="83"/>
      <c r="H35729" s="83"/>
      <c r="K35729" s="82"/>
      <c r="M35729" s="112"/>
      <c r="N35729" s="84"/>
    </row>
    <row r="35730" spans="1:14" s="2" customFormat="1">
      <c r="A35730" s="83"/>
      <c r="H35730" s="83"/>
      <c r="K35730" s="82"/>
      <c r="M35730" s="112"/>
      <c r="N35730" s="84"/>
    </row>
    <row r="35731" spans="1:14" s="2" customFormat="1">
      <c r="A35731" s="83"/>
      <c r="H35731" s="83"/>
      <c r="K35731" s="82"/>
      <c r="M35731" s="112"/>
      <c r="N35731" s="84"/>
    </row>
    <row r="35732" spans="1:14" s="2" customFormat="1">
      <c r="A35732" s="83"/>
      <c r="H35732" s="83"/>
      <c r="K35732" s="82"/>
      <c r="M35732" s="112"/>
      <c r="N35732" s="84"/>
    </row>
    <row r="35733" spans="1:14" s="2" customFormat="1">
      <c r="A35733" s="83"/>
      <c r="H35733" s="83"/>
      <c r="K35733" s="82"/>
      <c r="M35733" s="112"/>
      <c r="N35733" s="84"/>
    </row>
    <row r="35734" spans="1:14" s="2" customFormat="1">
      <c r="A35734" s="83"/>
      <c r="H35734" s="83"/>
      <c r="K35734" s="82"/>
      <c r="M35734" s="112"/>
      <c r="N35734" s="84"/>
    </row>
    <row r="35735" spans="1:14" s="2" customFormat="1">
      <c r="A35735" s="83"/>
      <c r="H35735" s="83"/>
      <c r="K35735" s="82"/>
      <c r="M35735" s="112"/>
      <c r="N35735" s="84"/>
    </row>
    <row r="35736" spans="1:14" s="2" customFormat="1">
      <c r="A35736" s="83"/>
      <c r="H35736" s="83"/>
      <c r="K35736" s="82"/>
      <c r="M35736" s="112"/>
      <c r="N35736" s="84"/>
    </row>
    <row r="35737" spans="1:14" s="2" customFormat="1">
      <c r="A35737" s="83"/>
      <c r="H35737" s="83"/>
      <c r="K35737" s="82"/>
      <c r="M35737" s="112"/>
      <c r="N35737" s="84"/>
    </row>
    <row r="35738" spans="1:14" s="2" customFormat="1">
      <c r="A35738" s="83"/>
      <c r="H35738" s="83"/>
      <c r="K35738" s="82"/>
      <c r="M35738" s="112"/>
      <c r="N35738" s="84"/>
    </row>
    <row r="35739" spans="1:14" s="2" customFormat="1">
      <c r="A35739" s="83"/>
      <c r="H35739" s="83"/>
      <c r="K35739" s="82"/>
      <c r="M35739" s="112"/>
      <c r="N35739" s="84"/>
    </row>
    <row r="35740" spans="1:14" s="2" customFormat="1">
      <c r="A35740" s="83"/>
      <c r="H35740" s="83"/>
      <c r="K35740" s="82"/>
      <c r="M35740" s="112"/>
      <c r="N35740" s="84"/>
    </row>
    <row r="35741" spans="1:14" s="2" customFormat="1">
      <c r="A35741" s="83"/>
      <c r="H35741" s="83"/>
      <c r="K35741" s="82"/>
      <c r="M35741" s="112"/>
      <c r="N35741" s="84"/>
    </row>
    <row r="35742" spans="1:14" s="2" customFormat="1">
      <c r="A35742" s="83"/>
      <c r="H35742" s="83"/>
      <c r="K35742" s="82"/>
      <c r="M35742" s="112"/>
      <c r="N35742" s="84"/>
    </row>
    <row r="35743" spans="1:14" s="2" customFormat="1">
      <c r="A35743" s="83"/>
      <c r="H35743" s="83"/>
      <c r="K35743" s="82"/>
      <c r="M35743" s="112"/>
      <c r="N35743" s="84"/>
    </row>
    <row r="35744" spans="1:14" s="2" customFormat="1">
      <c r="A35744" s="83"/>
      <c r="H35744" s="83"/>
      <c r="K35744" s="82"/>
      <c r="M35744" s="112"/>
      <c r="N35744" s="84"/>
    </row>
    <row r="35745" spans="1:14" s="2" customFormat="1">
      <c r="A35745" s="83"/>
      <c r="H35745" s="83"/>
      <c r="K35745" s="82"/>
      <c r="M35745" s="112"/>
      <c r="N35745" s="84"/>
    </row>
    <row r="35746" spans="1:14" s="2" customFormat="1">
      <c r="A35746" s="83"/>
      <c r="H35746" s="83"/>
      <c r="K35746" s="82"/>
      <c r="M35746" s="112"/>
      <c r="N35746" s="84"/>
    </row>
    <row r="35747" spans="1:14" s="2" customFormat="1">
      <c r="A35747" s="83"/>
      <c r="H35747" s="83"/>
      <c r="K35747" s="82"/>
      <c r="M35747" s="112"/>
      <c r="N35747" s="84"/>
    </row>
    <row r="35748" spans="1:14" s="2" customFormat="1">
      <c r="A35748" s="83"/>
      <c r="H35748" s="83"/>
      <c r="K35748" s="82"/>
      <c r="M35748" s="112"/>
      <c r="N35748" s="84"/>
    </row>
    <row r="35749" spans="1:14" s="2" customFormat="1">
      <c r="A35749" s="83"/>
      <c r="H35749" s="83"/>
      <c r="K35749" s="82"/>
      <c r="M35749" s="112"/>
      <c r="N35749" s="84"/>
    </row>
    <row r="35750" spans="1:14" s="2" customFormat="1">
      <c r="A35750" s="83"/>
      <c r="H35750" s="83"/>
      <c r="K35750" s="82"/>
      <c r="M35750" s="112"/>
      <c r="N35750" s="84"/>
    </row>
    <row r="35751" spans="1:14" s="2" customFormat="1">
      <c r="A35751" s="83"/>
      <c r="H35751" s="83"/>
      <c r="K35751" s="82"/>
      <c r="M35751" s="112"/>
      <c r="N35751" s="84"/>
    </row>
    <row r="35752" spans="1:14" s="2" customFormat="1">
      <c r="A35752" s="83"/>
      <c r="H35752" s="83"/>
      <c r="K35752" s="82"/>
      <c r="M35752" s="112"/>
      <c r="N35752" s="84"/>
    </row>
    <row r="35753" spans="1:14" s="2" customFormat="1">
      <c r="A35753" s="83"/>
      <c r="H35753" s="83"/>
      <c r="K35753" s="82"/>
      <c r="M35753" s="112"/>
      <c r="N35753" s="84"/>
    </row>
    <row r="35754" spans="1:14" s="2" customFormat="1">
      <c r="A35754" s="83"/>
      <c r="H35754" s="83"/>
      <c r="K35754" s="82"/>
      <c r="M35754" s="112"/>
      <c r="N35754" s="84"/>
    </row>
    <row r="35755" spans="1:14" s="2" customFormat="1">
      <c r="A35755" s="83"/>
      <c r="H35755" s="83"/>
      <c r="K35755" s="82"/>
      <c r="M35755" s="112"/>
      <c r="N35755" s="84"/>
    </row>
    <row r="35756" spans="1:14" s="2" customFormat="1">
      <c r="A35756" s="83"/>
      <c r="H35756" s="83"/>
      <c r="K35756" s="82"/>
      <c r="M35756" s="112"/>
      <c r="N35756" s="84"/>
    </row>
    <row r="35757" spans="1:14" s="2" customFormat="1">
      <c r="A35757" s="83"/>
      <c r="H35757" s="83"/>
      <c r="K35757" s="82"/>
      <c r="M35757" s="112"/>
      <c r="N35757" s="84"/>
    </row>
    <row r="35758" spans="1:14" s="2" customFormat="1">
      <c r="A35758" s="83"/>
      <c r="H35758" s="83"/>
      <c r="K35758" s="82"/>
      <c r="M35758" s="112"/>
      <c r="N35758" s="84"/>
    </row>
    <row r="35759" spans="1:14" s="2" customFormat="1">
      <c r="A35759" s="83"/>
      <c r="H35759" s="83"/>
      <c r="K35759" s="82"/>
      <c r="M35759" s="112"/>
      <c r="N35759" s="84"/>
    </row>
    <row r="35760" spans="1:14" s="2" customFormat="1">
      <c r="A35760" s="83"/>
      <c r="H35760" s="83"/>
      <c r="K35760" s="82"/>
      <c r="M35760" s="112"/>
      <c r="N35760" s="84"/>
    </row>
    <row r="35761" spans="1:14" s="2" customFormat="1">
      <c r="A35761" s="83"/>
      <c r="H35761" s="83"/>
      <c r="K35761" s="82"/>
      <c r="M35761" s="112"/>
      <c r="N35761" s="84"/>
    </row>
    <row r="35762" spans="1:14" s="2" customFormat="1">
      <c r="A35762" s="83"/>
      <c r="H35762" s="83"/>
      <c r="K35762" s="82"/>
      <c r="M35762" s="112"/>
      <c r="N35762" s="84"/>
    </row>
    <row r="35763" spans="1:14" s="2" customFormat="1">
      <c r="A35763" s="83"/>
      <c r="H35763" s="83"/>
      <c r="K35763" s="82"/>
      <c r="M35763" s="112"/>
      <c r="N35763" s="84"/>
    </row>
    <row r="35764" spans="1:14" s="2" customFormat="1">
      <c r="A35764" s="83"/>
      <c r="H35764" s="83"/>
      <c r="K35764" s="82"/>
      <c r="M35764" s="112"/>
      <c r="N35764" s="84"/>
    </row>
    <row r="35765" spans="1:14" s="2" customFormat="1">
      <c r="A35765" s="83"/>
      <c r="H35765" s="83"/>
      <c r="K35765" s="82"/>
      <c r="M35765" s="112"/>
      <c r="N35765" s="84"/>
    </row>
    <row r="35766" spans="1:14" s="2" customFormat="1">
      <c r="A35766" s="83"/>
      <c r="H35766" s="83"/>
      <c r="K35766" s="82"/>
      <c r="M35766" s="112"/>
      <c r="N35766" s="84"/>
    </row>
    <row r="35767" spans="1:14" s="2" customFormat="1">
      <c r="A35767" s="83"/>
      <c r="H35767" s="83"/>
      <c r="K35767" s="82"/>
      <c r="M35767" s="112"/>
      <c r="N35767" s="84"/>
    </row>
    <row r="35768" spans="1:14" s="2" customFormat="1">
      <c r="A35768" s="83"/>
      <c r="H35768" s="83"/>
      <c r="K35768" s="82"/>
      <c r="M35768" s="112"/>
      <c r="N35768" s="84"/>
    </row>
    <row r="35769" spans="1:14" s="2" customFormat="1">
      <c r="A35769" s="83"/>
      <c r="H35769" s="83"/>
      <c r="K35769" s="82"/>
      <c r="M35769" s="112"/>
      <c r="N35769" s="84"/>
    </row>
    <row r="35770" spans="1:14" s="2" customFormat="1">
      <c r="A35770" s="83"/>
      <c r="H35770" s="83"/>
      <c r="K35770" s="82"/>
      <c r="M35770" s="112"/>
      <c r="N35770" s="84"/>
    </row>
    <row r="35771" spans="1:14" s="2" customFormat="1">
      <c r="A35771" s="83"/>
      <c r="H35771" s="83"/>
      <c r="K35771" s="82"/>
      <c r="M35771" s="112"/>
      <c r="N35771" s="84"/>
    </row>
    <row r="35772" spans="1:14" s="2" customFormat="1">
      <c r="A35772" s="83"/>
      <c r="H35772" s="83"/>
      <c r="K35772" s="82"/>
      <c r="M35772" s="112"/>
      <c r="N35772" s="84"/>
    </row>
    <row r="35773" spans="1:14" s="2" customFormat="1">
      <c r="A35773" s="83"/>
      <c r="H35773" s="83"/>
      <c r="K35773" s="82"/>
      <c r="M35773" s="112"/>
      <c r="N35773" s="84"/>
    </row>
    <row r="35774" spans="1:14" s="2" customFormat="1">
      <c r="A35774" s="83"/>
      <c r="H35774" s="83"/>
      <c r="K35774" s="82"/>
      <c r="M35774" s="112"/>
      <c r="N35774" s="84"/>
    </row>
    <row r="35775" spans="1:14" s="2" customFormat="1">
      <c r="A35775" s="83"/>
      <c r="H35775" s="83"/>
      <c r="K35775" s="82"/>
      <c r="M35775" s="112"/>
      <c r="N35775" s="84"/>
    </row>
    <row r="35776" spans="1:14" s="2" customFormat="1">
      <c r="A35776" s="83"/>
      <c r="H35776" s="83"/>
      <c r="K35776" s="82"/>
      <c r="M35776" s="112"/>
      <c r="N35776" s="84"/>
    </row>
    <row r="35777" spans="1:14" s="2" customFormat="1">
      <c r="A35777" s="83"/>
      <c r="H35777" s="83"/>
      <c r="K35777" s="82"/>
      <c r="M35777" s="112"/>
      <c r="N35777" s="84"/>
    </row>
    <row r="35778" spans="1:14" s="2" customFormat="1">
      <c r="A35778" s="83"/>
      <c r="H35778" s="83"/>
      <c r="K35778" s="82"/>
      <c r="M35778" s="112"/>
      <c r="N35778" s="84"/>
    </row>
    <row r="35779" spans="1:14" s="2" customFormat="1">
      <c r="A35779" s="83"/>
      <c r="H35779" s="83"/>
      <c r="K35779" s="82"/>
      <c r="M35779" s="112"/>
      <c r="N35779" s="84"/>
    </row>
    <row r="35780" spans="1:14" s="2" customFormat="1">
      <c r="A35780" s="83"/>
      <c r="H35780" s="83"/>
      <c r="K35780" s="82"/>
      <c r="M35780" s="112"/>
      <c r="N35780" s="84"/>
    </row>
    <row r="35781" spans="1:14" s="2" customFormat="1">
      <c r="A35781" s="83"/>
      <c r="H35781" s="83"/>
      <c r="K35781" s="82"/>
      <c r="M35781" s="112"/>
      <c r="N35781" s="84"/>
    </row>
    <row r="35782" spans="1:14" s="2" customFormat="1">
      <c r="A35782" s="83"/>
      <c r="H35782" s="83"/>
      <c r="K35782" s="82"/>
      <c r="M35782" s="112"/>
      <c r="N35782" s="84"/>
    </row>
    <row r="35783" spans="1:14" s="2" customFormat="1">
      <c r="A35783" s="83"/>
      <c r="H35783" s="83"/>
      <c r="K35783" s="82"/>
      <c r="M35783" s="112"/>
      <c r="N35783" s="84"/>
    </row>
    <row r="35784" spans="1:14" s="2" customFormat="1">
      <c r="A35784" s="83"/>
      <c r="H35784" s="83"/>
      <c r="K35784" s="82"/>
      <c r="M35784" s="112"/>
      <c r="N35784" s="84"/>
    </row>
    <row r="35785" spans="1:14" s="2" customFormat="1">
      <c r="A35785" s="83"/>
      <c r="H35785" s="83"/>
      <c r="K35785" s="82"/>
      <c r="M35785" s="112"/>
      <c r="N35785" s="84"/>
    </row>
    <row r="35786" spans="1:14" s="2" customFormat="1">
      <c r="A35786" s="83"/>
      <c r="H35786" s="83"/>
      <c r="K35786" s="82"/>
      <c r="M35786" s="112"/>
      <c r="N35786" s="84"/>
    </row>
    <row r="35787" spans="1:14" s="2" customFormat="1">
      <c r="A35787" s="83"/>
      <c r="H35787" s="83"/>
      <c r="K35787" s="82"/>
      <c r="M35787" s="112"/>
      <c r="N35787" s="84"/>
    </row>
    <row r="35788" spans="1:14" s="2" customFormat="1">
      <c r="A35788" s="83"/>
      <c r="H35788" s="83"/>
      <c r="K35788" s="82"/>
      <c r="M35788" s="112"/>
      <c r="N35788" s="84"/>
    </row>
    <row r="35789" spans="1:14" s="2" customFormat="1">
      <c r="A35789" s="83"/>
      <c r="H35789" s="83"/>
      <c r="K35789" s="82"/>
      <c r="M35789" s="112"/>
      <c r="N35789" s="84"/>
    </row>
    <row r="35790" spans="1:14" s="2" customFormat="1">
      <c r="A35790" s="83"/>
      <c r="H35790" s="83"/>
      <c r="K35790" s="82"/>
      <c r="M35790" s="112"/>
      <c r="N35790" s="84"/>
    </row>
    <row r="35791" spans="1:14" s="2" customFormat="1">
      <c r="A35791" s="83"/>
      <c r="H35791" s="83"/>
      <c r="K35791" s="82"/>
      <c r="M35791" s="112"/>
      <c r="N35791" s="84"/>
    </row>
    <row r="35792" spans="1:14" s="2" customFormat="1">
      <c r="A35792" s="83"/>
      <c r="H35792" s="83"/>
      <c r="K35792" s="82"/>
      <c r="M35792" s="112"/>
      <c r="N35792" s="84"/>
    </row>
    <row r="35793" spans="1:14" s="2" customFormat="1">
      <c r="A35793" s="83"/>
      <c r="H35793" s="83"/>
      <c r="K35793" s="82"/>
      <c r="M35793" s="112"/>
      <c r="N35793" s="84"/>
    </row>
    <row r="35794" spans="1:14" s="2" customFormat="1">
      <c r="A35794" s="83"/>
      <c r="H35794" s="83"/>
      <c r="K35794" s="82"/>
      <c r="M35794" s="112"/>
      <c r="N35794" s="84"/>
    </row>
    <row r="35795" spans="1:14" s="2" customFormat="1">
      <c r="A35795" s="83"/>
      <c r="H35795" s="83"/>
      <c r="K35795" s="82"/>
      <c r="M35795" s="112"/>
      <c r="N35795" s="84"/>
    </row>
    <row r="35796" spans="1:14" s="2" customFormat="1">
      <c r="A35796" s="83"/>
      <c r="H35796" s="83"/>
      <c r="K35796" s="82"/>
      <c r="M35796" s="112"/>
      <c r="N35796" s="84"/>
    </row>
    <row r="35797" spans="1:14" s="2" customFormat="1">
      <c r="A35797" s="83"/>
      <c r="H35797" s="83"/>
      <c r="K35797" s="82"/>
      <c r="M35797" s="112"/>
      <c r="N35797" s="84"/>
    </row>
    <row r="35798" spans="1:14" s="2" customFormat="1">
      <c r="A35798" s="83"/>
      <c r="H35798" s="83"/>
      <c r="K35798" s="82"/>
      <c r="M35798" s="112"/>
      <c r="N35798" s="84"/>
    </row>
    <row r="35799" spans="1:14" s="2" customFormat="1">
      <c r="A35799" s="83"/>
      <c r="H35799" s="83"/>
      <c r="K35799" s="82"/>
      <c r="M35799" s="112"/>
      <c r="N35799" s="84"/>
    </row>
    <row r="35800" spans="1:14" s="2" customFormat="1">
      <c r="A35800" s="83"/>
      <c r="H35800" s="83"/>
      <c r="K35800" s="82"/>
      <c r="M35800" s="112"/>
      <c r="N35800" s="84"/>
    </row>
    <row r="35801" spans="1:14" s="2" customFormat="1">
      <c r="A35801" s="83"/>
      <c r="H35801" s="83"/>
      <c r="K35801" s="82"/>
      <c r="M35801" s="112"/>
      <c r="N35801" s="84"/>
    </row>
    <row r="35802" spans="1:14" s="2" customFormat="1">
      <c r="A35802" s="83"/>
      <c r="H35802" s="83"/>
      <c r="K35802" s="82"/>
      <c r="M35802" s="112"/>
      <c r="N35802" s="84"/>
    </row>
    <row r="35803" spans="1:14" s="2" customFormat="1">
      <c r="A35803" s="83"/>
      <c r="H35803" s="83"/>
      <c r="K35803" s="82"/>
      <c r="M35803" s="112"/>
      <c r="N35803" s="84"/>
    </row>
    <row r="35804" spans="1:14" s="2" customFormat="1">
      <c r="A35804" s="83"/>
      <c r="H35804" s="83"/>
      <c r="K35804" s="82"/>
      <c r="M35804" s="112"/>
      <c r="N35804" s="84"/>
    </row>
    <row r="35805" spans="1:14" s="2" customFormat="1">
      <c r="A35805" s="83"/>
      <c r="H35805" s="83"/>
      <c r="K35805" s="82"/>
      <c r="M35805" s="112"/>
      <c r="N35805" s="84"/>
    </row>
    <row r="35806" spans="1:14" s="2" customFormat="1">
      <c r="A35806" s="83"/>
      <c r="H35806" s="83"/>
      <c r="K35806" s="82"/>
      <c r="M35806" s="112"/>
      <c r="N35806" s="84"/>
    </row>
    <row r="35807" spans="1:14" s="2" customFormat="1">
      <c r="A35807" s="83"/>
      <c r="H35807" s="83"/>
      <c r="K35807" s="82"/>
      <c r="M35807" s="112"/>
      <c r="N35807" s="84"/>
    </row>
    <row r="35808" spans="1:14" s="2" customFormat="1">
      <c r="A35808" s="83"/>
      <c r="H35808" s="83"/>
      <c r="K35808" s="82"/>
      <c r="M35808" s="112"/>
      <c r="N35808" s="84"/>
    </row>
    <row r="35809" spans="1:14" s="2" customFormat="1">
      <c r="A35809" s="83"/>
      <c r="H35809" s="83"/>
      <c r="K35809" s="82"/>
      <c r="M35809" s="112"/>
      <c r="N35809" s="84"/>
    </row>
    <row r="35810" spans="1:14" s="2" customFormat="1">
      <c r="A35810" s="83"/>
      <c r="H35810" s="83"/>
      <c r="K35810" s="82"/>
      <c r="M35810" s="112"/>
      <c r="N35810" s="84"/>
    </row>
    <row r="35811" spans="1:14" s="2" customFormat="1">
      <c r="A35811" s="83"/>
      <c r="H35811" s="83"/>
      <c r="K35811" s="82"/>
      <c r="M35811" s="112"/>
      <c r="N35811" s="84"/>
    </row>
    <row r="35812" spans="1:14" s="2" customFormat="1">
      <c r="A35812" s="83"/>
      <c r="H35812" s="83"/>
      <c r="K35812" s="82"/>
      <c r="M35812" s="112"/>
      <c r="N35812" s="84"/>
    </row>
    <row r="35813" spans="1:14" s="2" customFormat="1">
      <c r="A35813" s="83"/>
      <c r="H35813" s="83"/>
      <c r="K35813" s="82"/>
      <c r="M35813" s="112"/>
      <c r="N35813" s="84"/>
    </row>
    <row r="35814" spans="1:14" s="2" customFormat="1">
      <c r="A35814" s="83"/>
      <c r="H35814" s="83"/>
      <c r="K35814" s="82"/>
      <c r="M35814" s="112"/>
      <c r="N35814" s="84"/>
    </row>
    <row r="35815" spans="1:14" s="2" customFormat="1">
      <c r="A35815" s="83"/>
      <c r="H35815" s="83"/>
      <c r="K35815" s="82"/>
      <c r="M35815" s="112"/>
      <c r="N35815" s="84"/>
    </row>
    <row r="35816" spans="1:14" s="2" customFormat="1">
      <c r="A35816" s="83"/>
      <c r="H35816" s="83"/>
      <c r="K35816" s="82"/>
      <c r="M35816" s="112"/>
      <c r="N35816" s="84"/>
    </row>
    <row r="35817" spans="1:14" s="2" customFormat="1">
      <c r="A35817" s="83"/>
      <c r="H35817" s="83"/>
      <c r="K35817" s="82"/>
      <c r="M35817" s="112"/>
      <c r="N35817" s="84"/>
    </row>
    <row r="35818" spans="1:14" s="2" customFormat="1">
      <c r="A35818" s="83"/>
      <c r="H35818" s="83"/>
      <c r="K35818" s="82"/>
      <c r="M35818" s="112"/>
      <c r="N35818" s="84"/>
    </row>
    <row r="35819" spans="1:14" s="2" customFormat="1">
      <c r="A35819" s="83"/>
      <c r="H35819" s="83"/>
      <c r="K35819" s="82"/>
      <c r="M35819" s="112"/>
      <c r="N35819" s="84"/>
    </row>
    <row r="35820" spans="1:14" s="2" customFormat="1">
      <c r="A35820" s="83"/>
      <c r="H35820" s="83"/>
      <c r="K35820" s="82"/>
      <c r="M35820" s="112"/>
      <c r="N35820" s="84"/>
    </row>
    <row r="35821" spans="1:14" s="2" customFormat="1">
      <c r="A35821" s="83"/>
      <c r="H35821" s="83"/>
      <c r="K35821" s="82"/>
      <c r="M35821" s="112"/>
      <c r="N35821" s="84"/>
    </row>
    <row r="35822" spans="1:14" s="2" customFormat="1">
      <c r="A35822" s="83"/>
      <c r="H35822" s="83"/>
      <c r="K35822" s="82"/>
      <c r="M35822" s="112"/>
      <c r="N35822" s="84"/>
    </row>
    <row r="35823" spans="1:14" s="2" customFormat="1">
      <c r="A35823" s="83"/>
      <c r="H35823" s="83"/>
      <c r="K35823" s="82"/>
      <c r="M35823" s="112"/>
      <c r="N35823" s="84"/>
    </row>
    <row r="35824" spans="1:14" s="2" customFormat="1">
      <c r="A35824" s="83"/>
      <c r="H35824" s="83"/>
      <c r="K35824" s="82"/>
      <c r="M35824" s="112"/>
      <c r="N35824" s="84"/>
    </row>
    <row r="35825" spans="1:14" s="2" customFormat="1">
      <c r="A35825" s="83"/>
      <c r="H35825" s="83"/>
      <c r="K35825" s="82"/>
      <c r="M35825" s="112"/>
      <c r="N35825" s="84"/>
    </row>
    <row r="35826" spans="1:14" s="2" customFormat="1">
      <c r="A35826" s="83"/>
      <c r="H35826" s="83"/>
      <c r="K35826" s="82"/>
      <c r="M35826" s="112"/>
      <c r="N35826" s="84"/>
    </row>
    <row r="35827" spans="1:14" s="2" customFormat="1">
      <c r="A35827" s="83"/>
      <c r="H35827" s="83"/>
      <c r="K35827" s="82"/>
      <c r="M35827" s="112"/>
      <c r="N35827" s="84"/>
    </row>
    <row r="35828" spans="1:14" s="2" customFormat="1">
      <c r="A35828" s="83"/>
      <c r="H35828" s="83"/>
      <c r="K35828" s="82"/>
      <c r="M35828" s="112"/>
      <c r="N35828" s="84"/>
    </row>
    <row r="35829" spans="1:14" s="2" customFormat="1">
      <c r="A35829" s="83"/>
      <c r="H35829" s="83"/>
      <c r="K35829" s="82"/>
      <c r="M35829" s="112"/>
      <c r="N35829" s="84"/>
    </row>
    <row r="35830" spans="1:14" s="2" customFormat="1">
      <c r="A35830" s="83"/>
      <c r="H35830" s="83"/>
      <c r="K35830" s="82"/>
      <c r="M35830" s="112"/>
      <c r="N35830" s="84"/>
    </row>
    <row r="35831" spans="1:14" s="2" customFormat="1">
      <c r="A35831" s="83"/>
      <c r="H35831" s="83"/>
      <c r="K35831" s="82"/>
      <c r="M35831" s="112"/>
      <c r="N35831" s="84"/>
    </row>
    <row r="35832" spans="1:14" s="2" customFormat="1">
      <c r="A35832" s="83"/>
      <c r="H35832" s="83"/>
      <c r="K35832" s="82"/>
      <c r="M35832" s="112"/>
      <c r="N35832" s="84"/>
    </row>
    <row r="35833" spans="1:14" s="2" customFormat="1">
      <c r="A35833" s="83"/>
      <c r="H35833" s="83"/>
      <c r="K35833" s="82"/>
      <c r="M35833" s="112"/>
      <c r="N35833" s="84"/>
    </row>
    <row r="35834" spans="1:14" s="2" customFormat="1">
      <c r="A35834" s="83"/>
      <c r="H35834" s="83"/>
      <c r="K35834" s="82"/>
      <c r="M35834" s="112"/>
      <c r="N35834" s="84"/>
    </row>
    <row r="35835" spans="1:14" s="2" customFormat="1">
      <c r="A35835" s="83"/>
      <c r="H35835" s="83"/>
      <c r="K35835" s="82"/>
      <c r="M35835" s="112"/>
      <c r="N35835" s="84"/>
    </row>
    <row r="35836" spans="1:14" s="2" customFormat="1">
      <c r="A35836" s="83"/>
      <c r="H35836" s="83"/>
      <c r="K35836" s="82"/>
      <c r="M35836" s="112"/>
      <c r="N35836" s="84"/>
    </row>
    <row r="35837" spans="1:14" s="2" customFormat="1">
      <c r="A35837" s="83"/>
      <c r="H35837" s="83"/>
      <c r="K35837" s="82"/>
      <c r="M35837" s="112"/>
      <c r="N35837" s="84"/>
    </row>
    <row r="35838" spans="1:14" s="2" customFormat="1">
      <c r="A35838" s="83"/>
      <c r="H35838" s="83"/>
      <c r="K35838" s="82"/>
      <c r="M35838" s="112"/>
      <c r="N35838" s="84"/>
    </row>
    <row r="35839" spans="1:14" s="2" customFormat="1">
      <c r="A35839" s="83"/>
      <c r="H35839" s="83"/>
      <c r="K35839" s="82"/>
      <c r="M35839" s="112"/>
      <c r="N35839" s="84"/>
    </row>
    <row r="35840" spans="1:14" s="2" customFormat="1">
      <c r="A35840" s="83"/>
      <c r="H35840" s="83"/>
      <c r="K35840" s="82"/>
      <c r="M35840" s="112"/>
      <c r="N35840" s="84"/>
    </row>
    <row r="35841" spans="1:14" s="2" customFormat="1">
      <c r="A35841" s="83"/>
      <c r="H35841" s="83"/>
      <c r="K35841" s="82"/>
      <c r="M35841" s="112"/>
      <c r="N35841" s="84"/>
    </row>
    <row r="35842" spans="1:14" s="2" customFormat="1">
      <c r="A35842" s="83"/>
      <c r="H35842" s="83"/>
      <c r="K35842" s="82"/>
      <c r="M35842" s="112"/>
      <c r="N35842" s="84"/>
    </row>
    <row r="35843" spans="1:14" s="2" customFormat="1">
      <c r="A35843" s="83"/>
      <c r="H35843" s="83"/>
      <c r="K35843" s="82"/>
      <c r="M35843" s="112"/>
      <c r="N35843" s="84"/>
    </row>
    <row r="35844" spans="1:14" s="2" customFormat="1">
      <c r="A35844" s="83"/>
      <c r="H35844" s="83"/>
      <c r="K35844" s="82"/>
      <c r="M35844" s="112"/>
      <c r="N35844" s="84"/>
    </row>
    <row r="35845" spans="1:14" s="2" customFormat="1">
      <c r="A35845" s="83"/>
      <c r="H35845" s="83"/>
      <c r="K35845" s="82"/>
      <c r="M35845" s="112"/>
      <c r="N35845" s="84"/>
    </row>
    <row r="35846" spans="1:14" s="2" customFormat="1">
      <c r="A35846" s="83"/>
      <c r="H35846" s="83"/>
      <c r="K35846" s="82"/>
      <c r="M35846" s="112"/>
      <c r="N35846" s="84"/>
    </row>
    <row r="35847" spans="1:14" s="2" customFormat="1">
      <c r="A35847" s="83"/>
      <c r="H35847" s="83"/>
      <c r="K35847" s="82"/>
      <c r="M35847" s="112"/>
      <c r="N35847" s="84"/>
    </row>
    <row r="35848" spans="1:14" s="2" customFormat="1">
      <c r="A35848" s="83"/>
      <c r="H35848" s="83"/>
      <c r="K35848" s="82"/>
      <c r="M35848" s="112"/>
      <c r="N35848" s="84"/>
    </row>
    <row r="35849" spans="1:14" s="2" customFormat="1">
      <c r="A35849" s="83"/>
      <c r="H35849" s="83"/>
      <c r="K35849" s="82"/>
      <c r="M35849" s="112"/>
      <c r="N35849" s="84"/>
    </row>
    <row r="35850" spans="1:14" s="2" customFormat="1">
      <c r="A35850" s="83"/>
      <c r="H35850" s="83"/>
      <c r="K35850" s="82"/>
      <c r="M35850" s="112"/>
      <c r="N35850" s="84"/>
    </row>
    <row r="35851" spans="1:14" s="2" customFormat="1">
      <c r="A35851" s="83"/>
      <c r="H35851" s="83"/>
      <c r="K35851" s="82"/>
      <c r="M35851" s="112"/>
      <c r="N35851" s="84"/>
    </row>
    <row r="35852" spans="1:14" s="2" customFormat="1">
      <c r="A35852" s="83"/>
      <c r="H35852" s="83"/>
      <c r="K35852" s="82"/>
      <c r="M35852" s="112"/>
      <c r="N35852" s="84"/>
    </row>
    <row r="35853" spans="1:14" s="2" customFormat="1">
      <c r="A35853" s="83"/>
      <c r="H35853" s="83"/>
      <c r="K35853" s="82"/>
      <c r="M35853" s="112"/>
      <c r="N35853" s="84"/>
    </row>
    <row r="35854" spans="1:14" s="2" customFormat="1">
      <c r="A35854" s="83"/>
      <c r="H35854" s="83"/>
      <c r="K35854" s="82"/>
      <c r="M35854" s="112"/>
      <c r="N35854" s="84"/>
    </row>
    <row r="35855" spans="1:14" s="2" customFormat="1">
      <c r="A35855" s="83"/>
      <c r="H35855" s="83"/>
      <c r="K35855" s="82"/>
      <c r="M35855" s="112"/>
      <c r="N35855" s="84"/>
    </row>
    <row r="35856" spans="1:14" s="2" customFormat="1">
      <c r="A35856" s="83"/>
      <c r="H35856" s="83"/>
      <c r="K35856" s="82"/>
      <c r="M35856" s="112"/>
      <c r="N35856" s="84"/>
    </row>
    <row r="35857" spans="1:14" s="2" customFormat="1">
      <c r="A35857" s="83"/>
      <c r="H35857" s="83"/>
      <c r="K35857" s="82"/>
      <c r="M35857" s="112"/>
      <c r="N35857" s="84"/>
    </row>
    <row r="35858" spans="1:14" s="2" customFormat="1">
      <c r="A35858" s="83"/>
      <c r="H35858" s="83"/>
      <c r="K35858" s="82"/>
      <c r="M35858" s="112"/>
      <c r="N35858" s="84"/>
    </row>
    <row r="35859" spans="1:14" s="2" customFormat="1">
      <c r="A35859" s="83"/>
      <c r="H35859" s="83"/>
      <c r="K35859" s="82"/>
      <c r="M35859" s="112"/>
      <c r="N35859" s="84"/>
    </row>
    <row r="35860" spans="1:14" s="2" customFormat="1">
      <c r="A35860" s="83"/>
      <c r="H35860" s="83"/>
      <c r="K35860" s="82"/>
      <c r="M35860" s="112"/>
      <c r="N35860" s="84"/>
    </row>
    <row r="35861" spans="1:14" s="2" customFormat="1">
      <c r="A35861" s="83"/>
      <c r="H35861" s="83"/>
      <c r="K35861" s="82"/>
      <c r="M35861" s="112"/>
      <c r="N35861" s="84"/>
    </row>
    <row r="35862" spans="1:14" s="2" customFormat="1">
      <c r="A35862" s="83"/>
      <c r="H35862" s="83"/>
      <c r="K35862" s="82"/>
      <c r="M35862" s="112"/>
      <c r="N35862" s="84"/>
    </row>
    <row r="35863" spans="1:14" s="2" customFormat="1">
      <c r="A35863" s="83"/>
      <c r="H35863" s="83"/>
      <c r="K35863" s="82"/>
      <c r="M35863" s="112"/>
      <c r="N35863" s="84"/>
    </row>
    <row r="35864" spans="1:14" s="2" customFormat="1">
      <c r="A35864" s="83"/>
      <c r="H35864" s="83"/>
      <c r="K35864" s="82"/>
      <c r="M35864" s="112"/>
      <c r="N35864" s="84"/>
    </row>
    <row r="35865" spans="1:14" s="2" customFormat="1">
      <c r="A35865" s="83"/>
      <c r="H35865" s="83"/>
      <c r="K35865" s="82"/>
      <c r="M35865" s="112"/>
      <c r="N35865" s="84"/>
    </row>
    <row r="35866" spans="1:14" s="2" customFormat="1">
      <c r="A35866" s="83"/>
      <c r="H35866" s="83"/>
      <c r="K35866" s="82"/>
      <c r="M35866" s="112"/>
      <c r="N35866" s="84"/>
    </row>
    <row r="35867" spans="1:14" s="2" customFormat="1">
      <c r="A35867" s="83"/>
      <c r="H35867" s="83"/>
      <c r="K35867" s="82"/>
      <c r="M35867" s="112"/>
      <c r="N35867" s="84"/>
    </row>
    <row r="35868" spans="1:14" s="2" customFormat="1">
      <c r="A35868" s="83"/>
      <c r="H35868" s="83"/>
      <c r="K35868" s="82"/>
      <c r="M35868" s="112"/>
      <c r="N35868" s="84"/>
    </row>
    <row r="35869" spans="1:14" s="2" customFormat="1">
      <c r="A35869" s="83"/>
      <c r="H35869" s="83"/>
      <c r="K35869" s="82"/>
      <c r="M35869" s="112"/>
      <c r="N35869" s="84"/>
    </row>
    <row r="35870" spans="1:14" s="2" customFormat="1">
      <c r="A35870" s="83"/>
      <c r="H35870" s="83"/>
      <c r="K35870" s="82"/>
      <c r="M35870" s="112"/>
      <c r="N35870" s="84"/>
    </row>
    <row r="35871" spans="1:14" s="2" customFormat="1">
      <c r="A35871" s="83"/>
      <c r="H35871" s="83"/>
      <c r="K35871" s="82"/>
      <c r="M35871" s="112"/>
      <c r="N35871" s="84"/>
    </row>
    <row r="35872" spans="1:14" s="2" customFormat="1">
      <c r="A35872" s="83"/>
      <c r="H35872" s="83"/>
      <c r="K35872" s="82"/>
      <c r="M35872" s="112"/>
      <c r="N35872" s="84"/>
    </row>
    <row r="35873" spans="1:14" s="2" customFormat="1">
      <c r="A35873" s="83"/>
      <c r="H35873" s="83"/>
      <c r="K35873" s="82"/>
      <c r="M35873" s="112"/>
      <c r="N35873" s="84"/>
    </row>
    <row r="35874" spans="1:14" s="2" customFormat="1">
      <c r="A35874" s="83"/>
      <c r="H35874" s="83"/>
      <c r="K35874" s="82"/>
      <c r="M35874" s="112"/>
      <c r="N35874" s="84"/>
    </row>
    <row r="35875" spans="1:14" s="2" customFormat="1">
      <c r="A35875" s="83"/>
      <c r="H35875" s="83"/>
      <c r="K35875" s="82"/>
      <c r="M35875" s="112"/>
      <c r="N35875" s="84"/>
    </row>
    <row r="35876" spans="1:14" s="2" customFormat="1">
      <c r="A35876" s="83"/>
      <c r="H35876" s="83"/>
      <c r="K35876" s="82"/>
      <c r="M35876" s="112"/>
      <c r="N35876" s="84"/>
    </row>
    <row r="35877" spans="1:14" s="2" customFormat="1">
      <c r="A35877" s="83"/>
      <c r="H35877" s="83"/>
      <c r="K35877" s="82"/>
      <c r="M35877" s="112"/>
      <c r="N35877" s="84"/>
    </row>
    <row r="35878" spans="1:14" s="2" customFormat="1">
      <c r="A35878" s="83"/>
      <c r="H35878" s="83"/>
      <c r="K35878" s="82"/>
      <c r="M35878" s="112"/>
      <c r="N35878" s="84"/>
    </row>
    <row r="35879" spans="1:14" s="2" customFormat="1">
      <c r="A35879" s="83"/>
      <c r="H35879" s="83"/>
      <c r="K35879" s="82"/>
      <c r="M35879" s="112"/>
      <c r="N35879" s="84"/>
    </row>
    <row r="35880" spans="1:14" s="2" customFormat="1">
      <c r="A35880" s="83"/>
      <c r="H35880" s="83"/>
      <c r="K35880" s="82"/>
      <c r="M35880" s="112"/>
      <c r="N35880" s="84"/>
    </row>
    <row r="35881" spans="1:14" s="2" customFormat="1">
      <c r="A35881" s="83"/>
      <c r="H35881" s="83"/>
      <c r="K35881" s="82"/>
      <c r="M35881" s="112"/>
      <c r="N35881" s="84"/>
    </row>
    <row r="35882" spans="1:14" s="2" customFormat="1">
      <c r="A35882" s="83"/>
      <c r="H35882" s="83"/>
      <c r="K35882" s="82"/>
      <c r="M35882" s="112"/>
      <c r="N35882" s="84"/>
    </row>
    <row r="35883" spans="1:14" s="2" customFormat="1">
      <c r="A35883" s="83"/>
      <c r="H35883" s="83"/>
      <c r="K35883" s="82"/>
      <c r="M35883" s="112"/>
      <c r="N35883" s="84"/>
    </row>
    <row r="35884" spans="1:14" s="2" customFormat="1">
      <c r="A35884" s="83"/>
      <c r="H35884" s="83"/>
      <c r="K35884" s="82"/>
      <c r="M35884" s="112"/>
      <c r="N35884" s="84"/>
    </row>
    <row r="35885" spans="1:14" s="2" customFormat="1">
      <c r="A35885" s="83"/>
      <c r="H35885" s="83"/>
      <c r="K35885" s="82"/>
      <c r="M35885" s="112"/>
      <c r="N35885" s="84"/>
    </row>
    <row r="35886" spans="1:14" s="2" customFormat="1">
      <c r="A35886" s="83"/>
      <c r="H35886" s="83"/>
      <c r="K35886" s="82"/>
      <c r="M35886" s="112"/>
      <c r="N35886" s="84"/>
    </row>
    <row r="35887" spans="1:14" s="2" customFormat="1">
      <c r="A35887" s="83"/>
      <c r="H35887" s="83"/>
      <c r="K35887" s="82"/>
      <c r="M35887" s="112"/>
      <c r="N35887" s="84"/>
    </row>
    <row r="35888" spans="1:14" s="2" customFormat="1">
      <c r="A35888" s="83"/>
      <c r="H35888" s="83"/>
      <c r="K35888" s="82"/>
      <c r="M35888" s="112"/>
      <c r="N35888" s="84"/>
    </row>
    <row r="35889" spans="1:14" s="2" customFormat="1">
      <c r="A35889" s="83"/>
      <c r="H35889" s="83"/>
      <c r="K35889" s="82"/>
      <c r="M35889" s="112"/>
      <c r="N35889" s="84"/>
    </row>
    <row r="35890" spans="1:14" s="2" customFormat="1">
      <c r="A35890" s="83"/>
      <c r="H35890" s="83"/>
      <c r="K35890" s="82"/>
      <c r="M35890" s="112"/>
      <c r="N35890" s="84"/>
    </row>
    <row r="35891" spans="1:14" s="2" customFormat="1">
      <c r="A35891" s="83"/>
      <c r="H35891" s="83"/>
      <c r="K35891" s="82"/>
      <c r="M35891" s="112"/>
      <c r="N35891" s="84"/>
    </row>
    <row r="35892" spans="1:14" s="2" customFormat="1">
      <c r="A35892" s="83"/>
      <c r="H35892" s="83"/>
      <c r="K35892" s="82"/>
      <c r="M35892" s="112"/>
      <c r="N35892" s="84"/>
    </row>
    <row r="35893" spans="1:14" s="2" customFormat="1">
      <c r="A35893" s="83"/>
      <c r="H35893" s="83"/>
      <c r="K35893" s="82"/>
      <c r="M35893" s="112"/>
      <c r="N35893" s="84"/>
    </row>
    <row r="35894" spans="1:14" s="2" customFormat="1">
      <c r="A35894" s="83"/>
      <c r="H35894" s="83"/>
      <c r="K35894" s="82"/>
      <c r="M35894" s="112"/>
      <c r="N35894" s="84"/>
    </row>
    <row r="35895" spans="1:14" s="2" customFormat="1">
      <c r="A35895" s="83"/>
      <c r="H35895" s="83"/>
      <c r="K35895" s="82"/>
      <c r="M35895" s="112"/>
      <c r="N35895" s="84"/>
    </row>
    <row r="35896" spans="1:14" s="2" customFormat="1">
      <c r="A35896" s="83"/>
      <c r="H35896" s="83"/>
      <c r="K35896" s="82"/>
      <c r="M35896" s="112"/>
      <c r="N35896" s="84"/>
    </row>
    <row r="35897" spans="1:14" s="2" customFormat="1">
      <c r="A35897" s="83"/>
      <c r="H35897" s="83"/>
      <c r="K35897" s="82"/>
      <c r="M35897" s="112"/>
      <c r="N35897" s="84"/>
    </row>
    <row r="35898" spans="1:14" s="2" customFormat="1">
      <c r="A35898" s="83"/>
      <c r="H35898" s="83"/>
      <c r="K35898" s="82"/>
      <c r="M35898" s="112"/>
      <c r="N35898" s="84"/>
    </row>
    <row r="35899" spans="1:14" s="2" customFormat="1">
      <c r="A35899" s="83"/>
      <c r="H35899" s="83"/>
      <c r="K35899" s="82"/>
      <c r="M35899" s="112"/>
      <c r="N35899" s="84"/>
    </row>
    <row r="35900" spans="1:14" s="2" customFormat="1">
      <c r="A35900" s="83"/>
      <c r="H35900" s="83"/>
      <c r="K35900" s="82"/>
      <c r="M35900" s="112"/>
      <c r="N35900" s="84"/>
    </row>
    <row r="35901" spans="1:14" s="2" customFormat="1">
      <c r="A35901" s="83"/>
      <c r="H35901" s="83"/>
      <c r="K35901" s="82"/>
      <c r="M35901" s="112"/>
      <c r="N35901" s="84"/>
    </row>
    <row r="35902" spans="1:14" s="2" customFormat="1">
      <c r="A35902" s="83"/>
      <c r="H35902" s="83"/>
      <c r="K35902" s="82"/>
      <c r="M35902" s="112"/>
      <c r="N35902" s="84"/>
    </row>
    <row r="35903" spans="1:14" s="2" customFormat="1">
      <c r="A35903" s="83"/>
      <c r="H35903" s="83"/>
      <c r="K35903" s="82"/>
      <c r="M35903" s="112"/>
      <c r="N35903" s="84"/>
    </row>
    <row r="35904" spans="1:14" s="2" customFormat="1">
      <c r="A35904" s="83"/>
      <c r="H35904" s="83"/>
      <c r="K35904" s="82"/>
      <c r="M35904" s="112"/>
      <c r="N35904" s="84"/>
    </row>
    <row r="35905" spans="1:14" s="2" customFormat="1">
      <c r="A35905" s="83"/>
      <c r="H35905" s="83"/>
      <c r="K35905" s="82"/>
      <c r="M35905" s="112"/>
      <c r="N35905" s="84"/>
    </row>
    <row r="35906" spans="1:14" s="2" customFormat="1">
      <c r="A35906" s="83"/>
      <c r="H35906" s="83"/>
      <c r="K35906" s="82"/>
      <c r="M35906" s="112"/>
      <c r="N35906" s="84"/>
    </row>
    <row r="35907" spans="1:14" s="2" customFormat="1">
      <c r="A35907" s="83"/>
      <c r="H35907" s="83"/>
      <c r="K35907" s="82"/>
      <c r="M35907" s="112"/>
      <c r="N35907" s="84"/>
    </row>
    <row r="35908" spans="1:14" s="2" customFormat="1">
      <c r="A35908" s="83"/>
      <c r="H35908" s="83"/>
      <c r="K35908" s="82"/>
      <c r="M35908" s="112"/>
      <c r="N35908" s="84"/>
    </row>
    <row r="35909" spans="1:14" s="2" customFormat="1">
      <c r="A35909" s="83"/>
      <c r="H35909" s="83"/>
      <c r="K35909" s="82"/>
      <c r="M35909" s="112"/>
      <c r="N35909" s="84"/>
    </row>
    <row r="35910" spans="1:14" s="2" customFormat="1">
      <c r="A35910" s="83"/>
      <c r="H35910" s="83"/>
      <c r="K35910" s="82"/>
      <c r="M35910" s="112"/>
      <c r="N35910" s="84"/>
    </row>
    <row r="35911" spans="1:14" s="2" customFormat="1">
      <c r="A35911" s="83"/>
      <c r="H35911" s="83"/>
      <c r="K35911" s="82"/>
      <c r="M35911" s="112"/>
      <c r="N35911" s="84"/>
    </row>
    <row r="35912" spans="1:14" s="2" customFormat="1">
      <c r="A35912" s="83"/>
      <c r="H35912" s="83"/>
      <c r="K35912" s="82"/>
      <c r="M35912" s="112"/>
      <c r="N35912" s="84"/>
    </row>
    <row r="35913" spans="1:14" s="2" customFormat="1">
      <c r="A35913" s="83"/>
      <c r="H35913" s="83"/>
      <c r="K35913" s="82"/>
      <c r="M35913" s="112"/>
      <c r="N35913" s="84"/>
    </row>
    <row r="35914" spans="1:14" s="2" customFormat="1">
      <c r="A35914" s="83"/>
      <c r="H35914" s="83"/>
      <c r="K35914" s="82"/>
      <c r="M35914" s="112"/>
      <c r="N35914" s="84"/>
    </row>
    <row r="35915" spans="1:14" s="2" customFormat="1">
      <c r="A35915" s="83"/>
      <c r="H35915" s="83"/>
      <c r="K35915" s="82"/>
      <c r="M35915" s="112"/>
      <c r="N35915" s="84"/>
    </row>
    <row r="35916" spans="1:14" s="2" customFormat="1">
      <c r="A35916" s="83"/>
      <c r="H35916" s="83"/>
      <c r="K35916" s="82"/>
      <c r="M35916" s="112"/>
      <c r="N35916" s="84"/>
    </row>
    <row r="35917" spans="1:14" s="2" customFormat="1">
      <c r="A35917" s="83"/>
      <c r="H35917" s="83"/>
      <c r="K35917" s="82"/>
      <c r="M35917" s="112"/>
      <c r="N35917" s="84"/>
    </row>
    <row r="35918" spans="1:14" s="2" customFormat="1">
      <c r="A35918" s="83"/>
      <c r="H35918" s="83"/>
      <c r="K35918" s="82"/>
      <c r="M35918" s="112"/>
      <c r="N35918" s="84"/>
    </row>
    <row r="35919" spans="1:14" s="2" customFormat="1">
      <c r="A35919" s="83"/>
      <c r="H35919" s="83"/>
      <c r="K35919" s="82"/>
      <c r="M35919" s="112"/>
      <c r="N35919" s="84"/>
    </row>
    <row r="35920" spans="1:14" s="2" customFormat="1">
      <c r="A35920" s="83"/>
      <c r="H35920" s="83"/>
      <c r="K35920" s="82"/>
      <c r="M35920" s="112"/>
      <c r="N35920" s="84"/>
    </row>
    <row r="35921" spans="1:14" s="2" customFormat="1">
      <c r="A35921" s="83"/>
      <c r="H35921" s="83"/>
      <c r="K35921" s="82"/>
      <c r="M35921" s="112"/>
      <c r="N35921" s="84"/>
    </row>
    <row r="35922" spans="1:14" s="2" customFormat="1">
      <c r="A35922" s="83"/>
      <c r="H35922" s="83"/>
      <c r="K35922" s="82"/>
      <c r="M35922" s="112"/>
      <c r="N35922" s="84"/>
    </row>
    <row r="35923" spans="1:14" s="2" customFormat="1">
      <c r="A35923" s="83"/>
      <c r="H35923" s="83"/>
      <c r="K35923" s="82"/>
      <c r="M35923" s="112"/>
      <c r="N35923" s="84"/>
    </row>
    <row r="35924" spans="1:14" s="2" customFormat="1">
      <c r="A35924" s="83"/>
      <c r="H35924" s="83"/>
      <c r="K35924" s="82"/>
      <c r="M35924" s="112"/>
      <c r="N35924" s="84"/>
    </row>
    <row r="35925" spans="1:14" s="2" customFormat="1">
      <c r="A35925" s="83"/>
      <c r="H35925" s="83"/>
      <c r="K35925" s="82"/>
      <c r="M35925" s="112"/>
      <c r="N35925" s="84"/>
    </row>
    <row r="35926" spans="1:14" s="2" customFormat="1">
      <c r="A35926" s="83"/>
      <c r="H35926" s="83"/>
      <c r="K35926" s="82"/>
      <c r="M35926" s="112"/>
      <c r="N35926" s="84"/>
    </row>
    <row r="35927" spans="1:14" s="2" customFormat="1">
      <c r="A35927" s="83"/>
      <c r="H35927" s="83"/>
      <c r="K35927" s="82"/>
      <c r="M35927" s="112"/>
      <c r="N35927" s="84"/>
    </row>
    <row r="35928" spans="1:14" s="2" customFormat="1">
      <c r="A35928" s="83"/>
      <c r="H35928" s="83"/>
      <c r="K35928" s="82"/>
      <c r="M35928" s="112"/>
      <c r="N35928" s="84"/>
    </row>
    <row r="35929" spans="1:14" s="2" customFormat="1">
      <c r="A35929" s="83"/>
      <c r="H35929" s="83"/>
      <c r="K35929" s="82"/>
      <c r="M35929" s="112"/>
      <c r="N35929" s="84"/>
    </row>
    <row r="35930" spans="1:14" s="2" customFormat="1">
      <c r="A35930" s="83"/>
      <c r="H35930" s="83"/>
      <c r="K35930" s="82"/>
      <c r="M35930" s="112"/>
      <c r="N35930" s="84"/>
    </row>
    <row r="35931" spans="1:14" s="2" customFormat="1">
      <c r="A35931" s="83"/>
      <c r="H35931" s="83"/>
      <c r="K35931" s="82"/>
      <c r="M35931" s="112"/>
      <c r="N35931" s="84"/>
    </row>
    <row r="35932" spans="1:14" s="2" customFormat="1">
      <c r="A35932" s="83"/>
      <c r="H35932" s="83"/>
      <c r="K35932" s="82"/>
      <c r="M35932" s="112"/>
      <c r="N35932" s="84"/>
    </row>
    <row r="35933" spans="1:14" s="2" customFormat="1">
      <c r="A35933" s="83"/>
      <c r="H35933" s="83"/>
      <c r="K35933" s="82"/>
      <c r="M35933" s="112"/>
      <c r="N35933" s="84"/>
    </row>
    <row r="35934" spans="1:14" s="2" customFormat="1">
      <c r="A35934" s="83"/>
      <c r="H35934" s="83"/>
      <c r="K35934" s="82"/>
      <c r="M35934" s="112"/>
      <c r="N35934" s="84"/>
    </row>
    <row r="35935" spans="1:14" s="2" customFormat="1">
      <c r="A35935" s="83"/>
      <c r="H35935" s="83"/>
      <c r="K35935" s="82"/>
      <c r="M35935" s="112"/>
      <c r="N35935" s="84"/>
    </row>
    <row r="35936" spans="1:14" s="2" customFormat="1">
      <c r="A35936" s="83"/>
      <c r="H35936" s="83"/>
      <c r="K35936" s="82"/>
      <c r="M35936" s="112"/>
      <c r="N35936" s="84"/>
    </row>
    <row r="35937" spans="1:14" s="2" customFormat="1">
      <c r="A35937" s="83"/>
      <c r="H35937" s="83"/>
      <c r="K35937" s="82"/>
      <c r="M35937" s="112"/>
      <c r="N35937" s="84"/>
    </row>
    <row r="35938" spans="1:14" s="2" customFormat="1">
      <c r="A35938" s="83"/>
      <c r="H35938" s="83"/>
      <c r="K35938" s="82"/>
      <c r="M35938" s="112"/>
      <c r="N35938" s="84"/>
    </row>
    <row r="35939" spans="1:14" s="2" customFormat="1">
      <c r="A35939" s="83"/>
      <c r="H35939" s="83"/>
      <c r="K35939" s="82"/>
      <c r="M35939" s="112"/>
      <c r="N35939" s="84"/>
    </row>
    <row r="35940" spans="1:14" s="2" customFormat="1">
      <c r="A35940" s="83"/>
      <c r="H35940" s="83"/>
      <c r="K35940" s="82"/>
      <c r="M35940" s="112"/>
      <c r="N35940" s="84"/>
    </row>
    <row r="35941" spans="1:14" s="2" customFormat="1">
      <c r="A35941" s="83"/>
      <c r="H35941" s="83"/>
      <c r="K35941" s="82"/>
      <c r="M35941" s="112"/>
      <c r="N35941" s="84"/>
    </row>
    <row r="35942" spans="1:14" s="2" customFormat="1">
      <c r="A35942" s="83"/>
      <c r="H35942" s="83"/>
      <c r="K35942" s="82"/>
      <c r="M35942" s="112"/>
      <c r="N35942" s="84"/>
    </row>
    <row r="35943" spans="1:14" s="2" customFormat="1">
      <c r="A35943" s="83"/>
      <c r="H35943" s="83"/>
      <c r="K35943" s="82"/>
      <c r="M35943" s="112"/>
      <c r="N35943" s="84"/>
    </row>
    <row r="35944" spans="1:14" s="2" customFormat="1">
      <c r="A35944" s="83"/>
      <c r="H35944" s="83"/>
      <c r="K35944" s="82"/>
      <c r="M35944" s="112"/>
      <c r="N35944" s="84"/>
    </row>
    <row r="35945" spans="1:14" s="2" customFormat="1">
      <c r="A35945" s="83"/>
      <c r="H35945" s="83"/>
      <c r="K35945" s="82"/>
      <c r="M35945" s="112"/>
      <c r="N35945" s="84"/>
    </row>
    <row r="35946" spans="1:14" s="2" customFormat="1">
      <c r="A35946" s="83"/>
      <c r="H35946" s="83"/>
      <c r="K35946" s="82"/>
      <c r="M35946" s="112"/>
      <c r="N35946" s="84"/>
    </row>
    <row r="35947" spans="1:14" s="2" customFormat="1">
      <c r="A35947" s="83"/>
      <c r="H35947" s="83"/>
      <c r="K35947" s="82"/>
      <c r="M35947" s="112"/>
      <c r="N35947" s="84"/>
    </row>
    <row r="35948" spans="1:14" s="2" customFormat="1">
      <c r="A35948" s="83"/>
      <c r="H35948" s="83"/>
      <c r="K35948" s="82"/>
      <c r="M35948" s="112"/>
      <c r="N35948" s="84"/>
    </row>
    <row r="35949" spans="1:14" s="2" customFormat="1">
      <c r="A35949" s="83"/>
      <c r="H35949" s="83"/>
      <c r="K35949" s="82"/>
      <c r="M35949" s="112"/>
      <c r="N35949" s="84"/>
    </row>
    <row r="35950" spans="1:14" s="2" customFormat="1">
      <c r="A35950" s="83"/>
      <c r="H35950" s="83"/>
      <c r="K35950" s="82"/>
      <c r="M35950" s="112"/>
      <c r="N35950" s="84"/>
    </row>
    <row r="35951" spans="1:14" s="2" customFormat="1">
      <c r="A35951" s="83"/>
      <c r="H35951" s="83"/>
      <c r="K35951" s="82"/>
      <c r="M35951" s="112"/>
      <c r="N35951" s="84"/>
    </row>
    <row r="35952" spans="1:14" s="2" customFormat="1">
      <c r="A35952" s="83"/>
      <c r="H35952" s="83"/>
      <c r="K35952" s="82"/>
      <c r="M35952" s="112"/>
      <c r="N35952" s="84"/>
    </row>
    <row r="35953" spans="1:14" s="2" customFormat="1">
      <c r="A35953" s="83"/>
      <c r="H35953" s="83"/>
      <c r="K35953" s="82"/>
      <c r="M35953" s="112"/>
      <c r="N35953" s="84"/>
    </row>
    <row r="35954" spans="1:14" s="2" customFormat="1">
      <c r="A35954" s="83"/>
      <c r="H35954" s="83"/>
      <c r="K35954" s="82"/>
      <c r="M35954" s="112"/>
      <c r="N35954" s="84"/>
    </row>
    <row r="35955" spans="1:14" s="2" customFormat="1">
      <c r="A35955" s="83"/>
      <c r="H35955" s="83"/>
      <c r="K35955" s="82"/>
      <c r="M35955" s="112"/>
      <c r="N35955" s="84"/>
    </row>
    <row r="35956" spans="1:14" s="2" customFormat="1">
      <c r="A35956" s="83"/>
      <c r="H35956" s="83"/>
      <c r="K35956" s="82"/>
      <c r="M35956" s="112"/>
      <c r="N35956" s="84"/>
    </row>
    <row r="35957" spans="1:14" s="2" customFormat="1">
      <c r="A35957" s="83"/>
      <c r="H35957" s="83"/>
      <c r="K35957" s="82"/>
      <c r="M35957" s="112"/>
      <c r="N35957" s="84"/>
    </row>
    <row r="35958" spans="1:14" s="2" customFormat="1">
      <c r="A35958" s="83"/>
      <c r="H35958" s="83"/>
      <c r="K35958" s="82"/>
      <c r="M35958" s="112"/>
      <c r="N35958" s="84"/>
    </row>
    <row r="35959" spans="1:14" s="2" customFormat="1">
      <c r="A35959" s="83"/>
      <c r="H35959" s="83"/>
      <c r="K35959" s="82"/>
      <c r="M35959" s="112"/>
      <c r="N35959" s="84"/>
    </row>
    <row r="35960" spans="1:14" s="2" customFormat="1">
      <c r="A35960" s="83"/>
      <c r="H35960" s="83"/>
      <c r="K35960" s="82"/>
      <c r="M35960" s="112"/>
      <c r="N35960" s="84"/>
    </row>
    <row r="35961" spans="1:14" s="2" customFormat="1">
      <c r="A35961" s="83"/>
      <c r="H35961" s="83"/>
      <c r="K35961" s="82"/>
      <c r="M35961" s="112"/>
      <c r="N35961" s="84"/>
    </row>
    <row r="35962" spans="1:14" s="2" customFormat="1">
      <c r="A35962" s="83"/>
      <c r="H35962" s="83"/>
      <c r="K35962" s="82"/>
      <c r="M35962" s="112"/>
      <c r="N35962" s="84"/>
    </row>
    <row r="35963" spans="1:14" s="2" customFormat="1">
      <c r="A35963" s="83"/>
      <c r="H35963" s="83"/>
      <c r="K35963" s="82"/>
      <c r="M35963" s="112"/>
      <c r="N35963" s="84"/>
    </row>
    <row r="35964" spans="1:14" s="2" customFormat="1">
      <c r="A35964" s="83"/>
      <c r="H35964" s="83"/>
      <c r="K35964" s="82"/>
      <c r="M35964" s="112"/>
      <c r="N35964" s="84"/>
    </row>
    <row r="35965" spans="1:14" s="2" customFormat="1">
      <c r="A35965" s="83"/>
      <c r="H35965" s="83"/>
      <c r="K35965" s="82"/>
      <c r="M35965" s="112"/>
      <c r="N35965" s="84"/>
    </row>
    <row r="35966" spans="1:14" s="2" customFormat="1">
      <c r="A35966" s="83"/>
      <c r="H35966" s="83"/>
      <c r="K35966" s="82"/>
      <c r="M35966" s="112"/>
      <c r="N35966" s="84"/>
    </row>
    <row r="35967" spans="1:14" s="2" customFormat="1">
      <c r="A35967" s="83"/>
      <c r="H35967" s="83"/>
      <c r="K35967" s="82"/>
      <c r="M35967" s="112"/>
      <c r="N35967" s="84"/>
    </row>
    <row r="35968" spans="1:14" s="2" customFormat="1">
      <c r="A35968" s="83"/>
      <c r="H35968" s="83"/>
      <c r="K35968" s="82"/>
      <c r="M35968" s="112"/>
      <c r="N35968" s="84"/>
    </row>
    <row r="35969" spans="1:14" s="2" customFormat="1">
      <c r="A35969" s="83"/>
      <c r="H35969" s="83"/>
      <c r="K35969" s="82"/>
      <c r="M35969" s="112"/>
      <c r="N35969" s="84"/>
    </row>
    <row r="35970" spans="1:14" s="2" customFormat="1">
      <c r="A35970" s="83"/>
      <c r="H35970" s="83"/>
      <c r="K35970" s="82"/>
      <c r="M35970" s="112"/>
      <c r="N35970" s="84"/>
    </row>
    <row r="35971" spans="1:14" s="2" customFormat="1">
      <c r="A35971" s="83"/>
      <c r="H35971" s="83"/>
      <c r="K35971" s="82"/>
      <c r="M35971" s="112"/>
      <c r="N35971" s="84"/>
    </row>
    <row r="35972" spans="1:14" s="2" customFormat="1">
      <c r="A35972" s="83"/>
      <c r="H35972" s="83"/>
      <c r="K35972" s="82"/>
      <c r="M35972" s="112"/>
      <c r="N35972" s="84"/>
    </row>
    <row r="35973" spans="1:14" s="2" customFormat="1">
      <c r="A35973" s="83"/>
      <c r="H35973" s="83"/>
      <c r="K35973" s="82"/>
      <c r="M35973" s="112"/>
      <c r="N35973" s="84"/>
    </row>
    <row r="35974" spans="1:14" s="2" customFormat="1">
      <c r="A35974" s="83"/>
      <c r="H35974" s="83"/>
      <c r="K35974" s="82"/>
      <c r="M35974" s="112"/>
      <c r="N35974" s="84"/>
    </row>
    <row r="35975" spans="1:14" s="2" customFormat="1">
      <c r="A35975" s="83"/>
      <c r="H35975" s="83"/>
      <c r="K35975" s="82"/>
      <c r="M35975" s="112"/>
      <c r="N35975" s="84"/>
    </row>
    <row r="35976" spans="1:14" s="2" customFormat="1">
      <c r="A35976" s="83"/>
      <c r="H35976" s="83"/>
      <c r="K35976" s="82"/>
      <c r="M35976" s="112"/>
      <c r="N35976" s="84"/>
    </row>
    <row r="35977" spans="1:14" s="2" customFormat="1">
      <c r="A35977" s="83"/>
      <c r="H35977" s="83"/>
      <c r="K35977" s="82"/>
      <c r="M35977" s="112"/>
      <c r="N35977" s="84"/>
    </row>
    <row r="35978" spans="1:14" s="2" customFormat="1">
      <c r="A35978" s="83"/>
      <c r="H35978" s="83"/>
      <c r="K35978" s="82"/>
      <c r="M35978" s="112"/>
      <c r="N35978" s="84"/>
    </row>
    <row r="35979" spans="1:14" s="2" customFormat="1">
      <c r="A35979" s="83"/>
      <c r="H35979" s="83"/>
      <c r="K35979" s="82"/>
      <c r="M35979" s="112"/>
      <c r="N35979" s="84"/>
    </row>
    <row r="35980" spans="1:14" s="2" customFormat="1">
      <c r="A35980" s="83"/>
      <c r="H35980" s="83"/>
      <c r="K35980" s="82"/>
      <c r="M35980" s="112"/>
      <c r="N35980" s="84"/>
    </row>
    <row r="35981" spans="1:14" s="2" customFormat="1">
      <c r="A35981" s="83"/>
      <c r="H35981" s="83"/>
      <c r="K35981" s="82"/>
      <c r="M35981" s="112"/>
      <c r="N35981" s="84"/>
    </row>
    <row r="35982" spans="1:14" s="2" customFormat="1">
      <c r="A35982" s="83"/>
      <c r="H35982" s="83"/>
      <c r="K35982" s="82"/>
      <c r="M35982" s="112"/>
      <c r="N35982" s="84"/>
    </row>
    <row r="35983" spans="1:14" s="2" customFormat="1">
      <c r="A35983" s="83"/>
      <c r="H35983" s="83"/>
      <c r="K35983" s="82"/>
      <c r="M35983" s="112"/>
      <c r="N35983" s="84"/>
    </row>
    <row r="35984" spans="1:14" s="2" customFormat="1">
      <c r="A35984" s="83"/>
      <c r="H35984" s="83"/>
      <c r="K35984" s="82"/>
      <c r="M35984" s="112"/>
      <c r="N35984" s="84"/>
    </row>
    <row r="35985" spans="1:14" s="2" customFormat="1">
      <c r="A35985" s="83"/>
      <c r="H35985" s="83"/>
      <c r="K35985" s="82"/>
      <c r="M35985" s="112"/>
      <c r="N35985" s="84"/>
    </row>
    <row r="35986" spans="1:14" s="2" customFormat="1">
      <c r="A35986" s="83"/>
      <c r="H35986" s="83"/>
      <c r="K35986" s="82"/>
      <c r="M35986" s="112"/>
      <c r="N35986" s="84"/>
    </row>
    <row r="35987" spans="1:14" s="2" customFormat="1">
      <c r="A35987" s="83"/>
      <c r="H35987" s="83"/>
      <c r="K35987" s="82"/>
      <c r="M35987" s="112"/>
      <c r="N35987" s="84"/>
    </row>
    <row r="35988" spans="1:14" s="2" customFormat="1">
      <c r="A35988" s="83"/>
      <c r="H35988" s="83"/>
      <c r="K35988" s="82"/>
      <c r="M35988" s="112"/>
      <c r="N35988" s="84"/>
    </row>
    <row r="35989" spans="1:14" s="2" customFormat="1">
      <c r="A35989" s="83"/>
      <c r="H35989" s="83"/>
      <c r="K35989" s="82"/>
      <c r="M35989" s="112"/>
      <c r="N35989" s="84"/>
    </row>
    <row r="35990" spans="1:14" s="2" customFormat="1">
      <c r="A35990" s="83"/>
      <c r="H35990" s="83"/>
      <c r="K35990" s="82"/>
      <c r="M35990" s="112"/>
      <c r="N35990" s="84"/>
    </row>
    <row r="35991" spans="1:14" s="2" customFormat="1">
      <c r="A35991" s="83"/>
      <c r="H35991" s="83"/>
      <c r="K35991" s="82"/>
      <c r="M35991" s="112"/>
      <c r="N35991" s="84"/>
    </row>
    <row r="35992" spans="1:14" s="2" customFormat="1">
      <c r="A35992" s="83"/>
      <c r="H35992" s="83"/>
      <c r="K35992" s="82"/>
      <c r="M35992" s="112"/>
      <c r="N35992" s="84"/>
    </row>
    <row r="35993" spans="1:14" s="2" customFormat="1">
      <c r="A35993" s="83"/>
      <c r="H35993" s="83"/>
      <c r="K35993" s="82"/>
      <c r="M35993" s="112"/>
      <c r="N35993" s="84"/>
    </row>
    <row r="35994" spans="1:14" s="2" customFormat="1">
      <c r="A35994" s="83"/>
      <c r="H35994" s="83"/>
      <c r="K35994" s="82"/>
      <c r="M35994" s="112"/>
      <c r="N35994" s="84"/>
    </row>
    <row r="35995" spans="1:14" s="2" customFormat="1">
      <c r="A35995" s="83"/>
      <c r="H35995" s="83"/>
      <c r="K35995" s="82"/>
      <c r="M35995" s="112"/>
      <c r="N35995" s="84"/>
    </row>
    <row r="35996" spans="1:14" s="2" customFormat="1">
      <c r="A35996" s="83"/>
      <c r="H35996" s="83"/>
      <c r="K35996" s="82"/>
      <c r="M35996" s="112"/>
      <c r="N35996" s="84"/>
    </row>
    <row r="35997" spans="1:14" s="2" customFormat="1">
      <c r="A35997" s="83"/>
      <c r="H35997" s="83"/>
      <c r="K35997" s="82"/>
      <c r="M35997" s="112"/>
      <c r="N35997" s="84"/>
    </row>
    <row r="35998" spans="1:14" s="2" customFormat="1">
      <c r="A35998" s="83"/>
      <c r="H35998" s="83"/>
      <c r="K35998" s="82"/>
      <c r="M35998" s="112"/>
      <c r="N35998" s="84"/>
    </row>
    <row r="35999" spans="1:14" s="2" customFormat="1">
      <c r="A35999" s="83"/>
      <c r="H35999" s="83"/>
      <c r="K35999" s="82"/>
      <c r="M35999" s="112"/>
      <c r="N35999" s="84"/>
    </row>
    <row r="36000" spans="1:14" s="2" customFormat="1">
      <c r="A36000" s="83"/>
      <c r="H36000" s="83"/>
      <c r="K36000" s="82"/>
      <c r="M36000" s="112"/>
      <c r="N36000" s="84"/>
    </row>
    <row r="36001" spans="1:14" s="2" customFormat="1">
      <c r="A36001" s="83"/>
      <c r="H36001" s="83"/>
      <c r="K36001" s="82"/>
      <c r="M36001" s="112"/>
      <c r="N36001" s="84"/>
    </row>
    <row r="36002" spans="1:14" s="2" customFormat="1">
      <c r="A36002" s="83"/>
      <c r="H36002" s="83"/>
      <c r="K36002" s="82"/>
      <c r="M36002" s="112"/>
      <c r="N36002" s="84"/>
    </row>
    <row r="36003" spans="1:14" s="2" customFormat="1">
      <c r="A36003" s="83"/>
      <c r="H36003" s="83"/>
      <c r="K36003" s="82"/>
      <c r="M36003" s="112"/>
      <c r="N36003" s="84"/>
    </row>
    <row r="36004" spans="1:14" s="2" customFormat="1">
      <c r="A36004" s="83"/>
      <c r="H36004" s="83"/>
      <c r="K36004" s="82"/>
      <c r="M36004" s="112"/>
      <c r="N36004" s="84"/>
    </row>
    <row r="36005" spans="1:14" s="2" customFormat="1">
      <c r="A36005" s="83"/>
      <c r="H36005" s="83"/>
      <c r="K36005" s="82"/>
      <c r="M36005" s="112"/>
      <c r="N36005" s="84"/>
    </row>
    <row r="36006" spans="1:14" s="2" customFormat="1">
      <c r="A36006" s="83"/>
      <c r="H36006" s="83"/>
      <c r="K36006" s="82"/>
      <c r="M36006" s="112"/>
      <c r="N36006" s="84"/>
    </row>
    <row r="36007" spans="1:14" s="2" customFormat="1">
      <c r="A36007" s="83"/>
      <c r="H36007" s="83"/>
      <c r="K36007" s="82"/>
      <c r="M36007" s="112"/>
      <c r="N36007" s="84"/>
    </row>
    <row r="36008" spans="1:14" s="2" customFormat="1">
      <c r="A36008" s="83"/>
      <c r="H36008" s="83"/>
      <c r="K36008" s="82"/>
      <c r="M36008" s="112"/>
      <c r="N36008" s="84"/>
    </row>
    <row r="36009" spans="1:14" s="2" customFormat="1">
      <c r="A36009" s="83"/>
      <c r="H36009" s="83"/>
      <c r="K36009" s="82"/>
      <c r="M36009" s="112"/>
      <c r="N36009" s="84"/>
    </row>
    <row r="36010" spans="1:14" s="2" customFormat="1">
      <c r="A36010" s="83"/>
      <c r="H36010" s="83"/>
      <c r="K36010" s="82"/>
      <c r="M36010" s="112"/>
      <c r="N36010" s="84"/>
    </row>
    <row r="36011" spans="1:14" s="2" customFormat="1">
      <c r="A36011" s="83"/>
      <c r="H36011" s="83"/>
      <c r="K36011" s="82"/>
      <c r="M36011" s="112"/>
      <c r="N36011" s="84"/>
    </row>
    <row r="36012" spans="1:14" s="2" customFormat="1">
      <c r="A36012" s="83"/>
      <c r="H36012" s="83"/>
      <c r="K36012" s="82"/>
      <c r="M36012" s="112"/>
      <c r="N36012" s="84"/>
    </row>
    <row r="36013" spans="1:14" s="2" customFormat="1">
      <c r="A36013" s="83"/>
      <c r="H36013" s="83"/>
      <c r="K36013" s="82"/>
      <c r="M36013" s="112"/>
      <c r="N36013" s="84"/>
    </row>
    <row r="36014" spans="1:14" s="2" customFormat="1">
      <c r="A36014" s="83"/>
      <c r="H36014" s="83"/>
      <c r="K36014" s="82"/>
      <c r="M36014" s="112"/>
      <c r="N36014" s="84"/>
    </row>
    <row r="36015" spans="1:14" s="2" customFormat="1">
      <c r="A36015" s="83"/>
      <c r="H36015" s="83"/>
      <c r="K36015" s="82"/>
      <c r="M36015" s="112"/>
      <c r="N36015" s="84"/>
    </row>
    <row r="36016" spans="1:14" s="2" customFormat="1">
      <c r="A36016" s="83"/>
      <c r="H36016" s="83"/>
      <c r="K36016" s="82"/>
      <c r="M36016" s="112"/>
      <c r="N36016" s="84"/>
    </row>
    <row r="36017" spans="1:14" s="2" customFormat="1">
      <c r="A36017" s="83"/>
      <c r="H36017" s="83"/>
      <c r="K36017" s="82"/>
      <c r="M36017" s="112"/>
      <c r="N36017" s="84"/>
    </row>
    <row r="36018" spans="1:14" s="2" customFormat="1">
      <c r="A36018" s="83"/>
      <c r="H36018" s="83"/>
      <c r="K36018" s="82"/>
      <c r="M36018" s="112"/>
      <c r="N36018" s="84"/>
    </row>
    <row r="36019" spans="1:14" s="2" customFormat="1">
      <c r="A36019" s="83"/>
      <c r="H36019" s="83"/>
      <c r="K36019" s="82"/>
      <c r="M36019" s="112"/>
      <c r="N36019" s="84"/>
    </row>
    <row r="36020" spans="1:14" s="2" customFormat="1">
      <c r="A36020" s="83"/>
      <c r="H36020" s="83"/>
      <c r="K36020" s="82"/>
      <c r="M36020" s="112"/>
      <c r="N36020" s="84"/>
    </row>
    <row r="36021" spans="1:14" s="2" customFormat="1">
      <c r="A36021" s="83"/>
      <c r="H36021" s="83"/>
      <c r="K36021" s="82"/>
      <c r="M36021" s="112"/>
      <c r="N36021" s="84"/>
    </row>
    <row r="36022" spans="1:14" s="2" customFormat="1">
      <c r="A36022" s="83"/>
      <c r="H36022" s="83"/>
      <c r="K36022" s="82"/>
      <c r="M36022" s="112"/>
      <c r="N36022" s="84"/>
    </row>
    <row r="36023" spans="1:14" s="2" customFormat="1">
      <c r="A36023" s="83"/>
      <c r="H36023" s="83"/>
      <c r="K36023" s="82"/>
      <c r="M36023" s="112"/>
      <c r="N36023" s="84"/>
    </row>
    <row r="36024" spans="1:14" s="2" customFormat="1">
      <c r="A36024" s="83"/>
      <c r="H36024" s="83"/>
      <c r="K36024" s="82"/>
      <c r="M36024" s="112"/>
      <c r="N36024" s="84"/>
    </row>
    <row r="36025" spans="1:14" s="2" customFormat="1">
      <c r="A36025" s="83"/>
      <c r="H36025" s="83"/>
      <c r="K36025" s="82"/>
      <c r="M36025" s="112"/>
      <c r="N36025" s="84"/>
    </row>
    <row r="36026" spans="1:14" s="2" customFormat="1">
      <c r="A36026" s="83"/>
      <c r="H36026" s="83"/>
      <c r="K36026" s="82"/>
      <c r="M36026" s="112"/>
      <c r="N36026" s="84"/>
    </row>
    <row r="36027" spans="1:14" s="2" customFormat="1">
      <c r="A36027" s="83"/>
      <c r="H36027" s="83"/>
      <c r="K36027" s="82"/>
      <c r="M36027" s="112"/>
      <c r="N36027" s="84"/>
    </row>
    <row r="36028" spans="1:14" s="2" customFormat="1">
      <c r="A36028" s="83"/>
      <c r="H36028" s="83"/>
      <c r="K36028" s="82"/>
      <c r="M36028" s="112"/>
      <c r="N36028" s="84"/>
    </row>
    <row r="36029" spans="1:14" s="2" customFormat="1">
      <c r="A36029" s="83"/>
      <c r="H36029" s="83"/>
      <c r="K36029" s="82"/>
      <c r="M36029" s="112"/>
      <c r="N36029" s="84"/>
    </row>
    <row r="36030" spans="1:14" s="2" customFormat="1">
      <c r="A36030" s="83"/>
      <c r="H36030" s="83"/>
      <c r="K36030" s="82"/>
      <c r="M36030" s="112"/>
      <c r="N36030" s="84"/>
    </row>
    <row r="36031" spans="1:14" s="2" customFormat="1">
      <c r="A36031" s="83"/>
      <c r="H36031" s="83"/>
      <c r="K36031" s="82"/>
      <c r="M36031" s="112"/>
      <c r="N36031" s="84"/>
    </row>
    <row r="36032" spans="1:14" s="2" customFormat="1">
      <c r="A36032" s="83"/>
      <c r="H36032" s="83"/>
      <c r="K36032" s="82"/>
      <c r="M36032" s="112"/>
      <c r="N36032" s="84"/>
    </row>
    <row r="36033" spans="1:14" s="2" customFormat="1">
      <c r="A36033" s="83"/>
      <c r="H36033" s="83"/>
      <c r="K36033" s="82"/>
      <c r="M36033" s="112"/>
      <c r="N36033" s="84"/>
    </row>
    <row r="36034" spans="1:14" s="2" customFormat="1">
      <c r="A36034" s="83"/>
      <c r="H36034" s="83"/>
      <c r="K36034" s="82"/>
      <c r="M36034" s="112"/>
      <c r="N36034" s="84"/>
    </row>
    <row r="36035" spans="1:14" s="2" customFormat="1">
      <c r="A36035" s="83"/>
      <c r="H36035" s="83"/>
      <c r="K36035" s="82"/>
      <c r="M36035" s="112"/>
      <c r="N36035" s="84"/>
    </row>
    <row r="36036" spans="1:14" s="2" customFormat="1">
      <c r="A36036" s="83"/>
      <c r="H36036" s="83"/>
      <c r="K36036" s="82"/>
      <c r="M36036" s="112"/>
      <c r="N36036" s="84"/>
    </row>
    <row r="36037" spans="1:14" s="2" customFormat="1">
      <c r="A36037" s="83"/>
      <c r="H36037" s="83"/>
      <c r="K36037" s="82"/>
      <c r="M36037" s="112"/>
      <c r="N36037" s="84"/>
    </row>
    <row r="36038" spans="1:14" s="2" customFormat="1">
      <c r="A36038" s="83"/>
      <c r="H36038" s="83"/>
      <c r="K36038" s="82"/>
      <c r="M36038" s="112"/>
      <c r="N36038" s="84"/>
    </row>
    <row r="36039" spans="1:14" s="2" customFormat="1">
      <c r="A36039" s="83"/>
      <c r="H36039" s="83"/>
      <c r="K36039" s="82"/>
      <c r="M36039" s="112"/>
      <c r="N36039" s="84"/>
    </row>
    <row r="36040" spans="1:14" s="2" customFormat="1">
      <c r="A36040" s="83"/>
      <c r="H36040" s="83"/>
      <c r="K36040" s="82"/>
      <c r="M36040" s="112"/>
      <c r="N36040" s="84"/>
    </row>
    <row r="36041" spans="1:14" s="2" customFormat="1">
      <c r="A36041" s="83"/>
      <c r="H36041" s="83"/>
      <c r="K36041" s="82"/>
      <c r="M36041" s="112"/>
      <c r="N36041" s="84"/>
    </row>
    <row r="36042" spans="1:14" s="2" customFormat="1">
      <c r="A36042" s="83"/>
      <c r="H36042" s="83"/>
      <c r="K36042" s="82"/>
      <c r="M36042" s="112"/>
      <c r="N36042" s="84"/>
    </row>
    <row r="36043" spans="1:14" s="2" customFormat="1">
      <c r="A36043" s="83"/>
      <c r="H36043" s="83"/>
      <c r="K36043" s="82"/>
      <c r="M36043" s="112"/>
      <c r="N36043" s="84"/>
    </row>
    <row r="36044" spans="1:14" s="2" customFormat="1">
      <c r="A36044" s="83"/>
      <c r="H36044" s="83"/>
      <c r="K36044" s="82"/>
      <c r="M36044" s="112"/>
      <c r="N36044" s="84"/>
    </row>
    <row r="36045" spans="1:14" s="2" customFormat="1">
      <c r="A36045" s="83"/>
      <c r="H36045" s="83"/>
      <c r="K36045" s="82"/>
      <c r="M36045" s="112"/>
      <c r="N36045" s="84"/>
    </row>
    <row r="36046" spans="1:14" s="2" customFormat="1">
      <c r="A36046" s="83"/>
      <c r="H36046" s="83"/>
      <c r="K36046" s="82"/>
      <c r="M36046" s="112"/>
      <c r="N36046" s="84"/>
    </row>
    <row r="36047" spans="1:14" s="2" customFormat="1">
      <c r="A36047" s="83"/>
      <c r="H36047" s="83"/>
      <c r="K36047" s="82"/>
      <c r="M36047" s="112"/>
      <c r="N36047" s="84"/>
    </row>
    <row r="36048" spans="1:14" s="2" customFormat="1">
      <c r="A36048" s="83"/>
      <c r="H36048" s="83"/>
      <c r="K36048" s="82"/>
      <c r="M36048" s="112"/>
      <c r="N36048" s="84"/>
    </row>
    <row r="36049" spans="1:14" s="2" customFormat="1">
      <c r="A36049" s="83"/>
      <c r="H36049" s="83"/>
      <c r="K36049" s="82"/>
      <c r="M36049" s="112"/>
      <c r="N36049" s="84"/>
    </row>
    <row r="36050" spans="1:14" s="2" customFormat="1">
      <c r="A36050" s="83"/>
      <c r="H36050" s="83"/>
      <c r="K36050" s="82"/>
      <c r="M36050" s="112"/>
      <c r="N36050" s="84"/>
    </row>
    <row r="36051" spans="1:14" s="2" customFormat="1">
      <c r="A36051" s="83"/>
      <c r="H36051" s="83"/>
      <c r="K36051" s="82"/>
      <c r="M36051" s="112"/>
      <c r="N36051" s="84"/>
    </row>
    <row r="36052" spans="1:14" s="2" customFormat="1">
      <c r="A36052" s="83"/>
      <c r="H36052" s="83"/>
      <c r="K36052" s="82"/>
      <c r="M36052" s="112"/>
      <c r="N36052" s="84"/>
    </row>
    <row r="36053" spans="1:14" s="2" customFormat="1">
      <c r="A36053" s="83"/>
      <c r="H36053" s="83"/>
      <c r="K36053" s="82"/>
      <c r="M36053" s="112"/>
      <c r="N36053" s="84"/>
    </row>
    <row r="36054" spans="1:14" s="2" customFormat="1">
      <c r="A36054" s="83"/>
      <c r="H36054" s="83"/>
      <c r="K36054" s="82"/>
      <c r="M36054" s="112"/>
      <c r="N36054" s="84"/>
    </row>
    <row r="36055" spans="1:14" s="2" customFormat="1">
      <c r="A36055" s="83"/>
      <c r="H36055" s="83"/>
      <c r="K36055" s="82"/>
      <c r="M36055" s="112"/>
      <c r="N36055" s="84"/>
    </row>
    <row r="36056" spans="1:14" s="2" customFormat="1">
      <c r="A36056" s="83"/>
      <c r="H36056" s="83"/>
      <c r="K36056" s="82"/>
      <c r="M36056" s="112"/>
      <c r="N36056" s="84"/>
    </row>
    <row r="36057" spans="1:14" s="2" customFormat="1">
      <c r="A36057" s="83"/>
      <c r="H36057" s="83"/>
      <c r="K36057" s="82"/>
      <c r="M36057" s="112"/>
      <c r="N36057" s="84"/>
    </row>
    <row r="36058" spans="1:14" s="2" customFormat="1">
      <c r="A36058" s="83"/>
      <c r="H36058" s="83"/>
      <c r="K36058" s="82"/>
      <c r="M36058" s="112"/>
      <c r="N36058" s="84"/>
    </row>
    <row r="36059" spans="1:14" s="2" customFormat="1">
      <c r="A36059" s="83"/>
      <c r="H36059" s="83"/>
      <c r="K36059" s="82"/>
      <c r="M36059" s="112"/>
      <c r="N36059" s="84"/>
    </row>
    <row r="36060" spans="1:14" s="2" customFormat="1">
      <c r="A36060" s="83"/>
      <c r="H36060" s="83"/>
      <c r="K36060" s="82"/>
      <c r="M36060" s="112"/>
      <c r="N36060" s="84"/>
    </row>
    <row r="36061" spans="1:14" s="2" customFormat="1">
      <c r="A36061" s="83"/>
      <c r="H36061" s="83"/>
      <c r="K36061" s="82"/>
      <c r="M36061" s="112"/>
      <c r="N36061" s="84"/>
    </row>
    <row r="36062" spans="1:14" s="2" customFormat="1">
      <c r="A36062" s="83"/>
      <c r="H36062" s="83"/>
      <c r="K36062" s="82"/>
      <c r="M36062" s="112"/>
      <c r="N36062" s="84"/>
    </row>
    <row r="36063" spans="1:14" s="2" customFormat="1">
      <c r="A36063" s="83"/>
      <c r="H36063" s="83"/>
      <c r="K36063" s="82"/>
      <c r="M36063" s="112"/>
      <c r="N36063" s="84"/>
    </row>
    <row r="36064" spans="1:14" s="2" customFormat="1">
      <c r="A36064" s="83"/>
      <c r="H36064" s="83"/>
      <c r="K36064" s="82"/>
      <c r="M36064" s="112"/>
      <c r="N36064" s="84"/>
    </row>
    <row r="36065" spans="1:14" s="2" customFormat="1">
      <c r="A36065" s="83"/>
      <c r="H36065" s="83"/>
      <c r="K36065" s="82"/>
      <c r="M36065" s="112"/>
      <c r="N36065" s="84"/>
    </row>
    <row r="36066" spans="1:14" s="2" customFormat="1">
      <c r="A36066" s="83"/>
      <c r="H36066" s="83"/>
      <c r="K36066" s="82"/>
      <c r="M36066" s="112"/>
      <c r="N36066" s="84"/>
    </row>
    <row r="36067" spans="1:14" s="2" customFormat="1">
      <c r="A36067" s="83"/>
      <c r="H36067" s="83"/>
      <c r="K36067" s="82"/>
      <c r="M36067" s="112"/>
      <c r="N36067" s="84"/>
    </row>
    <row r="36068" spans="1:14" s="2" customFormat="1">
      <c r="A36068" s="83"/>
      <c r="H36068" s="83"/>
      <c r="K36068" s="82"/>
      <c r="M36068" s="112"/>
      <c r="N36068" s="84"/>
    </row>
    <row r="36069" spans="1:14" s="2" customFormat="1">
      <c r="A36069" s="83"/>
      <c r="H36069" s="83"/>
      <c r="K36069" s="82"/>
      <c r="M36069" s="112"/>
      <c r="N36069" s="84"/>
    </row>
    <row r="36070" spans="1:14" s="2" customFormat="1">
      <c r="A36070" s="83"/>
      <c r="H36070" s="83"/>
      <c r="K36070" s="82"/>
      <c r="M36070" s="112"/>
      <c r="N36070" s="84"/>
    </row>
    <row r="36071" spans="1:14" s="2" customFormat="1">
      <c r="A36071" s="83"/>
      <c r="H36071" s="83"/>
      <c r="K36071" s="82"/>
      <c r="M36071" s="112"/>
      <c r="N36071" s="84"/>
    </row>
    <row r="36072" spans="1:14" s="2" customFormat="1">
      <c r="A36072" s="83"/>
      <c r="H36072" s="83"/>
      <c r="K36072" s="82"/>
      <c r="M36072" s="112"/>
      <c r="N36072" s="84"/>
    </row>
    <row r="36073" spans="1:14" s="2" customFormat="1">
      <c r="A36073" s="83"/>
      <c r="H36073" s="83"/>
      <c r="K36073" s="82"/>
      <c r="M36073" s="112"/>
      <c r="N36073" s="84"/>
    </row>
    <row r="36074" spans="1:14" s="2" customFormat="1">
      <c r="A36074" s="83"/>
      <c r="H36074" s="83"/>
      <c r="K36074" s="82"/>
      <c r="M36074" s="112"/>
      <c r="N36074" s="84"/>
    </row>
    <row r="36075" spans="1:14" s="2" customFormat="1">
      <c r="A36075" s="83"/>
      <c r="H36075" s="83"/>
      <c r="K36075" s="82"/>
      <c r="M36075" s="112"/>
      <c r="N36075" s="84"/>
    </row>
    <row r="36076" spans="1:14" s="2" customFormat="1">
      <c r="A36076" s="83"/>
      <c r="H36076" s="83"/>
      <c r="K36076" s="82"/>
      <c r="M36076" s="112"/>
      <c r="N36076" s="84"/>
    </row>
    <row r="36077" spans="1:14" s="2" customFormat="1">
      <c r="A36077" s="83"/>
      <c r="H36077" s="83"/>
      <c r="K36077" s="82"/>
      <c r="M36077" s="112"/>
      <c r="N36077" s="84"/>
    </row>
    <row r="36078" spans="1:14" s="2" customFormat="1">
      <c r="A36078" s="83"/>
      <c r="H36078" s="83"/>
      <c r="K36078" s="82"/>
      <c r="M36078" s="112"/>
      <c r="N36078" s="84"/>
    </row>
    <row r="36079" spans="1:14" s="2" customFormat="1">
      <c r="A36079" s="83"/>
      <c r="H36079" s="83"/>
      <c r="K36079" s="82"/>
      <c r="M36079" s="112"/>
      <c r="N36079" s="84"/>
    </row>
    <row r="36080" spans="1:14" s="2" customFormat="1">
      <c r="A36080" s="83"/>
      <c r="H36080" s="83"/>
      <c r="K36080" s="82"/>
      <c r="M36080" s="112"/>
      <c r="N36080" s="84"/>
    </row>
    <row r="36081" spans="1:14" s="2" customFormat="1">
      <c r="A36081" s="83"/>
      <c r="H36081" s="83"/>
      <c r="K36081" s="82"/>
      <c r="M36081" s="112"/>
      <c r="N36081" s="84"/>
    </row>
    <row r="36082" spans="1:14" s="2" customFormat="1">
      <c r="A36082" s="83"/>
      <c r="H36082" s="83"/>
      <c r="K36082" s="82"/>
      <c r="M36082" s="112"/>
      <c r="N36082" s="84"/>
    </row>
    <row r="36083" spans="1:14" s="2" customFormat="1">
      <c r="A36083" s="83"/>
      <c r="H36083" s="83"/>
      <c r="K36083" s="82"/>
      <c r="M36083" s="112"/>
      <c r="N36083" s="84"/>
    </row>
    <row r="36084" spans="1:14" s="2" customFormat="1">
      <c r="A36084" s="83"/>
      <c r="H36084" s="83"/>
      <c r="K36084" s="82"/>
      <c r="M36084" s="112"/>
      <c r="N36084" s="84"/>
    </row>
    <row r="36085" spans="1:14" s="2" customFormat="1">
      <c r="A36085" s="83"/>
      <c r="H36085" s="83"/>
      <c r="K36085" s="82"/>
      <c r="M36085" s="112"/>
      <c r="N36085" s="84"/>
    </row>
    <row r="36086" spans="1:14" s="2" customFormat="1">
      <c r="A36086" s="83"/>
      <c r="H36086" s="83"/>
      <c r="K36086" s="82"/>
      <c r="M36086" s="112"/>
      <c r="N36086" s="84"/>
    </row>
    <row r="36087" spans="1:14" s="2" customFormat="1">
      <c r="A36087" s="83"/>
      <c r="H36087" s="83"/>
      <c r="K36087" s="82"/>
      <c r="M36087" s="112"/>
      <c r="N36087" s="84"/>
    </row>
    <row r="36088" spans="1:14" s="2" customFormat="1">
      <c r="A36088" s="83"/>
      <c r="H36088" s="83"/>
      <c r="K36088" s="82"/>
      <c r="M36088" s="112"/>
      <c r="N36088" s="84"/>
    </row>
    <row r="36089" spans="1:14" s="2" customFormat="1">
      <c r="A36089" s="83"/>
      <c r="H36089" s="83"/>
      <c r="K36089" s="82"/>
      <c r="M36089" s="112"/>
      <c r="N36089" s="84"/>
    </row>
    <row r="36090" spans="1:14" s="2" customFormat="1">
      <c r="A36090" s="83"/>
      <c r="H36090" s="83"/>
      <c r="K36090" s="82"/>
      <c r="M36090" s="112"/>
      <c r="N36090" s="84"/>
    </row>
    <row r="36091" spans="1:14" s="2" customFormat="1">
      <c r="A36091" s="83"/>
      <c r="H36091" s="83"/>
      <c r="K36091" s="82"/>
      <c r="M36091" s="112"/>
      <c r="N36091" s="84"/>
    </row>
    <row r="36092" spans="1:14" s="2" customFormat="1">
      <c r="A36092" s="83"/>
      <c r="H36092" s="83"/>
      <c r="K36092" s="82"/>
      <c r="M36092" s="112"/>
      <c r="N36092" s="84"/>
    </row>
    <row r="36093" spans="1:14" s="2" customFormat="1">
      <c r="A36093" s="83"/>
      <c r="H36093" s="83"/>
      <c r="K36093" s="82"/>
      <c r="M36093" s="112"/>
      <c r="N36093" s="84"/>
    </row>
    <row r="36094" spans="1:14" s="2" customFormat="1">
      <c r="A36094" s="83"/>
      <c r="H36094" s="83"/>
      <c r="K36094" s="82"/>
      <c r="M36094" s="112"/>
      <c r="N36094" s="84"/>
    </row>
    <row r="36095" spans="1:14" s="2" customFormat="1">
      <c r="A36095" s="83"/>
      <c r="H36095" s="83"/>
      <c r="K36095" s="82"/>
      <c r="M36095" s="112"/>
      <c r="N36095" s="84"/>
    </row>
    <row r="36096" spans="1:14" s="2" customFormat="1">
      <c r="A36096" s="83"/>
      <c r="H36096" s="83"/>
      <c r="K36096" s="82"/>
      <c r="M36096" s="112"/>
      <c r="N36096" s="84"/>
    </row>
    <row r="36097" spans="1:14" s="2" customFormat="1">
      <c r="A36097" s="83"/>
      <c r="H36097" s="83"/>
      <c r="K36097" s="82"/>
      <c r="M36097" s="112"/>
      <c r="N36097" s="84"/>
    </row>
    <row r="36098" spans="1:14" s="2" customFormat="1">
      <c r="A36098" s="83"/>
      <c r="H36098" s="83"/>
      <c r="K36098" s="82"/>
      <c r="M36098" s="112"/>
      <c r="N36098" s="84"/>
    </row>
    <row r="36099" spans="1:14" s="2" customFormat="1">
      <c r="A36099" s="83"/>
      <c r="H36099" s="83"/>
      <c r="K36099" s="82"/>
      <c r="M36099" s="112"/>
      <c r="N36099" s="84"/>
    </row>
    <row r="36100" spans="1:14" s="2" customFormat="1">
      <c r="A36100" s="83"/>
      <c r="H36100" s="83"/>
      <c r="K36100" s="82"/>
      <c r="M36100" s="112"/>
      <c r="N36100" s="84"/>
    </row>
    <row r="36101" spans="1:14" s="2" customFormat="1">
      <c r="A36101" s="83"/>
      <c r="H36101" s="83"/>
      <c r="K36101" s="82"/>
      <c r="M36101" s="112"/>
      <c r="N36101" s="84"/>
    </row>
    <row r="36102" spans="1:14" s="2" customFormat="1">
      <c r="A36102" s="83"/>
      <c r="H36102" s="83"/>
      <c r="K36102" s="82"/>
      <c r="M36102" s="112"/>
      <c r="N36102" s="84"/>
    </row>
    <row r="36103" spans="1:14" s="2" customFormat="1">
      <c r="A36103" s="83"/>
      <c r="H36103" s="83"/>
      <c r="K36103" s="82"/>
      <c r="M36103" s="112"/>
      <c r="N36103" s="84"/>
    </row>
    <row r="36104" spans="1:14" s="2" customFormat="1">
      <c r="A36104" s="83"/>
      <c r="H36104" s="83"/>
      <c r="K36104" s="82"/>
      <c r="M36104" s="112"/>
      <c r="N36104" s="84"/>
    </row>
    <row r="36105" spans="1:14" s="2" customFormat="1">
      <c r="A36105" s="83"/>
      <c r="H36105" s="83"/>
      <c r="K36105" s="82"/>
      <c r="M36105" s="112"/>
      <c r="N36105" s="84"/>
    </row>
    <row r="36106" spans="1:14" s="2" customFormat="1">
      <c r="A36106" s="83"/>
      <c r="H36106" s="83"/>
      <c r="K36106" s="82"/>
      <c r="M36106" s="112"/>
      <c r="N36106" s="84"/>
    </row>
    <row r="36107" spans="1:14" s="2" customFormat="1">
      <c r="A36107" s="83"/>
      <c r="H36107" s="83"/>
      <c r="K36107" s="82"/>
      <c r="M36107" s="112"/>
      <c r="N36107" s="84"/>
    </row>
    <row r="36108" spans="1:14" s="2" customFormat="1">
      <c r="A36108" s="83"/>
      <c r="H36108" s="83"/>
      <c r="K36108" s="82"/>
      <c r="M36108" s="112"/>
      <c r="N36108" s="84"/>
    </row>
    <row r="36109" spans="1:14" s="2" customFormat="1">
      <c r="A36109" s="83"/>
      <c r="H36109" s="83"/>
      <c r="K36109" s="82"/>
      <c r="M36109" s="112"/>
      <c r="N36109" s="84"/>
    </row>
    <row r="36110" spans="1:14" s="2" customFormat="1">
      <c r="A36110" s="83"/>
      <c r="H36110" s="83"/>
      <c r="K36110" s="82"/>
      <c r="M36110" s="112"/>
      <c r="N36110" s="84"/>
    </row>
    <row r="36111" spans="1:14" s="2" customFormat="1">
      <c r="A36111" s="83"/>
      <c r="H36111" s="83"/>
      <c r="K36111" s="82"/>
      <c r="M36111" s="112"/>
      <c r="N36111" s="84"/>
    </row>
    <row r="36112" spans="1:14" s="2" customFormat="1">
      <c r="A36112" s="83"/>
      <c r="H36112" s="83"/>
      <c r="K36112" s="82"/>
      <c r="M36112" s="112"/>
      <c r="N36112" s="84"/>
    </row>
    <row r="36113" spans="1:14" s="2" customFormat="1">
      <c r="A36113" s="83"/>
      <c r="H36113" s="83"/>
      <c r="K36113" s="82"/>
      <c r="M36113" s="112"/>
      <c r="N36113" s="84"/>
    </row>
    <row r="36114" spans="1:14" s="2" customFormat="1">
      <c r="A36114" s="83"/>
      <c r="H36114" s="83"/>
      <c r="K36114" s="82"/>
      <c r="M36114" s="112"/>
      <c r="N36114" s="84"/>
    </row>
    <row r="36115" spans="1:14" s="2" customFormat="1">
      <c r="A36115" s="83"/>
      <c r="H36115" s="83"/>
      <c r="K36115" s="82"/>
      <c r="M36115" s="112"/>
      <c r="N36115" s="84"/>
    </row>
    <row r="36116" spans="1:14" s="2" customFormat="1">
      <c r="A36116" s="83"/>
      <c r="H36116" s="83"/>
      <c r="K36116" s="82"/>
      <c r="M36116" s="112"/>
      <c r="N36116" s="84"/>
    </row>
    <row r="36117" spans="1:14" s="2" customFormat="1">
      <c r="A36117" s="83"/>
      <c r="H36117" s="83"/>
      <c r="K36117" s="82"/>
      <c r="M36117" s="112"/>
      <c r="N36117" s="84"/>
    </row>
    <row r="36118" spans="1:14" s="2" customFormat="1">
      <c r="A36118" s="83"/>
      <c r="H36118" s="83"/>
      <c r="K36118" s="82"/>
      <c r="M36118" s="112"/>
      <c r="N36118" s="84"/>
    </row>
    <row r="36119" spans="1:14" s="2" customFormat="1">
      <c r="A36119" s="83"/>
      <c r="H36119" s="83"/>
      <c r="K36119" s="82"/>
      <c r="M36119" s="112"/>
      <c r="N36119" s="84"/>
    </row>
    <row r="36120" spans="1:14" s="2" customFormat="1">
      <c r="A36120" s="83"/>
      <c r="H36120" s="83"/>
      <c r="K36120" s="82"/>
      <c r="M36120" s="112"/>
      <c r="N36120" s="84"/>
    </row>
    <row r="36121" spans="1:14" s="2" customFormat="1">
      <c r="A36121" s="83"/>
      <c r="H36121" s="83"/>
      <c r="K36121" s="82"/>
      <c r="M36121" s="112"/>
      <c r="N36121" s="84"/>
    </row>
    <row r="36122" spans="1:14" s="2" customFormat="1">
      <c r="A36122" s="83"/>
      <c r="H36122" s="83"/>
      <c r="K36122" s="82"/>
      <c r="M36122" s="112"/>
      <c r="N36122" s="84"/>
    </row>
    <row r="36123" spans="1:14" s="2" customFormat="1">
      <c r="A36123" s="83"/>
      <c r="H36123" s="83"/>
      <c r="K36123" s="82"/>
      <c r="M36123" s="112"/>
      <c r="N36123" s="84"/>
    </row>
    <row r="36124" spans="1:14" s="2" customFormat="1">
      <c r="A36124" s="83"/>
      <c r="H36124" s="83"/>
      <c r="K36124" s="82"/>
      <c r="M36124" s="112"/>
      <c r="N36124" s="84"/>
    </row>
    <row r="36125" spans="1:14" s="2" customFormat="1">
      <c r="A36125" s="83"/>
      <c r="H36125" s="83"/>
      <c r="K36125" s="82"/>
      <c r="M36125" s="112"/>
      <c r="N36125" s="84"/>
    </row>
    <row r="36126" spans="1:14" s="2" customFormat="1">
      <c r="A36126" s="83"/>
      <c r="H36126" s="83"/>
      <c r="K36126" s="82"/>
      <c r="M36126" s="112"/>
      <c r="N36126" s="84"/>
    </row>
    <row r="36127" spans="1:14" s="2" customFormat="1">
      <c r="A36127" s="83"/>
      <c r="H36127" s="83"/>
      <c r="K36127" s="82"/>
      <c r="M36127" s="112"/>
      <c r="N36127" s="84"/>
    </row>
    <row r="36128" spans="1:14" s="2" customFormat="1">
      <c r="A36128" s="83"/>
      <c r="H36128" s="83"/>
      <c r="K36128" s="82"/>
      <c r="M36128" s="112"/>
      <c r="N36128" s="84"/>
    </row>
    <row r="36129" spans="1:14" s="2" customFormat="1">
      <c r="A36129" s="83"/>
      <c r="H36129" s="83"/>
      <c r="K36129" s="82"/>
      <c r="M36129" s="112"/>
      <c r="N36129" s="84"/>
    </row>
    <row r="36130" spans="1:14" s="2" customFormat="1">
      <c r="A36130" s="83"/>
      <c r="H36130" s="83"/>
      <c r="K36130" s="82"/>
      <c r="M36130" s="112"/>
      <c r="N36130" s="84"/>
    </row>
    <row r="36131" spans="1:14" s="2" customFormat="1">
      <c r="A36131" s="83"/>
      <c r="H36131" s="83"/>
      <c r="K36131" s="82"/>
      <c r="M36131" s="112"/>
      <c r="N36131" s="84"/>
    </row>
    <row r="36132" spans="1:14" s="2" customFormat="1">
      <c r="A36132" s="83"/>
      <c r="H36132" s="83"/>
      <c r="K36132" s="82"/>
      <c r="M36132" s="112"/>
      <c r="N36132" s="84"/>
    </row>
    <row r="36133" spans="1:14" s="2" customFormat="1">
      <c r="A36133" s="83"/>
      <c r="H36133" s="83"/>
      <c r="K36133" s="82"/>
      <c r="M36133" s="112"/>
      <c r="N36133" s="84"/>
    </row>
    <row r="36134" spans="1:14" s="2" customFormat="1">
      <c r="A36134" s="83"/>
      <c r="H36134" s="83"/>
      <c r="K36134" s="82"/>
      <c r="M36134" s="112"/>
      <c r="N36134" s="84"/>
    </row>
    <row r="36135" spans="1:14" s="2" customFormat="1">
      <c r="A36135" s="83"/>
      <c r="H36135" s="83"/>
      <c r="K36135" s="82"/>
      <c r="M36135" s="112"/>
      <c r="N36135" s="84"/>
    </row>
    <row r="36136" spans="1:14" s="2" customFormat="1">
      <c r="A36136" s="83"/>
      <c r="H36136" s="83"/>
      <c r="K36136" s="82"/>
      <c r="M36136" s="112"/>
      <c r="N36136" s="84"/>
    </row>
    <row r="36137" spans="1:14" s="2" customFormat="1">
      <c r="A36137" s="83"/>
      <c r="H36137" s="83"/>
      <c r="K36137" s="82"/>
      <c r="M36137" s="112"/>
      <c r="N36137" s="84"/>
    </row>
    <row r="36138" spans="1:14" s="2" customFormat="1">
      <c r="A36138" s="83"/>
      <c r="H36138" s="83"/>
      <c r="K36138" s="82"/>
      <c r="M36138" s="112"/>
      <c r="N36138" s="84"/>
    </row>
    <row r="36139" spans="1:14" s="2" customFormat="1">
      <c r="A36139" s="83"/>
      <c r="H36139" s="83"/>
      <c r="K36139" s="82"/>
      <c r="M36139" s="112"/>
      <c r="N36139" s="84"/>
    </row>
    <row r="36140" spans="1:14" s="2" customFormat="1">
      <c r="A36140" s="83"/>
      <c r="H36140" s="83"/>
      <c r="K36140" s="82"/>
      <c r="M36140" s="112"/>
      <c r="N36140" s="84"/>
    </row>
    <row r="36141" spans="1:14" s="2" customFormat="1">
      <c r="A36141" s="83"/>
      <c r="H36141" s="83"/>
      <c r="K36141" s="82"/>
      <c r="M36141" s="112"/>
      <c r="N36141" s="84"/>
    </row>
    <row r="36142" spans="1:14" s="2" customFormat="1">
      <c r="A36142" s="83"/>
      <c r="H36142" s="83"/>
      <c r="K36142" s="82"/>
      <c r="M36142" s="112"/>
      <c r="N36142" s="84"/>
    </row>
    <row r="36143" spans="1:14" s="2" customFormat="1">
      <c r="A36143" s="83"/>
      <c r="H36143" s="83"/>
      <c r="K36143" s="82"/>
      <c r="M36143" s="112"/>
      <c r="N36143" s="84"/>
    </row>
    <row r="36144" spans="1:14" s="2" customFormat="1">
      <c r="A36144" s="83"/>
      <c r="H36144" s="83"/>
      <c r="K36144" s="82"/>
      <c r="M36144" s="112"/>
      <c r="N36144" s="84"/>
    </row>
    <row r="36145" spans="1:14" s="2" customFormat="1">
      <c r="A36145" s="83"/>
      <c r="H36145" s="83"/>
      <c r="K36145" s="82"/>
      <c r="M36145" s="112"/>
      <c r="N36145" s="84"/>
    </row>
    <row r="36146" spans="1:14" s="2" customFormat="1">
      <c r="A36146" s="83"/>
      <c r="H36146" s="83"/>
      <c r="K36146" s="82"/>
      <c r="M36146" s="112"/>
      <c r="N36146" s="84"/>
    </row>
    <row r="36147" spans="1:14" s="2" customFormat="1">
      <c r="A36147" s="83"/>
      <c r="H36147" s="83"/>
      <c r="K36147" s="82"/>
      <c r="M36147" s="112"/>
      <c r="N36147" s="84"/>
    </row>
    <row r="36148" spans="1:14" s="2" customFormat="1">
      <c r="A36148" s="83"/>
      <c r="H36148" s="83"/>
      <c r="K36148" s="82"/>
      <c r="M36148" s="112"/>
      <c r="N36148" s="84"/>
    </row>
    <row r="36149" spans="1:14" s="2" customFormat="1">
      <c r="A36149" s="83"/>
      <c r="H36149" s="83"/>
      <c r="K36149" s="82"/>
      <c r="M36149" s="112"/>
      <c r="N36149" s="84"/>
    </row>
    <row r="36150" spans="1:14" s="2" customFormat="1">
      <c r="A36150" s="83"/>
      <c r="H36150" s="83"/>
      <c r="K36150" s="82"/>
      <c r="M36150" s="112"/>
      <c r="N36150" s="84"/>
    </row>
    <row r="36151" spans="1:14" s="2" customFormat="1">
      <c r="A36151" s="83"/>
      <c r="H36151" s="83"/>
      <c r="K36151" s="82"/>
      <c r="M36151" s="112"/>
      <c r="N36151" s="84"/>
    </row>
    <row r="36152" spans="1:14" s="2" customFormat="1">
      <c r="A36152" s="83"/>
      <c r="H36152" s="83"/>
      <c r="K36152" s="82"/>
      <c r="M36152" s="112"/>
      <c r="N36152" s="84"/>
    </row>
    <row r="36153" spans="1:14" s="2" customFormat="1">
      <c r="A36153" s="83"/>
      <c r="H36153" s="83"/>
      <c r="K36153" s="82"/>
      <c r="M36153" s="112"/>
      <c r="N36153" s="84"/>
    </row>
    <row r="36154" spans="1:14" s="2" customFormat="1">
      <c r="A36154" s="83"/>
      <c r="H36154" s="83"/>
      <c r="K36154" s="82"/>
      <c r="M36154" s="112"/>
      <c r="N36154" s="84"/>
    </row>
    <row r="36155" spans="1:14" s="2" customFormat="1">
      <c r="A36155" s="83"/>
      <c r="H36155" s="83"/>
      <c r="K36155" s="82"/>
      <c r="M36155" s="112"/>
      <c r="N36155" s="84"/>
    </row>
    <row r="36156" spans="1:14" s="2" customFormat="1">
      <c r="A36156" s="83"/>
      <c r="H36156" s="83"/>
      <c r="K36156" s="82"/>
      <c r="M36156" s="112"/>
      <c r="N36156" s="84"/>
    </row>
    <row r="36157" spans="1:14" s="2" customFormat="1">
      <c r="A36157" s="83"/>
      <c r="H36157" s="83"/>
      <c r="K36157" s="82"/>
      <c r="M36157" s="112"/>
      <c r="N36157" s="84"/>
    </row>
    <row r="36158" spans="1:14" s="2" customFormat="1">
      <c r="A36158" s="83"/>
      <c r="H36158" s="83"/>
      <c r="K36158" s="82"/>
      <c r="M36158" s="112"/>
      <c r="N36158" s="84"/>
    </row>
    <row r="36159" spans="1:14" s="2" customFormat="1">
      <c r="A36159" s="83"/>
      <c r="H36159" s="83"/>
      <c r="K36159" s="82"/>
      <c r="M36159" s="112"/>
      <c r="N36159" s="84"/>
    </row>
    <row r="36160" spans="1:14" s="2" customFormat="1">
      <c r="A36160" s="83"/>
      <c r="H36160" s="83"/>
      <c r="K36160" s="82"/>
      <c r="M36160" s="112"/>
      <c r="N36160" s="84"/>
    </row>
    <row r="36161" spans="1:14" s="2" customFormat="1">
      <c r="A36161" s="83"/>
      <c r="H36161" s="83"/>
      <c r="K36161" s="82"/>
      <c r="M36161" s="112"/>
      <c r="N36161" s="84"/>
    </row>
    <row r="36162" spans="1:14" s="2" customFormat="1">
      <c r="A36162" s="83"/>
      <c r="H36162" s="83"/>
      <c r="K36162" s="82"/>
      <c r="M36162" s="112"/>
      <c r="N36162" s="84"/>
    </row>
    <row r="36163" spans="1:14" s="2" customFormat="1">
      <c r="A36163" s="83"/>
      <c r="H36163" s="83"/>
      <c r="K36163" s="82"/>
      <c r="M36163" s="112"/>
      <c r="N36163" s="84"/>
    </row>
    <row r="36164" spans="1:14" s="2" customFormat="1">
      <c r="A36164" s="83"/>
      <c r="H36164" s="83"/>
      <c r="K36164" s="82"/>
      <c r="M36164" s="112"/>
      <c r="N36164" s="84"/>
    </row>
    <row r="36165" spans="1:14" s="2" customFormat="1">
      <c r="A36165" s="83"/>
      <c r="H36165" s="83"/>
      <c r="K36165" s="82"/>
      <c r="M36165" s="112"/>
      <c r="N36165" s="84"/>
    </row>
    <row r="36166" spans="1:14" s="2" customFormat="1">
      <c r="A36166" s="83"/>
      <c r="H36166" s="83"/>
      <c r="K36166" s="82"/>
      <c r="M36166" s="112"/>
      <c r="N36166" s="84"/>
    </row>
    <row r="36167" spans="1:14" s="2" customFormat="1">
      <c r="A36167" s="83"/>
      <c r="H36167" s="83"/>
      <c r="K36167" s="82"/>
      <c r="M36167" s="112"/>
      <c r="N36167" s="84"/>
    </row>
    <row r="36168" spans="1:14" s="2" customFormat="1">
      <c r="A36168" s="83"/>
      <c r="H36168" s="83"/>
      <c r="K36168" s="82"/>
      <c r="M36168" s="112"/>
      <c r="N36168" s="84"/>
    </row>
    <row r="36169" spans="1:14" s="2" customFormat="1">
      <c r="A36169" s="83"/>
      <c r="H36169" s="83"/>
      <c r="K36169" s="82"/>
      <c r="M36169" s="112"/>
      <c r="N36169" s="84"/>
    </row>
    <row r="36170" spans="1:14" s="2" customFormat="1">
      <c r="A36170" s="83"/>
      <c r="H36170" s="83"/>
      <c r="K36170" s="82"/>
      <c r="M36170" s="112"/>
      <c r="N36170" s="84"/>
    </row>
    <row r="36171" spans="1:14" s="2" customFormat="1">
      <c r="A36171" s="83"/>
      <c r="H36171" s="83"/>
      <c r="K36171" s="82"/>
      <c r="M36171" s="112"/>
      <c r="N36171" s="84"/>
    </row>
    <row r="36172" spans="1:14" s="2" customFormat="1">
      <c r="A36172" s="83"/>
      <c r="H36172" s="83"/>
      <c r="K36172" s="82"/>
      <c r="M36172" s="112"/>
      <c r="N36172" s="84"/>
    </row>
    <row r="36173" spans="1:14" s="2" customFormat="1">
      <c r="A36173" s="83"/>
      <c r="H36173" s="83"/>
      <c r="K36173" s="82"/>
      <c r="M36173" s="112"/>
      <c r="N36173" s="84"/>
    </row>
    <row r="36174" spans="1:14" s="2" customFormat="1">
      <c r="A36174" s="83"/>
      <c r="H36174" s="83"/>
      <c r="K36174" s="82"/>
      <c r="M36174" s="112"/>
      <c r="N36174" s="84"/>
    </row>
    <row r="36175" spans="1:14" s="2" customFormat="1">
      <c r="A36175" s="83"/>
      <c r="H36175" s="83"/>
      <c r="K36175" s="82"/>
      <c r="M36175" s="112"/>
      <c r="N36175" s="84"/>
    </row>
    <row r="36176" spans="1:14" s="2" customFormat="1">
      <c r="A36176" s="83"/>
      <c r="H36176" s="83"/>
      <c r="K36176" s="82"/>
      <c r="M36176" s="112"/>
      <c r="N36176" s="84"/>
    </row>
    <row r="36177" spans="1:14" s="2" customFormat="1">
      <c r="A36177" s="83"/>
      <c r="H36177" s="83"/>
      <c r="K36177" s="82"/>
      <c r="M36177" s="112"/>
      <c r="N36177" s="84"/>
    </row>
    <row r="36178" spans="1:14" s="2" customFormat="1">
      <c r="A36178" s="83"/>
      <c r="H36178" s="83"/>
      <c r="K36178" s="82"/>
      <c r="M36178" s="112"/>
      <c r="N36178" s="84"/>
    </row>
    <row r="36179" spans="1:14" s="2" customFormat="1">
      <c r="A36179" s="83"/>
      <c r="H36179" s="83"/>
      <c r="K36179" s="82"/>
      <c r="M36179" s="112"/>
      <c r="N36179" s="84"/>
    </row>
    <row r="36180" spans="1:14" s="2" customFormat="1">
      <c r="A36180" s="83"/>
      <c r="H36180" s="83"/>
      <c r="K36180" s="82"/>
      <c r="M36180" s="112"/>
      <c r="N36180" s="84"/>
    </row>
    <row r="36181" spans="1:14" s="2" customFormat="1">
      <c r="A36181" s="83"/>
      <c r="H36181" s="83"/>
      <c r="K36181" s="82"/>
      <c r="M36181" s="112"/>
      <c r="N36181" s="84"/>
    </row>
    <row r="36182" spans="1:14" s="2" customFormat="1">
      <c r="A36182" s="83"/>
      <c r="H36182" s="83"/>
      <c r="K36182" s="82"/>
      <c r="M36182" s="112"/>
      <c r="N36182" s="84"/>
    </row>
    <row r="36183" spans="1:14" s="2" customFormat="1">
      <c r="A36183" s="83"/>
      <c r="H36183" s="83"/>
      <c r="K36183" s="82"/>
      <c r="M36183" s="112"/>
      <c r="N36183" s="84"/>
    </row>
    <row r="36184" spans="1:14" s="2" customFormat="1">
      <c r="A36184" s="83"/>
      <c r="H36184" s="83"/>
      <c r="K36184" s="82"/>
      <c r="M36184" s="112"/>
      <c r="N36184" s="84"/>
    </row>
    <row r="36185" spans="1:14" s="2" customFormat="1">
      <c r="A36185" s="83"/>
      <c r="H36185" s="83"/>
      <c r="K36185" s="82"/>
      <c r="M36185" s="112"/>
      <c r="N36185" s="84"/>
    </row>
    <row r="36186" spans="1:14" s="2" customFormat="1">
      <c r="A36186" s="83"/>
      <c r="H36186" s="83"/>
      <c r="K36186" s="82"/>
      <c r="M36186" s="112"/>
      <c r="N36186" s="84"/>
    </row>
    <row r="36187" spans="1:14" s="2" customFormat="1">
      <c r="A36187" s="83"/>
      <c r="H36187" s="83"/>
      <c r="K36187" s="82"/>
      <c r="M36187" s="112"/>
      <c r="N36187" s="84"/>
    </row>
    <row r="36188" spans="1:14" s="2" customFormat="1">
      <c r="A36188" s="83"/>
      <c r="H36188" s="83"/>
      <c r="K36188" s="82"/>
      <c r="M36188" s="112"/>
      <c r="N36188" s="84"/>
    </row>
    <row r="36189" spans="1:14" s="2" customFormat="1">
      <c r="A36189" s="83"/>
      <c r="H36189" s="83"/>
      <c r="K36189" s="82"/>
      <c r="M36189" s="112"/>
      <c r="N36189" s="84"/>
    </row>
    <row r="36190" spans="1:14" s="2" customFormat="1">
      <c r="A36190" s="83"/>
      <c r="H36190" s="83"/>
      <c r="K36190" s="82"/>
      <c r="M36190" s="112"/>
      <c r="N36190" s="84"/>
    </row>
    <row r="36191" spans="1:14" s="2" customFormat="1">
      <c r="A36191" s="83"/>
      <c r="H36191" s="83"/>
      <c r="K36191" s="82"/>
      <c r="M36191" s="112"/>
      <c r="N36191" s="84"/>
    </row>
    <row r="36192" spans="1:14" s="2" customFormat="1">
      <c r="A36192" s="83"/>
      <c r="H36192" s="83"/>
      <c r="K36192" s="82"/>
      <c r="M36192" s="112"/>
      <c r="N36192" s="84"/>
    </row>
    <row r="36193" spans="1:14" s="2" customFormat="1">
      <c r="A36193" s="83"/>
      <c r="H36193" s="83"/>
      <c r="K36193" s="82"/>
      <c r="M36193" s="112"/>
      <c r="N36193" s="84"/>
    </row>
    <row r="36194" spans="1:14" s="2" customFormat="1">
      <c r="A36194" s="83"/>
      <c r="H36194" s="83"/>
      <c r="K36194" s="82"/>
      <c r="M36194" s="112"/>
      <c r="N36194" s="84"/>
    </row>
    <row r="36195" spans="1:14" s="2" customFormat="1">
      <c r="A36195" s="83"/>
      <c r="H36195" s="83"/>
      <c r="K36195" s="82"/>
      <c r="M36195" s="112"/>
      <c r="N36195" s="84"/>
    </row>
    <row r="36196" spans="1:14" s="2" customFormat="1">
      <c r="A36196" s="83"/>
      <c r="H36196" s="83"/>
      <c r="K36196" s="82"/>
      <c r="M36196" s="112"/>
      <c r="N36196" s="84"/>
    </row>
    <row r="36197" spans="1:14" s="2" customFormat="1">
      <c r="A36197" s="83"/>
      <c r="H36197" s="83"/>
      <c r="K36197" s="82"/>
      <c r="M36197" s="112"/>
      <c r="N36197" s="84"/>
    </row>
    <row r="36198" spans="1:14" s="2" customFormat="1">
      <c r="A36198" s="83"/>
      <c r="H36198" s="83"/>
      <c r="K36198" s="82"/>
      <c r="M36198" s="112"/>
      <c r="N36198" s="84"/>
    </row>
    <row r="36199" spans="1:14" s="2" customFormat="1">
      <c r="A36199" s="83"/>
      <c r="H36199" s="83"/>
      <c r="K36199" s="82"/>
      <c r="M36199" s="112"/>
      <c r="N36199" s="84"/>
    </row>
    <row r="36200" spans="1:14" s="2" customFormat="1">
      <c r="A36200" s="83"/>
      <c r="H36200" s="83"/>
      <c r="K36200" s="82"/>
      <c r="M36200" s="112"/>
      <c r="N36200" s="84"/>
    </row>
    <row r="36201" spans="1:14" s="2" customFormat="1">
      <c r="A36201" s="83"/>
      <c r="H36201" s="83"/>
      <c r="K36201" s="82"/>
      <c r="M36201" s="112"/>
      <c r="N36201" s="84"/>
    </row>
    <row r="36202" spans="1:14" s="2" customFormat="1">
      <c r="A36202" s="83"/>
      <c r="H36202" s="83"/>
      <c r="K36202" s="82"/>
      <c r="M36202" s="112"/>
      <c r="N36202" s="84"/>
    </row>
    <row r="36203" spans="1:14" s="2" customFormat="1">
      <c r="A36203" s="83"/>
      <c r="H36203" s="83"/>
      <c r="K36203" s="82"/>
      <c r="M36203" s="112"/>
      <c r="N36203" s="84"/>
    </row>
    <row r="36204" spans="1:14" s="2" customFormat="1">
      <c r="A36204" s="83"/>
      <c r="H36204" s="83"/>
      <c r="K36204" s="82"/>
      <c r="M36204" s="112"/>
      <c r="N36204" s="84"/>
    </row>
    <row r="36205" spans="1:14" s="2" customFormat="1">
      <c r="A36205" s="83"/>
      <c r="H36205" s="83"/>
      <c r="K36205" s="82"/>
      <c r="M36205" s="112"/>
      <c r="N36205" s="84"/>
    </row>
    <row r="36206" spans="1:14" s="2" customFormat="1">
      <c r="A36206" s="83"/>
      <c r="H36206" s="83"/>
      <c r="K36206" s="82"/>
      <c r="M36206" s="112"/>
      <c r="N36206" s="84"/>
    </row>
    <row r="36207" spans="1:14" s="2" customFormat="1">
      <c r="A36207" s="83"/>
      <c r="H36207" s="83"/>
      <c r="K36207" s="82"/>
      <c r="M36207" s="112"/>
      <c r="N36207" s="84"/>
    </row>
    <row r="36208" spans="1:14" s="2" customFormat="1">
      <c r="A36208" s="83"/>
      <c r="H36208" s="83"/>
      <c r="K36208" s="82"/>
      <c r="M36208" s="112"/>
      <c r="N36208" s="84"/>
    </row>
    <row r="36209" spans="1:14" s="2" customFormat="1">
      <c r="A36209" s="83"/>
      <c r="H36209" s="83"/>
      <c r="K36209" s="82"/>
      <c r="M36209" s="112"/>
      <c r="N36209" s="84"/>
    </row>
    <row r="36210" spans="1:14" s="2" customFormat="1">
      <c r="A36210" s="83"/>
      <c r="H36210" s="83"/>
      <c r="K36210" s="82"/>
      <c r="M36210" s="112"/>
      <c r="N36210" s="84"/>
    </row>
    <row r="36211" spans="1:14" s="2" customFormat="1">
      <c r="A36211" s="83"/>
      <c r="H36211" s="83"/>
      <c r="K36211" s="82"/>
      <c r="M36211" s="112"/>
      <c r="N36211" s="84"/>
    </row>
    <row r="36212" spans="1:14" s="2" customFormat="1">
      <c r="A36212" s="83"/>
      <c r="H36212" s="83"/>
      <c r="K36212" s="82"/>
      <c r="M36212" s="112"/>
      <c r="N36212" s="84"/>
    </row>
    <row r="36213" spans="1:14" s="2" customFormat="1">
      <c r="A36213" s="83"/>
      <c r="H36213" s="83"/>
      <c r="K36213" s="82"/>
      <c r="M36213" s="112"/>
      <c r="N36213" s="84"/>
    </row>
    <row r="36214" spans="1:14" s="2" customFormat="1">
      <c r="A36214" s="83"/>
      <c r="H36214" s="83"/>
      <c r="K36214" s="82"/>
      <c r="M36214" s="112"/>
      <c r="N36214" s="84"/>
    </row>
    <row r="36215" spans="1:14" s="2" customFormat="1">
      <c r="A36215" s="83"/>
      <c r="H36215" s="83"/>
      <c r="K36215" s="82"/>
      <c r="M36215" s="112"/>
      <c r="N36215" s="84"/>
    </row>
    <row r="36216" spans="1:14" s="2" customFormat="1">
      <c r="A36216" s="83"/>
      <c r="H36216" s="83"/>
      <c r="K36216" s="82"/>
      <c r="M36216" s="112"/>
      <c r="N36216" s="84"/>
    </row>
    <row r="36217" spans="1:14" s="2" customFormat="1">
      <c r="A36217" s="83"/>
      <c r="H36217" s="83"/>
      <c r="K36217" s="82"/>
      <c r="M36217" s="112"/>
      <c r="N36217" s="84"/>
    </row>
    <row r="36218" spans="1:14" s="2" customFormat="1">
      <c r="A36218" s="83"/>
      <c r="H36218" s="83"/>
      <c r="K36218" s="82"/>
      <c r="M36218" s="112"/>
      <c r="N36218" s="84"/>
    </row>
    <row r="36219" spans="1:14" s="2" customFormat="1">
      <c r="A36219" s="83"/>
      <c r="H36219" s="83"/>
      <c r="K36219" s="82"/>
      <c r="M36219" s="112"/>
      <c r="N36219" s="84"/>
    </row>
    <row r="36220" spans="1:14" s="2" customFormat="1">
      <c r="A36220" s="83"/>
      <c r="H36220" s="83"/>
      <c r="K36220" s="82"/>
      <c r="M36220" s="112"/>
      <c r="N36220" s="84"/>
    </row>
    <row r="36221" spans="1:14" s="2" customFormat="1">
      <c r="A36221" s="83"/>
      <c r="H36221" s="83"/>
      <c r="K36221" s="82"/>
      <c r="M36221" s="112"/>
      <c r="N36221" s="84"/>
    </row>
    <row r="36222" spans="1:14" s="2" customFormat="1">
      <c r="A36222" s="83"/>
      <c r="H36222" s="83"/>
      <c r="K36222" s="82"/>
      <c r="M36222" s="112"/>
      <c r="N36222" s="84"/>
    </row>
    <row r="36223" spans="1:14" s="2" customFormat="1">
      <c r="A36223" s="83"/>
      <c r="H36223" s="83"/>
      <c r="K36223" s="82"/>
      <c r="M36223" s="112"/>
      <c r="N36223" s="84"/>
    </row>
    <row r="36224" spans="1:14" s="2" customFormat="1">
      <c r="A36224" s="83"/>
      <c r="H36224" s="83"/>
      <c r="K36224" s="82"/>
      <c r="M36224" s="112"/>
      <c r="N36224" s="84"/>
    </row>
    <row r="36225" spans="1:14" s="2" customFormat="1">
      <c r="A36225" s="83"/>
      <c r="H36225" s="83"/>
      <c r="K36225" s="82"/>
      <c r="M36225" s="112"/>
      <c r="N36225" s="84"/>
    </row>
    <row r="36226" spans="1:14" s="2" customFormat="1">
      <c r="A36226" s="83"/>
      <c r="H36226" s="83"/>
      <c r="K36226" s="82"/>
      <c r="M36226" s="112"/>
      <c r="N36226" s="84"/>
    </row>
    <row r="36227" spans="1:14" s="2" customFormat="1">
      <c r="A36227" s="83"/>
      <c r="H36227" s="83"/>
      <c r="K36227" s="82"/>
      <c r="M36227" s="112"/>
      <c r="N36227" s="84"/>
    </row>
    <row r="36228" spans="1:14" s="2" customFormat="1">
      <c r="A36228" s="83"/>
      <c r="H36228" s="83"/>
      <c r="K36228" s="82"/>
      <c r="M36228" s="112"/>
      <c r="N36228" s="84"/>
    </row>
    <row r="36229" spans="1:14" s="2" customFormat="1">
      <c r="A36229" s="83"/>
      <c r="H36229" s="83"/>
      <c r="K36229" s="82"/>
      <c r="M36229" s="112"/>
      <c r="N36229" s="84"/>
    </row>
    <row r="36230" spans="1:14" s="2" customFormat="1">
      <c r="A36230" s="83"/>
      <c r="H36230" s="83"/>
      <c r="K36230" s="82"/>
      <c r="M36230" s="112"/>
      <c r="N36230" s="84"/>
    </row>
    <row r="36231" spans="1:14" s="2" customFormat="1">
      <c r="A36231" s="83"/>
      <c r="H36231" s="83"/>
      <c r="K36231" s="82"/>
      <c r="M36231" s="112"/>
      <c r="N36231" s="84"/>
    </row>
    <row r="36232" spans="1:14" s="2" customFormat="1">
      <c r="A36232" s="83"/>
      <c r="H36232" s="83"/>
      <c r="K36232" s="82"/>
      <c r="M36232" s="112"/>
      <c r="N36232" s="84"/>
    </row>
    <row r="36233" spans="1:14" s="2" customFormat="1">
      <c r="A36233" s="83"/>
      <c r="H36233" s="83"/>
      <c r="K36233" s="82"/>
      <c r="M36233" s="112"/>
      <c r="N36233" s="84"/>
    </row>
    <row r="36234" spans="1:14" s="2" customFormat="1">
      <c r="A36234" s="83"/>
      <c r="H36234" s="83"/>
      <c r="K36234" s="82"/>
      <c r="M36234" s="112"/>
      <c r="N36234" s="84"/>
    </row>
    <row r="36235" spans="1:14" s="2" customFormat="1">
      <c r="A36235" s="83"/>
      <c r="H36235" s="83"/>
      <c r="K36235" s="82"/>
      <c r="M36235" s="112"/>
      <c r="N36235" s="84"/>
    </row>
    <row r="36236" spans="1:14" s="2" customFormat="1">
      <c r="A36236" s="83"/>
      <c r="H36236" s="83"/>
      <c r="K36236" s="82"/>
      <c r="M36236" s="112"/>
      <c r="N36236" s="84"/>
    </row>
    <row r="36237" spans="1:14" s="2" customFormat="1">
      <c r="A36237" s="83"/>
      <c r="H36237" s="83"/>
      <c r="K36237" s="82"/>
      <c r="M36237" s="112"/>
      <c r="N36237" s="84"/>
    </row>
    <row r="36238" spans="1:14" s="2" customFormat="1">
      <c r="A36238" s="83"/>
      <c r="H36238" s="83"/>
      <c r="K36238" s="82"/>
      <c r="M36238" s="112"/>
      <c r="N36238" s="84"/>
    </row>
    <row r="36239" spans="1:14" s="2" customFormat="1">
      <c r="A36239" s="83"/>
      <c r="H36239" s="83"/>
      <c r="K36239" s="82"/>
      <c r="M36239" s="112"/>
      <c r="N36239" s="84"/>
    </row>
    <row r="36240" spans="1:14" s="2" customFormat="1">
      <c r="A36240" s="83"/>
      <c r="H36240" s="83"/>
      <c r="K36240" s="82"/>
      <c r="M36240" s="112"/>
      <c r="N36240" s="84"/>
    </row>
    <row r="36241" spans="1:14" s="2" customFormat="1">
      <c r="A36241" s="83"/>
      <c r="H36241" s="83"/>
      <c r="K36241" s="82"/>
      <c r="M36241" s="112"/>
      <c r="N36241" s="84"/>
    </row>
    <row r="36242" spans="1:14" s="2" customFormat="1">
      <c r="A36242" s="83"/>
      <c r="H36242" s="83"/>
      <c r="K36242" s="82"/>
      <c r="M36242" s="112"/>
      <c r="N36242" s="84"/>
    </row>
    <row r="36243" spans="1:14" s="2" customFormat="1">
      <c r="A36243" s="83"/>
      <c r="H36243" s="83"/>
      <c r="K36243" s="82"/>
      <c r="M36243" s="112"/>
      <c r="N36243" s="84"/>
    </row>
    <row r="36244" spans="1:14" s="2" customFormat="1">
      <c r="A36244" s="83"/>
      <c r="H36244" s="83"/>
      <c r="K36244" s="82"/>
      <c r="M36244" s="112"/>
      <c r="N36244" s="84"/>
    </row>
    <row r="36245" spans="1:14" s="2" customFormat="1">
      <c r="A36245" s="83"/>
      <c r="H36245" s="83"/>
      <c r="K36245" s="82"/>
      <c r="M36245" s="112"/>
      <c r="N36245" s="84"/>
    </row>
    <row r="36246" spans="1:14" s="2" customFormat="1">
      <c r="A36246" s="83"/>
      <c r="H36246" s="83"/>
      <c r="K36246" s="82"/>
      <c r="M36246" s="112"/>
      <c r="N36246" s="84"/>
    </row>
    <row r="36247" spans="1:14" s="2" customFormat="1">
      <c r="A36247" s="83"/>
      <c r="H36247" s="83"/>
      <c r="K36247" s="82"/>
      <c r="M36247" s="112"/>
      <c r="N36247" s="84"/>
    </row>
    <row r="36248" spans="1:14" s="2" customFormat="1">
      <c r="A36248" s="83"/>
      <c r="H36248" s="83"/>
      <c r="K36248" s="82"/>
      <c r="M36248" s="112"/>
      <c r="N36248" s="84"/>
    </row>
    <row r="36249" spans="1:14" s="2" customFormat="1">
      <c r="A36249" s="83"/>
      <c r="H36249" s="83"/>
      <c r="K36249" s="82"/>
      <c r="M36249" s="112"/>
      <c r="N36249" s="84"/>
    </row>
    <row r="36250" spans="1:14" s="2" customFormat="1">
      <c r="A36250" s="83"/>
      <c r="H36250" s="83"/>
      <c r="K36250" s="82"/>
      <c r="M36250" s="112"/>
      <c r="N36250" s="84"/>
    </row>
    <row r="36251" spans="1:14" s="2" customFormat="1">
      <c r="A36251" s="83"/>
      <c r="H36251" s="83"/>
      <c r="K36251" s="82"/>
      <c r="M36251" s="112"/>
      <c r="N36251" s="84"/>
    </row>
    <row r="36252" spans="1:14" s="2" customFormat="1">
      <c r="A36252" s="83"/>
      <c r="H36252" s="83"/>
      <c r="K36252" s="82"/>
      <c r="M36252" s="112"/>
      <c r="N36252" s="84"/>
    </row>
    <row r="36253" spans="1:14" s="2" customFormat="1">
      <c r="A36253" s="83"/>
      <c r="H36253" s="83"/>
      <c r="K36253" s="82"/>
      <c r="M36253" s="112"/>
      <c r="N36253" s="84"/>
    </row>
    <row r="36254" spans="1:14" s="2" customFormat="1">
      <c r="A36254" s="83"/>
      <c r="H36254" s="83"/>
      <c r="K36254" s="82"/>
      <c r="M36254" s="112"/>
      <c r="N36254" s="84"/>
    </row>
    <row r="36255" spans="1:14" s="2" customFormat="1">
      <c r="A36255" s="83"/>
      <c r="H36255" s="83"/>
      <c r="K36255" s="82"/>
      <c r="M36255" s="112"/>
      <c r="N36255" s="84"/>
    </row>
    <row r="36256" spans="1:14" s="2" customFormat="1">
      <c r="A36256" s="83"/>
      <c r="H36256" s="83"/>
      <c r="K36256" s="82"/>
      <c r="M36256" s="112"/>
      <c r="N36256" s="84"/>
    </row>
    <row r="36257" spans="1:14" s="2" customFormat="1">
      <c r="A36257" s="83"/>
      <c r="H36257" s="83"/>
      <c r="K36257" s="82"/>
      <c r="M36257" s="112"/>
      <c r="N36257" s="84"/>
    </row>
    <row r="36258" spans="1:14" s="2" customFormat="1">
      <c r="A36258" s="83"/>
      <c r="H36258" s="83"/>
      <c r="K36258" s="82"/>
      <c r="M36258" s="112"/>
      <c r="N36258" s="84"/>
    </row>
    <row r="36259" spans="1:14" s="2" customFormat="1">
      <c r="A36259" s="83"/>
      <c r="H36259" s="83"/>
      <c r="K36259" s="82"/>
      <c r="M36259" s="112"/>
      <c r="N36259" s="84"/>
    </row>
    <row r="36260" spans="1:14" s="2" customFormat="1">
      <c r="A36260" s="83"/>
      <c r="H36260" s="83"/>
      <c r="K36260" s="82"/>
      <c r="M36260" s="112"/>
      <c r="N36260" s="84"/>
    </row>
    <row r="36261" spans="1:14" s="2" customFormat="1">
      <c r="A36261" s="83"/>
      <c r="H36261" s="83"/>
      <c r="K36261" s="82"/>
      <c r="M36261" s="112"/>
      <c r="N36261" s="84"/>
    </row>
    <row r="36262" spans="1:14" s="2" customFormat="1">
      <c r="A36262" s="83"/>
      <c r="H36262" s="83"/>
      <c r="K36262" s="82"/>
      <c r="M36262" s="112"/>
      <c r="N36262" s="84"/>
    </row>
    <row r="36263" spans="1:14" s="2" customFormat="1">
      <c r="A36263" s="83"/>
      <c r="H36263" s="83"/>
      <c r="K36263" s="82"/>
      <c r="M36263" s="112"/>
      <c r="N36263" s="84"/>
    </row>
    <row r="36264" spans="1:14" s="2" customFormat="1">
      <c r="A36264" s="83"/>
      <c r="H36264" s="83"/>
      <c r="K36264" s="82"/>
      <c r="M36264" s="112"/>
      <c r="N36264" s="84"/>
    </row>
    <row r="36265" spans="1:14" s="2" customFormat="1">
      <c r="A36265" s="83"/>
      <c r="H36265" s="83"/>
      <c r="K36265" s="82"/>
      <c r="M36265" s="112"/>
      <c r="N36265" s="84"/>
    </row>
    <row r="36266" spans="1:14" s="2" customFormat="1">
      <c r="A36266" s="83"/>
      <c r="H36266" s="83"/>
      <c r="K36266" s="82"/>
      <c r="M36266" s="112"/>
      <c r="N36266" s="84"/>
    </row>
    <row r="36267" spans="1:14" s="2" customFormat="1">
      <c r="A36267" s="83"/>
      <c r="H36267" s="83"/>
      <c r="K36267" s="82"/>
      <c r="M36267" s="112"/>
      <c r="N36267" s="84"/>
    </row>
    <row r="36268" spans="1:14" s="2" customFormat="1">
      <c r="A36268" s="83"/>
      <c r="H36268" s="83"/>
      <c r="K36268" s="82"/>
      <c r="M36268" s="112"/>
      <c r="N36268" s="84"/>
    </row>
    <row r="36269" spans="1:14" s="2" customFormat="1">
      <c r="A36269" s="83"/>
      <c r="H36269" s="83"/>
      <c r="K36269" s="82"/>
      <c r="M36269" s="112"/>
      <c r="N36269" s="84"/>
    </row>
    <row r="36270" spans="1:14" s="2" customFormat="1">
      <c r="A36270" s="83"/>
      <c r="H36270" s="83"/>
      <c r="K36270" s="82"/>
      <c r="M36270" s="112"/>
      <c r="N36270" s="84"/>
    </row>
    <row r="36271" spans="1:14" s="2" customFormat="1">
      <c r="A36271" s="83"/>
      <c r="H36271" s="83"/>
      <c r="K36271" s="82"/>
      <c r="M36271" s="112"/>
      <c r="N36271" s="84"/>
    </row>
    <row r="36272" spans="1:14" s="2" customFormat="1">
      <c r="A36272" s="83"/>
      <c r="H36272" s="83"/>
      <c r="K36272" s="82"/>
      <c r="M36272" s="112"/>
      <c r="N36272" s="84"/>
    </row>
    <row r="36273" spans="1:14" s="2" customFormat="1">
      <c r="A36273" s="83"/>
      <c r="H36273" s="83"/>
      <c r="K36273" s="82"/>
      <c r="M36273" s="112"/>
      <c r="N36273" s="84"/>
    </row>
    <row r="36274" spans="1:14" s="2" customFormat="1">
      <c r="A36274" s="83"/>
      <c r="H36274" s="83"/>
      <c r="K36274" s="82"/>
      <c r="M36274" s="112"/>
      <c r="N36274" s="84"/>
    </row>
    <row r="36275" spans="1:14" s="2" customFormat="1">
      <c r="A36275" s="83"/>
      <c r="H36275" s="83"/>
      <c r="K36275" s="82"/>
      <c r="M36275" s="112"/>
      <c r="N36275" s="84"/>
    </row>
    <row r="36276" spans="1:14" s="2" customFormat="1">
      <c r="A36276" s="83"/>
      <c r="H36276" s="83"/>
      <c r="K36276" s="82"/>
      <c r="M36276" s="112"/>
      <c r="N36276" s="84"/>
    </row>
    <row r="36277" spans="1:14" s="2" customFormat="1">
      <c r="A36277" s="83"/>
      <c r="H36277" s="83"/>
      <c r="K36277" s="82"/>
      <c r="M36277" s="112"/>
      <c r="N36277" s="84"/>
    </row>
    <row r="36278" spans="1:14" s="2" customFormat="1">
      <c r="A36278" s="83"/>
      <c r="H36278" s="83"/>
      <c r="K36278" s="82"/>
      <c r="M36278" s="112"/>
      <c r="N36278" s="84"/>
    </row>
    <row r="36279" spans="1:14" s="2" customFormat="1">
      <c r="A36279" s="83"/>
      <c r="H36279" s="83"/>
      <c r="K36279" s="82"/>
      <c r="M36279" s="112"/>
      <c r="N36279" s="84"/>
    </row>
    <row r="36280" spans="1:14" s="2" customFormat="1">
      <c r="A36280" s="83"/>
      <c r="H36280" s="83"/>
      <c r="K36280" s="82"/>
      <c r="M36280" s="112"/>
      <c r="N36280" s="84"/>
    </row>
    <row r="36281" spans="1:14" s="2" customFormat="1">
      <c r="A36281" s="83"/>
      <c r="H36281" s="83"/>
      <c r="K36281" s="82"/>
      <c r="M36281" s="112"/>
      <c r="N36281" s="84"/>
    </row>
    <row r="36282" spans="1:14" s="2" customFormat="1">
      <c r="A36282" s="83"/>
      <c r="H36282" s="83"/>
      <c r="K36282" s="82"/>
      <c r="M36282" s="112"/>
      <c r="N36282" s="84"/>
    </row>
    <row r="36283" spans="1:14" s="2" customFormat="1">
      <c r="A36283" s="83"/>
      <c r="H36283" s="83"/>
      <c r="K36283" s="82"/>
      <c r="M36283" s="112"/>
      <c r="N36283" s="84"/>
    </row>
    <row r="36284" spans="1:14" s="2" customFormat="1">
      <c r="A36284" s="83"/>
      <c r="H36284" s="83"/>
      <c r="K36284" s="82"/>
      <c r="M36284" s="112"/>
      <c r="N36284" s="84"/>
    </row>
    <row r="36285" spans="1:14" s="2" customFormat="1">
      <c r="A36285" s="83"/>
      <c r="H36285" s="83"/>
      <c r="K36285" s="82"/>
      <c r="M36285" s="112"/>
      <c r="N36285" s="84"/>
    </row>
    <row r="36286" spans="1:14" s="2" customFormat="1">
      <c r="A36286" s="83"/>
      <c r="H36286" s="83"/>
      <c r="K36286" s="82"/>
      <c r="M36286" s="112"/>
      <c r="N36286" s="84"/>
    </row>
    <row r="36287" spans="1:14" s="2" customFormat="1">
      <c r="A36287" s="83"/>
      <c r="H36287" s="83"/>
      <c r="K36287" s="82"/>
      <c r="M36287" s="112"/>
      <c r="N36287" s="84"/>
    </row>
    <row r="36288" spans="1:14" s="2" customFormat="1">
      <c r="A36288" s="83"/>
      <c r="H36288" s="83"/>
      <c r="K36288" s="82"/>
      <c r="M36288" s="112"/>
      <c r="N36288" s="84"/>
    </row>
    <row r="36289" spans="1:14" s="2" customFormat="1">
      <c r="A36289" s="83"/>
      <c r="H36289" s="83"/>
      <c r="K36289" s="82"/>
      <c r="M36289" s="112"/>
      <c r="N36289" s="84"/>
    </row>
    <row r="36290" spans="1:14" s="2" customFormat="1">
      <c r="A36290" s="83"/>
      <c r="H36290" s="83"/>
      <c r="K36290" s="82"/>
      <c r="M36290" s="112"/>
      <c r="N36290" s="84"/>
    </row>
    <row r="36291" spans="1:14" s="2" customFormat="1">
      <c r="A36291" s="83"/>
      <c r="H36291" s="83"/>
      <c r="K36291" s="82"/>
      <c r="M36291" s="112"/>
      <c r="N36291" s="84"/>
    </row>
    <row r="36292" spans="1:14" s="2" customFormat="1">
      <c r="A36292" s="83"/>
      <c r="H36292" s="83"/>
      <c r="K36292" s="82"/>
      <c r="M36292" s="112"/>
      <c r="N36292" s="84"/>
    </row>
    <row r="36293" spans="1:14" s="2" customFormat="1">
      <c r="A36293" s="83"/>
      <c r="H36293" s="83"/>
      <c r="K36293" s="82"/>
      <c r="M36293" s="112"/>
      <c r="N36293" s="84"/>
    </row>
    <row r="36294" spans="1:14" s="2" customFormat="1">
      <c r="A36294" s="83"/>
      <c r="H36294" s="83"/>
      <c r="K36294" s="82"/>
      <c r="M36294" s="112"/>
      <c r="N36294" s="84"/>
    </row>
    <row r="36295" spans="1:14" s="2" customFormat="1">
      <c r="A36295" s="83"/>
      <c r="H36295" s="83"/>
      <c r="K36295" s="82"/>
      <c r="M36295" s="112"/>
      <c r="N36295" s="84"/>
    </row>
    <row r="36296" spans="1:14" s="2" customFormat="1">
      <c r="A36296" s="83"/>
      <c r="H36296" s="83"/>
      <c r="K36296" s="82"/>
      <c r="M36296" s="112"/>
      <c r="N36296" s="84"/>
    </row>
    <row r="36297" spans="1:14" s="2" customFormat="1">
      <c r="A36297" s="83"/>
      <c r="H36297" s="83"/>
      <c r="K36297" s="82"/>
      <c r="M36297" s="112"/>
      <c r="N36297" s="84"/>
    </row>
    <row r="36298" spans="1:14" s="2" customFormat="1">
      <c r="A36298" s="83"/>
      <c r="H36298" s="83"/>
      <c r="K36298" s="82"/>
      <c r="M36298" s="112"/>
      <c r="N36298" s="84"/>
    </row>
    <row r="36299" spans="1:14" s="2" customFormat="1">
      <c r="A36299" s="83"/>
      <c r="H36299" s="83"/>
      <c r="K36299" s="82"/>
      <c r="M36299" s="112"/>
      <c r="N36299" s="84"/>
    </row>
    <row r="36300" spans="1:14" s="2" customFormat="1">
      <c r="A36300" s="83"/>
      <c r="H36300" s="83"/>
      <c r="K36300" s="82"/>
      <c r="M36300" s="112"/>
      <c r="N36300" s="84"/>
    </row>
    <row r="36301" spans="1:14" s="2" customFormat="1">
      <c r="A36301" s="83"/>
      <c r="H36301" s="83"/>
      <c r="K36301" s="82"/>
      <c r="M36301" s="112"/>
      <c r="N36301" s="84"/>
    </row>
    <row r="36302" spans="1:14" s="2" customFormat="1">
      <c r="A36302" s="83"/>
      <c r="H36302" s="83"/>
      <c r="K36302" s="82"/>
      <c r="M36302" s="112"/>
      <c r="N36302" s="84"/>
    </row>
    <row r="36303" spans="1:14" s="2" customFormat="1">
      <c r="A36303" s="83"/>
      <c r="H36303" s="83"/>
      <c r="K36303" s="82"/>
      <c r="M36303" s="112"/>
      <c r="N36303" s="84"/>
    </row>
    <row r="36304" spans="1:14" s="2" customFormat="1">
      <c r="A36304" s="83"/>
      <c r="H36304" s="83"/>
      <c r="K36304" s="82"/>
      <c r="M36304" s="112"/>
      <c r="N36304" s="84"/>
    </row>
    <row r="36305" spans="1:14" s="2" customFormat="1">
      <c r="A36305" s="83"/>
      <c r="H36305" s="83"/>
      <c r="K36305" s="82"/>
      <c r="M36305" s="112"/>
      <c r="N36305" s="84"/>
    </row>
    <row r="36306" spans="1:14" s="2" customFormat="1">
      <c r="A36306" s="83"/>
      <c r="H36306" s="83"/>
      <c r="K36306" s="82"/>
      <c r="M36306" s="112"/>
      <c r="N36306" s="84"/>
    </row>
    <row r="36307" spans="1:14" s="2" customFormat="1">
      <c r="A36307" s="83"/>
      <c r="H36307" s="83"/>
      <c r="K36307" s="82"/>
      <c r="M36307" s="112"/>
      <c r="N36307" s="84"/>
    </row>
    <row r="36308" spans="1:14" s="2" customFormat="1">
      <c r="A36308" s="83"/>
      <c r="H36308" s="83"/>
      <c r="K36308" s="82"/>
      <c r="M36308" s="112"/>
      <c r="N36308" s="84"/>
    </row>
    <row r="36309" spans="1:14" s="2" customFormat="1">
      <c r="A36309" s="83"/>
      <c r="H36309" s="83"/>
      <c r="K36309" s="82"/>
      <c r="M36309" s="112"/>
      <c r="N36309" s="84"/>
    </row>
    <row r="36310" spans="1:14" s="2" customFormat="1">
      <c r="A36310" s="83"/>
      <c r="H36310" s="83"/>
      <c r="K36310" s="82"/>
      <c r="M36310" s="112"/>
      <c r="N36310" s="84"/>
    </row>
    <row r="36311" spans="1:14" s="2" customFormat="1">
      <c r="A36311" s="83"/>
      <c r="H36311" s="83"/>
      <c r="K36311" s="82"/>
      <c r="M36311" s="112"/>
      <c r="N36311" s="84"/>
    </row>
    <row r="36312" spans="1:14" s="2" customFormat="1">
      <c r="A36312" s="83"/>
      <c r="H36312" s="83"/>
      <c r="K36312" s="82"/>
      <c r="M36312" s="112"/>
      <c r="N36312" s="84"/>
    </row>
    <row r="36313" spans="1:14" s="2" customFormat="1">
      <c r="A36313" s="83"/>
      <c r="H36313" s="83"/>
      <c r="K36313" s="82"/>
      <c r="M36313" s="112"/>
      <c r="N36313" s="84"/>
    </row>
    <row r="36314" spans="1:14" s="2" customFormat="1">
      <c r="A36314" s="83"/>
      <c r="H36314" s="83"/>
      <c r="K36314" s="82"/>
      <c r="M36314" s="112"/>
      <c r="N36314" s="84"/>
    </row>
    <row r="36315" spans="1:14" s="2" customFormat="1">
      <c r="A36315" s="83"/>
      <c r="H36315" s="83"/>
      <c r="K36315" s="82"/>
      <c r="M36315" s="112"/>
      <c r="N36315" s="84"/>
    </row>
    <row r="36316" spans="1:14" s="2" customFormat="1">
      <c r="A36316" s="83"/>
      <c r="H36316" s="83"/>
      <c r="K36316" s="82"/>
      <c r="M36316" s="112"/>
      <c r="N36316" s="84"/>
    </row>
    <row r="36317" spans="1:14" s="2" customFormat="1">
      <c r="A36317" s="83"/>
      <c r="H36317" s="83"/>
      <c r="K36317" s="82"/>
      <c r="M36317" s="112"/>
      <c r="N36317" s="84"/>
    </row>
    <row r="36318" spans="1:14" s="2" customFormat="1">
      <c r="A36318" s="83"/>
      <c r="H36318" s="83"/>
      <c r="K36318" s="82"/>
      <c r="M36318" s="112"/>
      <c r="N36318" s="84"/>
    </row>
    <row r="36319" spans="1:14" s="2" customFormat="1">
      <c r="A36319" s="83"/>
      <c r="H36319" s="83"/>
      <c r="K36319" s="82"/>
      <c r="M36319" s="112"/>
      <c r="N36319" s="84"/>
    </row>
    <row r="36320" spans="1:14" s="2" customFormat="1">
      <c r="A36320" s="83"/>
      <c r="H36320" s="83"/>
      <c r="K36320" s="82"/>
      <c r="M36320" s="112"/>
      <c r="N36320" s="84"/>
    </row>
    <row r="36321" spans="1:14" s="2" customFormat="1">
      <c r="A36321" s="83"/>
      <c r="H36321" s="83"/>
      <c r="K36321" s="82"/>
      <c r="M36321" s="112"/>
      <c r="N36321" s="84"/>
    </row>
    <row r="36322" spans="1:14" s="2" customFormat="1">
      <c r="A36322" s="83"/>
      <c r="H36322" s="83"/>
      <c r="K36322" s="82"/>
      <c r="M36322" s="112"/>
      <c r="N36322" s="84"/>
    </row>
    <row r="36323" spans="1:14" s="2" customFormat="1">
      <c r="A36323" s="83"/>
      <c r="H36323" s="83"/>
      <c r="K36323" s="82"/>
      <c r="M36323" s="112"/>
      <c r="N36323" s="84"/>
    </row>
    <row r="36324" spans="1:14" s="2" customFormat="1">
      <c r="A36324" s="83"/>
      <c r="H36324" s="83"/>
      <c r="K36324" s="82"/>
      <c r="M36324" s="112"/>
      <c r="N36324" s="84"/>
    </row>
    <row r="36325" spans="1:14" s="2" customFormat="1">
      <c r="A36325" s="83"/>
      <c r="H36325" s="83"/>
      <c r="K36325" s="82"/>
      <c r="M36325" s="112"/>
      <c r="N36325" s="84"/>
    </row>
    <row r="36326" spans="1:14" s="2" customFormat="1">
      <c r="A36326" s="83"/>
      <c r="H36326" s="83"/>
      <c r="K36326" s="82"/>
      <c r="M36326" s="112"/>
      <c r="N36326" s="84"/>
    </row>
    <row r="36327" spans="1:14" s="2" customFormat="1">
      <c r="A36327" s="83"/>
      <c r="H36327" s="83"/>
      <c r="K36327" s="82"/>
      <c r="M36327" s="112"/>
      <c r="N36327" s="84"/>
    </row>
    <row r="36328" spans="1:14" s="2" customFormat="1">
      <c r="A36328" s="83"/>
      <c r="H36328" s="83"/>
      <c r="K36328" s="82"/>
      <c r="M36328" s="112"/>
      <c r="N36328" s="84"/>
    </row>
    <row r="36329" spans="1:14" s="2" customFormat="1">
      <c r="A36329" s="83"/>
      <c r="H36329" s="83"/>
      <c r="K36329" s="82"/>
      <c r="M36329" s="112"/>
      <c r="N36329" s="84"/>
    </row>
    <row r="36330" spans="1:14" s="2" customFormat="1">
      <c r="A36330" s="83"/>
      <c r="H36330" s="83"/>
      <c r="K36330" s="82"/>
      <c r="M36330" s="112"/>
      <c r="N36330" s="84"/>
    </row>
    <row r="36331" spans="1:14" s="2" customFormat="1">
      <c r="A36331" s="83"/>
      <c r="H36331" s="83"/>
      <c r="K36331" s="82"/>
      <c r="M36331" s="112"/>
      <c r="N36331" s="84"/>
    </row>
    <row r="36332" spans="1:14" s="2" customFormat="1">
      <c r="A36332" s="83"/>
      <c r="H36332" s="83"/>
      <c r="K36332" s="82"/>
      <c r="M36332" s="112"/>
      <c r="N36332" s="84"/>
    </row>
    <row r="36333" spans="1:14" s="2" customFormat="1">
      <c r="A36333" s="83"/>
      <c r="H36333" s="83"/>
      <c r="K36333" s="82"/>
      <c r="M36333" s="112"/>
      <c r="N36333" s="84"/>
    </row>
    <row r="36334" spans="1:14" s="2" customFormat="1">
      <c r="A36334" s="83"/>
      <c r="H36334" s="83"/>
      <c r="K36334" s="82"/>
      <c r="M36334" s="112"/>
      <c r="N36334" s="84"/>
    </row>
    <row r="36335" spans="1:14" s="2" customFormat="1">
      <c r="A36335" s="83"/>
      <c r="H36335" s="83"/>
      <c r="K36335" s="82"/>
      <c r="M36335" s="112"/>
      <c r="N36335" s="84"/>
    </row>
    <row r="36336" spans="1:14" s="2" customFormat="1">
      <c r="A36336" s="83"/>
      <c r="H36336" s="83"/>
      <c r="K36336" s="82"/>
      <c r="M36336" s="112"/>
      <c r="N36336" s="84"/>
    </row>
    <row r="36337" spans="1:14" s="2" customFormat="1">
      <c r="A36337" s="83"/>
      <c r="H36337" s="83"/>
      <c r="K36337" s="82"/>
      <c r="M36337" s="112"/>
      <c r="N36337" s="84"/>
    </row>
    <row r="36338" spans="1:14" s="2" customFormat="1">
      <c r="A36338" s="83"/>
      <c r="H36338" s="83"/>
      <c r="K36338" s="82"/>
      <c r="M36338" s="112"/>
      <c r="N36338" s="84"/>
    </row>
    <row r="36339" spans="1:14" s="2" customFormat="1">
      <c r="A36339" s="83"/>
      <c r="H36339" s="83"/>
      <c r="K36339" s="82"/>
      <c r="M36339" s="112"/>
      <c r="N36339" s="84"/>
    </row>
    <row r="36340" spans="1:14" s="2" customFormat="1">
      <c r="A36340" s="83"/>
      <c r="H36340" s="83"/>
      <c r="K36340" s="82"/>
      <c r="M36340" s="112"/>
      <c r="N36340" s="84"/>
    </row>
    <row r="36341" spans="1:14" s="2" customFormat="1">
      <c r="A36341" s="83"/>
      <c r="H36341" s="83"/>
      <c r="K36341" s="82"/>
      <c r="M36341" s="112"/>
      <c r="N36341" s="84"/>
    </row>
    <row r="36342" spans="1:14" s="2" customFormat="1">
      <c r="A36342" s="83"/>
      <c r="H36342" s="83"/>
      <c r="K36342" s="82"/>
      <c r="M36342" s="112"/>
      <c r="N36342" s="84"/>
    </row>
    <row r="36343" spans="1:14" s="2" customFormat="1">
      <c r="A36343" s="83"/>
      <c r="H36343" s="83"/>
      <c r="K36343" s="82"/>
      <c r="M36343" s="112"/>
      <c r="N36343" s="84"/>
    </row>
    <row r="36344" spans="1:14" s="2" customFormat="1">
      <c r="A36344" s="83"/>
      <c r="H36344" s="83"/>
      <c r="K36344" s="82"/>
      <c r="M36344" s="112"/>
      <c r="N36344" s="84"/>
    </row>
    <row r="36345" spans="1:14" s="2" customFormat="1">
      <c r="A36345" s="83"/>
      <c r="H36345" s="83"/>
      <c r="K36345" s="82"/>
      <c r="M36345" s="112"/>
      <c r="N36345" s="84"/>
    </row>
    <row r="36346" spans="1:14" s="2" customFormat="1">
      <c r="A36346" s="83"/>
      <c r="H36346" s="83"/>
      <c r="K36346" s="82"/>
      <c r="M36346" s="112"/>
      <c r="N36346" s="84"/>
    </row>
    <row r="36347" spans="1:14" s="2" customFormat="1">
      <c r="A36347" s="83"/>
      <c r="H36347" s="83"/>
      <c r="K36347" s="82"/>
      <c r="M36347" s="112"/>
      <c r="N36347" s="84"/>
    </row>
    <row r="36348" spans="1:14" s="2" customFormat="1">
      <c r="A36348" s="83"/>
      <c r="H36348" s="83"/>
      <c r="K36348" s="82"/>
      <c r="M36348" s="112"/>
      <c r="N36348" s="84"/>
    </row>
    <row r="36349" spans="1:14" s="2" customFormat="1">
      <c r="A36349" s="83"/>
      <c r="H36349" s="83"/>
      <c r="K36349" s="82"/>
      <c r="M36349" s="112"/>
      <c r="N36349" s="84"/>
    </row>
    <row r="36350" spans="1:14" s="2" customFormat="1">
      <c r="A36350" s="83"/>
      <c r="H36350" s="83"/>
      <c r="K36350" s="82"/>
      <c r="M36350" s="112"/>
      <c r="N36350" s="84"/>
    </row>
    <row r="36351" spans="1:14" s="2" customFormat="1">
      <c r="A36351" s="83"/>
      <c r="H36351" s="83"/>
      <c r="K36351" s="82"/>
      <c r="M36351" s="112"/>
      <c r="N36351" s="84"/>
    </row>
    <row r="36352" spans="1:14" s="2" customFormat="1">
      <c r="A36352" s="83"/>
      <c r="H36352" s="83"/>
      <c r="K36352" s="82"/>
      <c r="M36352" s="112"/>
      <c r="N36352" s="84"/>
    </row>
    <row r="36353" spans="1:14" s="2" customFormat="1">
      <c r="A36353" s="83"/>
      <c r="H36353" s="83"/>
      <c r="K36353" s="82"/>
      <c r="M36353" s="112"/>
      <c r="N36353" s="84"/>
    </row>
    <row r="36354" spans="1:14" s="2" customFormat="1">
      <c r="A36354" s="83"/>
      <c r="H36354" s="83"/>
      <c r="K36354" s="82"/>
      <c r="M36354" s="112"/>
      <c r="N36354" s="84"/>
    </row>
    <row r="36355" spans="1:14" s="2" customFormat="1">
      <c r="A36355" s="83"/>
      <c r="H36355" s="83"/>
      <c r="K36355" s="82"/>
      <c r="M36355" s="112"/>
      <c r="N36355" s="84"/>
    </row>
    <row r="36356" spans="1:14" s="2" customFormat="1">
      <c r="A36356" s="83"/>
      <c r="H36356" s="83"/>
      <c r="K36356" s="82"/>
      <c r="M36356" s="112"/>
      <c r="N36356" s="84"/>
    </row>
    <row r="36357" spans="1:14" s="2" customFormat="1">
      <c r="A36357" s="83"/>
      <c r="H36357" s="83"/>
      <c r="K36357" s="82"/>
      <c r="M36357" s="112"/>
      <c r="N36357" s="84"/>
    </row>
    <row r="36358" spans="1:14" s="2" customFormat="1">
      <c r="A36358" s="83"/>
      <c r="H36358" s="83"/>
      <c r="K36358" s="82"/>
      <c r="M36358" s="112"/>
      <c r="N36358" s="84"/>
    </row>
    <row r="36359" spans="1:14" s="2" customFormat="1">
      <c r="A36359" s="83"/>
      <c r="H36359" s="83"/>
      <c r="K36359" s="82"/>
      <c r="M36359" s="112"/>
      <c r="N36359" s="84"/>
    </row>
    <row r="36360" spans="1:14" s="2" customFormat="1">
      <c r="A36360" s="83"/>
      <c r="H36360" s="83"/>
      <c r="K36360" s="82"/>
      <c r="M36360" s="112"/>
      <c r="N36360" s="84"/>
    </row>
    <row r="36361" spans="1:14" s="2" customFormat="1">
      <c r="A36361" s="83"/>
      <c r="H36361" s="83"/>
      <c r="K36361" s="82"/>
      <c r="M36361" s="112"/>
      <c r="N36361" s="84"/>
    </row>
    <row r="36362" spans="1:14" s="2" customFormat="1">
      <c r="A36362" s="83"/>
      <c r="H36362" s="83"/>
      <c r="K36362" s="82"/>
      <c r="M36362" s="112"/>
      <c r="N36362" s="84"/>
    </row>
    <row r="36363" spans="1:14" s="2" customFormat="1">
      <c r="A36363" s="83"/>
      <c r="H36363" s="83"/>
      <c r="K36363" s="82"/>
      <c r="M36363" s="112"/>
      <c r="N36363" s="84"/>
    </row>
    <row r="36364" spans="1:14" s="2" customFormat="1">
      <c r="A36364" s="83"/>
      <c r="H36364" s="83"/>
      <c r="K36364" s="82"/>
      <c r="M36364" s="112"/>
      <c r="N36364" s="84"/>
    </row>
    <row r="36365" spans="1:14" s="2" customFormat="1">
      <c r="A36365" s="83"/>
      <c r="H36365" s="83"/>
      <c r="K36365" s="82"/>
      <c r="M36365" s="112"/>
      <c r="N36365" s="84"/>
    </row>
    <row r="36366" spans="1:14" s="2" customFormat="1">
      <c r="A36366" s="83"/>
      <c r="H36366" s="83"/>
      <c r="K36366" s="82"/>
      <c r="M36366" s="112"/>
      <c r="N36366" s="84"/>
    </row>
    <row r="36367" spans="1:14" s="2" customFormat="1">
      <c r="A36367" s="83"/>
      <c r="H36367" s="83"/>
      <c r="K36367" s="82"/>
      <c r="M36367" s="112"/>
      <c r="N36367" s="84"/>
    </row>
    <row r="36368" spans="1:14" s="2" customFormat="1">
      <c r="A36368" s="83"/>
      <c r="H36368" s="83"/>
      <c r="K36368" s="82"/>
      <c r="M36368" s="112"/>
      <c r="N36368" s="84"/>
    </row>
    <row r="36369" spans="1:14" s="2" customFormat="1">
      <c r="A36369" s="83"/>
      <c r="H36369" s="83"/>
      <c r="K36369" s="82"/>
      <c r="M36369" s="112"/>
      <c r="N36369" s="84"/>
    </row>
    <row r="36370" spans="1:14" s="2" customFormat="1">
      <c r="A36370" s="83"/>
      <c r="H36370" s="83"/>
      <c r="K36370" s="82"/>
      <c r="M36370" s="112"/>
      <c r="N36370" s="84"/>
    </row>
    <row r="36371" spans="1:14" s="2" customFormat="1">
      <c r="A36371" s="83"/>
      <c r="H36371" s="83"/>
      <c r="K36371" s="82"/>
      <c r="M36371" s="112"/>
      <c r="N36371" s="84"/>
    </row>
    <row r="36372" spans="1:14" s="2" customFormat="1">
      <c r="A36372" s="83"/>
      <c r="H36372" s="83"/>
      <c r="K36372" s="82"/>
      <c r="M36372" s="112"/>
      <c r="N36372" s="84"/>
    </row>
    <row r="36373" spans="1:14" s="2" customFormat="1">
      <c r="A36373" s="83"/>
      <c r="H36373" s="83"/>
      <c r="K36373" s="82"/>
      <c r="M36373" s="112"/>
      <c r="N36373" s="84"/>
    </row>
    <row r="36374" spans="1:14" s="2" customFormat="1">
      <c r="A36374" s="83"/>
      <c r="H36374" s="83"/>
      <c r="K36374" s="82"/>
      <c r="M36374" s="112"/>
      <c r="N36374" s="84"/>
    </row>
    <row r="36375" spans="1:14" s="2" customFormat="1">
      <c r="A36375" s="83"/>
      <c r="H36375" s="83"/>
      <c r="K36375" s="82"/>
      <c r="M36375" s="112"/>
      <c r="N36375" s="84"/>
    </row>
    <row r="36376" spans="1:14" s="2" customFormat="1">
      <c r="A36376" s="83"/>
      <c r="H36376" s="83"/>
      <c r="K36376" s="82"/>
      <c r="M36376" s="112"/>
      <c r="N36376" s="84"/>
    </row>
    <row r="36377" spans="1:14" s="2" customFormat="1">
      <c r="A36377" s="83"/>
      <c r="H36377" s="83"/>
      <c r="K36377" s="82"/>
      <c r="M36377" s="112"/>
      <c r="N36377" s="84"/>
    </row>
    <row r="36378" spans="1:14" s="2" customFormat="1">
      <c r="A36378" s="83"/>
      <c r="H36378" s="83"/>
      <c r="K36378" s="82"/>
      <c r="M36378" s="112"/>
      <c r="N36378" s="84"/>
    </row>
    <row r="36379" spans="1:14" s="2" customFormat="1">
      <c r="A36379" s="83"/>
      <c r="H36379" s="83"/>
      <c r="K36379" s="82"/>
      <c r="M36379" s="112"/>
      <c r="N36379" s="84"/>
    </row>
    <row r="36380" spans="1:14" s="2" customFormat="1">
      <c r="A36380" s="83"/>
      <c r="H36380" s="83"/>
      <c r="K36380" s="82"/>
      <c r="M36380" s="112"/>
      <c r="N36380" s="84"/>
    </row>
    <row r="36381" spans="1:14" s="2" customFormat="1">
      <c r="A36381" s="83"/>
      <c r="H36381" s="83"/>
      <c r="K36381" s="82"/>
      <c r="M36381" s="112"/>
      <c r="N36381" s="84"/>
    </row>
    <row r="36382" spans="1:14" s="2" customFormat="1">
      <c r="A36382" s="83"/>
      <c r="H36382" s="83"/>
      <c r="K36382" s="82"/>
      <c r="M36382" s="112"/>
      <c r="N36382" s="84"/>
    </row>
    <row r="36383" spans="1:14" s="2" customFormat="1">
      <c r="A36383" s="83"/>
      <c r="H36383" s="83"/>
      <c r="K36383" s="82"/>
      <c r="M36383" s="112"/>
      <c r="N36383" s="84"/>
    </row>
    <row r="36384" spans="1:14" s="2" customFormat="1">
      <c r="A36384" s="83"/>
      <c r="H36384" s="83"/>
      <c r="K36384" s="82"/>
      <c r="M36384" s="112"/>
      <c r="N36384" s="84"/>
    </row>
    <row r="36385" spans="1:14" s="2" customFormat="1">
      <c r="A36385" s="83"/>
      <c r="H36385" s="83"/>
      <c r="K36385" s="82"/>
      <c r="M36385" s="112"/>
      <c r="N36385" s="84"/>
    </row>
    <row r="36386" spans="1:14" s="2" customFormat="1">
      <c r="A36386" s="83"/>
      <c r="H36386" s="83"/>
      <c r="K36386" s="82"/>
      <c r="M36386" s="112"/>
      <c r="N36386" s="84"/>
    </row>
    <row r="36387" spans="1:14" s="2" customFormat="1">
      <c r="A36387" s="83"/>
      <c r="H36387" s="83"/>
      <c r="K36387" s="82"/>
      <c r="M36387" s="112"/>
      <c r="N36387" s="84"/>
    </row>
    <row r="36388" spans="1:14" s="2" customFormat="1">
      <c r="A36388" s="83"/>
      <c r="H36388" s="83"/>
      <c r="K36388" s="82"/>
      <c r="M36388" s="112"/>
      <c r="N36388" s="84"/>
    </row>
    <row r="36389" spans="1:14" s="2" customFormat="1">
      <c r="A36389" s="83"/>
      <c r="H36389" s="83"/>
      <c r="K36389" s="82"/>
      <c r="M36389" s="112"/>
      <c r="N36389" s="84"/>
    </row>
    <row r="36390" spans="1:14" s="2" customFormat="1">
      <c r="A36390" s="83"/>
      <c r="H36390" s="83"/>
      <c r="K36390" s="82"/>
      <c r="M36390" s="112"/>
      <c r="N36390" s="84"/>
    </row>
    <row r="36391" spans="1:14" s="2" customFormat="1">
      <c r="A36391" s="83"/>
      <c r="H36391" s="83"/>
      <c r="K36391" s="82"/>
      <c r="M36391" s="112"/>
      <c r="N36391" s="84"/>
    </row>
    <row r="36392" spans="1:14" s="2" customFormat="1">
      <c r="A36392" s="83"/>
      <c r="H36392" s="83"/>
      <c r="K36392" s="82"/>
      <c r="M36392" s="112"/>
      <c r="N36392" s="84"/>
    </row>
    <row r="36393" spans="1:14" s="2" customFormat="1">
      <c r="A36393" s="83"/>
      <c r="H36393" s="83"/>
      <c r="K36393" s="82"/>
      <c r="M36393" s="112"/>
      <c r="N36393" s="84"/>
    </row>
    <row r="36394" spans="1:14" s="2" customFormat="1">
      <c r="A36394" s="83"/>
      <c r="H36394" s="83"/>
      <c r="K36394" s="82"/>
      <c r="M36394" s="112"/>
      <c r="N36394" s="84"/>
    </row>
    <row r="36395" spans="1:14" s="2" customFormat="1">
      <c r="A36395" s="83"/>
      <c r="H36395" s="83"/>
      <c r="K36395" s="82"/>
      <c r="M36395" s="112"/>
      <c r="N36395" s="84"/>
    </row>
    <row r="36396" spans="1:14" s="2" customFormat="1">
      <c r="A36396" s="83"/>
      <c r="H36396" s="83"/>
      <c r="K36396" s="82"/>
      <c r="M36396" s="112"/>
      <c r="N36396" s="84"/>
    </row>
    <row r="36397" spans="1:14" s="2" customFormat="1">
      <c r="A36397" s="83"/>
      <c r="H36397" s="83"/>
      <c r="K36397" s="82"/>
      <c r="M36397" s="112"/>
      <c r="N36397" s="84"/>
    </row>
    <row r="36398" spans="1:14" s="2" customFormat="1">
      <c r="A36398" s="83"/>
      <c r="H36398" s="83"/>
      <c r="K36398" s="82"/>
      <c r="M36398" s="112"/>
      <c r="N36398" s="84"/>
    </row>
    <row r="36399" spans="1:14" s="2" customFormat="1">
      <c r="A36399" s="83"/>
      <c r="H36399" s="83"/>
      <c r="K36399" s="82"/>
      <c r="M36399" s="112"/>
      <c r="N36399" s="84"/>
    </row>
    <row r="36400" spans="1:14" s="2" customFormat="1">
      <c r="A36400" s="83"/>
      <c r="H36400" s="83"/>
      <c r="K36400" s="82"/>
      <c r="M36400" s="112"/>
      <c r="N36400" s="84"/>
    </row>
    <row r="36401" spans="1:14" s="2" customFormat="1">
      <c r="A36401" s="83"/>
      <c r="H36401" s="83"/>
      <c r="K36401" s="82"/>
      <c r="M36401" s="112"/>
      <c r="N36401" s="84"/>
    </row>
    <row r="36402" spans="1:14" s="2" customFormat="1">
      <c r="A36402" s="83"/>
      <c r="H36402" s="83"/>
      <c r="K36402" s="82"/>
      <c r="M36402" s="112"/>
      <c r="N36402" s="84"/>
    </row>
    <row r="36403" spans="1:14" s="2" customFormat="1">
      <c r="A36403" s="83"/>
      <c r="H36403" s="83"/>
      <c r="K36403" s="82"/>
      <c r="M36403" s="112"/>
      <c r="N36403" s="84"/>
    </row>
    <row r="36404" spans="1:14" s="2" customFormat="1">
      <c r="A36404" s="83"/>
      <c r="H36404" s="83"/>
      <c r="K36404" s="82"/>
      <c r="M36404" s="112"/>
      <c r="N36404" s="84"/>
    </row>
    <row r="36405" spans="1:14" s="2" customFormat="1">
      <c r="A36405" s="83"/>
      <c r="H36405" s="83"/>
      <c r="K36405" s="82"/>
      <c r="M36405" s="112"/>
      <c r="N36405" s="84"/>
    </row>
    <row r="36406" spans="1:14" s="2" customFormat="1">
      <c r="A36406" s="83"/>
      <c r="H36406" s="83"/>
      <c r="K36406" s="82"/>
      <c r="M36406" s="112"/>
      <c r="N36406" s="84"/>
    </row>
    <row r="36407" spans="1:14" s="2" customFormat="1">
      <c r="A36407" s="83"/>
      <c r="H36407" s="83"/>
      <c r="K36407" s="82"/>
      <c r="M36407" s="112"/>
      <c r="N36407" s="84"/>
    </row>
    <row r="36408" spans="1:14" s="2" customFormat="1">
      <c r="A36408" s="83"/>
      <c r="H36408" s="83"/>
      <c r="K36408" s="82"/>
      <c r="M36408" s="112"/>
      <c r="N36408" s="84"/>
    </row>
    <row r="36409" spans="1:14" s="2" customFormat="1">
      <c r="A36409" s="83"/>
      <c r="H36409" s="83"/>
      <c r="K36409" s="82"/>
      <c r="M36409" s="112"/>
      <c r="N36409" s="84"/>
    </row>
    <row r="36410" spans="1:14" s="2" customFormat="1">
      <c r="A36410" s="83"/>
      <c r="H36410" s="83"/>
      <c r="K36410" s="82"/>
      <c r="M36410" s="112"/>
      <c r="N36410" s="84"/>
    </row>
    <row r="36411" spans="1:14" s="2" customFormat="1">
      <c r="A36411" s="83"/>
      <c r="H36411" s="83"/>
      <c r="K36411" s="82"/>
      <c r="M36411" s="112"/>
      <c r="N36411" s="84"/>
    </row>
    <row r="36412" spans="1:14" s="2" customFormat="1">
      <c r="A36412" s="83"/>
      <c r="H36412" s="83"/>
      <c r="K36412" s="82"/>
      <c r="M36412" s="112"/>
      <c r="N36412" s="84"/>
    </row>
    <row r="36413" spans="1:14" s="2" customFormat="1">
      <c r="A36413" s="83"/>
      <c r="H36413" s="83"/>
      <c r="K36413" s="82"/>
      <c r="M36413" s="112"/>
      <c r="N36413" s="84"/>
    </row>
    <row r="36414" spans="1:14" s="2" customFormat="1">
      <c r="A36414" s="83"/>
      <c r="H36414" s="83"/>
      <c r="K36414" s="82"/>
      <c r="M36414" s="112"/>
      <c r="N36414" s="84"/>
    </row>
    <row r="36415" spans="1:14" s="2" customFormat="1">
      <c r="A36415" s="83"/>
      <c r="H36415" s="83"/>
      <c r="K36415" s="82"/>
      <c r="M36415" s="112"/>
      <c r="N36415" s="84"/>
    </row>
    <row r="36416" spans="1:14" s="2" customFormat="1">
      <c r="A36416" s="83"/>
      <c r="H36416" s="83"/>
      <c r="K36416" s="82"/>
      <c r="M36416" s="112"/>
      <c r="N36416" s="84"/>
    </row>
    <row r="36417" spans="1:14" s="2" customFormat="1">
      <c r="A36417" s="83"/>
      <c r="H36417" s="83"/>
      <c r="K36417" s="82"/>
      <c r="M36417" s="112"/>
      <c r="N36417" s="84"/>
    </row>
    <row r="36418" spans="1:14" s="2" customFormat="1">
      <c r="A36418" s="83"/>
      <c r="H36418" s="83"/>
      <c r="K36418" s="82"/>
      <c r="M36418" s="112"/>
      <c r="N36418" s="84"/>
    </row>
    <row r="36419" spans="1:14" s="2" customFormat="1">
      <c r="A36419" s="83"/>
      <c r="H36419" s="83"/>
      <c r="K36419" s="82"/>
      <c r="M36419" s="112"/>
      <c r="N36419" s="84"/>
    </row>
    <row r="36420" spans="1:14" s="2" customFormat="1">
      <c r="A36420" s="83"/>
      <c r="H36420" s="83"/>
      <c r="K36420" s="82"/>
      <c r="M36420" s="112"/>
      <c r="N36420" s="84"/>
    </row>
    <row r="36421" spans="1:14" s="2" customFormat="1">
      <c r="A36421" s="83"/>
      <c r="H36421" s="83"/>
      <c r="K36421" s="82"/>
      <c r="M36421" s="112"/>
      <c r="N36421" s="84"/>
    </row>
    <row r="36422" spans="1:14" s="2" customFormat="1">
      <c r="A36422" s="83"/>
      <c r="H36422" s="83"/>
      <c r="K36422" s="82"/>
      <c r="M36422" s="112"/>
      <c r="N36422" s="84"/>
    </row>
    <row r="36423" spans="1:14" s="2" customFormat="1">
      <c r="A36423" s="83"/>
      <c r="H36423" s="83"/>
      <c r="K36423" s="82"/>
      <c r="M36423" s="112"/>
      <c r="N36423" s="84"/>
    </row>
    <row r="36424" spans="1:14" s="2" customFormat="1">
      <c r="A36424" s="83"/>
      <c r="H36424" s="83"/>
      <c r="K36424" s="82"/>
      <c r="M36424" s="112"/>
      <c r="N36424" s="84"/>
    </row>
    <row r="36425" spans="1:14" s="2" customFormat="1">
      <c r="A36425" s="83"/>
      <c r="H36425" s="83"/>
      <c r="K36425" s="82"/>
      <c r="M36425" s="112"/>
      <c r="N36425" s="84"/>
    </row>
    <row r="36426" spans="1:14" s="2" customFormat="1">
      <c r="A36426" s="83"/>
      <c r="H36426" s="83"/>
      <c r="K36426" s="82"/>
      <c r="M36426" s="112"/>
      <c r="N36426" s="84"/>
    </row>
    <row r="36427" spans="1:14" s="2" customFormat="1">
      <c r="A36427" s="83"/>
      <c r="H36427" s="83"/>
      <c r="K36427" s="82"/>
      <c r="M36427" s="112"/>
      <c r="N36427" s="84"/>
    </row>
    <row r="36428" spans="1:14" s="2" customFormat="1">
      <c r="A36428" s="83"/>
      <c r="H36428" s="83"/>
      <c r="K36428" s="82"/>
      <c r="M36428" s="112"/>
      <c r="N36428" s="84"/>
    </row>
    <row r="36429" spans="1:14" s="2" customFormat="1">
      <c r="A36429" s="83"/>
      <c r="H36429" s="83"/>
      <c r="K36429" s="82"/>
      <c r="M36429" s="112"/>
      <c r="N36429" s="84"/>
    </row>
    <row r="36430" spans="1:14" s="2" customFormat="1">
      <c r="A36430" s="83"/>
      <c r="H36430" s="83"/>
      <c r="K36430" s="82"/>
      <c r="M36430" s="112"/>
      <c r="N36430" s="84"/>
    </row>
    <row r="36431" spans="1:14" s="2" customFormat="1">
      <c r="A36431" s="83"/>
      <c r="H36431" s="83"/>
      <c r="K36431" s="82"/>
      <c r="M36431" s="112"/>
      <c r="N36431" s="84"/>
    </row>
    <row r="36432" spans="1:14" s="2" customFormat="1">
      <c r="A36432" s="83"/>
      <c r="H36432" s="83"/>
      <c r="K36432" s="82"/>
      <c r="M36432" s="112"/>
      <c r="N36432" s="84"/>
    </row>
    <row r="36433" spans="1:14" s="2" customFormat="1">
      <c r="A36433" s="83"/>
      <c r="H36433" s="83"/>
      <c r="K36433" s="82"/>
      <c r="M36433" s="112"/>
      <c r="N36433" s="84"/>
    </row>
    <row r="36434" spans="1:14" s="2" customFormat="1">
      <c r="A36434" s="83"/>
      <c r="H36434" s="83"/>
      <c r="K36434" s="82"/>
      <c r="M36434" s="112"/>
      <c r="N36434" s="84"/>
    </row>
    <row r="36435" spans="1:14" s="2" customFormat="1">
      <c r="A36435" s="83"/>
      <c r="H36435" s="83"/>
      <c r="K36435" s="82"/>
      <c r="M36435" s="112"/>
      <c r="N36435" s="84"/>
    </row>
    <row r="36436" spans="1:14" s="2" customFormat="1">
      <c r="A36436" s="83"/>
      <c r="H36436" s="83"/>
      <c r="K36436" s="82"/>
      <c r="M36436" s="112"/>
      <c r="N36436" s="84"/>
    </row>
    <row r="36437" spans="1:14" s="2" customFormat="1">
      <c r="A36437" s="83"/>
      <c r="H36437" s="83"/>
      <c r="K36437" s="82"/>
      <c r="M36437" s="112"/>
      <c r="N36437" s="84"/>
    </row>
    <row r="36438" spans="1:14" s="2" customFormat="1">
      <c r="A36438" s="83"/>
      <c r="H36438" s="83"/>
      <c r="K36438" s="82"/>
      <c r="M36438" s="112"/>
      <c r="N36438" s="84"/>
    </row>
    <row r="36439" spans="1:14" s="2" customFormat="1">
      <c r="A36439" s="83"/>
      <c r="H36439" s="83"/>
      <c r="K36439" s="82"/>
      <c r="M36439" s="112"/>
      <c r="N36439" s="84"/>
    </row>
    <row r="36440" spans="1:14" s="2" customFormat="1">
      <c r="A36440" s="83"/>
      <c r="H36440" s="83"/>
      <c r="K36440" s="82"/>
      <c r="M36440" s="112"/>
      <c r="N36440" s="84"/>
    </row>
    <row r="36441" spans="1:14" s="2" customFormat="1">
      <c r="A36441" s="83"/>
      <c r="H36441" s="83"/>
      <c r="K36441" s="82"/>
      <c r="M36441" s="112"/>
      <c r="N36441" s="84"/>
    </row>
    <row r="36442" spans="1:14" s="2" customFormat="1">
      <c r="A36442" s="83"/>
      <c r="H36442" s="83"/>
      <c r="K36442" s="82"/>
      <c r="M36442" s="112"/>
      <c r="N36442" s="84"/>
    </row>
    <row r="36443" spans="1:14" s="2" customFormat="1">
      <c r="A36443" s="83"/>
      <c r="H36443" s="83"/>
      <c r="K36443" s="82"/>
      <c r="M36443" s="112"/>
      <c r="N36443" s="84"/>
    </row>
    <row r="36444" spans="1:14" s="2" customFormat="1">
      <c r="A36444" s="83"/>
      <c r="H36444" s="83"/>
      <c r="K36444" s="82"/>
      <c r="M36444" s="112"/>
      <c r="N36444" s="84"/>
    </row>
    <row r="36445" spans="1:14" s="2" customFormat="1">
      <c r="A36445" s="83"/>
      <c r="H36445" s="83"/>
      <c r="K36445" s="82"/>
      <c r="M36445" s="112"/>
      <c r="N36445" s="84"/>
    </row>
    <row r="36446" spans="1:14" s="2" customFormat="1">
      <c r="A36446" s="83"/>
      <c r="H36446" s="83"/>
      <c r="K36446" s="82"/>
      <c r="M36446" s="112"/>
      <c r="N36446" s="84"/>
    </row>
    <row r="36447" spans="1:14" s="2" customFormat="1">
      <c r="A36447" s="83"/>
      <c r="H36447" s="83"/>
      <c r="K36447" s="82"/>
      <c r="M36447" s="112"/>
      <c r="N36447" s="84"/>
    </row>
    <row r="36448" spans="1:14" s="2" customFormat="1">
      <c r="A36448" s="83"/>
      <c r="H36448" s="83"/>
      <c r="K36448" s="82"/>
      <c r="M36448" s="112"/>
      <c r="N36448" s="84"/>
    </row>
    <row r="36449" spans="1:14" s="2" customFormat="1">
      <c r="A36449" s="83"/>
      <c r="H36449" s="83"/>
      <c r="K36449" s="82"/>
      <c r="M36449" s="112"/>
      <c r="N36449" s="84"/>
    </row>
    <row r="36450" spans="1:14" s="2" customFormat="1">
      <c r="A36450" s="83"/>
      <c r="H36450" s="83"/>
      <c r="K36450" s="82"/>
      <c r="M36450" s="112"/>
      <c r="N36450" s="84"/>
    </row>
    <row r="36451" spans="1:14" s="2" customFormat="1">
      <c r="A36451" s="83"/>
      <c r="H36451" s="83"/>
      <c r="K36451" s="82"/>
      <c r="M36451" s="112"/>
      <c r="N36451" s="84"/>
    </row>
    <row r="36452" spans="1:14" s="2" customFormat="1">
      <c r="A36452" s="83"/>
      <c r="H36452" s="83"/>
      <c r="K36452" s="82"/>
      <c r="M36452" s="112"/>
      <c r="N36452" s="84"/>
    </row>
    <row r="36453" spans="1:14" s="2" customFormat="1">
      <c r="A36453" s="83"/>
      <c r="H36453" s="83"/>
      <c r="K36453" s="82"/>
      <c r="M36453" s="112"/>
      <c r="N36453" s="84"/>
    </row>
    <row r="36454" spans="1:14" s="2" customFormat="1">
      <c r="A36454" s="83"/>
      <c r="H36454" s="83"/>
      <c r="K36454" s="82"/>
      <c r="M36454" s="112"/>
      <c r="N36454" s="84"/>
    </row>
    <row r="36455" spans="1:14" s="2" customFormat="1">
      <c r="A36455" s="83"/>
      <c r="H36455" s="83"/>
      <c r="K36455" s="82"/>
      <c r="M36455" s="112"/>
      <c r="N36455" s="84"/>
    </row>
    <row r="36456" spans="1:14" s="2" customFormat="1">
      <c r="A36456" s="83"/>
      <c r="H36456" s="83"/>
      <c r="K36456" s="82"/>
      <c r="M36456" s="112"/>
      <c r="N36456" s="84"/>
    </row>
    <row r="36457" spans="1:14" s="2" customFormat="1">
      <c r="A36457" s="83"/>
      <c r="H36457" s="83"/>
      <c r="K36457" s="82"/>
      <c r="M36457" s="112"/>
      <c r="N36457" s="84"/>
    </row>
    <row r="36458" spans="1:14" s="2" customFormat="1">
      <c r="A36458" s="83"/>
      <c r="H36458" s="83"/>
      <c r="K36458" s="82"/>
      <c r="M36458" s="112"/>
      <c r="N36458" s="84"/>
    </row>
    <row r="36459" spans="1:14" s="2" customFormat="1">
      <c r="A36459" s="83"/>
      <c r="H36459" s="83"/>
      <c r="K36459" s="82"/>
      <c r="M36459" s="112"/>
      <c r="N36459" s="84"/>
    </row>
    <row r="36460" spans="1:14" s="2" customFormat="1">
      <c r="A36460" s="83"/>
      <c r="H36460" s="83"/>
      <c r="K36460" s="82"/>
      <c r="M36460" s="112"/>
      <c r="N36460" s="84"/>
    </row>
    <row r="36461" spans="1:14" s="2" customFormat="1">
      <c r="A36461" s="83"/>
      <c r="H36461" s="83"/>
      <c r="K36461" s="82"/>
      <c r="M36461" s="112"/>
      <c r="N36461" s="84"/>
    </row>
    <row r="36462" spans="1:14" s="2" customFormat="1">
      <c r="A36462" s="83"/>
      <c r="H36462" s="83"/>
      <c r="K36462" s="82"/>
      <c r="M36462" s="112"/>
      <c r="N36462" s="84"/>
    </row>
    <row r="36463" spans="1:14" s="2" customFormat="1">
      <c r="A36463" s="83"/>
      <c r="H36463" s="83"/>
      <c r="K36463" s="82"/>
      <c r="M36463" s="112"/>
      <c r="N36463" s="84"/>
    </row>
    <row r="36464" spans="1:14" s="2" customFormat="1">
      <c r="A36464" s="83"/>
      <c r="H36464" s="83"/>
      <c r="K36464" s="82"/>
      <c r="M36464" s="112"/>
      <c r="N36464" s="84"/>
    </row>
    <row r="36465" spans="1:14" s="2" customFormat="1">
      <c r="A36465" s="83"/>
      <c r="H36465" s="83"/>
      <c r="K36465" s="82"/>
      <c r="M36465" s="112"/>
      <c r="N36465" s="84"/>
    </row>
    <row r="36466" spans="1:14" s="2" customFormat="1">
      <c r="A36466" s="83"/>
      <c r="H36466" s="83"/>
      <c r="K36466" s="82"/>
      <c r="M36466" s="112"/>
      <c r="N36466" s="84"/>
    </row>
    <row r="36467" spans="1:14" s="2" customFormat="1">
      <c r="A36467" s="83"/>
      <c r="H36467" s="83"/>
      <c r="K36467" s="82"/>
      <c r="M36467" s="112"/>
      <c r="N36467" s="84"/>
    </row>
    <row r="36468" spans="1:14" s="2" customFormat="1">
      <c r="A36468" s="83"/>
      <c r="H36468" s="83"/>
      <c r="K36468" s="82"/>
      <c r="M36468" s="112"/>
      <c r="N36468" s="84"/>
    </row>
    <row r="36469" spans="1:14" s="2" customFormat="1">
      <c r="A36469" s="83"/>
      <c r="H36469" s="83"/>
      <c r="K36469" s="82"/>
      <c r="M36469" s="112"/>
      <c r="N36469" s="84"/>
    </row>
    <row r="36470" spans="1:14" s="2" customFormat="1">
      <c r="A36470" s="83"/>
      <c r="H36470" s="83"/>
      <c r="K36470" s="82"/>
      <c r="M36470" s="112"/>
      <c r="N36470" s="84"/>
    </row>
    <row r="36471" spans="1:14" s="2" customFormat="1">
      <c r="A36471" s="83"/>
      <c r="H36471" s="83"/>
      <c r="K36471" s="82"/>
      <c r="M36471" s="112"/>
      <c r="N36471" s="84"/>
    </row>
    <row r="36472" spans="1:14" s="2" customFormat="1">
      <c r="A36472" s="83"/>
      <c r="H36472" s="83"/>
      <c r="K36472" s="82"/>
      <c r="M36472" s="112"/>
      <c r="N36472" s="84"/>
    </row>
    <row r="36473" spans="1:14" s="2" customFormat="1">
      <c r="A36473" s="83"/>
      <c r="H36473" s="83"/>
      <c r="K36473" s="82"/>
      <c r="M36473" s="112"/>
      <c r="N36473" s="84"/>
    </row>
    <row r="36474" spans="1:14" s="2" customFormat="1">
      <c r="A36474" s="83"/>
      <c r="H36474" s="83"/>
      <c r="K36474" s="82"/>
      <c r="M36474" s="112"/>
      <c r="N36474" s="84"/>
    </row>
    <row r="36475" spans="1:14" s="2" customFormat="1">
      <c r="A36475" s="83"/>
      <c r="H36475" s="83"/>
      <c r="K36475" s="82"/>
      <c r="M36475" s="112"/>
      <c r="N36475" s="84"/>
    </row>
    <row r="36476" spans="1:14" s="2" customFormat="1">
      <c r="A36476" s="83"/>
      <c r="H36476" s="83"/>
      <c r="K36476" s="82"/>
      <c r="M36476" s="112"/>
      <c r="N36476" s="84"/>
    </row>
    <row r="36477" spans="1:14" s="2" customFormat="1">
      <c r="A36477" s="83"/>
      <c r="H36477" s="83"/>
      <c r="K36477" s="82"/>
      <c r="M36477" s="112"/>
      <c r="N36477" s="84"/>
    </row>
    <row r="36478" spans="1:14" s="2" customFormat="1">
      <c r="A36478" s="83"/>
      <c r="H36478" s="83"/>
      <c r="K36478" s="82"/>
      <c r="M36478" s="112"/>
      <c r="N36478" s="84"/>
    </row>
    <row r="36479" spans="1:14" s="2" customFormat="1">
      <c r="A36479" s="83"/>
      <c r="H36479" s="83"/>
      <c r="K36479" s="82"/>
      <c r="M36479" s="112"/>
      <c r="N36479" s="84"/>
    </row>
    <row r="36480" spans="1:14" s="2" customFormat="1">
      <c r="A36480" s="83"/>
      <c r="H36480" s="83"/>
      <c r="K36480" s="82"/>
      <c r="M36480" s="112"/>
      <c r="N36480" s="84"/>
    </row>
    <row r="36481" spans="1:14" s="2" customFormat="1">
      <c r="A36481" s="83"/>
      <c r="H36481" s="83"/>
      <c r="K36481" s="82"/>
      <c r="M36481" s="112"/>
      <c r="N36481" s="84"/>
    </row>
    <row r="36482" spans="1:14" s="2" customFormat="1">
      <c r="A36482" s="83"/>
      <c r="H36482" s="83"/>
      <c r="K36482" s="82"/>
      <c r="M36482" s="112"/>
      <c r="N36482" s="84"/>
    </row>
    <row r="36483" spans="1:14" s="2" customFormat="1">
      <c r="A36483" s="83"/>
      <c r="H36483" s="83"/>
      <c r="K36483" s="82"/>
      <c r="M36483" s="112"/>
      <c r="N36483" s="84"/>
    </row>
    <row r="36484" spans="1:14" s="2" customFormat="1">
      <c r="A36484" s="83"/>
      <c r="H36484" s="83"/>
      <c r="K36484" s="82"/>
      <c r="M36484" s="112"/>
      <c r="N36484" s="84"/>
    </row>
    <row r="36485" spans="1:14" s="2" customFormat="1">
      <c r="A36485" s="83"/>
      <c r="H36485" s="83"/>
      <c r="K36485" s="82"/>
      <c r="M36485" s="112"/>
      <c r="N36485" s="84"/>
    </row>
    <row r="36486" spans="1:14" s="2" customFormat="1">
      <c r="A36486" s="83"/>
      <c r="H36486" s="83"/>
      <c r="K36486" s="82"/>
      <c r="M36486" s="112"/>
      <c r="N36486" s="84"/>
    </row>
    <row r="36487" spans="1:14" s="2" customFormat="1">
      <c r="A36487" s="83"/>
      <c r="H36487" s="83"/>
      <c r="K36487" s="82"/>
      <c r="M36487" s="112"/>
      <c r="N36487" s="84"/>
    </row>
    <row r="36488" spans="1:14" s="2" customFormat="1">
      <c r="A36488" s="83"/>
      <c r="H36488" s="83"/>
      <c r="K36488" s="82"/>
      <c r="M36488" s="112"/>
      <c r="N36488" s="84"/>
    </row>
    <row r="36489" spans="1:14" s="2" customFormat="1">
      <c r="A36489" s="83"/>
      <c r="H36489" s="83"/>
      <c r="K36489" s="82"/>
      <c r="M36489" s="112"/>
      <c r="N36489" s="84"/>
    </row>
    <row r="36490" spans="1:14" s="2" customFormat="1">
      <c r="A36490" s="83"/>
      <c r="H36490" s="83"/>
      <c r="K36490" s="82"/>
      <c r="M36490" s="112"/>
      <c r="N36490" s="84"/>
    </row>
    <row r="36491" spans="1:14" s="2" customFormat="1">
      <c r="A36491" s="83"/>
      <c r="H36491" s="83"/>
      <c r="K36491" s="82"/>
      <c r="M36491" s="112"/>
      <c r="N36491" s="84"/>
    </row>
    <row r="36492" spans="1:14" s="2" customFormat="1">
      <c r="A36492" s="83"/>
      <c r="H36492" s="83"/>
      <c r="K36492" s="82"/>
      <c r="M36492" s="112"/>
      <c r="N36492" s="84"/>
    </row>
    <row r="36493" spans="1:14" s="2" customFormat="1">
      <c r="A36493" s="83"/>
      <c r="H36493" s="83"/>
      <c r="K36493" s="82"/>
      <c r="M36493" s="112"/>
      <c r="N36493" s="84"/>
    </row>
    <row r="36494" spans="1:14" s="2" customFormat="1">
      <c r="A36494" s="83"/>
      <c r="H36494" s="83"/>
      <c r="K36494" s="82"/>
      <c r="M36494" s="112"/>
      <c r="N36494" s="84"/>
    </row>
    <row r="36495" spans="1:14" s="2" customFormat="1">
      <c r="A36495" s="83"/>
      <c r="H36495" s="83"/>
      <c r="K36495" s="82"/>
      <c r="M36495" s="112"/>
      <c r="N36495" s="84"/>
    </row>
    <row r="36496" spans="1:14" s="2" customFormat="1">
      <c r="A36496" s="83"/>
      <c r="H36496" s="83"/>
      <c r="K36496" s="82"/>
      <c r="M36496" s="112"/>
      <c r="N36496" s="84"/>
    </row>
    <row r="36497" spans="1:14" s="2" customFormat="1">
      <c r="A36497" s="83"/>
      <c r="H36497" s="83"/>
      <c r="K36497" s="82"/>
      <c r="M36497" s="112"/>
      <c r="N36497" s="84"/>
    </row>
    <row r="36498" spans="1:14" s="2" customFormat="1">
      <c r="A36498" s="83"/>
      <c r="H36498" s="83"/>
      <c r="K36498" s="82"/>
      <c r="M36498" s="112"/>
      <c r="N36498" s="84"/>
    </row>
    <row r="36499" spans="1:14" s="2" customFormat="1">
      <c r="A36499" s="83"/>
      <c r="H36499" s="83"/>
      <c r="K36499" s="82"/>
      <c r="M36499" s="112"/>
      <c r="N36499" s="84"/>
    </row>
    <row r="36500" spans="1:14" s="2" customFormat="1">
      <c r="A36500" s="83"/>
      <c r="H36500" s="83"/>
      <c r="K36500" s="82"/>
      <c r="M36500" s="112"/>
      <c r="N36500" s="84"/>
    </row>
    <row r="36501" spans="1:14" s="2" customFormat="1">
      <c r="A36501" s="83"/>
      <c r="H36501" s="83"/>
      <c r="K36501" s="82"/>
      <c r="M36501" s="112"/>
      <c r="N36501" s="84"/>
    </row>
    <row r="36502" spans="1:14" s="2" customFormat="1">
      <c r="A36502" s="83"/>
      <c r="H36502" s="83"/>
      <c r="K36502" s="82"/>
      <c r="M36502" s="112"/>
      <c r="N36502" s="84"/>
    </row>
    <row r="36503" spans="1:14" s="2" customFormat="1">
      <c r="A36503" s="83"/>
      <c r="H36503" s="83"/>
      <c r="K36503" s="82"/>
      <c r="M36503" s="112"/>
      <c r="N36503" s="84"/>
    </row>
    <row r="36504" spans="1:14" s="2" customFormat="1">
      <c r="A36504" s="83"/>
      <c r="H36504" s="83"/>
      <c r="K36504" s="82"/>
      <c r="M36504" s="112"/>
      <c r="N36504" s="84"/>
    </row>
    <row r="36505" spans="1:14" s="2" customFormat="1">
      <c r="A36505" s="83"/>
      <c r="H36505" s="83"/>
      <c r="K36505" s="82"/>
      <c r="M36505" s="112"/>
      <c r="N36505" s="84"/>
    </row>
    <row r="36506" spans="1:14" s="2" customFormat="1">
      <c r="A36506" s="83"/>
      <c r="H36506" s="83"/>
      <c r="K36506" s="82"/>
      <c r="M36506" s="112"/>
      <c r="N36506" s="84"/>
    </row>
    <row r="36507" spans="1:14" s="2" customFormat="1">
      <c r="A36507" s="83"/>
      <c r="H36507" s="83"/>
      <c r="K36507" s="82"/>
      <c r="M36507" s="112"/>
      <c r="N36507" s="84"/>
    </row>
    <row r="36508" spans="1:14" s="2" customFormat="1">
      <c r="A36508" s="83"/>
      <c r="H36508" s="83"/>
      <c r="K36508" s="82"/>
      <c r="M36508" s="112"/>
      <c r="N36508" s="84"/>
    </row>
    <row r="36509" spans="1:14" s="2" customFormat="1">
      <c r="A36509" s="83"/>
      <c r="H36509" s="83"/>
      <c r="K36509" s="82"/>
      <c r="M36509" s="112"/>
      <c r="N36509" s="84"/>
    </row>
    <row r="36510" spans="1:14" s="2" customFormat="1">
      <c r="A36510" s="83"/>
      <c r="H36510" s="83"/>
      <c r="K36510" s="82"/>
      <c r="M36510" s="112"/>
      <c r="N36510" s="84"/>
    </row>
    <row r="36511" spans="1:14" s="2" customFormat="1">
      <c r="A36511" s="83"/>
      <c r="H36511" s="83"/>
      <c r="K36511" s="82"/>
      <c r="M36511" s="112"/>
      <c r="N36511" s="84"/>
    </row>
    <row r="36512" spans="1:14" s="2" customFormat="1">
      <c r="A36512" s="83"/>
      <c r="H36512" s="83"/>
      <c r="K36512" s="82"/>
      <c r="M36512" s="112"/>
      <c r="N36512" s="84"/>
    </row>
    <row r="36513" spans="1:14" s="2" customFormat="1">
      <c r="A36513" s="83"/>
      <c r="H36513" s="83"/>
      <c r="K36513" s="82"/>
      <c r="M36513" s="112"/>
      <c r="N36513" s="84"/>
    </row>
    <row r="36514" spans="1:14" s="2" customFormat="1">
      <c r="A36514" s="83"/>
      <c r="H36514" s="83"/>
      <c r="K36514" s="82"/>
      <c r="M36514" s="112"/>
      <c r="N36514" s="84"/>
    </row>
    <row r="36515" spans="1:14" s="2" customFormat="1">
      <c r="A36515" s="83"/>
      <c r="H36515" s="83"/>
      <c r="K36515" s="82"/>
      <c r="M36515" s="112"/>
      <c r="N36515" s="84"/>
    </row>
    <row r="36516" spans="1:14" s="2" customFormat="1">
      <c r="A36516" s="83"/>
      <c r="H36516" s="83"/>
      <c r="K36516" s="82"/>
      <c r="M36516" s="112"/>
      <c r="N36516" s="84"/>
    </row>
    <row r="36517" spans="1:14" s="2" customFormat="1">
      <c r="A36517" s="83"/>
      <c r="H36517" s="83"/>
      <c r="K36517" s="82"/>
      <c r="M36517" s="112"/>
      <c r="N36517" s="84"/>
    </row>
    <row r="36518" spans="1:14" s="2" customFormat="1">
      <c r="A36518" s="83"/>
      <c r="H36518" s="83"/>
      <c r="K36518" s="82"/>
      <c r="M36518" s="112"/>
      <c r="N36518" s="84"/>
    </row>
    <row r="36519" spans="1:14" s="2" customFormat="1">
      <c r="A36519" s="83"/>
      <c r="H36519" s="83"/>
      <c r="K36519" s="82"/>
      <c r="M36519" s="112"/>
      <c r="N36519" s="84"/>
    </row>
    <row r="36520" spans="1:14" s="2" customFormat="1">
      <c r="A36520" s="83"/>
      <c r="H36520" s="83"/>
      <c r="K36520" s="82"/>
      <c r="M36520" s="112"/>
      <c r="N36520" s="84"/>
    </row>
    <row r="36521" spans="1:14" s="2" customFormat="1">
      <c r="A36521" s="83"/>
      <c r="H36521" s="83"/>
      <c r="K36521" s="82"/>
      <c r="M36521" s="112"/>
      <c r="N36521" s="84"/>
    </row>
    <row r="36522" spans="1:14" s="2" customFormat="1">
      <c r="A36522" s="83"/>
      <c r="H36522" s="83"/>
      <c r="K36522" s="82"/>
      <c r="M36522" s="112"/>
      <c r="N36522" s="84"/>
    </row>
    <row r="36523" spans="1:14" s="2" customFormat="1">
      <c r="A36523" s="83"/>
      <c r="H36523" s="83"/>
      <c r="K36523" s="82"/>
      <c r="M36523" s="112"/>
      <c r="N36523" s="84"/>
    </row>
    <row r="36524" spans="1:14" s="2" customFormat="1">
      <c r="A36524" s="83"/>
      <c r="H36524" s="83"/>
      <c r="K36524" s="82"/>
      <c r="M36524" s="112"/>
      <c r="N36524" s="84"/>
    </row>
    <row r="36525" spans="1:14" s="2" customFormat="1">
      <c r="A36525" s="83"/>
      <c r="H36525" s="83"/>
      <c r="K36525" s="82"/>
      <c r="M36525" s="112"/>
      <c r="N36525" s="84"/>
    </row>
    <row r="36526" spans="1:14" s="2" customFormat="1">
      <c r="A36526" s="83"/>
      <c r="H36526" s="83"/>
      <c r="K36526" s="82"/>
      <c r="M36526" s="112"/>
      <c r="N36526" s="84"/>
    </row>
    <row r="36527" spans="1:14" s="2" customFormat="1">
      <c r="A36527" s="83"/>
      <c r="H36527" s="83"/>
      <c r="K36527" s="82"/>
      <c r="M36527" s="112"/>
      <c r="N36527" s="84"/>
    </row>
    <row r="36528" spans="1:14" s="2" customFormat="1">
      <c r="A36528" s="83"/>
      <c r="H36528" s="83"/>
      <c r="K36528" s="82"/>
      <c r="M36528" s="112"/>
      <c r="N36528" s="84"/>
    </row>
    <row r="36529" spans="1:14" s="2" customFormat="1">
      <c r="A36529" s="83"/>
      <c r="H36529" s="83"/>
      <c r="K36529" s="82"/>
      <c r="M36529" s="112"/>
      <c r="N36529" s="84"/>
    </row>
    <row r="36530" spans="1:14" s="2" customFormat="1">
      <c r="A36530" s="83"/>
      <c r="H36530" s="83"/>
      <c r="K36530" s="82"/>
      <c r="M36530" s="112"/>
      <c r="N36530" s="84"/>
    </row>
    <row r="36531" spans="1:14" s="2" customFormat="1">
      <c r="A36531" s="83"/>
      <c r="H36531" s="83"/>
      <c r="K36531" s="82"/>
      <c r="M36531" s="112"/>
      <c r="N36531" s="84"/>
    </row>
    <row r="36532" spans="1:14" s="2" customFormat="1">
      <c r="A36532" s="83"/>
      <c r="H36532" s="83"/>
      <c r="K36532" s="82"/>
      <c r="M36532" s="112"/>
      <c r="N36532" s="84"/>
    </row>
    <row r="36533" spans="1:14" s="2" customFormat="1">
      <c r="A36533" s="83"/>
      <c r="H36533" s="83"/>
      <c r="K36533" s="82"/>
      <c r="M36533" s="112"/>
      <c r="N36533" s="84"/>
    </row>
    <row r="36534" spans="1:14" s="2" customFormat="1">
      <c r="A36534" s="83"/>
      <c r="H36534" s="83"/>
      <c r="K36534" s="82"/>
      <c r="M36534" s="112"/>
      <c r="N36534" s="84"/>
    </row>
    <row r="36535" spans="1:14" s="2" customFormat="1">
      <c r="A36535" s="83"/>
      <c r="H36535" s="83"/>
      <c r="K36535" s="82"/>
      <c r="M36535" s="112"/>
      <c r="N36535" s="84"/>
    </row>
    <row r="36536" spans="1:14" s="2" customFormat="1">
      <c r="A36536" s="83"/>
      <c r="H36536" s="83"/>
      <c r="K36536" s="82"/>
      <c r="M36536" s="112"/>
      <c r="N36536" s="84"/>
    </row>
    <row r="36537" spans="1:14" s="2" customFormat="1">
      <c r="A36537" s="83"/>
      <c r="H36537" s="83"/>
      <c r="K36537" s="82"/>
      <c r="M36537" s="112"/>
      <c r="N36537" s="84"/>
    </row>
    <row r="36538" spans="1:14" s="2" customFormat="1">
      <c r="A36538" s="83"/>
      <c r="H36538" s="83"/>
      <c r="K36538" s="82"/>
      <c r="M36538" s="112"/>
      <c r="N36538" s="84"/>
    </row>
    <row r="36539" spans="1:14" s="2" customFormat="1">
      <c r="A36539" s="83"/>
      <c r="H36539" s="83"/>
      <c r="K36539" s="82"/>
      <c r="M36539" s="112"/>
      <c r="N36539" s="84"/>
    </row>
    <row r="36540" spans="1:14" s="2" customFormat="1">
      <c r="A36540" s="83"/>
      <c r="H36540" s="83"/>
      <c r="K36540" s="82"/>
      <c r="M36540" s="112"/>
      <c r="N36540" s="84"/>
    </row>
    <row r="36541" spans="1:14" s="2" customFormat="1">
      <c r="A36541" s="83"/>
      <c r="H36541" s="83"/>
      <c r="K36541" s="82"/>
      <c r="M36541" s="112"/>
      <c r="N36541" s="84"/>
    </row>
    <row r="36542" spans="1:14" s="2" customFormat="1">
      <c r="A36542" s="83"/>
      <c r="H36542" s="83"/>
      <c r="K36542" s="82"/>
      <c r="M36542" s="112"/>
      <c r="N36542" s="84"/>
    </row>
    <row r="36543" spans="1:14" s="2" customFormat="1">
      <c r="A36543" s="83"/>
      <c r="H36543" s="83"/>
      <c r="K36543" s="82"/>
      <c r="M36543" s="112"/>
      <c r="N36543" s="84"/>
    </row>
    <row r="36544" spans="1:14" s="2" customFormat="1">
      <c r="A36544" s="83"/>
      <c r="H36544" s="83"/>
      <c r="K36544" s="82"/>
      <c r="M36544" s="112"/>
      <c r="N36544" s="84"/>
    </row>
    <row r="36545" spans="1:14" s="2" customFormat="1">
      <c r="A36545" s="83"/>
      <c r="H36545" s="83"/>
      <c r="K36545" s="82"/>
      <c r="M36545" s="112"/>
      <c r="N36545" s="84"/>
    </row>
    <row r="36546" spans="1:14" s="2" customFormat="1">
      <c r="A36546" s="83"/>
      <c r="H36546" s="83"/>
      <c r="K36546" s="82"/>
      <c r="M36546" s="112"/>
      <c r="N36546" s="84"/>
    </row>
    <row r="36547" spans="1:14" s="2" customFormat="1">
      <c r="A36547" s="83"/>
      <c r="H36547" s="83"/>
      <c r="K36547" s="82"/>
      <c r="M36547" s="112"/>
      <c r="N36547" s="84"/>
    </row>
    <row r="36548" spans="1:14" s="2" customFormat="1">
      <c r="A36548" s="83"/>
      <c r="H36548" s="83"/>
      <c r="K36548" s="82"/>
      <c r="M36548" s="112"/>
      <c r="N36548" s="84"/>
    </row>
    <row r="36549" spans="1:14" s="2" customFormat="1">
      <c r="A36549" s="83"/>
      <c r="H36549" s="83"/>
      <c r="K36549" s="82"/>
      <c r="M36549" s="112"/>
      <c r="N36549" s="84"/>
    </row>
    <row r="36550" spans="1:14" s="2" customFormat="1">
      <c r="A36550" s="83"/>
      <c r="H36550" s="83"/>
      <c r="K36550" s="82"/>
      <c r="M36550" s="112"/>
      <c r="N36550" s="84"/>
    </row>
    <row r="36551" spans="1:14" s="2" customFormat="1">
      <c r="A36551" s="83"/>
      <c r="H36551" s="83"/>
      <c r="K36551" s="82"/>
      <c r="M36551" s="112"/>
      <c r="N36551" s="84"/>
    </row>
    <row r="36552" spans="1:14" s="2" customFormat="1">
      <c r="A36552" s="83"/>
      <c r="H36552" s="83"/>
      <c r="K36552" s="82"/>
      <c r="M36552" s="112"/>
      <c r="N36552" s="84"/>
    </row>
    <row r="36553" spans="1:14" s="2" customFormat="1">
      <c r="A36553" s="83"/>
      <c r="H36553" s="83"/>
      <c r="K36553" s="82"/>
      <c r="M36553" s="112"/>
      <c r="N36553" s="84"/>
    </row>
    <row r="36554" spans="1:14" s="2" customFormat="1">
      <c r="A36554" s="83"/>
      <c r="H36554" s="83"/>
      <c r="K36554" s="82"/>
      <c r="M36554" s="112"/>
      <c r="N36554" s="84"/>
    </row>
    <row r="36555" spans="1:14" s="2" customFormat="1">
      <c r="A36555" s="83"/>
      <c r="H36555" s="83"/>
      <c r="K36555" s="82"/>
      <c r="M36555" s="112"/>
      <c r="N36555" s="84"/>
    </row>
    <row r="36556" spans="1:14" s="2" customFormat="1">
      <c r="A36556" s="83"/>
      <c r="H36556" s="83"/>
      <c r="K36556" s="82"/>
      <c r="M36556" s="112"/>
      <c r="N36556" s="84"/>
    </row>
    <row r="36557" spans="1:14" s="2" customFormat="1">
      <c r="A36557" s="83"/>
      <c r="H36557" s="83"/>
      <c r="K36557" s="82"/>
      <c r="M36557" s="112"/>
      <c r="N36557" s="84"/>
    </row>
    <row r="36558" spans="1:14" s="2" customFormat="1">
      <c r="A36558" s="83"/>
      <c r="H36558" s="83"/>
      <c r="K36558" s="82"/>
      <c r="M36558" s="112"/>
      <c r="N36558" s="84"/>
    </row>
    <row r="36559" spans="1:14" s="2" customFormat="1">
      <c r="A36559" s="83"/>
      <c r="H36559" s="83"/>
      <c r="K36559" s="82"/>
      <c r="M36559" s="112"/>
      <c r="N36559" s="84"/>
    </row>
    <row r="36560" spans="1:14" s="2" customFormat="1">
      <c r="A36560" s="83"/>
      <c r="H36560" s="83"/>
      <c r="K36560" s="82"/>
      <c r="M36560" s="112"/>
      <c r="N36560" s="84"/>
    </row>
    <row r="36561" spans="1:14" s="2" customFormat="1">
      <c r="A36561" s="83"/>
      <c r="H36561" s="83"/>
      <c r="K36561" s="82"/>
      <c r="M36561" s="112"/>
      <c r="N36561" s="84"/>
    </row>
    <row r="36562" spans="1:14" s="2" customFormat="1">
      <c r="A36562" s="83"/>
      <c r="H36562" s="83"/>
      <c r="K36562" s="82"/>
      <c r="M36562" s="112"/>
      <c r="N36562" s="84"/>
    </row>
    <row r="36563" spans="1:14" s="2" customFormat="1">
      <c r="A36563" s="83"/>
      <c r="H36563" s="83"/>
      <c r="K36563" s="82"/>
      <c r="M36563" s="112"/>
      <c r="N36563" s="84"/>
    </row>
    <row r="36564" spans="1:14" s="2" customFormat="1">
      <c r="A36564" s="83"/>
      <c r="H36564" s="83"/>
      <c r="K36564" s="82"/>
      <c r="M36564" s="112"/>
      <c r="N36564" s="84"/>
    </row>
    <row r="36565" spans="1:14" s="2" customFormat="1">
      <c r="A36565" s="83"/>
      <c r="H36565" s="83"/>
      <c r="K36565" s="82"/>
      <c r="M36565" s="112"/>
      <c r="N36565" s="84"/>
    </row>
    <row r="36566" spans="1:14" s="2" customFormat="1">
      <c r="A36566" s="83"/>
      <c r="H36566" s="83"/>
      <c r="K36566" s="82"/>
      <c r="M36566" s="112"/>
      <c r="N36566" s="84"/>
    </row>
    <row r="36567" spans="1:14" s="2" customFormat="1">
      <c r="A36567" s="83"/>
      <c r="H36567" s="83"/>
      <c r="K36567" s="82"/>
      <c r="M36567" s="112"/>
      <c r="N36567" s="84"/>
    </row>
    <row r="36568" spans="1:14" s="2" customFormat="1">
      <c r="A36568" s="83"/>
      <c r="H36568" s="83"/>
      <c r="K36568" s="82"/>
      <c r="M36568" s="112"/>
      <c r="N36568" s="84"/>
    </row>
    <row r="36569" spans="1:14" s="2" customFormat="1">
      <c r="A36569" s="83"/>
      <c r="H36569" s="83"/>
      <c r="K36569" s="82"/>
      <c r="M36569" s="112"/>
      <c r="N36569" s="84"/>
    </row>
    <row r="36570" spans="1:14" s="2" customFormat="1">
      <c r="A36570" s="83"/>
      <c r="H36570" s="83"/>
      <c r="K36570" s="82"/>
      <c r="M36570" s="112"/>
      <c r="N36570" s="84"/>
    </row>
    <row r="36571" spans="1:14" s="2" customFormat="1">
      <c r="A36571" s="83"/>
      <c r="H36571" s="83"/>
      <c r="K36571" s="82"/>
      <c r="M36571" s="112"/>
      <c r="N36571" s="84"/>
    </row>
    <row r="36572" spans="1:14" s="2" customFormat="1">
      <c r="A36572" s="83"/>
      <c r="H36572" s="83"/>
      <c r="K36572" s="82"/>
      <c r="M36572" s="112"/>
      <c r="N36572" s="84"/>
    </row>
    <row r="36573" spans="1:14" s="2" customFormat="1">
      <c r="A36573" s="83"/>
      <c r="H36573" s="83"/>
      <c r="K36573" s="82"/>
      <c r="M36573" s="112"/>
      <c r="N36573" s="84"/>
    </row>
    <row r="36574" spans="1:14" s="2" customFormat="1">
      <c r="A36574" s="83"/>
      <c r="H36574" s="83"/>
      <c r="K36574" s="82"/>
      <c r="M36574" s="112"/>
      <c r="N36574" s="84"/>
    </row>
    <row r="36575" spans="1:14" s="2" customFormat="1">
      <c r="A36575" s="83"/>
      <c r="H36575" s="83"/>
      <c r="K36575" s="82"/>
      <c r="M36575" s="112"/>
      <c r="N36575" s="84"/>
    </row>
    <row r="36576" spans="1:14" s="2" customFormat="1">
      <c r="A36576" s="83"/>
      <c r="H36576" s="83"/>
      <c r="K36576" s="82"/>
      <c r="M36576" s="112"/>
      <c r="N36576" s="84"/>
    </row>
    <row r="36577" spans="1:14" s="2" customFormat="1">
      <c r="A36577" s="83"/>
      <c r="H36577" s="83"/>
      <c r="K36577" s="82"/>
      <c r="M36577" s="112"/>
      <c r="N36577" s="84"/>
    </row>
    <row r="36578" spans="1:14" s="2" customFormat="1">
      <c r="A36578" s="83"/>
      <c r="H36578" s="83"/>
      <c r="K36578" s="82"/>
      <c r="M36578" s="112"/>
      <c r="N36578" s="84"/>
    </row>
    <row r="36579" spans="1:14" s="2" customFormat="1">
      <c r="A36579" s="83"/>
      <c r="H36579" s="83"/>
      <c r="K36579" s="82"/>
      <c r="M36579" s="112"/>
      <c r="N36579" s="84"/>
    </row>
    <row r="36580" spans="1:14" s="2" customFormat="1">
      <c r="A36580" s="83"/>
      <c r="H36580" s="83"/>
      <c r="K36580" s="82"/>
      <c r="M36580" s="112"/>
      <c r="N36580" s="84"/>
    </row>
    <row r="36581" spans="1:14" s="2" customFormat="1">
      <c r="A36581" s="83"/>
      <c r="H36581" s="83"/>
      <c r="K36581" s="82"/>
      <c r="M36581" s="112"/>
      <c r="N36581" s="84"/>
    </row>
    <row r="36582" spans="1:14" s="2" customFormat="1">
      <c r="A36582" s="83"/>
      <c r="H36582" s="83"/>
      <c r="K36582" s="82"/>
      <c r="M36582" s="112"/>
      <c r="N36582" s="84"/>
    </row>
    <row r="36583" spans="1:14" s="2" customFormat="1">
      <c r="A36583" s="83"/>
      <c r="H36583" s="83"/>
      <c r="K36583" s="82"/>
      <c r="M36583" s="112"/>
      <c r="N36583" s="84"/>
    </row>
    <row r="36584" spans="1:14" s="2" customFormat="1">
      <c r="A36584" s="83"/>
      <c r="H36584" s="83"/>
      <c r="K36584" s="82"/>
      <c r="M36584" s="112"/>
      <c r="N36584" s="84"/>
    </row>
    <row r="36585" spans="1:14" s="2" customFormat="1">
      <c r="A36585" s="83"/>
      <c r="H36585" s="83"/>
      <c r="K36585" s="82"/>
      <c r="M36585" s="112"/>
      <c r="N36585" s="84"/>
    </row>
    <row r="36586" spans="1:14" s="2" customFormat="1">
      <c r="A36586" s="83"/>
      <c r="H36586" s="83"/>
      <c r="K36586" s="82"/>
      <c r="M36586" s="112"/>
      <c r="N36586" s="84"/>
    </row>
    <row r="36587" spans="1:14" s="2" customFormat="1">
      <c r="A36587" s="83"/>
      <c r="H36587" s="83"/>
      <c r="K36587" s="82"/>
      <c r="M36587" s="112"/>
      <c r="N36587" s="84"/>
    </row>
    <row r="36588" spans="1:14" s="2" customFormat="1">
      <c r="A36588" s="83"/>
      <c r="H36588" s="83"/>
      <c r="K36588" s="82"/>
      <c r="M36588" s="112"/>
      <c r="N36588" s="84"/>
    </row>
    <row r="36589" spans="1:14" s="2" customFormat="1">
      <c r="A36589" s="83"/>
      <c r="H36589" s="83"/>
      <c r="K36589" s="82"/>
      <c r="M36589" s="112"/>
      <c r="N36589" s="84"/>
    </row>
    <row r="36590" spans="1:14" s="2" customFormat="1">
      <c r="A36590" s="83"/>
      <c r="H36590" s="83"/>
      <c r="K36590" s="82"/>
      <c r="M36590" s="112"/>
      <c r="N36590" s="84"/>
    </row>
    <row r="36591" spans="1:14" s="2" customFormat="1">
      <c r="A36591" s="83"/>
      <c r="H36591" s="83"/>
      <c r="K36591" s="82"/>
      <c r="M36591" s="112"/>
      <c r="N36591" s="84"/>
    </row>
    <row r="36592" spans="1:14" s="2" customFormat="1">
      <c r="A36592" s="83"/>
      <c r="H36592" s="83"/>
      <c r="K36592" s="82"/>
      <c r="M36592" s="112"/>
      <c r="N36592" s="84"/>
    </row>
    <row r="36593" spans="1:14" s="2" customFormat="1">
      <c r="A36593" s="83"/>
      <c r="H36593" s="83"/>
      <c r="K36593" s="82"/>
      <c r="M36593" s="112"/>
      <c r="N36593" s="84"/>
    </row>
    <row r="36594" spans="1:14" s="2" customFormat="1">
      <c r="A36594" s="83"/>
      <c r="H36594" s="83"/>
      <c r="K36594" s="82"/>
      <c r="M36594" s="112"/>
      <c r="N36594" s="84"/>
    </row>
    <row r="36595" spans="1:14" s="2" customFormat="1">
      <c r="A36595" s="83"/>
      <c r="H36595" s="83"/>
      <c r="K36595" s="82"/>
      <c r="M36595" s="112"/>
      <c r="N36595" s="84"/>
    </row>
    <row r="36596" spans="1:14" s="2" customFormat="1">
      <c r="A36596" s="83"/>
      <c r="H36596" s="83"/>
      <c r="K36596" s="82"/>
      <c r="M36596" s="112"/>
      <c r="N36596" s="84"/>
    </row>
    <row r="36597" spans="1:14" s="2" customFormat="1">
      <c r="A36597" s="83"/>
      <c r="H36597" s="83"/>
      <c r="K36597" s="82"/>
      <c r="M36597" s="112"/>
      <c r="N36597" s="84"/>
    </row>
    <row r="36598" spans="1:14" s="2" customFormat="1">
      <c r="A36598" s="83"/>
      <c r="H36598" s="83"/>
      <c r="K36598" s="82"/>
      <c r="M36598" s="112"/>
      <c r="N36598" s="84"/>
    </row>
    <row r="36599" spans="1:14" s="2" customFormat="1">
      <c r="A36599" s="83"/>
      <c r="H36599" s="83"/>
      <c r="K36599" s="82"/>
      <c r="M36599" s="112"/>
      <c r="N36599" s="84"/>
    </row>
    <row r="36600" spans="1:14" s="2" customFormat="1">
      <c r="A36600" s="83"/>
      <c r="H36600" s="83"/>
      <c r="K36600" s="82"/>
      <c r="M36600" s="112"/>
      <c r="N36600" s="84"/>
    </row>
    <row r="36601" spans="1:14" s="2" customFormat="1">
      <c r="A36601" s="83"/>
      <c r="H36601" s="83"/>
      <c r="K36601" s="82"/>
      <c r="M36601" s="112"/>
      <c r="N36601" s="84"/>
    </row>
    <row r="36602" spans="1:14" s="2" customFormat="1">
      <c r="A36602" s="83"/>
      <c r="H36602" s="83"/>
      <c r="K36602" s="82"/>
      <c r="M36602" s="112"/>
      <c r="N36602" s="84"/>
    </row>
    <row r="36603" spans="1:14" s="2" customFormat="1">
      <c r="A36603" s="83"/>
      <c r="H36603" s="83"/>
      <c r="K36603" s="82"/>
      <c r="M36603" s="112"/>
      <c r="N36603" s="84"/>
    </row>
    <row r="36604" spans="1:14" s="2" customFormat="1">
      <c r="A36604" s="83"/>
      <c r="H36604" s="83"/>
      <c r="K36604" s="82"/>
      <c r="M36604" s="112"/>
      <c r="N36604" s="84"/>
    </row>
    <row r="36605" spans="1:14" s="2" customFormat="1">
      <c r="A36605" s="83"/>
      <c r="H36605" s="83"/>
      <c r="K36605" s="82"/>
      <c r="M36605" s="112"/>
      <c r="N36605" s="84"/>
    </row>
    <row r="36606" spans="1:14" s="2" customFormat="1">
      <c r="A36606" s="83"/>
      <c r="H36606" s="83"/>
      <c r="K36606" s="82"/>
      <c r="M36606" s="112"/>
      <c r="N36606" s="84"/>
    </row>
    <row r="36607" spans="1:14" s="2" customFormat="1">
      <c r="A36607" s="83"/>
      <c r="H36607" s="83"/>
      <c r="K36607" s="82"/>
      <c r="M36607" s="112"/>
      <c r="N36607" s="84"/>
    </row>
    <row r="36608" spans="1:14" s="2" customFormat="1">
      <c r="A36608" s="83"/>
      <c r="H36608" s="83"/>
      <c r="K36608" s="82"/>
      <c r="M36608" s="112"/>
      <c r="N36608" s="84"/>
    </row>
    <row r="36609" spans="1:14" s="2" customFormat="1">
      <c r="A36609" s="83"/>
      <c r="H36609" s="83"/>
      <c r="K36609" s="82"/>
      <c r="M36609" s="112"/>
      <c r="N36609" s="84"/>
    </row>
    <row r="36610" spans="1:14" s="2" customFormat="1">
      <c r="A36610" s="83"/>
      <c r="H36610" s="83"/>
      <c r="K36610" s="82"/>
      <c r="M36610" s="112"/>
      <c r="N36610" s="84"/>
    </row>
    <row r="36611" spans="1:14" s="2" customFormat="1">
      <c r="A36611" s="83"/>
      <c r="H36611" s="83"/>
      <c r="K36611" s="82"/>
      <c r="M36611" s="112"/>
      <c r="N36611" s="84"/>
    </row>
    <row r="36612" spans="1:14" s="2" customFormat="1">
      <c r="A36612" s="83"/>
      <c r="H36612" s="83"/>
      <c r="K36612" s="82"/>
      <c r="M36612" s="112"/>
      <c r="N36612" s="84"/>
    </row>
    <row r="36613" spans="1:14" s="2" customFormat="1">
      <c r="A36613" s="83"/>
      <c r="H36613" s="83"/>
      <c r="K36613" s="82"/>
      <c r="M36613" s="112"/>
      <c r="N36613" s="84"/>
    </row>
    <row r="36614" spans="1:14" s="2" customFormat="1">
      <c r="A36614" s="83"/>
      <c r="H36614" s="83"/>
      <c r="K36614" s="82"/>
      <c r="M36614" s="112"/>
      <c r="N36614" s="84"/>
    </row>
    <row r="36615" spans="1:14" s="2" customFormat="1">
      <c r="A36615" s="83"/>
      <c r="H36615" s="83"/>
      <c r="K36615" s="82"/>
      <c r="M36615" s="112"/>
      <c r="N36615" s="84"/>
    </row>
    <row r="36616" spans="1:14" s="2" customFormat="1">
      <c r="A36616" s="83"/>
      <c r="H36616" s="83"/>
      <c r="K36616" s="82"/>
      <c r="M36616" s="112"/>
      <c r="N36616" s="84"/>
    </row>
    <row r="36617" spans="1:14" s="2" customFormat="1">
      <c r="A36617" s="83"/>
      <c r="H36617" s="83"/>
      <c r="K36617" s="82"/>
      <c r="M36617" s="112"/>
      <c r="N36617" s="84"/>
    </row>
    <row r="36618" spans="1:14" s="2" customFormat="1">
      <c r="A36618" s="83"/>
      <c r="H36618" s="83"/>
      <c r="K36618" s="82"/>
      <c r="M36618" s="112"/>
      <c r="N36618" s="84"/>
    </row>
    <row r="36619" spans="1:14" s="2" customFormat="1">
      <c r="A36619" s="83"/>
      <c r="H36619" s="83"/>
      <c r="K36619" s="82"/>
      <c r="M36619" s="112"/>
      <c r="N36619" s="84"/>
    </row>
    <row r="36620" spans="1:14" s="2" customFormat="1">
      <c r="A36620" s="83"/>
      <c r="H36620" s="83"/>
      <c r="K36620" s="82"/>
      <c r="M36620" s="112"/>
      <c r="N36620" s="84"/>
    </row>
    <row r="36621" spans="1:14" s="2" customFormat="1">
      <c r="A36621" s="83"/>
      <c r="H36621" s="83"/>
      <c r="K36621" s="82"/>
      <c r="M36621" s="112"/>
      <c r="N36621" s="84"/>
    </row>
    <row r="36622" spans="1:14" s="2" customFormat="1">
      <c r="A36622" s="83"/>
      <c r="H36622" s="83"/>
      <c r="K36622" s="82"/>
      <c r="M36622" s="112"/>
      <c r="N36622" s="84"/>
    </row>
    <row r="36623" spans="1:14" s="2" customFormat="1">
      <c r="A36623" s="83"/>
      <c r="H36623" s="83"/>
      <c r="K36623" s="82"/>
      <c r="M36623" s="112"/>
      <c r="N36623" s="84"/>
    </row>
    <row r="36624" spans="1:14" s="2" customFormat="1">
      <c r="A36624" s="83"/>
      <c r="H36624" s="83"/>
      <c r="K36624" s="82"/>
      <c r="M36624" s="112"/>
      <c r="N36624" s="84"/>
    </row>
    <row r="36625" spans="1:14" s="2" customFormat="1">
      <c r="A36625" s="83"/>
      <c r="H36625" s="83"/>
      <c r="K36625" s="82"/>
      <c r="M36625" s="112"/>
      <c r="N36625" s="84"/>
    </row>
    <row r="36626" spans="1:14" s="2" customFormat="1">
      <c r="A36626" s="83"/>
      <c r="H36626" s="83"/>
      <c r="K36626" s="82"/>
      <c r="M36626" s="112"/>
      <c r="N36626" s="84"/>
    </row>
    <row r="36627" spans="1:14" s="2" customFormat="1">
      <c r="A36627" s="83"/>
      <c r="H36627" s="83"/>
      <c r="K36627" s="82"/>
      <c r="M36627" s="112"/>
      <c r="N36627" s="84"/>
    </row>
    <row r="36628" spans="1:14" s="2" customFormat="1">
      <c r="A36628" s="83"/>
      <c r="H36628" s="83"/>
      <c r="K36628" s="82"/>
      <c r="M36628" s="112"/>
      <c r="N36628" s="84"/>
    </row>
    <row r="36629" spans="1:14" s="2" customFormat="1">
      <c r="A36629" s="83"/>
      <c r="H36629" s="83"/>
      <c r="K36629" s="82"/>
      <c r="M36629" s="112"/>
      <c r="N36629" s="84"/>
    </row>
    <row r="36630" spans="1:14" s="2" customFormat="1">
      <c r="A36630" s="83"/>
      <c r="H36630" s="83"/>
      <c r="K36630" s="82"/>
      <c r="M36630" s="112"/>
      <c r="N36630" s="84"/>
    </row>
    <row r="36631" spans="1:14" s="2" customFormat="1">
      <c r="A36631" s="83"/>
      <c r="H36631" s="83"/>
      <c r="K36631" s="82"/>
      <c r="M36631" s="112"/>
      <c r="N36631" s="84"/>
    </row>
    <row r="36632" spans="1:14" s="2" customFormat="1">
      <c r="A36632" s="83"/>
      <c r="H36632" s="83"/>
      <c r="K36632" s="82"/>
      <c r="M36632" s="112"/>
      <c r="N36632" s="84"/>
    </row>
    <row r="36633" spans="1:14" s="2" customFormat="1">
      <c r="A36633" s="83"/>
      <c r="H36633" s="83"/>
      <c r="K36633" s="82"/>
      <c r="M36633" s="112"/>
      <c r="N36633" s="84"/>
    </row>
    <row r="36634" spans="1:14" s="2" customFormat="1">
      <c r="A36634" s="83"/>
      <c r="H36634" s="83"/>
      <c r="K36634" s="82"/>
      <c r="M36634" s="112"/>
      <c r="N36634" s="84"/>
    </row>
    <row r="36635" spans="1:14" s="2" customFormat="1">
      <c r="A36635" s="83"/>
      <c r="H36635" s="83"/>
      <c r="K36635" s="82"/>
      <c r="M36635" s="112"/>
      <c r="N36635" s="84"/>
    </row>
    <row r="36636" spans="1:14" s="2" customFormat="1">
      <c r="A36636" s="83"/>
      <c r="H36636" s="83"/>
      <c r="K36636" s="82"/>
      <c r="M36636" s="112"/>
      <c r="N36636" s="84"/>
    </row>
    <row r="36637" spans="1:14" s="2" customFormat="1">
      <c r="A36637" s="83"/>
      <c r="H36637" s="83"/>
      <c r="K36637" s="82"/>
      <c r="M36637" s="112"/>
      <c r="N36637" s="84"/>
    </row>
    <row r="36638" spans="1:14" s="2" customFormat="1">
      <c r="A36638" s="83"/>
      <c r="H36638" s="83"/>
      <c r="K36638" s="82"/>
      <c r="M36638" s="112"/>
      <c r="N36638" s="84"/>
    </row>
    <row r="36639" spans="1:14" s="2" customFormat="1">
      <c r="A36639" s="83"/>
      <c r="H36639" s="83"/>
      <c r="K36639" s="82"/>
      <c r="M36639" s="112"/>
      <c r="N36639" s="84"/>
    </row>
    <row r="36640" spans="1:14" s="2" customFormat="1">
      <c r="A36640" s="83"/>
      <c r="H36640" s="83"/>
      <c r="K36640" s="82"/>
      <c r="M36640" s="112"/>
      <c r="N36640" s="84"/>
    </row>
    <row r="36641" spans="1:14" s="2" customFormat="1">
      <c r="A36641" s="83"/>
      <c r="H36641" s="83"/>
      <c r="K36641" s="82"/>
      <c r="M36641" s="112"/>
      <c r="N36641" s="84"/>
    </row>
    <row r="36642" spans="1:14" s="2" customFormat="1">
      <c r="A36642" s="83"/>
      <c r="H36642" s="83"/>
      <c r="K36642" s="82"/>
      <c r="M36642" s="112"/>
      <c r="N36642" s="84"/>
    </row>
    <row r="36643" spans="1:14" s="2" customFormat="1">
      <c r="A36643" s="83"/>
      <c r="H36643" s="83"/>
      <c r="K36643" s="82"/>
      <c r="M36643" s="112"/>
      <c r="N36643" s="84"/>
    </row>
    <row r="36644" spans="1:14" s="2" customFormat="1">
      <c r="A36644" s="83"/>
      <c r="H36644" s="83"/>
      <c r="K36644" s="82"/>
      <c r="M36644" s="112"/>
      <c r="N36644" s="84"/>
    </row>
    <row r="36645" spans="1:14" s="2" customFormat="1">
      <c r="A36645" s="83"/>
      <c r="H36645" s="83"/>
      <c r="K36645" s="82"/>
      <c r="M36645" s="112"/>
      <c r="N36645" s="84"/>
    </row>
    <row r="36646" spans="1:14" s="2" customFormat="1">
      <c r="A36646" s="83"/>
      <c r="H36646" s="83"/>
      <c r="K36646" s="82"/>
      <c r="M36646" s="112"/>
      <c r="N36646" s="84"/>
    </row>
    <row r="36647" spans="1:14" s="2" customFormat="1">
      <c r="A36647" s="83"/>
      <c r="H36647" s="83"/>
      <c r="K36647" s="82"/>
      <c r="M36647" s="112"/>
      <c r="N36647" s="84"/>
    </row>
    <row r="36648" spans="1:14" s="2" customFormat="1">
      <c r="A36648" s="83"/>
      <c r="H36648" s="83"/>
      <c r="K36648" s="82"/>
      <c r="M36648" s="112"/>
      <c r="N36648" s="84"/>
    </row>
    <row r="36649" spans="1:14" s="2" customFormat="1">
      <c r="A36649" s="83"/>
      <c r="H36649" s="83"/>
      <c r="K36649" s="82"/>
      <c r="M36649" s="112"/>
      <c r="N36649" s="84"/>
    </row>
    <row r="36650" spans="1:14" s="2" customFormat="1">
      <c r="A36650" s="83"/>
      <c r="H36650" s="83"/>
      <c r="K36650" s="82"/>
      <c r="M36650" s="112"/>
      <c r="N36650" s="84"/>
    </row>
    <row r="36651" spans="1:14" s="2" customFormat="1">
      <c r="A36651" s="83"/>
      <c r="H36651" s="83"/>
      <c r="K36651" s="82"/>
      <c r="M36651" s="112"/>
      <c r="N36651" s="84"/>
    </row>
    <row r="36652" spans="1:14" s="2" customFormat="1">
      <c r="A36652" s="83"/>
      <c r="H36652" s="83"/>
      <c r="K36652" s="82"/>
      <c r="M36652" s="112"/>
      <c r="N36652" s="84"/>
    </row>
    <row r="36653" spans="1:14" s="2" customFormat="1">
      <c r="A36653" s="83"/>
      <c r="H36653" s="83"/>
      <c r="K36653" s="82"/>
      <c r="M36653" s="112"/>
      <c r="N36653" s="84"/>
    </row>
    <row r="36654" spans="1:14" s="2" customFormat="1">
      <c r="A36654" s="83"/>
      <c r="H36654" s="83"/>
      <c r="K36654" s="82"/>
      <c r="M36654" s="112"/>
      <c r="N36654" s="84"/>
    </row>
    <row r="36655" spans="1:14" s="2" customFormat="1">
      <c r="A36655" s="83"/>
      <c r="H36655" s="83"/>
      <c r="K36655" s="82"/>
      <c r="M36655" s="112"/>
      <c r="N36655" s="84"/>
    </row>
    <row r="36656" spans="1:14" s="2" customFormat="1">
      <c r="A36656" s="83"/>
      <c r="H36656" s="83"/>
      <c r="K36656" s="82"/>
      <c r="M36656" s="112"/>
      <c r="N36656" s="84"/>
    </row>
    <row r="36657" spans="1:14" s="2" customFormat="1">
      <c r="A36657" s="83"/>
      <c r="H36657" s="83"/>
      <c r="K36657" s="82"/>
      <c r="M36657" s="112"/>
      <c r="N36657" s="84"/>
    </row>
    <row r="36658" spans="1:14" s="2" customFormat="1">
      <c r="A36658" s="83"/>
      <c r="H36658" s="83"/>
      <c r="K36658" s="82"/>
      <c r="M36658" s="112"/>
      <c r="N36658" s="84"/>
    </row>
    <row r="36659" spans="1:14" s="2" customFormat="1">
      <c r="A36659" s="83"/>
      <c r="H36659" s="83"/>
      <c r="K36659" s="82"/>
      <c r="M36659" s="112"/>
      <c r="N36659" s="84"/>
    </row>
    <row r="36660" spans="1:14" s="2" customFormat="1">
      <c r="A36660" s="83"/>
      <c r="H36660" s="83"/>
      <c r="K36660" s="82"/>
      <c r="M36660" s="112"/>
      <c r="N36660" s="84"/>
    </row>
    <row r="36661" spans="1:14" s="2" customFormat="1">
      <c r="A36661" s="83"/>
      <c r="H36661" s="83"/>
      <c r="K36661" s="82"/>
      <c r="M36661" s="112"/>
      <c r="N36661" s="84"/>
    </row>
    <row r="36662" spans="1:14" s="2" customFormat="1">
      <c r="A36662" s="83"/>
      <c r="H36662" s="83"/>
      <c r="K36662" s="82"/>
      <c r="M36662" s="112"/>
      <c r="N36662" s="84"/>
    </row>
    <row r="36663" spans="1:14" s="2" customFormat="1">
      <c r="A36663" s="83"/>
      <c r="H36663" s="83"/>
      <c r="K36663" s="82"/>
      <c r="M36663" s="112"/>
      <c r="N36663" s="84"/>
    </row>
    <row r="36664" spans="1:14" s="2" customFormat="1">
      <c r="A36664" s="83"/>
      <c r="H36664" s="83"/>
      <c r="K36664" s="82"/>
      <c r="M36664" s="112"/>
      <c r="N36664" s="84"/>
    </row>
    <row r="36665" spans="1:14" s="2" customFormat="1">
      <c r="A36665" s="83"/>
      <c r="H36665" s="83"/>
      <c r="K36665" s="82"/>
      <c r="M36665" s="112"/>
      <c r="N36665" s="84"/>
    </row>
    <row r="36666" spans="1:14" s="2" customFormat="1">
      <c r="A36666" s="83"/>
      <c r="H36666" s="83"/>
      <c r="K36666" s="82"/>
      <c r="M36666" s="112"/>
      <c r="N36666" s="84"/>
    </row>
    <row r="36667" spans="1:14" s="2" customFormat="1">
      <c r="A36667" s="83"/>
      <c r="H36667" s="83"/>
      <c r="K36667" s="82"/>
      <c r="M36667" s="112"/>
      <c r="N36667" s="84"/>
    </row>
    <row r="36668" spans="1:14" s="2" customFormat="1">
      <c r="A36668" s="83"/>
      <c r="H36668" s="83"/>
      <c r="K36668" s="82"/>
      <c r="M36668" s="112"/>
      <c r="N36668" s="84"/>
    </row>
    <row r="36669" spans="1:14" s="2" customFormat="1">
      <c r="A36669" s="83"/>
      <c r="H36669" s="83"/>
      <c r="K36669" s="82"/>
      <c r="M36669" s="112"/>
      <c r="N36669" s="84"/>
    </row>
    <row r="36670" spans="1:14" s="2" customFormat="1">
      <c r="A36670" s="83"/>
      <c r="H36670" s="83"/>
      <c r="K36670" s="82"/>
      <c r="M36670" s="112"/>
      <c r="N36670" s="84"/>
    </row>
    <row r="36671" spans="1:14" s="2" customFormat="1">
      <c r="A36671" s="83"/>
      <c r="H36671" s="83"/>
      <c r="K36671" s="82"/>
      <c r="M36671" s="112"/>
      <c r="N36671" s="84"/>
    </row>
    <row r="36672" spans="1:14" s="2" customFormat="1">
      <c r="A36672" s="83"/>
      <c r="H36672" s="83"/>
      <c r="K36672" s="82"/>
      <c r="M36672" s="112"/>
      <c r="N36672" s="84"/>
    </row>
    <row r="36673" spans="1:14" s="2" customFormat="1">
      <c r="A36673" s="83"/>
      <c r="H36673" s="83"/>
      <c r="K36673" s="82"/>
      <c r="M36673" s="112"/>
      <c r="N36673" s="84"/>
    </row>
    <row r="36674" spans="1:14" s="2" customFormat="1">
      <c r="A36674" s="83"/>
      <c r="H36674" s="83"/>
      <c r="K36674" s="82"/>
      <c r="M36674" s="112"/>
      <c r="N36674" s="84"/>
    </row>
    <row r="36675" spans="1:14" s="2" customFormat="1">
      <c r="A36675" s="83"/>
      <c r="H36675" s="83"/>
      <c r="K36675" s="82"/>
      <c r="M36675" s="112"/>
      <c r="N36675" s="84"/>
    </row>
    <row r="36676" spans="1:14" s="2" customFormat="1">
      <c r="A36676" s="83"/>
      <c r="H36676" s="83"/>
      <c r="K36676" s="82"/>
      <c r="M36676" s="112"/>
      <c r="N36676" s="84"/>
    </row>
    <row r="36677" spans="1:14" s="2" customFormat="1">
      <c r="A36677" s="83"/>
      <c r="H36677" s="83"/>
      <c r="K36677" s="82"/>
      <c r="M36677" s="112"/>
      <c r="N36677" s="84"/>
    </row>
    <row r="36678" spans="1:14" s="2" customFormat="1">
      <c r="A36678" s="83"/>
      <c r="H36678" s="83"/>
      <c r="K36678" s="82"/>
      <c r="M36678" s="112"/>
      <c r="N36678" s="84"/>
    </row>
    <row r="36679" spans="1:14" s="2" customFormat="1">
      <c r="A36679" s="83"/>
      <c r="H36679" s="83"/>
      <c r="K36679" s="82"/>
      <c r="M36679" s="112"/>
      <c r="N36679" s="84"/>
    </row>
    <row r="36680" spans="1:14" s="2" customFormat="1">
      <c r="A36680" s="83"/>
      <c r="H36680" s="83"/>
      <c r="K36680" s="82"/>
      <c r="M36680" s="112"/>
      <c r="N36680" s="84"/>
    </row>
    <row r="36681" spans="1:14" s="2" customFormat="1">
      <c r="A36681" s="83"/>
      <c r="H36681" s="83"/>
      <c r="K36681" s="82"/>
      <c r="M36681" s="112"/>
      <c r="N36681" s="84"/>
    </row>
    <row r="36682" spans="1:14" s="2" customFormat="1">
      <c r="A36682" s="83"/>
      <c r="H36682" s="83"/>
      <c r="K36682" s="82"/>
      <c r="M36682" s="112"/>
      <c r="N36682" s="84"/>
    </row>
    <row r="36683" spans="1:14" s="2" customFormat="1">
      <c r="A36683" s="83"/>
      <c r="H36683" s="83"/>
      <c r="K36683" s="82"/>
      <c r="M36683" s="112"/>
      <c r="N36683" s="84"/>
    </row>
    <row r="36684" spans="1:14" s="2" customFormat="1">
      <c r="A36684" s="83"/>
      <c r="H36684" s="83"/>
      <c r="K36684" s="82"/>
      <c r="M36684" s="112"/>
      <c r="N36684" s="84"/>
    </row>
    <row r="36685" spans="1:14" s="2" customFormat="1">
      <c r="A36685" s="83"/>
      <c r="H36685" s="83"/>
      <c r="K36685" s="82"/>
      <c r="M36685" s="112"/>
      <c r="N36685" s="84"/>
    </row>
    <row r="36686" spans="1:14" s="2" customFormat="1">
      <c r="A36686" s="83"/>
      <c r="H36686" s="83"/>
      <c r="K36686" s="82"/>
      <c r="M36686" s="112"/>
      <c r="N36686" s="84"/>
    </row>
    <row r="36687" spans="1:14" s="2" customFormat="1">
      <c r="A36687" s="83"/>
      <c r="H36687" s="83"/>
      <c r="K36687" s="82"/>
      <c r="M36687" s="112"/>
      <c r="N36687" s="84"/>
    </row>
    <row r="36688" spans="1:14" s="2" customFormat="1">
      <c r="A36688" s="83"/>
      <c r="H36688" s="83"/>
      <c r="K36688" s="82"/>
      <c r="M36688" s="112"/>
      <c r="N36688" s="84"/>
    </row>
    <row r="36689" spans="1:14" s="2" customFormat="1">
      <c r="A36689" s="83"/>
      <c r="H36689" s="83"/>
      <c r="K36689" s="82"/>
      <c r="M36689" s="112"/>
      <c r="N36689" s="84"/>
    </row>
    <row r="36690" spans="1:14" s="2" customFormat="1">
      <c r="A36690" s="83"/>
      <c r="H36690" s="83"/>
      <c r="K36690" s="82"/>
      <c r="M36690" s="112"/>
      <c r="N36690" s="84"/>
    </row>
    <row r="36691" spans="1:14" s="2" customFormat="1">
      <c r="A36691" s="83"/>
      <c r="H36691" s="83"/>
      <c r="K36691" s="82"/>
      <c r="M36691" s="112"/>
      <c r="N36691" s="84"/>
    </row>
    <row r="36692" spans="1:14" s="2" customFormat="1">
      <c r="A36692" s="83"/>
      <c r="H36692" s="83"/>
      <c r="K36692" s="82"/>
      <c r="M36692" s="112"/>
      <c r="N36692" s="84"/>
    </row>
    <row r="36693" spans="1:14" s="2" customFormat="1">
      <c r="A36693" s="83"/>
      <c r="H36693" s="83"/>
      <c r="K36693" s="82"/>
      <c r="M36693" s="112"/>
      <c r="N36693" s="84"/>
    </row>
    <row r="36694" spans="1:14" s="2" customFormat="1">
      <c r="A36694" s="83"/>
      <c r="H36694" s="83"/>
      <c r="K36694" s="82"/>
      <c r="M36694" s="112"/>
      <c r="N36694" s="84"/>
    </row>
    <row r="36695" spans="1:14" s="2" customFormat="1">
      <c r="A36695" s="83"/>
      <c r="H36695" s="83"/>
      <c r="K36695" s="82"/>
      <c r="M36695" s="112"/>
      <c r="N36695" s="84"/>
    </row>
    <row r="36696" spans="1:14" s="2" customFormat="1">
      <c r="A36696" s="83"/>
      <c r="H36696" s="83"/>
      <c r="K36696" s="82"/>
      <c r="M36696" s="112"/>
      <c r="N36696" s="84"/>
    </row>
    <row r="36697" spans="1:14" s="2" customFormat="1">
      <c r="A36697" s="83"/>
      <c r="H36697" s="83"/>
      <c r="K36697" s="82"/>
      <c r="M36697" s="112"/>
      <c r="N36697" s="84"/>
    </row>
    <row r="36698" spans="1:14" s="2" customFormat="1">
      <c r="A36698" s="83"/>
      <c r="H36698" s="83"/>
      <c r="K36698" s="82"/>
      <c r="M36698" s="112"/>
      <c r="N36698" s="84"/>
    </row>
    <row r="36699" spans="1:14" s="2" customFormat="1">
      <c r="A36699" s="83"/>
      <c r="H36699" s="83"/>
      <c r="K36699" s="82"/>
      <c r="M36699" s="112"/>
      <c r="N36699" s="84"/>
    </row>
    <row r="36700" spans="1:14" s="2" customFormat="1">
      <c r="A36700" s="83"/>
      <c r="H36700" s="83"/>
      <c r="K36700" s="82"/>
      <c r="M36700" s="112"/>
      <c r="N36700" s="84"/>
    </row>
    <row r="36701" spans="1:14" s="2" customFormat="1">
      <c r="A36701" s="83"/>
      <c r="H36701" s="83"/>
      <c r="K36701" s="82"/>
      <c r="M36701" s="112"/>
      <c r="N36701" s="84"/>
    </row>
    <row r="36702" spans="1:14" s="2" customFormat="1">
      <c r="A36702" s="83"/>
      <c r="H36702" s="83"/>
      <c r="K36702" s="82"/>
      <c r="M36702" s="112"/>
      <c r="N36702" s="84"/>
    </row>
    <row r="36703" spans="1:14" s="2" customFormat="1">
      <c r="A36703" s="83"/>
      <c r="H36703" s="83"/>
      <c r="K36703" s="82"/>
      <c r="M36703" s="112"/>
      <c r="N36703" s="84"/>
    </row>
    <row r="36704" spans="1:14" s="2" customFormat="1">
      <c r="A36704" s="83"/>
      <c r="H36704" s="83"/>
      <c r="K36704" s="82"/>
      <c r="M36704" s="112"/>
      <c r="N36704" s="84"/>
    </row>
    <row r="36705" spans="1:14" s="2" customFormat="1">
      <c r="A36705" s="83"/>
      <c r="H36705" s="83"/>
      <c r="K36705" s="82"/>
      <c r="M36705" s="112"/>
      <c r="N36705" s="84"/>
    </row>
    <row r="36706" spans="1:14" s="2" customFormat="1">
      <c r="A36706" s="83"/>
      <c r="H36706" s="83"/>
      <c r="K36706" s="82"/>
      <c r="M36706" s="112"/>
      <c r="N36706" s="84"/>
    </row>
    <row r="36707" spans="1:14" s="2" customFormat="1">
      <c r="A36707" s="83"/>
      <c r="H36707" s="83"/>
      <c r="K36707" s="82"/>
      <c r="M36707" s="112"/>
      <c r="N36707" s="84"/>
    </row>
    <row r="36708" spans="1:14" s="2" customFormat="1">
      <c r="A36708" s="83"/>
      <c r="H36708" s="83"/>
      <c r="K36708" s="82"/>
      <c r="M36708" s="112"/>
      <c r="N36708" s="84"/>
    </row>
    <row r="36709" spans="1:14" s="2" customFormat="1">
      <c r="A36709" s="83"/>
      <c r="H36709" s="83"/>
      <c r="K36709" s="82"/>
      <c r="M36709" s="112"/>
      <c r="N36709" s="84"/>
    </row>
    <row r="36710" spans="1:14" s="2" customFormat="1">
      <c r="A36710" s="83"/>
      <c r="H36710" s="83"/>
      <c r="K36710" s="82"/>
      <c r="M36710" s="112"/>
      <c r="N36710" s="84"/>
    </row>
    <row r="36711" spans="1:14" s="2" customFormat="1">
      <c r="A36711" s="83"/>
      <c r="H36711" s="83"/>
      <c r="K36711" s="82"/>
      <c r="M36711" s="112"/>
      <c r="N36711" s="84"/>
    </row>
    <row r="36712" spans="1:14" s="2" customFormat="1">
      <c r="A36712" s="83"/>
      <c r="H36712" s="83"/>
      <c r="K36712" s="82"/>
      <c r="M36712" s="112"/>
      <c r="N36712" s="84"/>
    </row>
    <row r="36713" spans="1:14" s="2" customFormat="1">
      <c r="A36713" s="83"/>
      <c r="H36713" s="83"/>
      <c r="K36713" s="82"/>
      <c r="M36713" s="112"/>
      <c r="N36713" s="84"/>
    </row>
    <row r="36714" spans="1:14" s="2" customFormat="1">
      <c r="A36714" s="83"/>
      <c r="H36714" s="83"/>
      <c r="K36714" s="82"/>
      <c r="M36714" s="112"/>
      <c r="N36714" s="84"/>
    </row>
    <row r="36715" spans="1:14" s="2" customFormat="1">
      <c r="A36715" s="83"/>
      <c r="H36715" s="83"/>
      <c r="K36715" s="82"/>
      <c r="M36715" s="112"/>
      <c r="N36715" s="84"/>
    </row>
    <row r="36716" spans="1:14" s="2" customFormat="1">
      <c r="A36716" s="83"/>
      <c r="H36716" s="83"/>
      <c r="K36716" s="82"/>
      <c r="M36716" s="112"/>
      <c r="N36716" s="84"/>
    </row>
    <row r="36717" spans="1:14" s="2" customFormat="1">
      <c r="A36717" s="83"/>
      <c r="H36717" s="83"/>
      <c r="K36717" s="82"/>
      <c r="M36717" s="112"/>
      <c r="N36717" s="84"/>
    </row>
    <row r="36718" spans="1:14" s="2" customFormat="1">
      <c r="A36718" s="83"/>
      <c r="H36718" s="83"/>
      <c r="K36718" s="82"/>
      <c r="M36718" s="112"/>
      <c r="N36718" s="84"/>
    </row>
    <row r="36719" spans="1:14" s="2" customFormat="1">
      <c r="A36719" s="83"/>
      <c r="H36719" s="83"/>
      <c r="K36719" s="82"/>
      <c r="M36719" s="112"/>
      <c r="N36719" s="84"/>
    </row>
    <row r="36720" spans="1:14" s="2" customFormat="1">
      <c r="A36720" s="83"/>
      <c r="H36720" s="83"/>
      <c r="K36720" s="82"/>
      <c r="M36720" s="112"/>
      <c r="N36720" s="84"/>
    </row>
    <row r="36721" spans="1:14" s="2" customFormat="1">
      <c r="A36721" s="83"/>
      <c r="H36721" s="83"/>
      <c r="K36721" s="82"/>
      <c r="M36721" s="112"/>
      <c r="N36721" s="84"/>
    </row>
    <row r="36722" spans="1:14" s="2" customFormat="1">
      <c r="A36722" s="83"/>
      <c r="H36722" s="83"/>
      <c r="K36722" s="82"/>
      <c r="M36722" s="112"/>
      <c r="N36722" s="84"/>
    </row>
    <row r="36723" spans="1:14" s="2" customFormat="1">
      <c r="A36723" s="83"/>
      <c r="H36723" s="83"/>
      <c r="K36723" s="82"/>
      <c r="M36723" s="112"/>
      <c r="N36723" s="84"/>
    </row>
    <row r="36724" spans="1:14" s="2" customFormat="1">
      <c r="A36724" s="83"/>
      <c r="H36724" s="83"/>
      <c r="K36724" s="82"/>
      <c r="M36724" s="112"/>
      <c r="N36724" s="84"/>
    </row>
    <row r="36725" spans="1:14" s="2" customFormat="1">
      <c r="A36725" s="83"/>
      <c r="H36725" s="83"/>
      <c r="K36725" s="82"/>
      <c r="M36725" s="112"/>
      <c r="N36725" s="84"/>
    </row>
    <row r="36726" spans="1:14" s="2" customFormat="1">
      <c r="A36726" s="83"/>
      <c r="H36726" s="83"/>
      <c r="K36726" s="82"/>
      <c r="M36726" s="112"/>
      <c r="N36726" s="84"/>
    </row>
    <row r="36727" spans="1:14" s="2" customFormat="1">
      <c r="A36727" s="83"/>
      <c r="H36727" s="83"/>
      <c r="K36727" s="82"/>
      <c r="M36727" s="112"/>
      <c r="N36727" s="84"/>
    </row>
    <row r="36728" spans="1:14" s="2" customFormat="1">
      <c r="A36728" s="83"/>
      <c r="H36728" s="83"/>
      <c r="K36728" s="82"/>
      <c r="M36728" s="112"/>
      <c r="N36728" s="84"/>
    </row>
    <row r="36729" spans="1:14" s="2" customFormat="1">
      <c r="A36729" s="83"/>
      <c r="H36729" s="83"/>
      <c r="K36729" s="82"/>
      <c r="M36729" s="112"/>
      <c r="N36729" s="84"/>
    </row>
    <row r="36730" spans="1:14" s="2" customFormat="1">
      <c r="A36730" s="83"/>
      <c r="H36730" s="83"/>
      <c r="K36730" s="82"/>
      <c r="M36730" s="112"/>
      <c r="N36730" s="84"/>
    </row>
    <row r="36731" spans="1:14" s="2" customFormat="1">
      <c r="A36731" s="83"/>
      <c r="H36731" s="83"/>
      <c r="K36731" s="82"/>
      <c r="M36731" s="112"/>
      <c r="N36731" s="84"/>
    </row>
    <row r="36732" spans="1:14" s="2" customFormat="1">
      <c r="A36732" s="83"/>
      <c r="H36732" s="83"/>
      <c r="K36732" s="82"/>
      <c r="M36732" s="112"/>
      <c r="N36732" s="84"/>
    </row>
    <row r="36733" spans="1:14" s="2" customFormat="1">
      <c r="A36733" s="83"/>
      <c r="H36733" s="83"/>
      <c r="K36733" s="82"/>
      <c r="M36733" s="112"/>
      <c r="N36733" s="84"/>
    </row>
    <row r="36734" spans="1:14" s="2" customFormat="1">
      <c r="A36734" s="83"/>
      <c r="H36734" s="83"/>
      <c r="K36734" s="82"/>
      <c r="M36734" s="112"/>
      <c r="N36734" s="84"/>
    </row>
    <row r="36735" spans="1:14" s="2" customFormat="1">
      <c r="A36735" s="83"/>
      <c r="H36735" s="83"/>
      <c r="K36735" s="82"/>
      <c r="M36735" s="112"/>
      <c r="N36735" s="84"/>
    </row>
    <row r="36736" spans="1:14" s="2" customFormat="1">
      <c r="A36736" s="83"/>
      <c r="H36736" s="83"/>
      <c r="K36736" s="82"/>
      <c r="M36736" s="112"/>
      <c r="N36736" s="84"/>
    </row>
    <row r="36737" spans="1:14" s="2" customFormat="1">
      <c r="A36737" s="83"/>
      <c r="H36737" s="83"/>
      <c r="K36737" s="82"/>
      <c r="M36737" s="112"/>
      <c r="N36737" s="84"/>
    </row>
    <row r="36738" spans="1:14" s="2" customFormat="1">
      <c r="A36738" s="83"/>
      <c r="H36738" s="83"/>
      <c r="K36738" s="82"/>
      <c r="M36738" s="112"/>
      <c r="N36738" s="84"/>
    </row>
    <row r="36739" spans="1:14" s="2" customFormat="1">
      <c r="A36739" s="83"/>
      <c r="H36739" s="83"/>
      <c r="K36739" s="82"/>
      <c r="M36739" s="112"/>
      <c r="N36739" s="84"/>
    </row>
    <row r="36740" spans="1:14" s="2" customFormat="1">
      <c r="A36740" s="83"/>
      <c r="H36740" s="83"/>
      <c r="K36740" s="82"/>
      <c r="M36740" s="112"/>
      <c r="N36740" s="84"/>
    </row>
    <row r="36741" spans="1:14" s="2" customFormat="1">
      <c r="A36741" s="83"/>
      <c r="H36741" s="83"/>
      <c r="K36741" s="82"/>
      <c r="M36741" s="112"/>
      <c r="N36741" s="84"/>
    </row>
    <row r="36742" spans="1:14" s="2" customFormat="1">
      <c r="A36742" s="83"/>
      <c r="H36742" s="83"/>
      <c r="K36742" s="82"/>
      <c r="M36742" s="112"/>
      <c r="N36742" s="84"/>
    </row>
    <row r="36743" spans="1:14" s="2" customFormat="1">
      <c r="A36743" s="83"/>
      <c r="H36743" s="83"/>
      <c r="K36743" s="82"/>
      <c r="M36743" s="112"/>
      <c r="N36743" s="84"/>
    </row>
    <row r="36744" spans="1:14" s="2" customFormat="1">
      <c r="A36744" s="83"/>
      <c r="H36744" s="83"/>
      <c r="K36744" s="82"/>
      <c r="M36744" s="112"/>
      <c r="N36744" s="84"/>
    </row>
    <row r="36745" spans="1:14" s="2" customFormat="1">
      <c r="A36745" s="83"/>
      <c r="H36745" s="83"/>
      <c r="K36745" s="82"/>
      <c r="M36745" s="112"/>
      <c r="N36745" s="84"/>
    </row>
    <row r="36746" spans="1:14" s="2" customFormat="1">
      <c r="A36746" s="83"/>
      <c r="H36746" s="83"/>
      <c r="K36746" s="82"/>
      <c r="M36746" s="112"/>
      <c r="N36746" s="84"/>
    </row>
    <row r="36747" spans="1:14" s="2" customFormat="1">
      <c r="A36747" s="83"/>
      <c r="H36747" s="83"/>
      <c r="K36747" s="82"/>
      <c r="M36747" s="112"/>
      <c r="N36747" s="84"/>
    </row>
    <row r="36748" spans="1:14" s="2" customFormat="1">
      <c r="A36748" s="83"/>
      <c r="H36748" s="83"/>
      <c r="K36748" s="82"/>
      <c r="M36748" s="112"/>
      <c r="N36748" s="84"/>
    </row>
    <row r="36749" spans="1:14" s="2" customFormat="1">
      <c r="A36749" s="83"/>
      <c r="H36749" s="83"/>
      <c r="K36749" s="82"/>
      <c r="M36749" s="112"/>
      <c r="N36749" s="84"/>
    </row>
    <row r="36750" spans="1:14" s="2" customFormat="1">
      <c r="A36750" s="83"/>
      <c r="H36750" s="83"/>
      <c r="K36750" s="82"/>
      <c r="M36750" s="112"/>
      <c r="N36750" s="84"/>
    </row>
    <row r="36751" spans="1:14" s="2" customFormat="1">
      <c r="A36751" s="83"/>
      <c r="H36751" s="83"/>
      <c r="K36751" s="82"/>
      <c r="M36751" s="112"/>
      <c r="N36751" s="84"/>
    </row>
    <row r="36752" spans="1:14" s="2" customFormat="1">
      <c r="A36752" s="83"/>
      <c r="H36752" s="83"/>
      <c r="K36752" s="82"/>
      <c r="M36752" s="112"/>
      <c r="N36752" s="84"/>
    </row>
    <row r="36753" spans="1:14" s="2" customFormat="1">
      <c r="A36753" s="83"/>
      <c r="H36753" s="83"/>
      <c r="K36753" s="82"/>
      <c r="M36753" s="112"/>
      <c r="N36753" s="84"/>
    </row>
    <row r="36754" spans="1:14" s="2" customFormat="1">
      <c r="A36754" s="83"/>
      <c r="H36754" s="83"/>
      <c r="K36754" s="82"/>
      <c r="M36754" s="112"/>
      <c r="N36754" s="84"/>
    </row>
    <row r="36755" spans="1:14" s="2" customFormat="1">
      <c r="A36755" s="83"/>
      <c r="H36755" s="83"/>
      <c r="K36755" s="82"/>
      <c r="M36755" s="112"/>
      <c r="N36755" s="84"/>
    </row>
    <row r="36756" spans="1:14" s="2" customFormat="1">
      <c r="A36756" s="83"/>
      <c r="H36756" s="83"/>
      <c r="K36756" s="82"/>
      <c r="M36756" s="112"/>
      <c r="N36756" s="84"/>
    </row>
    <row r="36757" spans="1:14" s="2" customFormat="1">
      <c r="A36757" s="83"/>
      <c r="H36757" s="83"/>
      <c r="K36757" s="82"/>
      <c r="M36757" s="112"/>
      <c r="N36757" s="84"/>
    </row>
    <row r="36758" spans="1:14" s="2" customFormat="1">
      <c r="A36758" s="83"/>
      <c r="H36758" s="83"/>
      <c r="K36758" s="82"/>
      <c r="M36758" s="112"/>
      <c r="N36758" s="84"/>
    </row>
    <row r="36759" spans="1:14" s="2" customFormat="1">
      <c r="A36759" s="83"/>
      <c r="H36759" s="83"/>
      <c r="K36759" s="82"/>
      <c r="M36759" s="112"/>
      <c r="N36759" s="84"/>
    </row>
    <row r="36760" spans="1:14" s="2" customFormat="1">
      <c r="A36760" s="83"/>
      <c r="H36760" s="83"/>
      <c r="K36760" s="82"/>
      <c r="M36760" s="112"/>
      <c r="N36760" s="84"/>
    </row>
    <row r="36761" spans="1:14" s="2" customFormat="1">
      <c r="A36761" s="83"/>
      <c r="H36761" s="83"/>
      <c r="K36761" s="82"/>
      <c r="M36761" s="112"/>
      <c r="N36761" s="84"/>
    </row>
    <row r="36762" spans="1:14" s="2" customFormat="1">
      <c r="A36762" s="83"/>
      <c r="H36762" s="83"/>
      <c r="K36762" s="82"/>
      <c r="M36762" s="112"/>
      <c r="N36762" s="84"/>
    </row>
    <row r="36763" spans="1:14" s="2" customFormat="1">
      <c r="A36763" s="83"/>
      <c r="H36763" s="83"/>
      <c r="K36763" s="82"/>
      <c r="M36763" s="112"/>
      <c r="N36763" s="84"/>
    </row>
    <row r="36764" spans="1:14" s="2" customFormat="1">
      <c r="A36764" s="83"/>
      <c r="H36764" s="83"/>
      <c r="K36764" s="82"/>
      <c r="M36764" s="112"/>
      <c r="N36764" s="84"/>
    </row>
    <row r="36765" spans="1:14" s="2" customFormat="1">
      <c r="A36765" s="83"/>
      <c r="H36765" s="83"/>
      <c r="K36765" s="82"/>
      <c r="M36765" s="112"/>
      <c r="N36765" s="84"/>
    </row>
    <row r="36766" spans="1:14" s="2" customFormat="1">
      <c r="A36766" s="83"/>
      <c r="H36766" s="83"/>
      <c r="K36766" s="82"/>
      <c r="M36766" s="112"/>
      <c r="N36766" s="84"/>
    </row>
    <row r="36767" spans="1:14" s="2" customFormat="1">
      <c r="A36767" s="83"/>
      <c r="H36767" s="83"/>
      <c r="K36767" s="82"/>
      <c r="M36767" s="112"/>
      <c r="N36767" s="84"/>
    </row>
    <row r="36768" spans="1:14" s="2" customFormat="1">
      <c r="A36768" s="83"/>
      <c r="H36768" s="83"/>
      <c r="K36768" s="82"/>
      <c r="M36768" s="112"/>
      <c r="N36768" s="84"/>
    </row>
    <row r="36769" spans="1:14" s="2" customFormat="1">
      <c r="A36769" s="83"/>
      <c r="H36769" s="83"/>
      <c r="K36769" s="82"/>
      <c r="M36769" s="112"/>
      <c r="N36769" s="84"/>
    </row>
    <row r="36770" spans="1:14" s="2" customFormat="1">
      <c r="A36770" s="83"/>
      <c r="H36770" s="83"/>
      <c r="K36770" s="82"/>
      <c r="M36770" s="112"/>
      <c r="N36770" s="84"/>
    </row>
    <row r="36771" spans="1:14" s="2" customFormat="1">
      <c r="A36771" s="83"/>
      <c r="H36771" s="83"/>
      <c r="K36771" s="82"/>
      <c r="M36771" s="112"/>
      <c r="N36771" s="84"/>
    </row>
    <row r="36772" spans="1:14" s="2" customFormat="1">
      <c r="A36772" s="83"/>
      <c r="H36772" s="83"/>
      <c r="K36772" s="82"/>
      <c r="M36772" s="112"/>
      <c r="N36772" s="84"/>
    </row>
    <row r="36773" spans="1:14" s="2" customFormat="1">
      <c r="A36773" s="83"/>
      <c r="H36773" s="83"/>
      <c r="K36773" s="82"/>
      <c r="M36773" s="112"/>
      <c r="N36773" s="84"/>
    </row>
    <row r="36774" spans="1:14" s="2" customFormat="1">
      <c r="A36774" s="83"/>
      <c r="H36774" s="83"/>
      <c r="K36774" s="82"/>
      <c r="M36774" s="112"/>
      <c r="N36774" s="84"/>
    </row>
    <row r="36775" spans="1:14" s="2" customFormat="1">
      <c r="A36775" s="83"/>
      <c r="H36775" s="83"/>
      <c r="K36775" s="82"/>
      <c r="M36775" s="112"/>
      <c r="N36775" s="84"/>
    </row>
    <row r="36776" spans="1:14" s="2" customFormat="1">
      <c r="A36776" s="83"/>
      <c r="H36776" s="83"/>
      <c r="K36776" s="82"/>
      <c r="M36776" s="112"/>
      <c r="N36776" s="84"/>
    </row>
    <row r="36777" spans="1:14" s="2" customFormat="1">
      <c r="A36777" s="83"/>
      <c r="H36777" s="83"/>
      <c r="K36777" s="82"/>
      <c r="M36777" s="112"/>
      <c r="N36777" s="84"/>
    </row>
    <row r="36778" spans="1:14" s="2" customFormat="1">
      <c r="A36778" s="83"/>
      <c r="H36778" s="83"/>
      <c r="K36778" s="82"/>
      <c r="M36778" s="112"/>
      <c r="N36778" s="84"/>
    </row>
    <row r="36779" spans="1:14" s="2" customFormat="1">
      <c r="A36779" s="83"/>
      <c r="H36779" s="83"/>
      <c r="K36779" s="82"/>
      <c r="M36779" s="112"/>
      <c r="N36779" s="84"/>
    </row>
    <row r="36780" spans="1:14" s="2" customFormat="1">
      <c r="A36780" s="83"/>
      <c r="H36780" s="83"/>
      <c r="K36780" s="82"/>
      <c r="M36780" s="112"/>
      <c r="N36780" s="84"/>
    </row>
    <row r="36781" spans="1:14" s="2" customFormat="1">
      <c r="A36781" s="83"/>
      <c r="H36781" s="83"/>
      <c r="K36781" s="82"/>
      <c r="M36781" s="112"/>
      <c r="N36781" s="84"/>
    </row>
    <row r="36782" spans="1:14" s="2" customFormat="1">
      <c r="A36782" s="83"/>
      <c r="H36782" s="83"/>
      <c r="K36782" s="82"/>
      <c r="M36782" s="112"/>
      <c r="N36782" s="84"/>
    </row>
    <row r="36783" spans="1:14" s="2" customFormat="1">
      <c r="A36783" s="83"/>
      <c r="H36783" s="83"/>
      <c r="K36783" s="82"/>
      <c r="M36783" s="112"/>
      <c r="N36783" s="84"/>
    </row>
    <row r="36784" spans="1:14" s="2" customFormat="1">
      <c r="A36784" s="83"/>
      <c r="H36784" s="83"/>
      <c r="K36784" s="82"/>
      <c r="M36784" s="112"/>
      <c r="N36784" s="84"/>
    </row>
    <row r="36785" spans="1:14" s="2" customFormat="1">
      <c r="A36785" s="83"/>
      <c r="H36785" s="83"/>
      <c r="K36785" s="82"/>
      <c r="M36785" s="112"/>
      <c r="N36785" s="84"/>
    </row>
    <row r="36786" spans="1:14" s="2" customFormat="1">
      <c r="A36786" s="83"/>
      <c r="H36786" s="83"/>
      <c r="K36786" s="82"/>
      <c r="M36786" s="112"/>
      <c r="N36786" s="84"/>
    </row>
    <row r="36787" spans="1:14" s="2" customFormat="1">
      <c r="A36787" s="83"/>
      <c r="H36787" s="83"/>
      <c r="K36787" s="82"/>
      <c r="M36787" s="112"/>
      <c r="N36787" s="84"/>
    </row>
    <row r="36788" spans="1:14" s="2" customFormat="1">
      <c r="A36788" s="83"/>
      <c r="H36788" s="83"/>
      <c r="K36788" s="82"/>
      <c r="M36788" s="112"/>
      <c r="N36788" s="84"/>
    </row>
    <row r="36789" spans="1:14" s="2" customFormat="1">
      <c r="A36789" s="83"/>
      <c r="H36789" s="83"/>
      <c r="K36789" s="82"/>
      <c r="M36789" s="112"/>
      <c r="N36789" s="84"/>
    </row>
    <row r="36790" spans="1:14" s="2" customFormat="1">
      <c r="A36790" s="83"/>
      <c r="H36790" s="83"/>
      <c r="K36790" s="82"/>
      <c r="M36790" s="112"/>
      <c r="N36790" s="84"/>
    </row>
    <row r="36791" spans="1:14" s="2" customFormat="1">
      <c r="A36791" s="83"/>
      <c r="H36791" s="83"/>
      <c r="K36791" s="82"/>
      <c r="M36791" s="112"/>
      <c r="N36791" s="84"/>
    </row>
    <row r="36792" spans="1:14" s="2" customFormat="1">
      <c r="A36792" s="83"/>
      <c r="H36792" s="83"/>
      <c r="K36792" s="82"/>
      <c r="M36792" s="112"/>
      <c r="N36792" s="84"/>
    </row>
    <row r="36793" spans="1:14" s="2" customFormat="1">
      <c r="A36793" s="83"/>
      <c r="H36793" s="83"/>
      <c r="K36793" s="82"/>
      <c r="M36793" s="112"/>
      <c r="N36793" s="84"/>
    </row>
    <row r="36794" spans="1:14" s="2" customFormat="1">
      <c r="A36794" s="83"/>
      <c r="H36794" s="83"/>
      <c r="K36794" s="82"/>
      <c r="M36794" s="112"/>
      <c r="N36794" s="84"/>
    </row>
    <row r="36795" spans="1:14" s="2" customFormat="1">
      <c r="A36795" s="83"/>
      <c r="H36795" s="83"/>
      <c r="K36795" s="82"/>
      <c r="M36795" s="112"/>
      <c r="N36795" s="84"/>
    </row>
    <row r="36796" spans="1:14" s="2" customFormat="1">
      <c r="A36796" s="83"/>
      <c r="H36796" s="83"/>
      <c r="K36796" s="82"/>
      <c r="M36796" s="112"/>
      <c r="N36796" s="84"/>
    </row>
    <row r="36797" spans="1:14" s="2" customFormat="1">
      <c r="A36797" s="83"/>
      <c r="H36797" s="83"/>
      <c r="K36797" s="82"/>
      <c r="M36797" s="112"/>
      <c r="N36797" s="84"/>
    </row>
    <row r="36798" spans="1:14" s="2" customFormat="1">
      <c r="A36798" s="83"/>
      <c r="H36798" s="83"/>
      <c r="K36798" s="82"/>
      <c r="M36798" s="112"/>
      <c r="N36798" s="84"/>
    </row>
    <row r="36799" spans="1:14" s="2" customFormat="1">
      <c r="A36799" s="83"/>
      <c r="H36799" s="83"/>
      <c r="K36799" s="82"/>
      <c r="M36799" s="112"/>
      <c r="N36799" s="84"/>
    </row>
    <row r="36800" spans="1:14" s="2" customFormat="1">
      <c r="A36800" s="83"/>
      <c r="H36800" s="83"/>
      <c r="K36800" s="82"/>
      <c r="M36800" s="112"/>
      <c r="N36800" s="84"/>
    </row>
    <row r="36801" spans="1:14" s="2" customFormat="1">
      <c r="A36801" s="83"/>
      <c r="H36801" s="83"/>
      <c r="K36801" s="82"/>
      <c r="M36801" s="112"/>
      <c r="N36801" s="84"/>
    </row>
    <row r="36802" spans="1:14" s="2" customFormat="1">
      <c r="A36802" s="83"/>
      <c r="H36802" s="83"/>
      <c r="K36802" s="82"/>
      <c r="M36802" s="112"/>
      <c r="N36802" s="84"/>
    </row>
    <row r="36803" spans="1:14" s="2" customFormat="1">
      <c r="A36803" s="83"/>
      <c r="H36803" s="83"/>
      <c r="K36803" s="82"/>
      <c r="M36803" s="112"/>
      <c r="N36803" s="84"/>
    </row>
    <row r="36804" spans="1:14" s="2" customFormat="1">
      <c r="A36804" s="83"/>
      <c r="H36804" s="83"/>
      <c r="K36804" s="82"/>
      <c r="M36804" s="112"/>
      <c r="N36804" s="84"/>
    </row>
    <row r="36805" spans="1:14" s="2" customFormat="1">
      <c r="A36805" s="83"/>
      <c r="H36805" s="83"/>
      <c r="K36805" s="82"/>
      <c r="M36805" s="112"/>
      <c r="N36805" s="84"/>
    </row>
    <row r="36806" spans="1:14" s="2" customFormat="1">
      <c r="A36806" s="83"/>
      <c r="H36806" s="83"/>
      <c r="K36806" s="82"/>
      <c r="M36806" s="112"/>
      <c r="N36806" s="84"/>
    </row>
    <row r="36807" spans="1:14" s="2" customFormat="1">
      <c r="A36807" s="83"/>
      <c r="H36807" s="83"/>
      <c r="K36807" s="82"/>
      <c r="M36807" s="112"/>
      <c r="N36807" s="84"/>
    </row>
    <row r="36808" spans="1:14" s="2" customFormat="1">
      <c r="A36808" s="83"/>
      <c r="H36808" s="83"/>
      <c r="K36808" s="82"/>
      <c r="M36808" s="112"/>
      <c r="N36808" s="84"/>
    </row>
    <row r="36809" spans="1:14" s="2" customFormat="1">
      <c r="A36809" s="83"/>
      <c r="H36809" s="83"/>
      <c r="K36809" s="82"/>
      <c r="M36809" s="112"/>
      <c r="N36809" s="84"/>
    </row>
    <row r="36810" spans="1:14" s="2" customFormat="1">
      <c r="A36810" s="83"/>
      <c r="H36810" s="83"/>
      <c r="K36810" s="82"/>
      <c r="M36810" s="112"/>
      <c r="N36810" s="84"/>
    </row>
    <row r="36811" spans="1:14" s="2" customFormat="1">
      <c r="A36811" s="83"/>
      <c r="H36811" s="83"/>
      <c r="K36811" s="82"/>
      <c r="M36811" s="112"/>
      <c r="N36811" s="84"/>
    </row>
    <row r="36812" spans="1:14" s="2" customFormat="1">
      <c r="A36812" s="83"/>
      <c r="H36812" s="83"/>
      <c r="K36812" s="82"/>
      <c r="M36812" s="112"/>
      <c r="N36812" s="84"/>
    </row>
    <row r="36813" spans="1:14" s="2" customFormat="1">
      <c r="A36813" s="83"/>
      <c r="H36813" s="83"/>
      <c r="K36813" s="82"/>
      <c r="M36813" s="112"/>
      <c r="N36813" s="84"/>
    </row>
    <row r="36814" spans="1:14" s="2" customFormat="1">
      <c r="A36814" s="83"/>
      <c r="H36814" s="83"/>
      <c r="K36814" s="82"/>
      <c r="M36814" s="112"/>
      <c r="N36814" s="84"/>
    </row>
    <row r="36815" spans="1:14" s="2" customFormat="1">
      <c r="A36815" s="83"/>
      <c r="H36815" s="83"/>
      <c r="K36815" s="82"/>
      <c r="M36815" s="112"/>
      <c r="N36815" s="84"/>
    </row>
    <row r="36816" spans="1:14" s="2" customFormat="1">
      <c r="A36816" s="83"/>
      <c r="H36816" s="83"/>
      <c r="K36816" s="82"/>
      <c r="M36816" s="112"/>
      <c r="N36816" s="84"/>
    </row>
    <row r="36817" spans="1:14" s="2" customFormat="1">
      <c r="A36817" s="83"/>
      <c r="H36817" s="83"/>
      <c r="K36817" s="82"/>
      <c r="M36817" s="112"/>
      <c r="N36817" s="84"/>
    </row>
    <row r="36818" spans="1:14" s="2" customFormat="1">
      <c r="A36818" s="83"/>
      <c r="H36818" s="83"/>
      <c r="K36818" s="82"/>
      <c r="M36818" s="112"/>
      <c r="N36818" s="84"/>
    </row>
    <row r="36819" spans="1:14" s="2" customFormat="1">
      <c r="A36819" s="83"/>
      <c r="H36819" s="83"/>
      <c r="K36819" s="82"/>
      <c r="M36819" s="112"/>
      <c r="N36819" s="84"/>
    </row>
    <row r="36820" spans="1:14" s="2" customFormat="1">
      <c r="A36820" s="83"/>
      <c r="H36820" s="83"/>
      <c r="K36820" s="82"/>
      <c r="M36820" s="112"/>
      <c r="N36820" s="84"/>
    </row>
    <row r="36821" spans="1:14" s="2" customFormat="1">
      <c r="A36821" s="83"/>
      <c r="H36821" s="83"/>
      <c r="K36821" s="82"/>
      <c r="M36821" s="112"/>
      <c r="N36821" s="84"/>
    </row>
    <row r="36822" spans="1:14" s="2" customFormat="1">
      <c r="A36822" s="83"/>
      <c r="H36822" s="83"/>
      <c r="K36822" s="82"/>
      <c r="M36822" s="112"/>
      <c r="N36822" s="84"/>
    </row>
    <row r="36823" spans="1:14" s="2" customFormat="1">
      <c r="A36823" s="83"/>
      <c r="H36823" s="83"/>
      <c r="K36823" s="82"/>
      <c r="M36823" s="112"/>
      <c r="N36823" s="84"/>
    </row>
    <row r="36824" spans="1:14" s="2" customFormat="1">
      <c r="A36824" s="83"/>
      <c r="H36824" s="83"/>
      <c r="K36824" s="82"/>
      <c r="M36824" s="112"/>
      <c r="N36824" s="84"/>
    </row>
    <row r="36825" spans="1:14" s="2" customFormat="1">
      <c r="A36825" s="83"/>
      <c r="H36825" s="83"/>
      <c r="K36825" s="82"/>
      <c r="M36825" s="112"/>
      <c r="N36825" s="84"/>
    </row>
    <row r="36826" spans="1:14" s="2" customFormat="1">
      <c r="A36826" s="83"/>
      <c r="H36826" s="83"/>
      <c r="K36826" s="82"/>
      <c r="M36826" s="112"/>
      <c r="N36826" s="84"/>
    </row>
    <row r="36827" spans="1:14" s="2" customFormat="1">
      <c r="A36827" s="83"/>
      <c r="H36827" s="83"/>
      <c r="K36827" s="82"/>
      <c r="M36827" s="112"/>
      <c r="N36827" s="84"/>
    </row>
    <row r="36828" spans="1:14" s="2" customFormat="1">
      <c r="A36828" s="83"/>
      <c r="H36828" s="83"/>
      <c r="K36828" s="82"/>
      <c r="M36828" s="112"/>
      <c r="N36828" s="84"/>
    </row>
    <row r="36829" spans="1:14" s="2" customFormat="1">
      <c r="A36829" s="83"/>
      <c r="H36829" s="83"/>
      <c r="K36829" s="82"/>
      <c r="M36829" s="112"/>
      <c r="N36829" s="84"/>
    </row>
    <row r="36830" spans="1:14" s="2" customFormat="1">
      <c r="A36830" s="83"/>
      <c r="H36830" s="83"/>
      <c r="K36830" s="82"/>
      <c r="M36830" s="112"/>
      <c r="N36830" s="84"/>
    </row>
    <row r="36831" spans="1:14" s="2" customFormat="1">
      <c r="A36831" s="83"/>
      <c r="H36831" s="83"/>
      <c r="K36831" s="82"/>
      <c r="M36831" s="112"/>
      <c r="N36831" s="84"/>
    </row>
    <row r="36832" spans="1:14" s="2" customFormat="1">
      <c r="A36832" s="83"/>
      <c r="H36832" s="83"/>
      <c r="K36832" s="82"/>
      <c r="M36832" s="112"/>
      <c r="N36832" s="84"/>
    </row>
    <row r="36833" spans="1:14" s="2" customFormat="1">
      <c r="A36833" s="83"/>
      <c r="H36833" s="83"/>
      <c r="K36833" s="82"/>
      <c r="M36833" s="112"/>
      <c r="N36833" s="84"/>
    </row>
    <row r="36834" spans="1:14" s="2" customFormat="1">
      <c r="A36834" s="83"/>
      <c r="H36834" s="83"/>
      <c r="K36834" s="82"/>
      <c r="M36834" s="112"/>
      <c r="N36834" s="84"/>
    </row>
    <row r="36835" spans="1:14" s="2" customFormat="1">
      <c r="A36835" s="83"/>
      <c r="H36835" s="83"/>
      <c r="K36835" s="82"/>
      <c r="M36835" s="112"/>
      <c r="N36835" s="84"/>
    </row>
    <row r="36836" spans="1:14" s="2" customFormat="1">
      <c r="A36836" s="83"/>
      <c r="H36836" s="83"/>
      <c r="K36836" s="82"/>
      <c r="M36836" s="112"/>
      <c r="N36836" s="84"/>
    </row>
    <row r="36837" spans="1:14" s="2" customFormat="1">
      <c r="A36837" s="83"/>
      <c r="H36837" s="83"/>
      <c r="K36837" s="82"/>
      <c r="M36837" s="112"/>
      <c r="N36837" s="84"/>
    </row>
    <row r="36838" spans="1:14" s="2" customFormat="1">
      <c r="A36838" s="83"/>
      <c r="H36838" s="83"/>
      <c r="K36838" s="82"/>
      <c r="M36838" s="112"/>
      <c r="N36838" s="84"/>
    </row>
    <row r="36839" spans="1:14" s="2" customFormat="1">
      <c r="A36839" s="83"/>
      <c r="H36839" s="83"/>
      <c r="K36839" s="82"/>
      <c r="M36839" s="112"/>
      <c r="N36839" s="84"/>
    </row>
    <row r="36840" spans="1:14" s="2" customFormat="1">
      <c r="A36840" s="83"/>
      <c r="H36840" s="83"/>
      <c r="K36840" s="82"/>
      <c r="M36840" s="112"/>
      <c r="N36840" s="84"/>
    </row>
    <row r="36841" spans="1:14" s="2" customFormat="1">
      <c r="A36841" s="83"/>
      <c r="H36841" s="83"/>
      <c r="K36841" s="82"/>
      <c r="M36841" s="112"/>
      <c r="N36841" s="84"/>
    </row>
    <row r="36842" spans="1:14" s="2" customFormat="1">
      <c r="A36842" s="83"/>
      <c r="H36842" s="83"/>
      <c r="K36842" s="82"/>
      <c r="M36842" s="112"/>
      <c r="N36842" s="84"/>
    </row>
    <row r="36843" spans="1:14" s="2" customFormat="1">
      <c r="A36843" s="83"/>
      <c r="H36843" s="83"/>
      <c r="K36843" s="82"/>
      <c r="M36843" s="112"/>
      <c r="N36843" s="84"/>
    </row>
    <row r="36844" spans="1:14" s="2" customFormat="1">
      <c r="A36844" s="83"/>
      <c r="H36844" s="83"/>
      <c r="K36844" s="82"/>
      <c r="M36844" s="112"/>
      <c r="N36844" s="84"/>
    </row>
    <row r="36845" spans="1:14" s="2" customFormat="1">
      <c r="A36845" s="83"/>
      <c r="H36845" s="83"/>
      <c r="K36845" s="82"/>
      <c r="M36845" s="112"/>
      <c r="N36845" s="84"/>
    </row>
    <row r="36846" spans="1:14" s="2" customFormat="1">
      <c r="A36846" s="83"/>
      <c r="H36846" s="83"/>
      <c r="K36846" s="82"/>
      <c r="M36846" s="112"/>
      <c r="N36846" s="84"/>
    </row>
    <row r="36847" spans="1:14" s="2" customFormat="1">
      <c r="A36847" s="83"/>
      <c r="H36847" s="83"/>
      <c r="K36847" s="82"/>
      <c r="M36847" s="112"/>
      <c r="N36847" s="84"/>
    </row>
    <row r="36848" spans="1:14" s="2" customFormat="1">
      <c r="A36848" s="83"/>
      <c r="H36848" s="83"/>
      <c r="K36848" s="82"/>
      <c r="M36848" s="112"/>
      <c r="N36848" s="84"/>
    </row>
    <row r="36849" spans="1:14" s="2" customFormat="1">
      <c r="A36849" s="83"/>
      <c r="H36849" s="83"/>
      <c r="K36849" s="82"/>
      <c r="M36849" s="112"/>
      <c r="N36849" s="84"/>
    </row>
    <row r="36850" spans="1:14" s="2" customFormat="1">
      <c r="A36850" s="83"/>
      <c r="H36850" s="83"/>
      <c r="K36850" s="82"/>
      <c r="M36850" s="112"/>
      <c r="N36850" s="84"/>
    </row>
    <row r="36851" spans="1:14" s="2" customFormat="1">
      <c r="A36851" s="83"/>
      <c r="H36851" s="83"/>
      <c r="K36851" s="82"/>
      <c r="M36851" s="112"/>
      <c r="N36851" s="84"/>
    </row>
    <row r="36852" spans="1:14" s="2" customFormat="1">
      <c r="A36852" s="83"/>
      <c r="H36852" s="83"/>
      <c r="K36852" s="82"/>
      <c r="M36852" s="112"/>
      <c r="N36852" s="84"/>
    </row>
    <row r="36853" spans="1:14" s="2" customFormat="1">
      <c r="A36853" s="83"/>
      <c r="H36853" s="83"/>
      <c r="K36853" s="82"/>
      <c r="M36853" s="112"/>
      <c r="N36853" s="84"/>
    </row>
    <row r="36854" spans="1:14" s="2" customFormat="1">
      <c r="A36854" s="83"/>
      <c r="H36854" s="83"/>
      <c r="K36854" s="82"/>
      <c r="M36854" s="112"/>
      <c r="N36854" s="84"/>
    </row>
    <row r="36855" spans="1:14" s="2" customFormat="1">
      <c r="A36855" s="83"/>
      <c r="H36855" s="83"/>
      <c r="K36855" s="82"/>
      <c r="M36855" s="112"/>
      <c r="N36855" s="84"/>
    </row>
    <row r="36856" spans="1:14" s="2" customFormat="1">
      <c r="A36856" s="83"/>
      <c r="H36856" s="83"/>
      <c r="K36856" s="82"/>
      <c r="M36856" s="112"/>
      <c r="N36856" s="84"/>
    </row>
    <row r="36857" spans="1:14" s="2" customFormat="1">
      <c r="A36857" s="83"/>
      <c r="H36857" s="83"/>
      <c r="K36857" s="82"/>
      <c r="M36857" s="112"/>
      <c r="N36857" s="84"/>
    </row>
    <row r="36858" spans="1:14" s="2" customFormat="1">
      <c r="A36858" s="83"/>
      <c r="H36858" s="83"/>
      <c r="K36858" s="82"/>
      <c r="M36858" s="112"/>
      <c r="N36858" s="84"/>
    </row>
    <row r="36859" spans="1:14" s="2" customFormat="1">
      <c r="A36859" s="83"/>
      <c r="H36859" s="83"/>
      <c r="K36859" s="82"/>
      <c r="M36859" s="112"/>
      <c r="N36859" s="84"/>
    </row>
    <row r="36860" spans="1:14" s="2" customFormat="1">
      <c r="A36860" s="83"/>
      <c r="H36860" s="83"/>
      <c r="K36860" s="82"/>
      <c r="M36860" s="112"/>
      <c r="N36860" s="84"/>
    </row>
    <row r="36861" spans="1:14" s="2" customFormat="1">
      <c r="A36861" s="83"/>
      <c r="H36861" s="83"/>
      <c r="K36861" s="82"/>
      <c r="M36861" s="112"/>
      <c r="N36861" s="84"/>
    </row>
    <row r="36862" spans="1:14" s="2" customFormat="1">
      <c r="A36862" s="83"/>
      <c r="H36862" s="83"/>
      <c r="K36862" s="82"/>
      <c r="M36862" s="112"/>
      <c r="N36862" s="84"/>
    </row>
    <row r="36863" spans="1:14" s="2" customFormat="1">
      <c r="A36863" s="83"/>
      <c r="H36863" s="83"/>
      <c r="K36863" s="82"/>
      <c r="M36863" s="112"/>
      <c r="N36863" s="84"/>
    </row>
    <row r="36864" spans="1:14" s="2" customFormat="1">
      <c r="A36864" s="83"/>
      <c r="H36864" s="83"/>
      <c r="K36864" s="82"/>
      <c r="M36864" s="112"/>
      <c r="N36864" s="84"/>
    </row>
    <row r="36865" spans="1:14" s="2" customFormat="1">
      <c r="A36865" s="83"/>
      <c r="H36865" s="83"/>
      <c r="K36865" s="82"/>
      <c r="M36865" s="112"/>
      <c r="N36865" s="84"/>
    </row>
    <row r="36866" spans="1:14" s="2" customFormat="1">
      <c r="A36866" s="83"/>
      <c r="H36866" s="83"/>
      <c r="K36866" s="82"/>
      <c r="M36866" s="112"/>
      <c r="N36866" s="84"/>
    </row>
    <row r="36867" spans="1:14" s="2" customFormat="1">
      <c r="A36867" s="83"/>
      <c r="H36867" s="83"/>
      <c r="K36867" s="82"/>
      <c r="M36867" s="112"/>
      <c r="N36867" s="84"/>
    </row>
    <row r="36868" spans="1:14" s="2" customFormat="1">
      <c r="A36868" s="83"/>
      <c r="H36868" s="83"/>
      <c r="K36868" s="82"/>
      <c r="M36868" s="112"/>
      <c r="N36868" s="84"/>
    </row>
    <row r="36869" spans="1:14" s="2" customFormat="1">
      <c r="A36869" s="83"/>
      <c r="H36869" s="83"/>
      <c r="K36869" s="82"/>
      <c r="M36869" s="112"/>
      <c r="N36869" s="84"/>
    </row>
    <row r="36870" spans="1:14" s="2" customFormat="1">
      <c r="A36870" s="83"/>
      <c r="H36870" s="83"/>
      <c r="K36870" s="82"/>
      <c r="M36870" s="112"/>
      <c r="N36870" s="84"/>
    </row>
    <row r="36871" spans="1:14" s="2" customFormat="1">
      <c r="A36871" s="83"/>
      <c r="H36871" s="83"/>
      <c r="K36871" s="82"/>
      <c r="M36871" s="112"/>
      <c r="N36871" s="84"/>
    </row>
    <row r="36872" spans="1:14" s="2" customFormat="1">
      <c r="A36872" s="83"/>
      <c r="H36872" s="83"/>
      <c r="K36872" s="82"/>
      <c r="M36872" s="112"/>
      <c r="N36872" s="84"/>
    </row>
    <row r="36873" spans="1:14" s="2" customFormat="1">
      <c r="A36873" s="83"/>
      <c r="H36873" s="83"/>
      <c r="K36873" s="82"/>
      <c r="M36873" s="112"/>
      <c r="N36873" s="84"/>
    </row>
    <row r="36874" spans="1:14" s="2" customFormat="1">
      <c r="A36874" s="83"/>
      <c r="H36874" s="83"/>
      <c r="K36874" s="82"/>
      <c r="M36874" s="112"/>
      <c r="N36874" s="84"/>
    </row>
    <row r="36875" spans="1:14" s="2" customFormat="1">
      <c r="A36875" s="83"/>
      <c r="H36875" s="83"/>
      <c r="K36875" s="82"/>
      <c r="M36875" s="112"/>
      <c r="N36875" s="84"/>
    </row>
    <row r="36876" spans="1:14" s="2" customFormat="1">
      <c r="A36876" s="83"/>
      <c r="H36876" s="83"/>
      <c r="K36876" s="82"/>
      <c r="M36876" s="112"/>
      <c r="N36876" s="84"/>
    </row>
    <row r="36877" spans="1:14" s="2" customFormat="1">
      <c r="A36877" s="83"/>
      <c r="H36877" s="83"/>
      <c r="K36877" s="82"/>
      <c r="M36877" s="112"/>
      <c r="N36877" s="84"/>
    </row>
    <row r="36878" spans="1:14" s="2" customFormat="1">
      <c r="A36878" s="83"/>
      <c r="H36878" s="83"/>
      <c r="K36878" s="82"/>
      <c r="M36878" s="112"/>
      <c r="N36878" s="84"/>
    </row>
    <row r="36879" spans="1:14" s="2" customFormat="1">
      <c r="A36879" s="83"/>
      <c r="H36879" s="83"/>
      <c r="K36879" s="82"/>
      <c r="M36879" s="112"/>
      <c r="N36879" s="84"/>
    </row>
    <row r="36880" spans="1:14" s="2" customFormat="1">
      <c r="A36880" s="83"/>
      <c r="H36880" s="83"/>
      <c r="K36880" s="82"/>
      <c r="M36880" s="112"/>
      <c r="N36880" s="84"/>
    </row>
    <row r="36881" spans="1:14" s="2" customFormat="1">
      <c r="A36881" s="83"/>
      <c r="H36881" s="83"/>
      <c r="K36881" s="82"/>
      <c r="M36881" s="112"/>
      <c r="N36881" s="84"/>
    </row>
    <row r="36882" spans="1:14" s="2" customFormat="1">
      <c r="A36882" s="83"/>
      <c r="H36882" s="83"/>
      <c r="K36882" s="82"/>
      <c r="M36882" s="112"/>
      <c r="N36882" s="84"/>
    </row>
    <row r="36883" spans="1:14" s="2" customFormat="1">
      <c r="A36883" s="83"/>
      <c r="H36883" s="83"/>
      <c r="K36883" s="82"/>
      <c r="M36883" s="112"/>
      <c r="N36883" s="84"/>
    </row>
    <row r="36884" spans="1:14" s="2" customFormat="1">
      <c r="A36884" s="83"/>
      <c r="H36884" s="83"/>
      <c r="K36884" s="82"/>
      <c r="M36884" s="112"/>
      <c r="N36884" s="84"/>
    </row>
    <row r="36885" spans="1:14" s="2" customFormat="1">
      <c r="A36885" s="83"/>
      <c r="H36885" s="83"/>
      <c r="K36885" s="82"/>
      <c r="M36885" s="112"/>
      <c r="N36885" s="84"/>
    </row>
    <row r="36886" spans="1:14" s="2" customFormat="1">
      <c r="A36886" s="83"/>
      <c r="H36886" s="83"/>
      <c r="K36886" s="82"/>
      <c r="M36886" s="112"/>
      <c r="N36886" s="84"/>
    </row>
    <row r="36887" spans="1:14" s="2" customFormat="1">
      <c r="A36887" s="83"/>
      <c r="H36887" s="83"/>
      <c r="K36887" s="82"/>
      <c r="M36887" s="112"/>
      <c r="N36887" s="84"/>
    </row>
    <row r="36888" spans="1:14" s="2" customFormat="1">
      <c r="A36888" s="83"/>
      <c r="H36888" s="83"/>
      <c r="K36888" s="82"/>
      <c r="M36888" s="112"/>
      <c r="N36888" s="84"/>
    </row>
    <row r="36889" spans="1:14" s="2" customFormat="1">
      <c r="A36889" s="83"/>
      <c r="H36889" s="83"/>
      <c r="K36889" s="82"/>
      <c r="M36889" s="112"/>
      <c r="N36889" s="84"/>
    </row>
    <row r="36890" spans="1:14" s="2" customFormat="1">
      <c r="A36890" s="83"/>
      <c r="H36890" s="83"/>
      <c r="K36890" s="82"/>
      <c r="M36890" s="112"/>
      <c r="N36890" s="84"/>
    </row>
    <row r="36891" spans="1:14" s="2" customFormat="1">
      <c r="A36891" s="83"/>
      <c r="H36891" s="83"/>
      <c r="K36891" s="82"/>
      <c r="M36891" s="112"/>
      <c r="N36891" s="84"/>
    </row>
    <row r="36892" spans="1:14" s="2" customFormat="1">
      <c r="A36892" s="83"/>
      <c r="H36892" s="83"/>
      <c r="K36892" s="82"/>
      <c r="M36892" s="112"/>
      <c r="N36892" s="84"/>
    </row>
    <row r="36893" spans="1:14" s="2" customFormat="1">
      <c r="A36893" s="83"/>
      <c r="H36893" s="83"/>
      <c r="K36893" s="82"/>
      <c r="M36893" s="112"/>
      <c r="N36893" s="84"/>
    </row>
    <row r="36894" spans="1:14" s="2" customFormat="1">
      <c r="A36894" s="83"/>
      <c r="H36894" s="83"/>
      <c r="K36894" s="82"/>
      <c r="M36894" s="112"/>
      <c r="N36894" s="84"/>
    </row>
    <row r="36895" spans="1:14" s="2" customFormat="1">
      <c r="A36895" s="83"/>
      <c r="H36895" s="83"/>
      <c r="K36895" s="82"/>
      <c r="M36895" s="112"/>
      <c r="N36895" s="84"/>
    </row>
    <row r="36896" spans="1:14" s="2" customFormat="1">
      <c r="A36896" s="83"/>
      <c r="H36896" s="83"/>
      <c r="K36896" s="82"/>
      <c r="M36896" s="112"/>
      <c r="N36896" s="84"/>
    </row>
    <row r="36897" spans="1:14" s="2" customFormat="1">
      <c r="A36897" s="83"/>
      <c r="H36897" s="83"/>
      <c r="K36897" s="82"/>
      <c r="M36897" s="112"/>
      <c r="N36897" s="84"/>
    </row>
    <row r="36898" spans="1:14" s="2" customFormat="1">
      <c r="A36898" s="83"/>
      <c r="H36898" s="83"/>
      <c r="K36898" s="82"/>
      <c r="M36898" s="112"/>
      <c r="N36898" s="84"/>
    </row>
    <row r="36899" spans="1:14" s="2" customFormat="1">
      <c r="A36899" s="83"/>
      <c r="H36899" s="83"/>
      <c r="K36899" s="82"/>
      <c r="M36899" s="112"/>
      <c r="N36899" s="84"/>
    </row>
    <row r="36900" spans="1:14" s="2" customFormat="1">
      <c r="A36900" s="83"/>
      <c r="H36900" s="83"/>
      <c r="K36900" s="82"/>
      <c r="M36900" s="112"/>
      <c r="N36900" s="84"/>
    </row>
    <row r="36901" spans="1:14" s="2" customFormat="1">
      <c r="A36901" s="83"/>
      <c r="H36901" s="83"/>
      <c r="K36901" s="82"/>
      <c r="M36901" s="112"/>
      <c r="N36901" s="84"/>
    </row>
    <row r="36902" spans="1:14" s="2" customFormat="1">
      <c r="A36902" s="83"/>
      <c r="H36902" s="83"/>
      <c r="K36902" s="82"/>
      <c r="M36902" s="112"/>
      <c r="N36902" s="84"/>
    </row>
    <row r="36903" spans="1:14" s="2" customFormat="1">
      <c r="A36903" s="83"/>
      <c r="H36903" s="83"/>
      <c r="K36903" s="82"/>
      <c r="M36903" s="112"/>
      <c r="N36903" s="84"/>
    </row>
    <row r="36904" spans="1:14" s="2" customFormat="1">
      <c r="A36904" s="83"/>
      <c r="H36904" s="83"/>
      <c r="K36904" s="82"/>
      <c r="M36904" s="112"/>
      <c r="N36904" s="84"/>
    </row>
    <row r="36905" spans="1:14" s="2" customFormat="1">
      <c r="A36905" s="83"/>
      <c r="H36905" s="83"/>
      <c r="K36905" s="82"/>
      <c r="M36905" s="112"/>
      <c r="N36905" s="84"/>
    </row>
    <row r="36906" spans="1:14" s="2" customFormat="1">
      <c r="A36906" s="83"/>
      <c r="H36906" s="83"/>
      <c r="K36906" s="82"/>
      <c r="M36906" s="112"/>
      <c r="N36906" s="84"/>
    </row>
    <row r="36907" spans="1:14" s="2" customFormat="1">
      <c r="A36907" s="83"/>
      <c r="H36907" s="83"/>
      <c r="K36907" s="82"/>
      <c r="M36907" s="112"/>
      <c r="N36907" s="84"/>
    </row>
    <row r="36908" spans="1:14" s="2" customFormat="1">
      <c r="A36908" s="83"/>
      <c r="H36908" s="83"/>
      <c r="K36908" s="82"/>
      <c r="M36908" s="112"/>
      <c r="N36908" s="84"/>
    </row>
    <row r="36909" spans="1:14" s="2" customFormat="1">
      <c r="A36909" s="83"/>
      <c r="H36909" s="83"/>
      <c r="K36909" s="82"/>
      <c r="M36909" s="112"/>
      <c r="N36909" s="84"/>
    </row>
    <row r="36910" spans="1:14" s="2" customFormat="1">
      <c r="A36910" s="83"/>
      <c r="H36910" s="83"/>
      <c r="K36910" s="82"/>
      <c r="M36910" s="112"/>
      <c r="N36910" s="84"/>
    </row>
    <row r="36911" spans="1:14" s="2" customFormat="1">
      <c r="A36911" s="83"/>
      <c r="H36911" s="83"/>
      <c r="K36911" s="82"/>
      <c r="M36911" s="112"/>
      <c r="N36911" s="84"/>
    </row>
    <row r="36912" spans="1:14" s="2" customFormat="1">
      <c r="A36912" s="83"/>
      <c r="H36912" s="83"/>
      <c r="K36912" s="82"/>
      <c r="M36912" s="112"/>
      <c r="N36912" s="84"/>
    </row>
    <row r="36913" spans="1:14" s="2" customFormat="1">
      <c r="A36913" s="83"/>
      <c r="H36913" s="83"/>
      <c r="K36913" s="82"/>
      <c r="M36913" s="112"/>
      <c r="N36913" s="84"/>
    </row>
    <row r="36914" spans="1:14" s="2" customFormat="1">
      <c r="A36914" s="83"/>
      <c r="H36914" s="83"/>
      <c r="K36914" s="82"/>
      <c r="M36914" s="112"/>
      <c r="N36914" s="84"/>
    </row>
    <row r="36915" spans="1:14" s="2" customFormat="1">
      <c r="A36915" s="83"/>
      <c r="H36915" s="83"/>
      <c r="K36915" s="82"/>
      <c r="M36915" s="112"/>
      <c r="N36915" s="84"/>
    </row>
    <row r="36916" spans="1:14" s="2" customFormat="1">
      <c r="A36916" s="83"/>
      <c r="H36916" s="83"/>
      <c r="K36916" s="82"/>
      <c r="M36916" s="112"/>
      <c r="N36916" s="84"/>
    </row>
    <row r="36917" spans="1:14" s="2" customFormat="1">
      <c r="A36917" s="83"/>
      <c r="H36917" s="83"/>
      <c r="K36917" s="82"/>
      <c r="M36917" s="112"/>
      <c r="N36917" s="84"/>
    </row>
    <row r="36918" spans="1:14" s="2" customFormat="1">
      <c r="A36918" s="83"/>
      <c r="H36918" s="83"/>
      <c r="K36918" s="82"/>
      <c r="M36918" s="112"/>
      <c r="N36918" s="84"/>
    </row>
    <row r="36919" spans="1:14" s="2" customFormat="1">
      <c r="A36919" s="83"/>
      <c r="H36919" s="83"/>
      <c r="K36919" s="82"/>
      <c r="M36919" s="112"/>
      <c r="N36919" s="84"/>
    </row>
    <row r="36920" spans="1:14" s="2" customFormat="1">
      <c r="A36920" s="83"/>
      <c r="H36920" s="83"/>
      <c r="K36920" s="82"/>
      <c r="M36920" s="112"/>
      <c r="N36920" s="84"/>
    </row>
    <row r="36921" spans="1:14" s="2" customFormat="1">
      <c r="A36921" s="83"/>
      <c r="H36921" s="83"/>
      <c r="K36921" s="82"/>
      <c r="M36921" s="112"/>
      <c r="N36921" s="84"/>
    </row>
    <row r="36922" spans="1:14" s="2" customFormat="1">
      <c r="A36922" s="83"/>
      <c r="H36922" s="83"/>
      <c r="K36922" s="82"/>
      <c r="M36922" s="112"/>
      <c r="N36922" s="84"/>
    </row>
    <row r="36923" spans="1:14" s="2" customFormat="1">
      <c r="A36923" s="83"/>
      <c r="H36923" s="83"/>
      <c r="K36923" s="82"/>
      <c r="M36923" s="112"/>
      <c r="N36923" s="84"/>
    </row>
    <row r="36924" spans="1:14" s="2" customFormat="1">
      <c r="A36924" s="83"/>
      <c r="H36924" s="83"/>
      <c r="K36924" s="82"/>
      <c r="M36924" s="112"/>
      <c r="N36924" s="84"/>
    </row>
    <row r="36925" spans="1:14" s="2" customFormat="1">
      <c r="A36925" s="83"/>
      <c r="H36925" s="83"/>
      <c r="K36925" s="82"/>
      <c r="M36925" s="112"/>
      <c r="N36925" s="84"/>
    </row>
    <row r="36926" spans="1:14" s="2" customFormat="1">
      <c r="A36926" s="83"/>
      <c r="H36926" s="83"/>
      <c r="K36926" s="82"/>
      <c r="M36926" s="112"/>
      <c r="N36926" s="84"/>
    </row>
    <row r="36927" spans="1:14" s="2" customFormat="1">
      <c r="A36927" s="83"/>
      <c r="H36927" s="83"/>
      <c r="K36927" s="82"/>
      <c r="M36927" s="112"/>
      <c r="N36927" s="84"/>
    </row>
    <row r="36928" spans="1:14" s="2" customFormat="1">
      <c r="A36928" s="83"/>
      <c r="H36928" s="83"/>
      <c r="K36928" s="82"/>
      <c r="M36928" s="112"/>
      <c r="N36928" s="84"/>
    </row>
    <row r="36929" spans="1:14" s="2" customFormat="1">
      <c r="A36929" s="83"/>
      <c r="H36929" s="83"/>
      <c r="K36929" s="82"/>
      <c r="M36929" s="112"/>
      <c r="N36929" s="84"/>
    </row>
    <row r="36930" spans="1:14" s="2" customFormat="1">
      <c r="A36930" s="83"/>
      <c r="H36930" s="83"/>
      <c r="K36930" s="82"/>
      <c r="M36930" s="112"/>
      <c r="N36930" s="84"/>
    </row>
    <row r="36931" spans="1:14" s="2" customFormat="1">
      <c r="A36931" s="83"/>
      <c r="H36931" s="83"/>
      <c r="K36931" s="82"/>
      <c r="M36931" s="112"/>
      <c r="N36931" s="84"/>
    </row>
    <row r="36932" spans="1:14" s="2" customFormat="1">
      <c r="A36932" s="83"/>
      <c r="H36932" s="83"/>
      <c r="K36932" s="82"/>
      <c r="M36932" s="112"/>
      <c r="N36932" s="84"/>
    </row>
    <row r="36933" spans="1:14" s="2" customFormat="1">
      <c r="A36933" s="83"/>
      <c r="H36933" s="83"/>
      <c r="K36933" s="82"/>
      <c r="M36933" s="112"/>
      <c r="N36933" s="84"/>
    </row>
    <row r="36934" spans="1:14" s="2" customFormat="1">
      <c r="A36934" s="83"/>
      <c r="H36934" s="83"/>
      <c r="K36934" s="82"/>
      <c r="M36934" s="112"/>
      <c r="N36934" s="84"/>
    </row>
    <row r="36935" spans="1:14" s="2" customFormat="1">
      <c r="A36935" s="83"/>
      <c r="H36935" s="83"/>
      <c r="K36935" s="82"/>
      <c r="M36935" s="112"/>
      <c r="N36935" s="84"/>
    </row>
    <row r="36936" spans="1:14" s="2" customFormat="1">
      <c r="A36936" s="83"/>
      <c r="H36936" s="83"/>
      <c r="K36936" s="82"/>
      <c r="M36936" s="112"/>
      <c r="N36936" s="84"/>
    </row>
    <row r="36937" spans="1:14" s="2" customFormat="1">
      <c r="A36937" s="83"/>
      <c r="H36937" s="83"/>
      <c r="K36937" s="82"/>
      <c r="M36937" s="112"/>
      <c r="N36937" s="84"/>
    </row>
    <row r="36938" spans="1:14" s="2" customFormat="1">
      <c r="A36938" s="83"/>
      <c r="H36938" s="83"/>
      <c r="K36938" s="82"/>
      <c r="M36938" s="112"/>
      <c r="N36938" s="84"/>
    </row>
    <row r="36939" spans="1:14" s="2" customFormat="1">
      <c r="A36939" s="83"/>
      <c r="H36939" s="83"/>
      <c r="K36939" s="82"/>
      <c r="M36939" s="112"/>
      <c r="N36939" s="84"/>
    </row>
    <row r="36940" spans="1:14" s="2" customFormat="1">
      <c r="A36940" s="83"/>
      <c r="H36940" s="83"/>
      <c r="K36940" s="82"/>
      <c r="M36940" s="112"/>
      <c r="N36940" s="84"/>
    </row>
    <row r="36941" spans="1:14" s="2" customFormat="1">
      <c r="A36941" s="83"/>
      <c r="H36941" s="83"/>
      <c r="K36941" s="82"/>
      <c r="M36941" s="112"/>
      <c r="N36941" s="84"/>
    </row>
    <row r="36942" spans="1:14" s="2" customFormat="1">
      <c r="A36942" s="83"/>
      <c r="H36942" s="83"/>
      <c r="K36942" s="82"/>
      <c r="M36942" s="112"/>
      <c r="N36942" s="84"/>
    </row>
    <row r="36943" spans="1:14" s="2" customFormat="1">
      <c r="A36943" s="83"/>
      <c r="H36943" s="83"/>
      <c r="K36943" s="82"/>
      <c r="M36943" s="112"/>
      <c r="N36943" s="84"/>
    </row>
    <row r="36944" spans="1:14" s="2" customFormat="1">
      <c r="A36944" s="83"/>
      <c r="H36944" s="83"/>
      <c r="K36944" s="82"/>
      <c r="M36944" s="112"/>
      <c r="N36944" s="84"/>
    </row>
    <row r="36945" spans="1:14" s="2" customFormat="1">
      <c r="A36945" s="83"/>
      <c r="H36945" s="83"/>
      <c r="K36945" s="82"/>
      <c r="M36945" s="112"/>
      <c r="N36945" s="84"/>
    </row>
    <row r="36946" spans="1:14" s="2" customFormat="1">
      <c r="A36946" s="83"/>
      <c r="H36946" s="83"/>
      <c r="K36946" s="82"/>
      <c r="M36946" s="112"/>
      <c r="N36946" s="84"/>
    </row>
    <row r="36947" spans="1:14" s="2" customFormat="1">
      <c r="A36947" s="83"/>
      <c r="H36947" s="83"/>
      <c r="K36947" s="82"/>
      <c r="M36947" s="112"/>
      <c r="N36947" s="84"/>
    </row>
    <row r="36948" spans="1:14" s="2" customFormat="1">
      <c r="A36948" s="83"/>
      <c r="H36948" s="83"/>
      <c r="K36948" s="82"/>
      <c r="M36948" s="112"/>
      <c r="N36948" s="84"/>
    </row>
    <row r="36949" spans="1:14" s="2" customFormat="1">
      <c r="A36949" s="83"/>
      <c r="H36949" s="83"/>
      <c r="K36949" s="82"/>
      <c r="M36949" s="112"/>
      <c r="N36949" s="84"/>
    </row>
    <row r="36950" spans="1:14" s="2" customFormat="1">
      <c r="A36950" s="83"/>
      <c r="H36950" s="83"/>
      <c r="K36950" s="82"/>
      <c r="M36950" s="112"/>
      <c r="N36950" s="84"/>
    </row>
    <row r="36951" spans="1:14" s="2" customFormat="1">
      <c r="A36951" s="83"/>
      <c r="H36951" s="83"/>
      <c r="K36951" s="82"/>
      <c r="M36951" s="112"/>
      <c r="N36951" s="84"/>
    </row>
    <row r="36952" spans="1:14" s="2" customFormat="1">
      <c r="A36952" s="83"/>
      <c r="H36952" s="83"/>
      <c r="K36952" s="82"/>
      <c r="M36952" s="112"/>
      <c r="N36952" s="84"/>
    </row>
    <row r="36953" spans="1:14" s="2" customFormat="1">
      <c r="A36953" s="83"/>
      <c r="H36953" s="83"/>
      <c r="K36953" s="82"/>
      <c r="M36953" s="112"/>
      <c r="N36953" s="84"/>
    </row>
    <row r="36954" spans="1:14" s="2" customFormat="1">
      <c r="A36954" s="83"/>
      <c r="H36954" s="83"/>
      <c r="K36954" s="82"/>
      <c r="M36954" s="112"/>
      <c r="N36954" s="84"/>
    </row>
    <row r="36955" spans="1:14" s="2" customFormat="1">
      <c r="A36955" s="83"/>
      <c r="H36955" s="83"/>
      <c r="K36955" s="82"/>
      <c r="M36955" s="112"/>
      <c r="N36955" s="84"/>
    </row>
    <row r="36956" spans="1:14" s="2" customFormat="1">
      <c r="A36956" s="83"/>
      <c r="H36956" s="83"/>
      <c r="K36956" s="82"/>
      <c r="M36956" s="112"/>
      <c r="N36956" s="84"/>
    </row>
    <row r="36957" spans="1:14" s="2" customFormat="1">
      <c r="A36957" s="83"/>
      <c r="H36957" s="83"/>
      <c r="K36957" s="82"/>
      <c r="M36957" s="112"/>
      <c r="N36957" s="84"/>
    </row>
    <row r="36958" spans="1:14" s="2" customFormat="1">
      <c r="A36958" s="83"/>
      <c r="H36958" s="83"/>
      <c r="K36958" s="82"/>
      <c r="M36958" s="112"/>
      <c r="N36958" s="84"/>
    </row>
    <row r="36959" spans="1:14" s="2" customFormat="1">
      <c r="A36959" s="83"/>
      <c r="H36959" s="83"/>
      <c r="K36959" s="82"/>
      <c r="M36959" s="112"/>
      <c r="N36959" s="84"/>
    </row>
    <row r="36960" spans="1:14" s="2" customFormat="1">
      <c r="A36960" s="83"/>
      <c r="H36960" s="83"/>
      <c r="K36960" s="82"/>
      <c r="M36960" s="112"/>
      <c r="N36960" s="84"/>
    </row>
    <row r="36961" spans="1:14" s="2" customFormat="1">
      <c r="A36961" s="83"/>
      <c r="H36961" s="83"/>
      <c r="K36961" s="82"/>
      <c r="M36961" s="112"/>
      <c r="N36961" s="84"/>
    </row>
    <row r="36962" spans="1:14" s="2" customFormat="1">
      <c r="A36962" s="83"/>
      <c r="H36962" s="83"/>
      <c r="K36962" s="82"/>
      <c r="M36962" s="112"/>
      <c r="N36962" s="84"/>
    </row>
    <row r="36963" spans="1:14" s="2" customFormat="1">
      <c r="A36963" s="83"/>
      <c r="H36963" s="83"/>
      <c r="K36963" s="82"/>
      <c r="M36963" s="112"/>
      <c r="N36963" s="84"/>
    </row>
    <row r="36964" spans="1:14" s="2" customFormat="1">
      <c r="A36964" s="83"/>
      <c r="H36964" s="83"/>
      <c r="K36964" s="82"/>
      <c r="M36964" s="112"/>
      <c r="N36964" s="84"/>
    </row>
    <row r="36965" spans="1:14" s="2" customFormat="1">
      <c r="A36965" s="83"/>
      <c r="H36965" s="83"/>
      <c r="K36965" s="82"/>
      <c r="M36965" s="112"/>
      <c r="N36965" s="84"/>
    </row>
    <row r="36966" spans="1:14" s="2" customFormat="1">
      <c r="A36966" s="83"/>
      <c r="H36966" s="83"/>
      <c r="K36966" s="82"/>
      <c r="M36966" s="112"/>
      <c r="N36966" s="84"/>
    </row>
    <row r="36967" spans="1:14" s="2" customFormat="1">
      <c r="A36967" s="83"/>
      <c r="H36967" s="83"/>
      <c r="K36967" s="82"/>
      <c r="M36967" s="112"/>
      <c r="N36967" s="84"/>
    </row>
    <row r="36968" spans="1:14" s="2" customFormat="1">
      <c r="A36968" s="83"/>
      <c r="H36968" s="83"/>
      <c r="K36968" s="82"/>
      <c r="M36968" s="112"/>
      <c r="N36968" s="84"/>
    </row>
    <row r="36969" spans="1:14" s="2" customFormat="1">
      <c r="A36969" s="83"/>
      <c r="H36969" s="83"/>
      <c r="K36969" s="82"/>
      <c r="M36969" s="112"/>
      <c r="N36969" s="84"/>
    </row>
    <row r="36970" spans="1:14" s="2" customFormat="1">
      <c r="A36970" s="83"/>
      <c r="H36970" s="83"/>
      <c r="K36970" s="82"/>
      <c r="M36970" s="112"/>
      <c r="N36970" s="84"/>
    </row>
    <row r="36971" spans="1:14" s="2" customFormat="1">
      <c r="A36971" s="83"/>
      <c r="H36971" s="83"/>
      <c r="K36971" s="82"/>
      <c r="M36971" s="112"/>
      <c r="N36971" s="84"/>
    </row>
    <row r="36972" spans="1:14" s="2" customFormat="1">
      <c r="A36972" s="83"/>
      <c r="H36972" s="83"/>
      <c r="K36972" s="82"/>
      <c r="M36972" s="112"/>
      <c r="N36972" s="84"/>
    </row>
    <row r="36973" spans="1:14" s="2" customFormat="1">
      <c r="A36973" s="83"/>
      <c r="H36973" s="83"/>
      <c r="K36973" s="82"/>
      <c r="M36973" s="112"/>
      <c r="N36973" s="84"/>
    </row>
    <row r="36974" spans="1:14" s="2" customFormat="1">
      <c r="A36974" s="83"/>
      <c r="H36974" s="83"/>
      <c r="K36974" s="82"/>
      <c r="M36974" s="112"/>
      <c r="N36974" s="84"/>
    </row>
    <row r="36975" spans="1:14" s="2" customFormat="1">
      <c r="A36975" s="83"/>
      <c r="H36975" s="83"/>
      <c r="K36975" s="82"/>
      <c r="M36975" s="112"/>
      <c r="N36975" s="84"/>
    </row>
    <row r="36976" spans="1:14" s="2" customFormat="1">
      <c r="A36976" s="83"/>
      <c r="H36976" s="83"/>
      <c r="K36976" s="82"/>
      <c r="M36976" s="112"/>
      <c r="N36976" s="84"/>
    </row>
    <row r="36977" spans="1:14" s="2" customFormat="1">
      <c r="A36977" s="83"/>
      <c r="H36977" s="83"/>
      <c r="K36977" s="82"/>
      <c r="M36977" s="112"/>
      <c r="N36977" s="84"/>
    </row>
    <row r="36978" spans="1:14" s="2" customFormat="1">
      <c r="A36978" s="83"/>
      <c r="H36978" s="83"/>
      <c r="K36978" s="82"/>
      <c r="M36978" s="112"/>
      <c r="N36978" s="84"/>
    </row>
    <row r="36979" spans="1:14" s="2" customFormat="1">
      <c r="A36979" s="83"/>
      <c r="H36979" s="83"/>
      <c r="K36979" s="82"/>
      <c r="M36979" s="112"/>
      <c r="N36979" s="84"/>
    </row>
    <row r="36980" spans="1:14" s="2" customFormat="1">
      <c r="A36980" s="83"/>
      <c r="H36980" s="83"/>
      <c r="K36980" s="82"/>
      <c r="M36980" s="112"/>
      <c r="N36980" s="84"/>
    </row>
    <row r="36981" spans="1:14" s="2" customFormat="1">
      <c r="A36981" s="83"/>
      <c r="H36981" s="83"/>
      <c r="K36981" s="82"/>
      <c r="M36981" s="112"/>
      <c r="N36981" s="84"/>
    </row>
    <row r="36982" spans="1:14" s="2" customFormat="1">
      <c r="A36982" s="83"/>
      <c r="H36982" s="83"/>
      <c r="K36982" s="82"/>
      <c r="M36982" s="112"/>
      <c r="N36982" s="84"/>
    </row>
    <row r="36983" spans="1:14" s="2" customFormat="1">
      <c r="A36983" s="83"/>
      <c r="H36983" s="83"/>
      <c r="K36983" s="82"/>
      <c r="M36983" s="112"/>
      <c r="N36983" s="84"/>
    </row>
    <row r="36984" spans="1:14" s="2" customFormat="1">
      <c r="A36984" s="83"/>
      <c r="H36984" s="83"/>
      <c r="K36984" s="82"/>
      <c r="M36984" s="112"/>
      <c r="N36984" s="84"/>
    </row>
    <row r="36985" spans="1:14" s="2" customFormat="1">
      <c r="A36985" s="83"/>
      <c r="H36985" s="83"/>
      <c r="K36985" s="82"/>
      <c r="M36985" s="112"/>
      <c r="N36985" s="84"/>
    </row>
    <row r="36986" spans="1:14" s="2" customFormat="1">
      <c r="A36986" s="83"/>
      <c r="H36986" s="83"/>
      <c r="K36986" s="82"/>
      <c r="M36986" s="112"/>
      <c r="N36986" s="84"/>
    </row>
    <row r="36987" spans="1:14" s="2" customFormat="1">
      <c r="A36987" s="83"/>
      <c r="H36987" s="83"/>
      <c r="K36987" s="82"/>
      <c r="M36987" s="112"/>
      <c r="N36987" s="84"/>
    </row>
    <row r="36988" spans="1:14" s="2" customFormat="1">
      <c r="A36988" s="83"/>
      <c r="H36988" s="83"/>
      <c r="K36988" s="82"/>
      <c r="M36988" s="112"/>
      <c r="N36988" s="84"/>
    </row>
    <row r="36989" spans="1:14" s="2" customFormat="1">
      <c r="A36989" s="83"/>
      <c r="H36989" s="83"/>
      <c r="K36989" s="82"/>
      <c r="M36989" s="112"/>
      <c r="N36989" s="84"/>
    </row>
    <row r="36990" spans="1:14" s="2" customFormat="1">
      <c r="A36990" s="83"/>
      <c r="H36990" s="83"/>
      <c r="K36990" s="82"/>
      <c r="M36990" s="112"/>
      <c r="N36990" s="84"/>
    </row>
    <row r="36991" spans="1:14" s="2" customFormat="1">
      <c r="A36991" s="83"/>
      <c r="H36991" s="83"/>
      <c r="K36991" s="82"/>
      <c r="M36991" s="112"/>
      <c r="N36991" s="84"/>
    </row>
    <row r="36992" spans="1:14" s="2" customFormat="1">
      <c r="A36992" s="83"/>
      <c r="H36992" s="83"/>
      <c r="K36992" s="82"/>
      <c r="M36992" s="112"/>
      <c r="N36992" s="84"/>
    </row>
    <row r="36993" spans="1:14" s="2" customFormat="1">
      <c r="A36993" s="83"/>
      <c r="H36993" s="83"/>
      <c r="K36993" s="82"/>
      <c r="M36993" s="112"/>
      <c r="N36993" s="84"/>
    </row>
    <row r="36994" spans="1:14" s="2" customFormat="1">
      <c r="A36994" s="83"/>
      <c r="H36994" s="83"/>
      <c r="K36994" s="82"/>
      <c r="M36994" s="112"/>
      <c r="N36994" s="84"/>
    </row>
    <row r="36995" spans="1:14" s="2" customFormat="1">
      <c r="A36995" s="83"/>
      <c r="H36995" s="83"/>
      <c r="K36995" s="82"/>
      <c r="M36995" s="112"/>
      <c r="N36995" s="84"/>
    </row>
    <row r="36996" spans="1:14" s="2" customFormat="1">
      <c r="A36996" s="83"/>
      <c r="H36996" s="83"/>
      <c r="K36996" s="82"/>
      <c r="M36996" s="112"/>
      <c r="N36996" s="84"/>
    </row>
    <row r="36997" spans="1:14" s="2" customFormat="1">
      <c r="A36997" s="83"/>
      <c r="H36997" s="83"/>
      <c r="K36997" s="82"/>
      <c r="M36997" s="112"/>
      <c r="N36997" s="84"/>
    </row>
    <row r="36998" spans="1:14" s="2" customFormat="1">
      <c r="A36998" s="83"/>
      <c r="H36998" s="83"/>
      <c r="K36998" s="82"/>
      <c r="M36998" s="112"/>
      <c r="N36998" s="84"/>
    </row>
    <row r="36999" spans="1:14" s="2" customFormat="1">
      <c r="A36999" s="83"/>
      <c r="H36999" s="83"/>
      <c r="K36999" s="82"/>
      <c r="M36999" s="112"/>
      <c r="N36999" s="84"/>
    </row>
    <row r="37000" spans="1:14" s="2" customFormat="1">
      <c r="A37000" s="83"/>
      <c r="H37000" s="83"/>
      <c r="K37000" s="82"/>
      <c r="M37000" s="112"/>
      <c r="N37000" s="84"/>
    </row>
    <row r="37001" spans="1:14" s="2" customFormat="1">
      <c r="A37001" s="83"/>
      <c r="H37001" s="83"/>
      <c r="K37001" s="82"/>
      <c r="M37001" s="112"/>
      <c r="N37001" s="84"/>
    </row>
    <row r="37002" spans="1:14" s="2" customFormat="1">
      <c r="A37002" s="83"/>
      <c r="H37002" s="83"/>
      <c r="K37002" s="82"/>
      <c r="M37002" s="112"/>
      <c r="N37002" s="84"/>
    </row>
    <row r="37003" spans="1:14" s="2" customFormat="1">
      <c r="A37003" s="83"/>
      <c r="H37003" s="83"/>
      <c r="K37003" s="82"/>
      <c r="M37003" s="112"/>
      <c r="N37003" s="84"/>
    </row>
    <row r="37004" spans="1:14" s="2" customFormat="1">
      <c r="A37004" s="83"/>
      <c r="H37004" s="83"/>
      <c r="K37004" s="82"/>
      <c r="M37004" s="112"/>
      <c r="N37004" s="84"/>
    </row>
    <row r="37005" spans="1:14" s="2" customFormat="1">
      <c r="A37005" s="83"/>
      <c r="H37005" s="83"/>
      <c r="K37005" s="82"/>
      <c r="M37005" s="112"/>
      <c r="N37005" s="84"/>
    </row>
    <row r="37006" spans="1:14" s="2" customFormat="1">
      <c r="A37006" s="83"/>
      <c r="H37006" s="83"/>
      <c r="K37006" s="82"/>
      <c r="M37006" s="112"/>
      <c r="N37006" s="84"/>
    </row>
    <row r="37007" spans="1:14" s="2" customFormat="1">
      <c r="A37007" s="83"/>
      <c r="H37007" s="83"/>
      <c r="K37007" s="82"/>
      <c r="M37007" s="112"/>
      <c r="N37007" s="84"/>
    </row>
    <row r="37008" spans="1:14" s="2" customFormat="1">
      <c r="A37008" s="83"/>
      <c r="H37008" s="83"/>
      <c r="K37008" s="82"/>
      <c r="M37008" s="112"/>
      <c r="N37008" s="84"/>
    </row>
    <row r="37009" spans="1:14" s="2" customFormat="1">
      <c r="A37009" s="83"/>
      <c r="H37009" s="83"/>
      <c r="K37009" s="82"/>
      <c r="M37009" s="112"/>
      <c r="N37009" s="84"/>
    </row>
    <row r="37010" spans="1:14" s="2" customFormat="1">
      <c r="A37010" s="83"/>
      <c r="H37010" s="83"/>
      <c r="K37010" s="82"/>
      <c r="M37010" s="112"/>
      <c r="N37010" s="84"/>
    </row>
    <row r="37011" spans="1:14" s="2" customFormat="1">
      <c r="A37011" s="83"/>
      <c r="H37011" s="83"/>
      <c r="K37011" s="82"/>
      <c r="M37011" s="112"/>
      <c r="N37011" s="84"/>
    </row>
    <row r="37012" spans="1:14" s="2" customFormat="1">
      <c r="A37012" s="83"/>
      <c r="H37012" s="83"/>
      <c r="K37012" s="82"/>
      <c r="M37012" s="112"/>
      <c r="N37012" s="84"/>
    </row>
    <row r="37013" spans="1:14" s="2" customFormat="1">
      <c r="A37013" s="83"/>
      <c r="H37013" s="83"/>
      <c r="K37013" s="82"/>
      <c r="M37013" s="112"/>
      <c r="N37013" s="84"/>
    </row>
    <row r="37014" spans="1:14" s="2" customFormat="1">
      <c r="A37014" s="83"/>
      <c r="H37014" s="83"/>
      <c r="K37014" s="82"/>
      <c r="M37014" s="112"/>
      <c r="N37014" s="84"/>
    </row>
    <row r="37015" spans="1:14" s="2" customFormat="1">
      <c r="A37015" s="83"/>
      <c r="H37015" s="83"/>
      <c r="K37015" s="82"/>
      <c r="M37015" s="112"/>
      <c r="N37015" s="84"/>
    </row>
    <row r="37016" spans="1:14" s="2" customFormat="1">
      <c r="A37016" s="83"/>
      <c r="H37016" s="83"/>
      <c r="K37016" s="82"/>
      <c r="M37016" s="112"/>
      <c r="N37016" s="84"/>
    </row>
    <row r="37017" spans="1:14" s="2" customFormat="1">
      <c r="A37017" s="83"/>
      <c r="H37017" s="83"/>
      <c r="K37017" s="82"/>
      <c r="M37017" s="112"/>
      <c r="N37017" s="84"/>
    </row>
    <row r="37018" spans="1:14" s="2" customFormat="1">
      <c r="A37018" s="83"/>
      <c r="H37018" s="83"/>
      <c r="K37018" s="82"/>
      <c r="M37018" s="112"/>
      <c r="N37018" s="84"/>
    </row>
    <row r="37019" spans="1:14" s="2" customFormat="1">
      <c r="A37019" s="83"/>
      <c r="H37019" s="83"/>
      <c r="K37019" s="82"/>
      <c r="M37019" s="112"/>
      <c r="N37019" s="84"/>
    </row>
    <row r="37020" spans="1:14" s="2" customFormat="1">
      <c r="A37020" s="83"/>
      <c r="H37020" s="83"/>
      <c r="K37020" s="82"/>
      <c r="M37020" s="112"/>
      <c r="N37020" s="84"/>
    </row>
    <row r="37021" spans="1:14" s="2" customFormat="1">
      <c r="A37021" s="83"/>
      <c r="H37021" s="83"/>
      <c r="K37021" s="82"/>
      <c r="M37021" s="112"/>
      <c r="N37021" s="84"/>
    </row>
    <row r="37022" spans="1:14" s="2" customFormat="1">
      <c r="A37022" s="83"/>
      <c r="H37022" s="83"/>
      <c r="K37022" s="82"/>
      <c r="M37022" s="112"/>
      <c r="N37022" s="84"/>
    </row>
    <row r="37023" spans="1:14" s="2" customFormat="1">
      <c r="A37023" s="83"/>
      <c r="H37023" s="83"/>
      <c r="K37023" s="82"/>
      <c r="M37023" s="112"/>
      <c r="N37023" s="84"/>
    </row>
    <row r="37024" spans="1:14" s="2" customFormat="1">
      <c r="A37024" s="83"/>
      <c r="H37024" s="83"/>
      <c r="K37024" s="82"/>
      <c r="M37024" s="112"/>
      <c r="N37024" s="84"/>
    </row>
    <row r="37025" spans="1:14" s="2" customFormat="1">
      <c r="A37025" s="83"/>
      <c r="H37025" s="83"/>
      <c r="K37025" s="82"/>
      <c r="M37025" s="112"/>
      <c r="N37025" s="84"/>
    </row>
    <row r="37026" spans="1:14" s="2" customFormat="1">
      <c r="A37026" s="83"/>
      <c r="H37026" s="83"/>
      <c r="K37026" s="82"/>
      <c r="M37026" s="112"/>
      <c r="N37026" s="84"/>
    </row>
    <row r="37027" spans="1:14" s="2" customFormat="1">
      <c r="A37027" s="83"/>
      <c r="H37027" s="83"/>
      <c r="K37027" s="82"/>
      <c r="M37027" s="112"/>
      <c r="N37027" s="84"/>
    </row>
    <row r="37028" spans="1:14" s="2" customFormat="1">
      <c r="A37028" s="83"/>
      <c r="H37028" s="83"/>
      <c r="K37028" s="82"/>
      <c r="M37028" s="112"/>
      <c r="N37028" s="84"/>
    </row>
    <row r="37029" spans="1:14" s="2" customFormat="1">
      <c r="A37029" s="83"/>
      <c r="H37029" s="83"/>
      <c r="K37029" s="82"/>
      <c r="M37029" s="112"/>
      <c r="N37029" s="84"/>
    </row>
    <row r="37030" spans="1:14" s="2" customFormat="1">
      <c r="A37030" s="83"/>
      <c r="H37030" s="83"/>
      <c r="K37030" s="82"/>
      <c r="M37030" s="112"/>
      <c r="N37030" s="84"/>
    </row>
    <row r="37031" spans="1:14" s="2" customFormat="1">
      <c r="A37031" s="83"/>
      <c r="H37031" s="83"/>
      <c r="K37031" s="82"/>
      <c r="M37031" s="112"/>
      <c r="N37031" s="84"/>
    </row>
    <row r="37032" spans="1:14" s="2" customFormat="1">
      <c r="A37032" s="83"/>
      <c r="H37032" s="83"/>
      <c r="K37032" s="82"/>
      <c r="M37032" s="112"/>
      <c r="N37032" s="84"/>
    </row>
    <row r="37033" spans="1:14" s="2" customFormat="1">
      <c r="A37033" s="83"/>
      <c r="H37033" s="83"/>
      <c r="K37033" s="82"/>
      <c r="M37033" s="112"/>
      <c r="N37033" s="84"/>
    </row>
    <row r="37034" spans="1:14" s="2" customFormat="1">
      <c r="A37034" s="83"/>
      <c r="H37034" s="83"/>
      <c r="K37034" s="82"/>
      <c r="M37034" s="112"/>
      <c r="N37034" s="84"/>
    </row>
    <row r="37035" spans="1:14" s="2" customFormat="1">
      <c r="A37035" s="83"/>
      <c r="H37035" s="83"/>
      <c r="K37035" s="82"/>
      <c r="M37035" s="112"/>
      <c r="N37035" s="84"/>
    </row>
    <row r="37036" spans="1:14" s="2" customFormat="1">
      <c r="A37036" s="83"/>
      <c r="H37036" s="83"/>
      <c r="K37036" s="82"/>
      <c r="M37036" s="112"/>
      <c r="N37036" s="84"/>
    </row>
    <row r="37037" spans="1:14" s="2" customFormat="1">
      <c r="A37037" s="83"/>
      <c r="H37037" s="83"/>
      <c r="K37037" s="82"/>
      <c r="M37037" s="112"/>
      <c r="N37037" s="84"/>
    </row>
    <row r="37038" spans="1:14" s="2" customFormat="1">
      <c r="A37038" s="83"/>
      <c r="H37038" s="83"/>
      <c r="K37038" s="82"/>
      <c r="M37038" s="112"/>
      <c r="N37038" s="84"/>
    </row>
    <row r="37039" spans="1:14" s="2" customFormat="1">
      <c r="A37039" s="83"/>
      <c r="H37039" s="83"/>
      <c r="K37039" s="82"/>
      <c r="M37039" s="112"/>
      <c r="N37039" s="84"/>
    </row>
    <row r="37040" spans="1:14" s="2" customFormat="1">
      <c r="A37040" s="83"/>
      <c r="H37040" s="83"/>
      <c r="K37040" s="82"/>
      <c r="M37040" s="112"/>
      <c r="N37040" s="84"/>
    </row>
    <row r="37041" spans="1:14" s="2" customFormat="1">
      <c r="A37041" s="83"/>
      <c r="H37041" s="83"/>
      <c r="K37041" s="82"/>
      <c r="M37041" s="112"/>
      <c r="N37041" s="84"/>
    </row>
    <row r="37042" spans="1:14" s="2" customFormat="1">
      <c r="A37042" s="83"/>
      <c r="H37042" s="83"/>
      <c r="K37042" s="82"/>
      <c r="M37042" s="112"/>
      <c r="N37042" s="84"/>
    </row>
    <row r="37043" spans="1:14" s="2" customFormat="1">
      <c r="A37043" s="83"/>
      <c r="H37043" s="83"/>
      <c r="K37043" s="82"/>
      <c r="M37043" s="112"/>
      <c r="N37043" s="84"/>
    </row>
    <row r="37044" spans="1:14" s="2" customFormat="1">
      <c r="A37044" s="83"/>
      <c r="H37044" s="83"/>
      <c r="K37044" s="82"/>
      <c r="M37044" s="112"/>
      <c r="N37044" s="84"/>
    </row>
    <row r="37045" spans="1:14" s="2" customFormat="1">
      <c r="A37045" s="83"/>
      <c r="H37045" s="83"/>
      <c r="K37045" s="82"/>
      <c r="M37045" s="112"/>
      <c r="N37045" s="84"/>
    </row>
    <row r="37046" spans="1:14" s="2" customFormat="1">
      <c r="A37046" s="83"/>
      <c r="H37046" s="83"/>
      <c r="K37046" s="82"/>
      <c r="M37046" s="112"/>
      <c r="N37046" s="84"/>
    </row>
    <row r="37047" spans="1:14" s="2" customFormat="1">
      <c r="A37047" s="83"/>
      <c r="H37047" s="83"/>
      <c r="K37047" s="82"/>
      <c r="M37047" s="112"/>
      <c r="N37047" s="84"/>
    </row>
    <row r="37048" spans="1:14" s="2" customFormat="1">
      <c r="A37048" s="83"/>
      <c r="H37048" s="83"/>
      <c r="K37048" s="82"/>
      <c r="M37048" s="112"/>
      <c r="N37048" s="84"/>
    </row>
    <row r="37049" spans="1:14" s="2" customFormat="1">
      <c r="A37049" s="83"/>
      <c r="H37049" s="83"/>
      <c r="K37049" s="82"/>
      <c r="M37049" s="112"/>
      <c r="N37049" s="84"/>
    </row>
    <row r="37050" spans="1:14" s="2" customFormat="1">
      <c r="A37050" s="83"/>
      <c r="H37050" s="83"/>
      <c r="K37050" s="82"/>
      <c r="M37050" s="112"/>
      <c r="N37050" s="84"/>
    </row>
    <row r="37051" spans="1:14" s="2" customFormat="1">
      <c r="A37051" s="83"/>
      <c r="H37051" s="83"/>
      <c r="K37051" s="82"/>
      <c r="M37051" s="112"/>
      <c r="N37051" s="84"/>
    </row>
    <row r="37052" spans="1:14" s="2" customFormat="1">
      <c r="A37052" s="83"/>
      <c r="H37052" s="83"/>
      <c r="K37052" s="82"/>
      <c r="M37052" s="112"/>
      <c r="N37052" s="84"/>
    </row>
    <row r="37053" spans="1:14" s="2" customFormat="1">
      <c r="A37053" s="83"/>
      <c r="H37053" s="83"/>
      <c r="K37053" s="82"/>
      <c r="M37053" s="112"/>
      <c r="N37053" s="84"/>
    </row>
    <row r="37054" spans="1:14" s="2" customFormat="1">
      <c r="A37054" s="83"/>
      <c r="H37054" s="83"/>
      <c r="K37054" s="82"/>
      <c r="M37054" s="112"/>
      <c r="N37054" s="84"/>
    </row>
    <row r="37055" spans="1:14" s="2" customFormat="1">
      <c r="A37055" s="83"/>
      <c r="H37055" s="83"/>
      <c r="K37055" s="82"/>
      <c r="M37055" s="112"/>
      <c r="N37055" s="84"/>
    </row>
    <row r="37056" spans="1:14" s="2" customFormat="1">
      <c r="A37056" s="83"/>
      <c r="H37056" s="83"/>
      <c r="K37056" s="82"/>
      <c r="M37056" s="112"/>
      <c r="N37056" s="84"/>
    </row>
    <row r="37057" spans="1:14" s="2" customFormat="1">
      <c r="A37057" s="83"/>
      <c r="H37057" s="83"/>
      <c r="K37057" s="82"/>
      <c r="M37057" s="112"/>
      <c r="N37057" s="84"/>
    </row>
    <row r="37058" spans="1:14" s="2" customFormat="1">
      <c r="A37058" s="83"/>
      <c r="H37058" s="83"/>
      <c r="K37058" s="82"/>
      <c r="M37058" s="112"/>
      <c r="N37058" s="84"/>
    </row>
    <row r="37059" spans="1:14" s="2" customFormat="1">
      <c r="A37059" s="83"/>
      <c r="H37059" s="83"/>
      <c r="K37059" s="82"/>
      <c r="M37059" s="112"/>
      <c r="N37059" s="84"/>
    </row>
    <row r="37060" spans="1:14" s="2" customFormat="1">
      <c r="A37060" s="83"/>
      <c r="H37060" s="83"/>
      <c r="K37060" s="82"/>
      <c r="M37060" s="112"/>
      <c r="N37060" s="84"/>
    </row>
    <row r="37061" spans="1:14" s="2" customFormat="1">
      <c r="A37061" s="83"/>
      <c r="H37061" s="83"/>
      <c r="K37061" s="82"/>
      <c r="M37061" s="112"/>
      <c r="N37061" s="84"/>
    </row>
    <row r="37062" spans="1:14" s="2" customFormat="1">
      <c r="A37062" s="83"/>
      <c r="H37062" s="83"/>
      <c r="K37062" s="82"/>
      <c r="M37062" s="112"/>
      <c r="N37062" s="84"/>
    </row>
    <row r="37063" spans="1:14" s="2" customFormat="1">
      <c r="A37063" s="83"/>
      <c r="H37063" s="83"/>
      <c r="K37063" s="82"/>
      <c r="M37063" s="112"/>
      <c r="N37063" s="84"/>
    </row>
    <row r="37064" spans="1:14" s="2" customFormat="1">
      <c r="A37064" s="83"/>
      <c r="H37064" s="83"/>
      <c r="K37064" s="82"/>
      <c r="M37064" s="112"/>
      <c r="N37064" s="84"/>
    </row>
    <row r="37065" spans="1:14" s="2" customFormat="1">
      <c r="A37065" s="83"/>
      <c r="H37065" s="83"/>
      <c r="K37065" s="82"/>
      <c r="M37065" s="112"/>
      <c r="N37065" s="84"/>
    </row>
    <row r="37066" spans="1:14" s="2" customFormat="1">
      <c r="A37066" s="83"/>
      <c r="H37066" s="83"/>
      <c r="K37066" s="82"/>
      <c r="M37066" s="112"/>
      <c r="N37066" s="84"/>
    </row>
    <row r="37067" spans="1:14" s="2" customFormat="1">
      <c r="A37067" s="83"/>
      <c r="H37067" s="83"/>
      <c r="K37067" s="82"/>
      <c r="M37067" s="112"/>
      <c r="N37067" s="84"/>
    </row>
    <row r="37068" spans="1:14" s="2" customFormat="1">
      <c r="A37068" s="83"/>
      <c r="H37068" s="83"/>
      <c r="K37068" s="82"/>
      <c r="M37068" s="112"/>
      <c r="N37068" s="84"/>
    </row>
    <row r="37069" spans="1:14" s="2" customFormat="1">
      <c r="A37069" s="83"/>
      <c r="H37069" s="83"/>
      <c r="K37069" s="82"/>
      <c r="M37069" s="112"/>
      <c r="N37069" s="84"/>
    </row>
    <row r="37070" spans="1:14" s="2" customFormat="1">
      <c r="A37070" s="83"/>
      <c r="H37070" s="83"/>
      <c r="K37070" s="82"/>
      <c r="M37070" s="112"/>
      <c r="N37070" s="84"/>
    </row>
    <row r="37071" spans="1:14" s="2" customFormat="1">
      <c r="A37071" s="83"/>
      <c r="H37071" s="83"/>
      <c r="K37071" s="82"/>
      <c r="M37071" s="112"/>
      <c r="N37071" s="84"/>
    </row>
    <row r="37072" spans="1:14" s="2" customFormat="1">
      <c r="A37072" s="83"/>
      <c r="H37072" s="83"/>
      <c r="K37072" s="82"/>
      <c r="M37072" s="112"/>
      <c r="N37072" s="84"/>
    </row>
    <row r="37073" spans="1:14" s="2" customFormat="1">
      <c r="A37073" s="83"/>
      <c r="H37073" s="83"/>
      <c r="K37073" s="82"/>
      <c r="M37073" s="112"/>
      <c r="N37073" s="84"/>
    </row>
    <row r="37074" spans="1:14" s="2" customFormat="1">
      <c r="A37074" s="83"/>
      <c r="H37074" s="83"/>
      <c r="K37074" s="82"/>
      <c r="M37074" s="112"/>
      <c r="N37074" s="84"/>
    </row>
    <row r="37075" spans="1:14" s="2" customFormat="1">
      <c r="A37075" s="83"/>
      <c r="H37075" s="83"/>
      <c r="K37075" s="82"/>
      <c r="M37075" s="112"/>
      <c r="N37075" s="84"/>
    </row>
    <row r="37076" spans="1:14" s="2" customFormat="1">
      <c r="A37076" s="83"/>
      <c r="H37076" s="83"/>
      <c r="K37076" s="82"/>
      <c r="M37076" s="112"/>
      <c r="N37076" s="84"/>
    </row>
    <row r="37077" spans="1:14" s="2" customFormat="1">
      <c r="A37077" s="83"/>
      <c r="H37077" s="83"/>
      <c r="K37077" s="82"/>
      <c r="M37077" s="112"/>
      <c r="N37077" s="84"/>
    </row>
    <row r="37078" spans="1:14" s="2" customFormat="1">
      <c r="A37078" s="83"/>
      <c r="H37078" s="83"/>
      <c r="K37078" s="82"/>
      <c r="M37078" s="112"/>
      <c r="N37078" s="84"/>
    </row>
    <row r="37079" spans="1:14" s="2" customFormat="1">
      <c r="A37079" s="83"/>
      <c r="H37079" s="83"/>
      <c r="K37079" s="82"/>
      <c r="M37079" s="112"/>
      <c r="N37079" s="84"/>
    </row>
    <row r="37080" spans="1:14" s="2" customFormat="1">
      <c r="A37080" s="83"/>
      <c r="H37080" s="83"/>
      <c r="K37080" s="82"/>
      <c r="M37080" s="112"/>
      <c r="N37080" s="84"/>
    </row>
    <row r="37081" spans="1:14" s="2" customFormat="1">
      <c r="A37081" s="83"/>
      <c r="H37081" s="83"/>
      <c r="K37081" s="82"/>
      <c r="M37081" s="112"/>
      <c r="N37081" s="84"/>
    </row>
    <row r="37082" spans="1:14" s="2" customFormat="1">
      <c r="A37082" s="83"/>
      <c r="H37082" s="83"/>
      <c r="K37082" s="82"/>
      <c r="M37082" s="112"/>
      <c r="N37082" s="84"/>
    </row>
    <row r="37083" spans="1:14" s="2" customFormat="1">
      <c r="A37083" s="83"/>
      <c r="H37083" s="83"/>
      <c r="K37083" s="82"/>
      <c r="M37083" s="112"/>
      <c r="N37083" s="84"/>
    </row>
    <row r="37084" spans="1:14" s="2" customFormat="1">
      <c r="A37084" s="83"/>
      <c r="H37084" s="83"/>
      <c r="K37084" s="82"/>
      <c r="M37084" s="112"/>
      <c r="N37084" s="84"/>
    </row>
    <row r="37085" spans="1:14" s="2" customFormat="1">
      <c r="A37085" s="83"/>
      <c r="H37085" s="83"/>
      <c r="K37085" s="82"/>
      <c r="M37085" s="112"/>
      <c r="N37085" s="84"/>
    </row>
    <row r="37086" spans="1:14" s="2" customFormat="1">
      <c r="A37086" s="83"/>
      <c r="H37086" s="83"/>
      <c r="K37086" s="82"/>
      <c r="M37086" s="112"/>
      <c r="N37086" s="84"/>
    </row>
    <row r="37087" spans="1:14" s="2" customFormat="1">
      <c r="A37087" s="83"/>
      <c r="H37087" s="83"/>
      <c r="K37087" s="82"/>
      <c r="M37087" s="112"/>
      <c r="N37087" s="84"/>
    </row>
    <row r="37088" spans="1:14" s="2" customFormat="1">
      <c r="A37088" s="83"/>
      <c r="H37088" s="83"/>
      <c r="K37088" s="82"/>
      <c r="M37088" s="112"/>
      <c r="N37088" s="84"/>
    </row>
    <row r="37089" spans="1:14" s="2" customFormat="1">
      <c r="A37089" s="83"/>
      <c r="H37089" s="83"/>
      <c r="K37089" s="82"/>
      <c r="M37089" s="112"/>
      <c r="N37089" s="84"/>
    </row>
    <row r="37090" spans="1:14" s="2" customFormat="1">
      <c r="A37090" s="83"/>
      <c r="H37090" s="83"/>
      <c r="K37090" s="82"/>
      <c r="M37090" s="112"/>
      <c r="N37090" s="84"/>
    </row>
    <row r="37091" spans="1:14" s="2" customFormat="1">
      <c r="A37091" s="83"/>
      <c r="H37091" s="83"/>
      <c r="K37091" s="82"/>
      <c r="M37091" s="112"/>
      <c r="N37091" s="84"/>
    </row>
    <row r="37092" spans="1:14" s="2" customFormat="1">
      <c r="A37092" s="83"/>
      <c r="H37092" s="83"/>
      <c r="K37092" s="82"/>
      <c r="M37092" s="112"/>
      <c r="N37092" s="84"/>
    </row>
    <row r="37093" spans="1:14" s="2" customFormat="1">
      <c r="A37093" s="83"/>
      <c r="H37093" s="83"/>
      <c r="K37093" s="82"/>
      <c r="M37093" s="112"/>
      <c r="N37093" s="84"/>
    </row>
    <row r="37094" spans="1:14" s="2" customFormat="1">
      <c r="A37094" s="83"/>
      <c r="H37094" s="83"/>
      <c r="K37094" s="82"/>
      <c r="M37094" s="112"/>
      <c r="N37094" s="84"/>
    </row>
    <row r="37095" spans="1:14" s="2" customFormat="1">
      <c r="A37095" s="83"/>
      <c r="H37095" s="83"/>
      <c r="K37095" s="82"/>
      <c r="M37095" s="112"/>
      <c r="N37095" s="84"/>
    </row>
    <row r="37096" spans="1:14" s="2" customFormat="1">
      <c r="A37096" s="83"/>
      <c r="H37096" s="83"/>
      <c r="K37096" s="82"/>
      <c r="M37096" s="112"/>
      <c r="N37096" s="84"/>
    </row>
    <row r="37097" spans="1:14" s="2" customFormat="1">
      <c r="A37097" s="83"/>
      <c r="H37097" s="83"/>
      <c r="K37097" s="82"/>
      <c r="M37097" s="112"/>
      <c r="N37097" s="84"/>
    </row>
    <row r="37098" spans="1:14" s="2" customFormat="1">
      <c r="A37098" s="83"/>
      <c r="H37098" s="83"/>
      <c r="K37098" s="82"/>
      <c r="M37098" s="112"/>
      <c r="N37098" s="84"/>
    </row>
    <row r="37099" spans="1:14" s="2" customFormat="1">
      <c r="A37099" s="83"/>
      <c r="H37099" s="83"/>
      <c r="K37099" s="82"/>
      <c r="M37099" s="112"/>
      <c r="N37099" s="84"/>
    </row>
    <row r="37100" spans="1:14" s="2" customFormat="1">
      <c r="A37100" s="83"/>
      <c r="H37100" s="83"/>
      <c r="K37100" s="82"/>
      <c r="M37100" s="112"/>
      <c r="N37100" s="84"/>
    </row>
    <row r="37101" spans="1:14" s="2" customFormat="1">
      <c r="A37101" s="83"/>
      <c r="H37101" s="83"/>
      <c r="K37101" s="82"/>
      <c r="M37101" s="112"/>
      <c r="N37101" s="84"/>
    </row>
    <row r="37102" spans="1:14" s="2" customFormat="1">
      <c r="A37102" s="83"/>
      <c r="H37102" s="83"/>
      <c r="K37102" s="82"/>
      <c r="M37102" s="112"/>
      <c r="N37102" s="84"/>
    </row>
    <row r="37103" spans="1:14" s="2" customFormat="1">
      <c r="A37103" s="83"/>
      <c r="H37103" s="83"/>
      <c r="K37103" s="82"/>
      <c r="M37103" s="112"/>
      <c r="N37103" s="84"/>
    </row>
    <row r="37104" spans="1:14" s="2" customFormat="1">
      <c r="A37104" s="83"/>
      <c r="H37104" s="83"/>
      <c r="K37104" s="82"/>
      <c r="M37104" s="112"/>
      <c r="N37104" s="84"/>
    </row>
    <row r="37105" spans="1:14" s="2" customFormat="1">
      <c r="A37105" s="83"/>
      <c r="H37105" s="83"/>
      <c r="K37105" s="82"/>
      <c r="M37105" s="112"/>
      <c r="N37105" s="84"/>
    </row>
    <row r="37106" spans="1:14" s="2" customFormat="1">
      <c r="A37106" s="83"/>
      <c r="H37106" s="83"/>
      <c r="K37106" s="82"/>
      <c r="M37106" s="112"/>
      <c r="N37106" s="84"/>
    </row>
    <row r="37107" spans="1:14" s="2" customFormat="1">
      <c r="A37107" s="83"/>
      <c r="H37107" s="83"/>
      <c r="K37107" s="82"/>
      <c r="M37107" s="112"/>
      <c r="N37107" s="84"/>
    </row>
    <row r="37108" spans="1:14" s="2" customFormat="1">
      <c r="A37108" s="83"/>
      <c r="H37108" s="83"/>
      <c r="K37108" s="82"/>
      <c r="M37108" s="112"/>
      <c r="N37108" s="84"/>
    </row>
    <row r="37109" spans="1:14" s="2" customFormat="1">
      <c r="A37109" s="83"/>
      <c r="H37109" s="83"/>
      <c r="K37109" s="82"/>
      <c r="M37109" s="112"/>
      <c r="N37109" s="84"/>
    </row>
    <row r="37110" spans="1:14" s="2" customFormat="1">
      <c r="A37110" s="83"/>
      <c r="H37110" s="83"/>
      <c r="K37110" s="82"/>
      <c r="M37110" s="112"/>
      <c r="N37110" s="84"/>
    </row>
    <row r="37111" spans="1:14" s="2" customFormat="1">
      <c r="A37111" s="83"/>
      <c r="H37111" s="83"/>
      <c r="K37111" s="82"/>
      <c r="M37111" s="112"/>
      <c r="N37111" s="84"/>
    </row>
    <row r="37112" spans="1:14" s="2" customFormat="1">
      <c r="A37112" s="83"/>
      <c r="H37112" s="83"/>
      <c r="K37112" s="82"/>
      <c r="M37112" s="112"/>
      <c r="N37112" s="84"/>
    </row>
    <row r="37113" spans="1:14" s="2" customFormat="1">
      <c r="A37113" s="83"/>
      <c r="H37113" s="83"/>
      <c r="K37113" s="82"/>
      <c r="M37113" s="112"/>
      <c r="N37113" s="84"/>
    </row>
    <row r="37114" spans="1:14" s="2" customFormat="1">
      <c r="A37114" s="83"/>
      <c r="H37114" s="83"/>
      <c r="K37114" s="82"/>
      <c r="M37114" s="112"/>
      <c r="N37114" s="84"/>
    </row>
    <row r="37115" spans="1:14" s="2" customFormat="1">
      <c r="A37115" s="83"/>
      <c r="H37115" s="83"/>
      <c r="K37115" s="82"/>
      <c r="M37115" s="112"/>
      <c r="N37115" s="84"/>
    </row>
    <row r="37116" spans="1:14" s="2" customFormat="1">
      <c r="A37116" s="83"/>
      <c r="H37116" s="83"/>
      <c r="K37116" s="82"/>
      <c r="M37116" s="112"/>
      <c r="N37116" s="84"/>
    </row>
    <row r="37117" spans="1:14" s="2" customFormat="1">
      <c r="A37117" s="83"/>
      <c r="H37117" s="83"/>
      <c r="K37117" s="82"/>
      <c r="M37117" s="112"/>
      <c r="N37117" s="84"/>
    </row>
    <row r="37118" spans="1:14" s="2" customFormat="1">
      <c r="A37118" s="83"/>
      <c r="H37118" s="83"/>
      <c r="K37118" s="82"/>
      <c r="M37118" s="112"/>
      <c r="N37118" s="84"/>
    </row>
    <row r="37119" spans="1:14" s="2" customFormat="1">
      <c r="A37119" s="83"/>
      <c r="H37119" s="83"/>
      <c r="K37119" s="82"/>
      <c r="M37119" s="112"/>
      <c r="N37119" s="84"/>
    </row>
    <row r="37120" spans="1:14" s="2" customFormat="1">
      <c r="A37120" s="83"/>
      <c r="H37120" s="83"/>
      <c r="K37120" s="82"/>
      <c r="M37120" s="112"/>
      <c r="N37120" s="84"/>
    </row>
    <row r="37121" spans="1:14" s="2" customFormat="1">
      <c r="A37121" s="83"/>
      <c r="H37121" s="83"/>
      <c r="K37121" s="82"/>
      <c r="M37121" s="112"/>
      <c r="N37121" s="84"/>
    </row>
    <row r="37122" spans="1:14" s="2" customFormat="1">
      <c r="A37122" s="83"/>
      <c r="H37122" s="83"/>
      <c r="K37122" s="82"/>
      <c r="M37122" s="112"/>
      <c r="N37122" s="84"/>
    </row>
    <row r="37123" spans="1:14" s="2" customFormat="1">
      <c r="A37123" s="83"/>
      <c r="H37123" s="83"/>
      <c r="K37123" s="82"/>
      <c r="M37123" s="112"/>
      <c r="N37123" s="84"/>
    </row>
    <row r="37124" spans="1:14" s="2" customFormat="1">
      <c r="A37124" s="83"/>
      <c r="H37124" s="83"/>
      <c r="K37124" s="82"/>
      <c r="M37124" s="112"/>
      <c r="N37124" s="84"/>
    </row>
    <row r="37125" spans="1:14" s="2" customFormat="1">
      <c r="A37125" s="83"/>
      <c r="H37125" s="83"/>
      <c r="K37125" s="82"/>
      <c r="M37125" s="112"/>
      <c r="N37125" s="84"/>
    </row>
    <row r="37126" spans="1:14" s="2" customFormat="1">
      <c r="A37126" s="83"/>
      <c r="H37126" s="83"/>
      <c r="K37126" s="82"/>
      <c r="M37126" s="112"/>
      <c r="N37126" s="84"/>
    </row>
    <row r="37127" spans="1:14" s="2" customFormat="1">
      <c r="A37127" s="83"/>
      <c r="H37127" s="83"/>
      <c r="K37127" s="82"/>
      <c r="M37127" s="112"/>
      <c r="N37127" s="84"/>
    </row>
    <row r="37128" spans="1:14" s="2" customFormat="1">
      <c r="A37128" s="83"/>
      <c r="H37128" s="83"/>
      <c r="K37128" s="82"/>
      <c r="M37128" s="112"/>
      <c r="N37128" s="84"/>
    </row>
    <row r="37129" spans="1:14" s="2" customFormat="1">
      <c r="A37129" s="83"/>
      <c r="H37129" s="83"/>
      <c r="K37129" s="82"/>
      <c r="M37129" s="112"/>
      <c r="N37129" s="84"/>
    </row>
    <row r="37130" spans="1:14" s="2" customFormat="1">
      <c r="A37130" s="83"/>
      <c r="H37130" s="83"/>
      <c r="K37130" s="82"/>
      <c r="M37130" s="112"/>
      <c r="N37130" s="84"/>
    </row>
    <row r="37131" spans="1:14" s="2" customFormat="1">
      <c r="A37131" s="83"/>
      <c r="H37131" s="83"/>
      <c r="K37131" s="82"/>
      <c r="M37131" s="112"/>
      <c r="N37131" s="84"/>
    </row>
    <row r="37132" spans="1:14" s="2" customFormat="1">
      <c r="A37132" s="83"/>
      <c r="H37132" s="83"/>
      <c r="K37132" s="82"/>
      <c r="M37132" s="112"/>
      <c r="N37132" s="84"/>
    </row>
    <row r="37133" spans="1:14" s="2" customFormat="1">
      <c r="A37133" s="83"/>
      <c r="H37133" s="83"/>
      <c r="K37133" s="82"/>
      <c r="M37133" s="112"/>
      <c r="N37133" s="84"/>
    </row>
    <row r="37134" spans="1:14" s="2" customFormat="1">
      <c r="A37134" s="83"/>
      <c r="H37134" s="83"/>
      <c r="K37134" s="82"/>
      <c r="M37134" s="112"/>
      <c r="N37134" s="84"/>
    </row>
    <row r="37135" spans="1:14" s="2" customFormat="1">
      <c r="A37135" s="83"/>
      <c r="H37135" s="83"/>
      <c r="K37135" s="82"/>
      <c r="M37135" s="112"/>
      <c r="N37135" s="84"/>
    </row>
    <row r="37136" spans="1:14" s="2" customFormat="1">
      <c r="A37136" s="83"/>
      <c r="H37136" s="83"/>
      <c r="K37136" s="82"/>
      <c r="M37136" s="112"/>
      <c r="N37136" s="84"/>
    </row>
    <row r="37137" spans="1:14" s="2" customFormat="1">
      <c r="A37137" s="83"/>
      <c r="H37137" s="83"/>
      <c r="K37137" s="82"/>
      <c r="M37137" s="112"/>
      <c r="N37137" s="84"/>
    </row>
    <row r="37138" spans="1:14" s="2" customFormat="1">
      <c r="A37138" s="83"/>
      <c r="H37138" s="83"/>
      <c r="K37138" s="82"/>
      <c r="M37138" s="112"/>
      <c r="N37138" s="84"/>
    </row>
    <row r="37139" spans="1:14" s="2" customFormat="1">
      <c r="A37139" s="83"/>
      <c r="H37139" s="83"/>
      <c r="K37139" s="82"/>
      <c r="M37139" s="112"/>
      <c r="N37139" s="84"/>
    </row>
    <row r="37140" spans="1:14" s="2" customFormat="1">
      <c r="A37140" s="83"/>
      <c r="H37140" s="83"/>
      <c r="K37140" s="82"/>
      <c r="M37140" s="112"/>
      <c r="N37140" s="84"/>
    </row>
    <row r="37141" spans="1:14" s="2" customFormat="1">
      <c r="A37141" s="83"/>
      <c r="H37141" s="83"/>
      <c r="K37141" s="82"/>
      <c r="M37141" s="112"/>
      <c r="N37141" s="84"/>
    </row>
    <row r="37142" spans="1:14" s="2" customFormat="1">
      <c r="A37142" s="83"/>
      <c r="H37142" s="83"/>
      <c r="K37142" s="82"/>
      <c r="M37142" s="112"/>
      <c r="N37142" s="84"/>
    </row>
    <row r="37143" spans="1:14" s="2" customFormat="1">
      <c r="A37143" s="83"/>
      <c r="H37143" s="83"/>
      <c r="K37143" s="82"/>
      <c r="M37143" s="112"/>
      <c r="N37143" s="84"/>
    </row>
    <row r="37144" spans="1:14" s="2" customFormat="1">
      <c r="A37144" s="83"/>
      <c r="H37144" s="83"/>
      <c r="K37144" s="82"/>
      <c r="M37144" s="112"/>
      <c r="N37144" s="84"/>
    </row>
    <row r="37145" spans="1:14" s="2" customFormat="1">
      <c r="A37145" s="83"/>
      <c r="H37145" s="83"/>
      <c r="K37145" s="82"/>
      <c r="M37145" s="112"/>
      <c r="N37145" s="84"/>
    </row>
    <row r="37146" spans="1:14" s="2" customFormat="1">
      <c r="A37146" s="83"/>
      <c r="H37146" s="83"/>
      <c r="K37146" s="82"/>
      <c r="M37146" s="112"/>
      <c r="N37146" s="84"/>
    </row>
    <row r="37147" spans="1:14" s="2" customFormat="1">
      <c r="A37147" s="83"/>
      <c r="H37147" s="83"/>
      <c r="K37147" s="82"/>
      <c r="M37147" s="112"/>
      <c r="N37147" s="84"/>
    </row>
    <row r="37148" spans="1:14" s="2" customFormat="1">
      <c r="A37148" s="83"/>
      <c r="H37148" s="83"/>
      <c r="K37148" s="82"/>
      <c r="M37148" s="112"/>
      <c r="N37148" s="84"/>
    </row>
    <row r="37149" spans="1:14" s="2" customFormat="1">
      <c r="A37149" s="83"/>
      <c r="H37149" s="83"/>
      <c r="K37149" s="82"/>
      <c r="M37149" s="112"/>
      <c r="N37149" s="84"/>
    </row>
    <row r="37150" spans="1:14" s="2" customFormat="1">
      <c r="A37150" s="83"/>
      <c r="H37150" s="83"/>
      <c r="K37150" s="82"/>
      <c r="M37150" s="112"/>
      <c r="N37150" s="84"/>
    </row>
    <row r="37151" spans="1:14" s="2" customFormat="1">
      <c r="A37151" s="83"/>
      <c r="H37151" s="83"/>
      <c r="K37151" s="82"/>
      <c r="M37151" s="112"/>
      <c r="N37151" s="84"/>
    </row>
    <row r="37152" spans="1:14" s="2" customFormat="1">
      <c r="A37152" s="83"/>
      <c r="H37152" s="83"/>
      <c r="K37152" s="82"/>
      <c r="M37152" s="112"/>
      <c r="N37152" s="84"/>
    </row>
    <row r="37153" spans="1:14" s="2" customFormat="1">
      <c r="A37153" s="83"/>
      <c r="H37153" s="83"/>
      <c r="K37153" s="82"/>
      <c r="M37153" s="112"/>
      <c r="N37153" s="84"/>
    </row>
    <row r="37154" spans="1:14" s="2" customFormat="1">
      <c r="A37154" s="83"/>
      <c r="H37154" s="83"/>
      <c r="K37154" s="82"/>
      <c r="M37154" s="112"/>
      <c r="N37154" s="84"/>
    </row>
    <row r="37155" spans="1:14" s="2" customFormat="1">
      <c r="A37155" s="83"/>
      <c r="H37155" s="83"/>
      <c r="K37155" s="82"/>
      <c r="M37155" s="112"/>
      <c r="N37155" s="84"/>
    </row>
    <row r="37156" spans="1:14" s="2" customFormat="1">
      <c r="A37156" s="83"/>
      <c r="H37156" s="83"/>
      <c r="K37156" s="82"/>
      <c r="M37156" s="112"/>
      <c r="N37156" s="84"/>
    </row>
    <row r="37157" spans="1:14" s="2" customFormat="1">
      <c r="A37157" s="83"/>
      <c r="H37157" s="83"/>
      <c r="K37157" s="82"/>
      <c r="M37157" s="112"/>
      <c r="N37157" s="84"/>
    </row>
    <row r="37158" spans="1:14" s="2" customFormat="1">
      <c r="A37158" s="83"/>
      <c r="H37158" s="83"/>
      <c r="K37158" s="82"/>
      <c r="M37158" s="112"/>
      <c r="N37158" s="84"/>
    </row>
    <row r="37159" spans="1:14" s="2" customFormat="1">
      <c r="A37159" s="83"/>
      <c r="H37159" s="83"/>
      <c r="K37159" s="82"/>
      <c r="M37159" s="112"/>
      <c r="N37159" s="84"/>
    </row>
    <row r="37160" spans="1:14" s="2" customFormat="1">
      <c r="A37160" s="83"/>
      <c r="H37160" s="83"/>
      <c r="K37160" s="82"/>
      <c r="M37160" s="112"/>
      <c r="N37160" s="84"/>
    </row>
    <row r="37161" spans="1:14" s="2" customFormat="1">
      <c r="A37161" s="83"/>
      <c r="H37161" s="83"/>
      <c r="K37161" s="82"/>
      <c r="M37161" s="112"/>
      <c r="N37161" s="84"/>
    </row>
    <row r="37162" spans="1:14" s="2" customFormat="1">
      <c r="A37162" s="83"/>
      <c r="H37162" s="83"/>
      <c r="K37162" s="82"/>
      <c r="M37162" s="112"/>
      <c r="N37162" s="84"/>
    </row>
    <row r="37163" spans="1:14" s="2" customFormat="1">
      <c r="A37163" s="83"/>
      <c r="H37163" s="83"/>
      <c r="K37163" s="82"/>
      <c r="M37163" s="112"/>
      <c r="N37163" s="84"/>
    </row>
    <row r="37164" spans="1:14" s="2" customFormat="1">
      <c r="A37164" s="83"/>
      <c r="H37164" s="83"/>
      <c r="K37164" s="82"/>
      <c r="M37164" s="112"/>
      <c r="N37164" s="84"/>
    </row>
    <row r="37165" spans="1:14" s="2" customFormat="1">
      <c r="A37165" s="83"/>
      <c r="H37165" s="83"/>
      <c r="K37165" s="82"/>
      <c r="M37165" s="112"/>
      <c r="N37165" s="84"/>
    </row>
    <row r="37166" spans="1:14" s="2" customFormat="1">
      <c r="A37166" s="83"/>
      <c r="H37166" s="83"/>
      <c r="K37166" s="82"/>
      <c r="M37166" s="112"/>
      <c r="N37166" s="84"/>
    </row>
    <row r="37167" spans="1:14" s="2" customFormat="1">
      <c r="A37167" s="83"/>
      <c r="H37167" s="83"/>
      <c r="K37167" s="82"/>
      <c r="M37167" s="112"/>
      <c r="N37167" s="84"/>
    </row>
    <row r="37168" spans="1:14" s="2" customFormat="1">
      <c r="A37168" s="83"/>
      <c r="H37168" s="83"/>
      <c r="K37168" s="82"/>
      <c r="M37168" s="112"/>
      <c r="N37168" s="84"/>
    </row>
    <row r="37169" spans="1:14" s="2" customFormat="1">
      <c r="A37169" s="83"/>
      <c r="H37169" s="83"/>
      <c r="K37169" s="82"/>
      <c r="M37169" s="112"/>
      <c r="N37169" s="84"/>
    </row>
    <row r="37170" spans="1:14" s="2" customFormat="1">
      <c r="A37170" s="83"/>
      <c r="H37170" s="83"/>
      <c r="K37170" s="82"/>
      <c r="M37170" s="112"/>
      <c r="N37170" s="84"/>
    </row>
    <row r="37171" spans="1:14" s="2" customFormat="1">
      <c r="A37171" s="83"/>
      <c r="H37171" s="83"/>
      <c r="K37171" s="82"/>
      <c r="M37171" s="112"/>
      <c r="N37171" s="84"/>
    </row>
    <row r="37172" spans="1:14" s="2" customFormat="1">
      <c r="A37172" s="83"/>
      <c r="H37172" s="83"/>
      <c r="K37172" s="82"/>
      <c r="M37172" s="112"/>
      <c r="N37172" s="84"/>
    </row>
    <row r="37173" spans="1:14" s="2" customFormat="1">
      <c r="A37173" s="83"/>
      <c r="H37173" s="83"/>
      <c r="K37173" s="82"/>
      <c r="M37173" s="112"/>
      <c r="N37173" s="84"/>
    </row>
    <row r="37174" spans="1:14" s="2" customFormat="1">
      <c r="A37174" s="83"/>
      <c r="H37174" s="83"/>
      <c r="K37174" s="82"/>
      <c r="M37174" s="112"/>
      <c r="N37174" s="84"/>
    </row>
    <row r="37175" spans="1:14" s="2" customFormat="1">
      <c r="A37175" s="83"/>
      <c r="H37175" s="83"/>
      <c r="K37175" s="82"/>
      <c r="M37175" s="112"/>
      <c r="N37175" s="84"/>
    </row>
    <row r="37176" spans="1:14" s="2" customFormat="1">
      <c r="A37176" s="83"/>
      <c r="H37176" s="83"/>
      <c r="K37176" s="82"/>
      <c r="M37176" s="112"/>
      <c r="N37176" s="84"/>
    </row>
    <row r="37177" spans="1:14" s="2" customFormat="1">
      <c r="A37177" s="83"/>
      <c r="H37177" s="83"/>
      <c r="K37177" s="82"/>
      <c r="M37177" s="112"/>
      <c r="N37177" s="84"/>
    </row>
    <row r="37178" spans="1:14" s="2" customFormat="1">
      <c r="A37178" s="83"/>
      <c r="H37178" s="83"/>
      <c r="K37178" s="82"/>
      <c r="M37178" s="112"/>
      <c r="N37178" s="84"/>
    </row>
    <row r="37179" spans="1:14" s="2" customFormat="1">
      <c r="A37179" s="83"/>
      <c r="H37179" s="83"/>
      <c r="K37179" s="82"/>
      <c r="M37179" s="112"/>
      <c r="N37179" s="84"/>
    </row>
    <row r="37180" spans="1:14" s="2" customFormat="1">
      <c r="A37180" s="83"/>
      <c r="H37180" s="83"/>
      <c r="K37180" s="82"/>
      <c r="M37180" s="112"/>
      <c r="N37180" s="84"/>
    </row>
    <row r="37181" spans="1:14" s="2" customFormat="1">
      <c r="A37181" s="83"/>
      <c r="H37181" s="83"/>
      <c r="K37181" s="82"/>
      <c r="M37181" s="112"/>
      <c r="N37181" s="84"/>
    </row>
    <row r="37182" spans="1:14" s="2" customFormat="1">
      <c r="A37182" s="83"/>
      <c r="H37182" s="83"/>
      <c r="K37182" s="82"/>
      <c r="M37182" s="112"/>
      <c r="N37182" s="84"/>
    </row>
    <row r="37183" spans="1:14" s="2" customFormat="1">
      <c r="A37183" s="83"/>
      <c r="H37183" s="83"/>
      <c r="K37183" s="82"/>
      <c r="M37183" s="112"/>
      <c r="N37183" s="84"/>
    </row>
    <row r="37184" spans="1:14" s="2" customFormat="1">
      <c r="A37184" s="83"/>
      <c r="H37184" s="83"/>
      <c r="K37184" s="82"/>
      <c r="M37184" s="112"/>
      <c r="N37184" s="84"/>
    </row>
    <row r="37185" spans="1:14" s="2" customFormat="1">
      <c r="A37185" s="83"/>
      <c r="H37185" s="83"/>
      <c r="K37185" s="82"/>
      <c r="M37185" s="112"/>
      <c r="N37185" s="84"/>
    </row>
    <row r="37186" spans="1:14" s="2" customFormat="1">
      <c r="A37186" s="83"/>
      <c r="H37186" s="83"/>
      <c r="K37186" s="82"/>
      <c r="M37186" s="112"/>
      <c r="N37186" s="84"/>
    </row>
    <row r="37187" spans="1:14" s="2" customFormat="1">
      <c r="A37187" s="83"/>
      <c r="H37187" s="83"/>
      <c r="K37187" s="82"/>
      <c r="M37187" s="112"/>
      <c r="N37187" s="84"/>
    </row>
    <row r="37188" spans="1:14" s="2" customFormat="1">
      <c r="A37188" s="83"/>
      <c r="H37188" s="83"/>
      <c r="K37188" s="82"/>
      <c r="M37188" s="112"/>
      <c r="N37188" s="84"/>
    </row>
    <row r="37189" spans="1:14" s="2" customFormat="1">
      <c r="A37189" s="83"/>
      <c r="H37189" s="83"/>
      <c r="K37189" s="82"/>
      <c r="M37189" s="112"/>
      <c r="N37189" s="84"/>
    </row>
    <row r="37190" spans="1:14" s="2" customFormat="1">
      <c r="A37190" s="83"/>
      <c r="H37190" s="83"/>
      <c r="K37190" s="82"/>
      <c r="M37190" s="112"/>
      <c r="N37190" s="84"/>
    </row>
    <row r="37191" spans="1:14" s="2" customFormat="1">
      <c r="A37191" s="83"/>
      <c r="H37191" s="83"/>
      <c r="K37191" s="82"/>
      <c r="M37191" s="112"/>
      <c r="N37191" s="84"/>
    </row>
    <row r="37192" spans="1:14" s="2" customFormat="1">
      <c r="A37192" s="83"/>
      <c r="H37192" s="83"/>
      <c r="K37192" s="82"/>
      <c r="M37192" s="112"/>
      <c r="N37192" s="84"/>
    </row>
    <row r="37193" spans="1:14" s="2" customFormat="1">
      <c r="A37193" s="83"/>
      <c r="H37193" s="83"/>
      <c r="K37193" s="82"/>
      <c r="M37193" s="112"/>
      <c r="N37193" s="84"/>
    </row>
    <row r="37194" spans="1:14" s="2" customFormat="1">
      <c r="A37194" s="83"/>
      <c r="H37194" s="83"/>
      <c r="K37194" s="82"/>
      <c r="M37194" s="112"/>
      <c r="N37194" s="84"/>
    </row>
    <row r="37195" spans="1:14" s="2" customFormat="1">
      <c r="A37195" s="83"/>
      <c r="H37195" s="83"/>
      <c r="K37195" s="82"/>
      <c r="M37195" s="112"/>
      <c r="N37195" s="84"/>
    </row>
    <row r="37196" spans="1:14" s="2" customFormat="1">
      <c r="A37196" s="83"/>
      <c r="H37196" s="83"/>
      <c r="K37196" s="82"/>
      <c r="M37196" s="112"/>
      <c r="N37196" s="84"/>
    </row>
    <row r="37197" spans="1:14" s="2" customFormat="1">
      <c r="A37197" s="83"/>
      <c r="H37197" s="83"/>
      <c r="K37197" s="82"/>
      <c r="M37197" s="112"/>
      <c r="N37197" s="84"/>
    </row>
    <row r="37198" spans="1:14" s="2" customFormat="1">
      <c r="A37198" s="83"/>
      <c r="H37198" s="83"/>
      <c r="K37198" s="82"/>
      <c r="M37198" s="112"/>
      <c r="N37198" s="84"/>
    </row>
    <row r="37199" spans="1:14" s="2" customFormat="1">
      <c r="A37199" s="83"/>
      <c r="H37199" s="83"/>
      <c r="K37199" s="82"/>
      <c r="M37199" s="112"/>
      <c r="N37199" s="84"/>
    </row>
    <row r="37200" spans="1:14" s="2" customFormat="1">
      <c r="A37200" s="83"/>
      <c r="H37200" s="83"/>
      <c r="K37200" s="82"/>
      <c r="M37200" s="112"/>
      <c r="N37200" s="84"/>
    </row>
    <row r="37201" spans="1:14" s="2" customFormat="1">
      <c r="A37201" s="83"/>
      <c r="H37201" s="83"/>
      <c r="K37201" s="82"/>
      <c r="M37201" s="112"/>
      <c r="N37201" s="84"/>
    </row>
    <row r="37202" spans="1:14" s="2" customFormat="1">
      <c r="A37202" s="83"/>
      <c r="H37202" s="83"/>
      <c r="K37202" s="82"/>
      <c r="M37202" s="112"/>
      <c r="N37202" s="84"/>
    </row>
    <row r="37203" spans="1:14" s="2" customFormat="1">
      <c r="A37203" s="83"/>
      <c r="H37203" s="83"/>
      <c r="K37203" s="82"/>
      <c r="M37203" s="112"/>
      <c r="N37203" s="84"/>
    </row>
    <row r="37204" spans="1:14" s="2" customFormat="1">
      <c r="A37204" s="83"/>
      <c r="H37204" s="83"/>
      <c r="K37204" s="82"/>
      <c r="M37204" s="112"/>
      <c r="N37204" s="84"/>
    </row>
    <row r="37205" spans="1:14" s="2" customFormat="1">
      <c r="A37205" s="83"/>
      <c r="H37205" s="83"/>
      <c r="K37205" s="82"/>
      <c r="M37205" s="112"/>
      <c r="N37205" s="84"/>
    </row>
    <row r="37206" spans="1:14" s="2" customFormat="1">
      <c r="A37206" s="83"/>
      <c r="H37206" s="83"/>
      <c r="K37206" s="82"/>
      <c r="M37206" s="112"/>
      <c r="N37206" s="84"/>
    </row>
    <row r="37207" spans="1:14" s="2" customFormat="1">
      <c r="A37207" s="83"/>
      <c r="H37207" s="83"/>
      <c r="K37207" s="82"/>
      <c r="M37207" s="112"/>
      <c r="N37207" s="84"/>
    </row>
    <row r="37208" spans="1:14" s="2" customFormat="1">
      <c r="A37208" s="83"/>
      <c r="H37208" s="83"/>
      <c r="K37208" s="82"/>
      <c r="M37208" s="112"/>
      <c r="N37208" s="84"/>
    </row>
    <row r="37209" spans="1:14" s="2" customFormat="1">
      <c r="A37209" s="83"/>
      <c r="H37209" s="83"/>
      <c r="K37209" s="82"/>
      <c r="M37209" s="112"/>
      <c r="N37209" s="84"/>
    </row>
    <row r="37210" spans="1:14" s="2" customFormat="1">
      <c r="A37210" s="83"/>
      <c r="H37210" s="83"/>
      <c r="K37210" s="82"/>
      <c r="M37210" s="112"/>
      <c r="N37210" s="84"/>
    </row>
    <row r="37211" spans="1:14" s="2" customFormat="1">
      <c r="A37211" s="83"/>
      <c r="H37211" s="83"/>
      <c r="K37211" s="82"/>
      <c r="M37211" s="112"/>
      <c r="N37211" s="84"/>
    </row>
    <row r="37212" spans="1:14" s="2" customFormat="1">
      <c r="A37212" s="83"/>
      <c r="H37212" s="83"/>
      <c r="K37212" s="82"/>
      <c r="M37212" s="112"/>
      <c r="N37212" s="84"/>
    </row>
    <row r="37213" spans="1:14" s="2" customFormat="1">
      <c r="A37213" s="83"/>
      <c r="H37213" s="83"/>
      <c r="K37213" s="82"/>
      <c r="M37213" s="112"/>
      <c r="N37213" s="84"/>
    </row>
    <row r="37214" spans="1:14" s="2" customFormat="1">
      <c r="A37214" s="83"/>
      <c r="H37214" s="83"/>
      <c r="K37214" s="82"/>
      <c r="M37214" s="112"/>
      <c r="N37214" s="84"/>
    </row>
    <row r="37215" spans="1:14" s="2" customFormat="1">
      <c r="A37215" s="83"/>
      <c r="H37215" s="83"/>
      <c r="K37215" s="82"/>
      <c r="M37215" s="112"/>
      <c r="N37215" s="84"/>
    </row>
    <row r="37216" spans="1:14" s="2" customFormat="1">
      <c r="A37216" s="83"/>
      <c r="H37216" s="83"/>
      <c r="K37216" s="82"/>
      <c r="M37216" s="112"/>
      <c r="N37216" s="84"/>
    </row>
    <row r="37217" spans="1:14" s="2" customFormat="1">
      <c r="A37217" s="83"/>
      <c r="H37217" s="83"/>
      <c r="K37217" s="82"/>
      <c r="M37217" s="112"/>
      <c r="N37217" s="84"/>
    </row>
    <row r="37218" spans="1:14" s="2" customFormat="1">
      <c r="A37218" s="83"/>
      <c r="H37218" s="83"/>
      <c r="K37218" s="82"/>
      <c r="M37218" s="112"/>
      <c r="N37218" s="84"/>
    </row>
    <row r="37219" spans="1:14" s="2" customFormat="1">
      <c r="A37219" s="83"/>
      <c r="H37219" s="83"/>
      <c r="K37219" s="82"/>
      <c r="M37219" s="112"/>
      <c r="N37219" s="84"/>
    </row>
    <row r="37220" spans="1:14" s="2" customFormat="1">
      <c r="A37220" s="83"/>
      <c r="H37220" s="83"/>
      <c r="K37220" s="82"/>
      <c r="M37220" s="112"/>
      <c r="N37220" s="84"/>
    </row>
    <row r="37221" spans="1:14" s="2" customFormat="1">
      <c r="A37221" s="83"/>
      <c r="H37221" s="83"/>
      <c r="K37221" s="82"/>
      <c r="M37221" s="112"/>
      <c r="N37221" s="84"/>
    </row>
    <row r="37222" spans="1:14" s="2" customFormat="1">
      <c r="A37222" s="83"/>
      <c r="H37222" s="83"/>
      <c r="K37222" s="82"/>
      <c r="M37222" s="112"/>
      <c r="N37222" s="84"/>
    </row>
    <row r="37223" spans="1:14" s="2" customFormat="1">
      <c r="A37223" s="83"/>
      <c r="H37223" s="83"/>
      <c r="K37223" s="82"/>
      <c r="M37223" s="112"/>
      <c r="N37223" s="84"/>
    </row>
    <row r="37224" spans="1:14" s="2" customFormat="1">
      <c r="A37224" s="83"/>
      <c r="H37224" s="83"/>
      <c r="K37224" s="82"/>
      <c r="M37224" s="112"/>
      <c r="N37224" s="84"/>
    </row>
    <row r="37225" spans="1:14" s="2" customFormat="1">
      <c r="A37225" s="83"/>
      <c r="H37225" s="83"/>
      <c r="K37225" s="82"/>
      <c r="M37225" s="112"/>
      <c r="N37225" s="84"/>
    </row>
    <row r="37226" spans="1:14" s="2" customFormat="1">
      <c r="A37226" s="83"/>
      <c r="H37226" s="83"/>
      <c r="K37226" s="82"/>
      <c r="M37226" s="112"/>
      <c r="N37226" s="84"/>
    </row>
    <row r="37227" spans="1:14" s="2" customFormat="1">
      <c r="A37227" s="83"/>
      <c r="H37227" s="83"/>
      <c r="K37227" s="82"/>
      <c r="M37227" s="112"/>
      <c r="N37227" s="84"/>
    </row>
    <row r="37228" spans="1:14" s="2" customFormat="1">
      <c r="A37228" s="83"/>
      <c r="H37228" s="83"/>
      <c r="K37228" s="82"/>
      <c r="M37228" s="112"/>
      <c r="N37228" s="84"/>
    </row>
    <row r="37229" spans="1:14" s="2" customFormat="1">
      <c r="A37229" s="83"/>
      <c r="H37229" s="83"/>
      <c r="K37229" s="82"/>
      <c r="M37229" s="112"/>
      <c r="N37229" s="84"/>
    </row>
    <row r="37230" spans="1:14" s="2" customFormat="1">
      <c r="A37230" s="83"/>
      <c r="H37230" s="83"/>
      <c r="K37230" s="82"/>
      <c r="M37230" s="112"/>
      <c r="N37230" s="84"/>
    </row>
    <row r="37231" spans="1:14" s="2" customFormat="1">
      <c r="A37231" s="83"/>
      <c r="H37231" s="83"/>
      <c r="K37231" s="82"/>
      <c r="M37231" s="112"/>
      <c r="N37231" s="84"/>
    </row>
    <row r="37232" spans="1:14" s="2" customFormat="1">
      <c r="A37232" s="83"/>
      <c r="H37232" s="83"/>
      <c r="K37232" s="82"/>
      <c r="M37232" s="112"/>
      <c r="N37232" s="84"/>
    </row>
    <row r="37233" spans="1:14" s="2" customFormat="1">
      <c r="A37233" s="83"/>
      <c r="H37233" s="83"/>
      <c r="K37233" s="82"/>
      <c r="M37233" s="112"/>
      <c r="N37233" s="84"/>
    </row>
    <row r="37234" spans="1:14" s="2" customFormat="1">
      <c r="A37234" s="83"/>
      <c r="H37234" s="83"/>
      <c r="K37234" s="82"/>
      <c r="M37234" s="112"/>
      <c r="N37234" s="84"/>
    </row>
    <row r="37235" spans="1:14" s="2" customFormat="1">
      <c r="A37235" s="83"/>
      <c r="H37235" s="83"/>
      <c r="K37235" s="82"/>
      <c r="M37235" s="112"/>
      <c r="N37235" s="84"/>
    </row>
    <row r="37236" spans="1:14" s="2" customFormat="1">
      <c r="A37236" s="83"/>
      <c r="H37236" s="83"/>
      <c r="K37236" s="82"/>
      <c r="M37236" s="112"/>
      <c r="N37236" s="84"/>
    </row>
    <row r="37237" spans="1:14" s="2" customFormat="1">
      <c r="A37237" s="83"/>
      <c r="H37237" s="83"/>
      <c r="K37237" s="82"/>
      <c r="M37237" s="112"/>
      <c r="N37237" s="84"/>
    </row>
    <row r="37238" spans="1:14" s="2" customFormat="1">
      <c r="A37238" s="83"/>
      <c r="H37238" s="83"/>
      <c r="K37238" s="82"/>
      <c r="M37238" s="112"/>
      <c r="N37238" s="84"/>
    </row>
    <row r="37239" spans="1:14" s="2" customFormat="1">
      <c r="A37239" s="83"/>
      <c r="H37239" s="83"/>
      <c r="K37239" s="82"/>
      <c r="M37239" s="112"/>
      <c r="N37239" s="84"/>
    </row>
    <row r="37240" spans="1:14" s="2" customFormat="1">
      <c r="A37240" s="83"/>
      <c r="H37240" s="83"/>
      <c r="K37240" s="82"/>
      <c r="M37240" s="112"/>
      <c r="N37240" s="84"/>
    </row>
    <row r="37241" spans="1:14" s="2" customFormat="1">
      <c r="A37241" s="83"/>
      <c r="H37241" s="83"/>
      <c r="K37241" s="82"/>
      <c r="M37241" s="112"/>
      <c r="N37241" s="84"/>
    </row>
    <row r="37242" spans="1:14" s="2" customFormat="1">
      <c r="A37242" s="83"/>
      <c r="H37242" s="83"/>
      <c r="K37242" s="82"/>
      <c r="M37242" s="112"/>
      <c r="N37242" s="84"/>
    </row>
    <row r="37243" spans="1:14" s="2" customFormat="1">
      <c r="A37243" s="83"/>
      <c r="H37243" s="83"/>
      <c r="K37243" s="82"/>
      <c r="M37243" s="112"/>
      <c r="N37243" s="84"/>
    </row>
    <row r="37244" spans="1:14" s="2" customFormat="1">
      <c r="A37244" s="83"/>
      <c r="H37244" s="83"/>
      <c r="K37244" s="82"/>
      <c r="M37244" s="112"/>
      <c r="N37244" s="84"/>
    </row>
    <row r="37245" spans="1:14" s="2" customFormat="1">
      <c r="A37245" s="83"/>
      <c r="H37245" s="83"/>
      <c r="K37245" s="82"/>
      <c r="M37245" s="112"/>
      <c r="N37245" s="84"/>
    </row>
    <row r="37246" spans="1:14" s="2" customFormat="1">
      <c r="A37246" s="83"/>
      <c r="H37246" s="83"/>
      <c r="K37246" s="82"/>
      <c r="M37246" s="112"/>
      <c r="N37246" s="84"/>
    </row>
    <row r="37247" spans="1:14" s="2" customFormat="1">
      <c r="A37247" s="83"/>
      <c r="H37247" s="83"/>
      <c r="K37247" s="82"/>
      <c r="M37247" s="112"/>
      <c r="N37247" s="84"/>
    </row>
    <row r="37248" spans="1:14" s="2" customFormat="1">
      <c r="A37248" s="83"/>
      <c r="H37248" s="83"/>
      <c r="K37248" s="82"/>
      <c r="M37248" s="112"/>
      <c r="N37248" s="84"/>
    </row>
    <row r="37249" spans="1:14" s="2" customFormat="1">
      <c r="A37249" s="83"/>
      <c r="H37249" s="83"/>
      <c r="K37249" s="82"/>
      <c r="M37249" s="112"/>
      <c r="N37249" s="84"/>
    </row>
    <row r="37250" spans="1:14" s="2" customFormat="1">
      <c r="A37250" s="83"/>
      <c r="H37250" s="83"/>
      <c r="K37250" s="82"/>
      <c r="M37250" s="112"/>
      <c r="N37250" s="84"/>
    </row>
    <row r="37251" spans="1:14" s="2" customFormat="1">
      <c r="A37251" s="83"/>
      <c r="H37251" s="83"/>
      <c r="K37251" s="82"/>
      <c r="M37251" s="112"/>
      <c r="N37251" s="84"/>
    </row>
    <row r="37252" spans="1:14" s="2" customFormat="1">
      <c r="A37252" s="83"/>
      <c r="H37252" s="83"/>
      <c r="K37252" s="82"/>
      <c r="M37252" s="112"/>
      <c r="N37252" s="84"/>
    </row>
    <row r="37253" spans="1:14" s="2" customFormat="1">
      <c r="A37253" s="83"/>
      <c r="H37253" s="83"/>
      <c r="K37253" s="82"/>
      <c r="M37253" s="112"/>
      <c r="N37253" s="84"/>
    </row>
    <row r="37254" spans="1:14" s="2" customFormat="1">
      <c r="A37254" s="83"/>
      <c r="H37254" s="83"/>
      <c r="K37254" s="82"/>
      <c r="M37254" s="112"/>
      <c r="N37254" s="84"/>
    </row>
    <row r="37255" spans="1:14" s="2" customFormat="1">
      <c r="A37255" s="83"/>
      <c r="H37255" s="83"/>
      <c r="K37255" s="82"/>
      <c r="M37255" s="112"/>
      <c r="N37255" s="84"/>
    </row>
    <row r="37256" spans="1:14" s="2" customFormat="1">
      <c r="A37256" s="83"/>
      <c r="H37256" s="83"/>
      <c r="K37256" s="82"/>
      <c r="M37256" s="112"/>
      <c r="N37256" s="84"/>
    </row>
    <row r="37257" spans="1:14" s="2" customFormat="1">
      <c r="A37257" s="83"/>
      <c r="H37257" s="83"/>
      <c r="K37257" s="82"/>
      <c r="M37257" s="112"/>
      <c r="N37257" s="84"/>
    </row>
    <row r="37258" spans="1:14" s="2" customFormat="1">
      <c r="A37258" s="83"/>
      <c r="H37258" s="83"/>
      <c r="K37258" s="82"/>
      <c r="M37258" s="112"/>
      <c r="N37258" s="84"/>
    </row>
    <row r="37259" spans="1:14" s="2" customFormat="1">
      <c r="A37259" s="83"/>
      <c r="H37259" s="83"/>
      <c r="K37259" s="82"/>
      <c r="M37259" s="112"/>
      <c r="N37259" s="84"/>
    </row>
    <row r="37260" spans="1:14" s="2" customFormat="1">
      <c r="A37260" s="83"/>
      <c r="H37260" s="83"/>
      <c r="K37260" s="82"/>
      <c r="M37260" s="112"/>
      <c r="N37260" s="84"/>
    </row>
    <row r="37261" spans="1:14" s="2" customFormat="1">
      <c r="A37261" s="83"/>
      <c r="H37261" s="83"/>
      <c r="K37261" s="82"/>
      <c r="M37261" s="112"/>
      <c r="N37261" s="84"/>
    </row>
    <row r="37262" spans="1:14" s="2" customFormat="1">
      <c r="A37262" s="83"/>
      <c r="H37262" s="83"/>
      <c r="K37262" s="82"/>
      <c r="M37262" s="112"/>
      <c r="N37262" s="84"/>
    </row>
    <row r="37263" spans="1:14" s="2" customFormat="1">
      <c r="A37263" s="83"/>
      <c r="H37263" s="83"/>
      <c r="K37263" s="82"/>
      <c r="M37263" s="112"/>
      <c r="N37263" s="84"/>
    </row>
    <row r="37264" spans="1:14" s="2" customFormat="1">
      <c r="A37264" s="83"/>
      <c r="H37264" s="83"/>
      <c r="K37264" s="82"/>
      <c r="M37264" s="112"/>
      <c r="N37264" s="84"/>
    </row>
    <row r="37265" spans="1:14" s="2" customFormat="1">
      <c r="A37265" s="83"/>
      <c r="H37265" s="83"/>
      <c r="K37265" s="82"/>
      <c r="M37265" s="112"/>
      <c r="N37265" s="84"/>
    </row>
    <row r="37266" spans="1:14" s="2" customFormat="1">
      <c r="A37266" s="83"/>
      <c r="H37266" s="83"/>
      <c r="K37266" s="82"/>
      <c r="M37266" s="112"/>
      <c r="N37266" s="84"/>
    </row>
    <row r="37267" spans="1:14" s="2" customFormat="1">
      <c r="A37267" s="83"/>
      <c r="H37267" s="83"/>
      <c r="K37267" s="82"/>
      <c r="M37267" s="112"/>
      <c r="N37267" s="84"/>
    </row>
    <row r="37268" spans="1:14" s="2" customFormat="1">
      <c r="A37268" s="83"/>
      <c r="H37268" s="83"/>
      <c r="K37268" s="82"/>
      <c r="M37268" s="112"/>
      <c r="N37268" s="84"/>
    </row>
    <row r="37269" spans="1:14" s="2" customFormat="1">
      <c r="A37269" s="83"/>
      <c r="H37269" s="83"/>
      <c r="K37269" s="82"/>
      <c r="M37269" s="112"/>
      <c r="N37269" s="84"/>
    </row>
    <row r="37270" spans="1:14" s="2" customFormat="1">
      <c r="A37270" s="83"/>
      <c r="H37270" s="83"/>
      <c r="K37270" s="82"/>
      <c r="M37270" s="112"/>
      <c r="N37270" s="84"/>
    </row>
    <row r="37271" spans="1:14" s="2" customFormat="1">
      <c r="A37271" s="83"/>
      <c r="H37271" s="83"/>
      <c r="K37271" s="82"/>
      <c r="M37271" s="112"/>
      <c r="N37271" s="84"/>
    </row>
    <row r="37272" spans="1:14" s="2" customFormat="1">
      <c r="A37272" s="83"/>
      <c r="H37272" s="83"/>
      <c r="K37272" s="82"/>
      <c r="M37272" s="112"/>
      <c r="N37272" s="84"/>
    </row>
    <row r="37273" spans="1:14" s="2" customFormat="1">
      <c r="A37273" s="83"/>
      <c r="H37273" s="83"/>
      <c r="K37273" s="82"/>
      <c r="M37273" s="112"/>
      <c r="N37273" s="84"/>
    </row>
    <row r="37274" spans="1:14" s="2" customFormat="1">
      <c r="A37274" s="83"/>
      <c r="H37274" s="83"/>
      <c r="K37274" s="82"/>
      <c r="M37274" s="112"/>
      <c r="N37274" s="84"/>
    </row>
    <row r="37275" spans="1:14" s="2" customFormat="1">
      <c r="A37275" s="83"/>
      <c r="H37275" s="83"/>
      <c r="K37275" s="82"/>
      <c r="M37275" s="112"/>
      <c r="N37275" s="84"/>
    </row>
    <row r="37276" spans="1:14" s="2" customFormat="1">
      <c r="A37276" s="83"/>
      <c r="H37276" s="83"/>
      <c r="K37276" s="82"/>
      <c r="M37276" s="112"/>
      <c r="N37276" s="84"/>
    </row>
    <row r="37277" spans="1:14" s="2" customFormat="1">
      <c r="A37277" s="83"/>
      <c r="H37277" s="83"/>
      <c r="K37277" s="82"/>
      <c r="M37277" s="112"/>
      <c r="N37277" s="84"/>
    </row>
    <row r="37278" spans="1:14" s="2" customFormat="1">
      <c r="A37278" s="83"/>
      <c r="H37278" s="83"/>
      <c r="K37278" s="82"/>
      <c r="M37278" s="112"/>
      <c r="N37278" s="84"/>
    </row>
    <row r="37279" spans="1:14" s="2" customFormat="1">
      <c r="A37279" s="83"/>
      <c r="H37279" s="83"/>
      <c r="K37279" s="82"/>
      <c r="M37279" s="112"/>
      <c r="N37279" s="84"/>
    </row>
    <row r="37280" spans="1:14" s="2" customFormat="1">
      <c r="A37280" s="83"/>
      <c r="H37280" s="83"/>
      <c r="K37280" s="82"/>
      <c r="M37280" s="112"/>
      <c r="N37280" s="84"/>
    </row>
    <row r="37281" spans="1:14" s="2" customFormat="1">
      <c r="A37281" s="83"/>
      <c r="H37281" s="83"/>
      <c r="K37281" s="82"/>
      <c r="M37281" s="112"/>
      <c r="N37281" s="84"/>
    </row>
    <row r="37282" spans="1:14" s="2" customFormat="1">
      <c r="A37282" s="83"/>
      <c r="H37282" s="83"/>
      <c r="K37282" s="82"/>
      <c r="M37282" s="112"/>
      <c r="N37282" s="84"/>
    </row>
    <row r="37283" spans="1:14" s="2" customFormat="1">
      <c r="A37283" s="83"/>
      <c r="H37283" s="83"/>
      <c r="K37283" s="82"/>
      <c r="M37283" s="112"/>
      <c r="N37283" s="84"/>
    </row>
    <row r="37284" spans="1:14" s="2" customFormat="1">
      <c r="A37284" s="83"/>
      <c r="H37284" s="83"/>
      <c r="K37284" s="82"/>
      <c r="M37284" s="112"/>
      <c r="N37284" s="84"/>
    </row>
    <row r="37285" spans="1:14" s="2" customFormat="1">
      <c r="A37285" s="83"/>
      <c r="H37285" s="83"/>
      <c r="K37285" s="82"/>
      <c r="M37285" s="112"/>
      <c r="N37285" s="84"/>
    </row>
    <row r="37286" spans="1:14" s="2" customFormat="1">
      <c r="A37286" s="83"/>
      <c r="H37286" s="83"/>
      <c r="K37286" s="82"/>
      <c r="M37286" s="112"/>
      <c r="N37286" s="84"/>
    </row>
    <row r="37287" spans="1:14" s="2" customFormat="1">
      <c r="A37287" s="83"/>
      <c r="H37287" s="83"/>
      <c r="K37287" s="82"/>
      <c r="M37287" s="112"/>
      <c r="N37287" s="84"/>
    </row>
    <row r="37288" spans="1:14" s="2" customFormat="1">
      <c r="A37288" s="83"/>
      <c r="H37288" s="83"/>
      <c r="K37288" s="82"/>
      <c r="M37288" s="112"/>
      <c r="N37288" s="84"/>
    </row>
    <row r="37289" spans="1:14" s="2" customFormat="1">
      <c r="A37289" s="83"/>
      <c r="H37289" s="83"/>
      <c r="K37289" s="82"/>
      <c r="M37289" s="112"/>
      <c r="N37289" s="84"/>
    </row>
    <row r="37290" spans="1:14" s="2" customFormat="1">
      <c r="A37290" s="83"/>
      <c r="H37290" s="83"/>
      <c r="K37290" s="82"/>
      <c r="M37290" s="112"/>
      <c r="N37290" s="84"/>
    </row>
    <row r="37291" spans="1:14" s="2" customFormat="1">
      <c r="A37291" s="83"/>
      <c r="H37291" s="83"/>
      <c r="K37291" s="82"/>
      <c r="M37291" s="112"/>
      <c r="N37291" s="84"/>
    </row>
    <row r="37292" spans="1:14" s="2" customFormat="1">
      <c r="A37292" s="83"/>
      <c r="H37292" s="83"/>
      <c r="K37292" s="82"/>
      <c r="M37292" s="112"/>
      <c r="N37292" s="84"/>
    </row>
    <row r="37293" spans="1:14" s="2" customFormat="1">
      <c r="A37293" s="83"/>
      <c r="H37293" s="83"/>
      <c r="K37293" s="82"/>
      <c r="M37293" s="112"/>
      <c r="N37293" s="84"/>
    </row>
    <row r="37294" spans="1:14" s="2" customFormat="1">
      <c r="A37294" s="83"/>
      <c r="H37294" s="83"/>
      <c r="K37294" s="82"/>
      <c r="M37294" s="112"/>
      <c r="N37294" s="84"/>
    </row>
    <row r="37295" spans="1:14" s="2" customFormat="1">
      <c r="A37295" s="83"/>
      <c r="H37295" s="83"/>
      <c r="K37295" s="82"/>
      <c r="M37295" s="112"/>
      <c r="N37295" s="84"/>
    </row>
    <row r="37296" spans="1:14" s="2" customFormat="1">
      <c r="A37296" s="83"/>
      <c r="H37296" s="83"/>
      <c r="K37296" s="82"/>
      <c r="M37296" s="112"/>
      <c r="N37296" s="84"/>
    </row>
    <row r="37297" spans="1:14" s="2" customFormat="1">
      <c r="A37297" s="83"/>
      <c r="H37297" s="83"/>
      <c r="K37297" s="82"/>
      <c r="M37297" s="112"/>
      <c r="N37297" s="84"/>
    </row>
    <row r="37298" spans="1:14" s="2" customFormat="1">
      <c r="A37298" s="83"/>
      <c r="H37298" s="83"/>
      <c r="K37298" s="82"/>
      <c r="M37298" s="112"/>
      <c r="N37298" s="84"/>
    </row>
    <row r="37299" spans="1:14" s="2" customFormat="1">
      <c r="A37299" s="83"/>
      <c r="H37299" s="83"/>
      <c r="K37299" s="82"/>
      <c r="M37299" s="112"/>
      <c r="N37299" s="84"/>
    </row>
    <row r="37300" spans="1:14" s="2" customFormat="1">
      <c r="A37300" s="83"/>
      <c r="H37300" s="83"/>
      <c r="K37300" s="82"/>
      <c r="M37300" s="112"/>
      <c r="N37300" s="84"/>
    </row>
    <row r="37301" spans="1:14" s="2" customFormat="1">
      <c r="A37301" s="83"/>
      <c r="H37301" s="83"/>
      <c r="K37301" s="82"/>
      <c r="M37301" s="112"/>
      <c r="N37301" s="84"/>
    </row>
    <row r="37302" spans="1:14" s="2" customFormat="1">
      <c r="A37302" s="83"/>
      <c r="H37302" s="83"/>
      <c r="K37302" s="82"/>
      <c r="M37302" s="112"/>
      <c r="N37302" s="84"/>
    </row>
    <row r="37303" spans="1:14" s="2" customFormat="1">
      <c r="A37303" s="83"/>
      <c r="H37303" s="83"/>
      <c r="K37303" s="82"/>
      <c r="M37303" s="112"/>
      <c r="N37303" s="84"/>
    </row>
    <row r="37304" spans="1:14" s="2" customFormat="1">
      <c r="A37304" s="83"/>
      <c r="H37304" s="83"/>
      <c r="K37304" s="82"/>
      <c r="M37304" s="112"/>
      <c r="N37304" s="84"/>
    </row>
    <row r="37305" spans="1:14" s="2" customFormat="1">
      <c r="A37305" s="83"/>
      <c r="H37305" s="83"/>
      <c r="K37305" s="82"/>
      <c r="M37305" s="112"/>
      <c r="N37305" s="84"/>
    </row>
    <row r="37306" spans="1:14" s="2" customFormat="1">
      <c r="A37306" s="83"/>
      <c r="H37306" s="83"/>
      <c r="K37306" s="82"/>
      <c r="M37306" s="112"/>
      <c r="N37306" s="84"/>
    </row>
    <row r="37307" spans="1:14" s="2" customFormat="1">
      <c r="A37307" s="83"/>
      <c r="H37307" s="83"/>
      <c r="K37307" s="82"/>
      <c r="M37307" s="112"/>
      <c r="N37307" s="84"/>
    </row>
    <row r="37308" spans="1:14" s="2" customFormat="1">
      <c r="A37308" s="83"/>
      <c r="H37308" s="83"/>
      <c r="K37308" s="82"/>
      <c r="M37308" s="112"/>
      <c r="N37308" s="84"/>
    </row>
    <row r="37309" spans="1:14" s="2" customFormat="1">
      <c r="A37309" s="83"/>
      <c r="H37309" s="83"/>
      <c r="K37309" s="82"/>
      <c r="M37309" s="112"/>
      <c r="N37309" s="84"/>
    </row>
    <row r="37310" spans="1:14" s="2" customFormat="1">
      <c r="A37310" s="83"/>
      <c r="H37310" s="83"/>
      <c r="K37310" s="82"/>
      <c r="M37310" s="112"/>
      <c r="N37310" s="84"/>
    </row>
    <row r="37311" spans="1:14" s="2" customFormat="1">
      <c r="A37311" s="83"/>
      <c r="H37311" s="83"/>
      <c r="K37311" s="82"/>
      <c r="M37311" s="112"/>
      <c r="N37311" s="84"/>
    </row>
    <row r="37312" spans="1:14" s="2" customFormat="1">
      <c r="A37312" s="83"/>
      <c r="H37312" s="83"/>
      <c r="K37312" s="82"/>
      <c r="M37312" s="112"/>
      <c r="N37312" s="84"/>
    </row>
    <row r="37313" spans="1:14" s="2" customFormat="1">
      <c r="A37313" s="83"/>
      <c r="H37313" s="83"/>
      <c r="K37313" s="82"/>
      <c r="M37313" s="112"/>
      <c r="N37313" s="84"/>
    </row>
    <row r="37314" spans="1:14" s="2" customFormat="1">
      <c r="A37314" s="83"/>
      <c r="H37314" s="83"/>
      <c r="K37314" s="82"/>
      <c r="M37314" s="112"/>
      <c r="N37314" s="84"/>
    </row>
    <row r="37315" spans="1:14" s="2" customFormat="1">
      <c r="A37315" s="83"/>
      <c r="H37315" s="83"/>
      <c r="K37315" s="82"/>
      <c r="M37315" s="112"/>
      <c r="N37315" s="84"/>
    </row>
    <row r="37316" spans="1:14" s="2" customFormat="1">
      <c r="A37316" s="83"/>
      <c r="H37316" s="83"/>
      <c r="K37316" s="82"/>
      <c r="M37316" s="112"/>
      <c r="N37316" s="84"/>
    </row>
    <row r="37317" spans="1:14" s="2" customFormat="1">
      <c r="A37317" s="83"/>
      <c r="H37317" s="83"/>
      <c r="K37317" s="82"/>
      <c r="M37317" s="112"/>
      <c r="N37317" s="84"/>
    </row>
    <row r="37318" spans="1:14" s="2" customFormat="1">
      <c r="A37318" s="83"/>
      <c r="H37318" s="83"/>
      <c r="K37318" s="82"/>
      <c r="M37318" s="112"/>
      <c r="N37318" s="84"/>
    </row>
    <row r="37319" spans="1:14" s="2" customFormat="1">
      <c r="A37319" s="83"/>
      <c r="H37319" s="83"/>
      <c r="K37319" s="82"/>
      <c r="M37319" s="112"/>
      <c r="N37319" s="84"/>
    </row>
    <row r="37320" spans="1:14" s="2" customFormat="1">
      <c r="A37320" s="83"/>
      <c r="H37320" s="83"/>
      <c r="K37320" s="82"/>
      <c r="M37320" s="112"/>
      <c r="N37320" s="84"/>
    </row>
    <row r="37321" spans="1:14" s="2" customFormat="1">
      <c r="A37321" s="83"/>
      <c r="H37321" s="83"/>
      <c r="K37321" s="82"/>
      <c r="M37321" s="112"/>
      <c r="N37321" s="84"/>
    </row>
    <row r="37322" spans="1:14" s="2" customFormat="1">
      <c r="A37322" s="83"/>
      <c r="H37322" s="83"/>
      <c r="K37322" s="82"/>
      <c r="M37322" s="112"/>
      <c r="N37322" s="84"/>
    </row>
    <row r="37323" spans="1:14" s="2" customFormat="1">
      <c r="A37323" s="83"/>
      <c r="H37323" s="83"/>
      <c r="K37323" s="82"/>
      <c r="M37323" s="112"/>
      <c r="N37323" s="84"/>
    </row>
    <row r="37324" spans="1:14" s="2" customFormat="1">
      <c r="A37324" s="83"/>
      <c r="H37324" s="83"/>
      <c r="K37324" s="82"/>
      <c r="M37324" s="112"/>
      <c r="N37324" s="84"/>
    </row>
    <row r="37325" spans="1:14" s="2" customFormat="1">
      <c r="A37325" s="83"/>
      <c r="H37325" s="83"/>
      <c r="K37325" s="82"/>
      <c r="M37325" s="112"/>
      <c r="N37325" s="84"/>
    </row>
    <row r="37326" spans="1:14" s="2" customFormat="1">
      <c r="A37326" s="83"/>
      <c r="H37326" s="83"/>
      <c r="K37326" s="82"/>
      <c r="M37326" s="112"/>
      <c r="N37326" s="84"/>
    </row>
    <row r="37327" spans="1:14" s="2" customFormat="1">
      <c r="A37327" s="83"/>
      <c r="H37327" s="83"/>
      <c r="K37327" s="82"/>
      <c r="M37327" s="112"/>
      <c r="N37327" s="84"/>
    </row>
    <row r="37328" spans="1:14" s="2" customFormat="1">
      <c r="A37328" s="83"/>
      <c r="H37328" s="83"/>
      <c r="K37328" s="82"/>
      <c r="M37328" s="112"/>
      <c r="N37328" s="84"/>
    </row>
    <row r="37329" spans="1:14" s="2" customFormat="1">
      <c r="A37329" s="83"/>
      <c r="H37329" s="83"/>
      <c r="K37329" s="82"/>
      <c r="M37329" s="112"/>
      <c r="N37329" s="84"/>
    </row>
    <row r="37330" spans="1:14" s="2" customFormat="1">
      <c r="A37330" s="83"/>
      <c r="H37330" s="83"/>
      <c r="K37330" s="82"/>
      <c r="M37330" s="112"/>
      <c r="N37330" s="84"/>
    </row>
    <row r="37331" spans="1:14" s="2" customFormat="1">
      <c r="A37331" s="83"/>
      <c r="H37331" s="83"/>
      <c r="K37331" s="82"/>
      <c r="M37331" s="112"/>
      <c r="N37331" s="84"/>
    </row>
    <row r="37332" spans="1:14" s="2" customFormat="1">
      <c r="A37332" s="83"/>
      <c r="H37332" s="83"/>
      <c r="K37332" s="82"/>
      <c r="M37332" s="112"/>
      <c r="N37332" s="84"/>
    </row>
    <row r="37333" spans="1:14" s="2" customFormat="1">
      <c r="A37333" s="83"/>
      <c r="H37333" s="83"/>
      <c r="K37333" s="82"/>
      <c r="M37333" s="112"/>
      <c r="N37333" s="84"/>
    </row>
    <row r="37334" spans="1:14" s="2" customFormat="1">
      <c r="A37334" s="83"/>
      <c r="H37334" s="83"/>
      <c r="K37334" s="82"/>
      <c r="M37334" s="112"/>
      <c r="N37334" s="84"/>
    </row>
    <row r="37335" spans="1:14" s="2" customFormat="1">
      <c r="A37335" s="83"/>
      <c r="H37335" s="83"/>
      <c r="K37335" s="82"/>
      <c r="M37335" s="112"/>
      <c r="N37335" s="84"/>
    </row>
    <row r="37336" spans="1:14" s="2" customFormat="1">
      <c r="A37336" s="83"/>
      <c r="H37336" s="83"/>
      <c r="K37336" s="82"/>
      <c r="M37336" s="112"/>
      <c r="N37336" s="84"/>
    </row>
    <row r="37337" spans="1:14" s="2" customFormat="1">
      <c r="A37337" s="83"/>
      <c r="H37337" s="83"/>
      <c r="K37337" s="82"/>
      <c r="M37337" s="112"/>
      <c r="N37337" s="84"/>
    </row>
    <row r="37338" spans="1:14" s="2" customFormat="1">
      <c r="A37338" s="83"/>
      <c r="H37338" s="83"/>
      <c r="K37338" s="82"/>
      <c r="M37338" s="112"/>
      <c r="N37338" s="84"/>
    </row>
    <row r="37339" spans="1:14" s="2" customFormat="1">
      <c r="A37339" s="83"/>
      <c r="H37339" s="83"/>
      <c r="K37339" s="82"/>
      <c r="M37339" s="112"/>
      <c r="N37339" s="84"/>
    </row>
    <row r="37340" spans="1:14" s="2" customFormat="1">
      <c r="A37340" s="83"/>
      <c r="H37340" s="83"/>
      <c r="K37340" s="82"/>
      <c r="M37340" s="112"/>
      <c r="N37340" s="84"/>
    </row>
    <row r="37341" spans="1:14" s="2" customFormat="1">
      <c r="A37341" s="83"/>
      <c r="H37341" s="83"/>
      <c r="K37341" s="82"/>
      <c r="M37341" s="112"/>
      <c r="N37341" s="84"/>
    </row>
    <row r="37342" spans="1:14" s="2" customFormat="1">
      <c r="A37342" s="83"/>
      <c r="H37342" s="83"/>
      <c r="K37342" s="82"/>
      <c r="M37342" s="112"/>
      <c r="N37342" s="84"/>
    </row>
    <row r="37343" spans="1:14" s="2" customFormat="1">
      <c r="A37343" s="83"/>
      <c r="H37343" s="83"/>
      <c r="K37343" s="82"/>
      <c r="M37343" s="112"/>
      <c r="N37343" s="84"/>
    </row>
    <row r="37344" spans="1:14" s="2" customFormat="1">
      <c r="A37344" s="83"/>
      <c r="H37344" s="83"/>
      <c r="K37344" s="82"/>
      <c r="M37344" s="112"/>
      <c r="N37344" s="84"/>
    </row>
    <row r="37345" spans="1:14" s="2" customFormat="1">
      <c r="A37345" s="83"/>
      <c r="H37345" s="83"/>
      <c r="K37345" s="82"/>
      <c r="M37345" s="112"/>
      <c r="N37345" s="84"/>
    </row>
    <row r="37346" spans="1:14" s="2" customFormat="1">
      <c r="A37346" s="83"/>
      <c r="H37346" s="83"/>
      <c r="K37346" s="82"/>
      <c r="M37346" s="112"/>
      <c r="N37346" s="84"/>
    </row>
    <row r="37347" spans="1:14" s="2" customFormat="1">
      <c r="A37347" s="83"/>
      <c r="H37347" s="83"/>
      <c r="K37347" s="82"/>
      <c r="M37347" s="112"/>
      <c r="N37347" s="84"/>
    </row>
    <row r="37348" spans="1:14" s="2" customFormat="1">
      <c r="A37348" s="83"/>
      <c r="H37348" s="83"/>
      <c r="K37348" s="82"/>
      <c r="M37348" s="112"/>
      <c r="N37348" s="84"/>
    </row>
    <row r="37349" spans="1:14" s="2" customFormat="1">
      <c r="A37349" s="83"/>
      <c r="H37349" s="83"/>
      <c r="K37349" s="82"/>
      <c r="M37349" s="112"/>
      <c r="N37349" s="84"/>
    </row>
    <row r="37350" spans="1:14" s="2" customFormat="1">
      <c r="A37350" s="83"/>
      <c r="H37350" s="83"/>
      <c r="K37350" s="82"/>
      <c r="M37350" s="112"/>
      <c r="N37350" s="84"/>
    </row>
    <row r="37351" spans="1:14" s="2" customFormat="1">
      <c r="A37351" s="83"/>
      <c r="H37351" s="83"/>
      <c r="K37351" s="82"/>
      <c r="M37351" s="112"/>
      <c r="N37351" s="84"/>
    </row>
    <row r="37352" spans="1:14" s="2" customFormat="1">
      <c r="A37352" s="83"/>
      <c r="H37352" s="83"/>
      <c r="K37352" s="82"/>
      <c r="M37352" s="112"/>
      <c r="N37352" s="84"/>
    </row>
    <row r="37353" spans="1:14" s="2" customFormat="1">
      <c r="A37353" s="83"/>
      <c r="H37353" s="83"/>
      <c r="K37353" s="82"/>
      <c r="M37353" s="112"/>
      <c r="N37353" s="84"/>
    </row>
    <row r="37354" spans="1:14" s="2" customFormat="1">
      <c r="A37354" s="83"/>
      <c r="H37354" s="83"/>
      <c r="K37354" s="82"/>
      <c r="M37354" s="112"/>
      <c r="N37354" s="84"/>
    </row>
    <row r="37355" spans="1:14" s="2" customFormat="1">
      <c r="A37355" s="83"/>
      <c r="H37355" s="83"/>
      <c r="K37355" s="82"/>
      <c r="M37355" s="112"/>
      <c r="N37355" s="84"/>
    </row>
    <row r="37356" spans="1:14" s="2" customFormat="1">
      <c r="A37356" s="83"/>
      <c r="H37356" s="83"/>
      <c r="K37356" s="82"/>
      <c r="M37356" s="112"/>
      <c r="N37356" s="84"/>
    </row>
    <row r="37357" spans="1:14" s="2" customFormat="1">
      <c r="A37357" s="83"/>
      <c r="H37357" s="83"/>
      <c r="K37357" s="82"/>
      <c r="M37357" s="112"/>
      <c r="N37357" s="84"/>
    </row>
    <row r="37358" spans="1:14" s="2" customFormat="1">
      <c r="A37358" s="83"/>
      <c r="H37358" s="83"/>
      <c r="K37358" s="82"/>
      <c r="M37358" s="112"/>
      <c r="N37358" s="84"/>
    </row>
    <row r="37359" spans="1:14" s="2" customFormat="1">
      <c r="A37359" s="83"/>
      <c r="H37359" s="83"/>
      <c r="K37359" s="82"/>
      <c r="M37359" s="112"/>
      <c r="N37359" s="84"/>
    </row>
    <row r="37360" spans="1:14" s="2" customFormat="1">
      <c r="A37360" s="83"/>
      <c r="H37360" s="83"/>
      <c r="K37360" s="82"/>
      <c r="M37360" s="112"/>
      <c r="N37360" s="84"/>
    </row>
    <row r="37361" spans="1:14" s="2" customFormat="1">
      <c r="A37361" s="83"/>
      <c r="H37361" s="83"/>
      <c r="K37361" s="82"/>
      <c r="M37361" s="112"/>
      <c r="N37361" s="84"/>
    </row>
    <row r="37362" spans="1:14" s="2" customFormat="1">
      <c r="A37362" s="83"/>
      <c r="H37362" s="83"/>
      <c r="K37362" s="82"/>
      <c r="M37362" s="112"/>
      <c r="N37362" s="84"/>
    </row>
    <row r="37363" spans="1:14" s="2" customFormat="1">
      <c r="A37363" s="83"/>
      <c r="H37363" s="83"/>
      <c r="K37363" s="82"/>
      <c r="M37363" s="112"/>
      <c r="N37363" s="84"/>
    </row>
    <row r="37364" spans="1:14" s="2" customFormat="1">
      <c r="A37364" s="83"/>
      <c r="H37364" s="83"/>
      <c r="K37364" s="82"/>
      <c r="M37364" s="112"/>
      <c r="N37364" s="84"/>
    </row>
    <row r="37365" spans="1:14" s="2" customFormat="1">
      <c r="A37365" s="83"/>
      <c r="H37365" s="83"/>
      <c r="K37365" s="82"/>
      <c r="M37365" s="112"/>
      <c r="N37365" s="84"/>
    </row>
    <row r="37366" spans="1:14" s="2" customFormat="1">
      <c r="A37366" s="83"/>
      <c r="H37366" s="83"/>
      <c r="K37366" s="82"/>
      <c r="M37366" s="112"/>
      <c r="N37366" s="84"/>
    </row>
    <row r="37367" spans="1:14" s="2" customFormat="1">
      <c r="A37367" s="83"/>
      <c r="H37367" s="83"/>
      <c r="K37367" s="82"/>
      <c r="M37367" s="112"/>
      <c r="N37367" s="84"/>
    </row>
    <row r="37368" spans="1:14" s="2" customFormat="1">
      <c r="A37368" s="83"/>
      <c r="H37368" s="83"/>
      <c r="K37368" s="82"/>
      <c r="M37368" s="112"/>
      <c r="N37368" s="84"/>
    </row>
    <row r="37369" spans="1:14" s="2" customFormat="1">
      <c r="A37369" s="83"/>
      <c r="H37369" s="83"/>
      <c r="K37369" s="82"/>
      <c r="M37369" s="112"/>
      <c r="N37369" s="84"/>
    </row>
    <row r="37370" spans="1:14" s="2" customFormat="1">
      <c r="A37370" s="83"/>
      <c r="H37370" s="83"/>
      <c r="K37370" s="82"/>
      <c r="M37370" s="112"/>
      <c r="N37370" s="84"/>
    </row>
    <row r="37371" spans="1:14" s="2" customFormat="1">
      <c r="A37371" s="83"/>
      <c r="H37371" s="83"/>
      <c r="K37371" s="82"/>
      <c r="M37371" s="112"/>
      <c r="N37371" s="84"/>
    </row>
    <row r="37372" spans="1:14" s="2" customFormat="1">
      <c r="A37372" s="83"/>
      <c r="H37372" s="83"/>
      <c r="K37372" s="82"/>
      <c r="M37372" s="112"/>
      <c r="N37372" s="84"/>
    </row>
    <row r="37373" spans="1:14" s="2" customFormat="1">
      <c r="A37373" s="83"/>
      <c r="H37373" s="83"/>
      <c r="K37373" s="82"/>
      <c r="M37373" s="112"/>
      <c r="N37373" s="84"/>
    </row>
    <row r="37374" spans="1:14" s="2" customFormat="1">
      <c r="A37374" s="83"/>
      <c r="H37374" s="83"/>
      <c r="K37374" s="82"/>
      <c r="M37374" s="112"/>
      <c r="N37374" s="84"/>
    </row>
    <row r="37375" spans="1:14" s="2" customFormat="1">
      <c r="A37375" s="83"/>
      <c r="H37375" s="83"/>
      <c r="K37375" s="82"/>
      <c r="M37375" s="112"/>
      <c r="N37375" s="84"/>
    </row>
    <row r="37376" spans="1:14" s="2" customFormat="1">
      <c r="A37376" s="83"/>
      <c r="H37376" s="83"/>
      <c r="K37376" s="82"/>
      <c r="M37376" s="112"/>
      <c r="N37376" s="84"/>
    </row>
    <row r="37377" spans="1:14" s="2" customFormat="1">
      <c r="A37377" s="83"/>
      <c r="H37377" s="83"/>
      <c r="K37377" s="82"/>
      <c r="M37377" s="112"/>
      <c r="N37377" s="84"/>
    </row>
    <row r="37378" spans="1:14" s="2" customFormat="1">
      <c r="A37378" s="83"/>
      <c r="H37378" s="83"/>
      <c r="K37378" s="82"/>
      <c r="M37378" s="112"/>
      <c r="N37378" s="84"/>
    </row>
    <row r="37379" spans="1:14" s="2" customFormat="1">
      <c r="A37379" s="83"/>
      <c r="H37379" s="83"/>
      <c r="K37379" s="82"/>
      <c r="M37379" s="112"/>
      <c r="N37379" s="84"/>
    </row>
    <row r="37380" spans="1:14" s="2" customFormat="1">
      <c r="A37380" s="83"/>
      <c r="H37380" s="83"/>
      <c r="K37380" s="82"/>
      <c r="M37380" s="112"/>
      <c r="N37380" s="84"/>
    </row>
    <row r="37381" spans="1:14" s="2" customFormat="1">
      <c r="A37381" s="83"/>
      <c r="H37381" s="83"/>
      <c r="K37381" s="82"/>
      <c r="M37381" s="112"/>
      <c r="N37381" s="84"/>
    </row>
    <row r="37382" spans="1:14" s="2" customFormat="1">
      <c r="A37382" s="83"/>
      <c r="H37382" s="83"/>
      <c r="K37382" s="82"/>
      <c r="M37382" s="112"/>
      <c r="N37382" s="84"/>
    </row>
    <row r="37383" spans="1:14" s="2" customFormat="1">
      <c r="A37383" s="83"/>
      <c r="H37383" s="83"/>
      <c r="K37383" s="82"/>
      <c r="M37383" s="112"/>
      <c r="N37383" s="84"/>
    </row>
    <row r="37384" spans="1:14" s="2" customFormat="1">
      <c r="A37384" s="83"/>
      <c r="H37384" s="83"/>
      <c r="K37384" s="82"/>
      <c r="M37384" s="112"/>
      <c r="N37384" s="84"/>
    </row>
    <row r="37385" spans="1:14" s="2" customFormat="1">
      <c r="A37385" s="83"/>
      <c r="H37385" s="83"/>
      <c r="K37385" s="82"/>
      <c r="M37385" s="112"/>
      <c r="N37385" s="84"/>
    </row>
    <row r="37386" spans="1:14" s="2" customFormat="1">
      <c r="A37386" s="83"/>
      <c r="H37386" s="83"/>
      <c r="K37386" s="82"/>
      <c r="M37386" s="112"/>
      <c r="N37386" s="84"/>
    </row>
    <row r="37387" spans="1:14" s="2" customFormat="1">
      <c r="A37387" s="83"/>
      <c r="H37387" s="83"/>
      <c r="K37387" s="82"/>
      <c r="M37387" s="112"/>
      <c r="N37387" s="84"/>
    </row>
    <row r="37388" spans="1:14" s="2" customFormat="1">
      <c r="A37388" s="83"/>
      <c r="H37388" s="83"/>
      <c r="K37388" s="82"/>
      <c r="M37388" s="112"/>
      <c r="N37388" s="84"/>
    </row>
    <row r="37389" spans="1:14" s="2" customFormat="1">
      <c r="A37389" s="83"/>
      <c r="H37389" s="83"/>
      <c r="K37389" s="82"/>
      <c r="M37389" s="112"/>
      <c r="N37389" s="84"/>
    </row>
    <row r="37390" spans="1:14" s="2" customFormat="1">
      <c r="A37390" s="83"/>
      <c r="H37390" s="83"/>
      <c r="K37390" s="82"/>
      <c r="M37390" s="112"/>
      <c r="N37390" s="84"/>
    </row>
    <row r="37391" spans="1:14" s="2" customFormat="1">
      <c r="A37391" s="83"/>
      <c r="H37391" s="83"/>
      <c r="K37391" s="82"/>
      <c r="M37391" s="112"/>
      <c r="N37391" s="84"/>
    </row>
    <row r="37392" spans="1:14" s="2" customFormat="1">
      <c r="A37392" s="83"/>
      <c r="H37392" s="83"/>
      <c r="K37392" s="82"/>
      <c r="M37392" s="112"/>
      <c r="N37392" s="84"/>
    </row>
    <row r="37393" spans="1:14" s="2" customFormat="1">
      <c r="A37393" s="83"/>
      <c r="H37393" s="83"/>
      <c r="K37393" s="82"/>
      <c r="M37393" s="112"/>
      <c r="N37393" s="84"/>
    </row>
    <row r="37394" spans="1:14" s="2" customFormat="1">
      <c r="A37394" s="83"/>
      <c r="H37394" s="83"/>
      <c r="K37394" s="82"/>
      <c r="M37394" s="112"/>
      <c r="N37394" s="84"/>
    </row>
    <row r="37395" spans="1:14" s="2" customFormat="1">
      <c r="A37395" s="83"/>
      <c r="H37395" s="83"/>
      <c r="K37395" s="82"/>
      <c r="M37395" s="112"/>
      <c r="N37395" s="84"/>
    </row>
    <row r="37396" spans="1:14" s="2" customFormat="1">
      <c r="A37396" s="83"/>
      <c r="H37396" s="83"/>
      <c r="K37396" s="82"/>
      <c r="M37396" s="112"/>
      <c r="N37396" s="84"/>
    </row>
    <row r="37397" spans="1:14" s="2" customFormat="1">
      <c r="A37397" s="83"/>
      <c r="H37397" s="83"/>
      <c r="K37397" s="82"/>
      <c r="M37397" s="112"/>
      <c r="N37397" s="84"/>
    </row>
    <row r="37398" spans="1:14" s="2" customFormat="1">
      <c r="A37398" s="83"/>
      <c r="H37398" s="83"/>
      <c r="K37398" s="82"/>
      <c r="M37398" s="112"/>
      <c r="N37398" s="84"/>
    </row>
    <row r="37399" spans="1:14" s="2" customFormat="1">
      <c r="A37399" s="83"/>
      <c r="H37399" s="83"/>
      <c r="K37399" s="82"/>
      <c r="M37399" s="112"/>
      <c r="N37399" s="84"/>
    </row>
    <row r="37400" spans="1:14" s="2" customFormat="1">
      <c r="A37400" s="83"/>
      <c r="H37400" s="83"/>
      <c r="K37400" s="82"/>
      <c r="M37400" s="112"/>
      <c r="N37400" s="84"/>
    </row>
    <row r="37401" spans="1:14" s="2" customFormat="1">
      <c r="A37401" s="83"/>
      <c r="H37401" s="83"/>
      <c r="K37401" s="82"/>
      <c r="M37401" s="112"/>
      <c r="N37401" s="84"/>
    </row>
    <row r="37402" spans="1:14" s="2" customFormat="1">
      <c r="A37402" s="83"/>
      <c r="H37402" s="83"/>
      <c r="K37402" s="82"/>
      <c r="M37402" s="112"/>
      <c r="N37402" s="84"/>
    </row>
    <row r="37403" spans="1:14" s="2" customFormat="1">
      <c r="A37403" s="83"/>
      <c r="H37403" s="83"/>
      <c r="K37403" s="82"/>
      <c r="M37403" s="112"/>
      <c r="N37403" s="84"/>
    </row>
    <row r="37404" spans="1:14" s="2" customFormat="1">
      <c r="A37404" s="83"/>
      <c r="H37404" s="83"/>
      <c r="K37404" s="82"/>
      <c r="M37404" s="112"/>
      <c r="N37404" s="84"/>
    </row>
    <row r="37405" spans="1:14" s="2" customFormat="1">
      <c r="A37405" s="83"/>
      <c r="H37405" s="83"/>
      <c r="K37405" s="82"/>
      <c r="M37405" s="112"/>
      <c r="N37405" s="84"/>
    </row>
    <row r="37406" spans="1:14" s="2" customFormat="1">
      <c r="A37406" s="83"/>
      <c r="H37406" s="83"/>
      <c r="K37406" s="82"/>
      <c r="M37406" s="112"/>
      <c r="N37406" s="84"/>
    </row>
    <row r="37407" spans="1:14" s="2" customFormat="1">
      <c r="A37407" s="83"/>
      <c r="H37407" s="83"/>
      <c r="K37407" s="82"/>
      <c r="M37407" s="112"/>
      <c r="N37407" s="84"/>
    </row>
    <row r="37408" spans="1:14" s="2" customFormat="1">
      <c r="A37408" s="83"/>
      <c r="H37408" s="83"/>
      <c r="K37408" s="82"/>
      <c r="M37408" s="112"/>
      <c r="N37408" s="84"/>
    </row>
    <row r="37409" spans="1:14" s="2" customFormat="1">
      <c r="A37409" s="83"/>
      <c r="H37409" s="83"/>
      <c r="K37409" s="82"/>
      <c r="M37409" s="112"/>
      <c r="N37409" s="84"/>
    </row>
    <row r="37410" spans="1:14" s="2" customFormat="1">
      <c r="A37410" s="83"/>
      <c r="H37410" s="83"/>
      <c r="K37410" s="82"/>
      <c r="M37410" s="112"/>
      <c r="N37410" s="84"/>
    </row>
    <row r="37411" spans="1:14" s="2" customFormat="1">
      <c r="A37411" s="83"/>
      <c r="H37411" s="83"/>
      <c r="K37411" s="82"/>
      <c r="M37411" s="112"/>
      <c r="N37411" s="84"/>
    </row>
    <row r="37412" spans="1:14" s="2" customFormat="1">
      <c r="A37412" s="83"/>
      <c r="H37412" s="83"/>
      <c r="K37412" s="82"/>
      <c r="M37412" s="112"/>
      <c r="N37412" s="84"/>
    </row>
    <row r="37413" spans="1:14" s="2" customFormat="1">
      <c r="A37413" s="83"/>
      <c r="H37413" s="83"/>
      <c r="K37413" s="82"/>
      <c r="M37413" s="112"/>
      <c r="N37413" s="84"/>
    </row>
    <row r="37414" spans="1:14" s="2" customFormat="1">
      <c r="A37414" s="83"/>
      <c r="H37414" s="83"/>
      <c r="K37414" s="82"/>
      <c r="M37414" s="112"/>
      <c r="N37414" s="84"/>
    </row>
    <row r="37415" spans="1:14" s="2" customFormat="1">
      <c r="A37415" s="83"/>
      <c r="H37415" s="83"/>
      <c r="K37415" s="82"/>
      <c r="M37415" s="112"/>
      <c r="N37415" s="84"/>
    </row>
    <row r="37416" spans="1:14" s="2" customFormat="1">
      <c r="A37416" s="83"/>
      <c r="H37416" s="83"/>
      <c r="K37416" s="82"/>
      <c r="M37416" s="112"/>
      <c r="N37416" s="84"/>
    </row>
    <row r="37417" spans="1:14" s="2" customFormat="1">
      <c r="A37417" s="83"/>
      <c r="H37417" s="83"/>
      <c r="K37417" s="82"/>
      <c r="M37417" s="112"/>
      <c r="N37417" s="84"/>
    </row>
    <row r="37418" spans="1:14" s="2" customFormat="1">
      <c r="A37418" s="83"/>
      <c r="H37418" s="83"/>
      <c r="K37418" s="82"/>
      <c r="M37418" s="112"/>
      <c r="N37418" s="84"/>
    </row>
    <row r="37419" spans="1:14" s="2" customFormat="1">
      <c r="A37419" s="83"/>
      <c r="H37419" s="83"/>
      <c r="K37419" s="82"/>
      <c r="M37419" s="112"/>
      <c r="N37419" s="84"/>
    </row>
    <row r="37420" spans="1:14" s="2" customFormat="1">
      <c r="A37420" s="83"/>
      <c r="H37420" s="83"/>
      <c r="K37420" s="82"/>
      <c r="M37420" s="112"/>
      <c r="N37420" s="84"/>
    </row>
    <row r="37421" spans="1:14" s="2" customFormat="1">
      <c r="A37421" s="83"/>
      <c r="H37421" s="83"/>
      <c r="K37421" s="82"/>
      <c r="M37421" s="112"/>
      <c r="N37421" s="84"/>
    </row>
    <row r="37422" spans="1:14" s="2" customFormat="1">
      <c r="A37422" s="83"/>
      <c r="H37422" s="83"/>
      <c r="K37422" s="82"/>
      <c r="M37422" s="112"/>
      <c r="N37422" s="84"/>
    </row>
    <row r="37423" spans="1:14" s="2" customFormat="1">
      <c r="A37423" s="83"/>
      <c r="H37423" s="83"/>
      <c r="K37423" s="82"/>
      <c r="M37423" s="112"/>
      <c r="N37423" s="84"/>
    </row>
    <row r="37424" spans="1:14" s="2" customFormat="1">
      <c r="A37424" s="83"/>
      <c r="H37424" s="83"/>
      <c r="K37424" s="82"/>
      <c r="M37424" s="112"/>
      <c r="N37424" s="84"/>
    </row>
    <row r="37425" spans="1:14" s="2" customFormat="1">
      <c r="A37425" s="83"/>
      <c r="H37425" s="83"/>
      <c r="K37425" s="82"/>
      <c r="M37425" s="112"/>
      <c r="N37425" s="84"/>
    </row>
    <row r="37426" spans="1:14" s="2" customFormat="1">
      <c r="A37426" s="83"/>
      <c r="H37426" s="83"/>
      <c r="K37426" s="82"/>
      <c r="M37426" s="112"/>
      <c r="N37426" s="84"/>
    </row>
    <row r="37427" spans="1:14" s="2" customFormat="1">
      <c r="A37427" s="83"/>
      <c r="H37427" s="83"/>
      <c r="K37427" s="82"/>
      <c r="M37427" s="112"/>
      <c r="N37427" s="84"/>
    </row>
    <row r="37428" spans="1:14" s="2" customFormat="1">
      <c r="A37428" s="83"/>
      <c r="H37428" s="83"/>
      <c r="K37428" s="82"/>
      <c r="M37428" s="112"/>
      <c r="N37428" s="84"/>
    </row>
    <row r="37429" spans="1:14" s="2" customFormat="1">
      <c r="A37429" s="83"/>
      <c r="H37429" s="83"/>
      <c r="K37429" s="82"/>
      <c r="M37429" s="112"/>
      <c r="N37429" s="84"/>
    </row>
    <row r="37430" spans="1:14" s="2" customFormat="1">
      <c r="A37430" s="83"/>
      <c r="H37430" s="83"/>
      <c r="K37430" s="82"/>
      <c r="M37430" s="112"/>
      <c r="N37430" s="84"/>
    </row>
    <row r="37431" spans="1:14" s="2" customFormat="1">
      <c r="A37431" s="83"/>
      <c r="H37431" s="83"/>
      <c r="K37431" s="82"/>
      <c r="M37431" s="112"/>
      <c r="N37431" s="84"/>
    </row>
    <row r="37432" spans="1:14" s="2" customFormat="1">
      <c r="A37432" s="83"/>
      <c r="H37432" s="83"/>
      <c r="K37432" s="82"/>
      <c r="M37432" s="112"/>
      <c r="N37432" s="84"/>
    </row>
    <row r="37433" spans="1:14" s="2" customFormat="1">
      <c r="A37433" s="83"/>
      <c r="H37433" s="83"/>
      <c r="K37433" s="82"/>
      <c r="M37433" s="112"/>
      <c r="N37433" s="84"/>
    </row>
    <row r="37434" spans="1:14" s="2" customFormat="1">
      <c r="A37434" s="83"/>
      <c r="H37434" s="83"/>
      <c r="K37434" s="82"/>
      <c r="M37434" s="112"/>
      <c r="N37434" s="84"/>
    </row>
    <row r="37435" spans="1:14" s="2" customFormat="1">
      <c r="A37435" s="83"/>
      <c r="H37435" s="83"/>
      <c r="K37435" s="82"/>
      <c r="M37435" s="112"/>
      <c r="N37435" s="84"/>
    </row>
    <row r="37436" spans="1:14" s="2" customFormat="1">
      <c r="A37436" s="83"/>
      <c r="H37436" s="83"/>
      <c r="K37436" s="82"/>
      <c r="M37436" s="112"/>
      <c r="N37436" s="84"/>
    </row>
    <row r="37437" spans="1:14" s="2" customFormat="1">
      <c r="A37437" s="83"/>
      <c r="H37437" s="83"/>
      <c r="K37437" s="82"/>
      <c r="M37437" s="112"/>
      <c r="N37437" s="84"/>
    </row>
    <row r="37438" spans="1:14" s="2" customFormat="1">
      <c r="A37438" s="83"/>
      <c r="H37438" s="83"/>
      <c r="K37438" s="82"/>
      <c r="M37438" s="112"/>
      <c r="N37438" s="84"/>
    </row>
    <row r="37439" spans="1:14" s="2" customFormat="1">
      <c r="A37439" s="83"/>
      <c r="H37439" s="83"/>
      <c r="K37439" s="82"/>
      <c r="M37439" s="112"/>
      <c r="N37439" s="84"/>
    </row>
    <row r="37440" spans="1:14" s="2" customFormat="1">
      <c r="A37440" s="83"/>
      <c r="H37440" s="83"/>
      <c r="K37440" s="82"/>
      <c r="M37440" s="112"/>
      <c r="N37440" s="84"/>
    </row>
    <row r="37441" spans="1:14" s="2" customFormat="1">
      <c r="A37441" s="83"/>
      <c r="H37441" s="83"/>
      <c r="K37441" s="82"/>
      <c r="M37441" s="112"/>
      <c r="N37441" s="84"/>
    </row>
    <row r="37442" spans="1:14" s="2" customFormat="1">
      <c r="A37442" s="83"/>
      <c r="H37442" s="83"/>
      <c r="K37442" s="82"/>
      <c r="M37442" s="112"/>
      <c r="N37442" s="84"/>
    </row>
    <row r="37443" spans="1:14" s="2" customFormat="1">
      <c r="A37443" s="83"/>
      <c r="H37443" s="83"/>
      <c r="K37443" s="82"/>
      <c r="M37443" s="112"/>
      <c r="N37443" s="84"/>
    </row>
    <row r="37444" spans="1:14" s="2" customFormat="1">
      <c r="A37444" s="83"/>
      <c r="H37444" s="83"/>
      <c r="K37444" s="82"/>
      <c r="M37444" s="112"/>
      <c r="N37444" s="84"/>
    </row>
    <row r="37445" spans="1:14" s="2" customFormat="1">
      <c r="A37445" s="83"/>
      <c r="H37445" s="83"/>
      <c r="K37445" s="82"/>
      <c r="M37445" s="112"/>
      <c r="N37445" s="84"/>
    </row>
    <row r="37446" spans="1:14" s="2" customFormat="1">
      <c r="A37446" s="83"/>
      <c r="H37446" s="83"/>
      <c r="K37446" s="82"/>
      <c r="M37446" s="112"/>
      <c r="N37446" s="84"/>
    </row>
    <row r="37447" spans="1:14" s="2" customFormat="1">
      <c r="A37447" s="83"/>
      <c r="H37447" s="83"/>
      <c r="K37447" s="82"/>
      <c r="M37447" s="112"/>
      <c r="N37447" s="84"/>
    </row>
    <row r="37448" spans="1:14" s="2" customFormat="1">
      <c r="A37448" s="83"/>
      <c r="H37448" s="83"/>
      <c r="K37448" s="82"/>
      <c r="M37448" s="112"/>
      <c r="N37448" s="84"/>
    </row>
    <row r="37449" spans="1:14" s="2" customFormat="1">
      <c r="A37449" s="83"/>
      <c r="H37449" s="83"/>
      <c r="K37449" s="82"/>
      <c r="M37449" s="112"/>
      <c r="N37449" s="84"/>
    </row>
    <row r="37450" spans="1:14" s="2" customFormat="1">
      <c r="A37450" s="83"/>
      <c r="H37450" s="83"/>
      <c r="K37450" s="82"/>
      <c r="M37450" s="112"/>
      <c r="N37450" s="84"/>
    </row>
    <row r="37451" spans="1:14" s="2" customFormat="1">
      <c r="A37451" s="83"/>
      <c r="H37451" s="83"/>
      <c r="K37451" s="82"/>
      <c r="M37451" s="112"/>
      <c r="N37451" s="84"/>
    </row>
    <row r="37452" spans="1:14" s="2" customFormat="1">
      <c r="A37452" s="83"/>
      <c r="H37452" s="83"/>
      <c r="K37452" s="82"/>
      <c r="M37452" s="112"/>
      <c r="N37452" s="84"/>
    </row>
    <row r="37453" spans="1:14" s="2" customFormat="1">
      <c r="A37453" s="83"/>
      <c r="H37453" s="83"/>
      <c r="K37453" s="82"/>
      <c r="M37453" s="112"/>
      <c r="N37453" s="84"/>
    </row>
    <row r="37454" spans="1:14" s="2" customFormat="1">
      <c r="A37454" s="83"/>
      <c r="H37454" s="83"/>
      <c r="K37454" s="82"/>
      <c r="M37454" s="112"/>
      <c r="N37454" s="84"/>
    </row>
    <row r="37455" spans="1:14" s="2" customFormat="1">
      <c r="A37455" s="83"/>
      <c r="H37455" s="83"/>
      <c r="K37455" s="82"/>
      <c r="M37455" s="112"/>
      <c r="N37455" s="84"/>
    </row>
    <row r="37456" spans="1:14" s="2" customFormat="1">
      <c r="A37456" s="83"/>
      <c r="H37456" s="83"/>
      <c r="K37456" s="82"/>
      <c r="M37456" s="112"/>
      <c r="N37456" s="84"/>
    </row>
    <row r="37457" spans="1:14" s="2" customFormat="1">
      <c r="A37457" s="83"/>
      <c r="H37457" s="83"/>
      <c r="K37457" s="82"/>
      <c r="M37457" s="112"/>
      <c r="N37457" s="84"/>
    </row>
    <row r="37458" spans="1:14" s="2" customFormat="1">
      <c r="A37458" s="83"/>
      <c r="H37458" s="83"/>
      <c r="K37458" s="82"/>
      <c r="M37458" s="112"/>
      <c r="N37458" s="84"/>
    </row>
    <row r="37459" spans="1:14" s="2" customFormat="1">
      <c r="A37459" s="83"/>
      <c r="H37459" s="83"/>
      <c r="K37459" s="82"/>
      <c r="M37459" s="112"/>
      <c r="N37459" s="84"/>
    </row>
    <row r="37460" spans="1:14" s="2" customFormat="1">
      <c r="A37460" s="83"/>
      <c r="H37460" s="83"/>
      <c r="K37460" s="82"/>
      <c r="M37460" s="112"/>
      <c r="N37460" s="84"/>
    </row>
    <row r="37461" spans="1:14" s="2" customFormat="1">
      <c r="A37461" s="83"/>
      <c r="H37461" s="83"/>
      <c r="K37461" s="82"/>
      <c r="M37461" s="112"/>
      <c r="N37461" s="84"/>
    </row>
    <row r="37462" spans="1:14" s="2" customFormat="1">
      <c r="A37462" s="83"/>
      <c r="H37462" s="83"/>
      <c r="K37462" s="82"/>
      <c r="M37462" s="112"/>
      <c r="N37462" s="84"/>
    </row>
    <row r="37463" spans="1:14" s="2" customFormat="1">
      <c r="A37463" s="83"/>
      <c r="H37463" s="83"/>
      <c r="K37463" s="82"/>
      <c r="M37463" s="112"/>
      <c r="N37463" s="84"/>
    </row>
    <row r="37464" spans="1:14" s="2" customFormat="1">
      <c r="A37464" s="83"/>
      <c r="H37464" s="83"/>
      <c r="K37464" s="82"/>
      <c r="M37464" s="112"/>
      <c r="N37464" s="84"/>
    </row>
    <row r="37465" spans="1:14" s="2" customFormat="1">
      <c r="A37465" s="83"/>
      <c r="H37465" s="83"/>
      <c r="K37465" s="82"/>
      <c r="M37465" s="112"/>
      <c r="N37465" s="84"/>
    </row>
    <row r="37466" spans="1:14" s="2" customFormat="1">
      <c r="A37466" s="83"/>
      <c r="H37466" s="83"/>
      <c r="K37466" s="82"/>
      <c r="M37466" s="112"/>
      <c r="N37466" s="84"/>
    </row>
    <row r="37467" spans="1:14" s="2" customFormat="1">
      <c r="A37467" s="83"/>
      <c r="H37467" s="83"/>
      <c r="K37467" s="82"/>
      <c r="M37467" s="112"/>
      <c r="N37467" s="84"/>
    </row>
    <row r="37468" spans="1:14" s="2" customFormat="1">
      <c r="A37468" s="83"/>
      <c r="H37468" s="83"/>
      <c r="K37468" s="82"/>
      <c r="M37468" s="112"/>
      <c r="N37468" s="84"/>
    </row>
    <row r="37469" spans="1:14" s="2" customFormat="1">
      <c r="A37469" s="83"/>
      <c r="H37469" s="83"/>
      <c r="K37469" s="82"/>
      <c r="M37469" s="112"/>
      <c r="N37469" s="84"/>
    </row>
    <row r="37470" spans="1:14" s="2" customFormat="1">
      <c r="A37470" s="83"/>
      <c r="H37470" s="83"/>
      <c r="K37470" s="82"/>
      <c r="M37470" s="112"/>
      <c r="N37470" s="84"/>
    </row>
    <row r="37471" spans="1:14" s="2" customFormat="1">
      <c r="A37471" s="83"/>
      <c r="H37471" s="83"/>
      <c r="K37471" s="82"/>
      <c r="M37471" s="112"/>
      <c r="N37471" s="84"/>
    </row>
    <row r="37472" spans="1:14" s="2" customFormat="1">
      <c r="A37472" s="83"/>
      <c r="H37472" s="83"/>
      <c r="K37472" s="82"/>
      <c r="M37472" s="112"/>
      <c r="N37472" s="84"/>
    </row>
    <row r="37473" spans="1:14" s="2" customFormat="1">
      <c r="A37473" s="83"/>
      <c r="H37473" s="83"/>
      <c r="K37473" s="82"/>
      <c r="M37473" s="112"/>
      <c r="N37473" s="84"/>
    </row>
    <row r="37474" spans="1:14" s="2" customFormat="1">
      <c r="A37474" s="83"/>
      <c r="H37474" s="83"/>
      <c r="K37474" s="82"/>
      <c r="M37474" s="112"/>
      <c r="N37474" s="84"/>
    </row>
    <row r="37475" spans="1:14" s="2" customFormat="1">
      <c r="A37475" s="83"/>
      <c r="H37475" s="83"/>
      <c r="K37475" s="82"/>
      <c r="M37475" s="112"/>
      <c r="N37475" s="84"/>
    </row>
    <row r="37476" spans="1:14" s="2" customFormat="1">
      <c r="A37476" s="83"/>
      <c r="H37476" s="83"/>
      <c r="K37476" s="82"/>
      <c r="M37476" s="112"/>
      <c r="N37476" s="84"/>
    </row>
    <row r="37477" spans="1:14" s="2" customFormat="1">
      <c r="A37477" s="83"/>
      <c r="H37477" s="83"/>
      <c r="K37477" s="82"/>
      <c r="M37477" s="112"/>
      <c r="N37477" s="84"/>
    </row>
    <row r="37478" spans="1:14" s="2" customFormat="1">
      <c r="A37478" s="83"/>
      <c r="H37478" s="83"/>
      <c r="K37478" s="82"/>
      <c r="M37478" s="112"/>
      <c r="N37478" s="84"/>
    </row>
    <row r="37479" spans="1:14" s="2" customFormat="1">
      <c r="A37479" s="83"/>
      <c r="H37479" s="83"/>
      <c r="K37479" s="82"/>
      <c r="M37479" s="112"/>
      <c r="N37479" s="84"/>
    </row>
    <row r="37480" spans="1:14" s="2" customFormat="1">
      <c r="A37480" s="83"/>
      <c r="H37480" s="83"/>
      <c r="K37480" s="82"/>
      <c r="M37480" s="112"/>
      <c r="N37480" s="84"/>
    </row>
    <row r="37481" spans="1:14" s="2" customFormat="1">
      <c r="A37481" s="83"/>
      <c r="H37481" s="83"/>
      <c r="K37481" s="82"/>
      <c r="M37481" s="112"/>
      <c r="N37481" s="84"/>
    </row>
    <row r="37482" spans="1:14" s="2" customFormat="1">
      <c r="A37482" s="83"/>
      <c r="H37482" s="83"/>
      <c r="K37482" s="82"/>
      <c r="M37482" s="112"/>
      <c r="N37482" s="84"/>
    </row>
    <row r="37483" spans="1:14" s="2" customFormat="1">
      <c r="A37483" s="83"/>
      <c r="H37483" s="83"/>
      <c r="K37483" s="82"/>
      <c r="M37483" s="112"/>
      <c r="N37483" s="84"/>
    </row>
    <row r="37484" spans="1:14" s="2" customFormat="1">
      <c r="A37484" s="83"/>
      <c r="H37484" s="83"/>
      <c r="K37484" s="82"/>
      <c r="M37484" s="112"/>
      <c r="N37484" s="84"/>
    </row>
    <row r="37485" spans="1:14" s="2" customFormat="1">
      <c r="A37485" s="83"/>
      <c r="H37485" s="83"/>
      <c r="K37485" s="82"/>
      <c r="M37485" s="112"/>
      <c r="N37485" s="84"/>
    </row>
    <row r="37486" spans="1:14" s="2" customFormat="1">
      <c r="A37486" s="83"/>
      <c r="H37486" s="83"/>
      <c r="K37486" s="82"/>
      <c r="M37486" s="112"/>
      <c r="N37486" s="84"/>
    </row>
    <row r="37487" spans="1:14" s="2" customFormat="1">
      <c r="A37487" s="83"/>
      <c r="H37487" s="83"/>
      <c r="K37487" s="82"/>
      <c r="M37487" s="112"/>
      <c r="N37487" s="84"/>
    </row>
    <row r="37488" spans="1:14" s="2" customFormat="1">
      <c r="A37488" s="83"/>
      <c r="H37488" s="83"/>
      <c r="K37488" s="82"/>
      <c r="M37488" s="112"/>
      <c r="N37488" s="84"/>
    </row>
    <row r="37489" spans="1:14" s="2" customFormat="1">
      <c r="A37489" s="83"/>
      <c r="H37489" s="83"/>
      <c r="K37489" s="82"/>
      <c r="M37489" s="112"/>
      <c r="N37489" s="84"/>
    </row>
    <row r="37490" spans="1:14" s="2" customFormat="1">
      <c r="A37490" s="83"/>
      <c r="H37490" s="83"/>
      <c r="K37490" s="82"/>
      <c r="M37490" s="112"/>
      <c r="N37490" s="84"/>
    </row>
    <row r="37491" spans="1:14" s="2" customFormat="1">
      <c r="A37491" s="83"/>
      <c r="H37491" s="83"/>
      <c r="K37491" s="82"/>
      <c r="M37491" s="112"/>
      <c r="N37491" s="84"/>
    </row>
    <row r="37492" spans="1:14" s="2" customFormat="1">
      <c r="A37492" s="83"/>
      <c r="H37492" s="83"/>
      <c r="K37492" s="82"/>
      <c r="M37492" s="112"/>
      <c r="N37492" s="84"/>
    </row>
    <row r="37493" spans="1:14" s="2" customFormat="1">
      <c r="A37493" s="83"/>
      <c r="H37493" s="83"/>
      <c r="K37493" s="82"/>
      <c r="M37493" s="112"/>
      <c r="N37493" s="84"/>
    </row>
    <row r="37494" spans="1:14" s="2" customFormat="1">
      <c r="A37494" s="83"/>
      <c r="H37494" s="83"/>
      <c r="K37494" s="82"/>
      <c r="M37494" s="112"/>
      <c r="N37494" s="84"/>
    </row>
    <row r="37495" spans="1:14" s="2" customFormat="1">
      <c r="A37495" s="83"/>
      <c r="H37495" s="83"/>
      <c r="K37495" s="82"/>
      <c r="M37495" s="112"/>
      <c r="N37495" s="84"/>
    </row>
    <row r="37496" spans="1:14" s="2" customFormat="1">
      <c r="A37496" s="83"/>
      <c r="H37496" s="83"/>
      <c r="K37496" s="82"/>
      <c r="M37496" s="112"/>
      <c r="N37496" s="84"/>
    </row>
    <row r="37497" spans="1:14" s="2" customFormat="1">
      <c r="A37497" s="83"/>
      <c r="H37497" s="83"/>
      <c r="K37497" s="82"/>
      <c r="M37497" s="112"/>
      <c r="N37497" s="84"/>
    </row>
    <row r="37498" spans="1:14" s="2" customFormat="1">
      <c r="A37498" s="83"/>
      <c r="H37498" s="83"/>
      <c r="K37498" s="82"/>
      <c r="M37498" s="112"/>
      <c r="N37498" s="84"/>
    </row>
    <row r="37499" spans="1:14" s="2" customFormat="1">
      <c r="A37499" s="83"/>
      <c r="H37499" s="83"/>
      <c r="K37499" s="82"/>
      <c r="M37499" s="112"/>
      <c r="N37499" s="84"/>
    </row>
    <row r="37500" spans="1:14" s="2" customFormat="1">
      <c r="A37500" s="83"/>
      <c r="H37500" s="83"/>
      <c r="K37500" s="82"/>
      <c r="M37500" s="112"/>
      <c r="N37500" s="84"/>
    </row>
    <row r="37501" spans="1:14" s="2" customFormat="1">
      <c r="A37501" s="83"/>
      <c r="H37501" s="83"/>
      <c r="K37501" s="82"/>
      <c r="M37501" s="112"/>
      <c r="N37501" s="84"/>
    </row>
    <row r="37502" spans="1:14" s="2" customFormat="1">
      <c r="A37502" s="83"/>
      <c r="H37502" s="83"/>
      <c r="K37502" s="82"/>
      <c r="M37502" s="112"/>
      <c r="N37502" s="84"/>
    </row>
    <row r="37503" spans="1:14" s="2" customFormat="1">
      <c r="A37503" s="83"/>
      <c r="H37503" s="83"/>
      <c r="K37503" s="82"/>
      <c r="M37503" s="112"/>
      <c r="N37503" s="84"/>
    </row>
    <row r="37504" spans="1:14" s="2" customFormat="1">
      <c r="A37504" s="83"/>
      <c r="H37504" s="83"/>
      <c r="K37504" s="82"/>
      <c r="M37504" s="112"/>
      <c r="N37504" s="84"/>
    </row>
    <row r="37505" spans="1:14" s="2" customFormat="1">
      <c r="A37505" s="83"/>
      <c r="H37505" s="83"/>
      <c r="K37505" s="82"/>
      <c r="M37505" s="112"/>
      <c r="N37505" s="84"/>
    </row>
    <row r="37506" spans="1:14" s="2" customFormat="1">
      <c r="A37506" s="83"/>
      <c r="H37506" s="83"/>
      <c r="K37506" s="82"/>
      <c r="M37506" s="112"/>
      <c r="N37506" s="84"/>
    </row>
    <row r="37507" spans="1:14" s="2" customFormat="1">
      <c r="A37507" s="83"/>
      <c r="H37507" s="83"/>
      <c r="K37507" s="82"/>
      <c r="M37507" s="112"/>
      <c r="N37507" s="84"/>
    </row>
    <row r="37508" spans="1:14" s="2" customFormat="1">
      <c r="A37508" s="83"/>
      <c r="H37508" s="83"/>
      <c r="K37508" s="82"/>
      <c r="M37508" s="112"/>
      <c r="N37508" s="84"/>
    </row>
    <row r="37509" spans="1:14" s="2" customFormat="1">
      <c r="A37509" s="83"/>
      <c r="H37509" s="83"/>
      <c r="K37509" s="82"/>
      <c r="M37509" s="112"/>
      <c r="N37509" s="84"/>
    </row>
    <row r="37510" spans="1:14" s="2" customFormat="1">
      <c r="A37510" s="83"/>
      <c r="H37510" s="83"/>
      <c r="K37510" s="82"/>
      <c r="M37510" s="112"/>
      <c r="N37510" s="84"/>
    </row>
    <row r="37511" spans="1:14" s="2" customFormat="1">
      <c r="A37511" s="83"/>
      <c r="H37511" s="83"/>
      <c r="K37511" s="82"/>
      <c r="M37511" s="112"/>
      <c r="N37511" s="84"/>
    </row>
    <row r="37512" spans="1:14" s="2" customFormat="1">
      <c r="A37512" s="83"/>
      <c r="H37512" s="83"/>
      <c r="K37512" s="82"/>
      <c r="M37512" s="112"/>
      <c r="N37512" s="84"/>
    </row>
    <row r="37513" spans="1:14" s="2" customFormat="1">
      <c r="A37513" s="83"/>
      <c r="H37513" s="83"/>
      <c r="K37513" s="82"/>
      <c r="M37513" s="112"/>
      <c r="N37513" s="84"/>
    </row>
    <row r="37514" spans="1:14" s="2" customFormat="1">
      <c r="A37514" s="83"/>
      <c r="H37514" s="83"/>
      <c r="K37514" s="82"/>
      <c r="M37514" s="112"/>
      <c r="N37514" s="84"/>
    </row>
    <row r="37515" spans="1:14" s="2" customFormat="1">
      <c r="A37515" s="83"/>
      <c r="H37515" s="83"/>
      <c r="K37515" s="82"/>
      <c r="M37515" s="112"/>
      <c r="N37515" s="84"/>
    </row>
    <row r="37516" spans="1:14" s="2" customFormat="1">
      <c r="A37516" s="83"/>
      <c r="H37516" s="83"/>
      <c r="K37516" s="82"/>
      <c r="M37516" s="112"/>
      <c r="N37516" s="84"/>
    </row>
    <row r="37517" spans="1:14" s="2" customFormat="1">
      <c r="A37517" s="83"/>
      <c r="H37517" s="83"/>
      <c r="K37517" s="82"/>
      <c r="M37517" s="112"/>
      <c r="N37517" s="84"/>
    </row>
    <row r="37518" spans="1:14" s="2" customFormat="1">
      <c r="A37518" s="83"/>
      <c r="H37518" s="83"/>
      <c r="K37518" s="82"/>
      <c r="M37518" s="112"/>
      <c r="N37518" s="84"/>
    </row>
    <row r="37519" spans="1:14" s="2" customFormat="1">
      <c r="A37519" s="83"/>
      <c r="H37519" s="83"/>
      <c r="K37519" s="82"/>
      <c r="M37519" s="112"/>
      <c r="N37519" s="84"/>
    </row>
    <row r="37520" spans="1:14" s="2" customFormat="1">
      <c r="A37520" s="83"/>
      <c r="H37520" s="83"/>
      <c r="K37520" s="82"/>
      <c r="M37520" s="112"/>
      <c r="N37520" s="84"/>
    </row>
    <row r="37521" spans="1:14" s="2" customFormat="1">
      <c r="A37521" s="83"/>
      <c r="H37521" s="83"/>
      <c r="K37521" s="82"/>
      <c r="M37521" s="112"/>
      <c r="N37521" s="84"/>
    </row>
    <row r="37522" spans="1:14" s="2" customFormat="1">
      <c r="A37522" s="83"/>
      <c r="H37522" s="83"/>
      <c r="K37522" s="82"/>
      <c r="M37522" s="112"/>
      <c r="N37522" s="84"/>
    </row>
    <row r="37523" spans="1:14" s="2" customFormat="1">
      <c r="A37523" s="83"/>
      <c r="H37523" s="83"/>
      <c r="K37523" s="82"/>
      <c r="M37523" s="112"/>
      <c r="N37523" s="84"/>
    </row>
    <row r="37524" spans="1:14" s="2" customFormat="1">
      <c r="A37524" s="83"/>
      <c r="H37524" s="83"/>
      <c r="K37524" s="82"/>
      <c r="M37524" s="112"/>
      <c r="N37524" s="84"/>
    </row>
    <row r="37525" spans="1:14" s="2" customFormat="1">
      <c r="A37525" s="83"/>
      <c r="H37525" s="83"/>
      <c r="K37525" s="82"/>
      <c r="M37525" s="112"/>
      <c r="N37525" s="84"/>
    </row>
    <row r="37526" spans="1:14" s="2" customFormat="1">
      <c r="A37526" s="83"/>
      <c r="H37526" s="83"/>
      <c r="K37526" s="82"/>
      <c r="M37526" s="112"/>
      <c r="N37526" s="84"/>
    </row>
    <row r="37527" spans="1:14" s="2" customFormat="1">
      <c r="A37527" s="83"/>
      <c r="H37527" s="83"/>
      <c r="K37527" s="82"/>
      <c r="M37527" s="112"/>
      <c r="N37527" s="84"/>
    </row>
    <row r="37528" spans="1:14" s="2" customFormat="1">
      <c r="A37528" s="83"/>
      <c r="H37528" s="83"/>
      <c r="K37528" s="82"/>
      <c r="M37528" s="112"/>
      <c r="N37528" s="84"/>
    </row>
    <row r="37529" spans="1:14" s="2" customFormat="1">
      <c r="A37529" s="83"/>
      <c r="H37529" s="83"/>
      <c r="K37529" s="82"/>
      <c r="M37529" s="112"/>
      <c r="N37529" s="84"/>
    </row>
    <row r="37530" spans="1:14" s="2" customFormat="1">
      <c r="A37530" s="83"/>
      <c r="H37530" s="83"/>
      <c r="K37530" s="82"/>
      <c r="M37530" s="112"/>
      <c r="N37530" s="84"/>
    </row>
    <row r="37531" spans="1:14" s="2" customFormat="1">
      <c r="A37531" s="83"/>
      <c r="H37531" s="83"/>
      <c r="K37531" s="82"/>
      <c r="M37531" s="112"/>
      <c r="N37531" s="84"/>
    </row>
    <row r="37532" spans="1:14" s="2" customFormat="1">
      <c r="A37532" s="83"/>
      <c r="H37532" s="83"/>
      <c r="K37532" s="82"/>
      <c r="M37532" s="112"/>
      <c r="N37532" s="84"/>
    </row>
    <row r="37533" spans="1:14" s="2" customFormat="1">
      <c r="A37533" s="83"/>
      <c r="H37533" s="83"/>
      <c r="K37533" s="82"/>
      <c r="M37533" s="112"/>
      <c r="N37533" s="84"/>
    </row>
    <row r="37534" spans="1:14" s="2" customFormat="1">
      <c r="A37534" s="83"/>
      <c r="H37534" s="83"/>
      <c r="K37534" s="82"/>
      <c r="M37534" s="112"/>
      <c r="N37534" s="84"/>
    </row>
    <row r="37535" spans="1:14" s="2" customFormat="1">
      <c r="A37535" s="83"/>
      <c r="H37535" s="83"/>
      <c r="K37535" s="82"/>
      <c r="M37535" s="112"/>
      <c r="N37535" s="84"/>
    </row>
    <row r="37536" spans="1:14" s="2" customFormat="1">
      <c r="A37536" s="83"/>
      <c r="H37536" s="83"/>
      <c r="K37536" s="82"/>
      <c r="M37536" s="112"/>
      <c r="N37536" s="84"/>
    </row>
    <row r="37537" spans="1:14" s="2" customFormat="1">
      <c r="A37537" s="83"/>
      <c r="H37537" s="83"/>
      <c r="K37537" s="82"/>
      <c r="M37537" s="112"/>
      <c r="N37537" s="84"/>
    </row>
    <row r="37538" spans="1:14" s="2" customFormat="1">
      <c r="A37538" s="83"/>
      <c r="H37538" s="83"/>
      <c r="K37538" s="82"/>
      <c r="M37538" s="112"/>
      <c r="N37538" s="84"/>
    </row>
    <row r="37539" spans="1:14" s="2" customFormat="1">
      <c r="A37539" s="83"/>
      <c r="H37539" s="83"/>
      <c r="K37539" s="82"/>
      <c r="M37539" s="112"/>
      <c r="N37539" s="84"/>
    </row>
    <row r="37540" spans="1:14" s="2" customFormat="1">
      <c r="A37540" s="83"/>
      <c r="H37540" s="83"/>
      <c r="K37540" s="82"/>
      <c r="M37540" s="112"/>
      <c r="N37540" s="84"/>
    </row>
    <row r="37541" spans="1:14" s="2" customFormat="1">
      <c r="A37541" s="83"/>
      <c r="H37541" s="83"/>
      <c r="K37541" s="82"/>
      <c r="M37541" s="112"/>
      <c r="N37541" s="84"/>
    </row>
    <row r="37542" spans="1:14" s="2" customFormat="1">
      <c r="A37542" s="83"/>
      <c r="H37542" s="83"/>
      <c r="K37542" s="82"/>
      <c r="M37542" s="112"/>
      <c r="N37542" s="84"/>
    </row>
    <row r="37543" spans="1:14" s="2" customFormat="1">
      <c r="A37543" s="83"/>
      <c r="H37543" s="83"/>
      <c r="K37543" s="82"/>
      <c r="M37543" s="112"/>
      <c r="N37543" s="84"/>
    </row>
    <row r="37544" spans="1:14" s="2" customFormat="1">
      <c r="A37544" s="83"/>
      <c r="H37544" s="83"/>
      <c r="K37544" s="82"/>
      <c r="M37544" s="112"/>
      <c r="N37544" s="84"/>
    </row>
    <row r="37545" spans="1:14" s="2" customFormat="1">
      <c r="A37545" s="83"/>
      <c r="H37545" s="83"/>
      <c r="K37545" s="82"/>
      <c r="M37545" s="112"/>
      <c r="N37545" s="84"/>
    </row>
    <row r="37546" spans="1:14" s="2" customFormat="1">
      <c r="A37546" s="83"/>
      <c r="H37546" s="83"/>
      <c r="K37546" s="82"/>
      <c r="M37546" s="112"/>
      <c r="N37546" s="84"/>
    </row>
    <row r="37547" spans="1:14" s="2" customFormat="1">
      <c r="A37547" s="83"/>
      <c r="H37547" s="83"/>
      <c r="K37547" s="82"/>
      <c r="M37547" s="112"/>
      <c r="N37547" s="84"/>
    </row>
    <row r="37548" spans="1:14" s="2" customFormat="1">
      <c r="A37548" s="83"/>
      <c r="H37548" s="83"/>
      <c r="K37548" s="82"/>
      <c r="M37548" s="112"/>
      <c r="N37548" s="84"/>
    </row>
    <row r="37549" spans="1:14" s="2" customFormat="1">
      <c r="A37549" s="83"/>
      <c r="H37549" s="83"/>
      <c r="K37549" s="82"/>
      <c r="M37549" s="112"/>
      <c r="N37549" s="84"/>
    </row>
    <row r="37550" spans="1:14" s="2" customFormat="1">
      <c r="A37550" s="83"/>
      <c r="H37550" s="83"/>
      <c r="K37550" s="82"/>
      <c r="M37550" s="112"/>
      <c r="N37550" s="84"/>
    </row>
    <row r="37551" spans="1:14" s="2" customFormat="1">
      <c r="A37551" s="83"/>
      <c r="H37551" s="83"/>
      <c r="K37551" s="82"/>
      <c r="M37551" s="112"/>
      <c r="N37551" s="84"/>
    </row>
    <row r="37552" spans="1:14" s="2" customFormat="1">
      <c r="A37552" s="83"/>
      <c r="H37552" s="83"/>
      <c r="K37552" s="82"/>
      <c r="M37552" s="112"/>
      <c r="N37552" s="84"/>
    </row>
    <row r="37553" spans="1:14" s="2" customFormat="1">
      <c r="A37553" s="83"/>
      <c r="H37553" s="83"/>
      <c r="K37553" s="82"/>
      <c r="M37553" s="112"/>
      <c r="N37553" s="84"/>
    </row>
    <row r="37554" spans="1:14" s="2" customFormat="1">
      <c r="A37554" s="83"/>
      <c r="H37554" s="83"/>
      <c r="K37554" s="82"/>
      <c r="M37554" s="112"/>
      <c r="N37554" s="84"/>
    </row>
    <row r="37555" spans="1:14" s="2" customFormat="1">
      <c r="A37555" s="83"/>
      <c r="H37555" s="83"/>
      <c r="K37555" s="82"/>
      <c r="M37555" s="112"/>
      <c r="N37555" s="84"/>
    </row>
    <row r="37556" spans="1:14" s="2" customFormat="1">
      <c r="A37556" s="83"/>
      <c r="H37556" s="83"/>
      <c r="K37556" s="82"/>
      <c r="M37556" s="112"/>
      <c r="N37556" s="84"/>
    </row>
    <row r="37557" spans="1:14" s="2" customFormat="1">
      <c r="A37557" s="83"/>
      <c r="H37557" s="83"/>
      <c r="K37557" s="82"/>
      <c r="M37557" s="112"/>
      <c r="N37557" s="84"/>
    </row>
    <row r="37558" spans="1:14" s="2" customFormat="1">
      <c r="A37558" s="83"/>
      <c r="H37558" s="83"/>
      <c r="K37558" s="82"/>
      <c r="M37558" s="112"/>
      <c r="N37558" s="84"/>
    </row>
    <row r="37559" spans="1:14" s="2" customFormat="1">
      <c r="A37559" s="83"/>
      <c r="H37559" s="83"/>
      <c r="K37559" s="82"/>
      <c r="M37559" s="112"/>
      <c r="N37559" s="84"/>
    </row>
    <row r="37560" spans="1:14" s="2" customFormat="1">
      <c r="A37560" s="83"/>
      <c r="H37560" s="83"/>
      <c r="K37560" s="82"/>
      <c r="M37560" s="112"/>
      <c r="N37560" s="84"/>
    </row>
    <row r="37561" spans="1:14" s="2" customFormat="1">
      <c r="A37561" s="83"/>
      <c r="H37561" s="83"/>
      <c r="K37561" s="82"/>
      <c r="M37561" s="112"/>
      <c r="N37561" s="84"/>
    </row>
    <row r="37562" spans="1:14" s="2" customFormat="1">
      <c r="A37562" s="83"/>
      <c r="H37562" s="83"/>
      <c r="K37562" s="82"/>
      <c r="M37562" s="112"/>
      <c r="N37562" s="84"/>
    </row>
    <row r="37563" spans="1:14" s="2" customFormat="1">
      <c r="A37563" s="83"/>
      <c r="H37563" s="83"/>
      <c r="K37563" s="82"/>
      <c r="M37563" s="112"/>
      <c r="N37563" s="84"/>
    </row>
    <row r="37564" spans="1:14" s="2" customFormat="1">
      <c r="A37564" s="83"/>
      <c r="H37564" s="83"/>
      <c r="K37564" s="82"/>
      <c r="M37564" s="112"/>
      <c r="N37564" s="84"/>
    </row>
    <row r="37565" spans="1:14" s="2" customFormat="1">
      <c r="A37565" s="83"/>
      <c r="H37565" s="83"/>
      <c r="K37565" s="82"/>
      <c r="M37565" s="112"/>
      <c r="N37565" s="84"/>
    </row>
    <row r="37566" spans="1:14" s="2" customFormat="1">
      <c r="A37566" s="83"/>
      <c r="H37566" s="83"/>
      <c r="K37566" s="82"/>
      <c r="M37566" s="112"/>
      <c r="N37566" s="84"/>
    </row>
    <row r="37567" spans="1:14" s="2" customFormat="1">
      <c r="A37567" s="83"/>
      <c r="H37567" s="83"/>
      <c r="K37567" s="82"/>
      <c r="M37567" s="112"/>
      <c r="N37567" s="84"/>
    </row>
    <row r="37568" spans="1:14" s="2" customFormat="1">
      <c r="A37568" s="83"/>
      <c r="H37568" s="83"/>
      <c r="K37568" s="82"/>
      <c r="M37568" s="112"/>
      <c r="N37568" s="84"/>
    </row>
    <row r="37569" spans="1:14" s="2" customFormat="1">
      <c r="A37569" s="83"/>
      <c r="H37569" s="83"/>
      <c r="K37569" s="82"/>
      <c r="M37569" s="112"/>
      <c r="N37569" s="84"/>
    </row>
    <row r="37570" spans="1:14" s="2" customFormat="1">
      <c r="A37570" s="83"/>
      <c r="H37570" s="83"/>
      <c r="K37570" s="82"/>
      <c r="M37570" s="112"/>
      <c r="N37570" s="84"/>
    </row>
    <row r="37571" spans="1:14" s="2" customFormat="1">
      <c r="A37571" s="83"/>
      <c r="H37571" s="83"/>
      <c r="K37571" s="82"/>
      <c r="M37571" s="112"/>
      <c r="N37571" s="84"/>
    </row>
    <row r="37572" spans="1:14" s="2" customFormat="1">
      <c r="A37572" s="83"/>
      <c r="H37572" s="83"/>
      <c r="K37572" s="82"/>
      <c r="M37572" s="112"/>
      <c r="N37572" s="84"/>
    </row>
    <row r="37573" spans="1:14" s="2" customFormat="1">
      <c r="A37573" s="83"/>
      <c r="H37573" s="83"/>
      <c r="K37573" s="82"/>
      <c r="M37573" s="112"/>
      <c r="N37573" s="84"/>
    </row>
    <row r="37574" spans="1:14" s="2" customFormat="1">
      <c r="A37574" s="83"/>
      <c r="H37574" s="83"/>
      <c r="K37574" s="82"/>
      <c r="M37574" s="112"/>
      <c r="N37574" s="84"/>
    </row>
    <row r="37575" spans="1:14" s="2" customFormat="1">
      <c r="A37575" s="83"/>
      <c r="H37575" s="83"/>
      <c r="K37575" s="82"/>
      <c r="M37575" s="112"/>
      <c r="N37575" s="84"/>
    </row>
    <row r="37576" spans="1:14" s="2" customFormat="1">
      <c r="A37576" s="83"/>
      <c r="H37576" s="83"/>
      <c r="K37576" s="82"/>
      <c r="M37576" s="112"/>
      <c r="N37576" s="84"/>
    </row>
    <row r="37577" spans="1:14" s="2" customFormat="1">
      <c r="A37577" s="83"/>
      <c r="H37577" s="83"/>
      <c r="K37577" s="82"/>
      <c r="M37577" s="112"/>
      <c r="N37577" s="84"/>
    </row>
    <row r="37578" spans="1:14" s="2" customFormat="1">
      <c r="A37578" s="83"/>
      <c r="H37578" s="83"/>
      <c r="K37578" s="82"/>
      <c r="M37578" s="112"/>
      <c r="N37578" s="84"/>
    </row>
    <row r="37579" spans="1:14" s="2" customFormat="1">
      <c r="A37579" s="83"/>
      <c r="H37579" s="83"/>
      <c r="K37579" s="82"/>
      <c r="M37579" s="112"/>
      <c r="N37579" s="84"/>
    </row>
    <row r="37580" spans="1:14" s="2" customFormat="1">
      <c r="A37580" s="83"/>
      <c r="H37580" s="83"/>
      <c r="K37580" s="82"/>
      <c r="M37580" s="112"/>
      <c r="N37580" s="84"/>
    </row>
    <row r="37581" spans="1:14" s="2" customFormat="1">
      <c r="A37581" s="83"/>
      <c r="H37581" s="83"/>
      <c r="K37581" s="82"/>
      <c r="M37581" s="112"/>
      <c r="N37581" s="84"/>
    </row>
    <row r="37582" spans="1:14" s="2" customFormat="1">
      <c r="A37582" s="83"/>
      <c r="H37582" s="83"/>
      <c r="K37582" s="82"/>
      <c r="M37582" s="112"/>
      <c r="N37582" s="84"/>
    </row>
    <row r="37583" spans="1:14" s="2" customFormat="1">
      <c r="A37583" s="83"/>
      <c r="H37583" s="83"/>
      <c r="K37583" s="82"/>
      <c r="M37583" s="112"/>
      <c r="N37583" s="84"/>
    </row>
    <row r="37584" spans="1:14" s="2" customFormat="1">
      <c r="A37584" s="83"/>
      <c r="H37584" s="83"/>
      <c r="K37584" s="82"/>
      <c r="M37584" s="112"/>
      <c r="N37584" s="84"/>
    </row>
    <row r="37585" spans="1:14" s="2" customFormat="1">
      <c r="A37585" s="83"/>
      <c r="H37585" s="83"/>
      <c r="K37585" s="82"/>
      <c r="M37585" s="112"/>
      <c r="N37585" s="84"/>
    </row>
    <row r="37586" spans="1:14" s="2" customFormat="1">
      <c r="A37586" s="83"/>
      <c r="H37586" s="83"/>
      <c r="K37586" s="82"/>
      <c r="M37586" s="112"/>
      <c r="N37586" s="84"/>
    </row>
    <row r="37587" spans="1:14" s="2" customFormat="1">
      <c r="A37587" s="83"/>
      <c r="H37587" s="83"/>
      <c r="K37587" s="82"/>
      <c r="M37587" s="112"/>
      <c r="N37587" s="84"/>
    </row>
    <row r="37588" spans="1:14" s="2" customFormat="1">
      <c r="A37588" s="83"/>
      <c r="H37588" s="83"/>
      <c r="K37588" s="82"/>
      <c r="M37588" s="112"/>
      <c r="N37588" s="84"/>
    </row>
    <row r="37589" spans="1:14" s="2" customFormat="1">
      <c r="A37589" s="83"/>
      <c r="H37589" s="83"/>
      <c r="K37589" s="82"/>
      <c r="M37589" s="112"/>
      <c r="N37589" s="84"/>
    </row>
    <row r="37590" spans="1:14" s="2" customFormat="1">
      <c r="A37590" s="83"/>
      <c r="H37590" s="83"/>
      <c r="K37590" s="82"/>
      <c r="M37590" s="112"/>
      <c r="N37590" s="84"/>
    </row>
    <row r="37591" spans="1:14" s="2" customFormat="1">
      <c r="A37591" s="83"/>
      <c r="H37591" s="83"/>
      <c r="K37591" s="82"/>
      <c r="M37591" s="112"/>
      <c r="N37591" s="84"/>
    </row>
    <row r="37592" spans="1:14" s="2" customFormat="1">
      <c r="A37592" s="83"/>
      <c r="H37592" s="83"/>
      <c r="K37592" s="82"/>
      <c r="M37592" s="112"/>
      <c r="N37592" s="84"/>
    </row>
    <row r="37593" spans="1:14" s="2" customFormat="1">
      <c r="A37593" s="83"/>
      <c r="H37593" s="83"/>
      <c r="K37593" s="82"/>
      <c r="M37593" s="112"/>
      <c r="N37593" s="84"/>
    </row>
    <row r="37594" spans="1:14" s="2" customFormat="1">
      <c r="A37594" s="83"/>
      <c r="H37594" s="83"/>
      <c r="K37594" s="82"/>
      <c r="M37594" s="112"/>
      <c r="N37594" s="84"/>
    </row>
    <row r="37595" spans="1:14" s="2" customFormat="1">
      <c r="A37595" s="83"/>
      <c r="H37595" s="83"/>
      <c r="K37595" s="82"/>
      <c r="M37595" s="112"/>
      <c r="N37595" s="84"/>
    </row>
    <row r="37596" spans="1:14" s="2" customFormat="1">
      <c r="A37596" s="83"/>
      <c r="H37596" s="83"/>
      <c r="K37596" s="82"/>
      <c r="M37596" s="112"/>
      <c r="N37596" s="84"/>
    </row>
    <row r="37597" spans="1:14" s="2" customFormat="1">
      <c r="A37597" s="83"/>
      <c r="H37597" s="83"/>
      <c r="K37597" s="82"/>
      <c r="M37597" s="112"/>
      <c r="N37597" s="84"/>
    </row>
    <row r="37598" spans="1:14" s="2" customFormat="1">
      <c r="A37598" s="83"/>
      <c r="H37598" s="83"/>
      <c r="K37598" s="82"/>
      <c r="M37598" s="112"/>
      <c r="N37598" s="84"/>
    </row>
    <row r="37599" spans="1:14" s="2" customFormat="1">
      <c r="A37599" s="83"/>
      <c r="H37599" s="83"/>
      <c r="K37599" s="82"/>
      <c r="M37599" s="112"/>
      <c r="N37599" s="84"/>
    </row>
    <row r="37600" spans="1:14" s="2" customFormat="1">
      <c r="A37600" s="83"/>
      <c r="H37600" s="83"/>
      <c r="K37600" s="82"/>
      <c r="M37600" s="112"/>
      <c r="N37600" s="84"/>
    </row>
    <row r="37601" spans="1:14" s="2" customFormat="1">
      <c r="A37601" s="83"/>
      <c r="H37601" s="83"/>
      <c r="K37601" s="82"/>
      <c r="M37601" s="112"/>
      <c r="N37601" s="84"/>
    </row>
    <row r="37602" spans="1:14" s="2" customFormat="1">
      <c r="A37602" s="83"/>
      <c r="H37602" s="83"/>
      <c r="K37602" s="82"/>
      <c r="M37602" s="112"/>
      <c r="N37602" s="84"/>
    </row>
    <row r="37603" spans="1:14" s="2" customFormat="1">
      <c r="A37603" s="83"/>
      <c r="H37603" s="83"/>
      <c r="K37603" s="82"/>
      <c r="M37603" s="112"/>
      <c r="N37603" s="84"/>
    </row>
    <row r="37604" spans="1:14" s="2" customFormat="1">
      <c r="A37604" s="83"/>
      <c r="H37604" s="83"/>
      <c r="K37604" s="82"/>
      <c r="M37604" s="112"/>
      <c r="N37604" s="84"/>
    </row>
    <row r="37605" spans="1:14" s="2" customFormat="1">
      <c r="A37605" s="83"/>
      <c r="H37605" s="83"/>
      <c r="K37605" s="82"/>
      <c r="M37605" s="112"/>
      <c r="N37605" s="84"/>
    </row>
    <row r="37606" spans="1:14" s="2" customFormat="1">
      <c r="A37606" s="83"/>
      <c r="H37606" s="83"/>
      <c r="K37606" s="82"/>
      <c r="M37606" s="112"/>
      <c r="N37606" s="84"/>
    </row>
    <row r="37607" spans="1:14" s="2" customFormat="1">
      <c r="A37607" s="83"/>
      <c r="H37607" s="83"/>
      <c r="K37607" s="82"/>
      <c r="M37607" s="112"/>
      <c r="N37607" s="84"/>
    </row>
    <row r="37608" spans="1:14" s="2" customFormat="1">
      <c r="A37608" s="83"/>
      <c r="H37608" s="83"/>
      <c r="K37608" s="82"/>
      <c r="M37608" s="112"/>
      <c r="N37608" s="84"/>
    </row>
    <row r="37609" spans="1:14" s="2" customFormat="1">
      <c r="A37609" s="83"/>
      <c r="H37609" s="83"/>
      <c r="K37609" s="82"/>
      <c r="M37609" s="112"/>
      <c r="N37609" s="84"/>
    </row>
    <row r="37610" spans="1:14" s="2" customFormat="1">
      <c r="A37610" s="83"/>
      <c r="H37610" s="83"/>
      <c r="K37610" s="82"/>
      <c r="M37610" s="112"/>
      <c r="N37610" s="84"/>
    </row>
    <row r="37611" spans="1:14" s="2" customFormat="1">
      <c r="A37611" s="83"/>
      <c r="H37611" s="83"/>
      <c r="K37611" s="82"/>
      <c r="M37611" s="112"/>
      <c r="N37611" s="84"/>
    </row>
    <row r="37612" spans="1:14" s="2" customFormat="1">
      <c r="A37612" s="83"/>
      <c r="H37612" s="83"/>
      <c r="K37612" s="82"/>
      <c r="M37612" s="112"/>
      <c r="N37612" s="84"/>
    </row>
    <row r="37613" spans="1:14" s="2" customFormat="1">
      <c r="A37613" s="83"/>
      <c r="H37613" s="83"/>
      <c r="K37613" s="82"/>
      <c r="M37613" s="112"/>
      <c r="N37613" s="84"/>
    </row>
    <row r="37614" spans="1:14" s="2" customFormat="1">
      <c r="A37614" s="83"/>
      <c r="H37614" s="83"/>
      <c r="K37614" s="82"/>
      <c r="M37614" s="112"/>
      <c r="N37614" s="84"/>
    </row>
    <row r="37615" spans="1:14" s="2" customFormat="1">
      <c r="A37615" s="83"/>
      <c r="H37615" s="83"/>
      <c r="K37615" s="82"/>
      <c r="M37615" s="112"/>
      <c r="N37615" s="84"/>
    </row>
    <row r="37616" spans="1:14" s="2" customFormat="1">
      <c r="A37616" s="83"/>
      <c r="H37616" s="83"/>
      <c r="K37616" s="82"/>
      <c r="M37616" s="112"/>
      <c r="N37616" s="84"/>
    </row>
    <row r="37617" spans="1:14" s="2" customFormat="1">
      <c r="A37617" s="83"/>
      <c r="H37617" s="83"/>
      <c r="K37617" s="82"/>
      <c r="M37617" s="112"/>
      <c r="N37617" s="84"/>
    </row>
    <row r="37618" spans="1:14" s="2" customFormat="1">
      <c r="A37618" s="83"/>
      <c r="H37618" s="83"/>
      <c r="K37618" s="82"/>
      <c r="M37618" s="112"/>
      <c r="N37618" s="84"/>
    </row>
    <row r="37619" spans="1:14" s="2" customFormat="1">
      <c r="A37619" s="83"/>
      <c r="H37619" s="83"/>
      <c r="K37619" s="82"/>
      <c r="M37619" s="112"/>
      <c r="N37619" s="84"/>
    </row>
    <row r="37620" spans="1:14" s="2" customFormat="1">
      <c r="A37620" s="83"/>
      <c r="H37620" s="83"/>
      <c r="K37620" s="82"/>
      <c r="M37620" s="112"/>
      <c r="N37620" s="84"/>
    </row>
    <row r="37621" spans="1:14" s="2" customFormat="1">
      <c r="A37621" s="83"/>
      <c r="H37621" s="83"/>
      <c r="K37621" s="82"/>
      <c r="M37621" s="112"/>
      <c r="N37621" s="84"/>
    </row>
    <row r="37622" spans="1:14" s="2" customFormat="1">
      <c r="A37622" s="83"/>
      <c r="H37622" s="83"/>
      <c r="K37622" s="82"/>
      <c r="M37622" s="112"/>
      <c r="N37622" s="84"/>
    </row>
    <row r="37623" spans="1:14" s="2" customFormat="1">
      <c r="A37623" s="83"/>
      <c r="H37623" s="83"/>
      <c r="K37623" s="82"/>
      <c r="M37623" s="112"/>
      <c r="N37623" s="84"/>
    </row>
    <row r="37624" spans="1:14" s="2" customFormat="1">
      <c r="A37624" s="83"/>
      <c r="H37624" s="83"/>
      <c r="K37624" s="82"/>
      <c r="M37624" s="112"/>
      <c r="N37624" s="84"/>
    </row>
    <row r="37625" spans="1:14" s="2" customFormat="1">
      <c r="A37625" s="83"/>
      <c r="H37625" s="83"/>
      <c r="K37625" s="82"/>
      <c r="M37625" s="112"/>
      <c r="N37625" s="84"/>
    </row>
    <row r="37626" spans="1:14" s="2" customFormat="1">
      <c r="A37626" s="83"/>
      <c r="H37626" s="83"/>
      <c r="K37626" s="82"/>
      <c r="M37626" s="112"/>
      <c r="N37626" s="84"/>
    </row>
    <row r="37627" spans="1:14" s="2" customFormat="1">
      <c r="A37627" s="83"/>
      <c r="H37627" s="83"/>
      <c r="K37627" s="82"/>
      <c r="M37627" s="112"/>
      <c r="N37627" s="84"/>
    </row>
    <row r="37628" spans="1:14" s="2" customFormat="1">
      <c r="A37628" s="83"/>
      <c r="H37628" s="83"/>
      <c r="K37628" s="82"/>
      <c r="M37628" s="112"/>
      <c r="N37628" s="84"/>
    </row>
    <row r="37629" spans="1:14" s="2" customFormat="1">
      <c r="A37629" s="83"/>
      <c r="H37629" s="83"/>
      <c r="K37629" s="82"/>
      <c r="M37629" s="112"/>
      <c r="N37629" s="84"/>
    </row>
    <row r="37630" spans="1:14" s="2" customFormat="1">
      <c r="A37630" s="83"/>
      <c r="H37630" s="83"/>
      <c r="K37630" s="82"/>
      <c r="M37630" s="112"/>
      <c r="N37630" s="84"/>
    </row>
    <row r="37631" spans="1:14" s="2" customFormat="1">
      <c r="A37631" s="83"/>
      <c r="H37631" s="83"/>
      <c r="K37631" s="82"/>
      <c r="M37631" s="112"/>
      <c r="N37631" s="84"/>
    </row>
    <row r="37632" spans="1:14" s="2" customFormat="1">
      <c r="A37632" s="83"/>
      <c r="H37632" s="83"/>
      <c r="K37632" s="82"/>
      <c r="M37632" s="112"/>
      <c r="N37632" s="84"/>
    </row>
    <row r="37633" spans="1:14" s="2" customFormat="1">
      <c r="A37633" s="83"/>
      <c r="H37633" s="83"/>
      <c r="K37633" s="82"/>
      <c r="M37633" s="112"/>
      <c r="N37633" s="84"/>
    </row>
    <row r="37634" spans="1:14" s="2" customFormat="1">
      <c r="A37634" s="83"/>
      <c r="H37634" s="83"/>
      <c r="K37634" s="82"/>
      <c r="M37634" s="112"/>
      <c r="N37634" s="84"/>
    </row>
    <row r="37635" spans="1:14" s="2" customFormat="1">
      <c r="A37635" s="83"/>
      <c r="H37635" s="83"/>
      <c r="K37635" s="82"/>
      <c r="M37635" s="112"/>
      <c r="N37635" s="84"/>
    </row>
    <row r="37636" spans="1:14" s="2" customFormat="1">
      <c r="A37636" s="83"/>
      <c r="H37636" s="83"/>
      <c r="K37636" s="82"/>
      <c r="M37636" s="112"/>
      <c r="N37636" s="84"/>
    </row>
    <row r="37637" spans="1:14" s="2" customFormat="1">
      <c r="A37637" s="83"/>
      <c r="H37637" s="83"/>
      <c r="K37637" s="82"/>
      <c r="M37637" s="112"/>
      <c r="N37637" s="84"/>
    </row>
    <row r="37638" spans="1:14" s="2" customFormat="1">
      <c r="A37638" s="83"/>
      <c r="H37638" s="83"/>
      <c r="K37638" s="82"/>
      <c r="M37638" s="112"/>
      <c r="N37638" s="84"/>
    </row>
    <row r="37639" spans="1:14" s="2" customFormat="1">
      <c r="A37639" s="83"/>
      <c r="H37639" s="83"/>
      <c r="K37639" s="82"/>
      <c r="M37639" s="112"/>
      <c r="N37639" s="84"/>
    </row>
    <row r="37640" spans="1:14" s="2" customFormat="1">
      <c r="A37640" s="83"/>
      <c r="H37640" s="83"/>
      <c r="K37640" s="82"/>
      <c r="M37640" s="112"/>
      <c r="N37640" s="84"/>
    </row>
    <row r="37641" spans="1:14" s="2" customFormat="1">
      <c r="A37641" s="83"/>
      <c r="H37641" s="83"/>
      <c r="K37641" s="82"/>
      <c r="M37641" s="112"/>
      <c r="N37641" s="84"/>
    </row>
    <row r="37642" spans="1:14" s="2" customFormat="1">
      <c r="A37642" s="83"/>
      <c r="H37642" s="83"/>
      <c r="K37642" s="82"/>
      <c r="M37642" s="112"/>
      <c r="N37642" s="84"/>
    </row>
    <row r="37643" spans="1:14" s="2" customFormat="1">
      <c r="A37643" s="83"/>
      <c r="H37643" s="83"/>
      <c r="K37643" s="82"/>
      <c r="M37643" s="112"/>
      <c r="N37643" s="84"/>
    </row>
    <row r="37644" spans="1:14" s="2" customFormat="1">
      <c r="A37644" s="83"/>
      <c r="H37644" s="83"/>
      <c r="K37644" s="82"/>
      <c r="M37644" s="112"/>
      <c r="N37644" s="84"/>
    </row>
    <row r="37645" spans="1:14" s="2" customFormat="1">
      <c r="A37645" s="83"/>
      <c r="H37645" s="83"/>
      <c r="K37645" s="82"/>
      <c r="M37645" s="112"/>
      <c r="N37645" s="84"/>
    </row>
    <row r="37646" spans="1:14" s="2" customFormat="1">
      <c r="A37646" s="83"/>
      <c r="H37646" s="83"/>
      <c r="K37646" s="82"/>
      <c r="M37646" s="112"/>
      <c r="N37646" s="84"/>
    </row>
    <row r="37647" spans="1:14" s="2" customFormat="1">
      <c r="A37647" s="83"/>
      <c r="H37647" s="83"/>
      <c r="K37647" s="82"/>
      <c r="M37647" s="112"/>
      <c r="N37647" s="84"/>
    </row>
    <row r="37648" spans="1:14" s="2" customFormat="1">
      <c r="A37648" s="83"/>
      <c r="H37648" s="83"/>
      <c r="K37648" s="82"/>
      <c r="M37648" s="112"/>
      <c r="N37648" s="84"/>
    </row>
    <row r="37649" spans="1:14" s="2" customFormat="1">
      <c r="A37649" s="83"/>
      <c r="H37649" s="83"/>
      <c r="K37649" s="82"/>
      <c r="M37649" s="112"/>
      <c r="N37649" s="84"/>
    </row>
    <row r="37650" spans="1:14" s="2" customFormat="1">
      <c r="A37650" s="83"/>
      <c r="H37650" s="83"/>
      <c r="K37650" s="82"/>
      <c r="M37650" s="112"/>
      <c r="N37650" s="84"/>
    </row>
    <row r="37651" spans="1:14" s="2" customFormat="1">
      <c r="A37651" s="83"/>
      <c r="H37651" s="83"/>
      <c r="K37651" s="82"/>
      <c r="M37651" s="112"/>
      <c r="N37651" s="84"/>
    </row>
    <row r="37652" spans="1:14" s="2" customFormat="1">
      <c r="A37652" s="83"/>
      <c r="H37652" s="83"/>
      <c r="K37652" s="82"/>
      <c r="M37652" s="112"/>
      <c r="N37652" s="84"/>
    </row>
    <row r="37653" spans="1:14" s="2" customFormat="1">
      <c r="A37653" s="83"/>
      <c r="H37653" s="83"/>
      <c r="K37653" s="82"/>
      <c r="M37653" s="112"/>
      <c r="N37653" s="84"/>
    </row>
    <row r="37654" spans="1:14" s="2" customFormat="1">
      <c r="A37654" s="83"/>
      <c r="H37654" s="83"/>
      <c r="K37654" s="82"/>
      <c r="M37654" s="112"/>
      <c r="N37654" s="84"/>
    </row>
    <row r="37655" spans="1:14" s="2" customFormat="1">
      <c r="A37655" s="83"/>
      <c r="H37655" s="83"/>
      <c r="K37655" s="82"/>
      <c r="M37655" s="112"/>
      <c r="N37655" s="84"/>
    </row>
    <row r="37656" spans="1:14" s="2" customFormat="1">
      <c r="A37656" s="83"/>
      <c r="H37656" s="83"/>
      <c r="K37656" s="82"/>
      <c r="M37656" s="112"/>
      <c r="N37656" s="84"/>
    </row>
    <row r="37657" spans="1:14" s="2" customFormat="1">
      <c r="A37657" s="83"/>
      <c r="H37657" s="83"/>
      <c r="K37657" s="82"/>
      <c r="M37657" s="112"/>
      <c r="N37657" s="84"/>
    </row>
    <row r="37658" spans="1:14" s="2" customFormat="1">
      <c r="A37658" s="83"/>
      <c r="H37658" s="83"/>
      <c r="K37658" s="82"/>
      <c r="M37658" s="112"/>
      <c r="N37658" s="84"/>
    </row>
    <row r="37659" spans="1:14" s="2" customFormat="1">
      <c r="A37659" s="83"/>
      <c r="H37659" s="83"/>
      <c r="K37659" s="82"/>
      <c r="M37659" s="112"/>
      <c r="N37659" s="84"/>
    </row>
    <row r="37660" spans="1:14" s="2" customFormat="1">
      <c r="A37660" s="83"/>
      <c r="H37660" s="83"/>
      <c r="K37660" s="82"/>
      <c r="M37660" s="112"/>
      <c r="N37660" s="84"/>
    </row>
    <row r="37661" spans="1:14" s="2" customFormat="1">
      <c r="A37661" s="83"/>
      <c r="H37661" s="83"/>
      <c r="K37661" s="82"/>
      <c r="M37661" s="112"/>
      <c r="N37661" s="84"/>
    </row>
    <row r="37662" spans="1:14" s="2" customFormat="1">
      <c r="A37662" s="83"/>
      <c r="H37662" s="83"/>
      <c r="K37662" s="82"/>
      <c r="M37662" s="112"/>
      <c r="N37662" s="84"/>
    </row>
    <row r="37663" spans="1:14" s="2" customFormat="1">
      <c r="A37663" s="83"/>
      <c r="H37663" s="83"/>
      <c r="K37663" s="82"/>
      <c r="M37663" s="112"/>
      <c r="N37663" s="84"/>
    </row>
    <row r="37664" spans="1:14" s="2" customFormat="1">
      <c r="A37664" s="83"/>
      <c r="H37664" s="83"/>
      <c r="K37664" s="82"/>
      <c r="M37664" s="112"/>
      <c r="N37664" s="84"/>
    </row>
    <row r="37665" spans="1:14" s="2" customFormat="1">
      <c r="A37665" s="83"/>
      <c r="H37665" s="83"/>
      <c r="K37665" s="82"/>
      <c r="M37665" s="112"/>
      <c r="N37665" s="84"/>
    </row>
    <row r="37666" spans="1:14" s="2" customFormat="1">
      <c r="A37666" s="83"/>
      <c r="H37666" s="83"/>
      <c r="K37666" s="82"/>
      <c r="M37666" s="112"/>
      <c r="N37666" s="84"/>
    </row>
    <row r="37667" spans="1:14" s="2" customFormat="1">
      <c r="A37667" s="83"/>
      <c r="H37667" s="83"/>
      <c r="K37667" s="82"/>
      <c r="M37667" s="112"/>
      <c r="N37667" s="84"/>
    </row>
    <row r="37668" spans="1:14" s="2" customFormat="1">
      <c r="A37668" s="83"/>
      <c r="H37668" s="83"/>
      <c r="K37668" s="82"/>
      <c r="M37668" s="112"/>
      <c r="N37668" s="84"/>
    </row>
    <row r="37669" spans="1:14" s="2" customFormat="1">
      <c r="A37669" s="83"/>
      <c r="H37669" s="83"/>
      <c r="K37669" s="82"/>
      <c r="M37669" s="112"/>
      <c r="N37669" s="84"/>
    </row>
    <row r="37670" spans="1:14" s="2" customFormat="1">
      <c r="A37670" s="83"/>
      <c r="H37670" s="83"/>
      <c r="K37670" s="82"/>
      <c r="M37670" s="112"/>
      <c r="N37670" s="84"/>
    </row>
    <row r="37671" spans="1:14" s="2" customFormat="1">
      <c r="A37671" s="83"/>
      <c r="H37671" s="83"/>
      <c r="K37671" s="82"/>
      <c r="M37671" s="112"/>
      <c r="N37671" s="84"/>
    </row>
    <row r="37672" spans="1:14" s="2" customFormat="1">
      <c r="A37672" s="83"/>
      <c r="H37672" s="83"/>
      <c r="K37672" s="82"/>
      <c r="M37672" s="112"/>
      <c r="N37672" s="84"/>
    </row>
    <row r="37673" spans="1:14" s="2" customFormat="1">
      <c r="A37673" s="83"/>
      <c r="H37673" s="83"/>
      <c r="K37673" s="82"/>
      <c r="M37673" s="112"/>
      <c r="N37673" s="84"/>
    </row>
    <row r="37674" spans="1:14" s="2" customFormat="1">
      <c r="A37674" s="83"/>
      <c r="H37674" s="83"/>
      <c r="K37674" s="82"/>
      <c r="M37674" s="112"/>
      <c r="N37674" s="84"/>
    </row>
    <row r="37675" spans="1:14" s="2" customFormat="1">
      <c r="A37675" s="83"/>
      <c r="H37675" s="83"/>
      <c r="K37675" s="82"/>
      <c r="M37675" s="112"/>
      <c r="N37675" s="84"/>
    </row>
    <row r="37676" spans="1:14" s="2" customFormat="1">
      <c r="A37676" s="83"/>
      <c r="H37676" s="83"/>
      <c r="K37676" s="82"/>
      <c r="M37676" s="112"/>
      <c r="N37676" s="84"/>
    </row>
    <row r="37677" spans="1:14" s="2" customFormat="1">
      <c r="A37677" s="83"/>
      <c r="H37677" s="83"/>
      <c r="K37677" s="82"/>
      <c r="M37677" s="112"/>
      <c r="N37677" s="84"/>
    </row>
    <row r="37678" spans="1:14" s="2" customFormat="1">
      <c r="A37678" s="83"/>
      <c r="H37678" s="83"/>
      <c r="K37678" s="82"/>
      <c r="M37678" s="112"/>
      <c r="N37678" s="84"/>
    </row>
    <row r="37679" spans="1:14" s="2" customFormat="1">
      <c r="A37679" s="83"/>
      <c r="H37679" s="83"/>
      <c r="K37679" s="82"/>
      <c r="M37679" s="112"/>
      <c r="N37679" s="84"/>
    </row>
    <row r="37680" spans="1:14" s="2" customFormat="1">
      <c r="A37680" s="83"/>
      <c r="H37680" s="83"/>
      <c r="K37680" s="82"/>
      <c r="M37680" s="112"/>
      <c r="N37680" s="84"/>
    </row>
    <row r="37681" spans="1:14" s="2" customFormat="1">
      <c r="A37681" s="83"/>
      <c r="H37681" s="83"/>
      <c r="K37681" s="82"/>
      <c r="M37681" s="112"/>
      <c r="N37681" s="84"/>
    </row>
    <row r="37682" spans="1:14" s="2" customFormat="1">
      <c r="A37682" s="83"/>
      <c r="H37682" s="83"/>
      <c r="K37682" s="82"/>
      <c r="M37682" s="112"/>
      <c r="N37682" s="84"/>
    </row>
    <row r="37683" spans="1:14" s="2" customFormat="1">
      <c r="A37683" s="83"/>
      <c r="H37683" s="83"/>
      <c r="K37683" s="82"/>
      <c r="M37683" s="112"/>
      <c r="N37683" s="84"/>
    </row>
    <row r="37684" spans="1:14" s="2" customFormat="1">
      <c r="A37684" s="83"/>
      <c r="H37684" s="83"/>
      <c r="K37684" s="82"/>
      <c r="M37684" s="112"/>
      <c r="N37684" s="84"/>
    </row>
    <row r="37685" spans="1:14" s="2" customFormat="1">
      <c r="A37685" s="83"/>
      <c r="H37685" s="83"/>
      <c r="K37685" s="82"/>
      <c r="M37685" s="112"/>
      <c r="N37685" s="84"/>
    </row>
    <row r="37686" spans="1:14" s="2" customFormat="1">
      <c r="A37686" s="83"/>
      <c r="H37686" s="83"/>
      <c r="K37686" s="82"/>
      <c r="M37686" s="112"/>
      <c r="N37686" s="84"/>
    </row>
    <row r="37687" spans="1:14" s="2" customFormat="1">
      <c r="A37687" s="83"/>
      <c r="H37687" s="83"/>
      <c r="K37687" s="82"/>
      <c r="M37687" s="112"/>
      <c r="N37687" s="84"/>
    </row>
    <row r="37688" spans="1:14" s="2" customFormat="1">
      <c r="A37688" s="83"/>
      <c r="H37688" s="83"/>
      <c r="K37688" s="82"/>
      <c r="M37688" s="112"/>
      <c r="N37688" s="84"/>
    </row>
    <row r="37689" spans="1:14" s="2" customFormat="1">
      <c r="A37689" s="83"/>
      <c r="H37689" s="83"/>
      <c r="K37689" s="82"/>
      <c r="M37689" s="112"/>
      <c r="N37689" s="84"/>
    </row>
    <row r="37690" spans="1:14" s="2" customFormat="1">
      <c r="A37690" s="83"/>
      <c r="H37690" s="83"/>
      <c r="K37690" s="82"/>
      <c r="M37690" s="112"/>
      <c r="N37690" s="84"/>
    </row>
    <row r="37691" spans="1:14" s="2" customFormat="1">
      <c r="A37691" s="83"/>
      <c r="H37691" s="83"/>
      <c r="K37691" s="82"/>
      <c r="M37691" s="112"/>
      <c r="N37691" s="84"/>
    </row>
    <row r="37692" spans="1:14" s="2" customFormat="1">
      <c r="A37692" s="83"/>
      <c r="H37692" s="83"/>
      <c r="K37692" s="82"/>
      <c r="M37692" s="112"/>
      <c r="N37692" s="84"/>
    </row>
    <row r="37693" spans="1:14" s="2" customFormat="1">
      <c r="A37693" s="83"/>
      <c r="H37693" s="83"/>
      <c r="K37693" s="82"/>
      <c r="M37693" s="112"/>
      <c r="N37693" s="84"/>
    </row>
    <row r="37694" spans="1:14" s="2" customFormat="1">
      <c r="A37694" s="83"/>
      <c r="H37694" s="83"/>
      <c r="K37694" s="82"/>
      <c r="M37694" s="112"/>
      <c r="N37694" s="84"/>
    </row>
    <row r="37695" spans="1:14" s="2" customFormat="1">
      <c r="A37695" s="83"/>
      <c r="H37695" s="83"/>
      <c r="K37695" s="82"/>
      <c r="M37695" s="112"/>
      <c r="N37695" s="84"/>
    </row>
    <row r="37696" spans="1:14" s="2" customFormat="1">
      <c r="A37696" s="83"/>
      <c r="H37696" s="83"/>
      <c r="K37696" s="82"/>
      <c r="M37696" s="112"/>
      <c r="N37696" s="84"/>
    </row>
    <row r="37697" spans="1:14" s="2" customFormat="1">
      <c r="A37697" s="83"/>
      <c r="H37697" s="83"/>
      <c r="K37697" s="82"/>
      <c r="M37697" s="112"/>
      <c r="N37697" s="84"/>
    </row>
    <row r="37698" spans="1:14" s="2" customFormat="1">
      <c r="A37698" s="83"/>
      <c r="H37698" s="83"/>
      <c r="K37698" s="82"/>
      <c r="M37698" s="112"/>
      <c r="N37698" s="84"/>
    </row>
    <row r="37699" spans="1:14" s="2" customFormat="1">
      <c r="A37699" s="83"/>
      <c r="H37699" s="83"/>
      <c r="K37699" s="82"/>
      <c r="M37699" s="112"/>
      <c r="N37699" s="84"/>
    </row>
    <row r="37700" spans="1:14" s="2" customFormat="1">
      <c r="A37700" s="83"/>
      <c r="H37700" s="83"/>
      <c r="K37700" s="82"/>
      <c r="M37700" s="112"/>
      <c r="N37700" s="84"/>
    </row>
    <row r="37701" spans="1:14" s="2" customFormat="1">
      <c r="A37701" s="83"/>
      <c r="H37701" s="83"/>
      <c r="K37701" s="82"/>
      <c r="M37701" s="112"/>
      <c r="N37701" s="84"/>
    </row>
    <row r="37702" spans="1:14" s="2" customFormat="1">
      <c r="A37702" s="83"/>
      <c r="H37702" s="83"/>
      <c r="K37702" s="82"/>
      <c r="M37702" s="112"/>
      <c r="N37702" s="84"/>
    </row>
    <row r="37703" spans="1:14" s="2" customFormat="1">
      <c r="A37703" s="83"/>
      <c r="H37703" s="83"/>
      <c r="K37703" s="82"/>
      <c r="M37703" s="112"/>
      <c r="N37703" s="84"/>
    </row>
    <row r="37704" spans="1:14" s="2" customFormat="1">
      <c r="A37704" s="83"/>
      <c r="H37704" s="83"/>
      <c r="K37704" s="82"/>
      <c r="M37704" s="112"/>
      <c r="N37704" s="84"/>
    </row>
    <row r="37705" spans="1:14" s="2" customFormat="1">
      <c r="A37705" s="83"/>
      <c r="H37705" s="83"/>
      <c r="K37705" s="82"/>
      <c r="M37705" s="112"/>
      <c r="N37705" s="84"/>
    </row>
    <row r="37706" spans="1:14" s="2" customFormat="1">
      <c r="A37706" s="83"/>
      <c r="H37706" s="83"/>
      <c r="K37706" s="82"/>
      <c r="M37706" s="112"/>
      <c r="N37706" s="84"/>
    </row>
    <row r="37707" spans="1:14" s="2" customFormat="1">
      <c r="A37707" s="83"/>
      <c r="H37707" s="83"/>
      <c r="K37707" s="82"/>
      <c r="M37707" s="112"/>
      <c r="N37707" s="84"/>
    </row>
    <row r="37708" spans="1:14" s="2" customFormat="1">
      <c r="A37708" s="83"/>
      <c r="H37708" s="83"/>
      <c r="K37708" s="82"/>
      <c r="M37708" s="112"/>
      <c r="N37708" s="84"/>
    </row>
    <row r="37709" spans="1:14" s="2" customFormat="1">
      <c r="A37709" s="83"/>
      <c r="H37709" s="83"/>
      <c r="K37709" s="82"/>
      <c r="M37709" s="112"/>
      <c r="N37709" s="84"/>
    </row>
    <row r="37710" spans="1:14" s="2" customFormat="1">
      <c r="A37710" s="83"/>
      <c r="H37710" s="83"/>
      <c r="K37710" s="82"/>
      <c r="M37710" s="112"/>
      <c r="N37710" s="84"/>
    </row>
    <row r="37711" spans="1:14" s="2" customFormat="1">
      <c r="A37711" s="83"/>
      <c r="H37711" s="83"/>
      <c r="K37711" s="82"/>
      <c r="M37711" s="112"/>
      <c r="N37711" s="84"/>
    </row>
    <row r="37712" spans="1:14" s="2" customFormat="1">
      <c r="A37712" s="83"/>
      <c r="H37712" s="83"/>
      <c r="K37712" s="82"/>
      <c r="M37712" s="112"/>
      <c r="N37712" s="84"/>
    </row>
    <row r="37713" spans="1:14" s="2" customFormat="1">
      <c r="A37713" s="83"/>
      <c r="H37713" s="83"/>
      <c r="K37713" s="82"/>
      <c r="M37713" s="112"/>
      <c r="N37713" s="84"/>
    </row>
    <row r="37714" spans="1:14" s="2" customFormat="1">
      <c r="A37714" s="83"/>
      <c r="H37714" s="83"/>
      <c r="K37714" s="82"/>
      <c r="M37714" s="112"/>
      <c r="N37714" s="84"/>
    </row>
    <row r="37715" spans="1:14" s="2" customFormat="1">
      <c r="A37715" s="83"/>
      <c r="H37715" s="83"/>
      <c r="K37715" s="82"/>
      <c r="M37715" s="112"/>
      <c r="N37715" s="84"/>
    </row>
    <row r="37716" spans="1:14" s="2" customFormat="1">
      <c r="A37716" s="83"/>
      <c r="H37716" s="83"/>
      <c r="K37716" s="82"/>
      <c r="M37716" s="112"/>
      <c r="N37716" s="84"/>
    </row>
    <row r="37717" spans="1:14" s="2" customFormat="1">
      <c r="A37717" s="83"/>
      <c r="H37717" s="83"/>
      <c r="K37717" s="82"/>
      <c r="M37717" s="112"/>
      <c r="N37717" s="84"/>
    </row>
    <row r="37718" spans="1:14" s="2" customFormat="1">
      <c r="A37718" s="83"/>
      <c r="H37718" s="83"/>
      <c r="K37718" s="82"/>
      <c r="M37718" s="112"/>
      <c r="N37718" s="84"/>
    </row>
    <row r="37719" spans="1:14" s="2" customFormat="1">
      <c r="A37719" s="83"/>
      <c r="H37719" s="83"/>
      <c r="K37719" s="82"/>
      <c r="M37719" s="112"/>
      <c r="N37719" s="84"/>
    </row>
    <row r="37720" spans="1:14" s="2" customFormat="1">
      <c r="A37720" s="83"/>
      <c r="H37720" s="83"/>
      <c r="K37720" s="82"/>
      <c r="M37720" s="112"/>
      <c r="N37720" s="84"/>
    </row>
    <row r="37721" spans="1:14" s="2" customFormat="1">
      <c r="A37721" s="83"/>
      <c r="H37721" s="83"/>
      <c r="K37721" s="82"/>
      <c r="M37721" s="112"/>
      <c r="N37721" s="84"/>
    </row>
    <row r="37722" spans="1:14" s="2" customFormat="1">
      <c r="A37722" s="83"/>
      <c r="H37722" s="83"/>
      <c r="K37722" s="82"/>
      <c r="M37722" s="112"/>
      <c r="N37722" s="84"/>
    </row>
    <row r="37723" spans="1:14" s="2" customFormat="1">
      <c r="A37723" s="83"/>
      <c r="H37723" s="83"/>
      <c r="K37723" s="82"/>
      <c r="M37723" s="112"/>
      <c r="N37723" s="84"/>
    </row>
    <row r="37724" spans="1:14" s="2" customFormat="1">
      <c r="A37724" s="83"/>
      <c r="H37724" s="83"/>
      <c r="K37724" s="82"/>
      <c r="M37724" s="112"/>
      <c r="N37724" s="84"/>
    </row>
    <row r="37725" spans="1:14" s="2" customFormat="1">
      <c r="A37725" s="83"/>
      <c r="H37725" s="83"/>
      <c r="K37725" s="82"/>
      <c r="M37725" s="112"/>
      <c r="N37725" s="84"/>
    </row>
    <row r="37726" spans="1:14" s="2" customFormat="1">
      <c r="A37726" s="83"/>
      <c r="H37726" s="83"/>
      <c r="K37726" s="82"/>
      <c r="M37726" s="112"/>
      <c r="N37726" s="84"/>
    </row>
    <row r="37727" spans="1:14" s="2" customFormat="1">
      <c r="A37727" s="83"/>
      <c r="H37727" s="83"/>
      <c r="K37727" s="82"/>
      <c r="M37727" s="112"/>
      <c r="N37727" s="84"/>
    </row>
    <row r="37728" spans="1:14" s="2" customFormat="1">
      <c r="A37728" s="83"/>
      <c r="H37728" s="83"/>
      <c r="K37728" s="82"/>
      <c r="M37728" s="112"/>
      <c r="N37728" s="84"/>
    </row>
    <row r="37729" spans="1:14" s="2" customFormat="1">
      <c r="A37729" s="83"/>
      <c r="H37729" s="83"/>
      <c r="K37729" s="82"/>
      <c r="M37729" s="112"/>
      <c r="N37729" s="84"/>
    </row>
    <row r="37730" spans="1:14" s="2" customFormat="1">
      <c r="A37730" s="83"/>
      <c r="H37730" s="83"/>
      <c r="K37730" s="82"/>
      <c r="M37730" s="112"/>
      <c r="N37730" s="84"/>
    </row>
    <row r="37731" spans="1:14" s="2" customFormat="1">
      <c r="A37731" s="83"/>
      <c r="H37731" s="83"/>
      <c r="K37731" s="82"/>
      <c r="M37731" s="112"/>
      <c r="N37731" s="84"/>
    </row>
    <row r="37732" spans="1:14" s="2" customFormat="1">
      <c r="A37732" s="83"/>
      <c r="H37732" s="83"/>
      <c r="K37732" s="82"/>
      <c r="M37732" s="112"/>
      <c r="N37732" s="84"/>
    </row>
    <row r="37733" spans="1:14" s="2" customFormat="1">
      <c r="A37733" s="83"/>
      <c r="H37733" s="83"/>
      <c r="K37733" s="82"/>
      <c r="M37733" s="112"/>
      <c r="N37733" s="84"/>
    </row>
    <row r="37734" spans="1:14" s="2" customFormat="1">
      <c r="A37734" s="83"/>
      <c r="H37734" s="83"/>
      <c r="K37734" s="82"/>
      <c r="M37734" s="112"/>
      <c r="N37734" s="84"/>
    </row>
    <row r="37735" spans="1:14" s="2" customFormat="1">
      <c r="A37735" s="83"/>
      <c r="H37735" s="83"/>
      <c r="K37735" s="82"/>
      <c r="M37735" s="112"/>
      <c r="N37735" s="84"/>
    </row>
    <row r="37736" spans="1:14" s="2" customFormat="1">
      <c r="A37736" s="83"/>
      <c r="H37736" s="83"/>
      <c r="K37736" s="82"/>
      <c r="M37736" s="112"/>
      <c r="N37736" s="84"/>
    </row>
    <row r="37737" spans="1:14" s="2" customFormat="1">
      <c r="A37737" s="83"/>
      <c r="H37737" s="83"/>
      <c r="K37737" s="82"/>
      <c r="M37737" s="112"/>
      <c r="N37737" s="84"/>
    </row>
    <row r="37738" spans="1:14" s="2" customFormat="1">
      <c r="A37738" s="83"/>
      <c r="H37738" s="83"/>
      <c r="K37738" s="82"/>
      <c r="M37738" s="112"/>
      <c r="N37738" s="84"/>
    </row>
    <row r="37739" spans="1:14" s="2" customFormat="1">
      <c r="A37739" s="83"/>
      <c r="H37739" s="83"/>
      <c r="K37739" s="82"/>
      <c r="M37739" s="112"/>
      <c r="N37739" s="84"/>
    </row>
    <row r="37740" spans="1:14" s="2" customFormat="1">
      <c r="A37740" s="83"/>
      <c r="H37740" s="83"/>
      <c r="K37740" s="82"/>
      <c r="M37740" s="112"/>
      <c r="N37740" s="84"/>
    </row>
    <row r="37741" spans="1:14" s="2" customFormat="1">
      <c r="A37741" s="83"/>
      <c r="H37741" s="83"/>
      <c r="K37741" s="82"/>
      <c r="M37741" s="112"/>
      <c r="N37741" s="84"/>
    </row>
    <row r="37742" spans="1:14" s="2" customFormat="1">
      <c r="A37742" s="83"/>
      <c r="H37742" s="83"/>
      <c r="K37742" s="82"/>
      <c r="M37742" s="112"/>
      <c r="N37742" s="84"/>
    </row>
    <row r="37743" spans="1:14" s="2" customFormat="1">
      <c r="A37743" s="83"/>
      <c r="H37743" s="83"/>
      <c r="K37743" s="82"/>
      <c r="M37743" s="112"/>
      <c r="N37743" s="84"/>
    </row>
    <row r="37744" spans="1:14" s="2" customFormat="1">
      <c r="A37744" s="83"/>
      <c r="H37744" s="83"/>
      <c r="K37744" s="82"/>
      <c r="M37744" s="112"/>
      <c r="N37744" s="84"/>
    </row>
    <row r="37745" spans="1:14" s="2" customFormat="1">
      <c r="A37745" s="83"/>
      <c r="H37745" s="83"/>
      <c r="K37745" s="82"/>
      <c r="M37745" s="112"/>
      <c r="N37745" s="84"/>
    </row>
    <row r="37746" spans="1:14" s="2" customFormat="1">
      <c r="A37746" s="83"/>
      <c r="H37746" s="83"/>
      <c r="K37746" s="82"/>
      <c r="M37746" s="112"/>
      <c r="N37746" s="84"/>
    </row>
    <row r="37747" spans="1:14" s="2" customFormat="1">
      <c r="A37747" s="83"/>
      <c r="H37747" s="83"/>
      <c r="K37747" s="82"/>
      <c r="M37747" s="112"/>
      <c r="N37747" s="84"/>
    </row>
    <row r="37748" spans="1:14" s="2" customFormat="1">
      <c r="A37748" s="83"/>
      <c r="H37748" s="83"/>
      <c r="K37748" s="82"/>
      <c r="M37748" s="112"/>
      <c r="N37748" s="84"/>
    </row>
    <row r="37749" spans="1:14" s="2" customFormat="1">
      <c r="A37749" s="83"/>
      <c r="H37749" s="83"/>
      <c r="K37749" s="82"/>
      <c r="M37749" s="112"/>
      <c r="N37749" s="84"/>
    </row>
    <row r="37750" spans="1:14" s="2" customFormat="1">
      <c r="A37750" s="83"/>
      <c r="H37750" s="83"/>
      <c r="K37750" s="82"/>
      <c r="M37750" s="112"/>
      <c r="N37750" s="84"/>
    </row>
    <row r="37751" spans="1:14" s="2" customFormat="1">
      <c r="A37751" s="83"/>
      <c r="H37751" s="83"/>
      <c r="K37751" s="82"/>
      <c r="M37751" s="112"/>
      <c r="N37751" s="84"/>
    </row>
    <row r="37752" spans="1:14" s="2" customFormat="1">
      <c r="A37752" s="83"/>
      <c r="H37752" s="83"/>
      <c r="K37752" s="82"/>
      <c r="M37752" s="112"/>
      <c r="N37752" s="84"/>
    </row>
    <row r="37753" spans="1:14" s="2" customFormat="1">
      <c r="A37753" s="83"/>
      <c r="H37753" s="83"/>
      <c r="K37753" s="82"/>
      <c r="M37753" s="112"/>
      <c r="N37753" s="84"/>
    </row>
    <row r="37754" spans="1:14" s="2" customFormat="1">
      <c r="A37754" s="83"/>
      <c r="H37754" s="83"/>
      <c r="K37754" s="82"/>
      <c r="M37754" s="112"/>
      <c r="N37754" s="84"/>
    </row>
    <row r="37755" spans="1:14" s="2" customFormat="1">
      <c r="A37755" s="83"/>
      <c r="H37755" s="83"/>
      <c r="K37755" s="82"/>
      <c r="M37755" s="112"/>
      <c r="N37755" s="84"/>
    </row>
    <row r="37756" spans="1:14" s="2" customFormat="1">
      <c r="A37756" s="83"/>
      <c r="H37756" s="83"/>
      <c r="K37756" s="82"/>
      <c r="M37756" s="112"/>
      <c r="N37756" s="84"/>
    </row>
    <row r="37757" spans="1:14" s="2" customFormat="1">
      <c r="A37757" s="83"/>
      <c r="H37757" s="83"/>
      <c r="K37757" s="82"/>
      <c r="M37757" s="112"/>
      <c r="N37757" s="84"/>
    </row>
    <row r="37758" spans="1:14" s="2" customFormat="1">
      <c r="A37758" s="83"/>
      <c r="H37758" s="83"/>
      <c r="K37758" s="82"/>
      <c r="M37758" s="112"/>
      <c r="N37758" s="84"/>
    </row>
    <row r="37759" spans="1:14" s="2" customFormat="1">
      <c r="A37759" s="83"/>
      <c r="H37759" s="83"/>
      <c r="K37759" s="82"/>
      <c r="M37759" s="112"/>
      <c r="N37759" s="84"/>
    </row>
    <row r="37760" spans="1:14" s="2" customFormat="1">
      <c r="A37760" s="83"/>
      <c r="H37760" s="83"/>
      <c r="K37760" s="82"/>
      <c r="M37760" s="112"/>
      <c r="N37760" s="84"/>
    </row>
    <row r="37761" spans="1:14" s="2" customFormat="1">
      <c r="A37761" s="83"/>
      <c r="H37761" s="83"/>
      <c r="K37761" s="82"/>
      <c r="M37761" s="112"/>
      <c r="N37761" s="84"/>
    </row>
    <row r="37762" spans="1:14" s="2" customFormat="1">
      <c r="A37762" s="83"/>
      <c r="H37762" s="83"/>
      <c r="K37762" s="82"/>
      <c r="M37762" s="112"/>
      <c r="N37762" s="84"/>
    </row>
    <row r="37763" spans="1:14" s="2" customFormat="1">
      <c r="A37763" s="83"/>
      <c r="H37763" s="83"/>
      <c r="K37763" s="82"/>
      <c r="M37763" s="112"/>
      <c r="N37763" s="84"/>
    </row>
    <row r="37764" spans="1:14" s="2" customFormat="1">
      <c r="A37764" s="83"/>
      <c r="H37764" s="83"/>
      <c r="K37764" s="82"/>
      <c r="M37764" s="112"/>
      <c r="N37764" s="84"/>
    </row>
    <row r="37765" spans="1:14" s="2" customFormat="1">
      <c r="A37765" s="83"/>
      <c r="H37765" s="83"/>
      <c r="K37765" s="82"/>
      <c r="M37765" s="112"/>
      <c r="N37765" s="84"/>
    </row>
    <row r="37766" spans="1:14" s="2" customFormat="1">
      <c r="A37766" s="83"/>
      <c r="H37766" s="83"/>
      <c r="K37766" s="82"/>
      <c r="M37766" s="112"/>
      <c r="N37766" s="84"/>
    </row>
    <row r="37767" spans="1:14" s="2" customFormat="1">
      <c r="A37767" s="83"/>
      <c r="H37767" s="83"/>
      <c r="K37767" s="82"/>
      <c r="M37767" s="112"/>
      <c r="N37767" s="84"/>
    </row>
    <row r="37768" spans="1:14" s="2" customFormat="1">
      <c r="A37768" s="83"/>
      <c r="H37768" s="83"/>
      <c r="K37768" s="82"/>
      <c r="M37768" s="112"/>
      <c r="N37768" s="84"/>
    </row>
    <row r="37769" spans="1:14" s="2" customFormat="1">
      <c r="A37769" s="83"/>
      <c r="H37769" s="83"/>
      <c r="K37769" s="82"/>
      <c r="M37769" s="112"/>
      <c r="N37769" s="84"/>
    </row>
    <row r="37770" spans="1:14" s="2" customFormat="1">
      <c r="A37770" s="83"/>
      <c r="H37770" s="83"/>
      <c r="K37770" s="82"/>
      <c r="M37770" s="112"/>
      <c r="N37770" s="84"/>
    </row>
    <row r="37771" spans="1:14" s="2" customFormat="1">
      <c r="A37771" s="83"/>
      <c r="H37771" s="83"/>
      <c r="K37771" s="82"/>
      <c r="M37771" s="112"/>
      <c r="N37771" s="84"/>
    </row>
    <row r="37772" spans="1:14" s="2" customFormat="1">
      <c r="A37772" s="83"/>
      <c r="H37772" s="83"/>
      <c r="K37772" s="82"/>
      <c r="M37772" s="112"/>
      <c r="N37772" s="84"/>
    </row>
    <row r="37773" spans="1:14" s="2" customFormat="1">
      <c r="A37773" s="83"/>
      <c r="H37773" s="83"/>
      <c r="K37773" s="82"/>
      <c r="M37773" s="112"/>
      <c r="N37773" s="84"/>
    </row>
    <row r="37774" spans="1:14" s="2" customFormat="1">
      <c r="A37774" s="83"/>
      <c r="H37774" s="83"/>
      <c r="K37774" s="82"/>
      <c r="M37774" s="112"/>
      <c r="N37774" s="84"/>
    </row>
    <row r="37775" spans="1:14" s="2" customFormat="1">
      <c r="A37775" s="83"/>
      <c r="H37775" s="83"/>
      <c r="K37775" s="82"/>
      <c r="M37775" s="112"/>
      <c r="N37775" s="84"/>
    </row>
    <row r="37776" spans="1:14" s="2" customFormat="1">
      <c r="A37776" s="83"/>
      <c r="H37776" s="83"/>
      <c r="K37776" s="82"/>
      <c r="M37776" s="112"/>
      <c r="N37776" s="84"/>
    </row>
    <row r="37777" spans="1:14" s="2" customFormat="1">
      <c r="A37777" s="83"/>
      <c r="H37777" s="83"/>
      <c r="K37777" s="82"/>
      <c r="M37777" s="112"/>
      <c r="N37777" s="84"/>
    </row>
    <row r="37778" spans="1:14" s="2" customFormat="1">
      <c r="A37778" s="83"/>
      <c r="H37778" s="83"/>
      <c r="K37778" s="82"/>
      <c r="M37778" s="112"/>
      <c r="N37778" s="84"/>
    </row>
    <row r="37779" spans="1:14" s="2" customFormat="1">
      <c r="A37779" s="83"/>
      <c r="H37779" s="83"/>
      <c r="K37779" s="82"/>
      <c r="M37779" s="112"/>
      <c r="N37779" s="84"/>
    </row>
    <row r="37780" spans="1:14" s="2" customFormat="1">
      <c r="A37780" s="83"/>
      <c r="H37780" s="83"/>
      <c r="K37780" s="82"/>
      <c r="M37780" s="112"/>
      <c r="N37780" s="84"/>
    </row>
    <row r="37781" spans="1:14" s="2" customFormat="1">
      <c r="A37781" s="83"/>
      <c r="H37781" s="83"/>
      <c r="K37781" s="82"/>
      <c r="M37781" s="112"/>
      <c r="N37781" s="84"/>
    </row>
    <row r="37782" spans="1:14" s="2" customFormat="1">
      <c r="A37782" s="83"/>
      <c r="H37782" s="83"/>
      <c r="K37782" s="82"/>
      <c r="M37782" s="112"/>
      <c r="N37782" s="84"/>
    </row>
    <row r="37783" spans="1:14" s="2" customFormat="1">
      <c r="A37783" s="83"/>
      <c r="H37783" s="83"/>
      <c r="K37783" s="82"/>
      <c r="M37783" s="112"/>
      <c r="N37783" s="84"/>
    </row>
    <row r="37784" spans="1:14" s="2" customFormat="1">
      <c r="A37784" s="83"/>
      <c r="H37784" s="83"/>
      <c r="K37784" s="82"/>
      <c r="M37784" s="112"/>
      <c r="N37784" s="84"/>
    </row>
    <row r="37785" spans="1:14" s="2" customFormat="1">
      <c r="A37785" s="83"/>
      <c r="H37785" s="83"/>
      <c r="K37785" s="82"/>
      <c r="M37785" s="112"/>
      <c r="N37785" s="84"/>
    </row>
    <row r="37786" spans="1:14" s="2" customFormat="1">
      <c r="A37786" s="83"/>
      <c r="H37786" s="83"/>
      <c r="K37786" s="82"/>
      <c r="M37786" s="112"/>
      <c r="N37786" s="84"/>
    </row>
    <row r="37787" spans="1:14" s="2" customFormat="1">
      <c r="A37787" s="83"/>
      <c r="H37787" s="83"/>
      <c r="K37787" s="82"/>
      <c r="M37787" s="112"/>
      <c r="N37787" s="84"/>
    </row>
    <row r="37788" spans="1:14" s="2" customFormat="1">
      <c r="A37788" s="83"/>
      <c r="H37788" s="83"/>
      <c r="K37788" s="82"/>
      <c r="M37788" s="112"/>
      <c r="N37788" s="84"/>
    </row>
    <row r="37789" spans="1:14" s="2" customFormat="1">
      <c r="A37789" s="83"/>
      <c r="H37789" s="83"/>
      <c r="K37789" s="82"/>
      <c r="M37789" s="112"/>
      <c r="N37789" s="84"/>
    </row>
    <row r="37790" spans="1:14" s="2" customFormat="1">
      <c r="A37790" s="83"/>
      <c r="H37790" s="83"/>
      <c r="K37790" s="82"/>
      <c r="M37790" s="112"/>
      <c r="N37790" s="84"/>
    </row>
    <row r="37791" spans="1:14" s="2" customFormat="1">
      <c r="A37791" s="83"/>
      <c r="H37791" s="83"/>
      <c r="K37791" s="82"/>
      <c r="M37791" s="112"/>
      <c r="N37791" s="84"/>
    </row>
    <row r="37792" spans="1:14" s="2" customFormat="1">
      <c r="A37792" s="83"/>
      <c r="H37792" s="83"/>
      <c r="K37792" s="82"/>
      <c r="M37792" s="112"/>
      <c r="N37792" s="84"/>
    </row>
    <row r="37793" spans="1:14" s="2" customFormat="1">
      <c r="A37793" s="83"/>
      <c r="H37793" s="83"/>
      <c r="K37793" s="82"/>
      <c r="M37793" s="112"/>
      <c r="N37793" s="84"/>
    </row>
    <row r="37794" spans="1:14" s="2" customFormat="1">
      <c r="A37794" s="83"/>
      <c r="H37794" s="83"/>
      <c r="K37794" s="82"/>
      <c r="M37794" s="112"/>
      <c r="N37794" s="84"/>
    </row>
    <row r="37795" spans="1:14" s="2" customFormat="1">
      <c r="A37795" s="83"/>
      <c r="H37795" s="83"/>
      <c r="K37795" s="82"/>
      <c r="M37795" s="112"/>
      <c r="N37795" s="84"/>
    </row>
    <row r="37796" spans="1:14" s="2" customFormat="1">
      <c r="A37796" s="83"/>
      <c r="H37796" s="83"/>
      <c r="K37796" s="82"/>
      <c r="M37796" s="112"/>
      <c r="N37796" s="84"/>
    </row>
    <row r="37797" spans="1:14" s="2" customFormat="1">
      <c r="A37797" s="83"/>
      <c r="H37797" s="83"/>
      <c r="K37797" s="82"/>
      <c r="M37797" s="112"/>
      <c r="N37797" s="84"/>
    </row>
    <row r="37798" spans="1:14" s="2" customFormat="1">
      <c r="A37798" s="83"/>
      <c r="H37798" s="83"/>
      <c r="K37798" s="82"/>
      <c r="M37798" s="112"/>
      <c r="N37798" s="84"/>
    </row>
    <row r="37799" spans="1:14" s="2" customFormat="1">
      <c r="A37799" s="83"/>
      <c r="H37799" s="83"/>
      <c r="K37799" s="82"/>
      <c r="M37799" s="112"/>
      <c r="N37799" s="84"/>
    </row>
    <row r="37800" spans="1:14" s="2" customFormat="1">
      <c r="A37800" s="83"/>
      <c r="H37800" s="83"/>
      <c r="K37800" s="82"/>
      <c r="M37800" s="112"/>
      <c r="N37800" s="84"/>
    </row>
    <row r="37801" spans="1:14" s="2" customFormat="1">
      <c r="A37801" s="83"/>
      <c r="H37801" s="83"/>
      <c r="K37801" s="82"/>
      <c r="M37801" s="112"/>
      <c r="N37801" s="84"/>
    </row>
    <row r="37802" spans="1:14" s="2" customFormat="1">
      <c r="A37802" s="83"/>
      <c r="H37802" s="83"/>
      <c r="K37802" s="82"/>
      <c r="M37802" s="112"/>
      <c r="N37802" s="84"/>
    </row>
    <row r="37803" spans="1:14" s="2" customFormat="1">
      <c r="A37803" s="83"/>
      <c r="H37803" s="83"/>
      <c r="K37803" s="82"/>
      <c r="M37803" s="112"/>
      <c r="N37803" s="84"/>
    </row>
    <row r="37804" spans="1:14" s="2" customFormat="1">
      <c r="A37804" s="83"/>
      <c r="H37804" s="83"/>
      <c r="K37804" s="82"/>
      <c r="M37804" s="112"/>
      <c r="N37804" s="84"/>
    </row>
    <row r="37805" spans="1:14" s="2" customFormat="1">
      <c r="A37805" s="83"/>
      <c r="H37805" s="83"/>
      <c r="K37805" s="82"/>
      <c r="M37805" s="112"/>
      <c r="N37805" s="84"/>
    </row>
    <row r="37806" spans="1:14" s="2" customFormat="1">
      <c r="A37806" s="83"/>
      <c r="H37806" s="83"/>
      <c r="K37806" s="82"/>
      <c r="M37806" s="112"/>
      <c r="N37806" s="84"/>
    </row>
    <row r="37807" spans="1:14" s="2" customFormat="1">
      <c r="A37807" s="83"/>
      <c r="H37807" s="83"/>
      <c r="K37807" s="82"/>
      <c r="M37807" s="112"/>
      <c r="N37807" s="84"/>
    </row>
    <row r="37808" spans="1:14" s="2" customFormat="1">
      <c r="A37808" s="83"/>
      <c r="H37808" s="83"/>
      <c r="K37808" s="82"/>
      <c r="M37808" s="112"/>
      <c r="N37808" s="84"/>
    </row>
    <row r="37809" spans="1:14" s="2" customFormat="1">
      <c r="A37809" s="83"/>
      <c r="H37809" s="83"/>
      <c r="K37809" s="82"/>
      <c r="M37809" s="112"/>
      <c r="N37809" s="84"/>
    </row>
    <row r="37810" spans="1:14" s="2" customFormat="1">
      <c r="A37810" s="83"/>
      <c r="H37810" s="83"/>
      <c r="K37810" s="82"/>
      <c r="M37810" s="112"/>
      <c r="N37810" s="84"/>
    </row>
    <row r="37811" spans="1:14" s="2" customFormat="1">
      <c r="A37811" s="83"/>
      <c r="H37811" s="83"/>
      <c r="K37811" s="82"/>
      <c r="M37811" s="112"/>
      <c r="N37811" s="84"/>
    </row>
    <row r="37812" spans="1:14" s="2" customFormat="1">
      <c r="A37812" s="83"/>
      <c r="H37812" s="83"/>
      <c r="K37812" s="82"/>
      <c r="M37812" s="112"/>
      <c r="N37812" s="84"/>
    </row>
    <row r="37813" spans="1:14" s="2" customFormat="1">
      <c r="A37813" s="83"/>
      <c r="H37813" s="83"/>
      <c r="K37813" s="82"/>
      <c r="M37813" s="112"/>
      <c r="N37813" s="84"/>
    </row>
    <row r="37814" spans="1:14" s="2" customFormat="1">
      <c r="A37814" s="83"/>
      <c r="H37814" s="83"/>
      <c r="K37814" s="82"/>
      <c r="M37814" s="112"/>
      <c r="N37814" s="84"/>
    </row>
    <row r="37815" spans="1:14" s="2" customFormat="1">
      <c r="A37815" s="83"/>
      <c r="H37815" s="83"/>
      <c r="K37815" s="82"/>
      <c r="M37815" s="112"/>
      <c r="N37815" s="84"/>
    </row>
    <row r="37816" spans="1:14" s="2" customFormat="1">
      <c r="A37816" s="83"/>
      <c r="H37816" s="83"/>
      <c r="K37816" s="82"/>
      <c r="M37816" s="112"/>
      <c r="N37816" s="84"/>
    </row>
    <row r="37817" spans="1:14" s="2" customFormat="1">
      <c r="A37817" s="83"/>
      <c r="H37817" s="83"/>
      <c r="K37817" s="82"/>
      <c r="M37817" s="112"/>
      <c r="N37817" s="84"/>
    </row>
    <row r="37818" spans="1:14" s="2" customFormat="1">
      <c r="A37818" s="83"/>
      <c r="H37818" s="83"/>
      <c r="K37818" s="82"/>
      <c r="M37818" s="112"/>
      <c r="N37818" s="84"/>
    </row>
    <row r="37819" spans="1:14" s="2" customFormat="1">
      <c r="A37819" s="83"/>
      <c r="H37819" s="83"/>
      <c r="K37819" s="82"/>
      <c r="M37819" s="112"/>
      <c r="N37819" s="84"/>
    </row>
    <row r="37820" spans="1:14" s="2" customFormat="1">
      <c r="A37820" s="83"/>
      <c r="H37820" s="83"/>
      <c r="K37820" s="82"/>
      <c r="M37820" s="112"/>
      <c r="N37820" s="84"/>
    </row>
    <row r="37821" spans="1:14" s="2" customFormat="1">
      <c r="A37821" s="83"/>
      <c r="H37821" s="83"/>
      <c r="K37821" s="82"/>
      <c r="M37821" s="112"/>
      <c r="N37821" s="84"/>
    </row>
    <row r="37822" spans="1:14" s="2" customFormat="1">
      <c r="A37822" s="83"/>
      <c r="H37822" s="83"/>
      <c r="K37822" s="82"/>
      <c r="M37822" s="112"/>
      <c r="N37822" s="84"/>
    </row>
    <row r="37823" spans="1:14" s="2" customFormat="1">
      <c r="A37823" s="83"/>
      <c r="H37823" s="83"/>
      <c r="K37823" s="82"/>
      <c r="M37823" s="112"/>
      <c r="N37823" s="84"/>
    </row>
    <row r="37824" spans="1:14" s="2" customFormat="1">
      <c r="A37824" s="83"/>
      <c r="H37824" s="83"/>
      <c r="K37824" s="82"/>
      <c r="M37824" s="112"/>
      <c r="N37824" s="84"/>
    </row>
    <row r="37825" spans="1:14" s="2" customFormat="1">
      <c r="A37825" s="83"/>
      <c r="H37825" s="83"/>
      <c r="K37825" s="82"/>
      <c r="M37825" s="112"/>
      <c r="N37825" s="84"/>
    </row>
    <row r="37826" spans="1:14" s="2" customFormat="1">
      <c r="A37826" s="83"/>
      <c r="H37826" s="83"/>
      <c r="K37826" s="82"/>
      <c r="M37826" s="112"/>
      <c r="N37826" s="84"/>
    </row>
    <row r="37827" spans="1:14" s="2" customFormat="1">
      <c r="A37827" s="83"/>
      <c r="H37827" s="83"/>
      <c r="K37827" s="82"/>
      <c r="M37827" s="112"/>
      <c r="N37827" s="84"/>
    </row>
    <row r="37828" spans="1:14" s="2" customFormat="1">
      <c r="A37828" s="83"/>
      <c r="H37828" s="83"/>
      <c r="K37828" s="82"/>
      <c r="M37828" s="112"/>
      <c r="N37828" s="84"/>
    </row>
    <row r="37829" spans="1:14" s="2" customFormat="1">
      <c r="A37829" s="83"/>
      <c r="H37829" s="83"/>
      <c r="K37829" s="82"/>
      <c r="M37829" s="112"/>
      <c r="N37829" s="84"/>
    </row>
    <row r="37830" spans="1:14" s="2" customFormat="1">
      <c r="A37830" s="83"/>
      <c r="H37830" s="83"/>
      <c r="K37830" s="82"/>
      <c r="M37830" s="112"/>
      <c r="N37830" s="84"/>
    </row>
    <row r="37831" spans="1:14" s="2" customFormat="1">
      <c r="A37831" s="83"/>
      <c r="H37831" s="83"/>
      <c r="K37831" s="82"/>
      <c r="M37831" s="112"/>
      <c r="N37831" s="84"/>
    </row>
    <row r="37832" spans="1:14" s="2" customFormat="1">
      <c r="A37832" s="83"/>
      <c r="H37832" s="83"/>
      <c r="K37832" s="82"/>
      <c r="M37832" s="112"/>
      <c r="N37832" s="84"/>
    </row>
    <row r="37833" spans="1:14" s="2" customFormat="1">
      <c r="A37833" s="83"/>
      <c r="H37833" s="83"/>
      <c r="K37833" s="82"/>
      <c r="M37833" s="112"/>
      <c r="N37833" s="84"/>
    </row>
    <row r="37834" spans="1:14" s="2" customFormat="1">
      <c r="A37834" s="83"/>
      <c r="H37834" s="83"/>
      <c r="K37834" s="82"/>
      <c r="M37834" s="112"/>
      <c r="N37834" s="84"/>
    </row>
    <row r="37835" spans="1:14" s="2" customFormat="1">
      <c r="A37835" s="83"/>
      <c r="H37835" s="83"/>
      <c r="K37835" s="82"/>
      <c r="M37835" s="112"/>
      <c r="N37835" s="84"/>
    </row>
    <row r="37836" spans="1:14" s="2" customFormat="1">
      <c r="A37836" s="83"/>
      <c r="H37836" s="83"/>
      <c r="K37836" s="82"/>
      <c r="M37836" s="112"/>
      <c r="N37836" s="84"/>
    </row>
    <row r="37837" spans="1:14" s="2" customFormat="1">
      <c r="A37837" s="83"/>
      <c r="H37837" s="83"/>
      <c r="K37837" s="82"/>
      <c r="M37837" s="112"/>
      <c r="N37837" s="84"/>
    </row>
    <row r="37838" spans="1:14" s="2" customFormat="1">
      <c r="A37838" s="83"/>
      <c r="H37838" s="83"/>
      <c r="K37838" s="82"/>
      <c r="M37838" s="112"/>
      <c r="N37838" s="84"/>
    </row>
    <row r="37839" spans="1:14" s="2" customFormat="1">
      <c r="A37839" s="83"/>
      <c r="H37839" s="83"/>
      <c r="K37839" s="82"/>
      <c r="M37839" s="112"/>
      <c r="N37839" s="84"/>
    </row>
    <row r="37840" spans="1:14" s="2" customFormat="1">
      <c r="A37840" s="83"/>
      <c r="H37840" s="83"/>
      <c r="K37840" s="82"/>
      <c r="M37840" s="112"/>
      <c r="N37840" s="84"/>
    </row>
    <row r="37841" spans="1:14" s="2" customFormat="1">
      <c r="A37841" s="83"/>
      <c r="H37841" s="83"/>
      <c r="K37841" s="82"/>
      <c r="M37841" s="112"/>
      <c r="N37841" s="84"/>
    </row>
    <row r="37842" spans="1:14" s="2" customFormat="1">
      <c r="A37842" s="83"/>
      <c r="H37842" s="83"/>
      <c r="K37842" s="82"/>
      <c r="M37842" s="112"/>
      <c r="N37842" s="84"/>
    </row>
    <row r="37843" spans="1:14" s="2" customFormat="1">
      <c r="A37843" s="83"/>
      <c r="H37843" s="83"/>
      <c r="K37843" s="82"/>
      <c r="M37843" s="112"/>
      <c r="N37843" s="84"/>
    </row>
    <row r="37844" spans="1:14" s="2" customFormat="1">
      <c r="A37844" s="83"/>
      <c r="H37844" s="83"/>
      <c r="K37844" s="82"/>
      <c r="M37844" s="112"/>
      <c r="N37844" s="84"/>
    </row>
    <row r="37845" spans="1:14" s="2" customFormat="1">
      <c r="A37845" s="83"/>
      <c r="H37845" s="83"/>
      <c r="K37845" s="82"/>
      <c r="M37845" s="112"/>
      <c r="N37845" s="84"/>
    </row>
    <row r="37846" spans="1:14" s="2" customFormat="1">
      <c r="A37846" s="83"/>
      <c r="H37846" s="83"/>
      <c r="K37846" s="82"/>
      <c r="M37846" s="112"/>
      <c r="N37846" s="84"/>
    </row>
    <row r="37847" spans="1:14" s="2" customFormat="1">
      <c r="A37847" s="83"/>
      <c r="H37847" s="83"/>
      <c r="K37847" s="82"/>
      <c r="M37847" s="112"/>
      <c r="N37847" s="84"/>
    </row>
    <row r="37848" spans="1:14" s="2" customFormat="1">
      <c r="A37848" s="83"/>
      <c r="H37848" s="83"/>
      <c r="K37848" s="82"/>
      <c r="M37848" s="112"/>
      <c r="N37848" s="84"/>
    </row>
    <row r="37849" spans="1:14" s="2" customFormat="1">
      <c r="A37849" s="83"/>
      <c r="H37849" s="83"/>
      <c r="K37849" s="82"/>
      <c r="M37849" s="112"/>
      <c r="N37849" s="84"/>
    </row>
    <row r="37850" spans="1:14" s="2" customFormat="1">
      <c r="A37850" s="83"/>
      <c r="H37850" s="83"/>
      <c r="K37850" s="82"/>
      <c r="M37850" s="112"/>
      <c r="N37850" s="84"/>
    </row>
    <row r="37851" spans="1:14" s="2" customFormat="1">
      <c r="A37851" s="83"/>
      <c r="H37851" s="83"/>
      <c r="K37851" s="82"/>
      <c r="M37851" s="112"/>
      <c r="N37851" s="84"/>
    </row>
    <row r="37852" spans="1:14" s="2" customFormat="1">
      <c r="A37852" s="83"/>
      <c r="H37852" s="83"/>
      <c r="K37852" s="82"/>
      <c r="M37852" s="112"/>
      <c r="N37852" s="84"/>
    </row>
    <row r="37853" spans="1:14" s="2" customFormat="1">
      <c r="A37853" s="83"/>
      <c r="H37853" s="83"/>
      <c r="K37853" s="82"/>
      <c r="M37853" s="112"/>
      <c r="N37853" s="84"/>
    </row>
    <row r="37854" spans="1:14" s="2" customFormat="1">
      <c r="A37854" s="83"/>
      <c r="H37854" s="83"/>
      <c r="K37854" s="82"/>
      <c r="M37854" s="112"/>
      <c r="N37854" s="84"/>
    </row>
    <row r="37855" spans="1:14" s="2" customFormat="1">
      <c r="A37855" s="83"/>
      <c r="H37855" s="83"/>
      <c r="K37855" s="82"/>
      <c r="M37855" s="112"/>
      <c r="N37855" s="84"/>
    </row>
    <row r="37856" spans="1:14" s="2" customFormat="1">
      <c r="A37856" s="83"/>
      <c r="H37856" s="83"/>
      <c r="K37856" s="82"/>
      <c r="M37856" s="112"/>
      <c r="N37856" s="84"/>
    </row>
    <row r="37857" spans="1:14" s="2" customFormat="1">
      <c r="A37857" s="83"/>
      <c r="H37857" s="83"/>
      <c r="K37857" s="82"/>
      <c r="M37857" s="112"/>
      <c r="N37857" s="84"/>
    </row>
    <row r="37858" spans="1:14" s="2" customFormat="1">
      <c r="A37858" s="83"/>
      <c r="H37858" s="83"/>
      <c r="K37858" s="82"/>
      <c r="M37858" s="112"/>
      <c r="N37858" s="84"/>
    </row>
    <row r="37859" spans="1:14" s="2" customFormat="1">
      <c r="A37859" s="83"/>
      <c r="H37859" s="83"/>
      <c r="K37859" s="82"/>
      <c r="M37859" s="112"/>
      <c r="N37859" s="84"/>
    </row>
    <row r="37860" spans="1:14" s="2" customFormat="1">
      <c r="A37860" s="83"/>
      <c r="H37860" s="83"/>
      <c r="K37860" s="82"/>
      <c r="M37860" s="112"/>
      <c r="N37860" s="84"/>
    </row>
    <row r="37861" spans="1:14" s="2" customFormat="1">
      <c r="A37861" s="83"/>
      <c r="H37861" s="83"/>
      <c r="K37861" s="82"/>
      <c r="M37861" s="112"/>
      <c r="N37861" s="84"/>
    </row>
    <row r="37862" spans="1:14" s="2" customFormat="1">
      <c r="A37862" s="83"/>
      <c r="H37862" s="83"/>
      <c r="K37862" s="82"/>
      <c r="M37862" s="112"/>
      <c r="N37862" s="84"/>
    </row>
    <row r="37863" spans="1:14" s="2" customFormat="1">
      <c r="A37863" s="83"/>
      <c r="H37863" s="83"/>
      <c r="K37863" s="82"/>
      <c r="M37863" s="112"/>
      <c r="N37863" s="84"/>
    </row>
    <row r="37864" spans="1:14" s="2" customFormat="1">
      <c r="A37864" s="83"/>
      <c r="H37864" s="83"/>
      <c r="K37864" s="82"/>
      <c r="M37864" s="112"/>
      <c r="N37864" s="84"/>
    </row>
    <row r="37865" spans="1:14" s="2" customFormat="1">
      <c r="A37865" s="83"/>
      <c r="H37865" s="83"/>
      <c r="K37865" s="82"/>
      <c r="M37865" s="112"/>
      <c r="N37865" s="84"/>
    </row>
    <row r="37866" spans="1:14" s="2" customFormat="1">
      <c r="A37866" s="83"/>
      <c r="H37866" s="83"/>
      <c r="K37866" s="82"/>
      <c r="M37866" s="112"/>
      <c r="N37866" s="84"/>
    </row>
    <row r="37867" spans="1:14" s="2" customFormat="1">
      <c r="A37867" s="83"/>
      <c r="H37867" s="83"/>
      <c r="K37867" s="82"/>
      <c r="M37867" s="112"/>
      <c r="N37867" s="84"/>
    </row>
    <row r="37868" spans="1:14" s="2" customFormat="1">
      <c r="A37868" s="83"/>
      <c r="H37868" s="83"/>
      <c r="K37868" s="82"/>
      <c r="M37868" s="112"/>
      <c r="N37868" s="84"/>
    </row>
    <row r="37869" spans="1:14" s="2" customFormat="1">
      <c r="A37869" s="83"/>
      <c r="H37869" s="83"/>
      <c r="K37869" s="82"/>
      <c r="M37869" s="112"/>
      <c r="N37869" s="84"/>
    </row>
    <row r="37870" spans="1:14" s="2" customFormat="1">
      <c r="A37870" s="83"/>
      <c r="H37870" s="83"/>
      <c r="K37870" s="82"/>
      <c r="M37870" s="112"/>
      <c r="N37870" s="84"/>
    </row>
    <row r="37871" spans="1:14" s="2" customFormat="1">
      <c r="A37871" s="83"/>
      <c r="H37871" s="83"/>
      <c r="K37871" s="82"/>
      <c r="M37871" s="112"/>
      <c r="N37871" s="84"/>
    </row>
    <row r="37872" spans="1:14" s="2" customFormat="1">
      <c r="A37872" s="83"/>
      <c r="H37872" s="83"/>
      <c r="K37872" s="82"/>
      <c r="M37872" s="112"/>
      <c r="N37872" s="84"/>
    </row>
    <row r="37873" spans="1:14" s="2" customFormat="1">
      <c r="A37873" s="83"/>
      <c r="H37873" s="83"/>
      <c r="K37873" s="82"/>
      <c r="M37873" s="112"/>
      <c r="N37873" s="84"/>
    </row>
    <row r="37874" spans="1:14" s="2" customFormat="1">
      <c r="A37874" s="83"/>
      <c r="H37874" s="83"/>
      <c r="K37874" s="82"/>
      <c r="M37874" s="112"/>
      <c r="N37874" s="84"/>
    </row>
    <row r="37875" spans="1:14" s="2" customFormat="1">
      <c r="A37875" s="83"/>
      <c r="H37875" s="83"/>
      <c r="K37875" s="82"/>
      <c r="M37875" s="112"/>
      <c r="N37875" s="84"/>
    </row>
    <row r="37876" spans="1:14" s="2" customFormat="1">
      <c r="A37876" s="83"/>
      <c r="H37876" s="83"/>
      <c r="K37876" s="82"/>
      <c r="M37876" s="112"/>
      <c r="N37876" s="84"/>
    </row>
    <row r="37877" spans="1:14" s="2" customFormat="1">
      <c r="A37877" s="83"/>
      <c r="H37877" s="83"/>
      <c r="K37877" s="82"/>
      <c r="M37877" s="112"/>
      <c r="N37877" s="84"/>
    </row>
    <row r="37878" spans="1:14" s="2" customFormat="1">
      <c r="A37878" s="83"/>
      <c r="H37878" s="83"/>
      <c r="K37878" s="82"/>
      <c r="M37878" s="112"/>
      <c r="N37878" s="84"/>
    </row>
    <row r="37879" spans="1:14" s="2" customFormat="1">
      <c r="A37879" s="83"/>
      <c r="H37879" s="83"/>
      <c r="K37879" s="82"/>
      <c r="M37879" s="112"/>
      <c r="N37879" s="84"/>
    </row>
    <row r="37880" spans="1:14" s="2" customFormat="1">
      <c r="A37880" s="83"/>
      <c r="H37880" s="83"/>
      <c r="K37880" s="82"/>
      <c r="M37880" s="112"/>
      <c r="N37880" s="84"/>
    </row>
    <row r="37881" spans="1:14" s="2" customFormat="1">
      <c r="A37881" s="83"/>
      <c r="H37881" s="83"/>
      <c r="K37881" s="82"/>
      <c r="M37881" s="112"/>
      <c r="N37881" s="84"/>
    </row>
    <row r="37882" spans="1:14" s="2" customFormat="1">
      <c r="A37882" s="83"/>
      <c r="H37882" s="83"/>
      <c r="K37882" s="82"/>
      <c r="M37882" s="112"/>
      <c r="N37882" s="84"/>
    </row>
    <row r="37883" spans="1:14" s="2" customFormat="1">
      <c r="A37883" s="83"/>
      <c r="H37883" s="83"/>
      <c r="K37883" s="82"/>
      <c r="M37883" s="112"/>
      <c r="N37883" s="84"/>
    </row>
    <row r="37884" spans="1:14" s="2" customFormat="1">
      <c r="A37884" s="83"/>
      <c r="H37884" s="83"/>
      <c r="K37884" s="82"/>
      <c r="M37884" s="112"/>
      <c r="N37884" s="84"/>
    </row>
    <row r="37885" spans="1:14" s="2" customFormat="1">
      <c r="A37885" s="83"/>
      <c r="H37885" s="83"/>
      <c r="K37885" s="82"/>
      <c r="M37885" s="112"/>
      <c r="N37885" s="84"/>
    </row>
    <row r="37886" spans="1:14" s="2" customFormat="1">
      <c r="A37886" s="83"/>
      <c r="H37886" s="83"/>
      <c r="K37886" s="82"/>
      <c r="M37886" s="112"/>
      <c r="N37886" s="84"/>
    </row>
    <row r="37887" spans="1:14" s="2" customFormat="1">
      <c r="A37887" s="83"/>
      <c r="H37887" s="83"/>
      <c r="K37887" s="82"/>
      <c r="M37887" s="112"/>
      <c r="N37887" s="84"/>
    </row>
    <row r="37888" spans="1:14" s="2" customFormat="1">
      <c r="A37888" s="83"/>
      <c r="H37888" s="83"/>
      <c r="K37888" s="82"/>
      <c r="M37888" s="112"/>
      <c r="N37888" s="84"/>
    </row>
    <row r="37889" spans="1:14" s="2" customFormat="1">
      <c r="A37889" s="83"/>
      <c r="H37889" s="83"/>
      <c r="K37889" s="82"/>
      <c r="M37889" s="112"/>
      <c r="N37889" s="84"/>
    </row>
    <row r="37890" spans="1:14" s="2" customFormat="1">
      <c r="A37890" s="83"/>
      <c r="H37890" s="83"/>
      <c r="K37890" s="82"/>
      <c r="M37890" s="112"/>
      <c r="N37890" s="84"/>
    </row>
    <row r="37891" spans="1:14" s="2" customFormat="1">
      <c r="A37891" s="83"/>
      <c r="H37891" s="83"/>
      <c r="K37891" s="82"/>
      <c r="M37891" s="112"/>
      <c r="N37891" s="84"/>
    </row>
    <row r="37892" spans="1:14" s="2" customFormat="1">
      <c r="A37892" s="83"/>
      <c r="H37892" s="83"/>
      <c r="K37892" s="82"/>
      <c r="M37892" s="112"/>
      <c r="N37892" s="84"/>
    </row>
    <row r="37893" spans="1:14" s="2" customFormat="1">
      <c r="A37893" s="83"/>
      <c r="H37893" s="83"/>
      <c r="K37893" s="82"/>
      <c r="M37893" s="112"/>
      <c r="N37893" s="84"/>
    </row>
    <row r="37894" spans="1:14" s="2" customFormat="1">
      <c r="A37894" s="83"/>
      <c r="H37894" s="83"/>
      <c r="K37894" s="82"/>
      <c r="M37894" s="112"/>
      <c r="N37894" s="84"/>
    </row>
    <row r="37895" spans="1:14" s="2" customFormat="1">
      <c r="A37895" s="83"/>
      <c r="H37895" s="83"/>
      <c r="K37895" s="82"/>
      <c r="M37895" s="112"/>
      <c r="N37895" s="84"/>
    </row>
    <row r="37896" spans="1:14" s="2" customFormat="1">
      <c r="A37896" s="83"/>
      <c r="H37896" s="83"/>
      <c r="K37896" s="82"/>
      <c r="M37896" s="112"/>
      <c r="N37896" s="84"/>
    </row>
    <row r="37897" spans="1:14" s="2" customFormat="1">
      <c r="A37897" s="83"/>
      <c r="H37897" s="83"/>
      <c r="K37897" s="82"/>
      <c r="M37897" s="112"/>
      <c r="N37897" s="84"/>
    </row>
    <row r="37898" spans="1:14" s="2" customFormat="1">
      <c r="A37898" s="83"/>
      <c r="H37898" s="83"/>
      <c r="K37898" s="82"/>
      <c r="M37898" s="112"/>
      <c r="N37898" s="84"/>
    </row>
    <row r="37899" spans="1:14" s="2" customFormat="1">
      <c r="A37899" s="83"/>
      <c r="H37899" s="83"/>
      <c r="K37899" s="82"/>
      <c r="M37899" s="112"/>
      <c r="N37899" s="84"/>
    </row>
    <row r="37900" spans="1:14" s="2" customFormat="1">
      <c r="A37900" s="83"/>
      <c r="H37900" s="83"/>
      <c r="K37900" s="82"/>
      <c r="M37900" s="112"/>
      <c r="N37900" s="84"/>
    </row>
    <row r="37901" spans="1:14" s="2" customFormat="1">
      <c r="A37901" s="83"/>
      <c r="H37901" s="83"/>
      <c r="K37901" s="82"/>
      <c r="M37901" s="112"/>
      <c r="N37901" s="84"/>
    </row>
    <row r="37902" spans="1:14" s="2" customFormat="1">
      <c r="A37902" s="83"/>
      <c r="H37902" s="83"/>
      <c r="K37902" s="82"/>
      <c r="M37902" s="112"/>
      <c r="N37902" s="84"/>
    </row>
    <row r="37903" spans="1:14" s="2" customFormat="1">
      <c r="A37903" s="83"/>
      <c r="H37903" s="83"/>
      <c r="K37903" s="82"/>
      <c r="M37903" s="112"/>
      <c r="N37903" s="84"/>
    </row>
    <row r="37904" spans="1:14" s="2" customFormat="1">
      <c r="A37904" s="83"/>
      <c r="H37904" s="83"/>
      <c r="K37904" s="82"/>
      <c r="M37904" s="112"/>
      <c r="N37904" s="84"/>
    </row>
    <row r="37905" spans="1:14" s="2" customFormat="1">
      <c r="A37905" s="83"/>
      <c r="H37905" s="83"/>
      <c r="K37905" s="82"/>
      <c r="M37905" s="112"/>
      <c r="N37905" s="84"/>
    </row>
    <row r="37906" spans="1:14" s="2" customFormat="1">
      <c r="A37906" s="83"/>
      <c r="H37906" s="83"/>
      <c r="K37906" s="82"/>
      <c r="M37906" s="112"/>
      <c r="N37906" s="84"/>
    </row>
    <row r="37907" spans="1:14" s="2" customFormat="1">
      <c r="A37907" s="83"/>
      <c r="H37907" s="83"/>
      <c r="K37907" s="82"/>
      <c r="M37907" s="112"/>
      <c r="N37907" s="84"/>
    </row>
    <row r="37908" spans="1:14" s="2" customFormat="1">
      <c r="A37908" s="83"/>
      <c r="H37908" s="83"/>
      <c r="K37908" s="82"/>
      <c r="M37908" s="112"/>
      <c r="N37908" s="84"/>
    </row>
    <row r="37909" spans="1:14" s="2" customFormat="1">
      <c r="A37909" s="83"/>
      <c r="H37909" s="83"/>
      <c r="K37909" s="82"/>
      <c r="M37909" s="112"/>
      <c r="N37909" s="84"/>
    </row>
    <row r="37910" spans="1:14" s="2" customFormat="1">
      <c r="A37910" s="83"/>
      <c r="H37910" s="83"/>
      <c r="K37910" s="82"/>
      <c r="M37910" s="112"/>
      <c r="N37910" s="84"/>
    </row>
    <row r="37911" spans="1:14" s="2" customFormat="1">
      <c r="A37911" s="83"/>
      <c r="H37911" s="83"/>
      <c r="K37911" s="82"/>
      <c r="M37911" s="112"/>
      <c r="N37911" s="84"/>
    </row>
    <row r="37912" spans="1:14" s="2" customFormat="1">
      <c r="A37912" s="83"/>
      <c r="H37912" s="83"/>
      <c r="K37912" s="82"/>
      <c r="M37912" s="112"/>
      <c r="N37912" s="84"/>
    </row>
    <row r="37913" spans="1:14" s="2" customFormat="1">
      <c r="A37913" s="83"/>
      <c r="H37913" s="83"/>
      <c r="K37913" s="82"/>
      <c r="M37913" s="112"/>
      <c r="N37913" s="84"/>
    </row>
    <row r="37914" spans="1:14" s="2" customFormat="1">
      <c r="A37914" s="83"/>
      <c r="H37914" s="83"/>
      <c r="K37914" s="82"/>
      <c r="M37914" s="112"/>
      <c r="N37914" s="84"/>
    </row>
    <row r="37915" spans="1:14" s="2" customFormat="1">
      <c r="A37915" s="83"/>
      <c r="H37915" s="83"/>
      <c r="K37915" s="82"/>
      <c r="M37915" s="112"/>
      <c r="N37915" s="84"/>
    </row>
    <row r="37916" spans="1:14" s="2" customFormat="1">
      <c r="A37916" s="83"/>
      <c r="H37916" s="83"/>
      <c r="K37916" s="82"/>
      <c r="M37916" s="112"/>
      <c r="N37916" s="84"/>
    </row>
    <row r="37917" spans="1:14" s="2" customFormat="1">
      <c r="A37917" s="83"/>
      <c r="H37917" s="83"/>
      <c r="K37917" s="82"/>
      <c r="M37917" s="112"/>
      <c r="N37917" s="84"/>
    </row>
    <row r="37918" spans="1:14" s="2" customFormat="1">
      <c r="A37918" s="83"/>
      <c r="H37918" s="83"/>
      <c r="K37918" s="82"/>
      <c r="M37918" s="112"/>
      <c r="N37918" s="84"/>
    </row>
    <row r="37919" spans="1:14" s="2" customFormat="1">
      <c r="A37919" s="83"/>
      <c r="H37919" s="83"/>
      <c r="K37919" s="82"/>
      <c r="M37919" s="112"/>
      <c r="N37919" s="84"/>
    </row>
    <row r="37920" spans="1:14" s="2" customFormat="1">
      <c r="A37920" s="83"/>
      <c r="H37920" s="83"/>
      <c r="K37920" s="82"/>
      <c r="M37920" s="112"/>
      <c r="N37920" s="84"/>
    </row>
    <row r="37921" spans="1:14" s="2" customFormat="1">
      <c r="A37921" s="83"/>
      <c r="H37921" s="83"/>
      <c r="K37921" s="82"/>
      <c r="M37921" s="112"/>
      <c r="N37921" s="84"/>
    </row>
    <row r="37922" spans="1:14" s="2" customFormat="1">
      <c r="A37922" s="83"/>
      <c r="H37922" s="83"/>
      <c r="K37922" s="82"/>
      <c r="M37922" s="112"/>
      <c r="N37922" s="84"/>
    </row>
    <row r="37923" spans="1:14" s="2" customFormat="1">
      <c r="A37923" s="83"/>
      <c r="H37923" s="83"/>
      <c r="K37923" s="82"/>
      <c r="M37923" s="112"/>
      <c r="N37923" s="84"/>
    </row>
    <row r="37924" spans="1:14" s="2" customFormat="1">
      <c r="A37924" s="83"/>
      <c r="H37924" s="83"/>
      <c r="K37924" s="82"/>
      <c r="M37924" s="112"/>
      <c r="N37924" s="84"/>
    </row>
    <row r="37925" spans="1:14" s="2" customFormat="1">
      <c r="A37925" s="83"/>
      <c r="H37925" s="83"/>
      <c r="K37925" s="82"/>
      <c r="M37925" s="112"/>
      <c r="N37925" s="84"/>
    </row>
    <row r="37926" spans="1:14" s="2" customFormat="1">
      <c r="A37926" s="83"/>
      <c r="H37926" s="83"/>
      <c r="K37926" s="82"/>
      <c r="M37926" s="112"/>
      <c r="N37926" s="84"/>
    </row>
    <row r="37927" spans="1:14" s="2" customFormat="1">
      <c r="A37927" s="83"/>
      <c r="H37927" s="83"/>
      <c r="K37927" s="82"/>
      <c r="M37927" s="112"/>
      <c r="N37927" s="84"/>
    </row>
    <row r="37928" spans="1:14" s="2" customFormat="1">
      <c r="A37928" s="83"/>
      <c r="H37928" s="83"/>
      <c r="K37928" s="82"/>
      <c r="M37928" s="112"/>
      <c r="N37928" s="84"/>
    </row>
    <row r="37929" spans="1:14" s="2" customFormat="1">
      <c r="A37929" s="83"/>
      <c r="H37929" s="83"/>
      <c r="K37929" s="82"/>
      <c r="M37929" s="112"/>
      <c r="N37929" s="84"/>
    </row>
    <row r="37930" spans="1:14" s="2" customFormat="1">
      <c r="A37930" s="83"/>
      <c r="H37930" s="83"/>
      <c r="K37930" s="82"/>
      <c r="M37930" s="112"/>
      <c r="N37930" s="84"/>
    </row>
    <row r="37931" spans="1:14" s="2" customFormat="1">
      <c r="A37931" s="83"/>
      <c r="H37931" s="83"/>
      <c r="K37931" s="82"/>
      <c r="M37931" s="112"/>
      <c r="N37931" s="84"/>
    </row>
    <row r="37932" spans="1:14" s="2" customFormat="1">
      <c r="A37932" s="83"/>
      <c r="H37932" s="83"/>
      <c r="K37932" s="82"/>
      <c r="M37932" s="112"/>
      <c r="N37932" s="84"/>
    </row>
    <row r="37933" spans="1:14" s="2" customFormat="1">
      <c r="A37933" s="83"/>
      <c r="H37933" s="83"/>
      <c r="K37933" s="82"/>
      <c r="M37933" s="112"/>
      <c r="N37933" s="84"/>
    </row>
    <row r="37934" spans="1:14" s="2" customFormat="1">
      <c r="A37934" s="83"/>
      <c r="H37934" s="83"/>
      <c r="K37934" s="82"/>
      <c r="M37934" s="112"/>
      <c r="N37934" s="84"/>
    </row>
    <row r="37935" spans="1:14" s="2" customFormat="1">
      <c r="A37935" s="83"/>
      <c r="H37935" s="83"/>
      <c r="K37935" s="82"/>
      <c r="M37935" s="112"/>
      <c r="N37935" s="84"/>
    </row>
    <row r="37936" spans="1:14" s="2" customFormat="1">
      <c r="A37936" s="83"/>
      <c r="H37936" s="83"/>
      <c r="K37936" s="82"/>
      <c r="M37936" s="112"/>
      <c r="N37936" s="84"/>
    </row>
    <row r="37937" spans="1:14" s="2" customFormat="1">
      <c r="A37937" s="83"/>
      <c r="H37937" s="83"/>
      <c r="K37937" s="82"/>
      <c r="M37937" s="112"/>
      <c r="N37937" s="84"/>
    </row>
    <row r="37938" spans="1:14" s="2" customFormat="1">
      <c r="A37938" s="83"/>
      <c r="H37938" s="83"/>
      <c r="K37938" s="82"/>
      <c r="M37938" s="112"/>
      <c r="N37938" s="84"/>
    </row>
    <row r="37939" spans="1:14" s="2" customFormat="1">
      <c r="A37939" s="83"/>
      <c r="H37939" s="83"/>
      <c r="K37939" s="82"/>
      <c r="M37939" s="112"/>
      <c r="N37939" s="84"/>
    </row>
    <row r="37940" spans="1:14" s="2" customFormat="1">
      <c r="A37940" s="83"/>
      <c r="H37940" s="83"/>
      <c r="K37940" s="82"/>
      <c r="M37940" s="112"/>
      <c r="N37940" s="84"/>
    </row>
    <row r="37941" spans="1:14" s="2" customFormat="1">
      <c r="A37941" s="83"/>
      <c r="H37941" s="83"/>
      <c r="K37941" s="82"/>
      <c r="M37941" s="112"/>
      <c r="N37941" s="84"/>
    </row>
    <row r="37942" spans="1:14" s="2" customFormat="1">
      <c r="A37942" s="83"/>
      <c r="H37942" s="83"/>
      <c r="K37942" s="82"/>
      <c r="M37942" s="112"/>
      <c r="N37942" s="84"/>
    </row>
    <row r="37943" spans="1:14" s="2" customFormat="1">
      <c r="A37943" s="83"/>
      <c r="H37943" s="83"/>
      <c r="K37943" s="82"/>
      <c r="M37943" s="112"/>
      <c r="N37943" s="84"/>
    </row>
    <row r="37944" spans="1:14" s="2" customFormat="1">
      <c r="A37944" s="83"/>
      <c r="H37944" s="83"/>
      <c r="K37944" s="82"/>
      <c r="M37944" s="112"/>
      <c r="N37944" s="84"/>
    </row>
    <row r="37945" spans="1:14" s="2" customFormat="1">
      <c r="A37945" s="83"/>
      <c r="H37945" s="83"/>
      <c r="K37945" s="82"/>
      <c r="M37945" s="112"/>
      <c r="N37945" s="84"/>
    </row>
    <row r="37946" spans="1:14" s="2" customFormat="1">
      <c r="A37946" s="83"/>
      <c r="H37946" s="83"/>
      <c r="K37946" s="82"/>
      <c r="M37946" s="112"/>
      <c r="N37946" s="84"/>
    </row>
    <row r="37947" spans="1:14" s="2" customFormat="1">
      <c r="A37947" s="83"/>
      <c r="H37947" s="83"/>
      <c r="K37947" s="82"/>
      <c r="M37947" s="112"/>
      <c r="N37947" s="84"/>
    </row>
    <row r="37948" spans="1:14" s="2" customFormat="1">
      <c r="A37948" s="83"/>
      <c r="H37948" s="83"/>
      <c r="K37948" s="82"/>
      <c r="M37948" s="112"/>
      <c r="N37948" s="84"/>
    </row>
    <row r="37949" spans="1:14" s="2" customFormat="1">
      <c r="A37949" s="83"/>
      <c r="H37949" s="83"/>
      <c r="K37949" s="82"/>
      <c r="M37949" s="112"/>
      <c r="N37949" s="84"/>
    </row>
    <row r="37950" spans="1:14" s="2" customFormat="1">
      <c r="A37950" s="83"/>
      <c r="H37950" s="83"/>
      <c r="K37950" s="82"/>
      <c r="M37950" s="112"/>
      <c r="N37950" s="84"/>
    </row>
    <row r="37951" spans="1:14" s="2" customFormat="1">
      <c r="A37951" s="83"/>
      <c r="H37951" s="83"/>
      <c r="K37951" s="82"/>
      <c r="M37951" s="112"/>
      <c r="N37951" s="84"/>
    </row>
    <row r="37952" spans="1:14" s="2" customFormat="1">
      <c r="A37952" s="83"/>
      <c r="H37952" s="83"/>
      <c r="K37952" s="82"/>
      <c r="M37952" s="112"/>
      <c r="N37952" s="84"/>
    </row>
    <row r="37953" spans="1:14" s="2" customFormat="1">
      <c r="A37953" s="83"/>
      <c r="H37953" s="83"/>
      <c r="K37953" s="82"/>
      <c r="M37953" s="112"/>
      <c r="N37953" s="84"/>
    </row>
    <row r="37954" spans="1:14" s="2" customFormat="1">
      <c r="A37954" s="83"/>
      <c r="H37954" s="83"/>
      <c r="K37954" s="82"/>
      <c r="M37954" s="112"/>
      <c r="N37954" s="84"/>
    </row>
    <row r="37955" spans="1:14" s="2" customFormat="1">
      <c r="A37955" s="83"/>
      <c r="H37955" s="83"/>
      <c r="K37955" s="82"/>
      <c r="M37955" s="112"/>
      <c r="N37955" s="84"/>
    </row>
    <row r="37956" spans="1:14" s="2" customFormat="1">
      <c r="A37956" s="83"/>
      <c r="H37956" s="83"/>
      <c r="K37956" s="82"/>
      <c r="M37956" s="112"/>
      <c r="N37956" s="84"/>
    </row>
    <row r="37957" spans="1:14" s="2" customFormat="1">
      <c r="A37957" s="83"/>
      <c r="H37957" s="83"/>
      <c r="K37957" s="82"/>
      <c r="M37957" s="112"/>
      <c r="N37957" s="84"/>
    </row>
    <row r="37958" spans="1:14" s="2" customFormat="1">
      <c r="A37958" s="83"/>
      <c r="H37958" s="83"/>
      <c r="K37958" s="82"/>
      <c r="M37958" s="112"/>
      <c r="N37958" s="84"/>
    </row>
    <row r="37959" spans="1:14" s="2" customFormat="1">
      <c r="A37959" s="83"/>
      <c r="H37959" s="83"/>
      <c r="K37959" s="82"/>
      <c r="M37959" s="112"/>
      <c r="N37959" s="84"/>
    </row>
    <row r="37960" spans="1:14" s="2" customFormat="1">
      <c r="A37960" s="83"/>
      <c r="H37960" s="83"/>
      <c r="K37960" s="82"/>
      <c r="M37960" s="112"/>
      <c r="N37960" s="84"/>
    </row>
    <row r="37961" spans="1:14" s="2" customFormat="1">
      <c r="A37961" s="83"/>
      <c r="H37961" s="83"/>
      <c r="K37961" s="82"/>
      <c r="M37961" s="112"/>
      <c r="N37961" s="84"/>
    </row>
    <row r="37962" spans="1:14" s="2" customFormat="1">
      <c r="A37962" s="83"/>
      <c r="H37962" s="83"/>
      <c r="K37962" s="82"/>
      <c r="M37962" s="112"/>
      <c r="N37962" s="84"/>
    </row>
    <row r="37963" spans="1:14" s="2" customFormat="1">
      <c r="A37963" s="83"/>
      <c r="H37963" s="83"/>
      <c r="K37963" s="82"/>
      <c r="M37963" s="112"/>
      <c r="N37963" s="84"/>
    </row>
    <row r="37964" spans="1:14" s="2" customFormat="1">
      <c r="A37964" s="83"/>
      <c r="H37964" s="83"/>
      <c r="K37964" s="82"/>
      <c r="M37964" s="112"/>
      <c r="N37964" s="84"/>
    </row>
    <row r="37965" spans="1:14" s="2" customFormat="1">
      <c r="A37965" s="83"/>
      <c r="H37965" s="83"/>
      <c r="K37965" s="82"/>
      <c r="M37965" s="112"/>
      <c r="N37965" s="84"/>
    </row>
    <row r="37966" spans="1:14" s="2" customFormat="1">
      <c r="A37966" s="83"/>
      <c r="H37966" s="83"/>
      <c r="K37966" s="82"/>
      <c r="M37966" s="112"/>
      <c r="N37966" s="84"/>
    </row>
    <row r="37967" spans="1:14" s="2" customFormat="1">
      <c r="A37967" s="83"/>
      <c r="H37967" s="83"/>
      <c r="K37967" s="82"/>
      <c r="M37967" s="112"/>
      <c r="N37967" s="84"/>
    </row>
    <row r="37968" spans="1:14" s="2" customFormat="1">
      <c r="A37968" s="83"/>
      <c r="H37968" s="83"/>
      <c r="K37968" s="82"/>
      <c r="M37968" s="112"/>
      <c r="N37968" s="84"/>
    </row>
    <row r="37969" spans="1:14" s="2" customFormat="1">
      <c r="A37969" s="83"/>
      <c r="H37969" s="83"/>
      <c r="K37969" s="82"/>
      <c r="M37969" s="112"/>
      <c r="N37969" s="84"/>
    </row>
    <row r="37970" spans="1:14" s="2" customFormat="1">
      <c r="A37970" s="83"/>
      <c r="H37970" s="83"/>
      <c r="K37970" s="82"/>
      <c r="M37970" s="112"/>
      <c r="N37970" s="84"/>
    </row>
    <row r="37971" spans="1:14" s="2" customFormat="1">
      <c r="A37971" s="83"/>
      <c r="H37971" s="83"/>
      <c r="K37971" s="82"/>
      <c r="M37971" s="112"/>
      <c r="N37971" s="84"/>
    </row>
    <row r="37972" spans="1:14" s="2" customFormat="1">
      <c r="A37972" s="83"/>
      <c r="H37972" s="83"/>
      <c r="K37972" s="82"/>
      <c r="M37972" s="112"/>
      <c r="N37972" s="84"/>
    </row>
    <row r="37973" spans="1:14" s="2" customFormat="1">
      <c r="A37973" s="83"/>
      <c r="H37973" s="83"/>
      <c r="K37973" s="82"/>
      <c r="M37973" s="112"/>
      <c r="N37973" s="84"/>
    </row>
    <row r="37974" spans="1:14" s="2" customFormat="1">
      <c r="A37974" s="83"/>
      <c r="H37974" s="83"/>
      <c r="K37974" s="82"/>
      <c r="M37974" s="112"/>
      <c r="N37974" s="84"/>
    </row>
    <row r="37975" spans="1:14" s="2" customFormat="1">
      <c r="A37975" s="83"/>
      <c r="H37975" s="83"/>
      <c r="K37975" s="82"/>
      <c r="M37975" s="112"/>
      <c r="N37975" s="84"/>
    </row>
    <row r="37976" spans="1:14" s="2" customFormat="1">
      <c r="A37976" s="83"/>
      <c r="H37976" s="83"/>
      <c r="K37976" s="82"/>
      <c r="M37976" s="112"/>
      <c r="N37976" s="84"/>
    </row>
    <row r="37977" spans="1:14" s="2" customFormat="1">
      <c r="A37977" s="83"/>
      <c r="H37977" s="83"/>
      <c r="K37977" s="82"/>
      <c r="M37977" s="112"/>
      <c r="N37977" s="84"/>
    </row>
    <row r="37978" spans="1:14" s="2" customFormat="1">
      <c r="A37978" s="83"/>
      <c r="H37978" s="83"/>
      <c r="K37978" s="82"/>
      <c r="M37978" s="112"/>
      <c r="N37978" s="84"/>
    </row>
    <row r="37979" spans="1:14" s="2" customFormat="1">
      <c r="A37979" s="83"/>
      <c r="H37979" s="83"/>
      <c r="K37979" s="82"/>
      <c r="M37979" s="112"/>
      <c r="N37979" s="84"/>
    </row>
    <row r="37980" spans="1:14" s="2" customFormat="1">
      <c r="A37980" s="83"/>
      <c r="H37980" s="83"/>
      <c r="K37980" s="82"/>
      <c r="M37980" s="112"/>
      <c r="N37980" s="84"/>
    </row>
    <row r="37981" spans="1:14" s="2" customFormat="1">
      <c r="A37981" s="83"/>
      <c r="H37981" s="83"/>
      <c r="K37981" s="82"/>
      <c r="M37981" s="112"/>
      <c r="N37981" s="84"/>
    </row>
    <row r="37982" spans="1:14" s="2" customFormat="1">
      <c r="A37982" s="83"/>
      <c r="H37982" s="83"/>
      <c r="K37982" s="82"/>
      <c r="M37982" s="112"/>
      <c r="N37982" s="84"/>
    </row>
    <row r="37983" spans="1:14" s="2" customFormat="1">
      <c r="A37983" s="83"/>
      <c r="H37983" s="83"/>
      <c r="K37983" s="82"/>
      <c r="M37983" s="112"/>
      <c r="N37983" s="84"/>
    </row>
    <row r="37984" spans="1:14" s="2" customFormat="1">
      <c r="A37984" s="83"/>
      <c r="H37984" s="83"/>
      <c r="K37984" s="82"/>
      <c r="M37984" s="112"/>
      <c r="N37984" s="84"/>
    </row>
    <row r="37985" spans="1:14" s="2" customFormat="1">
      <c r="A37985" s="83"/>
      <c r="H37985" s="83"/>
      <c r="K37985" s="82"/>
      <c r="M37985" s="112"/>
      <c r="N37985" s="84"/>
    </row>
    <row r="37986" spans="1:14" s="2" customFormat="1">
      <c r="A37986" s="83"/>
      <c r="H37986" s="83"/>
      <c r="K37986" s="82"/>
      <c r="M37986" s="112"/>
      <c r="N37986" s="84"/>
    </row>
    <row r="37987" spans="1:14" s="2" customFormat="1">
      <c r="A37987" s="83"/>
      <c r="H37987" s="83"/>
      <c r="K37987" s="82"/>
      <c r="M37987" s="112"/>
      <c r="N37987" s="84"/>
    </row>
    <row r="37988" spans="1:14" s="2" customFormat="1">
      <c r="A37988" s="83"/>
      <c r="H37988" s="83"/>
      <c r="K37988" s="82"/>
      <c r="M37988" s="112"/>
      <c r="N37988" s="84"/>
    </row>
    <row r="37989" spans="1:14" s="2" customFormat="1">
      <c r="A37989" s="83"/>
      <c r="H37989" s="83"/>
      <c r="K37989" s="82"/>
      <c r="M37989" s="112"/>
      <c r="N37989" s="84"/>
    </row>
    <row r="37990" spans="1:14" s="2" customFormat="1">
      <c r="A37990" s="83"/>
      <c r="H37990" s="83"/>
      <c r="K37990" s="82"/>
      <c r="M37990" s="112"/>
      <c r="N37990" s="84"/>
    </row>
    <row r="37991" spans="1:14" s="2" customFormat="1">
      <c r="A37991" s="83"/>
      <c r="H37991" s="83"/>
      <c r="K37991" s="82"/>
      <c r="M37991" s="112"/>
      <c r="N37991" s="84"/>
    </row>
    <row r="37992" spans="1:14" s="2" customFormat="1">
      <c r="A37992" s="83"/>
      <c r="H37992" s="83"/>
      <c r="K37992" s="82"/>
      <c r="M37992" s="112"/>
      <c r="N37992" s="84"/>
    </row>
    <row r="37993" spans="1:14" s="2" customFormat="1">
      <c r="A37993" s="83"/>
      <c r="H37993" s="83"/>
      <c r="K37993" s="82"/>
      <c r="M37993" s="112"/>
      <c r="N37993" s="84"/>
    </row>
    <row r="37994" spans="1:14" s="2" customFormat="1">
      <c r="A37994" s="83"/>
      <c r="H37994" s="83"/>
      <c r="K37994" s="82"/>
      <c r="M37994" s="112"/>
      <c r="N37994" s="84"/>
    </row>
    <row r="37995" spans="1:14" s="2" customFormat="1">
      <c r="A37995" s="83"/>
      <c r="H37995" s="83"/>
      <c r="K37995" s="82"/>
      <c r="M37995" s="112"/>
      <c r="N37995" s="84"/>
    </row>
    <row r="37996" spans="1:14" s="2" customFormat="1">
      <c r="A37996" s="83"/>
      <c r="H37996" s="83"/>
      <c r="K37996" s="82"/>
      <c r="M37996" s="112"/>
      <c r="N37996" s="84"/>
    </row>
    <row r="37997" spans="1:14" s="2" customFormat="1">
      <c r="A37997" s="83"/>
      <c r="H37997" s="83"/>
      <c r="K37997" s="82"/>
      <c r="M37997" s="112"/>
      <c r="N37997" s="84"/>
    </row>
    <row r="37998" spans="1:14" s="2" customFormat="1">
      <c r="A37998" s="83"/>
      <c r="H37998" s="83"/>
      <c r="K37998" s="82"/>
      <c r="M37998" s="112"/>
      <c r="N37998" s="84"/>
    </row>
    <row r="37999" spans="1:14" s="2" customFormat="1">
      <c r="A37999" s="83"/>
      <c r="H37999" s="83"/>
      <c r="K37999" s="82"/>
      <c r="M37999" s="112"/>
      <c r="N37999" s="84"/>
    </row>
    <row r="38000" spans="1:14" s="2" customFormat="1">
      <c r="A38000" s="83"/>
      <c r="H38000" s="83"/>
      <c r="K38000" s="82"/>
      <c r="M38000" s="112"/>
      <c r="N38000" s="84"/>
    </row>
    <row r="38001" spans="1:14" s="2" customFormat="1">
      <c r="A38001" s="83"/>
      <c r="H38001" s="83"/>
      <c r="K38001" s="82"/>
      <c r="M38001" s="112"/>
      <c r="N38001" s="84"/>
    </row>
    <row r="38002" spans="1:14" s="2" customFormat="1">
      <c r="A38002" s="83"/>
      <c r="H38002" s="83"/>
      <c r="K38002" s="82"/>
      <c r="M38002" s="112"/>
      <c r="N38002" s="84"/>
    </row>
    <row r="38003" spans="1:14" s="2" customFormat="1">
      <c r="A38003" s="83"/>
      <c r="H38003" s="83"/>
      <c r="K38003" s="82"/>
      <c r="M38003" s="112"/>
      <c r="N38003" s="84"/>
    </row>
    <row r="38004" spans="1:14" s="2" customFormat="1">
      <c r="A38004" s="83"/>
      <c r="H38004" s="83"/>
      <c r="K38004" s="82"/>
      <c r="M38004" s="112"/>
      <c r="N38004" s="84"/>
    </row>
    <row r="38005" spans="1:14" s="2" customFormat="1">
      <c r="A38005" s="83"/>
      <c r="H38005" s="83"/>
      <c r="K38005" s="82"/>
      <c r="M38005" s="112"/>
      <c r="N38005" s="84"/>
    </row>
    <row r="38006" spans="1:14" s="2" customFormat="1">
      <c r="A38006" s="83"/>
      <c r="H38006" s="83"/>
      <c r="K38006" s="82"/>
      <c r="M38006" s="112"/>
      <c r="N38006" s="84"/>
    </row>
    <row r="38007" spans="1:14" s="2" customFormat="1">
      <c r="A38007" s="83"/>
      <c r="H38007" s="83"/>
      <c r="K38007" s="82"/>
      <c r="M38007" s="112"/>
      <c r="N38007" s="84"/>
    </row>
    <row r="38008" spans="1:14" s="2" customFormat="1">
      <c r="A38008" s="83"/>
      <c r="H38008" s="83"/>
      <c r="K38008" s="82"/>
      <c r="M38008" s="112"/>
      <c r="N38008" s="84"/>
    </row>
    <row r="38009" spans="1:14" s="2" customFormat="1">
      <c r="A38009" s="83"/>
      <c r="H38009" s="83"/>
      <c r="K38009" s="82"/>
      <c r="M38009" s="112"/>
      <c r="N38009" s="84"/>
    </row>
    <row r="38010" spans="1:14" s="2" customFormat="1">
      <c r="A38010" s="83"/>
      <c r="H38010" s="83"/>
      <c r="K38010" s="82"/>
      <c r="M38010" s="112"/>
      <c r="N38010" s="84"/>
    </row>
    <row r="38011" spans="1:14" s="2" customFormat="1">
      <c r="A38011" s="83"/>
      <c r="H38011" s="83"/>
      <c r="K38011" s="82"/>
      <c r="M38011" s="112"/>
      <c r="N38011" s="84"/>
    </row>
    <row r="38012" spans="1:14" s="2" customFormat="1">
      <c r="A38012" s="83"/>
      <c r="H38012" s="83"/>
      <c r="K38012" s="82"/>
      <c r="M38012" s="112"/>
      <c r="N38012" s="84"/>
    </row>
    <row r="38013" spans="1:14" s="2" customFormat="1">
      <c r="A38013" s="83"/>
      <c r="H38013" s="83"/>
      <c r="K38013" s="82"/>
      <c r="M38013" s="112"/>
      <c r="N38013" s="84"/>
    </row>
    <row r="38014" spans="1:14" s="2" customFormat="1">
      <c r="A38014" s="83"/>
      <c r="H38014" s="83"/>
      <c r="K38014" s="82"/>
      <c r="M38014" s="112"/>
      <c r="N38014" s="84"/>
    </row>
    <row r="38015" spans="1:14" s="2" customFormat="1">
      <c r="A38015" s="83"/>
      <c r="H38015" s="83"/>
      <c r="K38015" s="82"/>
      <c r="M38015" s="112"/>
      <c r="N38015" s="84"/>
    </row>
    <row r="38016" spans="1:14" s="2" customFormat="1">
      <c r="A38016" s="83"/>
      <c r="H38016" s="83"/>
      <c r="K38016" s="82"/>
      <c r="M38016" s="112"/>
      <c r="N38016" s="84"/>
    </row>
    <row r="38017" spans="1:14" s="2" customFormat="1">
      <c r="A38017" s="83"/>
      <c r="H38017" s="83"/>
      <c r="K38017" s="82"/>
      <c r="M38017" s="112"/>
      <c r="N38017" s="84"/>
    </row>
    <row r="38018" spans="1:14" s="2" customFormat="1">
      <c r="A38018" s="83"/>
      <c r="H38018" s="83"/>
      <c r="K38018" s="82"/>
      <c r="M38018" s="112"/>
      <c r="N38018" s="84"/>
    </row>
    <row r="38019" spans="1:14" s="2" customFormat="1">
      <c r="A38019" s="83"/>
      <c r="H38019" s="83"/>
      <c r="K38019" s="82"/>
      <c r="M38019" s="112"/>
      <c r="N38019" s="84"/>
    </row>
    <row r="38020" spans="1:14" s="2" customFormat="1">
      <c r="A38020" s="83"/>
      <c r="H38020" s="83"/>
      <c r="K38020" s="82"/>
      <c r="M38020" s="112"/>
      <c r="N38020" s="84"/>
    </row>
    <row r="38021" spans="1:14" s="2" customFormat="1">
      <c r="A38021" s="83"/>
      <c r="H38021" s="83"/>
      <c r="K38021" s="82"/>
      <c r="M38021" s="112"/>
      <c r="N38021" s="84"/>
    </row>
    <row r="38022" spans="1:14" s="2" customFormat="1">
      <c r="A38022" s="83"/>
      <c r="H38022" s="83"/>
      <c r="K38022" s="82"/>
      <c r="M38022" s="112"/>
      <c r="N38022" s="84"/>
    </row>
    <row r="38023" spans="1:14" s="2" customFormat="1">
      <c r="A38023" s="83"/>
      <c r="H38023" s="83"/>
      <c r="K38023" s="82"/>
      <c r="M38023" s="112"/>
      <c r="N38023" s="84"/>
    </row>
    <row r="38024" spans="1:14" s="2" customFormat="1">
      <c r="A38024" s="83"/>
      <c r="H38024" s="83"/>
      <c r="K38024" s="82"/>
      <c r="M38024" s="112"/>
      <c r="N38024" s="84"/>
    </row>
    <row r="38025" spans="1:14" s="2" customFormat="1">
      <c r="A38025" s="83"/>
      <c r="H38025" s="83"/>
      <c r="K38025" s="82"/>
      <c r="M38025" s="112"/>
      <c r="N38025" s="84"/>
    </row>
    <row r="38026" spans="1:14" s="2" customFormat="1">
      <c r="A38026" s="83"/>
      <c r="H38026" s="83"/>
      <c r="K38026" s="82"/>
      <c r="M38026" s="112"/>
      <c r="N38026" s="84"/>
    </row>
    <row r="38027" spans="1:14" s="2" customFormat="1">
      <c r="A38027" s="83"/>
      <c r="H38027" s="83"/>
      <c r="K38027" s="82"/>
      <c r="M38027" s="112"/>
      <c r="N38027" s="84"/>
    </row>
    <row r="38028" spans="1:14" s="2" customFormat="1">
      <c r="A38028" s="83"/>
      <c r="H38028" s="83"/>
      <c r="K38028" s="82"/>
      <c r="M38028" s="112"/>
      <c r="N38028" s="84"/>
    </row>
    <row r="38029" spans="1:14" s="2" customFormat="1">
      <c r="A38029" s="83"/>
      <c r="H38029" s="83"/>
      <c r="K38029" s="82"/>
      <c r="M38029" s="112"/>
      <c r="N38029" s="84"/>
    </row>
    <row r="38030" spans="1:14" s="2" customFormat="1">
      <c r="A38030" s="83"/>
      <c r="H38030" s="83"/>
      <c r="K38030" s="82"/>
      <c r="M38030" s="112"/>
      <c r="N38030" s="84"/>
    </row>
    <row r="38031" spans="1:14" s="2" customFormat="1">
      <c r="A38031" s="83"/>
      <c r="H38031" s="83"/>
      <c r="K38031" s="82"/>
      <c r="M38031" s="112"/>
      <c r="N38031" s="84"/>
    </row>
    <row r="38032" spans="1:14" s="2" customFormat="1">
      <c r="A38032" s="83"/>
      <c r="H38032" s="83"/>
      <c r="K38032" s="82"/>
      <c r="M38032" s="112"/>
      <c r="N38032" s="84"/>
    </row>
    <row r="38033" spans="1:14" s="2" customFormat="1">
      <c r="A38033" s="83"/>
      <c r="H38033" s="83"/>
      <c r="K38033" s="82"/>
      <c r="M38033" s="112"/>
      <c r="N38033" s="84"/>
    </row>
    <row r="38034" spans="1:14" s="2" customFormat="1">
      <c r="A38034" s="83"/>
      <c r="H38034" s="83"/>
      <c r="K38034" s="82"/>
      <c r="M38034" s="112"/>
      <c r="N38034" s="84"/>
    </row>
    <row r="38035" spans="1:14" s="2" customFormat="1">
      <c r="A38035" s="83"/>
      <c r="H38035" s="83"/>
      <c r="K38035" s="82"/>
      <c r="M38035" s="112"/>
      <c r="N38035" s="84"/>
    </row>
    <row r="38036" spans="1:14" s="2" customFormat="1">
      <c r="A38036" s="83"/>
      <c r="H38036" s="83"/>
      <c r="K38036" s="82"/>
      <c r="M38036" s="112"/>
      <c r="N38036" s="84"/>
    </row>
    <row r="38037" spans="1:14" s="2" customFormat="1">
      <c r="A38037" s="83"/>
      <c r="H38037" s="83"/>
      <c r="K38037" s="82"/>
      <c r="M38037" s="112"/>
      <c r="N38037" s="84"/>
    </row>
    <row r="38038" spans="1:14" s="2" customFormat="1">
      <c r="A38038" s="83"/>
      <c r="H38038" s="83"/>
      <c r="K38038" s="82"/>
      <c r="M38038" s="112"/>
      <c r="N38038" s="84"/>
    </row>
    <row r="38039" spans="1:14" s="2" customFormat="1">
      <c r="A38039" s="83"/>
      <c r="H38039" s="83"/>
      <c r="K38039" s="82"/>
      <c r="M38039" s="112"/>
      <c r="N38039" s="84"/>
    </row>
    <row r="38040" spans="1:14" s="2" customFormat="1">
      <c r="A38040" s="83"/>
      <c r="H38040" s="83"/>
      <c r="K38040" s="82"/>
      <c r="M38040" s="112"/>
      <c r="N38040" s="84"/>
    </row>
    <row r="38041" spans="1:14" s="2" customFormat="1">
      <c r="A38041" s="83"/>
      <c r="H38041" s="83"/>
      <c r="K38041" s="82"/>
      <c r="M38041" s="112"/>
      <c r="N38041" s="84"/>
    </row>
    <row r="38042" spans="1:14" s="2" customFormat="1">
      <c r="A38042" s="83"/>
      <c r="H38042" s="83"/>
      <c r="K38042" s="82"/>
      <c r="M38042" s="112"/>
      <c r="N38042" s="84"/>
    </row>
    <row r="38043" spans="1:14" s="2" customFormat="1">
      <c r="A38043" s="83"/>
      <c r="H38043" s="83"/>
      <c r="K38043" s="82"/>
      <c r="M38043" s="112"/>
      <c r="N38043" s="84"/>
    </row>
    <row r="38044" spans="1:14" s="2" customFormat="1">
      <c r="A38044" s="83"/>
      <c r="H38044" s="83"/>
      <c r="K38044" s="82"/>
      <c r="M38044" s="112"/>
      <c r="N38044" s="84"/>
    </row>
    <row r="38045" spans="1:14" s="2" customFormat="1">
      <c r="A38045" s="83"/>
      <c r="H38045" s="83"/>
      <c r="K38045" s="82"/>
      <c r="M38045" s="112"/>
      <c r="N38045" s="84"/>
    </row>
    <row r="38046" spans="1:14" s="2" customFormat="1">
      <c r="A38046" s="83"/>
      <c r="H38046" s="83"/>
      <c r="K38046" s="82"/>
      <c r="M38046" s="112"/>
      <c r="N38046" s="84"/>
    </row>
    <row r="38047" spans="1:14" s="2" customFormat="1">
      <c r="A38047" s="83"/>
      <c r="H38047" s="83"/>
      <c r="K38047" s="82"/>
      <c r="M38047" s="112"/>
      <c r="N38047" s="84"/>
    </row>
    <row r="38048" spans="1:14" s="2" customFormat="1">
      <c r="A38048" s="83"/>
      <c r="H38048" s="83"/>
      <c r="K38048" s="82"/>
      <c r="M38048" s="112"/>
      <c r="N38048" s="84"/>
    </row>
    <row r="38049" spans="1:14" s="2" customFormat="1">
      <c r="A38049" s="83"/>
      <c r="H38049" s="83"/>
      <c r="K38049" s="82"/>
      <c r="M38049" s="112"/>
      <c r="N38049" s="84"/>
    </row>
    <row r="38050" spans="1:14" s="2" customFormat="1">
      <c r="A38050" s="83"/>
      <c r="H38050" s="83"/>
      <c r="K38050" s="82"/>
      <c r="M38050" s="112"/>
      <c r="N38050" s="84"/>
    </row>
    <row r="38051" spans="1:14" s="2" customFormat="1">
      <c r="A38051" s="83"/>
      <c r="H38051" s="83"/>
      <c r="K38051" s="82"/>
      <c r="M38051" s="112"/>
      <c r="N38051" s="84"/>
    </row>
    <row r="38052" spans="1:14" s="2" customFormat="1">
      <c r="A38052" s="83"/>
      <c r="H38052" s="83"/>
      <c r="K38052" s="82"/>
      <c r="M38052" s="112"/>
      <c r="N38052" s="84"/>
    </row>
    <row r="38053" spans="1:14" s="2" customFormat="1">
      <c r="A38053" s="83"/>
      <c r="H38053" s="83"/>
      <c r="K38053" s="82"/>
      <c r="M38053" s="112"/>
      <c r="N38053" s="84"/>
    </row>
    <row r="38054" spans="1:14" s="2" customFormat="1">
      <c r="A38054" s="83"/>
      <c r="H38054" s="83"/>
      <c r="K38054" s="82"/>
      <c r="M38054" s="112"/>
      <c r="N38054" s="84"/>
    </row>
    <row r="38055" spans="1:14" s="2" customFormat="1">
      <c r="A38055" s="83"/>
      <c r="H38055" s="83"/>
      <c r="K38055" s="82"/>
      <c r="M38055" s="112"/>
      <c r="N38055" s="84"/>
    </row>
    <row r="38056" spans="1:14" s="2" customFormat="1">
      <c r="A38056" s="83"/>
      <c r="H38056" s="83"/>
      <c r="K38056" s="82"/>
      <c r="M38056" s="112"/>
      <c r="N38056" s="84"/>
    </row>
    <row r="38057" spans="1:14" s="2" customFormat="1">
      <c r="A38057" s="83"/>
      <c r="H38057" s="83"/>
      <c r="K38057" s="82"/>
      <c r="M38057" s="112"/>
      <c r="N38057" s="84"/>
    </row>
    <row r="38058" spans="1:14" s="2" customFormat="1">
      <c r="A38058" s="83"/>
      <c r="H38058" s="83"/>
      <c r="K38058" s="82"/>
      <c r="M38058" s="112"/>
      <c r="N38058" s="84"/>
    </row>
    <row r="38059" spans="1:14" s="2" customFormat="1">
      <c r="A38059" s="83"/>
      <c r="H38059" s="83"/>
      <c r="K38059" s="82"/>
      <c r="M38059" s="112"/>
      <c r="N38059" s="84"/>
    </row>
    <row r="38060" spans="1:14" s="2" customFormat="1">
      <c r="A38060" s="83"/>
      <c r="H38060" s="83"/>
      <c r="K38060" s="82"/>
      <c r="M38060" s="112"/>
      <c r="N38060" s="84"/>
    </row>
    <row r="38061" spans="1:14" s="2" customFormat="1">
      <c r="A38061" s="83"/>
      <c r="H38061" s="83"/>
      <c r="K38061" s="82"/>
      <c r="M38061" s="112"/>
      <c r="N38061" s="84"/>
    </row>
    <row r="38062" spans="1:14" s="2" customFormat="1">
      <c r="A38062" s="83"/>
      <c r="H38062" s="83"/>
      <c r="K38062" s="82"/>
      <c r="M38062" s="112"/>
      <c r="N38062" s="84"/>
    </row>
    <row r="38063" spans="1:14" s="2" customFormat="1">
      <c r="A38063" s="83"/>
      <c r="H38063" s="83"/>
      <c r="K38063" s="82"/>
      <c r="M38063" s="112"/>
      <c r="N38063" s="84"/>
    </row>
    <row r="38064" spans="1:14" s="2" customFormat="1">
      <c r="A38064" s="83"/>
      <c r="H38064" s="83"/>
      <c r="K38064" s="82"/>
      <c r="M38064" s="112"/>
      <c r="N38064" s="84"/>
    </row>
    <row r="38065" spans="1:14" s="2" customFormat="1">
      <c r="A38065" s="83"/>
      <c r="H38065" s="83"/>
      <c r="K38065" s="82"/>
      <c r="M38065" s="112"/>
      <c r="N38065" s="84"/>
    </row>
    <row r="38066" spans="1:14" s="2" customFormat="1">
      <c r="A38066" s="83"/>
      <c r="H38066" s="83"/>
      <c r="K38066" s="82"/>
      <c r="M38066" s="112"/>
      <c r="N38066" s="84"/>
    </row>
    <row r="38067" spans="1:14" s="2" customFormat="1">
      <c r="A38067" s="83"/>
      <c r="H38067" s="83"/>
      <c r="K38067" s="82"/>
      <c r="M38067" s="112"/>
      <c r="N38067" s="84"/>
    </row>
    <row r="38068" spans="1:14" s="2" customFormat="1">
      <c r="A38068" s="83"/>
      <c r="H38068" s="83"/>
      <c r="K38068" s="82"/>
      <c r="M38068" s="112"/>
      <c r="N38068" s="84"/>
    </row>
    <row r="38069" spans="1:14" s="2" customFormat="1">
      <c r="A38069" s="83"/>
      <c r="H38069" s="83"/>
      <c r="K38069" s="82"/>
      <c r="M38069" s="112"/>
      <c r="N38069" s="84"/>
    </row>
    <row r="38070" spans="1:14" s="2" customFormat="1">
      <c r="A38070" s="83"/>
      <c r="H38070" s="83"/>
      <c r="K38070" s="82"/>
      <c r="M38070" s="112"/>
      <c r="N38070" s="84"/>
    </row>
    <row r="38071" spans="1:14" s="2" customFormat="1">
      <c r="A38071" s="83"/>
      <c r="H38071" s="83"/>
      <c r="K38071" s="82"/>
      <c r="M38071" s="112"/>
      <c r="N38071" s="84"/>
    </row>
    <row r="38072" spans="1:14" s="2" customFormat="1">
      <c r="A38072" s="83"/>
      <c r="H38072" s="83"/>
      <c r="K38072" s="82"/>
      <c r="M38072" s="112"/>
      <c r="N38072" s="84"/>
    </row>
    <row r="38073" spans="1:14" s="2" customFormat="1">
      <c r="A38073" s="83"/>
      <c r="H38073" s="83"/>
      <c r="K38073" s="82"/>
      <c r="M38073" s="112"/>
      <c r="N38073" s="84"/>
    </row>
    <row r="38074" spans="1:14" s="2" customFormat="1">
      <c r="A38074" s="83"/>
      <c r="H38074" s="83"/>
      <c r="K38074" s="82"/>
      <c r="M38074" s="112"/>
      <c r="N38074" s="84"/>
    </row>
    <row r="38075" spans="1:14" s="2" customFormat="1">
      <c r="A38075" s="83"/>
      <c r="H38075" s="83"/>
      <c r="K38075" s="82"/>
      <c r="M38075" s="112"/>
      <c r="N38075" s="84"/>
    </row>
    <row r="38076" spans="1:14" s="2" customFormat="1">
      <c r="A38076" s="83"/>
      <c r="H38076" s="83"/>
      <c r="K38076" s="82"/>
      <c r="M38076" s="112"/>
      <c r="N38076" s="84"/>
    </row>
    <row r="38077" spans="1:14" s="2" customFormat="1">
      <c r="A38077" s="83"/>
      <c r="H38077" s="83"/>
      <c r="K38077" s="82"/>
      <c r="M38077" s="112"/>
      <c r="N38077" s="84"/>
    </row>
    <row r="38078" spans="1:14" s="2" customFormat="1">
      <c r="A38078" s="83"/>
      <c r="H38078" s="83"/>
      <c r="K38078" s="82"/>
      <c r="M38078" s="112"/>
      <c r="N38078" s="84"/>
    </row>
    <row r="38079" spans="1:14" s="2" customFormat="1">
      <c r="A38079" s="83"/>
      <c r="H38079" s="83"/>
      <c r="K38079" s="82"/>
      <c r="M38079" s="112"/>
      <c r="N38079" s="84"/>
    </row>
    <row r="38080" spans="1:14" s="2" customFormat="1">
      <c r="A38080" s="83"/>
      <c r="H38080" s="83"/>
      <c r="K38080" s="82"/>
      <c r="M38080" s="112"/>
      <c r="N38080" s="84"/>
    </row>
    <row r="38081" spans="1:14" s="2" customFormat="1">
      <c r="A38081" s="83"/>
      <c r="H38081" s="83"/>
      <c r="K38081" s="82"/>
      <c r="M38081" s="112"/>
      <c r="N38081" s="84"/>
    </row>
    <row r="38082" spans="1:14" s="2" customFormat="1">
      <c r="A38082" s="83"/>
      <c r="H38082" s="83"/>
      <c r="K38082" s="82"/>
      <c r="M38082" s="112"/>
      <c r="N38082" s="84"/>
    </row>
    <row r="38083" spans="1:14" s="2" customFormat="1">
      <c r="A38083" s="83"/>
      <c r="H38083" s="83"/>
      <c r="K38083" s="82"/>
      <c r="M38083" s="112"/>
      <c r="N38083" s="84"/>
    </row>
    <row r="38084" spans="1:14" s="2" customFormat="1">
      <c r="A38084" s="83"/>
      <c r="H38084" s="83"/>
      <c r="K38084" s="82"/>
      <c r="M38084" s="112"/>
      <c r="N38084" s="84"/>
    </row>
    <row r="38085" spans="1:14" s="2" customFormat="1">
      <c r="A38085" s="83"/>
      <c r="H38085" s="83"/>
      <c r="K38085" s="82"/>
      <c r="M38085" s="112"/>
      <c r="N38085" s="84"/>
    </row>
    <row r="38086" spans="1:14" s="2" customFormat="1">
      <c r="A38086" s="83"/>
      <c r="H38086" s="83"/>
      <c r="K38086" s="82"/>
      <c r="M38086" s="112"/>
      <c r="N38086" s="84"/>
    </row>
    <row r="38087" spans="1:14" s="2" customFormat="1">
      <c r="A38087" s="83"/>
      <c r="H38087" s="83"/>
      <c r="K38087" s="82"/>
      <c r="M38087" s="112"/>
      <c r="N38087" s="84"/>
    </row>
    <row r="38088" spans="1:14" s="2" customFormat="1">
      <c r="A38088" s="83"/>
      <c r="H38088" s="83"/>
      <c r="K38088" s="82"/>
      <c r="M38088" s="112"/>
      <c r="N38088" s="84"/>
    </row>
    <row r="38089" spans="1:14" s="2" customFormat="1">
      <c r="A38089" s="83"/>
      <c r="H38089" s="83"/>
      <c r="K38089" s="82"/>
      <c r="M38089" s="112"/>
      <c r="N38089" s="84"/>
    </row>
    <row r="38090" spans="1:14" s="2" customFormat="1">
      <c r="A38090" s="83"/>
      <c r="H38090" s="83"/>
      <c r="K38090" s="82"/>
      <c r="M38090" s="112"/>
      <c r="N38090" s="84"/>
    </row>
    <row r="38091" spans="1:14" s="2" customFormat="1">
      <c r="A38091" s="83"/>
      <c r="H38091" s="83"/>
      <c r="K38091" s="82"/>
      <c r="M38091" s="112"/>
      <c r="N38091" s="84"/>
    </row>
    <row r="38092" spans="1:14" s="2" customFormat="1">
      <c r="A38092" s="83"/>
      <c r="H38092" s="83"/>
      <c r="K38092" s="82"/>
      <c r="M38092" s="112"/>
      <c r="N38092" s="84"/>
    </row>
    <row r="38093" spans="1:14" s="2" customFormat="1">
      <c r="A38093" s="83"/>
      <c r="H38093" s="83"/>
      <c r="K38093" s="82"/>
      <c r="M38093" s="112"/>
      <c r="N38093" s="84"/>
    </row>
    <row r="38094" spans="1:14" s="2" customFormat="1">
      <c r="A38094" s="83"/>
      <c r="H38094" s="83"/>
      <c r="K38094" s="82"/>
      <c r="M38094" s="112"/>
      <c r="N38094" s="84"/>
    </row>
    <row r="38095" spans="1:14" s="2" customFormat="1">
      <c r="A38095" s="83"/>
      <c r="H38095" s="83"/>
      <c r="K38095" s="82"/>
      <c r="M38095" s="112"/>
      <c r="N38095" s="84"/>
    </row>
    <row r="38096" spans="1:14" s="2" customFormat="1">
      <c r="A38096" s="83"/>
      <c r="H38096" s="83"/>
      <c r="K38096" s="82"/>
      <c r="M38096" s="112"/>
      <c r="N38096" s="84"/>
    </row>
    <row r="38097" spans="1:14" s="2" customFormat="1">
      <c r="A38097" s="83"/>
      <c r="H38097" s="83"/>
      <c r="K38097" s="82"/>
      <c r="M38097" s="112"/>
      <c r="N38097" s="84"/>
    </row>
    <row r="38098" spans="1:14" s="2" customFormat="1">
      <c r="A38098" s="83"/>
      <c r="H38098" s="83"/>
      <c r="K38098" s="82"/>
      <c r="M38098" s="112"/>
      <c r="N38098" s="84"/>
    </row>
    <row r="38099" spans="1:14" s="2" customFormat="1">
      <c r="A38099" s="83"/>
      <c r="H38099" s="83"/>
      <c r="K38099" s="82"/>
      <c r="M38099" s="112"/>
      <c r="N38099" s="84"/>
    </row>
    <row r="38100" spans="1:14" s="2" customFormat="1">
      <c r="A38100" s="83"/>
      <c r="H38100" s="83"/>
      <c r="K38100" s="82"/>
      <c r="M38100" s="112"/>
      <c r="N38100" s="84"/>
    </row>
    <row r="38101" spans="1:14" s="2" customFormat="1">
      <c r="A38101" s="83"/>
      <c r="H38101" s="83"/>
      <c r="K38101" s="82"/>
      <c r="M38101" s="112"/>
      <c r="N38101" s="84"/>
    </row>
    <row r="38102" spans="1:14" s="2" customFormat="1">
      <c r="A38102" s="83"/>
      <c r="H38102" s="83"/>
      <c r="K38102" s="82"/>
      <c r="M38102" s="112"/>
      <c r="N38102" s="84"/>
    </row>
    <row r="38103" spans="1:14" s="2" customFormat="1">
      <c r="A38103" s="83"/>
      <c r="H38103" s="83"/>
      <c r="K38103" s="82"/>
      <c r="M38103" s="112"/>
      <c r="N38103" s="84"/>
    </row>
    <row r="38104" spans="1:14" s="2" customFormat="1">
      <c r="A38104" s="83"/>
      <c r="H38104" s="83"/>
      <c r="K38104" s="82"/>
      <c r="M38104" s="112"/>
      <c r="N38104" s="84"/>
    </row>
    <row r="38105" spans="1:14" s="2" customFormat="1">
      <c r="A38105" s="83"/>
      <c r="H38105" s="83"/>
      <c r="K38105" s="82"/>
      <c r="M38105" s="112"/>
      <c r="N38105" s="84"/>
    </row>
    <row r="38106" spans="1:14" s="2" customFormat="1">
      <c r="A38106" s="83"/>
      <c r="H38106" s="83"/>
      <c r="K38106" s="82"/>
      <c r="M38106" s="112"/>
      <c r="N38106" s="84"/>
    </row>
    <row r="38107" spans="1:14" s="2" customFormat="1">
      <c r="A38107" s="83"/>
      <c r="H38107" s="83"/>
      <c r="K38107" s="82"/>
      <c r="M38107" s="112"/>
      <c r="N38107" s="84"/>
    </row>
    <row r="38108" spans="1:14" s="2" customFormat="1">
      <c r="A38108" s="83"/>
      <c r="H38108" s="83"/>
      <c r="K38108" s="82"/>
      <c r="M38108" s="112"/>
      <c r="N38108" s="84"/>
    </row>
    <row r="38109" spans="1:14" s="2" customFormat="1">
      <c r="A38109" s="83"/>
      <c r="H38109" s="83"/>
      <c r="K38109" s="82"/>
      <c r="M38109" s="112"/>
      <c r="N38109" s="84"/>
    </row>
    <row r="38110" spans="1:14" s="2" customFormat="1">
      <c r="A38110" s="83"/>
      <c r="H38110" s="83"/>
      <c r="K38110" s="82"/>
      <c r="M38110" s="112"/>
      <c r="N38110" s="84"/>
    </row>
    <row r="38111" spans="1:14" s="2" customFormat="1">
      <c r="A38111" s="83"/>
      <c r="H38111" s="83"/>
      <c r="K38111" s="82"/>
      <c r="M38111" s="112"/>
      <c r="N38111" s="84"/>
    </row>
    <row r="38112" spans="1:14" s="2" customFormat="1">
      <c r="A38112" s="83"/>
      <c r="H38112" s="83"/>
      <c r="K38112" s="82"/>
      <c r="M38112" s="112"/>
      <c r="N38112" s="84"/>
    </row>
    <row r="38113" spans="1:14" s="2" customFormat="1">
      <c r="A38113" s="83"/>
      <c r="H38113" s="83"/>
      <c r="K38113" s="82"/>
      <c r="M38113" s="112"/>
      <c r="N38113" s="84"/>
    </row>
    <row r="38114" spans="1:14" s="2" customFormat="1">
      <c r="A38114" s="83"/>
      <c r="H38114" s="83"/>
      <c r="K38114" s="82"/>
      <c r="M38114" s="112"/>
      <c r="N38114" s="84"/>
    </row>
    <row r="38115" spans="1:14" s="2" customFormat="1">
      <c r="A38115" s="83"/>
      <c r="H38115" s="83"/>
      <c r="K38115" s="82"/>
      <c r="M38115" s="112"/>
      <c r="N38115" s="84"/>
    </row>
    <row r="38116" spans="1:14" s="2" customFormat="1">
      <c r="A38116" s="83"/>
      <c r="H38116" s="83"/>
      <c r="K38116" s="82"/>
      <c r="M38116" s="112"/>
      <c r="N38116" s="84"/>
    </row>
    <row r="38117" spans="1:14" s="2" customFormat="1">
      <c r="A38117" s="83"/>
      <c r="H38117" s="83"/>
      <c r="K38117" s="82"/>
      <c r="M38117" s="112"/>
      <c r="N38117" s="84"/>
    </row>
    <row r="38118" spans="1:14" s="2" customFormat="1">
      <c r="A38118" s="83"/>
      <c r="H38118" s="83"/>
      <c r="K38118" s="82"/>
      <c r="M38118" s="112"/>
      <c r="N38118" s="84"/>
    </row>
    <row r="38119" spans="1:14" s="2" customFormat="1">
      <c r="A38119" s="83"/>
      <c r="H38119" s="83"/>
      <c r="K38119" s="82"/>
      <c r="M38119" s="112"/>
      <c r="N38119" s="84"/>
    </row>
    <row r="38120" spans="1:14" s="2" customFormat="1">
      <c r="A38120" s="83"/>
      <c r="H38120" s="83"/>
      <c r="K38120" s="82"/>
      <c r="M38120" s="112"/>
      <c r="N38120" s="84"/>
    </row>
    <row r="38121" spans="1:14" s="2" customFormat="1">
      <c r="A38121" s="83"/>
      <c r="H38121" s="83"/>
      <c r="K38121" s="82"/>
      <c r="M38121" s="112"/>
      <c r="N38121" s="84"/>
    </row>
    <row r="38122" spans="1:14" s="2" customFormat="1">
      <c r="A38122" s="83"/>
      <c r="H38122" s="83"/>
      <c r="K38122" s="82"/>
      <c r="M38122" s="112"/>
      <c r="N38122" s="84"/>
    </row>
    <row r="38123" spans="1:14" s="2" customFormat="1">
      <c r="A38123" s="83"/>
      <c r="H38123" s="83"/>
      <c r="K38123" s="82"/>
      <c r="M38123" s="112"/>
      <c r="N38123" s="84"/>
    </row>
    <row r="38124" spans="1:14" s="2" customFormat="1">
      <c r="A38124" s="83"/>
      <c r="H38124" s="83"/>
      <c r="K38124" s="82"/>
      <c r="M38124" s="112"/>
      <c r="N38124" s="84"/>
    </row>
    <row r="38125" spans="1:14" s="2" customFormat="1">
      <c r="A38125" s="83"/>
      <c r="H38125" s="83"/>
      <c r="K38125" s="82"/>
      <c r="M38125" s="112"/>
      <c r="N38125" s="84"/>
    </row>
    <row r="38126" spans="1:14" s="2" customFormat="1">
      <c r="A38126" s="83"/>
      <c r="H38126" s="83"/>
      <c r="K38126" s="82"/>
      <c r="M38126" s="112"/>
      <c r="N38126" s="84"/>
    </row>
    <row r="38127" spans="1:14" s="2" customFormat="1">
      <c r="A38127" s="83"/>
      <c r="H38127" s="83"/>
      <c r="K38127" s="82"/>
      <c r="M38127" s="112"/>
      <c r="N38127" s="84"/>
    </row>
    <row r="38128" spans="1:14" s="2" customFormat="1">
      <c r="A38128" s="83"/>
      <c r="H38128" s="83"/>
      <c r="K38128" s="82"/>
      <c r="M38128" s="112"/>
      <c r="N38128" s="84"/>
    </row>
    <row r="38129" spans="1:14" s="2" customFormat="1">
      <c r="A38129" s="83"/>
      <c r="H38129" s="83"/>
      <c r="K38129" s="82"/>
      <c r="M38129" s="112"/>
      <c r="N38129" s="84"/>
    </row>
    <row r="38130" spans="1:14" s="2" customFormat="1">
      <c r="A38130" s="83"/>
      <c r="H38130" s="83"/>
      <c r="K38130" s="82"/>
      <c r="M38130" s="112"/>
      <c r="N38130" s="84"/>
    </row>
    <row r="38131" spans="1:14" s="2" customFormat="1">
      <c r="A38131" s="83"/>
      <c r="H38131" s="83"/>
      <c r="K38131" s="82"/>
      <c r="M38131" s="112"/>
      <c r="N38131" s="84"/>
    </row>
    <row r="38132" spans="1:14" s="2" customFormat="1">
      <c r="A38132" s="83"/>
      <c r="H38132" s="83"/>
      <c r="K38132" s="82"/>
      <c r="M38132" s="112"/>
      <c r="N38132" s="84"/>
    </row>
    <row r="38133" spans="1:14" s="2" customFormat="1">
      <c r="A38133" s="83"/>
      <c r="H38133" s="83"/>
      <c r="K38133" s="82"/>
      <c r="M38133" s="112"/>
      <c r="N38133" s="84"/>
    </row>
    <row r="38134" spans="1:14" s="2" customFormat="1">
      <c r="A38134" s="83"/>
      <c r="H38134" s="83"/>
      <c r="K38134" s="82"/>
      <c r="M38134" s="112"/>
      <c r="N38134" s="84"/>
    </row>
    <row r="38135" spans="1:14" s="2" customFormat="1">
      <c r="A38135" s="83"/>
      <c r="H38135" s="83"/>
      <c r="K38135" s="82"/>
      <c r="M38135" s="112"/>
      <c r="N38135" s="84"/>
    </row>
    <row r="38136" spans="1:14" s="2" customFormat="1">
      <c r="A38136" s="83"/>
      <c r="H38136" s="83"/>
      <c r="K38136" s="82"/>
      <c r="M38136" s="112"/>
      <c r="N38136" s="84"/>
    </row>
    <row r="38137" spans="1:14" s="2" customFormat="1">
      <c r="A38137" s="83"/>
      <c r="H38137" s="83"/>
      <c r="K38137" s="82"/>
      <c r="M38137" s="112"/>
      <c r="N38137" s="84"/>
    </row>
    <row r="38138" spans="1:14" s="2" customFormat="1">
      <c r="A38138" s="83"/>
      <c r="H38138" s="83"/>
      <c r="K38138" s="82"/>
      <c r="M38138" s="112"/>
      <c r="N38138" s="84"/>
    </row>
    <row r="38139" spans="1:14" s="2" customFormat="1">
      <c r="A38139" s="83"/>
      <c r="H38139" s="83"/>
      <c r="K38139" s="82"/>
      <c r="M38139" s="112"/>
      <c r="N38139" s="84"/>
    </row>
    <row r="38140" spans="1:14" s="2" customFormat="1">
      <c r="A38140" s="83"/>
      <c r="H38140" s="83"/>
      <c r="K38140" s="82"/>
      <c r="M38140" s="112"/>
      <c r="N38140" s="84"/>
    </row>
    <row r="38141" spans="1:14" s="2" customFormat="1">
      <c r="A38141" s="83"/>
      <c r="H38141" s="83"/>
      <c r="K38141" s="82"/>
      <c r="M38141" s="112"/>
      <c r="N38141" s="84"/>
    </row>
    <row r="38142" spans="1:14" s="2" customFormat="1">
      <c r="A38142" s="83"/>
      <c r="H38142" s="83"/>
      <c r="K38142" s="82"/>
      <c r="M38142" s="112"/>
      <c r="N38142" s="84"/>
    </row>
    <row r="38143" spans="1:14" s="2" customFormat="1">
      <c r="A38143" s="83"/>
      <c r="H38143" s="83"/>
      <c r="K38143" s="82"/>
      <c r="M38143" s="112"/>
      <c r="N38143" s="84"/>
    </row>
    <row r="38144" spans="1:14" s="2" customFormat="1">
      <c r="A38144" s="83"/>
      <c r="H38144" s="83"/>
      <c r="K38144" s="82"/>
      <c r="M38144" s="112"/>
      <c r="N38144" s="84"/>
    </row>
    <row r="38145" spans="1:14" s="2" customFormat="1">
      <c r="A38145" s="83"/>
      <c r="H38145" s="83"/>
      <c r="K38145" s="82"/>
      <c r="M38145" s="112"/>
      <c r="N38145" s="84"/>
    </row>
    <row r="38146" spans="1:14" s="2" customFormat="1">
      <c r="A38146" s="83"/>
      <c r="H38146" s="83"/>
      <c r="K38146" s="82"/>
      <c r="M38146" s="112"/>
      <c r="N38146" s="84"/>
    </row>
    <row r="38147" spans="1:14" s="2" customFormat="1">
      <c r="A38147" s="83"/>
      <c r="H38147" s="83"/>
      <c r="K38147" s="82"/>
      <c r="M38147" s="112"/>
      <c r="N38147" s="84"/>
    </row>
    <row r="38148" spans="1:14" s="2" customFormat="1">
      <c r="A38148" s="83"/>
      <c r="H38148" s="83"/>
      <c r="K38148" s="82"/>
      <c r="M38148" s="112"/>
      <c r="N38148" s="84"/>
    </row>
    <row r="38149" spans="1:14" s="2" customFormat="1">
      <c r="A38149" s="83"/>
      <c r="H38149" s="83"/>
      <c r="K38149" s="82"/>
      <c r="M38149" s="112"/>
      <c r="N38149" s="84"/>
    </row>
    <row r="38150" spans="1:14" s="2" customFormat="1">
      <c r="A38150" s="83"/>
      <c r="H38150" s="83"/>
      <c r="K38150" s="82"/>
      <c r="M38150" s="112"/>
      <c r="N38150" s="84"/>
    </row>
    <row r="38151" spans="1:14" s="2" customFormat="1">
      <c r="A38151" s="83"/>
      <c r="H38151" s="83"/>
      <c r="K38151" s="82"/>
      <c r="M38151" s="112"/>
      <c r="N38151" s="84"/>
    </row>
    <row r="38152" spans="1:14" s="2" customFormat="1">
      <c r="A38152" s="83"/>
      <c r="H38152" s="83"/>
      <c r="K38152" s="82"/>
      <c r="M38152" s="112"/>
      <c r="N38152" s="84"/>
    </row>
    <row r="38153" spans="1:14" s="2" customFormat="1">
      <c r="A38153" s="83"/>
      <c r="H38153" s="83"/>
      <c r="K38153" s="82"/>
      <c r="M38153" s="112"/>
      <c r="N38153" s="84"/>
    </row>
    <row r="38154" spans="1:14" s="2" customFormat="1">
      <c r="A38154" s="83"/>
      <c r="H38154" s="83"/>
      <c r="K38154" s="82"/>
      <c r="M38154" s="112"/>
      <c r="N38154" s="84"/>
    </row>
    <row r="38155" spans="1:14" s="2" customFormat="1">
      <c r="A38155" s="83"/>
      <c r="H38155" s="83"/>
      <c r="K38155" s="82"/>
      <c r="M38155" s="112"/>
      <c r="N38155" s="84"/>
    </row>
    <row r="38156" spans="1:14" s="2" customFormat="1">
      <c r="A38156" s="83"/>
      <c r="H38156" s="83"/>
      <c r="K38156" s="82"/>
      <c r="M38156" s="112"/>
      <c r="N38156" s="84"/>
    </row>
    <row r="38157" spans="1:14" s="2" customFormat="1">
      <c r="A38157" s="83"/>
      <c r="H38157" s="83"/>
      <c r="K38157" s="82"/>
      <c r="M38157" s="112"/>
      <c r="N38157" s="84"/>
    </row>
    <row r="38158" spans="1:14" s="2" customFormat="1">
      <c r="A38158" s="83"/>
      <c r="H38158" s="83"/>
      <c r="K38158" s="82"/>
      <c r="M38158" s="112"/>
      <c r="N38158" s="84"/>
    </row>
    <row r="38159" spans="1:14" s="2" customFormat="1">
      <c r="A38159" s="83"/>
      <c r="H38159" s="83"/>
      <c r="K38159" s="82"/>
      <c r="M38159" s="112"/>
      <c r="N38159" s="84"/>
    </row>
    <row r="38160" spans="1:14" s="2" customFormat="1">
      <c r="A38160" s="83"/>
      <c r="H38160" s="83"/>
      <c r="K38160" s="82"/>
      <c r="M38160" s="112"/>
      <c r="N38160" s="84"/>
    </row>
    <row r="38161" spans="1:14" s="2" customFormat="1">
      <c r="A38161" s="83"/>
      <c r="H38161" s="83"/>
      <c r="K38161" s="82"/>
      <c r="M38161" s="112"/>
      <c r="N38161" s="84"/>
    </row>
    <row r="38162" spans="1:14" s="2" customFormat="1">
      <c r="A38162" s="83"/>
      <c r="H38162" s="83"/>
      <c r="K38162" s="82"/>
      <c r="M38162" s="112"/>
      <c r="N38162" s="84"/>
    </row>
    <row r="38163" spans="1:14" s="2" customFormat="1">
      <c r="A38163" s="83"/>
      <c r="H38163" s="83"/>
      <c r="K38163" s="82"/>
      <c r="M38163" s="112"/>
      <c r="N38163" s="84"/>
    </row>
    <row r="38164" spans="1:14" s="2" customFormat="1">
      <c r="A38164" s="83"/>
      <c r="H38164" s="83"/>
      <c r="K38164" s="82"/>
      <c r="M38164" s="112"/>
      <c r="N38164" s="84"/>
    </row>
    <row r="38165" spans="1:14" s="2" customFormat="1">
      <c r="A38165" s="83"/>
      <c r="H38165" s="83"/>
      <c r="K38165" s="82"/>
      <c r="M38165" s="112"/>
      <c r="N38165" s="84"/>
    </row>
    <row r="38166" spans="1:14" s="2" customFormat="1">
      <c r="A38166" s="83"/>
      <c r="H38166" s="83"/>
      <c r="K38166" s="82"/>
      <c r="M38166" s="112"/>
      <c r="N38166" s="84"/>
    </row>
    <row r="38167" spans="1:14" s="2" customFormat="1">
      <c r="A38167" s="83"/>
      <c r="H38167" s="83"/>
      <c r="K38167" s="82"/>
      <c r="M38167" s="112"/>
      <c r="N38167" s="84"/>
    </row>
    <row r="38168" spans="1:14" s="2" customFormat="1">
      <c r="A38168" s="83"/>
      <c r="H38168" s="83"/>
      <c r="K38168" s="82"/>
      <c r="M38168" s="112"/>
      <c r="N38168" s="84"/>
    </row>
    <row r="38169" spans="1:14" s="2" customFormat="1">
      <c r="A38169" s="83"/>
      <c r="H38169" s="83"/>
      <c r="K38169" s="82"/>
      <c r="M38169" s="112"/>
      <c r="N38169" s="84"/>
    </row>
    <row r="38170" spans="1:14" s="2" customFormat="1">
      <c r="A38170" s="83"/>
      <c r="H38170" s="83"/>
      <c r="K38170" s="82"/>
      <c r="M38170" s="112"/>
      <c r="N38170" s="84"/>
    </row>
    <row r="38171" spans="1:14" s="2" customFormat="1">
      <c r="A38171" s="83"/>
      <c r="H38171" s="83"/>
      <c r="K38171" s="82"/>
      <c r="M38171" s="112"/>
      <c r="N38171" s="84"/>
    </row>
    <row r="38172" spans="1:14" s="2" customFormat="1">
      <c r="A38172" s="83"/>
      <c r="H38172" s="83"/>
      <c r="K38172" s="82"/>
      <c r="M38172" s="112"/>
      <c r="N38172" s="84"/>
    </row>
    <row r="38173" spans="1:14" s="2" customFormat="1">
      <c r="A38173" s="83"/>
      <c r="H38173" s="83"/>
      <c r="K38173" s="82"/>
      <c r="M38173" s="112"/>
      <c r="N38173" s="84"/>
    </row>
    <row r="38174" spans="1:14" s="2" customFormat="1">
      <c r="A38174" s="83"/>
      <c r="H38174" s="83"/>
      <c r="K38174" s="82"/>
      <c r="M38174" s="112"/>
      <c r="N38174" s="84"/>
    </row>
    <row r="38175" spans="1:14" s="2" customFormat="1">
      <c r="A38175" s="83"/>
      <c r="H38175" s="83"/>
      <c r="K38175" s="82"/>
      <c r="M38175" s="112"/>
      <c r="N38175" s="84"/>
    </row>
    <row r="38176" spans="1:14" s="2" customFormat="1">
      <c r="A38176" s="83"/>
      <c r="H38176" s="83"/>
      <c r="K38176" s="82"/>
      <c r="M38176" s="112"/>
      <c r="N38176" s="84"/>
    </row>
    <row r="38177" spans="1:14" s="2" customFormat="1">
      <c r="A38177" s="83"/>
      <c r="H38177" s="83"/>
      <c r="K38177" s="82"/>
      <c r="M38177" s="112"/>
      <c r="N38177" s="84"/>
    </row>
    <row r="38178" spans="1:14" s="2" customFormat="1">
      <c r="A38178" s="83"/>
      <c r="H38178" s="83"/>
      <c r="K38178" s="82"/>
      <c r="M38178" s="112"/>
      <c r="N38178" s="84"/>
    </row>
    <row r="38179" spans="1:14" s="2" customFormat="1">
      <c r="A38179" s="83"/>
      <c r="H38179" s="83"/>
      <c r="K38179" s="82"/>
      <c r="M38179" s="112"/>
      <c r="N38179" s="84"/>
    </row>
    <row r="38180" spans="1:14" s="2" customFormat="1">
      <c r="A38180" s="83"/>
      <c r="H38180" s="83"/>
      <c r="K38180" s="82"/>
      <c r="M38180" s="112"/>
      <c r="N38180" s="84"/>
    </row>
    <row r="38181" spans="1:14" s="2" customFormat="1">
      <c r="A38181" s="83"/>
      <c r="H38181" s="83"/>
      <c r="K38181" s="82"/>
      <c r="M38181" s="112"/>
      <c r="N38181" s="84"/>
    </row>
    <row r="38182" spans="1:14" s="2" customFormat="1">
      <c r="A38182" s="83"/>
      <c r="H38182" s="83"/>
      <c r="K38182" s="82"/>
      <c r="M38182" s="112"/>
      <c r="N38182" s="84"/>
    </row>
    <row r="38183" spans="1:14" s="2" customFormat="1">
      <c r="A38183" s="83"/>
      <c r="H38183" s="83"/>
      <c r="K38183" s="82"/>
      <c r="M38183" s="112"/>
      <c r="N38183" s="84"/>
    </row>
    <row r="38184" spans="1:14" s="2" customFormat="1">
      <c r="A38184" s="83"/>
      <c r="H38184" s="83"/>
      <c r="K38184" s="82"/>
      <c r="M38184" s="112"/>
      <c r="N38184" s="84"/>
    </row>
    <row r="38185" spans="1:14" s="2" customFormat="1">
      <c r="A38185" s="83"/>
      <c r="H38185" s="83"/>
      <c r="K38185" s="82"/>
      <c r="M38185" s="112"/>
      <c r="N38185" s="84"/>
    </row>
    <row r="38186" spans="1:14" s="2" customFormat="1">
      <c r="A38186" s="83"/>
      <c r="H38186" s="83"/>
      <c r="K38186" s="82"/>
      <c r="M38186" s="112"/>
      <c r="N38186" s="84"/>
    </row>
    <row r="38187" spans="1:14" s="2" customFormat="1">
      <c r="A38187" s="83"/>
      <c r="H38187" s="83"/>
      <c r="K38187" s="82"/>
      <c r="M38187" s="112"/>
      <c r="N38187" s="84"/>
    </row>
    <row r="38188" spans="1:14" s="2" customFormat="1">
      <c r="A38188" s="83"/>
      <c r="H38188" s="83"/>
      <c r="K38188" s="82"/>
      <c r="M38188" s="112"/>
      <c r="N38188" s="84"/>
    </row>
    <row r="38189" spans="1:14" s="2" customFormat="1">
      <c r="A38189" s="83"/>
      <c r="H38189" s="83"/>
      <c r="K38189" s="82"/>
      <c r="M38189" s="112"/>
      <c r="N38189" s="84"/>
    </row>
    <row r="38190" spans="1:14" s="2" customFormat="1">
      <c r="A38190" s="83"/>
      <c r="H38190" s="83"/>
      <c r="K38190" s="82"/>
      <c r="M38190" s="112"/>
      <c r="N38190" s="84"/>
    </row>
    <row r="38191" spans="1:14" s="2" customFormat="1">
      <c r="A38191" s="83"/>
      <c r="H38191" s="83"/>
      <c r="K38191" s="82"/>
      <c r="M38191" s="112"/>
      <c r="N38191" s="84"/>
    </row>
    <row r="38192" spans="1:14" s="2" customFormat="1">
      <c r="A38192" s="83"/>
      <c r="H38192" s="83"/>
      <c r="K38192" s="82"/>
      <c r="M38192" s="112"/>
      <c r="N38192" s="84"/>
    </row>
    <row r="38193" spans="1:14" s="2" customFormat="1">
      <c r="A38193" s="83"/>
      <c r="H38193" s="83"/>
      <c r="K38193" s="82"/>
      <c r="M38193" s="112"/>
      <c r="N38193" s="84"/>
    </row>
    <row r="38194" spans="1:14" s="2" customFormat="1">
      <c r="A38194" s="83"/>
      <c r="H38194" s="83"/>
      <c r="K38194" s="82"/>
      <c r="M38194" s="112"/>
      <c r="N38194" s="84"/>
    </row>
    <row r="38195" spans="1:14" s="2" customFormat="1">
      <c r="A38195" s="83"/>
      <c r="H38195" s="83"/>
      <c r="K38195" s="82"/>
      <c r="M38195" s="112"/>
      <c r="N38195" s="84"/>
    </row>
    <row r="38196" spans="1:14" s="2" customFormat="1">
      <c r="A38196" s="83"/>
      <c r="H38196" s="83"/>
      <c r="K38196" s="82"/>
      <c r="M38196" s="112"/>
      <c r="N38196" s="84"/>
    </row>
    <row r="38197" spans="1:14" s="2" customFormat="1">
      <c r="A38197" s="83"/>
      <c r="H38197" s="83"/>
      <c r="K38197" s="82"/>
      <c r="M38197" s="112"/>
      <c r="N38197" s="84"/>
    </row>
    <row r="38198" spans="1:14" s="2" customFormat="1">
      <c r="A38198" s="83"/>
      <c r="H38198" s="83"/>
      <c r="K38198" s="82"/>
      <c r="M38198" s="112"/>
      <c r="N38198" s="84"/>
    </row>
    <row r="38199" spans="1:14" s="2" customFormat="1">
      <c r="A38199" s="83"/>
      <c r="H38199" s="83"/>
      <c r="K38199" s="82"/>
      <c r="M38199" s="112"/>
      <c r="N38199" s="84"/>
    </row>
    <row r="38200" spans="1:14" s="2" customFormat="1">
      <c r="A38200" s="83"/>
      <c r="H38200" s="83"/>
      <c r="K38200" s="82"/>
      <c r="M38200" s="112"/>
      <c r="N38200" s="84"/>
    </row>
    <row r="38201" spans="1:14" s="2" customFormat="1">
      <c r="A38201" s="83"/>
      <c r="H38201" s="83"/>
      <c r="K38201" s="82"/>
      <c r="M38201" s="112"/>
      <c r="N38201" s="84"/>
    </row>
    <row r="38202" spans="1:14" s="2" customFormat="1">
      <c r="A38202" s="83"/>
      <c r="H38202" s="83"/>
      <c r="K38202" s="82"/>
      <c r="M38202" s="112"/>
      <c r="N38202" s="84"/>
    </row>
    <row r="38203" spans="1:14" s="2" customFormat="1">
      <c r="A38203" s="83"/>
      <c r="H38203" s="83"/>
      <c r="K38203" s="82"/>
      <c r="M38203" s="112"/>
      <c r="N38203" s="84"/>
    </row>
    <row r="38204" spans="1:14" s="2" customFormat="1">
      <c r="A38204" s="83"/>
      <c r="H38204" s="83"/>
      <c r="K38204" s="82"/>
      <c r="M38204" s="112"/>
      <c r="N38204" s="84"/>
    </row>
    <row r="38205" spans="1:14" s="2" customFormat="1">
      <c r="A38205" s="83"/>
      <c r="H38205" s="83"/>
      <c r="K38205" s="82"/>
      <c r="M38205" s="112"/>
      <c r="N38205" s="84"/>
    </row>
    <row r="38206" spans="1:14" s="2" customFormat="1">
      <c r="A38206" s="83"/>
      <c r="H38206" s="83"/>
      <c r="K38206" s="82"/>
      <c r="M38206" s="112"/>
      <c r="N38206" s="84"/>
    </row>
    <row r="38207" spans="1:14" s="2" customFormat="1">
      <c r="A38207" s="83"/>
      <c r="H38207" s="83"/>
      <c r="K38207" s="82"/>
      <c r="M38207" s="112"/>
      <c r="N38207" s="84"/>
    </row>
    <row r="38208" spans="1:14" s="2" customFormat="1">
      <c r="A38208" s="83"/>
      <c r="H38208" s="83"/>
      <c r="K38208" s="82"/>
      <c r="M38208" s="112"/>
      <c r="N38208" s="84"/>
    </row>
    <row r="38209" spans="1:14" s="2" customFormat="1">
      <c r="A38209" s="83"/>
      <c r="H38209" s="83"/>
      <c r="K38209" s="82"/>
      <c r="M38209" s="112"/>
      <c r="N38209" s="84"/>
    </row>
    <row r="38210" spans="1:14" s="2" customFormat="1">
      <c r="A38210" s="83"/>
      <c r="H38210" s="83"/>
      <c r="K38210" s="82"/>
      <c r="M38210" s="112"/>
      <c r="N38210" s="84"/>
    </row>
    <row r="38211" spans="1:14" s="2" customFormat="1">
      <c r="A38211" s="83"/>
      <c r="H38211" s="83"/>
      <c r="K38211" s="82"/>
      <c r="M38211" s="112"/>
      <c r="N38211" s="84"/>
    </row>
    <row r="38212" spans="1:14" s="2" customFormat="1">
      <c r="A38212" s="83"/>
      <c r="H38212" s="83"/>
      <c r="K38212" s="82"/>
      <c r="M38212" s="112"/>
      <c r="N38212" s="84"/>
    </row>
    <row r="38213" spans="1:14" s="2" customFormat="1">
      <c r="A38213" s="83"/>
      <c r="H38213" s="83"/>
      <c r="K38213" s="82"/>
      <c r="M38213" s="112"/>
      <c r="N38213" s="84"/>
    </row>
    <row r="38214" spans="1:14" s="2" customFormat="1">
      <c r="A38214" s="83"/>
      <c r="H38214" s="83"/>
      <c r="K38214" s="82"/>
      <c r="M38214" s="112"/>
      <c r="N38214" s="84"/>
    </row>
    <row r="38215" spans="1:14" s="2" customFormat="1">
      <c r="A38215" s="83"/>
      <c r="H38215" s="83"/>
      <c r="K38215" s="82"/>
      <c r="M38215" s="112"/>
      <c r="N38215" s="84"/>
    </row>
    <row r="38216" spans="1:14" s="2" customFormat="1">
      <c r="A38216" s="83"/>
      <c r="H38216" s="83"/>
      <c r="K38216" s="82"/>
      <c r="M38216" s="112"/>
      <c r="N38216" s="84"/>
    </row>
    <row r="38217" spans="1:14" s="2" customFormat="1">
      <c r="A38217" s="83"/>
      <c r="H38217" s="83"/>
      <c r="K38217" s="82"/>
      <c r="M38217" s="112"/>
      <c r="N38217" s="84"/>
    </row>
    <row r="38218" spans="1:14" s="2" customFormat="1">
      <c r="A38218" s="83"/>
      <c r="H38218" s="83"/>
      <c r="K38218" s="82"/>
      <c r="M38218" s="112"/>
      <c r="N38218" s="84"/>
    </row>
    <row r="38219" spans="1:14" s="2" customFormat="1">
      <c r="A38219" s="83"/>
      <c r="H38219" s="83"/>
      <c r="K38219" s="82"/>
      <c r="M38219" s="112"/>
      <c r="N38219" s="84"/>
    </row>
    <row r="38220" spans="1:14" s="2" customFormat="1">
      <c r="A38220" s="83"/>
      <c r="H38220" s="83"/>
      <c r="K38220" s="82"/>
      <c r="M38220" s="112"/>
      <c r="N38220" s="84"/>
    </row>
    <row r="38221" spans="1:14" s="2" customFormat="1">
      <c r="A38221" s="83"/>
      <c r="H38221" s="83"/>
      <c r="K38221" s="82"/>
      <c r="M38221" s="112"/>
      <c r="N38221" s="84"/>
    </row>
    <row r="38222" spans="1:14" s="2" customFormat="1">
      <c r="A38222" s="83"/>
      <c r="H38222" s="83"/>
      <c r="K38222" s="82"/>
      <c r="M38222" s="112"/>
      <c r="N38222" s="84"/>
    </row>
    <row r="38223" spans="1:14" s="2" customFormat="1">
      <c r="A38223" s="83"/>
      <c r="H38223" s="83"/>
      <c r="K38223" s="82"/>
      <c r="M38223" s="112"/>
      <c r="N38223" s="84"/>
    </row>
    <row r="38224" spans="1:14" s="2" customFormat="1">
      <c r="A38224" s="83"/>
      <c r="H38224" s="83"/>
      <c r="K38224" s="82"/>
      <c r="M38224" s="112"/>
      <c r="N38224" s="84"/>
    </row>
    <row r="38225" spans="1:14" s="2" customFormat="1">
      <c r="A38225" s="83"/>
      <c r="H38225" s="83"/>
      <c r="K38225" s="82"/>
      <c r="M38225" s="112"/>
      <c r="N38225" s="84"/>
    </row>
    <row r="38226" spans="1:14" s="2" customFormat="1">
      <c r="A38226" s="83"/>
      <c r="H38226" s="83"/>
      <c r="K38226" s="82"/>
      <c r="M38226" s="112"/>
      <c r="N38226" s="84"/>
    </row>
    <row r="38227" spans="1:14" s="2" customFormat="1">
      <c r="A38227" s="83"/>
      <c r="H38227" s="83"/>
      <c r="K38227" s="82"/>
      <c r="M38227" s="112"/>
      <c r="N38227" s="84"/>
    </row>
    <row r="38228" spans="1:14" s="2" customFormat="1">
      <c r="A38228" s="83"/>
      <c r="H38228" s="83"/>
      <c r="K38228" s="82"/>
      <c r="M38228" s="112"/>
      <c r="N38228" s="84"/>
    </row>
    <row r="38229" spans="1:14" s="2" customFormat="1">
      <c r="A38229" s="83"/>
      <c r="H38229" s="83"/>
      <c r="K38229" s="82"/>
      <c r="M38229" s="112"/>
      <c r="N38229" s="84"/>
    </row>
    <row r="38230" spans="1:14" s="2" customFormat="1">
      <c r="A38230" s="83"/>
      <c r="H38230" s="83"/>
      <c r="K38230" s="82"/>
      <c r="M38230" s="112"/>
      <c r="N38230" s="84"/>
    </row>
    <row r="38231" spans="1:14" s="2" customFormat="1">
      <c r="A38231" s="83"/>
      <c r="H38231" s="83"/>
      <c r="K38231" s="82"/>
      <c r="M38231" s="112"/>
      <c r="N38231" s="84"/>
    </row>
    <row r="38232" spans="1:14" s="2" customFormat="1">
      <c r="A38232" s="83"/>
      <c r="H38232" s="83"/>
      <c r="K38232" s="82"/>
      <c r="M38232" s="112"/>
      <c r="N38232" s="84"/>
    </row>
    <row r="38233" spans="1:14" s="2" customFormat="1">
      <c r="A38233" s="83"/>
      <c r="H38233" s="83"/>
      <c r="K38233" s="82"/>
      <c r="M38233" s="112"/>
      <c r="N38233" s="84"/>
    </row>
    <row r="38234" spans="1:14" s="2" customFormat="1">
      <c r="A38234" s="83"/>
      <c r="H38234" s="83"/>
      <c r="K38234" s="82"/>
      <c r="M38234" s="112"/>
      <c r="N38234" s="84"/>
    </row>
    <row r="38235" spans="1:14" s="2" customFormat="1">
      <c r="A38235" s="83"/>
      <c r="H38235" s="83"/>
      <c r="K38235" s="82"/>
      <c r="M38235" s="112"/>
      <c r="N38235" s="84"/>
    </row>
    <row r="38236" spans="1:14" s="2" customFormat="1">
      <c r="A38236" s="83"/>
      <c r="H38236" s="83"/>
      <c r="K38236" s="82"/>
      <c r="M38236" s="112"/>
      <c r="N38236" s="84"/>
    </row>
    <row r="38237" spans="1:14" s="2" customFormat="1">
      <c r="A38237" s="83"/>
      <c r="H38237" s="83"/>
      <c r="K38237" s="82"/>
      <c r="M38237" s="112"/>
      <c r="N38237" s="84"/>
    </row>
    <row r="38238" spans="1:14" s="2" customFormat="1">
      <c r="A38238" s="83"/>
      <c r="H38238" s="83"/>
      <c r="K38238" s="82"/>
      <c r="M38238" s="112"/>
      <c r="N38238" s="84"/>
    </row>
    <row r="38239" spans="1:14" s="2" customFormat="1">
      <c r="A38239" s="83"/>
      <c r="H38239" s="83"/>
      <c r="K38239" s="82"/>
      <c r="M38239" s="112"/>
      <c r="N38239" s="84"/>
    </row>
    <row r="38240" spans="1:14" s="2" customFormat="1">
      <c r="A38240" s="83"/>
      <c r="H38240" s="83"/>
      <c r="K38240" s="82"/>
      <c r="M38240" s="112"/>
      <c r="N38240" s="84"/>
    </row>
    <row r="38241" spans="1:14" s="2" customFormat="1">
      <c r="A38241" s="83"/>
      <c r="H38241" s="83"/>
      <c r="K38241" s="82"/>
      <c r="M38241" s="112"/>
      <c r="N38241" s="84"/>
    </row>
    <row r="38242" spans="1:14" s="2" customFormat="1">
      <c r="A38242" s="83"/>
      <c r="H38242" s="83"/>
      <c r="K38242" s="82"/>
      <c r="M38242" s="112"/>
      <c r="N38242" s="84"/>
    </row>
    <row r="38243" spans="1:14" s="2" customFormat="1">
      <c r="A38243" s="83"/>
      <c r="H38243" s="83"/>
      <c r="K38243" s="82"/>
      <c r="M38243" s="112"/>
      <c r="N38243" s="84"/>
    </row>
    <row r="38244" spans="1:14" s="2" customFormat="1">
      <c r="A38244" s="83"/>
      <c r="H38244" s="83"/>
      <c r="K38244" s="82"/>
      <c r="M38244" s="112"/>
      <c r="N38244" s="84"/>
    </row>
    <row r="38245" spans="1:14" s="2" customFormat="1">
      <c r="A38245" s="83"/>
      <c r="H38245" s="83"/>
      <c r="K38245" s="82"/>
      <c r="M38245" s="112"/>
      <c r="N38245" s="84"/>
    </row>
    <row r="38246" spans="1:14" s="2" customFormat="1">
      <c r="A38246" s="83"/>
      <c r="H38246" s="83"/>
      <c r="K38246" s="82"/>
      <c r="M38246" s="112"/>
      <c r="N38246" s="84"/>
    </row>
    <row r="38247" spans="1:14" s="2" customFormat="1">
      <c r="A38247" s="83"/>
      <c r="H38247" s="83"/>
      <c r="K38247" s="82"/>
      <c r="M38247" s="112"/>
      <c r="N38247" s="84"/>
    </row>
    <row r="38248" spans="1:14" s="2" customFormat="1">
      <c r="A38248" s="83"/>
      <c r="H38248" s="83"/>
      <c r="K38248" s="82"/>
      <c r="M38248" s="112"/>
      <c r="N38248" s="84"/>
    </row>
    <row r="38249" spans="1:14" s="2" customFormat="1">
      <c r="A38249" s="83"/>
      <c r="H38249" s="83"/>
      <c r="K38249" s="82"/>
      <c r="M38249" s="112"/>
      <c r="N38249" s="84"/>
    </row>
    <row r="38250" spans="1:14" s="2" customFormat="1">
      <c r="A38250" s="83"/>
      <c r="H38250" s="83"/>
      <c r="K38250" s="82"/>
      <c r="M38250" s="112"/>
      <c r="N38250" s="84"/>
    </row>
    <row r="38251" spans="1:14" s="2" customFormat="1">
      <c r="A38251" s="83"/>
      <c r="H38251" s="83"/>
      <c r="K38251" s="82"/>
      <c r="M38251" s="112"/>
      <c r="N38251" s="84"/>
    </row>
    <row r="38252" spans="1:14" s="2" customFormat="1">
      <c r="A38252" s="83"/>
      <c r="H38252" s="83"/>
      <c r="K38252" s="82"/>
      <c r="M38252" s="112"/>
      <c r="N38252" s="84"/>
    </row>
    <row r="38253" spans="1:14" s="2" customFormat="1">
      <c r="A38253" s="83"/>
      <c r="H38253" s="83"/>
      <c r="K38253" s="82"/>
      <c r="M38253" s="112"/>
      <c r="N38253" s="84"/>
    </row>
    <row r="38254" spans="1:14" s="2" customFormat="1">
      <c r="A38254" s="83"/>
      <c r="H38254" s="83"/>
      <c r="K38254" s="82"/>
      <c r="M38254" s="112"/>
      <c r="N38254" s="84"/>
    </row>
    <row r="38255" spans="1:14" s="2" customFormat="1">
      <c r="A38255" s="83"/>
      <c r="H38255" s="83"/>
      <c r="K38255" s="82"/>
      <c r="M38255" s="112"/>
      <c r="N38255" s="84"/>
    </row>
    <row r="38256" spans="1:14" s="2" customFormat="1">
      <c r="A38256" s="83"/>
      <c r="H38256" s="83"/>
      <c r="K38256" s="82"/>
      <c r="M38256" s="112"/>
      <c r="N38256" s="84"/>
    </row>
    <row r="38257" spans="1:14" s="2" customFormat="1">
      <c r="A38257" s="83"/>
      <c r="H38257" s="83"/>
      <c r="K38257" s="82"/>
      <c r="M38257" s="112"/>
      <c r="N38257" s="84"/>
    </row>
    <row r="38258" spans="1:14" s="2" customFormat="1">
      <c r="A38258" s="83"/>
      <c r="H38258" s="83"/>
      <c r="K38258" s="82"/>
      <c r="M38258" s="112"/>
      <c r="N38258" s="84"/>
    </row>
    <row r="38259" spans="1:14" s="2" customFormat="1">
      <c r="A38259" s="83"/>
      <c r="H38259" s="83"/>
      <c r="K38259" s="82"/>
      <c r="M38259" s="112"/>
      <c r="N38259" s="84"/>
    </row>
    <row r="38260" spans="1:14" s="2" customFormat="1">
      <c r="A38260" s="83"/>
      <c r="H38260" s="83"/>
      <c r="K38260" s="82"/>
      <c r="M38260" s="112"/>
      <c r="N38260" s="84"/>
    </row>
    <row r="38261" spans="1:14" s="2" customFormat="1">
      <c r="A38261" s="83"/>
      <c r="H38261" s="83"/>
      <c r="K38261" s="82"/>
      <c r="M38261" s="112"/>
      <c r="N38261" s="84"/>
    </row>
    <row r="38262" spans="1:14" s="2" customFormat="1">
      <c r="A38262" s="83"/>
      <c r="H38262" s="83"/>
      <c r="K38262" s="82"/>
      <c r="M38262" s="112"/>
      <c r="N38262" s="84"/>
    </row>
    <row r="38263" spans="1:14" s="2" customFormat="1">
      <c r="A38263" s="83"/>
      <c r="H38263" s="83"/>
      <c r="K38263" s="82"/>
      <c r="M38263" s="112"/>
      <c r="N38263" s="84"/>
    </row>
    <row r="38264" spans="1:14" s="2" customFormat="1">
      <c r="A38264" s="83"/>
      <c r="H38264" s="83"/>
      <c r="K38264" s="82"/>
      <c r="M38264" s="112"/>
      <c r="N38264" s="84"/>
    </row>
    <row r="38265" spans="1:14" s="2" customFormat="1">
      <c r="A38265" s="83"/>
      <c r="H38265" s="83"/>
      <c r="K38265" s="82"/>
      <c r="M38265" s="112"/>
      <c r="N38265" s="84"/>
    </row>
    <row r="38266" spans="1:14" s="2" customFormat="1">
      <c r="A38266" s="83"/>
      <c r="H38266" s="83"/>
      <c r="K38266" s="82"/>
      <c r="M38266" s="112"/>
      <c r="N38266" s="84"/>
    </row>
    <row r="38267" spans="1:14" s="2" customFormat="1">
      <c r="A38267" s="83"/>
      <c r="H38267" s="83"/>
      <c r="K38267" s="82"/>
      <c r="M38267" s="112"/>
      <c r="N38267" s="84"/>
    </row>
    <row r="38268" spans="1:14" s="2" customFormat="1">
      <c r="A38268" s="83"/>
      <c r="H38268" s="83"/>
      <c r="K38268" s="82"/>
      <c r="M38268" s="112"/>
      <c r="N38268" s="84"/>
    </row>
    <row r="38269" spans="1:14" s="2" customFormat="1">
      <c r="A38269" s="83"/>
      <c r="H38269" s="83"/>
      <c r="K38269" s="82"/>
      <c r="M38269" s="112"/>
      <c r="N38269" s="84"/>
    </row>
    <row r="38270" spans="1:14" s="2" customFormat="1">
      <c r="A38270" s="83"/>
      <c r="H38270" s="83"/>
      <c r="K38270" s="82"/>
      <c r="M38270" s="112"/>
      <c r="N38270" s="84"/>
    </row>
    <row r="38271" spans="1:14" s="2" customFormat="1">
      <c r="A38271" s="83"/>
      <c r="H38271" s="83"/>
      <c r="K38271" s="82"/>
      <c r="M38271" s="112"/>
      <c r="N38271" s="84"/>
    </row>
    <row r="38272" spans="1:14" s="2" customFormat="1">
      <c r="A38272" s="83"/>
      <c r="H38272" s="83"/>
      <c r="K38272" s="82"/>
      <c r="M38272" s="112"/>
      <c r="N38272" s="84"/>
    </row>
    <row r="38273" spans="1:14" s="2" customFormat="1">
      <c r="A38273" s="83"/>
      <c r="H38273" s="83"/>
      <c r="K38273" s="82"/>
      <c r="M38273" s="112"/>
      <c r="N38273" s="84"/>
    </row>
    <row r="38274" spans="1:14" s="2" customFormat="1">
      <c r="A38274" s="83"/>
      <c r="H38274" s="83"/>
      <c r="K38274" s="82"/>
      <c r="M38274" s="112"/>
      <c r="N38274" s="84"/>
    </row>
    <row r="38275" spans="1:14" s="2" customFormat="1">
      <c r="A38275" s="83"/>
      <c r="H38275" s="83"/>
      <c r="K38275" s="82"/>
      <c r="M38275" s="112"/>
      <c r="N38275" s="84"/>
    </row>
    <row r="38276" spans="1:14" s="2" customFormat="1">
      <c r="A38276" s="83"/>
      <c r="H38276" s="83"/>
      <c r="K38276" s="82"/>
      <c r="M38276" s="112"/>
      <c r="N38276" s="84"/>
    </row>
    <row r="38277" spans="1:14" s="2" customFormat="1">
      <c r="A38277" s="83"/>
      <c r="H38277" s="83"/>
      <c r="K38277" s="82"/>
      <c r="M38277" s="112"/>
      <c r="N38277" s="84"/>
    </row>
    <row r="38278" spans="1:14" s="2" customFormat="1">
      <c r="A38278" s="83"/>
      <c r="H38278" s="83"/>
      <c r="K38278" s="82"/>
      <c r="M38278" s="112"/>
      <c r="N38278" s="84"/>
    </row>
    <row r="38279" spans="1:14" s="2" customFormat="1">
      <c r="A38279" s="83"/>
      <c r="H38279" s="83"/>
      <c r="K38279" s="82"/>
      <c r="M38279" s="112"/>
      <c r="N38279" s="84"/>
    </row>
    <row r="38280" spans="1:14" s="2" customFormat="1">
      <c r="A38280" s="83"/>
      <c r="H38280" s="83"/>
      <c r="K38280" s="82"/>
      <c r="M38280" s="112"/>
      <c r="N38280" s="84"/>
    </row>
    <row r="38281" spans="1:14" s="2" customFormat="1">
      <c r="A38281" s="83"/>
      <c r="H38281" s="83"/>
      <c r="K38281" s="82"/>
      <c r="M38281" s="112"/>
      <c r="N38281" s="84"/>
    </row>
    <row r="38282" spans="1:14" s="2" customFormat="1">
      <c r="A38282" s="83"/>
      <c r="H38282" s="83"/>
      <c r="K38282" s="82"/>
      <c r="M38282" s="112"/>
      <c r="N38282" s="84"/>
    </row>
    <row r="38283" spans="1:14" s="2" customFormat="1">
      <c r="A38283" s="83"/>
      <c r="H38283" s="83"/>
      <c r="K38283" s="82"/>
      <c r="M38283" s="112"/>
      <c r="N38283" s="84"/>
    </row>
    <row r="38284" spans="1:14" s="2" customFormat="1">
      <c r="A38284" s="83"/>
      <c r="H38284" s="83"/>
      <c r="K38284" s="82"/>
      <c r="M38284" s="112"/>
      <c r="N38284" s="84"/>
    </row>
    <row r="38285" spans="1:14" s="2" customFormat="1">
      <c r="A38285" s="83"/>
      <c r="H38285" s="83"/>
      <c r="K38285" s="82"/>
      <c r="M38285" s="112"/>
      <c r="N38285" s="84"/>
    </row>
    <row r="38286" spans="1:14" s="2" customFormat="1">
      <c r="A38286" s="83"/>
      <c r="H38286" s="83"/>
      <c r="K38286" s="82"/>
      <c r="M38286" s="112"/>
      <c r="N38286" s="84"/>
    </row>
    <row r="38287" spans="1:14" s="2" customFormat="1">
      <c r="A38287" s="83"/>
      <c r="H38287" s="83"/>
      <c r="K38287" s="82"/>
      <c r="M38287" s="112"/>
      <c r="N38287" s="84"/>
    </row>
    <row r="38288" spans="1:14" s="2" customFormat="1">
      <c r="A38288" s="83"/>
      <c r="H38288" s="83"/>
      <c r="K38288" s="82"/>
      <c r="M38288" s="112"/>
      <c r="N38288" s="84"/>
    </row>
    <row r="38289" spans="1:14" s="2" customFormat="1">
      <c r="A38289" s="83"/>
      <c r="H38289" s="83"/>
      <c r="K38289" s="82"/>
      <c r="M38289" s="112"/>
      <c r="N38289" s="84"/>
    </row>
    <row r="38290" spans="1:14" s="2" customFormat="1">
      <c r="A38290" s="83"/>
      <c r="H38290" s="83"/>
      <c r="K38290" s="82"/>
      <c r="M38290" s="112"/>
      <c r="N38290" s="84"/>
    </row>
    <row r="38291" spans="1:14" s="2" customFormat="1">
      <c r="A38291" s="83"/>
      <c r="H38291" s="83"/>
      <c r="K38291" s="82"/>
      <c r="M38291" s="112"/>
      <c r="N38291" s="84"/>
    </row>
    <row r="38292" spans="1:14" s="2" customFormat="1">
      <c r="A38292" s="83"/>
      <c r="H38292" s="83"/>
      <c r="K38292" s="82"/>
      <c r="M38292" s="112"/>
      <c r="N38292" s="84"/>
    </row>
    <row r="38293" spans="1:14" s="2" customFormat="1">
      <c r="A38293" s="83"/>
      <c r="H38293" s="83"/>
      <c r="K38293" s="82"/>
      <c r="M38293" s="112"/>
      <c r="N38293" s="84"/>
    </row>
    <row r="38294" spans="1:14" s="2" customFormat="1">
      <c r="A38294" s="83"/>
      <c r="H38294" s="83"/>
      <c r="K38294" s="82"/>
      <c r="M38294" s="112"/>
      <c r="N38294" s="84"/>
    </row>
    <row r="38295" spans="1:14" s="2" customFormat="1">
      <c r="A38295" s="83"/>
      <c r="H38295" s="83"/>
      <c r="K38295" s="82"/>
      <c r="M38295" s="112"/>
      <c r="N38295" s="84"/>
    </row>
    <row r="38296" spans="1:14" s="2" customFormat="1">
      <c r="A38296" s="83"/>
      <c r="H38296" s="83"/>
      <c r="K38296" s="82"/>
      <c r="M38296" s="112"/>
      <c r="N38296" s="84"/>
    </row>
    <row r="38297" spans="1:14" s="2" customFormat="1">
      <c r="A38297" s="83"/>
      <c r="H38297" s="83"/>
      <c r="K38297" s="82"/>
      <c r="M38297" s="112"/>
      <c r="N38297" s="84"/>
    </row>
    <row r="38298" spans="1:14" s="2" customFormat="1">
      <c r="A38298" s="83"/>
      <c r="H38298" s="83"/>
      <c r="K38298" s="82"/>
      <c r="M38298" s="112"/>
      <c r="N38298" s="84"/>
    </row>
    <row r="38299" spans="1:14" s="2" customFormat="1">
      <c r="A38299" s="83"/>
      <c r="H38299" s="83"/>
      <c r="K38299" s="82"/>
      <c r="M38299" s="112"/>
      <c r="N38299" s="84"/>
    </row>
    <row r="38300" spans="1:14" s="2" customFormat="1">
      <c r="A38300" s="83"/>
      <c r="H38300" s="83"/>
      <c r="K38300" s="82"/>
      <c r="M38300" s="112"/>
      <c r="N38300" s="84"/>
    </row>
    <row r="38301" spans="1:14" s="2" customFormat="1">
      <c r="A38301" s="83"/>
      <c r="H38301" s="83"/>
      <c r="K38301" s="82"/>
      <c r="M38301" s="112"/>
      <c r="N38301" s="84"/>
    </row>
    <row r="38302" spans="1:14" s="2" customFormat="1">
      <c r="A38302" s="83"/>
      <c r="H38302" s="83"/>
      <c r="K38302" s="82"/>
      <c r="M38302" s="112"/>
      <c r="N38302" s="84"/>
    </row>
    <row r="38303" spans="1:14" s="2" customFormat="1">
      <c r="A38303" s="83"/>
      <c r="H38303" s="83"/>
      <c r="K38303" s="82"/>
      <c r="M38303" s="112"/>
      <c r="N38303" s="84"/>
    </row>
    <row r="38304" spans="1:14" s="2" customFormat="1">
      <c r="A38304" s="83"/>
      <c r="H38304" s="83"/>
      <c r="K38304" s="82"/>
      <c r="M38304" s="112"/>
      <c r="N38304" s="84"/>
    </row>
    <row r="38305" spans="1:14" s="2" customFormat="1">
      <c r="A38305" s="83"/>
      <c r="H38305" s="83"/>
      <c r="K38305" s="82"/>
      <c r="M38305" s="112"/>
      <c r="N38305" s="84"/>
    </row>
    <row r="38306" spans="1:14" s="2" customFormat="1">
      <c r="A38306" s="83"/>
      <c r="H38306" s="83"/>
      <c r="K38306" s="82"/>
      <c r="M38306" s="112"/>
      <c r="N38306" s="84"/>
    </row>
    <row r="38307" spans="1:14" s="2" customFormat="1">
      <c r="A38307" s="83"/>
      <c r="H38307" s="83"/>
      <c r="K38307" s="82"/>
      <c r="M38307" s="112"/>
      <c r="N38307" s="84"/>
    </row>
    <row r="38308" spans="1:14" s="2" customFormat="1">
      <c r="A38308" s="83"/>
      <c r="H38308" s="83"/>
      <c r="K38308" s="82"/>
      <c r="M38308" s="112"/>
      <c r="N38308" s="84"/>
    </row>
    <row r="38309" spans="1:14" s="2" customFormat="1">
      <c r="A38309" s="83"/>
      <c r="H38309" s="83"/>
      <c r="K38309" s="82"/>
      <c r="M38309" s="112"/>
      <c r="N38309" s="84"/>
    </row>
    <row r="38310" spans="1:14" s="2" customFormat="1">
      <c r="A38310" s="83"/>
      <c r="H38310" s="83"/>
      <c r="K38310" s="82"/>
      <c r="M38310" s="112"/>
      <c r="N38310" s="84"/>
    </row>
    <row r="38311" spans="1:14" s="2" customFormat="1">
      <c r="A38311" s="83"/>
      <c r="H38311" s="83"/>
      <c r="K38311" s="82"/>
      <c r="M38311" s="112"/>
      <c r="N38311" s="84"/>
    </row>
    <row r="38312" spans="1:14" s="2" customFormat="1">
      <c r="A38312" s="83"/>
      <c r="H38312" s="83"/>
      <c r="K38312" s="82"/>
      <c r="M38312" s="112"/>
      <c r="N38312" s="84"/>
    </row>
    <row r="38313" spans="1:14" s="2" customFormat="1">
      <c r="A38313" s="83"/>
      <c r="H38313" s="83"/>
      <c r="K38313" s="82"/>
      <c r="M38313" s="112"/>
      <c r="N38313" s="84"/>
    </row>
    <row r="38314" spans="1:14" s="2" customFormat="1">
      <c r="A38314" s="83"/>
      <c r="H38314" s="83"/>
      <c r="K38314" s="82"/>
      <c r="M38314" s="112"/>
      <c r="N38314" s="84"/>
    </row>
    <row r="38315" spans="1:14" s="2" customFormat="1">
      <c r="A38315" s="83"/>
      <c r="H38315" s="83"/>
      <c r="K38315" s="82"/>
      <c r="M38315" s="112"/>
      <c r="N38315" s="84"/>
    </row>
    <row r="38316" spans="1:14" s="2" customFormat="1">
      <c r="A38316" s="83"/>
      <c r="H38316" s="83"/>
      <c r="K38316" s="82"/>
      <c r="M38316" s="112"/>
      <c r="N38316" s="84"/>
    </row>
    <row r="38317" spans="1:14" s="2" customFormat="1">
      <c r="A38317" s="83"/>
      <c r="H38317" s="83"/>
      <c r="K38317" s="82"/>
      <c r="M38317" s="112"/>
      <c r="N38317" s="84"/>
    </row>
    <row r="38318" spans="1:14" s="2" customFormat="1">
      <c r="A38318" s="83"/>
      <c r="H38318" s="83"/>
      <c r="K38318" s="82"/>
      <c r="M38318" s="112"/>
      <c r="N38318" s="84"/>
    </row>
    <row r="38319" spans="1:14" s="2" customFormat="1">
      <c r="A38319" s="83"/>
      <c r="H38319" s="83"/>
      <c r="K38319" s="82"/>
      <c r="M38319" s="112"/>
      <c r="N38319" s="84"/>
    </row>
    <row r="38320" spans="1:14" s="2" customFormat="1">
      <c r="A38320" s="83"/>
      <c r="H38320" s="83"/>
      <c r="K38320" s="82"/>
      <c r="M38320" s="112"/>
      <c r="N38320" s="84"/>
    </row>
    <row r="38321" spans="1:14" s="2" customFormat="1">
      <c r="A38321" s="83"/>
      <c r="H38321" s="83"/>
      <c r="K38321" s="82"/>
      <c r="M38321" s="112"/>
      <c r="N38321" s="84"/>
    </row>
    <row r="38322" spans="1:14" s="2" customFormat="1">
      <c r="A38322" s="83"/>
      <c r="H38322" s="83"/>
      <c r="K38322" s="82"/>
      <c r="M38322" s="112"/>
      <c r="N38322" s="84"/>
    </row>
    <row r="38323" spans="1:14" s="2" customFormat="1">
      <c r="A38323" s="83"/>
      <c r="H38323" s="83"/>
      <c r="K38323" s="82"/>
      <c r="M38323" s="112"/>
      <c r="N38323" s="84"/>
    </row>
    <row r="38324" spans="1:14" s="2" customFormat="1">
      <c r="A38324" s="83"/>
      <c r="H38324" s="83"/>
      <c r="K38324" s="82"/>
      <c r="M38324" s="112"/>
      <c r="N38324" s="84"/>
    </row>
    <row r="38325" spans="1:14" s="2" customFormat="1">
      <c r="A38325" s="83"/>
      <c r="H38325" s="83"/>
      <c r="K38325" s="82"/>
      <c r="M38325" s="112"/>
      <c r="N38325" s="84"/>
    </row>
    <row r="38326" spans="1:14" s="2" customFormat="1">
      <c r="A38326" s="83"/>
      <c r="H38326" s="83"/>
      <c r="K38326" s="82"/>
      <c r="M38326" s="112"/>
      <c r="N38326" s="84"/>
    </row>
    <row r="38327" spans="1:14" s="2" customFormat="1">
      <c r="A38327" s="83"/>
      <c r="H38327" s="83"/>
      <c r="K38327" s="82"/>
      <c r="M38327" s="112"/>
      <c r="N38327" s="84"/>
    </row>
    <row r="38328" spans="1:14" s="2" customFormat="1">
      <c r="A38328" s="83"/>
      <c r="H38328" s="83"/>
      <c r="K38328" s="82"/>
      <c r="M38328" s="112"/>
      <c r="N38328" s="84"/>
    </row>
    <row r="38329" spans="1:14" s="2" customFormat="1">
      <c r="A38329" s="83"/>
      <c r="H38329" s="83"/>
      <c r="K38329" s="82"/>
      <c r="M38329" s="112"/>
      <c r="N38329" s="84"/>
    </row>
    <row r="38330" spans="1:14" s="2" customFormat="1">
      <c r="A38330" s="83"/>
      <c r="H38330" s="83"/>
      <c r="K38330" s="82"/>
      <c r="M38330" s="112"/>
      <c r="N38330" s="84"/>
    </row>
    <row r="38331" spans="1:14" s="2" customFormat="1">
      <c r="A38331" s="83"/>
      <c r="H38331" s="83"/>
      <c r="K38331" s="82"/>
      <c r="M38331" s="112"/>
      <c r="N38331" s="84"/>
    </row>
    <row r="38332" spans="1:14" s="2" customFormat="1">
      <c r="A38332" s="83"/>
      <c r="H38332" s="83"/>
      <c r="K38332" s="82"/>
      <c r="M38332" s="112"/>
      <c r="N38332" s="84"/>
    </row>
    <row r="38333" spans="1:14" s="2" customFormat="1">
      <c r="A38333" s="83"/>
      <c r="H38333" s="83"/>
      <c r="K38333" s="82"/>
      <c r="M38333" s="112"/>
      <c r="N38333" s="84"/>
    </row>
    <row r="38334" spans="1:14" s="2" customFormat="1">
      <c r="A38334" s="83"/>
      <c r="H38334" s="83"/>
      <c r="K38334" s="82"/>
      <c r="M38334" s="112"/>
      <c r="N38334" s="84"/>
    </row>
    <row r="38335" spans="1:14" s="2" customFormat="1">
      <c r="A38335" s="83"/>
      <c r="H38335" s="83"/>
      <c r="K38335" s="82"/>
      <c r="M38335" s="112"/>
      <c r="N38335" s="84"/>
    </row>
    <row r="38336" spans="1:14" s="2" customFormat="1">
      <c r="A38336" s="83"/>
      <c r="H38336" s="83"/>
      <c r="K38336" s="82"/>
      <c r="M38336" s="112"/>
      <c r="N38336" s="84"/>
    </row>
    <row r="38337" spans="1:14" s="2" customFormat="1">
      <c r="A38337" s="83"/>
      <c r="H38337" s="83"/>
      <c r="K38337" s="82"/>
      <c r="M38337" s="112"/>
      <c r="N38337" s="84"/>
    </row>
    <row r="38338" spans="1:14" s="2" customFormat="1">
      <c r="A38338" s="83"/>
      <c r="H38338" s="83"/>
      <c r="K38338" s="82"/>
      <c r="M38338" s="112"/>
      <c r="N38338" s="84"/>
    </row>
    <row r="38339" spans="1:14" s="2" customFormat="1">
      <c r="A38339" s="83"/>
      <c r="H38339" s="83"/>
      <c r="K38339" s="82"/>
      <c r="M38339" s="112"/>
      <c r="N38339" s="84"/>
    </row>
    <row r="38340" spans="1:14" s="2" customFormat="1">
      <c r="A38340" s="83"/>
      <c r="H38340" s="83"/>
      <c r="K38340" s="82"/>
      <c r="M38340" s="112"/>
      <c r="N38340" s="84"/>
    </row>
    <row r="38341" spans="1:14" s="2" customFormat="1">
      <c r="A38341" s="83"/>
      <c r="H38341" s="83"/>
      <c r="K38341" s="82"/>
      <c r="M38341" s="112"/>
      <c r="N38341" s="84"/>
    </row>
    <row r="38342" spans="1:14" s="2" customFormat="1">
      <c r="A38342" s="83"/>
      <c r="H38342" s="83"/>
      <c r="K38342" s="82"/>
      <c r="M38342" s="112"/>
      <c r="N38342" s="84"/>
    </row>
    <row r="38343" spans="1:14" s="2" customFormat="1">
      <c r="A38343" s="83"/>
      <c r="H38343" s="83"/>
      <c r="K38343" s="82"/>
      <c r="M38343" s="112"/>
      <c r="N38343" s="84"/>
    </row>
    <row r="38344" spans="1:14" s="2" customFormat="1">
      <c r="A38344" s="83"/>
      <c r="H38344" s="83"/>
      <c r="K38344" s="82"/>
      <c r="M38344" s="112"/>
      <c r="N38344" s="84"/>
    </row>
    <row r="38345" spans="1:14" s="2" customFormat="1">
      <c r="A38345" s="83"/>
      <c r="H38345" s="83"/>
      <c r="K38345" s="82"/>
      <c r="M38345" s="112"/>
      <c r="N38345" s="84"/>
    </row>
    <row r="38346" spans="1:14" s="2" customFormat="1">
      <c r="A38346" s="83"/>
      <c r="H38346" s="83"/>
      <c r="K38346" s="82"/>
      <c r="M38346" s="112"/>
      <c r="N38346" s="84"/>
    </row>
    <row r="38347" spans="1:14" s="2" customFormat="1">
      <c r="A38347" s="83"/>
      <c r="H38347" s="83"/>
      <c r="K38347" s="82"/>
      <c r="M38347" s="112"/>
      <c r="N38347" s="84"/>
    </row>
    <row r="38348" spans="1:14" s="2" customFormat="1">
      <c r="A38348" s="83"/>
      <c r="H38348" s="83"/>
      <c r="K38348" s="82"/>
      <c r="M38348" s="112"/>
      <c r="N38348" s="84"/>
    </row>
    <row r="38349" spans="1:14" s="2" customFormat="1">
      <c r="A38349" s="83"/>
      <c r="H38349" s="83"/>
      <c r="K38349" s="82"/>
      <c r="M38349" s="112"/>
      <c r="N38349" s="84"/>
    </row>
    <row r="38350" spans="1:14" s="2" customFormat="1">
      <c r="A38350" s="83"/>
      <c r="H38350" s="83"/>
      <c r="K38350" s="82"/>
      <c r="M38350" s="112"/>
      <c r="N38350" s="84"/>
    </row>
    <row r="38351" spans="1:14" s="2" customFormat="1">
      <c r="A38351" s="83"/>
      <c r="H38351" s="83"/>
      <c r="K38351" s="82"/>
      <c r="M38351" s="112"/>
      <c r="N38351" s="84"/>
    </row>
    <row r="38352" spans="1:14" s="2" customFormat="1">
      <c r="A38352" s="83"/>
      <c r="H38352" s="83"/>
      <c r="K38352" s="82"/>
      <c r="M38352" s="112"/>
      <c r="N38352" s="84"/>
    </row>
    <row r="38353" spans="1:14" s="2" customFormat="1">
      <c r="A38353" s="83"/>
      <c r="H38353" s="83"/>
      <c r="K38353" s="82"/>
      <c r="M38353" s="112"/>
      <c r="N38353" s="84"/>
    </row>
    <row r="38354" spans="1:14" s="2" customFormat="1">
      <c r="A38354" s="83"/>
      <c r="H38354" s="83"/>
      <c r="K38354" s="82"/>
      <c r="M38354" s="112"/>
      <c r="N38354" s="84"/>
    </row>
    <row r="38355" spans="1:14" s="2" customFormat="1">
      <c r="A38355" s="83"/>
      <c r="H38355" s="83"/>
      <c r="K38355" s="82"/>
      <c r="M38355" s="112"/>
      <c r="N38355" s="84"/>
    </row>
    <row r="38356" spans="1:14" s="2" customFormat="1">
      <c r="A38356" s="83"/>
      <c r="H38356" s="83"/>
      <c r="K38356" s="82"/>
      <c r="M38356" s="112"/>
      <c r="N38356" s="84"/>
    </row>
    <row r="38357" spans="1:14" s="2" customFormat="1">
      <c r="A38357" s="83"/>
      <c r="H38357" s="83"/>
      <c r="K38357" s="82"/>
      <c r="M38357" s="112"/>
      <c r="N38357" s="84"/>
    </row>
    <row r="38358" spans="1:14" s="2" customFormat="1">
      <c r="A38358" s="83"/>
      <c r="H38358" s="83"/>
      <c r="K38358" s="82"/>
      <c r="M38358" s="112"/>
      <c r="N38358" s="84"/>
    </row>
    <row r="38359" spans="1:14" s="2" customFormat="1">
      <c r="A38359" s="83"/>
      <c r="H38359" s="83"/>
      <c r="K38359" s="82"/>
      <c r="M38359" s="112"/>
      <c r="N38359" s="84"/>
    </row>
    <row r="38360" spans="1:14" s="2" customFormat="1">
      <c r="A38360" s="83"/>
      <c r="H38360" s="83"/>
      <c r="K38360" s="82"/>
      <c r="M38360" s="112"/>
      <c r="N38360" s="84"/>
    </row>
    <row r="38361" spans="1:14" s="2" customFormat="1">
      <c r="A38361" s="83"/>
      <c r="H38361" s="83"/>
      <c r="K38361" s="82"/>
      <c r="M38361" s="112"/>
      <c r="N38361" s="84"/>
    </row>
    <row r="38362" spans="1:14" s="2" customFormat="1">
      <c r="A38362" s="83"/>
      <c r="H38362" s="83"/>
      <c r="K38362" s="82"/>
      <c r="M38362" s="112"/>
      <c r="N38362" s="84"/>
    </row>
    <row r="38363" spans="1:14" s="2" customFormat="1">
      <c r="A38363" s="83"/>
      <c r="H38363" s="83"/>
      <c r="K38363" s="82"/>
      <c r="M38363" s="112"/>
      <c r="N38363" s="84"/>
    </row>
    <row r="38364" spans="1:14" s="2" customFormat="1">
      <c r="A38364" s="83"/>
      <c r="H38364" s="83"/>
      <c r="K38364" s="82"/>
      <c r="M38364" s="112"/>
      <c r="N38364" s="84"/>
    </row>
    <row r="38365" spans="1:14" s="2" customFormat="1">
      <c r="A38365" s="83"/>
      <c r="H38365" s="83"/>
      <c r="K38365" s="82"/>
      <c r="M38365" s="112"/>
      <c r="N38365" s="84"/>
    </row>
    <row r="38366" spans="1:14" s="2" customFormat="1">
      <c r="A38366" s="83"/>
      <c r="H38366" s="83"/>
      <c r="K38366" s="82"/>
      <c r="M38366" s="112"/>
      <c r="N38366" s="84"/>
    </row>
    <row r="38367" spans="1:14" s="2" customFormat="1">
      <c r="A38367" s="83"/>
      <c r="H38367" s="83"/>
      <c r="K38367" s="82"/>
      <c r="M38367" s="112"/>
      <c r="N38367" s="84"/>
    </row>
    <row r="38368" spans="1:14" s="2" customFormat="1">
      <c r="A38368" s="83"/>
      <c r="H38368" s="83"/>
      <c r="K38368" s="82"/>
      <c r="M38368" s="112"/>
      <c r="N38368" s="84"/>
    </row>
    <row r="38369" spans="1:14" s="2" customFormat="1">
      <c r="A38369" s="83"/>
      <c r="H38369" s="83"/>
      <c r="K38369" s="82"/>
      <c r="M38369" s="112"/>
      <c r="N38369" s="84"/>
    </row>
    <row r="38370" spans="1:14" s="2" customFormat="1">
      <c r="A38370" s="83"/>
      <c r="H38370" s="83"/>
      <c r="K38370" s="82"/>
      <c r="M38370" s="112"/>
      <c r="N38370" s="84"/>
    </row>
    <row r="38371" spans="1:14" s="2" customFormat="1">
      <c r="A38371" s="83"/>
      <c r="H38371" s="83"/>
      <c r="K38371" s="82"/>
      <c r="M38371" s="112"/>
      <c r="N38371" s="84"/>
    </row>
    <row r="38372" spans="1:14" s="2" customFormat="1">
      <c r="A38372" s="83"/>
      <c r="H38372" s="83"/>
      <c r="K38372" s="82"/>
      <c r="M38372" s="112"/>
      <c r="N38372" s="84"/>
    </row>
    <row r="38373" spans="1:14" s="2" customFormat="1">
      <c r="A38373" s="83"/>
      <c r="H38373" s="83"/>
      <c r="K38373" s="82"/>
      <c r="M38373" s="112"/>
      <c r="N38373" s="84"/>
    </row>
    <row r="38374" spans="1:14" s="2" customFormat="1">
      <c r="A38374" s="83"/>
      <c r="H38374" s="83"/>
      <c r="K38374" s="82"/>
      <c r="M38374" s="112"/>
      <c r="N38374" s="84"/>
    </row>
    <row r="38375" spans="1:14" s="2" customFormat="1">
      <c r="A38375" s="83"/>
      <c r="H38375" s="83"/>
      <c r="K38375" s="82"/>
      <c r="M38375" s="112"/>
      <c r="N38375" s="84"/>
    </row>
    <row r="38376" spans="1:14" s="2" customFormat="1">
      <c r="A38376" s="83"/>
      <c r="H38376" s="83"/>
      <c r="K38376" s="82"/>
      <c r="M38376" s="112"/>
      <c r="N38376" s="84"/>
    </row>
    <row r="38377" spans="1:14" s="2" customFormat="1">
      <c r="A38377" s="83"/>
      <c r="H38377" s="83"/>
      <c r="K38377" s="82"/>
      <c r="M38377" s="112"/>
      <c r="N38377" s="84"/>
    </row>
    <row r="38378" spans="1:14" s="2" customFormat="1">
      <c r="A38378" s="83"/>
      <c r="H38378" s="83"/>
      <c r="K38378" s="82"/>
      <c r="M38378" s="112"/>
      <c r="N38378" s="84"/>
    </row>
    <row r="38379" spans="1:14" s="2" customFormat="1">
      <c r="A38379" s="83"/>
      <c r="H38379" s="83"/>
      <c r="K38379" s="82"/>
      <c r="M38379" s="112"/>
      <c r="N38379" s="84"/>
    </row>
    <row r="38380" spans="1:14" s="2" customFormat="1">
      <c r="A38380" s="83"/>
      <c r="H38380" s="83"/>
      <c r="K38380" s="82"/>
      <c r="M38380" s="112"/>
      <c r="N38380" s="84"/>
    </row>
    <row r="38381" spans="1:14" s="2" customFormat="1">
      <c r="A38381" s="83"/>
      <c r="H38381" s="83"/>
      <c r="K38381" s="82"/>
      <c r="M38381" s="112"/>
      <c r="N38381" s="84"/>
    </row>
    <row r="38382" spans="1:14" s="2" customFormat="1">
      <c r="A38382" s="83"/>
      <c r="H38382" s="83"/>
      <c r="K38382" s="82"/>
      <c r="M38382" s="112"/>
      <c r="N38382" s="84"/>
    </row>
    <row r="38383" spans="1:14" s="2" customFormat="1">
      <c r="A38383" s="83"/>
      <c r="H38383" s="83"/>
      <c r="K38383" s="82"/>
      <c r="M38383" s="112"/>
      <c r="N38383" s="84"/>
    </row>
    <row r="38384" spans="1:14" s="2" customFormat="1">
      <c r="A38384" s="83"/>
      <c r="H38384" s="83"/>
      <c r="K38384" s="82"/>
      <c r="M38384" s="112"/>
      <c r="N38384" s="84"/>
    </row>
    <row r="38385" spans="1:14" s="2" customFormat="1">
      <c r="A38385" s="83"/>
      <c r="H38385" s="83"/>
      <c r="K38385" s="82"/>
      <c r="M38385" s="112"/>
      <c r="N38385" s="84"/>
    </row>
    <row r="38386" spans="1:14" s="2" customFormat="1">
      <c r="A38386" s="83"/>
      <c r="H38386" s="83"/>
      <c r="K38386" s="82"/>
      <c r="M38386" s="112"/>
      <c r="N38386" s="84"/>
    </row>
    <row r="38387" spans="1:14" s="2" customFormat="1">
      <c r="A38387" s="83"/>
      <c r="H38387" s="83"/>
      <c r="K38387" s="82"/>
      <c r="M38387" s="112"/>
      <c r="N38387" s="84"/>
    </row>
    <row r="38388" spans="1:14" s="2" customFormat="1">
      <c r="A38388" s="83"/>
      <c r="H38388" s="83"/>
      <c r="K38388" s="82"/>
      <c r="M38388" s="112"/>
      <c r="N38388" s="84"/>
    </row>
    <row r="38389" spans="1:14" s="2" customFormat="1">
      <c r="A38389" s="83"/>
      <c r="H38389" s="83"/>
      <c r="K38389" s="82"/>
      <c r="M38389" s="112"/>
      <c r="N38389" s="84"/>
    </row>
    <row r="38390" spans="1:14" s="2" customFormat="1">
      <c r="A38390" s="83"/>
      <c r="H38390" s="83"/>
      <c r="K38390" s="82"/>
      <c r="M38390" s="112"/>
      <c r="N38390" s="84"/>
    </row>
    <row r="38391" spans="1:14" s="2" customFormat="1">
      <c r="A38391" s="83"/>
      <c r="H38391" s="83"/>
      <c r="K38391" s="82"/>
      <c r="M38391" s="112"/>
      <c r="N38391" s="84"/>
    </row>
    <row r="38392" spans="1:14" s="2" customFormat="1">
      <c r="A38392" s="83"/>
      <c r="H38392" s="83"/>
      <c r="K38392" s="82"/>
      <c r="M38392" s="112"/>
      <c r="N38392" s="84"/>
    </row>
    <row r="38393" spans="1:14" s="2" customFormat="1">
      <c r="A38393" s="83"/>
      <c r="H38393" s="83"/>
      <c r="K38393" s="82"/>
      <c r="M38393" s="112"/>
      <c r="N38393" s="84"/>
    </row>
    <row r="38394" spans="1:14" s="2" customFormat="1">
      <c r="A38394" s="83"/>
      <c r="H38394" s="83"/>
      <c r="K38394" s="82"/>
      <c r="M38394" s="112"/>
      <c r="N38394" s="84"/>
    </row>
    <row r="38395" spans="1:14" s="2" customFormat="1">
      <c r="A38395" s="83"/>
      <c r="H38395" s="83"/>
      <c r="K38395" s="82"/>
      <c r="M38395" s="112"/>
      <c r="N38395" s="84"/>
    </row>
    <row r="38396" spans="1:14" s="2" customFormat="1">
      <c r="A38396" s="83"/>
      <c r="H38396" s="83"/>
      <c r="K38396" s="82"/>
      <c r="M38396" s="112"/>
      <c r="N38396" s="84"/>
    </row>
    <row r="38397" spans="1:14" s="2" customFormat="1">
      <c r="A38397" s="83"/>
      <c r="H38397" s="83"/>
      <c r="K38397" s="82"/>
      <c r="M38397" s="112"/>
      <c r="N38397" s="84"/>
    </row>
    <row r="38398" spans="1:14" s="2" customFormat="1">
      <c r="A38398" s="83"/>
      <c r="H38398" s="83"/>
      <c r="K38398" s="82"/>
      <c r="M38398" s="112"/>
      <c r="N38398" s="84"/>
    </row>
    <row r="38399" spans="1:14" s="2" customFormat="1">
      <c r="A38399" s="83"/>
      <c r="H38399" s="83"/>
      <c r="K38399" s="82"/>
      <c r="M38399" s="112"/>
      <c r="N38399" s="84"/>
    </row>
    <row r="38400" spans="1:14" s="2" customFormat="1">
      <c r="A38400" s="83"/>
      <c r="H38400" s="83"/>
      <c r="K38400" s="82"/>
      <c r="M38400" s="112"/>
      <c r="N38400" s="84"/>
    </row>
    <row r="38401" spans="1:14" s="2" customFormat="1">
      <c r="A38401" s="83"/>
      <c r="H38401" s="83"/>
      <c r="K38401" s="82"/>
      <c r="M38401" s="112"/>
      <c r="N38401" s="84"/>
    </row>
    <row r="38402" spans="1:14" s="2" customFormat="1">
      <c r="A38402" s="83"/>
      <c r="H38402" s="83"/>
      <c r="K38402" s="82"/>
      <c r="M38402" s="112"/>
      <c r="N38402" s="84"/>
    </row>
    <row r="38403" spans="1:14" s="2" customFormat="1">
      <c r="A38403" s="83"/>
      <c r="H38403" s="83"/>
      <c r="K38403" s="82"/>
      <c r="M38403" s="112"/>
      <c r="N38403" s="84"/>
    </row>
    <row r="38404" spans="1:14" s="2" customFormat="1">
      <c r="A38404" s="83"/>
      <c r="H38404" s="83"/>
      <c r="K38404" s="82"/>
      <c r="M38404" s="112"/>
      <c r="N38404" s="84"/>
    </row>
    <row r="38405" spans="1:14" s="2" customFormat="1">
      <c r="A38405" s="83"/>
      <c r="H38405" s="83"/>
      <c r="K38405" s="82"/>
      <c r="M38405" s="112"/>
      <c r="N38405" s="84"/>
    </row>
    <row r="38406" spans="1:14" s="2" customFormat="1">
      <c r="A38406" s="83"/>
      <c r="H38406" s="83"/>
      <c r="K38406" s="82"/>
      <c r="M38406" s="112"/>
      <c r="N38406" s="84"/>
    </row>
    <row r="38407" spans="1:14" s="2" customFormat="1">
      <c r="A38407" s="83"/>
      <c r="H38407" s="83"/>
      <c r="K38407" s="82"/>
      <c r="M38407" s="112"/>
      <c r="N38407" s="84"/>
    </row>
    <row r="38408" spans="1:14" s="2" customFormat="1">
      <c r="A38408" s="83"/>
      <c r="H38408" s="83"/>
      <c r="K38408" s="82"/>
      <c r="M38408" s="112"/>
      <c r="N38408" s="84"/>
    </row>
    <row r="38409" spans="1:14" s="2" customFormat="1">
      <c r="A38409" s="83"/>
      <c r="H38409" s="83"/>
      <c r="K38409" s="82"/>
      <c r="M38409" s="112"/>
      <c r="N38409" s="84"/>
    </row>
    <row r="38410" spans="1:14" s="2" customFormat="1">
      <c r="A38410" s="83"/>
      <c r="H38410" s="83"/>
      <c r="K38410" s="82"/>
      <c r="M38410" s="112"/>
      <c r="N38410" s="84"/>
    </row>
    <row r="38411" spans="1:14" s="2" customFormat="1">
      <c r="A38411" s="83"/>
      <c r="H38411" s="83"/>
      <c r="K38411" s="82"/>
      <c r="M38411" s="112"/>
      <c r="N38411" s="84"/>
    </row>
    <row r="38412" spans="1:14" s="2" customFormat="1">
      <c r="A38412" s="83"/>
      <c r="H38412" s="83"/>
      <c r="K38412" s="82"/>
      <c r="M38412" s="112"/>
      <c r="N38412" s="84"/>
    </row>
    <row r="38413" spans="1:14" s="2" customFormat="1">
      <c r="A38413" s="83"/>
      <c r="H38413" s="83"/>
      <c r="K38413" s="82"/>
      <c r="M38413" s="112"/>
      <c r="N38413" s="84"/>
    </row>
    <row r="38414" spans="1:14" s="2" customFormat="1">
      <c r="A38414" s="83"/>
      <c r="H38414" s="83"/>
      <c r="K38414" s="82"/>
      <c r="M38414" s="112"/>
      <c r="N38414" s="84"/>
    </row>
    <row r="38415" spans="1:14" s="2" customFormat="1">
      <c r="A38415" s="83"/>
      <c r="H38415" s="83"/>
      <c r="K38415" s="82"/>
      <c r="M38415" s="112"/>
      <c r="N38415" s="84"/>
    </row>
    <row r="38416" spans="1:14" s="2" customFormat="1">
      <c r="A38416" s="83"/>
      <c r="H38416" s="83"/>
      <c r="K38416" s="82"/>
      <c r="M38416" s="112"/>
      <c r="N38416" s="84"/>
    </row>
    <row r="38417" spans="1:14" s="2" customFormat="1">
      <c r="A38417" s="83"/>
      <c r="H38417" s="83"/>
      <c r="K38417" s="82"/>
      <c r="M38417" s="112"/>
      <c r="N38417" s="84"/>
    </row>
    <row r="38418" spans="1:14" s="2" customFormat="1">
      <c r="A38418" s="83"/>
      <c r="H38418" s="83"/>
      <c r="K38418" s="82"/>
      <c r="M38418" s="112"/>
      <c r="N38418" s="84"/>
    </row>
    <row r="38419" spans="1:14" s="2" customFormat="1">
      <c r="A38419" s="83"/>
      <c r="H38419" s="83"/>
      <c r="K38419" s="82"/>
      <c r="M38419" s="112"/>
      <c r="N38419" s="84"/>
    </row>
    <row r="38420" spans="1:14" s="2" customFormat="1">
      <c r="A38420" s="83"/>
      <c r="H38420" s="83"/>
      <c r="K38420" s="82"/>
      <c r="M38420" s="112"/>
      <c r="N38420" s="84"/>
    </row>
    <row r="38421" spans="1:14" s="2" customFormat="1">
      <c r="A38421" s="83"/>
      <c r="H38421" s="83"/>
      <c r="K38421" s="82"/>
      <c r="M38421" s="112"/>
      <c r="N38421" s="84"/>
    </row>
    <row r="38422" spans="1:14" s="2" customFormat="1">
      <c r="A38422" s="83"/>
      <c r="H38422" s="83"/>
      <c r="K38422" s="82"/>
      <c r="M38422" s="112"/>
      <c r="N38422" s="84"/>
    </row>
    <row r="38423" spans="1:14" s="2" customFormat="1">
      <c r="A38423" s="83"/>
      <c r="H38423" s="83"/>
      <c r="K38423" s="82"/>
      <c r="M38423" s="112"/>
      <c r="N38423" s="84"/>
    </row>
    <row r="38424" spans="1:14" s="2" customFormat="1">
      <c r="A38424" s="83"/>
      <c r="H38424" s="83"/>
      <c r="K38424" s="82"/>
      <c r="M38424" s="112"/>
      <c r="N38424" s="84"/>
    </row>
    <row r="38425" spans="1:14" s="2" customFormat="1">
      <c r="A38425" s="83"/>
      <c r="H38425" s="83"/>
      <c r="K38425" s="82"/>
      <c r="M38425" s="112"/>
      <c r="N38425" s="84"/>
    </row>
    <row r="38426" spans="1:14" s="2" customFormat="1">
      <c r="A38426" s="83"/>
      <c r="H38426" s="83"/>
      <c r="K38426" s="82"/>
      <c r="M38426" s="112"/>
      <c r="N38426" s="84"/>
    </row>
    <row r="38427" spans="1:14" s="2" customFormat="1">
      <c r="A38427" s="83"/>
      <c r="H38427" s="83"/>
      <c r="K38427" s="82"/>
      <c r="M38427" s="112"/>
      <c r="N38427" s="84"/>
    </row>
    <row r="38428" spans="1:14" s="2" customFormat="1">
      <c r="A38428" s="83"/>
      <c r="H38428" s="83"/>
      <c r="K38428" s="82"/>
      <c r="M38428" s="112"/>
      <c r="N38428" s="84"/>
    </row>
    <row r="38429" spans="1:14" s="2" customFormat="1">
      <c r="A38429" s="83"/>
      <c r="H38429" s="83"/>
      <c r="K38429" s="82"/>
      <c r="M38429" s="112"/>
      <c r="N38429" s="84"/>
    </row>
    <row r="38430" spans="1:14" s="2" customFormat="1">
      <c r="A38430" s="83"/>
      <c r="H38430" s="83"/>
      <c r="K38430" s="82"/>
      <c r="M38430" s="112"/>
      <c r="N38430" s="84"/>
    </row>
    <row r="38431" spans="1:14" s="2" customFormat="1">
      <c r="A38431" s="83"/>
      <c r="H38431" s="83"/>
      <c r="K38431" s="82"/>
      <c r="M38431" s="112"/>
      <c r="N38431" s="84"/>
    </row>
    <row r="38432" spans="1:14" s="2" customFormat="1">
      <c r="A38432" s="83"/>
      <c r="H38432" s="83"/>
      <c r="K38432" s="82"/>
      <c r="M38432" s="112"/>
      <c r="N38432" s="84"/>
    </row>
    <row r="38433" spans="1:14" s="2" customFormat="1">
      <c r="A38433" s="83"/>
      <c r="H38433" s="83"/>
      <c r="K38433" s="82"/>
      <c r="M38433" s="112"/>
      <c r="N38433" s="84"/>
    </row>
    <row r="38434" spans="1:14" s="2" customFormat="1">
      <c r="A38434" s="83"/>
      <c r="H38434" s="83"/>
      <c r="K38434" s="82"/>
      <c r="M38434" s="112"/>
      <c r="N38434" s="84"/>
    </row>
    <row r="38435" spans="1:14" s="2" customFormat="1">
      <c r="A38435" s="83"/>
      <c r="H38435" s="83"/>
      <c r="K38435" s="82"/>
      <c r="M38435" s="112"/>
      <c r="N38435" s="84"/>
    </row>
    <row r="38436" spans="1:14" s="2" customFormat="1">
      <c r="A38436" s="83"/>
      <c r="H38436" s="83"/>
      <c r="K38436" s="82"/>
      <c r="M38436" s="112"/>
      <c r="N38436" s="84"/>
    </row>
    <row r="38437" spans="1:14" s="2" customFormat="1">
      <c r="A38437" s="83"/>
      <c r="H38437" s="83"/>
      <c r="K38437" s="82"/>
      <c r="M38437" s="112"/>
      <c r="N38437" s="84"/>
    </row>
    <row r="38438" spans="1:14" s="2" customFormat="1">
      <c r="A38438" s="83"/>
      <c r="H38438" s="83"/>
      <c r="K38438" s="82"/>
      <c r="M38438" s="112"/>
      <c r="N38438" s="84"/>
    </row>
    <row r="38439" spans="1:14" s="2" customFormat="1">
      <c r="A38439" s="83"/>
      <c r="H38439" s="83"/>
      <c r="K38439" s="82"/>
      <c r="M38439" s="112"/>
      <c r="N38439" s="84"/>
    </row>
    <row r="38440" spans="1:14" s="2" customFormat="1">
      <c r="A38440" s="83"/>
      <c r="H38440" s="83"/>
      <c r="K38440" s="82"/>
      <c r="M38440" s="112"/>
      <c r="N38440" s="84"/>
    </row>
    <row r="38441" spans="1:14" s="2" customFormat="1">
      <c r="A38441" s="83"/>
      <c r="H38441" s="83"/>
      <c r="K38441" s="82"/>
      <c r="M38441" s="112"/>
      <c r="N38441" s="84"/>
    </row>
    <row r="38442" spans="1:14" s="2" customFormat="1">
      <c r="A38442" s="83"/>
      <c r="H38442" s="83"/>
      <c r="K38442" s="82"/>
      <c r="M38442" s="112"/>
      <c r="N38442" s="84"/>
    </row>
    <row r="38443" spans="1:14" s="2" customFormat="1">
      <c r="A38443" s="83"/>
      <c r="H38443" s="83"/>
      <c r="K38443" s="82"/>
      <c r="M38443" s="112"/>
      <c r="N38443" s="84"/>
    </row>
    <row r="38444" spans="1:14" s="2" customFormat="1">
      <c r="A38444" s="83"/>
      <c r="H38444" s="83"/>
      <c r="K38444" s="82"/>
      <c r="M38444" s="112"/>
      <c r="N38444" s="84"/>
    </row>
    <row r="38445" spans="1:14" s="2" customFormat="1">
      <c r="A38445" s="83"/>
      <c r="H38445" s="83"/>
      <c r="K38445" s="82"/>
      <c r="M38445" s="112"/>
      <c r="N38445" s="84"/>
    </row>
    <row r="38446" spans="1:14" s="2" customFormat="1">
      <c r="A38446" s="83"/>
      <c r="H38446" s="83"/>
      <c r="K38446" s="82"/>
      <c r="M38446" s="112"/>
      <c r="N38446" s="84"/>
    </row>
    <row r="38447" spans="1:14" s="2" customFormat="1">
      <c r="A38447" s="83"/>
      <c r="H38447" s="83"/>
      <c r="K38447" s="82"/>
      <c r="M38447" s="112"/>
      <c r="N38447" s="84"/>
    </row>
    <row r="38448" spans="1:14" s="2" customFormat="1">
      <c r="A38448" s="83"/>
      <c r="H38448" s="83"/>
      <c r="K38448" s="82"/>
      <c r="M38448" s="112"/>
      <c r="N38448" s="84"/>
    </row>
    <row r="38449" spans="1:14" s="2" customFormat="1">
      <c r="A38449" s="83"/>
      <c r="H38449" s="83"/>
      <c r="K38449" s="82"/>
      <c r="M38449" s="112"/>
      <c r="N38449" s="84"/>
    </row>
    <row r="38450" spans="1:14" s="2" customFormat="1">
      <c r="A38450" s="83"/>
      <c r="H38450" s="83"/>
      <c r="K38450" s="82"/>
      <c r="M38450" s="112"/>
      <c r="N38450" s="84"/>
    </row>
    <row r="38451" spans="1:14" s="2" customFormat="1">
      <c r="A38451" s="83"/>
      <c r="H38451" s="83"/>
      <c r="K38451" s="82"/>
      <c r="M38451" s="112"/>
      <c r="N38451" s="84"/>
    </row>
    <row r="38452" spans="1:14" s="2" customFormat="1">
      <c r="A38452" s="83"/>
      <c r="H38452" s="83"/>
      <c r="K38452" s="82"/>
      <c r="M38452" s="112"/>
      <c r="N38452" s="84"/>
    </row>
    <row r="38453" spans="1:14" s="2" customFormat="1">
      <c r="A38453" s="83"/>
      <c r="H38453" s="83"/>
      <c r="K38453" s="82"/>
      <c r="M38453" s="112"/>
      <c r="N38453" s="84"/>
    </row>
    <row r="38454" spans="1:14" s="2" customFormat="1">
      <c r="A38454" s="83"/>
      <c r="H38454" s="83"/>
      <c r="K38454" s="82"/>
      <c r="M38454" s="112"/>
      <c r="N38454" s="84"/>
    </row>
    <row r="38455" spans="1:14" s="2" customFormat="1">
      <c r="A38455" s="83"/>
      <c r="H38455" s="83"/>
      <c r="K38455" s="82"/>
      <c r="M38455" s="112"/>
      <c r="N38455" s="84"/>
    </row>
    <row r="38456" spans="1:14" s="2" customFormat="1">
      <c r="A38456" s="83"/>
      <c r="H38456" s="83"/>
      <c r="K38456" s="82"/>
      <c r="M38456" s="112"/>
      <c r="N38456" s="84"/>
    </row>
    <row r="38457" spans="1:14" s="2" customFormat="1">
      <c r="A38457" s="83"/>
      <c r="H38457" s="83"/>
      <c r="K38457" s="82"/>
      <c r="M38457" s="112"/>
      <c r="N38457" s="84"/>
    </row>
    <row r="38458" spans="1:14" s="2" customFormat="1">
      <c r="A38458" s="83"/>
      <c r="H38458" s="83"/>
      <c r="K38458" s="82"/>
      <c r="M38458" s="112"/>
      <c r="N38458" s="84"/>
    </row>
    <row r="38459" spans="1:14" s="2" customFormat="1">
      <c r="A38459" s="83"/>
      <c r="H38459" s="83"/>
      <c r="K38459" s="82"/>
      <c r="M38459" s="112"/>
      <c r="N38459" s="84"/>
    </row>
    <row r="38460" spans="1:14" s="2" customFormat="1">
      <c r="A38460" s="83"/>
      <c r="H38460" s="83"/>
      <c r="K38460" s="82"/>
      <c r="M38460" s="112"/>
      <c r="N38460" s="84"/>
    </row>
    <row r="38461" spans="1:14" s="2" customFormat="1">
      <c r="A38461" s="83"/>
      <c r="H38461" s="83"/>
      <c r="K38461" s="82"/>
      <c r="M38461" s="112"/>
      <c r="N38461" s="84"/>
    </row>
    <row r="38462" spans="1:14" s="2" customFormat="1">
      <c r="A38462" s="83"/>
      <c r="H38462" s="83"/>
      <c r="K38462" s="82"/>
      <c r="M38462" s="112"/>
      <c r="N38462" s="84"/>
    </row>
    <row r="38463" spans="1:14" s="2" customFormat="1">
      <c r="A38463" s="83"/>
      <c r="H38463" s="83"/>
      <c r="K38463" s="82"/>
      <c r="M38463" s="112"/>
      <c r="N38463" s="84"/>
    </row>
    <row r="38464" spans="1:14" s="2" customFormat="1">
      <c r="A38464" s="83"/>
      <c r="H38464" s="83"/>
      <c r="K38464" s="82"/>
      <c r="M38464" s="112"/>
      <c r="N38464" s="84"/>
    </row>
    <row r="38465" spans="1:14" s="2" customFormat="1">
      <c r="A38465" s="83"/>
      <c r="H38465" s="83"/>
      <c r="K38465" s="82"/>
      <c r="M38465" s="112"/>
      <c r="N38465" s="84"/>
    </row>
    <row r="38466" spans="1:14" s="2" customFormat="1">
      <c r="A38466" s="83"/>
      <c r="H38466" s="83"/>
      <c r="K38466" s="82"/>
      <c r="M38466" s="112"/>
      <c r="N38466" s="84"/>
    </row>
    <row r="38467" spans="1:14" s="2" customFormat="1">
      <c r="A38467" s="83"/>
      <c r="H38467" s="83"/>
      <c r="K38467" s="82"/>
      <c r="M38467" s="112"/>
      <c r="N38467" s="84"/>
    </row>
    <row r="38468" spans="1:14" s="2" customFormat="1">
      <c r="A38468" s="83"/>
      <c r="H38468" s="83"/>
      <c r="K38468" s="82"/>
      <c r="M38468" s="112"/>
      <c r="N38468" s="84"/>
    </row>
    <row r="38469" spans="1:14" s="2" customFormat="1">
      <c r="A38469" s="83"/>
      <c r="H38469" s="83"/>
      <c r="K38469" s="82"/>
      <c r="M38469" s="112"/>
      <c r="N38469" s="84"/>
    </row>
    <row r="38470" spans="1:14" s="2" customFormat="1">
      <c r="A38470" s="83"/>
      <c r="H38470" s="83"/>
      <c r="K38470" s="82"/>
      <c r="M38470" s="112"/>
      <c r="N38470" s="84"/>
    </row>
    <row r="38471" spans="1:14" s="2" customFormat="1">
      <c r="A38471" s="83"/>
      <c r="H38471" s="83"/>
      <c r="K38471" s="82"/>
      <c r="M38471" s="112"/>
      <c r="N38471" s="84"/>
    </row>
    <row r="38472" spans="1:14" s="2" customFormat="1">
      <c r="A38472" s="83"/>
      <c r="H38472" s="83"/>
      <c r="K38472" s="82"/>
      <c r="M38472" s="112"/>
      <c r="N38472" s="84"/>
    </row>
    <row r="38473" spans="1:14" s="2" customFormat="1">
      <c r="A38473" s="83"/>
      <c r="H38473" s="83"/>
      <c r="K38473" s="82"/>
      <c r="M38473" s="112"/>
      <c r="N38473" s="84"/>
    </row>
    <row r="38474" spans="1:14" s="2" customFormat="1">
      <c r="A38474" s="83"/>
      <c r="H38474" s="83"/>
      <c r="K38474" s="82"/>
      <c r="M38474" s="112"/>
      <c r="N38474" s="84"/>
    </row>
    <row r="38475" spans="1:14" s="2" customFormat="1">
      <c r="A38475" s="83"/>
      <c r="H38475" s="83"/>
      <c r="K38475" s="82"/>
      <c r="M38475" s="112"/>
      <c r="N38475" s="84"/>
    </row>
    <row r="38476" spans="1:14" s="2" customFormat="1">
      <c r="A38476" s="83"/>
      <c r="H38476" s="83"/>
      <c r="K38476" s="82"/>
      <c r="M38476" s="112"/>
      <c r="N38476" s="84"/>
    </row>
    <row r="38477" spans="1:14" s="2" customFormat="1">
      <c r="A38477" s="83"/>
      <c r="H38477" s="83"/>
      <c r="K38477" s="82"/>
      <c r="M38477" s="112"/>
      <c r="N38477" s="84"/>
    </row>
    <row r="38478" spans="1:14" s="2" customFormat="1">
      <c r="A38478" s="83"/>
      <c r="H38478" s="83"/>
      <c r="K38478" s="82"/>
      <c r="M38478" s="112"/>
      <c r="N38478" s="84"/>
    </row>
    <row r="38479" spans="1:14" s="2" customFormat="1">
      <c r="A38479" s="83"/>
      <c r="H38479" s="83"/>
      <c r="K38479" s="82"/>
      <c r="M38479" s="112"/>
      <c r="N38479" s="84"/>
    </row>
    <row r="38480" spans="1:14" s="2" customFormat="1">
      <c r="A38480" s="83"/>
      <c r="H38480" s="83"/>
      <c r="K38480" s="82"/>
      <c r="M38480" s="112"/>
      <c r="N38480" s="84"/>
    </row>
    <row r="38481" spans="1:14" s="2" customFormat="1">
      <c r="A38481" s="83"/>
      <c r="H38481" s="83"/>
      <c r="K38481" s="82"/>
      <c r="M38481" s="112"/>
      <c r="N38481" s="84"/>
    </row>
    <row r="38482" spans="1:14" s="2" customFormat="1">
      <c r="A38482" s="83"/>
      <c r="H38482" s="83"/>
      <c r="K38482" s="82"/>
      <c r="M38482" s="112"/>
      <c r="N38482" s="84"/>
    </row>
    <row r="38483" spans="1:14" s="2" customFormat="1">
      <c r="A38483" s="83"/>
      <c r="H38483" s="83"/>
      <c r="K38483" s="82"/>
      <c r="M38483" s="112"/>
      <c r="N38483" s="84"/>
    </row>
    <row r="38484" spans="1:14" s="2" customFormat="1">
      <c r="A38484" s="83"/>
      <c r="H38484" s="83"/>
      <c r="K38484" s="82"/>
      <c r="M38484" s="112"/>
      <c r="N38484" s="84"/>
    </row>
    <row r="38485" spans="1:14" s="2" customFormat="1">
      <c r="A38485" s="83"/>
      <c r="H38485" s="83"/>
      <c r="K38485" s="82"/>
      <c r="M38485" s="112"/>
      <c r="N38485" s="84"/>
    </row>
    <row r="38486" spans="1:14" s="2" customFormat="1">
      <c r="A38486" s="83"/>
      <c r="H38486" s="83"/>
      <c r="K38486" s="82"/>
      <c r="M38486" s="112"/>
      <c r="N38486" s="84"/>
    </row>
    <row r="38487" spans="1:14" s="2" customFormat="1">
      <c r="A38487" s="83"/>
      <c r="H38487" s="83"/>
      <c r="K38487" s="82"/>
      <c r="M38487" s="112"/>
      <c r="N38487" s="84"/>
    </row>
    <row r="38488" spans="1:14" s="2" customFormat="1">
      <c r="A38488" s="83"/>
      <c r="H38488" s="83"/>
      <c r="K38488" s="82"/>
      <c r="M38488" s="112"/>
      <c r="N38488" s="84"/>
    </row>
    <row r="38489" spans="1:14" s="2" customFormat="1">
      <c r="A38489" s="83"/>
      <c r="H38489" s="83"/>
      <c r="K38489" s="82"/>
      <c r="M38489" s="112"/>
      <c r="N38489" s="84"/>
    </row>
    <row r="38490" spans="1:14" s="2" customFormat="1">
      <c r="A38490" s="83"/>
      <c r="H38490" s="83"/>
      <c r="K38490" s="82"/>
      <c r="M38490" s="112"/>
      <c r="N38490" s="84"/>
    </row>
    <row r="38491" spans="1:14" s="2" customFormat="1">
      <c r="A38491" s="83"/>
      <c r="H38491" s="83"/>
      <c r="K38491" s="82"/>
      <c r="M38491" s="112"/>
      <c r="N38491" s="84"/>
    </row>
    <row r="38492" spans="1:14" s="2" customFormat="1">
      <c r="A38492" s="83"/>
      <c r="H38492" s="83"/>
      <c r="K38492" s="82"/>
      <c r="M38492" s="112"/>
      <c r="N38492" s="84"/>
    </row>
    <row r="38493" spans="1:14" s="2" customFormat="1">
      <c r="A38493" s="83"/>
      <c r="H38493" s="83"/>
      <c r="K38493" s="82"/>
      <c r="M38493" s="112"/>
      <c r="N38493" s="84"/>
    </row>
    <row r="38494" spans="1:14" s="2" customFormat="1">
      <c r="A38494" s="83"/>
      <c r="H38494" s="83"/>
      <c r="K38494" s="82"/>
      <c r="M38494" s="112"/>
      <c r="N38494" s="84"/>
    </row>
    <row r="38495" spans="1:14" s="2" customFormat="1">
      <c r="A38495" s="83"/>
      <c r="H38495" s="83"/>
      <c r="K38495" s="82"/>
      <c r="M38495" s="112"/>
      <c r="N38495" s="84"/>
    </row>
    <row r="38496" spans="1:14" s="2" customFormat="1">
      <c r="A38496" s="83"/>
      <c r="H38496" s="83"/>
      <c r="K38496" s="82"/>
      <c r="M38496" s="112"/>
      <c r="N38496" s="84"/>
    </row>
    <row r="38497" spans="1:14" s="2" customFormat="1">
      <c r="A38497" s="83"/>
      <c r="H38497" s="83"/>
      <c r="K38497" s="82"/>
      <c r="M38497" s="112"/>
      <c r="N38497" s="84"/>
    </row>
    <row r="38498" spans="1:14" s="2" customFormat="1">
      <c r="A38498" s="83"/>
      <c r="H38498" s="83"/>
      <c r="K38498" s="82"/>
      <c r="M38498" s="112"/>
      <c r="N38498" s="84"/>
    </row>
    <row r="38499" spans="1:14" s="2" customFormat="1">
      <c r="A38499" s="83"/>
      <c r="H38499" s="83"/>
      <c r="K38499" s="82"/>
      <c r="M38499" s="112"/>
      <c r="N38499" s="84"/>
    </row>
    <row r="38500" spans="1:14" s="2" customFormat="1">
      <c r="A38500" s="83"/>
      <c r="H38500" s="83"/>
      <c r="K38500" s="82"/>
      <c r="M38500" s="112"/>
      <c r="N38500" s="84"/>
    </row>
    <row r="38501" spans="1:14" s="2" customFormat="1">
      <c r="A38501" s="83"/>
      <c r="H38501" s="83"/>
      <c r="K38501" s="82"/>
      <c r="M38501" s="112"/>
      <c r="N38501" s="84"/>
    </row>
    <row r="38502" spans="1:14" s="2" customFormat="1">
      <c r="A38502" s="83"/>
      <c r="H38502" s="83"/>
      <c r="K38502" s="82"/>
      <c r="M38502" s="112"/>
      <c r="N38502" s="84"/>
    </row>
    <row r="38503" spans="1:14" s="2" customFormat="1">
      <c r="A38503" s="83"/>
      <c r="H38503" s="83"/>
      <c r="K38503" s="82"/>
      <c r="M38503" s="112"/>
      <c r="N38503" s="84"/>
    </row>
    <row r="38504" spans="1:14" s="2" customFormat="1">
      <c r="A38504" s="83"/>
      <c r="H38504" s="83"/>
      <c r="K38504" s="82"/>
      <c r="M38504" s="112"/>
      <c r="N38504" s="84"/>
    </row>
    <row r="38505" spans="1:14" s="2" customFormat="1">
      <c r="A38505" s="83"/>
      <c r="H38505" s="83"/>
      <c r="K38505" s="82"/>
      <c r="M38505" s="112"/>
      <c r="N38505" s="84"/>
    </row>
    <row r="38506" spans="1:14" s="2" customFormat="1">
      <c r="A38506" s="83"/>
      <c r="H38506" s="83"/>
      <c r="K38506" s="82"/>
      <c r="M38506" s="112"/>
      <c r="N38506" s="84"/>
    </row>
    <row r="38507" spans="1:14" s="2" customFormat="1">
      <c r="A38507" s="83"/>
      <c r="H38507" s="83"/>
      <c r="K38507" s="82"/>
      <c r="M38507" s="112"/>
      <c r="N38507" s="84"/>
    </row>
    <row r="38508" spans="1:14" s="2" customFormat="1">
      <c r="A38508" s="83"/>
      <c r="H38508" s="83"/>
      <c r="K38508" s="82"/>
      <c r="M38508" s="112"/>
      <c r="N38508" s="84"/>
    </row>
    <row r="38509" spans="1:14" s="2" customFormat="1">
      <c r="A38509" s="83"/>
      <c r="H38509" s="83"/>
      <c r="K38509" s="82"/>
      <c r="M38509" s="112"/>
      <c r="N38509" s="84"/>
    </row>
    <row r="38510" spans="1:14" s="2" customFormat="1">
      <c r="A38510" s="83"/>
      <c r="H38510" s="83"/>
      <c r="K38510" s="82"/>
      <c r="M38510" s="112"/>
      <c r="N38510" s="84"/>
    </row>
    <row r="38511" spans="1:14" s="2" customFormat="1">
      <c r="A38511" s="83"/>
      <c r="H38511" s="83"/>
      <c r="K38511" s="82"/>
      <c r="M38511" s="112"/>
      <c r="N38511" s="84"/>
    </row>
    <row r="38512" spans="1:14" s="2" customFormat="1">
      <c r="A38512" s="83"/>
      <c r="H38512" s="83"/>
      <c r="K38512" s="82"/>
      <c r="M38512" s="112"/>
      <c r="N38512" s="84"/>
    </row>
    <row r="38513" spans="1:14" s="2" customFormat="1">
      <c r="A38513" s="83"/>
      <c r="H38513" s="83"/>
      <c r="K38513" s="82"/>
      <c r="M38513" s="112"/>
      <c r="N38513" s="84"/>
    </row>
    <row r="38514" spans="1:14" s="2" customFormat="1">
      <c r="A38514" s="83"/>
      <c r="H38514" s="83"/>
      <c r="K38514" s="82"/>
      <c r="M38514" s="112"/>
      <c r="N38514" s="84"/>
    </row>
    <row r="38515" spans="1:14" s="2" customFormat="1">
      <c r="A38515" s="83"/>
      <c r="H38515" s="83"/>
      <c r="K38515" s="82"/>
      <c r="M38515" s="112"/>
      <c r="N38515" s="84"/>
    </row>
    <row r="38516" spans="1:14" s="2" customFormat="1">
      <c r="A38516" s="83"/>
      <c r="H38516" s="83"/>
      <c r="K38516" s="82"/>
      <c r="M38516" s="112"/>
      <c r="N38516" s="84"/>
    </row>
    <row r="38517" spans="1:14" s="2" customFormat="1">
      <c r="A38517" s="83"/>
      <c r="H38517" s="83"/>
      <c r="K38517" s="82"/>
      <c r="M38517" s="112"/>
      <c r="N38517" s="84"/>
    </row>
    <row r="38518" spans="1:14" s="2" customFormat="1">
      <c r="A38518" s="83"/>
      <c r="H38518" s="83"/>
      <c r="K38518" s="82"/>
      <c r="M38518" s="112"/>
      <c r="N38518" s="84"/>
    </row>
    <row r="38519" spans="1:14" s="2" customFormat="1">
      <c r="A38519" s="83"/>
      <c r="H38519" s="83"/>
      <c r="K38519" s="82"/>
      <c r="M38519" s="112"/>
      <c r="N38519" s="84"/>
    </row>
    <row r="38520" spans="1:14" s="2" customFormat="1">
      <c r="A38520" s="83"/>
      <c r="H38520" s="83"/>
      <c r="K38520" s="82"/>
      <c r="M38520" s="112"/>
      <c r="N38520" s="84"/>
    </row>
    <row r="38521" spans="1:14" s="2" customFormat="1">
      <c r="A38521" s="83"/>
      <c r="H38521" s="83"/>
      <c r="K38521" s="82"/>
      <c r="M38521" s="112"/>
      <c r="N38521" s="84"/>
    </row>
    <row r="38522" spans="1:14" s="2" customFormat="1">
      <c r="A38522" s="83"/>
      <c r="H38522" s="83"/>
      <c r="K38522" s="82"/>
      <c r="M38522" s="112"/>
      <c r="N38522" s="84"/>
    </row>
    <row r="38523" spans="1:14" s="2" customFormat="1">
      <c r="A38523" s="83"/>
      <c r="H38523" s="83"/>
      <c r="K38523" s="82"/>
      <c r="M38523" s="112"/>
      <c r="N38523" s="84"/>
    </row>
    <row r="38524" spans="1:14" s="2" customFormat="1">
      <c r="A38524" s="83"/>
      <c r="H38524" s="83"/>
      <c r="K38524" s="82"/>
      <c r="M38524" s="112"/>
      <c r="N38524" s="84"/>
    </row>
    <row r="38525" spans="1:14" s="2" customFormat="1">
      <c r="A38525" s="83"/>
      <c r="H38525" s="83"/>
      <c r="K38525" s="82"/>
      <c r="M38525" s="112"/>
      <c r="N38525" s="84"/>
    </row>
    <row r="38526" spans="1:14" s="2" customFormat="1">
      <c r="A38526" s="83"/>
      <c r="H38526" s="83"/>
      <c r="K38526" s="82"/>
      <c r="M38526" s="112"/>
      <c r="N38526" s="84"/>
    </row>
    <row r="38527" spans="1:14" s="2" customFormat="1">
      <c r="A38527" s="83"/>
      <c r="H38527" s="83"/>
      <c r="K38527" s="82"/>
      <c r="M38527" s="112"/>
      <c r="N38527" s="84"/>
    </row>
    <row r="38528" spans="1:14" s="2" customFormat="1">
      <c r="A38528" s="83"/>
      <c r="H38528" s="83"/>
      <c r="K38528" s="82"/>
      <c r="M38528" s="112"/>
      <c r="N38528" s="84"/>
    </row>
    <row r="38529" spans="1:14" s="2" customFormat="1">
      <c r="A38529" s="83"/>
      <c r="H38529" s="83"/>
      <c r="K38529" s="82"/>
      <c r="M38529" s="112"/>
      <c r="N38529" s="84"/>
    </row>
    <row r="38530" spans="1:14" s="2" customFormat="1">
      <c r="A38530" s="83"/>
      <c r="H38530" s="83"/>
      <c r="K38530" s="82"/>
      <c r="M38530" s="112"/>
      <c r="N38530" s="84"/>
    </row>
    <row r="38531" spans="1:14" s="2" customFormat="1">
      <c r="A38531" s="83"/>
      <c r="H38531" s="83"/>
      <c r="K38531" s="82"/>
      <c r="M38531" s="112"/>
      <c r="N38531" s="84"/>
    </row>
    <row r="38532" spans="1:14" s="2" customFormat="1">
      <c r="A38532" s="83"/>
      <c r="H38532" s="83"/>
      <c r="K38532" s="82"/>
      <c r="M38532" s="112"/>
      <c r="N38532" s="84"/>
    </row>
    <row r="38533" spans="1:14" s="2" customFormat="1">
      <c r="A38533" s="83"/>
      <c r="H38533" s="83"/>
      <c r="K38533" s="82"/>
      <c r="M38533" s="112"/>
      <c r="N38533" s="84"/>
    </row>
    <row r="38534" spans="1:14" s="2" customFormat="1">
      <c r="A38534" s="83"/>
      <c r="H38534" s="83"/>
      <c r="K38534" s="82"/>
      <c r="M38534" s="112"/>
      <c r="N38534" s="84"/>
    </row>
    <row r="38535" spans="1:14" s="2" customFormat="1">
      <c r="A38535" s="83"/>
      <c r="H38535" s="83"/>
      <c r="K38535" s="82"/>
      <c r="M38535" s="112"/>
      <c r="N38535" s="84"/>
    </row>
    <row r="38536" spans="1:14" s="2" customFormat="1">
      <c r="A38536" s="83"/>
      <c r="H38536" s="83"/>
      <c r="K38536" s="82"/>
      <c r="M38536" s="112"/>
      <c r="N38536" s="84"/>
    </row>
    <row r="38537" spans="1:14" s="2" customFormat="1">
      <c r="A38537" s="83"/>
      <c r="H38537" s="83"/>
      <c r="K38537" s="82"/>
      <c r="M38537" s="112"/>
      <c r="N38537" s="84"/>
    </row>
    <row r="38538" spans="1:14" s="2" customFormat="1">
      <c r="A38538" s="83"/>
      <c r="H38538" s="83"/>
      <c r="K38538" s="82"/>
      <c r="M38538" s="112"/>
      <c r="N38538" s="84"/>
    </row>
    <row r="38539" spans="1:14" s="2" customFormat="1">
      <c r="A38539" s="83"/>
      <c r="H38539" s="83"/>
      <c r="K38539" s="82"/>
      <c r="M38539" s="112"/>
      <c r="N38539" s="84"/>
    </row>
    <row r="38540" spans="1:14" s="2" customFormat="1">
      <c r="A38540" s="83"/>
      <c r="H38540" s="83"/>
      <c r="K38540" s="82"/>
      <c r="M38540" s="112"/>
      <c r="N38540" s="84"/>
    </row>
    <row r="38541" spans="1:14" s="2" customFormat="1">
      <c r="A38541" s="83"/>
      <c r="H38541" s="83"/>
      <c r="K38541" s="82"/>
      <c r="M38541" s="112"/>
      <c r="N38541" s="84"/>
    </row>
    <row r="38542" spans="1:14" s="2" customFormat="1">
      <c r="A38542" s="83"/>
      <c r="H38542" s="83"/>
      <c r="K38542" s="82"/>
      <c r="M38542" s="112"/>
      <c r="N38542" s="84"/>
    </row>
    <row r="38543" spans="1:14" s="2" customFormat="1">
      <c r="A38543" s="83"/>
      <c r="H38543" s="83"/>
      <c r="K38543" s="82"/>
      <c r="M38543" s="112"/>
      <c r="N38543" s="84"/>
    </row>
    <row r="38544" spans="1:14" s="2" customFormat="1">
      <c r="A38544" s="83"/>
      <c r="H38544" s="83"/>
      <c r="K38544" s="82"/>
      <c r="M38544" s="112"/>
      <c r="N38544" s="84"/>
    </row>
    <row r="38545" spans="1:14" s="2" customFormat="1">
      <c r="A38545" s="83"/>
      <c r="H38545" s="83"/>
      <c r="K38545" s="82"/>
      <c r="M38545" s="112"/>
      <c r="N38545" s="84"/>
    </row>
    <row r="38546" spans="1:14" s="2" customFormat="1">
      <c r="A38546" s="83"/>
      <c r="H38546" s="83"/>
      <c r="K38546" s="82"/>
      <c r="M38546" s="112"/>
      <c r="N38546" s="84"/>
    </row>
    <row r="38547" spans="1:14" s="2" customFormat="1">
      <c r="A38547" s="83"/>
      <c r="H38547" s="83"/>
      <c r="K38547" s="82"/>
      <c r="M38547" s="112"/>
      <c r="N38547" s="84"/>
    </row>
    <row r="38548" spans="1:14" s="2" customFormat="1">
      <c r="A38548" s="83"/>
      <c r="H38548" s="83"/>
      <c r="K38548" s="82"/>
      <c r="M38548" s="112"/>
      <c r="N38548" s="84"/>
    </row>
    <row r="38549" spans="1:14" s="2" customFormat="1">
      <c r="A38549" s="83"/>
      <c r="H38549" s="83"/>
      <c r="K38549" s="82"/>
      <c r="M38549" s="112"/>
      <c r="N38549" s="84"/>
    </row>
    <row r="38550" spans="1:14" s="2" customFormat="1">
      <c r="A38550" s="83"/>
      <c r="H38550" s="83"/>
      <c r="K38550" s="82"/>
      <c r="M38550" s="112"/>
      <c r="N38550" s="84"/>
    </row>
    <row r="38551" spans="1:14" s="2" customFormat="1">
      <c r="A38551" s="83"/>
      <c r="H38551" s="83"/>
      <c r="K38551" s="82"/>
      <c r="M38551" s="112"/>
      <c r="N38551" s="84"/>
    </row>
    <row r="38552" spans="1:14" s="2" customFormat="1">
      <c r="A38552" s="83"/>
      <c r="H38552" s="83"/>
      <c r="K38552" s="82"/>
      <c r="M38552" s="112"/>
      <c r="N38552" s="84"/>
    </row>
    <row r="38553" spans="1:14" s="2" customFormat="1">
      <c r="A38553" s="83"/>
      <c r="H38553" s="83"/>
      <c r="K38553" s="82"/>
      <c r="M38553" s="112"/>
      <c r="N38553" s="84"/>
    </row>
    <row r="38554" spans="1:14" s="2" customFormat="1">
      <c r="A38554" s="83"/>
      <c r="H38554" s="83"/>
      <c r="K38554" s="82"/>
      <c r="M38554" s="112"/>
      <c r="N38554" s="84"/>
    </row>
    <row r="38555" spans="1:14" s="2" customFormat="1">
      <c r="A38555" s="83"/>
      <c r="H38555" s="83"/>
      <c r="K38555" s="82"/>
      <c r="M38555" s="112"/>
      <c r="N38555" s="84"/>
    </row>
    <row r="38556" spans="1:14" s="2" customFormat="1">
      <c r="A38556" s="83"/>
      <c r="H38556" s="83"/>
      <c r="K38556" s="82"/>
      <c r="M38556" s="112"/>
      <c r="N38556" s="84"/>
    </row>
    <row r="38557" spans="1:14" s="2" customFormat="1">
      <c r="A38557" s="83"/>
      <c r="H38557" s="83"/>
      <c r="K38557" s="82"/>
      <c r="M38557" s="112"/>
      <c r="N38557" s="84"/>
    </row>
    <row r="38558" spans="1:14" s="2" customFormat="1">
      <c r="A38558" s="83"/>
      <c r="H38558" s="83"/>
      <c r="K38558" s="82"/>
      <c r="M38558" s="112"/>
      <c r="N38558" s="84"/>
    </row>
    <row r="38559" spans="1:14" s="2" customFormat="1">
      <c r="A38559" s="83"/>
      <c r="H38559" s="83"/>
      <c r="K38559" s="82"/>
      <c r="M38559" s="112"/>
      <c r="N38559" s="84"/>
    </row>
    <row r="38560" spans="1:14" s="2" customFormat="1">
      <c r="A38560" s="83"/>
      <c r="H38560" s="83"/>
      <c r="K38560" s="82"/>
      <c r="M38560" s="112"/>
      <c r="N38560" s="84"/>
    </row>
    <row r="38561" spans="1:14" s="2" customFormat="1">
      <c r="A38561" s="83"/>
      <c r="H38561" s="83"/>
      <c r="K38561" s="82"/>
      <c r="M38561" s="112"/>
      <c r="N38561" s="84"/>
    </row>
    <row r="38562" spans="1:14" s="2" customFormat="1">
      <c r="A38562" s="83"/>
      <c r="H38562" s="83"/>
      <c r="K38562" s="82"/>
      <c r="M38562" s="112"/>
      <c r="N38562" s="84"/>
    </row>
    <row r="38563" spans="1:14" s="2" customFormat="1">
      <c r="A38563" s="83"/>
      <c r="H38563" s="83"/>
      <c r="K38563" s="82"/>
      <c r="M38563" s="112"/>
      <c r="N38563" s="84"/>
    </row>
    <row r="38564" spans="1:14" s="2" customFormat="1">
      <c r="A38564" s="83"/>
      <c r="H38564" s="83"/>
      <c r="K38564" s="82"/>
      <c r="M38564" s="112"/>
      <c r="N38564" s="84"/>
    </row>
    <row r="38565" spans="1:14" s="2" customFormat="1">
      <c r="A38565" s="83"/>
      <c r="H38565" s="83"/>
      <c r="K38565" s="82"/>
      <c r="M38565" s="112"/>
      <c r="N38565" s="84"/>
    </row>
    <row r="38566" spans="1:14" s="2" customFormat="1">
      <c r="A38566" s="83"/>
      <c r="H38566" s="83"/>
      <c r="K38566" s="82"/>
      <c r="M38566" s="112"/>
      <c r="N38566" s="84"/>
    </row>
    <row r="38567" spans="1:14" s="2" customFormat="1">
      <c r="A38567" s="83"/>
      <c r="H38567" s="83"/>
      <c r="K38567" s="82"/>
      <c r="M38567" s="112"/>
      <c r="N38567" s="84"/>
    </row>
    <row r="38568" spans="1:14" s="2" customFormat="1">
      <c r="A38568" s="83"/>
      <c r="H38568" s="83"/>
      <c r="K38568" s="82"/>
      <c r="M38568" s="112"/>
      <c r="N38568" s="84"/>
    </row>
    <row r="38569" spans="1:14" s="2" customFormat="1">
      <c r="A38569" s="83"/>
      <c r="H38569" s="83"/>
      <c r="K38569" s="82"/>
      <c r="M38569" s="112"/>
      <c r="N38569" s="84"/>
    </row>
    <row r="38570" spans="1:14" s="2" customFormat="1">
      <c r="A38570" s="83"/>
      <c r="H38570" s="83"/>
      <c r="K38570" s="82"/>
      <c r="M38570" s="112"/>
      <c r="N38570" s="84"/>
    </row>
    <row r="38571" spans="1:14" s="2" customFormat="1">
      <c r="A38571" s="83"/>
      <c r="H38571" s="83"/>
      <c r="K38571" s="82"/>
      <c r="M38571" s="112"/>
      <c r="N38571" s="84"/>
    </row>
    <row r="38572" spans="1:14" s="2" customFormat="1">
      <c r="A38572" s="83"/>
      <c r="H38572" s="83"/>
      <c r="K38572" s="82"/>
      <c r="M38572" s="112"/>
      <c r="N38572" s="84"/>
    </row>
    <row r="38573" spans="1:14" s="2" customFormat="1">
      <c r="A38573" s="83"/>
      <c r="H38573" s="83"/>
      <c r="K38573" s="82"/>
      <c r="M38573" s="112"/>
      <c r="N38573" s="84"/>
    </row>
    <row r="38574" spans="1:14" s="2" customFormat="1">
      <c r="A38574" s="83"/>
      <c r="H38574" s="83"/>
      <c r="K38574" s="82"/>
      <c r="M38574" s="112"/>
      <c r="N38574" s="84"/>
    </row>
    <row r="38575" spans="1:14" s="2" customFormat="1">
      <c r="A38575" s="83"/>
      <c r="H38575" s="83"/>
      <c r="K38575" s="82"/>
      <c r="M38575" s="112"/>
      <c r="N38575" s="84"/>
    </row>
    <row r="38576" spans="1:14" s="2" customFormat="1">
      <c r="A38576" s="83"/>
      <c r="H38576" s="83"/>
      <c r="K38576" s="82"/>
      <c r="M38576" s="112"/>
      <c r="N38576" s="84"/>
    </row>
    <row r="38577" spans="1:14" s="2" customFormat="1">
      <c r="A38577" s="83"/>
      <c r="H38577" s="83"/>
      <c r="K38577" s="82"/>
      <c r="M38577" s="112"/>
      <c r="N38577" s="84"/>
    </row>
    <row r="38578" spans="1:14" s="2" customFormat="1">
      <c r="A38578" s="83"/>
      <c r="H38578" s="83"/>
      <c r="K38578" s="82"/>
      <c r="M38578" s="112"/>
      <c r="N38578" s="84"/>
    </row>
    <row r="38579" spans="1:14" s="2" customFormat="1">
      <c r="A38579" s="83"/>
      <c r="H38579" s="83"/>
      <c r="K38579" s="82"/>
      <c r="M38579" s="112"/>
      <c r="N38579" s="84"/>
    </row>
    <row r="38580" spans="1:14" s="2" customFormat="1">
      <c r="A38580" s="83"/>
      <c r="H38580" s="83"/>
      <c r="K38580" s="82"/>
      <c r="M38580" s="112"/>
      <c r="N38580" s="84"/>
    </row>
    <row r="38581" spans="1:14" s="2" customFormat="1">
      <c r="A38581" s="83"/>
      <c r="H38581" s="83"/>
      <c r="K38581" s="82"/>
      <c r="M38581" s="112"/>
      <c r="N38581" s="84"/>
    </row>
    <row r="38582" spans="1:14" s="2" customFormat="1">
      <c r="A38582" s="83"/>
      <c r="H38582" s="83"/>
      <c r="K38582" s="82"/>
      <c r="M38582" s="112"/>
      <c r="N38582" s="84"/>
    </row>
    <row r="38583" spans="1:14" s="2" customFormat="1">
      <c r="A38583" s="83"/>
      <c r="H38583" s="83"/>
      <c r="K38583" s="82"/>
      <c r="M38583" s="112"/>
      <c r="N38583" s="84"/>
    </row>
    <row r="38584" spans="1:14" s="2" customFormat="1">
      <c r="A38584" s="83"/>
      <c r="H38584" s="83"/>
      <c r="K38584" s="82"/>
      <c r="M38584" s="112"/>
      <c r="N38584" s="84"/>
    </row>
    <row r="38585" spans="1:14" s="2" customFormat="1">
      <c r="A38585" s="83"/>
      <c r="H38585" s="83"/>
      <c r="K38585" s="82"/>
      <c r="M38585" s="112"/>
      <c r="N38585" s="84"/>
    </row>
    <row r="38586" spans="1:14" s="2" customFormat="1">
      <c r="A38586" s="83"/>
      <c r="H38586" s="83"/>
      <c r="K38586" s="82"/>
      <c r="M38586" s="112"/>
      <c r="N38586" s="84"/>
    </row>
    <row r="38587" spans="1:14" s="2" customFormat="1">
      <c r="A38587" s="83"/>
      <c r="H38587" s="83"/>
      <c r="K38587" s="82"/>
      <c r="M38587" s="112"/>
      <c r="N38587" s="84"/>
    </row>
    <row r="38588" spans="1:14" s="2" customFormat="1">
      <c r="A38588" s="83"/>
      <c r="H38588" s="83"/>
      <c r="K38588" s="82"/>
      <c r="M38588" s="112"/>
      <c r="N38588" s="84"/>
    </row>
    <row r="38589" spans="1:14" s="2" customFormat="1">
      <c r="A38589" s="83"/>
      <c r="H38589" s="83"/>
      <c r="K38589" s="82"/>
      <c r="M38589" s="112"/>
      <c r="N38589" s="84"/>
    </row>
    <row r="38590" spans="1:14" s="2" customFormat="1">
      <c r="A38590" s="83"/>
      <c r="H38590" s="83"/>
      <c r="K38590" s="82"/>
      <c r="M38590" s="112"/>
      <c r="N38590" s="84"/>
    </row>
    <row r="38591" spans="1:14" s="2" customFormat="1">
      <c r="A38591" s="83"/>
      <c r="H38591" s="83"/>
      <c r="K38591" s="82"/>
      <c r="M38591" s="112"/>
      <c r="N38591" s="84"/>
    </row>
    <row r="38592" spans="1:14" s="2" customFormat="1">
      <c r="A38592" s="83"/>
      <c r="H38592" s="83"/>
      <c r="K38592" s="82"/>
      <c r="M38592" s="112"/>
      <c r="N38592" s="84"/>
    </row>
    <row r="38593" spans="1:14" s="2" customFormat="1">
      <c r="A38593" s="83"/>
      <c r="H38593" s="83"/>
      <c r="K38593" s="82"/>
      <c r="M38593" s="112"/>
      <c r="N38593" s="84"/>
    </row>
    <row r="38594" spans="1:14" s="2" customFormat="1">
      <c r="A38594" s="83"/>
      <c r="H38594" s="83"/>
      <c r="K38594" s="82"/>
      <c r="M38594" s="112"/>
      <c r="N38594" s="84"/>
    </row>
    <row r="38595" spans="1:14" s="2" customFormat="1">
      <c r="A38595" s="83"/>
      <c r="H38595" s="83"/>
      <c r="K38595" s="82"/>
      <c r="M38595" s="112"/>
      <c r="N38595" s="84"/>
    </row>
    <row r="38596" spans="1:14" s="2" customFormat="1">
      <c r="A38596" s="83"/>
      <c r="H38596" s="83"/>
      <c r="K38596" s="82"/>
      <c r="M38596" s="112"/>
      <c r="N38596" s="84"/>
    </row>
    <row r="38597" spans="1:14" s="2" customFormat="1">
      <c r="A38597" s="83"/>
      <c r="H38597" s="83"/>
      <c r="K38597" s="82"/>
      <c r="M38597" s="112"/>
      <c r="N38597" s="84"/>
    </row>
    <row r="38598" spans="1:14" s="2" customFormat="1">
      <c r="A38598" s="83"/>
      <c r="H38598" s="83"/>
      <c r="K38598" s="82"/>
      <c r="M38598" s="112"/>
      <c r="N38598" s="84"/>
    </row>
    <row r="38599" spans="1:14" s="2" customFormat="1">
      <c r="A38599" s="83"/>
      <c r="H38599" s="83"/>
      <c r="K38599" s="82"/>
      <c r="M38599" s="112"/>
      <c r="N38599" s="84"/>
    </row>
    <row r="38600" spans="1:14" s="2" customFormat="1">
      <c r="A38600" s="83"/>
      <c r="H38600" s="83"/>
      <c r="K38600" s="82"/>
      <c r="M38600" s="112"/>
      <c r="N38600" s="84"/>
    </row>
    <row r="38601" spans="1:14" s="2" customFormat="1">
      <c r="A38601" s="83"/>
      <c r="H38601" s="83"/>
      <c r="K38601" s="82"/>
      <c r="M38601" s="112"/>
      <c r="N38601" s="84"/>
    </row>
    <row r="38602" spans="1:14" s="2" customFormat="1">
      <c r="A38602" s="83"/>
      <c r="H38602" s="83"/>
      <c r="K38602" s="82"/>
      <c r="M38602" s="112"/>
      <c r="N38602" s="84"/>
    </row>
    <row r="38603" spans="1:14" s="2" customFormat="1">
      <c r="A38603" s="83"/>
      <c r="H38603" s="83"/>
      <c r="K38603" s="82"/>
      <c r="M38603" s="112"/>
      <c r="N38603" s="84"/>
    </row>
    <row r="38604" spans="1:14" s="2" customFormat="1">
      <c r="A38604" s="83"/>
      <c r="H38604" s="83"/>
      <c r="K38604" s="82"/>
      <c r="M38604" s="112"/>
      <c r="N38604" s="84"/>
    </row>
    <row r="38605" spans="1:14" s="2" customFormat="1">
      <c r="A38605" s="83"/>
      <c r="H38605" s="83"/>
      <c r="K38605" s="82"/>
      <c r="M38605" s="112"/>
      <c r="N38605" s="84"/>
    </row>
    <row r="38606" spans="1:14" s="2" customFormat="1">
      <c r="A38606" s="83"/>
      <c r="H38606" s="83"/>
      <c r="K38606" s="82"/>
      <c r="M38606" s="112"/>
      <c r="N38606" s="84"/>
    </row>
    <row r="38607" spans="1:14" s="2" customFormat="1">
      <c r="A38607" s="83"/>
      <c r="H38607" s="83"/>
      <c r="K38607" s="82"/>
      <c r="M38607" s="112"/>
      <c r="N38607" s="84"/>
    </row>
    <row r="38608" spans="1:14" s="2" customFormat="1">
      <c r="A38608" s="83"/>
      <c r="H38608" s="83"/>
      <c r="K38608" s="82"/>
      <c r="M38608" s="112"/>
      <c r="N38608" s="84"/>
    </row>
    <row r="38609" spans="1:14" s="2" customFormat="1">
      <c r="A38609" s="83"/>
      <c r="H38609" s="83"/>
      <c r="K38609" s="82"/>
      <c r="M38609" s="112"/>
      <c r="N38609" s="84"/>
    </row>
    <row r="38610" spans="1:14" s="2" customFormat="1">
      <c r="A38610" s="83"/>
      <c r="H38610" s="83"/>
      <c r="K38610" s="82"/>
      <c r="M38610" s="112"/>
      <c r="N38610" s="84"/>
    </row>
    <row r="38611" spans="1:14" s="2" customFormat="1">
      <c r="A38611" s="83"/>
      <c r="H38611" s="83"/>
      <c r="K38611" s="82"/>
      <c r="M38611" s="112"/>
      <c r="N38611" s="84"/>
    </row>
    <row r="38612" spans="1:14" s="2" customFormat="1">
      <c r="A38612" s="83"/>
      <c r="H38612" s="83"/>
      <c r="K38612" s="82"/>
      <c r="M38612" s="112"/>
      <c r="N38612" s="84"/>
    </row>
    <row r="38613" spans="1:14" s="2" customFormat="1">
      <c r="A38613" s="83"/>
      <c r="H38613" s="83"/>
      <c r="K38613" s="82"/>
      <c r="M38613" s="112"/>
      <c r="N38613" s="84"/>
    </row>
    <row r="38614" spans="1:14" s="2" customFormat="1">
      <c r="A38614" s="83"/>
      <c r="H38614" s="83"/>
      <c r="K38614" s="82"/>
      <c r="M38614" s="112"/>
      <c r="N38614" s="84"/>
    </row>
    <row r="38615" spans="1:14" s="2" customFormat="1">
      <c r="A38615" s="83"/>
      <c r="H38615" s="83"/>
      <c r="K38615" s="82"/>
      <c r="M38615" s="112"/>
      <c r="N38615" s="84"/>
    </row>
    <row r="38616" spans="1:14" s="2" customFormat="1">
      <c r="A38616" s="83"/>
      <c r="H38616" s="83"/>
      <c r="K38616" s="82"/>
      <c r="M38616" s="112"/>
      <c r="N38616" s="84"/>
    </row>
    <row r="38617" spans="1:14" s="2" customFormat="1">
      <c r="A38617" s="83"/>
      <c r="H38617" s="83"/>
      <c r="K38617" s="82"/>
      <c r="M38617" s="112"/>
      <c r="N38617" s="84"/>
    </row>
    <row r="38618" spans="1:14" s="2" customFormat="1">
      <c r="A38618" s="83"/>
      <c r="H38618" s="83"/>
      <c r="K38618" s="82"/>
      <c r="M38618" s="112"/>
      <c r="N38618" s="84"/>
    </row>
    <row r="38619" spans="1:14" s="2" customFormat="1">
      <c r="A38619" s="83"/>
      <c r="H38619" s="83"/>
      <c r="K38619" s="82"/>
      <c r="M38619" s="112"/>
      <c r="N38619" s="84"/>
    </row>
    <row r="38620" spans="1:14" s="2" customFormat="1">
      <c r="A38620" s="83"/>
      <c r="H38620" s="83"/>
      <c r="K38620" s="82"/>
      <c r="M38620" s="112"/>
      <c r="N38620" s="84"/>
    </row>
    <row r="38621" spans="1:14" s="2" customFormat="1">
      <c r="A38621" s="83"/>
      <c r="H38621" s="83"/>
      <c r="K38621" s="82"/>
      <c r="M38621" s="112"/>
      <c r="N38621" s="84"/>
    </row>
    <row r="38622" spans="1:14" s="2" customFormat="1">
      <c r="A38622" s="83"/>
      <c r="H38622" s="83"/>
      <c r="K38622" s="82"/>
      <c r="M38622" s="112"/>
      <c r="N38622" s="84"/>
    </row>
    <row r="38623" spans="1:14" s="2" customFormat="1">
      <c r="A38623" s="83"/>
      <c r="H38623" s="83"/>
      <c r="K38623" s="82"/>
      <c r="M38623" s="112"/>
      <c r="N38623" s="84"/>
    </row>
    <row r="38624" spans="1:14" s="2" customFormat="1">
      <c r="A38624" s="83"/>
      <c r="H38624" s="83"/>
      <c r="K38624" s="82"/>
      <c r="M38624" s="112"/>
      <c r="N38624" s="84"/>
    </row>
    <row r="38625" spans="1:14" s="2" customFormat="1">
      <c r="A38625" s="83"/>
      <c r="H38625" s="83"/>
      <c r="K38625" s="82"/>
      <c r="M38625" s="112"/>
      <c r="N38625" s="84"/>
    </row>
    <row r="38626" spans="1:14" s="2" customFormat="1">
      <c r="A38626" s="83"/>
      <c r="H38626" s="83"/>
      <c r="K38626" s="82"/>
      <c r="M38626" s="112"/>
      <c r="N38626" s="84"/>
    </row>
    <row r="38627" spans="1:14" s="2" customFormat="1">
      <c r="A38627" s="83"/>
      <c r="H38627" s="83"/>
      <c r="K38627" s="82"/>
      <c r="M38627" s="112"/>
      <c r="N38627" s="84"/>
    </row>
    <row r="38628" spans="1:14" s="2" customFormat="1">
      <c r="A38628" s="83"/>
      <c r="H38628" s="83"/>
      <c r="K38628" s="82"/>
      <c r="M38628" s="112"/>
      <c r="N38628" s="84"/>
    </row>
    <row r="38629" spans="1:14" s="2" customFormat="1">
      <c r="A38629" s="83"/>
      <c r="H38629" s="83"/>
      <c r="K38629" s="82"/>
      <c r="M38629" s="112"/>
      <c r="N38629" s="84"/>
    </row>
    <row r="38630" spans="1:14" s="2" customFormat="1">
      <c r="A38630" s="83"/>
      <c r="H38630" s="83"/>
      <c r="K38630" s="82"/>
      <c r="M38630" s="112"/>
      <c r="N38630" s="84"/>
    </row>
    <row r="38631" spans="1:14" s="2" customFormat="1">
      <c r="A38631" s="83"/>
      <c r="H38631" s="83"/>
      <c r="K38631" s="82"/>
      <c r="M38631" s="112"/>
      <c r="N38631" s="84"/>
    </row>
    <row r="38632" spans="1:14" s="2" customFormat="1">
      <c r="A38632" s="83"/>
      <c r="H38632" s="83"/>
      <c r="K38632" s="82"/>
      <c r="M38632" s="112"/>
      <c r="N38632" s="84"/>
    </row>
    <row r="38633" spans="1:14" s="2" customFormat="1">
      <c r="A38633" s="83"/>
      <c r="H38633" s="83"/>
      <c r="K38633" s="82"/>
      <c r="M38633" s="112"/>
      <c r="N38633" s="84"/>
    </row>
    <row r="38634" spans="1:14" s="2" customFormat="1">
      <c r="A38634" s="83"/>
      <c r="H38634" s="83"/>
      <c r="K38634" s="82"/>
      <c r="M38634" s="112"/>
      <c r="N38634" s="84"/>
    </row>
    <row r="38635" spans="1:14" s="2" customFormat="1">
      <c r="A38635" s="83"/>
      <c r="H38635" s="83"/>
      <c r="K38635" s="82"/>
      <c r="M38635" s="112"/>
      <c r="N38635" s="84"/>
    </row>
    <row r="38636" spans="1:14" s="2" customFormat="1">
      <c r="A38636" s="83"/>
      <c r="H38636" s="83"/>
      <c r="K38636" s="82"/>
      <c r="M38636" s="112"/>
      <c r="N38636" s="84"/>
    </row>
    <row r="38637" spans="1:14" s="2" customFormat="1">
      <c r="A38637" s="83"/>
      <c r="H38637" s="83"/>
      <c r="K38637" s="82"/>
      <c r="M38637" s="112"/>
      <c r="N38637" s="84"/>
    </row>
    <row r="38638" spans="1:14" s="2" customFormat="1">
      <c r="A38638" s="83"/>
      <c r="H38638" s="83"/>
      <c r="K38638" s="82"/>
      <c r="M38638" s="112"/>
      <c r="N38638" s="84"/>
    </row>
    <row r="38639" spans="1:14" s="2" customFormat="1">
      <c r="A38639" s="83"/>
      <c r="H38639" s="83"/>
      <c r="K38639" s="82"/>
      <c r="M38639" s="112"/>
      <c r="N38639" s="84"/>
    </row>
    <row r="38640" spans="1:14" s="2" customFormat="1">
      <c r="A38640" s="83"/>
      <c r="H38640" s="83"/>
      <c r="K38640" s="82"/>
      <c r="M38640" s="112"/>
      <c r="N38640" s="84"/>
    </row>
    <row r="38641" spans="1:14" s="2" customFormat="1">
      <c r="A38641" s="83"/>
      <c r="H38641" s="83"/>
      <c r="K38641" s="82"/>
      <c r="M38641" s="112"/>
      <c r="N38641" s="84"/>
    </row>
    <row r="38642" spans="1:14" s="2" customFormat="1">
      <c r="A38642" s="83"/>
      <c r="H38642" s="83"/>
      <c r="K38642" s="82"/>
      <c r="M38642" s="112"/>
      <c r="N38642" s="84"/>
    </row>
    <row r="38643" spans="1:14" s="2" customFormat="1">
      <c r="A38643" s="83"/>
      <c r="H38643" s="83"/>
      <c r="K38643" s="82"/>
      <c r="M38643" s="112"/>
      <c r="N38643" s="84"/>
    </row>
    <row r="38644" spans="1:14" s="2" customFormat="1">
      <c r="A38644" s="83"/>
      <c r="H38644" s="83"/>
      <c r="K38644" s="82"/>
      <c r="M38644" s="112"/>
      <c r="N38644" s="84"/>
    </row>
    <row r="38645" spans="1:14" s="2" customFormat="1">
      <c r="A38645" s="83"/>
      <c r="H38645" s="83"/>
      <c r="K38645" s="82"/>
      <c r="M38645" s="112"/>
      <c r="N38645" s="84"/>
    </row>
    <row r="38646" spans="1:14" s="2" customFormat="1">
      <c r="A38646" s="83"/>
      <c r="H38646" s="83"/>
      <c r="K38646" s="82"/>
      <c r="M38646" s="112"/>
      <c r="N38646" s="84"/>
    </row>
    <row r="38647" spans="1:14" s="2" customFormat="1">
      <c r="A38647" s="83"/>
      <c r="H38647" s="83"/>
      <c r="K38647" s="82"/>
      <c r="M38647" s="112"/>
      <c r="N38647" s="84"/>
    </row>
    <row r="38648" spans="1:14" s="2" customFormat="1">
      <c r="A38648" s="83"/>
      <c r="H38648" s="83"/>
      <c r="K38648" s="82"/>
      <c r="M38648" s="112"/>
      <c r="N38648" s="84"/>
    </row>
    <row r="38649" spans="1:14" s="2" customFormat="1">
      <c r="A38649" s="83"/>
      <c r="H38649" s="83"/>
      <c r="K38649" s="82"/>
      <c r="M38649" s="112"/>
      <c r="N38649" s="84"/>
    </row>
    <row r="38650" spans="1:14" s="2" customFormat="1">
      <c r="A38650" s="83"/>
      <c r="H38650" s="83"/>
      <c r="K38650" s="82"/>
      <c r="M38650" s="112"/>
      <c r="N38650" s="84"/>
    </row>
    <row r="38651" spans="1:14" s="2" customFormat="1">
      <c r="A38651" s="83"/>
      <c r="H38651" s="83"/>
      <c r="K38651" s="82"/>
      <c r="M38651" s="112"/>
      <c r="N38651" s="84"/>
    </row>
    <row r="38652" spans="1:14" s="2" customFormat="1">
      <c r="A38652" s="83"/>
      <c r="H38652" s="83"/>
      <c r="K38652" s="82"/>
      <c r="M38652" s="112"/>
      <c r="N38652" s="84"/>
    </row>
    <row r="38653" spans="1:14" s="2" customFormat="1">
      <c r="A38653" s="83"/>
      <c r="H38653" s="83"/>
      <c r="K38653" s="82"/>
      <c r="M38653" s="112"/>
      <c r="N38653" s="84"/>
    </row>
    <row r="38654" spans="1:14" s="2" customFormat="1">
      <c r="A38654" s="83"/>
      <c r="H38654" s="83"/>
      <c r="K38654" s="82"/>
      <c r="M38654" s="112"/>
      <c r="N38654" s="84"/>
    </row>
    <row r="38655" spans="1:14" s="2" customFormat="1">
      <c r="A38655" s="83"/>
      <c r="H38655" s="83"/>
      <c r="K38655" s="82"/>
      <c r="M38655" s="112"/>
      <c r="N38655" s="84"/>
    </row>
    <row r="38656" spans="1:14" s="2" customFormat="1">
      <c r="A38656" s="83"/>
      <c r="H38656" s="83"/>
      <c r="K38656" s="82"/>
      <c r="M38656" s="112"/>
      <c r="N38656" s="84"/>
    </row>
    <row r="38657" spans="1:14" s="2" customFormat="1">
      <c r="A38657" s="83"/>
      <c r="H38657" s="83"/>
      <c r="K38657" s="82"/>
      <c r="M38657" s="112"/>
      <c r="N38657" s="84"/>
    </row>
    <row r="38658" spans="1:14" s="2" customFormat="1">
      <c r="A38658" s="83"/>
      <c r="H38658" s="83"/>
      <c r="K38658" s="82"/>
      <c r="M38658" s="112"/>
      <c r="N38658" s="84"/>
    </row>
    <row r="38659" spans="1:14" s="2" customFormat="1">
      <c r="A38659" s="83"/>
      <c r="H38659" s="83"/>
      <c r="K38659" s="82"/>
      <c r="M38659" s="112"/>
      <c r="N38659" s="84"/>
    </row>
    <row r="38660" spans="1:14" s="2" customFormat="1">
      <c r="A38660" s="83"/>
      <c r="H38660" s="83"/>
      <c r="K38660" s="82"/>
      <c r="M38660" s="112"/>
      <c r="N38660" s="84"/>
    </row>
    <row r="38661" spans="1:14" s="2" customFormat="1">
      <c r="A38661" s="83"/>
      <c r="H38661" s="83"/>
      <c r="K38661" s="82"/>
      <c r="M38661" s="112"/>
      <c r="N38661" s="84"/>
    </row>
    <row r="38662" spans="1:14" s="2" customFormat="1">
      <c r="A38662" s="83"/>
      <c r="H38662" s="83"/>
      <c r="K38662" s="82"/>
      <c r="M38662" s="112"/>
      <c r="N38662" s="84"/>
    </row>
    <row r="38663" spans="1:14" s="2" customFormat="1">
      <c r="A38663" s="83"/>
      <c r="H38663" s="83"/>
      <c r="K38663" s="82"/>
      <c r="M38663" s="112"/>
      <c r="N38663" s="84"/>
    </row>
    <row r="38664" spans="1:14" s="2" customFormat="1">
      <c r="A38664" s="83"/>
      <c r="H38664" s="83"/>
      <c r="K38664" s="82"/>
      <c r="M38664" s="112"/>
      <c r="N38664" s="84"/>
    </row>
    <row r="38665" spans="1:14" s="2" customFormat="1">
      <c r="A38665" s="83"/>
      <c r="H38665" s="83"/>
      <c r="K38665" s="82"/>
      <c r="M38665" s="112"/>
      <c r="N38665" s="84"/>
    </row>
    <row r="38666" spans="1:14" s="2" customFormat="1">
      <c r="A38666" s="83"/>
      <c r="H38666" s="83"/>
      <c r="K38666" s="82"/>
      <c r="M38666" s="112"/>
      <c r="N38666" s="84"/>
    </row>
    <row r="38667" spans="1:14" s="2" customFormat="1">
      <c r="A38667" s="83"/>
      <c r="H38667" s="83"/>
      <c r="K38667" s="82"/>
      <c r="M38667" s="112"/>
      <c r="N38667" s="84"/>
    </row>
    <row r="38668" spans="1:14" s="2" customFormat="1">
      <c r="A38668" s="83"/>
      <c r="H38668" s="83"/>
      <c r="K38668" s="82"/>
      <c r="M38668" s="112"/>
      <c r="N38668" s="84"/>
    </row>
    <row r="38669" spans="1:14" s="2" customFormat="1">
      <c r="A38669" s="83"/>
      <c r="H38669" s="83"/>
      <c r="K38669" s="82"/>
      <c r="M38669" s="112"/>
      <c r="N38669" s="84"/>
    </row>
    <row r="38670" spans="1:14" s="2" customFormat="1">
      <c r="A38670" s="83"/>
      <c r="H38670" s="83"/>
      <c r="K38670" s="82"/>
      <c r="M38670" s="112"/>
      <c r="N38670" s="84"/>
    </row>
    <row r="38671" spans="1:14" s="2" customFormat="1">
      <c r="A38671" s="83"/>
      <c r="H38671" s="83"/>
      <c r="K38671" s="82"/>
      <c r="M38671" s="112"/>
      <c r="N38671" s="84"/>
    </row>
    <row r="38672" spans="1:14" s="2" customFormat="1">
      <c r="A38672" s="83"/>
      <c r="H38672" s="83"/>
      <c r="K38672" s="82"/>
      <c r="M38672" s="112"/>
      <c r="N38672" s="84"/>
    </row>
    <row r="38673" spans="1:14" s="2" customFormat="1">
      <c r="A38673" s="83"/>
      <c r="H38673" s="83"/>
      <c r="K38673" s="82"/>
      <c r="M38673" s="112"/>
      <c r="N38673" s="84"/>
    </row>
    <row r="38674" spans="1:14" s="2" customFormat="1">
      <c r="A38674" s="83"/>
      <c r="H38674" s="83"/>
      <c r="K38674" s="82"/>
      <c r="M38674" s="112"/>
      <c r="N38674" s="84"/>
    </row>
    <row r="38675" spans="1:14" s="2" customFormat="1">
      <c r="A38675" s="83"/>
      <c r="H38675" s="83"/>
      <c r="K38675" s="82"/>
      <c r="M38675" s="112"/>
      <c r="N38675" s="84"/>
    </row>
    <row r="38676" spans="1:14" s="2" customFormat="1">
      <c r="A38676" s="83"/>
      <c r="H38676" s="83"/>
      <c r="K38676" s="82"/>
      <c r="M38676" s="112"/>
      <c r="N38676" s="84"/>
    </row>
    <row r="38677" spans="1:14" s="2" customFormat="1">
      <c r="A38677" s="83"/>
      <c r="H38677" s="83"/>
      <c r="K38677" s="82"/>
      <c r="M38677" s="112"/>
      <c r="N38677" s="84"/>
    </row>
    <row r="38678" spans="1:14" s="2" customFormat="1">
      <c r="A38678" s="83"/>
      <c r="H38678" s="83"/>
      <c r="K38678" s="82"/>
      <c r="M38678" s="112"/>
      <c r="N38678" s="84"/>
    </row>
    <row r="38679" spans="1:14" s="2" customFormat="1">
      <c r="A38679" s="83"/>
      <c r="H38679" s="83"/>
      <c r="K38679" s="82"/>
      <c r="M38679" s="112"/>
      <c r="N38679" s="84"/>
    </row>
    <row r="38680" spans="1:14" s="2" customFormat="1">
      <c r="A38680" s="83"/>
      <c r="H38680" s="83"/>
      <c r="K38680" s="82"/>
      <c r="M38680" s="112"/>
      <c r="N38680" s="84"/>
    </row>
    <row r="38681" spans="1:14" s="2" customFormat="1">
      <c r="A38681" s="83"/>
      <c r="H38681" s="83"/>
      <c r="K38681" s="82"/>
      <c r="M38681" s="112"/>
      <c r="N38681" s="84"/>
    </row>
    <row r="38682" spans="1:14" s="2" customFormat="1">
      <c r="A38682" s="83"/>
      <c r="H38682" s="83"/>
      <c r="K38682" s="82"/>
      <c r="M38682" s="112"/>
      <c r="N38682" s="84"/>
    </row>
    <row r="38683" spans="1:14" s="2" customFormat="1">
      <c r="A38683" s="83"/>
      <c r="H38683" s="83"/>
      <c r="K38683" s="82"/>
      <c r="M38683" s="112"/>
      <c r="N38683" s="84"/>
    </row>
    <row r="38684" spans="1:14" s="2" customFormat="1">
      <c r="A38684" s="83"/>
      <c r="H38684" s="83"/>
      <c r="K38684" s="82"/>
      <c r="M38684" s="112"/>
      <c r="N38684" s="84"/>
    </row>
    <row r="38685" spans="1:14" s="2" customFormat="1">
      <c r="A38685" s="83"/>
      <c r="H38685" s="83"/>
      <c r="K38685" s="82"/>
      <c r="M38685" s="112"/>
      <c r="N38685" s="84"/>
    </row>
    <row r="38686" spans="1:14" s="2" customFormat="1">
      <c r="A38686" s="83"/>
      <c r="H38686" s="83"/>
      <c r="K38686" s="82"/>
      <c r="M38686" s="112"/>
      <c r="N38686" s="84"/>
    </row>
    <row r="38687" spans="1:14" s="2" customFormat="1">
      <c r="A38687" s="83"/>
      <c r="H38687" s="83"/>
      <c r="K38687" s="82"/>
      <c r="M38687" s="112"/>
      <c r="N38687" s="84"/>
    </row>
    <row r="38688" spans="1:14" s="2" customFormat="1">
      <c r="A38688" s="83"/>
      <c r="H38688" s="83"/>
      <c r="K38688" s="82"/>
      <c r="M38688" s="112"/>
      <c r="N38688" s="84"/>
    </row>
    <row r="38689" spans="1:14" s="2" customFormat="1">
      <c r="A38689" s="83"/>
      <c r="H38689" s="83"/>
      <c r="K38689" s="82"/>
      <c r="M38689" s="112"/>
      <c r="N38689" s="84"/>
    </row>
    <row r="38690" spans="1:14" s="2" customFormat="1">
      <c r="A38690" s="83"/>
      <c r="H38690" s="83"/>
      <c r="K38690" s="82"/>
      <c r="M38690" s="112"/>
      <c r="N38690" s="84"/>
    </row>
    <row r="38691" spans="1:14" s="2" customFormat="1">
      <c r="A38691" s="83"/>
      <c r="H38691" s="83"/>
      <c r="K38691" s="82"/>
      <c r="M38691" s="112"/>
      <c r="N38691" s="84"/>
    </row>
    <row r="38692" spans="1:14" s="2" customFormat="1">
      <c r="A38692" s="83"/>
      <c r="H38692" s="83"/>
      <c r="K38692" s="82"/>
      <c r="M38692" s="112"/>
      <c r="N38692" s="84"/>
    </row>
    <row r="38693" spans="1:14" s="2" customFormat="1">
      <c r="A38693" s="83"/>
      <c r="H38693" s="83"/>
      <c r="K38693" s="82"/>
      <c r="M38693" s="112"/>
      <c r="N38693" s="84"/>
    </row>
    <row r="38694" spans="1:14" s="2" customFormat="1">
      <c r="A38694" s="83"/>
      <c r="H38694" s="83"/>
      <c r="K38694" s="82"/>
      <c r="M38694" s="112"/>
      <c r="N38694" s="84"/>
    </row>
    <row r="38695" spans="1:14" s="2" customFormat="1">
      <c r="A38695" s="83"/>
      <c r="H38695" s="83"/>
      <c r="K38695" s="82"/>
      <c r="M38695" s="112"/>
      <c r="N38695" s="84"/>
    </row>
    <row r="38696" spans="1:14" s="2" customFormat="1">
      <c r="A38696" s="83"/>
      <c r="H38696" s="83"/>
      <c r="K38696" s="82"/>
      <c r="M38696" s="112"/>
      <c r="N38696" s="84"/>
    </row>
    <row r="38697" spans="1:14" s="2" customFormat="1">
      <c r="A38697" s="83"/>
      <c r="H38697" s="83"/>
      <c r="K38697" s="82"/>
      <c r="M38697" s="112"/>
      <c r="N38697" s="84"/>
    </row>
    <row r="38698" spans="1:14" s="2" customFormat="1">
      <c r="A38698" s="83"/>
      <c r="H38698" s="83"/>
      <c r="K38698" s="82"/>
      <c r="M38698" s="112"/>
      <c r="N38698" s="84"/>
    </row>
    <row r="38699" spans="1:14" s="2" customFormat="1">
      <c r="A38699" s="83"/>
      <c r="H38699" s="83"/>
      <c r="K38699" s="82"/>
      <c r="M38699" s="112"/>
      <c r="N38699" s="84"/>
    </row>
    <row r="38700" spans="1:14" s="2" customFormat="1">
      <c r="A38700" s="83"/>
      <c r="H38700" s="83"/>
      <c r="K38700" s="82"/>
      <c r="M38700" s="112"/>
      <c r="N38700" s="84"/>
    </row>
    <row r="38701" spans="1:14" s="2" customFormat="1">
      <c r="A38701" s="83"/>
      <c r="H38701" s="83"/>
      <c r="K38701" s="82"/>
      <c r="M38701" s="112"/>
      <c r="N38701" s="84"/>
    </row>
    <row r="38702" spans="1:14" s="2" customFormat="1">
      <c r="A38702" s="83"/>
      <c r="H38702" s="83"/>
      <c r="K38702" s="82"/>
      <c r="M38702" s="112"/>
      <c r="N38702" s="84"/>
    </row>
    <row r="38703" spans="1:14" s="2" customFormat="1">
      <c r="A38703" s="83"/>
      <c r="H38703" s="83"/>
      <c r="K38703" s="82"/>
      <c r="M38703" s="112"/>
      <c r="N38703" s="84"/>
    </row>
    <row r="38704" spans="1:14" s="2" customFormat="1">
      <c r="A38704" s="83"/>
      <c r="H38704" s="83"/>
      <c r="K38704" s="82"/>
      <c r="M38704" s="112"/>
      <c r="N38704" s="84"/>
    </row>
    <row r="38705" spans="1:14" s="2" customFormat="1">
      <c r="A38705" s="83"/>
      <c r="H38705" s="83"/>
      <c r="K38705" s="82"/>
      <c r="M38705" s="112"/>
      <c r="N38705" s="84"/>
    </row>
    <row r="38706" spans="1:14" s="2" customFormat="1">
      <c r="A38706" s="83"/>
      <c r="H38706" s="83"/>
      <c r="K38706" s="82"/>
      <c r="M38706" s="112"/>
      <c r="N38706" s="84"/>
    </row>
    <row r="38707" spans="1:14" s="2" customFormat="1">
      <c r="A38707" s="83"/>
      <c r="H38707" s="83"/>
      <c r="K38707" s="82"/>
      <c r="M38707" s="112"/>
      <c r="N38707" s="84"/>
    </row>
    <row r="38708" spans="1:14" s="2" customFormat="1">
      <c r="A38708" s="83"/>
      <c r="H38708" s="83"/>
      <c r="K38708" s="82"/>
      <c r="M38708" s="112"/>
      <c r="N38708" s="84"/>
    </row>
    <row r="38709" spans="1:14" s="2" customFormat="1">
      <c r="A38709" s="83"/>
      <c r="H38709" s="83"/>
      <c r="K38709" s="82"/>
      <c r="M38709" s="112"/>
      <c r="N38709" s="84"/>
    </row>
    <row r="38710" spans="1:14" s="2" customFormat="1">
      <c r="A38710" s="83"/>
      <c r="H38710" s="83"/>
      <c r="K38710" s="82"/>
      <c r="M38710" s="112"/>
      <c r="N38710" s="84"/>
    </row>
    <row r="38711" spans="1:14" s="2" customFormat="1">
      <c r="A38711" s="83"/>
      <c r="H38711" s="83"/>
      <c r="K38711" s="82"/>
      <c r="M38711" s="112"/>
      <c r="N38711" s="84"/>
    </row>
    <row r="38712" spans="1:14" s="2" customFormat="1">
      <c r="A38712" s="83"/>
      <c r="H38712" s="83"/>
      <c r="K38712" s="82"/>
      <c r="M38712" s="112"/>
      <c r="N38712" s="84"/>
    </row>
    <row r="38713" spans="1:14" s="2" customFormat="1">
      <c r="A38713" s="83"/>
      <c r="H38713" s="83"/>
      <c r="K38713" s="82"/>
      <c r="M38713" s="112"/>
      <c r="N38713" s="84"/>
    </row>
    <row r="38714" spans="1:14" s="2" customFormat="1">
      <c r="A38714" s="83"/>
      <c r="H38714" s="83"/>
      <c r="K38714" s="82"/>
      <c r="M38714" s="112"/>
      <c r="N38714" s="84"/>
    </row>
    <row r="38715" spans="1:14" s="2" customFormat="1">
      <c r="A38715" s="83"/>
      <c r="H38715" s="83"/>
      <c r="K38715" s="82"/>
      <c r="M38715" s="112"/>
      <c r="N38715" s="84"/>
    </row>
    <row r="38716" spans="1:14" s="2" customFormat="1">
      <c r="A38716" s="83"/>
      <c r="H38716" s="83"/>
      <c r="K38716" s="82"/>
      <c r="M38716" s="112"/>
      <c r="N38716" s="84"/>
    </row>
    <row r="38717" spans="1:14" s="2" customFormat="1">
      <c r="A38717" s="83"/>
      <c r="H38717" s="83"/>
      <c r="K38717" s="82"/>
      <c r="M38717" s="112"/>
      <c r="N38717" s="84"/>
    </row>
    <row r="38718" spans="1:14" s="2" customFormat="1">
      <c r="A38718" s="83"/>
      <c r="H38718" s="83"/>
      <c r="K38718" s="82"/>
      <c r="M38718" s="112"/>
      <c r="N38718" s="84"/>
    </row>
    <row r="38719" spans="1:14" s="2" customFormat="1">
      <c r="A38719" s="83"/>
      <c r="H38719" s="83"/>
      <c r="K38719" s="82"/>
      <c r="M38719" s="112"/>
      <c r="N38719" s="84"/>
    </row>
    <row r="38720" spans="1:14" s="2" customFormat="1">
      <c r="A38720" s="83"/>
      <c r="H38720" s="83"/>
      <c r="K38720" s="82"/>
      <c r="M38720" s="112"/>
      <c r="N38720" s="84"/>
    </row>
    <row r="38721" spans="1:14" s="2" customFormat="1">
      <c r="A38721" s="83"/>
      <c r="H38721" s="83"/>
      <c r="K38721" s="82"/>
      <c r="M38721" s="112"/>
      <c r="N38721" s="84"/>
    </row>
    <row r="38722" spans="1:14" s="2" customFormat="1">
      <c r="A38722" s="83"/>
      <c r="H38722" s="83"/>
      <c r="K38722" s="82"/>
      <c r="M38722" s="112"/>
      <c r="N38722" s="84"/>
    </row>
    <row r="38723" spans="1:14" s="2" customFormat="1">
      <c r="A38723" s="83"/>
      <c r="H38723" s="83"/>
      <c r="K38723" s="82"/>
      <c r="M38723" s="112"/>
      <c r="N38723" s="84"/>
    </row>
    <row r="38724" spans="1:14" s="2" customFormat="1">
      <c r="A38724" s="83"/>
      <c r="H38724" s="83"/>
      <c r="K38724" s="82"/>
      <c r="M38724" s="112"/>
      <c r="N38724" s="84"/>
    </row>
    <row r="38725" spans="1:14" s="2" customFormat="1">
      <c r="A38725" s="83"/>
      <c r="H38725" s="83"/>
      <c r="K38725" s="82"/>
      <c r="M38725" s="112"/>
      <c r="N38725" s="84"/>
    </row>
    <row r="38726" spans="1:14" s="2" customFormat="1">
      <c r="A38726" s="83"/>
      <c r="H38726" s="83"/>
      <c r="K38726" s="82"/>
      <c r="M38726" s="112"/>
      <c r="N38726" s="84"/>
    </row>
    <row r="38727" spans="1:14" s="2" customFormat="1">
      <c r="A38727" s="83"/>
      <c r="H38727" s="83"/>
      <c r="K38727" s="82"/>
      <c r="M38727" s="112"/>
      <c r="N38727" s="84"/>
    </row>
    <row r="38728" spans="1:14" s="2" customFormat="1">
      <c r="A38728" s="83"/>
      <c r="H38728" s="83"/>
      <c r="K38728" s="82"/>
      <c r="M38728" s="112"/>
      <c r="N38728" s="84"/>
    </row>
    <row r="38729" spans="1:14" s="2" customFormat="1">
      <c r="A38729" s="83"/>
      <c r="H38729" s="83"/>
      <c r="K38729" s="82"/>
      <c r="M38729" s="112"/>
      <c r="N38729" s="84"/>
    </row>
    <row r="38730" spans="1:14" s="2" customFormat="1">
      <c r="A38730" s="83"/>
      <c r="H38730" s="83"/>
      <c r="K38730" s="82"/>
      <c r="M38730" s="112"/>
      <c r="N38730" s="84"/>
    </row>
    <row r="38731" spans="1:14" s="2" customFormat="1">
      <c r="A38731" s="83"/>
      <c r="H38731" s="83"/>
      <c r="K38731" s="82"/>
      <c r="M38731" s="112"/>
      <c r="N38731" s="84"/>
    </row>
    <row r="38732" spans="1:14" s="2" customFormat="1">
      <c r="A38732" s="83"/>
      <c r="H38732" s="83"/>
      <c r="K38732" s="82"/>
      <c r="M38732" s="112"/>
      <c r="N38732" s="84"/>
    </row>
    <row r="38733" spans="1:14" s="2" customFormat="1">
      <c r="A38733" s="83"/>
      <c r="H38733" s="83"/>
      <c r="K38733" s="82"/>
      <c r="M38733" s="112"/>
      <c r="N38733" s="84"/>
    </row>
    <row r="38734" spans="1:14" s="2" customFormat="1">
      <c r="A38734" s="83"/>
      <c r="H38734" s="83"/>
      <c r="K38734" s="82"/>
      <c r="M38734" s="112"/>
      <c r="N38734" s="84"/>
    </row>
    <row r="38735" spans="1:14" s="2" customFormat="1">
      <c r="A38735" s="83"/>
      <c r="H38735" s="83"/>
      <c r="K38735" s="82"/>
      <c r="M38735" s="112"/>
      <c r="N38735" s="84"/>
    </row>
    <row r="38736" spans="1:14" s="2" customFormat="1">
      <c r="A38736" s="83"/>
      <c r="H38736" s="83"/>
      <c r="K38736" s="82"/>
      <c r="M38736" s="112"/>
      <c r="N38736" s="84"/>
    </row>
    <row r="38737" spans="1:14" s="2" customFormat="1">
      <c r="A38737" s="83"/>
      <c r="H38737" s="83"/>
      <c r="K38737" s="82"/>
      <c r="M38737" s="112"/>
      <c r="N38737" s="84"/>
    </row>
    <row r="38738" spans="1:14" s="2" customFormat="1">
      <c r="A38738" s="83"/>
      <c r="H38738" s="83"/>
      <c r="K38738" s="82"/>
      <c r="M38738" s="112"/>
      <c r="N38738" s="84"/>
    </row>
    <row r="38739" spans="1:14" s="2" customFormat="1">
      <c r="A38739" s="83"/>
      <c r="H38739" s="83"/>
      <c r="K38739" s="82"/>
      <c r="M38739" s="112"/>
      <c r="N38739" s="84"/>
    </row>
    <row r="38740" spans="1:14" s="2" customFormat="1">
      <c r="A38740" s="83"/>
      <c r="H38740" s="83"/>
      <c r="K38740" s="82"/>
      <c r="M38740" s="112"/>
      <c r="N38740" s="84"/>
    </row>
    <row r="38741" spans="1:14" s="2" customFormat="1">
      <c r="A38741" s="83"/>
      <c r="H38741" s="83"/>
      <c r="K38741" s="82"/>
      <c r="M38741" s="112"/>
      <c r="N38741" s="84"/>
    </row>
    <row r="38742" spans="1:14" s="2" customFormat="1">
      <c r="A38742" s="83"/>
      <c r="H38742" s="83"/>
      <c r="K38742" s="82"/>
      <c r="M38742" s="112"/>
      <c r="N38742" s="84"/>
    </row>
    <row r="38743" spans="1:14" s="2" customFormat="1">
      <c r="A38743" s="83"/>
      <c r="H38743" s="83"/>
      <c r="K38743" s="82"/>
      <c r="M38743" s="112"/>
      <c r="N38743" s="84"/>
    </row>
    <row r="38744" spans="1:14" s="2" customFormat="1">
      <c r="A38744" s="83"/>
      <c r="H38744" s="83"/>
      <c r="K38744" s="82"/>
      <c r="M38744" s="112"/>
      <c r="N38744" s="84"/>
    </row>
    <row r="38745" spans="1:14" s="2" customFormat="1">
      <c r="A38745" s="83"/>
      <c r="H38745" s="83"/>
      <c r="K38745" s="82"/>
      <c r="M38745" s="112"/>
      <c r="N38745" s="84"/>
    </row>
    <row r="38746" spans="1:14" s="2" customFormat="1">
      <c r="A38746" s="83"/>
      <c r="H38746" s="83"/>
      <c r="K38746" s="82"/>
      <c r="M38746" s="112"/>
      <c r="N38746" s="84"/>
    </row>
    <row r="38747" spans="1:14" s="2" customFormat="1">
      <c r="A38747" s="83"/>
      <c r="H38747" s="83"/>
      <c r="K38747" s="82"/>
      <c r="M38747" s="112"/>
      <c r="N38747" s="84"/>
    </row>
    <row r="38748" spans="1:14" s="2" customFormat="1">
      <c r="A38748" s="83"/>
      <c r="H38748" s="83"/>
      <c r="K38748" s="82"/>
      <c r="M38748" s="112"/>
      <c r="N38748" s="84"/>
    </row>
    <row r="38749" spans="1:14" s="2" customFormat="1">
      <c r="A38749" s="83"/>
      <c r="H38749" s="83"/>
      <c r="K38749" s="82"/>
      <c r="M38749" s="112"/>
      <c r="N38749" s="84"/>
    </row>
    <row r="38750" spans="1:14" s="2" customFormat="1">
      <c r="A38750" s="83"/>
      <c r="H38750" s="83"/>
      <c r="K38750" s="82"/>
      <c r="M38750" s="112"/>
      <c r="N38750" s="84"/>
    </row>
    <row r="38751" spans="1:14" s="2" customFormat="1">
      <c r="A38751" s="83"/>
      <c r="H38751" s="83"/>
      <c r="K38751" s="82"/>
      <c r="M38751" s="112"/>
      <c r="N38751" s="84"/>
    </row>
    <row r="38752" spans="1:14" s="2" customFormat="1">
      <c r="A38752" s="83"/>
      <c r="H38752" s="83"/>
      <c r="K38752" s="82"/>
      <c r="M38752" s="112"/>
      <c r="N38752" s="84"/>
    </row>
    <row r="38753" spans="1:14" s="2" customFormat="1">
      <c r="A38753" s="83"/>
      <c r="H38753" s="83"/>
      <c r="K38753" s="82"/>
      <c r="M38753" s="112"/>
      <c r="N38753" s="84"/>
    </row>
    <row r="38754" spans="1:14" s="2" customFormat="1">
      <c r="A38754" s="83"/>
      <c r="H38754" s="83"/>
      <c r="K38754" s="82"/>
      <c r="M38754" s="112"/>
      <c r="N38754" s="84"/>
    </row>
    <row r="38755" spans="1:14" s="2" customFormat="1">
      <c r="A38755" s="83"/>
      <c r="H38755" s="83"/>
      <c r="K38755" s="82"/>
      <c r="M38755" s="112"/>
      <c r="N38755" s="84"/>
    </row>
    <row r="38756" spans="1:14" s="2" customFormat="1">
      <c r="A38756" s="83"/>
      <c r="H38756" s="83"/>
      <c r="K38756" s="82"/>
      <c r="M38756" s="112"/>
      <c r="N38756" s="84"/>
    </row>
    <row r="38757" spans="1:14" s="2" customFormat="1">
      <c r="A38757" s="83"/>
      <c r="H38757" s="83"/>
      <c r="K38757" s="82"/>
      <c r="M38757" s="112"/>
      <c r="N38757" s="84"/>
    </row>
    <row r="38758" spans="1:14" s="2" customFormat="1">
      <c r="A38758" s="83"/>
      <c r="H38758" s="83"/>
      <c r="K38758" s="82"/>
      <c r="M38758" s="112"/>
      <c r="N38758" s="84"/>
    </row>
    <row r="38759" spans="1:14" s="2" customFormat="1">
      <c r="A38759" s="83"/>
      <c r="H38759" s="83"/>
      <c r="K38759" s="82"/>
      <c r="M38759" s="112"/>
      <c r="N38759" s="84"/>
    </row>
    <row r="38760" spans="1:14" s="2" customFormat="1">
      <c r="A38760" s="83"/>
      <c r="H38760" s="83"/>
      <c r="K38760" s="82"/>
      <c r="M38760" s="112"/>
      <c r="N38760" s="84"/>
    </row>
    <row r="38761" spans="1:14" s="2" customFormat="1">
      <c r="A38761" s="83"/>
      <c r="H38761" s="83"/>
      <c r="K38761" s="82"/>
      <c r="M38761" s="112"/>
      <c r="N38761" s="84"/>
    </row>
    <row r="38762" spans="1:14" s="2" customFormat="1">
      <c r="A38762" s="83"/>
      <c r="H38762" s="83"/>
      <c r="K38762" s="82"/>
      <c r="M38762" s="112"/>
      <c r="N38762" s="84"/>
    </row>
    <row r="38763" spans="1:14" s="2" customFormat="1">
      <c r="A38763" s="83"/>
      <c r="H38763" s="83"/>
      <c r="K38763" s="82"/>
      <c r="M38763" s="112"/>
      <c r="N38763" s="84"/>
    </row>
    <row r="38764" spans="1:14" s="2" customFormat="1">
      <c r="A38764" s="83"/>
      <c r="H38764" s="83"/>
      <c r="K38764" s="82"/>
      <c r="M38764" s="112"/>
      <c r="N38764" s="84"/>
    </row>
    <row r="38765" spans="1:14" s="2" customFormat="1">
      <c r="A38765" s="83"/>
      <c r="H38765" s="83"/>
      <c r="K38765" s="82"/>
      <c r="M38765" s="112"/>
      <c r="N38765" s="84"/>
    </row>
    <row r="38766" spans="1:14" s="2" customFormat="1">
      <c r="A38766" s="83"/>
      <c r="H38766" s="83"/>
      <c r="K38766" s="82"/>
      <c r="M38766" s="112"/>
      <c r="N38766" s="84"/>
    </row>
    <row r="38767" spans="1:14" s="2" customFormat="1">
      <c r="A38767" s="83"/>
      <c r="H38767" s="83"/>
      <c r="K38767" s="82"/>
      <c r="M38767" s="112"/>
      <c r="N38767" s="84"/>
    </row>
    <row r="38768" spans="1:14" s="2" customFormat="1">
      <c r="A38768" s="83"/>
      <c r="H38768" s="83"/>
      <c r="K38768" s="82"/>
      <c r="M38768" s="112"/>
      <c r="N38768" s="84"/>
    </row>
    <row r="38769" spans="1:14" s="2" customFormat="1">
      <c r="A38769" s="83"/>
      <c r="H38769" s="83"/>
      <c r="K38769" s="82"/>
      <c r="M38769" s="112"/>
      <c r="N38769" s="84"/>
    </row>
    <row r="38770" spans="1:14" s="2" customFormat="1">
      <c r="A38770" s="83"/>
      <c r="H38770" s="83"/>
      <c r="K38770" s="82"/>
      <c r="M38770" s="112"/>
      <c r="N38770" s="84"/>
    </row>
    <row r="38771" spans="1:14" s="2" customFormat="1">
      <c r="A38771" s="83"/>
      <c r="H38771" s="83"/>
      <c r="K38771" s="82"/>
      <c r="M38771" s="112"/>
      <c r="N38771" s="84"/>
    </row>
    <row r="38772" spans="1:14" s="2" customFormat="1">
      <c r="A38772" s="83"/>
      <c r="H38772" s="83"/>
      <c r="K38772" s="82"/>
      <c r="M38772" s="112"/>
      <c r="N38772" s="84"/>
    </row>
    <row r="38773" spans="1:14" s="2" customFormat="1">
      <c r="A38773" s="83"/>
      <c r="H38773" s="83"/>
      <c r="K38773" s="82"/>
      <c r="M38773" s="112"/>
      <c r="N38773" s="84"/>
    </row>
    <row r="38774" spans="1:14" s="2" customFormat="1">
      <c r="A38774" s="83"/>
      <c r="H38774" s="83"/>
      <c r="K38774" s="82"/>
      <c r="M38774" s="112"/>
      <c r="N38774" s="84"/>
    </row>
    <row r="38775" spans="1:14" s="2" customFormat="1">
      <c r="A38775" s="83"/>
      <c r="H38775" s="83"/>
      <c r="K38775" s="82"/>
      <c r="M38775" s="112"/>
      <c r="N38775" s="84"/>
    </row>
    <row r="38776" spans="1:14" s="2" customFormat="1">
      <c r="A38776" s="83"/>
      <c r="H38776" s="83"/>
      <c r="K38776" s="82"/>
      <c r="M38776" s="112"/>
      <c r="N38776" s="84"/>
    </row>
    <row r="38777" spans="1:14" s="2" customFormat="1">
      <c r="A38777" s="83"/>
      <c r="H38777" s="83"/>
      <c r="K38777" s="82"/>
      <c r="M38777" s="112"/>
      <c r="N38777" s="84"/>
    </row>
    <row r="38778" spans="1:14" s="2" customFormat="1">
      <c r="A38778" s="83"/>
      <c r="H38778" s="83"/>
      <c r="K38778" s="82"/>
      <c r="M38778" s="112"/>
      <c r="N38778" s="84"/>
    </row>
    <row r="38779" spans="1:14" s="2" customFormat="1">
      <c r="A38779" s="83"/>
      <c r="H38779" s="83"/>
      <c r="K38779" s="82"/>
      <c r="M38779" s="112"/>
      <c r="N38779" s="84"/>
    </row>
    <row r="38780" spans="1:14" s="2" customFormat="1">
      <c r="A38780" s="83"/>
      <c r="H38780" s="83"/>
      <c r="K38780" s="82"/>
      <c r="M38780" s="112"/>
      <c r="N38780" s="84"/>
    </row>
    <row r="38781" spans="1:14" s="2" customFormat="1">
      <c r="A38781" s="83"/>
      <c r="H38781" s="83"/>
      <c r="K38781" s="82"/>
      <c r="M38781" s="112"/>
      <c r="N38781" s="84"/>
    </row>
    <row r="38782" spans="1:14" s="2" customFormat="1">
      <c r="A38782" s="83"/>
      <c r="H38782" s="83"/>
      <c r="K38782" s="82"/>
      <c r="M38782" s="112"/>
      <c r="N38782" s="84"/>
    </row>
    <row r="38783" spans="1:14" s="2" customFormat="1">
      <c r="A38783" s="83"/>
      <c r="H38783" s="83"/>
      <c r="K38783" s="82"/>
      <c r="M38783" s="112"/>
      <c r="N38783" s="84"/>
    </row>
    <row r="38784" spans="1:14" s="2" customFormat="1">
      <c r="A38784" s="83"/>
      <c r="H38784" s="83"/>
      <c r="K38784" s="82"/>
      <c r="M38784" s="112"/>
      <c r="N38784" s="84"/>
    </row>
    <row r="38785" spans="1:14" s="2" customFormat="1">
      <c r="A38785" s="83"/>
      <c r="H38785" s="83"/>
      <c r="K38785" s="82"/>
      <c r="M38785" s="112"/>
      <c r="N38785" s="84"/>
    </row>
    <row r="38786" spans="1:14" s="2" customFormat="1">
      <c r="A38786" s="83"/>
      <c r="H38786" s="83"/>
      <c r="K38786" s="82"/>
      <c r="M38786" s="112"/>
      <c r="N38786" s="84"/>
    </row>
    <row r="38787" spans="1:14" s="2" customFormat="1">
      <c r="A38787" s="83"/>
      <c r="H38787" s="83"/>
      <c r="K38787" s="82"/>
      <c r="M38787" s="112"/>
      <c r="N38787" s="84"/>
    </row>
    <row r="38788" spans="1:14" s="2" customFormat="1">
      <c r="A38788" s="83"/>
      <c r="H38788" s="83"/>
      <c r="K38788" s="82"/>
      <c r="M38788" s="112"/>
      <c r="N38788" s="84"/>
    </row>
    <row r="38789" spans="1:14" s="2" customFormat="1">
      <c r="A38789" s="83"/>
      <c r="H38789" s="83"/>
      <c r="K38789" s="82"/>
      <c r="M38789" s="112"/>
      <c r="N38789" s="84"/>
    </row>
    <row r="38790" spans="1:14" s="2" customFormat="1">
      <c r="A38790" s="83"/>
      <c r="H38790" s="83"/>
      <c r="K38790" s="82"/>
      <c r="M38790" s="112"/>
      <c r="N38790" s="84"/>
    </row>
    <row r="38791" spans="1:14" s="2" customFormat="1">
      <c r="A38791" s="83"/>
      <c r="H38791" s="83"/>
      <c r="K38791" s="82"/>
      <c r="M38791" s="112"/>
      <c r="N38791" s="84"/>
    </row>
    <row r="38792" spans="1:14" s="2" customFormat="1">
      <c r="A38792" s="83"/>
      <c r="H38792" s="83"/>
      <c r="K38792" s="82"/>
      <c r="M38792" s="112"/>
      <c r="N38792" s="84"/>
    </row>
    <row r="38793" spans="1:14" s="2" customFormat="1">
      <c r="A38793" s="83"/>
      <c r="H38793" s="83"/>
      <c r="K38793" s="82"/>
      <c r="M38793" s="112"/>
      <c r="N38793" s="84"/>
    </row>
    <row r="38794" spans="1:14" s="2" customFormat="1">
      <c r="A38794" s="83"/>
      <c r="H38794" s="83"/>
      <c r="K38794" s="82"/>
      <c r="M38794" s="112"/>
      <c r="N38794" s="84"/>
    </row>
    <row r="38795" spans="1:14" s="2" customFormat="1">
      <c r="A38795" s="83"/>
      <c r="H38795" s="83"/>
      <c r="K38795" s="82"/>
      <c r="M38795" s="112"/>
      <c r="N38795" s="84"/>
    </row>
    <row r="38796" spans="1:14" s="2" customFormat="1">
      <c r="A38796" s="83"/>
      <c r="H38796" s="83"/>
      <c r="K38796" s="82"/>
      <c r="M38796" s="112"/>
      <c r="N38796" s="84"/>
    </row>
    <row r="38797" spans="1:14" s="2" customFormat="1">
      <c r="A38797" s="83"/>
      <c r="H38797" s="83"/>
      <c r="K38797" s="82"/>
      <c r="M38797" s="112"/>
      <c r="N38797" s="84"/>
    </row>
    <row r="38798" spans="1:14" s="2" customFormat="1">
      <c r="A38798" s="83"/>
      <c r="H38798" s="83"/>
      <c r="K38798" s="82"/>
      <c r="M38798" s="112"/>
      <c r="N38798" s="84"/>
    </row>
    <row r="38799" spans="1:14" s="2" customFormat="1">
      <c r="A38799" s="83"/>
      <c r="H38799" s="83"/>
      <c r="K38799" s="82"/>
      <c r="M38799" s="112"/>
      <c r="N38799" s="84"/>
    </row>
    <row r="38800" spans="1:14" s="2" customFormat="1">
      <c r="A38800" s="83"/>
      <c r="H38800" s="83"/>
      <c r="K38800" s="82"/>
      <c r="M38800" s="112"/>
      <c r="N38800" s="84"/>
    </row>
    <row r="38801" spans="1:14" s="2" customFormat="1">
      <c r="A38801" s="83"/>
      <c r="H38801" s="83"/>
      <c r="K38801" s="82"/>
      <c r="M38801" s="112"/>
      <c r="N38801" s="84"/>
    </row>
    <row r="38802" spans="1:14" s="2" customFormat="1">
      <c r="A38802" s="83"/>
      <c r="H38802" s="83"/>
      <c r="K38802" s="82"/>
      <c r="M38802" s="112"/>
      <c r="N38802" s="84"/>
    </row>
    <row r="38803" spans="1:14" s="2" customFormat="1">
      <c r="A38803" s="83"/>
      <c r="H38803" s="83"/>
      <c r="K38803" s="82"/>
      <c r="M38803" s="112"/>
      <c r="N38803" s="84"/>
    </row>
    <row r="38804" spans="1:14" s="2" customFormat="1">
      <c r="A38804" s="83"/>
      <c r="H38804" s="83"/>
      <c r="K38804" s="82"/>
      <c r="M38804" s="112"/>
      <c r="N38804" s="84"/>
    </row>
    <row r="38805" spans="1:14" s="2" customFormat="1">
      <c r="A38805" s="83"/>
      <c r="H38805" s="83"/>
      <c r="K38805" s="82"/>
      <c r="M38805" s="112"/>
      <c r="N38805" s="84"/>
    </row>
    <row r="38806" spans="1:14" s="2" customFormat="1">
      <c r="A38806" s="83"/>
      <c r="H38806" s="83"/>
      <c r="K38806" s="82"/>
      <c r="M38806" s="112"/>
      <c r="N38806" s="84"/>
    </row>
    <row r="38807" spans="1:14" s="2" customFormat="1">
      <c r="A38807" s="83"/>
      <c r="H38807" s="83"/>
      <c r="K38807" s="82"/>
      <c r="M38807" s="112"/>
      <c r="N38807" s="84"/>
    </row>
    <row r="38808" spans="1:14" s="2" customFormat="1">
      <c r="A38808" s="83"/>
      <c r="H38808" s="83"/>
      <c r="K38808" s="82"/>
      <c r="M38808" s="112"/>
      <c r="N38808" s="84"/>
    </row>
    <row r="38809" spans="1:14" s="2" customFormat="1">
      <c r="A38809" s="83"/>
      <c r="H38809" s="83"/>
      <c r="K38809" s="82"/>
      <c r="M38809" s="112"/>
      <c r="N38809" s="84"/>
    </row>
    <row r="38810" spans="1:14" s="2" customFormat="1">
      <c r="A38810" s="83"/>
      <c r="H38810" s="83"/>
      <c r="K38810" s="82"/>
      <c r="M38810" s="112"/>
      <c r="N38810" s="84"/>
    </row>
    <row r="38811" spans="1:14" s="2" customFormat="1">
      <c r="A38811" s="83"/>
      <c r="H38811" s="83"/>
      <c r="K38811" s="82"/>
      <c r="M38811" s="112"/>
      <c r="N38811" s="84"/>
    </row>
    <row r="38812" spans="1:14" s="2" customFormat="1">
      <c r="A38812" s="83"/>
      <c r="H38812" s="83"/>
      <c r="K38812" s="82"/>
      <c r="M38812" s="112"/>
      <c r="N38812" s="84"/>
    </row>
    <row r="38813" spans="1:14" s="2" customFormat="1">
      <c r="A38813" s="83"/>
      <c r="H38813" s="83"/>
      <c r="K38813" s="82"/>
      <c r="M38813" s="112"/>
      <c r="N38813" s="84"/>
    </row>
    <row r="38814" spans="1:14" s="2" customFormat="1">
      <c r="A38814" s="83"/>
      <c r="H38814" s="83"/>
      <c r="K38814" s="82"/>
      <c r="M38814" s="112"/>
      <c r="N38814" s="84"/>
    </row>
    <row r="38815" spans="1:14" s="2" customFormat="1">
      <c r="A38815" s="83"/>
      <c r="H38815" s="83"/>
      <c r="K38815" s="82"/>
      <c r="M38815" s="112"/>
      <c r="N38815" s="84"/>
    </row>
    <row r="38816" spans="1:14" s="2" customFormat="1">
      <c r="A38816" s="83"/>
      <c r="H38816" s="83"/>
      <c r="K38816" s="82"/>
      <c r="M38816" s="112"/>
      <c r="N38816" s="84"/>
    </row>
    <row r="38817" spans="1:14" s="2" customFormat="1">
      <c r="A38817" s="83"/>
      <c r="H38817" s="83"/>
      <c r="K38817" s="82"/>
      <c r="M38817" s="112"/>
      <c r="N38817" s="84"/>
    </row>
    <row r="38818" spans="1:14" s="2" customFormat="1">
      <c r="A38818" s="83"/>
      <c r="H38818" s="83"/>
      <c r="K38818" s="82"/>
      <c r="M38818" s="112"/>
      <c r="N38818" s="84"/>
    </row>
    <row r="38819" spans="1:14" s="2" customFormat="1">
      <c r="A38819" s="83"/>
      <c r="H38819" s="83"/>
      <c r="K38819" s="82"/>
      <c r="M38819" s="112"/>
      <c r="N38819" s="84"/>
    </row>
    <row r="38820" spans="1:14" s="2" customFormat="1">
      <c r="A38820" s="83"/>
      <c r="H38820" s="83"/>
      <c r="K38820" s="82"/>
      <c r="M38820" s="112"/>
      <c r="N38820" s="84"/>
    </row>
    <row r="38821" spans="1:14" s="2" customFormat="1">
      <c r="A38821" s="83"/>
      <c r="H38821" s="83"/>
      <c r="K38821" s="82"/>
      <c r="M38821" s="112"/>
      <c r="N38821" s="84"/>
    </row>
    <row r="38822" spans="1:14" s="2" customFormat="1">
      <c r="A38822" s="83"/>
      <c r="H38822" s="83"/>
      <c r="K38822" s="82"/>
      <c r="M38822" s="112"/>
      <c r="N38822" s="84"/>
    </row>
    <row r="38823" spans="1:14" s="2" customFormat="1">
      <c r="A38823" s="83"/>
      <c r="H38823" s="83"/>
      <c r="K38823" s="82"/>
      <c r="M38823" s="112"/>
      <c r="N38823" s="84"/>
    </row>
    <row r="38824" spans="1:14" s="2" customFormat="1">
      <c r="A38824" s="83"/>
      <c r="H38824" s="83"/>
      <c r="K38824" s="82"/>
      <c r="M38824" s="112"/>
      <c r="N38824" s="84"/>
    </row>
    <row r="38825" spans="1:14" s="2" customFormat="1">
      <c r="A38825" s="83"/>
      <c r="H38825" s="83"/>
      <c r="K38825" s="82"/>
      <c r="M38825" s="112"/>
      <c r="N38825" s="84"/>
    </row>
    <row r="38826" spans="1:14" s="2" customFormat="1">
      <c r="A38826" s="83"/>
      <c r="H38826" s="83"/>
      <c r="K38826" s="82"/>
      <c r="M38826" s="112"/>
      <c r="N38826" s="84"/>
    </row>
    <row r="38827" spans="1:14" s="2" customFormat="1">
      <c r="A38827" s="83"/>
      <c r="H38827" s="83"/>
      <c r="K38827" s="82"/>
      <c r="M38827" s="112"/>
      <c r="N38827" s="84"/>
    </row>
    <row r="38828" spans="1:14" s="2" customFormat="1">
      <c r="A38828" s="83"/>
      <c r="H38828" s="83"/>
      <c r="K38828" s="82"/>
      <c r="M38828" s="112"/>
      <c r="N38828" s="84"/>
    </row>
    <row r="38829" spans="1:14" s="2" customFormat="1">
      <c r="A38829" s="83"/>
      <c r="H38829" s="83"/>
      <c r="K38829" s="82"/>
      <c r="M38829" s="112"/>
      <c r="N38829" s="84"/>
    </row>
    <row r="38830" spans="1:14" s="2" customFormat="1">
      <c r="A38830" s="83"/>
      <c r="H38830" s="83"/>
      <c r="K38830" s="82"/>
      <c r="M38830" s="112"/>
      <c r="N38830" s="84"/>
    </row>
    <row r="38831" spans="1:14" s="2" customFormat="1">
      <c r="A38831" s="83"/>
      <c r="H38831" s="83"/>
      <c r="K38831" s="82"/>
      <c r="M38831" s="112"/>
      <c r="N38831" s="84"/>
    </row>
    <row r="38832" spans="1:14" s="2" customFormat="1">
      <c r="A38832" s="83"/>
      <c r="H38832" s="83"/>
      <c r="K38832" s="82"/>
      <c r="M38832" s="112"/>
      <c r="N38832" s="84"/>
    </row>
    <row r="38833" spans="1:14" s="2" customFormat="1">
      <c r="A38833" s="83"/>
      <c r="H38833" s="83"/>
      <c r="K38833" s="82"/>
      <c r="M38833" s="112"/>
      <c r="N38833" s="84"/>
    </row>
    <row r="38834" spans="1:14" s="2" customFormat="1">
      <c r="A38834" s="83"/>
      <c r="H38834" s="83"/>
      <c r="K38834" s="82"/>
      <c r="M38834" s="112"/>
      <c r="N38834" s="84"/>
    </row>
    <row r="38835" spans="1:14" s="2" customFormat="1">
      <c r="A38835" s="83"/>
      <c r="H38835" s="83"/>
      <c r="K38835" s="82"/>
      <c r="M38835" s="112"/>
      <c r="N38835" s="84"/>
    </row>
    <row r="38836" spans="1:14" s="2" customFormat="1">
      <c r="A38836" s="83"/>
      <c r="H38836" s="83"/>
      <c r="K38836" s="82"/>
      <c r="M38836" s="112"/>
      <c r="N38836" s="84"/>
    </row>
    <row r="38837" spans="1:14" s="2" customFormat="1">
      <c r="A38837" s="83"/>
      <c r="H38837" s="83"/>
      <c r="K38837" s="82"/>
      <c r="M38837" s="112"/>
      <c r="N38837" s="84"/>
    </row>
    <row r="38838" spans="1:14" s="2" customFormat="1">
      <c r="A38838" s="83"/>
      <c r="H38838" s="83"/>
      <c r="K38838" s="82"/>
      <c r="M38838" s="112"/>
      <c r="N38838" s="84"/>
    </row>
    <row r="38839" spans="1:14" s="2" customFormat="1">
      <c r="A38839" s="83"/>
      <c r="H38839" s="83"/>
      <c r="K38839" s="82"/>
      <c r="M38839" s="112"/>
      <c r="N38839" s="84"/>
    </row>
    <row r="38840" spans="1:14" s="2" customFormat="1">
      <c r="A38840" s="83"/>
      <c r="H38840" s="83"/>
      <c r="K38840" s="82"/>
      <c r="M38840" s="112"/>
      <c r="N38840" s="84"/>
    </row>
    <row r="38841" spans="1:14" s="2" customFormat="1">
      <c r="A38841" s="83"/>
      <c r="H38841" s="83"/>
      <c r="K38841" s="82"/>
      <c r="M38841" s="112"/>
      <c r="N38841" s="84"/>
    </row>
    <row r="38842" spans="1:14" s="2" customFormat="1">
      <c r="A38842" s="83"/>
      <c r="H38842" s="83"/>
      <c r="K38842" s="82"/>
      <c r="M38842" s="112"/>
      <c r="N38842" s="84"/>
    </row>
    <row r="38843" spans="1:14" s="2" customFormat="1">
      <c r="A38843" s="83"/>
      <c r="H38843" s="83"/>
      <c r="K38843" s="82"/>
      <c r="M38843" s="112"/>
      <c r="N38843" s="84"/>
    </row>
    <row r="38844" spans="1:14" s="2" customFormat="1">
      <c r="A38844" s="83"/>
      <c r="H38844" s="83"/>
      <c r="K38844" s="82"/>
      <c r="M38844" s="112"/>
      <c r="N38844" s="84"/>
    </row>
    <row r="38845" spans="1:14" s="2" customFormat="1">
      <c r="A38845" s="83"/>
      <c r="H38845" s="83"/>
      <c r="K38845" s="82"/>
      <c r="M38845" s="112"/>
      <c r="N38845" s="84"/>
    </row>
    <row r="38846" spans="1:14" s="2" customFormat="1">
      <c r="A38846" s="83"/>
      <c r="H38846" s="83"/>
      <c r="K38846" s="82"/>
      <c r="M38846" s="112"/>
      <c r="N38846" s="84"/>
    </row>
    <row r="38847" spans="1:14" s="2" customFormat="1">
      <c r="A38847" s="83"/>
      <c r="H38847" s="83"/>
      <c r="K38847" s="82"/>
      <c r="M38847" s="112"/>
      <c r="N38847" s="84"/>
    </row>
    <row r="38848" spans="1:14" s="2" customFormat="1">
      <c r="A38848" s="83"/>
      <c r="H38848" s="83"/>
      <c r="K38848" s="82"/>
      <c r="M38848" s="112"/>
      <c r="N38848" s="84"/>
    </row>
    <row r="38849" spans="1:14" s="2" customFormat="1">
      <c r="A38849" s="83"/>
      <c r="H38849" s="83"/>
      <c r="K38849" s="82"/>
      <c r="M38849" s="112"/>
      <c r="N38849" s="84"/>
    </row>
    <row r="38850" spans="1:14" s="2" customFormat="1">
      <c r="A38850" s="83"/>
      <c r="H38850" s="83"/>
      <c r="K38850" s="82"/>
      <c r="M38850" s="112"/>
      <c r="N38850" s="84"/>
    </row>
    <row r="38851" spans="1:14" s="2" customFormat="1">
      <c r="A38851" s="83"/>
      <c r="H38851" s="83"/>
      <c r="K38851" s="82"/>
      <c r="M38851" s="112"/>
      <c r="N38851" s="84"/>
    </row>
    <row r="38852" spans="1:14" s="2" customFormat="1">
      <c r="A38852" s="83"/>
      <c r="H38852" s="83"/>
      <c r="K38852" s="82"/>
      <c r="M38852" s="112"/>
      <c r="N38852" s="84"/>
    </row>
    <row r="38853" spans="1:14" s="2" customFormat="1">
      <c r="A38853" s="83"/>
      <c r="H38853" s="83"/>
      <c r="K38853" s="82"/>
      <c r="M38853" s="112"/>
      <c r="N38853" s="84"/>
    </row>
    <row r="38854" spans="1:14" s="2" customFormat="1">
      <c r="A38854" s="83"/>
      <c r="H38854" s="83"/>
      <c r="K38854" s="82"/>
      <c r="M38854" s="112"/>
      <c r="N38854" s="84"/>
    </row>
    <row r="38855" spans="1:14" s="2" customFormat="1">
      <c r="A38855" s="83"/>
      <c r="H38855" s="83"/>
      <c r="K38855" s="82"/>
      <c r="M38855" s="112"/>
      <c r="N38855" s="84"/>
    </row>
    <row r="38856" spans="1:14" s="2" customFormat="1">
      <c r="A38856" s="83"/>
      <c r="H38856" s="83"/>
      <c r="K38856" s="82"/>
      <c r="M38856" s="112"/>
      <c r="N38856" s="84"/>
    </row>
    <row r="38857" spans="1:14" s="2" customFormat="1">
      <c r="A38857" s="83"/>
      <c r="H38857" s="83"/>
      <c r="K38857" s="82"/>
      <c r="M38857" s="112"/>
      <c r="N38857" s="84"/>
    </row>
    <row r="38858" spans="1:14" s="2" customFormat="1">
      <c r="A38858" s="83"/>
      <c r="H38858" s="83"/>
      <c r="K38858" s="82"/>
      <c r="M38858" s="112"/>
      <c r="N38858" s="84"/>
    </row>
    <row r="38859" spans="1:14" s="2" customFormat="1">
      <c r="A38859" s="83"/>
      <c r="H38859" s="83"/>
      <c r="K38859" s="82"/>
      <c r="M38859" s="112"/>
      <c r="N38859" s="84"/>
    </row>
    <row r="38860" spans="1:14" s="2" customFormat="1">
      <c r="A38860" s="83"/>
      <c r="H38860" s="83"/>
      <c r="K38860" s="82"/>
      <c r="M38860" s="112"/>
      <c r="N38860" s="84"/>
    </row>
    <row r="38861" spans="1:14" s="2" customFormat="1">
      <c r="A38861" s="83"/>
      <c r="H38861" s="83"/>
      <c r="K38861" s="82"/>
      <c r="M38861" s="112"/>
      <c r="N38861" s="84"/>
    </row>
    <row r="38862" spans="1:14" s="2" customFormat="1">
      <c r="A38862" s="83"/>
      <c r="H38862" s="83"/>
      <c r="K38862" s="82"/>
      <c r="M38862" s="112"/>
      <c r="N38862" s="84"/>
    </row>
    <row r="38863" spans="1:14" s="2" customFormat="1">
      <c r="A38863" s="83"/>
      <c r="H38863" s="83"/>
      <c r="K38863" s="82"/>
      <c r="M38863" s="112"/>
      <c r="N38863" s="84"/>
    </row>
    <row r="38864" spans="1:14" s="2" customFormat="1">
      <c r="A38864" s="83"/>
      <c r="H38864" s="83"/>
      <c r="K38864" s="82"/>
      <c r="M38864" s="112"/>
      <c r="N38864" s="84"/>
    </row>
    <row r="38865" spans="1:14" s="2" customFormat="1">
      <c r="A38865" s="83"/>
      <c r="H38865" s="83"/>
      <c r="K38865" s="82"/>
      <c r="M38865" s="112"/>
      <c r="N38865" s="84"/>
    </row>
    <row r="38866" spans="1:14" s="2" customFormat="1">
      <c r="A38866" s="83"/>
      <c r="H38866" s="83"/>
      <c r="K38866" s="82"/>
      <c r="M38866" s="112"/>
      <c r="N38866" s="84"/>
    </row>
    <row r="38867" spans="1:14" s="2" customFormat="1">
      <c r="A38867" s="83"/>
      <c r="H38867" s="83"/>
      <c r="K38867" s="82"/>
      <c r="M38867" s="112"/>
      <c r="N38867" s="84"/>
    </row>
    <row r="38868" spans="1:14" s="2" customFormat="1">
      <c r="A38868" s="83"/>
      <c r="H38868" s="83"/>
      <c r="K38868" s="82"/>
      <c r="M38868" s="112"/>
      <c r="N38868" s="84"/>
    </row>
    <row r="38869" spans="1:14" s="2" customFormat="1">
      <c r="A38869" s="83"/>
      <c r="H38869" s="83"/>
      <c r="K38869" s="82"/>
      <c r="M38869" s="112"/>
      <c r="N38869" s="84"/>
    </row>
    <row r="38870" spans="1:14" s="2" customFormat="1">
      <c r="A38870" s="83"/>
      <c r="H38870" s="83"/>
      <c r="K38870" s="82"/>
      <c r="M38870" s="112"/>
      <c r="N38870" s="84"/>
    </row>
    <row r="38871" spans="1:14" s="2" customFormat="1">
      <c r="A38871" s="83"/>
      <c r="H38871" s="83"/>
      <c r="K38871" s="82"/>
      <c r="M38871" s="112"/>
      <c r="N38871" s="84"/>
    </row>
    <row r="38872" spans="1:14" s="2" customFormat="1">
      <c r="A38872" s="83"/>
      <c r="H38872" s="83"/>
      <c r="K38872" s="82"/>
      <c r="M38872" s="112"/>
      <c r="N38872" s="84"/>
    </row>
    <row r="38873" spans="1:14" s="2" customFormat="1">
      <c r="A38873" s="83"/>
      <c r="H38873" s="83"/>
      <c r="K38873" s="82"/>
      <c r="M38873" s="112"/>
      <c r="N38873" s="84"/>
    </row>
    <row r="38874" spans="1:14" s="2" customFormat="1">
      <c r="A38874" s="83"/>
      <c r="H38874" s="83"/>
      <c r="K38874" s="82"/>
      <c r="M38874" s="112"/>
      <c r="N38874" s="84"/>
    </row>
    <row r="38875" spans="1:14" s="2" customFormat="1">
      <c r="A38875" s="83"/>
      <c r="H38875" s="83"/>
      <c r="K38875" s="82"/>
      <c r="M38875" s="112"/>
      <c r="N38875" s="84"/>
    </row>
    <row r="38876" spans="1:14" s="2" customFormat="1">
      <c r="A38876" s="83"/>
      <c r="H38876" s="83"/>
      <c r="K38876" s="82"/>
      <c r="M38876" s="112"/>
      <c r="N38876" s="84"/>
    </row>
    <row r="38877" spans="1:14" s="2" customFormat="1">
      <c r="A38877" s="83"/>
      <c r="H38877" s="83"/>
      <c r="K38877" s="82"/>
      <c r="M38877" s="112"/>
      <c r="N38877" s="84"/>
    </row>
    <row r="38878" spans="1:14" s="2" customFormat="1">
      <c r="A38878" s="83"/>
      <c r="H38878" s="83"/>
      <c r="K38878" s="82"/>
      <c r="M38878" s="112"/>
      <c r="N38878" s="84"/>
    </row>
    <row r="38879" spans="1:14" s="2" customFormat="1">
      <c r="A38879" s="83"/>
      <c r="H38879" s="83"/>
      <c r="K38879" s="82"/>
      <c r="M38879" s="112"/>
      <c r="N38879" s="84"/>
    </row>
    <row r="38880" spans="1:14" s="2" customFormat="1">
      <c r="A38880" s="83"/>
      <c r="H38880" s="83"/>
      <c r="K38880" s="82"/>
      <c r="M38880" s="112"/>
      <c r="N38880" s="84"/>
    </row>
    <row r="38881" spans="1:14" s="2" customFormat="1">
      <c r="A38881" s="83"/>
      <c r="H38881" s="83"/>
      <c r="K38881" s="82"/>
      <c r="M38881" s="112"/>
      <c r="N38881" s="84"/>
    </row>
    <row r="38882" spans="1:14" s="2" customFormat="1">
      <c r="A38882" s="83"/>
      <c r="H38882" s="83"/>
      <c r="K38882" s="82"/>
      <c r="M38882" s="112"/>
      <c r="N38882" s="84"/>
    </row>
    <row r="38883" spans="1:14" s="2" customFormat="1">
      <c r="A38883" s="83"/>
      <c r="H38883" s="83"/>
      <c r="K38883" s="82"/>
      <c r="M38883" s="112"/>
      <c r="N38883" s="84"/>
    </row>
    <row r="38884" spans="1:14" s="2" customFormat="1">
      <c r="A38884" s="83"/>
      <c r="H38884" s="83"/>
      <c r="K38884" s="82"/>
      <c r="M38884" s="112"/>
      <c r="N38884" s="84"/>
    </row>
    <row r="38885" spans="1:14" s="2" customFormat="1">
      <c r="A38885" s="83"/>
      <c r="H38885" s="83"/>
      <c r="K38885" s="82"/>
      <c r="M38885" s="112"/>
      <c r="N38885" s="84"/>
    </row>
    <row r="38886" spans="1:14" s="2" customFormat="1">
      <c r="A38886" s="83"/>
      <c r="H38886" s="83"/>
      <c r="K38886" s="82"/>
      <c r="M38886" s="112"/>
      <c r="N38886" s="84"/>
    </row>
    <row r="38887" spans="1:14" s="2" customFormat="1">
      <c r="A38887" s="83"/>
      <c r="H38887" s="83"/>
      <c r="K38887" s="82"/>
      <c r="M38887" s="112"/>
      <c r="N38887" s="84"/>
    </row>
    <row r="38888" spans="1:14" s="2" customFormat="1">
      <c r="A38888" s="83"/>
      <c r="H38888" s="83"/>
      <c r="K38888" s="82"/>
      <c r="M38888" s="112"/>
      <c r="N38888" s="84"/>
    </row>
    <row r="38889" spans="1:14" s="2" customFormat="1">
      <c r="A38889" s="83"/>
      <c r="H38889" s="83"/>
      <c r="K38889" s="82"/>
      <c r="M38889" s="112"/>
      <c r="N38889" s="84"/>
    </row>
    <row r="38890" spans="1:14" s="2" customFormat="1">
      <c r="A38890" s="83"/>
      <c r="H38890" s="83"/>
      <c r="K38890" s="82"/>
      <c r="M38890" s="112"/>
      <c r="N38890" s="84"/>
    </row>
    <row r="38891" spans="1:14" s="2" customFormat="1">
      <c r="A38891" s="83"/>
      <c r="H38891" s="83"/>
      <c r="K38891" s="82"/>
      <c r="M38891" s="112"/>
      <c r="N38891" s="84"/>
    </row>
    <row r="38892" spans="1:14" s="2" customFormat="1">
      <c r="A38892" s="83"/>
      <c r="H38892" s="83"/>
      <c r="K38892" s="82"/>
      <c r="M38892" s="112"/>
      <c r="N38892" s="84"/>
    </row>
    <row r="38893" spans="1:14" s="2" customFormat="1">
      <c r="A38893" s="83"/>
      <c r="H38893" s="83"/>
      <c r="K38893" s="82"/>
      <c r="M38893" s="112"/>
      <c r="N38893" s="84"/>
    </row>
    <row r="38894" spans="1:14" s="2" customFormat="1">
      <c r="A38894" s="83"/>
      <c r="H38894" s="83"/>
      <c r="K38894" s="82"/>
      <c r="M38894" s="112"/>
      <c r="N38894" s="84"/>
    </row>
    <row r="38895" spans="1:14" s="2" customFormat="1">
      <c r="A38895" s="83"/>
      <c r="H38895" s="83"/>
      <c r="K38895" s="82"/>
      <c r="M38895" s="112"/>
      <c r="N38895" s="84"/>
    </row>
    <row r="38896" spans="1:14" s="2" customFormat="1">
      <c r="A38896" s="83"/>
      <c r="H38896" s="83"/>
      <c r="K38896" s="82"/>
      <c r="M38896" s="112"/>
      <c r="N38896" s="84"/>
    </row>
    <row r="38897" spans="1:14" s="2" customFormat="1">
      <c r="A38897" s="83"/>
      <c r="H38897" s="83"/>
      <c r="K38897" s="82"/>
      <c r="M38897" s="112"/>
      <c r="N38897" s="84"/>
    </row>
    <row r="38898" spans="1:14" s="2" customFormat="1">
      <c r="A38898" s="83"/>
      <c r="H38898" s="83"/>
      <c r="K38898" s="82"/>
      <c r="M38898" s="112"/>
      <c r="N38898" s="84"/>
    </row>
    <row r="38899" spans="1:14" s="2" customFormat="1">
      <c r="A38899" s="83"/>
      <c r="H38899" s="83"/>
      <c r="K38899" s="82"/>
      <c r="M38899" s="112"/>
      <c r="N38899" s="84"/>
    </row>
    <row r="38900" spans="1:14" s="2" customFormat="1">
      <c r="A38900" s="83"/>
      <c r="H38900" s="83"/>
      <c r="K38900" s="82"/>
      <c r="M38900" s="112"/>
      <c r="N38900" s="84"/>
    </row>
    <row r="38901" spans="1:14" s="2" customFormat="1">
      <c r="A38901" s="83"/>
      <c r="H38901" s="83"/>
      <c r="K38901" s="82"/>
      <c r="M38901" s="112"/>
      <c r="N38901" s="84"/>
    </row>
    <row r="38902" spans="1:14" s="2" customFormat="1">
      <c r="A38902" s="83"/>
      <c r="H38902" s="83"/>
      <c r="K38902" s="82"/>
      <c r="M38902" s="112"/>
      <c r="N38902" s="84"/>
    </row>
    <row r="38903" spans="1:14" s="2" customFormat="1">
      <c r="A38903" s="83"/>
      <c r="H38903" s="83"/>
      <c r="K38903" s="82"/>
      <c r="M38903" s="112"/>
      <c r="N38903" s="84"/>
    </row>
    <row r="38904" spans="1:14" s="2" customFormat="1">
      <c r="A38904" s="83"/>
      <c r="H38904" s="83"/>
      <c r="K38904" s="82"/>
      <c r="M38904" s="112"/>
      <c r="N38904" s="84"/>
    </row>
    <row r="38905" spans="1:14" s="2" customFormat="1">
      <c r="A38905" s="83"/>
      <c r="H38905" s="83"/>
      <c r="K38905" s="82"/>
      <c r="M38905" s="112"/>
      <c r="N38905" s="84"/>
    </row>
    <row r="38906" spans="1:14" s="2" customFormat="1">
      <c r="A38906" s="83"/>
      <c r="H38906" s="83"/>
      <c r="K38906" s="82"/>
      <c r="M38906" s="112"/>
      <c r="N38906" s="84"/>
    </row>
    <row r="38907" spans="1:14" s="2" customFormat="1">
      <c r="A38907" s="83"/>
      <c r="H38907" s="83"/>
      <c r="K38907" s="82"/>
      <c r="M38907" s="112"/>
      <c r="N38907" s="84"/>
    </row>
    <row r="38908" spans="1:14" s="2" customFormat="1">
      <c r="A38908" s="83"/>
      <c r="H38908" s="83"/>
      <c r="K38908" s="82"/>
      <c r="M38908" s="112"/>
      <c r="N38908" s="84"/>
    </row>
    <row r="38909" spans="1:14" s="2" customFormat="1">
      <c r="A38909" s="83"/>
      <c r="H38909" s="83"/>
      <c r="K38909" s="82"/>
      <c r="M38909" s="112"/>
      <c r="N38909" s="84"/>
    </row>
    <row r="38910" spans="1:14" s="2" customFormat="1">
      <c r="A38910" s="83"/>
      <c r="H38910" s="83"/>
      <c r="K38910" s="82"/>
      <c r="M38910" s="112"/>
      <c r="N38910" s="84"/>
    </row>
    <row r="38911" spans="1:14" s="2" customFormat="1">
      <c r="A38911" s="83"/>
      <c r="H38911" s="83"/>
      <c r="K38911" s="82"/>
      <c r="M38911" s="112"/>
      <c r="N38911" s="84"/>
    </row>
    <row r="38912" spans="1:14" s="2" customFormat="1">
      <c r="A38912" s="83"/>
      <c r="H38912" s="83"/>
      <c r="K38912" s="82"/>
      <c r="M38912" s="112"/>
      <c r="N38912" s="84"/>
    </row>
    <row r="38913" spans="1:14" s="2" customFormat="1">
      <c r="A38913" s="83"/>
      <c r="H38913" s="83"/>
      <c r="K38913" s="82"/>
      <c r="M38913" s="112"/>
      <c r="N38913" s="84"/>
    </row>
    <row r="38914" spans="1:14" s="2" customFormat="1">
      <c r="A38914" s="83"/>
      <c r="H38914" s="83"/>
      <c r="K38914" s="82"/>
      <c r="M38914" s="112"/>
      <c r="N38914" s="84"/>
    </row>
    <row r="38915" spans="1:14" s="2" customFormat="1">
      <c r="A38915" s="83"/>
      <c r="H38915" s="83"/>
      <c r="K38915" s="82"/>
      <c r="M38915" s="112"/>
      <c r="N38915" s="84"/>
    </row>
    <row r="38916" spans="1:14" s="2" customFormat="1">
      <c r="A38916" s="83"/>
      <c r="H38916" s="83"/>
      <c r="K38916" s="82"/>
      <c r="M38916" s="112"/>
      <c r="N38916" s="84"/>
    </row>
    <row r="38917" spans="1:14" s="2" customFormat="1">
      <c r="A38917" s="83"/>
      <c r="H38917" s="83"/>
      <c r="K38917" s="82"/>
      <c r="M38917" s="112"/>
      <c r="N38917" s="84"/>
    </row>
    <row r="38918" spans="1:14" s="2" customFormat="1">
      <c r="A38918" s="83"/>
      <c r="H38918" s="83"/>
      <c r="K38918" s="82"/>
      <c r="M38918" s="112"/>
      <c r="N38918" s="84"/>
    </row>
    <row r="38919" spans="1:14" s="2" customFormat="1">
      <c r="A38919" s="83"/>
      <c r="H38919" s="83"/>
      <c r="K38919" s="82"/>
      <c r="M38919" s="112"/>
      <c r="N38919" s="84"/>
    </row>
    <row r="38920" spans="1:14" s="2" customFormat="1">
      <c r="A38920" s="83"/>
      <c r="H38920" s="83"/>
      <c r="K38920" s="82"/>
      <c r="M38920" s="112"/>
      <c r="N38920" s="84"/>
    </row>
    <row r="38921" spans="1:14" s="2" customFormat="1">
      <c r="A38921" s="83"/>
      <c r="H38921" s="83"/>
      <c r="K38921" s="82"/>
      <c r="M38921" s="112"/>
      <c r="N38921" s="84"/>
    </row>
    <row r="38922" spans="1:14" s="2" customFormat="1">
      <c r="A38922" s="83"/>
      <c r="H38922" s="83"/>
      <c r="K38922" s="82"/>
      <c r="M38922" s="112"/>
      <c r="N38922" s="84"/>
    </row>
    <row r="38923" spans="1:14" s="2" customFormat="1">
      <c r="A38923" s="83"/>
      <c r="H38923" s="83"/>
      <c r="K38923" s="82"/>
      <c r="M38923" s="112"/>
      <c r="N38923" s="84"/>
    </row>
    <row r="38924" spans="1:14" s="2" customFormat="1">
      <c r="A38924" s="83"/>
      <c r="H38924" s="83"/>
      <c r="K38924" s="82"/>
      <c r="M38924" s="112"/>
      <c r="N38924" s="84"/>
    </row>
    <row r="38925" spans="1:14" s="2" customFormat="1">
      <c r="A38925" s="83"/>
      <c r="H38925" s="83"/>
      <c r="K38925" s="82"/>
      <c r="M38925" s="112"/>
      <c r="N38925" s="84"/>
    </row>
    <row r="38926" spans="1:14" s="2" customFormat="1">
      <c r="A38926" s="83"/>
      <c r="H38926" s="83"/>
      <c r="K38926" s="82"/>
      <c r="M38926" s="112"/>
      <c r="N38926" s="84"/>
    </row>
    <row r="38927" spans="1:14" s="2" customFormat="1">
      <c r="A38927" s="83"/>
      <c r="H38927" s="83"/>
      <c r="K38927" s="82"/>
      <c r="M38927" s="112"/>
      <c r="N38927" s="84"/>
    </row>
    <row r="38928" spans="1:14" s="2" customFormat="1">
      <c r="A38928" s="83"/>
      <c r="H38928" s="83"/>
      <c r="K38928" s="82"/>
      <c r="M38928" s="112"/>
      <c r="N38928" s="84"/>
    </row>
    <row r="38929" spans="1:14" s="2" customFormat="1">
      <c r="A38929" s="83"/>
      <c r="H38929" s="83"/>
      <c r="K38929" s="82"/>
      <c r="M38929" s="112"/>
      <c r="N38929" s="84"/>
    </row>
    <row r="38930" spans="1:14" s="2" customFormat="1">
      <c r="A38930" s="83"/>
      <c r="H38930" s="83"/>
      <c r="K38930" s="82"/>
      <c r="M38930" s="112"/>
      <c r="N38930" s="84"/>
    </row>
    <row r="38931" spans="1:14" s="2" customFormat="1">
      <c r="A38931" s="83"/>
      <c r="H38931" s="83"/>
      <c r="K38931" s="82"/>
      <c r="M38931" s="112"/>
      <c r="N38931" s="84"/>
    </row>
    <row r="38932" spans="1:14" s="2" customFormat="1">
      <c r="A38932" s="83"/>
      <c r="H38932" s="83"/>
      <c r="K38932" s="82"/>
      <c r="M38932" s="112"/>
      <c r="N38932" s="84"/>
    </row>
    <row r="38933" spans="1:14" s="2" customFormat="1">
      <c r="A38933" s="83"/>
      <c r="H38933" s="83"/>
      <c r="K38933" s="82"/>
      <c r="M38933" s="112"/>
      <c r="N38933" s="84"/>
    </row>
    <row r="38934" spans="1:14" s="2" customFormat="1">
      <c r="A38934" s="83"/>
      <c r="H38934" s="83"/>
      <c r="K38934" s="82"/>
      <c r="M38934" s="112"/>
      <c r="N38934" s="84"/>
    </row>
    <row r="38935" spans="1:14" s="2" customFormat="1">
      <c r="A38935" s="83"/>
      <c r="H38935" s="83"/>
      <c r="K38935" s="82"/>
      <c r="M38935" s="112"/>
      <c r="N38935" s="84"/>
    </row>
    <row r="38936" spans="1:14" s="2" customFormat="1">
      <c r="A38936" s="83"/>
      <c r="H38936" s="83"/>
      <c r="K38936" s="82"/>
      <c r="M38936" s="112"/>
      <c r="N38936" s="84"/>
    </row>
    <row r="38937" spans="1:14" s="2" customFormat="1">
      <c r="A38937" s="83"/>
      <c r="H38937" s="83"/>
      <c r="K38937" s="82"/>
      <c r="M38937" s="112"/>
      <c r="N38937" s="84"/>
    </row>
    <row r="38938" spans="1:14" s="2" customFormat="1">
      <c r="A38938" s="83"/>
      <c r="H38938" s="83"/>
      <c r="K38938" s="82"/>
      <c r="M38938" s="112"/>
      <c r="N38938" s="84"/>
    </row>
    <row r="38939" spans="1:14" s="2" customFormat="1">
      <c r="A38939" s="83"/>
      <c r="H38939" s="83"/>
      <c r="K38939" s="82"/>
      <c r="M38939" s="112"/>
      <c r="N38939" s="84"/>
    </row>
    <row r="38940" spans="1:14" s="2" customFormat="1">
      <c r="A38940" s="83"/>
      <c r="H38940" s="83"/>
      <c r="K38940" s="82"/>
      <c r="M38940" s="112"/>
      <c r="N38940" s="84"/>
    </row>
    <row r="38941" spans="1:14" s="2" customFormat="1">
      <c r="A38941" s="83"/>
      <c r="H38941" s="83"/>
      <c r="K38941" s="82"/>
      <c r="M38941" s="112"/>
      <c r="N38941" s="84"/>
    </row>
    <row r="38942" spans="1:14" s="2" customFormat="1">
      <c r="A38942" s="83"/>
      <c r="H38942" s="83"/>
      <c r="K38942" s="82"/>
      <c r="M38942" s="112"/>
      <c r="N38942" s="84"/>
    </row>
    <row r="38943" spans="1:14" s="2" customFormat="1">
      <c r="A38943" s="83"/>
      <c r="H38943" s="83"/>
      <c r="K38943" s="82"/>
      <c r="M38943" s="112"/>
      <c r="N38943" s="84"/>
    </row>
    <row r="38944" spans="1:14" s="2" customFormat="1">
      <c r="A38944" s="83"/>
      <c r="H38944" s="83"/>
      <c r="K38944" s="82"/>
      <c r="M38944" s="112"/>
      <c r="N38944" s="84"/>
    </row>
    <row r="38945" spans="1:14" s="2" customFormat="1">
      <c r="A38945" s="83"/>
      <c r="H38945" s="83"/>
      <c r="K38945" s="82"/>
      <c r="M38945" s="112"/>
      <c r="N38945" s="84"/>
    </row>
    <row r="38946" spans="1:14" s="2" customFormat="1">
      <c r="A38946" s="83"/>
      <c r="H38946" s="83"/>
      <c r="K38946" s="82"/>
      <c r="M38946" s="112"/>
      <c r="N38946" s="84"/>
    </row>
    <row r="38947" spans="1:14" s="2" customFormat="1">
      <c r="A38947" s="83"/>
      <c r="H38947" s="83"/>
      <c r="K38947" s="82"/>
      <c r="M38947" s="112"/>
      <c r="N38947" s="84"/>
    </row>
    <row r="38948" spans="1:14" s="2" customFormat="1">
      <c r="A38948" s="83"/>
      <c r="H38948" s="83"/>
      <c r="K38948" s="82"/>
      <c r="M38948" s="112"/>
      <c r="N38948" s="84"/>
    </row>
    <row r="38949" spans="1:14" s="2" customFormat="1">
      <c r="A38949" s="83"/>
      <c r="H38949" s="83"/>
      <c r="K38949" s="82"/>
      <c r="M38949" s="112"/>
      <c r="N38949" s="84"/>
    </row>
    <row r="38950" spans="1:14" s="2" customFormat="1">
      <c r="A38950" s="83"/>
      <c r="H38950" s="83"/>
      <c r="K38950" s="82"/>
      <c r="M38950" s="112"/>
      <c r="N38950" s="84"/>
    </row>
    <row r="38951" spans="1:14" s="2" customFormat="1">
      <c r="A38951" s="83"/>
      <c r="H38951" s="83"/>
      <c r="K38951" s="82"/>
      <c r="M38951" s="112"/>
      <c r="N38951" s="84"/>
    </row>
    <row r="38952" spans="1:14" s="2" customFormat="1">
      <c r="A38952" s="83"/>
      <c r="H38952" s="83"/>
      <c r="K38952" s="82"/>
      <c r="M38952" s="112"/>
      <c r="N38952" s="84"/>
    </row>
    <row r="38953" spans="1:14" s="2" customFormat="1">
      <c r="A38953" s="83"/>
      <c r="H38953" s="83"/>
      <c r="K38953" s="82"/>
      <c r="M38953" s="112"/>
      <c r="N38953" s="84"/>
    </row>
    <row r="38954" spans="1:14" s="2" customFormat="1">
      <c r="A38954" s="83"/>
      <c r="H38954" s="83"/>
      <c r="K38954" s="82"/>
      <c r="M38954" s="112"/>
      <c r="N38954" s="84"/>
    </row>
    <row r="38955" spans="1:14" s="2" customFormat="1">
      <c r="A38955" s="83"/>
      <c r="H38955" s="83"/>
      <c r="K38955" s="82"/>
      <c r="M38955" s="112"/>
      <c r="N38955" s="84"/>
    </row>
    <row r="38956" spans="1:14" s="2" customFormat="1">
      <c r="A38956" s="83"/>
      <c r="H38956" s="83"/>
      <c r="K38956" s="82"/>
      <c r="M38956" s="112"/>
      <c r="N38956" s="84"/>
    </row>
    <row r="38957" spans="1:14" s="2" customFormat="1">
      <c r="A38957" s="83"/>
      <c r="H38957" s="83"/>
      <c r="K38957" s="82"/>
      <c r="M38957" s="112"/>
      <c r="N38957" s="84"/>
    </row>
    <row r="38958" spans="1:14" s="2" customFormat="1">
      <c r="A38958" s="83"/>
      <c r="H38958" s="83"/>
      <c r="K38958" s="82"/>
      <c r="M38958" s="112"/>
      <c r="N38958" s="84"/>
    </row>
    <row r="38959" spans="1:14" s="2" customFormat="1">
      <c r="A38959" s="83"/>
      <c r="H38959" s="83"/>
      <c r="K38959" s="82"/>
      <c r="M38959" s="112"/>
      <c r="N38959" s="84"/>
    </row>
    <row r="38960" spans="1:14" s="2" customFormat="1">
      <c r="A38960" s="83"/>
      <c r="H38960" s="83"/>
      <c r="K38960" s="82"/>
      <c r="M38960" s="112"/>
      <c r="N38960" s="84"/>
    </row>
    <row r="38961" spans="1:14" s="2" customFormat="1">
      <c r="A38961" s="83"/>
      <c r="H38961" s="83"/>
      <c r="K38961" s="82"/>
      <c r="M38961" s="112"/>
      <c r="N38961" s="84"/>
    </row>
    <row r="38962" spans="1:14" s="2" customFormat="1">
      <c r="A38962" s="83"/>
      <c r="H38962" s="83"/>
      <c r="K38962" s="82"/>
      <c r="M38962" s="112"/>
      <c r="N38962" s="84"/>
    </row>
    <row r="38963" spans="1:14" s="2" customFormat="1">
      <c r="A38963" s="83"/>
      <c r="H38963" s="83"/>
      <c r="K38963" s="82"/>
      <c r="M38963" s="112"/>
      <c r="N38963" s="84"/>
    </row>
    <row r="38964" spans="1:14" s="2" customFormat="1">
      <c r="A38964" s="83"/>
      <c r="H38964" s="83"/>
      <c r="K38964" s="82"/>
      <c r="M38964" s="112"/>
      <c r="N38964" s="84"/>
    </row>
    <row r="38965" spans="1:14" s="2" customFormat="1">
      <c r="A38965" s="83"/>
      <c r="H38965" s="83"/>
      <c r="K38965" s="82"/>
      <c r="M38965" s="112"/>
      <c r="N38965" s="84"/>
    </row>
    <row r="38966" spans="1:14" s="2" customFormat="1">
      <c r="A38966" s="83"/>
      <c r="H38966" s="83"/>
      <c r="K38966" s="82"/>
      <c r="M38966" s="112"/>
      <c r="N38966" s="84"/>
    </row>
    <row r="38967" spans="1:14" s="2" customFormat="1">
      <c r="A38967" s="83"/>
      <c r="H38967" s="83"/>
      <c r="K38967" s="82"/>
      <c r="M38967" s="112"/>
      <c r="N38967" s="84"/>
    </row>
    <row r="38968" spans="1:14" s="2" customFormat="1">
      <c r="A38968" s="83"/>
      <c r="H38968" s="83"/>
      <c r="K38968" s="82"/>
      <c r="M38968" s="112"/>
      <c r="N38968" s="84"/>
    </row>
    <row r="38969" spans="1:14" s="2" customFormat="1">
      <c r="A38969" s="83"/>
      <c r="H38969" s="83"/>
      <c r="K38969" s="82"/>
      <c r="M38969" s="112"/>
      <c r="N38969" s="84"/>
    </row>
    <row r="38970" spans="1:14" s="2" customFormat="1">
      <c r="A38970" s="83"/>
      <c r="H38970" s="83"/>
      <c r="K38970" s="82"/>
      <c r="M38970" s="112"/>
      <c r="N38970" s="84"/>
    </row>
    <row r="38971" spans="1:14" s="2" customFormat="1">
      <c r="A38971" s="83"/>
      <c r="H38971" s="83"/>
      <c r="K38971" s="82"/>
      <c r="M38971" s="112"/>
      <c r="N38971" s="84"/>
    </row>
    <row r="38972" spans="1:14" s="2" customFormat="1">
      <c r="A38972" s="83"/>
      <c r="H38972" s="83"/>
      <c r="K38972" s="82"/>
      <c r="M38972" s="112"/>
      <c r="N38972" s="84"/>
    </row>
    <row r="38973" spans="1:14" s="2" customFormat="1">
      <c r="A38973" s="83"/>
      <c r="H38973" s="83"/>
      <c r="K38973" s="82"/>
      <c r="M38973" s="112"/>
      <c r="N38973" s="84"/>
    </row>
    <row r="38974" spans="1:14" s="2" customFormat="1">
      <c r="A38974" s="83"/>
      <c r="H38974" s="83"/>
      <c r="K38974" s="82"/>
      <c r="M38974" s="112"/>
      <c r="N38974" s="84"/>
    </row>
    <row r="38975" spans="1:14" s="2" customFormat="1">
      <c r="A38975" s="83"/>
      <c r="H38975" s="83"/>
      <c r="K38975" s="82"/>
      <c r="M38975" s="112"/>
      <c r="N38975" s="84"/>
    </row>
    <row r="38976" spans="1:14" s="2" customFormat="1">
      <c r="A38976" s="83"/>
      <c r="H38976" s="83"/>
      <c r="K38976" s="82"/>
      <c r="M38976" s="112"/>
      <c r="N38976" s="84"/>
    </row>
    <row r="38977" spans="1:14" s="2" customFormat="1">
      <c r="A38977" s="83"/>
      <c r="H38977" s="83"/>
      <c r="K38977" s="82"/>
      <c r="M38977" s="112"/>
      <c r="N38977" s="84"/>
    </row>
    <row r="38978" spans="1:14" s="2" customFormat="1">
      <c r="A38978" s="83"/>
      <c r="H38978" s="83"/>
      <c r="K38978" s="82"/>
      <c r="M38978" s="112"/>
      <c r="N38978" s="84"/>
    </row>
    <row r="38979" spans="1:14" s="2" customFormat="1">
      <c r="A38979" s="83"/>
      <c r="H38979" s="83"/>
      <c r="K38979" s="82"/>
      <c r="M38979" s="112"/>
      <c r="N38979" s="84"/>
    </row>
    <row r="38980" spans="1:14" s="2" customFormat="1">
      <c r="A38980" s="83"/>
      <c r="H38980" s="83"/>
      <c r="K38980" s="82"/>
      <c r="M38980" s="112"/>
      <c r="N38980" s="84"/>
    </row>
    <row r="38981" spans="1:14" s="2" customFormat="1">
      <c r="A38981" s="83"/>
      <c r="H38981" s="83"/>
      <c r="K38981" s="82"/>
      <c r="M38981" s="112"/>
      <c r="N38981" s="84"/>
    </row>
    <row r="38982" spans="1:14" s="2" customFormat="1">
      <c r="A38982" s="83"/>
      <c r="H38982" s="83"/>
      <c r="K38982" s="82"/>
      <c r="M38982" s="112"/>
      <c r="N38982" s="84"/>
    </row>
    <row r="38983" spans="1:14" s="2" customFormat="1">
      <c r="A38983" s="83"/>
      <c r="H38983" s="83"/>
      <c r="K38983" s="82"/>
      <c r="M38983" s="112"/>
      <c r="N38983" s="84"/>
    </row>
    <row r="38984" spans="1:14" s="2" customFormat="1">
      <c r="A38984" s="83"/>
      <c r="H38984" s="83"/>
      <c r="K38984" s="82"/>
      <c r="M38984" s="112"/>
      <c r="N38984" s="84"/>
    </row>
    <row r="38985" spans="1:14" s="2" customFormat="1">
      <c r="A38985" s="83"/>
      <c r="H38985" s="83"/>
      <c r="K38985" s="82"/>
      <c r="M38985" s="112"/>
      <c r="N38985" s="84"/>
    </row>
    <row r="38986" spans="1:14" s="2" customFormat="1">
      <c r="A38986" s="83"/>
      <c r="H38986" s="83"/>
      <c r="K38986" s="82"/>
      <c r="M38986" s="112"/>
      <c r="N38986" s="84"/>
    </row>
    <row r="38987" spans="1:14" s="2" customFormat="1">
      <c r="A38987" s="83"/>
      <c r="H38987" s="83"/>
      <c r="K38987" s="82"/>
      <c r="M38987" s="112"/>
      <c r="N38987" s="84"/>
    </row>
    <row r="38988" spans="1:14" s="2" customFormat="1">
      <c r="A38988" s="83"/>
      <c r="H38988" s="83"/>
      <c r="K38988" s="82"/>
      <c r="M38988" s="112"/>
      <c r="N38988" s="84"/>
    </row>
    <row r="38989" spans="1:14" s="2" customFormat="1">
      <c r="A38989" s="83"/>
      <c r="H38989" s="83"/>
      <c r="K38989" s="82"/>
      <c r="M38989" s="112"/>
      <c r="N38989" s="84"/>
    </row>
    <row r="38990" spans="1:14" s="2" customFormat="1">
      <c r="A38990" s="83"/>
      <c r="H38990" s="83"/>
      <c r="K38990" s="82"/>
      <c r="M38990" s="112"/>
      <c r="N38990" s="84"/>
    </row>
    <row r="38991" spans="1:14" s="2" customFormat="1">
      <c r="A38991" s="83"/>
      <c r="H38991" s="83"/>
      <c r="K38991" s="82"/>
      <c r="M38991" s="112"/>
      <c r="N38991" s="84"/>
    </row>
    <row r="38992" spans="1:14" s="2" customFormat="1">
      <c r="A38992" s="83"/>
      <c r="H38992" s="83"/>
      <c r="K38992" s="82"/>
      <c r="M38992" s="112"/>
      <c r="N38992" s="84"/>
    </row>
    <row r="38993" spans="1:14" s="2" customFormat="1">
      <c r="A38993" s="83"/>
      <c r="H38993" s="83"/>
      <c r="K38993" s="82"/>
      <c r="M38993" s="112"/>
      <c r="N38993" s="84"/>
    </row>
    <row r="38994" spans="1:14" s="2" customFormat="1">
      <c r="A38994" s="83"/>
      <c r="H38994" s="83"/>
      <c r="K38994" s="82"/>
      <c r="M38994" s="112"/>
      <c r="N38994" s="84"/>
    </row>
    <row r="38995" spans="1:14" s="2" customFormat="1">
      <c r="A38995" s="83"/>
      <c r="H38995" s="83"/>
      <c r="K38995" s="82"/>
      <c r="M38995" s="112"/>
      <c r="N38995" s="84"/>
    </row>
    <row r="38996" spans="1:14" s="2" customFormat="1">
      <c r="A38996" s="83"/>
      <c r="H38996" s="83"/>
      <c r="K38996" s="82"/>
      <c r="M38996" s="112"/>
      <c r="N38996" s="84"/>
    </row>
    <row r="38997" spans="1:14" s="2" customFormat="1">
      <c r="A38997" s="83"/>
      <c r="H38997" s="83"/>
      <c r="K38997" s="82"/>
      <c r="M38997" s="112"/>
      <c r="N38997" s="84"/>
    </row>
    <row r="38998" spans="1:14" s="2" customFormat="1">
      <c r="A38998" s="83"/>
      <c r="H38998" s="83"/>
      <c r="K38998" s="82"/>
      <c r="M38998" s="112"/>
      <c r="N38998" s="84"/>
    </row>
    <row r="38999" spans="1:14" s="2" customFormat="1">
      <c r="A38999" s="83"/>
      <c r="H38999" s="83"/>
      <c r="K38999" s="82"/>
      <c r="M38999" s="112"/>
      <c r="N38999" s="84"/>
    </row>
    <row r="39000" spans="1:14" s="2" customFormat="1">
      <c r="A39000" s="83"/>
      <c r="H39000" s="83"/>
      <c r="K39000" s="82"/>
      <c r="M39000" s="112"/>
      <c r="N39000" s="84"/>
    </row>
    <row r="39001" spans="1:14" s="2" customFormat="1">
      <c r="A39001" s="83"/>
      <c r="H39001" s="83"/>
      <c r="K39001" s="82"/>
      <c r="M39001" s="112"/>
      <c r="N39001" s="84"/>
    </row>
    <row r="39002" spans="1:14" s="2" customFormat="1">
      <c r="A39002" s="83"/>
      <c r="H39002" s="83"/>
      <c r="K39002" s="82"/>
      <c r="M39002" s="112"/>
      <c r="N39002" s="84"/>
    </row>
    <row r="39003" spans="1:14" s="2" customFormat="1">
      <c r="A39003" s="83"/>
      <c r="H39003" s="83"/>
      <c r="K39003" s="82"/>
      <c r="M39003" s="112"/>
      <c r="N39003" s="84"/>
    </row>
    <row r="39004" spans="1:14" s="2" customFormat="1">
      <c r="A39004" s="83"/>
      <c r="H39004" s="83"/>
      <c r="K39004" s="82"/>
      <c r="M39004" s="112"/>
      <c r="N39004" s="84"/>
    </row>
    <row r="39005" spans="1:14" s="2" customFormat="1">
      <c r="A39005" s="83"/>
      <c r="H39005" s="83"/>
      <c r="K39005" s="82"/>
      <c r="M39005" s="112"/>
      <c r="N39005" s="84"/>
    </row>
    <row r="39006" spans="1:14" s="2" customFormat="1">
      <c r="A39006" s="83"/>
      <c r="H39006" s="83"/>
      <c r="K39006" s="82"/>
      <c r="M39006" s="112"/>
      <c r="N39006" s="84"/>
    </row>
    <row r="39007" spans="1:14" s="2" customFormat="1">
      <c r="A39007" s="83"/>
      <c r="H39007" s="83"/>
      <c r="K39007" s="82"/>
      <c r="M39007" s="112"/>
      <c r="N39007" s="84"/>
    </row>
    <row r="39008" spans="1:14" s="2" customFormat="1">
      <c r="A39008" s="83"/>
      <c r="H39008" s="83"/>
      <c r="K39008" s="82"/>
      <c r="M39008" s="112"/>
      <c r="N39008" s="84"/>
    </row>
    <row r="39009" spans="1:14" s="2" customFormat="1">
      <c r="A39009" s="83"/>
      <c r="H39009" s="83"/>
      <c r="K39009" s="82"/>
      <c r="M39009" s="112"/>
      <c r="N39009" s="84"/>
    </row>
    <row r="39010" spans="1:14" s="2" customFormat="1">
      <c r="A39010" s="83"/>
      <c r="H39010" s="83"/>
      <c r="K39010" s="82"/>
      <c r="M39010" s="112"/>
      <c r="N39010" s="84"/>
    </row>
    <row r="39011" spans="1:14" s="2" customFormat="1">
      <c r="A39011" s="83"/>
      <c r="H39011" s="83"/>
      <c r="K39011" s="82"/>
      <c r="M39011" s="112"/>
      <c r="N39011" s="84"/>
    </row>
    <row r="39012" spans="1:14" s="2" customFormat="1">
      <c r="A39012" s="83"/>
      <c r="H39012" s="83"/>
      <c r="K39012" s="82"/>
      <c r="M39012" s="112"/>
      <c r="N39012" s="84"/>
    </row>
    <row r="39013" spans="1:14" s="2" customFormat="1">
      <c r="A39013" s="83"/>
      <c r="H39013" s="83"/>
      <c r="K39013" s="82"/>
      <c r="M39013" s="112"/>
      <c r="N39013" s="84"/>
    </row>
    <row r="39014" spans="1:14" s="2" customFormat="1">
      <c r="A39014" s="83"/>
      <c r="H39014" s="83"/>
      <c r="K39014" s="82"/>
      <c r="M39014" s="112"/>
      <c r="N39014" s="84"/>
    </row>
    <row r="39015" spans="1:14" s="2" customFormat="1">
      <c r="A39015" s="83"/>
      <c r="H39015" s="83"/>
      <c r="K39015" s="82"/>
      <c r="M39015" s="112"/>
      <c r="N39015" s="84"/>
    </row>
    <row r="39016" spans="1:14" s="2" customFormat="1">
      <c r="A39016" s="83"/>
      <c r="H39016" s="83"/>
      <c r="K39016" s="82"/>
      <c r="M39016" s="112"/>
      <c r="N39016" s="84"/>
    </row>
    <row r="39017" spans="1:14" s="2" customFormat="1">
      <c r="A39017" s="83"/>
      <c r="H39017" s="83"/>
      <c r="K39017" s="82"/>
      <c r="M39017" s="112"/>
      <c r="N39017" s="84"/>
    </row>
    <row r="39018" spans="1:14" s="2" customFormat="1">
      <c r="A39018" s="83"/>
      <c r="H39018" s="83"/>
      <c r="K39018" s="82"/>
      <c r="M39018" s="112"/>
      <c r="N39018" s="84"/>
    </row>
    <row r="39019" spans="1:14" s="2" customFormat="1">
      <c r="A39019" s="83"/>
      <c r="H39019" s="83"/>
      <c r="K39019" s="82"/>
      <c r="M39019" s="112"/>
      <c r="N39019" s="84"/>
    </row>
    <row r="39020" spans="1:14" s="2" customFormat="1">
      <c r="A39020" s="83"/>
      <c r="H39020" s="83"/>
      <c r="K39020" s="82"/>
      <c r="M39020" s="112"/>
      <c r="N39020" s="84"/>
    </row>
    <row r="39021" spans="1:14" s="2" customFormat="1">
      <c r="A39021" s="83"/>
      <c r="H39021" s="83"/>
      <c r="K39021" s="82"/>
      <c r="M39021" s="112"/>
      <c r="N39021" s="84"/>
    </row>
    <row r="39022" spans="1:14" s="2" customFormat="1">
      <c r="A39022" s="83"/>
      <c r="H39022" s="83"/>
      <c r="K39022" s="82"/>
      <c r="M39022" s="112"/>
      <c r="N39022" s="84"/>
    </row>
    <row r="39023" spans="1:14" s="2" customFormat="1">
      <c r="A39023" s="83"/>
      <c r="H39023" s="83"/>
      <c r="K39023" s="82"/>
      <c r="M39023" s="112"/>
      <c r="N39023" s="84"/>
    </row>
    <row r="39024" spans="1:14" s="2" customFormat="1">
      <c r="A39024" s="83"/>
      <c r="H39024" s="83"/>
      <c r="K39024" s="82"/>
      <c r="M39024" s="112"/>
      <c r="N39024" s="84"/>
    </row>
    <row r="39025" spans="1:14" s="2" customFormat="1">
      <c r="A39025" s="83"/>
      <c r="H39025" s="83"/>
      <c r="K39025" s="82"/>
      <c r="M39025" s="112"/>
      <c r="N39025" s="84"/>
    </row>
    <row r="39026" spans="1:14" s="2" customFormat="1">
      <c r="A39026" s="83"/>
      <c r="H39026" s="83"/>
      <c r="K39026" s="82"/>
      <c r="M39026" s="112"/>
      <c r="N39026" s="84"/>
    </row>
    <row r="39027" spans="1:14" s="2" customFormat="1">
      <c r="A39027" s="83"/>
      <c r="H39027" s="83"/>
      <c r="K39027" s="82"/>
      <c r="M39027" s="112"/>
      <c r="N39027" s="84"/>
    </row>
    <row r="39028" spans="1:14" s="2" customFormat="1">
      <c r="A39028" s="83"/>
      <c r="H39028" s="83"/>
      <c r="K39028" s="82"/>
      <c r="M39028" s="112"/>
      <c r="N39028" s="84"/>
    </row>
    <row r="39029" spans="1:14" s="2" customFormat="1">
      <c r="A39029" s="83"/>
      <c r="H39029" s="83"/>
      <c r="K39029" s="82"/>
      <c r="M39029" s="112"/>
      <c r="N39029" s="84"/>
    </row>
    <row r="39030" spans="1:14" s="2" customFormat="1">
      <c r="A39030" s="83"/>
      <c r="H39030" s="83"/>
      <c r="K39030" s="82"/>
      <c r="M39030" s="112"/>
      <c r="N39030" s="84"/>
    </row>
    <row r="39031" spans="1:14" s="2" customFormat="1">
      <c r="A39031" s="83"/>
      <c r="H39031" s="83"/>
      <c r="K39031" s="82"/>
      <c r="M39031" s="112"/>
      <c r="N39031" s="84"/>
    </row>
    <row r="39032" spans="1:14" s="2" customFormat="1">
      <c r="A39032" s="83"/>
      <c r="H39032" s="83"/>
      <c r="K39032" s="82"/>
      <c r="M39032" s="112"/>
      <c r="N39032" s="84"/>
    </row>
    <row r="39033" spans="1:14" s="2" customFormat="1">
      <c r="A39033" s="83"/>
      <c r="H39033" s="83"/>
      <c r="K39033" s="82"/>
      <c r="M39033" s="112"/>
      <c r="N39033" s="84"/>
    </row>
    <row r="39034" spans="1:14" s="2" customFormat="1">
      <c r="A39034" s="83"/>
      <c r="H39034" s="83"/>
      <c r="K39034" s="82"/>
      <c r="M39034" s="112"/>
      <c r="N39034" s="84"/>
    </row>
    <row r="39035" spans="1:14" s="2" customFormat="1">
      <c r="A39035" s="83"/>
      <c r="H39035" s="83"/>
      <c r="K39035" s="82"/>
      <c r="M39035" s="112"/>
      <c r="N39035" s="84"/>
    </row>
    <row r="39036" spans="1:14" s="2" customFormat="1">
      <c r="A39036" s="83"/>
      <c r="H39036" s="83"/>
      <c r="K39036" s="82"/>
      <c r="M39036" s="112"/>
      <c r="N39036" s="84"/>
    </row>
    <row r="39037" spans="1:14" s="2" customFormat="1">
      <c r="A39037" s="83"/>
      <c r="H39037" s="83"/>
      <c r="K39037" s="82"/>
      <c r="M39037" s="112"/>
      <c r="N39037" s="84"/>
    </row>
    <row r="39038" spans="1:14" s="2" customFormat="1">
      <c r="A39038" s="83"/>
      <c r="H39038" s="83"/>
      <c r="K39038" s="82"/>
      <c r="M39038" s="112"/>
      <c r="N39038" s="84"/>
    </row>
    <row r="39039" spans="1:14" s="2" customFormat="1">
      <c r="A39039" s="83"/>
      <c r="H39039" s="83"/>
      <c r="K39039" s="82"/>
      <c r="M39039" s="112"/>
      <c r="N39039" s="84"/>
    </row>
    <row r="39040" spans="1:14" s="2" customFormat="1">
      <c r="A39040" s="83"/>
      <c r="H39040" s="83"/>
      <c r="K39040" s="82"/>
      <c r="M39040" s="112"/>
      <c r="N39040" s="84"/>
    </row>
    <row r="39041" spans="1:14" s="2" customFormat="1">
      <c r="A39041" s="83"/>
      <c r="H39041" s="83"/>
      <c r="K39041" s="82"/>
      <c r="M39041" s="112"/>
      <c r="N39041" s="84"/>
    </row>
    <row r="39042" spans="1:14" s="2" customFormat="1">
      <c r="A39042" s="83"/>
      <c r="H39042" s="83"/>
      <c r="K39042" s="82"/>
      <c r="M39042" s="112"/>
      <c r="N39042" s="84"/>
    </row>
    <row r="39043" spans="1:14" s="2" customFormat="1">
      <c r="A39043" s="83"/>
      <c r="H39043" s="83"/>
      <c r="K39043" s="82"/>
      <c r="M39043" s="112"/>
      <c r="N39043" s="84"/>
    </row>
    <row r="39044" spans="1:14" s="2" customFormat="1">
      <c r="A39044" s="83"/>
      <c r="H39044" s="83"/>
      <c r="K39044" s="82"/>
      <c r="M39044" s="112"/>
      <c r="N39044" s="84"/>
    </row>
    <row r="39045" spans="1:14" s="2" customFormat="1">
      <c r="A39045" s="83"/>
      <c r="H39045" s="83"/>
      <c r="K39045" s="82"/>
      <c r="M39045" s="112"/>
      <c r="N39045" s="84"/>
    </row>
    <row r="39046" spans="1:14" s="2" customFormat="1">
      <c r="A39046" s="83"/>
      <c r="H39046" s="83"/>
      <c r="K39046" s="82"/>
      <c r="M39046" s="112"/>
      <c r="N39046" s="84"/>
    </row>
    <row r="39047" spans="1:14" s="2" customFormat="1">
      <c r="A39047" s="83"/>
      <c r="H39047" s="83"/>
      <c r="K39047" s="82"/>
      <c r="M39047" s="112"/>
      <c r="N39047" s="84"/>
    </row>
    <row r="39048" spans="1:14" s="2" customFormat="1">
      <c r="A39048" s="83"/>
      <c r="H39048" s="83"/>
      <c r="K39048" s="82"/>
      <c r="M39048" s="112"/>
      <c r="N39048" s="84"/>
    </row>
    <row r="39049" spans="1:14" s="2" customFormat="1">
      <c r="A39049" s="83"/>
      <c r="H39049" s="83"/>
      <c r="K39049" s="82"/>
      <c r="M39049" s="112"/>
      <c r="N39049" s="84"/>
    </row>
    <row r="39050" spans="1:14" s="2" customFormat="1">
      <c r="A39050" s="83"/>
      <c r="H39050" s="83"/>
      <c r="K39050" s="82"/>
      <c r="M39050" s="112"/>
      <c r="N39050" s="84"/>
    </row>
    <row r="39051" spans="1:14" s="2" customFormat="1">
      <c r="A39051" s="83"/>
      <c r="H39051" s="83"/>
      <c r="K39051" s="82"/>
      <c r="M39051" s="112"/>
      <c r="N39051" s="84"/>
    </row>
    <row r="39052" spans="1:14" s="2" customFormat="1">
      <c r="A39052" s="83"/>
      <c r="H39052" s="83"/>
      <c r="K39052" s="82"/>
      <c r="M39052" s="112"/>
      <c r="N39052" s="84"/>
    </row>
    <row r="39053" spans="1:14" s="2" customFormat="1">
      <c r="A39053" s="83"/>
      <c r="H39053" s="83"/>
      <c r="K39053" s="82"/>
      <c r="M39053" s="112"/>
      <c r="N39053" s="84"/>
    </row>
    <row r="39054" spans="1:14" s="2" customFormat="1">
      <c r="A39054" s="83"/>
      <c r="H39054" s="83"/>
      <c r="K39054" s="82"/>
      <c r="M39054" s="112"/>
      <c r="N39054" s="84"/>
    </row>
    <row r="39055" spans="1:14" s="2" customFormat="1">
      <c r="A39055" s="83"/>
      <c r="H39055" s="83"/>
      <c r="K39055" s="82"/>
      <c r="M39055" s="112"/>
      <c r="N39055" s="84"/>
    </row>
    <row r="39056" spans="1:14" s="2" customFormat="1">
      <c r="A39056" s="83"/>
      <c r="H39056" s="83"/>
      <c r="K39056" s="82"/>
      <c r="M39056" s="112"/>
      <c r="N39056" s="84"/>
    </row>
    <row r="39057" spans="1:14" s="2" customFormat="1">
      <c r="A39057" s="83"/>
      <c r="H39057" s="83"/>
      <c r="K39057" s="82"/>
      <c r="M39057" s="112"/>
      <c r="N39057" s="84"/>
    </row>
    <row r="39058" spans="1:14" s="2" customFormat="1">
      <c r="A39058" s="83"/>
      <c r="H39058" s="83"/>
      <c r="K39058" s="82"/>
      <c r="M39058" s="112"/>
      <c r="N39058" s="84"/>
    </row>
    <row r="39059" spans="1:14" s="2" customFormat="1">
      <c r="A39059" s="83"/>
      <c r="H39059" s="83"/>
      <c r="K39059" s="82"/>
      <c r="M39059" s="112"/>
      <c r="N39059" s="84"/>
    </row>
    <row r="39060" spans="1:14" s="2" customFormat="1">
      <c r="A39060" s="83"/>
      <c r="H39060" s="83"/>
      <c r="K39060" s="82"/>
      <c r="M39060" s="112"/>
      <c r="N39060" s="84"/>
    </row>
    <row r="39061" spans="1:14" s="2" customFormat="1">
      <c r="A39061" s="83"/>
      <c r="H39061" s="83"/>
      <c r="K39061" s="82"/>
      <c r="M39061" s="112"/>
      <c r="N39061" s="84"/>
    </row>
    <row r="39062" spans="1:14" s="2" customFormat="1">
      <c r="A39062" s="83"/>
      <c r="H39062" s="83"/>
      <c r="K39062" s="82"/>
      <c r="M39062" s="112"/>
      <c r="N39062" s="84"/>
    </row>
    <row r="39063" spans="1:14" s="2" customFormat="1">
      <c r="A39063" s="83"/>
      <c r="H39063" s="83"/>
      <c r="K39063" s="82"/>
      <c r="M39063" s="112"/>
      <c r="N39063" s="84"/>
    </row>
    <row r="39064" spans="1:14" s="2" customFormat="1">
      <c r="A39064" s="83"/>
      <c r="H39064" s="83"/>
      <c r="K39064" s="82"/>
      <c r="M39064" s="112"/>
      <c r="N39064" s="84"/>
    </row>
    <row r="39065" spans="1:14" s="2" customFormat="1">
      <c r="A39065" s="83"/>
      <c r="H39065" s="83"/>
      <c r="K39065" s="82"/>
      <c r="M39065" s="112"/>
      <c r="N39065" s="84"/>
    </row>
    <row r="39066" spans="1:14" s="2" customFormat="1">
      <c r="A39066" s="83"/>
      <c r="H39066" s="83"/>
      <c r="K39066" s="82"/>
      <c r="M39066" s="112"/>
      <c r="N39066" s="84"/>
    </row>
    <row r="39067" spans="1:14" s="2" customFormat="1">
      <c r="A39067" s="83"/>
      <c r="H39067" s="83"/>
      <c r="K39067" s="82"/>
      <c r="M39067" s="112"/>
      <c r="N39067" s="84"/>
    </row>
    <row r="39068" spans="1:14" s="2" customFormat="1">
      <c r="A39068" s="83"/>
      <c r="H39068" s="83"/>
      <c r="K39068" s="82"/>
      <c r="M39068" s="112"/>
      <c r="N39068" s="84"/>
    </row>
    <row r="39069" spans="1:14" s="2" customFormat="1">
      <c r="A39069" s="83"/>
      <c r="H39069" s="83"/>
      <c r="K39069" s="82"/>
      <c r="M39069" s="112"/>
      <c r="N39069" s="84"/>
    </row>
    <row r="39070" spans="1:14" s="2" customFormat="1">
      <c r="A39070" s="83"/>
      <c r="H39070" s="83"/>
      <c r="K39070" s="82"/>
      <c r="M39070" s="112"/>
      <c r="N39070" s="84"/>
    </row>
    <row r="39071" spans="1:14" s="2" customFormat="1">
      <c r="A39071" s="83"/>
      <c r="H39071" s="83"/>
      <c r="K39071" s="82"/>
      <c r="M39071" s="112"/>
      <c r="N39071" s="84"/>
    </row>
    <row r="39072" spans="1:14" s="2" customFormat="1">
      <c r="A39072" s="83"/>
      <c r="H39072" s="83"/>
      <c r="K39072" s="82"/>
      <c r="M39072" s="112"/>
      <c r="N39072" s="84"/>
    </row>
    <row r="39073" spans="1:14" s="2" customFormat="1">
      <c r="A39073" s="83"/>
      <c r="H39073" s="83"/>
      <c r="K39073" s="82"/>
      <c r="M39073" s="112"/>
      <c r="N39073" s="84"/>
    </row>
    <row r="39074" spans="1:14" s="2" customFormat="1">
      <c r="A39074" s="83"/>
      <c r="H39074" s="83"/>
      <c r="K39074" s="82"/>
      <c r="M39074" s="112"/>
      <c r="N39074" s="84"/>
    </row>
    <row r="39075" spans="1:14" s="2" customFormat="1">
      <c r="A39075" s="83"/>
      <c r="H39075" s="83"/>
      <c r="K39075" s="82"/>
      <c r="M39075" s="112"/>
      <c r="N39075" s="84"/>
    </row>
    <row r="39076" spans="1:14" s="2" customFormat="1">
      <c r="A39076" s="83"/>
      <c r="H39076" s="83"/>
      <c r="K39076" s="82"/>
      <c r="M39076" s="112"/>
      <c r="N39076" s="84"/>
    </row>
    <row r="39077" spans="1:14" s="2" customFormat="1">
      <c r="A39077" s="83"/>
      <c r="H39077" s="83"/>
      <c r="K39077" s="82"/>
      <c r="M39077" s="112"/>
      <c r="N39077" s="84"/>
    </row>
    <row r="39078" spans="1:14" s="2" customFormat="1">
      <c r="A39078" s="83"/>
      <c r="H39078" s="83"/>
      <c r="K39078" s="82"/>
      <c r="M39078" s="112"/>
      <c r="N39078" s="84"/>
    </row>
    <row r="39079" spans="1:14" s="2" customFormat="1">
      <c r="A39079" s="83"/>
      <c r="H39079" s="83"/>
      <c r="K39079" s="82"/>
      <c r="M39079" s="112"/>
      <c r="N39079" s="84"/>
    </row>
    <row r="39080" spans="1:14" s="2" customFormat="1">
      <c r="A39080" s="83"/>
      <c r="H39080" s="83"/>
      <c r="K39080" s="82"/>
      <c r="M39080" s="112"/>
      <c r="N39080" s="84"/>
    </row>
    <row r="39081" spans="1:14" s="2" customFormat="1">
      <c r="A39081" s="83"/>
      <c r="H39081" s="83"/>
      <c r="K39081" s="82"/>
      <c r="M39081" s="112"/>
      <c r="N39081" s="84"/>
    </row>
    <row r="39082" spans="1:14" s="2" customFormat="1">
      <c r="A39082" s="83"/>
      <c r="H39082" s="83"/>
      <c r="K39082" s="82"/>
      <c r="M39082" s="112"/>
      <c r="N39082" s="84"/>
    </row>
    <row r="39083" spans="1:14" s="2" customFormat="1">
      <c r="A39083" s="83"/>
      <c r="H39083" s="83"/>
      <c r="K39083" s="82"/>
      <c r="M39083" s="112"/>
      <c r="N39083" s="84"/>
    </row>
    <row r="39084" spans="1:14" s="2" customFormat="1">
      <c r="A39084" s="83"/>
      <c r="H39084" s="83"/>
      <c r="K39084" s="82"/>
      <c r="M39084" s="112"/>
      <c r="N39084" s="84"/>
    </row>
    <row r="39085" spans="1:14" s="2" customFormat="1">
      <c r="A39085" s="83"/>
      <c r="H39085" s="83"/>
      <c r="K39085" s="82"/>
      <c r="M39085" s="112"/>
      <c r="N39085" s="84"/>
    </row>
    <row r="39086" spans="1:14" s="2" customFormat="1">
      <c r="A39086" s="83"/>
      <c r="H39086" s="83"/>
      <c r="K39086" s="82"/>
      <c r="M39086" s="112"/>
      <c r="N39086" s="84"/>
    </row>
    <row r="39087" spans="1:14" s="2" customFormat="1">
      <c r="A39087" s="83"/>
      <c r="H39087" s="83"/>
      <c r="K39087" s="82"/>
      <c r="M39087" s="112"/>
      <c r="N39087" s="84"/>
    </row>
    <row r="39088" spans="1:14" s="2" customFormat="1">
      <c r="A39088" s="83"/>
      <c r="H39088" s="83"/>
      <c r="K39088" s="82"/>
      <c r="M39088" s="112"/>
      <c r="N39088" s="84"/>
    </row>
    <row r="39089" spans="1:14" s="2" customFormat="1">
      <c r="A39089" s="83"/>
      <c r="H39089" s="83"/>
      <c r="K39089" s="82"/>
      <c r="M39089" s="112"/>
      <c r="N39089" s="84"/>
    </row>
    <row r="39090" spans="1:14" s="2" customFormat="1">
      <c r="A39090" s="83"/>
      <c r="H39090" s="83"/>
      <c r="K39090" s="82"/>
      <c r="M39090" s="112"/>
      <c r="N39090" s="84"/>
    </row>
    <row r="39091" spans="1:14" s="2" customFormat="1">
      <c r="A39091" s="83"/>
      <c r="H39091" s="83"/>
      <c r="K39091" s="82"/>
      <c r="M39091" s="112"/>
      <c r="N39091" s="84"/>
    </row>
    <row r="39092" spans="1:14" s="2" customFormat="1">
      <c r="A39092" s="83"/>
      <c r="H39092" s="83"/>
      <c r="K39092" s="82"/>
      <c r="M39092" s="112"/>
      <c r="N39092" s="84"/>
    </row>
    <row r="39093" spans="1:14" s="2" customFormat="1">
      <c r="A39093" s="83"/>
      <c r="H39093" s="83"/>
      <c r="K39093" s="82"/>
      <c r="M39093" s="112"/>
      <c r="N39093" s="84"/>
    </row>
    <row r="39094" spans="1:14" s="2" customFormat="1">
      <c r="A39094" s="83"/>
      <c r="H39094" s="83"/>
      <c r="K39094" s="82"/>
      <c r="M39094" s="112"/>
      <c r="N39094" s="84"/>
    </row>
    <row r="39095" spans="1:14" s="2" customFormat="1">
      <c r="A39095" s="83"/>
      <c r="H39095" s="83"/>
      <c r="K39095" s="82"/>
      <c r="M39095" s="112"/>
      <c r="N39095" s="84"/>
    </row>
    <row r="39096" spans="1:14" s="2" customFormat="1">
      <c r="A39096" s="83"/>
      <c r="H39096" s="83"/>
      <c r="K39096" s="82"/>
      <c r="M39096" s="112"/>
      <c r="N39096" s="84"/>
    </row>
    <row r="39097" spans="1:14" s="2" customFormat="1">
      <c r="A39097" s="83"/>
      <c r="H39097" s="83"/>
      <c r="K39097" s="82"/>
      <c r="M39097" s="112"/>
      <c r="N39097" s="84"/>
    </row>
    <row r="39098" spans="1:14" s="2" customFormat="1">
      <c r="A39098" s="83"/>
      <c r="H39098" s="83"/>
      <c r="K39098" s="82"/>
      <c r="M39098" s="112"/>
      <c r="N39098" s="84"/>
    </row>
    <row r="39099" spans="1:14" s="2" customFormat="1">
      <c r="A39099" s="83"/>
      <c r="H39099" s="83"/>
      <c r="K39099" s="82"/>
      <c r="M39099" s="112"/>
      <c r="N39099" s="84"/>
    </row>
    <row r="39100" spans="1:14" s="2" customFormat="1">
      <c r="A39100" s="83"/>
      <c r="H39100" s="83"/>
      <c r="K39100" s="82"/>
      <c r="M39100" s="112"/>
      <c r="N39100" s="84"/>
    </row>
    <row r="39101" spans="1:14" s="2" customFormat="1">
      <c r="A39101" s="83"/>
      <c r="H39101" s="83"/>
      <c r="K39101" s="82"/>
      <c r="M39101" s="112"/>
      <c r="N39101" s="84"/>
    </row>
    <row r="39102" spans="1:14" s="2" customFormat="1">
      <c r="A39102" s="83"/>
      <c r="H39102" s="83"/>
      <c r="K39102" s="82"/>
      <c r="M39102" s="112"/>
      <c r="N39102" s="84"/>
    </row>
    <row r="39103" spans="1:14" s="2" customFormat="1">
      <c r="A39103" s="83"/>
      <c r="H39103" s="83"/>
      <c r="K39103" s="82"/>
      <c r="M39103" s="112"/>
      <c r="N39103" s="84"/>
    </row>
    <row r="39104" spans="1:14" s="2" customFormat="1">
      <c r="A39104" s="83"/>
      <c r="H39104" s="83"/>
      <c r="K39104" s="82"/>
      <c r="M39104" s="112"/>
      <c r="N39104" s="84"/>
    </row>
    <row r="39105" spans="1:14" s="2" customFormat="1">
      <c r="A39105" s="83"/>
      <c r="H39105" s="83"/>
      <c r="K39105" s="82"/>
      <c r="M39105" s="112"/>
      <c r="N39105" s="84"/>
    </row>
    <row r="39106" spans="1:14" s="2" customFormat="1">
      <c r="A39106" s="83"/>
      <c r="H39106" s="83"/>
      <c r="K39106" s="82"/>
      <c r="M39106" s="112"/>
      <c r="N39106" s="84"/>
    </row>
    <row r="39107" spans="1:14" s="2" customFormat="1">
      <c r="A39107" s="83"/>
      <c r="H39107" s="83"/>
      <c r="K39107" s="82"/>
      <c r="M39107" s="112"/>
      <c r="N39107" s="84"/>
    </row>
    <row r="39108" spans="1:14" s="2" customFormat="1">
      <c r="A39108" s="83"/>
      <c r="H39108" s="83"/>
      <c r="K39108" s="82"/>
      <c r="M39108" s="112"/>
      <c r="N39108" s="84"/>
    </row>
    <row r="39109" spans="1:14" s="2" customFormat="1">
      <c r="A39109" s="83"/>
      <c r="H39109" s="83"/>
      <c r="K39109" s="82"/>
      <c r="M39109" s="112"/>
      <c r="N39109" s="84"/>
    </row>
    <row r="39110" spans="1:14" s="2" customFormat="1">
      <c r="A39110" s="83"/>
      <c r="H39110" s="83"/>
      <c r="K39110" s="82"/>
      <c r="M39110" s="112"/>
      <c r="N39110" s="84"/>
    </row>
    <row r="39111" spans="1:14" s="2" customFormat="1">
      <c r="A39111" s="83"/>
      <c r="H39111" s="83"/>
      <c r="K39111" s="82"/>
      <c r="M39111" s="112"/>
      <c r="N39111" s="84"/>
    </row>
    <row r="39112" spans="1:14" s="2" customFormat="1">
      <c r="A39112" s="83"/>
      <c r="H39112" s="83"/>
      <c r="K39112" s="82"/>
      <c r="M39112" s="112"/>
      <c r="N39112" s="84"/>
    </row>
    <row r="39113" spans="1:14" s="2" customFormat="1">
      <c r="A39113" s="83"/>
      <c r="H39113" s="83"/>
      <c r="K39113" s="82"/>
      <c r="M39113" s="112"/>
      <c r="N39113" s="84"/>
    </row>
    <row r="39114" spans="1:14" s="2" customFormat="1">
      <c r="A39114" s="83"/>
      <c r="H39114" s="83"/>
      <c r="K39114" s="82"/>
      <c r="M39114" s="112"/>
      <c r="N39114" s="84"/>
    </row>
    <row r="39115" spans="1:14" s="2" customFormat="1">
      <c r="A39115" s="83"/>
      <c r="H39115" s="83"/>
      <c r="K39115" s="82"/>
      <c r="M39115" s="112"/>
      <c r="N39115" s="84"/>
    </row>
    <row r="39116" spans="1:14" s="2" customFormat="1">
      <c r="A39116" s="83"/>
      <c r="H39116" s="83"/>
      <c r="K39116" s="82"/>
      <c r="M39116" s="112"/>
      <c r="N39116" s="84"/>
    </row>
    <row r="39117" spans="1:14" s="2" customFormat="1">
      <c r="A39117" s="83"/>
      <c r="H39117" s="83"/>
      <c r="K39117" s="82"/>
      <c r="M39117" s="112"/>
      <c r="N39117" s="84"/>
    </row>
    <row r="39118" spans="1:14" s="2" customFormat="1">
      <c r="A39118" s="83"/>
      <c r="H39118" s="83"/>
      <c r="K39118" s="82"/>
      <c r="M39118" s="112"/>
      <c r="N39118" s="84"/>
    </row>
    <row r="39119" spans="1:14" s="2" customFormat="1">
      <c r="A39119" s="83"/>
      <c r="H39119" s="83"/>
      <c r="K39119" s="82"/>
      <c r="M39119" s="112"/>
      <c r="N39119" s="84"/>
    </row>
    <row r="39120" spans="1:14" s="2" customFormat="1">
      <c r="A39120" s="83"/>
      <c r="H39120" s="83"/>
      <c r="K39120" s="82"/>
      <c r="M39120" s="112"/>
      <c r="N39120" s="84"/>
    </row>
    <row r="39121" spans="1:14" s="2" customFormat="1">
      <c r="A39121" s="83"/>
      <c r="H39121" s="83"/>
      <c r="K39121" s="82"/>
      <c r="M39121" s="112"/>
      <c r="N39121" s="84"/>
    </row>
    <row r="39122" spans="1:14" s="2" customFormat="1">
      <c r="A39122" s="83"/>
      <c r="H39122" s="83"/>
      <c r="K39122" s="82"/>
      <c r="M39122" s="112"/>
      <c r="N39122" s="84"/>
    </row>
    <row r="39123" spans="1:14" s="2" customFormat="1">
      <c r="A39123" s="83"/>
      <c r="H39123" s="83"/>
      <c r="K39123" s="82"/>
      <c r="M39123" s="112"/>
      <c r="N39123" s="84"/>
    </row>
    <row r="39124" spans="1:14" s="2" customFormat="1">
      <c r="A39124" s="83"/>
      <c r="H39124" s="83"/>
      <c r="K39124" s="82"/>
      <c r="M39124" s="112"/>
      <c r="N39124" s="84"/>
    </row>
    <row r="39125" spans="1:14" s="2" customFormat="1">
      <c r="A39125" s="83"/>
      <c r="H39125" s="83"/>
      <c r="K39125" s="82"/>
      <c r="M39125" s="112"/>
      <c r="N39125" s="84"/>
    </row>
    <row r="39126" spans="1:14" s="2" customFormat="1">
      <c r="A39126" s="83"/>
      <c r="H39126" s="83"/>
      <c r="K39126" s="82"/>
      <c r="M39126" s="112"/>
      <c r="N39126" s="84"/>
    </row>
    <row r="39127" spans="1:14" s="2" customFormat="1">
      <c r="A39127" s="83"/>
      <c r="H39127" s="83"/>
      <c r="K39127" s="82"/>
      <c r="M39127" s="112"/>
      <c r="N39127" s="84"/>
    </row>
    <row r="39128" spans="1:14" s="2" customFormat="1">
      <c r="A39128" s="83"/>
      <c r="H39128" s="83"/>
      <c r="K39128" s="82"/>
      <c r="M39128" s="112"/>
      <c r="N39128" s="84"/>
    </row>
    <row r="39129" spans="1:14" s="2" customFormat="1">
      <c r="A39129" s="83"/>
      <c r="H39129" s="83"/>
      <c r="K39129" s="82"/>
      <c r="M39129" s="112"/>
      <c r="N39129" s="84"/>
    </row>
    <row r="39130" spans="1:14" s="2" customFormat="1">
      <c r="A39130" s="83"/>
      <c r="H39130" s="83"/>
      <c r="K39130" s="82"/>
      <c r="M39130" s="112"/>
      <c r="N39130" s="84"/>
    </row>
    <row r="39131" spans="1:14" s="2" customFormat="1">
      <c r="A39131" s="83"/>
      <c r="H39131" s="83"/>
      <c r="K39131" s="82"/>
      <c r="M39131" s="112"/>
      <c r="N39131" s="84"/>
    </row>
    <row r="39132" spans="1:14" s="2" customFormat="1">
      <c r="A39132" s="83"/>
      <c r="H39132" s="83"/>
      <c r="K39132" s="82"/>
      <c r="M39132" s="112"/>
      <c r="N39132" s="84"/>
    </row>
    <row r="39133" spans="1:14" s="2" customFormat="1">
      <c r="A39133" s="83"/>
      <c r="H39133" s="83"/>
      <c r="K39133" s="82"/>
      <c r="M39133" s="112"/>
      <c r="N39133" s="84"/>
    </row>
    <row r="39134" spans="1:14" s="2" customFormat="1">
      <c r="A39134" s="83"/>
      <c r="H39134" s="83"/>
      <c r="K39134" s="82"/>
      <c r="M39134" s="112"/>
      <c r="N39134" s="84"/>
    </row>
    <row r="39135" spans="1:14" s="2" customFormat="1">
      <c r="A39135" s="83"/>
      <c r="H39135" s="83"/>
      <c r="K39135" s="82"/>
      <c r="M39135" s="112"/>
      <c r="N39135" s="84"/>
    </row>
    <row r="39136" spans="1:14" s="2" customFormat="1">
      <c r="A39136" s="83"/>
      <c r="H39136" s="83"/>
      <c r="K39136" s="82"/>
      <c r="M39136" s="112"/>
      <c r="N39136" s="84"/>
    </row>
    <row r="39137" spans="1:14" s="2" customFormat="1">
      <c r="A39137" s="83"/>
      <c r="H39137" s="83"/>
      <c r="K39137" s="82"/>
      <c r="M39137" s="112"/>
      <c r="N39137" s="84"/>
    </row>
    <row r="39138" spans="1:14" s="2" customFormat="1">
      <c r="A39138" s="83"/>
      <c r="H39138" s="83"/>
      <c r="K39138" s="82"/>
      <c r="M39138" s="112"/>
      <c r="N39138" s="84"/>
    </row>
    <row r="39139" spans="1:14" s="2" customFormat="1">
      <c r="A39139" s="83"/>
      <c r="H39139" s="83"/>
      <c r="K39139" s="82"/>
      <c r="M39139" s="112"/>
      <c r="N39139" s="84"/>
    </row>
    <row r="39140" spans="1:14" s="2" customFormat="1">
      <c r="A39140" s="83"/>
      <c r="H39140" s="83"/>
      <c r="K39140" s="82"/>
      <c r="M39140" s="112"/>
      <c r="N39140" s="84"/>
    </row>
    <row r="39141" spans="1:14" s="2" customFormat="1">
      <c r="A39141" s="83"/>
      <c r="H39141" s="83"/>
      <c r="K39141" s="82"/>
      <c r="M39141" s="112"/>
      <c r="N39141" s="84"/>
    </row>
    <row r="39142" spans="1:14" s="2" customFormat="1">
      <c r="A39142" s="83"/>
      <c r="H39142" s="83"/>
      <c r="K39142" s="82"/>
      <c r="M39142" s="112"/>
      <c r="N39142" s="84"/>
    </row>
    <row r="39143" spans="1:14" s="2" customFormat="1">
      <c r="A39143" s="83"/>
      <c r="H39143" s="83"/>
      <c r="K39143" s="82"/>
      <c r="M39143" s="112"/>
      <c r="N39143" s="84"/>
    </row>
    <row r="39144" spans="1:14" s="2" customFormat="1">
      <c r="A39144" s="83"/>
      <c r="H39144" s="83"/>
      <c r="K39144" s="82"/>
      <c r="M39144" s="112"/>
      <c r="N39144" s="84"/>
    </row>
    <row r="39145" spans="1:14" s="2" customFormat="1">
      <c r="A39145" s="83"/>
      <c r="H39145" s="83"/>
      <c r="K39145" s="82"/>
      <c r="M39145" s="112"/>
      <c r="N39145" s="84"/>
    </row>
    <row r="39146" spans="1:14" s="2" customFormat="1">
      <c r="A39146" s="83"/>
      <c r="H39146" s="83"/>
      <c r="K39146" s="82"/>
      <c r="M39146" s="112"/>
      <c r="N39146" s="84"/>
    </row>
    <row r="39147" spans="1:14" s="2" customFormat="1">
      <c r="A39147" s="83"/>
      <c r="H39147" s="83"/>
      <c r="K39147" s="82"/>
      <c r="M39147" s="112"/>
      <c r="N39147" s="84"/>
    </row>
    <row r="39148" spans="1:14" s="2" customFormat="1">
      <c r="A39148" s="83"/>
      <c r="H39148" s="83"/>
      <c r="K39148" s="82"/>
      <c r="M39148" s="112"/>
      <c r="N39148" s="84"/>
    </row>
    <row r="39149" spans="1:14" s="2" customFormat="1">
      <c r="A39149" s="83"/>
      <c r="H39149" s="83"/>
      <c r="K39149" s="82"/>
      <c r="M39149" s="112"/>
      <c r="N39149" s="84"/>
    </row>
    <row r="39150" spans="1:14" s="2" customFormat="1">
      <c r="A39150" s="83"/>
      <c r="H39150" s="83"/>
      <c r="K39150" s="82"/>
      <c r="M39150" s="112"/>
      <c r="N39150" s="84"/>
    </row>
    <row r="39151" spans="1:14" s="2" customFormat="1">
      <c r="A39151" s="83"/>
      <c r="H39151" s="83"/>
      <c r="K39151" s="82"/>
      <c r="M39151" s="112"/>
      <c r="N39151" s="84"/>
    </row>
    <row r="39152" spans="1:14" s="2" customFormat="1">
      <c r="A39152" s="83"/>
      <c r="H39152" s="83"/>
      <c r="K39152" s="82"/>
      <c r="M39152" s="112"/>
      <c r="N39152" s="84"/>
    </row>
    <row r="39153" spans="1:14" s="2" customFormat="1">
      <c r="A39153" s="83"/>
      <c r="H39153" s="83"/>
      <c r="K39153" s="82"/>
      <c r="M39153" s="112"/>
      <c r="N39153" s="84"/>
    </row>
    <row r="39154" spans="1:14" s="2" customFormat="1">
      <c r="A39154" s="83"/>
      <c r="H39154" s="83"/>
      <c r="K39154" s="82"/>
      <c r="M39154" s="112"/>
      <c r="N39154" s="84"/>
    </row>
    <row r="39155" spans="1:14" s="2" customFormat="1">
      <c r="A39155" s="83"/>
      <c r="H39155" s="83"/>
      <c r="K39155" s="82"/>
      <c r="M39155" s="112"/>
      <c r="N39155" s="84"/>
    </row>
    <row r="39156" spans="1:14" s="2" customFormat="1">
      <c r="A39156" s="83"/>
      <c r="H39156" s="83"/>
      <c r="K39156" s="82"/>
      <c r="M39156" s="112"/>
      <c r="N39156" s="84"/>
    </row>
    <row r="39157" spans="1:14" s="2" customFormat="1">
      <c r="A39157" s="83"/>
      <c r="H39157" s="83"/>
      <c r="K39157" s="82"/>
      <c r="M39157" s="112"/>
      <c r="N39157" s="84"/>
    </row>
    <row r="39158" spans="1:14" s="2" customFormat="1">
      <c r="A39158" s="83"/>
      <c r="H39158" s="83"/>
      <c r="K39158" s="82"/>
      <c r="M39158" s="112"/>
      <c r="N39158" s="84"/>
    </row>
    <row r="39159" spans="1:14" s="2" customFormat="1">
      <c r="A39159" s="83"/>
      <c r="H39159" s="83"/>
      <c r="K39159" s="82"/>
      <c r="M39159" s="112"/>
      <c r="N39159" s="84"/>
    </row>
    <row r="39160" spans="1:14" s="2" customFormat="1">
      <c r="A39160" s="83"/>
      <c r="H39160" s="83"/>
      <c r="K39160" s="82"/>
      <c r="M39160" s="112"/>
      <c r="N39160" s="84"/>
    </row>
    <row r="39161" spans="1:14" s="2" customFormat="1">
      <c r="A39161" s="83"/>
      <c r="H39161" s="83"/>
      <c r="K39161" s="82"/>
      <c r="M39161" s="112"/>
      <c r="N39161" s="84"/>
    </row>
    <row r="39162" spans="1:14" s="2" customFormat="1">
      <c r="A39162" s="83"/>
      <c r="H39162" s="83"/>
      <c r="K39162" s="82"/>
      <c r="M39162" s="112"/>
      <c r="N39162" s="84"/>
    </row>
    <row r="39163" spans="1:14" s="2" customFormat="1">
      <c r="A39163" s="83"/>
      <c r="H39163" s="83"/>
      <c r="K39163" s="82"/>
      <c r="M39163" s="112"/>
      <c r="N39163" s="84"/>
    </row>
    <row r="39164" spans="1:14" s="2" customFormat="1">
      <c r="A39164" s="83"/>
      <c r="H39164" s="83"/>
      <c r="K39164" s="82"/>
      <c r="M39164" s="112"/>
      <c r="N39164" s="84"/>
    </row>
    <row r="39165" spans="1:14" s="2" customFormat="1">
      <c r="A39165" s="83"/>
      <c r="H39165" s="83"/>
      <c r="K39165" s="82"/>
      <c r="M39165" s="112"/>
      <c r="N39165" s="84"/>
    </row>
    <row r="39166" spans="1:14" s="2" customFormat="1">
      <c r="A39166" s="83"/>
      <c r="H39166" s="83"/>
      <c r="K39166" s="82"/>
      <c r="M39166" s="112"/>
      <c r="N39166" s="84"/>
    </row>
    <row r="39167" spans="1:14" s="2" customFormat="1">
      <c r="A39167" s="83"/>
      <c r="H39167" s="83"/>
      <c r="K39167" s="82"/>
      <c r="M39167" s="112"/>
      <c r="N39167" s="84"/>
    </row>
    <row r="39168" spans="1:14" s="2" customFormat="1">
      <c r="A39168" s="83"/>
      <c r="H39168" s="83"/>
      <c r="K39168" s="82"/>
      <c r="M39168" s="112"/>
      <c r="N39168" s="84"/>
    </row>
    <row r="39169" spans="1:14" s="2" customFormat="1">
      <c r="A39169" s="83"/>
      <c r="H39169" s="83"/>
      <c r="K39169" s="82"/>
      <c r="M39169" s="112"/>
      <c r="N39169" s="84"/>
    </row>
    <row r="39170" spans="1:14" s="2" customFormat="1">
      <c r="A39170" s="83"/>
      <c r="H39170" s="83"/>
      <c r="K39170" s="82"/>
      <c r="M39170" s="112"/>
      <c r="N39170" s="84"/>
    </row>
    <row r="39171" spans="1:14" s="2" customFormat="1">
      <c r="A39171" s="83"/>
      <c r="H39171" s="83"/>
      <c r="K39171" s="82"/>
      <c r="M39171" s="112"/>
      <c r="N39171" s="84"/>
    </row>
    <row r="39172" spans="1:14" s="2" customFormat="1">
      <c r="A39172" s="83"/>
      <c r="H39172" s="83"/>
      <c r="K39172" s="82"/>
      <c r="M39172" s="112"/>
      <c r="N39172" s="84"/>
    </row>
    <row r="39173" spans="1:14" s="2" customFormat="1">
      <c r="A39173" s="83"/>
      <c r="H39173" s="83"/>
      <c r="K39173" s="82"/>
      <c r="M39173" s="112"/>
      <c r="N39173" s="84"/>
    </row>
    <row r="39174" spans="1:14" s="2" customFormat="1">
      <c r="A39174" s="83"/>
      <c r="H39174" s="83"/>
      <c r="K39174" s="82"/>
      <c r="M39174" s="112"/>
      <c r="N39174" s="84"/>
    </row>
    <row r="39175" spans="1:14" s="2" customFormat="1">
      <c r="A39175" s="83"/>
      <c r="H39175" s="83"/>
      <c r="K39175" s="82"/>
      <c r="M39175" s="112"/>
      <c r="N39175" s="84"/>
    </row>
    <row r="39176" spans="1:14" s="2" customFormat="1">
      <c r="A39176" s="83"/>
      <c r="H39176" s="83"/>
      <c r="K39176" s="82"/>
      <c r="M39176" s="112"/>
      <c r="N39176" s="84"/>
    </row>
    <row r="39177" spans="1:14" s="2" customFormat="1">
      <c r="A39177" s="83"/>
      <c r="H39177" s="83"/>
      <c r="K39177" s="82"/>
      <c r="M39177" s="112"/>
      <c r="N39177" s="84"/>
    </row>
    <row r="39178" spans="1:14" s="2" customFormat="1">
      <c r="A39178" s="83"/>
      <c r="H39178" s="83"/>
      <c r="K39178" s="82"/>
      <c r="M39178" s="112"/>
      <c r="N39178" s="84"/>
    </row>
    <row r="39179" spans="1:14" s="2" customFormat="1">
      <c r="A39179" s="83"/>
      <c r="H39179" s="83"/>
      <c r="K39179" s="82"/>
      <c r="M39179" s="112"/>
      <c r="N39179" s="84"/>
    </row>
    <row r="39180" spans="1:14" s="2" customFormat="1">
      <c r="A39180" s="83"/>
      <c r="H39180" s="83"/>
      <c r="K39180" s="82"/>
      <c r="M39180" s="112"/>
      <c r="N39180" s="84"/>
    </row>
    <row r="39181" spans="1:14" s="2" customFormat="1">
      <c r="A39181" s="83"/>
      <c r="H39181" s="83"/>
      <c r="K39181" s="82"/>
      <c r="M39181" s="112"/>
      <c r="N39181" s="84"/>
    </row>
    <row r="39182" spans="1:14" s="2" customFormat="1">
      <c r="A39182" s="83"/>
      <c r="H39182" s="83"/>
      <c r="K39182" s="82"/>
      <c r="M39182" s="112"/>
      <c r="N39182" s="84"/>
    </row>
    <row r="39183" spans="1:14" s="2" customFormat="1">
      <c r="A39183" s="83"/>
      <c r="H39183" s="83"/>
      <c r="K39183" s="82"/>
      <c r="M39183" s="112"/>
      <c r="N39183" s="84"/>
    </row>
    <row r="39184" spans="1:14" s="2" customFormat="1">
      <c r="A39184" s="83"/>
      <c r="H39184" s="83"/>
      <c r="K39184" s="82"/>
      <c r="M39184" s="112"/>
      <c r="N39184" s="84"/>
    </row>
    <row r="39185" spans="1:14" s="2" customFormat="1">
      <c r="A39185" s="83"/>
      <c r="H39185" s="83"/>
      <c r="K39185" s="82"/>
      <c r="M39185" s="112"/>
      <c r="N39185" s="84"/>
    </row>
    <row r="39186" spans="1:14" s="2" customFormat="1">
      <c r="A39186" s="83"/>
      <c r="H39186" s="83"/>
      <c r="K39186" s="82"/>
      <c r="M39186" s="112"/>
      <c r="N39186" s="84"/>
    </row>
    <row r="39187" spans="1:14" s="2" customFormat="1">
      <c r="A39187" s="83"/>
      <c r="H39187" s="83"/>
      <c r="K39187" s="82"/>
      <c r="M39187" s="112"/>
      <c r="N39187" s="84"/>
    </row>
    <row r="39188" spans="1:14" s="2" customFormat="1">
      <c r="A39188" s="83"/>
      <c r="H39188" s="83"/>
      <c r="K39188" s="82"/>
      <c r="M39188" s="112"/>
      <c r="N39188" s="84"/>
    </row>
    <row r="39189" spans="1:14" s="2" customFormat="1">
      <c r="A39189" s="83"/>
      <c r="H39189" s="83"/>
      <c r="K39189" s="82"/>
      <c r="M39189" s="112"/>
      <c r="N39189" s="84"/>
    </row>
    <row r="39190" spans="1:14" s="2" customFormat="1">
      <c r="A39190" s="83"/>
      <c r="H39190" s="83"/>
      <c r="K39190" s="82"/>
      <c r="M39190" s="112"/>
      <c r="N39190" s="84"/>
    </row>
    <row r="39191" spans="1:14" s="2" customFormat="1">
      <c r="A39191" s="83"/>
      <c r="H39191" s="83"/>
      <c r="K39191" s="82"/>
      <c r="M39191" s="112"/>
      <c r="N39191" s="84"/>
    </row>
    <row r="39192" spans="1:14" s="2" customFormat="1">
      <c r="A39192" s="83"/>
      <c r="H39192" s="83"/>
      <c r="K39192" s="82"/>
      <c r="M39192" s="112"/>
      <c r="N39192" s="84"/>
    </row>
    <row r="39193" spans="1:14" s="2" customFormat="1">
      <c r="A39193" s="83"/>
      <c r="H39193" s="83"/>
      <c r="K39193" s="82"/>
      <c r="M39193" s="112"/>
      <c r="N39193" s="84"/>
    </row>
    <row r="39194" spans="1:14" s="2" customFormat="1">
      <c r="A39194" s="83"/>
      <c r="H39194" s="83"/>
      <c r="K39194" s="82"/>
      <c r="M39194" s="112"/>
      <c r="N39194" s="84"/>
    </row>
    <row r="39195" spans="1:14" s="2" customFormat="1">
      <c r="A39195" s="83"/>
      <c r="H39195" s="83"/>
      <c r="K39195" s="82"/>
      <c r="M39195" s="112"/>
      <c r="N39195" s="84"/>
    </row>
    <row r="39196" spans="1:14" s="2" customFormat="1">
      <c r="A39196" s="83"/>
      <c r="H39196" s="83"/>
      <c r="K39196" s="82"/>
      <c r="M39196" s="112"/>
      <c r="N39196" s="84"/>
    </row>
    <row r="39197" spans="1:14" s="2" customFormat="1">
      <c r="A39197" s="83"/>
      <c r="H39197" s="83"/>
      <c r="K39197" s="82"/>
      <c r="M39197" s="112"/>
      <c r="N39197" s="84"/>
    </row>
    <row r="39198" spans="1:14" s="2" customFormat="1">
      <c r="A39198" s="83"/>
      <c r="H39198" s="83"/>
      <c r="K39198" s="82"/>
      <c r="M39198" s="112"/>
      <c r="N39198" s="84"/>
    </row>
    <row r="39199" spans="1:14" s="2" customFormat="1">
      <c r="A39199" s="83"/>
      <c r="H39199" s="83"/>
      <c r="K39199" s="82"/>
      <c r="M39199" s="112"/>
      <c r="N39199" s="84"/>
    </row>
    <row r="39200" spans="1:14" s="2" customFormat="1">
      <c r="A39200" s="83"/>
      <c r="H39200" s="83"/>
      <c r="K39200" s="82"/>
      <c r="M39200" s="112"/>
      <c r="N39200" s="84"/>
    </row>
    <row r="39201" spans="1:14" s="2" customFormat="1">
      <c r="A39201" s="83"/>
      <c r="H39201" s="83"/>
      <c r="K39201" s="82"/>
      <c r="M39201" s="112"/>
      <c r="N39201" s="84"/>
    </row>
    <row r="39202" spans="1:14" s="2" customFormat="1">
      <c r="A39202" s="83"/>
      <c r="H39202" s="83"/>
      <c r="K39202" s="82"/>
      <c r="M39202" s="112"/>
      <c r="N39202" s="84"/>
    </row>
    <row r="39203" spans="1:14" s="2" customFormat="1">
      <c r="A39203" s="83"/>
      <c r="H39203" s="83"/>
      <c r="K39203" s="82"/>
      <c r="M39203" s="112"/>
      <c r="N39203" s="84"/>
    </row>
    <row r="39204" spans="1:14" s="2" customFormat="1">
      <c r="A39204" s="83"/>
      <c r="H39204" s="83"/>
      <c r="K39204" s="82"/>
      <c r="M39204" s="112"/>
      <c r="N39204" s="84"/>
    </row>
    <row r="39205" spans="1:14" s="2" customFormat="1">
      <c r="A39205" s="83"/>
      <c r="H39205" s="83"/>
      <c r="K39205" s="82"/>
      <c r="M39205" s="112"/>
      <c r="N39205" s="84"/>
    </row>
    <row r="39206" spans="1:14" s="2" customFormat="1">
      <c r="A39206" s="83"/>
      <c r="H39206" s="83"/>
      <c r="K39206" s="82"/>
      <c r="M39206" s="112"/>
      <c r="N39206" s="84"/>
    </row>
    <row r="39207" spans="1:14" s="2" customFormat="1">
      <c r="A39207" s="83"/>
      <c r="H39207" s="83"/>
      <c r="K39207" s="82"/>
      <c r="M39207" s="112"/>
      <c r="N39207" s="84"/>
    </row>
    <row r="39208" spans="1:14" s="2" customFormat="1">
      <c r="A39208" s="83"/>
      <c r="H39208" s="83"/>
      <c r="K39208" s="82"/>
      <c r="M39208" s="112"/>
      <c r="N39208" s="84"/>
    </row>
    <row r="39209" spans="1:14" s="2" customFormat="1">
      <c r="A39209" s="83"/>
      <c r="H39209" s="83"/>
      <c r="K39209" s="82"/>
      <c r="M39209" s="112"/>
      <c r="N39209" s="84"/>
    </row>
    <row r="39210" spans="1:14" s="2" customFormat="1">
      <c r="A39210" s="83"/>
      <c r="H39210" s="83"/>
      <c r="K39210" s="82"/>
      <c r="M39210" s="112"/>
      <c r="N39210" s="84"/>
    </row>
    <row r="39211" spans="1:14" s="2" customFormat="1">
      <c r="A39211" s="83"/>
      <c r="H39211" s="83"/>
      <c r="K39211" s="82"/>
      <c r="M39211" s="112"/>
      <c r="N39211" s="84"/>
    </row>
    <row r="39212" spans="1:14" s="2" customFormat="1">
      <c r="A39212" s="83"/>
      <c r="H39212" s="83"/>
      <c r="K39212" s="82"/>
      <c r="M39212" s="112"/>
      <c r="N39212" s="84"/>
    </row>
    <row r="39213" spans="1:14" s="2" customFormat="1">
      <c r="A39213" s="83"/>
      <c r="H39213" s="83"/>
      <c r="K39213" s="82"/>
      <c r="M39213" s="112"/>
      <c r="N39213" s="84"/>
    </row>
    <row r="39214" spans="1:14" s="2" customFormat="1">
      <c r="A39214" s="83"/>
      <c r="H39214" s="83"/>
      <c r="K39214" s="82"/>
      <c r="M39214" s="112"/>
      <c r="N39214" s="84"/>
    </row>
    <row r="39215" spans="1:14" s="2" customFormat="1">
      <c r="A39215" s="83"/>
      <c r="H39215" s="83"/>
      <c r="K39215" s="82"/>
      <c r="M39215" s="112"/>
      <c r="N39215" s="84"/>
    </row>
    <row r="39216" spans="1:14" s="2" customFormat="1">
      <c r="A39216" s="83"/>
      <c r="H39216" s="83"/>
      <c r="K39216" s="82"/>
      <c r="M39216" s="112"/>
      <c r="N39216" s="84"/>
    </row>
    <row r="39217" spans="1:14" s="2" customFormat="1">
      <c r="A39217" s="83"/>
      <c r="H39217" s="83"/>
      <c r="K39217" s="82"/>
      <c r="M39217" s="112"/>
      <c r="N39217" s="84"/>
    </row>
    <row r="39218" spans="1:14" s="2" customFormat="1">
      <c r="A39218" s="83"/>
      <c r="H39218" s="83"/>
      <c r="K39218" s="82"/>
      <c r="M39218" s="112"/>
      <c r="N39218" s="84"/>
    </row>
    <row r="39219" spans="1:14" s="2" customFormat="1">
      <c r="A39219" s="83"/>
      <c r="H39219" s="83"/>
      <c r="K39219" s="82"/>
      <c r="M39219" s="112"/>
      <c r="N39219" s="84"/>
    </row>
    <row r="39220" spans="1:14" s="2" customFormat="1">
      <c r="A39220" s="83"/>
      <c r="H39220" s="83"/>
      <c r="K39220" s="82"/>
      <c r="M39220" s="112"/>
      <c r="N39220" s="84"/>
    </row>
    <row r="39221" spans="1:14" s="2" customFormat="1">
      <c r="A39221" s="83"/>
      <c r="H39221" s="83"/>
      <c r="K39221" s="82"/>
      <c r="M39221" s="112"/>
      <c r="N39221" s="84"/>
    </row>
    <row r="39222" spans="1:14" s="2" customFormat="1">
      <c r="A39222" s="83"/>
      <c r="H39222" s="83"/>
      <c r="K39222" s="82"/>
      <c r="M39222" s="112"/>
      <c r="N39222" s="84"/>
    </row>
    <row r="39223" spans="1:14" s="2" customFormat="1">
      <c r="A39223" s="83"/>
      <c r="H39223" s="83"/>
      <c r="K39223" s="82"/>
      <c r="M39223" s="112"/>
      <c r="N39223" s="84"/>
    </row>
    <row r="39224" spans="1:14" s="2" customFormat="1">
      <c r="A39224" s="83"/>
      <c r="H39224" s="83"/>
      <c r="K39224" s="82"/>
      <c r="M39224" s="112"/>
      <c r="N39224" s="84"/>
    </row>
    <row r="39225" spans="1:14" s="2" customFormat="1">
      <c r="A39225" s="83"/>
      <c r="H39225" s="83"/>
      <c r="K39225" s="82"/>
      <c r="M39225" s="112"/>
      <c r="N39225" s="84"/>
    </row>
    <row r="39226" spans="1:14" s="2" customFormat="1">
      <c r="A39226" s="83"/>
      <c r="H39226" s="83"/>
      <c r="K39226" s="82"/>
      <c r="M39226" s="112"/>
      <c r="N39226" s="84"/>
    </row>
    <row r="39227" spans="1:14" s="2" customFormat="1">
      <c r="A39227" s="83"/>
      <c r="H39227" s="83"/>
      <c r="K39227" s="82"/>
      <c r="M39227" s="112"/>
      <c r="N39227" s="84"/>
    </row>
    <row r="39228" spans="1:14" s="2" customFormat="1">
      <c r="A39228" s="83"/>
      <c r="H39228" s="83"/>
      <c r="K39228" s="82"/>
      <c r="M39228" s="112"/>
      <c r="N39228" s="84"/>
    </row>
    <row r="39229" spans="1:14" s="2" customFormat="1">
      <c r="A39229" s="83"/>
      <c r="H39229" s="83"/>
      <c r="K39229" s="82"/>
      <c r="M39229" s="112"/>
      <c r="N39229" s="84"/>
    </row>
    <row r="39230" spans="1:14" s="2" customFormat="1">
      <c r="A39230" s="83"/>
      <c r="H39230" s="83"/>
      <c r="K39230" s="82"/>
      <c r="M39230" s="112"/>
      <c r="N39230" s="84"/>
    </row>
    <row r="39231" spans="1:14" s="2" customFormat="1">
      <c r="A39231" s="83"/>
      <c r="H39231" s="83"/>
      <c r="K39231" s="82"/>
      <c r="M39231" s="112"/>
      <c r="N39231" s="84"/>
    </row>
    <row r="39232" spans="1:14" s="2" customFormat="1">
      <c r="A39232" s="83"/>
      <c r="H39232" s="83"/>
      <c r="K39232" s="82"/>
      <c r="M39232" s="112"/>
      <c r="N39232" s="84"/>
    </row>
    <row r="39233" spans="1:14" s="2" customFormat="1">
      <c r="A39233" s="83"/>
      <c r="H39233" s="83"/>
      <c r="K39233" s="82"/>
      <c r="M39233" s="112"/>
      <c r="N39233" s="84"/>
    </row>
    <row r="39234" spans="1:14" s="2" customFormat="1">
      <c r="A39234" s="83"/>
      <c r="H39234" s="83"/>
      <c r="K39234" s="82"/>
      <c r="M39234" s="112"/>
      <c r="N39234" s="84"/>
    </row>
    <row r="39235" spans="1:14" s="2" customFormat="1">
      <c r="A39235" s="83"/>
      <c r="H39235" s="83"/>
      <c r="K39235" s="82"/>
      <c r="M39235" s="112"/>
      <c r="N39235" s="84"/>
    </row>
    <row r="39236" spans="1:14" s="2" customFormat="1">
      <c r="A39236" s="83"/>
      <c r="H39236" s="83"/>
      <c r="K39236" s="82"/>
      <c r="M39236" s="112"/>
      <c r="N39236" s="84"/>
    </row>
    <row r="39237" spans="1:14" s="2" customFormat="1">
      <c r="A39237" s="83"/>
      <c r="H39237" s="83"/>
      <c r="K39237" s="82"/>
      <c r="M39237" s="112"/>
      <c r="N39237" s="84"/>
    </row>
    <row r="39238" spans="1:14" s="2" customFormat="1">
      <c r="A39238" s="83"/>
      <c r="H39238" s="83"/>
      <c r="K39238" s="82"/>
      <c r="M39238" s="112"/>
      <c r="N39238" s="84"/>
    </row>
    <row r="39239" spans="1:14" s="2" customFormat="1">
      <c r="A39239" s="83"/>
      <c r="H39239" s="83"/>
      <c r="K39239" s="82"/>
      <c r="M39239" s="112"/>
      <c r="N39239" s="84"/>
    </row>
    <row r="39240" spans="1:14" s="2" customFormat="1">
      <c r="A39240" s="83"/>
      <c r="H39240" s="83"/>
      <c r="K39240" s="82"/>
      <c r="M39240" s="112"/>
      <c r="N39240" s="84"/>
    </row>
    <row r="39241" spans="1:14" s="2" customFormat="1">
      <c r="A39241" s="83"/>
      <c r="H39241" s="83"/>
      <c r="K39241" s="82"/>
      <c r="M39241" s="112"/>
      <c r="N39241" s="84"/>
    </row>
    <row r="39242" spans="1:14" s="2" customFormat="1">
      <c r="A39242" s="83"/>
      <c r="H39242" s="83"/>
      <c r="K39242" s="82"/>
      <c r="M39242" s="112"/>
      <c r="N39242" s="84"/>
    </row>
    <row r="39243" spans="1:14" s="2" customFormat="1">
      <c r="A39243" s="83"/>
      <c r="H39243" s="83"/>
      <c r="K39243" s="82"/>
      <c r="M39243" s="112"/>
      <c r="N39243" s="84"/>
    </row>
    <row r="39244" spans="1:14" s="2" customFormat="1">
      <c r="A39244" s="83"/>
      <c r="H39244" s="83"/>
      <c r="K39244" s="82"/>
      <c r="M39244" s="112"/>
      <c r="N39244" s="84"/>
    </row>
    <row r="39245" spans="1:14" s="2" customFormat="1">
      <c r="A39245" s="83"/>
      <c r="H39245" s="83"/>
      <c r="K39245" s="82"/>
      <c r="M39245" s="112"/>
      <c r="N39245" s="84"/>
    </row>
    <row r="39246" spans="1:14" s="2" customFormat="1">
      <c r="A39246" s="83"/>
      <c r="H39246" s="83"/>
      <c r="K39246" s="82"/>
      <c r="M39246" s="112"/>
      <c r="N39246" s="84"/>
    </row>
    <row r="39247" spans="1:14" s="2" customFormat="1">
      <c r="A39247" s="83"/>
      <c r="H39247" s="83"/>
      <c r="K39247" s="82"/>
      <c r="M39247" s="112"/>
      <c r="N39247" s="84"/>
    </row>
    <row r="39248" spans="1:14" s="2" customFormat="1">
      <c r="A39248" s="83"/>
      <c r="H39248" s="83"/>
      <c r="K39248" s="82"/>
      <c r="M39248" s="112"/>
      <c r="N39248" s="84"/>
    </row>
    <row r="39249" spans="1:14" s="2" customFormat="1">
      <c r="A39249" s="83"/>
      <c r="H39249" s="83"/>
      <c r="K39249" s="82"/>
      <c r="M39249" s="112"/>
      <c r="N39249" s="84"/>
    </row>
    <row r="39250" spans="1:14" s="2" customFormat="1">
      <c r="A39250" s="83"/>
      <c r="H39250" s="83"/>
      <c r="K39250" s="82"/>
      <c r="M39250" s="112"/>
      <c r="N39250" s="84"/>
    </row>
    <row r="39251" spans="1:14" s="2" customFormat="1">
      <c r="A39251" s="83"/>
      <c r="H39251" s="83"/>
      <c r="K39251" s="82"/>
      <c r="M39251" s="112"/>
      <c r="N39251" s="84"/>
    </row>
    <row r="39252" spans="1:14" s="2" customFormat="1">
      <c r="A39252" s="83"/>
      <c r="H39252" s="83"/>
      <c r="K39252" s="82"/>
      <c r="M39252" s="112"/>
      <c r="N39252" s="84"/>
    </row>
    <row r="39253" spans="1:14" s="2" customFormat="1">
      <c r="A39253" s="83"/>
      <c r="H39253" s="83"/>
      <c r="K39253" s="82"/>
      <c r="M39253" s="112"/>
      <c r="N39253" s="84"/>
    </row>
    <row r="39254" spans="1:14" s="2" customFormat="1">
      <c r="A39254" s="83"/>
      <c r="H39254" s="83"/>
      <c r="K39254" s="82"/>
      <c r="M39254" s="112"/>
      <c r="N39254" s="84"/>
    </row>
    <row r="39255" spans="1:14" s="2" customFormat="1">
      <c r="A39255" s="83"/>
      <c r="H39255" s="83"/>
      <c r="K39255" s="82"/>
      <c r="M39255" s="112"/>
      <c r="N39255" s="84"/>
    </row>
    <row r="39256" spans="1:14" s="2" customFormat="1">
      <c r="A39256" s="83"/>
      <c r="H39256" s="83"/>
      <c r="K39256" s="82"/>
      <c r="M39256" s="112"/>
      <c r="N39256" s="84"/>
    </row>
    <row r="39257" spans="1:14" s="2" customFormat="1">
      <c r="A39257" s="83"/>
      <c r="H39257" s="83"/>
      <c r="K39257" s="82"/>
      <c r="M39257" s="112"/>
      <c r="N39257" s="84"/>
    </row>
    <row r="39258" spans="1:14" s="2" customFormat="1">
      <c r="A39258" s="83"/>
      <c r="H39258" s="83"/>
      <c r="K39258" s="82"/>
      <c r="M39258" s="112"/>
      <c r="N39258" s="84"/>
    </row>
    <row r="39259" spans="1:14" s="2" customFormat="1">
      <c r="A39259" s="83"/>
      <c r="H39259" s="83"/>
      <c r="K39259" s="82"/>
      <c r="M39259" s="112"/>
      <c r="N39259" s="84"/>
    </row>
    <row r="39260" spans="1:14" s="2" customFormat="1">
      <c r="A39260" s="83"/>
      <c r="H39260" s="83"/>
      <c r="K39260" s="82"/>
      <c r="M39260" s="112"/>
      <c r="N39260" s="84"/>
    </row>
    <row r="39261" spans="1:14" s="2" customFormat="1">
      <c r="A39261" s="83"/>
      <c r="H39261" s="83"/>
      <c r="K39261" s="82"/>
      <c r="M39261" s="112"/>
      <c r="N39261" s="84"/>
    </row>
    <row r="39262" spans="1:14" s="2" customFormat="1">
      <c r="A39262" s="83"/>
      <c r="H39262" s="83"/>
      <c r="K39262" s="82"/>
      <c r="M39262" s="112"/>
      <c r="N39262" s="84"/>
    </row>
    <row r="39263" spans="1:14" s="2" customFormat="1">
      <c r="A39263" s="83"/>
      <c r="H39263" s="83"/>
      <c r="K39263" s="82"/>
      <c r="M39263" s="112"/>
      <c r="N39263" s="84"/>
    </row>
    <row r="39264" spans="1:14" s="2" customFormat="1">
      <c r="A39264" s="83"/>
      <c r="H39264" s="83"/>
      <c r="K39264" s="82"/>
      <c r="M39264" s="112"/>
      <c r="N39264" s="84"/>
    </row>
    <row r="39265" spans="1:14" s="2" customFormat="1">
      <c r="A39265" s="83"/>
      <c r="H39265" s="83"/>
      <c r="K39265" s="82"/>
      <c r="M39265" s="112"/>
      <c r="N39265" s="84"/>
    </row>
    <row r="39266" spans="1:14" s="2" customFormat="1">
      <c r="A39266" s="83"/>
      <c r="H39266" s="83"/>
      <c r="K39266" s="82"/>
      <c r="M39266" s="112"/>
      <c r="N39266" s="84"/>
    </row>
    <row r="39267" spans="1:14" s="2" customFormat="1">
      <c r="A39267" s="83"/>
      <c r="H39267" s="83"/>
      <c r="K39267" s="82"/>
      <c r="M39267" s="112"/>
      <c r="N39267" s="84"/>
    </row>
    <row r="39268" spans="1:14" s="2" customFormat="1">
      <c r="A39268" s="83"/>
      <c r="H39268" s="83"/>
      <c r="K39268" s="82"/>
      <c r="M39268" s="112"/>
      <c r="N39268" s="84"/>
    </row>
    <row r="39269" spans="1:14" s="2" customFormat="1">
      <c r="A39269" s="83"/>
      <c r="H39269" s="83"/>
      <c r="K39269" s="82"/>
      <c r="M39269" s="112"/>
      <c r="N39269" s="84"/>
    </row>
    <row r="39270" spans="1:14" s="2" customFormat="1">
      <c r="A39270" s="83"/>
      <c r="H39270" s="83"/>
      <c r="K39270" s="82"/>
      <c r="M39270" s="112"/>
      <c r="N39270" s="84"/>
    </row>
    <row r="39271" spans="1:14" s="2" customFormat="1">
      <c r="A39271" s="83"/>
      <c r="H39271" s="83"/>
      <c r="K39271" s="82"/>
      <c r="M39271" s="112"/>
      <c r="N39271" s="84"/>
    </row>
    <row r="39272" spans="1:14" s="2" customFormat="1">
      <c r="A39272" s="83"/>
      <c r="H39272" s="83"/>
      <c r="K39272" s="82"/>
      <c r="M39272" s="112"/>
      <c r="N39272" s="84"/>
    </row>
    <row r="39273" spans="1:14" s="2" customFormat="1">
      <c r="A39273" s="83"/>
      <c r="H39273" s="83"/>
      <c r="K39273" s="82"/>
      <c r="M39273" s="112"/>
      <c r="N39273" s="84"/>
    </row>
    <row r="39274" spans="1:14" s="2" customFormat="1">
      <c r="A39274" s="83"/>
      <c r="H39274" s="83"/>
      <c r="K39274" s="82"/>
      <c r="M39274" s="112"/>
      <c r="N39274" s="84"/>
    </row>
    <row r="39275" spans="1:14" s="2" customFormat="1">
      <c r="A39275" s="83"/>
      <c r="H39275" s="83"/>
      <c r="K39275" s="82"/>
      <c r="M39275" s="112"/>
      <c r="N39275" s="84"/>
    </row>
    <row r="39276" spans="1:14" s="2" customFormat="1">
      <c r="A39276" s="83"/>
      <c r="H39276" s="83"/>
      <c r="K39276" s="82"/>
      <c r="M39276" s="112"/>
      <c r="N39276" s="84"/>
    </row>
    <row r="39277" spans="1:14" s="2" customFormat="1">
      <c r="A39277" s="83"/>
      <c r="H39277" s="83"/>
      <c r="K39277" s="82"/>
      <c r="M39277" s="112"/>
      <c r="N39277" s="84"/>
    </row>
    <row r="39278" spans="1:14" s="2" customFormat="1">
      <c r="A39278" s="83"/>
      <c r="H39278" s="83"/>
      <c r="K39278" s="82"/>
      <c r="M39278" s="112"/>
      <c r="N39278" s="84"/>
    </row>
    <row r="39279" spans="1:14" s="2" customFormat="1">
      <c r="A39279" s="83"/>
      <c r="H39279" s="83"/>
      <c r="K39279" s="82"/>
      <c r="M39279" s="112"/>
      <c r="N39279" s="84"/>
    </row>
    <row r="39280" spans="1:14" s="2" customFormat="1">
      <c r="A39280" s="83"/>
      <c r="H39280" s="83"/>
      <c r="K39280" s="82"/>
      <c r="M39280" s="112"/>
      <c r="N39280" s="84"/>
    </row>
    <row r="39281" spans="1:14" s="2" customFormat="1">
      <c r="A39281" s="83"/>
      <c r="H39281" s="83"/>
      <c r="K39281" s="82"/>
      <c r="M39281" s="112"/>
      <c r="N39281" s="84"/>
    </row>
    <row r="39282" spans="1:14" s="2" customFormat="1">
      <c r="A39282" s="83"/>
      <c r="H39282" s="83"/>
      <c r="K39282" s="82"/>
      <c r="M39282" s="112"/>
      <c r="N39282" s="84"/>
    </row>
    <row r="39283" spans="1:14" s="2" customFormat="1">
      <c r="A39283" s="83"/>
      <c r="H39283" s="83"/>
      <c r="K39283" s="82"/>
      <c r="M39283" s="112"/>
      <c r="N39283" s="84"/>
    </row>
    <row r="39284" spans="1:14" s="2" customFormat="1">
      <c r="A39284" s="83"/>
      <c r="H39284" s="83"/>
      <c r="K39284" s="82"/>
      <c r="M39284" s="112"/>
      <c r="N39284" s="84"/>
    </row>
    <row r="39285" spans="1:14" s="2" customFormat="1">
      <c r="A39285" s="83"/>
      <c r="H39285" s="83"/>
      <c r="K39285" s="82"/>
      <c r="M39285" s="112"/>
      <c r="N39285" s="84"/>
    </row>
    <row r="39286" spans="1:14" s="2" customFormat="1">
      <c r="A39286" s="83"/>
      <c r="H39286" s="83"/>
      <c r="K39286" s="82"/>
      <c r="M39286" s="112"/>
      <c r="N39286" s="84"/>
    </row>
    <row r="39287" spans="1:14" s="2" customFormat="1">
      <c r="A39287" s="83"/>
      <c r="H39287" s="83"/>
      <c r="K39287" s="82"/>
      <c r="M39287" s="112"/>
      <c r="N39287" s="84"/>
    </row>
    <row r="39288" spans="1:14" s="2" customFormat="1">
      <c r="A39288" s="83"/>
      <c r="H39288" s="83"/>
      <c r="K39288" s="82"/>
      <c r="M39288" s="112"/>
      <c r="N39288" s="84"/>
    </row>
    <row r="39289" spans="1:14" s="2" customFormat="1">
      <c r="A39289" s="83"/>
      <c r="H39289" s="83"/>
      <c r="K39289" s="82"/>
      <c r="M39289" s="112"/>
      <c r="N39289" s="84"/>
    </row>
    <row r="39290" spans="1:14" s="2" customFormat="1">
      <c r="A39290" s="83"/>
      <c r="H39290" s="83"/>
      <c r="K39290" s="82"/>
      <c r="M39290" s="112"/>
      <c r="N39290" s="84"/>
    </row>
    <row r="39291" spans="1:14" s="2" customFormat="1">
      <c r="A39291" s="83"/>
      <c r="H39291" s="83"/>
      <c r="K39291" s="82"/>
      <c r="M39291" s="112"/>
      <c r="N39291" s="84"/>
    </row>
    <row r="39292" spans="1:14" s="2" customFormat="1">
      <c r="A39292" s="83"/>
      <c r="H39292" s="83"/>
      <c r="K39292" s="82"/>
      <c r="M39292" s="112"/>
      <c r="N39292" s="84"/>
    </row>
    <row r="39293" spans="1:14" s="2" customFormat="1">
      <c r="A39293" s="83"/>
      <c r="H39293" s="83"/>
      <c r="K39293" s="82"/>
      <c r="M39293" s="112"/>
      <c r="N39293" s="84"/>
    </row>
    <row r="39294" spans="1:14" s="2" customFormat="1">
      <c r="A39294" s="83"/>
      <c r="H39294" s="83"/>
      <c r="K39294" s="82"/>
      <c r="M39294" s="112"/>
      <c r="N39294" s="84"/>
    </row>
    <row r="39295" spans="1:14" s="2" customFormat="1">
      <c r="A39295" s="83"/>
      <c r="H39295" s="83"/>
      <c r="K39295" s="82"/>
      <c r="M39295" s="112"/>
      <c r="N39295" s="84"/>
    </row>
    <row r="39296" spans="1:14" s="2" customFormat="1">
      <c r="A39296" s="83"/>
      <c r="H39296" s="83"/>
      <c r="K39296" s="82"/>
      <c r="M39296" s="112"/>
      <c r="N39296" s="84"/>
    </row>
    <row r="39297" spans="1:14" s="2" customFormat="1">
      <c r="A39297" s="83"/>
      <c r="H39297" s="83"/>
      <c r="K39297" s="82"/>
      <c r="M39297" s="112"/>
      <c r="N39297" s="84"/>
    </row>
    <row r="39298" spans="1:14" s="2" customFormat="1">
      <c r="A39298" s="83"/>
      <c r="H39298" s="83"/>
      <c r="K39298" s="82"/>
      <c r="M39298" s="112"/>
      <c r="N39298" s="84"/>
    </row>
    <row r="39299" spans="1:14" s="2" customFormat="1">
      <c r="A39299" s="83"/>
      <c r="H39299" s="83"/>
      <c r="K39299" s="82"/>
      <c r="M39299" s="112"/>
      <c r="N39299" s="84"/>
    </row>
    <row r="39300" spans="1:14" s="2" customFormat="1">
      <c r="A39300" s="83"/>
      <c r="H39300" s="83"/>
      <c r="K39300" s="82"/>
      <c r="M39300" s="112"/>
      <c r="N39300" s="84"/>
    </row>
    <row r="39301" spans="1:14" s="2" customFormat="1">
      <c r="A39301" s="83"/>
      <c r="H39301" s="83"/>
      <c r="K39301" s="82"/>
      <c r="M39301" s="112"/>
      <c r="N39301" s="84"/>
    </row>
    <row r="39302" spans="1:14" s="2" customFormat="1">
      <c r="A39302" s="83"/>
      <c r="H39302" s="83"/>
      <c r="K39302" s="82"/>
      <c r="M39302" s="112"/>
      <c r="N39302" s="84"/>
    </row>
    <row r="39303" spans="1:14" s="2" customFormat="1">
      <c r="A39303" s="83"/>
      <c r="H39303" s="83"/>
      <c r="K39303" s="82"/>
      <c r="M39303" s="112"/>
      <c r="N39303" s="84"/>
    </row>
    <row r="39304" spans="1:14" s="2" customFormat="1">
      <c r="A39304" s="83"/>
      <c r="H39304" s="83"/>
      <c r="K39304" s="82"/>
      <c r="M39304" s="112"/>
      <c r="N39304" s="84"/>
    </row>
    <row r="39305" spans="1:14" s="2" customFormat="1">
      <c r="A39305" s="83"/>
      <c r="H39305" s="83"/>
      <c r="K39305" s="82"/>
      <c r="M39305" s="112"/>
      <c r="N39305" s="84"/>
    </row>
    <row r="39306" spans="1:14" s="2" customFormat="1">
      <c r="A39306" s="83"/>
      <c r="H39306" s="83"/>
      <c r="K39306" s="82"/>
      <c r="M39306" s="112"/>
      <c r="N39306" s="84"/>
    </row>
    <row r="39307" spans="1:14" s="2" customFormat="1">
      <c r="A39307" s="83"/>
      <c r="H39307" s="83"/>
      <c r="K39307" s="82"/>
      <c r="M39307" s="112"/>
      <c r="N39307" s="84"/>
    </row>
    <row r="39308" spans="1:14" s="2" customFormat="1">
      <c r="A39308" s="83"/>
      <c r="H39308" s="83"/>
      <c r="K39308" s="82"/>
      <c r="M39308" s="112"/>
      <c r="N39308" s="84"/>
    </row>
    <row r="39309" spans="1:14" s="2" customFormat="1">
      <c r="A39309" s="83"/>
      <c r="H39309" s="83"/>
      <c r="K39309" s="82"/>
      <c r="M39309" s="112"/>
      <c r="N39309" s="84"/>
    </row>
    <row r="39310" spans="1:14" s="2" customFormat="1">
      <c r="A39310" s="83"/>
      <c r="H39310" s="83"/>
      <c r="K39310" s="82"/>
      <c r="M39310" s="112"/>
      <c r="N39310" s="84"/>
    </row>
    <row r="39311" spans="1:14" s="2" customFormat="1">
      <c r="A39311" s="83"/>
      <c r="H39311" s="83"/>
      <c r="K39311" s="82"/>
      <c r="M39311" s="112"/>
      <c r="N39311" s="84"/>
    </row>
    <row r="39312" spans="1:14" s="2" customFormat="1">
      <c r="A39312" s="83"/>
      <c r="H39312" s="83"/>
      <c r="K39312" s="82"/>
      <c r="M39312" s="112"/>
      <c r="N39312" s="84"/>
    </row>
    <row r="39313" spans="1:14" s="2" customFormat="1">
      <c r="A39313" s="83"/>
      <c r="H39313" s="83"/>
      <c r="K39313" s="82"/>
      <c r="M39313" s="112"/>
      <c r="N39313" s="84"/>
    </row>
    <row r="39314" spans="1:14" s="2" customFormat="1">
      <c r="A39314" s="83"/>
      <c r="H39314" s="83"/>
      <c r="K39314" s="82"/>
      <c r="M39314" s="112"/>
      <c r="N39314" s="84"/>
    </row>
    <row r="39315" spans="1:14" s="2" customFormat="1">
      <c r="A39315" s="83"/>
      <c r="H39315" s="83"/>
      <c r="K39315" s="82"/>
      <c r="M39315" s="112"/>
      <c r="N39315" s="84"/>
    </row>
    <row r="39316" spans="1:14" s="2" customFormat="1">
      <c r="A39316" s="83"/>
      <c r="H39316" s="83"/>
      <c r="K39316" s="82"/>
      <c r="M39316" s="112"/>
      <c r="N39316" s="84"/>
    </row>
    <row r="39317" spans="1:14" s="2" customFormat="1">
      <c r="A39317" s="83"/>
      <c r="H39317" s="83"/>
      <c r="K39317" s="82"/>
      <c r="M39317" s="112"/>
      <c r="N39317" s="84"/>
    </row>
    <row r="39318" spans="1:14" s="2" customFormat="1">
      <c r="A39318" s="83"/>
      <c r="H39318" s="83"/>
      <c r="K39318" s="82"/>
      <c r="M39318" s="112"/>
      <c r="N39318" s="84"/>
    </row>
    <row r="39319" spans="1:14" s="2" customFormat="1">
      <c r="A39319" s="83"/>
      <c r="H39319" s="83"/>
      <c r="K39319" s="82"/>
      <c r="M39319" s="112"/>
      <c r="N39319" s="84"/>
    </row>
    <row r="39320" spans="1:14" s="2" customFormat="1">
      <c r="A39320" s="83"/>
      <c r="H39320" s="83"/>
      <c r="K39320" s="82"/>
      <c r="M39320" s="112"/>
      <c r="N39320" s="84"/>
    </row>
    <row r="39321" spans="1:14" s="2" customFormat="1">
      <c r="A39321" s="83"/>
      <c r="H39321" s="83"/>
      <c r="K39321" s="82"/>
      <c r="M39321" s="112"/>
      <c r="N39321" s="84"/>
    </row>
    <row r="39322" spans="1:14" s="2" customFormat="1">
      <c r="A39322" s="83"/>
      <c r="H39322" s="83"/>
      <c r="K39322" s="82"/>
      <c r="M39322" s="112"/>
      <c r="N39322" s="84"/>
    </row>
    <row r="39323" spans="1:14" s="2" customFormat="1">
      <c r="A39323" s="83"/>
      <c r="H39323" s="83"/>
      <c r="K39323" s="82"/>
      <c r="M39323" s="112"/>
      <c r="N39323" s="84"/>
    </row>
    <row r="39324" spans="1:14" s="2" customFormat="1">
      <c r="A39324" s="83"/>
      <c r="H39324" s="83"/>
      <c r="K39324" s="82"/>
      <c r="M39324" s="112"/>
      <c r="N39324" s="84"/>
    </row>
    <row r="39325" spans="1:14" s="2" customFormat="1">
      <c r="A39325" s="83"/>
      <c r="H39325" s="83"/>
      <c r="K39325" s="82"/>
      <c r="M39325" s="112"/>
      <c r="N39325" s="84"/>
    </row>
    <row r="39326" spans="1:14" s="2" customFormat="1">
      <c r="A39326" s="83"/>
      <c r="H39326" s="83"/>
      <c r="K39326" s="82"/>
      <c r="M39326" s="112"/>
      <c r="N39326" s="84"/>
    </row>
    <row r="39327" spans="1:14" s="2" customFormat="1">
      <c r="A39327" s="83"/>
      <c r="H39327" s="83"/>
      <c r="K39327" s="82"/>
      <c r="M39327" s="112"/>
      <c r="N39327" s="84"/>
    </row>
    <row r="39328" spans="1:14" s="2" customFormat="1">
      <c r="A39328" s="83"/>
      <c r="H39328" s="83"/>
      <c r="K39328" s="82"/>
      <c r="M39328" s="112"/>
      <c r="N39328" s="84"/>
    </row>
    <row r="39329" spans="1:14" s="2" customFormat="1">
      <c r="A39329" s="83"/>
      <c r="H39329" s="83"/>
      <c r="K39329" s="82"/>
      <c r="M39329" s="112"/>
      <c r="N39329" s="84"/>
    </row>
    <row r="39330" spans="1:14" s="2" customFormat="1">
      <c r="A39330" s="83"/>
      <c r="H39330" s="83"/>
      <c r="K39330" s="82"/>
      <c r="M39330" s="112"/>
      <c r="N39330" s="84"/>
    </row>
    <row r="39331" spans="1:14" s="2" customFormat="1">
      <c r="A39331" s="83"/>
      <c r="H39331" s="83"/>
      <c r="K39331" s="82"/>
      <c r="M39331" s="112"/>
      <c r="N39331" s="84"/>
    </row>
    <row r="39332" spans="1:14" s="2" customFormat="1">
      <c r="A39332" s="83"/>
      <c r="H39332" s="83"/>
      <c r="K39332" s="82"/>
      <c r="M39332" s="112"/>
      <c r="N39332" s="84"/>
    </row>
    <row r="39333" spans="1:14" s="2" customFormat="1">
      <c r="A39333" s="83"/>
      <c r="H39333" s="83"/>
      <c r="K39333" s="82"/>
      <c r="M39333" s="112"/>
      <c r="N39333" s="84"/>
    </row>
    <row r="39334" spans="1:14" s="2" customFormat="1">
      <c r="A39334" s="83"/>
      <c r="H39334" s="83"/>
      <c r="K39334" s="82"/>
      <c r="M39334" s="112"/>
      <c r="N39334" s="84"/>
    </row>
    <row r="39335" spans="1:14" s="2" customFormat="1">
      <c r="A39335" s="83"/>
      <c r="H39335" s="83"/>
      <c r="K39335" s="82"/>
      <c r="M39335" s="112"/>
      <c r="N39335" s="84"/>
    </row>
    <row r="39336" spans="1:14" s="2" customFormat="1">
      <c r="A39336" s="83"/>
      <c r="H39336" s="83"/>
      <c r="K39336" s="82"/>
      <c r="M39336" s="112"/>
      <c r="N39336" s="84"/>
    </row>
    <row r="39337" spans="1:14" s="2" customFormat="1">
      <c r="A39337" s="83"/>
      <c r="H39337" s="83"/>
      <c r="K39337" s="82"/>
      <c r="M39337" s="112"/>
      <c r="N39337" s="84"/>
    </row>
    <row r="39338" spans="1:14" s="2" customFormat="1">
      <c r="A39338" s="83"/>
      <c r="H39338" s="83"/>
      <c r="K39338" s="82"/>
      <c r="M39338" s="112"/>
      <c r="N39338" s="84"/>
    </row>
    <row r="39339" spans="1:14" s="2" customFormat="1">
      <c r="A39339" s="83"/>
      <c r="H39339" s="83"/>
      <c r="K39339" s="82"/>
      <c r="M39339" s="112"/>
      <c r="N39339" s="84"/>
    </row>
    <row r="39340" spans="1:14" s="2" customFormat="1">
      <c r="A39340" s="83"/>
      <c r="H39340" s="83"/>
      <c r="K39340" s="82"/>
      <c r="M39340" s="112"/>
      <c r="N39340" s="84"/>
    </row>
    <row r="39341" spans="1:14" s="2" customFormat="1">
      <c r="A39341" s="83"/>
      <c r="H39341" s="83"/>
      <c r="K39341" s="82"/>
      <c r="M39341" s="112"/>
      <c r="N39341" s="84"/>
    </row>
    <row r="39342" spans="1:14" s="2" customFormat="1">
      <c r="A39342" s="83"/>
      <c r="H39342" s="83"/>
      <c r="K39342" s="82"/>
      <c r="M39342" s="112"/>
      <c r="N39342" s="84"/>
    </row>
    <row r="39343" spans="1:14" s="2" customFormat="1">
      <c r="A39343" s="83"/>
      <c r="H39343" s="83"/>
      <c r="K39343" s="82"/>
      <c r="M39343" s="112"/>
      <c r="N39343" s="84"/>
    </row>
    <row r="39344" spans="1:14" s="2" customFormat="1">
      <c r="A39344" s="83"/>
      <c r="H39344" s="83"/>
      <c r="K39344" s="82"/>
      <c r="M39344" s="112"/>
      <c r="N39344" s="84"/>
    </row>
    <row r="39345" spans="1:14" s="2" customFormat="1">
      <c r="A39345" s="83"/>
      <c r="H39345" s="83"/>
      <c r="K39345" s="82"/>
      <c r="M39345" s="112"/>
      <c r="N39345" s="84"/>
    </row>
    <row r="39346" spans="1:14" s="2" customFormat="1">
      <c r="A39346" s="83"/>
      <c r="H39346" s="83"/>
      <c r="K39346" s="82"/>
      <c r="M39346" s="112"/>
      <c r="N39346" s="84"/>
    </row>
    <row r="39347" spans="1:14" s="2" customFormat="1">
      <c r="A39347" s="83"/>
      <c r="H39347" s="83"/>
      <c r="K39347" s="82"/>
      <c r="M39347" s="112"/>
      <c r="N39347" s="84"/>
    </row>
    <row r="39348" spans="1:14" s="2" customFormat="1">
      <c r="A39348" s="83"/>
      <c r="H39348" s="83"/>
      <c r="K39348" s="82"/>
      <c r="M39348" s="112"/>
      <c r="N39348" s="84"/>
    </row>
    <row r="39349" spans="1:14" s="2" customFormat="1">
      <c r="A39349" s="83"/>
      <c r="H39349" s="83"/>
      <c r="K39349" s="82"/>
      <c r="M39349" s="112"/>
      <c r="N39349" s="84"/>
    </row>
    <row r="39350" spans="1:14" s="2" customFormat="1">
      <c r="A39350" s="83"/>
      <c r="H39350" s="83"/>
      <c r="K39350" s="82"/>
      <c r="M39350" s="112"/>
      <c r="N39350" s="84"/>
    </row>
    <row r="39351" spans="1:14" s="2" customFormat="1">
      <c r="A39351" s="83"/>
      <c r="H39351" s="83"/>
      <c r="K39351" s="82"/>
      <c r="M39351" s="112"/>
      <c r="N39351" s="84"/>
    </row>
    <row r="39352" spans="1:14" s="2" customFormat="1">
      <c r="A39352" s="83"/>
      <c r="H39352" s="83"/>
      <c r="K39352" s="82"/>
      <c r="M39352" s="112"/>
      <c r="N39352" s="84"/>
    </row>
    <row r="39353" spans="1:14" s="2" customFormat="1">
      <c r="A39353" s="83"/>
      <c r="H39353" s="83"/>
      <c r="K39353" s="82"/>
      <c r="M39353" s="112"/>
      <c r="N39353" s="84"/>
    </row>
    <row r="39354" spans="1:14" s="2" customFormat="1">
      <c r="A39354" s="83"/>
      <c r="H39354" s="83"/>
      <c r="K39354" s="82"/>
      <c r="M39354" s="112"/>
      <c r="N39354" s="84"/>
    </row>
    <row r="39355" spans="1:14" s="2" customFormat="1">
      <c r="A39355" s="83"/>
      <c r="H39355" s="83"/>
      <c r="K39355" s="82"/>
      <c r="M39355" s="112"/>
      <c r="N39355" s="84"/>
    </row>
    <row r="39356" spans="1:14" s="2" customFormat="1">
      <c r="A39356" s="83"/>
      <c r="H39356" s="83"/>
      <c r="K39356" s="82"/>
      <c r="M39356" s="112"/>
      <c r="N39356" s="84"/>
    </row>
    <row r="39357" spans="1:14" s="2" customFormat="1">
      <c r="A39357" s="83"/>
      <c r="H39357" s="83"/>
      <c r="K39357" s="82"/>
      <c r="M39357" s="112"/>
      <c r="N39357" s="84"/>
    </row>
    <row r="39358" spans="1:14" s="2" customFormat="1">
      <c r="A39358" s="83"/>
      <c r="H39358" s="83"/>
      <c r="K39358" s="82"/>
      <c r="M39358" s="112"/>
      <c r="N39358" s="84"/>
    </row>
    <row r="39359" spans="1:14" s="2" customFormat="1">
      <c r="A39359" s="83"/>
      <c r="H39359" s="83"/>
      <c r="K39359" s="82"/>
      <c r="M39359" s="112"/>
      <c r="N39359" s="84"/>
    </row>
    <row r="39360" spans="1:14" s="2" customFormat="1">
      <c r="A39360" s="83"/>
      <c r="H39360" s="83"/>
      <c r="K39360" s="82"/>
      <c r="M39360" s="112"/>
      <c r="N39360" s="84"/>
    </row>
    <row r="39361" spans="1:14" s="2" customFormat="1">
      <c r="A39361" s="83"/>
      <c r="H39361" s="83"/>
      <c r="K39361" s="82"/>
      <c r="M39361" s="112"/>
      <c r="N39361" s="84"/>
    </row>
    <row r="39362" spans="1:14" s="2" customFormat="1">
      <c r="A39362" s="83"/>
      <c r="H39362" s="83"/>
      <c r="K39362" s="82"/>
      <c r="M39362" s="112"/>
      <c r="N39362" s="84"/>
    </row>
    <row r="39363" spans="1:14" s="2" customFormat="1">
      <c r="A39363" s="83"/>
      <c r="H39363" s="83"/>
      <c r="K39363" s="82"/>
      <c r="M39363" s="112"/>
      <c r="N39363" s="84"/>
    </row>
    <row r="39364" spans="1:14" s="2" customFormat="1">
      <c r="A39364" s="83"/>
      <c r="H39364" s="83"/>
      <c r="K39364" s="82"/>
      <c r="M39364" s="112"/>
      <c r="N39364" s="84"/>
    </row>
    <row r="39365" spans="1:14" s="2" customFormat="1">
      <c r="A39365" s="83"/>
      <c r="H39365" s="83"/>
      <c r="K39365" s="82"/>
      <c r="M39365" s="112"/>
      <c r="N39365" s="84"/>
    </row>
    <row r="39366" spans="1:14" s="2" customFormat="1">
      <c r="A39366" s="83"/>
      <c r="H39366" s="83"/>
      <c r="K39366" s="82"/>
      <c r="M39366" s="112"/>
      <c r="N39366" s="84"/>
    </row>
    <row r="39367" spans="1:14" s="2" customFormat="1">
      <c r="A39367" s="83"/>
      <c r="H39367" s="83"/>
      <c r="K39367" s="82"/>
      <c r="M39367" s="112"/>
      <c r="N39367" s="84"/>
    </row>
    <row r="39368" spans="1:14" s="2" customFormat="1">
      <c r="A39368" s="83"/>
      <c r="H39368" s="83"/>
      <c r="K39368" s="82"/>
      <c r="M39368" s="112"/>
      <c r="N39368" s="84"/>
    </row>
    <row r="39369" spans="1:14" s="2" customFormat="1">
      <c r="A39369" s="83"/>
      <c r="H39369" s="83"/>
      <c r="K39369" s="82"/>
      <c r="M39369" s="112"/>
      <c r="N39369" s="84"/>
    </row>
    <row r="39370" spans="1:14" s="2" customFormat="1">
      <c r="A39370" s="83"/>
      <c r="H39370" s="83"/>
      <c r="K39370" s="82"/>
      <c r="M39370" s="112"/>
      <c r="N39370" s="84"/>
    </row>
    <row r="39371" spans="1:14" s="2" customFormat="1">
      <c r="A39371" s="83"/>
      <c r="H39371" s="83"/>
      <c r="K39371" s="82"/>
      <c r="M39371" s="112"/>
      <c r="N39371" s="84"/>
    </row>
    <row r="39372" spans="1:14" s="2" customFormat="1">
      <c r="A39372" s="83"/>
      <c r="H39372" s="83"/>
      <c r="K39372" s="82"/>
      <c r="M39372" s="112"/>
      <c r="N39372" s="84"/>
    </row>
    <row r="39373" spans="1:14" s="2" customFormat="1">
      <c r="A39373" s="83"/>
      <c r="H39373" s="83"/>
      <c r="K39373" s="82"/>
      <c r="M39373" s="112"/>
      <c r="N39373" s="84"/>
    </row>
    <row r="39374" spans="1:14" s="2" customFormat="1">
      <c r="A39374" s="83"/>
      <c r="H39374" s="83"/>
      <c r="K39374" s="82"/>
      <c r="M39374" s="112"/>
      <c r="N39374" s="84"/>
    </row>
    <row r="39375" spans="1:14" s="2" customFormat="1">
      <c r="A39375" s="83"/>
      <c r="H39375" s="83"/>
      <c r="K39375" s="82"/>
      <c r="M39375" s="112"/>
      <c r="N39375" s="84"/>
    </row>
    <row r="39376" spans="1:14" s="2" customFormat="1">
      <c r="A39376" s="83"/>
      <c r="H39376" s="83"/>
      <c r="K39376" s="82"/>
      <c r="M39376" s="112"/>
      <c r="N39376" s="84"/>
    </row>
    <row r="39377" spans="1:14" s="2" customFormat="1">
      <c r="A39377" s="83"/>
      <c r="H39377" s="83"/>
      <c r="K39377" s="82"/>
      <c r="M39377" s="112"/>
      <c r="N39377" s="84"/>
    </row>
    <row r="39378" spans="1:14" s="2" customFormat="1">
      <c r="A39378" s="83"/>
      <c r="H39378" s="83"/>
      <c r="K39378" s="82"/>
      <c r="M39378" s="112"/>
      <c r="N39378" s="84"/>
    </row>
    <row r="39379" spans="1:14" s="2" customFormat="1">
      <c r="A39379" s="83"/>
      <c r="H39379" s="83"/>
      <c r="K39379" s="82"/>
      <c r="M39379" s="112"/>
      <c r="N39379" s="84"/>
    </row>
    <row r="39380" spans="1:14" s="2" customFormat="1">
      <c r="A39380" s="83"/>
      <c r="H39380" s="83"/>
      <c r="K39380" s="82"/>
      <c r="M39380" s="112"/>
      <c r="N39380" s="84"/>
    </row>
    <row r="39381" spans="1:14" s="2" customFormat="1">
      <c r="A39381" s="83"/>
      <c r="H39381" s="83"/>
      <c r="K39381" s="82"/>
      <c r="M39381" s="112"/>
      <c r="N39381" s="84"/>
    </row>
    <row r="39382" spans="1:14" s="2" customFormat="1">
      <c r="A39382" s="83"/>
      <c r="H39382" s="83"/>
      <c r="K39382" s="82"/>
      <c r="M39382" s="112"/>
      <c r="N39382" s="84"/>
    </row>
    <row r="39383" spans="1:14" s="2" customFormat="1">
      <c r="A39383" s="83"/>
      <c r="H39383" s="83"/>
      <c r="K39383" s="82"/>
      <c r="M39383" s="112"/>
      <c r="N39383" s="84"/>
    </row>
    <row r="39384" spans="1:14" s="2" customFormat="1">
      <c r="A39384" s="83"/>
      <c r="H39384" s="83"/>
      <c r="K39384" s="82"/>
      <c r="M39384" s="112"/>
      <c r="N39384" s="84"/>
    </row>
    <row r="39385" spans="1:14" s="2" customFormat="1">
      <c r="A39385" s="83"/>
      <c r="H39385" s="83"/>
      <c r="K39385" s="82"/>
      <c r="M39385" s="112"/>
      <c r="N39385" s="84"/>
    </row>
    <row r="39386" spans="1:14" s="2" customFormat="1">
      <c r="A39386" s="83"/>
      <c r="H39386" s="83"/>
      <c r="K39386" s="82"/>
      <c r="M39386" s="112"/>
      <c r="N39386" s="84"/>
    </row>
    <row r="39387" spans="1:14" s="2" customFormat="1">
      <c r="A39387" s="83"/>
      <c r="H39387" s="83"/>
      <c r="K39387" s="82"/>
      <c r="M39387" s="112"/>
      <c r="N39387" s="84"/>
    </row>
    <row r="39388" spans="1:14" s="2" customFormat="1">
      <c r="A39388" s="83"/>
      <c r="H39388" s="83"/>
      <c r="K39388" s="82"/>
      <c r="M39388" s="112"/>
      <c r="N39388" s="84"/>
    </row>
    <row r="39389" spans="1:14" s="2" customFormat="1">
      <c r="A39389" s="83"/>
      <c r="H39389" s="83"/>
      <c r="K39389" s="82"/>
      <c r="M39389" s="112"/>
      <c r="N39389" s="84"/>
    </row>
    <row r="39390" spans="1:14" s="2" customFormat="1">
      <c r="A39390" s="83"/>
      <c r="H39390" s="83"/>
      <c r="K39390" s="82"/>
      <c r="M39390" s="112"/>
      <c r="N39390" s="84"/>
    </row>
    <row r="39391" spans="1:14" s="2" customFormat="1">
      <c r="A39391" s="83"/>
      <c r="H39391" s="83"/>
      <c r="K39391" s="82"/>
      <c r="M39391" s="112"/>
      <c r="N39391" s="84"/>
    </row>
    <row r="39392" spans="1:14" s="2" customFormat="1">
      <c r="A39392" s="83"/>
      <c r="H39392" s="83"/>
      <c r="K39392" s="82"/>
      <c r="M39392" s="112"/>
      <c r="N39392" s="84"/>
    </row>
    <row r="39393" spans="1:14" s="2" customFormat="1">
      <c r="A39393" s="83"/>
      <c r="H39393" s="83"/>
      <c r="K39393" s="82"/>
      <c r="M39393" s="112"/>
      <c r="N39393" s="84"/>
    </row>
    <row r="39394" spans="1:14" s="2" customFormat="1">
      <c r="A39394" s="83"/>
      <c r="H39394" s="83"/>
      <c r="K39394" s="82"/>
      <c r="M39394" s="112"/>
      <c r="N39394" s="84"/>
    </row>
    <row r="39395" spans="1:14" s="2" customFormat="1">
      <c r="A39395" s="83"/>
      <c r="H39395" s="83"/>
      <c r="K39395" s="82"/>
      <c r="M39395" s="112"/>
      <c r="N39395" s="84"/>
    </row>
    <row r="39396" spans="1:14" s="2" customFormat="1">
      <c r="A39396" s="83"/>
      <c r="H39396" s="83"/>
      <c r="K39396" s="82"/>
      <c r="M39396" s="112"/>
      <c r="N39396" s="84"/>
    </row>
    <row r="39397" spans="1:14" s="2" customFormat="1">
      <c r="A39397" s="83"/>
      <c r="H39397" s="83"/>
      <c r="K39397" s="82"/>
      <c r="M39397" s="112"/>
      <c r="N39397" s="84"/>
    </row>
    <row r="39398" spans="1:14" s="2" customFormat="1">
      <c r="A39398" s="83"/>
      <c r="H39398" s="83"/>
      <c r="K39398" s="82"/>
      <c r="M39398" s="112"/>
      <c r="N39398" s="84"/>
    </row>
    <row r="39399" spans="1:14" s="2" customFormat="1">
      <c r="A39399" s="83"/>
      <c r="H39399" s="83"/>
      <c r="K39399" s="82"/>
      <c r="M39399" s="112"/>
      <c r="N39399" s="84"/>
    </row>
    <row r="39400" spans="1:14" s="2" customFormat="1">
      <c r="A39400" s="83"/>
      <c r="H39400" s="83"/>
      <c r="K39400" s="82"/>
      <c r="M39400" s="112"/>
      <c r="N39400" s="84"/>
    </row>
    <row r="39401" spans="1:14" s="2" customFormat="1">
      <c r="A39401" s="83"/>
      <c r="H39401" s="83"/>
      <c r="K39401" s="82"/>
      <c r="M39401" s="112"/>
      <c r="N39401" s="84"/>
    </row>
    <row r="39402" spans="1:14" s="2" customFormat="1">
      <c r="A39402" s="83"/>
      <c r="H39402" s="83"/>
      <c r="K39402" s="82"/>
      <c r="M39402" s="112"/>
      <c r="N39402" s="84"/>
    </row>
    <row r="39403" spans="1:14" s="2" customFormat="1">
      <c r="A39403" s="83"/>
      <c r="H39403" s="83"/>
      <c r="K39403" s="82"/>
      <c r="M39403" s="112"/>
      <c r="N39403" s="84"/>
    </row>
    <row r="39404" spans="1:14" s="2" customFormat="1">
      <c r="A39404" s="83"/>
      <c r="H39404" s="83"/>
      <c r="K39404" s="82"/>
      <c r="M39404" s="112"/>
      <c r="N39404" s="84"/>
    </row>
    <row r="39405" spans="1:14" s="2" customFormat="1">
      <c r="A39405" s="83"/>
      <c r="H39405" s="83"/>
      <c r="K39405" s="82"/>
      <c r="M39405" s="112"/>
      <c r="N39405" s="84"/>
    </row>
    <row r="39406" spans="1:14" s="2" customFormat="1">
      <c r="A39406" s="83"/>
      <c r="H39406" s="83"/>
      <c r="K39406" s="82"/>
      <c r="M39406" s="112"/>
      <c r="N39406" s="84"/>
    </row>
    <row r="39407" spans="1:14" s="2" customFormat="1">
      <c r="A39407" s="83"/>
      <c r="H39407" s="83"/>
      <c r="K39407" s="82"/>
      <c r="M39407" s="112"/>
      <c r="N39407" s="84"/>
    </row>
    <row r="39408" spans="1:14" s="2" customFormat="1">
      <c r="A39408" s="83"/>
      <c r="H39408" s="83"/>
      <c r="K39408" s="82"/>
      <c r="M39408" s="112"/>
      <c r="N39408" s="84"/>
    </row>
    <row r="39409" spans="1:14" s="2" customFormat="1">
      <c r="A39409" s="83"/>
      <c r="H39409" s="83"/>
      <c r="K39409" s="82"/>
      <c r="M39409" s="112"/>
      <c r="N39409" s="84"/>
    </row>
    <row r="39410" spans="1:14" s="2" customFormat="1">
      <c r="A39410" s="83"/>
      <c r="H39410" s="83"/>
      <c r="K39410" s="82"/>
      <c r="M39410" s="112"/>
      <c r="N39410" s="84"/>
    </row>
    <row r="39411" spans="1:14" s="2" customFormat="1">
      <c r="A39411" s="83"/>
      <c r="H39411" s="83"/>
      <c r="K39411" s="82"/>
      <c r="M39411" s="112"/>
      <c r="N39411" s="84"/>
    </row>
    <row r="39412" spans="1:14" s="2" customFormat="1">
      <c r="A39412" s="83"/>
      <c r="H39412" s="83"/>
      <c r="K39412" s="82"/>
      <c r="M39412" s="112"/>
      <c r="N39412" s="84"/>
    </row>
    <row r="39413" spans="1:14" s="2" customFormat="1">
      <c r="A39413" s="83"/>
      <c r="H39413" s="83"/>
      <c r="K39413" s="82"/>
      <c r="M39413" s="112"/>
      <c r="N39413" s="84"/>
    </row>
    <row r="39414" spans="1:14" s="2" customFormat="1">
      <c r="A39414" s="83"/>
      <c r="H39414" s="83"/>
      <c r="K39414" s="82"/>
      <c r="M39414" s="112"/>
      <c r="N39414" s="84"/>
    </row>
    <row r="39415" spans="1:14" s="2" customFormat="1">
      <c r="A39415" s="83"/>
      <c r="H39415" s="83"/>
      <c r="K39415" s="82"/>
      <c r="M39415" s="112"/>
      <c r="N39415" s="84"/>
    </row>
    <row r="39416" spans="1:14" s="2" customFormat="1">
      <c r="A39416" s="83"/>
      <c r="H39416" s="83"/>
      <c r="K39416" s="82"/>
      <c r="M39416" s="112"/>
      <c r="N39416" s="84"/>
    </row>
    <row r="39417" spans="1:14" s="2" customFormat="1">
      <c r="A39417" s="83"/>
      <c r="H39417" s="83"/>
      <c r="K39417" s="82"/>
      <c r="M39417" s="112"/>
      <c r="N39417" s="84"/>
    </row>
    <row r="39418" spans="1:14" s="2" customFormat="1">
      <c r="A39418" s="83"/>
      <c r="H39418" s="83"/>
      <c r="K39418" s="82"/>
      <c r="M39418" s="112"/>
      <c r="N39418" s="84"/>
    </row>
    <row r="39419" spans="1:14" s="2" customFormat="1">
      <c r="A39419" s="83"/>
      <c r="H39419" s="83"/>
      <c r="K39419" s="82"/>
      <c r="M39419" s="112"/>
      <c r="N39419" s="84"/>
    </row>
    <row r="39420" spans="1:14" s="2" customFormat="1">
      <c r="A39420" s="83"/>
      <c r="H39420" s="83"/>
      <c r="K39420" s="82"/>
      <c r="M39420" s="112"/>
      <c r="N39420" s="84"/>
    </row>
    <row r="39421" spans="1:14" s="2" customFormat="1">
      <c r="A39421" s="83"/>
      <c r="H39421" s="83"/>
      <c r="K39421" s="82"/>
      <c r="M39421" s="112"/>
      <c r="N39421" s="84"/>
    </row>
    <row r="39422" spans="1:14" s="2" customFormat="1">
      <c r="A39422" s="83"/>
      <c r="H39422" s="83"/>
      <c r="K39422" s="82"/>
      <c r="M39422" s="112"/>
      <c r="N39422" s="84"/>
    </row>
    <row r="39423" spans="1:14" s="2" customFormat="1">
      <c r="A39423" s="83"/>
      <c r="H39423" s="83"/>
      <c r="K39423" s="82"/>
      <c r="M39423" s="112"/>
      <c r="N39423" s="84"/>
    </row>
    <row r="39424" spans="1:14" s="2" customFormat="1">
      <c r="A39424" s="83"/>
      <c r="H39424" s="83"/>
      <c r="K39424" s="82"/>
      <c r="M39424" s="112"/>
      <c r="N39424" s="84"/>
    </row>
    <row r="39425" spans="1:14" s="2" customFormat="1">
      <c r="A39425" s="83"/>
      <c r="H39425" s="83"/>
      <c r="K39425" s="82"/>
      <c r="M39425" s="112"/>
      <c r="N39425" s="84"/>
    </row>
    <row r="39426" spans="1:14" s="2" customFormat="1">
      <c r="A39426" s="83"/>
      <c r="H39426" s="83"/>
      <c r="K39426" s="82"/>
      <c r="M39426" s="112"/>
      <c r="N39426" s="84"/>
    </row>
    <row r="39427" spans="1:14" s="2" customFormat="1">
      <c r="A39427" s="83"/>
      <c r="H39427" s="83"/>
      <c r="K39427" s="82"/>
      <c r="M39427" s="112"/>
      <c r="N39427" s="84"/>
    </row>
    <row r="39428" spans="1:14" s="2" customFormat="1">
      <c r="A39428" s="83"/>
      <c r="H39428" s="83"/>
      <c r="K39428" s="82"/>
      <c r="M39428" s="112"/>
      <c r="N39428" s="84"/>
    </row>
    <row r="39429" spans="1:14" s="2" customFormat="1">
      <c r="A39429" s="83"/>
      <c r="H39429" s="83"/>
      <c r="K39429" s="82"/>
      <c r="M39429" s="112"/>
      <c r="N39429" s="84"/>
    </row>
    <row r="39430" spans="1:14" s="2" customFormat="1">
      <c r="A39430" s="83"/>
      <c r="H39430" s="83"/>
      <c r="K39430" s="82"/>
      <c r="M39430" s="112"/>
      <c r="N39430" s="84"/>
    </row>
    <row r="39431" spans="1:14" s="2" customFormat="1">
      <c r="A39431" s="83"/>
      <c r="H39431" s="83"/>
      <c r="K39431" s="82"/>
      <c r="M39431" s="112"/>
      <c r="N39431" s="84"/>
    </row>
    <row r="39432" spans="1:14" s="2" customFormat="1">
      <c r="A39432" s="83"/>
      <c r="H39432" s="83"/>
      <c r="K39432" s="82"/>
      <c r="M39432" s="112"/>
      <c r="N39432" s="84"/>
    </row>
    <row r="39433" spans="1:14" s="2" customFormat="1">
      <c r="A39433" s="83"/>
      <c r="H39433" s="83"/>
      <c r="K39433" s="82"/>
      <c r="M39433" s="112"/>
      <c r="N39433" s="84"/>
    </row>
    <row r="39434" spans="1:14" s="2" customFormat="1">
      <c r="A39434" s="83"/>
      <c r="H39434" s="83"/>
      <c r="K39434" s="82"/>
      <c r="M39434" s="112"/>
      <c r="N39434" s="84"/>
    </row>
    <row r="39435" spans="1:14" s="2" customFormat="1">
      <c r="A39435" s="83"/>
      <c r="H39435" s="83"/>
      <c r="K39435" s="82"/>
      <c r="M39435" s="112"/>
      <c r="N39435" s="84"/>
    </row>
    <row r="39436" spans="1:14" s="2" customFormat="1">
      <c r="A39436" s="83"/>
      <c r="H39436" s="83"/>
      <c r="K39436" s="82"/>
      <c r="M39436" s="112"/>
      <c r="N39436" s="84"/>
    </row>
    <row r="39437" spans="1:14" s="2" customFormat="1">
      <c r="A39437" s="83"/>
      <c r="H39437" s="83"/>
      <c r="K39437" s="82"/>
      <c r="M39437" s="112"/>
      <c r="N39437" s="84"/>
    </row>
    <row r="39438" spans="1:14" s="2" customFormat="1">
      <c r="A39438" s="83"/>
      <c r="H39438" s="83"/>
      <c r="K39438" s="82"/>
      <c r="M39438" s="112"/>
      <c r="N39438" s="84"/>
    </row>
    <row r="39439" spans="1:14" s="2" customFormat="1">
      <c r="A39439" s="83"/>
      <c r="H39439" s="83"/>
      <c r="K39439" s="82"/>
      <c r="M39439" s="112"/>
      <c r="N39439" s="84"/>
    </row>
    <row r="39440" spans="1:14" s="2" customFormat="1">
      <c r="A39440" s="83"/>
      <c r="H39440" s="83"/>
      <c r="K39440" s="82"/>
      <c r="M39440" s="112"/>
      <c r="N39440" s="84"/>
    </row>
    <row r="39441" spans="1:14" s="2" customFormat="1">
      <c r="A39441" s="83"/>
      <c r="H39441" s="83"/>
      <c r="K39441" s="82"/>
      <c r="M39441" s="112"/>
      <c r="N39441" s="84"/>
    </row>
    <row r="39442" spans="1:14" s="2" customFormat="1">
      <c r="A39442" s="83"/>
      <c r="H39442" s="83"/>
      <c r="K39442" s="82"/>
      <c r="M39442" s="112"/>
      <c r="N39442" s="84"/>
    </row>
    <row r="39443" spans="1:14" s="2" customFormat="1">
      <c r="A39443" s="83"/>
      <c r="H39443" s="83"/>
      <c r="K39443" s="82"/>
      <c r="M39443" s="112"/>
      <c r="N39443" s="84"/>
    </row>
    <row r="39444" spans="1:14" s="2" customFormat="1">
      <c r="A39444" s="83"/>
      <c r="H39444" s="83"/>
      <c r="K39444" s="82"/>
      <c r="M39444" s="112"/>
      <c r="N39444" s="84"/>
    </row>
    <row r="39445" spans="1:14" s="2" customFormat="1">
      <c r="A39445" s="83"/>
      <c r="H39445" s="83"/>
      <c r="K39445" s="82"/>
      <c r="M39445" s="112"/>
      <c r="N39445" s="84"/>
    </row>
    <row r="39446" spans="1:14" s="2" customFormat="1">
      <c r="A39446" s="83"/>
      <c r="H39446" s="83"/>
      <c r="K39446" s="82"/>
      <c r="M39446" s="112"/>
      <c r="N39446" s="84"/>
    </row>
    <row r="39447" spans="1:14" s="2" customFormat="1">
      <c r="A39447" s="83"/>
      <c r="H39447" s="83"/>
      <c r="K39447" s="82"/>
      <c r="M39447" s="112"/>
      <c r="N39447" s="84"/>
    </row>
    <row r="39448" spans="1:14" s="2" customFormat="1">
      <c r="A39448" s="83"/>
      <c r="H39448" s="83"/>
      <c r="K39448" s="82"/>
      <c r="M39448" s="112"/>
      <c r="N39448" s="84"/>
    </row>
    <row r="39449" spans="1:14" s="2" customFormat="1">
      <c r="A39449" s="83"/>
      <c r="H39449" s="83"/>
      <c r="K39449" s="82"/>
      <c r="M39449" s="112"/>
      <c r="N39449" s="84"/>
    </row>
    <row r="39450" spans="1:14" s="2" customFormat="1">
      <c r="A39450" s="83"/>
      <c r="H39450" s="83"/>
      <c r="K39450" s="82"/>
      <c r="M39450" s="112"/>
      <c r="N39450" s="84"/>
    </row>
    <row r="39451" spans="1:14" s="2" customFormat="1">
      <c r="A39451" s="83"/>
      <c r="H39451" s="83"/>
      <c r="K39451" s="82"/>
      <c r="M39451" s="112"/>
      <c r="N39451" s="84"/>
    </row>
    <row r="39452" spans="1:14" s="2" customFormat="1">
      <c r="A39452" s="83"/>
      <c r="H39452" s="83"/>
      <c r="K39452" s="82"/>
      <c r="M39452" s="112"/>
      <c r="N39452" s="84"/>
    </row>
    <row r="39453" spans="1:14" s="2" customFormat="1">
      <c r="A39453" s="83"/>
      <c r="H39453" s="83"/>
      <c r="K39453" s="82"/>
      <c r="M39453" s="112"/>
      <c r="N39453" s="84"/>
    </row>
    <row r="39454" spans="1:14" s="2" customFormat="1">
      <c r="A39454" s="83"/>
      <c r="H39454" s="83"/>
      <c r="K39454" s="82"/>
      <c r="M39454" s="112"/>
      <c r="N39454" s="84"/>
    </row>
    <row r="39455" spans="1:14" s="2" customFormat="1">
      <c r="A39455" s="83"/>
      <c r="H39455" s="83"/>
      <c r="K39455" s="82"/>
      <c r="M39455" s="112"/>
      <c r="N39455" s="84"/>
    </row>
    <row r="39456" spans="1:14" s="2" customFormat="1">
      <c r="A39456" s="83"/>
      <c r="H39456" s="83"/>
      <c r="K39456" s="82"/>
      <c r="M39456" s="112"/>
      <c r="N39456" s="84"/>
    </row>
    <row r="39457" spans="1:14" s="2" customFormat="1">
      <c r="A39457" s="83"/>
      <c r="H39457" s="83"/>
      <c r="K39457" s="82"/>
      <c r="M39457" s="112"/>
      <c r="N39457" s="84"/>
    </row>
    <row r="39458" spans="1:14" s="2" customFormat="1">
      <c r="A39458" s="83"/>
      <c r="H39458" s="83"/>
      <c r="K39458" s="82"/>
      <c r="M39458" s="112"/>
      <c r="N39458" s="84"/>
    </row>
    <row r="39459" spans="1:14" s="2" customFormat="1">
      <c r="A39459" s="83"/>
      <c r="H39459" s="83"/>
      <c r="K39459" s="82"/>
      <c r="M39459" s="112"/>
      <c r="N39459" s="84"/>
    </row>
    <row r="39460" spans="1:14" s="2" customFormat="1">
      <c r="A39460" s="83"/>
      <c r="H39460" s="83"/>
      <c r="K39460" s="82"/>
      <c r="M39460" s="112"/>
      <c r="N39460" s="84"/>
    </row>
    <row r="39461" spans="1:14" s="2" customFormat="1">
      <c r="A39461" s="83"/>
      <c r="H39461" s="83"/>
      <c r="K39461" s="82"/>
      <c r="M39461" s="112"/>
      <c r="N39461" s="84"/>
    </row>
    <row r="39462" spans="1:14" s="2" customFormat="1">
      <c r="A39462" s="83"/>
      <c r="H39462" s="83"/>
      <c r="K39462" s="82"/>
      <c r="M39462" s="112"/>
      <c r="N39462" s="84"/>
    </row>
    <row r="39463" spans="1:14" s="2" customFormat="1">
      <c r="A39463" s="83"/>
      <c r="H39463" s="83"/>
      <c r="K39463" s="82"/>
      <c r="M39463" s="112"/>
      <c r="N39463" s="84"/>
    </row>
    <row r="39464" spans="1:14" s="2" customFormat="1">
      <c r="A39464" s="83"/>
      <c r="H39464" s="83"/>
      <c r="K39464" s="82"/>
      <c r="M39464" s="112"/>
      <c r="N39464" s="84"/>
    </row>
    <row r="39465" spans="1:14" s="2" customFormat="1">
      <c r="A39465" s="83"/>
      <c r="H39465" s="83"/>
      <c r="K39465" s="82"/>
      <c r="M39465" s="112"/>
      <c r="N39465" s="84"/>
    </row>
    <row r="39466" spans="1:14" s="2" customFormat="1">
      <c r="A39466" s="83"/>
      <c r="H39466" s="83"/>
      <c r="K39466" s="82"/>
      <c r="M39466" s="112"/>
      <c r="N39466" s="84"/>
    </row>
    <row r="39467" spans="1:14" s="2" customFormat="1">
      <c r="A39467" s="83"/>
      <c r="H39467" s="83"/>
      <c r="K39467" s="82"/>
      <c r="M39467" s="112"/>
      <c r="N39467" s="84"/>
    </row>
    <row r="39468" spans="1:14" s="2" customFormat="1">
      <c r="A39468" s="83"/>
      <c r="H39468" s="83"/>
      <c r="K39468" s="82"/>
      <c r="M39468" s="112"/>
      <c r="N39468" s="84"/>
    </row>
    <row r="39469" spans="1:14" s="2" customFormat="1">
      <c r="A39469" s="83"/>
      <c r="H39469" s="83"/>
      <c r="K39469" s="82"/>
      <c r="M39469" s="112"/>
      <c r="N39469" s="84"/>
    </row>
    <row r="39470" spans="1:14" s="2" customFormat="1">
      <c r="A39470" s="83"/>
      <c r="H39470" s="83"/>
      <c r="K39470" s="82"/>
      <c r="M39470" s="112"/>
      <c r="N39470" s="84"/>
    </row>
    <row r="39471" spans="1:14" s="2" customFormat="1">
      <c r="A39471" s="83"/>
      <c r="H39471" s="83"/>
      <c r="K39471" s="82"/>
      <c r="M39471" s="112"/>
      <c r="N39471" s="84"/>
    </row>
    <row r="39472" spans="1:14" s="2" customFormat="1">
      <c r="A39472" s="83"/>
      <c r="H39472" s="83"/>
      <c r="K39472" s="82"/>
      <c r="M39472" s="112"/>
      <c r="N39472" s="84"/>
    </row>
    <row r="39473" spans="1:14" s="2" customFormat="1">
      <c r="A39473" s="83"/>
      <c r="H39473" s="83"/>
      <c r="K39473" s="82"/>
      <c r="M39473" s="112"/>
      <c r="N39473" s="84"/>
    </row>
    <row r="39474" spans="1:14" s="2" customFormat="1">
      <c r="A39474" s="83"/>
      <c r="H39474" s="83"/>
      <c r="K39474" s="82"/>
      <c r="M39474" s="112"/>
      <c r="N39474" s="84"/>
    </row>
    <row r="39475" spans="1:14" s="2" customFormat="1">
      <c r="A39475" s="83"/>
      <c r="H39475" s="83"/>
      <c r="K39475" s="82"/>
      <c r="M39475" s="112"/>
      <c r="N39475" s="84"/>
    </row>
    <row r="39476" spans="1:14" s="2" customFormat="1">
      <c r="A39476" s="83"/>
      <c r="H39476" s="83"/>
      <c r="K39476" s="82"/>
      <c r="M39476" s="112"/>
      <c r="N39476" s="84"/>
    </row>
    <row r="39477" spans="1:14" s="2" customFormat="1">
      <c r="A39477" s="83"/>
      <c r="H39477" s="83"/>
      <c r="K39477" s="82"/>
      <c r="M39477" s="112"/>
      <c r="N39477" s="84"/>
    </row>
    <row r="39478" spans="1:14" s="2" customFormat="1">
      <c r="A39478" s="83"/>
      <c r="H39478" s="83"/>
      <c r="K39478" s="82"/>
      <c r="M39478" s="112"/>
      <c r="N39478" s="84"/>
    </row>
    <row r="39479" spans="1:14" s="2" customFormat="1">
      <c r="A39479" s="83"/>
      <c r="H39479" s="83"/>
      <c r="K39479" s="82"/>
      <c r="M39479" s="112"/>
      <c r="N39479" s="84"/>
    </row>
    <row r="39480" spans="1:14" s="2" customFormat="1">
      <c r="A39480" s="83"/>
      <c r="H39480" s="83"/>
      <c r="K39480" s="82"/>
      <c r="M39480" s="112"/>
      <c r="N39480" s="84"/>
    </row>
    <row r="39481" spans="1:14" s="2" customFormat="1">
      <c r="A39481" s="83"/>
      <c r="H39481" s="83"/>
      <c r="K39481" s="82"/>
      <c r="M39481" s="112"/>
      <c r="N39481" s="84"/>
    </row>
    <row r="39482" spans="1:14" s="2" customFormat="1">
      <c r="A39482" s="83"/>
      <c r="H39482" s="83"/>
      <c r="K39482" s="82"/>
      <c r="M39482" s="112"/>
      <c r="N39482" s="84"/>
    </row>
    <row r="39483" spans="1:14" s="2" customFormat="1">
      <c r="A39483" s="83"/>
      <c r="H39483" s="83"/>
      <c r="K39483" s="82"/>
      <c r="M39483" s="112"/>
      <c r="N39483" s="84"/>
    </row>
    <row r="39484" spans="1:14" s="2" customFormat="1">
      <c r="A39484" s="83"/>
      <c r="H39484" s="83"/>
      <c r="K39484" s="82"/>
      <c r="M39484" s="112"/>
      <c r="N39484" s="84"/>
    </row>
    <row r="39485" spans="1:14" s="2" customFormat="1">
      <c r="A39485" s="83"/>
      <c r="H39485" s="83"/>
      <c r="K39485" s="82"/>
      <c r="M39485" s="112"/>
      <c r="N39485" s="84"/>
    </row>
    <row r="39486" spans="1:14" s="2" customFormat="1">
      <c r="A39486" s="83"/>
      <c r="H39486" s="83"/>
      <c r="K39486" s="82"/>
      <c r="M39486" s="112"/>
      <c r="N39486" s="84"/>
    </row>
    <row r="39487" spans="1:14" s="2" customFormat="1">
      <c r="A39487" s="83"/>
      <c r="H39487" s="83"/>
      <c r="K39487" s="82"/>
      <c r="M39487" s="112"/>
      <c r="N39487" s="84"/>
    </row>
    <row r="39488" spans="1:14" s="2" customFormat="1">
      <c r="A39488" s="83"/>
      <c r="H39488" s="83"/>
      <c r="K39488" s="82"/>
      <c r="M39488" s="112"/>
      <c r="N39488" s="84"/>
    </row>
    <row r="39489" spans="1:14" s="2" customFormat="1">
      <c r="A39489" s="83"/>
      <c r="H39489" s="83"/>
      <c r="K39489" s="82"/>
      <c r="M39489" s="112"/>
      <c r="N39489" s="84"/>
    </row>
    <row r="39490" spans="1:14" s="2" customFormat="1">
      <c r="A39490" s="83"/>
      <c r="H39490" s="83"/>
      <c r="K39490" s="82"/>
      <c r="M39490" s="112"/>
      <c r="N39490" s="84"/>
    </row>
    <row r="39491" spans="1:14" s="2" customFormat="1">
      <c r="A39491" s="83"/>
      <c r="H39491" s="83"/>
      <c r="K39491" s="82"/>
      <c r="M39491" s="112"/>
      <c r="N39491" s="84"/>
    </row>
    <row r="39492" spans="1:14" s="2" customFormat="1">
      <c r="A39492" s="83"/>
      <c r="H39492" s="83"/>
      <c r="K39492" s="82"/>
      <c r="M39492" s="112"/>
      <c r="N39492" s="84"/>
    </row>
    <row r="39493" spans="1:14" s="2" customFormat="1">
      <c r="A39493" s="83"/>
      <c r="H39493" s="83"/>
      <c r="K39493" s="82"/>
      <c r="M39493" s="112"/>
      <c r="N39493" s="84"/>
    </row>
    <row r="39494" spans="1:14" s="2" customFormat="1">
      <c r="A39494" s="83"/>
      <c r="H39494" s="83"/>
      <c r="K39494" s="82"/>
      <c r="M39494" s="112"/>
      <c r="N39494" s="84"/>
    </row>
    <row r="39495" spans="1:14" s="2" customFormat="1">
      <c r="A39495" s="83"/>
      <c r="H39495" s="83"/>
      <c r="K39495" s="82"/>
      <c r="M39495" s="112"/>
      <c r="N39495" s="84"/>
    </row>
    <row r="39496" spans="1:14" s="2" customFormat="1">
      <c r="A39496" s="83"/>
      <c r="H39496" s="83"/>
      <c r="K39496" s="82"/>
      <c r="M39496" s="112"/>
      <c r="N39496" s="84"/>
    </row>
    <row r="39497" spans="1:14" s="2" customFormat="1">
      <c r="A39497" s="83"/>
      <c r="H39497" s="83"/>
      <c r="K39497" s="82"/>
      <c r="M39497" s="112"/>
      <c r="N39497" s="84"/>
    </row>
    <row r="39498" spans="1:14" s="2" customFormat="1">
      <c r="A39498" s="83"/>
      <c r="H39498" s="83"/>
      <c r="K39498" s="82"/>
      <c r="M39498" s="112"/>
      <c r="N39498" s="84"/>
    </row>
    <row r="39499" spans="1:14" s="2" customFormat="1">
      <c r="A39499" s="83"/>
      <c r="H39499" s="83"/>
      <c r="K39499" s="82"/>
      <c r="M39499" s="112"/>
      <c r="N39499" s="84"/>
    </row>
    <row r="39500" spans="1:14" s="2" customFormat="1">
      <c r="A39500" s="83"/>
      <c r="H39500" s="83"/>
      <c r="K39500" s="82"/>
      <c r="M39500" s="112"/>
      <c r="N39500" s="84"/>
    </row>
    <row r="39501" spans="1:14" s="2" customFormat="1">
      <c r="A39501" s="83"/>
      <c r="H39501" s="83"/>
      <c r="K39501" s="82"/>
      <c r="M39501" s="112"/>
      <c r="N39501" s="84"/>
    </row>
    <row r="39502" spans="1:14" s="2" customFormat="1">
      <c r="A39502" s="83"/>
      <c r="H39502" s="83"/>
      <c r="K39502" s="82"/>
      <c r="M39502" s="112"/>
      <c r="N39502" s="84"/>
    </row>
    <row r="39503" spans="1:14" s="2" customFormat="1">
      <c r="A39503" s="83"/>
      <c r="H39503" s="83"/>
      <c r="K39503" s="82"/>
      <c r="M39503" s="112"/>
      <c r="N39503" s="84"/>
    </row>
    <row r="39504" spans="1:14" s="2" customFormat="1">
      <c r="A39504" s="83"/>
      <c r="H39504" s="83"/>
      <c r="K39504" s="82"/>
      <c r="M39504" s="112"/>
      <c r="N39504" s="84"/>
    </row>
    <row r="39505" spans="1:14" s="2" customFormat="1">
      <c r="A39505" s="83"/>
      <c r="H39505" s="83"/>
      <c r="K39505" s="82"/>
      <c r="M39505" s="112"/>
      <c r="N39505" s="84"/>
    </row>
    <row r="39506" spans="1:14" s="2" customFormat="1">
      <c r="A39506" s="83"/>
      <c r="H39506" s="83"/>
      <c r="K39506" s="82"/>
      <c r="M39506" s="112"/>
      <c r="N39506" s="84"/>
    </row>
    <row r="39507" spans="1:14" s="2" customFormat="1">
      <c r="A39507" s="83"/>
      <c r="H39507" s="83"/>
      <c r="K39507" s="82"/>
      <c r="M39507" s="112"/>
      <c r="N39507" s="84"/>
    </row>
    <row r="39508" spans="1:14" s="2" customFormat="1">
      <c r="A39508" s="83"/>
      <c r="H39508" s="83"/>
      <c r="K39508" s="82"/>
      <c r="M39508" s="112"/>
      <c r="N39508" s="84"/>
    </row>
    <row r="39509" spans="1:14" s="2" customFormat="1">
      <c r="A39509" s="83"/>
      <c r="H39509" s="83"/>
      <c r="K39509" s="82"/>
      <c r="M39509" s="112"/>
      <c r="N39509" s="84"/>
    </row>
    <row r="39510" spans="1:14" s="2" customFormat="1">
      <c r="A39510" s="83"/>
      <c r="H39510" s="83"/>
      <c r="K39510" s="82"/>
      <c r="M39510" s="112"/>
      <c r="N39510" s="84"/>
    </row>
    <row r="39511" spans="1:14" s="2" customFormat="1">
      <c r="A39511" s="83"/>
      <c r="H39511" s="83"/>
      <c r="K39511" s="82"/>
      <c r="M39511" s="112"/>
      <c r="N39511" s="84"/>
    </row>
    <row r="39512" spans="1:14" s="2" customFormat="1">
      <c r="A39512" s="83"/>
      <c r="H39512" s="83"/>
      <c r="K39512" s="82"/>
      <c r="M39512" s="112"/>
      <c r="N39512" s="84"/>
    </row>
    <row r="39513" spans="1:14" s="2" customFormat="1">
      <c r="A39513" s="83"/>
      <c r="H39513" s="83"/>
      <c r="K39513" s="82"/>
      <c r="M39513" s="112"/>
      <c r="N39513" s="84"/>
    </row>
    <row r="39514" spans="1:14" s="2" customFormat="1">
      <c r="A39514" s="83"/>
      <c r="H39514" s="83"/>
      <c r="K39514" s="82"/>
      <c r="M39514" s="112"/>
      <c r="N39514" s="84"/>
    </row>
    <row r="39515" spans="1:14" s="2" customFormat="1">
      <c r="A39515" s="83"/>
      <c r="H39515" s="83"/>
      <c r="K39515" s="82"/>
      <c r="M39515" s="112"/>
      <c r="N39515" s="84"/>
    </row>
    <row r="39516" spans="1:14" s="2" customFormat="1">
      <c r="A39516" s="83"/>
      <c r="H39516" s="83"/>
      <c r="K39516" s="82"/>
      <c r="M39516" s="112"/>
      <c r="N39516" s="84"/>
    </row>
    <row r="39517" spans="1:14" s="2" customFormat="1">
      <c r="A39517" s="83"/>
      <c r="H39517" s="83"/>
      <c r="K39517" s="82"/>
      <c r="M39517" s="112"/>
      <c r="N39517" s="84"/>
    </row>
    <row r="39518" spans="1:14" s="2" customFormat="1">
      <c r="A39518" s="83"/>
      <c r="H39518" s="83"/>
      <c r="K39518" s="82"/>
      <c r="M39518" s="112"/>
      <c r="N39518" s="84"/>
    </row>
    <row r="39519" spans="1:14" s="2" customFormat="1">
      <c r="A39519" s="83"/>
      <c r="H39519" s="83"/>
      <c r="K39519" s="82"/>
      <c r="M39519" s="112"/>
      <c r="N39519" s="84"/>
    </row>
    <row r="39520" spans="1:14" s="2" customFormat="1">
      <c r="A39520" s="83"/>
      <c r="H39520" s="83"/>
      <c r="K39520" s="82"/>
      <c r="M39520" s="112"/>
      <c r="N39520" s="84"/>
    </row>
    <row r="39521" spans="1:14" s="2" customFormat="1">
      <c r="A39521" s="83"/>
      <c r="H39521" s="83"/>
      <c r="K39521" s="82"/>
      <c r="M39521" s="112"/>
      <c r="N39521" s="84"/>
    </row>
    <row r="39522" spans="1:14" s="2" customFormat="1">
      <c r="A39522" s="83"/>
      <c r="H39522" s="83"/>
      <c r="K39522" s="82"/>
      <c r="M39522" s="112"/>
      <c r="N39522" s="84"/>
    </row>
    <row r="39523" spans="1:14" s="2" customFormat="1">
      <c r="A39523" s="83"/>
      <c r="H39523" s="83"/>
      <c r="K39523" s="82"/>
      <c r="M39523" s="112"/>
      <c r="N39523" s="84"/>
    </row>
    <row r="39524" spans="1:14" s="2" customFormat="1">
      <c r="A39524" s="83"/>
      <c r="H39524" s="83"/>
      <c r="K39524" s="82"/>
      <c r="M39524" s="112"/>
      <c r="N39524" s="84"/>
    </row>
    <row r="39525" spans="1:14" s="2" customFormat="1">
      <c r="A39525" s="83"/>
      <c r="H39525" s="83"/>
      <c r="K39525" s="82"/>
      <c r="M39525" s="112"/>
      <c r="N39525" s="84"/>
    </row>
    <row r="39526" spans="1:14" s="2" customFormat="1">
      <c r="A39526" s="83"/>
      <c r="H39526" s="83"/>
      <c r="K39526" s="82"/>
      <c r="M39526" s="112"/>
      <c r="N39526" s="84"/>
    </row>
    <row r="39527" spans="1:14" s="2" customFormat="1">
      <c r="A39527" s="83"/>
      <c r="H39527" s="83"/>
      <c r="K39527" s="82"/>
      <c r="M39527" s="112"/>
      <c r="N39527" s="84"/>
    </row>
    <row r="39528" spans="1:14" s="2" customFormat="1">
      <c r="A39528" s="83"/>
      <c r="H39528" s="83"/>
      <c r="K39528" s="82"/>
      <c r="M39528" s="112"/>
      <c r="N39528" s="84"/>
    </row>
    <row r="39529" spans="1:14" s="2" customFormat="1">
      <c r="A39529" s="83"/>
      <c r="H39529" s="83"/>
      <c r="K39529" s="82"/>
      <c r="M39529" s="112"/>
      <c r="N39529" s="84"/>
    </row>
    <row r="39530" spans="1:14" s="2" customFormat="1">
      <c r="A39530" s="83"/>
      <c r="H39530" s="83"/>
      <c r="K39530" s="82"/>
      <c r="M39530" s="112"/>
      <c r="N39530" s="84"/>
    </row>
    <row r="39531" spans="1:14" s="2" customFormat="1">
      <c r="A39531" s="83"/>
      <c r="H39531" s="83"/>
      <c r="K39531" s="82"/>
      <c r="M39531" s="112"/>
      <c r="N39531" s="84"/>
    </row>
    <row r="39532" spans="1:14" s="2" customFormat="1">
      <c r="A39532" s="83"/>
      <c r="H39532" s="83"/>
      <c r="K39532" s="82"/>
      <c r="M39532" s="112"/>
      <c r="N39532" s="84"/>
    </row>
    <row r="39533" spans="1:14" s="2" customFormat="1">
      <c r="A39533" s="83"/>
      <c r="H39533" s="83"/>
      <c r="K39533" s="82"/>
      <c r="M39533" s="112"/>
      <c r="N39533" s="84"/>
    </row>
    <row r="39534" spans="1:14" s="2" customFormat="1">
      <c r="A39534" s="83"/>
      <c r="H39534" s="83"/>
      <c r="K39534" s="82"/>
      <c r="M39534" s="112"/>
      <c r="N39534" s="84"/>
    </row>
    <row r="39535" spans="1:14" s="2" customFormat="1">
      <c r="A39535" s="83"/>
      <c r="H39535" s="83"/>
      <c r="K39535" s="82"/>
      <c r="M39535" s="112"/>
      <c r="N39535" s="84"/>
    </row>
    <row r="39536" spans="1:14" s="2" customFormat="1">
      <c r="A39536" s="83"/>
      <c r="H39536" s="83"/>
      <c r="K39536" s="82"/>
      <c r="M39536" s="112"/>
      <c r="N39536" s="84"/>
    </row>
    <row r="39537" spans="1:14" s="2" customFormat="1">
      <c r="A39537" s="83"/>
      <c r="H39537" s="83"/>
      <c r="K39537" s="82"/>
      <c r="M39537" s="112"/>
      <c r="N39537" s="84"/>
    </row>
    <row r="39538" spans="1:14" s="2" customFormat="1">
      <c r="A39538" s="83"/>
      <c r="H39538" s="83"/>
      <c r="K39538" s="82"/>
      <c r="M39538" s="112"/>
      <c r="N39538" s="84"/>
    </row>
    <row r="39539" spans="1:14" s="2" customFormat="1">
      <c r="A39539" s="83"/>
      <c r="H39539" s="83"/>
      <c r="K39539" s="82"/>
      <c r="M39539" s="112"/>
      <c r="N39539" s="84"/>
    </row>
    <row r="39540" spans="1:14" s="2" customFormat="1">
      <c r="A39540" s="83"/>
      <c r="H39540" s="83"/>
      <c r="K39540" s="82"/>
      <c r="M39540" s="112"/>
      <c r="N39540" s="84"/>
    </row>
    <row r="39541" spans="1:14" s="2" customFormat="1">
      <c r="A39541" s="83"/>
      <c r="H39541" s="83"/>
      <c r="K39541" s="82"/>
      <c r="M39541" s="112"/>
      <c r="N39541" s="84"/>
    </row>
    <row r="39542" spans="1:14" s="2" customFormat="1">
      <c r="A39542" s="83"/>
      <c r="H39542" s="83"/>
      <c r="K39542" s="82"/>
      <c r="M39542" s="112"/>
      <c r="N39542" s="84"/>
    </row>
    <row r="39543" spans="1:14" s="2" customFormat="1">
      <c r="A39543" s="83"/>
      <c r="H39543" s="83"/>
      <c r="K39543" s="82"/>
      <c r="M39543" s="112"/>
      <c r="N39543" s="84"/>
    </row>
    <row r="39544" spans="1:14" s="2" customFormat="1">
      <c r="A39544" s="83"/>
      <c r="H39544" s="83"/>
      <c r="K39544" s="82"/>
      <c r="M39544" s="112"/>
      <c r="N39544" s="84"/>
    </row>
    <row r="39545" spans="1:14" s="2" customFormat="1">
      <c r="A39545" s="83"/>
      <c r="H39545" s="83"/>
      <c r="K39545" s="82"/>
      <c r="M39545" s="112"/>
      <c r="N39545" s="84"/>
    </row>
    <row r="39546" spans="1:14" s="2" customFormat="1">
      <c r="A39546" s="83"/>
      <c r="H39546" s="83"/>
      <c r="K39546" s="82"/>
      <c r="M39546" s="112"/>
      <c r="N39546" s="84"/>
    </row>
    <row r="39547" spans="1:14" s="2" customFormat="1">
      <c r="A39547" s="83"/>
      <c r="H39547" s="83"/>
      <c r="K39547" s="82"/>
      <c r="M39547" s="112"/>
      <c r="N39547" s="84"/>
    </row>
    <row r="39548" spans="1:14" s="2" customFormat="1">
      <c r="A39548" s="83"/>
      <c r="H39548" s="83"/>
      <c r="K39548" s="82"/>
      <c r="M39548" s="112"/>
      <c r="N39548" s="84"/>
    </row>
    <row r="39549" spans="1:14" s="2" customFormat="1">
      <c r="A39549" s="83"/>
      <c r="H39549" s="83"/>
      <c r="K39549" s="82"/>
      <c r="M39549" s="112"/>
      <c r="N39549" s="84"/>
    </row>
    <row r="39550" spans="1:14" s="2" customFormat="1">
      <c r="A39550" s="83"/>
      <c r="H39550" s="83"/>
      <c r="K39550" s="82"/>
      <c r="M39550" s="112"/>
      <c r="N39550" s="84"/>
    </row>
    <row r="39551" spans="1:14" s="2" customFormat="1">
      <c r="A39551" s="83"/>
      <c r="H39551" s="83"/>
      <c r="K39551" s="82"/>
      <c r="M39551" s="112"/>
      <c r="N39551" s="84"/>
    </row>
    <row r="39552" spans="1:14" s="2" customFormat="1">
      <c r="A39552" s="83"/>
      <c r="H39552" s="83"/>
      <c r="K39552" s="82"/>
      <c r="M39552" s="112"/>
      <c r="N39552" s="84"/>
    </row>
    <row r="39553" spans="1:14" s="2" customFormat="1">
      <c r="A39553" s="83"/>
      <c r="H39553" s="83"/>
      <c r="K39553" s="82"/>
      <c r="M39553" s="112"/>
      <c r="N39553" s="84"/>
    </row>
    <row r="39554" spans="1:14" s="2" customFormat="1">
      <c r="A39554" s="83"/>
      <c r="H39554" s="83"/>
      <c r="K39554" s="82"/>
      <c r="M39554" s="112"/>
      <c r="N39554" s="84"/>
    </row>
    <row r="39555" spans="1:14" s="2" customFormat="1">
      <c r="A39555" s="83"/>
      <c r="H39555" s="83"/>
      <c r="K39555" s="82"/>
      <c r="M39555" s="112"/>
      <c r="N39555" s="84"/>
    </row>
    <row r="39556" spans="1:14" s="2" customFormat="1">
      <c r="A39556" s="83"/>
      <c r="H39556" s="83"/>
      <c r="K39556" s="82"/>
      <c r="M39556" s="112"/>
      <c r="N39556" s="84"/>
    </row>
    <row r="39557" spans="1:14" s="2" customFormat="1">
      <c r="A39557" s="83"/>
      <c r="H39557" s="83"/>
      <c r="K39557" s="82"/>
      <c r="M39557" s="112"/>
      <c r="N39557" s="84"/>
    </row>
    <row r="39558" spans="1:14" s="2" customFormat="1">
      <c r="A39558" s="83"/>
      <c r="H39558" s="83"/>
      <c r="K39558" s="82"/>
      <c r="M39558" s="112"/>
      <c r="N39558" s="84"/>
    </row>
    <row r="39559" spans="1:14" s="2" customFormat="1">
      <c r="A39559" s="83"/>
      <c r="H39559" s="83"/>
      <c r="K39559" s="82"/>
      <c r="M39559" s="112"/>
      <c r="N39559" s="84"/>
    </row>
    <row r="39560" spans="1:14" s="2" customFormat="1">
      <c r="A39560" s="83"/>
      <c r="H39560" s="83"/>
      <c r="K39560" s="82"/>
      <c r="M39560" s="112"/>
      <c r="N39560" s="84"/>
    </row>
    <row r="39561" spans="1:14" s="2" customFormat="1">
      <c r="A39561" s="83"/>
      <c r="H39561" s="83"/>
      <c r="K39561" s="82"/>
      <c r="M39561" s="112"/>
      <c r="N39561" s="84"/>
    </row>
    <row r="39562" spans="1:14" s="2" customFormat="1">
      <c r="A39562" s="83"/>
      <c r="H39562" s="83"/>
      <c r="K39562" s="82"/>
      <c r="M39562" s="112"/>
      <c r="N39562" s="84"/>
    </row>
    <row r="39563" spans="1:14" s="2" customFormat="1">
      <c r="A39563" s="83"/>
      <c r="H39563" s="83"/>
      <c r="K39563" s="82"/>
      <c r="M39563" s="112"/>
      <c r="N39563" s="84"/>
    </row>
    <row r="39564" spans="1:14" s="2" customFormat="1">
      <c r="A39564" s="83"/>
      <c r="H39564" s="83"/>
      <c r="K39564" s="82"/>
      <c r="M39564" s="112"/>
      <c r="N39564" s="84"/>
    </row>
    <row r="39565" spans="1:14" s="2" customFormat="1">
      <c r="A39565" s="83"/>
      <c r="H39565" s="83"/>
      <c r="K39565" s="82"/>
      <c r="M39565" s="112"/>
      <c r="N39565" s="84"/>
    </row>
    <row r="39566" spans="1:14" s="2" customFormat="1">
      <c r="A39566" s="83"/>
      <c r="H39566" s="83"/>
      <c r="K39566" s="82"/>
      <c r="M39566" s="112"/>
      <c r="N39566" s="84"/>
    </row>
    <row r="39567" spans="1:14" s="2" customFormat="1">
      <c r="A39567" s="83"/>
      <c r="H39567" s="83"/>
      <c r="K39567" s="82"/>
      <c r="M39567" s="112"/>
      <c r="N39567" s="84"/>
    </row>
    <row r="39568" spans="1:14" s="2" customFormat="1">
      <c r="A39568" s="83"/>
      <c r="H39568" s="83"/>
      <c r="K39568" s="82"/>
      <c r="M39568" s="112"/>
      <c r="N39568" s="84"/>
    </row>
    <row r="39569" spans="1:14" s="2" customFormat="1">
      <c r="A39569" s="83"/>
      <c r="H39569" s="83"/>
      <c r="K39569" s="82"/>
      <c r="M39569" s="112"/>
      <c r="N39569" s="84"/>
    </row>
    <row r="39570" spans="1:14" s="2" customFormat="1">
      <c r="A39570" s="83"/>
      <c r="H39570" s="83"/>
      <c r="K39570" s="82"/>
      <c r="M39570" s="112"/>
      <c r="N39570" s="84"/>
    </row>
    <row r="39571" spans="1:14" s="2" customFormat="1">
      <c r="A39571" s="83"/>
      <c r="H39571" s="83"/>
      <c r="K39571" s="82"/>
      <c r="M39571" s="112"/>
      <c r="N39571" s="84"/>
    </row>
    <row r="39572" spans="1:14" s="2" customFormat="1">
      <c r="A39572" s="83"/>
      <c r="H39572" s="83"/>
      <c r="K39572" s="82"/>
      <c r="M39572" s="112"/>
      <c r="N39572" s="84"/>
    </row>
    <row r="39573" spans="1:14" s="2" customFormat="1">
      <c r="A39573" s="83"/>
      <c r="H39573" s="83"/>
      <c r="K39573" s="82"/>
      <c r="M39573" s="112"/>
      <c r="N39573" s="84"/>
    </row>
    <row r="39574" spans="1:14" s="2" customFormat="1">
      <c r="A39574" s="83"/>
      <c r="H39574" s="83"/>
      <c r="K39574" s="82"/>
      <c r="M39574" s="112"/>
      <c r="N39574" s="84"/>
    </row>
    <row r="39575" spans="1:14" s="2" customFormat="1">
      <c r="A39575" s="83"/>
      <c r="H39575" s="83"/>
      <c r="K39575" s="82"/>
      <c r="M39575" s="112"/>
      <c r="N39575" s="84"/>
    </row>
    <row r="39576" spans="1:14" s="2" customFormat="1">
      <c r="A39576" s="83"/>
      <c r="H39576" s="83"/>
      <c r="K39576" s="82"/>
      <c r="M39576" s="112"/>
      <c r="N39576" s="84"/>
    </row>
    <row r="39577" spans="1:14" s="2" customFormat="1">
      <c r="A39577" s="83"/>
      <c r="H39577" s="83"/>
      <c r="K39577" s="82"/>
      <c r="M39577" s="112"/>
      <c r="N39577" s="84"/>
    </row>
    <row r="39578" spans="1:14" s="2" customFormat="1">
      <c r="A39578" s="83"/>
      <c r="H39578" s="83"/>
      <c r="K39578" s="82"/>
      <c r="M39578" s="112"/>
      <c r="N39578" s="84"/>
    </row>
    <row r="39579" spans="1:14" s="2" customFormat="1">
      <c r="A39579" s="83"/>
      <c r="H39579" s="83"/>
      <c r="K39579" s="82"/>
      <c r="M39579" s="112"/>
      <c r="N39579" s="84"/>
    </row>
    <row r="39580" spans="1:14" s="2" customFormat="1">
      <c r="A39580" s="83"/>
      <c r="H39580" s="83"/>
      <c r="K39580" s="82"/>
      <c r="M39580" s="112"/>
      <c r="N39580" s="84"/>
    </row>
    <row r="39581" spans="1:14" s="2" customFormat="1">
      <c r="A39581" s="83"/>
      <c r="H39581" s="83"/>
      <c r="K39581" s="82"/>
      <c r="M39581" s="112"/>
      <c r="N39581" s="84"/>
    </row>
    <row r="39582" spans="1:14" s="2" customFormat="1">
      <c r="A39582" s="83"/>
      <c r="H39582" s="83"/>
      <c r="K39582" s="82"/>
      <c r="M39582" s="112"/>
      <c r="N39582" s="84"/>
    </row>
    <row r="39583" spans="1:14" s="2" customFormat="1">
      <c r="A39583" s="83"/>
      <c r="H39583" s="83"/>
      <c r="K39583" s="82"/>
      <c r="M39583" s="112"/>
      <c r="N39583" s="84"/>
    </row>
    <row r="39584" spans="1:14" s="2" customFormat="1">
      <c r="A39584" s="83"/>
      <c r="H39584" s="83"/>
      <c r="K39584" s="82"/>
      <c r="M39584" s="112"/>
      <c r="N39584" s="84"/>
    </row>
    <row r="39585" spans="1:14" s="2" customFormat="1">
      <c r="A39585" s="83"/>
      <c r="H39585" s="83"/>
      <c r="K39585" s="82"/>
      <c r="M39585" s="112"/>
      <c r="N39585" s="84"/>
    </row>
    <row r="39586" spans="1:14" s="2" customFormat="1">
      <c r="A39586" s="83"/>
      <c r="H39586" s="83"/>
      <c r="K39586" s="82"/>
      <c r="M39586" s="112"/>
      <c r="N39586" s="84"/>
    </row>
    <row r="39587" spans="1:14" s="2" customFormat="1">
      <c r="A39587" s="83"/>
      <c r="H39587" s="83"/>
      <c r="K39587" s="82"/>
      <c r="M39587" s="112"/>
      <c r="N39587" s="84"/>
    </row>
    <row r="39588" spans="1:14" s="2" customFormat="1">
      <c r="A39588" s="83"/>
      <c r="H39588" s="83"/>
      <c r="K39588" s="82"/>
      <c r="M39588" s="112"/>
      <c r="N39588" s="84"/>
    </row>
    <row r="39589" spans="1:14" s="2" customFormat="1">
      <c r="A39589" s="83"/>
      <c r="H39589" s="83"/>
      <c r="K39589" s="82"/>
      <c r="M39589" s="112"/>
      <c r="N39589" s="84"/>
    </row>
    <row r="39590" spans="1:14" s="2" customFormat="1">
      <c r="A39590" s="83"/>
      <c r="H39590" s="83"/>
      <c r="K39590" s="82"/>
      <c r="M39590" s="112"/>
      <c r="N39590" s="84"/>
    </row>
    <row r="39591" spans="1:14" s="2" customFormat="1">
      <c r="A39591" s="83"/>
      <c r="H39591" s="83"/>
      <c r="K39591" s="82"/>
      <c r="M39591" s="112"/>
      <c r="N39591" s="84"/>
    </row>
    <row r="39592" spans="1:14" s="2" customFormat="1">
      <c r="A39592" s="83"/>
      <c r="H39592" s="83"/>
      <c r="K39592" s="82"/>
      <c r="M39592" s="112"/>
      <c r="N39592" s="84"/>
    </row>
    <row r="39593" spans="1:14" s="2" customFormat="1">
      <c r="A39593" s="83"/>
      <c r="H39593" s="83"/>
      <c r="K39593" s="82"/>
      <c r="M39593" s="112"/>
      <c r="N39593" s="84"/>
    </row>
    <row r="39594" spans="1:14" s="2" customFormat="1">
      <c r="A39594" s="83"/>
      <c r="H39594" s="83"/>
      <c r="K39594" s="82"/>
      <c r="M39594" s="112"/>
      <c r="N39594" s="84"/>
    </row>
    <row r="39595" spans="1:14" s="2" customFormat="1">
      <c r="A39595" s="83"/>
      <c r="H39595" s="83"/>
      <c r="K39595" s="82"/>
      <c r="M39595" s="112"/>
      <c r="N39595" s="84"/>
    </row>
    <row r="39596" spans="1:14" s="2" customFormat="1">
      <c r="A39596" s="83"/>
      <c r="H39596" s="83"/>
      <c r="K39596" s="82"/>
      <c r="M39596" s="112"/>
      <c r="N39596" s="84"/>
    </row>
    <row r="39597" spans="1:14" s="2" customFormat="1">
      <c r="A39597" s="83"/>
      <c r="H39597" s="83"/>
      <c r="K39597" s="82"/>
      <c r="M39597" s="112"/>
      <c r="N39597" s="84"/>
    </row>
    <row r="39598" spans="1:14" s="2" customFormat="1">
      <c r="A39598" s="83"/>
      <c r="H39598" s="83"/>
      <c r="K39598" s="82"/>
      <c r="M39598" s="112"/>
      <c r="N39598" s="84"/>
    </row>
    <row r="39599" spans="1:14" s="2" customFormat="1">
      <c r="A39599" s="83"/>
      <c r="H39599" s="83"/>
      <c r="K39599" s="82"/>
      <c r="M39599" s="112"/>
      <c r="N39599" s="84"/>
    </row>
    <row r="39600" spans="1:14" s="2" customFormat="1">
      <c r="A39600" s="83"/>
      <c r="H39600" s="83"/>
      <c r="K39600" s="82"/>
      <c r="M39600" s="112"/>
      <c r="N39600" s="84"/>
    </row>
    <row r="39601" spans="1:14" s="2" customFormat="1">
      <c r="A39601" s="83"/>
      <c r="H39601" s="83"/>
      <c r="K39601" s="82"/>
      <c r="M39601" s="112"/>
      <c r="N39601" s="84"/>
    </row>
    <row r="39602" spans="1:14" s="2" customFormat="1">
      <c r="A39602" s="83"/>
      <c r="H39602" s="83"/>
      <c r="K39602" s="82"/>
      <c r="M39602" s="112"/>
      <c r="N39602" s="84"/>
    </row>
    <row r="39603" spans="1:14" s="2" customFormat="1">
      <c r="A39603" s="83"/>
      <c r="H39603" s="83"/>
      <c r="K39603" s="82"/>
      <c r="M39603" s="112"/>
      <c r="N39603" s="84"/>
    </row>
    <row r="39604" spans="1:14" s="2" customFormat="1">
      <c r="A39604" s="83"/>
      <c r="H39604" s="83"/>
      <c r="K39604" s="82"/>
      <c r="M39604" s="112"/>
      <c r="N39604" s="84"/>
    </row>
    <row r="39605" spans="1:14" s="2" customFormat="1">
      <c r="A39605" s="83"/>
      <c r="H39605" s="83"/>
      <c r="K39605" s="82"/>
      <c r="M39605" s="112"/>
      <c r="N39605" s="84"/>
    </row>
    <row r="39606" spans="1:14" s="2" customFormat="1">
      <c r="A39606" s="83"/>
      <c r="H39606" s="83"/>
      <c r="K39606" s="82"/>
      <c r="M39606" s="112"/>
      <c r="N39606" s="84"/>
    </row>
    <row r="39607" spans="1:14" s="2" customFormat="1">
      <c r="A39607" s="83"/>
      <c r="H39607" s="83"/>
      <c r="K39607" s="82"/>
      <c r="M39607" s="112"/>
      <c r="N39607" s="84"/>
    </row>
    <row r="39608" spans="1:14" s="2" customFormat="1">
      <c r="A39608" s="83"/>
      <c r="H39608" s="83"/>
      <c r="K39608" s="82"/>
      <c r="M39608" s="112"/>
      <c r="N39608" s="84"/>
    </row>
    <row r="39609" spans="1:14" s="2" customFormat="1">
      <c r="A39609" s="83"/>
      <c r="H39609" s="83"/>
      <c r="K39609" s="82"/>
      <c r="M39609" s="112"/>
      <c r="N39609" s="84"/>
    </row>
    <row r="39610" spans="1:14" s="2" customFormat="1">
      <c r="A39610" s="83"/>
      <c r="H39610" s="83"/>
      <c r="K39610" s="82"/>
      <c r="M39610" s="112"/>
      <c r="N39610" s="84"/>
    </row>
    <row r="39611" spans="1:14" s="2" customFormat="1">
      <c r="A39611" s="83"/>
      <c r="H39611" s="83"/>
      <c r="K39611" s="82"/>
      <c r="M39611" s="112"/>
      <c r="N39611" s="84"/>
    </row>
    <row r="39612" spans="1:14" s="2" customFormat="1">
      <c r="A39612" s="83"/>
      <c r="H39612" s="83"/>
      <c r="K39612" s="82"/>
      <c r="M39612" s="112"/>
      <c r="N39612" s="84"/>
    </row>
    <row r="39613" spans="1:14" s="2" customFormat="1">
      <c r="A39613" s="83"/>
      <c r="H39613" s="83"/>
      <c r="K39613" s="82"/>
      <c r="M39613" s="112"/>
      <c r="N39613" s="84"/>
    </row>
    <row r="39614" spans="1:14" s="2" customFormat="1">
      <c r="A39614" s="83"/>
      <c r="H39614" s="83"/>
      <c r="K39614" s="82"/>
      <c r="M39614" s="112"/>
      <c r="N39614" s="84"/>
    </row>
    <row r="39615" spans="1:14" s="2" customFormat="1">
      <c r="A39615" s="83"/>
      <c r="H39615" s="83"/>
      <c r="K39615" s="82"/>
      <c r="M39615" s="112"/>
      <c r="N39615" s="84"/>
    </row>
    <row r="39616" spans="1:14" s="2" customFormat="1">
      <c r="A39616" s="83"/>
      <c r="H39616" s="83"/>
      <c r="K39616" s="82"/>
      <c r="M39616" s="112"/>
      <c r="N39616" s="84"/>
    </row>
    <row r="39617" spans="1:14" s="2" customFormat="1">
      <c r="A39617" s="83"/>
      <c r="H39617" s="83"/>
      <c r="K39617" s="82"/>
      <c r="M39617" s="112"/>
      <c r="N39617" s="84"/>
    </row>
    <row r="39618" spans="1:14" s="2" customFormat="1">
      <c r="A39618" s="83"/>
      <c r="H39618" s="83"/>
      <c r="K39618" s="82"/>
      <c r="M39618" s="112"/>
      <c r="N39618" s="84"/>
    </row>
    <row r="39619" spans="1:14" s="2" customFormat="1">
      <c r="A39619" s="83"/>
      <c r="H39619" s="83"/>
      <c r="K39619" s="82"/>
      <c r="M39619" s="112"/>
      <c r="N39619" s="84"/>
    </row>
    <row r="39620" spans="1:14" s="2" customFormat="1">
      <c r="A39620" s="83"/>
      <c r="H39620" s="83"/>
      <c r="K39620" s="82"/>
      <c r="M39620" s="112"/>
      <c r="N39620" s="84"/>
    </row>
    <row r="39621" spans="1:14" s="2" customFormat="1">
      <c r="A39621" s="83"/>
      <c r="H39621" s="83"/>
      <c r="K39621" s="82"/>
      <c r="M39621" s="112"/>
      <c r="N39621" s="84"/>
    </row>
    <row r="39622" spans="1:14" s="2" customFormat="1">
      <c r="A39622" s="83"/>
      <c r="H39622" s="83"/>
      <c r="K39622" s="82"/>
      <c r="M39622" s="112"/>
      <c r="N39622" s="84"/>
    </row>
    <row r="39623" spans="1:14" s="2" customFormat="1">
      <c r="A39623" s="83"/>
      <c r="H39623" s="83"/>
      <c r="K39623" s="82"/>
      <c r="M39623" s="112"/>
      <c r="N39623" s="84"/>
    </row>
    <row r="39624" spans="1:14" s="2" customFormat="1">
      <c r="A39624" s="83"/>
      <c r="H39624" s="83"/>
      <c r="K39624" s="82"/>
      <c r="M39624" s="112"/>
      <c r="N39624" s="84"/>
    </row>
    <row r="39625" spans="1:14" s="2" customFormat="1">
      <c r="A39625" s="83"/>
      <c r="H39625" s="83"/>
      <c r="K39625" s="82"/>
      <c r="M39625" s="112"/>
      <c r="N39625" s="84"/>
    </row>
    <row r="39626" spans="1:14" s="2" customFormat="1">
      <c r="A39626" s="83"/>
      <c r="H39626" s="83"/>
      <c r="K39626" s="82"/>
      <c r="M39626" s="112"/>
      <c r="N39626" s="84"/>
    </row>
    <row r="39627" spans="1:14" s="2" customFormat="1">
      <c r="A39627" s="83"/>
      <c r="H39627" s="83"/>
      <c r="K39627" s="82"/>
      <c r="M39627" s="112"/>
      <c r="N39627" s="84"/>
    </row>
    <row r="39628" spans="1:14" s="2" customFormat="1">
      <c r="A39628" s="83"/>
      <c r="H39628" s="83"/>
      <c r="K39628" s="82"/>
      <c r="M39628" s="112"/>
      <c r="N39628" s="84"/>
    </row>
    <row r="39629" spans="1:14" s="2" customFormat="1">
      <c r="A39629" s="83"/>
      <c r="H39629" s="83"/>
      <c r="K39629" s="82"/>
      <c r="M39629" s="112"/>
      <c r="N39629" s="84"/>
    </row>
    <row r="39630" spans="1:14" s="2" customFormat="1">
      <c r="A39630" s="83"/>
      <c r="H39630" s="83"/>
      <c r="K39630" s="82"/>
      <c r="M39630" s="112"/>
      <c r="N39630" s="84"/>
    </row>
    <row r="39631" spans="1:14" s="2" customFormat="1">
      <c r="A39631" s="83"/>
      <c r="H39631" s="83"/>
      <c r="K39631" s="82"/>
      <c r="M39631" s="112"/>
      <c r="N39631" s="84"/>
    </row>
    <row r="39632" spans="1:14" s="2" customFormat="1">
      <c r="A39632" s="83"/>
      <c r="H39632" s="83"/>
      <c r="K39632" s="82"/>
      <c r="M39632" s="112"/>
      <c r="N39632" s="84"/>
    </row>
    <row r="39633" spans="1:14" s="2" customFormat="1">
      <c r="A39633" s="83"/>
      <c r="H39633" s="83"/>
      <c r="K39633" s="82"/>
      <c r="M39633" s="112"/>
      <c r="N39633" s="84"/>
    </row>
    <row r="39634" spans="1:14" s="2" customFormat="1">
      <c r="A39634" s="83"/>
      <c r="H39634" s="83"/>
      <c r="K39634" s="82"/>
      <c r="M39634" s="112"/>
      <c r="N39634" s="84"/>
    </row>
    <row r="39635" spans="1:14" s="2" customFormat="1">
      <c r="A39635" s="83"/>
      <c r="H39635" s="83"/>
      <c r="K39635" s="82"/>
      <c r="M39635" s="112"/>
      <c r="N39635" s="84"/>
    </row>
    <row r="39636" spans="1:14" s="2" customFormat="1">
      <c r="A39636" s="83"/>
      <c r="H39636" s="83"/>
      <c r="K39636" s="82"/>
      <c r="M39636" s="112"/>
      <c r="N39636" s="84"/>
    </row>
    <row r="39637" spans="1:14" s="2" customFormat="1">
      <c r="A39637" s="83"/>
      <c r="H39637" s="83"/>
      <c r="K39637" s="82"/>
      <c r="M39637" s="112"/>
      <c r="N39637" s="84"/>
    </row>
    <row r="39638" spans="1:14" s="2" customFormat="1">
      <c r="A39638" s="83"/>
      <c r="H39638" s="83"/>
      <c r="K39638" s="82"/>
      <c r="M39638" s="112"/>
      <c r="N39638" s="84"/>
    </row>
    <row r="39639" spans="1:14" s="2" customFormat="1">
      <c r="A39639" s="83"/>
      <c r="H39639" s="83"/>
      <c r="K39639" s="82"/>
      <c r="M39639" s="112"/>
      <c r="N39639" s="84"/>
    </row>
    <row r="39640" spans="1:14" s="2" customFormat="1">
      <c r="A39640" s="83"/>
      <c r="H39640" s="83"/>
      <c r="K39640" s="82"/>
      <c r="M39640" s="112"/>
      <c r="N39640" s="84"/>
    </row>
    <row r="39641" spans="1:14" s="2" customFormat="1">
      <c r="A39641" s="83"/>
      <c r="H39641" s="83"/>
      <c r="K39641" s="82"/>
      <c r="M39641" s="112"/>
      <c r="N39641" s="84"/>
    </row>
    <row r="39642" spans="1:14" s="2" customFormat="1">
      <c r="A39642" s="83"/>
      <c r="H39642" s="83"/>
      <c r="K39642" s="82"/>
      <c r="M39642" s="112"/>
      <c r="N39642" s="84"/>
    </row>
    <row r="39643" spans="1:14" s="2" customFormat="1">
      <c r="A39643" s="83"/>
      <c r="H39643" s="83"/>
      <c r="K39643" s="82"/>
      <c r="M39643" s="112"/>
      <c r="N39643" s="84"/>
    </row>
    <row r="39644" spans="1:14" s="2" customFormat="1">
      <c r="A39644" s="83"/>
      <c r="H39644" s="83"/>
      <c r="K39644" s="82"/>
      <c r="M39644" s="112"/>
      <c r="N39644" s="84"/>
    </row>
    <row r="39645" spans="1:14" s="2" customFormat="1">
      <c r="A39645" s="83"/>
      <c r="H39645" s="83"/>
      <c r="K39645" s="82"/>
      <c r="M39645" s="112"/>
      <c r="N39645" s="84"/>
    </row>
    <row r="39646" spans="1:14" s="2" customFormat="1">
      <c r="A39646" s="83"/>
      <c r="H39646" s="83"/>
      <c r="K39646" s="82"/>
      <c r="M39646" s="112"/>
      <c r="N39646" s="84"/>
    </row>
    <row r="39647" spans="1:14" s="2" customFormat="1">
      <c r="A39647" s="83"/>
      <c r="H39647" s="83"/>
      <c r="K39647" s="82"/>
      <c r="M39647" s="112"/>
      <c r="N39647" s="84"/>
    </row>
    <row r="39648" spans="1:14" s="2" customFormat="1">
      <c r="A39648" s="83"/>
      <c r="H39648" s="83"/>
      <c r="K39648" s="82"/>
      <c r="M39648" s="112"/>
      <c r="N39648" s="84"/>
    </row>
    <row r="39649" spans="1:14" s="2" customFormat="1">
      <c r="A39649" s="83"/>
      <c r="H39649" s="83"/>
      <c r="K39649" s="82"/>
      <c r="M39649" s="112"/>
      <c r="N39649" s="84"/>
    </row>
    <row r="39650" spans="1:14" s="2" customFormat="1">
      <c r="A39650" s="83"/>
      <c r="H39650" s="83"/>
      <c r="K39650" s="82"/>
      <c r="M39650" s="112"/>
      <c r="N39650" s="84"/>
    </row>
    <row r="39651" spans="1:14" s="2" customFormat="1">
      <c r="A39651" s="83"/>
      <c r="H39651" s="83"/>
      <c r="K39651" s="82"/>
      <c r="M39651" s="112"/>
      <c r="N39651" s="84"/>
    </row>
    <row r="39652" spans="1:14" s="2" customFormat="1">
      <c r="A39652" s="83"/>
      <c r="H39652" s="83"/>
      <c r="K39652" s="82"/>
      <c r="M39652" s="112"/>
      <c r="N39652" s="84"/>
    </row>
    <row r="39653" spans="1:14" s="2" customFormat="1">
      <c r="A39653" s="83"/>
      <c r="H39653" s="83"/>
      <c r="K39653" s="82"/>
      <c r="M39653" s="112"/>
      <c r="N39653" s="84"/>
    </row>
    <row r="39654" spans="1:14" s="2" customFormat="1">
      <c r="A39654" s="83"/>
      <c r="H39654" s="83"/>
      <c r="K39654" s="82"/>
      <c r="M39654" s="112"/>
      <c r="N39654" s="84"/>
    </row>
    <row r="39655" spans="1:14" s="2" customFormat="1">
      <c r="A39655" s="83"/>
      <c r="H39655" s="83"/>
      <c r="K39655" s="82"/>
      <c r="M39655" s="112"/>
      <c r="N39655" s="84"/>
    </row>
    <row r="39656" spans="1:14" s="2" customFormat="1">
      <c r="A39656" s="83"/>
      <c r="H39656" s="83"/>
      <c r="K39656" s="82"/>
      <c r="M39656" s="112"/>
      <c r="N39656" s="84"/>
    </row>
    <row r="39657" spans="1:14" s="2" customFormat="1">
      <c r="A39657" s="83"/>
      <c r="H39657" s="83"/>
      <c r="K39657" s="82"/>
      <c r="M39657" s="112"/>
      <c r="N39657" s="84"/>
    </row>
    <row r="39658" spans="1:14" s="2" customFormat="1">
      <c r="A39658" s="83"/>
      <c r="H39658" s="83"/>
      <c r="K39658" s="82"/>
      <c r="M39658" s="112"/>
      <c r="N39658" s="84"/>
    </row>
    <row r="39659" spans="1:14" s="2" customFormat="1">
      <c r="A39659" s="83"/>
      <c r="H39659" s="83"/>
      <c r="K39659" s="82"/>
      <c r="M39659" s="112"/>
      <c r="N39659" s="84"/>
    </row>
    <row r="39660" spans="1:14" s="2" customFormat="1">
      <c r="A39660" s="83"/>
      <c r="H39660" s="83"/>
      <c r="K39660" s="82"/>
      <c r="M39660" s="112"/>
      <c r="N39660" s="84"/>
    </row>
    <row r="39661" spans="1:14" s="2" customFormat="1">
      <c r="A39661" s="83"/>
      <c r="H39661" s="83"/>
      <c r="K39661" s="82"/>
      <c r="M39661" s="112"/>
      <c r="N39661" s="84"/>
    </row>
    <row r="39662" spans="1:14" s="2" customFormat="1">
      <c r="A39662" s="83"/>
      <c r="H39662" s="83"/>
      <c r="K39662" s="82"/>
      <c r="M39662" s="112"/>
      <c r="N39662" s="84"/>
    </row>
    <row r="39663" spans="1:14" s="2" customFormat="1">
      <c r="A39663" s="83"/>
      <c r="H39663" s="83"/>
      <c r="K39663" s="82"/>
      <c r="M39663" s="112"/>
      <c r="N39663" s="84"/>
    </row>
    <row r="39664" spans="1:14" s="2" customFormat="1">
      <c r="A39664" s="83"/>
      <c r="H39664" s="83"/>
      <c r="K39664" s="82"/>
      <c r="M39664" s="112"/>
      <c r="N39664" s="84"/>
    </row>
    <row r="39665" spans="1:14" s="2" customFormat="1">
      <c r="A39665" s="83"/>
      <c r="H39665" s="83"/>
      <c r="K39665" s="82"/>
      <c r="M39665" s="112"/>
      <c r="N39665" s="84"/>
    </row>
    <row r="39666" spans="1:14" s="2" customFormat="1">
      <c r="A39666" s="83"/>
      <c r="H39666" s="83"/>
      <c r="K39666" s="82"/>
      <c r="M39666" s="112"/>
      <c r="N39666" s="84"/>
    </row>
    <row r="39667" spans="1:14" s="2" customFormat="1">
      <c r="A39667" s="83"/>
      <c r="H39667" s="83"/>
      <c r="K39667" s="82"/>
      <c r="M39667" s="112"/>
      <c r="N39667" s="84"/>
    </row>
    <row r="39668" spans="1:14" s="2" customFormat="1">
      <c r="A39668" s="83"/>
      <c r="H39668" s="83"/>
      <c r="K39668" s="82"/>
      <c r="M39668" s="112"/>
      <c r="N39668" s="84"/>
    </row>
    <row r="39669" spans="1:14" s="2" customFormat="1">
      <c r="A39669" s="83"/>
      <c r="H39669" s="83"/>
      <c r="K39669" s="82"/>
      <c r="M39669" s="112"/>
      <c r="N39669" s="84"/>
    </row>
    <row r="39670" spans="1:14" s="2" customFormat="1">
      <c r="A39670" s="83"/>
      <c r="H39670" s="83"/>
      <c r="K39670" s="82"/>
      <c r="M39670" s="112"/>
      <c r="N39670" s="84"/>
    </row>
    <row r="39671" spans="1:14" s="2" customFormat="1">
      <c r="A39671" s="83"/>
      <c r="H39671" s="83"/>
      <c r="K39671" s="82"/>
      <c r="M39671" s="112"/>
      <c r="N39671" s="84"/>
    </row>
    <row r="39672" spans="1:14" s="2" customFormat="1">
      <c r="A39672" s="83"/>
      <c r="H39672" s="83"/>
      <c r="K39672" s="82"/>
      <c r="M39672" s="112"/>
      <c r="N39672" s="84"/>
    </row>
    <row r="39673" spans="1:14" s="2" customFormat="1">
      <c r="A39673" s="83"/>
      <c r="H39673" s="83"/>
      <c r="K39673" s="82"/>
      <c r="M39673" s="112"/>
      <c r="N39673" s="84"/>
    </row>
    <row r="39674" spans="1:14" s="2" customFormat="1">
      <c r="A39674" s="83"/>
      <c r="H39674" s="83"/>
      <c r="K39674" s="82"/>
      <c r="M39674" s="112"/>
      <c r="N39674" s="84"/>
    </row>
    <row r="39675" spans="1:14" s="2" customFormat="1">
      <c r="A39675" s="83"/>
      <c r="H39675" s="83"/>
      <c r="K39675" s="82"/>
      <c r="M39675" s="112"/>
      <c r="N39675" s="84"/>
    </row>
    <row r="39676" spans="1:14" s="2" customFormat="1">
      <c r="A39676" s="83"/>
      <c r="H39676" s="83"/>
      <c r="K39676" s="82"/>
      <c r="M39676" s="112"/>
      <c r="N39676" s="84"/>
    </row>
    <row r="39677" spans="1:14" s="2" customFormat="1">
      <c r="A39677" s="83"/>
      <c r="H39677" s="83"/>
      <c r="K39677" s="82"/>
      <c r="M39677" s="112"/>
      <c r="N39677" s="84"/>
    </row>
    <row r="39678" spans="1:14" s="2" customFormat="1">
      <c r="A39678" s="83"/>
      <c r="H39678" s="83"/>
      <c r="K39678" s="82"/>
      <c r="M39678" s="112"/>
      <c r="N39678" s="84"/>
    </row>
    <row r="39679" spans="1:14" s="2" customFormat="1">
      <c r="A39679" s="83"/>
      <c r="H39679" s="83"/>
      <c r="K39679" s="82"/>
      <c r="M39679" s="112"/>
      <c r="N39679" s="84"/>
    </row>
    <row r="39680" spans="1:14" s="2" customFormat="1">
      <c r="A39680" s="83"/>
      <c r="H39680" s="83"/>
      <c r="K39680" s="82"/>
      <c r="M39680" s="112"/>
      <c r="N39680" s="84"/>
    </row>
    <row r="39681" spans="1:14" s="2" customFormat="1">
      <c r="A39681" s="83"/>
      <c r="H39681" s="83"/>
      <c r="K39681" s="82"/>
      <c r="M39681" s="112"/>
      <c r="N39681" s="84"/>
    </row>
    <row r="39682" spans="1:14" s="2" customFormat="1">
      <c r="A39682" s="83"/>
      <c r="H39682" s="83"/>
      <c r="K39682" s="82"/>
      <c r="M39682" s="112"/>
      <c r="N39682" s="84"/>
    </row>
    <row r="39683" spans="1:14" s="2" customFormat="1">
      <c r="A39683" s="83"/>
      <c r="H39683" s="83"/>
      <c r="K39683" s="82"/>
      <c r="M39683" s="112"/>
      <c r="N39683" s="84"/>
    </row>
    <row r="39684" spans="1:14" s="2" customFormat="1">
      <c r="A39684" s="83"/>
      <c r="H39684" s="83"/>
      <c r="K39684" s="82"/>
      <c r="M39684" s="112"/>
      <c r="N39684" s="84"/>
    </row>
    <row r="39685" spans="1:14" s="2" customFormat="1">
      <c r="A39685" s="83"/>
      <c r="H39685" s="83"/>
      <c r="K39685" s="82"/>
      <c r="M39685" s="112"/>
      <c r="N39685" s="84"/>
    </row>
    <row r="39686" spans="1:14" s="2" customFormat="1">
      <c r="A39686" s="83"/>
      <c r="H39686" s="83"/>
      <c r="K39686" s="82"/>
      <c r="M39686" s="112"/>
      <c r="N39686" s="84"/>
    </row>
    <row r="39687" spans="1:14" s="2" customFormat="1">
      <c r="A39687" s="83"/>
      <c r="H39687" s="83"/>
      <c r="K39687" s="82"/>
      <c r="M39687" s="112"/>
      <c r="N39687" s="84"/>
    </row>
    <row r="39688" spans="1:14" s="2" customFormat="1">
      <c r="A39688" s="83"/>
      <c r="H39688" s="83"/>
      <c r="K39688" s="82"/>
      <c r="M39688" s="112"/>
      <c r="N39688" s="84"/>
    </row>
    <row r="39689" spans="1:14" s="2" customFormat="1">
      <c r="A39689" s="83"/>
      <c r="H39689" s="83"/>
      <c r="K39689" s="82"/>
      <c r="M39689" s="112"/>
      <c r="N39689" s="84"/>
    </row>
    <row r="39690" spans="1:14" s="2" customFormat="1">
      <c r="A39690" s="83"/>
      <c r="H39690" s="83"/>
      <c r="K39690" s="82"/>
      <c r="M39690" s="112"/>
      <c r="N39690" s="84"/>
    </row>
    <row r="39691" spans="1:14" s="2" customFormat="1">
      <c r="A39691" s="83"/>
      <c r="H39691" s="83"/>
      <c r="K39691" s="82"/>
      <c r="M39691" s="112"/>
      <c r="N39691" s="84"/>
    </row>
    <row r="39692" spans="1:14" s="2" customFormat="1">
      <c r="A39692" s="83"/>
      <c r="H39692" s="83"/>
      <c r="K39692" s="82"/>
      <c r="M39692" s="112"/>
      <c r="N39692" s="84"/>
    </row>
    <row r="39693" spans="1:14" s="2" customFormat="1">
      <c r="A39693" s="83"/>
      <c r="H39693" s="83"/>
      <c r="K39693" s="82"/>
      <c r="M39693" s="112"/>
      <c r="N39693" s="84"/>
    </row>
    <row r="39694" spans="1:14" s="2" customFormat="1">
      <c r="A39694" s="83"/>
      <c r="H39694" s="83"/>
      <c r="K39694" s="82"/>
      <c r="M39694" s="112"/>
      <c r="N39694" s="84"/>
    </row>
    <row r="39695" spans="1:14" s="2" customFormat="1">
      <c r="A39695" s="83"/>
      <c r="H39695" s="83"/>
      <c r="K39695" s="82"/>
      <c r="M39695" s="112"/>
      <c r="N39695" s="84"/>
    </row>
    <row r="39696" spans="1:14" s="2" customFormat="1">
      <c r="A39696" s="83"/>
      <c r="H39696" s="83"/>
      <c r="K39696" s="82"/>
      <c r="M39696" s="112"/>
      <c r="N39696" s="84"/>
    </row>
    <row r="39697" spans="1:14" s="2" customFormat="1">
      <c r="A39697" s="83"/>
      <c r="H39697" s="83"/>
      <c r="K39697" s="82"/>
      <c r="M39697" s="112"/>
      <c r="N39697" s="84"/>
    </row>
    <row r="39698" spans="1:14" s="2" customFormat="1">
      <c r="A39698" s="83"/>
      <c r="H39698" s="83"/>
      <c r="K39698" s="82"/>
      <c r="M39698" s="112"/>
      <c r="N39698" s="84"/>
    </row>
    <row r="39699" spans="1:14" s="2" customFormat="1">
      <c r="A39699" s="83"/>
      <c r="H39699" s="83"/>
      <c r="K39699" s="82"/>
      <c r="M39699" s="112"/>
      <c r="N39699" s="84"/>
    </row>
    <row r="39700" spans="1:14" s="2" customFormat="1">
      <c r="A39700" s="83"/>
      <c r="H39700" s="83"/>
      <c r="K39700" s="82"/>
      <c r="M39700" s="112"/>
      <c r="N39700" s="84"/>
    </row>
    <row r="39701" spans="1:14" s="2" customFormat="1">
      <c r="A39701" s="83"/>
      <c r="H39701" s="83"/>
      <c r="K39701" s="82"/>
      <c r="M39701" s="112"/>
      <c r="N39701" s="84"/>
    </row>
    <row r="39702" spans="1:14" s="2" customFormat="1">
      <c r="A39702" s="83"/>
      <c r="H39702" s="83"/>
      <c r="K39702" s="82"/>
      <c r="M39702" s="112"/>
      <c r="N39702" s="84"/>
    </row>
    <row r="39703" spans="1:14" s="2" customFormat="1">
      <c r="A39703" s="83"/>
      <c r="H39703" s="83"/>
      <c r="K39703" s="82"/>
      <c r="M39703" s="112"/>
      <c r="N39703" s="84"/>
    </row>
    <row r="39704" spans="1:14" s="2" customFormat="1">
      <c r="A39704" s="83"/>
      <c r="H39704" s="83"/>
      <c r="K39704" s="82"/>
      <c r="M39704" s="112"/>
      <c r="N39704" s="84"/>
    </row>
    <row r="39705" spans="1:14" s="2" customFormat="1">
      <c r="A39705" s="83"/>
      <c r="H39705" s="83"/>
      <c r="K39705" s="82"/>
      <c r="M39705" s="112"/>
      <c r="N39705" s="84"/>
    </row>
    <row r="39706" spans="1:14" s="2" customFormat="1">
      <c r="A39706" s="83"/>
      <c r="H39706" s="83"/>
      <c r="K39706" s="82"/>
      <c r="M39706" s="112"/>
      <c r="N39706" s="84"/>
    </row>
    <row r="39707" spans="1:14" s="2" customFormat="1">
      <c r="A39707" s="83"/>
      <c r="H39707" s="83"/>
      <c r="K39707" s="82"/>
      <c r="M39707" s="112"/>
      <c r="N39707" s="84"/>
    </row>
    <row r="39708" spans="1:14" s="2" customFormat="1">
      <c r="A39708" s="83"/>
      <c r="H39708" s="83"/>
      <c r="K39708" s="82"/>
      <c r="M39708" s="112"/>
      <c r="N39708" s="84"/>
    </row>
    <row r="39709" spans="1:14" s="2" customFormat="1">
      <c r="A39709" s="83"/>
      <c r="H39709" s="83"/>
      <c r="K39709" s="82"/>
      <c r="M39709" s="112"/>
      <c r="N39709" s="84"/>
    </row>
    <row r="39710" spans="1:14" s="2" customFormat="1">
      <c r="A39710" s="83"/>
      <c r="H39710" s="83"/>
      <c r="K39710" s="82"/>
      <c r="M39710" s="112"/>
      <c r="N39710" s="84"/>
    </row>
    <row r="39711" spans="1:14" s="2" customFormat="1">
      <c r="A39711" s="83"/>
      <c r="H39711" s="83"/>
      <c r="K39711" s="82"/>
      <c r="M39711" s="112"/>
      <c r="N39711" s="84"/>
    </row>
    <row r="39712" spans="1:14" s="2" customFormat="1">
      <c r="A39712" s="83"/>
      <c r="H39712" s="83"/>
      <c r="K39712" s="82"/>
      <c r="M39712" s="112"/>
      <c r="N39712" s="84"/>
    </row>
    <row r="39713" spans="1:14" s="2" customFormat="1">
      <c r="A39713" s="83"/>
      <c r="H39713" s="83"/>
      <c r="K39713" s="82"/>
      <c r="M39713" s="112"/>
      <c r="N39713" s="84"/>
    </row>
    <row r="39714" spans="1:14" s="2" customFormat="1">
      <c r="A39714" s="83"/>
      <c r="H39714" s="83"/>
      <c r="K39714" s="82"/>
      <c r="M39714" s="112"/>
      <c r="N39714" s="84"/>
    </row>
    <row r="39715" spans="1:14" s="2" customFormat="1">
      <c r="A39715" s="83"/>
      <c r="H39715" s="83"/>
      <c r="K39715" s="82"/>
      <c r="M39715" s="112"/>
      <c r="N39715" s="84"/>
    </row>
    <row r="39716" spans="1:14" s="2" customFormat="1">
      <c r="A39716" s="83"/>
      <c r="H39716" s="83"/>
      <c r="K39716" s="82"/>
      <c r="M39716" s="112"/>
      <c r="N39716" s="84"/>
    </row>
    <row r="39717" spans="1:14" s="2" customFormat="1">
      <c r="A39717" s="83"/>
      <c r="H39717" s="83"/>
      <c r="K39717" s="82"/>
      <c r="M39717" s="112"/>
      <c r="N39717" s="84"/>
    </row>
    <row r="39718" spans="1:14" s="2" customFormat="1">
      <c r="A39718" s="83"/>
      <c r="H39718" s="83"/>
      <c r="K39718" s="82"/>
      <c r="M39718" s="112"/>
      <c r="N39718" s="84"/>
    </row>
    <row r="39719" spans="1:14" s="2" customFormat="1">
      <c r="A39719" s="83"/>
      <c r="H39719" s="83"/>
      <c r="K39719" s="82"/>
      <c r="M39719" s="112"/>
      <c r="N39719" s="84"/>
    </row>
    <row r="39720" spans="1:14" s="2" customFormat="1">
      <c r="A39720" s="83"/>
      <c r="H39720" s="83"/>
      <c r="K39720" s="82"/>
      <c r="M39720" s="112"/>
      <c r="N39720" s="84"/>
    </row>
    <row r="39721" spans="1:14" s="2" customFormat="1">
      <c r="A39721" s="83"/>
      <c r="H39721" s="83"/>
      <c r="K39721" s="82"/>
      <c r="M39721" s="112"/>
      <c r="N39721" s="84"/>
    </row>
    <row r="39722" spans="1:14" s="2" customFormat="1">
      <c r="A39722" s="83"/>
      <c r="H39722" s="83"/>
      <c r="K39722" s="82"/>
      <c r="M39722" s="112"/>
      <c r="N39722" s="84"/>
    </row>
    <row r="39723" spans="1:14" s="2" customFormat="1">
      <c r="A39723" s="83"/>
      <c r="H39723" s="83"/>
      <c r="K39723" s="82"/>
      <c r="M39723" s="112"/>
      <c r="N39723" s="84"/>
    </row>
    <row r="39724" spans="1:14" s="2" customFormat="1">
      <c r="A39724" s="83"/>
      <c r="H39724" s="83"/>
      <c r="K39724" s="82"/>
      <c r="M39724" s="112"/>
      <c r="N39724" s="84"/>
    </row>
    <row r="39725" spans="1:14" s="2" customFormat="1">
      <c r="A39725" s="83"/>
      <c r="H39725" s="83"/>
      <c r="K39725" s="82"/>
      <c r="M39725" s="112"/>
      <c r="N39725" s="84"/>
    </row>
    <row r="39726" spans="1:14" s="2" customFormat="1">
      <c r="A39726" s="83"/>
      <c r="H39726" s="83"/>
      <c r="K39726" s="82"/>
      <c r="M39726" s="112"/>
      <c r="N39726" s="84"/>
    </row>
    <row r="39727" spans="1:14" s="2" customFormat="1">
      <c r="A39727" s="83"/>
      <c r="H39727" s="83"/>
      <c r="K39727" s="82"/>
      <c r="M39727" s="112"/>
      <c r="N39727" s="84"/>
    </row>
    <row r="39728" spans="1:14" s="2" customFormat="1">
      <c r="A39728" s="83"/>
      <c r="H39728" s="83"/>
      <c r="K39728" s="82"/>
      <c r="M39728" s="112"/>
      <c r="N39728" s="84"/>
    </row>
    <row r="39729" spans="1:14" s="2" customFormat="1">
      <c r="A39729" s="83"/>
      <c r="H39729" s="83"/>
      <c r="K39729" s="82"/>
      <c r="M39729" s="112"/>
      <c r="N39729" s="84"/>
    </row>
    <row r="39730" spans="1:14" s="2" customFormat="1">
      <c r="A39730" s="83"/>
      <c r="H39730" s="83"/>
      <c r="K39730" s="82"/>
      <c r="M39730" s="112"/>
      <c r="N39730" s="84"/>
    </row>
    <row r="39731" spans="1:14" s="2" customFormat="1">
      <c r="A39731" s="83"/>
      <c r="H39731" s="83"/>
      <c r="K39731" s="82"/>
      <c r="M39731" s="112"/>
      <c r="N39731" s="84"/>
    </row>
    <row r="39732" spans="1:14" s="2" customFormat="1">
      <c r="A39732" s="83"/>
      <c r="H39732" s="83"/>
      <c r="K39732" s="82"/>
      <c r="M39732" s="112"/>
      <c r="N39732" s="84"/>
    </row>
    <row r="39733" spans="1:14" s="2" customFormat="1">
      <c r="A39733" s="83"/>
      <c r="H39733" s="83"/>
      <c r="K39733" s="82"/>
      <c r="M39733" s="112"/>
      <c r="N39733" s="84"/>
    </row>
    <row r="39734" spans="1:14" s="2" customFormat="1">
      <c r="A39734" s="83"/>
      <c r="H39734" s="83"/>
      <c r="K39734" s="82"/>
      <c r="M39734" s="112"/>
      <c r="N39734" s="84"/>
    </row>
    <row r="39735" spans="1:14" s="2" customFormat="1">
      <c r="A39735" s="83"/>
      <c r="H39735" s="83"/>
      <c r="K39735" s="82"/>
      <c r="M39735" s="112"/>
      <c r="N39735" s="84"/>
    </row>
    <row r="39736" spans="1:14" s="2" customFormat="1">
      <c r="A39736" s="83"/>
      <c r="H39736" s="83"/>
      <c r="K39736" s="82"/>
      <c r="M39736" s="112"/>
      <c r="N39736" s="84"/>
    </row>
    <row r="39737" spans="1:14" s="2" customFormat="1">
      <c r="A39737" s="83"/>
      <c r="H39737" s="83"/>
      <c r="K39737" s="82"/>
      <c r="M39737" s="112"/>
      <c r="N39737" s="84"/>
    </row>
    <row r="39738" spans="1:14" s="2" customFormat="1">
      <c r="A39738" s="83"/>
      <c r="H39738" s="83"/>
      <c r="K39738" s="82"/>
      <c r="M39738" s="112"/>
      <c r="N39738" s="84"/>
    </row>
    <row r="39739" spans="1:14" s="2" customFormat="1">
      <c r="A39739" s="83"/>
      <c r="H39739" s="83"/>
      <c r="K39739" s="82"/>
      <c r="M39739" s="112"/>
      <c r="N39739" s="84"/>
    </row>
    <row r="39740" spans="1:14" s="2" customFormat="1">
      <c r="A39740" s="83"/>
      <c r="H39740" s="83"/>
      <c r="K39740" s="82"/>
      <c r="M39740" s="112"/>
      <c r="N39740" s="84"/>
    </row>
    <row r="39741" spans="1:14" s="2" customFormat="1">
      <c r="A39741" s="83"/>
      <c r="H39741" s="83"/>
      <c r="K39741" s="82"/>
      <c r="M39741" s="112"/>
      <c r="N39741" s="84"/>
    </row>
    <row r="39742" spans="1:14" s="2" customFormat="1">
      <c r="A39742" s="83"/>
      <c r="H39742" s="83"/>
      <c r="K39742" s="82"/>
      <c r="M39742" s="112"/>
      <c r="N39742" s="84"/>
    </row>
    <row r="39743" spans="1:14" s="2" customFormat="1">
      <c r="A39743" s="83"/>
      <c r="H39743" s="83"/>
      <c r="K39743" s="82"/>
      <c r="M39743" s="112"/>
      <c r="N39743" s="84"/>
    </row>
    <row r="39744" spans="1:14" s="2" customFormat="1">
      <c r="A39744" s="83"/>
      <c r="H39744" s="83"/>
      <c r="K39744" s="82"/>
      <c r="M39744" s="112"/>
      <c r="N39744" s="84"/>
    </row>
    <row r="39745" spans="1:14" s="2" customFormat="1">
      <c r="A39745" s="83"/>
      <c r="H39745" s="83"/>
      <c r="K39745" s="82"/>
      <c r="M39745" s="112"/>
      <c r="N39745" s="84"/>
    </row>
    <row r="39746" spans="1:14" s="2" customFormat="1">
      <c r="A39746" s="83"/>
      <c r="H39746" s="83"/>
      <c r="K39746" s="82"/>
      <c r="M39746" s="112"/>
      <c r="N39746" s="84"/>
    </row>
    <row r="39747" spans="1:14" s="2" customFormat="1">
      <c r="A39747" s="83"/>
      <c r="H39747" s="83"/>
      <c r="K39747" s="82"/>
      <c r="M39747" s="112"/>
      <c r="N39747" s="84"/>
    </row>
    <row r="39748" spans="1:14" s="2" customFormat="1">
      <c r="A39748" s="83"/>
      <c r="H39748" s="83"/>
      <c r="K39748" s="82"/>
      <c r="M39748" s="112"/>
      <c r="N39748" s="84"/>
    </row>
    <row r="39749" spans="1:14" s="2" customFormat="1">
      <c r="A39749" s="83"/>
      <c r="H39749" s="83"/>
      <c r="K39749" s="82"/>
      <c r="M39749" s="112"/>
      <c r="N39749" s="84"/>
    </row>
    <row r="39750" spans="1:14" s="2" customFormat="1">
      <c r="A39750" s="83"/>
      <c r="H39750" s="83"/>
      <c r="K39750" s="82"/>
      <c r="M39750" s="112"/>
      <c r="N39750" s="84"/>
    </row>
    <row r="39751" spans="1:14" s="2" customFormat="1">
      <c r="A39751" s="83"/>
      <c r="H39751" s="83"/>
      <c r="K39751" s="82"/>
      <c r="M39751" s="112"/>
      <c r="N39751" s="84"/>
    </row>
    <row r="39752" spans="1:14" s="2" customFormat="1">
      <c r="A39752" s="83"/>
      <c r="H39752" s="83"/>
      <c r="K39752" s="82"/>
      <c r="M39752" s="112"/>
      <c r="N39752" s="84"/>
    </row>
    <row r="39753" spans="1:14" s="2" customFormat="1">
      <c r="A39753" s="83"/>
      <c r="H39753" s="83"/>
      <c r="K39753" s="82"/>
      <c r="M39753" s="112"/>
      <c r="N39753" s="84"/>
    </row>
    <row r="39754" spans="1:14" s="2" customFormat="1">
      <c r="A39754" s="83"/>
      <c r="H39754" s="83"/>
      <c r="K39754" s="82"/>
      <c r="M39754" s="112"/>
      <c r="N39754" s="84"/>
    </row>
    <row r="39755" spans="1:14" s="2" customFormat="1">
      <c r="A39755" s="83"/>
      <c r="H39755" s="83"/>
      <c r="K39755" s="82"/>
      <c r="M39755" s="112"/>
      <c r="N39755" s="84"/>
    </row>
    <row r="39756" spans="1:14" s="2" customFormat="1">
      <c r="A39756" s="83"/>
      <c r="H39756" s="83"/>
      <c r="K39756" s="82"/>
      <c r="M39756" s="112"/>
      <c r="N39756" s="84"/>
    </row>
    <row r="39757" spans="1:14" s="2" customFormat="1">
      <c r="A39757" s="83"/>
      <c r="H39757" s="83"/>
      <c r="K39757" s="82"/>
      <c r="M39757" s="112"/>
      <c r="N39757" s="84"/>
    </row>
    <row r="39758" spans="1:14" s="2" customFormat="1">
      <c r="A39758" s="83"/>
      <c r="H39758" s="83"/>
      <c r="K39758" s="82"/>
      <c r="M39758" s="112"/>
      <c r="N39758" s="84"/>
    </row>
    <row r="39759" spans="1:14" s="2" customFormat="1">
      <c r="A39759" s="83"/>
      <c r="H39759" s="83"/>
      <c r="K39759" s="82"/>
      <c r="M39759" s="112"/>
      <c r="N39759" s="84"/>
    </row>
    <row r="39760" spans="1:14" s="2" customFormat="1">
      <c r="A39760" s="83"/>
      <c r="H39760" s="83"/>
      <c r="K39760" s="82"/>
      <c r="M39760" s="112"/>
      <c r="N39760" s="84"/>
    </row>
    <row r="39761" spans="1:14" s="2" customFormat="1">
      <c r="A39761" s="83"/>
      <c r="H39761" s="83"/>
      <c r="K39761" s="82"/>
      <c r="M39761" s="112"/>
      <c r="N39761" s="84"/>
    </row>
    <row r="39762" spans="1:14" s="2" customFormat="1">
      <c r="A39762" s="83"/>
      <c r="H39762" s="83"/>
      <c r="K39762" s="82"/>
      <c r="M39762" s="112"/>
      <c r="N39762" s="84"/>
    </row>
    <row r="39763" spans="1:14" s="2" customFormat="1">
      <c r="A39763" s="83"/>
      <c r="H39763" s="83"/>
      <c r="K39763" s="82"/>
      <c r="M39763" s="112"/>
      <c r="N39763" s="84"/>
    </row>
    <row r="39764" spans="1:14" s="2" customFormat="1">
      <c r="A39764" s="83"/>
      <c r="H39764" s="83"/>
      <c r="K39764" s="82"/>
      <c r="M39764" s="112"/>
      <c r="N39764" s="84"/>
    </row>
    <row r="39765" spans="1:14" s="2" customFormat="1">
      <c r="A39765" s="83"/>
      <c r="H39765" s="83"/>
      <c r="K39765" s="82"/>
      <c r="M39765" s="112"/>
      <c r="N39765" s="84"/>
    </row>
    <row r="39766" spans="1:14" s="2" customFormat="1">
      <c r="A39766" s="83"/>
      <c r="H39766" s="83"/>
      <c r="K39766" s="82"/>
      <c r="M39766" s="112"/>
      <c r="N39766" s="84"/>
    </row>
    <row r="39767" spans="1:14" s="2" customFormat="1">
      <c r="A39767" s="83"/>
      <c r="H39767" s="83"/>
      <c r="K39767" s="82"/>
      <c r="M39767" s="112"/>
      <c r="N39767" s="84"/>
    </row>
    <row r="39768" spans="1:14" s="2" customFormat="1">
      <c r="A39768" s="83"/>
      <c r="H39768" s="83"/>
      <c r="K39768" s="82"/>
      <c r="M39768" s="112"/>
      <c r="N39768" s="84"/>
    </row>
    <row r="39769" spans="1:14" s="2" customFormat="1">
      <c r="A39769" s="83"/>
      <c r="H39769" s="83"/>
      <c r="K39769" s="82"/>
      <c r="M39769" s="112"/>
      <c r="N39769" s="84"/>
    </row>
    <row r="39770" spans="1:14" s="2" customFormat="1">
      <c r="A39770" s="83"/>
      <c r="H39770" s="83"/>
      <c r="K39770" s="82"/>
      <c r="M39770" s="112"/>
      <c r="N39770" s="84"/>
    </row>
    <row r="39771" spans="1:14" s="2" customFormat="1">
      <c r="A39771" s="83"/>
      <c r="H39771" s="83"/>
      <c r="K39771" s="82"/>
      <c r="M39771" s="112"/>
      <c r="N39771" s="84"/>
    </row>
    <row r="39772" spans="1:14" s="2" customFormat="1">
      <c r="A39772" s="83"/>
      <c r="H39772" s="83"/>
      <c r="K39772" s="82"/>
      <c r="M39772" s="112"/>
      <c r="N39772" s="84"/>
    </row>
    <row r="39773" spans="1:14" s="2" customFormat="1">
      <c r="A39773" s="83"/>
      <c r="H39773" s="83"/>
      <c r="K39773" s="82"/>
      <c r="M39773" s="112"/>
      <c r="N39773" s="84"/>
    </row>
    <row r="39774" spans="1:14" s="2" customFormat="1">
      <c r="A39774" s="83"/>
      <c r="H39774" s="83"/>
      <c r="K39774" s="82"/>
      <c r="M39774" s="112"/>
      <c r="N39774" s="84"/>
    </row>
    <row r="39775" spans="1:14" s="2" customFormat="1">
      <c r="A39775" s="83"/>
      <c r="H39775" s="83"/>
      <c r="K39775" s="82"/>
      <c r="M39775" s="112"/>
      <c r="N39775" s="84"/>
    </row>
    <row r="39776" spans="1:14" s="2" customFormat="1">
      <c r="A39776" s="83"/>
      <c r="H39776" s="83"/>
      <c r="K39776" s="82"/>
      <c r="M39776" s="112"/>
      <c r="N39776" s="84"/>
    </row>
    <row r="39777" spans="1:14" s="2" customFormat="1">
      <c r="A39777" s="83"/>
      <c r="H39777" s="83"/>
      <c r="K39777" s="82"/>
      <c r="M39777" s="112"/>
      <c r="N39777" s="84"/>
    </row>
    <row r="39778" spans="1:14" s="2" customFormat="1">
      <c r="A39778" s="83"/>
      <c r="H39778" s="83"/>
      <c r="K39778" s="82"/>
      <c r="M39778" s="112"/>
      <c r="N39778" s="84"/>
    </row>
    <row r="39779" spans="1:14" s="2" customFormat="1">
      <c r="A39779" s="83"/>
      <c r="H39779" s="83"/>
      <c r="K39779" s="82"/>
      <c r="M39779" s="112"/>
      <c r="N39779" s="84"/>
    </row>
    <row r="39780" spans="1:14" s="2" customFormat="1">
      <c r="A39780" s="83"/>
      <c r="H39780" s="83"/>
      <c r="K39780" s="82"/>
      <c r="M39780" s="112"/>
      <c r="N39780" s="84"/>
    </row>
    <row r="39781" spans="1:14" s="2" customFormat="1">
      <c r="A39781" s="83"/>
      <c r="H39781" s="83"/>
      <c r="K39781" s="82"/>
      <c r="M39781" s="112"/>
      <c r="N39781" s="84"/>
    </row>
    <row r="39782" spans="1:14" s="2" customFormat="1">
      <c r="A39782" s="83"/>
      <c r="H39782" s="83"/>
      <c r="K39782" s="82"/>
      <c r="M39782" s="112"/>
      <c r="N39782" s="84"/>
    </row>
    <row r="39783" spans="1:14" s="2" customFormat="1">
      <c r="A39783" s="83"/>
      <c r="H39783" s="83"/>
      <c r="K39783" s="82"/>
      <c r="M39783" s="112"/>
      <c r="N39783" s="84"/>
    </row>
    <row r="39784" spans="1:14" s="2" customFormat="1">
      <c r="A39784" s="83"/>
      <c r="H39784" s="83"/>
      <c r="K39784" s="82"/>
      <c r="M39784" s="112"/>
      <c r="N39784" s="84"/>
    </row>
    <row r="39785" spans="1:14" s="2" customFormat="1">
      <c r="A39785" s="83"/>
      <c r="H39785" s="83"/>
      <c r="K39785" s="82"/>
      <c r="M39785" s="112"/>
      <c r="N39785" s="84"/>
    </row>
    <row r="39786" spans="1:14" s="2" customFormat="1">
      <c r="A39786" s="83"/>
      <c r="H39786" s="83"/>
      <c r="K39786" s="82"/>
      <c r="M39786" s="112"/>
      <c r="N39786" s="84"/>
    </row>
    <row r="39787" spans="1:14" s="2" customFormat="1">
      <c r="A39787" s="83"/>
      <c r="H39787" s="83"/>
      <c r="K39787" s="82"/>
      <c r="M39787" s="112"/>
      <c r="N39787" s="84"/>
    </row>
    <row r="39788" spans="1:14" s="2" customFormat="1">
      <c r="A39788" s="83"/>
      <c r="H39788" s="83"/>
      <c r="K39788" s="82"/>
      <c r="M39788" s="112"/>
      <c r="N39788" s="84"/>
    </row>
    <row r="39789" spans="1:14" s="2" customFormat="1">
      <c r="A39789" s="83"/>
      <c r="H39789" s="83"/>
      <c r="K39789" s="82"/>
      <c r="M39789" s="112"/>
      <c r="N39789" s="84"/>
    </row>
    <row r="39790" spans="1:14" s="2" customFormat="1">
      <c r="A39790" s="83"/>
      <c r="H39790" s="83"/>
      <c r="K39790" s="82"/>
      <c r="M39790" s="112"/>
      <c r="N39790" s="84"/>
    </row>
    <row r="39791" spans="1:14" s="2" customFormat="1">
      <c r="A39791" s="83"/>
      <c r="H39791" s="83"/>
      <c r="K39791" s="82"/>
      <c r="M39791" s="112"/>
      <c r="N39791" s="84"/>
    </row>
    <row r="39792" spans="1:14" s="2" customFormat="1">
      <c r="A39792" s="83"/>
      <c r="H39792" s="83"/>
      <c r="K39792" s="82"/>
      <c r="M39792" s="112"/>
      <c r="N39792" s="84"/>
    </row>
    <row r="39793" spans="1:14" s="2" customFormat="1">
      <c r="A39793" s="83"/>
      <c r="H39793" s="83"/>
      <c r="K39793" s="82"/>
      <c r="M39793" s="112"/>
      <c r="N39793" s="84"/>
    </row>
    <row r="39794" spans="1:14" s="2" customFormat="1">
      <c r="A39794" s="83"/>
      <c r="H39794" s="83"/>
      <c r="K39794" s="82"/>
      <c r="M39794" s="112"/>
      <c r="N39794" s="84"/>
    </row>
    <row r="39795" spans="1:14" s="2" customFormat="1">
      <c r="A39795" s="83"/>
      <c r="H39795" s="83"/>
      <c r="K39795" s="82"/>
      <c r="M39795" s="112"/>
      <c r="N39795" s="84"/>
    </row>
    <row r="39796" spans="1:14" s="2" customFormat="1">
      <c r="A39796" s="83"/>
      <c r="H39796" s="83"/>
      <c r="K39796" s="82"/>
      <c r="M39796" s="112"/>
      <c r="N39796" s="84"/>
    </row>
    <row r="39797" spans="1:14" s="2" customFormat="1">
      <c r="A39797" s="83"/>
      <c r="H39797" s="83"/>
      <c r="K39797" s="82"/>
      <c r="M39797" s="112"/>
      <c r="N39797" s="84"/>
    </row>
    <row r="39798" spans="1:14" s="2" customFormat="1">
      <c r="A39798" s="83"/>
      <c r="H39798" s="83"/>
      <c r="K39798" s="82"/>
      <c r="M39798" s="112"/>
      <c r="N39798" s="84"/>
    </row>
    <row r="39799" spans="1:14" s="2" customFormat="1">
      <c r="A39799" s="83"/>
      <c r="H39799" s="83"/>
      <c r="K39799" s="82"/>
      <c r="M39799" s="112"/>
      <c r="N39799" s="84"/>
    </row>
    <row r="39800" spans="1:14" s="2" customFormat="1">
      <c r="A39800" s="83"/>
      <c r="H39800" s="83"/>
      <c r="K39800" s="82"/>
      <c r="M39800" s="112"/>
      <c r="N39800" s="84"/>
    </row>
    <row r="39801" spans="1:14" s="2" customFormat="1">
      <c r="A39801" s="83"/>
      <c r="H39801" s="83"/>
      <c r="K39801" s="82"/>
      <c r="M39801" s="112"/>
      <c r="N39801" s="84"/>
    </row>
    <row r="39802" spans="1:14" s="2" customFormat="1">
      <c r="A39802" s="83"/>
      <c r="H39802" s="83"/>
      <c r="K39802" s="82"/>
      <c r="M39802" s="112"/>
      <c r="N39802" s="84"/>
    </row>
    <row r="39803" spans="1:14" s="2" customFormat="1">
      <c r="A39803" s="83"/>
      <c r="H39803" s="83"/>
      <c r="K39803" s="82"/>
      <c r="M39803" s="112"/>
      <c r="N39803" s="84"/>
    </row>
    <row r="39804" spans="1:14" s="2" customFormat="1">
      <c r="A39804" s="83"/>
      <c r="H39804" s="83"/>
      <c r="K39804" s="82"/>
      <c r="M39804" s="112"/>
      <c r="N39804" s="84"/>
    </row>
    <row r="39805" spans="1:14" s="2" customFormat="1">
      <c r="A39805" s="83"/>
      <c r="H39805" s="83"/>
      <c r="K39805" s="82"/>
      <c r="M39805" s="112"/>
      <c r="N39805" s="84"/>
    </row>
    <row r="39806" spans="1:14" s="2" customFormat="1">
      <c r="A39806" s="83"/>
      <c r="H39806" s="83"/>
      <c r="K39806" s="82"/>
      <c r="M39806" s="112"/>
      <c r="N39806" s="84"/>
    </row>
    <row r="39807" spans="1:14" s="2" customFormat="1">
      <c r="A39807" s="83"/>
      <c r="H39807" s="83"/>
      <c r="K39807" s="82"/>
      <c r="M39807" s="112"/>
      <c r="N39807" s="84"/>
    </row>
    <row r="39808" spans="1:14" s="2" customFormat="1">
      <c r="A39808" s="83"/>
      <c r="H39808" s="83"/>
      <c r="K39808" s="82"/>
      <c r="M39808" s="112"/>
      <c r="N39808" s="84"/>
    </row>
    <row r="39809" spans="1:14" s="2" customFormat="1">
      <c r="A39809" s="83"/>
      <c r="H39809" s="83"/>
      <c r="K39809" s="82"/>
      <c r="M39809" s="112"/>
      <c r="N39809" s="84"/>
    </row>
    <row r="39810" spans="1:14" s="2" customFormat="1">
      <c r="A39810" s="83"/>
      <c r="H39810" s="83"/>
      <c r="K39810" s="82"/>
      <c r="M39810" s="112"/>
      <c r="N39810" s="84"/>
    </row>
    <row r="39811" spans="1:14" s="2" customFormat="1">
      <c r="A39811" s="83"/>
      <c r="H39811" s="83"/>
      <c r="K39811" s="82"/>
      <c r="M39811" s="112"/>
      <c r="N39811" s="84"/>
    </row>
    <row r="39812" spans="1:14" s="2" customFormat="1">
      <c r="A39812" s="83"/>
      <c r="H39812" s="83"/>
      <c r="K39812" s="82"/>
      <c r="M39812" s="112"/>
      <c r="N39812" s="84"/>
    </row>
    <row r="39813" spans="1:14" s="2" customFormat="1">
      <c r="A39813" s="83"/>
      <c r="H39813" s="83"/>
      <c r="K39813" s="82"/>
      <c r="M39813" s="112"/>
      <c r="N39813" s="84"/>
    </row>
    <row r="39814" spans="1:14" s="2" customFormat="1">
      <c r="A39814" s="83"/>
      <c r="H39814" s="83"/>
      <c r="K39814" s="82"/>
      <c r="M39814" s="112"/>
      <c r="N39814" s="84"/>
    </row>
    <row r="39815" spans="1:14" s="2" customFormat="1">
      <c r="A39815" s="83"/>
      <c r="H39815" s="83"/>
      <c r="K39815" s="82"/>
      <c r="M39815" s="112"/>
      <c r="N39815" s="84"/>
    </row>
    <row r="39816" spans="1:14" s="2" customFormat="1">
      <c r="A39816" s="83"/>
      <c r="H39816" s="83"/>
      <c r="K39816" s="82"/>
      <c r="M39816" s="112"/>
      <c r="N39816" s="84"/>
    </row>
    <row r="39817" spans="1:14" s="2" customFormat="1">
      <c r="A39817" s="83"/>
      <c r="H39817" s="83"/>
      <c r="K39817" s="82"/>
      <c r="M39817" s="112"/>
      <c r="N39817" s="84"/>
    </row>
    <row r="39818" spans="1:14" s="2" customFormat="1">
      <c r="A39818" s="83"/>
      <c r="H39818" s="83"/>
      <c r="K39818" s="82"/>
      <c r="M39818" s="112"/>
      <c r="N39818" s="84"/>
    </row>
    <row r="39819" spans="1:14" s="2" customFormat="1">
      <c r="A39819" s="83"/>
      <c r="H39819" s="83"/>
      <c r="K39819" s="82"/>
      <c r="M39819" s="112"/>
      <c r="N39819" s="84"/>
    </row>
    <row r="39820" spans="1:14" s="2" customFormat="1">
      <c r="A39820" s="83"/>
      <c r="H39820" s="83"/>
      <c r="K39820" s="82"/>
      <c r="M39820" s="112"/>
      <c r="N39820" s="84"/>
    </row>
    <row r="39821" spans="1:14" s="2" customFormat="1">
      <c r="A39821" s="83"/>
      <c r="H39821" s="83"/>
      <c r="K39821" s="82"/>
      <c r="M39821" s="112"/>
      <c r="N39821" s="84"/>
    </row>
    <row r="39822" spans="1:14" s="2" customFormat="1">
      <c r="A39822" s="83"/>
      <c r="H39822" s="83"/>
      <c r="K39822" s="82"/>
      <c r="M39822" s="112"/>
      <c r="N39822" s="84"/>
    </row>
    <row r="39823" spans="1:14" s="2" customFormat="1">
      <c r="A39823" s="83"/>
      <c r="H39823" s="83"/>
      <c r="K39823" s="82"/>
      <c r="M39823" s="112"/>
      <c r="N39823" s="84"/>
    </row>
    <row r="39824" spans="1:14" s="2" customFormat="1">
      <c r="A39824" s="83"/>
      <c r="H39824" s="83"/>
      <c r="K39824" s="82"/>
      <c r="M39824" s="112"/>
      <c r="N39824" s="84"/>
    </row>
    <row r="39825" spans="1:14" s="2" customFormat="1">
      <c r="A39825" s="83"/>
      <c r="H39825" s="83"/>
      <c r="K39825" s="82"/>
      <c r="M39825" s="112"/>
      <c r="N39825" s="84"/>
    </row>
    <row r="39826" spans="1:14" s="2" customFormat="1">
      <c r="A39826" s="83"/>
      <c r="H39826" s="83"/>
      <c r="K39826" s="82"/>
      <c r="M39826" s="112"/>
      <c r="N39826" s="84"/>
    </row>
    <row r="39827" spans="1:14" s="2" customFormat="1">
      <c r="A39827" s="83"/>
      <c r="H39827" s="83"/>
      <c r="K39827" s="82"/>
      <c r="M39827" s="112"/>
      <c r="N39827" s="84"/>
    </row>
    <row r="39828" spans="1:14" s="2" customFormat="1">
      <c r="A39828" s="83"/>
      <c r="H39828" s="83"/>
      <c r="K39828" s="82"/>
      <c r="M39828" s="112"/>
      <c r="N39828" s="84"/>
    </row>
    <row r="39829" spans="1:14" s="2" customFormat="1">
      <c r="A39829" s="83"/>
      <c r="H39829" s="83"/>
      <c r="K39829" s="82"/>
      <c r="M39829" s="112"/>
      <c r="N39829" s="84"/>
    </row>
    <row r="39830" spans="1:14" s="2" customFormat="1">
      <c r="A39830" s="83"/>
      <c r="H39830" s="83"/>
      <c r="K39830" s="82"/>
      <c r="M39830" s="112"/>
      <c r="N39830" s="84"/>
    </row>
    <row r="39831" spans="1:14" s="2" customFormat="1">
      <c r="A39831" s="83"/>
      <c r="H39831" s="83"/>
      <c r="K39831" s="82"/>
      <c r="M39831" s="112"/>
      <c r="N39831" s="84"/>
    </row>
    <row r="39832" spans="1:14" s="2" customFormat="1">
      <c r="A39832" s="83"/>
      <c r="H39832" s="83"/>
      <c r="K39832" s="82"/>
      <c r="M39832" s="112"/>
      <c r="N39832" s="84"/>
    </row>
    <row r="39833" spans="1:14" s="2" customFormat="1">
      <c r="A39833" s="83"/>
      <c r="H39833" s="83"/>
      <c r="K39833" s="82"/>
      <c r="M39833" s="112"/>
      <c r="N39833" s="84"/>
    </row>
    <row r="39834" spans="1:14" s="2" customFormat="1">
      <c r="A39834" s="83"/>
      <c r="H39834" s="83"/>
      <c r="K39834" s="82"/>
      <c r="M39834" s="112"/>
      <c r="N39834" s="84"/>
    </row>
    <row r="39835" spans="1:14" s="2" customFormat="1">
      <c r="A39835" s="83"/>
      <c r="H39835" s="83"/>
      <c r="K39835" s="82"/>
      <c r="M39835" s="112"/>
      <c r="N39835" s="84"/>
    </row>
    <row r="39836" spans="1:14" s="2" customFormat="1">
      <c r="A39836" s="83"/>
      <c r="H39836" s="83"/>
      <c r="K39836" s="82"/>
      <c r="M39836" s="112"/>
      <c r="N39836" s="84"/>
    </row>
    <row r="39837" spans="1:14" s="2" customFormat="1">
      <c r="A39837" s="83"/>
      <c r="H39837" s="83"/>
      <c r="K39837" s="82"/>
      <c r="M39837" s="112"/>
      <c r="N39837" s="84"/>
    </row>
    <row r="39838" spans="1:14" s="2" customFormat="1">
      <c r="A39838" s="83"/>
      <c r="H39838" s="83"/>
      <c r="K39838" s="82"/>
      <c r="M39838" s="112"/>
      <c r="N39838" s="84"/>
    </row>
    <row r="39839" spans="1:14" s="2" customFormat="1">
      <c r="A39839" s="83"/>
      <c r="H39839" s="83"/>
      <c r="K39839" s="82"/>
      <c r="M39839" s="112"/>
      <c r="N39839" s="84"/>
    </row>
    <row r="39840" spans="1:14" s="2" customFormat="1">
      <c r="A39840" s="83"/>
      <c r="H39840" s="83"/>
      <c r="K39840" s="82"/>
      <c r="M39840" s="112"/>
      <c r="N39840" s="84"/>
    </row>
    <row r="39841" spans="1:14" s="2" customFormat="1">
      <c r="A39841" s="83"/>
      <c r="H39841" s="83"/>
      <c r="K39841" s="82"/>
      <c r="M39841" s="112"/>
      <c r="N39841" s="84"/>
    </row>
    <row r="39842" spans="1:14" s="2" customFormat="1">
      <c r="A39842" s="83"/>
      <c r="H39842" s="83"/>
      <c r="K39842" s="82"/>
      <c r="M39842" s="112"/>
      <c r="N39842" s="84"/>
    </row>
    <row r="39843" spans="1:14" s="2" customFormat="1">
      <c r="A39843" s="83"/>
      <c r="H39843" s="83"/>
      <c r="K39843" s="82"/>
      <c r="M39843" s="112"/>
      <c r="N39843" s="84"/>
    </row>
    <row r="39844" spans="1:14" s="2" customFormat="1">
      <c r="A39844" s="83"/>
      <c r="H39844" s="83"/>
      <c r="K39844" s="82"/>
      <c r="M39844" s="112"/>
      <c r="N39844" s="84"/>
    </row>
    <row r="39845" spans="1:14" s="2" customFormat="1">
      <c r="A39845" s="83"/>
      <c r="H39845" s="83"/>
      <c r="K39845" s="82"/>
      <c r="M39845" s="112"/>
      <c r="N39845" s="84"/>
    </row>
    <row r="39846" spans="1:14" s="2" customFormat="1">
      <c r="A39846" s="83"/>
      <c r="H39846" s="83"/>
      <c r="K39846" s="82"/>
      <c r="M39846" s="112"/>
      <c r="N39846" s="84"/>
    </row>
    <row r="39847" spans="1:14" s="2" customFormat="1">
      <c r="A39847" s="83"/>
      <c r="H39847" s="83"/>
      <c r="K39847" s="82"/>
      <c r="M39847" s="112"/>
      <c r="N39847" s="84"/>
    </row>
    <row r="39848" spans="1:14" s="2" customFormat="1">
      <c r="A39848" s="83"/>
      <c r="H39848" s="83"/>
      <c r="K39848" s="82"/>
      <c r="M39848" s="112"/>
      <c r="N39848" s="84"/>
    </row>
    <row r="39849" spans="1:14" s="2" customFormat="1">
      <c r="A39849" s="83"/>
      <c r="H39849" s="83"/>
      <c r="K39849" s="82"/>
      <c r="M39849" s="112"/>
      <c r="N39849" s="84"/>
    </row>
    <row r="39850" spans="1:14" s="2" customFormat="1">
      <c r="A39850" s="83"/>
      <c r="H39850" s="83"/>
      <c r="K39850" s="82"/>
      <c r="M39850" s="112"/>
      <c r="N39850" s="84"/>
    </row>
    <row r="39851" spans="1:14" s="2" customFormat="1">
      <c r="A39851" s="83"/>
      <c r="H39851" s="83"/>
      <c r="K39851" s="82"/>
      <c r="M39851" s="112"/>
      <c r="N39851" s="84"/>
    </row>
    <row r="39852" spans="1:14" s="2" customFormat="1">
      <c r="A39852" s="83"/>
      <c r="H39852" s="83"/>
      <c r="K39852" s="82"/>
      <c r="M39852" s="112"/>
      <c r="N39852" s="84"/>
    </row>
    <row r="39853" spans="1:14" s="2" customFormat="1">
      <c r="A39853" s="83"/>
      <c r="H39853" s="83"/>
      <c r="K39853" s="82"/>
      <c r="M39853" s="112"/>
      <c r="N39853" s="84"/>
    </row>
    <row r="39854" spans="1:14" s="2" customFormat="1">
      <c r="A39854" s="83"/>
      <c r="H39854" s="83"/>
      <c r="K39854" s="82"/>
      <c r="M39854" s="112"/>
      <c r="N39854" s="84"/>
    </row>
    <row r="39855" spans="1:14" s="2" customFormat="1">
      <c r="A39855" s="83"/>
      <c r="H39855" s="83"/>
      <c r="K39855" s="82"/>
      <c r="M39855" s="112"/>
      <c r="N39855" s="84"/>
    </row>
    <row r="39856" spans="1:14" s="2" customFormat="1">
      <c r="A39856" s="83"/>
      <c r="H39856" s="83"/>
      <c r="K39856" s="82"/>
      <c r="M39856" s="112"/>
      <c r="N39856" s="84"/>
    </row>
    <row r="39857" spans="1:14" s="2" customFormat="1">
      <c r="A39857" s="83"/>
      <c r="H39857" s="83"/>
      <c r="K39857" s="82"/>
      <c r="M39857" s="112"/>
      <c r="N39857" s="84"/>
    </row>
    <row r="39858" spans="1:14" s="2" customFormat="1">
      <c r="A39858" s="83"/>
      <c r="H39858" s="83"/>
      <c r="K39858" s="82"/>
      <c r="M39858" s="112"/>
      <c r="N39858" s="84"/>
    </row>
    <row r="39859" spans="1:14" s="2" customFormat="1">
      <c r="A39859" s="83"/>
      <c r="H39859" s="83"/>
      <c r="K39859" s="82"/>
      <c r="M39859" s="112"/>
      <c r="N39859" s="84"/>
    </row>
    <row r="39860" spans="1:14" s="2" customFormat="1">
      <c r="A39860" s="83"/>
      <c r="H39860" s="83"/>
      <c r="K39860" s="82"/>
      <c r="M39860" s="112"/>
      <c r="N39860" s="84"/>
    </row>
    <row r="39861" spans="1:14" s="2" customFormat="1">
      <c r="A39861" s="83"/>
      <c r="H39861" s="83"/>
      <c r="K39861" s="82"/>
      <c r="M39861" s="112"/>
      <c r="N39861" s="84"/>
    </row>
    <row r="39862" spans="1:14" s="2" customFormat="1">
      <c r="A39862" s="83"/>
      <c r="H39862" s="83"/>
      <c r="K39862" s="82"/>
      <c r="M39862" s="112"/>
      <c r="N39862" s="84"/>
    </row>
    <row r="39863" spans="1:14" s="2" customFormat="1">
      <c r="A39863" s="83"/>
      <c r="H39863" s="83"/>
      <c r="K39863" s="82"/>
      <c r="M39863" s="112"/>
      <c r="N39863" s="84"/>
    </row>
    <row r="39864" spans="1:14" s="2" customFormat="1">
      <c r="A39864" s="83"/>
      <c r="H39864" s="83"/>
      <c r="K39864" s="82"/>
      <c r="M39864" s="112"/>
      <c r="N39864" s="84"/>
    </row>
    <row r="39865" spans="1:14" s="2" customFormat="1">
      <c r="A39865" s="83"/>
      <c r="H39865" s="83"/>
      <c r="K39865" s="82"/>
      <c r="M39865" s="112"/>
      <c r="N39865" s="84"/>
    </row>
    <row r="39866" spans="1:14" s="2" customFormat="1">
      <c r="A39866" s="83"/>
      <c r="H39866" s="83"/>
      <c r="K39866" s="82"/>
      <c r="M39866" s="112"/>
      <c r="N39866" s="84"/>
    </row>
    <row r="39867" spans="1:14" s="2" customFormat="1">
      <c r="A39867" s="83"/>
      <c r="H39867" s="83"/>
      <c r="K39867" s="82"/>
      <c r="M39867" s="112"/>
      <c r="N39867" s="84"/>
    </row>
    <row r="39868" spans="1:14" s="2" customFormat="1">
      <c r="A39868" s="83"/>
      <c r="H39868" s="83"/>
      <c r="K39868" s="82"/>
      <c r="M39868" s="112"/>
      <c r="N39868" s="84"/>
    </row>
    <row r="39869" spans="1:14" s="2" customFormat="1">
      <c r="A39869" s="83"/>
      <c r="H39869" s="83"/>
      <c r="K39869" s="82"/>
      <c r="M39869" s="112"/>
      <c r="N39869" s="84"/>
    </row>
    <row r="39870" spans="1:14" s="2" customFormat="1">
      <c r="A39870" s="83"/>
      <c r="H39870" s="83"/>
      <c r="K39870" s="82"/>
      <c r="M39870" s="112"/>
      <c r="N39870" s="84"/>
    </row>
    <row r="39871" spans="1:14" s="2" customFormat="1">
      <c r="A39871" s="83"/>
      <c r="H39871" s="83"/>
      <c r="K39871" s="82"/>
      <c r="M39871" s="112"/>
      <c r="N39871" s="84"/>
    </row>
    <row r="39872" spans="1:14" s="2" customFormat="1">
      <c r="A39872" s="83"/>
      <c r="H39872" s="83"/>
      <c r="K39872" s="82"/>
      <c r="M39872" s="112"/>
      <c r="N39872" s="84"/>
    </row>
    <row r="39873" spans="1:14" s="2" customFormat="1">
      <c r="A39873" s="83"/>
      <c r="H39873" s="83"/>
      <c r="K39873" s="82"/>
      <c r="M39873" s="112"/>
      <c r="N39873" s="84"/>
    </row>
    <row r="39874" spans="1:14" s="2" customFormat="1">
      <c r="A39874" s="83"/>
      <c r="H39874" s="83"/>
      <c r="K39874" s="82"/>
      <c r="M39874" s="112"/>
      <c r="N39874" s="84"/>
    </row>
    <row r="39875" spans="1:14" s="2" customFormat="1">
      <c r="A39875" s="83"/>
      <c r="H39875" s="83"/>
      <c r="K39875" s="82"/>
      <c r="M39875" s="112"/>
      <c r="N39875" s="84"/>
    </row>
    <row r="39876" spans="1:14" s="2" customFormat="1">
      <c r="A39876" s="83"/>
      <c r="H39876" s="83"/>
      <c r="K39876" s="82"/>
      <c r="M39876" s="112"/>
      <c r="N39876" s="84"/>
    </row>
    <row r="39877" spans="1:14" s="2" customFormat="1">
      <c r="A39877" s="83"/>
      <c r="H39877" s="83"/>
      <c r="K39877" s="82"/>
      <c r="M39877" s="112"/>
      <c r="N39877" s="84"/>
    </row>
    <row r="39878" spans="1:14" s="2" customFormat="1">
      <c r="A39878" s="83"/>
      <c r="H39878" s="83"/>
      <c r="K39878" s="82"/>
      <c r="M39878" s="112"/>
      <c r="N39878" s="84"/>
    </row>
    <row r="39879" spans="1:14" s="2" customFormat="1">
      <c r="A39879" s="83"/>
      <c r="H39879" s="83"/>
      <c r="K39879" s="82"/>
      <c r="M39879" s="112"/>
      <c r="N39879" s="84"/>
    </row>
    <row r="39880" spans="1:14" s="2" customFormat="1">
      <c r="A39880" s="83"/>
      <c r="H39880" s="83"/>
      <c r="K39880" s="82"/>
      <c r="M39880" s="112"/>
      <c r="N39880" s="84"/>
    </row>
    <row r="39881" spans="1:14" s="2" customFormat="1">
      <c r="A39881" s="83"/>
      <c r="H39881" s="83"/>
      <c r="K39881" s="82"/>
      <c r="M39881" s="112"/>
      <c r="N39881" s="84"/>
    </row>
    <row r="39882" spans="1:14" s="2" customFormat="1">
      <c r="A39882" s="83"/>
      <c r="H39882" s="83"/>
      <c r="K39882" s="82"/>
      <c r="M39882" s="112"/>
      <c r="N39882" s="84"/>
    </row>
    <row r="39883" spans="1:14" s="2" customFormat="1">
      <c r="A39883" s="83"/>
      <c r="H39883" s="83"/>
      <c r="K39883" s="82"/>
      <c r="M39883" s="112"/>
      <c r="N39883" s="84"/>
    </row>
    <row r="39884" spans="1:14" s="2" customFormat="1">
      <c r="A39884" s="83"/>
      <c r="H39884" s="83"/>
      <c r="K39884" s="82"/>
      <c r="M39884" s="112"/>
      <c r="N39884" s="84"/>
    </row>
    <row r="39885" spans="1:14" s="2" customFormat="1">
      <c r="A39885" s="83"/>
      <c r="H39885" s="83"/>
      <c r="K39885" s="82"/>
      <c r="M39885" s="112"/>
      <c r="N39885" s="84"/>
    </row>
    <row r="39886" spans="1:14" s="2" customFormat="1">
      <c r="A39886" s="83"/>
      <c r="H39886" s="83"/>
      <c r="K39886" s="82"/>
      <c r="M39886" s="112"/>
      <c r="N39886" s="84"/>
    </row>
    <row r="39887" spans="1:14" s="2" customFormat="1">
      <c r="A39887" s="83"/>
      <c r="H39887" s="83"/>
      <c r="K39887" s="82"/>
      <c r="M39887" s="112"/>
      <c r="N39887" s="84"/>
    </row>
    <row r="39888" spans="1:14" s="2" customFormat="1">
      <c r="A39888" s="83"/>
      <c r="H39888" s="83"/>
      <c r="K39888" s="82"/>
      <c r="M39888" s="112"/>
      <c r="N39888" s="84"/>
    </row>
    <row r="39889" spans="1:14" s="2" customFormat="1">
      <c r="A39889" s="83"/>
      <c r="H39889" s="83"/>
      <c r="K39889" s="82"/>
      <c r="M39889" s="112"/>
      <c r="N39889" s="84"/>
    </row>
    <row r="39890" spans="1:14" s="2" customFormat="1">
      <c r="A39890" s="83"/>
      <c r="H39890" s="83"/>
      <c r="K39890" s="82"/>
      <c r="M39890" s="112"/>
      <c r="N39890" s="84"/>
    </row>
    <row r="39891" spans="1:14" s="2" customFormat="1">
      <c r="A39891" s="83"/>
      <c r="H39891" s="83"/>
      <c r="K39891" s="82"/>
      <c r="M39891" s="112"/>
      <c r="N39891" s="84"/>
    </row>
    <row r="39892" spans="1:14" s="2" customFormat="1">
      <c r="A39892" s="83"/>
      <c r="H39892" s="83"/>
      <c r="K39892" s="82"/>
      <c r="M39892" s="112"/>
      <c r="N39892" s="84"/>
    </row>
    <row r="39893" spans="1:14" s="2" customFormat="1">
      <c r="A39893" s="83"/>
      <c r="H39893" s="83"/>
      <c r="K39893" s="82"/>
      <c r="M39893" s="112"/>
      <c r="N39893" s="84"/>
    </row>
    <row r="39894" spans="1:14" s="2" customFormat="1">
      <c r="A39894" s="83"/>
      <c r="H39894" s="83"/>
      <c r="K39894" s="82"/>
      <c r="M39894" s="112"/>
      <c r="N39894" s="84"/>
    </row>
    <row r="39895" spans="1:14" s="2" customFormat="1">
      <c r="A39895" s="83"/>
      <c r="H39895" s="83"/>
      <c r="K39895" s="82"/>
      <c r="M39895" s="112"/>
      <c r="N39895" s="84"/>
    </row>
    <row r="39896" spans="1:14" s="2" customFormat="1">
      <c r="A39896" s="83"/>
      <c r="H39896" s="83"/>
      <c r="K39896" s="82"/>
      <c r="M39896" s="112"/>
      <c r="N39896" s="84"/>
    </row>
    <row r="39897" spans="1:14" s="2" customFormat="1">
      <c r="A39897" s="83"/>
      <c r="H39897" s="83"/>
      <c r="K39897" s="82"/>
      <c r="M39897" s="112"/>
      <c r="N39897" s="84"/>
    </row>
    <row r="39898" spans="1:14" s="2" customFormat="1">
      <c r="A39898" s="83"/>
      <c r="H39898" s="83"/>
      <c r="K39898" s="82"/>
      <c r="M39898" s="112"/>
      <c r="N39898" s="84"/>
    </row>
    <row r="39899" spans="1:14" s="2" customFormat="1">
      <c r="A39899" s="83"/>
      <c r="H39899" s="83"/>
      <c r="K39899" s="82"/>
      <c r="M39899" s="112"/>
      <c r="N39899" s="84"/>
    </row>
    <row r="39900" spans="1:14" s="2" customFormat="1">
      <c r="A39900" s="83"/>
      <c r="H39900" s="83"/>
      <c r="K39900" s="82"/>
      <c r="M39900" s="112"/>
      <c r="N39900" s="84"/>
    </row>
    <row r="39901" spans="1:14" s="2" customFormat="1">
      <c r="A39901" s="83"/>
      <c r="H39901" s="83"/>
      <c r="K39901" s="82"/>
      <c r="M39901" s="112"/>
      <c r="N39901" s="84"/>
    </row>
    <row r="39902" spans="1:14" s="2" customFormat="1">
      <c r="A39902" s="83"/>
      <c r="H39902" s="83"/>
      <c r="K39902" s="82"/>
      <c r="M39902" s="112"/>
      <c r="N39902" s="84"/>
    </row>
    <row r="39903" spans="1:14" s="2" customFormat="1">
      <c r="A39903" s="83"/>
      <c r="H39903" s="83"/>
      <c r="K39903" s="82"/>
      <c r="M39903" s="112"/>
      <c r="N39903" s="84"/>
    </row>
    <row r="39904" spans="1:14" s="2" customFormat="1">
      <c r="A39904" s="83"/>
      <c r="H39904" s="83"/>
      <c r="K39904" s="82"/>
      <c r="M39904" s="112"/>
      <c r="N39904" s="84"/>
    </row>
    <row r="39905" spans="1:14" s="2" customFormat="1">
      <c r="A39905" s="83"/>
      <c r="H39905" s="83"/>
      <c r="K39905" s="82"/>
      <c r="M39905" s="112"/>
      <c r="N39905" s="84"/>
    </row>
    <row r="39906" spans="1:14" s="2" customFormat="1">
      <c r="A39906" s="83"/>
      <c r="H39906" s="83"/>
      <c r="K39906" s="82"/>
      <c r="M39906" s="112"/>
      <c r="N39906" s="84"/>
    </row>
    <row r="39907" spans="1:14" s="2" customFormat="1">
      <c r="A39907" s="83"/>
      <c r="H39907" s="83"/>
      <c r="K39907" s="82"/>
      <c r="M39907" s="112"/>
      <c r="N39907" s="84"/>
    </row>
    <row r="39908" spans="1:14" s="2" customFormat="1">
      <c r="A39908" s="83"/>
      <c r="H39908" s="83"/>
      <c r="K39908" s="82"/>
      <c r="M39908" s="112"/>
      <c r="N39908" s="84"/>
    </row>
    <row r="39909" spans="1:14" s="2" customFormat="1">
      <c r="A39909" s="83"/>
      <c r="H39909" s="83"/>
      <c r="K39909" s="82"/>
      <c r="M39909" s="112"/>
      <c r="N39909" s="84"/>
    </row>
    <row r="39910" spans="1:14" s="2" customFormat="1">
      <c r="A39910" s="83"/>
      <c r="H39910" s="83"/>
      <c r="K39910" s="82"/>
      <c r="M39910" s="112"/>
      <c r="N39910" s="84"/>
    </row>
    <row r="39911" spans="1:14" s="2" customFormat="1">
      <c r="A39911" s="83"/>
      <c r="H39911" s="83"/>
      <c r="K39911" s="82"/>
      <c r="M39911" s="112"/>
      <c r="N39911" s="84"/>
    </row>
    <row r="39912" spans="1:14" s="2" customFormat="1">
      <c r="A39912" s="83"/>
      <c r="H39912" s="83"/>
      <c r="K39912" s="82"/>
      <c r="M39912" s="112"/>
      <c r="N39912" s="84"/>
    </row>
    <row r="39913" spans="1:14" s="2" customFormat="1">
      <c r="A39913" s="83"/>
      <c r="H39913" s="83"/>
      <c r="K39913" s="82"/>
      <c r="M39913" s="112"/>
      <c r="N39913" s="84"/>
    </row>
    <row r="39914" spans="1:14" s="2" customFormat="1">
      <c r="A39914" s="83"/>
      <c r="H39914" s="83"/>
      <c r="K39914" s="82"/>
      <c r="M39914" s="112"/>
      <c r="N39914" s="84"/>
    </row>
    <row r="39915" spans="1:14" s="2" customFormat="1">
      <c r="A39915" s="83"/>
      <c r="H39915" s="83"/>
      <c r="K39915" s="82"/>
      <c r="M39915" s="112"/>
      <c r="N39915" s="84"/>
    </row>
    <row r="39916" spans="1:14" s="2" customFormat="1">
      <c r="A39916" s="83"/>
      <c r="H39916" s="83"/>
      <c r="K39916" s="82"/>
      <c r="M39916" s="112"/>
      <c r="N39916" s="84"/>
    </row>
    <row r="39917" spans="1:14" s="2" customFormat="1">
      <c r="A39917" s="83"/>
      <c r="H39917" s="83"/>
      <c r="K39917" s="82"/>
      <c r="M39917" s="112"/>
      <c r="N39917" s="84"/>
    </row>
    <row r="39918" spans="1:14" s="2" customFormat="1">
      <c r="A39918" s="83"/>
      <c r="H39918" s="83"/>
      <c r="K39918" s="82"/>
      <c r="M39918" s="112"/>
      <c r="N39918" s="84"/>
    </row>
    <row r="39919" spans="1:14" s="2" customFormat="1">
      <c r="A39919" s="83"/>
      <c r="H39919" s="83"/>
      <c r="K39919" s="82"/>
      <c r="M39919" s="112"/>
      <c r="N39919" s="84"/>
    </row>
    <row r="39920" spans="1:14" s="2" customFormat="1">
      <c r="A39920" s="83"/>
      <c r="H39920" s="83"/>
      <c r="K39920" s="82"/>
      <c r="M39920" s="112"/>
      <c r="N39920" s="84"/>
    </row>
    <row r="39921" spans="1:14" s="2" customFormat="1">
      <c r="A39921" s="83"/>
      <c r="H39921" s="83"/>
      <c r="K39921" s="82"/>
      <c r="M39921" s="112"/>
      <c r="N39921" s="84"/>
    </row>
    <row r="39922" spans="1:14" s="2" customFormat="1">
      <c r="A39922" s="83"/>
      <c r="H39922" s="83"/>
      <c r="K39922" s="82"/>
      <c r="M39922" s="112"/>
      <c r="N39922" s="84"/>
    </row>
    <row r="39923" spans="1:14" s="2" customFormat="1">
      <c r="A39923" s="83"/>
      <c r="H39923" s="83"/>
      <c r="K39923" s="82"/>
      <c r="M39923" s="112"/>
      <c r="N39923" s="84"/>
    </row>
    <row r="39924" spans="1:14" s="2" customFormat="1">
      <c r="A39924" s="83"/>
      <c r="H39924" s="83"/>
      <c r="K39924" s="82"/>
      <c r="M39924" s="112"/>
      <c r="N39924" s="84"/>
    </row>
    <row r="39925" spans="1:14" s="2" customFormat="1">
      <c r="A39925" s="83"/>
      <c r="H39925" s="83"/>
      <c r="K39925" s="82"/>
      <c r="M39925" s="112"/>
      <c r="N39925" s="84"/>
    </row>
    <row r="39926" spans="1:14" s="2" customFormat="1">
      <c r="A39926" s="83"/>
      <c r="H39926" s="83"/>
      <c r="K39926" s="82"/>
      <c r="M39926" s="112"/>
      <c r="N39926" s="84"/>
    </row>
    <row r="39927" spans="1:14" s="2" customFormat="1">
      <c r="A39927" s="83"/>
      <c r="H39927" s="83"/>
      <c r="K39927" s="82"/>
      <c r="M39927" s="112"/>
      <c r="N39927" s="84"/>
    </row>
    <row r="39928" spans="1:14" s="2" customFormat="1">
      <c r="A39928" s="83"/>
      <c r="H39928" s="83"/>
      <c r="K39928" s="82"/>
      <c r="M39928" s="112"/>
      <c r="N39928" s="84"/>
    </row>
    <row r="39929" spans="1:14" s="2" customFormat="1">
      <c r="A39929" s="83"/>
      <c r="H39929" s="83"/>
      <c r="K39929" s="82"/>
      <c r="M39929" s="112"/>
      <c r="N39929" s="84"/>
    </row>
    <row r="39930" spans="1:14" s="2" customFormat="1">
      <c r="A39930" s="83"/>
      <c r="H39930" s="83"/>
      <c r="K39930" s="82"/>
      <c r="M39930" s="112"/>
      <c r="N39930" s="84"/>
    </row>
    <row r="39931" spans="1:14" s="2" customFormat="1">
      <c r="A39931" s="83"/>
      <c r="H39931" s="83"/>
      <c r="K39931" s="82"/>
      <c r="M39931" s="112"/>
      <c r="N39931" s="84"/>
    </row>
    <row r="39932" spans="1:14" s="2" customFormat="1">
      <c r="A39932" s="83"/>
      <c r="H39932" s="83"/>
      <c r="K39932" s="82"/>
      <c r="M39932" s="112"/>
      <c r="N39932" s="84"/>
    </row>
    <row r="39933" spans="1:14" s="2" customFormat="1">
      <c r="A39933" s="83"/>
      <c r="H39933" s="83"/>
      <c r="K39933" s="82"/>
      <c r="M39933" s="112"/>
      <c r="N39933" s="84"/>
    </row>
    <row r="39934" spans="1:14" s="2" customFormat="1">
      <c r="A39934" s="83"/>
      <c r="H39934" s="83"/>
      <c r="K39934" s="82"/>
      <c r="M39934" s="112"/>
      <c r="N39934" s="84"/>
    </row>
    <row r="39935" spans="1:14" s="2" customFormat="1">
      <c r="A39935" s="83"/>
      <c r="H39935" s="83"/>
      <c r="K39935" s="82"/>
      <c r="M39935" s="112"/>
      <c r="N39935" s="84"/>
    </row>
    <row r="39936" spans="1:14" s="2" customFormat="1">
      <c r="A39936" s="83"/>
      <c r="H39936" s="83"/>
      <c r="K39936" s="82"/>
      <c r="M39936" s="112"/>
      <c r="N39936" s="84"/>
    </row>
    <row r="39937" spans="1:14" s="2" customFormat="1">
      <c r="A39937" s="83"/>
      <c r="H39937" s="83"/>
      <c r="K39937" s="82"/>
      <c r="M39937" s="112"/>
      <c r="N39937" s="84"/>
    </row>
    <row r="39938" spans="1:14" s="2" customFormat="1">
      <c r="A39938" s="83"/>
      <c r="H39938" s="83"/>
      <c r="K39938" s="82"/>
      <c r="M39938" s="112"/>
      <c r="N39938" s="84"/>
    </row>
    <row r="39939" spans="1:14" s="2" customFormat="1">
      <c r="A39939" s="83"/>
      <c r="H39939" s="83"/>
      <c r="K39939" s="82"/>
      <c r="M39939" s="112"/>
      <c r="N39939" s="84"/>
    </row>
    <row r="39940" spans="1:14" s="2" customFormat="1">
      <c r="A39940" s="83"/>
      <c r="H39940" s="83"/>
      <c r="K39940" s="82"/>
      <c r="M39940" s="112"/>
      <c r="N39940" s="84"/>
    </row>
    <row r="39941" spans="1:14" s="2" customFormat="1">
      <c r="A39941" s="83"/>
      <c r="H39941" s="83"/>
      <c r="K39941" s="82"/>
      <c r="M39941" s="112"/>
      <c r="N39941" s="84"/>
    </row>
    <row r="39942" spans="1:14" s="2" customFormat="1">
      <c r="A39942" s="83"/>
      <c r="H39942" s="83"/>
      <c r="K39942" s="82"/>
      <c r="M39942" s="112"/>
      <c r="N39942" s="84"/>
    </row>
    <row r="39943" spans="1:14" s="2" customFormat="1">
      <c r="A39943" s="83"/>
      <c r="H39943" s="83"/>
      <c r="K39943" s="82"/>
      <c r="M39943" s="112"/>
      <c r="N39943" s="84"/>
    </row>
    <row r="39944" spans="1:14" s="2" customFormat="1">
      <c r="A39944" s="83"/>
      <c r="H39944" s="83"/>
      <c r="K39944" s="82"/>
      <c r="M39944" s="112"/>
      <c r="N39944" s="84"/>
    </row>
    <row r="39945" spans="1:14" s="2" customFormat="1">
      <c r="A39945" s="83"/>
      <c r="H39945" s="83"/>
      <c r="K39945" s="82"/>
      <c r="M39945" s="112"/>
      <c r="N39945" s="84"/>
    </row>
    <row r="39946" spans="1:14" s="2" customFormat="1">
      <c r="A39946" s="83"/>
      <c r="H39946" s="83"/>
      <c r="K39946" s="82"/>
      <c r="M39946" s="112"/>
      <c r="N39946" s="84"/>
    </row>
    <row r="39947" spans="1:14" s="2" customFormat="1">
      <c r="A39947" s="83"/>
      <c r="H39947" s="83"/>
      <c r="K39947" s="82"/>
      <c r="M39947" s="112"/>
      <c r="N39947" s="84"/>
    </row>
    <row r="39948" spans="1:14" s="2" customFormat="1">
      <c r="A39948" s="83"/>
      <c r="H39948" s="83"/>
      <c r="K39948" s="82"/>
      <c r="M39948" s="112"/>
      <c r="N39948" s="84"/>
    </row>
    <row r="39949" spans="1:14" s="2" customFormat="1">
      <c r="A39949" s="83"/>
      <c r="H39949" s="83"/>
      <c r="K39949" s="82"/>
      <c r="M39949" s="112"/>
      <c r="N39949" s="84"/>
    </row>
    <row r="39950" spans="1:14" s="2" customFormat="1">
      <c r="A39950" s="83"/>
      <c r="H39950" s="83"/>
      <c r="K39950" s="82"/>
      <c r="M39950" s="112"/>
      <c r="N39950" s="84"/>
    </row>
    <row r="39951" spans="1:14" s="2" customFormat="1">
      <c r="A39951" s="83"/>
      <c r="H39951" s="83"/>
      <c r="K39951" s="82"/>
      <c r="M39951" s="112"/>
      <c r="N39951" s="84"/>
    </row>
    <row r="39952" spans="1:14" s="2" customFormat="1">
      <c r="A39952" s="83"/>
      <c r="H39952" s="83"/>
      <c r="K39952" s="82"/>
      <c r="M39952" s="112"/>
      <c r="N39952" s="84"/>
    </row>
    <row r="39953" spans="1:14" s="2" customFormat="1">
      <c r="A39953" s="83"/>
      <c r="H39953" s="83"/>
      <c r="K39953" s="82"/>
      <c r="M39953" s="112"/>
      <c r="N39953" s="84"/>
    </row>
    <row r="39954" spans="1:14" s="2" customFormat="1">
      <c r="A39954" s="83"/>
      <c r="H39954" s="83"/>
      <c r="K39954" s="82"/>
      <c r="M39954" s="112"/>
      <c r="N39954" s="84"/>
    </row>
    <row r="39955" spans="1:14" s="2" customFormat="1">
      <c r="A39955" s="83"/>
      <c r="H39955" s="83"/>
      <c r="K39955" s="82"/>
      <c r="M39955" s="112"/>
      <c r="N39955" s="84"/>
    </row>
    <row r="39956" spans="1:14" s="2" customFormat="1">
      <c r="A39956" s="83"/>
      <c r="H39956" s="83"/>
      <c r="K39956" s="82"/>
      <c r="M39956" s="112"/>
      <c r="N39956" s="84"/>
    </row>
    <row r="39957" spans="1:14" s="2" customFormat="1">
      <c r="A39957" s="83"/>
      <c r="H39957" s="83"/>
      <c r="K39957" s="82"/>
      <c r="M39957" s="112"/>
      <c r="N39957" s="84"/>
    </row>
    <row r="39958" spans="1:14" s="2" customFormat="1">
      <c r="A39958" s="83"/>
      <c r="H39958" s="83"/>
      <c r="K39958" s="82"/>
      <c r="M39958" s="112"/>
      <c r="N39958" s="84"/>
    </row>
    <row r="39959" spans="1:14" s="2" customFormat="1">
      <c r="A39959" s="83"/>
      <c r="H39959" s="83"/>
      <c r="K39959" s="82"/>
      <c r="M39959" s="112"/>
      <c r="N39959" s="84"/>
    </row>
    <row r="39960" spans="1:14" s="2" customFormat="1">
      <c r="A39960" s="83"/>
      <c r="H39960" s="83"/>
      <c r="K39960" s="82"/>
      <c r="M39960" s="112"/>
      <c r="N39960" s="84"/>
    </row>
    <row r="39961" spans="1:14" s="2" customFormat="1">
      <c r="A39961" s="83"/>
      <c r="H39961" s="83"/>
      <c r="K39961" s="82"/>
      <c r="M39961" s="112"/>
      <c r="N39961" s="84"/>
    </row>
    <row r="39962" spans="1:14" s="2" customFormat="1">
      <c r="A39962" s="83"/>
      <c r="H39962" s="83"/>
      <c r="K39962" s="82"/>
      <c r="M39962" s="112"/>
      <c r="N39962" s="84"/>
    </row>
    <row r="39963" spans="1:14" s="2" customFormat="1">
      <c r="A39963" s="83"/>
      <c r="H39963" s="83"/>
      <c r="K39963" s="82"/>
      <c r="M39963" s="112"/>
      <c r="N39963" s="84"/>
    </row>
    <row r="39964" spans="1:14" s="2" customFormat="1">
      <c r="A39964" s="83"/>
      <c r="H39964" s="83"/>
      <c r="K39964" s="82"/>
      <c r="M39964" s="112"/>
      <c r="N39964" s="84"/>
    </row>
    <row r="39965" spans="1:14" s="2" customFormat="1">
      <c r="A39965" s="83"/>
      <c r="H39965" s="83"/>
      <c r="K39965" s="82"/>
      <c r="M39965" s="112"/>
      <c r="N39965" s="84"/>
    </row>
    <row r="39966" spans="1:14" s="2" customFormat="1">
      <c r="A39966" s="83"/>
      <c r="H39966" s="83"/>
      <c r="K39966" s="82"/>
      <c r="M39966" s="112"/>
      <c r="N39966" s="84"/>
    </row>
    <row r="39967" spans="1:14" s="2" customFormat="1">
      <c r="A39967" s="83"/>
      <c r="H39967" s="83"/>
      <c r="K39967" s="82"/>
      <c r="M39967" s="112"/>
      <c r="N39967" s="84"/>
    </row>
    <row r="39968" spans="1:14" s="2" customFormat="1">
      <c r="A39968" s="83"/>
      <c r="H39968" s="83"/>
      <c r="K39968" s="82"/>
      <c r="M39968" s="112"/>
      <c r="N39968" s="84"/>
    </row>
    <row r="39969" spans="1:14" s="2" customFormat="1">
      <c r="A39969" s="83"/>
      <c r="H39969" s="83"/>
      <c r="K39969" s="82"/>
      <c r="M39969" s="112"/>
      <c r="N39969" s="84"/>
    </row>
    <row r="39970" spans="1:14" s="2" customFormat="1">
      <c r="A39970" s="83"/>
      <c r="H39970" s="83"/>
      <c r="K39970" s="82"/>
      <c r="M39970" s="112"/>
      <c r="N39970" s="84"/>
    </row>
    <row r="39971" spans="1:14" s="2" customFormat="1">
      <c r="A39971" s="83"/>
      <c r="H39971" s="83"/>
      <c r="K39971" s="82"/>
      <c r="M39971" s="112"/>
      <c r="N39971" s="84"/>
    </row>
    <row r="39972" spans="1:14" s="2" customFormat="1">
      <c r="A39972" s="83"/>
      <c r="H39972" s="83"/>
      <c r="K39972" s="82"/>
      <c r="M39972" s="112"/>
      <c r="N39972" s="84"/>
    </row>
    <row r="39973" spans="1:14" s="2" customFormat="1">
      <c r="A39973" s="83"/>
      <c r="H39973" s="83"/>
      <c r="K39973" s="82"/>
      <c r="M39973" s="112"/>
      <c r="N39973" s="84"/>
    </row>
    <row r="39974" spans="1:14" s="2" customFormat="1">
      <c r="A39974" s="83"/>
      <c r="H39974" s="83"/>
      <c r="K39974" s="82"/>
      <c r="M39974" s="112"/>
      <c r="N39974" s="84"/>
    </row>
    <row r="39975" spans="1:14" s="2" customFormat="1">
      <c r="A39975" s="83"/>
      <c r="H39975" s="83"/>
      <c r="K39975" s="82"/>
      <c r="M39975" s="112"/>
      <c r="N39975" s="84"/>
    </row>
    <row r="39976" spans="1:14" s="2" customFormat="1">
      <c r="A39976" s="83"/>
      <c r="H39976" s="83"/>
      <c r="K39976" s="82"/>
      <c r="M39976" s="112"/>
      <c r="N39976" s="84"/>
    </row>
    <row r="39977" spans="1:14" s="2" customFormat="1">
      <c r="A39977" s="83"/>
      <c r="H39977" s="83"/>
      <c r="K39977" s="82"/>
      <c r="M39977" s="112"/>
      <c r="N39977" s="84"/>
    </row>
    <row r="39978" spans="1:14" s="2" customFormat="1">
      <c r="A39978" s="83"/>
      <c r="H39978" s="83"/>
      <c r="K39978" s="82"/>
      <c r="M39978" s="112"/>
      <c r="N39978" s="84"/>
    </row>
    <row r="39979" spans="1:14" s="2" customFormat="1">
      <c r="A39979" s="83"/>
      <c r="H39979" s="83"/>
      <c r="K39979" s="82"/>
      <c r="M39979" s="112"/>
      <c r="N39979" s="84"/>
    </row>
    <row r="39980" spans="1:14" s="2" customFormat="1">
      <c r="A39980" s="83"/>
      <c r="H39980" s="83"/>
      <c r="K39980" s="82"/>
      <c r="M39980" s="112"/>
      <c r="N39980" s="84"/>
    </row>
    <row r="39981" spans="1:14" s="2" customFormat="1">
      <c r="A39981" s="83"/>
      <c r="H39981" s="83"/>
      <c r="K39981" s="82"/>
      <c r="M39981" s="112"/>
      <c r="N39981" s="84"/>
    </row>
    <row r="39982" spans="1:14" s="2" customFormat="1">
      <c r="A39982" s="83"/>
      <c r="H39982" s="83"/>
      <c r="K39982" s="82"/>
      <c r="M39982" s="112"/>
      <c r="N39982" s="84"/>
    </row>
    <row r="39983" spans="1:14" s="2" customFormat="1">
      <c r="A39983" s="83"/>
      <c r="H39983" s="83"/>
      <c r="K39983" s="82"/>
      <c r="M39983" s="112"/>
      <c r="N39983" s="84"/>
    </row>
    <row r="39984" spans="1:14" s="2" customFormat="1">
      <c r="A39984" s="83"/>
      <c r="H39984" s="83"/>
      <c r="K39984" s="82"/>
      <c r="M39984" s="112"/>
      <c r="N39984" s="84"/>
    </row>
    <row r="39985" spans="1:14" s="2" customFormat="1">
      <c r="A39985" s="83"/>
      <c r="H39985" s="83"/>
      <c r="K39985" s="82"/>
      <c r="M39985" s="112"/>
      <c r="N39985" s="84"/>
    </row>
    <row r="39986" spans="1:14" s="2" customFormat="1">
      <c r="A39986" s="83"/>
      <c r="H39986" s="83"/>
      <c r="K39986" s="82"/>
      <c r="M39986" s="112"/>
      <c r="N39986" s="84"/>
    </row>
    <row r="39987" spans="1:14" s="2" customFormat="1">
      <c r="A39987" s="83"/>
      <c r="H39987" s="83"/>
      <c r="K39987" s="82"/>
      <c r="M39987" s="112"/>
      <c r="N39987" s="84"/>
    </row>
    <row r="39988" spans="1:14" s="2" customFormat="1">
      <c r="A39988" s="83"/>
      <c r="H39988" s="83"/>
      <c r="K39988" s="82"/>
      <c r="M39988" s="112"/>
      <c r="N39988" s="84"/>
    </row>
    <row r="39989" spans="1:14" s="2" customFormat="1">
      <c r="A39989" s="83"/>
      <c r="H39989" s="83"/>
      <c r="K39989" s="82"/>
      <c r="M39989" s="112"/>
      <c r="N39989" s="84"/>
    </row>
    <row r="39990" spans="1:14" s="2" customFormat="1">
      <c r="A39990" s="83"/>
      <c r="H39990" s="83"/>
      <c r="K39990" s="82"/>
      <c r="M39990" s="112"/>
      <c r="N39990" s="84"/>
    </row>
    <row r="39991" spans="1:14" s="2" customFormat="1">
      <c r="A39991" s="83"/>
      <c r="H39991" s="83"/>
      <c r="K39991" s="82"/>
      <c r="M39991" s="112"/>
      <c r="N39991" s="84"/>
    </row>
    <row r="39992" spans="1:14" s="2" customFormat="1">
      <c r="A39992" s="83"/>
      <c r="H39992" s="83"/>
      <c r="K39992" s="82"/>
      <c r="M39992" s="112"/>
      <c r="N39992" s="84"/>
    </row>
    <row r="39993" spans="1:14" s="2" customFormat="1">
      <c r="A39993" s="83"/>
      <c r="H39993" s="83"/>
      <c r="K39993" s="82"/>
      <c r="M39993" s="112"/>
      <c r="N39993" s="84"/>
    </row>
    <row r="39994" spans="1:14" s="2" customFormat="1">
      <c r="A39994" s="83"/>
      <c r="H39994" s="83"/>
      <c r="K39994" s="82"/>
      <c r="M39994" s="112"/>
      <c r="N39994" s="84"/>
    </row>
    <row r="39995" spans="1:14" s="2" customFormat="1">
      <c r="A39995" s="83"/>
      <c r="H39995" s="83"/>
      <c r="K39995" s="82"/>
      <c r="M39995" s="112"/>
      <c r="N39995" s="84"/>
    </row>
    <row r="39996" spans="1:14" s="2" customFormat="1">
      <c r="A39996" s="83"/>
      <c r="H39996" s="83"/>
      <c r="K39996" s="82"/>
      <c r="M39996" s="112"/>
      <c r="N39996" s="84"/>
    </row>
    <row r="39997" spans="1:14" s="2" customFormat="1">
      <c r="A39997" s="83"/>
      <c r="H39997" s="83"/>
      <c r="K39997" s="82"/>
      <c r="M39997" s="112"/>
      <c r="N39997" s="84"/>
    </row>
    <row r="39998" spans="1:14" s="2" customFormat="1">
      <c r="A39998" s="83"/>
      <c r="H39998" s="83"/>
      <c r="K39998" s="82"/>
      <c r="M39998" s="112"/>
      <c r="N39998" s="84"/>
    </row>
    <row r="39999" spans="1:14" s="2" customFormat="1">
      <c r="A39999" s="83"/>
      <c r="H39999" s="83"/>
      <c r="K39999" s="82"/>
      <c r="M39999" s="112"/>
      <c r="N39999" s="84"/>
    </row>
    <row r="40000" spans="1:14" s="2" customFormat="1">
      <c r="A40000" s="83"/>
      <c r="H40000" s="83"/>
      <c r="K40000" s="82"/>
      <c r="M40000" s="112"/>
      <c r="N40000" s="84"/>
    </row>
    <row r="40001" spans="1:14" s="2" customFormat="1">
      <c r="A40001" s="83"/>
      <c r="H40001" s="83"/>
      <c r="K40001" s="82"/>
      <c r="M40001" s="112"/>
      <c r="N40001" s="84"/>
    </row>
    <row r="40002" spans="1:14" s="2" customFormat="1">
      <c r="A40002" s="83"/>
      <c r="H40002" s="83"/>
      <c r="K40002" s="82"/>
      <c r="M40002" s="112"/>
      <c r="N40002" s="84"/>
    </row>
    <row r="40003" spans="1:14" s="2" customFormat="1">
      <c r="A40003" s="83"/>
      <c r="H40003" s="83"/>
      <c r="K40003" s="82"/>
      <c r="M40003" s="112"/>
      <c r="N40003" s="84"/>
    </row>
    <row r="40004" spans="1:14" s="2" customFormat="1">
      <c r="A40004" s="83"/>
      <c r="H40004" s="83"/>
      <c r="K40004" s="82"/>
      <c r="M40004" s="112"/>
      <c r="N40004" s="84"/>
    </row>
    <row r="40005" spans="1:14" s="2" customFormat="1">
      <c r="A40005" s="83"/>
      <c r="H40005" s="83"/>
      <c r="K40005" s="82"/>
      <c r="M40005" s="112"/>
      <c r="N40005" s="84"/>
    </row>
    <row r="40006" spans="1:14" s="2" customFormat="1">
      <c r="A40006" s="83"/>
      <c r="H40006" s="83"/>
      <c r="K40006" s="82"/>
      <c r="M40006" s="112"/>
      <c r="N40006" s="84"/>
    </row>
    <row r="40007" spans="1:14" s="2" customFormat="1">
      <c r="A40007" s="83"/>
      <c r="H40007" s="83"/>
      <c r="K40007" s="82"/>
      <c r="M40007" s="112"/>
      <c r="N40007" s="84"/>
    </row>
    <row r="40008" spans="1:14" s="2" customFormat="1">
      <c r="A40008" s="83"/>
      <c r="H40008" s="83"/>
      <c r="K40008" s="82"/>
      <c r="M40008" s="112"/>
      <c r="N40008" s="84"/>
    </row>
    <row r="40009" spans="1:14" s="2" customFormat="1">
      <c r="A40009" s="83"/>
      <c r="H40009" s="83"/>
      <c r="K40009" s="82"/>
      <c r="M40009" s="112"/>
      <c r="N40009" s="84"/>
    </row>
    <row r="40010" spans="1:14" s="2" customFormat="1">
      <c r="A40010" s="83"/>
      <c r="H40010" s="83"/>
      <c r="K40010" s="82"/>
      <c r="M40010" s="112"/>
      <c r="N40010" s="84"/>
    </row>
    <row r="40011" spans="1:14" s="2" customFormat="1">
      <c r="A40011" s="83"/>
      <c r="H40011" s="83"/>
      <c r="K40011" s="82"/>
      <c r="M40011" s="112"/>
      <c r="N40011" s="84"/>
    </row>
    <row r="40012" spans="1:14" s="2" customFormat="1">
      <c r="A40012" s="83"/>
      <c r="H40012" s="83"/>
      <c r="K40012" s="82"/>
      <c r="M40012" s="112"/>
      <c r="N40012" s="84"/>
    </row>
    <row r="40013" spans="1:14" s="2" customFormat="1">
      <c r="A40013" s="83"/>
      <c r="H40013" s="83"/>
      <c r="K40013" s="82"/>
      <c r="M40013" s="112"/>
      <c r="N40013" s="84"/>
    </row>
    <row r="40014" spans="1:14" s="2" customFormat="1">
      <c r="A40014" s="83"/>
      <c r="H40014" s="83"/>
      <c r="K40014" s="82"/>
      <c r="M40014" s="112"/>
      <c r="N40014" s="84"/>
    </row>
    <row r="40015" spans="1:14" s="2" customFormat="1">
      <c r="A40015" s="83"/>
      <c r="H40015" s="83"/>
      <c r="K40015" s="82"/>
      <c r="M40015" s="112"/>
      <c r="N40015" s="84"/>
    </row>
    <row r="40016" spans="1:14" s="2" customFormat="1">
      <c r="A40016" s="83"/>
      <c r="H40016" s="83"/>
      <c r="K40016" s="82"/>
      <c r="M40016" s="112"/>
      <c r="N40016" s="84"/>
    </row>
    <row r="40017" spans="1:14" s="2" customFormat="1">
      <c r="A40017" s="83"/>
      <c r="H40017" s="83"/>
      <c r="K40017" s="82"/>
      <c r="M40017" s="112"/>
      <c r="N40017" s="84"/>
    </row>
    <row r="40018" spans="1:14" s="2" customFormat="1">
      <c r="A40018" s="83"/>
      <c r="H40018" s="83"/>
      <c r="K40018" s="82"/>
      <c r="M40018" s="112"/>
      <c r="N40018" s="84"/>
    </row>
    <row r="40019" spans="1:14" s="2" customFormat="1">
      <c r="A40019" s="83"/>
      <c r="H40019" s="83"/>
      <c r="K40019" s="82"/>
      <c r="M40019" s="112"/>
      <c r="N40019" s="84"/>
    </row>
    <row r="40020" spans="1:14" s="2" customFormat="1">
      <c r="A40020" s="83"/>
      <c r="H40020" s="83"/>
      <c r="K40020" s="82"/>
      <c r="M40020" s="112"/>
      <c r="N40020" s="84"/>
    </row>
    <row r="40021" spans="1:14" s="2" customFormat="1">
      <c r="A40021" s="83"/>
      <c r="H40021" s="83"/>
      <c r="K40021" s="82"/>
      <c r="M40021" s="112"/>
      <c r="N40021" s="84"/>
    </row>
    <row r="40022" spans="1:14" s="2" customFormat="1">
      <c r="A40022" s="83"/>
      <c r="H40022" s="83"/>
      <c r="K40022" s="82"/>
      <c r="M40022" s="112"/>
      <c r="N40022" s="84"/>
    </row>
    <row r="40023" spans="1:14" s="2" customFormat="1">
      <c r="A40023" s="83"/>
      <c r="H40023" s="83"/>
      <c r="K40023" s="82"/>
      <c r="M40023" s="112"/>
      <c r="N40023" s="84"/>
    </row>
    <row r="40024" spans="1:14" s="2" customFormat="1">
      <c r="A40024" s="83"/>
      <c r="H40024" s="83"/>
      <c r="K40024" s="82"/>
      <c r="M40024" s="112"/>
      <c r="N40024" s="84"/>
    </row>
    <row r="40025" spans="1:14" s="2" customFormat="1">
      <c r="A40025" s="83"/>
      <c r="H40025" s="83"/>
      <c r="K40025" s="82"/>
      <c r="M40025" s="112"/>
      <c r="N40025" s="84"/>
    </row>
    <row r="40026" spans="1:14" s="2" customFormat="1">
      <c r="A40026" s="83"/>
      <c r="H40026" s="83"/>
      <c r="K40026" s="82"/>
      <c r="M40026" s="112"/>
      <c r="N40026" s="84"/>
    </row>
    <row r="40027" spans="1:14" s="2" customFormat="1">
      <c r="A40027" s="83"/>
      <c r="H40027" s="83"/>
      <c r="K40027" s="82"/>
      <c r="M40027" s="112"/>
      <c r="N40027" s="84"/>
    </row>
    <row r="40028" spans="1:14" s="2" customFormat="1">
      <c r="A40028" s="83"/>
      <c r="H40028" s="83"/>
      <c r="K40028" s="82"/>
      <c r="M40028" s="112"/>
      <c r="N40028" s="84"/>
    </row>
    <row r="40029" spans="1:14" s="2" customFormat="1">
      <c r="A40029" s="83"/>
      <c r="H40029" s="83"/>
      <c r="K40029" s="82"/>
      <c r="M40029" s="112"/>
      <c r="N40029" s="84"/>
    </row>
    <row r="40030" spans="1:14" s="2" customFormat="1">
      <c r="A40030" s="83"/>
      <c r="H40030" s="83"/>
      <c r="K40030" s="82"/>
      <c r="M40030" s="112"/>
      <c r="N40030" s="84"/>
    </row>
    <row r="40031" spans="1:14" s="2" customFormat="1">
      <c r="A40031" s="83"/>
      <c r="H40031" s="83"/>
      <c r="K40031" s="82"/>
      <c r="M40031" s="112"/>
      <c r="N40031" s="84"/>
    </row>
    <row r="40032" spans="1:14" s="2" customFormat="1">
      <c r="A40032" s="83"/>
      <c r="H40032" s="83"/>
      <c r="K40032" s="82"/>
      <c r="M40032" s="112"/>
      <c r="N40032" s="84"/>
    </row>
    <row r="40033" spans="1:14" s="2" customFormat="1">
      <c r="A40033" s="83"/>
      <c r="H40033" s="83"/>
      <c r="K40033" s="82"/>
      <c r="M40033" s="112"/>
      <c r="N40033" s="84"/>
    </row>
    <row r="40034" spans="1:14" s="2" customFormat="1">
      <c r="A40034" s="83"/>
      <c r="H40034" s="83"/>
      <c r="K40034" s="82"/>
      <c r="M40034" s="112"/>
      <c r="N40034" s="84"/>
    </row>
    <row r="40035" spans="1:14" s="2" customFormat="1">
      <c r="A40035" s="83"/>
      <c r="H40035" s="83"/>
      <c r="K40035" s="82"/>
      <c r="M40035" s="112"/>
      <c r="N40035" s="84"/>
    </row>
    <row r="40036" spans="1:14" s="2" customFormat="1">
      <c r="A40036" s="83"/>
      <c r="H40036" s="83"/>
      <c r="K40036" s="82"/>
      <c r="M40036" s="112"/>
      <c r="N40036" s="84"/>
    </row>
    <row r="40037" spans="1:14" s="2" customFormat="1">
      <c r="A40037" s="83"/>
      <c r="H40037" s="83"/>
      <c r="K40037" s="82"/>
      <c r="M40037" s="112"/>
      <c r="N40037" s="84"/>
    </row>
    <row r="40038" spans="1:14" s="2" customFormat="1">
      <c r="A40038" s="83"/>
      <c r="H40038" s="83"/>
      <c r="K40038" s="82"/>
      <c r="M40038" s="112"/>
      <c r="N40038" s="84"/>
    </row>
    <row r="40039" spans="1:14" s="2" customFormat="1">
      <c r="A40039" s="83"/>
      <c r="H40039" s="83"/>
      <c r="K40039" s="82"/>
      <c r="M40039" s="112"/>
      <c r="N40039" s="84"/>
    </row>
    <row r="40040" spans="1:14" s="2" customFormat="1">
      <c r="A40040" s="83"/>
      <c r="H40040" s="83"/>
      <c r="K40040" s="82"/>
      <c r="M40040" s="112"/>
      <c r="N40040" s="84"/>
    </row>
    <row r="40041" spans="1:14" s="2" customFormat="1">
      <c r="A40041" s="83"/>
      <c r="H40041" s="83"/>
      <c r="K40041" s="82"/>
      <c r="M40041" s="112"/>
      <c r="N40041" s="84"/>
    </row>
    <row r="40042" spans="1:14" s="2" customFormat="1">
      <c r="A40042" s="83"/>
      <c r="H40042" s="83"/>
      <c r="K40042" s="82"/>
      <c r="M40042" s="112"/>
      <c r="N40042" s="84"/>
    </row>
    <row r="40043" spans="1:14" s="2" customFormat="1">
      <c r="A40043" s="83"/>
      <c r="H40043" s="83"/>
      <c r="K40043" s="82"/>
      <c r="M40043" s="112"/>
      <c r="N40043" s="84"/>
    </row>
    <row r="40044" spans="1:14" s="2" customFormat="1">
      <c r="A40044" s="83"/>
      <c r="H40044" s="83"/>
      <c r="K40044" s="82"/>
      <c r="M40044" s="112"/>
      <c r="N40044" s="84"/>
    </row>
    <row r="40045" spans="1:14" s="2" customFormat="1">
      <c r="A40045" s="83"/>
      <c r="H40045" s="83"/>
      <c r="K40045" s="82"/>
      <c r="M40045" s="112"/>
      <c r="N40045" s="84"/>
    </row>
    <row r="40046" spans="1:14" s="2" customFormat="1">
      <c r="A40046" s="83"/>
      <c r="H40046" s="83"/>
      <c r="K40046" s="82"/>
      <c r="M40046" s="112"/>
      <c r="N40046" s="84"/>
    </row>
    <row r="40047" spans="1:14" s="2" customFormat="1">
      <c r="A40047" s="83"/>
      <c r="H40047" s="83"/>
      <c r="K40047" s="82"/>
      <c r="M40047" s="112"/>
      <c r="N40047" s="84"/>
    </row>
    <row r="40048" spans="1:14" s="2" customFormat="1">
      <c r="A40048" s="83"/>
      <c r="H40048" s="83"/>
      <c r="K40048" s="82"/>
      <c r="M40048" s="112"/>
      <c r="N40048" s="84"/>
    </row>
    <row r="40049" spans="1:14" s="2" customFormat="1">
      <c r="A40049" s="83"/>
      <c r="H40049" s="83"/>
      <c r="K40049" s="82"/>
      <c r="M40049" s="112"/>
      <c r="N40049" s="84"/>
    </row>
    <row r="40050" spans="1:14" s="2" customFormat="1">
      <c r="A40050" s="83"/>
      <c r="H40050" s="83"/>
      <c r="K40050" s="82"/>
      <c r="M40050" s="112"/>
      <c r="N40050" s="84"/>
    </row>
    <row r="40051" spans="1:14" s="2" customFormat="1">
      <c r="A40051" s="83"/>
      <c r="H40051" s="83"/>
      <c r="K40051" s="82"/>
      <c r="M40051" s="112"/>
      <c r="N40051" s="84"/>
    </row>
    <row r="40052" spans="1:14" s="2" customFormat="1">
      <c r="A40052" s="83"/>
      <c r="H40052" s="83"/>
      <c r="K40052" s="82"/>
      <c r="M40052" s="112"/>
      <c r="N40052" s="84"/>
    </row>
    <row r="40053" spans="1:14" s="2" customFormat="1">
      <c r="A40053" s="83"/>
      <c r="H40053" s="83"/>
      <c r="K40053" s="82"/>
      <c r="M40053" s="112"/>
      <c r="N40053" s="84"/>
    </row>
    <row r="40054" spans="1:14" s="2" customFormat="1">
      <c r="A40054" s="83"/>
      <c r="H40054" s="83"/>
      <c r="K40054" s="82"/>
      <c r="M40054" s="112"/>
      <c r="N40054" s="84"/>
    </row>
    <row r="40055" spans="1:14" s="2" customFormat="1">
      <c r="A40055" s="83"/>
      <c r="H40055" s="83"/>
      <c r="K40055" s="82"/>
      <c r="M40055" s="112"/>
      <c r="N40055" s="84"/>
    </row>
    <row r="40056" spans="1:14" s="2" customFormat="1">
      <c r="A40056" s="83"/>
      <c r="H40056" s="83"/>
      <c r="K40056" s="82"/>
      <c r="M40056" s="112"/>
      <c r="N40056" s="84"/>
    </row>
    <row r="40057" spans="1:14" s="2" customFormat="1">
      <c r="A40057" s="83"/>
      <c r="H40057" s="83"/>
      <c r="K40057" s="82"/>
      <c r="M40057" s="112"/>
      <c r="N40057" s="84"/>
    </row>
    <row r="40058" spans="1:14" s="2" customFormat="1">
      <c r="A40058" s="83"/>
      <c r="H40058" s="83"/>
      <c r="K40058" s="82"/>
      <c r="M40058" s="112"/>
      <c r="N40058" s="84"/>
    </row>
    <row r="40059" spans="1:14" s="2" customFormat="1">
      <c r="A40059" s="83"/>
      <c r="H40059" s="83"/>
      <c r="K40059" s="82"/>
      <c r="M40059" s="112"/>
      <c r="N40059" s="84"/>
    </row>
    <row r="40060" spans="1:14" s="2" customFormat="1">
      <c r="A40060" s="83"/>
      <c r="H40060" s="83"/>
      <c r="K40060" s="82"/>
      <c r="M40060" s="112"/>
      <c r="N40060" s="84"/>
    </row>
    <row r="40061" spans="1:14" s="2" customFormat="1">
      <c r="A40061" s="83"/>
      <c r="H40061" s="83"/>
      <c r="K40061" s="82"/>
      <c r="M40061" s="112"/>
      <c r="N40061" s="84"/>
    </row>
    <row r="40062" spans="1:14" s="2" customFormat="1">
      <c r="A40062" s="83"/>
      <c r="H40062" s="83"/>
      <c r="K40062" s="82"/>
      <c r="M40062" s="112"/>
      <c r="N40062" s="84"/>
    </row>
    <row r="40063" spans="1:14" s="2" customFormat="1">
      <c r="A40063" s="83"/>
      <c r="H40063" s="83"/>
      <c r="K40063" s="82"/>
      <c r="M40063" s="112"/>
      <c r="N40063" s="84"/>
    </row>
    <row r="40064" spans="1:14" s="2" customFormat="1">
      <c r="A40064" s="83"/>
      <c r="H40064" s="83"/>
      <c r="K40064" s="82"/>
      <c r="M40064" s="112"/>
      <c r="N40064" s="84"/>
    </row>
    <row r="40065" spans="1:14" s="2" customFormat="1">
      <c r="A40065" s="83"/>
      <c r="H40065" s="83"/>
      <c r="K40065" s="82"/>
      <c r="M40065" s="112"/>
      <c r="N40065" s="84"/>
    </row>
    <row r="40066" spans="1:14" s="2" customFormat="1">
      <c r="A40066" s="83"/>
      <c r="H40066" s="83"/>
      <c r="K40066" s="82"/>
      <c r="M40066" s="112"/>
      <c r="N40066" s="84"/>
    </row>
    <row r="40067" spans="1:14" s="2" customFormat="1">
      <c r="A40067" s="83"/>
      <c r="H40067" s="83"/>
      <c r="K40067" s="82"/>
      <c r="M40067" s="112"/>
      <c r="N40067" s="84"/>
    </row>
    <row r="40068" spans="1:14" s="2" customFormat="1">
      <c r="A40068" s="83"/>
      <c r="H40068" s="83"/>
      <c r="K40068" s="82"/>
      <c r="M40068" s="112"/>
      <c r="N40068" s="84"/>
    </row>
    <row r="40069" spans="1:14" s="2" customFormat="1">
      <c r="A40069" s="83"/>
      <c r="H40069" s="83"/>
      <c r="K40069" s="82"/>
      <c r="M40069" s="112"/>
      <c r="N40069" s="84"/>
    </row>
    <row r="40070" spans="1:14" s="2" customFormat="1">
      <c r="A40070" s="83"/>
      <c r="H40070" s="83"/>
      <c r="K40070" s="82"/>
      <c r="M40070" s="112"/>
      <c r="N40070" s="84"/>
    </row>
    <row r="40071" spans="1:14" s="2" customFormat="1">
      <c r="A40071" s="83"/>
      <c r="H40071" s="83"/>
      <c r="K40071" s="82"/>
      <c r="M40071" s="112"/>
      <c r="N40071" s="84"/>
    </row>
    <row r="40072" spans="1:14" s="2" customFormat="1">
      <c r="A40072" s="83"/>
      <c r="H40072" s="83"/>
      <c r="K40072" s="82"/>
      <c r="M40072" s="112"/>
      <c r="N40072" s="84"/>
    </row>
    <row r="40073" spans="1:14" s="2" customFormat="1">
      <c r="A40073" s="83"/>
      <c r="H40073" s="83"/>
      <c r="K40073" s="82"/>
      <c r="M40073" s="112"/>
      <c r="N40073" s="84"/>
    </row>
    <row r="40074" spans="1:14" s="2" customFormat="1">
      <c r="A40074" s="83"/>
      <c r="H40074" s="83"/>
      <c r="K40074" s="82"/>
      <c r="M40074" s="112"/>
      <c r="N40074" s="84"/>
    </row>
    <row r="40075" spans="1:14" s="2" customFormat="1">
      <c r="A40075" s="83"/>
      <c r="H40075" s="83"/>
      <c r="K40075" s="82"/>
      <c r="M40075" s="112"/>
      <c r="N40075" s="84"/>
    </row>
    <row r="40076" spans="1:14" s="2" customFormat="1">
      <c r="A40076" s="83"/>
      <c r="H40076" s="83"/>
      <c r="K40076" s="82"/>
      <c r="M40076" s="112"/>
      <c r="N40076" s="84"/>
    </row>
    <row r="40077" spans="1:14" s="2" customFormat="1">
      <c r="A40077" s="83"/>
      <c r="H40077" s="83"/>
      <c r="K40077" s="82"/>
      <c r="M40077" s="112"/>
      <c r="N40077" s="84"/>
    </row>
    <row r="40078" spans="1:14" s="2" customFormat="1">
      <c r="A40078" s="83"/>
      <c r="H40078" s="83"/>
      <c r="K40078" s="82"/>
      <c r="M40078" s="112"/>
      <c r="N40078" s="84"/>
    </row>
    <row r="40079" spans="1:14" s="2" customFormat="1">
      <c r="A40079" s="83"/>
      <c r="H40079" s="83"/>
      <c r="K40079" s="82"/>
      <c r="M40079" s="112"/>
      <c r="N40079" s="84"/>
    </row>
    <row r="40080" spans="1:14" s="2" customFormat="1">
      <c r="A40080" s="83"/>
      <c r="H40080" s="83"/>
      <c r="K40080" s="82"/>
      <c r="M40080" s="112"/>
      <c r="N40080" s="84"/>
    </row>
    <row r="40081" spans="1:14" s="2" customFormat="1">
      <c r="A40081" s="83"/>
      <c r="H40081" s="83"/>
      <c r="K40081" s="82"/>
      <c r="M40081" s="112"/>
      <c r="N40081" s="84"/>
    </row>
    <row r="40082" spans="1:14" s="2" customFormat="1">
      <c r="A40082" s="83"/>
      <c r="H40082" s="83"/>
      <c r="K40082" s="82"/>
      <c r="M40082" s="112"/>
      <c r="N40082" s="84"/>
    </row>
    <row r="40083" spans="1:14" s="2" customFormat="1">
      <c r="A40083" s="83"/>
      <c r="H40083" s="83"/>
      <c r="K40083" s="82"/>
      <c r="M40083" s="112"/>
      <c r="N40083" s="84"/>
    </row>
    <row r="40084" spans="1:14" s="2" customFormat="1">
      <c r="A40084" s="83"/>
      <c r="H40084" s="83"/>
      <c r="K40084" s="82"/>
      <c r="M40084" s="112"/>
      <c r="N40084" s="84"/>
    </row>
    <row r="40085" spans="1:14" s="2" customFormat="1">
      <c r="A40085" s="83"/>
      <c r="H40085" s="83"/>
      <c r="K40085" s="82"/>
      <c r="M40085" s="112"/>
      <c r="N40085" s="84"/>
    </row>
    <row r="40086" spans="1:14" s="2" customFormat="1">
      <c r="A40086" s="83"/>
      <c r="H40086" s="83"/>
      <c r="K40086" s="82"/>
      <c r="M40086" s="112"/>
      <c r="N40086" s="84"/>
    </row>
    <row r="40087" spans="1:14" s="2" customFormat="1">
      <c r="A40087" s="83"/>
      <c r="H40087" s="83"/>
      <c r="K40087" s="82"/>
      <c r="M40087" s="112"/>
      <c r="N40087" s="84"/>
    </row>
    <row r="40088" spans="1:14" s="2" customFormat="1">
      <c r="A40088" s="83"/>
      <c r="H40088" s="83"/>
      <c r="K40088" s="82"/>
      <c r="M40088" s="112"/>
      <c r="N40088" s="84"/>
    </row>
    <row r="40089" spans="1:14" s="2" customFormat="1">
      <c r="A40089" s="83"/>
      <c r="H40089" s="83"/>
      <c r="K40089" s="82"/>
      <c r="M40089" s="112"/>
      <c r="N40089" s="84"/>
    </row>
    <row r="40090" spans="1:14" s="2" customFormat="1">
      <c r="A40090" s="83"/>
      <c r="H40090" s="83"/>
      <c r="K40090" s="82"/>
      <c r="M40090" s="112"/>
      <c r="N40090" s="84"/>
    </row>
    <row r="40091" spans="1:14" s="2" customFormat="1">
      <c r="A40091" s="83"/>
      <c r="H40091" s="83"/>
      <c r="K40091" s="82"/>
      <c r="M40091" s="112"/>
      <c r="N40091" s="84"/>
    </row>
    <row r="40092" spans="1:14" s="2" customFormat="1">
      <c r="A40092" s="83"/>
      <c r="H40092" s="83"/>
      <c r="K40092" s="82"/>
      <c r="M40092" s="112"/>
      <c r="N40092" s="84"/>
    </row>
    <row r="40093" spans="1:14" s="2" customFormat="1">
      <c r="A40093" s="83"/>
      <c r="H40093" s="83"/>
      <c r="K40093" s="82"/>
      <c r="M40093" s="112"/>
      <c r="N40093" s="84"/>
    </row>
    <row r="40094" spans="1:14" s="2" customFormat="1">
      <c r="A40094" s="83"/>
      <c r="H40094" s="83"/>
      <c r="K40094" s="82"/>
      <c r="M40094" s="112"/>
      <c r="N40094" s="84"/>
    </row>
    <row r="40095" spans="1:14" s="2" customFormat="1">
      <c r="A40095" s="83"/>
      <c r="H40095" s="83"/>
      <c r="K40095" s="82"/>
      <c r="M40095" s="112"/>
      <c r="N40095" s="84"/>
    </row>
    <row r="40096" spans="1:14" s="2" customFormat="1">
      <c r="A40096" s="83"/>
      <c r="H40096" s="83"/>
      <c r="K40096" s="82"/>
      <c r="M40096" s="112"/>
      <c r="N40096" s="84"/>
    </row>
    <row r="40097" spans="1:14" s="2" customFormat="1">
      <c r="A40097" s="83"/>
      <c r="H40097" s="83"/>
      <c r="K40097" s="82"/>
      <c r="M40097" s="112"/>
      <c r="N40097" s="84"/>
    </row>
    <row r="40098" spans="1:14" s="2" customFormat="1">
      <c r="A40098" s="83"/>
      <c r="H40098" s="83"/>
      <c r="K40098" s="82"/>
      <c r="M40098" s="112"/>
      <c r="N40098" s="84"/>
    </row>
    <row r="40099" spans="1:14" s="2" customFormat="1">
      <c r="A40099" s="83"/>
      <c r="H40099" s="83"/>
      <c r="K40099" s="82"/>
      <c r="M40099" s="112"/>
      <c r="N40099" s="84"/>
    </row>
    <row r="40100" spans="1:14" s="2" customFormat="1">
      <c r="A40100" s="83"/>
      <c r="H40100" s="83"/>
      <c r="K40100" s="82"/>
      <c r="M40100" s="112"/>
      <c r="N40100" s="84"/>
    </row>
    <row r="40101" spans="1:14" s="2" customFormat="1">
      <c r="A40101" s="83"/>
      <c r="H40101" s="83"/>
      <c r="K40101" s="82"/>
      <c r="M40101" s="112"/>
      <c r="N40101" s="84"/>
    </row>
    <row r="40102" spans="1:14" s="2" customFormat="1">
      <c r="A40102" s="83"/>
      <c r="H40102" s="83"/>
      <c r="K40102" s="82"/>
      <c r="M40102" s="112"/>
      <c r="N40102" s="84"/>
    </row>
    <row r="40103" spans="1:14" s="2" customFormat="1">
      <c r="A40103" s="83"/>
      <c r="H40103" s="83"/>
      <c r="K40103" s="82"/>
      <c r="M40103" s="112"/>
      <c r="N40103" s="84"/>
    </row>
    <row r="40104" spans="1:14" s="2" customFormat="1">
      <c r="A40104" s="83"/>
      <c r="H40104" s="83"/>
      <c r="K40104" s="82"/>
      <c r="M40104" s="112"/>
      <c r="N40104" s="84"/>
    </row>
    <row r="40105" spans="1:14" s="2" customFormat="1">
      <c r="A40105" s="83"/>
      <c r="H40105" s="83"/>
      <c r="K40105" s="82"/>
      <c r="M40105" s="112"/>
      <c r="N40105" s="84"/>
    </row>
    <row r="40106" spans="1:14" s="2" customFormat="1">
      <c r="A40106" s="83"/>
      <c r="H40106" s="83"/>
      <c r="K40106" s="82"/>
      <c r="M40106" s="112"/>
      <c r="N40106" s="84"/>
    </row>
    <row r="40107" spans="1:14" s="2" customFormat="1">
      <c r="A40107" s="83"/>
      <c r="H40107" s="83"/>
      <c r="K40107" s="82"/>
      <c r="M40107" s="112"/>
      <c r="N40107" s="84"/>
    </row>
    <row r="40108" spans="1:14" s="2" customFormat="1">
      <c r="A40108" s="83"/>
      <c r="H40108" s="83"/>
      <c r="K40108" s="82"/>
      <c r="M40108" s="112"/>
      <c r="N40108" s="84"/>
    </row>
    <row r="40109" spans="1:14" s="2" customFormat="1">
      <c r="A40109" s="83"/>
      <c r="H40109" s="83"/>
      <c r="K40109" s="82"/>
      <c r="M40109" s="112"/>
      <c r="N40109" s="84"/>
    </row>
    <row r="40110" spans="1:14" s="2" customFormat="1">
      <c r="A40110" s="83"/>
      <c r="H40110" s="83"/>
      <c r="K40110" s="82"/>
      <c r="M40110" s="112"/>
      <c r="N40110" s="84"/>
    </row>
    <row r="40111" spans="1:14" s="2" customFormat="1">
      <c r="A40111" s="83"/>
      <c r="H40111" s="83"/>
      <c r="K40111" s="82"/>
      <c r="M40111" s="112"/>
      <c r="N40111" s="84"/>
    </row>
    <row r="40112" spans="1:14" s="2" customFormat="1">
      <c r="A40112" s="83"/>
      <c r="H40112" s="83"/>
      <c r="K40112" s="82"/>
      <c r="M40112" s="112"/>
      <c r="N40112" s="84"/>
    </row>
    <row r="40113" spans="1:14" s="2" customFormat="1">
      <c r="A40113" s="83"/>
      <c r="H40113" s="83"/>
      <c r="K40113" s="82"/>
      <c r="M40113" s="112"/>
      <c r="N40113" s="84"/>
    </row>
    <row r="40114" spans="1:14" s="2" customFormat="1">
      <c r="A40114" s="83"/>
      <c r="H40114" s="83"/>
      <c r="K40114" s="82"/>
      <c r="M40114" s="112"/>
      <c r="N40114" s="84"/>
    </row>
    <row r="40115" spans="1:14" s="2" customFormat="1">
      <c r="A40115" s="83"/>
      <c r="H40115" s="83"/>
      <c r="K40115" s="82"/>
      <c r="M40115" s="112"/>
      <c r="N40115" s="84"/>
    </row>
    <row r="40116" spans="1:14" s="2" customFormat="1">
      <c r="A40116" s="83"/>
      <c r="H40116" s="83"/>
      <c r="K40116" s="82"/>
      <c r="M40116" s="112"/>
      <c r="N40116" s="84"/>
    </row>
    <row r="40117" spans="1:14" s="2" customFormat="1">
      <c r="A40117" s="83"/>
      <c r="H40117" s="83"/>
      <c r="K40117" s="82"/>
      <c r="M40117" s="112"/>
      <c r="N40117" s="84"/>
    </row>
    <row r="40118" spans="1:14" s="2" customFormat="1">
      <c r="A40118" s="83"/>
      <c r="H40118" s="83"/>
      <c r="K40118" s="82"/>
      <c r="M40118" s="112"/>
      <c r="N40118" s="84"/>
    </row>
    <row r="40119" spans="1:14" s="2" customFormat="1">
      <c r="A40119" s="83"/>
      <c r="H40119" s="83"/>
      <c r="K40119" s="82"/>
      <c r="M40119" s="112"/>
      <c r="N40119" s="84"/>
    </row>
    <row r="40120" spans="1:14" s="2" customFormat="1">
      <c r="A40120" s="83"/>
      <c r="H40120" s="83"/>
      <c r="K40120" s="82"/>
      <c r="M40120" s="112"/>
      <c r="N40120" s="84"/>
    </row>
    <row r="40121" spans="1:14" s="2" customFormat="1">
      <c r="A40121" s="83"/>
      <c r="H40121" s="83"/>
      <c r="K40121" s="82"/>
      <c r="M40121" s="112"/>
      <c r="N40121" s="84"/>
    </row>
    <row r="40122" spans="1:14" s="2" customFormat="1">
      <c r="A40122" s="83"/>
      <c r="H40122" s="83"/>
      <c r="K40122" s="82"/>
      <c r="M40122" s="112"/>
      <c r="N40122" s="84"/>
    </row>
    <row r="40123" spans="1:14" s="2" customFormat="1">
      <c r="A40123" s="83"/>
      <c r="H40123" s="83"/>
      <c r="K40123" s="82"/>
      <c r="M40123" s="112"/>
      <c r="N40123" s="84"/>
    </row>
    <row r="40124" spans="1:14" s="2" customFormat="1">
      <c r="A40124" s="83"/>
      <c r="H40124" s="83"/>
      <c r="K40124" s="82"/>
      <c r="M40124" s="112"/>
      <c r="N40124" s="84"/>
    </row>
    <row r="40125" spans="1:14" s="2" customFormat="1">
      <c r="A40125" s="83"/>
      <c r="H40125" s="83"/>
      <c r="K40125" s="82"/>
      <c r="M40125" s="112"/>
      <c r="N40125" s="84"/>
    </row>
    <row r="40126" spans="1:14" s="2" customFormat="1">
      <c r="A40126" s="83"/>
      <c r="H40126" s="83"/>
      <c r="K40126" s="82"/>
      <c r="M40126" s="112"/>
      <c r="N40126" s="84"/>
    </row>
    <row r="40127" spans="1:14" s="2" customFormat="1">
      <c r="A40127" s="83"/>
      <c r="H40127" s="83"/>
      <c r="K40127" s="82"/>
      <c r="M40127" s="112"/>
      <c r="N40127" s="84"/>
    </row>
    <row r="40128" spans="1:14" s="2" customFormat="1">
      <c r="A40128" s="83"/>
      <c r="H40128" s="83"/>
      <c r="K40128" s="82"/>
      <c r="M40128" s="112"/>
      <c r="N40128" s="84"/>
    </row>
    <row r="40129" spans="1:14" s="2" customFormat="1">
      <c r="A40129" s="83"/>
      <c r="H40129" s="83"/>
      <c r="K40129" s="82"/>
      <c r="M40129" s="112"/>
      <c r="N40129" s="84"/>
    </row>
    <row r="40130" spans="1:14" s="2" customFormat="1">
      <c r="A40130" s="83"/>
      <c r="H40130" s="83"/>
      <c r="K40130" s="82"/>
      <c r="M40130" s="112"/>
      <c r="N40130" s="84"/>
    </row>
    <row r="40131" spans="1:14" s="2" customFormat="1">
      <c r="A40131" s="83"/>
      <c r="H40131" s="83"/>
      <c r="K40131" s="82"/>
      <c r="M40131" s="112"/>
      <c r="N40131" s="84"/>
    </row>
    <row r="40132" spans="1:14" s="2" customFormat="1">
      <c r="A40132" s="83"/>
      <c r="H40132" s="83"/>
      <c r="K40132" s="82"/>
      <c r="M40132" s="112"/>
      <c r="N40132" s="84"/>
    </row>
    <row r="40133" spans="1:14" s="2" customFormat="1">
      <c r="A40133" s="83"/>
      <c r="H40133" s="83"/>
      <c r="K40133" s="82"/>
      <c r="M40133" s="112"/>
      <c r="N40133" s="84"/>
    </row>
    <row r="40134" spans="1:14" s="2" customFormat="1">
      <c r="A40134" s="83"/>
      <c r="H40134" s="83"/>
      <c r="K40134" s="82"/>
      <c r="M40134" s="112"/>
      <c r="N40134" s="84"/>
    </row>
    <row r="40135" spans="1:14" s="2" customFormat="1">
      <c r="A40135" s="83"/>
      <c r="H40135" s="83"/>
      <c r="K40135" s="82"/>
      <c r="M40135" s="112"/>
      <c r="N40135" s="84"/>
    </row>
    <row r="40136" spans="1:14" s="2" customFormat="1">
      <c r="A40136" s="83"/>
      <c r="H40136" s="83"/>
      <c r="K40136" s="82"/>
      <c r="M40136" s="112"/>
      <c r="N40136" s="84"/>
    </row>
    <row r="40137" spans="1:14" s="2" customFormat="1">
      <c r="A40137" s="83"/>
      <c r="H40137" s="83"/>
      <c r="K40137" s="82"/>
      <c r="M40137" s="112"/>
      <c r="N40137" s="84"/>
    </row>
    <row r="40138" spans="1:14" s="2" customFormat="1">
      <c r="A40138" s="83"/>
      <c r="H40138" s="83"/>
      <c r="K40138" s="82"/>
      <c r="M40138" s="112"/>
      <c r="N40138" s="84"/>
    </row>
    <row r="40139" spans="1:14" s="2" customFormat="1">
      <c r="A40139" s="83"/>
      <c r="H40139" s="83"/>
      <c r="K40139" s="82"/>
      <c r="M40139" s="112"/>
      <c r="N40139" s="84"/>
    </row>
    <row r="40140" spans="1:14" s="2" customFormat="1">
      <c r="A40140" s="83"/>
      <c r="H40140" s="83"/>
      <c r="K40140" s="82"/>
      <c r="M40140" s="112"/>
      <c r="N40140" s="84"/>
    </row>
    <row r="40141" spans="1:14" s="2" customFormat="1">
      <c r="A40141" s="83"/>
      <c r="H40141" s="83"/>
      <c r="K40141" s="82"/>
      <c r="M40141" s="112"/>
      <c r="N40141" s="84"/>
    </row>
    <row r="40142" spans="1:14" s="2" customFormat="1">
      <c r="A40142" s="83"/>
      <c r="H40142" s="83"/>
      <c r="K40142" s="82"/>
      <c r="M40142" s="112"/>
      <c r="N40142" s="84"/>
    </row>
    <row r="40143" spans="1:14" s="2" customFormat="1">
      <c r="A40143" s="83"/>
      <c r="H40143" s="83"/>
      <c r="K40143" s="82"/>
      <c r="M40143" s="112"/>
      <c r="N40143" s="84"/>
    </row>
    <row r="40144" spans="1:14" s="2" customFormat="1">
      <c r="A40144" s="83"/>
      <c r="H40144" s="83"/>
      <c r="K40144" s="82"/>
      <c r="M40144" s="112"/>
      <c r="N40144" s="84"/>
    </row>
    <row r="40145" spans="1:14" s="2" customFormat="1">
      <c r="A40145" s="83"/>
      <c r="H40145" s="83"/>
      <c r="K40145" s="82"/>
      <c r="M40145" s="112"/>
      <c r="N40145" s="84"/>
    </row>
    <row r="40146" spans="1:14" s="2" customFormat="1">
      <c r="A40146" s="83"/>
      <c r="H40146" s="83"/>
      <c r="K40146" s="82"/>
      <c r="M40146" s="112"/>
      <c r="N40146" s="84"/>
    </row>
    <row r="40147" spans="1:14" s="2" customFormat="1">
      <c r="A40147" s="83"/>
      <c r="H40147" s="83"/>
      <c r="K40147" s="82"/>
      <c r="M40147" s="112"/>
      <c r="N40147" s="84"/>
    </row>
    <row r="40148" spans="1:14" s="2" customFormat="1">
      <c r="A40148" s="83"/>
      <c r="H40148" s="83"/>
      <c r="K40148" s="82"/>
      <c r="M40148" s="112"/>
      <c r="N40148" s="84"/>
    </row>
    <row r="40149" spans="1:14" s="2" customFormat="1">
      <c r="A40149" s="83"/>
      <c r="H40149" s="83"/>
      <c r="K40149" s="82"/>
      <c r="M40149" s="112"/>
      <c r="N40149" s="84"/>
    </row>
    <row r="40150" spans="1:14" s="2" customFormat="1">
      <c r="A40150" s="83"/>
      <c r="H40150" s="83"/>
      <c r="K40150" s="82"/>
      <c r="M40150" s="112"/>
      <c r="N40150" s="84"/>
    </row>
    <row r="40151" spans="1:14" s="2" customFormat="1">
      <c r="A40151" s="83"/>
      <c r="H40151" s="83"/>
      <c r="K40151" s="82"/>
      <c r="M40151" s="112"/>
      <c r="N40151" s="84"/>
    </row>
    <row r="40152" spans="1:14" s="2" customFormat="1">
      <c r="A40152" s="83"/>
      <c r="H40152" s="83"/>
      <c r="K40152" s="82"/>
      <c r="M40152" s="112"/>
      <c r="N40152" s="84"/>
    </row>
    <row r="40153" spans="1:14" s="2" customFormat="1">
      <c r="A40153" s="83"/>
      <c r="H40153" s="83"/>
      <c r="K40153" s="82"/>
      <c r="M40153" s="112"/>
      <c r="N40153" s="84"/>
    </row>
    <row r="40154" spans="1:14" s="2" customFormat="1">
      <c r="A40154" s="83"/>
      <c r="H40154" s="83"/>
      <c r="K40154" s="82"/>
      <c r="M40154" s="112"/>
      <c r="N40154" s="84"/>
    </row>
    <row r="40155" spans="1:14" s="2" customFormat="1">
      <c r="A40155" s="83"/>
      <c r="H40155" s="83"/>
      <c r="K40155" s="82"/>
      <c r="M40155" s="112"/>
      <c r="N40155" s="84"/>
    </row>
    <row r="40156" spans="1:14" s="2" customFormat="1">
      <c r="A40156" s="83"/>
      <c r="H40156" s="83"/>
      <c r="K40156" s="82"/>
      <c r="M40156" s="112"/>
      <c r="N40156" s="84"/>
    </row>
    <row r="40157" spans="1:14" s="2" customFormat="1">
      <c r="A40157" s="83"/>
      <c r="H40157" s="83"/>
      <c r="K40157" s="82"/>
      <c r="M40157" s="112"/>
      <c r="N40157" s="84"/>
    </row>
    <row r="40158" spans="1:14" s="2" customFormat="1">
      <c r="A40158" s="83"/>
      <c r="H40158" s="83"/>
      <c r="K40158" s="82"/>
      <c r="M40158" s="112"/>
      <c r="N40158" s="84"/>
    </row>
    <row r="40159" spans="1:14" s="2" customFormat="1">
      <c r="A40159" s="83"/>
      <c r="H40159" s="83"/>
      <c r="K40159" s="82"/>
      <c r="M40159" s="112"/>
      <c r="N40159" s="84"/>
    </row>
    <row r="40160" spans="1:14" s="2" customFormat="1">
      <c r="A40160" s="83"/>
      <c r="H40160" s="83"/>
      <c r="K40160" s="82"/>
      <c r="M40160" s="112"/>
      <c r="N40160" s="84"/>
    </row>
    <row r="40161" spans="1:14" s="2" customFormat="1">
      <c r="A40161" s="83"/>
      <c r="H40161" s="83"/>
      <c r="K40161" s="82"/>
      <c r="M40161" s="112"/>
      <c r="N40161" s="84"/>
    </row>
    <row r="40162" spans="1:14" s="2" customFormat="1">
      <c r="A40162" s="83"/>
      <c r="H40162" s="83"/>
      <c r="K40162" s="82"/>
      <c r="M40162" s="112"/>
      <c r="N40162" s="84"/>
    </row>
    <row r="40163" spans="1:14" s="2" customFormat="1">
      <c r="A40163" s="83"/>
      <c r="H40163" s="83"/>
      <c r="K40163" s="82"/>
      <c r="M40163" s="112"/>
      <c r="N40163" s="84"/>
    </row>
    <row r="40164" spans="1:14" s="2" customFormat="1">
      <c r="A40164" s="83"/>
      <c r="H40164" s="83"/>
      <c r="K40164" s="82"/>
      <c r="M40164" s="112"/>
      <c r="N40164" s="84"/>
    </row>
    <row r="40165" spans="1:14" s="2" customFormat="1">
      <c r="A40165" s="83"/>
      <c r="H40165" s="83"/>
      <c r="K40165" s="82"/>
      <c r="M40165" s="112"/>
      <c r="N40165" s="84"/>
    </row>
    <row r="40166" spans="1:14" s="2" customFormat="1">
      <c r="A40166" s="83"/>
      <c r="H40166" s="83"/>
      <c r="K40166" s="82"/>
      <c r="M40166" s="112"/>
      <c r="N40166" s="84"/>
    </row>
    <row r="40167" spans="1:14" s="2" customFormat="1">
      <c r="A40167" s="83"/>
      <c r="H40167" s="83"/>
      <c r="K40167" s="82"/>
      <c r="M40167" s="112"/>
      <c r="N40167" s="84"/>
    </row>
    <row r="40168" spans="1:14" s="2" customFormat="1">
      <c r="A40168" s="83"/>
      <c r="H40168" s="83"/>
      <c r="K40168" s="82"/>
      <c r="M40168" s="112"/>
      <c r="N40168" s="84"/>
    </row>
    <row r="40169" spans="1:14" s="2" customFormat="1">
      <c r="A40169" s="83"/>
      <c r="H40169" s="83"/>
      <c r="K40169" s="82"/>
      <c r="M40169" s="112"/>
      <c r="N40169" s="84"/>
    </row>
    <row r="40170" spans="1:14" s="2" customFormat="1">
      <c r="A40170" s="83"/>
      <c r="H40170" s="83"/>
      <c r="K40170" s="82"/>
      <c r="M40170" s="112"/>
      <c r="N40170" s="84"/>
    </row>
    <row r="40171" spans="1:14" s="2" customFormat="1">
      <c r="A40171" s="83"/>
      <c r="H40171" s="83"/>
      <c r="K40171" s="82"/>
      <c r="M40171" s="112"/>
      <c r="N40171" s="84"/>
    </row>
    <row r="40172" spans="1:14" s="2" customFormat="1">
      <c r="A40172" s="83"/>
      <c r="H40172" s="83"/>
      <c r="K40172" s="82"/>
      <c r="M40172" s="112"/>
      <c r="N40172" s="84"/>
    </row>
    <row r="40173" spans="1:14" s="2" customFormat="1">
      <c r="A40173" s="83"/>
      <c r="H40173" s="83"/>
      <c r="K40173" s="82"/>
      <c r="M40173" s="112"/>
      <c r="N40173" s="84"/>
    </row>
    <row r="40174" spans="1:14" s="2" customFormat="1">
      <c r="A40174" s="83"/>
      <c r="H40174" s="83"/>
      <c r="K40174" s="82"/>
      <c r="M40174" s="112"/>
      <c r="N40174" s="84"/>
    </row>
    <row r="40175" spans="1:14" s="2" customFormat="1">
      <c r="A40175" s="83"/>
      <c r="H40175" s="83"/>
      <c r="K40175" s="82"/>
      <c r="M40175" s="112"/>
      <c r="N40175" s="84"/>
    </row>
    <row r="40176" spans="1:14" s="2" customFormat="1">
      <c r="A40176" s="83"/>
      <c r="H40176" s="83"/>
      <c r="K40176" s="82"/>
      <c r="M40176" s="112"/>
      <c r="N40176" s="84"/>
    </row>
    <row r="40177" spans="1:14" s="2" customFormat="1">
      <c r="A40177" s="83"/>
      <c r="H40177" s="83"/>
      <c r="K40177" s="82"/>
      <c r="M40177" s="112"/>
      <c r="N40177" s="84"/>
    </row>
    <row r="40178" spans="1:14" s="2" customFormat="1">
      <c r="A40178" s="83"/>
      <c r="H40178" s="83"/>
      <c r="K40178" s="82"/>
      <c r="M40178" s="112"/>
      <c r="N40178" s="84"/>
    </row>
    <row r="40179" spans="1:14" s="2" customFormat="1">
      <c r="A40179" s="83"/>
      <c r="H40179" s="83"/>
      <c r="K40179" s="82"/>
      <c r="M40179" s="112"/>
      <c r="N40179" s="84"/>
    </row>
    <row r="40180" spans="1:14" s="2" customFormat="1">
      <c r="A40180" s="83"/>
      <c r="H40180" s="83"/>
      <c r="K40180" s="82"/>
      <c r="M40180" s="112"/>
      <c r="N40180" s="84"/>
    </row>
    <row r="40181" spans="1:14" s="2" customFormat="1">
      <c r="A40181" s="83"/>
      <c r="H40181" s="83"/>
      <c r="K40181" s="82"/>
      <c r="M40181" s="112"/>
      <c r="N40181" s="84"/>
    </row>
    <row r="40182" spans="1:14" s="2" customFormat="1">
      <c r="A40182" s="83"/>
      <c r="H40182" s="83"/>
      <c r="K40182" s="82"/>
      <c r="M40182" s="112"/>
      <c r="N40182" s="84"/>
    </row>
    <row r="40183" spans="1:14" s="2" customFormat="1">
      <c r="A40183" s="83"/>
      <c r="H40183" s="83"/>
      <c r="K40183" s="82"/>
      <c r="M40183" s="112"/>
      <c r="N40183" s="84"/>
    </row>
    <row r="40184" spans="1:14" s="2" customFormat="1">
      <c r="A40184" s="83"/>
      <c r="H40184" s="83"/>
      <c r="K40184" s="82"/>
      <c r="M40184" s="112"/>
      <c r="N40184" s="84"/>
    </row>
    <row r="40185" spans="1:14" s="2" customFormat="1">
      <c r="A40185" s="83"/>
      <c r="H40185" s="83"/>
      <c r="K40185" s="82"/>
      <c r="M40185" s="112"/>
      <c r="N40185" s="84"/>
    </row>
    <row r="40186" spans="1:14" s="2" customFormat="1">
      <c r="A40186" s="83"/>
      <c r="H40186" s="83"/>
      <c r="K40186" s="82"/>
      <c r="M40186" s="112"/>
      <c r="N40186" s="84"/>
    </row>
    <row r="40187" spans="1:14" s="2" customFormat="1">
      <c r="A40187" s="83"/>
      <c r="H40187" s="83"/>
      <c r="K40187" s="82"/>
      <c r="M40187" s="112"/>
      <c r="N40187" s="84"/>
    </row>
    <row r="40188" spans="1:14" s="2" customFormat="1">
      <c r="A40188" s="83"/>
      <c r="H40188" s="83"/>
      <c r="K40188" s="82"/>
      <c r="M40188" s="112"/>
      <c r="N40188" s="84"/>
    </row>
    <row r="40189" spans="1:14" s="2" customFormat="1">
      <c r="A40189" s="83"/>
      <c r="H40189" s="83"/>
      <c r="K40189" s="82"/>
      <c r="M40189" s="112"/>
      <c r="N40189" s="84"/>
    </row>
    <row r="40190" spans="1:14" s="2" customFormat="1">
      <c r="A40190" s="83"/>
      <c r="H40190" s="83"/>
      <c r="K40190" s="82"/>
      <c r="M40190" s="112"/>
      <c r="N40190" s="84"/>
    </row>
    <row r="40191" spans="1:14" s="2" customFormat="1">
      <c r="A40191" s="83"/>
      <c r="H40191" s="83"/>
      <c r="K40191" s="82"/>
      <c r="M40191" s="112"/>
      <c r="N40191" s="84"/>
    </row>
    <row r="40192" spans="1:14" s="2" customFormat="1">
      <c r="A40192" s="83"/>
      <c r="H40192" s="83"/>
      <c r="K40192" s="82"/>
      <c r="M40192" s="112"/>
      <c r="N40192" s="84"/>
    </row>
    <row r="40193" spans="1:14" s="2" customFormat="1">
      <c r="A40193" s="83"/>
      <c r="H40193" s="83"/>
      <c r="K40193" s="82"/>
      <c r="M40193" s="112"/>
      <c r="N40193" s="84"/>
    </row>
    <row r="40194" spans="1:14" s="2" customFormat="1">
      <c r="A40194" s="83"/>
      <c r="H40194" s="83"/>
      <c r="K40194" s="82"/>
      <c r="M40194" s="112"/>
      <c r="N40194" s="84"/>
    </row>
    <row r="40195" spans="1:14" s="2" customFormat="1">
      <c r="A40195" s="83"/>
      <c r="H40195" s="83"/>
      <c r="K40195" s="82"/>
      <c r="M40195" s="112"/>
      <c r="N40195" s="84"/>
    </row>
    <row r="40196" spans="1:14" s="2" customFormat="1">
      <c r="A40196" s="83"/>
      <c r="H40196" s="83"/>
      <c r="K40196" s="82"/>
      <c r="M40196" s="112"/>
      <c r="N40196" s="84"/>
    </row>
    <row r="40197" spans="1:14" s="2" customFormat="1">
      <c r="A40197" s="83"/>
      <c r="H40197" s="83"/>
      <c r="K40197" s="82"/>
      <c r="M40197" s="112"/>
      <c r="N40197" s="84"/>
    </row>
    <row r="40198" spans="1:14" s="2" customFormat="1">
      <c r="A40198" s="83"/>
      <c r="H40198" s="83"/>
      <c r="K40198" s="82"/>
      <c r="M40198" s="112"/>
      <c r="N40198" s="84"/>
    </row>
    <row r="40199" spans="1:14" s="2" customFormat="1">
      <c r="A40199" s="83"/>
      <c r="H40199" s="83"/>
      <c r="K40199" s="82"/>
      <c r="M40199" s="112"/>
      <c r="N40199" s="84"/>
    </row>
    <row r="40200" spans="1:14" s="2" customFormat="1">
      <c r="A40200" s="83"/>
      <c r="H40200" s="83"/>
      <c r="K40200" s="82"/>
      <c r="M40200" s="112"/>
      <c r="N40200" s="84"/>
    </row>
    <row r="40201" spans="1:14" s="2" customFormat="1">
      <c r="A40201" s="83"/>
      <c r="H40201" s="83"/>
      <c r="K40201" s="82"/>
      <c r="M40201" s="112"/>
      <c r="N40201" s="84"/>
    </row>
    <row r="40202" spans="1:14" s="2" customFormat="1">
      <c r="A40202" s="83"/>
      <c r="H40202" s="83"/>
      <c r="K40202" s="82"/>
      <c r="M40202" s="112"/>
      <c r="N40202" s="84"/>
    </row>
    <row r="40203" spans="1:14" s="2" customFormat="1">
      <c r="A40203" s="83"/>
      <c r="H40203" s="83"/>
      <c r="K40203" s="82"/>
      <c r="M40203" s="112"/>
      <c r="N40203" s="84"/>
    </row>
    <row r="40204" spans="1:14" s="2" customFormat="1">
      <c r="A40204" s="83"/>
      <c r="H40204" s="83"/>
      <c r="K40204" s="82"/>
      <c r="M40204" s="112"/>
      <c r="N40204" s="84"/>
    </row>
    <row r="40205" spans="1:14" s="2" customFormat="1">
      <c r="A40205" s="83"/>
      <c r="H40205" s="83"/>
      <c r="K40205" s="82"/>
      <c r="M40205" s="112"/>
      <c r="N40205" s="84"/>
    </row>
    <row r="40206" spans="1:14" s="2" customFormat="1">
      <c r="A40206" s="83"/>
      <c r="H40206" s="83"/>
      <c r="K40206" s="82"/>
      <c r="M40206" s="112"/>
      <c r="N40206" s="84"/>
    </row>
    <row r="40207" spans="1:14" s="2" customFormat="1">
      <c r="A40207" s="83"/>
      <c r="H40207" s="83"/>
      <c r="K40207" s="82"/>
      <c r="M40207" s="112"/>
      <c r="N40207" s="84"/>
    </row>
    <row r="40208" spans="1:14" s="2" customFormat="1">
      <c r="A40208" s="83"/>
      <c r="H40208" s="83"/>
      <c r="K40208" s="82"/>
      <c r="M40208" s="112"/>
      <c r="N40208" s="84"/>
    </row>
    <row r="40209" spans="1:14" s="2" customFormat="1">
      <c r="A40209" s="83"/>
      <c r="H40209" s="83"/>
      <c r="K40209" s="82"/>
      <c r="M40209" s="112"/>
      <c r="N40209" s="84"/>
    </row>
    <row r="40210" spans="1:14" s="2" customFormat="1">
      <c r="A40210" s="83"/>
      <c r="H40210" s="83"/>
      <c r="K40210" s="82"/>
      <c r="M40210" s="112"/>
      <c r="N40210" s="84"/>
    </row>
    <row r="40211" spans="1:14" s="2" customFormat="1">
      <c r="A40211" s="83"/>
      <c r="H40211" s="83"/>
      <c r="K40211" s="82"/>
      <c r="M40211" s="112"/>
      <c r="N40211" s="84"/>
    </row>
    <row r="40212" spans="1:14" s="2" customFormat="1">
      <c r="A40212" s="83"/>
      <c r="H40212" s="83"/>
      <c r="K40212" s="82"/>
      <c r="M40212" s="112"/>
      <c r="N40212" s="84"/>
    </row>
    <row r="40213" spans="1:14" s="2" customFormat="1">
      <c r="A40213" s="83"/>
      <c r="H40213" s="83"/>
      <c r="K40213" s="82"/>
      <c r="M40213" s="112"/>
      <c r="N40213" s="84"/>
    </row>
    <row r="40214" spans="1:14" s="2" customFormat="1">
      <c r="A40214" s="83"/>
      <c r="H40214" s="83"/>
      <c r="K40214" s="82"/>
      <c r="M40214" s="112"/>
      <c r="N40214" s="84"/>
    </row>
    <row r="40215" spans="1:14" s="2" customFormat="1">
      <c r="A40215" s="83"/>
      <c r="H40215" s="83"/>
      <c r="K40215" s="82"/>
      <c r="M40215" s="112"/>
      <c r="N40215" s="84"/>
    </row>
    <row r="40216" spans="1:14" s="2" customFormat="1">
      <c r="A40216" s="83"/>
      <c r="H40216" s="83"/>
      <c r="K40216" s="82"/>
      <c r="M40216" s="112"/>
      <c r="N40216" s="84"/>
    </row>
    <row r="40217" spans="1:14" s="2" customFormat="1">
      <c r="A40217" s="83"/>
      <c r="H40217" s="83"/>
      <c r="K40217" s="82"/>
      <c r="M40217" s="112"/>
      <c r="N40217" s="84"/>
    </row>
    <row r="40218" spans="1:14" s="2" customFormat="1">
      <c r="A40218" s="83"/>
      <c r="H40218" s="83"/>
      <c r="K40218" s="82"/>
      <c r="M40218" s="112"/>
      <c r="N40218" s="84"/>
    </row>
    <row r="40219" spans="1:14" s="2" customFormat="1">
      <c r="A40219" s="83"/>
      <c r="H40219" s="83"/>
      <c r="K40219" s="82"/>
      <c r="M40219" s="112"/>
      <c r="N40219" s="84"/>
    </row>
    <row r="40220" spans="1:14" s="2" customFormat="1">
      <c r="A40220" s="83"/>
      <c r="H40220" s="83"/>
      <c r="K40220" s="82"/>
      <c r="M40220" s="112"/>
      <c r="N40220" s="84"/>
    </row>
    <row r="40221" spans="1:14" s="2" customFormat="1">
      <c r="A40221" s="83"/>
      <c r="H40221" s="83"/>
      <c r="K40221" s="82"/>
      <c r="M40221" s="112"/>
      <c r="N40221" s="84"/>
    </row>
    <row r="40222" spans="1:14" s="2" customFormat="1">
      <c r="A40222" s="83"/>
      <c r="H40222" s="83"/>
      <c r="K40222" s="82"/>
      <c r="M40222" s="112"/>
      <c r="N40222" s="84"/>
    </row>
    <row r="40223" spans="1:14" s="2" customFormat="1">
      <c r="A40223" s="83"/>
      <c r="H40223" s="83"/>
      <c r="K40223" s="82"/>
      <c r="M40223" s="112"/>
      <c r="N40223" s="84"/>
    </row>
    <row r="40224" spans="1:14" s="2" customFormat="1">
      <c r="A40224" s="83"/>
      <c r="H40224" s="83"/>
      <c r="K40224" s="82"/>
      <c r="M40224" s="112"/>
      <c r="N40224" s="84"/>
    </row>
    <row r="40225" spans="1:14" s="2" customFormat="1">
      <c r="A40225" s="83"/>
      <c r="H40225" s="83"/>
      <c r="K40225" s="82"/>
      <c r="M40225" s="112"/>
      <c r="N40225" s="84"/>
    </row>
    <row r="40226" spans="1:14" s="2" customFormat="1">
      <c r="A40226" s="83"/>
      <c r="H40226" s="83"/>
      <c r="K40226" s="82"/>
      <c r="M40226" s="112"/>
      <c r="N40226" s="84"/>
    </row>
    <row r="40227" spans="1:14" s="2" customFormat="1">
      <c r="A40227" s="83"/>
      <c r="H40227" s="83"/>
      <c r="K40227" s="82"/>
      <c r="M40227" s="112"/>
      <c r="N40227" s="84"/>
    </row>
    <row r="40228" spans="1:14" s="2" customFormat="1">
      <c r="A40228" s="83"/>
      <c r="H40228" s="83"/>
      <c r="K40228" s="82"/>
      <c r="M40228" s="112"/>
      <c r="N40228" s="84"/>
    </row>
    <row r="40229" spans="1:14" s="2" customFormat="1">
      <c r="A40229" s="83"/>
      <c r="H40229" s="83"/>
      <c r="K40229" s="82"/>
      <c r="M40229" s="112"/>
      <c r="N40229" s="84"/>
    </row>
    <row r="40230" spans="1:14" s="2" customFormat="1">
      <c r="A40230" s="83"/>
      <c r="H40230" s="83"/>
      <c r="K40230" s="82"/>
      <c r="M40230" s="112"/>
      <c r="N40230" s="84"/>
    </row>
    <row r="40231" spans="1:14" s="2" customFormat="1">
      <c r="A40231" s="83"/>
      <c r="H40231" s="83"/>
      <c r="K40231" s="82"/>
      <c r="M40231" s="112"/>
      <c r="N40231" s="84"/>
    </row>
    <row r="40232" spans="1:14" s="2" customFormat="1">
      <c r="A40232" s="83"/>
      <c r="H40232" s="83"/>
      <c r="K40232" s="82"/>
      <c r="M40232" s="112"/>
      <c r="N40232" s="84"/>
    </row>
    <row r="40233" spans="1:14" s="2" customFormat="1">
      <c r="A40233" s="83"/>
      <c r="H40233" s="83"/>
      <c r="K40233" s="82"/>
      <c r="M40233" s="112"/>
      <c r="N40233" s="84"/>
    </row>
    <row r="40234" spans="1:14" s="2" customFormat="1">
      <c r="A40234" s="83"/>
      <c r="H40234" s="83"/>
      <c r="K40234" s="82"/>
      <c r="M40234" s="112"/>
      <c r="N40234" s="84"/>
    </row>
    <row r="40235" spans="1:14" s="2" customFormat="1">
      <c r="A40235" s="83"/>
      <c r="H40235" s="83"/>
      <c r="K40235" s="82"/>
      <c r="M40235" s="112"/>
      <c r="N40235" s="84"/>
    </row>
    <row r="40236" spans="1:14" s="2" customFormat="1">
      <c r="A40236" s="83"/>
      <c r="H40236" s="83"/>
      <c r="K40236" s="82"/>
      <c r="M40236" s="112"/>
      <c r="N40236" s="84"/>
    </row>
    <row r="40237" spans="1:14" s="2" customFormat="1">
      <c r="A40237" s="83"/>
      <c r="H40237" s="83"/>
      <c r="K40237" s="82"/>
      <c r="M40237" s="112"/>
      <c r="N40237" s="84"/>
    </row>
    <row r="40238" spans="1:14" s="2" customFormat="1">
      <c r="A40238" s="83"/>
      <c r="H40238" s="83"/>
      <c r="K40238" s="82"/>
      <c r="M40238" s="112"/>
      <c r="N40238" s="84"/>
    </row>
    <row r="40239" spans="1:14" s="2" customFormat="1">
      <c r="A40239" s="83"/>
      <c r="H40239" s="83"/>
      <c r="K40239" s="82"/>
      <c r="M40239" s="112"/>
      <c r="N40239" s="84"/>
    </row>
    <row r="40240" spans="1:14" s="2" customFormat="1">
      <c r="A40240" s="83"/>
      <c r="H40240" s="83"/>
      <c r="K40240" s="82"/>
      <c r="M40240" s="112"/>
      <c r="N40240" s="84"/>
    </row>
    <row r="40241" spans="1:14" s="2" customFormat="1">
      <c r="A40241" s="83"/>
      <c r="H40241" s="83"/>
      <c r="K40241" s="82"/>
      <c r="M40241" s="112"/>
      <c r="N40241" s="84"/>
    </row>
    <row r="40242" spans="1:14" s="2" customFormat="1">
      <c r="A40242" s="83"/>
      <c r="H40242" s="83"/>
      <c r="K40242" s="82"/>
      <c r="M40242" s="112"/>
      <c r="N40242" s="84"/>
    </row>
    <row r="40243" spans="1:14" s="2" customFormat="1">
      <c r="A40243" s="83"/>
      <c r="H40243" s="83"/>
      <c r="K40243" s="82"/>
      <c r="M40243" s="112"/>
      <c r="N40243" s="84"/>
    </row>
    <row r="40244" spans="1:14" s="2" customFormat="1">
      <c r="A40244" s="83"/>
      <c r="H40244" s="83"/>
      <c r="K40244" s="82"/>
      <c r="M40244" s="112"/>
      <c r="N40244" s="84"/>
    </row>
    <row r="40245" spans="1:14" s="2" customFormat="1">
      <c r="A40245" s="83"/>
      <c r="H40245" s="83"/>
      <c r="K40245" s="82"/>
      <c r="M40245" s="112"/>
      <c r="N40245" s="84"/>
    </row>
    <row r="40246" spans="1:14" s="2" customFormat="1">
      <c r="A40246" s="83"/>
      <c r="H40246" s="83"/>
      <c r="K40246" s="82"/>
      <c r="M40246" s="112"/>
      <c r="N40246" s="84"/>
    </row>
    <row r="40247" spans="1:14" s="2" customFormat="1">
      <c r="A40247" s="83"/>
      <c r="H40247" s="83"/>
      <c r="K40247" s="82"/>
      <c r="M40247" s="112"/>
      <c r="N40247" s="84"/>
    </row>
    <row r="40248" spans="1:14" s="2" customFormat="1">
      <c r="A40248" s="83"/>
      <c r="H40248" s="83"/>
      <c r="K40248" s="82"/>
      <c r="M40248" s="112"/>
      <c r="N40248" s="84"/>
    </row>
    <row r="40249" spans="1:14" s="2" customFormat="1">
      <c r="A40249" s="83"/>
      <c r="H40249" s="83"/>
      <c r="K40249" s="82"/>
      <c r="M40249" s="112"/>
      <c r="N40249" s="84"/>
    </row>
    <row r="40250" spans="1:14" s="2" customFormat="1">
      <c r="A40250" s="83"/>
      <c r="H40250" s="83"/>
      <c r="K40250" s="82"/>
      <c r="M40250" s="112"/>
      <c r="N40250" s="84"/>
    </row>
    <row r="40251" spans="1:14" s="2" customFormat="1">
      <c r="A40251" s="83"/>
      <c r="H40251" s="83"/>
      <c r="K40251" s="82"/>
      <c r="M40251" s="112"/>
      <c r="N40251" s="84"/>
    </row>
    <row r="40252" spans="1:14" s="2" customFormat="1">
      <c r="A40252" s="83"/>
      <c r="H40252" s="83"/>
      <c r="K40252" s="82"/>
      <c r="M40252" s="112"/>
      <c r="N40252" s="84"/>
    </row>
    <row r="40253" spans="1:14" s="2" customFormat="1">
      <c r="A40253" s="83"/>
      <c r="H40253" s="83"/>
      <c r="K40253" s="82"/>
      <c r="M40253" s="112"/>
      <c r="N40253" s="84"/>
    </row>
    <row r="40254" spans="1:14" s="2" customFormat="1">
      <c r="A40254" s="83"/>
      <c r="H40254" s="83"/>
      <c r="K40254" s="82"/>
      <c r="M40254" s="112"/>
      <c r="N40254" s="84"/>
    </row>
    <row r="40255" spans="1:14" s="2" customFormat="1">
      <c r="A40255" s="83"/>
      <c r="H40255" s="83"/>
      <c r="K40255" s="82"/>
      <c r="M40255" s="112"/>
      <c r="N40255" s="84"/>
    </row>
    <row r="40256" spans="1:14" s="2" customFormat="1">
      <c r="A40256" s="83"/>
      <c r="H40256" s="83"/>
      <c r="K40256" s="82"/>
      <c r="M40256" s="112"/>
      <c r="N40256" s="84"/>
    </row>
    <row r="40257" spans="1:14" s="2" customFormat="1">
      <c r="A40257" s="83"/>
      <c r="H40257" s="83"/>
      <c r="K40257" s="82"/>
      <c r="M40257" s="112"/>
      <c r="N40257" s="84"/>
    </row>
    <row r="40258" spans="1:14" s="2" customFormat="1">
      <c r="A40258" s="83"/>
      <c r="H40258" s="83"/>
      <c r="K40258" s="82"/>
      <c r="M40258" s="112"/>
      <c r="N40258" s="84"/>
    </row>
    <row r="40259" spans="1:14" s="2" customFormat="1">
      <c r="A40259" s="83"/>
      <c r="H40259" s="83"/>
      <c r="K40259" s="82"/>
      <c r="M40259" s="112"/>
      <c r="N40259" s="84"/>
    </row>
    <row r="40260" spans="1:14" s="2" customFormat="1">
      <c r="A40260" s="83"/>
      <c r="H40260" s="83"/>
      <c r="K40260" s="82"/>
      <c r="M40260" s="112"/>
      <c r="N40260" s="84"/>
    </row>
    <row r="40261" spans="1:14" s="2" customFormat="1">
      <c r="A40261" s="83"/>
      <c r="H40261" s="83"/>
      <c r="K40261" s="82"/>
      <c r="M40261" s="112"/>
      <c r="N40261" s="84"/>
    </row>
    <row r="40262" spans="1:14" s="2" customFormat="1">
      <c r="A40262" s="83"/>
      <c r="H40262" s="83"/>
      <c r="K40262" s="82"/>
      <c r="M40262" s="112"/>
      <c r="N40262" s="84"/>
    </row>
    <row r="40263" spans="1:14" s="2" customFormat="1">
      <c r="A40263" s="83"/>
      <c r="H40263" s="83"/>
      <c r="K40263" s="82"/>
      <c r="M40263" s="112"/>
      <c r="N40263" s="84"/>
    </row>
    <row r="40264" spans="1:14" s="2" customFormat="1">
      <c r="A40264" s="83"/>
      <c r="H40264" s="83"/>
      <c r="K40264" s="82"/>
      <c r="M40264" s="112"/>
      <c r="N40264" s="84"/>
    </row>
    <row r="40265" spans="1:14" s="2" customFormat="1">
      <c r="A40265" s="83"/>
      <c r="H40265" s="83"/>
      <c r="K40265" s="82"/>
      <c r="M40265" s="112"/>
      <c r="N40265" s="84"/>
    </row>
    <row r="40266" spans="1:14" s="2" customFormat="1">
      <c r="A40266" s="83"/>
      <c r="H40266" s="83"/>
      <c r="K40266" s="82"/>
      <c r="M40266" s="112"/>
      <c r="N40266" s="84"/>
    </row>
    <row r="40267" spans="1:14" s="2" customFormat="1">
      <c r="A40267" s="83"/>
      <c r="H40267" s="83"/>
      <c r="K40267" s="82"/>
      <c r="M40267" s="112"/>
      <c r="N40267" s="84"/>
    </row>
    <row r="40268" spans="1:14" s="2" customFormat="1">
      <c r="A40268" s="83"/>
      <c r="H40268" s="83"/>
      <c r="K40268" s="82"/>
      <c r="M40268" s="112"/>
      <c r="N40268" s="84"/>
    </row>
    <row r="40269" spans="1:14" s="2" customFormat="1">
      <c r="A40269" s="83"/>
      <c r="H40269" s="83"/>
      <c r="K40269" s="82"/>
      <c r="M40269" s="112"/>
      <c r="N40269" s="84"/>
    </row>
    <row r="40270" spans="1:14" s="2" customFormat="1">
      <c r="A40270" s="83"/>
      <c r="H40270" s="83"/>
      <c r="K40270" s="82"/>
      <c r="M40270" s="112"/>
      <c r="N40270" s="84"/>
    </row>
    <row r="40271" spans="1:14" s="2" customFormat="1">
      <c r="A40271" s="83"/>
      <c r="H40271" s="83"/>
      <c r="K40271" s="82"/>
      <c r="M40271" s="112"/>
      <c r="N40271" s="84"/>
    </row>
    <row r="40272" spans="1:14" s="2" customFormat="1">
      <c r="A40272" s="83"/>
      <c r="H40272" s="83"/>
      <c r="K40272" s="82"/>
      <c r="M40272" s="112"/>
      <c r="N40272" s="84"/>
    </row>
    <row r="40273" spans="1:14" s="2" customFormat="1">
      <c r="A40273" s="83"/>
      <c r="H40273" s="83"/>
      <c r="K40273" s="82"/>
      <c r="M40273" s="112"/>
      <c r="N40273" s="84"/>
    </row>
    <row r="40274" spans="1:14" s="2" customFormat="1">
      <c r="A40274" s="83"/>
      <c r="H40274" s="83"/>
      <c r="K40274" s="82"/>
      <c r="M40274" s="112"/>
      <c r="N40274" s="84"/>
    </row>
    <row r="40275" spans="1:14" s="2" customFormat="1">
      <c r="A40275" s="83"/>
      <c r="H40275" s="83"/>
      <c r="K40275" s="82"/>
      <c r="M40275" s="112"/>
      <c r="N40275" s="84"/>
    </row>
    <row r="40276" spans="1:14" s="2" customFormat="1">
      <c r="A40276" s="83"/>
      <c r="H40276" s="83"/>
      <c r="K40276" s="82"/>
      <c r="M40276" s="112"/>
      <c r="N40276" s="84"/>
    </row>
    <row r="40277" spans="1:14" s="2" customFormat="1">
      <c r="A40277" s="83"/>
      <c r="H40277" s="83"/>
      <c r="K40277" s="82"/>
      <c r="M40277" s="112"/>
      <c r="N40277" s="84"/>
    </row>
    <row r="40278" spans="1:14" s="2" customFormat="1">
      <c r="A40278" s="83"/>
      <c r="H40278" s="83"/>
      <c r="K40278" s="82"/>
      <c r="M40278" s="112"/>
      <c r="N40278" s="84"/>
    </row>
    <row r="40279" spans="1:14" s="2" customFormat="1">
      <c r="A40279" s="83"/>
      <c r="H40279" s="83"/>
      <c r="K40279" s="82"/>
      <c r="M40279" s="112"/>
      <c r="N40279" s="84"/>
    </row>
    <row r="40280" spans="1:14" s="2" customFormat="1">
      <c r="A40280" s="83"/>
      <c r="H40280" s="83"/>
      <c r="K40280" s="82"/>
      <c r="M40280" s="112"/>
      <c r="N40280" s="84"/>
    </row>
    <row r="40281" spans="1:14" s="2" customFormat="1">
      <c r="A40281" s="83"/>
      <c r="H40281" s="83"/>
      <c r="K40281" s="82"/>
      <c r="M40281" s="112"/>
      <c r="N40281" s="84"/>
    </row>
    <row r="40282" spans="1:14" s="2" customFormat="1">
      <c r="A40282" s="83"/>
      <c r="H40282" s="83"/>
      <c r="K40282" s="82"/>
      <c r="M40282" s="112"/>
      <c r="N40282" s="84"/>
    </row>
    <row r="40283" spans="1:14" s="2" customFormat="1">
      <c r="A40283" s="83"/>
      <c r="H40283" s="83"/>
      <c r="K40283" s="82"/>
      <c r="M40283" s="112"/>
      <c r="N40283" s="84"/>
    </row>
    <row r="40284" spans="1:14" s="2" customFormat="1">
      <c r="A40284" s="83"/>
      <c r="H40284" s="83"/>
      <c r="K40284" s="82"/>
      <c r="M40284" s="112"/>
      <c r="N40284" s="84"/>
    </row>
    <row r="40285" spans="1:14" s="2" customFormat="1">
      <c r="A40285" s="83"/>
      <c r="H40285" s="83"/>
      <c r="K40285" s="82"/>
      <c r="M40285" s="112"/>
      <c r="N40285" s="84"/>
    </row>
    <row r="40286" spans="1:14" s="2" customFormat="1">
      <c r="A40286" s="83"/>
      <c r="H40286" s="83"/>
      <c r="K40286" s="82"/>
      <c r="M40286" s="112"/>
      <c r="N40286" s="84"/>
    </row>
    <row r="40287" spans="1:14" s="2" customFormat="1">
      <c r="A40287" s="83"/>
      <c r="H40287" s="83"/>
      <c r="K40287" s="82"/>
      <c r="M40287" s="112"/>
      <c r="N40287" s="84"/>
    </row>
    <row r="40288" spans="1:14" s="2" customFormat="1">
      <c r="A40288" s="83"/>
      <c r="H40288" s="83"/>
      <c r="K40288" s="82"/>
      <c r="M40288" s="112"/>
      <c r="N40288" s="84"/>
    </row>
    <row r="40289" spans="1:14" s="2" customFormat="1">
      <c r="A40289" s="83"/>
      <c r="H40289" s="83"/>
      <c r="K40289" s="82"/>
      <c r="M40289" s="112"/>
      <c r="N40289" s="84"/>
    </row>
    <row r="40290" spans="1:14" s="2" customFormat="1">
      <c r="A40290" s="83"/>
      <c r="H40290" s="83"/>
      <c r="K40290" s="82"/>
      <c r="M40290" s="112"/>
      <c r="N40290" s="84"/>
    </row>
    <row r="40291" spans="1:14" s="2" customFormat="1">
      <c r="A40291" s="83"/>
      <c r="H40291" s="83"/>
      <c r="K40291" s="82"/>
      <c r="M40291" s="112"/>
      <c r="N40291" s="84"/>
    </row>
    <row r="40292" spans="1:14" s="2" customFormat="1">
      <c r="A40292" s="83"/>
      <c r="H40292" s="83"/>
      <c r="K40292" s="82"/>
      <c r="M40292" s="112"/>
      <c r="N40292" s="84"/>
    </row>
    <row r="40293" spans="1:14" s="2" customFormat="1">
      <c r="A40293" s="83"/>
      <c r="H40293" s="83"/>
      <c r="K40293" s="82"/>
      <c r="M40293" s="112"/>
      <c r="N40293" s="84"/>
    </row>
    <row r="40294" spans="1:14" s="2" customFormat="1">
      <c r="A40294" s="83"/>
      <c r="H40294" s="83"/>
      <c r="K40294" s="82"/>
      <c r="M40294" s="112"/>
      <c r="N40294" s="84"/>
    </row>
    <row r="40295" spans="1:14" s="2" customFormat="1">
      <c r="A40295" s="83"/>
      <c r="H40295" s="83"/>
      <c r="K40295" s="82"/>
      <c r="M40295" s="112"/>
      <c r="N40295" s="84"/>
    </row>
    <row r="40296" spans="1:14" s="2" customFormat="1">
      <c r="A40296" s="83"/>
      <c r="H40296" s="83"/>
      <c r="K40296" s="82"/>
      <c r="M40296" s="112"/>
      <c r="N40296" s="84"/>
    </row>
    <row r="40297" spans="1:14" s="2" customFormat="1">
      <c r="A40297" s="83"/>
      <c r="H40297" s="83"/>
      <c r="K40297" s="82"/>
      <c r="M40297" s="112"/>
      <c r="N40297" s="84"/>
    </row>
    <row r="40298" spans="1:14" s="2" customFormat="1">
      <c r="A40298" s="83"/>
      <c r="H40298" s="83"/>
      <c r="K40298" s="82"/>
      <c r="M40298" s="112"/>
      <c r="N40298" s="84"/>
    </row>
    <row r="40299" spans="1:14" s="2" customFormat="1">
      <c r="A40299" s="83"/>
      <c r="H40299" s="83"/>
      <c r="K40299" s="82"/>
      <c r="M40299" s="112"/>
      <c r="N40299" s="84"/>
    </row>
    <row r="40300" spans="1:14" s="2" customFormat="1">
      <c r="A40300" s="83"/>
      <c r="H40300" s="83"/>
      <c r="K40300" s="82"/>
      <c r="M40300" s="112"/>
      <c r="N40300" s="84"/>
    </row>
    <row r="40301" spans="1:14" s="2" customFormat="1">
      <c r="A40301" s="83"/>
      <c r="H40301" s="83"/>
      <c r="K40301" s="82"/>
      <c r="M40301" s="112"/>
      <c r="N40301" s="84"/>
    </row>
    <row r="40302" spans="1:14" s="2" customFormat="1">
      <c r="A40302" s="83"/>
      <c r="H40302" s="83"/>
      <c r="K40302" s="82"/>
      <c r="M40302" s="112"/>
      <c r="N40302" s="84"/>
    </row>
    <row r="40303" spans="1:14" s="2" customFormat="1">
      <c r="A40303" s="83"/>
      <c r="H40303" s="83"/>
      <c r="K40303" s="82"/>
      <c r="M40303" s="112"/>
      <c r="N40303" s="84"/>
    </row>
    <row r="40304" spans="1:14" s="2" customFormat="1">
      <c r="A40304" s="83"/>
      <c r="H40304" s="83"/>
      <c r="K40304" s="82"/>
      <c r="M40304" s="112"/>
      <c r="N40304" s="84"/>
    </row>
    <row r="40305" spans="1:14" s="2" customFormat="1">
      <c r="A40305" s="83"/>
      <c r="H40305" s="83"/>
      <c r="K40305" s="82"/>
      <c r="M40305" s="112"/>
      <c r="N40305" s="84"/>
    </row>
    <row r="40306" spans="1:14" s="2" customFormat="1">
      <c r="A40306" s="83"/>
      <c r="H40306" s="83"/>
      <c r="K40306" s="82"/>
      <c r="M40306" s="112"/>
      <c r="N40306" s="84"/>
    </row>
    <row r="40307" spans="1:14" s="2" customFormat="1">
      <c r="A40307" s="83"/>
      <c r="H40307" s="83"/>
      <c r="K40307" s="82"/>
      <c r="M40307" s="112"/>
      <c r="N40307" s="84"/>
    </row>
    <row r="40308" spans="1:14" s="2" customFormat="1">
      <c r="A40308" s="83"/>
      <c r="H40308" s="83"/>
      <c r="K40308" s="82"/>
      <c r="M40308" s="112"/>
      <c r="N40308" s="84"/>
    </row>
    <row r="40309" spans="1:14" s="2" customFormat="1">
      <c r="A40309" s="83"/>
      <c r="H40309" s="83"/>
      <c r="K40309" s="82"/>
      <c r="M40309" s="112"/>
      <c r="N40309" s="84"/>
    </row>
    <row r="40310" spans="1:14" s="2" customFormat="1">
      <c r="A40310" s="83"/>
      <c r="H40310" s="83"/>
      <c r="K40310" s="82"/>
      <c r="M40310" s="112"/>
      <c r="N40310" s="84"/>
    </row>
    <row r="40311" spans="1:14" s="2" customFormat="1">
      <c r="A40311" s="83"/>
      <c r="H40311" s="83"/>
      <c r="K40311" s="82"/>
      <c r="M40311" s="112"/>
      <c r="N40311" s="84"/>
    </row>
    <row r="40312" spans="1:14" s="2" customFormat="1">
      <c r="A40312" s="83"/>
      <c r="H40312" s="83"/>
      <c r="K40312" s="82"/>
      <c r="M40312" s="112"/>
      <c r="N40312" s="84"/>
    </row>
    <row r="40313" spans="1:14" s="2" customFormat="1">
      <c r="A40313" s="83"/>
      <c r="H40313" s="83"/>
      <c r="K40313" s="82"/>
      <c r="M40313" s="112"/>
      <c r="N40313" s="84"/>
    </row>
    <row r="40314" spans="1:14" s="2" customFormat="1">
      <c r="A40314" s="83"/>
      <c r="H40314" s="83"/>
      <c r="K40314" s="82"/>
      <c r="M40314" s="112"/>
      <c r="N40314" s="84"/>
    </row>
    <row r="40315" spans="1:14" s="2" customFormat="1">
      <c r="A40315" s="83"/>
      <c r="H40315" s="83"/>
      <c r="K40315" s="82"/>
      <c r="M40315" s="112"/>
      <c r="N40315" s="84"/>
    </row>
    <row r="40316" spans="1:14" s="2" customFormat="1">
      <c r="A40316" s="83"/>
      <c r="H40316" s="83"/>
      <c r="K40316" s="82"/>
      <c r="M40316" s="112"/>
      <c r="N40316" s="84"/>
    </row>
    <row r="40317" spans="1:14" s="2" customFormat="1">
      <c r="A40317" s="83"/>
      <c r="H40317" s="83"/>
      <c r="K40317" s="82"/>
      <c r="M40317" s="112"/>
      <c r="N40317" s="84"/>
    </row>
    <row r="40318" spans="1:14" s="2" customFormat="1">
      <c r="A40318" s="83"/>
      <c r="H40318" s="83"/>
      <c r="K40318" s="82"/>
      <c r="M40318" s="112"/>
      <c r="N40318" s="84"/>
    </row>
    <row r="40319" spans="1:14" s="2" customFormat="1">
      <c r="A40319" s="83"/>
      <c r="H40319" s="83"/>
      <c r="K40319" s="82"/>
      <c r="M40319" s="112"/>
      <c r="N40319" s="84"/>
    </row>
    <row r="40320" spans="1:14" s="2" customFormat="1">
      <c r="A40320" s="83"/>
      <c r="H40320" s="83"/>
      <c r="K40320" s="82"/>
      <c r="M40320" s="112"/>
      <c r="N40320" s="84"/>
    </row>
    <row r="40321" spans="1:14" s="2" customFormat="1">
      <c r="A40321" s="83"/>
      <c r="H40321" s="83"/>
      <c r="K40321" s="82"/>
      <c r="M40321" s="112"/>
      <c r="N40321" s="84"/>
    </row>
    <row r="40322" spans="1:14" s="2" customFormat="1">
      <c r="A40322" s="83"/>
      <c r="H40322" s="83"/>
      <c r="K40322" s="82"/>
      <c r="M40322" s="112"/>
      <c r="N40322" s="84"/>
    </row>
    <row r="40323" spans="1:14" s="2" customFormat="1">
      <c r="A40323" s="83"/>
      <c r="H40323" s="83"/>
      <c r="K40323" s="82"/>
      <c r="M40323" s="112"/>
      <c r="N40323" s="84"/>
    </row>
    <row r="40324" spans="1:14" s="2" customFormat="1">
      <c r="A40324" s="83"/>
      <c r="H40324" s="83"/>
      <c r="K40324" s="82"/>
      <c r="M40324" s="112"/>
      <c r="N40324" s="84"/>
    </row>
    <row r="40325" spans="1:14" s="2" customFormat="1">
      <c r="A40325" s="83"/>
      <c r="H40325" s="83"/>
      <c r="K40325" s="82"/>
      <c r="M40325" s="112"/>
      <c r="N40325" s="84"/>
    </row>
    <row r="40326" spans="1:14" s="2" customFormat="1">
      <c r="A40326" s="83"/>
      <c r="H40326" s="83"/>
      <c r="K40326" s="82"/>
      <c r="M40326" s="112"/>
      <c r="N40326" s="84"/>
    </row>
    <row r="40327" spans="1:14" s="2" customFormat="1">
      <c r="A40327" s="83"/>
      <c r="H40327" s="83"/>
      <c r="K40327" s="82"/>
      <c r="M40327" s="112"/>
      <c r="N40327" s="84"/>
    </row>
    <row r="40328" spans="1:14" s="2" customFormat="1">
      <c r="A40328" s="83"/>
      <c r="H40328" s="83"/>
      <c r="K40328" s="82"/>
      <c r="M40328" s="112"/>
      <c r="N40328" s="84"/>
    </row>
    <row r="40329" spans="1:14" s="2" customFormat="1">
      <c r="A40329" s="83"/>
      <c r="H40329" s="83"/>
      <c r="K40329" s="82"/>
      <c r="M40329" s="112"/>
      <c r="N40329" s="84"/>
    </row>
    <row r="40330" spans="1:14" s="2" customFormat="1">
      <c r="A40330" s="83"/>
      <c r="H40330" s="83"/>
      <c r="K40330" s="82"/>
      <c r="M40330" s="112"/>
      <c r="N40330" s="84"/>
    </row>
    <row r="40331" spans="1:14" s="2" customFormat="1">
      <c r="A40331" s="83"/>
      <c r="H40331" s="83"/>
      <c r="K40331" s="82"/>
      <c r="M40331" s="112"/>
      <c r="N40331" s="84"/>
    </row>
    <row r="40332" spans="1:14" s="2" customFormat="1">
      <c r="A40332" s="83"/>
      <c r="H40332" s="83"/>
      <c r="K40332" s="82"/>
      <c r="M40332" s="112"/>
      <c r="N40332" s="84"/>
    </row>
    <row r="40333" spans="1:14" s="2" customFormat="1">
      <c r="A40333" s="83"/>
      <c r="H40333" s="83"/>
      <c r="K40333" s="82"/>
      <c r="M40333" s="112"/>
      <c r="N40333" s="84"/>
    </row>
    <row r="40334" spans="1:14" s="2" customFormat="1">
      <c r="A40334" s="83"/>
      <c r="H40334" s="83"/>
      <c r="K40334" s="82"/>
      <c r="M40334" s="112"/>
      <c r="N40334" s="84"/>
    </row>
    <row r="40335" spans="1:14" s="2" customFormat="1">
      <c r="A40335" s="83"/>
      <c r="H40335" s="83"/>
      <c r="K40335" s="82"/>
      <c r="M40335" s="112"/>
      <c r="N40335" s="84"/>
    </row>
    <row r="40336" spans="1:14" s="2" customFormat="1">
      <c r="A40336" s="83"/>
      <c r="H40336" s="83"/>
      <c r="K40336" s="82"/>
      <c r="M40336" s="112"/>
      <c r="N40336" s="84"/>
    </row>
    <row r="40337" spans="1:14" s="2" customFormat="1">
      <c r="A40337" s="83"/>
      <c r="H40337" s="83"/>
      <c r="K40337" s="82"/>
      <c r="M40337" s="112"/>
      <c r="N40337" s="84"/>
    </row>
    <row r="40338" spans="1:14" s="2" customFormat="1">
      <c r="A40338" s="83"/>
      <c r="H40338" s="83"/>
      <c r="K40338" s="82"/>
      <c r="M40338" s="112"/>
      <c r="N40338" s="84"/>
    </row>
    <row r="40339" spans="1:14" s="2" customFormat="1">
      <c r="A40339" s="83"/>
      <c r="H40339" s="83"/>
      <c r="K40339" s="82"/>
      <c r="M40339" s="112"/>
      <c r="N40339" s="84"/>
    </row>
    <row r="40340" spans="1:14" s="2" customFormat="1">
      <c r="A40340" s="83"/>
      <c r="H40340" s="83"/>
      <c r="K40340" s="82"/>
      <c r="M40340" s="112"/>
      <c r="N40340" s="84"/>
    </row>
    <row r="40341" spans="1:14" s="2" customFormat="1">
      <c r="A40341" s="83"/>
      <c r="H40341" s="83"/>
      <c r="K40341" s="82"/>
      <c r="M40341" s="112"/>
      <c r="N40341" s="84"/>
    </row>
    <row r="40342" spans="1:14" s="2" customFormat="1">
      <c r="A40342" s="83"/>
      <c r="H40342" s="83"/>
      <c r="K40342" s="82"/>
      <c r="M40342" s="112"/>
      <c r="N40342" s="84"/>
    </row>
    <row r="40343" spans="1:14" s="2" customFormat="1">
      <c r="A40343" s="83"/>
      <c r="H40343" s="83"/>
      <c r="K40343" s="82"/>
      <c r="M40343" s="112"/>
      <c r="N40343" s="84"/>
    </row>
    <row r="40344" spans="1:14" s="2" customFormat="1">
      <c r="A40344" s="83"/>
      <c r="H40344" s="83"/>
      <c r="K40344" s="82"/>
      <c r="M40344" s="112"/>
      <c r="N40344" s="84"/>
    </row>
    <row r="40345" spans="1:14" s="2" customFormat="1">
      <c r="A40345" s="83"/>
      <c r="H40345" s="83"/>
      <c r="K40345" s="82"/>
      <c r="M40345" s="112"/>
      <c r="N40345" s="84"/>
    </row>
    <row r="40346" spans="1:14" s="2" customFormat="1">
      <c r="A40346" s="83"/>
      <c r="H40346" s="83"/>
      <c r="K40346" s="82"/>
      <c r="M40346" s="112"/>
      <c r="N40346" s="84"/>
    </row>
    <row r="40347" spans="1:14" s="2" customFormat="1">
      <c r="A40347" s="83"/>
      <c r="H40347" s="83"/>
      <c r="K40347" s="82"/>
      <c r="M40347" s="112"/>
      <c r="N40347" s="84"/>
    </row>
    <row r="40348" spans="1:14" s="2" customFormat="1">
      <c r="A40348" s="83"/>
      <c r="H40348" s="83"/>
      <c r="K40348" s="82"/>
      <c r="M40348" s="112"/>
      <c r="N40348" s="84"/>
    </row>
    <row r="40349" spans="1:14" s="2" customFormat="1">
      <c r="A40349" s="83"/>
      <c r="H40349" s="83"/>
      <c r="K40349" s="82"/>
      <c r="M40349" s="112"/>
      <c r="N40349" s="84"/>
    </row>
    <row r="40350" spans="1:14" s="2" customFormat="1">
      <c r="A40350" s="83"/>
      <c r="H40350" s="83"/>
      <c r="K40350" s="82"/>
      <c r="M40350" s="112"/>
      <c r="N40350" s="84"/>
    </row>
    <row r="40351" spans="1:14" s="2" customFormat="1">
      <c r="A40351" s="83"/>
      <c r="H40351" s="83"/>
      <c r="K40351" s="82"/>
      <c r="M40351" s="112"/>
      <c r="N40351" s="84"/>
    </row>
    <row r="40352" spans="1:14" s="2" customFormat="1">
      <c r="A40352" s="83"/>
      <c r="H40352" s="83"/>
      <c r="K40352" s="82"/>
      <c r="M40352" s="112"/>
      <c r="N40352" s="84"/>
    </row>
    <row r="40353" spans="1:14" s="2" customFormat="1">
      <c r="A40353" s="83"/>
      <c r="H40353" s="83"/>
      <c r="K40353" s="82"/>
      <c r="M40353" s="112"/>
      <c r="N40353" s="84"/>
    </row>
    <row r="40354" spans="1:14" s="2" customFormat="1">
      <c r="A40354" s="83"/>
      <c r="H40354" s="83"/>
      <c r="K40354" s="82"/>
      <c r="M40354" s="112"/>
      <c r="N40354" s="84"/>
    </row>
    <row r="40355" spans="1:14" s="2" customFormat="1">
      <c r="A40355" s="83"/>
      <c r="H40355" s="83"/>
      <c r="K40355" s="82"/>
      <c r="M40355" s="112"/>
      <c r="N40355" s="84"/>
    </row>
    <row r="40356" spans="1:14" s="2" customFormat="1">
      <c r="A40356" s="83"/>
      <c r="H40356" s="83"/>
      <c r="K40356" s="82"/>
      <c r="M40356" s="112"/>
      <c r="N40356" s="84"/>
    </row>
    <row r="40357" spans="1:14" s="2" customFormat="1">
      <c r="A40357" s="83"/>
      <c r="H40357" s="83"/>
      <c r="K40357" s="82"/>
      <c r="M40357" s="112"/>
      <c r="N40357" s="84"/>
    </row>
    <row r="40358" spans="1:14" s="2" customFormat="1">
      <c r="A40358" s="83"/>
      <c r="H40358" s="83"/>
      <c r="K40358" s="82"/>
      <c r="M40358" s="112"/>
      <c r="N40358" s="84"/>
    </row>
    <row r="40359" spans="1:14" s="2" customFormat="1">
      <c r="A40359" s="83"/>
      <c r="H40359" s="83"/>
      <c r="K40359" s="82"/>
      <c r="M40359" s="112"/>
      <c r="N40359" s="84"/>
    </row>
    <row r="40360" spans="1:14" s="2" customFormat="1">
      <c r="A40360" s="83"/>
      <c r="H40360" s="83"/>
      <c r="K40360" s="82"/>
      <c r="M40360" s="112"/>
      <c r="N40360" s="84"/>
    </row>
    <row r="40361" spans="1:14" s="2" customFormat="1">
      <c r="A40361" s="83"/>
      <c r="H40361" s="83"/>
      <c r="K40361" s="82"/>
      <c r="M40361" s="112"/>
      <c r="N40361" s="84"/>
    </row>
    <row r="40362" spans="1:14" s="2" customFormat="1">
      <c r="A40362" s="83"/>
      <c r="H40362" s="83"/>
      <c r="K40362" s="82"/>
      <c r="M40362" s="112"/>
      <c r="N40362" s="84"/>
    </row>
    <row r="40363" spans="1:14" s="2" customFormat="1">
      <c r="A40363" s="83"/>
      <c r="H40363" s="83"/>
      <c r="K40363" s="82"/>
      <c r="M40363" s="112"/>
      <c r="N40363" s="84"/>
    </row>
    <row r="40364" spans="1:14" s="2" customFormat="1">
      <c r="A40364" s="83"/>
      <c r="H40364" s="83"/>
      <c r="K40364" s="82"/>
      <c r="M40364" s="112"/>
      <c r="N40364" s="84"/>
    </row>
    <row r="40365" spans="1:14" s="2" customFormat="1">
      <c r="A40365" s="83"/>
      <c r="H40365" s="83"/>
      <c r="K40365" s="82"/>
      <c r="M40365" s="112"/>
      <c r="N40365" s="84"/>
    </row>
    <row r="40366" spans="1:14" s="2" customFormat="1">
      <c r="A40366" s="83"/>
      <c r="H40366" s="83"/>
      <c r="K40366" s="82"/>
      <c r="M40366" s="112"/>
      <c r="N40366" s="84"/>
    </row>
    <row r="40367" spans="1:14" s="2" customFormat="1">
      <c r="A40367" s="83"/>
      <c r="H40367" s="83"/>
      <c r="K40367" s="82"/>
      <c r="M40367" s="112"/>
      <c r="N40367" s="84"/>
    </row>
    <row r="40368" spans="1:14" s="2" customFormat="1">
      <c r="A40368" s="83"/>
      <c r="H40368" s="83"/>
      <c r="K40368" s="82"/>
      <c r="M40368" s="112"/>
      <c r="N40368" s="84"/>
    </row>
    <row r="40369" spans="1:14" s="2" customFormat="1">
      <c r="A40369" s="83"/>
      <c r="H40369" s="83"/>
      <c r="K40369" s="82"/>
      <c r="M40369" s="112"/>
      <c r="N40369" s="84"/>
    </row>
    <row r="40370" spans="1:14" s="2" customFormat="1">
      <c r="A40370" s="83"/>
      <c r="H40370" s="83"/>
      <c r="K40370" s="82"/>
      <c r="M40370" s="112"/>
      <c r="N40370" s="84"/>
    </row>
    <row r="40371" spans="1:14" s="2" customFormat="1">
      <c r="A40371" s="83"/>
      <c r="H40371" s="83"/>
      <c r="K40371" s="82"/>
      <c r="M40371" s="112"/>
      <c r="N40371" s="84"/>
    </row>
    <row r="40372" spans="1:14" s="2" customFormat="1">
      <c r="A40372" s="83"/>
      <c r="H40372" s="83"/>
      <c r="K40372" s="82"/>
      <c r="M40372" s="112"/>
      <c r="N40372" s="84"/>
    </row>
    <row r="40373" spans="1:14" s="2" customFormat="1">
      <c r="A40373" s="83"/>
      <c r="H40373" s="83"/>
      <c r="K40373" s="82"/>
      <c r="M40373" s="112"/>
      <c r="N40373" s="84"/>
    </row>
    <row r="40374" spans="1:14" s="2" customFormat="1">
      <c r="A40374" s="83"/>
      <c r="H40374" s="83"/>
      <c r="K40374" s="82"/>
      <c r="M40374" s="112"/>
      <c r="N40374" s="84"/>
    </row>
    <row r="40375" spans="1:14" s="2" customFormat="1">
      <c r="A40375" s="83"/>
      <c r="H40375" s="83"/>
      <c r="K40375" s="82"/>
      <c r="M40375" s="112"/>
      <c r="N40375" s="84"/>
    </row>
    <row r="40376" spans="1:14" s="2" customFormat="1">
      <c r="A40376" s="83"/>
      <c r="H40376" s="83"/>
      <c r="K40376" s="82"/>
      <c r="M40376" s="112"/>
      <c r="N40376" s="84"/>
    </row>
    <row r="40377" spans="1:14" s="2" customFormat="1">
      <c r="A40377" s="83"/>
      <c r="H40377" s="83"/>
      <c r="K40377" s="82"/>
      <c r="M40377" s="112"/>
      <c r="N40377" s="84"/>
    </row>
    <row r="40378" spans="1:14" s="2" customFormat="1">
      <c r="A40378" s="83"/>
      <c r="H40378" s="83"/>
      <c r="K40378" s="82"/>
      <c r="M40378" s="112"/>
      <c r="N40378" s="84"/>
    </row>
    <row r="40379" spans="1:14" s="2" customFormat="1">
      <c r="A40379" s="83"/>
      <c r="H40379" s="83"/>
      <c r="K40379" s="82"/>
      <c r="M40379" s="112"/>
      <c r="N40379" s="84"/>
    </row>
    <row r="40380" spans="1:14" s="2" customFormat="1">
      <c r="A40380" s="83"/>
      <c r="H40380" s="83"/>
      <c r="K40380" s="82"/>
      <c r="M40380" s="112"/>
      <c r="N40380" s="84"/>
    </row>
    <row r="40381" spans="1:14" s="2" customFormat="1">
      <c r="A40381" s="83"/>
      <c r="H40381" s="83"/>
      <c r="K40381" s="82"/>
      <c r="M40381" s="112"/>
      <c r="N40381" s="84"/>
    </row>
    <row r="40382" spans="1:14" s="2" customFormat="1">
      <c r="A40382" s="83"/>
      <c r="H40382" s="83"/>
      <c r="K40382" s="82"/>
      <c r="M40382" s="112"/>
      <c r="N40382" s="84"/>
    </row>
    <row r="40383" spans="1:14" s="2" customFormat="1">
      <c r="A40383" s="83"/>
      <c r="H40383" s="83"/>
      <c r="K40383" s="82"/>
      <c r="M40383" s="112"/>
      <c r="N40383" s="84"/>
    </row>
    <row r="40384" spans="1:14" s="2" customFormat="1">
      <c r="A40384" s="83"/>
      <c r="H40384" s="83"/>
      <c r="K40384" s="82"/>
      <c r="M40384" s="112"/>
      <c r="N40384" s="84"/>
    </row>
    <row r="40385" spans="1:14" s="2" customFormat="1">
      <c r="A40385" s="83"/>
      <c r="H40385" s="83"/>
      <c r="K40385" s="82"/>
      <c r="M40385" s="112"/>
      <c r="N40385" s="84"/>
    </row>
    <row r="40386" spans="1:14" s="2" customFormat="1">
      <c r="A40386" s="83"/>
      <c r="H40386" s="83"/>
      <c r="K40386" s="82"/>
      <c r="M40386" s="112"/>
      <c r="N40386" s="84"/>
    </row>
    <row r="40387" spans="1:14" s="2" customFormat="1">
      <c r="A40387" s="83"/>
      <c r="H40387" s="83"/>
      <c r="K40387" s="82"/>
      <c r="M40387" s="112"/>
      <c r="N40387" s="84"/>
    </row>
    <row r="40388" spans="1:14" s="2" customFormat="1">
      <c r="A40388" s="83"/>
      <c r="H40388" s="83"/>
      <c r="K40388" s="82"/>
      <c r="M40388" s="112"/>
      <c r="N40388" s="84"/>
    </row>
    <row r="40389" spans="1:14" s="2" customFormat="1">
      <c r="A40389" s="83"/>
      <c r="H40389" s="83"/>
      <c r="K40389" s="82"/>
      <c r="M40389" s="112"/>
      <c r="N40389" s="84"/>
    </row>
    <row r="40390" spans="1:14" s="2" customFormat="1">
      <c r="A40390" s="83"/>
      <c r="H40390" s="83"/>
      <c r="K40390" s="82"/>
      <c r="M40390" s="112"/>
      <c r="N40390" s="84"/>
    </row>
    <row r="40391" spans="1:14" s="2" customFormat="1">
      <c r="A40391" s="83"/>
      <c r="H40391" s="83"/>
      <c r="K40391" s="82"/>
      <c r="M40391" s="112"/>
      <c r="N40391" s="84"/>
    </row>
    <row r="40392" spans="1:14" s="2" customFormat="1">
      <c r="A40392" s="83"/>
      <c r="H40392" s="83"/>
      <c r="K40392" s="82"/>
      <c r="M40392" s="112"/>
      <c r="N40392" s="84"/>
    </row>
    <row r="40393" spans="1:14" s="2" customFormat="1">
      <c r="A40393" s="83"/>
      <c r="H40393" s="83"/>
      <c r="K40393" s="82"/>
      <c r="M40393" s="112"/>
      <c r="N40393" s="84"/>
    </row>
    <row r="40394" spans="1:14" s="2" customFormat="1">
      <c r="A40394" s="83"/>
      <c r="H40394" s="83"/>
      <c r="K40394" s="82"/>
      <c r="M40394" s="112"/>
      <c r="N40394" s="84"/>
    </row>
    <row r="40395" spans="1:14" s="2" customFormat="1">
      <c r="A40395" s="83"/>
      <c r="H40395" s="83"/>
      <c r="K40395" s="82"/>
      <c r="M40395" s="112"/>
      <c r="N40395" s="84"/>
    </row>
    <row r="40396" spans="1:14" s="2" customFormat="1">
      <c r="A40396" s="83"/>
      <c r="H40396" s="83"/>
      <c r="K40396" s="82"/>
      <c r="M40396" s="112"/>
      <c r="N40396" s="84"/>
    </row>
    <row r="40397" spans="1:14" s="2" customFormat="1">
      <c r="A40397" s="83"/>
      <c r="H40397" s="83"/>
      <c r="K40397" s="82"/>
      <c r="M40397" s="112"/>
      <c r="N40397" s="84"/>
    </row>
    <row r="40398" spans="1:14" s="2" customFormat="1">
      <c r="A40398" s="83"/>
      <c r="H40398" s="83"/>
      <c r="K40398" s="82"/>
      <c r="M40398" s="112"/>
      <c r="N40398" s="84"/>
    </row>
    <row r="40399" spans="1:14" s="2" customFormat="1">
      <c r="A40399" s="83"/>
      <c r="H40399" s="83"/>
      <c r="K40399" s="82"/>
      <c r="M40399" s="112"/>
      <c r="N40399" s="84"/>
    </row>
    <row r="40400" spans="1:14" s="2" customFormat="1">
      <c r="A40400" s="83"/>
      <c r="H40400" s="83"/>
      <c r="K40400" s="82"/>
      <c r="M40400" s="112"/>
      <c r="N40400" s="84"/>
    </row>
    <row r="40401" spans="1:14" s="2" customFormat="1">
      <c r="A40401" s="83"/>
      <c r="H40401" s="83"/>
      <c r="K40401" s="82"/>
      <c r="M40401" s="112"/>
      <c r="N40401" s="84"/>
    </row>
    <row r="40402" spans="1:14" s="2" customFormat="1">
      <c r="A40402" s="83"/>
      <c r="H40402" s="83"/>
      <c r="K40402" s="82"/>
      <c r="M40402" s="112"/>
      <c r="N40402" s="84"/>
    </row>
    <row r="40403" spans="1:14" s="2" customFormat="1">
      <c r="A40403" s="83"/>
      <c r="H40403" s="83"/>
      <c r="K40403" s="82"/>
      <c r="M40403" s="112"/>
      <c r="N40403" s="84"/>
    </row>
    <row r="40404" spans="1:14" s="2" customFormat="1">
      <c r="A40404" s="83"/>
      <c r="H40404" s="83"/>
      <c r="K40404" s="82"/>
      <c r="M40404" s="112"/>
      <c r="N40404" s="84"/>
    </row>
    <row r="40405" spans="1:14" s="2" customFormat="1">
      <c r="A40405" s="83"/>
      <c r="H40405" s="83"/>
      <c r="K40405" s="82"/>
      <c r="M40405" s="112"/>
      <c r="N40405" s="84"/>
    </row>
    <row r="40406" spans="1:14" s="2" customFormat="1">
      <c r="A40406" s="83"/>
      <c r="H40406" s="83"/>
      <c r="K40406" s="82"/>
      <c r="M40406" s="112"/>
      <c r="N40406" s="84"/>
    </row>
    <row r="40407" spans="1:14" s="2" customFormat="1">
      <c r="A40407" s="83"/>
      <c r="H40407" s="83"/>
      <c r="K40407" s="82"/>
      <c r="M40407" s="112"/>
      <c r="N40407" s="84"/>
    </row>
    <row r="40408" spans="1:14" s="2" customFormat="1">
      <c r="A40408" s="83"/>
      <c r="H40408" s="83"/>
      <c r="K40408" s="82"/>
      <c r="M40408" s="112"/>
      <c r="N40408" s="84"/>
    </row>
    <row r="40409" spans="1:14" s="2" customFormat="1">
      <c r="A40409" s="83"/>
      <c r="H40409" s="83"/>
      <c r="K40409" s="82"/>
      <c r="M40409" s="112"/>
      <c r="N40409" s="84"/>
    </row>
    <row r="40410" spans="1:14" s="2" customFormat="1">
      <c r="A40410" s="83"/>
      <c r="H40410" s="83"/>
      <c r="K40410" s="82"/>
      <c r="M40410" s="112"/>
      <c r="N40410" s="84"/>
    </row>
    <row r="40411" spans="1:14" s="2" customFormat="1">
      <c r="A40411" s="83"/>
      <c r="H40411" s="83"/>
      <c r="K40411" s="82"/>
      <c r="M40411" s="112"/>
      <c r="N40411" s="84"/>
    </row>
    <row r="40412" spans="1:14" s="2" customFormat="1">
      <c r="A40412" s="83"/>
      <c r="H40412" s="83"/>
      <c r="K40412" s="82"/>
      <c r="M40412" s="112"/>
      <c r="N40412" s="84"/>
    </row>
    <row r="40413" spans="1:14" s="2" customFormat="1">
      <c r="A40413" s="83"/>
      <c r="H40413" s="83"/>
      <c r="K40413" s="82"/>
      <c r="M40413" s="112"/>
      <c r="N40413" s="84"/>
    </row>
    <row r="40414" spans="1:14" s="2" customFormat="1">
      <c r="A40414" s="83"/>
      <c r="H40414" s="83"/>
      <c r="K40414" s="82"/>
      <c r="M40414" s="112"/>
      <c r="N40414" s="84"/>
    </row>
    <row r="40415" spans="1:14" s="2" customFormat="1">
      <c r="A40415" s="83"/>
      <c r="H40415" s="83"/>
      <c r="K40415" s="82"/>
      <c r="M40415" s="112"/>
      <c r="N40415" s="84"/>
    </row>
    <row r="40416" spans="1:14" s="2" customFormat="1">
      <c r="A40416" s="83"/>
      <c r="H40416" s="83"/>
      <c r="K40416" s="82"/>
      <c r="M40416" s="112"/>
      <c r="N40416" s="84"/>
    </row>
    <row r="40417" spans="1:14" s="2" customFormat="1">
      <c r="A40417" s="83"/>
      <c r="H40417" s="83"/>
      <c r="K40417" s="82"/>
      <c r="M40417" s="112"/>
      <c r="N40417" s="84"/>
    </row>
    <row r="40418" spans="1:14" s="2" customFormat="1">
      <c r="A40418" s="83"/>
      <c r="H40418" s="83"/>
      <c r="K40418" s="82"/>
      <c r="M40418" s="112"/>
      <c r="N40418" s="84"/>
    </row>
    <row r="40419" spans="1:14" s="2" customFormat="1">
      <c r="A40419" s="83"/>
      <c r="H40419" s="83"/>
      <c r="K40419" s="82"/>
      <c r="M40419" s="112"/>
      <c r="N40419" s="84"/>
    </row>
    <row r="40420" spans="1:14" s="2" customFormat="1">
      <c r="A40420" s="83"/>
      <c r="H40420" s="83"/>
      <c r="K40420" s="82"/>
      <c r="M40420" s="112"/>
      <c r="N40420" s="84"/>
    </row>
    <row r="40421" spans="1:14" s="2" customFormat="1">
      <c r="A40421" s="83"/>
      <c r="H40421" s="83"/>
      <c r="K40421" s="82"/>
      <c r="M40421" s="112"/>
      <c r="N40421" s="84"/>
    </row>
    <row r="40422" spans="1:14" s="2" customFormat="1">
      <c r="A40422" s="83"/>
      <c r="H40422" s="83"/>
      <c r="K40422" s="82"/>
      <c r="M40422" s="112"/>
      <c r="N40422" s="84"/>
    </row>
    <row r="40423" spans="1:14" s="2" customFormat="1">
      <c r="A40423" s="83"/>
      <c r="H40423" s="83"/>
      <c r="K40423" s="82"/>
      <c r="M40423" s="112"/>
      <c r="N40423" s="84"/>
    </row>
    <row r="40424" spans="1:14" s="2" customFormat="1">
      <c r="A40424" s="83"/>
      <c r="H40424" s="83"/>
      <c r="K40424" s="82"/>
      <c r="M40424" s="112"/>
      <c r="N40424" s="84"/>
    </row>
    <row r="40425" spans="1:14" s="2" customFormat="1">
      <c r="A40425" s="83"/>
      <c r="H40425" s="83"/>
      <c r="K40425" s="82"/>
      <c r="M40425" s="112"/>
      <c r="N40425" s="84"/>
    </row>
    <row r="40426" spans="1:14" s="2" customFormat="1">
      <c r="A40426" s="83"/>
      <c r="H40426" s="83"/>
      <c r="K40426" s="82"/>
      <c r="M40426" s="112"/>
      <c r="N40426" s="84"/>
    </row>
    <row r="40427" spans="1:14" s="2" customFormat="1">
      <c r="A40427" s="83"/>
      <c r="H40427" s="83"/>
      <c r="K40427" s="82"/>
      <c r="M40427" s="112"/>
      <c r="N40427" s="84"/>
    </row>
    <row r="40428" spans="1:14" s="2" customFormat="1">
      <c r="A40428" s="83"/>
      <c r="H40428" s="83"/>
      <c r="K40428" s="82"/>
      <c r="M40428" s="112"/>
      <c r="N40428" s="84"/>
    </row>
    <row r="40429" spans="1:14" s="2" customFormat="1">
      <c r="A40429" s="83"/>
      <c r="H40429" s="83"/>
      <c r="K40429" s="82"/>
      <c r="M40429" s="112"/>
      <c r="N40429" s="84"/>
    </row>
    <row r="40430" spans="1:14" s="2" customFormat="1">
      <c r="A40430" s="83"/>
      <c r="H40430" s="83"/>
      <c r="K40430" s="82"/>
      <c r="M40430" s="112"/>
      <c r="N40430" s="84"/>
    </row>
    <row r="40431" spans="1:14" s="2" customFormat="1">
      <c r="A40431" s="83"/>
      <c r="H40431" s="83"/>
      <c r="K40431" s="82"/>
      <c r="M40431" s="112"/>
      <c r="N40431" s="84"/>
    </row>
    <row r="40432" spans="1:14" s="2" customFormat="1">
      <c r="A40432" s="83"/>
      <c r="H40432" s="83"/>
      <c r="K40432" s="82"/>
      <c r="M40432" s="112"/>
      <c r="N40432" s="84"/>
    </row>
    <row r="40433" spans="1:14" s="2" customFormat="1">
      <c r="A40433" s="83"/>
      <c r="H40433" s="83"/>
      <c r="K40433" s="82"/>
      <c r="M40433" s="112"/>
      <c r="N40433" s="84"/>
    </row>
    <row r="40434" spans="1:14" s="2" customFormat="1">
      <c r="A40434" s="83"/>
      <c r="H40434" s="83"/>
      <c r="K40434" s="82"/>
      <c r="M40434" s="112"/>
      <c r="N40434" s="84"/>
    </row>
    <row r="40435" spans="1:14" s="2" customFormat="1">
      <c r="A40435" s="83"/>
      <c r="H40435" s="83"/>
      <c r="K40435" s="82"/>
      <c r="M40435" s="112"/>
      <c r="N40435" s="84"/>
    </row>
    <row r="40436" spans="1:14" s="2" customFormat="1">
      <c r="A40436" s="83"/>
      <c r="H40436" s="83"/>
      <c r="K40436" s="82"/>
      <c r="M40436" s="112"/>
      <c r="N40436" s="84"/>
    </row>
    <row r="40437" spans="1:14" s="2" customFormat="1">
      <c r="A40437" s="83"/>
      <c r="H40437" s="83"/>
      <c r="K40437" s="82"/>
      <c r="M40437" s="112"/>
      <c r="N40437" s="84"/>
    </row>
    <row r="40438" spans="1:14" s="2" customFormat="1">
      <c r="A40438" s="83"/>
      <c r="H40438" s="83"/>
      <c r="K40438" s="82"/>
      <c r="M40438" s="112"/>
      <c r="N40438" s="84"/>
    </row>
    <row r="40439" spans="1:14" s="2" customFormat="1">
      <c r="A40439" s="83"/>
      <c r="H40439" s="83"/>
      <c r="K40439" s="82"/>
      <c r="M40439" s="112"/>
      <c r="N40439" s="84"/>
    </row>
    <row r="40440" spans="1:14" s="2" customFormat="1">
      <c r="A40440" s="83"/>
      <c r="H40440" s="83"/>
      <c r="K40440" s="82"/>
      <c r="M40440" s="112"/>
      <c r="N40440" s="84"/>
    </row>
    <row r="40441" spans="1:14" s="2" customFormat="1">
      <c r="A40441" s="83"/>
      <c r="H40441" s="83"/>
      <c r="K40441" s="82"/>
      <c r="M40441" s="112"/>
      <c r="N40441" s="84"/>
    </row>
    <row r="40442" spans="1:14" s="2" customFormat="1">
      <c r="A40442" s="83"/>
      <c r="H40442" s="83"/>
      <c r="K40442" s="82"/>
      <c r="M40442" s="112"/>
      <c r="N40442" s="84"/>
    </row>
    <row r="40443" spans="1:14" s="2" customFormat="1">
      <c r="A40443" s="83"/>
      <c r="H40443" s="83"/>
      <c r="K40443" s="82"/>
      <c r="M40443" s="112"/>
      <c r="N40443" s="84"/>
    </row>
    <row r="40444" spans="1:14" s="2" customFormat="1">
      <c r="A40444" s="83"/>
      <c r="H40444" s="83"/>
      <c r="K40444" s="82"/>
      <c r="M40444" s="112"/>
      <c r="N40444" s="84"/>
    </row>
    <row r="40445" spans="1:14" s="2" customFormat="1">
      <c r="A40445" s="83"/>
      <c r="H40445" s="83"/>
      <c r="K40445" s="82"/>
      <c r="M40445" s="112"/>
      <c r="N40445" s="84"/>
    </row>
    <row r="40446" spans="1:14" s="2" customFormat="1">
      <c r="A40446" s="83"/>
      <c r="H40446" s="83"/>
      <c r="K40446" s="82"/>
      <c r="M40446" s="112"/>
      <c r="N40446" s="84"/>
    </row>
    <row r="40447" spans="1:14" s="2" customFormat="1">
      <c r="A40447" s="83"/>
      <c r="H40447" s="83"/>
      <c r="K40447" s="82"/>
      <c r="M40447" s="112"/>
      <c r="N40447" s="84"/>
    </row>
    <row r="40448" spans="1:14" s="2" customFormat="1">
      <c r="A40448" s="83"/>
      <c r="H40448" s="83"/>
      <c r="K40448" s="82"/>
      <c r="M40448" s="112"/>
      <c r="N40448" s="84"/>
    </row>
    <row r="40449" spans="1:14" s="2" customFormat="1">
      <c r="A40449" s="83"/>
      <c r="H40449" s="83"/>
      <c r="K40449" s="82"/>
      <c r="M40449" s="112"/>
      <c r="N40449" s="84"/>
    </row>
    <row r="40450" spans="1:14" s="2" customFormat="1">
      <c r="A40450" s="83"/>
      <c r="H40450" s="83"/>
      <c r="K40450" s="82"/>
      <c r="M40450" s="112"/>
      <c r="N40450" s="84"/>
    </row>
    <row r="40451" spans="1:14" s="2" customFormat="1">
      <c r="A40451" s="83"/>
      <c r="H40451" s="83"/>
      <c r="K40451" s="82"/>
      <c r="M40451" s="112"/>
      <c r="N40451" s="84"/>
    </row>
    <row r="40452" spans="1:14" s="2" customFormat="1">
      <c r="A40452" s="83"/>
      <c r="H40452" s="83"/>
      <c r="K40452" s="82"/>
      <c r="M40452" s="112"/>
      <c r="N40452" s="84"/>
    </row>
    <row r="40453" spans="1:14" s="2" customFormat="1">
      <c r="A40453" s="83"/>
      <c r="H40453" s="83"/>
      <c r="K40453" s="82"/>
      <c r="M40453" s="112"/>
      <c r="N40453" s="84"/>
    </row>
    <row r="40454" spans="1:14" s="2" customFormat="1">
      <c r="A40454" s="83"/>
      <c r="H40454" s="83"/>
      <c r="K40454" s="82"/>
      <c r="M40454" s="112"/>
      <c r="N40454" s="84"/>
    </row>
    <row r="40455" spans="1:14" s="2" customFormat="1">
      <c r="A40455" s="83"/>
      <c r="H40455" s="83"/>
      <c r="K40455" s="82"/>
      <c r="M40455" s="112"/>
      <c r="N40455" s="84"/>
    </row>
    <row r="40456" spans="1:14" s="2" customFormat="1">
      <c r="A40456" s="83"/>
      <c r="H40456" s="83"/>
      <c r="K40456" s="82"/>
      <c r="M40456" s="112"/>
      <c r="N40456" s="84"/>
    </row>
    <row r="40457" spans="1:14" s="2" customFormat="1">
      <c r="A40457" s="83"/>
      <c r="H40457" s="83"/>
      <c r="K40457" s="82"/>
      <c r="M40457" s="112"/>
      <c r="N40457" s="84"/>
    </row>
    <row r="40458" spans="1:14" s="2" customFormat="1">
      <c r="A40458" s="83"/>
      <c r="H40458" s="83"/>
      <c r="K40458" s="82"/>
      <c r="M40458" s="112"/>
      <c r="N40458" s="84"/>
    </row>
    <row r="40459" spans="1:14" s="2" customFormat="1">
      <c r="A40459" s="83"/>
      <c r="H40459" s="83"/>
      <c r="K40459" s="82"/>
      <c r="M40459" s="112"/>
      <c r="N40459" s="84"/>
    </row>
    <row r="40460" spans="1:14" s="2" customFormat="1">
      <c r="A40460" s="83"/>
      <c r="H40460" s="83"/>
      <c r="K40460" s="82"/>
      <c r="M40460" s="112"/>
      <c r="N40460" s="84"/>
    </row>
    <row r="40461" spans="1:14" s="2" customFormat="1">
      <c r="A40461" s="83"/>
      <c r="H40461" s="83"/>
      <c r="K40461" s="82"/>
      <c r="M40461" s="112"/>
      <c r="N40461" s="84"/>
    </row>
    <row r="40462" spans="1:14" s="2" customFormat="1">
      <c r="A40462" s="83"/>
      <c r="H40462" s="83"/>
      <c r="K40462" s="82"/>
      <c r="M40462" s="112"/>
      <c r="N40462" s="84"/>
    </row>
    <row r="40463" spans="1:14" s="2" customFormat="1">
      <c r="A40463" s="83"/>
      <c r="H40463" s="83"/>
      <c r="K40463" s="82"/>
      <c r="M40463" s="112"/>
      <c r="N40463" s="84"/>
    </row>
    <row r="40464" spans="1:14" s="2" customFormat="1">
      <c r="A40464" s="83"/>
      <c r="H40464" s="83"/>
      <c r="K40464" s="82"/>
      <c r="M40464" s="112"/>
      <c r="N40464" s="84"/>
    </row>
    <row r="40465" spans="1:14" s="2" customFormat="1">
      <c r="A40465" s="83"/>
      <c r="H40465" s="83"/>
      <c r="K40465" s="82"/>
      <c r="M40465" s="112"/>
      <c r="N40465" s="84"/>
    </row>
    <row r="40466" spans="1:14" s="2" customFormat="1">
      <c r="A40466" s="83"/>
      <c r="H40466" s="83"/>
      <c r="K40466" s="82"/>
      <c r="M40466" s="112"/>
      <c r="N40466" s="84"/>
    </row>
    <row r="40467" spans="1:14" s="2" customFormat="1">
      <c r="A40467" s="83"/>
      <c r="H40467" s="83"/>
      <c r="K40467" s="82"/>
      <c r="M40467" s="112"/>
      <c r="N40467" s="84"/>
    </row>
    <row r="40468" spans="1:14" s="2" customFormat="1">
      <c r="A40468" s="83"/>
      <c r="H40468" s="83"/>
      <c r="K40468" s="82"/>
      <c r="M40468" s="112"/>
      <c r="N40468" s="84"/>
    </row>
    <row r="40469" spans="1:14" s="2" customFormat="1">
      <c r="A40469" s="83"/>
      <c r="H40469" s="83"/>
      <c r="K40469" s="82"/>
      <c r="M40469" s="112"/>
      <c r="N40469" s="84"/>
    </row>
    <row r="40470" spans="1:14" s="2" customFormat="1">
      <c r="A40470" s="83"/>
      <c r="H40470" s="83"/>
      <c r="K40470" s="82"/>
      <c r="M40470" s="112"/>
      <c r="N40470" s="84"/>
    </row>
    <row r="40471" spans="1:14" s="2" customFormat="1">
      <c r="A40471" s="83"/>
      <c r="H40471" s="83"/>
      <c r="K40471" s="82"/>
      <c r="M40471" s="112"/>
      <c r="N40471" s="84"/>
    </row>
    <row r="40472" spans="1:14" s="2" customFormat="1">
      <c r="A40472" s="83"/>
      <c r="H40472" s="83"/>
      <c r="K40472" s="82"/>
      <c r="M40472" s="112"/>
      <c r="N40472" s="84"/>
    </row>
    <row r="40473" spans="1:14" s="2" customFormat="1">
      <c r="A40473" s="83"/>
      <c r="H40473" s="83"/>
      <c r="K40473" s="82"/>
      <c r="M40473" s="112"/>
      <c r="N40473" s="84"/>
    </row>
    <row r="40474" spans="1:14" s="2" customFormat="1">
      <c r="A40474" s="83"/>
      <c r="H40474" s="83"/>
      <c r="K40474" s="82"/>
      <c r="M40474" s="112"/>
      <c r="N40474" s="84"/>
    </row>
    <row r="40475" spans="1:14" s="2" customFormat="1">
      <c r="A40475" s="83"/>
      <c r="H40475" s="83"/>
      <c r="K40475" s="82"/>
      <c r="M40475" s="112"/>
      <c r="N40475" s="84"/>
    </row>
    <row r="40476" spans="1:14" s="2" customFormat="1">
      <c r="A40476" s="83"/>
      <c r="H40476" s="83"/>
      <c r="K40476" s="82"/>
      <c r="M40476" s="112"/>
      <c r="N40476" s="84"/>
    </row>
    <row r="40477" spans="1:14" s="2" customFormat="1">
      <c r="A40477" s="83"/>
      <c r="H40477" s="83"/>
      <c r="K40477" s="82"/>
      <c r="M40477" s="112"/>
      <c r="N40477" s="84"/>
    </row>
    <row r="40478" spans="1:14" s="2" customFormat="1">
      <c r="A40478" s="83"/>
      <c r="H40478" s="83"/>
      <c r="K40478" s="82"/>
      <c r="M40478" s="112"/>
      <c r="N40478" s="84"/>
    </row>
    <row r="40479" spans="1:14" s="2" customFormat="1">
      <c r="A40479" s="83"/>
      <c r="H40479" s="83"/>
      <c r="K40479" s="82"/>
      <c r="M40479" s="112"/>
      <c r="N40479" s="84"/>
    </row>
    <row r="40480" spans="1:14" s="2" customFormat="1">
      <c r="A40480" s="83"/>
      <c r="H40480" s="83"/>
      <c r="K40480" s="82"/>
      <c r="M40480" s="112"/>
      <c r="N40480" s="84"/>
    </row>
    <row r="40481" spans="1:14" s="2" customFormat="1">
      <c r="A40481" s="83"/>
      <c r="H40481" s="83"/>
      <c r="K40481" s="82"/>
      <c r="M40481" s="112"/>
      <c r="N40481" s="84"/>
    </row>
    <row r="40482" spans="1:14" s="2" customFormat="1">
      <c r="A40482" s="83"/>
      <c r="H40482" s="83"/>
      <c r="K40482" s="82"/>
      <c r="M40482" s="112"/>
      <c r="N40482" s="84"/>
    </row>
    <row r="40483" spans="1:14" s="2" customFormat="1">
      <c r="A40483" s="83"/>
      <c r="H40483" s="83"/>
      <c r="K40483" s="82"/>
      <c r="M40483" s="112"/>
      <c r="N40483" s="84"/>
    </row>
    <row r="40484" spans="1:14" s="2" customFormat="1">
      <c r="A40484" s="83"/>
      <c r="H40484" s="83"/>
      <c r="K40484" s="82"/>
      <c r="M40484" s="112"/>
      <c r="N40484" s="84"/>
    </row>
    <row r="40485" spans="1:14" s="2" customFormat="1">
      <c r="A40485" s="83"/>
      <c r="H40485" s="83"/>
      <c r="K40485" s="82"/>
      <c r="M40485" s="112"/>
      <c r="N40485" s="84"/>
    </row>
    <row r="40486" spans="1:14" s="2" customFormat="1">
      <c r="A40486" s="83"/>
      <c r="H40486" s="83"/>
      <c r="K40486" s="82"/>
      <c r="M40486" s="112"/>
      <c r="N40486" s="84"/>
    </row>
    <row r="40487" spans="1:14" s="2" customFormat="1">
      <c r="A40487" s="83"/>
      <c r="H40487" s="83"/>
      <c r="K40487" s="82"/>
      <c r="M40487" s="112"/>
      <c r="N40487" s="84"/>
    </row>
    <row r="40488" spans="1:14" s="2" customFormat="1">
      <c r="A40488" s="83"/>
      <c r="H40488" s="83"/>
      <c r="K40488" s="82"/>
      <c r="M40488" s="112"/>
      <c r="N40488" s="84"/>
    </row>
    <row r="40489" spans="1:14" s="2" customFormat="1">
      <c r="A40489" s="83"/>
      <c r="H40489" s="83"/>
      <c r="K40489" s="82"/>
      <c r="M40489" s="112"/>
      <c r="N40489" s="84"/>
    </row>
    <row r="40490" spans="1:14" s="2" customFormat="1">
      <c r="A40490" s="83"/>
      <c r="H40490" s="83"/>
      <c r="K40490" s="82"/>
      <c r="M40490" s="112"/>
      <c r="N40490" s="84"/>
    </row>
    <row r="40491" spans="1:14" s="2" customFormat="1">
      <c r="A40491" s="83"/>
      <c r="H40491" s="83"/>
      <c r="K40491" s="82"/>
      <c r="M40491" s="112"/>
      <c r="N40491" s="84"/>
    </row>
    <row r="40492" spans="1:14" s="2" customFormat="1">
      <c r="A40492" s="83"/>
      <c r="H40492" s="83"/>
      <c r="K40492" s="82"/>
      <c r="M40492" s="112"/>
      <c r="N40492" s="84"/>
    </row>
    <row r="40493" spans="1:14" s="2" customFormat="1">
      <c r="A40493" s="83"/>
      <c r="H40493" s="83"/>
      <c r="K40493" s="82"/>
      <c r="M40493" s="112"/>
      <c r="N40493" s="84"/>
    </row>
    <row r="40494" spans="1:14" s="2" customFormat="1">
      <c r="A40494" s="83"/>
      <c r="H40494" s="83"/>
      <c r="K40494" s="82"/>
      <c r="M40494" s="112"/>
      <c r="N40494" s="84"/>
    </row>
    <row r="40495" spans="1:14" s="2" customFormat="1">
      <c r="A40495" s="83"/>
      <c r="H40495" s="83"/>
      <c r="K40495" s="82"/>
      <c r="M40495" s="112"/>
      <c r="N40495" s="84"/>
    </row>
    <row r="40496" spans="1:14" s="2" customFormat="1">
      <c r="A40496" s="83"/>
      <c r="H40496" s="83"/>
      <c r="K40496" s="82"/>
      <c r="M40496" s="112"/>
      <c r="N40496" s="84"/>
    </row>
    <row r="40497" spans="1:14" s="2" customFormat="1">
      <c r="A40497" s="83"/>
      <c r="H40497" s="83"/>
      <c r="K40497" s="82"/>
      <c r="M40497" s="112"/>
      <c r="N40497" s="84"/>
    </row>
    <row r="40498" spans="1:14" s="2" customFormat="1">
      <c r="A40498" s="83"/>
      <c r="H40498" s="83"/>
      <c r="K40498" s="82"/>
      <c r="M40498" s="112"/>
      <c r="N40498" s="84"/>
    </row>
    <row r="40499" spans="1:14" s="2" customFormat="1">
      <c r="A40499" s="83"/>
      <c r="H40499" s="83"/>
      <c r="K40499" s="82"/>
      <c r="M40499" s="112"/>
      <c r="N40499" s="84"/>
    </row>
    <row r="40500" spans="1:14" s="2" customFormat="1">
      <c r="A40500" s="83"/>
      <c r="H40500" s="83"/>
      <c r="K40500" s="82"/>
      <c r="M40500" s="112"/>
      <c r="N40500" s="84"/>
    </row>
    <row r="40501" spans="1:14" s="2" customFormat="1">
      <c r="A40501" s="83"/>
      <c r="H40501" s="83"/>
      <c r="K40501" s="82"/>
      <c r="M40501" s="112"/>
      <c r="N40501" s="84"/>
    </row>
    <row r="40502" spans="1:14" s="2" customFormat="1">
      <c r="A40502" s="83"/>
      <c r="H40502" s="83"/>
      <c r="K40502" s="82"/>
      <c r="M40502" s="112"/>
      <c r="N40502" s="84"/>
    </row>
    <row r="40503" spans="1:14" s="2" customFormat="1">
      <c r="A40503" s="83"/>
      <c r="H40503" s="83"/>
      <c r="K40503" s="82"/>
      <c r="M40503" s="112"/>
      <c r="N40503" s="84"/>
    </row>
    <row r="40504" spans="1:14" s="2" customFormat="1">
      <c r="A40504" s="83"/>
      <c r="H40504" s="83"/>
      <c r="K40504" s="82"/>
      <c r="M40504" s="112"/>
      <c r="N40504" s="84"/>
    </row>
    <row r="40505" spans="1:14" s="2" customFormat="1">
      <c r="A40505" s="83"/>
      <c r="H40505" s="83"/>
      <c r="K40505" s="82"/>
      <c r="M40505" s="112"/>
      <c r="N40505" s="84"/>
    </row>
    <row r="40506" spans="1:14" s="2" customFormat="1">
      <c r="A40506" s="83"/>
      <c r="H40506" s="83"/>
      <c r="K40506" s="82"/>
      <c r="M40506" s="112"/>
      <c r="N40506" s="84"/>
    </row>
    <row r="40507" spans="1:14" s="2" customFormat="1">
      <c r="A40507" s="83"/>
      <c r="H40507" s="83"/>
      <c r="K40507" s="82"/>
      <c r="M40507" s="112"/>
      <c r="N40507" s="84"/>
    </row>
    <row r="40508" spans="1:14" s="2" customFormat="1">
      <c r="A40508" s="83"/>
      <c r="H40508" s="83"/>
      <c r="K40508" s="82"/>
      <c r="M40508" s="112"/>
      <c r="N40508" s="84"/>
    </row>
    <row r="40509" spans="1:14" s="2" customFormat="1">
      <c r="A40509" s="83"/>
      <c r="H40509" s="83"/>
      <c r="K40509" s="82"/>
      <c r="M40509" s="112"/>
      <c r="N40509" s="84"/>
    </row>
    <row r="40510" spans="1:14" s="2" customFormat="1">
      <c r="A40510" s="83"/>
      <c r="H40510" s="83"/>
      <c r="K40510" s="82"/>
      <c r="M40510" s="112"/>
      <c r="N40510" s="84"/>
    </row>
    <row r="40511" spans="1:14" s="2" customFormat="1">
      <c r="A40511" s="83"/>
      <c r="H40511" s="83"/>
      <c r="K40511" s="82"/>
      <c r="M40511" s="112"/>
      <c r="N40511" s="84"/>
    </row>
    <row r="40512" spans="1:14" s="2" customFormat="1">
      <c r="A40512" s="83"/>
      <c r="H40512" s="83"/>
      <c r="K40512" s="82"/>
      <c r="M40512" s="112"/>
      <c r="N40512" s="84"/>
    </row>
    <row r="40513" spans="1:14" s="2" customFormat="1">
      <c r="A40513" s="83"/>
      <c r="H40513" s="83"/>
      <c r="K40513" s="82"/>
      <c r="M40513" s="112"/>
      <c r="N40513" s="84"/>
    </row>
    <row r="40514" spans="1:14" s="2" customFormat="1">
      <c r="A40514" s="83"/>
      <c r="H40514" s="83"/>
      <c r="K40514" s="82"/>
      <c r="M40514" s="112"/>
      <c r="N40514" s="84"/>
    </row>
    <row r="40515" spans="1:14" s="2" customFormat="1">
      <c r="A40515" s="83"/>
      <c r="H40515" s="83"/>
      <c r="K40515" s="82"/>
      <c r="M40515" s="112"/>
      <c r="N40515" s="84"/>
    </row>
    <row r="40516" spans="1:14" s="2" customFormat="1">
      <c r="A40516" s="83"/>
      <c r="H40516" s="83"/>
      <c r="K40516" s="82"/>
      <c r="M40516" s="112"/>
      <c r="N40516" s="84"/>
    </row>
    <row r="40517" spans="1:14" s="2" customFormat="1">
      <c r="A40517" s="83"/>
      <c r="H40517" s="83"/>
      <c r="K40517" s="82"/>
      <c r="M40517" s="112"/>
      <c r="N40517" s="84"/>
    </row>
    <row r="40518" spans="1:14" s="2" customFormat="1">
      <c r="A40518" s="83"/>
      <c r="H40518" s="83"/>
      <c r="K40518" s="82"/>
      <c r="M40518" s="112"/>
      <c r="N40518" s="84"/>
    </row>
    <row r="40519" spans="1:14" s="2" customFormat="1">
      <c r="A40519" s="83"/>
      <c r="H40519" s="83"/>
      <c r="K40519" s="82"/>
      <c r="M40519" s="112"/>
      <c r="N40519" s="84"/>
    </row>
    <row r="40520" spans="1:14" s="2" customFormat="1">
      <c r="A40520" s="83"/>
      <c r="H40520" s="83"/>
      <c r="K40520" s="82"/>
      <c r="M40520" s="112"/>
      <c r="N40520" s="84"/>
    </row>
    <row r="40521" spans="1:14" s="2" customFormat="1">
      <c r="A40521" s="83"/>
      <c r="H40521" s="83"/>
      <c r="K40521" s="82"/>
      <c r="M40521" s="112"/>
      <c r="N40521" s="84"/>
    </row>
    <row r="40522" spans="1:14" s="2" customFormat="1">
      <c r="A40522" s="83"/>
      <c r="H40522" s="83"/>
      <c r="K40522" s="82"/>
      <c r="M40522" s="112"/>
      <c r="N40522" s="84"/>
    </row>
    <row r="40523" spans="1:14" s="2" customFormat="1">
      <c r="A40523" s="83"/>
      <c r="H40523" s="83"/>
      <c r="K40523" s="82"/>
      <c r="M40523" s="112"/>
      <c r="N40523" s="84"/>
    </row>
    <row r="40524" spans="1:14" s="2" customFormat="1">
      <c r="A40524" s="83"/>
      <c r="H40524" s="83"/>
      <c r="K40524" s="82"/>
      <c r="M40524" s="112"/>
      <c r="N40524" s="84"/>
    </row>
    <row r="40525" spans="1:14" s="2" customFormat="1">
      <c r="A40525" s="83"/>
      <c r="H40525" s="83"/>
      <c r="K40525" s="82"/>
      <c r="M40525" s="112"/>
      <c r="N40525" s="84"/>
    </row>
    <row r="40526" spans="1:14" s="2" customFormat="1">
      <c r="A40526" s="83"/>
      <c r="H40526" s="83"/>
      <c r="K40526" s="82"/>
      <c r="M40526" s="112"/>
      <c r="N40526" s="84"/>
    </row>
    <row r="40527" spans="1:14" s="2" customFormat="1">
      <c r="A40527" s="83"/>
      <c r="H40527" s="83"/>
      <c r="K40527" s="82"/>
      <c r="M40527" s="112"/>
      <c r="N40527" s="84"/>
    </row>
    <row r="40528" spans="1:14" s="2" customFormat="1">
      <c r="A40528" s="83"/>
      <c r="H40528" s="83"/>
      <c r="K40528" s="82"/>
      <c r="M40528" s="112"/>
      <c r="N40528" s="84"/>
    </row>
    <row r="40529" spans="1:14" s="2" customFormat="1">
      <c r="A40529" s="83"/>
      <c r="H40529" s="83"/>
      <c r="K40529" s="82"/>
      <c r="M40529" s="112"/>
      <c r="N40529" s="84"/>
    </row>
    <row r="40530" spans="1:14" s="2" customFormat="1">
      <c r="A40530" s="83"/>
      <c r="H40530" s="83"/>
      <c r="K40530" s="82"/>
      <c r="M40530" s="112"/>
      <c r="N40530" s="84"/>
    </row>
    <row r="40531" spans="1:14" s="2" customFormat="1">
      <c r="A40531" s="83"/>
      <c r="H40531" s="83"/>
      <c r="K40531" s="82"/>
      <c r="M40531" s="112"/>
      <c r="N40531" s="84"/>
    </row>
    <row r="40532" spans="1:14" s="2" customFormat="1">
      <c r="A40532" s="83"/>
      <c r="H40532" s="83"/>
      <c r="K40532" s="82"/>
      <c r="M40532" s="112"/>
      <c r="N40532" s="84"/>
    </row>
    <row r="40533" spans="1:14" s="2" customFormat="1">
      <c r="A40533" s="83"/>
      <c r="H40533" s="83"/>
      <c r="K40533" s="82"/>
      <c r="M40533" s="112"/>
      <c r="N40533" s="84"/>
    </row>
    <row r="40534" spans="1:14" s="2" customFormat="1">
      <c r="A40534" s="83"/>
      <c r="H40534" s="83"/>
      <c r="K40534" s="82"/>
      <c r="M40534" s="112"/>
      <c r="N40534" s="84"/>
    </row>
    <row r="40535" spans="1:14" s="2" customFormat="1">
      <c r="A40535" s="83"/>
      <c r="H40535" s="83"/>
      <c r="K40535" s="82"/>
      <c r="M40535" s="112"/>
      <c r="N40535" s="84"/>
    </row>
    <row r="40536" spans="1:14" s="2" customFormat="1">
      <c r="A40536" s="83"/>
      <c r="H40536" s="83"/>
      <c r="K40536" s="82"/>
      <c r="M40536" s="112"/>
      <c r="N40536" s="84"/>
    </row>
    <row r="40537" spans="1:14" s="2" customFormat="1">
      <c r="A40537" s="83"/>
      <c r="H40537" s="83"/>
      <c r="K40537" s="82"/>
      <c r="M40537" s="112"/>
      <c r="N40537" s="84"/>
    </row>
    <row r="40538" spans="1:14" s="2" customFormat="1">
      <c r="A40538" s="83"/>
      <c r="H40538" s="83"/>
      <c r="K40538" s="82"/>
      <c r="M40538" s="112"/>
      <c r="N40538" s="84"/>
    </row>
    <row r="40539" spans="1:14" s="2" customFormat="1">
      <c r="A40539" s="83"/>
      <c r="H40539" s="83"/>
      <c r="K40539" s="82"/>
      <c r="M40539" s="112"/>
      <c r="N40539" s="84"/>
    </row>
    <row r="40540" spans="1:14" s="2" customFormat="1">
      <c r="A40540" s="83"/>
      <c r="H40540" s="83"/>
      <c r="K40540" s="82"/>
      <c r="M40540" s="112"/>
      <c r="N40540" s="84"/>
    </row>
    <row r="40541" spans="1:14" s="2" customFormat="1">
      <c r="A40541" s="83"/>
      <c r="H40541" s="83"/>
      <c r="K40541" s="82"/>
      <c r="M40541" s="112"/>
      <c r="N40541" s="84"/>
    </row>
    <row r="40542" spans="1:14" s="2" customFormat="1">
      <c r="A40542" s="83"/>
      <c r="H40542" s="83"/>
      <c r="K40542" s="82"/>
      <c r="M40542" s="112"/>
      <c r="N40542" s="84"/>
    </row>
    <row r="40543" spans="1:14" s="2" customFormat="1">
      <c r="A40543" s="83"/>
      <c r="H40543" s="83"/>
      <c r="K40543" s="82"/>
      <c r="M40543" s="112"/>
      <c r="N40543" s="84"/>
    </row>
    <row r="40544" spans="1:14" s="2" customFormat="1">
      <c r="A40544" s="83"/>
      <c r="H40544" s="83"/>
      <c r="K40544" s="82"/>
      <c r="M40544" s="112"/>
      <c r="N40544" s="84"/>
    </row>
    <row r="40545" spans="1:14" s="2" customFormat="1">
      <c r="A40545" s="83"/>
      <c r="H40545" s="83"/>
      <c r="K40545" s="82"/>
      <c r="M40545" s="112"/>
      <c r="N40545" s="84"/>
    </row>
    <row r="40546" spans="1:14" s="2" customFormat="1">
      <c r="A40546" s="83"/>
      <c r="H40546" s="83"/>
      <c r="K40546" s="82"/>
      <c r="M40546" s="112"/>
      <c r="N40546" s="84"/>
    </row>
    <row r="40547" spans="1:14" s="2" customFormat="1">
      <c r="A40547" s="83"/>
      <c r="H40547" s="83"/>
      <c r="K40547" s="82"/>
      <c r="M40547" s="112"/>
      <c r="N40547" s="84"/>
    </row>
    <row r="40548" spans="1:14" s="2" customFormat="1">
      <c r="A40548" s="83"/>
      <c r="H40548" s="83"/>
      <c r="K40548" s="82"/>
      <c r="M40548" s="112"/>
      <c r="N40548" s="84"/>
    </row>
    <row r="40549" spans="1:14" s="2" customFormat="1">
      <c r="A40549" s="83"/>
      <c r="H40549" s="83"/>
      <c r="K40549" s="82"/>
      <c r="M40549" s="112"/>
      <c r="N40549" s="84"/>
    </row>
    <row r="40550" spans="1:14" s="2" customFormat="1">
      <c r="A40550" s="83"/>
      <c r="H40550" s="83"/>
      <c r="K40550" s="82"/>
      <c r="M40550" s="112"/>
      <c r="N40550" s="84"/>
    </row>
    <row r="40551" spans="1:14" s="2" customFormat="1">
      <c r="A40551" s="83"/>
      <c r="H40551" s="83"/>
      <c r="K40551" s="82"/>
      <c r="M40551" s="112"/>
      <c r="N40551" s="84"/>
    </row>
    <row r="40552" spans="1:14" s="2" customFormat="1">
      <c r="A40552" s="83"/>
      <c r="H40552" s="83"/>
      <c r="K40552" s="82"/>
      <c r="M40552" s="112"/>
      <c r="N40552" s="84"/>
    </row>
    <row r="40553" spans="1:14" s="2" customFormat="1">
      <c r="A40553" s="83"/>
      <c r="H40553" s="83"/>
      <c r="K40553" s="82"/>
      <c r="M40553" s="112"/>
      <c r="N40553" s="84"/>
    </row>
    <row r="40554" spans="1:14" s="2" customFormat="1">
      <c r="A40554" s="83"/>
      <c r="H40554" s="83"/>
      <c r="K40554" s="82"/>
      <c r="M40554" s="112"/>
      <c r="N40554" s="84"/>
    </row>
    <row r="40555" spans="1:14" s="2" customFormat="1">
      <c r="A40555" s="83"/>
      <c r="H40555" s="83"/>
      <c r="K40555" s="82"/>
      <c r="M40555" s="112"/>
      <c r="N40555" s="84"/>
    </row>
    <row r="40556" spans="1:14" s="2" customFormat="1">
      <c r="A40556" s="83"/>
      <c r="H40556" s="83"/>
      <c r="K40556" s="82"/>
      <c r="M40556" s="112"/>
      <c r="N40556" s="84"/>
    </row>
    <row r="40557" spans="1:14" s="2" customFormat="1">
      <c r="A40557" s="83"/>
      <c r="H40557" s="83"/>
      <c r="K40557" s="82"/>
      <c r="M40557" s="112"/>
      <c r="N40557" s="84"/>
    </row>
    <row r="40558" spans="1:14" s="2" customFormat="1">
      <c r="A40558" s="83"/>
      <c r="H40558" s="83"/>
      <c r="K40558" s="82"/>
      <c r="M40558" s="112"/>
      <c r="N40558" s="84"/>
    </row>
    <row r="40559" spans="1:14" s="2" customFormat="1">
      <c r="A40559" s="83"/>
      <c r="H40559" s="83"/>
      <c r="K40559" s="82"/>
      <c r="M40559" s="112"/>
      <c r="N40559" s="84"/>
    </row>
    <row r="40560" spans="1:14" s="2" customFormat="1">
      <c r="A40560" s="83"/>
      <c r="H40560" s="83"/>
      <c r="K40560" s="82"/>
      <c r="M40560" s="112"/>
      <c r="N40560" s="84"/>
    </row>
    <row r="40561" spans="1:14" s="2" customFormat="1">
      <c r="A40561" s="83"/>
      <c r="H40561" s="83"/>
      <c r="K40561" s="82"/>
      <c r="M40561" s="112"/>
      <c r="N40561" s="84"/>
    </row>
    <row r="40562" spans="1:14" s="2" customFormat="1">
      <c r="A40562" s="83"/>
      <c r="H40562" s="83"/>
      <c r="K40562" s="82"/>
      <c r="M40562" s="112"/>
      <c r="N40562" s="84"/>
    </row>
    <row r="40563" spans="1:14" s="2" customFormat="1">
      <c r="A40563" s="83"/>
      <c r="H40563" s="83"/>
      <c r="K40563" s="82"/>
      <c r="M40563" s="112"/>
      <c r="N40563" s="84"/>
    </row>
    <row r="40564" spans="1:14" s="2" customFormat="1">
      <c r="A40564" s="83"/>
      <c r="H40564" s="83"/>
      <c r="K40564" s="82"/>
      <c r="M40564" s="112"/>
      <c r="N40564" s="84"/>
    </row>
    <row r="40565" spans="1:14" s="2" customFormat="1">
      <c r="A40565" s="83"/>
      <c r="H40565" s="83"/>
      <c r="K40565" s="82"/>
      <c r="M40565" s="112"/>
      <c r="N40565" s="84"/>
    </row>
    <row r="40566" spans="1:14" s="2" customFormat="1">
      <c r="A40566" s="83"/>
      <c r="H40566" s="83"/>
      <c r="K40566" s="82"/>
      <c r="M40566" s="112"/>
      <c r="N40566" s="84"/>
    </row>
    <row r="40567" spans="1:14" s="2" customFormat="1">
      <c r="A40567" s="83"/>
      <c r="H40567" s="83"/>
      <c r="K40567" s="82"/>
      <c r="M40567" s="112"/>
      <c r="N40567" s="84"/>
    </row>
    <row r="40568" spans="1:14" s="2" customFormat="1">
      <c r="A40568" s="83"/>
      <c r="H40568" s="83"/>
      <c r="K40568" s="82"/>
      <c r="M40568" s="112"/>
      <c r="N40568" s="84"/>
    </row>
    <row r="40569" spans="1:14" s="2" customFormat="1">
      <c r="A40569" s="83"/>
      <c r="H40569" s="83"/>
      <c r="K40569" s="82"/>
      <c r="M40569" s="112"/>
      <c r="N40569" s="84"/>
    </row>
    <row r="40570" spans="1:14" s="2" customFormat="1">
      <c r="A40570" s="83"/>
      <c r="H40570" s="83"/>
      <c r="K40570" s="82"/>
      <c r="M40570" s="112"/>
      <c r="N40570" s="84"/>
    </row>
    <row r="40571" spans="1:14" s="2" customFormat="1">
      <c r="A40571" s="83"/>
      <c r="H40571" s="83"/>
      <c r="K40571" s="82"/>
      <c r="M40571" s="112"/>
      <c r="N40571" s="84"/>
    </row>
    <row r="40572" spans="1:14" s="2" customFormat="1">
      <c r="A40572" s="83"/>
      <c r="H40572" s="83"/>
      <c r="K40572" s="82"/>
      <c r="M40572" s="112"/>
      <c r="N40572" s="84"/>
    </row>
    <row r="40573" spans="1:14" s="2" customFormat="1">
      <c r="A40573" s="83"/>
      <c r="H40573" s="83"/>
      <c r="K40573" s="82"/>
      <c r="M40573" s="112"/>
      <c r="N40573" s="84"/>
    </row>
    <row r="40574" spans="1:14" s="2" customFormat="1">
      <c r="A40574" s="83"/>
      <c r="H40574" s="83"/>
      <c r="K40574" s="82"/>
      <c r="M40574" s="112"/>
      <c r="N40574" s="84"/>
    </row>
    <row r="40575" spans="1:14" s="2" customFormat="1">
      <c r="A40575" s="83"/>
      <c r="H40575" s="83"/>
      <c r="K40575" s="82"/>
      <c r="M40575" s="112"/>
      <c r="N40575" s="84"/>
    </row>
    <row r="40576" spans="1:14" s="2" customFormat="1">
      <c r="A40576" s="83"/>
      <c r="H40576" s="83"/>
      <c r="K40576" s="82"/>
      <c r="M40576" s="112"/>
      <c r="N40576" s="84"/>
    </row>
    <row r="40577" spans="1:14" s="2" customFormat="1">
      <c r="A40577" s="83"/>
      <c r="H40577" s="83"/>
      <c r="K40577" s="82"/>
      <c r="M40577" s="112"/>
      <c r="N40577" s="84"/>
    </row>
    <row r="40578" spans="1:14" s="2" customFormat="1">
      <c r="A40578" s="83"/>
      <c r="H40578" s="83"/>
      <c r="K40578" s="82"/>
      <c r="M40578" s="112"/>
      <c r="N40578" s="84"/>
    </row>
    <row r="40579" spans="1:14" s="2" customFormat="1">
      <c r="A40579" s="83"/>
      <c r="H40579" s="83"/>
      <c r="K40579" s="82"/>
      <c r="M40579" s="112"/>
      <c r="N40579" s="84"/>
    </row>
    <row r="40580" spans="1:14" s="2" customFormat="1">
      <c r="A40580" s="83"/>
      <c r="H40580" s="83"/>
      <c r="K40580" s="82"/>
      <c r="M40580" s="112"/>
      <c r="N40580" s="84"/>
    </row>
    <row r="40581" spans="1:14" s="2" customFormat="1">
      <c r="A40581" s="83"/>
      <c r="H40581" s="83"/>
      <c r="K40581" s="82"/>
      <c r="M40581" s="112"/>
      <c r="N40581" s="84"/>
    </row>
    <row r="40582" spans="1:14" s="2" customFormat="1">
      <c r="A40582" s="83"/>
      <c r="H40582" s="83"/>
      <c r="K40582" s="82"/>
      <c r="M40582" s="112"/>
      <c r="N40582" s="84"/>
    </row>
    <row r="40583" spans="1:14" s="2" customFormat="1">
      <c r="A40583" s="83"/>
      <c r="H40583" s="83"/>
      <c r="K40583" s="82"/>
      <c r="M40583" s="112"/>
      <c r="N40583" s="84"/>
    </row>
    <row r="40584" spans="1:14" s="2" customFormat="1">
      <c r="A40584" s="83"/>
      <c r="H40584" s="83"/>
      <c r="K40584" s="82"/>
      <c r="M40584" s="112"/>
      <c r="N40584" s="84"/>
    </row>
    <row r="40585" spans="1:14" s="2" customFormat="1">
      <c r="A40585" s="83"/>
      <c r="H40585" s="83"/>
      <c r="K40585" s="82"/>
      <c r="M40585" s="112"/>
      <c r="N40585" s="84"/>
    </row>
    <row r="40586" spans="1:14" s="2" customFormat="1">
      <c r="A40586" s="83"/>
      <c r="H40586" s="83"/>
      <c r="K40586" s="82"/>
      <c r="M40586" s="112"/>
      <c r="N40586" s="84"/>
    </row>
    <row r="40587" spans="1:14" s="2" customFormat="1">
      <c r="A40587" s="83"/>
      <c r="H40587" s="83"/>
      <c r="K40587" s="82"/>
      <c r="M40587" s="112"/>
      <c r="N40587" s="84"/>
    </row>
    <row r="40588" spans="1:14" s="2" customFormat="1">
      <c r="A40588" s="83"/>
      <c r="H40588" s="83"/>
      <c r="K40588" s="82"/>
      <c r="M40588" s="112"/>
      <c r="N40588" s="84"/>
    </row>
    <row r="40589" spans="1:14" s="2" customFormat="1">
      <c r="A40589" s="83"/>
      <c r="H40589" s="83"/>
      <c r="K40589" s="82"/>
      <c r="M40589" s="112"/>
      <c r="N40589" s="84"/>
    </row>
    <row r="40590" spans="1:14" s="2" customFormat="1">
      <c r="A40590" s="83"/>
      <c r="H40590" s="83"/>
      <c r="K40590" s="82"/>
      <c r="M40590" s="112"/>
      <c r="N40590" s="84"/>
    </row>
    <row r="40591" spans="1:14" s="2" customFormat="1">
      <c r="A40591" s="83"/>
      <c r="H40591" s="83"/>
      <c r="K40591" s="82"/>
      <c r="M40591" s="112"/>
      <c r="N40591" s="84"/>
    </row>
    <row r="40592" spans="1:14" s="2" customFormat="1">
      <c r="A40592" s="83"/>
      <c r="H40592" s="83"/>
      <c r="K40592" s="82"/>
      <c r="M40592" s="112"/>
      <c r="N40592" s="84"/>
    </row>
    <row r="40593" spans="1:14" s="2" customFormat="1">
      <c r="A40593" s="83"/>
      <c r="H40593" s="83"/>
      <c r="K40593" s="82"/>
      <c r="M40593" s="112"/>
      <c r="N40593" s="84"/>
    </row>
    <row r="40594" spans="1:14" s="2" customFormat="1">
      <c r="A40594" s="83"/>
      <c r="H40594" s="83"/>
      <c r="K40594" s="82"/>
      <c r="M40594" s="112"/>
      <c r="N40594" s="84"/>
    </row>
    <row r="40595" spans="1:14" s="2" customFormat="1">
      <c r="A40595" s="83"/>
      <c r="H40595" s="83"/>
      <c r="K40595" s="82"/>
      <c r="M40595" s="112"/>
      <c r="N40595" s="84"/>
    </row>
    <row r="40596" spans="1:14" s="2" customFormat="1">
      <c r="A40596" s="83"/>
      <c r="H40596" s="83"/>
      <c r="K40596" s="82"/>
      <c r="M40596" s="112"/>
      <c r="N40596" s="84"/>
    </row>
    <row r="40597" spans="1:14" s="2" customFormat="1">
      <c r="A40597" s="83"/>
      <c r="H40597" s="83"/>
      <c r="K40597" s="82"/>
      <c r="M40597" s="112"/>
      <c r="N40597" s="84"/>
    </row>
    <row r="40598" spans="1:14" s="2" customFormat="1">
      <c r="A40598" s="83"/>
      <c r="H40598" s="83"/>
      <c r="K40598" s="82"/>
      <c r="M40598" s="112"/>
      <c r="N40598" s="84"/>
    </row>
    <row r="40599" spans="1:14" s="2" customFormat="1">
      <c r="A40599" s="83"/>
      <c r="H40599" s="83"/>
      <c r="K40599" s="82"/>
      <c r="M40599" s="112"/>
      <c r="N40599" s="84"/>
    </row>
    <row r="40600" spans="1:14" s="2" customFormat="1">
      <c r="A40600" s="83"/>
      <c r="H40600" s="83"/>
      <c r="K40600" s="82"/>
      <c r="M40600" s="112"/>
      <c r="N40600" s="84"/>
    </row>
    <row r="40601" spans="1:14" s="2" customFormat="1">
      <c r="A40601" s="83"/>
      <c r="H40601" s="83"/>
      <c r="K40601" s="82"/>
      <c r="M40601" s="112"/>
      <c r="N40601" s="84"/>
    </row>
    <row r="40602" spans="1:14" s="2" customFormat="1">
      <c r="A40602" s="83"/>
      <c r="H40602" s="83"/>
      <c r="K40602" s="82"/>
      <c r="M40602" s="112"/>
      <c r="N40602" s="84"/>
    </row>
    <row r="40603" spans="1:14" s="2" customFormat="1">
      <c r="A40603" s="83"/>
      <c r="H40603" s="83"/>
      <c r="K40603" s="82"/>
      <c r="M40603" s="112"/>
      <c r="N40603" s="84"/>
    </row>
    <row r="40604" spans="1:14" s="2" customFormat="1">
      <c r="A40604" s="83"/>
      <c r="H40604" s="83"/>
      <c r="K40604" s="82"/>
      <c r="M40604" s="112"/>
      <c r="N40604" s="84"/>
    </row>
    <row r="40605" spans="1:14" s="2" customFormat="1">
      <c r="A40605" s="83"/>
      <c r="H40605" s="83"/>
      <c r="K40605" s="82"/>
      <c r="M40605" s="112"/>
      <c r="N40605" s="84"/>
    </row>
    <row r="40606" spans="1:14" s="2" customFormat="1">
      <c r="A40606" s="83"/>
      <c r="H40606" s="83"/>
      <c r="K40606" s="82"/>
      <c r="M40606" s="112"/>
      <c r="N40606" s="84"/>
    </row>
    <row r="40607" spans="1:14" s="2" customFormat="1">
      <c r="A40607" s="83"/>
      <c r="H40607" s="83"/>
      <c r="K40607" s="82"/>
      <c r="M40607" s="112"/>
      <c r="N40607" s="84"/>
    </row>
    <row r="40608" spans="1:14" s="2" customFormat="1">
      <c r="A40608" s="83"/>
      <c r="H40608" s="83"/>
      <c r="K40608" s="82"/>
      <c r="M40608" s="112"/>
      <c r="N40608" s="84"/>
    </row>
    <row r="40609" spans="1:14" s="2" customFormat="1">
      <c r="A40609" s="83"/>
      <c r="H40609" s="83"/>
      <c r="K40609" s="82"/>
      <c r="M40609" s="112"/>
      <c r="N40609" s="84"/>
    </row>
    <row r="40610" spans="1:14" s="2" customFormat="1">
      <c r="A40610" s="83"/>
      <c r="H40610" s="83"/>
      <c r="K40610" s="82"/>
      <c r="M40610" s="112"/>
      <c r="N40610" s="84"/>
    </row>
    <row r="40611" spans="1:14" s="2" customFormat="1">
      <c r="A40611" s="83"/>
      <c r="H40611" s="83"/>
      <c r="K40611" s="82"/>
      <c r="M40611" s="112"/>
      <c r="N40611" s="84"/>
    </row>
    <row r="40612" spans="1:14" s="2" customFormat="1">
      <c r="A40612" s="83"/>
      <c r="H40612" s="83"/>
      <c r="K40612" s="82"/>
      <c r="M40612" s="112"/>
      <c r="N40612" s="84"/>
    </row>
    <row r="40613" spans="1:14" s="2" customFormat="1">
      <c r="A40613" s="83"/>
      <c r="H40613" s="83"/>
      <c r="K40613" s="82"/>
      <c r="M40613" s="112"/>
      <c r="N40613" s="84"/>
    </row>
    <row r="40614" spans="1:14" s="2" customFormat="1">
      <c r="A40614" s="83"/>
      <c r="H40614" s="83"/>
      <c r="K40614" s="82"/>
      <c r="M40614" s="112"/>
      <c r="N40614" s="84"/>
    </row>
    <row r="40615" spans="1:14" s="2" customFormat="1">
      <c r="A40615" s="83"/>
      <c r="H40615" s="83"/>
      <c r="K40615" s="82"/>
      <c r="M40615" s="112"/>
      <c r="N40615" s="84"/>
    </row>
    <row r="40616" spans="1:14" s="2" customFormat="1">
      <c r="A40616" s="83"/>
      <c r="H40616" s="83"/>
      <c r="K40616" s="82"/>
      <c r="M40616" s="112"/>
      <c r="N40616" s="84"/>
    </row>
    <row r="40617" spans="1:14" s="2" customFormat="1">
      <c r="A40617" s="83"/>
      <c r="H40617" s="83"/>
      <c r="K40617" s="82"/>
      <c r="M40617" s="112"/>
      <c r="N40617" s="84"/>
    </row>
    <row r="40618" spans="1:14" s="2" customFormat="1">
      <c r="A40618" s="83"/>
      <c r="H40618" s="83"/>
      <c r="K40618" s="82"/>
      <c r="M40618" s="112"/>
      <c r="N40618" s="84"/>
    </row>
    <row r="40619" spans="1:14" s="2" customFormat="1">
      <c r="A40619" s="83"/>
      <c r="H40619" s="83"/>
      <c r="K40619" s="82"/>
      <c r="M40619" s="112"/>
      <c r="N40619" s="84"/>
    </row>
    <row r="40620" spans="1:14" s="2" customFormat="1">
      <c r="A40620" s="83"/>
      <c r="H40620" s="83"/>
      <c r="K40620" s="82"/>
      <c r="M40620" s="112"/>
      <c r="N40620" s="84"/>
    </row>
    <row r="40621" spans="1:14" s="2" customFormat="1">
      <c r="A40621" s="83"/>
      <c r="H40621" s="83"/>
      <c r="K40621" s="82"/>
      <c r="M40621" s="112"/>
      <c r="N40621" s="84"/>
    </row>
    <row r="40622" spans="1:14" s="2" customFormat="1">
      <c r="A40622" s="83"/>
      <c r="H40622" s="83"/>
      <c r="K40622" s="82"/>
      <c r="M40622" s="112"/>
      <c r="N40622" s="84"/>
    </row>
    <row r="40623" spans="1:14" s="2" customFormat="1">
      <c r="A40623" s="83"/>
      <c r="H40623" s="83"/>
      <c r="K40623" s="82"/>
      <c r="M40623" s="112"/>
      <c r="N40623" s="84"/>
    </row>
    <row r="40624" spans="1:14" s="2" customFormat="1">
      <c r="A40624" s="83"/>
      <c r="H40624" s="83"/>
      <c r="K40624" s="82"/>
      <c r="M40624" s="112"/>
      <c r="N40624" s="84"/>
    </row>
    <row r="40625" spans="1:14" s="2" customFormat="1">
      <c r="A40625" s="83"/>
      <c r="H40625" s="83"/>
      <c r="K40625" s="82"/>
      <c r="M40625" s="112"/>
      <c r="N40625" s="84"/>
    </row>
    <row r="40626" spans="1:14" s="2" customFormat="1">
      <c r="A40626" s="83"/>
      <c r="H40626" s="83"/>
      <c r="K40626" s="82"/>
      <c r="M40626" s="112"/>
      <c r="N40626" s="84"/>
    </row>
    <row r="40627" spans="1:14" s="2" customFormat="1">
      <c r="A40627" s="83"/>
      <c r="H40627" s="83"/>
      <c r="K40627" s="82"/>
      <c r="M40627" s="112"/>
      <c r="N40627" s="84"/>
    </row>
    <row r="40628" spans="1:14" s="2" customFormat="1">
      <c r="A40628" s="83"/>
      <c r="H40628" s="83"/>
      <c r="K40628" s="82"/>
      <c r="M40628" s="112"/>
      <c r="N40628" s="84"/>
    </row>
    <row r="40629" spans="1:14" s="2" customFormat="1">
      <c r="A40629" s="83"/>
      <c r="H40629" s="83"/>
      <c r="K40629" s="82"/>
      <c r="M40629" s="112"/>
      <c r="N40629" s="84"/>
    </row>
    <row r="40630" spans="1:14" s="2" customFormat="1">
      <c r="A40630" s="83"/>
      <c r="H40630" s="83"/>
      <c r="K40630" s="82"/>
      <c r="M40630" s="112"/>
      <c r="N40630" s="84"/>
    </row>
    <row r="40631" spans="1:14" s="2" customFormat="1">
      <c r="A40631" s="83"/>
      <c r="H40631" s="83"/>
      <c r="K40631" s="82"/>
      <c r="M40631" s="112"/>
      <c r="N40631" s="84"/>
    </row>
    <row r="40632" spans="1:14" s="2" customFormat="1">
      <c r="A40632" s="83"/>
      <c r="H40632" s="83"/>
      <c r="K40632" s="82"/>
      <c r="M40632" s="112"/>
      <c r="N40632" s="84"/>
    </row>
    <row r="40633" spans="1:14" s="2" customFormat="1">
      <c r="A40633" s="83"/>
      <c r="H40633" s="83"/>
      <c r="K40633" s="82"/>
      <c r="M40633" s="112"/>
      <c r="N40633" s="84"/>
    </row>
    <row r="40634" spans="1:14" s="2" customFormat="1">
      <c r="A40634" s="83"/>
      <c r="H40634" s="83"/>
      <c r="K40634" s="82"/>
      <c r="M40634" s="112"/>
      <c r="N40634" s="84"/>
    </row>
    <row r="40635" spans="1:14" s="2" customFormat="1">
      <c r="A40635" s="83"/>
      <c r="H40635" s="83"/>
      <c r="K40635" s="82"/>
      <c r="M40635" s="112"/>
      <c r="N40635" s="84"/>
    </row>
    <row r="40636" spans="1:14" s="2" customFormat="1">
      <c r="A40636" s="83"/>
      <c r="H40636" s="83"/>
      <c r="K40636" s="82"/>
      <c r="M40636" s="112"/>
      <c r="N40636" s="84"/>
    </row>
    <row r="40637" spans="1:14" s="2" customFormat="1">
      <c r="A40637" s="83"/>
      <c r="H40637" s="83"/>
      <c r="K40637" s="82"/>
      <c r="M40637" s="112"/>
      <c r="N40637" s="84"/>
    </row>
    <row r="40638" spans="1:14" s="2" customFormat="1">
      <c r="A40638" s="83"/>
      <c r="H40638" s="83"/>
      <c r="K40638" s="82"/>
      <c r="M40638" s="112"/>
      <c r="N40638" s="84"/>
    </row>
    <row r="40639" spans="1:14" s="2" customFormat="1">
      <c r="A40639" s="83"/>
      <c r="H40639" s="83"/>
      <c r="K40639" s="82"/>
      <c r="M40639" s="112"/>
      <c r="N40639" s="84"/>
    </row>
    <row r="40640" spans="1:14" s="2" customFormat="1">
      <c r="A40640" s="83"/>
      <c r="H40640" s="83"/>
      <c r="K40640" s="82"/>
      <c r="M40640" s="112"/>
      <c r="N40640" s="84"/>
    </row>
    <row r="40641" spans="1:14" s="2" customFormat="1">
      <c r="A40641" s="83"/>
      <c r="H40641" s="83"/>
      <c r="K40641" s="82"/>
      <c r="M40641" s="112"/>
      <c r="N40641" s="84"/>
    </row>
    <row r="40642" spans="1:14" s="2" customFormat="1">
      <c r="A40642" s="83"/>
      <c r="H40642" s="83"/>
      <c r="K40642" s="82"/>
      <c r="M40642" s="112"/>
      <c r="N40642" s="84"/>
    </row>
    <row r="40643" spans="1:14" s="2" customFormat="1">
      <c r="A40643" s="83"/>
      <c r="H40643" s="83"/>
      <c r="K40643" s="82"/>
      <c r="M40643" s="112"/>
      <c r="N40643" s="84"/>
    </row>
    <row r="40644" spans="1:14" s="2" customFormat="1">
      <c r="A40644" s="83"/>
      <c r="H40644" s="83"/>
      <c r="K40644" s="82"/>
      <c r="M40644" s="112"/>
      <c r="N40644" s="84"/>
    </row>
    <row r="40645" spans="1:14" s="2" customFormat="1">
      <c r="A40645" s="83"/>
      <c r="H40645" s="83"/>
      <c r="K40645" s="82"/>
      <c r="M40645" s="112"/>
      <c r="N40645" s="84"/>
    </row>
    <row r="40646" spans="1:14" s="2" customFormat="1">
      <c r="A40646" s="83"/>
      <c r="H40646" s="83"/>
      <c r="K40646" s="82"/>
      <c r="M40646" s="112"/>
      <c r="N40646" s="84"/>
    </row>
    <row r="40647" spans="1:14" s="2" customFormat="1">
      <c r="A40647" s="83"/>
      <c r="H40647" s="83"/>
      <c r="K40647" s="82"/>
      <c r="M40647" s="112"/>
      <c r="N40647" s="84"/>
    </row>
    <row r="40648" spans="1:14" s="2" customFormat="1">
      <c r="A40648" s="83"/>
      <c r="H40648" s="83"/>
      <c r="K40648" s="82"/>
      <c r="M40648" s="112"/>
      <c r="N40648" s="84"/>
    </row>
    <row r="40649" spans="1:14" s="2" customFormat="1">
      <c r="A40649" s="83"/>
      <c r="H40649" s="83"/>
      <c r="K40649" s="82"/>
      <c r="M40649" s="112"/>
      <c r="N40649" s="84"/>
    </row>
    <row r="40650" spans="1:14" s="2" customFormat="1">
      <c r="A40650" s="83"/>
      <c r="H40650" s="83"/>
      <c r="K40650" s="82"/>
      <c r="M40650" s="112"/>
      <c r="N40650" s="84"/>
    </row>
    <row r="40651" spans="1:14" s="2" customFormat="1">
      <c r="A40651" s="83"/>
      <c r="H40651" s="83"/>
      <c r="K40651" s="82"/>
      <c r="M40651" s="112"/>
      <c r="N40651" s="84"/>
    </row>
    <row r="40652" spans="1:14" s="2" customFormat="1">
      <c r="A40652" s="83"/>
      <c r="H40652" s="83"/>
      <c r="K40652" s="82"/>
      <c r="M40652" s="112"/>
      <c r="N40652" s="84"/>
    </row>
    <row r="40653" spans="1:14" s="2" customFormat="1">
      <c r="A40653" s="83"/>
      <c r="H40653" s="83"/>
      <c r="K40653" s="82"/>
      <c r="M40653" s="112"/>
      <c r="N40653" s="84"/>
    </row>
    <row r="40654" spans="1:14" s="2" customFormat="1">
      <c r="A40654" s="83"/>
      <c r="H40654" s="83"/>
      <c r="K40654" s="82"/>
      <c r="M40654" s="112"/>
      <c r="N40654" s="84"/>
    </row>
    <row r="40655" spans="1:14" s="2" customFormat="1">
      <c r="A40655" s="83"/>
      <c r="H40655" s="83"/>
      <c r="K40655" s="82"/>
      <c r="M40655" s="112"/>
      <c r="N40655" s="84"/>
    </row>
    <row r="40656" spans="1:14" s="2" customFormat="1">
      <c r="A40656" s="83"/>
      <c r="H40656" s="83"/>
      <c r="K40656" s="82"/>
      <c r="M40656" s="112"/>
      <c r="N40656" s="84"/>
    </row>
    <row r="40657" spans="1:14" s="2" customFormat="1">
      <c r="A40657" s="83"/>
      <c r="H40657" s="83"/>
      <c r="K40657" s="82"/>
      <c r="M40657" s="112"/>
      <c r="N40657" s="84"/>
    </row>
    <row r="40658" spans="1:14" s="2" customFormat="1">
      <c r="A40658" s="83"/>
      <c r="H40658" s="83"/>
      <c r="K40658" s="82"/>
      <c r="M40658" s="112"/>
      <c r="N40658" s="84"/>
    </row>
    <row r="40659" spans="1:14" s="2" customFormat="1">
      <c r="A40659" s="83"/>
      <c r="H40659" s="83"/>
      <c r="K40659" s="82"/>
      <c r="M40659" s="112"/>
      <c r="N40659" s="84"/>
    </row>
    <row r="40660" spans="1:14" s="2" customFormat="1">
      <c r="A40660" s="83"/>
      <c r="H40660" s="83"/>
      <c r="K40660" s="82"/>
      <c r="M40660" s="112"/>
      <c r="N40660" s="84"/>
    </row>
    <row r="40661" spans="1:14" s="2" customFormat="1">
      <c r="A40661" s="83"/>
      <c r="H40661" s="83"/>
      <c r="K40661" s="82"/>
      <c r="M40661" s="112"/>
      <c r="N40661" s="84"/>
    </row>
    <row r="40662" spans="1:14" s="2" customFormat="1">
      <c r="A40662" s="83"/>
      <c r="H40662" s="83"/>
      <c r="K40662" s="82"/>
      <c r="M40662" s="112"/>
      <c r="N40662" s="84"/>
    </row>
    <row r="40663" spans="1:14" s="2" customFormat="1">
      <c r="A40663" s="83"/>
      <c r="H40663" s="83"/>
      <c r="K40663" s="82"/>
      <c r="M40663" s="112"/>
      <c r="N40663" s="84"/>
    </row>
    <row r="40664" spans="1:14" s="2" customFormat="1">
      <c r="A40664" s="83"/>
      <c r="H40664" s="83"/>
      <c r="K40664" s="82"/>
      <c r="M40664" s="112"/>
      <c r="N40664" s="84"/>
    </row>
    <row r="40665" spans="1:14" s="2" customFormat="1">
      <c r="A40665" s="83"/>
      <c r="H40665" s="83"/>
      <c r="K40665" s="82"/>
      <c r="M40665" s="112"/>
      <c r="N40665" s="84"/>
    </row>
    <row r="40666" spans="1:14" s="2" customFormat="1">
      <c r="A40666" s="83"/>
      <c r="H40666" s="83"/>
      <c r="K40666" s="82"/>
      <c r="M40666" s="112"/>
      <c r="N40666" s="84"/>
    </row>
    <row r="40667" spans="1:14" s="2" customFormat="1">
      <c r="A40667" s="83"/>
      <c r="H40667" s="83"/>
      <c r="K40667" s="82"/>
      <c r="M40667" s="112"/>
      <c r="N40667" s="84"/>
    </row>
    <row r="40668" spans="1:14" s="2" customFormat="1">
      <c r="A40668" s="83"/>
      <c r="H40668" s="83"/>
      <c r="K40668" s="82"/>
      <c r="M40668" s="112"/>
      <c r="N40668" s="84"/>
    </row>
    <row r="40669" spans="1:14" s="2" customFormat="1">
      <c r="A40669" s="83"/>
      <c r="H40669" s="83"/>
      <c r="K40669" s="82"/>
      <c r="M40669" s="112"/>
      <c r="N40669" s="84"/>
    </row>
    <row r="40670" spans="1:14" s="2" customFormat="1">
      <c r="A40670" s="83"/>
      <c r="H40670" s="83"/>
      <c r="K40670" s="82"/>
      <c r="M40670" s="112"/>
      <c r="N40670" s="84"/>
    </row>
    <row r="40671" spans="1:14" s="2" customFormat="1">
      <c r="A40671" s="83"/>
      <c r="H40671" s="83"/>
      <c r="K40671" s="82"/>
      <c r="M40671" s="112"/>
      <c r="N40671" s="84"/>
    </row>
    <row r="40672" spans="1:14" s="2" customFormat="1">
      <c r="A40672" s="83"/>
      <c r="H40672" s="83"/>
      <c r="K40672" s="82"/>
      <c r="M40672" s="112"/>
      <c r="N40672" s="84"/>
    </row>
    <row r="40673" spans="1:14" s="2" customFormat="1">
      <c r="A40673" s="83"/>
      <c r="H40673" s="83"/>
      <c r="K40673" s="82"/>
      <c r="M40673" s="112"/>
      <c r="N40673" s="84"/>
    </row>
    <row r="40674" spans="1:14" s="2" customFormat="1">
      <c r="A40674" s="83"/>
      <c r="H40674" s="83"/>
      <c r="K40674" s="82"/>
      <c r="M40674" s="112"/>
      <c r="N40674" s="84"/>
    </row>
    <row r="40675" spans="1:14" s="2" customFormat="1">
      <c r="A40675" s="83"/>
      <c r="H40675" s="83"/>
      <c r="K40675" s="82"/>
      <c r="M40675" s="112"/>
      <c r="N40675" s="84"/>
    </row>
    <row r="40676" spans="1:14" s="2" customFormat="1">
      <c r="A40676" s="83"/>
      <c r="H40676" s="83"/>
      <c r="K40676" s="82"/>
      <c r="M40676" s="112"/>
      <c r="N40676" s="84"/>
    </row>
    <row r="40677" spans="1:14" s="2" customFormat="1">
      <c r="A40677" s="83"/>
      <c r="H40677" s="83"/>
      <c r="K40677" s="82"/>
      <c r="M40677" s="112"/>
      <c r="N40677" s="84"/>
    </row>
    <row r="40678" spans="1:14" s="2" customFormat="1">
      <c r="A40678" s="83"/>
      <c r="H40678" s="83"/>
      <c r="K40678" s="82"/>
      <c r="M40678" s="112"/>
      <c r="N40678" s="84"/>
    </row>
    <row r="40679" spans="1:14" s="2" customFormat="1">
      <c r="A40679" s="83"/>
      <c r="H40679" s="83"/>
      <c r="K40679" s="82"/>
      <c r="M40679" s="112"/>
      <c r="N40679" s="84"/>
    </row>
    <row r="40680" spans="1:14" s="2" customFormat="1">
      <c r="A40680" s="83"/>
      <c r="H40680" s="83"/>
      <c r="K40680" s="82"/>
      <c r="M40680" s="112"/>
      <c r="N40680" s="84"/>
    </row>
    <row r="40681" spans="1:14" s="2" customFormat="1">
      <c r="A40681" s="83"/>
      <c r="H40681" s="83"/>
      <c r="K40681" s="82"/>
      <c r="M40681" s="112"/>
      <c r="N40681" s="84"/>
    </row>
    <row r="40682" spans="1:14" s="2" customFormat="1">
      <c r="A40682" s="83"/>
      <c r="H40682" s="83"/>
      <c r="K40682" s="82"/>
      <c r="M40682" s="112"/>
      <c r="N40682" s="84"/>
    </row>
    <row r="40683" spans="1:14" s="2" customFormat="1">
      <c r="A40683" s="83"/>
      <c r="H40683" s="83"/>
      <c r="K40683" s="82"/>
      <c r="M40683" s="112"/>
      <c r="N40683" s="84"/>
    </row>
    <row r="40684" spans="1:14" s="2" customFormat="1">
      <c r="A40684" s="83"/>
      <c r="H40684" s="83"/>
      <c r="K40684" s="82"/>
      <c r="M40684" s="112"/>
      <c r="N40684" s="84"/>
    </row>
    <row r="40685" spans="1:14" s="2" customFormat="1">
      <c r="A40685" s="83"/>
      <c r="H40685" s="83"/>
      <c r="K40685" s="82"/>
      <c r="M40685" s="112"/>
      <c r="N40685" s="84"/>
    </row>
    <row r="40686" spans="1:14" s="2" customFormat="1">
      <c r="A40686" s="83"/>
      <c r="H40686" s="83"/>
      <c r="K40686" s="82"/>
      <c r="M40686" s="112"/>
      <c r="N40686" s="84"/>
    </row>
    <row r="40687" spans="1:14" s="2" customFormat="1">
      <c r="A40687" s="83"/>
      <c r="H40687" s="83"/>
      <c r="K40687" s="82"/>
      <c r="M40687" s="112"/>
      <c r="N40687" s="84"/>
    </row>
    <row r="40688" spans="1:14" s="2" customFormat="1">
      <c r="A40688" s="83"/>
      <c r="H40688" s="83"/>
      <c r="K40688" s="82"/>
      <c r="M40688" s="112"/>
      <c r="N40688" s="84"/>
    </row>
    <row r="40689" spans="1:14" s="2" customFormat="1">
      <c r="A40689" s="83"/>
      <c r="H40689" s="83"/>
      <c r="K40689" s="82"/>
      <c r="M40689" s="112"/>
      <c r="N40689" s="84"/>
    </row>
    <row r="40690" spans="1:14" s="2" customFormat="1">
      <c r="A40690" s="83"/>
      <c r="H40690" s="83"/>
      <c r="K40690" s="82"/>
      <c r="M40690" s="112"/>
      <c r="N40690" s="84"/>
    </row>
    <row r="40691" spans="1:14" s="2" customFormat="1">
      <c r="A40691" s="83"/>
      <c r="H40691" s="83"/>
      <c r="K40691" s="82"/>
      <c r="M40691" s="112"/>
      <c r="N40691" s="84"/>
    </row>
    <row r="40692" spans="1:14" s="2" customFormat="1">
      <c r="A40692" s="83"/>
      <c r="H40692" s="83"/>
      <c r="K40692" s="82"/>
      <c r="M40692" s="112"/>
      <c r="N40692" s="84"/>
    </row>
    <row r="40693" spans="1:14" s="2" customFormat="1">
      <c r="A40693" s="83"/>
      <c r="H40693" s="83"/>
      <c r="K40693" s="82"/>
      <c r="M40693" s="112"/>
      <c r="N40693" s="84"/>
    </row>
    <row r="40694" spans="1:14" s="2" customFormat="1">
      <c r="A40694" s="83"/>
      <c r="H40694" s="83"/>
      <c r="K40694" s="82"/>
      <c r="M40694" s="112"/>
      <c r="N40694" s="84"/>
    </row>
    <row r="40695" spans="1:14" s="2" customFormat="1">
      <c r="A40695" s="83"/>
      <c r="H40695" s="83"/>
      <c r="K40695" s="82"/>
      <c r="M40695" s="112"/>
      <c r="N40695" s="84"/>
    </row>
    <row r="40696" spans="1:14" s="2" customFormat="1">
      <c r="A40696" s="83"/>
      <c r="H40696" s="83"/>
      <c r="K40696" s="82"/>
      <c r="M40696" s="112"/>
      <c r="N40696" s="84"/>
    </row>
    <row r="40697" spans="1:14" s="2" customFormat="1">
      <c r="A40697" s="83"/>
      <c r="H40697" s="83"/>
      <c r="K40697" s="82"/>
      <c r="M40697" s="112"/>
      <c r="N40697" s="84"/>
    </row>
    <row r="40698" spans="1:14" s="2" customFormat="1">
      <c r="A40698" s="83"/>
      <c r="H40698" s="83"/>
      <c r="K40698" s="82"/>
      <c r="M40698" s="112"/>
      <c r="N40698" s="84"/>
    </row>
    <row r="40699" spans="1:14" s="2" customFormat="1">
      <c r="A40699" s="83"/>
      <c r="H40699" s="83"/>
      <c r="K40699" s="82"/>
      <c r="M40699" s="112"/>
      <c r="N40699" s="84"/>
    </row>
    <row r="40700" spans="1:14" s="2" customFormat="1">
      <c r="A40700" s="83"/>
      <c r="H40700" s="83"/>
      <c r="K40700" s="82"/>
      <c r="M40700" s="112"/>
      <c r="N40700" s="84"/>
    </row>
    <row r="40701" spans="1:14" s="2" customFormat="1">
      <c r="A40701" s="83"/>
      <c r="H40701" s="83"/>
      <c r="K40701" s="82"/>
      <c r="M40701" s="112"/>
      <c r="N40701" s="84"/>
    </row>
    <row r="40702" spans="1:14" s="2" customFormat="1">
      <c r="A40702" s="83"/>
      <c r="H40702" s="83"/>
      <c r="K40702" s="82"/>
      <c r="M40702" s="112"/>
      <c r="N40702" s="84"/>
    </row>
    <row r="40703" spans="1:14" s="2" customFormat="1">
      <c r="A40703" s="83"/>
      <c r="H40703" s="83"/>
      <c r="K40703" s="82"/>
      <c r="M40703" s="112"/>
      <c r="N40703" s="84"/>
    </row>
    <row r="40704" spans="1:14" s="2" customFormat="1">
      <c r="A40704" s="83"/>
      <c r="H40704" s="83"/>
      <c r="K40704" s="82"/>
      <c r="M40704" s="112"/>
      <c r="N40704" s="84"/>
    </row>
    <row r="40705" spans="1:14" s="2" customFormat="1">
      <c r="A40705" s="83"/>
      <c r="H40705" s="83"/>
      <c r="K40705" s="82"/>
      <c r="M40705" s="112"/>
      <c r="N40705" s="84"/>
    </row>
    <row r="40706" spans="1:14" s="2" customFormat="1">
      <c r="A40706" s="83"/>
      <c r="H40706" s="83"/>
      <c r="K40706" s="82"/>
      <c r="M40706" s="112"/>
      <c r="N40706" s="84"/>
    </row>
    <row r="40707" spans="1:14" s="2" customFormat="1">
      <c r="A40707" s="83"/>
      <c r="H40707" s="83"/>
      <c r="K40707" s="82"/>
      <c r="M40707" s="112"/>
      <c r="N40707" s="84"/>
    </row>
    <row r="40708" spans="1:14" s="2" customFormat="1">
      <c r="A40708" s="83"/>
      <c r="H40708" s="83"/>
      <c r="K40708" s="82"/>
      <c r="M40708" s="112"/>
      <c r="N40708" s="84"/>
    </row>
    <row r="40709" spans="1:14" s="2" customFormat="1">
      <c r="A40709" s="83"/>
      <c r="H40709" s="83"/>
      <c r="K40709" s="82"/>
      <c r="M40709" s="112"/>
      <c r="N40709" s="84"/>
    </row>
    <row r="40710" spans="1:14" s="2" customFormat="1">
      <c r="A40710" s="83"/>
      <c r="H40710" s="83"/>
      <c r="K40710" s="82"/>
      <c r="M40710" s="112"/>
      <c r="N40710" s="84"/>
    </row>
    <row r="40711" spans="1:14" s="2" customFormat="1">
      <c r="A40711" s="83"/>
      <c r="H40711" s="83"/>
      <c r="K40711" s="82"/>
      <c r="M40711" s="112"/>
      <c r="N40711" s="84"/>
    </row>
    <row r="40712" spans="1:14" s="2" customFormat="1">
      <c r="A40712" s="83"/>
      <c r="H40712" s="83"/>
      <c r="K40712" s="82"/>
      <c r="M40712" s="112"/>
      <c r="N40712" s="84"/>
    </row>
    <row r="40713" spans="1:14" s="2" customFormat="1">
      <c r="A40713" s="83"/>
      <c r="H40713" s="83"/>
      <c r="K40713" s="82"/>
      <c r="M40713" s="112"/>
      <c r="N40713" s="84"/>
    </row>
    <row r="40714" spans="1:14" s="2" customFormat="1">
      <c r="A40714" s="83"/>
      <c r="H40714" s="83"/>
      <c r="K40714" s="82"/>
      <c r="M40714" s="112"/>
      <c r="N40714" s="84"/>
    </row>
    <row r="40715" spans="1:14" s="2" customFormat="1">
      <c r="A40715" s="83"/>
      <c r="H40715" s="83"/>
      <c r="K40715" s="82"/>
      <c r="M40715" s="112"/>
      <c r="N40715" s="84"/>
    </row>
    <row r="40716" spans="1:14" s="2" customFormat="1">
      <c r="A40716" s="83"/>
      <c r="H40716" s="83"/>
      <c r="K40716" s="82"/>
      <c r="M40716" s="112"/>
      <c r="N40716" s="84"/>
    </row>
    <row r="40717" spans="1:14" s="2" customFormat="1">
      <c r="A40717" s="83"/>
      <c r="H40717" s="83"/>
      <c r="K40717" s="82"/>
      <c r="M40717" s="112"/>
      <c r="N40717" s="84"/>
    </row>
    <row r="40718" spans="1:14" s="2" customFormat="1">
      <c r="A40718" s="83"/>
      <c r="H40718" s="83"/>
      <c r="K40718" s="82"/>
      <c r="M40718" s="112"/>
      <c r="N40718" s="84"/>
    </row>
    <row r="40719" spans="1:14" s="2" customFormat="1">
      <c r="A40719" s="83"/>
      <c r="H40719" s="83"/>
      <c r="K40719" s="82"/>
      <c r="M40719" s="112"/>
      <c r="N40719" s="84"/>
    </row>
    <row r="40720" spans="1:14" s="2" customFormat="1">
      <c r="A40720" s="83"/>
      <c r="H40720" s="83"/>
      <c r="K40720" s="82"/>
      <c r="M40720" s="112"/>
      <c r="N40720" s="84"/>
    </row>
    <row r="40721" spans="1:14" s="2" customFormat="1">
      <c r="A40721" s="83"/>
      <c r="H40721" s="83"/>
      <c r="K40721" s="82"/>
      <c r="M40721" s="112"/>
      <c r="N40721" s="84"/>
    </row>
    <row r="40722" spans="1:14" s="2" customFormat="1">
      <c r="A40722" s="83"/>
      <c r="H40722" s="83"/>
      <c r="K40722" s="82"/>
      <c r="M40722" s="112"/>
      <c r="N40722" s="84"/>
    </row>
    <row r="40723" spans="1:14" s="2" customFormat="1">
      <c r="A40723" s="83"/>
      <c r="H40723" s="83"/>
      <c r="K40723" s="82"/>
      <c r="M40723" s="112"/>
      <c r="N40723" s="84"/>
    </row>
    <row r="40724" spans="1:14" s="2" customFormat="1">
      <c r="A40724" s="83"/>
      <c r="H40724" s="83"/>
      <c r="K40724" s="82"/>
      <c r="M40724" s="112"/>
      <c r="N40724" s="84"/>
    </row>
    <row r="40725" spans="1:14" s="2" customFormat="1">
      <c r="A40725" s="83"/>
      <c r="H40725" s="83"/>
      <c r="K40725" s="82"/>
      <c r="M40725" s="112"/>
      <c r="N40725" s="84"/>
    </row>
    <row r="40726" spans="1:14" s="2" customFormat="1">
      <c r="A40726" s="83"/>
      <c r="H40726" s="83"/>
      <c r="K40726" s="82"/>
      <c r="M40726" s="112"/>
      <c r="N40726" s="84"/>
    </row>
    <row r="40727" spans="1:14" s="2" customFormat="1">
      <c r="A40727" s="83"/>
      <c r="H40727" s="83"/>
      <c r="K40727" s="82"/>
      <c r="M40727" s="112"/>
      <c r="N40727" s="84"/>
    </row>
    <row r="40728" spans="1:14" s="2" customFormat="1">
      <c r="A40728" s="83"/>
      <c r="H40728" s="83"/>
      <c r="K40728" s="82"/>
      <c r="M40728" s="112"/>
      <c r="N40728" s="84"/>
    </row>
    <row r="40729" spans="1:14" s="2" customFormat="1">
      <c r="A40729" s="83"/>
      <c r="H40729" s="83"/>
      <c r="K40729" s="82"/>
      <c r="M40729" s="112"/>
      <c r="N40729" s="84"/>
    </row>
    <row r="40730" spans="1:14" s="2" customFormat="1">
      <c r="A40730" s="83"/>
      <c r="H40730" s="83"/>
      <c r="K40730" s="82"/>
      <c r="M40730" s="112"/>
      <c r="N40730" s="84"/>
    </row>
    <row r="40731" spans="1:14" s="2" customFormat="1">
      <c r="A40731" s="83"/>
      <c r="H40731" s="83"/>
      <c r="K40731" s="82"/>
      <c r="M40731" s="112"/>
      <c r="N40731" s="84"/>
    </row>
    <row r="40732" spans="1:14" s="2" customFormat="1">
      <c r="A40732" s="83"/>
      <c r="H40732" s="83"/>
      <c r="K40732" s="82"/>
      <c r="M40732" s="112"/>
      <c r="N40732" s="84"/>
    </row>
    <row r="40733" spans="1:14" s="2" customFormat="1">
      <c r="A40733" s="83"/>
      <c r="H40733" s="83"/>
      <c r="K40733" s="82"/>
      <c r="M40733" s="112"/>
      <c r="N40733" s="84"/>
    </row>
    <row r="40734" spans="1:14" s="2" customFormat="1">
      <c r="A40734" s="83"/>
      <c r="H40734" s="83"/>
      <c r="K40734" s="82"/>
      <c r="M40734" s="112"/>
      <c r="N40734" s="84"/>
    </row>
    <row r="40735" spans="1:14" s="2" customFormat="1">
      <c r="A40735" s="83"/>
      <c r="H40735" s="83"/>
      <c r="K40735" s="82"/>
      <c r="M40735" s="112"/>
      <c r="N40735" s="84"/>
    </row>
    <row r="40736" spans="1:14" s="2" customFormat="1">
      <c r="A40736" s="83"/>
      <c r="H40736" s="83"/>
      <c r="K40736" s="82"/>
      <c r="M40736" s="112"/>
      <c r="N40736" s="84"/>
    </row>
    <row r="40737" spans="1:14" s="2" customFormat="1">
      <c r="A40737" s="83"/>
      <c r="H40737" s="83"/>
      <c r="K40737" s="82"/>
      <c r="M40737" s="112"/>
      <c r="N40737" s="84"/>
    </row>
    <row r="40738" spans="1:14" s="2" customFormat="1">
      <c r="A40738" s="83"/>
      <c r="H40738" s="83"/>
      <c r="K40738" s="82"/>
      <c r="M40738" s="112"/>
      <c r="N40738" s="84"/>
    </row>
    <row r="40739" spans="1:14" s="2" customFormat="1">
      <c r="A40739" s="83"/>
      <c r="H40739" s="83"/>
      <c r="K40739" s="82"/>
      <c r="M40739" s="112"/>
      <c r="N40739" s="84"/>
    </row>
    <row r="40740" spans="1:14" s="2" customFormat="1">
      <c r="A40740" s="83"/>
      <c r="H40740" s="83"/>
      <c r="K40740" s="82"/>
      <c r="M40740" s="112"/>
      <c r="N40740" s="84"/>
    </row>
    <row r="40741" spans="1:14" s="2" customFormat="1">
      <c r="A40741" s="83"/>
      <c r="H40741" s="83"/>
      <c r="K40741" s="82"/>
      <c r="M40741" s="112"/>
      <c r="N40741" s="84"/>
    </row>
    <row r="40742" spans="1:14" s="2" customFormat="1">
      <c r="A40742" s="83"/>
      <c r="H40742" s="83"/>
      <c r="K40742" s="82"/>
      <c r="M40742" s="112"/>
      <c r="N40742" s="84"/>
    </row>
    <row r="40743" spans="1:14" s="2" customFormat="1">
      <c r="A40743" s="83"/>
      <c r="H40743" s="83"/>
      <c r="K40743" s="82"/>
      <c r="M40743" s="112"/>
      <c r="N40743" s="84"/>
    </row>
    <row r="40744" spans="1:14" s="2" customFormat="1">
      <c r="A40744" s="83"/>
      <c r="H40744" s="83"/>
      <c r="K40744" s="82"/>
      <c r="M40744" s="112"/>
      <c r="N40744" s="84"/>
    </row>
    <row r="40745" spans="1:14" s="2" customFormat="1">
      <c r="A40745" s="83"/>
      <c r="H40745" s="83"/>
      <c r="K40745" s="82"/>
      <c r="M40745" s="112"/>
      <c r="N40745" s="84"/>
    </row>
    <row r="40746" spans="1:14" s="2" customFormat="1">
      <c r="A40746" s="83"/>
      <c r="H40746" s="83"/>
      <c r="K40746" s="82"/>
      <c r="M40746" s="112"/>
      <c r="N40746" s="84"/>
    </row>
    <row r="40747" spans="1:14" s="2" customFormat="1">
      <c r="A40747" s="83"/>
      <c r="H40747" s="83"/>
      <c r="K40747" s="82"/>
      <c r="M40747" s="112"/>
      <c r="N40747" s="84"/>
    </row>
    <row r="40748" spans="1:14" s="2" customFormat="1">
      <c r="A40748" s="83"/>
      <c r="H40748" s="83"/>
      <c r="K40748" s="82"/>
      <c r="M40748" s="112"/>
      <c r="N40748" s="84"/>
    </row>
    <row r="40749" spans="1:14" s="2" customFormat="1">
      <c r="A40749" s="83"/>
      <c r="H40749" s="83"/>
      <c r="K40749" s="82"/>
      <c r="M40749" s="112"/>
      <c r="N40749" s="84"/>
    </row>
    <row r="40750" spans="1:14" s="2" customFormat="1">
      <c r="A40750" s="83"/>
      <c r="H40750" s="83"/>
      <c r="K40750" s="82"/>
      <c r="M40750" s="112"/>
      <c r="N40750" s="84"/>
    </row>
    <row r="40751" spans="1:14" s="2" customFormat="1">
      <c r="A40751" s="83"/>
      <c r="H40751" s="83"/>
      <c r="K40751" s="82"/>
      <c r="M40751" s="112"/>
      <c r="N40751" s="84"/>
    </row>
    <row r="40752" spans="1:14" s="2" customFormat="1">
      <c r="A40752" s="83"/>
      <c r="H40752" s="83"/>
      <c r="K40752" s="82"/>
      <c r="M40752" s="112"/>
      <c r="N40752" s="84"/>
    </row>
    <row r="40753" spans="1:14" s="2" customFormat="1">
      <c r="A40753" s="83"/>
      <c r="H40753" s="83"/>
      <c r="K40753" s="82"/>
      <c r="M40753" s="112"/>
      <c r="N40753" s="84"/>
    </row>
    <row r="40754" spans="1:14" s="2" customFormat="1">
      <c r="A40754" s="83"/>
      <c r="H40754" s="83"/>
      <c r="K40754" s="82"/>
      <c r="M40754" s="112"/>
      <c r="N40754" s="84"/>
    </row>
    <row r="40755" spans="1:14" s="2" customFormat="1">
      <c r="A40755" s="83"/>
      <c r="H40755" s="83"/>
      <c r="K40755" s="82"/>
      <c r="M40755" s="112"/>
      <c r="N40755" s="84"/>
    </row>
    <row r="40756" spans="1:14" s="2" customFormat="1">
      <c r="A40756" s="83"/>
      <c r="H40756" s="83"/>
      <c r="K40756" s="82"/>
      <c r="M40756" s="112"/>
      <c r="N40756" s="84"/>
    </row>
    <row r="40757" spans="1:14" s="2" customFormat="1">
      <c r="A40757" s="83"/>
      <c r="H40757" s="83"/>
      <c r="K40757" s="82"/>
      <c r="M40757" s="112"/>
      <c r="N40757" s="84"/>
    </row>
    <row r="40758" spans="1:14" s="2" customFormat="1">
      <c r="A40758" s="83"/>
      <c r="H40758" s="83"/>
      <c r="K40758" s="82"/>
      <c r="M40758" s="112"/>
      <c r="N40758" s="84"/>
    </row>
    <row r="40759" spans="1:14" s="2" customFormat="1">
      <c r="A40759" s="83"/>
      <c r="H40759" s="83"/>
      <c r="K40759" s="82"/>
      <c r="M40759" s="112"/>
      <c r="N40759" s="84"/>
    </row>
    <row r="40760" spans="1:14" s="2" customFormat="1">
      <c r="A40760" s="83"/>
      <c r="H40760" s="83"/>
      <c r="K40760" s="82"/>
      <c r="M40760" s="112"/>
      <c r="N40760" s="84"/>
    </row>
    <row r="40761" spans="1:14" s="2" customFormat="1">
      <c r="A40761" s="83"/>
      <c r="H40761" s="83"/>
      <c r="K40761" s="82"/>
      <c r="M40761" s="112"/>
      <c r="N40761" s="84"/>
    </row>
    <row r="40762" spans="1:14" s="2" customFormat="1">
      <c r="A40762" s="83"/>
      <c r="H40762" s="83"/>
      <c r="K40762" s="82"/>
      <c r="M40762" s="112"/>
      <c r="N40762" s="84"/>
    </row>
    <row r="40763" spans="1:14" s="2" customFormat="1">
      <c r="A40763" s="83"/>
      <c r="H40763" s="83"/>
      <c r="K40763" s="82"/>
      <c r="M40763" s="112"/>
      <c r="N40763" s="84"/>
    </row>
    <row r="40764" spans="1:14" s="2" customFormat="1">
      <c r="A40764" s="83"/>
      <c r="H40764" s="83"/>
      <c r="K40764" s="82"/>
      <c r="M40764" s="112"/>
      <c r="N40764" s="84"/>
    </row>
    <row r="40765" spans="1:14" s="2" customFormat="1">
      <c r="A40765" s="83"/>
      <c r="H40765" s="83"/>
      <c r="K40765" s="82"/>
      <c r="M40765" s="112"/>
      <c r="N40765" s="84"/>
    </row>
    <row r="40766" spans="1:14" s="2" customFormat="1">
      <c r="A40766" s="83"/>
      <c r="H40766" s="83"/>
      <c r="K40766" s="82"/>
      <c r="M40766" s="112"/>
      <c r="N40766" s="84"/>
    </row>
    <row r="40767" spans="1:14" s="2" customFormat="1">
      <c r="A40767" s="83"/>
      <c r="H40767" s="83"/>
      <c r="K40767" s="82"/>
      <c r="M40767" s="112"/>
      <c r="N40767" s="84"/>
    </row>
    <row r="40768" spans="1:14" s="2" customFormat="1">
      <c r="A40768" s="83"/>
      <c r="H40768" s="83"/>
      <c r="K40768" s="82"/>
      <c r="M40768" s="112"/>
      <c r="N40768" s="84"/>
    </row>
    <row r="40769" spans="1:14" s="2" customFormat="1">
      <c r="A40769" s="83"/>
      <c r="H40769" s="83"/>
      <c r="K40769" s="82"/>
      <c r="M40769" s="112"/>
      <c r="N40769" s="84"/>
    </row>
    <row r="40770" spans="1:14" s="2" customFormat="1">
      <c r="A40770" s="83"/>
      <c r="H40770" s="83"/>
      <c r="K40770" s="82"/>
      <c r="M40770" s="112"/>
      <c r="N40770" s="84"/>
    </row>
    <row r="40771" spans="1:14" s="2" customFormat="1">
      <c r="A40771" s="83"/>
      <c r="H40771" s="83"/>
      <c r="K40771" s="82"/>
      <c r="M40771" s="112"/>
      <c r="N40771" s="84"/>
    </row>
    <row r="40772" spans="1:14" s="2" customFormat="1">
      <c r="A40772" s="83"/>
      <c r="H40772" s="83"/>
      <c r="K40772" s="82"/>
      <c r="M40772" s="112"/>
      <c r="N40772" s="84"/>
    </row>
    <row r="40773" spans="1:14" s="2" customFormat="1">
      <c r="A40773" s="83"/>
      <c r="H40773" s="83"/>
      <c r="K40773" s="82"/>
      <c r="M40773" s="112"/>
      <c r="N40773" s="84"/>
    </row>
    <row r="40774" spans="1:14" s="2" customFormat="1">
      <c r="A40774" s="83"/>
      <c r="H40774" s="83"/>
      <c r="K40774" s="82"/>
      <c r="M40774" s="112"/>
      <c r="N40774" s="84"/>
    </row>
    <row r="40775" spans="1:14" s="2" customFormat="1">
      <c r="A40775" s="83"/>
      <c r="H40775" s="83"/>
      <c r="K40775" s="82"/>
      <c r="M40775" s="112"/>
      <c r="N40775" s="84"/>
    </row>
    <row r="40776" spans="1:14" s="2" customFormat="1">
      <c r="A40776" s="83"/>
      <c r="H40776" s="83"/>
      <c r="K40776" s="82"/>
      <c r="M40776" s="112"/>
      <c r="N40776" s="84"/>
    </row>
    <row r="40777" spans="1:14" s="2" customFormat="1">
      <c r="A40777" s="83"/>
      <c r="H40777" s="83"/>
      <c r="K40777" s="82"/>
      <c r="M40777" s="112"/>
      <c r="N40777" s="84"/>
    </row>
    <row r="40778" spans="1:14" s="2" customFormat="1">
      <c r="A40778" s="83"/>
      <c r="H40778" s="83"/>
      <c r="K40778" s="82"/>
      <c r="M40778" s="112"/>
      <c r="N40778" s="84"/>
    </row>
    <row r="40779" spans="1:14" s="2" customFormat="1">
      <c r="A40779" s="83"/>
      <c r="H40779" s="83"/>
      <c r="K40779" s="82"/>
      <c r="M40779" s="112"/>
      <c r="N40779" s="84"/>
    </row>
    <row r="40780" spans="1:14" s="2" customFormat="1">
      <c r="A40780" s="83"/>
      <c r="H40780" s="83"/>
      <c r="K40780" s="82"/>
      <c r="M40780" s="112"/>
      <c r="N40780" s="84"/>
    </row>
    <row r="40781" spans="1:14" s="2" customFormat="1">
      <c r="A40781" s="83"/>
      <c r="H40781" s="83"/>
      <c r="K40781" s="82"/>
      <c r="M40781" s="112"/>
      <c r="N40781" s="84"/>
    </row>
    <row r="40782" spans="1:14" s="2" customFormat="1">
      <c r="A40782" s="83"/>
      <c r="H40782" s="83"/>
      <c r="K40782" s="82"/>
      <c r="M40782" s="112"/>
      <c r="N40782" s="84"/>
    </row>
    <row r="40783" spans="1:14" s="2" customFormat="1">
      <c r="A40783" s="83"/>
      <c r="H40783" s="83"/>
      <c r="K40783" s="82"/>
      <c r="M40783" s="112"/>
      <c r="N40783" s="84"/>
    </row>
    <row r="40784" spans="1:14" s="2" customFormat="1">
      <c r="A40784" s="83"/>
      <c r="H40784" s="83"/>
      <c r="K40784" s="82"/>
      <c r="M40784" s="112"/>
      <c r="N40784" s="84"/>
    </row>
    <row r="40785" spans="1:14" s="2" customFormat="1">
      <c r="A40785" s="83"/>
      <c r="H40785" s="83"/>
      <c r="K40785" s="82"/>
      <c r="M40785" s="112"/>
      <c r="N40785" s="84"/>
    </row>
    <row r="40786" spans="1:14" s="2" customFormat="1">
      <c r="A40786" s="83"/>
      <c r="H40786" s="83"/>
      <c r="K40786" s="82"/>
      <c r="M40786" s="112"/>
      <c r="N40786" s="84"/>
    </row>
    <row r="40787" spans="1:14" s="2" customFormat="1">
      <c r="A40787" s="83"/>
      <c r="H40787" s="83"/>
      <c r="K40787" s="82"/>
      <c r="M40787" s="112"/>
      <c r="N40787" s="84"/>
    </row>
    <row r="40788" spans="1:14" s="2" customFormat="1">
      <c r="A40788" s="83"/>
      <c r="H40788" s="83"/>
      <c r="K40788" s="82"/>
      <c r="M40788" s="112"/>
      <c r="N40788" s="84"/>
    </row>
    <row r="40789" spans="1:14" s="2" customFormat="1">
      <c r="A40789" s="83"/>
      <c r="H40789" s="83"/>
      <c r="K40789" s="82"/>
      <c r="M40789" s="112"/>
      <c r="N40789" s="84"/>
    </row>
    <row r="40790" spans="1:14" s="2" customFormat="1">
      <c r="A40790" s="83"/>
      <c r="H40790" s="83"/>
      <c r="K40790" s="82"/>
      <c r="M40790" s="112"/>
      <c r="N40790" s="84"/>
    </row>
    <row r="40791" spans="1:14" s="2" customFormat="1">
      <c r="A40791" s="83"/>
      <c r="H40791" s="83"/>
      <c r="K40791" s="82"/>
      <c r="M40791" s="112"/>
      <c r="N40791" s="84"/>
    </row>
    <row r="40792" spans="1:14" s="2" customFormat="1">
      <c r="A40792" s="83"/>
      <c r="H40792" s="83"/>
      <c r="K40792" s="82"/>
      <c r="M40792" s="112"/>
      <c r="N40792" s="84"/>
    </row>
    <row r="40793" spans="1:14" s="2" customFormat="1">
      <c r="A40793" s="83"/>
      <c r="H40793" s="83"/>
      <c r="K40793" s="82"/>
      <c r="M40793" s="112"/>
      <c r="N40793" s="84"/>
    </row>
    <row r="40794" spans="1:14" s="2" customFormat="1">
      <c r="A40794" s="83"/>
      <c r="H40794" s="83"/>
      <c r="K40794" s="82"/>
      <c r="M40794" s="112"/>
      <c r="N40794" s="84"/>
    </row>
    <row r="40795" spans="1:14" s="2" customFormat="1">
      <c r="A40795" s="83"/>
      <c r="H40795" s="83"/>
      <c r="K40795" s="82"/>
      <c r="M40795" s="112"/>
      <c r="N40795" s="84"/>
    </row>
    <row r="40796" spans="1:14" s="2" customFormat="1">
      <c r="A40796" s="83"/>
      <c r="H40796" s="83"/>
      <c r="K40796" s="82"/>
      <c r="M40796" s="112"/>
      <c r="N40796" s="84"/>
    </row>
    <row r="40797" spans="1:14" s="2" customFormat="1">
      <c r="A40797" s="83"/>
      <c r="H40797" s="83"/>
      <c r="K40797" s="82"/>
      <c r="M40797" s="112"/>
      <c r="N40797" s="84"/>
    </row>
    <row r="40798" spans="1:14" s="2" customFormat="1">
      <c r="A40798" s="83"/>
      <c r="H40798" s="83"/>
      <c r="K40798" s="82"/>
      <c r="M40798" s="112"/>
      <c r="N40798" s="84"/>
    </row>
    <row r="40799" spans="1:14" s="2" customFormat="1">
      <c r="A40799" s="83"/>
      <c r="H40799" s="83"/>
      <c r="K40799" s="82"/>
      <c r="M40799" s="112"/>
      <c r="N40799" s="84"/>
    </row>
    <row r="40800" spans="1:14" s="2" customFormat="1">
      <c r="A40800" s="83"/>
      <c r="H40800" s="83"/>
      <c r="K40800" s="82"/>
      <c r="M40800" s="112"/>
      <c r="N40800" s="84"/>
    </row>
    <row r="40801" spans="1:14" s="2" customFormat="1">
      <c r="A40801" s="83"/>
      <c r="H40801" s="83"/>
      <c r="K40801" s="82"/>
      <c r="M40801" s="112"/>
      <c r="N40801" s="84"/>
    </row>
    <row r="40802" spans="1:14" s="2" customFormat="1">
      <c r="A40802" s="83"/>
      <c r="H40802" s="83"/>
      <c r="K40802" s="82"/>
      <c r="M40802" s="112"/>
      <c r="N40802" s="84"/>
    </row>
    <row r="40803" spans="1:14" s="2" customFormat="1">
      <c r="A40803" s="83"/>
      <c r="H40803" s="83"/>
      <c r="K40803" s="82"/>
      <c r="M40803" s="112"/>
      <c r="N40803" s="84"/>
    </row>
    <row r="40804" spans="1:14" s="2" customFormat="1">
      <c r="A40804" s="83"/>
      <c r="H40804" s="83"/>
      <c r="K40804" s="82"/>
      <c r="M40804" s="112"/>
      <c r="N40804" s="84"/>
    </row>
    <row r="40805" spans="1:14" s="2" customFormat="1">
      <c r="A40805" s="83"/>
      <c r="H40805" s="83"/>
      <c r="K40805" s="82"/>
      <c r="M40805" s="112"/>
      <c r="N40805" s="84"/>
    </row>
    <row r="40806" spans="1:14" s="2" customFormat="1">
      <c r="A40806" s="83"/>
      <c r="H40806" s="83"/>
      <c r="K40806" s="82"/>
      <c r="M40806" s="112"/>
      <c r="N40806" s="84"/>
    </row>
    <row r="40807" spans="1:14" s="2" customFormat="1">
      <c r="A40807" s="83"/>
      <c r="H40807" s="83"/>
      <c r="K40807" s="82"/>
      <c r="M40807" s="112"/>
      <c r="N40807" s="84"/>
    </row>
    <row r="40808" spans="1:14" s="2" customFormat="1">
      <c r="A40808" s="83"/>
      <c r="H40808" s="83"/>
      <c r="K40808" s="82"/>
      <c r="M40808" s="112"/>
      <c r="N40808" s="84"/>
    </row>
    <row r="40809" spans="1:14" s="2" customFormat="1">
      <c r="A40809" s="83"/>
      <c r="H40809" s="83"/>
      <c r="K40809" s="82"/>
      <c r="M40809" s="112"/>
      <c r="N40809" s="84"/>
    </row>
    <row r="40810" spans="1:14" s="2" customFormat="1">
      <c r="A40810" s="83"/>
      <c r="H40810" s="83"/>
      <c r="K40810" s="82"/>
      <c r="M40810" s="112"/>
      <c r="N40810" s="84"/>
    </row>
    <row r="40811" spans="1:14" s="2" customFormat="1">
      <c r="A40811" s="83"/>
      <c r="H40811" s="83"/>
      <c r="K40811" s="82"/>
      <c r="M40811" s="112"/>
      <c r="N40811" s="84"/>
    </row>
    <row r="40812" spans="1:14" s="2" customFormat="1">
      <c r="A40812" s="83"/>
      <c r="H40812" s="83"/>
      <c r="K40812" s="82"/>
      <c r="M40812" s="112"/>
      <c r="N40812" s="84"/>
    </row>
    <row r="40813" spans="1:14" s="2" customFormat="1">
      <c r="A40813" s="83"/>
      <c r="H40813" s="83"/>
      <c r="K40813" s="82"/>
      <c r="M40813" s="112"/>
      <c r="N40813" s="84"/>
    </row>
    <row r="40814" spans="1:14" s="2" customFormat="1">
      <c r="A40814" s="83"/>
      <c r="H40814" s="83"/>
      <c r="K40814" s="82"/>
      <c r="M40814" s="112"/>
      <c r="N40814" s="84"/>
    </row>
    <row r="40815" spans="1:14" s="2" customFormat="1">
      <c r="A40815" s="83"/>
      <c r="H40815" s="83"/>
      <c r="K40815" s="82"/>
      <c r="M40815" s="112"/>
      <c r="N40815" s="84"/>
    </row>
    <row r="40816" spans="1:14" s="2" customFormat="1">
      <c r="A40816" s="83"/>
      <c r="H40816" s="83"/>
      <c r="K40816" s="82"/>
      <c r="M40816" s="112"/>
      <c r="N40816" s="84"/>
    </row>
    <row r="40817" spans="1:14" s="2" customFormat="1">
      <c r="A40817" s="83"/>
      <c r="H40817" s="83"/>
      <c r="K40817" s="82"/>
      <c r="M40817" s="112"/>
      <c r="N40817" s="84"/>
    </row>
    <row r="40818" spans="1:14" s="2" customFormat="1">
      <c r="A40818" s="83"/>
      <c r="H40818" s="83"/>
      <c r="K40818" s="82"/>
      <c r="M40818" s="112"/>
      <c r="N40818" s="84"/>
    </row>
    <row r="40819" spans="1:14" s="2" customFormat="1">
      <c r="A40819" s="83"/>
      <c r="H40819" s="83"/>
      <c r="K40819" s="82"/>
      <c r="M40819" s="112"/>
      <c r="N40819" s="84"/>
    </row>
    <row r="40820" spans="1:14" s="2" customFormat="1">
      <c r="A40820" s="83"/>
      <c r="H40820" s="83"/>
      <c r="K40820" s="82"/>
      <c r="M40820" s="112"/>
      <c r="N40820" s="84"/>
    </row>
    <row r="40821" spans="1:14" s="2" customFormat="1">
      <c r="A40821" s="83"/>
      <c r="H40821" s="83"/>
      <c r="K40821" s="82"/>
      <c r="M40821" s="112"/>
      <c r="N40821" s="84"/>
    </row>
    <row r="40822" spans="1:14" s="2" customFormat="1">
      <c r="A40822" s="83"/>
      <c r="H40822" s="83"/>
      <c r="K40822" s="82"/>
      <c r="M40822" s="112"/>
      <c r="N40822" s="84"/>
    </row>
    <row r="40823" spans="1:14" s="2" customFormat="1">
      <c r="A40823" s="83"/>
      <c r="H40823" s="83"/>
      <c r="K40823" s="82"/>
      <c r="M40823" s="112"/>
      <c r="N40823" s="84"/>
    </row>
    <row r="40824" spans="1:14" s="2" customFormat="1">
      <c r="A40824" s="83"/>
      <c r="H40824" s="83"/>
      <c r="K40824" s="82"/>
      <c r="M40824" s="112"/>
      <c r="N40824" s="84"/>
    </row>
    <row r="40825" spans="1:14" s="2" customFormat="1">
      <c r="A40825" s="83"/>
      <c r="H40825" s="83"/>
      <c r="K40825" s="82"/>
      <c r="M40825" s="112"/>
      <c r="N40825" s="84"/>
    </row>
    <row r="40826" spans="1:14" s="2" customFormat="1">
      <c r="A40826" s="83"/>
      <c r="H40826" s="83"/>
      <c r="K40826" s="82"/>
      <c r="M40826" s="112"/>
      <c r="N40826" s="84"/>
    </row>
    <row r="40827" spans="1:14" s="2" customFormat="1">
      <c r="A40827" s="83"/>
      <c r="H40827" s="83"/>
      <c r="K40827" s="82"/>
      <c r="M40827" s="112"/>
      <c r="N40827" s="84"/>
    </row>
    <row r="40828" spans="1:14" s="2" customFormat="1">
      <c r="A40828" s="83"/>
      <c r="H40828" s="83"/>
      <c r="K40828" s="82"/>
      <c r="M40828" s="112"/>
      <c r="N40828" s="84"/>
    </row>
    <row r="40829" spans="1:14" s="2" customFormat="1">
      <c r="A40829" s="83"/>
      <c r="H40829" s="83"/>
      <c r="K40829" s="82"/>
      <c r="M40829" s="112"/>
      <c r="N40829" s="84"/>
    </row>
    <row r="40830" spans="1:14" s="2" customFormat="1">
      <c r="A40830" s="83"/>
      <c r="H40830" s="83"/>
      <c r="K40830" s="82"/>
      <c r="M40830" s="112"/>
      <c r="N40830" s="84"/>
    </row>
    <row r="40831" spans="1:14" s="2" customFormat="1">
      <c r="A40831" s="83"/>
      <c r="H40831" s="83"/>
      <c r="K40831" s="82"/>
      <c r="M40831" s="112"/>
      <c r="N40831" s="84"/>
    </row>
    <row r="40832" spans="1:14" s="2" customFormat="1">
      <c r="A40832" s="83"/>
      <c r="H40832" s="83"/>
      <c r="K40832" s="82"/>
      <c r="M40832" s="112"/>
      <c r="N40832" s="84"/>
    </row>
    <row r="40833" spans="1:14" s="2" customFormat="1">
      <c r="A40833" s="83"/>
      <c r="H40833" s="83"/>
      <c r="K40833" s="82"/>
      <c r="M40833" s="112"/>
      <c r="N40833" s="84"/>
    </row>
    <row r="40834" spans="1:14" s="2" customFormat="1">
      <c r="A40834" s="83"/>
      <c r="H40834" s="83"/>
      <c r="K40834" s="82"/>
      <c r="M40834" s="112"/>
      <c r="N40834" s="84"/>
    </row>
    <row r="40835" spans="1:14" s="2" customFormat="1">
      <c r="A40835" s="83"/>
      <c r="H40835" s="83"/>
      <c r="K40835" s="82"/>
      <c r="M40835" s="112"/>
      <c r="N40835" s="84"/>
    </row>
    <row r="40836" spans="1:14" s="2" customFormat="1">
      <c r="A40836" s="83"/>
      <c r="H40836" s="83"/>
      <c r="K40836" s="82"/>
      <c r="M40836" s="112"/>
      <c r="N40836" s="84"/>
    </row>
    <row r="40837" spans="1:14" s="2" customFormat="1">
      <c r="A40837" s="83"/>
      <c r="H40837" s="83"/>
      <c r="K40837" s="82"/>
      <c r="M40837" s="112"/>
      <c r="N40837" s="84"/>
    </row>
    <row r="40838" spans="1:14" s="2" customFormat="1">
      <c r="A40838" s="83"/>
      <c r="H40838" s="83"/>
      <c r="K40838" s="82"/>
      <c r="M40838" s="112"/>
      <c r="N40838" s="84"/>
    </row>
    <row r="40839" spans="1:14" s="2" customFormat="1">
      <c r="A40839" s="83"/>
      <c r="H40839" s="83"/>
      <c r="K40839" s="82"/>
      <c r="M40839" s="112"/>
      <c r="N40839" s="84"/>
    </row>
    <row r="40840" spans="1:14" s="2" customFormat="1">
      <c r="A40840" s="83"/>
      <c r="H40840" s="83"/>
      <c r="K40840" s="82"/>
      <c r="M40840" s="112"/>
      <c r="N40840" s="84"/>
    </row>
    <row r="40841" spans="1:14" s="2" customFormat="1">
      <c r="A40841" s="83"/>
      <c r="H40841" s="83"/>
      <c r="K40841" s="82"/>
      <c r="M40841" s="112"/>
      <c r="N40841" s="84"/>
    </row>
    <row r="40842" spans="1:14" s="2" customFormat="1">
      <c r="A40842" s="83"/>
      <c r="H40842" s="83"/>
      <c r="K40842" s="82"/>
      <c r="M40842" s="112"/>
      <c r="N40842" s="84"/>
    </row>
    <row r="40843" spans="1:14" s="2" customFormat="1">
      <c r="A40843" s="83"/>
      <c r="H40843" s="83"/>
      <c r="K40843" s="82"/>
      <c r="M40843" s="112"/>
      <c r="N40843" s="84"/>
    </row>
    <row r="40844" spans="1:14" s="2" customFormat="1">
      <c r="A40844" s="83"/>
      <c r="H40844" s="83"/>
      <c r="K40844" s="82"/>
      <c r="M40844" s="112"/>
      <c r="N40844" s="84"/>
    </row>
    <row r="40845" spans="1:14" s="2" customFormat="1">
      <c r="A40845" s="83"/>
      <c r="H40845" s="83"/>
      <c r="K40845" s="82"/>
      <c r="M40845" s="112"/>
      <c r="N40845" s="84"/>
    </row>
    <row r="40846" spans="1:14" s="2" customFormat="1">
      <c r="A40846" s="83"/>
      <c r="H40846" s="83"/>
      <c r="K40846" s="82"/>
      <c r="M40846" s="112"/>
      <c r="N40846" s="84"/>
    </row>
    <row r="40847" spans="1:14" s="2" customFormat="1">
      <c r="A40847" s="83"/>
      <c r="H40847" s="83"/>
      <c r="K40847" s="82"/>
      <c r="M40847" s="112"/>
      <c r="N40847" s="84"/>
    </row>
    <row r="40848" spans="1:14" s="2" customFormat="1">
      <c r="A40848" s="83"/>
      <c r="H40848" s="83"/>
      <c r="K40848" s="82"/>
      <c r="M40848" s="112"/>
      <c r="N40848" s="84"/>
    </row>
    <row r="40849" spans="1:14" s="2" customFormat="1">
      <c r="A40849" s="83"/>
      <c r="H40849" s="83"/>
      <c r="K40849" s="82"/>
      <c r="M40849" s="112"/>
      <c r="N40849" s="84"/>
    </row>
    <row r="40850" spans="1:14" s="2" customFormat="1">
      <c r="A40850" s="83"/>
      <c r="H40850" s="83"/>
      <c r="K40850" s="82"/>
      <c r="M40850" s="112"/>
      <c r="N40850" s="84"/>
    </row>
    <row r="40851" spans="1:14" s="2" customFormat="1">
      <c r="A40851" s="83"/>
      <c r="H40851" s="83"/>
      <c r="K40851" s="82"/>
      <c r="M40851" s="112"/>
      <c r="N40851" s="84"/>
    </row>
    <row r="40852" spans="1:14" s="2" customFormat="1">
      <c r="A40852" s="83"/>
      <c r="H40852" s="83"/>
      <c r="K40852" s="82"/>
      <c r="M40852" s="112"/>
      <c r="N40852" s="84"/>
    </row>
    <row r="40853" spans="1:14" s="2" customFormat="1">
      <c r="A40853" s="83"/>
      <c r="H40853" s="83"/>
      <c r="K40853" s="82"/>
      <c r="M40853" s="112"/>
      <c r="N40853" s="84"/>
    </row>
    <row r="40854" spans="1:14" s="2" customFormat="1">
      <c r="A40854" s="83"/>
      <c r="H40854" s="83"/>
      <c r="K40854" s="82"/>
      <c r="M40854" s="112"/>
      <c r="N40854" s="84"/>
    </row>
    <row r="40855" spans="1:14" s="2" customFormat="1">
      <c r="A40855" s="83"/>
      <c r="H40855" s="83"/>
      <c r="K40855" s="82"/>
      <c r="M40855" s="112"/>
      <c r="N40855" s="84"/>
    </row>
    <row r="40856" spans="1:14" s="2" customFormat="1">
      <c r="A40856" s="83"/>
      <c r="H40856" s="83"/>
      <c r="K40856" s="82"/>
      <c r="M40856" s="112"/>
      <c r="N40856" s="84"/>
    </row>
    <row r="40857" spans="1:14" s="2" customFormat="1">
      <c r="A40857" s="83"/>
      <c r="H40857" s="83"/>
      <c r="K40857" s="82"/>
      <c r="M40857" s="112"/>
      <c r="N40857" s="84"/>
    </row>
    <row r="40858" spans="1:14" s="2" customFormat="1">
      <c r="A40858" s="83"/>
      <c r="H40858" s="83"/>
      <c r="K40858" s="82"/>
      <c r="M40858" s="112"/>
      <c r="N40858" s="84"/>
    </row>
    <row r="40859" spans="1:14" s="2" customFormat="1">
      <c r="A40859" s="83"/>
      <c r="H40859" s="83"/>
      <c r="K40859" s="82"/>
      <c r="M40859" s="112"/>
      <c r="N40859" s="84"/>
    </row>
    <row r="40860" spans="1:14" s="2" customFormat="1">
      <c r="A40860" s="83"/>
      <c r="H40860" s="83"/>
      <c r="K40860" s="82"/>
      <c r="M40860" s="112"/>
      <c r="N40860" s="84"/>
    </row>
    <row r="40861" spans="1:14" s="2" customFormat="1">
      <c r="A40861" s="83"/>
      <c r="H40861" s="83"/>
      <c r="K40861" s="82"/>
      <c r="M40861" s="112"/>
      <c r="N40861" s="84"/>
    </row>
    <row r="40862" spans="1:14" s="2" customFormat="1">
      <c r="A40862" s="83"/>
      <c r="H40862" s="83"/>
      <c r="K40862" s="82"/>
      <c r="M40862" s="112"/>
      <c r="N40862" s="84"/>
    </row>
    <row r="40863" spans="1:14" s="2" customFormat="1">
      <c r="A40863" s="83"/>
      <c r="H40863" s="83"/>
      <c r="K40863" s="82"/>
      <c r="M40863" s="112"/>
      <c r="N40863" s="84"/>
    </row>
    <row r="40864" spans="1:14" s="2" customFormat="1">
      <c r="A40864" s="83"/>
      <c r="H40864" s="83"/>
      <c r="K40864" s="82"/>
      <c r="M40864" s="112"/>
      <c r="N40864" s="84"/>
    </row>
    <row r="40865" spans="1:14" s="2" customFormat="1">
      <c r="A40865" s="83"/>
      <c r="H40865" s="83"/>
      <c r="K40865" s="82"/>
      <c r="M40865" s="112"/>
      <c r="N40865" s="84"/>
    </row>
    <row r="40866" spans="1:14" s="2" customFormat="1">
      <c r="A40866" s="83"/>
      <c r="H40866" s="83"/>
      <c r="K40866" s="82"/>
      <c r="M40866" s="112"/>
      <c r="N40866" s="84"/>
    </row>
    <row r="40867" spans="1:14" s="2" customFormat="1">
      <c r="A40867" s="83"/>
      <c r="H40867" s="83"/>
      <c r="K40867" s="82"/>
      <c r="M40867" s="112"/>
      <c r="N40867" s="84"/>
    </row>
    <row r="40868" spans="1:14" s="2" customFormat="1">
      <c r="A40868" s="83"/>
      <c r="H40868" s="83"/>
      <c r="K40868" s="82"/>
      <c r="M40868" s="112"/>
      <c r="N40868" s="84"/>
    </row>
    <row r="40869" spans="1:14" s="2" customFormat="1">
      <c r="A40869" s="83"/>
      <c r="H40869" s="83"/>
      <c r="K40869" s="82"/>
      <c r="M40869" s="112"/>
      <c r="N40869" s="84"/>
    </row>
    <row r="40870" spans="1:14" s="2" customFormat="1">
      <c r="A40870" s="83"/>
      <c r="H40870" s="83"/>
      <c r="K40870" s="82"/>
      <c r="M40870" s="112"/>
      <c r="N40870" s="84"/>
    </row>
    <row r="40871" spans="1:14" s="2" customFormat="1">
      <c r="A40871" s="83"/>
      <c r="H40871" s="83"/>
      <c r="K40871" s="82"/>
      <c r="M40871" s="112"/>
      <c r="N40871" s="84"/>
    </row>
    <row r="40872" spans="1:14" s="2" customFormat="1">
      <c r="A40872" s="83"/>
      <c r="H40872" s="83"/>
      <c r="K40872" s="82"/>
      <c r="M40872" s="112"/>
      <c r="N40872" s="84"/>
    </row>
    <row r="40873" spans="1:14" s="2" customFormat="1">
      <c r="A40873" s="83"/>
      <c r="H40873" s="83"/>
      <c r="K40873" s="82"/>
      <c r="M40873" s="112"/>
      <c r="N40873" s="84"/>
    </row>
    <row r="40874" spans="1:14" s="2" customFormat="1">
      <c r="A40874" s="83"/>
      <c r="H40874" s="83"/>
      <c r="K40874" s="82"/>
      <c r="M40874" s="112"/>
      <c r="N40874" s="84"/>
    </row>
    <row r="40875" spans="1:14" s="2" customFormat="1">
      <c r="A40875" s="83"/>
      <c r="H40875" s="83"/>
      <c r="K40875" s="82"/>
      <c r="M40875" s="112"/>
      <c r="N40875" s="84"/>
    </row>
    <row r="40876" spans="1:14" s="2" customFormat="1">
      <c r="A40876" s="83"/>
      <c r="H40876" s="83"/>
      <c r="K40876" s="82"/>
      <c r="M40876" s="112"/>
      <c r="N40876" s="84"/>
    </row>
    <row r="40877" spans="1:14" s="2" customFormat="1">
      <c r="A40877" s="83"/>
      <c r="H40877" s="83"/>
      <c r="K40877" s="82"/>
      <c r="M40877" s="112"/>
      <c r="N40877" s="84"/>
    </row>
    <row r="40878" spans="1:14" s="2" customFormat="1">
      <c r="A40878" s="83"/>
      <c r="H40878" s="83"/>
      <c r="K40878" s="82"/>
      <c r="M40878" s="112"/>
      <c r="N40878" s="84"/>
    </row>
    <row r="40879" spans="1:14" s="2" customFormat="1">
      <c r="A40879" s="83"/>
      <c r="H40879" s="83"/>
      <c r="K40879" s="82"/>
      <c r="M40879" s="112"/>
      <c r="N40879" s="84"/>
    </row>
    <row r="40880" spans="1:14" s="2" customFormat="1">
      <c r="A40880" s="83"/>
      <c r="H40880" s="83"/>
      <c r="K40880" s="82"/>
      <c r="M40880" s="112"/>
      <c r="N40880" s="84"/>
    </row>
    <row r="40881" spans="1:14" s="2" customFormat="1">
      <c r="A40881" s="83"/>
      <c r="H40881" s="83"/>
      <c r="K40881" s="82"/>
      <c r="M40881" s="112"/>
      <c r="N40881" s="84"/>
    </row>
    <row r="40882" spans="1:14" s="2" customFormat="1">
      <c r="A40882" s="83"/>
      <c r="H40882" s="83"/>
      <c r="K40882" s="82"/>
      <c r="M40882" s="112"/>
      <c r="N40882" s="84"/>
    </row>
    <row r="40883" spans="1:14" s="2" customFormat="1">
      <c r="A40883" s="83"/>
      <c r="H40883" s="83"/>
      <c r="K40883" s="82"/>
      <c r="M40883" s="112"/>
      <c r="N40883" s="84"/>
    </row>
    <row r="40884" spans="1:14" s="2" customFormat="1">
      <c r="A40884" s="83"/>
      <c r="H40884" s="83"/>
      <c r="K40884" s="82"/>
      <c r="M40884" s="112"/>
      <c r="N40884" s="84"/>
    </row>
    <row r="40885" spans="1:14" s="2" customFormat="1">
      <c r="A40885" s="83"/>
      <c r="H40885" s="83"/>
      <c r="K40885" s="82"/>
      <c r="M40885" s="112"/>
      <c r="N40885" s="84"/>
    </row>
    <row r="40886" spans="1:14" s="2" customFormat="1">
      <c r="A40886" s="83"/>
      <c r="H40886" s="83"/>
      <c r="K40886" s="82"/>
      <c r="M40886" s="112"/>
      <c r="N40886" s="84"/>
    </row>
    <row r="40887" spans="1:14" s="2" customFormat="1">
      <c r="A40887" s="83"/>
      <c r="H40887" s="83"/>
      <c r="K40887" s="82"/>
      <c r="M40887" s="112"/>
      <c r="N40887" s="84"/>
    </row>
    <row r="40888" spans="1:14" s="2" customFormat="1">
      <c r="A40888" s="83"/>
      <c r="H40888" s="83"/>
      <c r="K40888" s="82"/>
      <c r="M40888" s="112"/>
      <c r="N40888" s="84"/>
    </row>
    <row r="40889" spans="1:14" s="2" customFormat="1">
      <c r="A40889" s="83"/>
      <c r="H40889" s="83"/>
      <c r="K40889" s="82"/>
      <c r="M40889" s="112"/>
      <c r="N40889" s="84"/>
    </row>
    <row r="40890" spans="1:14" s="2" customFormat="1">
      <c r="A40890" s="83"/>
      <c r="H40890" s="83"/>
      <c r="K40890" s="82"/>
      <c r="M40890" s="112"/>
      <c r="N40890" s="84"/>
    </row>
    <row r="40891" spans="1:14" s="2" customFormat="1">
      <c r="A40891" s="83"/>
      <c r="H40891" s="83"/>
      <c r="K40891" s="82"/>
      <c r="M40891" s="112"/>
      <c r="N40891" s="84"/>
    </row>
    <row r="40892" spans="1:14" s="2" customFormat="1">
      <c r="A40892" s="83"/>
      <c r="H40892" s="83"/>
      <c r="K40892" s="82"/>
      <c r="M40892" s="112"/>
      <c r="N40892" s="84"/>
    </row>
    <row r="40893" spans="1:14" s="2" customFormat="1">
      <c r="A40893" s="83"/>
      <c r="H40893" s="83"/>
      <c r="K40893" s="82"/>
      <c r="M40893" s="112"/>
      <c r="N40893" s="84"/>
    </row>
    <row r="40894" spans="1:14" s="2" customFormat="1">
      <c r="A40894" s="83"/>
      <c r="H40894" s="83"/>
      <c r="K40894" s="82"/>
      <c r="M40894" s="112"/>
      <c r="N40894" s="84"/>
    </row>
    <row r="40895" spans="1:14" s="2" customFormat="1">
      <c r="A40895" s="83"/>
      <c r="H40895" s="83"/>
      <c r="K40895" s="82"/>
      <c r="M40895" s="112"/>
      <c r="N40895" s="84"/>
    </row>
    <row r="40896" spans="1:14" s="2" customFormat="1">
      <c r="A40896" s="83"/>
      <c r="H40896" s="83"/>
      <c r="K40896" s="82"/>
      <c r="M40896" s="112"/>
      <c r="N40896" s="84"/>
    </row>
    <row r="40897" spans="1:14" s="2" customFormat="1">
      <c r="A40897" s="83"/>
      <c r="H40897" s="83"/>
      <c r="K40897" s="82"/>
      <c r="M40897" s="112"/>
      <c r="N40897" s="84"/>
    </row>
    <row r="40898" spans="1:14" s="2" customFormat="1">
      <c r="A40898" s="83"/>
      <c r="H40898" s="83"/>
      <c r="K40898" s="82"/>
      <c r="M40898" s="112"/>
      <c r="N40898" s="84"/>
    </row>
    <row r="40899" spans="1:14" s="2" customFormat="1">
      <c r="A40899" s="83"/>
      <c r="H40899" s="83"/>
      <c r="K40899" s="82"/>
      <c r="M40899" s="112"/>
      <c r="N40899" s="84"/>
    </row>
    <row r="40900" spans="1:14" s="2" customFormat="1">
      <c r="A40900" s="83"/>
      <c r="H40900" s="83"/>
      <c r="K40900" s="82"/>
      <c r="M40900" s="112"/>
      <c r="N40900" s="84"/>
    </row>
    <row r="40901" spans="1:14" s="2" customFormat="1">
      <c r="A40901" s="83"/>
      <c r="H40901" s="83"/>
      <c r="K40901" s="82"/>
      <c r="M40901" s="112"/>
      <c r="N40901" s="84"/>
    </row>
    <row r="40902" spans="1:14" s="2" customFormat="1">
      <c r="A40902" s="83"/>
      <c r="H40902" s="83"/>
      <c r="K40902" s="82"/>
      <c r="M40902" s="112"/>
      <c r="N40902" s="84"/>
    </row>
    <row r="40903" spans="1:14" s="2" customFormat="1">
      <c r="A40903" s="83"/>
      <c r="H40903" s="83"/>
      <c r="K40903" s="82"/>
      <c r="M40903" s="112"/>
      <c r="N40903" s="84"/>
    </row>
    <row r="40904" spans="1:14" s="2" customFormat="1">
      <c r="A40904" s="83"/>
      <c r="H40904" s="83"/>
      <c r="K40904" s="82"/>
      <c r="M40904" s="112"/>
      <c r="N40904" s="84"/>
    </row>
    <row r="40905" spans="1:14" s="2" customFormat="1">
      <c r="A40905" s="83"/>
      <c r="H40905" s="83"/>
      <c r="K40905" s="82"/>
      <c r="M40905" s="112"/>
      <c r="N40905" s="84"/>
    </row>
    <row r="40906" spans="1:14" s="2" customFormat="1">
      <c r="A40906" s="83"/>
      <c r="H40906" s="83"/>
      <c r="K40906" s="82"/>
      <c r="M40906" s="112"/>
      <c r="N40906" s="84"/>
    </row>
    <row r="40907" spans="1:14" s="2" customFormat="1">
      <c r="A40907" s="83"/>
      <c r="H40907" s="83"/>
      <c r="K40907" s="82"/>
      <c r="M40907" s="112"/>
      <c r="N40907" s="84"/>
    </row>
    <row r="40908" spans="1:14" s="2" customFormat="1">
      <c r="A40908" s="83"/>
      <c r="H40908" s="83"/>
      <c r="K40908" s="82"/>
      <c r="M40908" s="112"/>
      <c r="N40908" s="84"/>
    </row>
    <row r="40909" spans="1:14" s="2" customFormat="1">
      <c r="A40909" s="83"/>
      <c r="H40909" s="83"/>
      <c r="K40909" s="82"/>
      <c r="M40909" s="112"/>
      <c r="N40909" s="84"/>
    </row>
    <row r="40910" spans="1:14" s="2" customFormat="1">
      <c r="A40910" s="83"/>
      <c r="H40910" s="83"/>
      <c r="K40910" s="82"/>
      <c r="M40910" s="112"/>
      <c r="N40910" s="84"/>
    </row>
    <row r="40911" spans="1:14" s="2" customFormat="1">
      <c r="A40911" s="83"/>
      <c r="H40911" s="83"/>
      <c r="K40911" s="82"/>
      <c r="M40911" s="112"/>
      <c r="N40911" s="84"/>
    </row>
    <row r="40912" spans="1:14" s="2" customFormat="1">
      <c r="A40912" s="83"/>
      <c r="H40912" s="83"/>
      <c r="K40912" s="82"/>
      <c r="M40912" s="112"/>
      <c r="N40912" s="84"/>
    </row>
    <row r="40913" spans="1:14" s="2" customFormat="1">
      <c r="A40913" s="83"/>
      <c r="H40913" s="83"/>
      <c r="K40913" s="82"/>
      <c r="M40913" s="112"/>
      <c r="N40913" s="84"/>
    </row>
    <row r="40914" spans="1:14" s="2" customFormat="1">
      <c r="A40914" s="83"/>
      <c r="H40914" s="83"/>
      <c r="K40914" s="82"/>
      <c r="M40914" s="112"/>
      <c r="N40914" s="84"/>
    </row>
    <row r="40915" spans="1:14" s="2" customFormat="1">
      <c r="A40915" s="83"/>
      <c r="H40915" s="83"/>
      <c r="K40915" s="82"/>
      <c r="M40915" s="112"/>
      <c r="N40915" s="84"/>
    </row>
    <row r="40916" spans="1:14" s="2" customFormat="1">
      <c r="A40916" s="83"/>
      <c r="H40916" s="83"/>
      <c r="K40916" s="82"/>
      <c r="M40916" s="112"/>
      <c r="N40916" s="84"/>
    </row>
    <row r="40917" spans="1:14" s="2" customFormat="1">
      <c r="A40917" s="83"/>
      <c r="H40917" s="83"/>
      <c r="K40917" s="82"/>
      <c r="M40917" s="112"/>
      <c r="N40917" s="84"/>
    </row>
    <row r="40918" spans="1:14" s="2" customFormat="1">
      <c r="A40918" s="83"/>
      <c r="H40918" s="83"/>
      <c r="K40918" s="82"/>
      <c r="M40918" s="112"/>
      <c r="N40918" s="84"/>
    </row>
    <row r="40919" spans="1:14" s="2" customFormat="1">
      <c r="A40919" s="83"/>
      <c r="H40919" s="83"/>
      <c r="K40919" s="82"/>
      <c r="M40919" s="112"/>
      <c r="N40919" s="84"/>
    </row>
    <row r="40920" spans="1:14" s="2" customFormat="1">
      <c r="A40920" s="83"/>
      <c r="H40920" s="83"/>
      <c r="K40920" s="82"/>
      <c r="M40920" s="112"/>
      <c r="N40920" s="84"/>
    </row>
    <row r="40921" spans="1:14" s="2" customFormat="1">
      <c r="A40921" s="83"/>
      <c r="H40921" s="83"/>
      <c r="K40921" s="82"/>
      <c r="M40921" s="112"/>
      <c r="N40921" s="84"/>
    </row>
    <row r="40922" spans="1:14" s="2" customFormat="1">
      <c r="A40922" s="83"/>
      <c r="H40922" s="83"/>
      <c r="K40922" s="82"/>
      <c r="M40922" s="112"/>
      <c r="N40922" s="84"/>
    </row>
    <row r="40923" spans="1:14" s="2" customFormat="1">
      <c r="A40923" s="83"/>
      <c r="H40923" s="83"/>
      <c r="K40923" s="82"/>
      <c r="M40923" s="112"/>
      <c r="N40923" s="84"/>
    </row>
    <row r="40924" spans="1:14" s="2" customFormat="1">
      <c r="A40924" s="83"/>
      <c r="H40924" s="83"/>
      <c r="K40924" s="82"/>
      <c r="M40924" s="112"/>
      <c r="N40924" s="84"/>
    </row>
    <row r="40925" spans="1:14" s="2" customFormat="1">
      <c r="A40925" s="83"/>
      <c r="H40925" s="83"/>
      <c r="K40925" s="82"/>
      <c r="M40925" s="112"/>
      <c r="N40925" s="84"/>
    </row>
    <row r="40926" spans="1:14" s="2" customFormat="1">
      <c r="A40926" s="83"/>
      <c r="H40926" s="83"/>
      <c r="K40926" s="82"/>
      <c r="M40926" s="112"/>
      <c r="N40926" s="84"/>
    </row>
    <row r="40927" spans="1:14" s="2" customFormat="1">
      <c r="A40927" s="83"/>
      <c r="H40927" s="83"/>
      <c r="K40927" s="82"/>
      <c r="M40927" s="112"/>
      <c r="N40927" s="84"/>
    </row>
    <row r="40928" spans="1:14" s="2" customFormat="1">
      <c r="A40928" s="83"/>
      <c r="H40928" s="83"/>
      <c r="K40928" s="82"/>
      <c r="M40928" s="112"/>
      <c r="N40928" s="84"/>
    </row>
    <row r="40929" spans="1:14" s="2" customFormat="1">
      <c r="A40929" s="83"/>
      <c r="H40929" s="83"/>
      <c r="K40929" s="82"/>
      <c r="M40929" s="112"/>
      <c r="N40929" s="84"/>
    </row>
    <row r="40930" spans="1:14" s="2" customFormat="1">
      <c r="A40930" s="83"/>
      <c r="H40930" s="83"/>
      <c r="K40930" s="82"/>
      <c r="M40930" s="112"/>
      <c r="N40930" s="84"/>
    </row>
    <row r="40931" spans="1:14" s="2" customFormat="1">
      <c r="A40931" s="83"/>
      <c r="H40931" s="83"/>
      <c r="K40931" s="82"/>
      <c r="M40931" s="112"/>
      <c r="N40931" s="84"/>
    </row>
    <row r="40932" spans="1:14" s="2" customFormat="1">
      <c r="A40932" s="83"/>
      <c r="H40932" s="83"/>
      <c r="K40932" s="82"/>
      <c r="M40932" s="112"/>
      <c r="N40932" s="84"/>
    </row>
    <row r="40933" spans="1:14" s="2" customFormat="1">
      <c r="A40933" s="83"/>
      <c r="H40933" s="83"/>
      <c r="K40933" s="82"/>
      <c r="M40933" s="112"/>
      <c r="N40933" s="84"/>
    </row>
    <row r="40934" spans="1:14" s="2" customFormat="1">
      <c r="A40934" s="83"/>
      <c r="H40934" s="83"/>
      <c r="K40934" s="82"/>
      <c r="M40934" s="112"/>
      <c r="N40934" s="84"/>
    </row>
    <row r="40935" spans="1:14" s="2" customFormat="1">
      <c r="A40935" s="83"/>
      <c r="H40935" s="83"/>
      <c r="K40935" s="82"/>
      <c r="M40935" s="112"/>
      <c r="N40935" s="84"/>
    </row>
    <row r="40936" spans="1:14" s="2" customFormat="1">
      <c r="A40936" s="83"/>
      <c r="H40936" s="83"/>
      <c r="K40936" s="82"/>
      <c r="M40936" s="112"/>
      <c r="N40936" s="84"/>
    </row>
    <row r="40937" spans="1:14" s="2" customFormat="1">
      <c r="A40937" s="83"/>
      <c r="H40937" s="83"/>
      <c r="K40937" s="82"/>
      <c r="M40937" s="112"/>
      <c r="N40937" s="84"/>
    </row>
    <row r="40938" spans="1:14" s="2" customFormat="1">
      <c r="A40938" s="83"/>
      <c r="H40938" s="83"/>
      <c r="K40938" s="82"/>
      <c r="M40938" s="112"/>
      <c r="N40938" s="84"/>
    </row>
    <row r="40939" spans="1:14" s="2" customFormat="1">
      <c r="A40939" s="83"/>
      <c r="H40939" s="83"/>
      <c r="K40939" s="82"/>
      <c r="M40939" s="112"/>
      <c r="N40939" s="84"/>
    </row>
    <row r="40940" spans="1:14" s="2" customFormat="1">
      <c r="A40940" s="83"/>
      <c r="H40940" s="83"/>
      <c r="K40940" s="82"/>
      <c r="M40940" s="112"/>
      <c r="N40940" s="84"/>
    </row>
    <row r="40941" spans="1:14" s="2" customFormat="1">
      <c r="A40941" s="83"/>
      <c r="H40941" s="83"/>
      <c r="K40941" s="82"/>
      <c r="M40941" s="112"/>
      <c r="N40941" s="84"/>
    </row>
    <row r="40942" spans="1:14" s="2" customFormat="1">
      <c r="A40942" s="83"/>
      <c r="H40942" s="83"/>
      <c r="K40942" s="82"/>
      <c r="M40942" s="112"/>
      <c r="N40942" s="84"/>
    </row>
    <row r="40943" spans="1:14" s="2" customFormat="1">
      <c r="A40943" s="83"/>
      <c r="H40943" s="83"/>
      <c r="K40943" s="82"/>
      <c r="M40943" s="112"/>
      <c r="N40943" s="84"/>
    </row>
    <row r="40944" spans="1:14" s="2" customFormat="1">
      <c r="A40944" s="83"/>
      <c r="H40944" s="83"/>
      <c r="K40944" s="82"/>
      <c r="M40944" s="112"/>
      <c r="N40944" s="84"/>
    </row>
    <row r="40945" spans="1:14" s="2" customFormat="1">
      <c r="A40945" s="83"/>
      <c r="H40945" s="83"/>
      <c r="K40945" s="82"/>
      <c r="M40945" s="112"/>
      <c r="N40945" s="84"/>
    </row>
    <row r="40946" spans="1:14" s="2" customFormat="1">
      <c r="A40946" s="83"/>
      <c r="H40946" s="83"/>
      <c r="K40946" s="82"/>
      <c r="M40946" s="112"/>
      <c r="N40946" s="84"/>
    </row>
    <row r="40947" spans="1:14" s="2" customFormat="1">
      <c r="A40947" s="83"/>
      <c r="H40947" s="83"/>
      <c r="K40947" s="82"/>
      <c r="M40947" s="112"/>
      <c r="N40947" s="84"/>
    </row>
    <row r="40948" spans="1:14" s="2" customFormat="1">
      <c r="A40948" s="83"/>
      <c r="H40948" s="83"/>
      <c r="K40948" s="82"/>
      <c r="M40948" s="112"/>
      <c r="N40948" s="84"/>
    </row>
    <row r="40949" spans="1:14" s="2" customFormat="1">
      <c r="A40949" s="83"/>
      <c r="H40949" s="83"/>
      <c r="K40949" s="82"/>
      <c r="M40949" s="112"/>
      <c r="N40949" s="84"/>
    </row>
    <row r="40950" spans="1:14" s="2" customFormat="1">
      <c r="A40950" s="83"/>
      <c r="H40950" s="83"/>
      <c r="K40950" s="82"/>
      <c r="M40950" s="112"/>
      <c r="N40950" s="84"/>
    </row>
    <row r="40951" spans="1:14" s="2" customFormat="1">
      <c r="A40951" s="83"/>
      <c r="H40951" s="83"/>
      <c r="K40951" s="82"/>
      <c r="M40951" s="112"/>
      <c r="N40951" s="84"/>
    </row>
    <row r="40952" spans="1:14" s="2" customFormat="1">
      <c r="A40952" s="83"/>
      <c r="H40952" s="83"/>
      <c r="K40952" s="82"/>
      <c r="M40952" s="112"/>
      <c r="N40952" s="84"/>
    </row>
    <row r="40953" spans="1:14" s="2" customFormat="1">
      <c r="A40953" s="83"/>
      <c r="H40953" s="83"/>
      <c r="K40953" s="82"/>
      <c r="M40953" s="112"/>
      <c r="N40953" s="84"/>
    </row>
    <row r="40954" spans="1:14" s="2" customFormat="1">
      <c r="A40954" s="83"/>
      <c r="H40954" s="83"/>
      <c r="K40954" s="82"/>
      <c r="M40954" s="112"/>
      <c r="N40954" s="84"/>
    </row>
    <row r="40955" spans="1:14" s="2" customFormat="1">
      <c r="A40955" s="83"/>
      <c r="H40955" s="83"/>
      <c r="K40955" s="82"/>
      <c r="M40955" s="112"/>
      <c r="N40955" s="84"/>
    </row>
    <row r="40956" spans="1:14" s="2" customFormat="1">
      <c r="A40956" s="83"/>
      <c r="H40956" s="83"/>
      <c r="K40956" s="82"/>
      <c r="M40956" s="112"/>
      <c r="N40956" s="84"/>
    </row>
    <row r="40957" spans="1:14" s="2" customFormat="1">
      <c r="A40957" s="83"/>
      <c r="H40957" s="83"/>
      <c r="K40957" s="82"/>
      <c r="M40957" s="112"/>
      <c r="N40957" s="84"/>
    </row>
    <row r="40958" spans="1:14" s="2" customFormat="1">
      <c r="A40958" s="83"/>
      <c r="H40958" s="83"/>
      <c r="K40958" s="82"/>
      <c r="M40958" s="112"/>
      <c r="N40958" s="84"/>
    </row>
    <row r="40959" spans="1:14" s="2" customFormat="1">
      <c r="A40959" s="83"/>
      <c r="H40959" s="83"/>
      <c r="K40959" s="82"/>
      <c r="M40959" s="112"/>
      <c r="N40959" s="84"/>
    </row>
    <row r="40960" spans="1:14" s="2" customFormat="1">
      <c r="A40960" s="83"/>
      <c r="H40960" s="83"/>
      <c r="K40960" s="82"/>
      <c r="M40960" s="112"/>
      <c r="N40960" s="84"/>
    </row>
    <row r="40961" spans="1:14" s="2" customFormat="1">
      <c r="A40961" s="83"/>
      <c r="H40961" s="83"/>
      <c r="K40961" s="82"/>
      <c r="M40961" s="112"/>
      <c r="N40961" s="84"/>
    </row>
    <row r="40962" spans="1:14" s="2" customFormat="1">
      <c r="A40962" s="83"/>
      <c r="H40962" s="83"/>
      <c r="K40962" s="82"/>
      <c r="M40962" s="112"/>
      <c r="N40962" s="84"/>
    </row>
    <row r="40963" spans="1:14" s="2" customFormat="1">
      <c r="A40963" s="83"/>
      <c r="H40963" s="83"/>
      <c r="K40963" s="82"/>
      <c r="M40963" s="112"/>
      <c r="N40963" s="84"/>
    </row>
    <row r="40964" spans="1:14" s="2" customFormat="1">
      <c r="A40964" s="83"/>
      <c r="H40964" s="83"/>
      <c r="K40964" s="82"/>
      <c r="M40964" s="112"/>
      <c r="N40964" s="84"/>
    </row>
    <row r="40965" spans="1:14" s="2" customFormat="1">
      <c r="A40965" s="83"/>
      <c r="H40965" s="83"/>
      <c r="K40965" s="82"/>
      <c r="M40965" s="112"/>
      <c r="N40965" s="84"/>
    </row>
    <row r="40966" spans="1:14" s="2" customFormat="1">
      <c r="A40966" s="83"/>
      <c r="H40966" s="83"/>
      <c r="K40966" s="82"/>
      <c r="M40966" s="112"/>
      <c r="N40966" s="84"/>
    </row>
    <row r="40967" spans="1:14" s="2" customFormat="1">
      <c r="A40967" s="83"/>
      <c r="H40967" s="83"/>
      <c r="K40967" s="82"/>
      <c r="M40967" s="112"/>
      <c r="N40967" s="84"/>
    </row>
    <row r="40968" spans="1:14" s="2" customFormat="1">
      <c r="A40968" s="83"/>
      <c r="H40968" s="83"/>
      <c r="K40968" s="82"/>
      <c r="M40968" s="112"/>
      <c r="N40968" s="84"/>
    </row>
    <row r="40969" spans="1:14" s="2" customFormat="1">
      <c r="A40969" s="83"/>
      <c r="H40969" s="83"/>
      <c r="K40969" s="82"/>
      <c r="M40969" s="112"/>
      <c r="N40969" s="84"/>
    </row>
    <row r="40970" spans="1:14" s="2" customFormat="1">
      <c r="A40970" s="83"/>
      <c r="H40970" s="83"/>
      <c r="K40970" s="82"/>
      <c r="M40970" s="112"/>
      <c r="N40970" s="84"/>
    </row>
    <row r="40971" spans="1:14" s="2" customFormat="1">
      <c r="A40971" s="83"/>
      <c r="H40971" s="83"/>
      <c r="K40971" s="82"/>
      <c r="M40971" s="112"/>
      <c r="N40971" s="84"/>
    </row>
    <row r="40972" spans="1:14" s="2" customFormat="1">
      <c r="A40972" s="83"/>
      <c r="H40972" s="83"/>
      <c r="K40972" s="82"/>
      <c r="M40972" s="112"/>
      <c r="N40972" s="84"/>
    </row>
    <row r="40973" spans="1:14" s="2" customFormat="1">
      <c r="A40973" s="83"/>
      <c r="H40973" s="83"/>
      <c r="K40973" s="82"/>
      <c r="M40973" s="112"/>
      <c r="N40973" s="84"/>
    </row>
    <row r="40974" spans="1:14" s="2" customFormat="1">
      <c r="A40974" s="83"/>
      <c r="H40974" s="83"/>
      <c r="K40974" s="82"/>
      <c r="M40974" s="112"/>
      <c r="N40974" s="84"/>
    </row>
    <row r="40975" spans="1:14" s="2" customFormat="1">
      <c r="A40975" s="83"/>
      <c r="H40975" s="83"/>
      <c r="K40975" s="82"/>
      <c r="M40975" s="112"/>
      <c r="N40975" s="84"/>
    </row>
    <row r="40976" spans="1:14" s="2" customFormat="1">
      <c r="A40976" s="83"/>
      <c r="H40976" s="83"/>
      <c r="K40976" s="82"/>
      <c r="M40976" s="112"/>
      <c r="N40976" s="84"/>
    </row>
    <row r="40977" spans="1:14" s="2" customFormat="1">
      <c r="A40977" s="83"/>
      <c r="H40977" s="83"/>
      <c r="K40977" s="82"/>
      <c r="M40977" s="112"/>
      <c r="N40977" s="84"/>
    </row>
    <row r="40978" spans="1:14" s="2" customFormat="1">
      <c r="A40978" s="83"/>
      <c r="H40978" s="83"/>
      <c r="K40978" s="82"/>
      <c r="M40978" s="112"/>
      <c r="N40978" s="84"/>
    </row>
    <row r="40979" spans="1:14" s="2" customFormat="1">
      <c r="A40979" s="83"/>
      <c r="H40979" s="83"/>
      <c r="K40979" s="82"/>
      <c r="M40979" s="112"/>
      <c r="N40979" s="84"/>
    </row>
    <row r="40980" spans="1:14" s="2" customFormat="1">
      <c r="A40980" s="83"/>
      <c r="H40980" s="83"/>
      <c r="K40980" s="82"/>
      <c r="M40980" s="112"/>
      <c r="N40980" s="84"/>
    </row>
    <row r="40981" spans="1:14" s="2" customFormat="1">
      <c r="A40981" s="83"/>
      <c r="H40981" s="83"/>
      <c r="K40981" s="82"/>
      <c r="M40981" s="112"/>
      <c r="N40981" s="84"/>
    </row>
    <row r="40982" spans="1:14" s="2" customFormat="1">
      <c r="A40982" s="83"/>
      <c r="H40982" s="83"/>
      <c r="K40982" s="82"/>
      <c r="M40982" s="112"/>
      <c r="N40982" s="84"/>
    </row>
    <row r="40983" spans="1:14" s="2" customFormat="1">
      <c r="A40983" s="83"/>
      <c r="H40983" s="83"/>
      <c r="K40983" s="82"/>
      <c r="M40983" s="112"/>
      <c r="N40983" s="84"/>
    </row>
    <row r="40984" spans="1:14" s="2" customFormat="1">
      <c r="A40984" s="83"/>
      <c r="H40984" s="83"/>
      <c r="K40984" s="82"/>
      <c r="M40984" s="112"/>
      <c r="N40984" s="84"/>
    </row>
    <row r="40985" spans="1:14" s="2" customFormat="1">
      <c r="A40985" s="83"/>
      <c r="H40985" s="83"/>
      <c r="K40985" s="82"/>
      <c r="M40985" s="112"/>
      <c r="N40985" s="84"/>
    </row>
    <row r="40986" spans="1:14" s="2" customFormat="1">
      <c r="A40986" s="83"/>
      <c r="H40986" s="83"/>
      <c r="K40986" s="82"/>
      <c r="M40986" s="112"/>
      <c r="N40986" s="84"/>
    </row>
    <row r="40987" spans="1:14" s="2" customFormat="1">
      <c r="A40987" s="83"/>
      <c r="H40987" s="83"/>
      <c r="K40987" s="82"/>
      <c r="M40987" s="112"/>
      <c r="N40987" s="84"/>
    </row>
    <row r="40988" spans="1:14" s="2" customFormat="1">
      <c r="A40988" s="83"/>
      <c r="H40988" s="83"/>
      <c r="K40988" s="82"/>
      <c r="M40988" s="112"/>
      <c r="N40988" s="84"/>
    </row>
    <row r="40989" spans="1:14" s="2" customFormat="1">
      <c r="A40989" s="83"/>
      <c r="H40989" s="83"/>
      <c r="K40989" s="82"/>
      <c r="M40989" s="112"/>
      <c r="N40989" s="84"/>
    </row>
    <row r="40990" spans="1:14" s="2" customFormat="1">
      <c r="A40990" s="83"/>
      <c r="H40990" s="83"/>
      <c r="K40990" s="82"/>
      <c r="M40990" s="112"/>
      <c r="N40990" s="84"/>
    </row>
    <row r="40991" spans="1:14" s="2" customFormat="1">
      <c r="A40991" s="83"/>
      <c r="H40991" s="83"/>
      <c r="K40991" s="82"/>
      <c r="M40991" s="112"/>
      <c r="N40991" s="84"/>
    </row>
    <row r="40992" spans="1:14" s="2" customFormat="1">
      <c r="A40992" s="83"/>
      <c r="H40992" s="83"/>
      <c r="K40992" s="82"/>
      <c r="M40992" s="112"/>
      <c r="N40992" s="84"/>
    </row>
    <row r="40993" spans="1:14" s="2" customFormat="1">
      <c r="A40993" s="83"/>
      <c r="H40993" s="83"/>
      <c r="K40993" s="82"/>
      <c r="M40993" s="112"/>
      <c r="N40993" s="84"/>
    </row>
    <row r="40994" spans="1:14" s="2" customFormat="1">
      <c r="A40994" s="83"/>
      <c r="H40994" s="83"/>
      <c r="K40994" s="82"/>
      <c r="M40994" s="112"/>
      <c r="N40994" s="84"/>
    </row>
    <row r="40995" spans="1:14" s="2" customFormat="1">
      <c r="A40995" s="83"/>
      <c r="H40995" s="83"/>
      <c r="K40995" s="82"/>
      <c r="M40995" s="112"/>
      <c r="N40995" s="84"/>
    </row>
    <row r="40996" spans="1:14" s="2" customFormat="1">
      <c r="A40996" s="83"/>
      <c r="H40996" s="83"/>
      <c r="K40996" s="82"/>
      <c r="M40996" s="112"/>
      <c r="N40996" s="84"/>
    </row>
    <row r="40997" spans="1:14" s="2" customFormat="1">
      <c r="A40997" s="83"/>
      <c r="H40997" s="83"/>
      <c r="K40997" s="82"/>
      <c r="M40997" s="112"/>
      <c r="N40997" s="84"/>
    </row>
    <row r="40998" spans="1:14" s="2" customFormat="1">
      <c r="A40998" s="83"/>
      <c r="H40998" s="83"/>
      <c r="K40998" s="82"/>
      <c r="M40998" s="112"/>
      <c r="N40998" s="84"/>
    </row>
    <row r="40999" spans="1:14" s="2" customFormat="1">
      <c r="A40999" s="83"/>
      <c r="H40999" s="83"/>
      <c r="K40999" s="82"/>
      <c r="M40999" s="112"/>
      <c r="N40999" s="84"/>
    </row>
    <row r="41000" spans="1:14" s="2" customFormat="1">
      <c r="A41000" s="83"/>
      <c r="H41000" s="83"/>
      <c r="K41000" s="82"/>
      <c r="M41000" s="112"/>
      <c r="N41000" s="84"/>
    </row>
    <row r="41001" spans="1:14" s="2" customFormat="1">
      <c r="A41001" s="83"/>
      <c r="H41001" s="83"/>
      <c r="K41001" s="82"/>
      <c r="M41001" s="112"/>
      <c r="N41001" s="84"/>
    </row>
    <row r="41002" spans="1:14" s="2" customFormat="1">
      <c r="A41002" s="83"/>
      <c r="H41002" s="83"/>
      <c r="K41002" s="82"/>
      <c r="M41002" s="112"/>
      <c r="N41002" s="84"/>
    </row>
    <row r="41003" spans="1:14" s="2" customFormat="1">
      <c r="A41003" s="83"/>
      <c r="H41003" s="83"/>
      <c r="K41003" s="82"/>
      <c r="M41003" s="112"/>
      <c r="N41003" s="84"/>
    </row>
    <row r="41004" spans="1:14" s="2" customFormat="1">
      <c r="A41004" s="83"/>
      <c r="H41004" s="83"/>
      <c r="K41004" s="82"/>
      <c r="M41004" s="112"/>
      <c r="N41004" s="84"/>
    </row>
    <row r="41005" spans="1:14" s="2" customFormat="1">
      <c r="A41005" s="83"/>
      <c r="H41005" s="83"/>
      <c r="K41005" s="82"/>
      <c r="M41005" s="112"/>
      <c r="N41005" s="84"/>
    </row>
    <row r="41006" spans="1:14" s="2" customFormat="1">
      <c r="A41006" s="83"/>
      <c r="H41006" s="83"/>
      <c r="K41006" s="82"/>
      <c r="M41006" s="112"/>
      <c r="N41006" s="84"/>
    </row>
    <row r="41007" spans="1:14" s="2" customFormat="1">
      <c r="A41007" s="83"/>
      <c r="H41007" s="83"/>
      <c r="K41007" s="82"/>
      <c r="M41007" s="112"/>
      <c r="N41007" s="84"/>
    </row>
    <row r="41008" spans="1:14" s="2" customFormat="1">
      <c r="A41008" s="83"/>
      <c r="H41008" s="83"/>
      <c r="K41008" s="82"/>
      <c r="M41008" s="112"/>
      <c r="N41008" s="84"/>
    </row>
    <row r="41009" spans="1:14" s="2" customFormat="1">
      <c r="A41009" s="83"/>
      <c r="H41009" s="83"/>
      <c r="K41009" s="82"/>
      <c r="M41009" s="112"/>
      <c r="N41009" s="84"/>
    </row>
    <row r="41010" spans="1:14" s="2" customFormat="1">
      <c r="A41010" s="83"/>
      <c r="H41010" s="83"/>
      <c r="K41010" s="82"/>
      <c r="M41010" s="112"/>
      <c r="N41010" s="84"/>
    </row>
    <row r="41011" spans="1:14" s="2" customFormat="1">
      <c r="A41011" s="83"/>
      <c r="H41011" s="83"/>
      <c r="K41011" s="82"/>
      <c r="M41011" s="112"/>
      <c r="N41011" s="84"/>
    </row>
    <row r="41012" spans="1:14" s="2" customFormat="1">
      <c r="A41012" s="83"/>
      <c r="H41012" s="83"/>
      <c r="K41012" s="82"/>
      <c r="M41012" s="112"/>
      <c r="N41012" s="84"/>
    </row>
    <row r="41013" spans="1:14" s="2" customFormat="1">
      <c r="A41013" s="83"/>
      <c r="H41013" s="83"/>
      <c r="K41013" s="82"/>
      <c r="M41013" s="112"/>
      <c r="N41013" s="84"/>
    </row>
    <row r="41014" spans="1:14" s="2" customFormat="1">
      <c r="A41014" s="83"/>
      <c r="H41014" s="83"/>
      <c r="K41014" s="82"/>
      <c r="M41014" s="112"/>
      <c r="N41014" s="84"/>
    </row>
    <row r="41015" spans="1:14" s="2" customFormat="1">
      <c r="A41015" s="83"/>
      <c r="H41015" s="83"/>
      <c r="K41015" s="82"/>
      <c r="M41015" s="112"/>
      <c r="N41015" s="84"/>
    </row>
    <row r="41016" spans="1:14" s="2" customFormat="1">
      <c r="A41016" s="83"/>
      <c r="H41016" s="83"/>
      <c r="K41016" s="82"/>
      <c r="M41016" s="112"/>
      <c r="N41016" s="84"/>
    </row>
    <row r="41017" spans="1:14" s="2" customFormat="1">
      <c r="A41017" s="83"/>
      <c r="H41017" s="83"/>
      <c r="K41017" s="82"/>
      <c r="M41017" s="112"/>
      <c r="N41017" s="84"/>
    </row>
    <row r="41018" spans="1:14" s="2" customFormat="1">
      <c r="A41018" s="83"/>
      <c r="H41018" s="83"/>
      <c r="K41018" s="82"/>
      <c r="M41018" s="112"/>
      <c r="N41018" s="84"/>
    </row>
    <row r="41019" spans="1:14" s="2" customFormat="1">
      <c r="A41019" s="83"/>
      <c r="H41019" s="83"/>
      <c r="K41019" s="82"/>
      <c r="M41019" s="112"/>
      <c r="N41019" s="84"/>
    </row>
    <row r="41020" spans="1:14" s="2" customFormat="1">
      <c r="A41020" s="83"/>
      <c r="H41020" s="83"/>
      <c r="K41020" s="82"/>
      <c r="M41020" s="112"/>
      <c r="N41020" s="84"/>
    </row>
    <row r="41021" spans="1:14" s="2" customFormat="1">
      <c r="A41021" s="83"/>
      <c r="H41021" s="83"/>
      <c r="K41021" s="82"/>
      <c r="M41021" s="112"/>
      <c r="N41021" s="84"/>
    </row>
    <row r="41022" spans="1:14" s="2" customFormat="1">
      <c r="A41022" s="83"/>
      <c r="H41022" s="83"/>
      <c r="K41022" s="82"/>
      <c r="M41022" s="112"/>
      <c r="N41022" s="84"/>
    </row>
    <row r="41023" spans="1:14" s="2" customFormat="1">
      <c r="A41023" s="83"/>
      <c r="H41023" s="83"/>
      <c r="K41023" s="82"/>
      <c r="M41023" s="112"/>
      <c r="N41023" s="84"/>
    </row>
    <row r="41024" spans="1:14" s="2" customFormat="1">
      <c r="A41024" s="83"/>
      <c r="H41024" s="83"/>
      <c r="K41024" s="82"/>
      <c r="M41024" s="112"/>
      <c r="N41024" s="84"/>
    </row>
    <row r="41025" spans="1:14" s="2" customFormat="1">
      <c r="A41025" s="83"/>
      <c r="H41025" s="83"/>
      <c r="K41025" s="82"/>
      <c r="M41025" s="112"/>
      <c r="N41025" s="84"/>
    </row>
    <row r="41026" spans="1:14" s="2" customFormat="1">
      <c r="A41026" s="83"/>
      <c r="H41026" s="83"/>
      <c r="K41026" s="82"/>
      <c r="M41026" s="112"/>
      <c r="N41026" s="84"/>
    </row>
    <row r="41027" spans="1:14" s="2" customFormat="1">
      <c r="A41027" s="83"/>
      <c r="H41027" s="83"/>
      <c r="K41027" s="82"/>
      <c r="M41027" s="112"/>
      <c r="N41027" s="84"/>
    </row>
    <row r="41028" spans="1:14" s="2" customFormat="1">
      <c r="A41028" s="83"/>
      <c r="H41028" s="83"/>
      <c r="K41028" s="82"/>
      <c r="M41028" s="112"/>
      <c r="N41028" s="84"/>
    </row>
    <row r="41029" spans="1:14" s="2" customFormat="1">
      <c r="A41029" s="83"/>
      <c r="H41029" s="83"/>
      <c r="K41029" s="82"/>
      <c r="M41029" s="112"/>
      <c r="N41029" s="84"/>
    </row>
    <row r="41030" spans="1:14" s="2" customFormat="1">
      <c r="A41030" s="83"/>
      <c r="H41030" s="83"/>
      <c r="K41030" s="82"/>
      <c r="M41030" s="112"/>
      <c r="N41030" s="84"/>
    </row>
    <row r="41031" spans="1:14" s="2" customFormat="1">
      <c r="A41031" s="83"/>
      <c r="H41031" s="83"/>
      <c r="K41031" s="82"/>
      <c r="M41031" s="112"/>
      <c r="N41031" s="84"/>
    </row>
    <row r="41032" spans="1:14" s="2" customFormat="1">
      <c r="A41032" s="83"/>
      <c r="H41032" s="83"/>
      <c r="K41032" s="82"/>
      <c r="M41032" s="112"/>
      <c r="N41032" s="84"/>
    </row>
    <row r="41033" spans="1:14" s="2" customFormat="1">
      <c r="A41033" s="83"/>
      <c r="H41033" s="83"/>
      <c r="K41033" s="82"/>
      <c r="M41033" s="112"/>
      <c r="N41033" s="84"/>
    </row>
    <row r="41034" spans="1:14" s="2" customFormat="1">
      <c r="A41034" s="83"/>
      <c r="H41034" s="83"/>
      <c r="K41034" s="82"/>
      <c r="M41034" s="112"/>
      <c r="N41034" s="84"/>
    </row>
    <row r="41035" spans="1:14" s="2" customFormat="1">
      <c r="A41035" s="83"/>
      <c r="H41035" s="83"/>
      <c r="K41035" s="82"/>
      <c r="M41035" s="112"/>
      <c r="N41035" s="84"/>
    </row>
    <row r="41036" spans="1:14" s="2" customFormat="1">
      <c r="A41036" s="83"/>
      <c r="H41036" s="83"/>
      <c r="K41036" s="82"/>
      <c r="M41036" s="112"/>
      <c r="N41036" s="84"/>
    </row>
    <row r="41037" spans="1:14" s="2" customFormat="1">
      <c r="A41037" s="83"/>
      <c r="H41037" s="83"/>
      <c r="K41037" s="82"/>
      <c r="M41037" s="112"/>
      <c r="N41037" s="84"/>
    </row>
    <row r="41038" spans="1:14" s="2" customFormat="1">
      <c r="A41038" s="83"/>
      <c r="H41038" s="83"/>
      <c r="K41038" s="82"/>
      <c r="M41038" s="112"/>
      <c r="N41038" s="84"/>
    </row>
    <row r="41039" spans="1:14" s="2" customFormat="1">
      <c r="A41039" s="83"/>
      <c r="H41039" s="83"/>
      <c r="K41039" s="82"/>
      <c r="M41039" s="112"/>
      <c r="N41039" s="84"/>
    </row>
    <row r="41040" spans="1:14" s="2" customFormat="1">
      <c r="A41040" s="83"/>
      <c r="H41040" s="83"/>
      <c r="K41040" s="82"/>
      <c r="M41040" s="112"/>
      <c r="N41040" s="84"/>
    </row>
    <row r="41041" spans="1:14" s="2" customFormat="1">
      <c r="A41041" s="83"/>
      <c r="H41041" s="83"/>
      <c r="K41041" s="82"/>
      <c r="M41041" s="112"/>
      <c r="N41041" s="84"/>
    </row>
    <row r="41042" spans="1:14" s="2" customFormat="1">
      <c r="A41042" s="83"/>
      <c r="H41042" s="83"/>
      <c r="K41042" s="82"/>
      <c r="M41042" s="112"/>
      <c r="N41042" s="84"/>
    </row>
    <row r="41043" spans="1:14" s="2" customFormat="1">
      <c r="A41043" s="83"/>
      <c r="H41043" s="83"/>
      <c r="K41043" s="82"/>
      <c r="M41043" s="112"/>
      <c r="N41043" s="84"/>
    </row>
    <row r="41044" spans="1:14" s="2" customFormat="1">
      <c r="A41044" s="83"/>
      <c r="H41044" s="83"/>
      <c r="K41044" s="82"/>
      <c r="M41044" s="112"/>
      <c r="N41044" s="84"/>
    </row>
    <row r="41045" spans="1:14" s="2" customFormat="1">
      <c r="A41045" s="83"/>
      <c r="H41045" s="83"/>
      <c r="K41045" s="82"/>
      <c r="M41045" s="112"/>
      <c r="N41045" s="84"/>
    </row>
    <row r="41046" spans="1:14" s="2" customFormat="1">
      <c r="A41046" s="83"/>
      <c r="H41046" s="83"/>
      <c r="K41046" s="82"/>
      <c r="M41046" s="112"/>
      <c r="N41046" s="84"/>
    </row>
    <row r="41047" spans="1:14" s="2" customFormat="1">
      <c r="A41047" s="83"/>
      <c r="H41047" s="83"/>
      <c r="K41047" s="82"/>
      <c r="M41047" s="112"/>
      <c r="N41047" s="84"/>
    </row>
    <row r="41048" spans="1:14" s="2" customFormat="1">
      <c r="A41048" s="83"/>
      <c r="H41048" s="83"/>
      <c r="K41048" s="82"/>
      <c r="M41048" s="112"/>
      <c r="N41048" s="84"/>
    </row>
    <row r="41049" spans="1:14" s="2" customFormat="1">
      <c r="A41049" s="83"/>
      <c r="H41049" s="83"/>
      <c r="K41049" s="82"/>
      <c r="M41049" s="112"/>
      <c r="N41049" s="84"/>
    </row>
    <row r="41050" spans="1:14" s="2" customFormat="1">
      <c r="A41050" s="83"/>
      <c r="H41050" s="83"/>
      <c r="K41050" s="82"/>
      <c r="M41050" s="112"/>
      <c r="N41050" s="84"/>
    </row>
    <row r="41051" spans="1:14" s="2" customFormat="1">
      <c r="A41051" s="83"/>
      <c r="H41051" s="83"/>
      <c r="K41051" s="82"/>
      <c r="M41051" s="112"/>
      <c r="N41051" s="84"/>
    </row>
    <row r="41052" spans="1:14" s="2" customFormat="1">
      <c r="A41052" s="83"/>
      <c r="H41052" s="83"/>
      <c r="K41052" s="82"/>
      <c r="M41052" s="112"/>
      <c r="N41052" s="84"/>
    </row>
    <row r="41053" spans="1:14" s="2" customFormat="1">
      <c r="A41053" s="83"/>
      <c r="H41053" s="83"/>
      <c r="K41053" s="82"/>
      <c r="M41053" s="112"/>
      <c r="N41053" s="84"/>
    </row>
    <row r="41054" spans="1:14" s="2" customFormat="1">
      <c r="A41054" s="83"/>
      <c r="H41054" s="83"/>
      <c r="K41054" s="82"/>
      <c r="M41054" s="112"/>
      <c r="N41054" s="84"/>
    </row>
    <row r="41055" spans="1:14" s="2" customFormat="1">
      <c r="A41055" s="83"/>
      <c r="H41055" s="83"/>
      <c r="K41055" s="82"/>
      <c r="M41055" s="112"/>
      <c r="N41055" s="84"/>
    </row>
    <row r="41056" spans="1:14" s="2" customFormat="1">
      <c r="A41056" s="83"/>
      <c r="H41056" s="83"/>
      <c r="K41056" s="82"/>
      <c r="M41056" s="112"/>
      <c r="N41056" s="84"/>
    </row>
    <row r="41057" spans="1:14" s="2" customFormat="1">
      <c r="A41057" s="83"/>
      <c r="H41057" s="83"/>
      <c r="K41057" s="82"/>
      <c r="M41057" s="112"/>
      <c r="N41057" s="84"/>
    </row>
    <row r="41058" spans="1:14" s="2" customFormat="1">
      <c r="A41058" s="83"/>
      <c r="H41058" s="83"/>
      <c r="K41058" s="82"/>
      <c r="M41058" s="112"/>
      <c r="N41058" s="84"/>
    </row>
    <row r="41059" spans="1:14" s="2" customFormat="1">
      <c r="A41059" s="83"/>
      <c r="H41059" s="83"/>
      <c r="K41059" s="82"/>
      <c r="M41059" s="112"/>
      <c r="N41059" s="84"/>
    </row>
    <row r="41060" spans="1:14" s="2" customFormat="1">
      <c r="A41060" s="83"/>
      <c r="H41060" s="83"/>
      <c r="K41060" s="82"/>
      <c r="M41060" s="112"/>
      <c r="N41060" s="84"/>
    </row>
    <row r="41061" spans="1:14" s="2" customFormat="1">
      <c r="A41061" s="83"/>
      <c r="H41061" s="83"/>
      <c r="K41061" s="82"/>
      <c r="M41061" s="112"/>
      <c r="N41061" s="84"/>
    </row>
    <row r="41062" spans="1:14" s="2" customFormat="1">
      <c r="A41062" s="83"/>
      <c r="H41062" s="83"/>
      <c r="K41062" s="82"/>
      <c r="M41062" s="112"/>
      <c r="N41062" s="84"/>
    </row>
    <row r="41063" spans="1:14" s="2" customFormat="1">
      <c r="A41063" s="83"/>
      <c r="H41063" s="83"/>
      <c r="K41063" s="82"/>
      <c r="M41063" s="112"/>
      <c r="N41063" s="84"/>
    </row>
    <row r="41064" spans="1:14" s="2" customFormat="1">
      <c r="A41064" s="83"/>
      <c r="H41064" s="83"/>
      <c r="K41064" s="82"/>
      <c r="M41064" s="112"/>
      <c r="N41064" s="84"/>
    </row>
    <row r="41065" spans="1:14" s="2" customFormat="1">
      <c r="A41065" s="83"/>
      <c r="H41065" s="83"/>
      <c r="K41065" s="82"/>
      <c r="M41065" s="112"/>
      <c r="N41065" s="84"/>
    </row>
    <row r="41066" spans="1:14" s="2" customFormat="1">
      <c r="A41066" s="83"/>
      <c r="H41066" s="83"/>
      <c r="K41066" s="82"/>
      <c r="M41066" s="112"/>
      <c r="N41066" s="84"/>
    </row>
    <row r="41067" spans="1:14" s="2" customFormat="1">
      <c r="A41067" s="83"/>
      <c r="H41067" s="83"/>
      <c r="K41067" s="82"/>
      <c r="M41067" s="112"/>
      <c r="N41067" s="84"/>
    </row>
    <row r="41068" spans="1:14" s="2" customFormat="1">
      <c r="A41068" s="83"/>
      <c r="H41068" s="83"/>
      <c r="K41068" s="82"/>
      <c r="M41068" s="112"/>
      <c r="N41068" s="84"/>
    </row>
    <row r="41069" spans="1:14" s="2" customFormat="1">
      <c r="A41069" s="83"/>
      <c r="H41069" s="83"/>
      <c r="K41069" s="82"/>
      <c r="M41069" s="112"/>
      <c r="N41069" s="84"/>
    </row>
    <row r="41070" spans="1:14" s="2" customFormat="1">
      <c r="A41070" s="83"/>
      <c r="H41070" s="83"/>
      <c r="K41070" s="82"/>
      <c r="M41070" s="112"/>
      <c r="N41070" s="84"/>
    </row>
    <row r="41071" spans="1:14" s="2" customFormat="1">
      <c r="A41071" s="83"/>
      <c r="H41071" s="83"/>
      <c r="K41071" s="82"/>
      <c r="M41071" s="112"/>
      <c r="N41071" s="84"/>
    </row>
    <row r="41072" spans="1:14" s="2" customFormat="1">
      <c r="A41072" s="83"/>
      <c r="H41072" s="83"/>
      <c r="K41072" s="82"/>
      <c r="M41072" s="112"/>
      <c r="N41072" s="84"/>
    </row>
    <row r="41073" spans="1:14" s="2" customFormat="1">
      <c r="A41073" s="83"/>
      <c r="H41073" s="83"/>
      <c r="K41073" s="82"/>
      <c r="M41073" s="112"/>
      <c r="N41073" s="84"/>
    </row>
    <row r="41074" spans="1:14" s="2" customFormat="1">
      <c r="A41074" s="83"/>
      <c r="H41074" s="83"/>
      <c r="K41074" s="82"/>
      <c r="M41074" s="112"/>
      <c r="N41074" s="84"/>
    </row>
    <row r="41075" spans="1:14" s="2" customFormat="1">
      <c r="A41075" s="83"/>
      <c r="H41075" s="83"/>
      <c r="K41075" s="82"/>
      <c r="M41075" s="112"/>
      <c r="N41075" s="84"/>
    </row>
    <row r="41076" spans="1:14" s="2" customFormat="1">
      <c r="A41076" s="83"/>
      <c r="H41076" s="83"/>
      <c r="K41076" s="82"/>
      <c r="M41076" s="112"/>
      <c r="N41076" s="84"/>
    </row>
    <row r="41077" spans="1:14" s="2" customFormat="1">
      <c r="A41077" s="83"/>
      <c r="H41077" s="83"/>
      <c r="K41077" s="82"/>
      <c r="M41077" s="112"/>
      <c r="N41077" s="84"/>
    </row>
    <row r="41078" spans="1:14" s="2" customFormat="1">
      <c r="A41078" s="83"/>
      <c r="H41078" s="83"/>
      <c r="K41078" s="82"/>
      <c r="M41078" s="112"/>
      <c r="N41078" s="84"/>
    </row>
    <row r="41079" spans="1:14" s="2" customFormat="1">
      <c r="A41079" s="83"/>
      <c r="H41079" s="83"/>
      <c r="K41079" s="82"/>
      <c r="M41079" s="112"/>
      <c r="N41079" s="84"/>
    </row>
    <row r="41080" spans="1:14" s="2" customFormat="1">
      <c r="A41080" s="83"/>
      <c r="H41080" s="83"/>
      <c r="K41080" s="82"/>
      <c r="M41080" s="112"/>
      <c r="N41080" s="84"/>
    </row>
    <row r="41081" spans="1:14" s="2" customFormat="1">
      <c r="A41081" s="83"/>
      <c r="H41081" s="83"/>
      <c r="K41081" s="82"/>
      <c r="M41081" s="112"/>
      <c r="N41081" s="84"/>
    </row>
    <row r="41082" spans="1:14" s="2" customFormat="1">
      <c r="A41082" s="83"/>
      <c r="H41082" s="83"/>
      <c r="K41082" s="82"/>
      <c r="M41082" s="112"/>
      <c r="N41082" s="84"/>
    </row>
    <row r="41083" spans="1:14" s="2" customFormat="1">
      <c r="A41083" s="83"/>
      <c r="H41083" s="83"/>
      <c r="K41083" s="82"/>
      <c r="M41083" s="112"/>
      <c r="N41083" s="84"/>
    </row>
    <row r="41084" spans="1:14" s="2" customFormat="1">
      <c r="A41084" s="83"/>
      <c r="H41084" s="83"/>
      <c r="K41084" s="82"/>
      <c r="M41084" s="112"/>
      <c r="N41084" s="84"/>
    </row>
    <row r="41085" spans="1:14" s="2" customFormat="1">
      <c r="A41085" s="83"/>
      <c r="H41085" s="83"/>
      <c r="K41085" s="82"/>
      <c r="M41085" s="112"/>
      <c r="N41085" s="84"/>
    </row>
    <row r="41086" spans="1:14" s="2" customFormat="1">
      <c r="A41086" s="83"/>
      <c r="H41086" s="83"/>
      <c r="K41086" s="82"/>
      <c r="M41086" s="112"/>
      <c r="N41086" s="84"/>
    </row>
    <row r="41087" spans="1:14" s="2" customFormat="1">
      <c r="A41087" s="83"/>
      <c r="H41087" s="83"/>
      <c r="K41087" s="82"/>
      <c r="M41087" s="112"/>
      <c r="N41087" s="84"/>
    </row>
    <row r="41088" spans="1:14" s="2" customFormat="1">
      <c r="A41088" s="83"/>
      <c r="H41088" s="83"/>
      <c r="K41088" s="82"/>
      <c r="M41088" s="112"/>
      <c r="N41088" s="84"/>
    </row>
    <row r="41089" spans="1:14" s="2" customFormat="1">
      <c r="A41089" s="83"/>
      <c r="H41089" s="83"/>
      <c r="K41089" s="82"/>
      <c r="M41089" s="112"/>
      <c r="N41089" s="84"/>
    </row>
    <row r="41090" spans="1:14" s="2" customFormat="1">
      <c r="A41090" s="83"/>
      <c r="H41090" s="83"/>
      <c r="K41090" s="82"/>
      <c r="M41090" s="112"/>
      <c r="N41090" s="84"/>
    </row>
    <row r="41091" spans="1:14" s="2" customFormat="1">
      <c r="A41091" s="83"/>
      <c r="H41091" s="83"/>
      <c r="K41091" s="82"/>
      <c r="M41091" s="112"/>
      <c r="N41091" s="84"/>
    </row>
    <row r="41092" spans="1:14" s="2" customFormat="1">
      <c r="A41092" s="83"/>
      <c r="H41092" s="83"/>
      <c r="K41092" s="82"/>
      <c r="M41092" s="112"/>
      <c r="N41092" s="84"/>
    </row>
    <row r="41093" spans="1:14" s="2" customFormat="1">
      <c r="A41093" s="83"/>
      <c r="H41093" s="83"/>
      <c r="K41093" s="82"/>
      <c r="M41093" s="112"/>
      <c r="N41093" s="84"/>
    </row>
    <row r="41094" spans="1:14" s="2" customFormat="1">
      <c r="A41094" s="83"/>
      <c r="H41094" s="83"/>
      <c r="K41094" s="82"/>
      <c r="M41094" s="112"/>
      <c r="N41094" s="84"/>
    </row>
    <row r="41095" spans="1:14" s="2" customFormat="1">
      <c r="A41095" s="83"/>
      <c r="H41095" s="83"/>
      <c r="K41095" s="82"/>
      <c r="M41095" s="112"/>
      <c r="N41095" s="84"/>
    </row>
    <row r="41096" spans="1:14" s="2" customFormat="1">
      <c r="A41096" s="83"/>
      <c r="H41096" s="83"/>
      <c r="K41096" s="82"/>
      <c r="M41096" s="112"/>
      <c r="N41096" s="84"/>
    </row>
    <row r="41097" spans="1:14" s="2" customFormat="1">
      <c r="A41097" s="83"/>
      <c r="H41097" s="83"/>
      <c r="K41097" s="82"/>
      <c r="M41097" s="112"/>
      <c r="N41097" s="84"/>
    </row>
    <row r="41098" spans="1:14" s="2" customFormat="1">
      <c r="A41098" s="83"/>
      <c r="H41098" s="83"/>
      <c r="K41098" s="82"/>
      <c r="M41098" s="112"/>
      <c r="N41098" s="84"/>
    </row>
    <row r="41099" spans="1:14" s="2" customFormat="1">
      <c r="A41099" s="83"/>
      <c r="H41099" s="83"/>
      <c r="K41099" s="82"/>
      <c r="M41099" s="112"/>
      <c r="N41099" s="84"/>
    </row>
    <row r="41100" spans="1:14" s="2" customFormat="1">
      <c r="A41100" s="83"/>
      <c r="H41100" s="83"/>
      <c r="K41100" s="82"/>
      <c r="M41100" s="112"/>
      <c r="N41100" s="84"/>
    </row>
    <row r="41101" spans="1:14" s="2" customFormat="1">
      <c r="A41101" s="83"/>
      <c r="H41101" s="83"/>
      <c r="K41101" s="82"/>
      <c r="M41101" s="112"/>
      <c r="N41101" s="84"/>
    </row>
    <row r="41102" spans="1:14" s="2" customFormat="1">
      <c r="A41102" s="83"/>
      <c r="H41102" s="83"/>
      <c r="K41102" s="82"/>
      <c r="M41102" s="112"/>
      <c r="N41102" s="84"/>
    </row>
    <row r="41103" spans="1:14" s="2" customFormat="1">
      <c r="A41103" s="83"/>
      <c r="H41103" s="83"/>
      <c r="K41103" s="82"/>
      <c r="M41103" s="112"/>
      <c r="N41103" s="84"/>
    </row>
    <row r="41104" spans="1:14" s="2" customFormat="1">
      <c r="A41104" s="83"/>
      <c r="H41104" s="83"/>
      <c r="K41104" s="82"/>
      <c r="M41104" s="112"/>
      <c r="N41104" s="84"/>
    </row>
    <row r="41105" spans="1:14" s="2" customFormat="1">
      <c r="A41105" s="83"/>
      <c r="H41105" s="83"/>
      <c r="K41105" s="82"/>
      <c r="M41105" s="112"/>
      <c r="N41105" s="84"/>
    </row>
    <row r="41106" spans="1:14" s="2" customFormat="1">
      <c r="A41106" s="83"/>
      <c r="H41106" s="83"/>
      <c r="K41106" s="82"/>
      <c r="M41106" s="112"/>
      <c r="N41106" s="84"/>
    </row>
    <row r="41107" spans="1:14" s="2" customFormat="1">
      <c r="A41107" s="83"/>
      <c r="H41107" s="83"/>
      <c r="K41107" s="82"/>
      <c r="M41107" s="112"/>
      <c r="N41107" s="84"/>
    </row>
    <row r="41108" spans="1:14" s="2" customFormat="1">
      <c r="A41108" s="83"/>
      <c r="H41108" s="83"/>
      <c r="K41108" s="82"/>
      <c r="M41108" s="112"/>
      <c r="N41108" s="84"/>
    </row>
    <row r="41109" spans="1:14" s="2" customFormat="1">
      <c r="A41109" s="83"/>
      <c r="H41109" s="83"/>
      <c r="K41109" s="82"/>
      <c r="M41109" s="112"/>
      <c r="N41109" s="84"/>
    </row>
    <row r="41110" spans="1:14" s="2" customFormat="1">
      <c r="A41110" s="83"/>
      <c r="H41110" s="83"/>
      <c r="K41110" s="82"/>
      <c r="M41110" s="112"/>
      <c r="N41110" s="84"/>
    </row>
    <row r="41111" spans="1:14" s="2" customFormat="1">
      <c r="A41111" s="83"/>
      <c r="H41111" s="83"/>
      <c r="K41111" s="82"/>
      <c r="M41111" s="112"/>
      <c r="N41111" s="84"/>
    </row>
    <row r="41112" spans="1:14" s="2" customFormat="1">
      <c r="A41112" s="83"/>
      <c r="H41112" s="83"/>
      <c r="K41112" s="82"/>
      <c r="M41112" s="112"/>
      <c r="N41112" s="84"/>
    </row>
    <row r="41113" spans="1:14" s="2" customFormat="1">
      <c r="A41113" s="83"/>
      <c r="H41113" s="83"/>
      <c r="K41113" s="82"/>
      <c r="M41113" s="112"/>
      <c r="N41113" s="84"/>
    </row>
    <row r="41114" spans="1:14" s="2" customFormat="1">
      <c r="A41114" s="83"/>
      <c r="H41114" s="83"/>
      <c r="K41114" s="82"/>
      <c r="M41114" s="112"/>
      <c r="N41114" s="84"/>
    </row>
    <row r="41115" spans="1:14" s="2" customFormat="1">
      <c r="A41115" s="83"/>
      <c r="H41115" s="83"/>
      <c r="K41115" s="82"/>
      <c r="M41115" s="112"/>
      <c r="N41115" s="84"/>
    </row>
    <row r="41116" spans="1:14" s="2" customFormat="1">
      <c r="A41116" s="83"/>
      <c r="H41116" s="83"/>
      <c r="K41116" s="82"/>
      <c r="M41116" s="112"/>
      <c r="N41116" s="84"/>
    </row>
    <row r="41117" spans="1:14" s="2" customFormat="1">
      <c r="A41117" s="83"/>
      <c r="H41117" s="83"/>
      <c r="K41117" s="82"/>
      <c r="M41117" s="112"/>
      <c r="N41117" s="84"/>
    </row>
    <row r="41118" spans="1:14" s="2" customFormat="1">
      <c r="A41118" s="83"/>
      <c r="H41118" s="83"/>
      <c r="K41118" s="82"/>
      <c r="M41118" s="112"/>
      <c r="N41118" s="84"/>
    </row>
    <row r="41119" spans="1:14" s="2" customFormat="1">
      <c r="A41119" s="83"/>
      <c r="H41119" s="83"/>
      <c r="K41119" s="82"/>
      <c r="M41119" s="112"/>
      <c r="N41119" s="84"/>
    </row>
    <row r="41120" spans="1:14" s="2" customFormat="1">
      <c r="A41120" s="83"/>
      <c r="H41120" s="83"/>
      <c r="K41120" s="82"/>
      <c r="M41120" s="112"/>
      <c r="N41120" s="84"/>
    </row>
    <row r="41121" spans="1:14" s="2" customFormat="1">
      <c r="A41121" s="83"/>
      <c r="H41121" s="83"/>
      <c r="K41121" s="82"/>
      <c r="M41121" s="112"/>
      <c r="N41121" s="84"/>
    </row>
    <row r="41122" spans="1:14" s="2" customFormat="1">
      <c r="A41122" s="83"/>
      <c r="H41122" s="83"/>
      <c r="K41122" s="82"/>
      <c r="M41122" s="112"/>
      <c r="N41122" s="84"/>
    </row>
    <row r="41123" spans="1:14" s="2" customFormat="1">
      <c r="A41123" s="83"/>
      <c r="H41123" s="83"/>
      <c r="K41123" s="82"/>
      <c r="M41123" s="112"/>
      <c r="N41123" s="84"/>
    </row>
    <row r="41124" spans="1:14" s="2" customFormat="1">
      <c r="A41124" s="83"/>
      <c r="H41124" s="83"/>
      <c r="K41124" s="82"/>
      <c r="M41124" s="112"/>
      <c r="N41124" s="84"/>
    </row>
    <row r="41125" spans="1:14" s="2" customFormat="1">
      <c r="A41125" s="83"/>
      <c r="H41125" s="83"/>
      <c r="K41125" s="82"/>
      <c r="M41125" s="112"/>
      <c r="N41125" s="84"/>
    </row>
    <row r="41126" spans="1:14" s="2" customFormat="1">
      <c r="A41126" s="83"/>
      <c r="H41126" s="83"/>
      <c r="K41126" s="82"/>
      <c r="M41126" s="112"/>
      <c r="N41126" s="84"/>
    </row>
    <row r="41127" spans="1:14" s="2" customFormat="1">
      <c r="A41127" s="83"/>
      <c r="H41127" s="83"/>
      <c r="K41127" s="82"/>
      <c r="M41127" s="112"/>
      <c r="N41127" s="84"/>
    </row>
    <row r="41128" spans="1:14" s="2" customFormat="1">
      <c r="A41128" s="83"/>
      <c r="H41128" s="83"/>
      <c r="K41128" s="82"/>
      <c r="M41128" s="112"/>
      <c r="N41128" s="84"/>
    </row>
    <row r="41129" spans="1:14" s="2" customFormat="1">
      <c r="A41129" s="83"/>
      <c r="H41129" s="83"/>
      <c r="K41129" s="82"/>
      <c r="M41129" s="112"/>
      <c r="N41129" s="84"/>
    </row>
    <row r="41130" spans="1:14" s="2" customFormat="1">
      <c r="A41130" s="83"/>
      <c r="H41130" s="83"/>
      <c r="K41130" s="82"/>
      <c r="M41130" s="112"/>
      <c r="N41130" s="84"/>
    </row>
    <row r="41131" spans="1:14" s="2" customFormat="1">
      <c r="A41131" s="83"/>
      <c r="H41131" s="83"/>
      <c r="K41131" s="82"/>
      <c r="M41131" s="112"/>
      <c r="N41131" s="84"/>
    </row>
    <row r="41132" spans="1:14" s="2" customFormat="1">
      <c r="A41132" s="83"/>
      <c r="H41132" s="83"/>
      <c r="K41132" s="82"/>
      <c r="M41132" s="112"/>
      <c r="N41132" s="84"/>
    </row>
    <row r="41133" spans="1:14" s="2" customFormat="1">
      <c r="A41133" s="83"/>
      <c r="H41133" s="83"/>
      <c r="K41133" s="82"/>
      <c r="M41133" s="112"/>
      <c r="N41133" s="84"/>
    </row>
    <row r="41134" spans="1:14" s="2" customFormat="1">
      <c r="A41134" s="83"/>
      <c r="H41134" s="83"/>
      <c r="K41134" s="82"/>
      <c r="M41134" s="112"/>
      <c r="N41134" s="84"/>
    </row>
    <row r="41135" spans="1:14" s="2" customFormat="1">
      <c r="A41135" s="83"/>
      <c r="H41135" s="83"/>
      <c r="K41135" s="82"/>
      <c r="M41135" s="112"/>
      <c r="N41135" s="84"/>
    </row>
    <row r="41136" spans="1:14" s="2" customFormat="1">
      <c r="A41136" s="83"/>
      <c r="H41136" s="83"/>
      <c r="K41136" s="82"/>
      <c r="M41136" s="112"/>
      <c r="N41136" s="84"/>
    </row>
    <row r="41137" spans="1:14" s="2" customFormat="1">
      <c r="A41137" s="83"/>
      <c r="H41137" s="83"/>
      <c r="K41137" s="82"/>
      <c r="M41137" s="112"/>
      <c r="N41137" s="84"/>
    </row>
    <row r="41138" spans="1:14" s="2" customFormat="1">
      <c r="A41138" s="83"/>
      <c r="H41138" s="83"/>
      <c r="K41138" s="82"/>
      <c r="M41138" s="112"/>
      <c r="N41138" s="84"/>
    </row>
    <row r="41139" spans="1:14" s="2" customFormat="1">
      <c r="A41139" s="83"/>
      <c r="H41139" s="83"/>
      <c r="K41139" s="82"/>
      <c r="M41139" s="112"/>
      <c r="N41139" s="84"/>
    </row>
    <row r="41140" spans="1:14" s="2" customFormat="1">
      <c r="A41140" s="83"/>
      <c r="H41140" s="83"/>
      <c r="K41140" s="82"/>
      <c r="M41140" s="112"/>
      <c r="N41140" s="84"/>
    </row>
    <row r="41141" spans="1:14" s="2" customFormat="1">
      <c r="A41141" s="83"/>
      <c r="H41141" s="83"/>
      <c r="K41141" s="82"/>
      <c r="M41141" s="112"/>
      <c r="N41141" s="84"/>
    </row>
    <row r="41142" spans="1:14" s="2" customFormat="1">
      <c r="A41142" s="83"/>
      <c r="H41142" s="83"/>
      <c r="K41142" s="82"/>
      <c r="M41142" s="112"/>
      <c r="N41142" s="84"/>
    </row>
    <row r="41143" spans="1:14" s="2" customFormat="1">
      <c r="A41143" s="83"/>
      <c r="H41143" s="83"/>
      <c r="K41143" s="82"/>
      <c r="M41143" s="112"/>
      <c r="N41143" s="84"/>
    </row>
    <row r="41144" spans="1:14" s="2" customFormat="1">
      <c r="A41144" s="83"/>
      <c r="H41144" s="83"/>
      <c r="K41144" s="82"/>
      <c r="M41144" s="112"/>
      <c r="N41144" s="84"/>
    </row>
    <row r="41145" spans="1:14" s="2" customFormat="1">
      <c r="A41145" s="83"/>
      <c r="H41145" s="83"/>
      <c r="K41145" s="82"/>
      <c r="M41145" s="112"/>
      <c r="N41145" s="84"/>
    </row>
    <row r="41146" spans="1:14" s="2" customFormat="1">
      <c r="A41146" s="83"/>
      <c r="H41146" s="83"/>
      <c r="K41146" s="82"/>
      <c r="M41146" s="112"/>
      <c r="N41146" s="84"/>
    </row>
    <row r="41147" spans="1:14" s="2" customFormat="1">
      <c r="A41147" s="83"/>
      <c r="H41147" s="83"/>
      <c r="K41147" s="82"/>
      <c r="M41147" s="112"/>
      <c r="N41147" s="84"/>
    </row>
    <row r="41148" spans="1:14" s="2" customFormat="1">
      <c r="A41148" s="83"/>
      <c r="H41148" s="83"/>
      <c r="K41148" s="82"/>
      <c r="M41148" s="112"/>
      <c r="N41148" s="84"/>
    </row>
    <row r="41149" spans="1:14" s="2" customFormat="1">
      <c r="A41149" s="83"/>
      <c r="H41149" s="83"/>
      <c r="K41149" s="82"/>
      <c r="M41149" s="112"/>
      <c r="N41149" s="84"/>
    </row>
    <row r="41150" spans="1:14" s="2" customFormat="1">
      <c r="A41150" s="83"/>
      <c r="H41150" s="83"/>
      <c r="K41150" s="82"/>
      <c r="M41150" s="112"/>
      <c r="N41150" s="84"/>
    </row>
    <row r="41151" spans="1:14" s="2" customFormat="1">
      <c r="A41151" s="83"/>
      <c r="H41151" s="83"/>
      <c r="K41151" s="82"/>
      <c r="M41151" s="112"/>
      <c r="N41151" s="84"/>
    </row>
    <row r="41152" spans="1:14" s="2" customFormat="1">
      <c r="A41152" s="83"/>
      <c r="H41152" s="83"/>
      <c r="K41152" s="82"/>
      <c r="M41152" s="112"/>
      <c r="N41152" s="84"/>
    </row>
    <row r="41153" spans="1:14" s="2" customFormat="1">
      <c r="A41153" s="83"/>
      <c r="H41153" s="83"/>
      <c r="K41153" s="82"/>
      <c r="M41153" s="112"/>
      <c r="N41153" s="84"/>
    </row>
    <row r="41154" spans="1:14" s="2" customFormat="1">
      <c r="A41154" s="83"/>
      <c r="H41154" s="83"/>
      <c r="K41154" s="82"/>
      <c r="M41154" s="112"/>
      <c r="N41154" s="84"/>
    </row>
    <row r="41155" spans="1:14" s="2" customFormat="1">
      <c r="A41155" s="83"/>
      <c r="H41155" s="83"/>
      <c r="K41155" s="82"/>
      <c r="M41155" s="112"/>
      <c r="N41155" s="84"/>
    </row>
    <row r="41156" spans="1:14" s="2" customFormat="1">
      <c r="A41156" s="83"/>
      <c r="H41156" s="83"/>
      <c r="K41156" s="82"/>
      <c r="M41156" s="112"/>
      <c r="N41156" s="84"/>
    </row>
    <row r="41157" spans="1:14" s="2" customFormat="1">
      <c r="A41157" s="83"/>
      <c r="H41157" s="83"/>
      <c r="K41157" s="82"/>
      <c r="M41157" s="112"/>
      <c r="N41157" s="84"/>
    </row>
    <row r="41158" spans="1:14" s="2" customFormat="1">
      <c r="A41158" s="83"/>
      <c r="H41158" s="83"/>
      <c r="K41158" s="82"/>
      <c r="M41158" s="112"/>
      <c r="N41158" s="84"/>
    </row>
    <row r="41159" spans="1:14" s="2" customFormat="1">
      <c r="A41159" s="83"/>
      <c r="H41159" s="83"/>
      <c r="K41159" s="82"/>
      <c r="M41159" s="112"/>
      <c r="N41159" s="84"/>
    </row>
    <row r="41160" spans="1:14" s="2" customFormat="1">
      <c r="A41160" s="83"/>
      <c r="H41160" s="83"/>
      <c r="K41160" s="82"/>
      <c r="M41160" s="112"/>
      <c r="N41160" s="84"/>
    </row>
    <row r="41161" spans="1:14" s="2" customFormat="1">
      <c r="A41161" s="83"/>
      <c r="H41161" s="83"/>
      <c r="K41161" s="82"/>
      <c r="M41161" s="112"/>
      <c r="N41161" s="84"/>
    </row>
    <row r="41162" spans="1:14" s="2" customFormat="1">
      <c r="A41162" s="83"/>
      <c r="H41162" s="83"/>
      <c r="K41162" s="82"/>
      <c r="M41162" s="112"/>
      <c r="N41162" s="84"/>
    </row>
    <row r="41163" spans="1:14" s="2" customFormat="1">
      <c r="A41163" s="83"/>
      <c r="H41163" s="83"/>
      <c r="K41163" s="82"/>
      <c r="M41163" s="112"/>
      <c r="N41163" s="84"/>
    </row>
    <row r="41164" spans="1:14" s="2" customFormat="1">
      <c r="A41164" s="83"/>
      <c r="H41164" s="83"/>
      <c r="K41164" s="82"/>
      <c r="M41164" s="112"/>
      <c r="N41164" s="84"/>
    </row>
    <row r="41165" spans="1:14" s="2" customFormat="1">
      <c r="A41165" s="83"/>
      <c r="H41165" s="83"/>
      <c r="K41165" s="82"/>
      <c r="M41165" s="112"/>
      <c r="N41165" s="84"/>
    </row>
    <row r="41166" spans="1:14" s="2" customFormat="1">
      <c r="A41166" s="83"/>
      <c r="H41166" s="83"/>
      <c r="K41166" s="82"/>
      <c r="M41166" s="112"/>
      <c r="N41166" s="84"/>
    </row>
    <row r="41167" spans="1:14" s="2" customFormat="1">
      <c r="A41167" s="83"/>
      <c r="H41167" s="83"/>
      <c r="K41167" s="82"/>
      <c r="M41167" s="112"/>
      <c r="N41167" s="84"/>
    </row>
    <row r="41168" spans="1:14" s="2" customFormat="1">
      <c r="A41168" s="83"/>
      <c r="H41168" s="83"/>
      <c r="K41168" s="82"/>
      <c r="M41168" s="112"/>
      <c r="N41168" s="84"/>
    </row>
    <row r="41169" spans="1:14" s="2" customFormat="1">
      <c r="A41169" s="83"/>
      <c r="H41169" s="83"/>
      <c r="K41169" s="82"/>
      <c r="M41169" s="112"/>
      <c r="N41169" s="84"/>
    </row>
    <row r="41170" spans="1:14" s="2" customFormat="1">
      <c r="A41170" s="83"/>
      <c r="H41170" s="83"/>
      <c r="K41170" s="82"/>
      <c r="M41170" s="112"/>
      <c r="N41170" s="84"/>
    </row>
    <row r="41171" spans="1:14" s="2" customFormat="1">
      <c r="A41171" s="83"/>
      <c r="H41171" s="83"/>
      <c r="K41171" s="82"/>
      <c r="M41171" s="112"/>
      <c r="N41171" s="84"/>
    </row>
    <row r="41172" spans="1:14" s="2" customFormat="1">
      <c r="A41172" s="83"/>
      <c r="H41172" s="83"/>
      <c r="K41172" s="82"/>
      <c r="M41172" s="112"/>
      <c r="N41172" s="84"/>
    </row>
    <row r="41173" spans="1:14" s="2" customFormat="1">
      <c r="A41173" s="83"/>
      <c r="H41173" s="83"/>
      <c r="K41173" s="82"/>
      <c r="M41173" s="112"/>
      <c r="N41173" s="84"/>
    </row>
    <row r="41174" spans="1:14" s="2" customFormat="1">
      <c r="A41174" s="83"/>
      <c r="H41174" s="83"/>
      <c r="K41174" s="82"/>
      <c r="M41174" s="112"/>
      <c r="N41174" s="84"/>
    </row>
    <row r="41175" spans="1:14" s="2" customFormat="1">
      <c r="A41175" s="83"/>
      <c r="H41175" s="83"/>
      <c r="K41175" s="82"/>
      <c r="M41175" s="112"/>
      <c r="N41175" s="84"/>
    </row>
    <row r="41176" spans="1:14" s="2" customFormat="1">
      <c r="A41176" s="83"/>
      <c r="H41176" s="83"/>
      <c r="K41176" s="82"/>
      <c r="M41176" s="112"/>
      <c r="N41176" s="84"/>
    </row>
    <row r="41177" spans="1:14" s="2" customFormat="1">
      <c r="A41177" s="83"/>
      <c r="H41177" s="83"/>
      <c r="K41177" s="82"/>
      <c r="M41177" s="112"/>
      <c r="N41177" s="84"/>
    </row>
    <row r="41178" spans="1:14" s="2" customFormat="1">
      <c r="A41178" s="83"/>
      <c r="H41178" s="83"/>
      <c r="K41178" s="82"/>
      <c r="M41178" s="112"/>
      <c r="N41178" s="84"/>
    </row>
    <row r="41179" spans="1:14" s="2" customFormat="1">
      <c r="A41179" s="83"/>
      <c r="H41179" s="83"/>
      <c r="K41179" s="82"/>
      <c r="M41179" s="112"/>
      <c r="N41179" s="84"/>
    </row>
    <row r="41180" spans="1:14" s="2" customFormat="1">
      <c r="A41180" s="83"/>
      <c r="H41180" s="83"/>
      <c r="K41180" s="82"/>
      <c r="M41180" s="112"/>
      <c r="N41180" s="84"/>
    </row>
    <row r="41181" spans="1:14" s="2" customFormat="1">
      <c r="A41181" s="83"/>
      <c r="H41181" s="83"/>
      <c r="K41181" s="82"/>
      <c r="M41181" s="112"/>
      <c r="N41181" s="84"/>
    </row>
    <row r="41182" spans="1:14" s="2" customFormat="1">
      <c r="A41182" s="83"/>
      <c r="H41182" s="83"/>
      <c r="K41182" s="82"/>
      <c r="M41182" s="112"/>
      <c r="N41182" s="84"/>
    </row>
    <row r="41183" spans="1:14" s="2" customFormat="1">
      <c r="A41183" s="83"/>
      <c r="H41183" s="83"/>
      <c r="K41183" s="82"/>
      <c r="M41183" s="112"/>
      <c r="N41183" s="84"/>
    </row>
    <row r="41184" spans="1:14" s="2" customFormat="1">
      <c r="A41184" s="83"/>
      <c r="H41184" s="83"/>
      <c r="K41184" s="82"/>
      <c r="M41184" s="112"/>
      <c r="N41184" s="84"/>
    </row>
    <row r="41185" spans="1:14" s="2" customFormat="1">
      <c r="A41185" s="83"/>
      <c r="H41185" s="83"/>
      <c r="K41185" s="82"/>
      <c r="M41185" s="112"/>
      <c r="N41185" s="84"/>
    </row>
    <row r="41186" spans="1:14" s="2" customFormat="1">
      <c r="A41186" s="83"/>
      <c r="H41186" s="83"/>
      <c r="K41186" s="82"/>
      <c r="M41186" s="112"/>
      <c r="N41186" s="84"/>
    </row>
    <row r="41187" spans="1:14" s="2" customFormat="1">
      <c r="A41187" s="83"/>
      <c r="H41187" s="83"/>
      <c r="K41187" s="82"/>
      <c r="M41187" s="112"/>
      <c r="N41187" s="84"/>
    </row>
    <row r="41188" spans="1:14" s="2" customFormat="1">
      <c r="A41188" s="83"/>
      <c r="H41188" s="83"/>
      <c r="K41188" s="82"/>
      <c r="M41188" s="112"/>
      <c r="N41188" s="84"/>
    </row>
    <row r="41189" spans="1:14" s="2" customFormat="1">
      <c r="A41189" s="83"/>
      <c r="H41189" s="83"/>
      <c r="K41189" s="82"/>
      <c r="M41189" s="112"/>
      <c r="N41189" s="84"/>
    </row>
    <row r="41190" spans="1:14" s="2" customFormat="1">
      <c r="A41190" s="83"/>
      <c r="H41190" s="83"/>
      <c r="K41190" s="82"/>
      <c r="M41190" s="112"/>
      <c r="N41190" s="84"/>
    </row>
    <row r="41191" spans="1:14" s="2" customFormat="1">
      <c r="A41191" s="83"/>
      <c r="H41191" s="83"/>
      <c r="K41191" s="82"/>
      <c r="M41191" s="112"/>
      <c r="N41191" s="84"/>
    </row>
    <row r="41192" spans="1:14" s="2" customFormat="1">
      <c r="A41192" s="83"/>
      <c r="H41192" s="83"/>
      <c r="K41192" s="82"/>
      <c r="M41192" s="112"/>
      <c r="N41192" s="84"/>
    </row>
    <row r="41193" spans="1:14" s="2" customFormat="1">
      <c r="A41193" s="83"/>
      <c r="H41193" s="83"/>
      <c r="K41193" s="82"/>
      <c r="M41193" s="112"/>
      <c r="N41193" s="84"/>
    </row>
    <row r="41194" spans="1:14" s="2" customFormat="1">
      <c r="A41194" s="83"/>
      <c r="H41194" s="83"/>
      <c r="K41194" s="82"/>
      <c r="M41194" s="112"/>
      <c r="N41194" s="84"/>
    </row>
    <row r="41195" spans="1:14" s="2" customFormat="1">
      <c r="A41195" s="83"/>
      <c r="H41195" s="83"/>
      <c r="K41195" s="82"/>
      <c r="M41195" s="112"/>
      <c r="N41195" s="84"/>
    </row>
    <row r="41196" spans="1:14" s="2" customFormat="1">
      <c r="A41196" s="83"/>
      <c r="H41196" s="83"/>
      <c r="K41196" s="82"/>
      <c r="M41196" s="112"/>
      <c r="N41196" s="84"/>
    </row>
    <row r="41197" spans="1:14" s="2" customFormat="1">
      <c r="A41197" s="83"/>
      <c r="H41197" s="83"/>
      <c r="K41197" s="82"/>
      <c r="M41197" s="112"/>
      <c r="N41197" s="84"/>
    </row>
    <row r="41198" spans="1:14" s="2" customFormat="1">
      <c r="A41198" s="83"/>
      <c r="H41198" s="83"/>
      <c r="K41198" s="82"/>
      <c r="M41198" s="112"/>
      <c r="N41198" s="84"/>
    </row>
    <row r="41199" spans="1:14" s="2" customFormat="1">
      <c r="A41199" s="83"/>
      <c r="H41199" s="83"/>
      <c r="K41199" s="82"/>
      <c r="M41199" s="112"/>
      <c r="N41199" s="84"/>
    </row>
    <row r="41200" spans="1:14" s="2" customFormat="1">
      <c r="A41200" s="83"/>
      <c r="H41200" s="83"/>
      <c r="K41200" s="82"/>
      <c r="M41200" s="112"/>
      <c r="N41200" s="84"/>
    </row>
    <row r="41201" spans="1:14" s="2" customFormat="1">
      <c r="A41201" s="83"/>
      <c r="H41201" s="83"/>
      <c r="K41201" s="82"/>
      <c r="M41201" s="112"/>
      <c r="N41201" s="84"/>
    </row>
    <row r="41202" spans="1:14" s="2" customFormat="1">
      <c r="A41202" s="83"/>
      <c r="H41202" s="83"/>
      <c r="K41202" s="82"/>
      <c r="M41202" s="112"/>
      <c r="N41202" s="84"/>
    </row>
    <row r="41203" spans="1:14" s="2" customFormat="1">
      <c r="A41203" s="83"/>
      <c r="H41203" s="83"/>
      <c r="K41203" s="82"/>
      <c r="M41203" s="112"/>
      <c r="N41203" s="84"/>
    </row>
    <row r="41204" spans="1:14" s="2" customFormat="1">
      <c r="A41204" s="83"/>
      <c r="H41204" s="83"/>
      <c r="K41204" s="82"/>
      <c r="M41204" s="112"/>
      <c r="N41204" s="84"/>
    </row>
    <row r="41205" spans="1:14" s="2" customFormat="1">
      <c r="A41205" s="83"/>
      <c r="H41205" s="83"/>
      <c r="K41205" s="82"/>
      <c r="M41205" s="112"/>
      <c r="N41205" s="84"/>
    </row>
    <row r="41206" spans="1:14" s="2" customFormat="1">
      <c r="A41206" s="83"/>
      <c r="H41206" s="83"/>
      <c r="K41206" s="82"/>
      <c r="M41206" s="112"/>
      <c r="N41206" s="84"/>
    </row>
    <row r="41207" spans="1:14" s="2" customFormat="1">
      <c r="A41207" s="83"/>
      <c r="H41207" s="83"/>
      <c r="K41207" s="82"/>
      <c r="M41207" s="112"/>
      <c r="N41207" s="84"/>
    </row>
    <row r="41208" spans="1:14" s="2" customFormat="1">
      <c r="A41208" s="83"/>
      <c r="H41208" s="83"/>
      <c r="K41208" s="82"/>
      <c r="M41208" s="112"/>
      <c r="N41208" s="84"/>
    </row>
    <row r="41209" spans="1:14" s="2" customFormat="1">
      <c r="A41209" s="83"/>
      <c r="H41209" s="83"/>
      <c r="K41209" s="82"/>
      <c r="M41209" s="112"/>
      <c r="N41209" s="84"/>
    </row>
    <row r="41210" spans="1:14" s="2" customFormat="1">
      <c r="A41210" s="83"/>
      <c r="H41210" s="83"/>
      <c r="K41210" s="82"/>
      <c r="M41210" s="112"/>
      <c r="N41210" s="84"/>
    </row>
    <row r="41211" spans="1:14" s="2" customFormat="1">
      <c r="A41211" s="83"/>
      <c r="H41211" s="83"/>
      <c r="K41211" s="82"/>
      <c r="M41211" s="112"/>
      <c r="N41211" s="84"/>
    </row>
    <row r="41212" spans="1:14" s="2" customFormat="1">
      <c r="A41212" s="83"/>
      <c r="H41212" s="83"/>
      <c r="K41212" s="82"/>
      <c r="M41212" s="112"/>
      <c r="N41212" s="84"/>
    </row>
    <row r="41213" spans="1:14" s="2" customFormat="1">
      <c r="A41213" s="83"/>
      <c r="H41213" s="83"/>
      <c r="K41213" s="82"/>
      <c r="M41213" s="112"/>
      <c r="N41213" s="84"/>
    </row>
    <row r="41214" spans="1:14" s="2" customFormat="1">
      <c r="A41214" s="83"/>
      <c r="H41214" s="83"/>
      <c r="K41214" s="82"/>
      <c r="M41214" s="112"/>
      <c r="N41214" s="84"/>
    </row>
    <row r="41215" spans="1:14" s="2" customFormat="1">
      <c r="A41215" s="83"/>
      <c r="H41215" s="83"/>
      <c r="K41215" s="82"/>
      <c r="M41215" s="112"/>
      <c r="N41215" s="84"/>
    </row>
    <row r="41216" spans="1:14" s="2" customFormat="1">
      <c r="A41216" s="83"/>
      <c r="H41216" s="83"/>
      <c r="K41216" s="82"/>
      <c r="M41216" s="112"/>
      <c r="N41216" s="84"/>
    </row>
    <row r="41217" spans="1:14" s="2" customFormat="1">
      <c r="A41217" s="83"/>
      <c r="H41217" s="83"/>
      <c r="K41217" s="82"/>
      <c r="M41217" s="112"/>
      <c r="N41217" s="84"/>
    </row>
    <row r="41218" spans="1:14" s="2" customFormat="1">
      <c r="A41218" s="83"/>
      <c r="H41218" s="83"/>
      <c r="K41218" s="82"/>
      <c r="M41218" s="112"/>
      <c r="N41218" s="84"/>
    </row>
    <row r="41219" spans="1:14" s="2" customFormat="1">
      <c r="A41219" s="83"/>
      <c r="H41219" s="83"/>
      <c r="K41219" s="82"/>
      <c r="M41219" s="112"/>
      <c r="N41219" s="84"/>
    </row>
    <row r="41220" spans="1:14" s="2" customFormat="1">
      <c r="A41220" s="83"/>
      <c r="H41220" s="83"/>
      <c r="K41220" s="82"/>
      <c r="M41220" s="112"/>
      <c r="N41220" s="84"/>
    </row>
    <row r="41221" spans="1:14" s="2" customFormat="1">
      <c r="A41221" s="83"/>
      <c r="H41221" s="83"/>
      <c r="K41221" s="82"/>
      <c r="M41221" s="112"/>
      <c r="N41221" s="84"/>
    </row>
    <row r="41222" spans="1:14" s="2" customFormat="1">
      <c r="A41222" s="83"/>
      <c r="H41222" s="83"/>
      <c r="K41222" s="82"/>
      <c r="M41222" s="112"/>
      <c r="N41222" s="84"/>
    </row>
    <row r="41223" spans="1:14" s="2" customFormat="1">
      <c r="A41223" s="83"/>
      <c r="H41223" s="83"/>
      <c r="K41223" s="82"/>
      <c r="M41223" s="112"/>
      <c r="N41223" s="84"/>
    </row>
    <row r="41224" spans="1:14" s="2" customFormat="1">
      <c r="A41224" s="83"/>
      <c r="H41224" s="83"/>
      <c r="K41224" s="82"/>
      <c r="M41224" s="112"/>
      <c r="N41224" s="84"/>
    </row>
    <row r="41225" spans="1:14" s="2" customFormat="1">
      <c r="A41225" s="83"/>
      <c r="H41225" s="83"/>
      <c r="K41225" s="82"/>
      <c r="M41225" s="112"/>
      <c r="N41225" s="84"/>
    </row>
    <row r="41226" spans="1:14" s="2" customFormat="1">
      <c r="A41226" s="83"/>
      <c r="H41226" s="83"/>
      <c r="K41226" s="82"/>
      <c r="M41226" s="112"/>
      <c r="N41226" s="84"/>
    </row>
    <row r="41227" spans="1:14" s="2" customFormat="1">
      <c r="A41227" s="83"/>
      <c r="H41227" s="83"/>
      <c r="K41227" s="82"/>
      <c r="M41227" s="112"/>
      <c r="N41227" s="84"/>
    </row>
    <row r="41228" spans="1:14" s="2" customFormat="1">
      <c r="A41228" s="83"/>
      <c r="H41228" s="83"/>
      <c r="K41228" s="82"/>
      <c r="M41228" s="112"/>
      <c r="N41228" s="84"/>
    </row>
    <row r="41229" spans="1:14" s="2" customFormat="1">
      <c r="A41229" s="83"/>
      <c r="H41229" s="83"/>
      <c r="K41229" s="82"/>
      <c r="M41229" s="112"/>
      <c r="N41229" s="84"/>
    </row>
    <row r="41230" spans="1:14" s="2" customFormat="1">
      <c r="A41230" s="83"/>
      <c r="H41230" s="83"/>
      <c r="K41230" s="82"/>
      <c r="M41230" s="112"/>
      <c r="N41230" s="84"/>
    </row>
    <row r="41231" spans="1:14" s="2" customFormat="1">
      <c r="A41231" s="83"/>
      <c r="H41231" s="83"/>
      <c r="K41231" s="82"/>
      <c r="M41231" s="112"/>
      <c r="N41231" s="84"/>
    </row>
    <row r="41232" spans="1:14" s="2" customFormat="1">
      <c r="A41232" s="83"/>
      <c r="H41232" s="83"/>
      <c r="K41232" s="82"/>
      <c r="M41232" s="112"/>
      <c r="N41232" s="84"/>
    </row>
    <row r="41233" spans="1:14" s="2" customFormat="1">
      <c r="A41233" s="83"/>
      <c r="H41233" s="83"/>
      <c r="K41233" s="82"/>
      <c r="M41233" s="112"/>
      <c r="N41233" s="84"/>
    </row>
    <row r="41234" spans="1:14" s="2" customFormat="1">
      <c r="A41234" s="83"/>
      <c r="H41234" s="83"/>
      <c r="K41234" s="82"/>
      <c r="M41234" s="112"/>
      <c r="N41234" s="84"/>
    </row>
    <row r="41235" spans="1:14" s="2" customFormat="1">
      <c r="A41235" s="83"/>
      <c r="H41235" s="83"/>
      <c r="K41235" s="82"/>
      <c r="M41235" s="112"/>
      <c r="N41235" s="84"/>
    </row>
    <row r="41236" spans="1:14" s="2" customFormat="1">
      <c r="A41236" s="83"/>
      <c r="H41236" s="83"/>
      <c r="K41236" s="82"/>
      <c r="M41236" s="112"/>
      <c r="N41236" s="84"/>
    </row>
    <row r="41237" spans="1:14" s="2" customFormat="1">
      <c r="A41237" s="83"/>
      <c r="H41237" s="83"/>
      <c r="K41237" s="82"/>
      <c r="M41237" s="112"/>
      <c r="N41237" s="84"/>
    </row>
    <row r="41238" spans="1:14" s="2" customFormat="1">
      <c r="A41238" s="83"/>
      <c r="H41238" s="83"/>
      <c r="K41238" s="82"/>
      <c r="M41238" s="112"/>
      <c r="N41238" s="84"/>
    </row>
    <row r="41239" spans="1:14" s="2" customFormat="1">
      <c r="A41239" s="83"/>
      <c r="H41239" s="83"/>
      <c r="K41239" s="82"/>
      <c r="M41239" s="112"/>
      <c r="N41239" s="84"/>
    </row>
    <row r="41240" spans="1:14" s="2" customFormat="1">
      <c r="A41240" s="83"/>
      <c r="H41240" s="83"/>
      <c r="K41240" s="82"/>
      <c r="M41240" s="112"/>
      <c r="N41240" s="84"/>
    </row>
    <row r="41241" spans="1:14" s="2" customFormat="1">
      <c r="A41241" s="83"/>
      <c r="H41241" s="83"/>
      <c r="K41241" s="82"/>
      <c r="M41241" s="112"/>
      <c r="N41241" s="84"/>
    </row>
    <row r="41242" spans="1:14" s="2" customFormat="1">
      <c r="A41242" s="83"/>
      <c r="H41242" s="83"/>
      <c r="K41242" s="82"/>
      <c r="M41242" s="112"/>
      <c r="N41242" s="84"/>
    </row>
    <row r="41243" spans="1:14" s="2" customFormat="1">
      <c r="A41243" s="83"/>
      <c r="H41243" s="83"/>
      <c r="K41243" s="82"/>
      <c r="M41243" s="112"/>
      <c r="N41243" s="84"/>
    </row>
    <row r="41244" spans="1:14" s="2" customFormat="1">
      <c r="A41244" s="83"/>
      <c r="H41244" s="83"/>
      <c r="K41244" s="82"/>
      <c r="M41244" s="112"/>
      <c r="N41244" s="84"/>
    </row>
    <row r="41245" spans="1:14" s="2" customFormat="1">
      <c r="A41245" s="83"/>
      <c r="H41245" s="83"/>
      <c r="K41245" s="82"/>
      <c r="M41245" s="112"/>
      <c r="N41245" s="84"/>
    </row>
    <row r="41246" spans="1:14" s="2" customFormat="1">
      <c r="A41246" s="83"/>
      <c r="H41246" s="83"/>
      <c r="K41246" s="82"/>
      <c r="M41246" s="112"/>
      <c r="N41246" s="84"/>
    </row>
    <row r="41247" spans="1:14" s="2" customFormat="1">
      <c r="A41247" s="83"/>
      <c r="H41247" s="83"/>
      <c r="K41247" s="82"/>
      <c r="M41247" s="112"/>
      <c r="N41247" s="84"/>
    </row>
    <row r="41248" spans="1:14" s="2" customFormat="1">
      <c r="A41248" s="83"/>
      <c r="H41248" s="83"/>
      <c r="K41248" s="82"/>
      <c r="M41248" s="112"/>
      <c r="N41248" s="84"/>
    </row>
    <row r="41249" spans="1:14" s="2" customFormat="1">
      <c r="A41249" s="83"/>
      <c r="H41249" s="83"/>
      <c r="K41249" s="82"/>
      <c r="M41249" s="112"/>
      <c r="N41249" s="84"/>
    </row>
    <row r="41250" spans="1:14" s="2" customFormat="1">
      <c r="A41250" s="83"/>
      <c r="H41250" s="83"/>
      <c r="K41250" s="82"/>
      <c r="M41250" s="112"/>
      <c r="N41250" s="84"/>
    </row>
    <row r="41251" spans="1:14" s="2" customFormat="1">
      <c r="A41251" s="83"/>
      <c r="H41251" s="83"/>
      <c r="K41251" s="82"/>
      <c r="M41251" s="112"/>
      <c r="N41251" s="84"/>
    </row>
    <row r="41252" spans="1:14" s="2" customFormat="1">
      <c r="A41252" s="83"/>
      <c r="H41252" s="83"/>
      <c r="K41252" s="82"/>
      <c r="M41252" s="112"/>
      <c r="N41252" s="84"/>
    </row>
    <row r="41253" spans="1:14" s="2" customFormat="1">
      <c r="A41253" s="83"/>
      <c r="H41253" s="83"/>
      <c r="K41253" s="82"/>
      <c r="M41253" s="112"/>
      <c r="N41253" s="84"/>
    </row>
    <row r="41254" spans="1:14" s="2" customFormat="1">
      <c r="A41254" s="83"/>
      <c r="H41254" s="83"/>
      <c r="K41254" s="82"/>
      <c r="M41254" s="112"/>
      <c r="N41254" s="84"/>
    </row>
    <row r="41255" spans="1:14" s="2" customFormat="1">
      <c r="A41255" s="83"/>
      <c r="H41255" s="83"/>
      <c r="K41255" s="82"/>
      <c r="M41255" s="112"/>
      <c r="N41255" s="84"/>
    </row>
    <row r="41256" spans="1:14" s="2" customFormat="1">
      <c r="A41256" s="83"/>
      <c r="H41256" s="83"/>
      <c r="K41256" s="82"/>
      <c r="M41256" s="112"/>
      <c r="N41256" s="84"/>
    </row>
    <row r="41257" spans="1:14" s="2" customFormat="1">
      <c r="A41257" s="83"/>
      <c r="H41257" s="83"/>
      <c r="K41257" s="82"/>
      <c r="M41257" s="112"/>
      <c r="N41257" s="84"/>
    </row>
    <row r="41258" spans="1:14" s="2" customFormat="1">
      <c r="A41258" s="83"/>
      <c r="H41258" s="83"/>
      <c r="K41258" s="82"/>
      <c r="M41258" s="112"/>
      <c r="N41258" s="84"/>
    </row>
    <row r="41259" spans="1:14" s="2" customFormat="1">
      <c r="A41259" s="83"/>
      <c r="H41259" s="83"/>
      <c r="K41259" s="82"/>
      <c r="M41259" s="112"/>
      <c r="N41259" s="84"/>
    </row>
    <row r="41260" spans="1:14" s="2" customFormat="1">
      <c r="A41260" s="83"/>
      <c r="H41260" s="83"/>
      <c r="K41260" s="82"/>
      <c r="M41260" s="112"/>
      <c r="N41260" s="84"/>
    </row>
    <row r="41261" spans="1:14" s="2" customFormat="1">
      <c r="A41261" s="83"/>
      <c r="H41261" s="83"/>
      <c r="K41261" s="82"/>
      <c r="M41261" s="112"/>
      <c r="N41261" s="84"/>
    </row>
    <row r="41262" spans="1:14" s="2" customFormat="1">
      <c r="A41262" s="83"/>
      <c r="H41262" s="83"/>
      <c r="K41262" s="82"/>
      <c r="M41262" s="112"/>
      <c r="N41262" s="84"/>
    </row>
    <row r="41263" spans="1:14" s="2" customFormat="1">
      <c r="A41263" s="83"/>
      <c r="H41263" s="83"/>
      <c r="K41263" s="82"/>
      <c r="M41263" s="112"/>
      <c r="N41263" s="84"/>
    </row>
    <row r="41264" spans="1:14" s="2" customFormat="1">
      <c r="A41264" s="83"/>
      <c r="H41264" s="83"/>
      <c r="K41264" s="82"/>
      <c r="M41264" s="112"/>
      <c r="N41264" s="84"/>
    </row>
    <row r="41265" spans="1:14" s="2" customFormat="1">
      <c r="A41265" s="83"/>
      <c r="H41265" s="83"/>
      <c r="K41265" s="82"/>
      <c r="M41265" s="112"/>
      <c r="N41265" s="84"/>
    </row>
    <row r="41266" spans="1:14" s="2" customFormat="1">
      <c r="A41266" s="83"/>
      <c r="H41266" s="83"/>
      <c r="K41266" s="82"/>
      <c r="M41266" s="112"/>
      <c r="N41266" s="84"/>
    </row>
    <row r="41267" spans="1:14" s="2" customFormat="1">
      <c r="A41267" s="83"/>
      <c r="H41267" s="83"/>
      <c r="K41267" s="82"/>
      <c r="M41267" s="112"/>
      <c r="N41267" s="84"/>
    </row>
    <row r="41268" spans="1:14" s="2" customFormat="1">
      <c r="A41268" s="83"/>
      <c r="H41268" s="83"/>
      <c r="K41268" s="82"/>
      <c r="M41268" s="112"/>
      <c r="N41268" s="84"/>
    </row>
    <row r="41269" spans="1:14" s="2" customFormat="1">
      <c r="A41269" s="83"/>
      <c r="H41269" s="83"/>
      <c r="K41269" s="82"/>
      <c r="M41269" s="112"/>
      <c r="N41269" s="84"/>
    </row>
    <row r="41270" spans="1:14" s="2" customFormat="1">
      <c r="A41270" s="83"/>
      <c r="H41270" s="83"/>
      <c r="K41270" s="82"/>
      <c r="M41270" s="112"/>
      <c r="N41270" s="84"/>
    </row>
    <row r="41271" spans="1:14" s="2" customFormat="1">
      <c r="A41271" s="83"/>
      <c r="H41271" s="83"/>
      <c r="K41271" s="82"/>
      <c r="M41271" s="112"/>
      <c r="N41271" s="84"/>
    </row>
    <row r="41272" spans="1:14" s="2" customFormat="1">
      <c r="A41272" s="83"/>
      <c r="H41272" s="83"/>
      <c r="K41272" s="82"/>
      <c r="M41272" s="112"/>
      <c r="N41272" s="84"/>
    </row>
    <row r="41273" spans="1:14" s="2" customFormat="1">
      <c r="A41273" s="83"/>
      <c r="H41273" s="83"/>
      <c r="K41273" s="82"/>
      <c r="M41273" s="112"/>
      <c r="N41273" s="84"/>
    </row>
    <row r="41274" spans="1:14" s="2" customFormat="1">
      <c r="A41274" s="83"/>
      <c r="H41274" s="83"/>
      <c r="K41274" s="82"/>
      <c r="M41274" s="112"/>
      <c r="N41274" s="84"/>
    </row>
    <row r="41275" spans="1:14" s="2" customFormat="1">
      <c r="A41275" s="83"/>
      <c r="H41275" s="83"/>
      <c r="K41275" s="82"/>
      <c r="M41275" s="112"/>
      <c r="N41275" s="84"/>
    </row>
    <row r="41276" spans="1:14" s="2" customFormat="1">
      <c r="A41276" s="83"/>
      <c r="H41276" s="83"/>
      <c r="K41276" s="82"/>
      <c r="M41276" s="112"/>
      <c r="N41276" s="84"/>
    </row>
    <row r="41277" spans="1:14" s="2" customFormat="1">
      <c r="A41277" s="83"/>
      <c r="H41277" s="83"/>
      <c r="K41277" s="82"/>
      <c r="M41277" s="112"/>
      <c r="N41277" s="84"/>
    </row>
    <row r="41278" spans="1:14" s="2" customFormat="1">
      <c r="A41278" s="83"/>
      <c r="H41278" s="83"/>
      <c r="K41278" s="82"/>
      <c r="M41278" s="112"/>
      <c r="N41278" s="84"/>
    </row>
    <row r="41279" spans="1:14" s="2" customFormat="1">
      <c r="A41279" s="83"/>
      <c r="H41279" s="83"/>
      <c r="K41279" s="82"/>
      <c r="M41279" s="112"/>
      <c r="N41279" s="84"/>
    </row>
    <row r="41280" spans="1:14" s="2" customFormat="1">
      <c r="A41280" s="83"/>
      <c r="H41280" s="83"/>
      <c r="K41280" s="82"/>
      <c r="M41280" s="112"/>
      <c r="N41280" s="84"/>
    </row>
    <row r="41281" spans="1:14" s="2" customFormat="1">
      <c r="A41281" s="83"/>
      <c r="H41281" s="83"/>
      <c r="K41281" s="82"/>
      <c r="M41281" s="112"/>
      <c r="N41281" s="84"/>
    </row>
    <row r="41282" spans="1:14" s="2" customFormat="1">
      <c r="A41282" s="83"/>
      <c r="H41282" s="83"/>
      <c r="K41282" s="82"/>
      <c r="M41282" s="112"/>
      <c r="N41282" s="84"/>
    </row>
    <row r="41283" spans="1:14" s="2" customFormat="1">
      <c r="A41283" s="83"/>
      <c r="H41283" s="83"/>
      <c r="K41283" s="82"/>
      <c r="M41283" s="112"/>
      <c r="N41283" s="84"/>
    </row>
    <row r="41284" spans="1:14" s="2" customFormat="1">
      <c r="A41284" s="83"/>
      <c r="H41284" s="83"/>
      <c r="K41284" s="82"/>
      <c r="M41284" s="112"/>
      <c r="N41284" s="84"/>
    </row>
    <row r="41285" spans="1:14" s="2" customFormat="1">
      <c r="A41285" s="83"/>
      <c r="H41285" s="83"/>
      <c r="K41285" s="82"/>
      <c r="M41285" s="112"/>
      <c r="N41285" s="84"/>
    </row>
    <row r="41286" spans="1:14" s="2" customFormat="1">
      <c r="A41286" s="83"/>
      <c r="H41286" s="83"/>
      <c r="K41286" s="82"/>
      <c r="M41286" s="112"/>
      <c r="N41286" s="84"/>
    </row>
    <row r="41287" spans="1:14" s="2" customFormat="1">
      <c r="A41287" s="83"/>
      <c r="H41287" s="83"/>
      <c r="K41287" s="82"/>
      <c r="M41287" s="112"/>
      <c r="N41287" s="84"/>
    </row>
    <row r="41288" spans="1:14" s="2" customFormat="1">
      <c r="A41288" s="83"/>
      <c r="H41288" s="83"/>
      <c r="K41288" s="82"/>
      <c r="M41288" s="112"/>
      <c r="N41288" s="84"/>
    </row>
    <row r="41289" spans="1:14" s="2" customFormat="1">
      <c r="A41289" s="83"/>
      <c r="H41289" s="83"/>
      <c r="K41289" s="82"/>
      <c r="M41289" s="112"/>
      <c r="N41289" s="84"/>
    </row>
    <row r="41290" spans="1:14" s="2" customFormat="1">
      <c r="A41290" s="83"/>
      <c r="H41290" s="83"/>
      <c r="K41290" s="82"/>
      <c r="M41290" s="112"/>
      <c r="N41290" s="84"/>
    </row>
    <row r="41291" spans="1:14" s="2" customFormat="1">
      <c r="A41291" s="83"/>
      <c r="H41291" s="83"/>
      <c r="K41291" s="82"/>
      <c r="M41291" s="112"/>
      <c r="N41291" s="84"/>
    </row>
    <row r="41292" spans="1:14" s="2" customFormat="1">
      <c r="A41292" s="83"/>
      <c r="H41292" s="83"/>
      <c r="K41292" s="82"/>
      <c r="M41292" s="112"/>
      <c r="N41292" s="84"/>
    </row>
    <row r="41293" spans="1:14" s="2" customFormat="1">
      <c r="A41293" s="83"/>
      <c r="H41293" s="83"/>
      <c r="K41293" s="82"/>
      <c r="M41293" s="112"/>
      <c r="N41293" s="84"/>
    </row>
    <row r="41294" spans="1:14" s="2" customFormat="1">
      <c r="A41294" s="83"/>
      <c r="H41294" s="83"/>
      <c r="K41294" s="82"/>
      <c r="M41294" s="112"/>
      <c r="N41294" s="84"/>
    </row>
    <row r="41295" spans="1:14" s="2" customFormat="1">
      <c r="A41295" s="83"/>
      <c r="H41295" s="83"/>
      <c r="K41295" s="82"/>
      <c r="M41295" s="112"/>
      <c r="N41295" s="84"/>
    </row>
    <row r="41296" spans="1:14" s="2" customFormat="1">
      <c r="A41296" s="83"/>
      <c r="H41296" s="83"/>
      <c r="K41296" s="82"/>
      <c r="M41296" s="112"/>
      <c r="N41296" s="84"/>
    </row>
    <row r="41297" spans="1:14" s="2" customFormat="1">
      <c r="A41297" s="83"/>
      <c r="H41297" s="83"/>
      <c r="K41297" s="82"/>
      <c r="M41297" s="112"/>
      <c r="N41297" s="84"/>
    </row>
    <row r="41298" spans="1:14" s="2" customFormat="1">
      <c r="A41298" s="83"/>
      <c r="H41298" s="83"/>
      <c r="K41298" s="82"/>
      <c r="M41298" s="112"/>
      <c r="N41298" s="84"/>
    </row>
    <row r="41299" spans="1:14" s="2" customFormat="1">
      <c r="A41299" s="83"/>
      <c r="H41299" s="83"/>
      <c r="K41299" s="82"/>
      <c r="M41299" s="112"/>
      <c r="N41299" s="84"/>
    </row>
    <row r="41300" spans="1:14" s="2" customFormat="1">
      <c r="A41300" s="83"/>
      <c r="H41300" s="83"/>
      <c r="K41300" s="82"/>
      <c r="M41300" s="112"/>
      <c r="N41300" s="84"/>
    </row>
    <row r="41301" spans="1:14" s="2" customFormat="1">
      <c r="A41301" s="83"/>
      <c r="H41301" s="83"/>
      <c r="K41301" s="82"/>
      <c r="M41301" s="112"/>
      <c r="N41301" s="84"/>
    </row>
    <row r="41302" spans="1:14" s="2" customFormat="1">
      <c r="A41302" s="83"/>
      <c r="H41302" s="83"/>
      <c r="K41302" s="82"/>
      <c r="M41302" s="112"/>
      <c r="N41302" s="84"/>
    </row>
    <row r="41303" spans="1:14" s="2" customFormat="1">
      <c r="A41303" s="83"/>
      <c r="H41303" s="83"/>
      <c r="K41303" s="82"/>
      <c r="M41303" s="112"/>
      <c r="N41303" s="84"/>
    </row>
    <row r="41304" spans="1:14" s="2" customFormat="1">
      <c r="A41304" s="83"/>
      <c r="H41304" s="83"/>
      <c r="K41304" s="82"/>
      <c r="M41304" s="112"/>
      <c r="N41304" s="84"/>
    </row>
    <row r="41305" spans="1:14" s="2" customFormat="1">
      <c r="A41305" s="83"/>
      <c r="H41305" s="83"/>
      <c r="K41305" s="82"/>
      <c r="M41305" s="112"/>
      <c r="N41305" s="84"/>
    </row>
    <row r="41306" spans="1:14" s="2" customFormat="1">
      <c r="A41306" s="83"/>
      <c r="H41306" s="83"/>
      <c r="K41306" s="82"/>
      <c r="M41306" s="112"/>
      <c r="N41306" s="84"/>
    </row>
    <row r="41307" spans="1:14" s="2" customFormat="1">
      <c r="A41307" s="83"/>
      <c r="H41307" s="83"/>
      <c r="K41307" s="82"/>
      <c r="M41307" s="112"/>
      <c r="N41307" s="84"/>
    </row>
    <row r="41308" spans="1:14" s="2" customFormat="1">
      <c r="A41308" s="83"/>
      <c r="H41308" s="83"/>
      <c r="K41308" s="82"/>
      <c r="M41308" s="112"/>
      <c r="N41308" s="84"/>
    </row>
    <row r="41309" spans="1:14" s="2" customFormat="1">
      <c r="A41309" s="83"/>
      <c r="H41309" s="83"/>
      <c r="K41309" s="82"/>
      <c r="M41309" s="112"/>
      <c r="N41309" s="84"/>
    </row>
    <row r="41310" spans="1:14" s="2" customFormat="1">
      <c r="A41310" s="83"/>
      <c r="H41310" s="83"/>
      <c r="K41310" s="82"/>
      <c r="M41310" s="112"/>
      <c r="N41310" s="84"/>
    </row>
    <row r="41311" spans="1:14" s="2" customFormat="1">
      <c r="A41311" s="83"/>
      <c r="H41311" s="83"/>
      <c r="K41311" s="82"/>
      <c r="M41311" s="112"/>
      <c r="N41311" s="84"/>
    </row>
    <row r="41312" spans="1:14" s="2" customFormat="1">
      <c r="A41312" s="83"/>
      <c r="H41312" s="83"/>
      <c r="K41312" s="82"/>
      <c r="M41312" s="112"/>
      <c r="N41312" s="84"/>
    </row>
    <row r="41313" spans="1:14" s="2" customFormat="1">
      <c r="A41313" s="83"/>
      <c r="H41313" s="83"/>
      <c r="K41313" s="82"/>
      <c r="M41313" s="112"/>
      <c r="N41313" s="84"/>
    </row>
    <row r="41314" spans="1:14" s="2" customFormat="1">
      <c r="A41314" s="83"/>
      <c r="H41314" s="83"/>
      <c r="K41314" s="82"/>
      <c r="M41314" s="112"/>
      <c r="N41314" s="84"/>
    </row>
    <row r="41315" spans="1:14" s="2" customFormat="1">
      <c r="A41315" s="83"/>
      <c r="H41315" s="83"/>
      <c r="K41315" s="82"/>
      <c r="M41315" s="112"/>
      <c r="N41315" s="84"/>
    </row>
    <row r="41316" spans="1:14" s="2" customFormat="1">
      <c r="A41316" s="83"/>
      <c r="H41316" s="83"/>
      <c r="K41316" s="82"/>
      <c r="M41316" s="112"/>
      <c r="N41316" s="84"/>
    </row>
    <row r="41317" spans="1:14" s="2" customFormat="1">
      <c r="A41317" s="83"/>
      <c r="H41317" s="83"/>
      <c r="K41317" s="82"/>
      <c r="M41317" s="112"/>
      <c r="N41317" s="84"/>
    </row>
    <row r="41318" spans="1:14" s="2" customFormat="1">
      <c r="A41318" s="83"/>
      <c r="H41318" s="83"/>
      <c r="K41318" s="82"/>
      <c r="M41318" s="112"/>
      <c r="N41318" s="84"/>
    </row>
    <row r="41319" spans="1:14" s="2" customFormat="1">
      <c r="A41319" s="83"/>
      <c r="H41319" s="83"/>
      <c r="K41319" s="82"/>
      <c r="M41319" s="112"/>
      <c r="N41319" s="84"/>
    </row>
    <row r="41320" spans="1:14" s="2" customFormat="1">
      <c r="A41320" s="83"/>
      <c r="H41320" s="83"/>
      <c r="K41320" s="82"/>
      <c r="M41320" s="112"/>
      <c r="N41320" s="84"/>
    </row>
    <row r="41321" spans="1:14" s="2" customFormat="1">
      <c r="A41321" s="83"/>
      <c r="H41321" s="83"/>
      <c r="K41321" s="82"/>
      <c r="M41321" s="112"/>
      <c r="N41321" s="84"/>
    </row>
    <row r="41322" spans="1:14" s="2" customFormat="1">
      <c r="A41322" s="83"/>
      <c r="H41322" s="83"/>
      <c r="K41322" s="82"/>
      <c r="M41322" s="112"/>
      <c r="N41322" s="84"/>
    </row>
    <row r="41323" spans="1:14" s="2" customFormat="1">
      <c r="A41323" s="83"/>
      <c r="H41323" s="83"/>
      <c r="K41323" s="82"/>
      <c r="M41323" s="112"/>
      <c r="N41323" s="84"/>
    </row>
    <row r="41324" spans="1:14" s="2" customFormat="1">
      <c r="A41324" s="83"/>
      <c r="H41324" s="83"/>
      <c r="K41324" s="82"/>
      <c r="M41324" s="112"/>
      <c r="N41324" s="84"/>
    </row>
    <row r="41325" spans="1:14" s="2" customFormat="1">
      <c r="A41325" s="83"/>
      <c r="H41325" s="83"/>
      <c r="K41325" s="82"/>
      <c r="M41325" s="112"/>
      <c r="N41325" s="84"/>
    </row>
    <row r="41326" spans="1:14" s="2" customFormat="1">
      <c r="A41326" s="83"/>
      <c r="H41326" s="83"/>
      <c r="K41326" s="82"/>
      <c r="M41326" s="112"/>
      <c r="N41326" s="84"/>
    </row>
    <row r="41327" spans="1:14" s="2" customFormat="1">
      <c r="A41327" s="83"/>
      <c r="H41327" s="83"/>
      <c r="K41327" s="82"/>
      <c r="M41327" s="112"/>
      <c r="N41327" s="84"/>
    </row>
    <row r="41328" spans="1:14" s="2" customFormat="1">
      <c r="A41328" s="83"/>
      <c r="H41328" s="83"/>
      <c r="K41328" s="82"/>
      <c r="M41328" s="112"/>
      <c r="N41328" s="84"/>
    </row>
    <row r="41329" spans="1:14" s="2" customFormat="1">
      <c r="A41329" s="83"/>
      <c r="H41329" s="83"/>
      <c r="K41329" s="82"/>
      <c r="M41329" s="112"/>
      <c r="N41329" s="84"/>
    </row>
    <row r="41330" spans="1:14" s="2" customFormat="1">
      <c r="A41330" s="83"/>
      <c r="H41330" s="83"/>
      <c r="K41330" s="82"/>
      <c r="M41330" s="112"/>
      <c r="N41330" s="84"/>
    </row>
    <row r="41331" spans="1:14" s="2" customFormat="1">
      <c r="A41331" s="83"/>
      <c r="H41331" s="83"/>
      <c r="K41331" s="82"/>
      <c r="M41331" s="112"/>
      <c r="N41331" s="84"/>
    </row>
    <row r="41332" spans="1:14" s="2" customFormat="1">
      <c r="A41332" s="83"/>
      <c r="H41332" s="83"/>
      <c r="K41332" s="82"/>
      <c r="M41332" s="112"/>
      <c r="N41332" s="84"/>
    </row>
    <row r="41333" spans="1:14" s="2" customFormat="1">
      <c r="A41333" s="83"/>
      <c r="H41333" s="83"/>
      <c r="K41333" s="82"/>
      <c r="M41333" s="112"/>
      <c r="N41333" s="84"/>
    </row>
    <row r="41334" spans="1:14" s="2" customFormat="1">
      <c r="A41334" s="83"/>
      <c r="H41334" s="83"/>
      <c r="K41334" s="82"/>
      <c r="M41334" s="112"/>
      <c r="N41334" s="84"/>
    </row>
    <row r="41335" spans="1:14" s="2" customFormat="1">
      <c r="A41335" s="83"/>
      <c r="H41335" s="83"/>
      <c r="K41335" s="82"/>
      <c r="M41335" s="112"/>
      <c r="N41335" s="84"/>
    </row>
    <row r="41336" spans="1:14" s="2" customFormat="1">
      <c r="A41336" s="83"/>
      <c r="H41336" s="83"/>
      <c r="K41336" s="82"/>
      <c r="M41336" s="112"/>
      <c r="N41336" s="84"/>
    </row>
    <row r="41337" spans="1:14" s="2" customFormat="1">
      <c r="A41337" s="83"/>
      <c r="H41337" s="83"/>
      <c r="K41337" s="82"/>
      <c r="M41337" s="112"/>
      <c r="N41337" s="84"/>
    </row>
    <row r="41338" spans="1:14" s="2" customFormat="1">
      <c r="A41338" s="83"/>
      <c r="H41338" s="83"/>
      <c r="K41338" s="82"/>
      <c r="M41338" s="112"/>
      <c r="N41338" s="84"/>
    </row>
    <row r="41339" spans="1:14" s="2" customFormat="1">
      <c r="A41339" s="83"/>
      <c r="H41339" s="83"/>
      <c r="K41339" s="82"/>
      <c r="M41339" s="112"/>
      <c r="N41339" s="84"/>
    </row>
    <row r="41340" spans="1:14" s="2" customFormat="1">
      <c r="A41340" s="83"/>
      <c r="H41340" s="83"/>
      <c r="K41340" s="82"/>
      <c r="M41340" s="112"/>
      <c r="N41340" s="84"/>
    </row>
    <row r="41341" spans="1:14" s="2" customFormat="1">
      <c r="A41341" s="83"/>
      <c r="H41341" s="83"/>
      <c r="K41341" s="82"/>
      <c r="M41341" s="112"/>
      <c r="N41341" s="84"/>
    </row>
    <row r="41342" spans="1:14" s="2" customFormat="1">
      <c r="A41342" s="83"/>
      <c r="H41342" s="83"/>
      <c r="K41342" s="82"/>
      <c r="M41342" s="112"/>
      <c r="N41342" s="84"/>
    </row>
    <row r="41343" spans="1:14" s="2" customFormat="1">
      <c r="A41343" s="83"/>
      <c r="H41343" s="83"/>
      <c r="K41343" s="82"/>
      <c r="M41343" s="112"/>
      <c r="N41343" s="84"/>
    </row>
    <row r="41344" spans="1:14" s="2" customFormat="1">
      <c r="A41344" s="83"/>
      <c r="H41344" s="83"/>
      <c r="K41344" s="82"/>
      <c r="M41344" s="112"/>
      <c r="N41344" s="84"/>
    </row>
    <row r="41345" spans="1:14" s="2" customFormat="1">
      <c r="A41345" s="83"/>
      <c r="H41345" s="83"/>
      <c r="K41345" s="82"/>
      <c r="M41345" s="112"/>
      <c r="N41345" s="84"/>
    </row>
    <row r="41346" spans="1:14" s="2" customFormat="1">
      <c r="A41346" s="83"/>
      <c r="H41346" s="83"/>
      <c r="K41346" s="82"/>
      <c r="M41346" s="112"/>
      <c r="N41346" s="84"/>
    </row>
    <row r="41347" spans="1:14" s="2" customFormat="1">
      <c r="A41347" s="83"/>
      <c r="H41347" s="83"/>
      <c r="K41347" s="82"/>
      <c r="M41347" s="112"/>
      <c r="N41347" s="84"/>
    </row>
    <row r="41348" spans="1:14" s="2" customFormat="1">
      <c r="A41348" s="83"/>
      <c r="H41348" s="83"/>
      <c r="K41348" s="82"/>
      <c r="M41348" s="112"/>
      <c r="N41348" s="84"/>
    </row>
    <row r="41349" spans="1:14" s="2" customFormat="1">
      <c r="A41349" s="83"/>
      <c r="H41349" s="83"/>
      <c r="K41349" s="82"/>
      <c r="M41349" s="112"/>
      <c r="N41349" s="84"/>
    </row>
    <row r="41350" spans="1:14" s="2" customFormat="1">
      <c r="A41350" s="83"/>
      <c r="H41350" s="83"/>
      <c r="K41350" s="82"/>
      <c r="M41350" s="112"/>
      <c r="N41350" s="84"/>
    </row>
    <row r="41351" spans="1:14" s="2" customFormat="1">
      <c r="A41351" s="83"/>
      <c r="H41351" s="83"/>
      <c r="K41351" s="82"/>
      <c r="M41351" s="112"/>
      <c r="N41351" s="84"/>
    </row>
    <row r="41352" spans="1:14" s="2" customFormat="1">
      <c r="A41352" s="83"/>
      <c r="H41352" s="83"/>
      <c r="K41352" s="82"/>
      <c r="M41352" s="112"/>
      <c r="N41352" s="84"/>
    </row>
    <row r="41353" spans="1:14" s="2" customFormat="1">
      <c r="A41353" s="83"/>
      <c r="H41353" s="83"/>
      <c r="K41353" s="82"/>
      <c r="M41353" s="112"/>
      <c r="N41353" s="84"/>
    </row>
    <row r="41354" spans="1:14" s="2" customFormat="1">
      <c r="A41354" s="83"/>
      <c r="H41354" s="83"/>
      <c r="K41354" s="82"/>
      <c r="M41354" s="112"/>
      <c r="N41354" s="84"/>
    </row>
    <row r="41355" spans="1:14" s="2" customFormat="1">
      <c r="A41355" s="83"/>
      <c r="H41355" s="83"/>
      <c r="K41355" s="82"/>
      <c r="M41355" s="112"/>
      <c r="N41355" s="84"/>
    </row>
    <row r="41356" spans="1:14" s="2" customFormat="1">
      <c r="A41356" s="83"/>
      <c r="H41356" s="83"/>
      <c r="K41356" s="82"/>
      <c r="M41356" s="112"/>
      <c r="N41356" s="84"/>
    </row>
    <row r="41357" spans="1:14" s="2" customFormat="1">
      <c r="A41357" s="83"/>
      <c r="H41357" s="83"/>
      <c r="K41357" s="82"/>
      <c r="M41357" s="112"/>
      <c r="N41357" s="84"/>
    </row>
    <row r="41358" spans="1:14" s="2" customFormat="1">
      <c r="A41358" s="83"/>
      <c r="H41358" s="83"/>
      <c r="K41358" s="82"/>
      <c r="M41358" s="112"/>
      <c r="N41358" s="84"/>
    </row>
    <row r="41359" spans="1:14" s="2" customFormat="1">
      <c r="A41359" s="83"/>
      <c r="H41359" s="83"/>
      <c r="K41359" s="82"/>
      <c r="M41359" s="112"/>
      <c r="N41359" s="84"/>
    </row>
    <row r="41360" spans="1:14" s="2" customFormat="1">
      <c r="A41360" s="83"/>
      <c r="H41360" s="83"/>
      <c r="K41360" s="82"/>
      <c r="M41360" s="112"/>
      <c r="N41360" s="84"/>
    </row>
    <row r="41361" spans="1:14" s="2" customFormat="1">
      <c r="A41361" s="83"/>
      <c r="H41361" s="83"/>
      <c r="K41361" s="82"/>
      <c r="M41361" s="112"/>
      <c r="N41361" s="84"/>
    </row>
    <row r="41362" spans="1:14" s="2" customFormat="1">
      <c r="A41362" s="83"/>
      <c r="H41362" s="83"/>
      <c r="K41362" s="82"/>
      <c r="M41362" s="112"/>
      <c r="N41362" s="84"/>
    </row>
    <row r="41363" spans="1:14" s="2" customFormat="1">
      <c r="A41363" s="83"/>
      <c r="H41363" s="83"/>
      <c r="K41363" s="82"/>
      <c r="M41363" s="112"/>
      <c r="N41363" s="84"/>
    </row>
    <row r="41364" spans="1:14" s="2" customFormat="1">
      <c r="A41364" s="83"/>
      <c r="H41364" s="83"/>
      <c r="K41364" s="82"/>
      <c r="M41364" s="112"/>
      <c r="N41364" s="84"/>
    </row>
    <row r="41365" spans="1:14" s="2" customFormat="1">
      <c r="A41365" s="83"/>
      <c r="H41365" s="83"/>
      <c r="K41365" s="82"/>
      <c r="M41365" s="112"/>
      <c r="N41365" s="84"/>
    </row>
    <row r="41366" spans="1:14" s="2" customFormat="1">
      <c r="A41366" s="83"/>
      <c r="H41366" s="83"/>
      <c r="K41366" s="82"/>
      <c r="M41366" s="112"/>
      <c r="N41366" s="84"/>
    </row>
    <row r="41367" spans="1:14" s="2" customFormat="1">
      <c r="A41367" s="83"/>
      <c r="H41367" s="83"/>
      <c r="K41367" s="82"/>
      <c r="M41367" s="112"/>
      <c r="N41367" s="84"/>
    </row>
    <row r="41368" spans="1:14" s="2" customFormat="1">
      <c r="A41368" s="83"/>
      <c r="H41368" s="83"/>
      <c r="K41368" s="82"/>
      <c r="M41368" s="112"/>
      <c r="N41368" s="84"/>
    </row>
    <row r="41369" spans="1:14" s="2" customFormat="1">
      <c r="A41369" s="83"/>
      <c r="H41369" s="83"/>
      <c r="K41369" s="82"/>
      <c r="M41369" s="112"/>
      <c r="N41369" s="84"/>
    </row>
    <row r="41370" spans="1:14" s="2" customFormat="1">
      <c r="A41370" s="83"/>
      <c r="H41370" s="83"/>
      <c r="K41370" s="82"/>
      <c r="M41370" s="112"/>
      <c r="N41370" s="84"/>
    </row>
    <row r="41371" spans="1:14" s="2" customFormat="1">
      <c r="A41371" s="83"/>
      <c r="H41371" s="83"/>
      <c r="K41371" s="82"/>
      <c r="M41371" s="112"/>
      <c r="N41371" s="84"/>
    </row>
    <row r="41372" spans="1:14" s="2" customFormat="1">
      <c r="A41372" s="83"/>
      <c r="H41372" s="83"/>
      <c r="K41372" s="82"/>
      <c r="M41372" s="112"/>
      <c r="N41372" s="84"/>
    </row>
    <row r="41373" spans="1:14" s="2" customFormat="1">
      <c r="A41373" s="83"/>
      <c r="H41373" s="83"/>
      <c r="K41373" s="82"/>
      <c r="M41373" s="112"/>
      <c r="N41373" s="84"/>
    </row>
    <row r="41374" spans="1:14" s="2" customFormat="1">
      <c r="A41374" s="83"/>
      <c r="H41374" s="83"/>
      <c r="K41374" s="82"/>
      <c r="M41374" s="112"/>
      <c r="N41374" s="84"/>
    </row>
    <row r="41375" spans="1:14" s="2" customFormat="1">
      <c r="A41375" s="83"/>
      <c r="H41375" s="83"/>
      <c r="K41375" s="82"/>
      <c r="M41375" s="112"/>
      <c r="N41375" s="84"/>
    </row>
    <row r="41376" spans="1:14" s="2" customFormat="1">
      <c r="A41376" s="83"/>
      <c r="H41376" s="83"/>
      <c r="K41376" s="82"/>
      <c r="M41376" s="112"/>
      <c r="N41376" s="84"/>
    </row>
    <row r="41377" spans="1:14" s="2" customFormat="1">
      <c r="A41377" s="83"/>
      <c r="H41377" s="83"/>
      <c r="K41377" s="82"/>
      <c r="M41377" s="112"/>
      <c r="N41377" s="84"/>
    </row>
    <row r="41378" spans="1:14" s="2" customFormat="1">
      <c r="A41378" s="83"/>
      <c r="H41378" s="83"/>
      <c r="K41378" s="82"/>
      <c r="M41378" s="112"/>
      <c r="N41378" s="84"/>
    </row>
    <row r="41379" spans="1:14" s="2" customFormat="1">
      <c r="A41379" s="83"/>
      <c r="H41379" s="83"/>
      <c r="K41379" s="82"/>
      <c r="M41379" s="112"/>
      <c r="N41379" s="84"/>
    </row>
    <row r="41380" spans="1:14" s="2" customFormat="1">
      <c r="A41380" s="83"/>
      <c r="H41380" s="83"/>
      <c r="K41380" s="82"/>
      <c r="M41380" s="112"/>
      <c r="N41380" s="84"/>
    </row>
    <row r="41381" spans="1:14" s="2" customFormat="1">
      <c r="A41381" s="83"/>
      <c r="H41381" s="83"/>
      <c r="K41381" s="82"/>
      <c r="M41381" s="112"/>
      <c r="N41381" s="84"/>
    </row>
    <row r="41382" spans="1:14" s="2" customFormat="1">
      <c r="A41382" s="83"/>
      <c r="H41382" s="83"/>
      <c r="K41382" s="82"/>
      <c r="M41382" s="112"/>
      <c r="N41382" s="84"/>
    </row>
    <row r="41383" spans="1:14" s="2" customFormat="1">
      <c r="A41383" s="83"/>
      <c r="H41383" s="83"/>
      <c r="K41383" s="82"/>
      <c r="M41383" s="112"/>
      <c r="N41383" s="84"/>
    </row>
    <row r="41384" spans="1:14" s="2" customFormat="1">
      <c r="A41384" s="83"/>
      <c r="H41384" s="83"/>
      <c r="K41384" s="82"/>
      <c r="M41384" s="112"/>
      <c r="N41384" s="84"/>
    </row>
    <row r="41385" spans="1:14" s="2" customFormat="1">
      <c r="A41385" s="83"/>
      <c r="H41385" s="83"/>
      <c r="K41385" s="82"/>
      <c r="M41385" s="112"/>
      <c r="N41385" s="84"/>
    </row>
    <row r="41386" spans="1:14" s="2" customFormat="1">
      <c r="A41386" s="83"/>
      <c r="H41386" s="83"/>
      <c r="K41386" s="82"/>
      <c r="M41386" s="112"/>
      <c r="N41386" s="84"/>
    </row>
    <row r="41387" spans="1:14" s="2" customFormat="1">
      <c r="A41387" s="83"/>
      <c r="H41387" s="83"/>
      <c r="K41387" s="82"/>
      <c r="M41387" s="112"/>
      <c r="N41387" s="84"/>
    </row>
    <row r="41388" spans="1:14" s="2" customFormat="1">
      <c r="A41388" s="83"/>
      <c r="H41388" s="83"/>
      <c r="K41388" s="82"/>
      <c r="M41388" s="112"/>
      <c r="N41388" s="84"/>
    </row>
    <row r="41389" spans="1:14" s="2" customFormat="1">
      <c r="A41389" s="83"/>
      <c r="H41389" s="83"/>
      <c r="K41389" s="82"/>
      <c r="M41389" s="112"/>
      <c r="N41389" s="84"/>
    </row>
    <row r="41390" spans="1:14" s="2" customFormat="1">
      <c r="A41390" s="83"/>
      <c r="H41390" s="83"/>
      <c r="K41390" s="82"/>
      <c r="M41390" s="112"/>
      <c r="N41390" s="84"/>
    </row>
    <row r="41391" spans="1:14" s="2" customFormat="1">
      <c r="A41391" s="83"/>
      <c r="H41391" s="83"/>
      <c r="K41391" s="82"/>
      <c r="M41391" s="112"/>
      <c r="N41391" s="84"/>
    </row>
    <row r="41392" spans="1:14" s="2" customFormat="1">
      <c r="A41392" s="83"/>
      <c r="H41392" s="83"/>
      <c r="K41392" s="82"/>
      <c r="M41392" s="112"/>
      <c r="N41392" s="84"/>
    </row>
    <row r="41393" spans="1:14" s="2" customFormat="1">
      <c r="A41393" s="83"/>
      <c r="H41393" s="83"/>
      <c r="K41393" s="82"/>
      <c r="M41393" s="112"/>
      <c r="N41393" s="84"/>
    </row>
    <row r="41394" spans="1:14" s="2" customFormat="1">
      <c r="A41394" s="83"/>
      <c r="H41394" s="83"/>
      <c r="K41394" s="82"/>
      <c r="M41394" s="112"/>
      <c r="N41394" s="84"/>
    </row>
    <row r="41395" spans="1:14" s="2" customFormat="1">
      <c r="A41395" s="83"/>
      <c r="H41395" s="83"/>
      <c r="K41395" s="82"/>
      <c r="M41395" s="112"/>
      <c r="N41395" s="84"/>
    </row>
    <row r="41396" spans="1:14" s="2" customFormat="1">
      <c r="A41396" s="83"/>
      <c r="H41396" s="83"/>
      <c r="K41396" s="82"/>
      <c r="M41396" s="112"/>
      <c r="N41396" s="84"/>
    </row>
    <row r="41397" spans="1:14" s="2" customFormat="1">
      <c r="A41397" s="83"/>
      <c r="H41397" s="83"/>
      <c r="K41397" s="82"/>
      <c r="M41397" s="112"/>
      <c r="N41397" s="84"/>
    </row>
    <row r="41398" spans="1:14" s="2" customFormat="1">
      <c r="A41398" s="83"/>
      <c r="H41398" s="83"/>
      <c r="K41398" s="82"/>
      <c r="M41398" s="112"/>
      <c r="N41398" s="84"/>
    </row>
    <row r="41399" spans="1:14" s="2" customFormat="1">
      <c r="A41399" s="83"/>
      <c r="H41399" s="83"/>
      <c r="K41399" s="82"/>
      <c r="M41399" s="112"/>
      <c r="N41399" s="84"/>
    </row>
    <row r="41400" spans="1:14" s="2" customFormat="1">
      <c r="A41400" s="83"/>
      <c r="H41400" s="83"/>
      <c r="K41400" s="82"/>
      <c r="M41400" s="112"/>
      <c r="N41400" s="84"/>
    </row>
    <row r="41401" spans="1:14" s="2" customFormat="1">
      <c r="A41401" s="83"/>
      <c r="H41401" s="83"/>
      <c r="K41401" s="82"/>
      <c r="M41401" s="112"/>
      <c r="N41401" s="84"/>
    </row>
    <row r="41402" spans="1:14" s="2" customFormat="1">
      <c r="A41402" s="83"/>
      <c r="H41402" s="83"/>
      <c r="K41402" s="82"/>
      <c r="M41402" s="112"/>
      <c r="N41402" s="84"/>
    </row>
    <row r="41403" spans="1:14" s="2" customFormat="1">
      <c r="A41403" s="83"/>
      <c r="H41403" s="83"/>
      <c r="K41403" s="82"/>
      <c r="M41403" s="112"/>
      <c r="N41403" s="84"/>
    </row>
    <row r="41404" spans="1:14" s="2" customFormat="1">
      <c r="A41404" s="83"/>
      <c r="H41404" s="83"/>
      <c r="K41404" s="82"/>
      <c r="M41404" s="112"/>
      <c r="N41404" s="84"/>
    </row>
    <row r="41405" spans="1:14" s="2" customFormat="1">
      <c r="A41405" s="83"/>
      <c r="H41405" s="83"/>
      <c r="K41405" s="82"/>
      <c r="M41405" s="112"/>
      <c r="N41405" s="84"/>
    </row>
    <row r="41406" spans="1:14" s="2" customFormat="1">
      <c r="A41406" s="83"/>
      <c r="H41406" s="83"/>
      <c r="K41406" s="82"/>
      <c r="M41406" s="112"/>
      <c r="N41406" s="84"/>
    </row>
    <row r="41407" spans="1:14" s="2" customFormat="1">
      <c r="A41407" s="83"/>
      <c r="H41407" s="83"/>
      <c r="K41407" s="82"/>
      <c r="M41407" s="112"/>
      <c r="N41407" s="84"/>
    </row>
    <row r="41408" spans="1:14" s="2" customFormat="1">
      <c r="A41408" s="83"/>
      <c r="H41408" s="83"/>
      <c r="K41408" s="82"/>
      <c r="M41408" s="112"/>
      <c r="N41408" s="84"/>
    </row>
    <row r="41409" spans="1:14" s="2" customFormat="1">
      <c r="A41409" s="83"/>
      <c r="H41409" s="83"/>
      <c r="K41409" s="82"/>
      <c r="M41409" s="112"/>
      <c r="N41409" s="84"/>
    </row>
    <row r="41410" spans="1:14" s="2" customFormat="1">
      <c r="A41410" s="83"/>
      <c r="H41410" s="83"/>
      <c r="K41410" s="82"/>
      <c r="M41410" s="112"/>
      <c r="N41410" s="84"/>
    </row>
    <row r="41411" spans="1:14" s="2" customFormat="1">
      <c r="A41411" s="83"/>
      <c r="H41411" s="83"/>
      <c r="K41411" s="82"/>
      <c r="M41411" s="112"/>
      <c r="N41411" s="84"/>
    </row>
    <row r="41412" spans="1:14" s="2" customFormat="1">
      <c r="A41412" s="83"/>
      <c r="H41412" s="83"/>
      <c r="K41412" s="82"/>
      <c r="M41412" s="112"/>
      <c r="N41412" s="84"/>
    </row>
    <row r="41413" spans="1:14" s="2" customFormat="1">
      <c r="A41413" s="83"/>
      <c r="H41413" s="83"/>
      <c r="K41413" s="82"/>
      <c r="M41413" s="112"/>
      <c r="N41413" s="84"/>
    </row>
    <row r="41414" spans="1:14" s="2" customFormat="1">
      <c r="A41414" s="83"/>
      <c r="H41414" s="83"/>
      <c r="K41414" s="82"/>
      <c r="M41414" s="112"/>
      <c r="N41414" s="84"/>
    </row>
    <row r="41415" spans="1:14" s="2" customFormat="1">
      <c r="A41415" s="83"/>
      <c r="H41415" s="83"/>
      <c r="K41415" s="82"/>
      <c r="M41415" s="112"/>
      <c r="N41415" s="84"/>
    </row>
    <row r="41416" spans="1:14" s="2" customFormat="1">
      <c r="A41416" s="83"/>
      <c r="H41416" s="83"/>
      <c r="K41416" s="82"/>
      <c r="M41416" s="112"/>
      <c r="N41416" s="84"/>
    </row>
    <row r="41417" spans="1:14" s="2" customFormat="1">
      <c r="A41417" s="83"/>
      <c r="H41417" s="83"/>
      <c r="K41417" s="82"/>
      <c r="M41417" s="112"/>
      <c r="N41417" s="84"/>
    </row>
    <row r="41418" spans="1:14" s="2" customFormat="1">
      <c r="A41418" s="83"/>
      <c r="H41418" s="83"/>
      <c r="K41418" s="82"/>
      <c r="M41418" s="112"/>
      <c r="N41418" s="84"/>
    </row>
    <row r="41419" spans="1:14" s="2" customFormat="1">
      <c r="A41419" s="83"/>
      <c r="H41419" s="83"/>
      <c r="K41419" s="82"/>
      <c r="M41419" s="112"/>
      <c r="N41419" s="84"/>
    </row>
    <row r="41420" spans="1:14" s="2" customFormat="1">
      <c r="A41420" s="83"/>
      <c r="H41420" s="83"/>
      <c r="K41420" s="82"/>
      <c r="M41420" s="112"/>
      <c r="N41420" s="84"/>
    </row>
    <row r="41421" spans="1:14" s="2" customFormat="1">
      <c r="A41421" s="83"/>
      <c r="H41421" s="83"/>
      <c r="K41421" s="82"/>
      <c r="M41421" s="112"/>
      <c r="N41421" s="84"/>
    </row>
    <row r="41422" spans="1:14" s="2" customFormat="1">
      <c r="A41422" s="83"/>
      <c r="H41422" s="83"/>
      <c r="K41422" s="82"/>
      <c r="M41422" s="112"/>
      <c r="N41422" s="84"/>
    </row>
    <row r="41423" spans="1:14" s="2" customFormat="1">
      <c r="A41423" s="83"/>
      <c r="H41423" s="83"/>
      <c r="K41423" s="82"/>
      <c r="M41423" s="112"/>
      <c r="N41423" s="84"/>
    </row>
    <row r="41424" spans="1:14" s="2" customFormat="1">
      <c r="A41424" s="83"/>
      <c r="H41424" s="83"/>
      <c r="K41424" s="82"/>
      <c r="M41424" s="112"/>
      <c r="N41424" s="84"/>
    </row>
    <row r="41425" spans="1:14" s="2" customFormat="1">
      <c r="A41425" s="83"/>
      <c r="H41425" s="83"/>
      <c r="K41425" s="82"/>
      <c r="M41425" s="112"/>
      <c r="N41425" s="84"/>
    </row>
    <row r="41426" spans="1:14" s="2" customFormat="1">
      <c r="A41426" s="83"/>
      <c r="H41426" s="83"/>
      <c r="K41426" s="82"/>
      <c r="M41426" s="112"/>
      <c r="N41426" s="84"/>
    </row>
    <row r="41427" spans="1:14" s="2" customFormat="1">
      <c r="A41427" s="83"/>
      <c r="H41427" s="83"/>
      <c r="K41427" s="82"/>
      <c r="M41427" s="112"/>
      <c r="N41427" s="84"/>
    </row>
    <row r="41428" spans="1:14" s="2" customFormat="1">
      <c r="A41428" s="83"/>
      <c r="H41428" s="83"/>
      <c r="K41428" s="82"/>
      <c r="M41428" s="112"/>
      <c r="N41428" s="84"/>
    </row>
    <row r="41429" spans="1:14" s="2" customFormat="1">
      <c r="A41429" s="83"/>
      <c r="H41429" s="83"/>
      <c r="K41429" s="82"/>
      <c r="M41429" s="112"/>
      <c r="N41429" s="84"/>
    </row>
    <row r="41430" spans="1:14" s="2" customFormat="1">
      <c r="A41430" s="83"/>
      <c r="H41430" s="83"/>
      <c r="K41430" s="82"/>
      <c r="M41430" s="112"/>
      <c r="N41430" s="84"/>
    </row>
    <row r="41431" spans="1:14" s="2" customFormat="1">
      <c r="A41431" s="83"/>
      <c r="H41431" s="83"/>
      <c r="K41431" s="82"/>
      <c r="M41431" s="112"/>
      <c r="N41431" s="84"/>
    </row>
    <row r="41432" spans="1:14" s="2" customFormat="1">
      <c r="A41432" s="83"/>
      <c r="H41432" s="83"/>
      <c r="K41432" s="82"/>
      <c r="M41432" s="112"/>
      <c r="N41432" s="84"/>
    </row>
    <row r="41433" spans="1:14" s="2" customFormat="1">
      <c r="A41433" s="83"/>
      <c r="H41433" s="83"/>
      <c r="K41433" s="82"/>
      <c r="M41433" s="112"/>
      <c r="N41433" s="84"/>
    </row>
    <row r="41434" spans="1:14" s="2" customFormat="1">
      <c r="A41434" s="83"/>
      <c r="H41434" s="83"/>
      <c r="K41434" s="82"/>
      <c r="M41434" s="112"/>
      <c r="N41434" s="84"/>
    </row>
    <row r="41435" spans="1:14" s="2" customFormat="1">
      <c r="A41435" s="83"/>
      <c r="H41435" s="83"/>
      <c r="K41435" s="82"/>
      <c r="M41435" s="112"/>
      <c r="N41435" s="84"/>
    </row>
    <row r="41436" spans="1:14" s="2" customFormat="1">
      <c r="A41436" s="83"/>
      <c r="H41436" s="83"/>
      <c r="K41436" s="82"/>
      <c r="M41436" s="112"/>
      <c r="N41436" s="84"/>
    </row>
    <row r="41437" spans="1:14" s="2" customFormat="1">
      <c r="A41437" s="83"/>
      <c r="H41437" s="83"/>
      <c r="K41437" s="82"/>
      <c r="M41437" s="112"/>
      <c r="N41437" s="84"/>
    </row>
    <row r="41438" spans="1:14" s="2" customFormat="1">
      <c r="A41438" s="83"/>
      <c r="H41438" s="83"/>
      <c r="K41438" s="82"/>
      <c r="M41438" s="112"/>
      <c r="N41438" s="84"/>
    </row>
    <row r="41439" spans="1:14" s="2" customFormat="1">
      <c r="A41439" s="83"/>
      <c r="H41439" s="83"/>
      <c r="K41439" s="82"/>
      <c r="M41439" s="112"/>
      <c r="N41439" s="84"/>
    </row>
    <row r="41440" spans="1:14" s="2" customFormat="1">
      <c r="A41440" s="83"/>
      <c r="H41440" s="83"/>
      <c r="K41440" s="82"/>
      <c r="M41440" s="112"/>
      <c r="N41440" s="84"/>
    </row>
    <row r="41441" spans="1:14" s="2" customFormat="1">
      <c r="A41441" s="83"/>
      <c r="H41441" s="83"/>
      <c r="K41441" s="82"/>
      <c r="M41441" s="112"/>
      <c r="N41441" s="84"/>
    </row>
    <row r="41442" spans="1:14" s="2" customFormat="1">
      <c r="A41442" s="83"/>
      <c r="H41442" s="83"/>
      <c r="K41442" s="82"/>
      <c r="M41442" s="112"/>
      <c r="N41442" s="84"/>
    </row>
    <row r="41443" spans="1:14" s="2" customFormat="1">
      <c r="A41443" s="83"/>
      <c r="H41443" s="83"/>
      <c r="K41443" s="82"/>
      <c r="M41443" s="112"/>
      <c r="N41443" s="84"/>
    </row>
    <row r="41444" spans="1:14" s="2" customFormat="1">
      <c r="A41444" s="83"/>
      <c r="H41444" s="83"/>
      <c r="K41444" s="82"/>
      <c r="M41444" s="112"/>
      <c r="N41444" s="84"/>
    </row>
    <row r="41445" spans="1:14" s="2" customFormat="1">
      <c r="A41445" s="83"/>
      <c r="H41445" s="83"/>
      <c r="K41445" s="82"/>
      <c r="M41445" s="112"/>
      <c r="N41445" s="84"/>
    </row>
    <row r="41446" spans="1:14" s="2" customFormat="1">
      <c r="A41446" s="83"/>
      <c r="H41446" s="83"/>
      <c r="K41446" s="82"/>
      <c r="M41446" s="112"/>
      <c r="N41446" s="84"/>
    </row>
    <row r="41447" spans="1:14" s="2" customFormat="1">
      <c r="A41447" s="83"/>
      <c r="H41447" s="83"/>
      <c r="K41447" s="82"/>
      <c r="M41447" s="112"/>
      <c r="N41447" s="84"/>
    </row>
    <row r="41448" spans="1:14" s="2" customFormat="1">
      <c r="A41448" s="83"/>
      <c r="H41448" s="83"/>
      <c r="K41448" s="82"/>
      <c r="M41448" s="112"/>
      <c r="N41448" s="84"/>
    </row>
    <row r="41449" spans="1:14" s="2" customFormat="1">
      <c r="A41449" s="83"/>
      <c r="H41449" s="83"/>
      <c r="K41449" s="82"/>
      <c r="M41449" s="112"/>
      <c r="N41449" s="84"/>
    </row>
    <row r="41450" spans="1:14" s="2" customFormat="1">
      <c r="A41450" s="83"/>
      <c r="H41450" s="83"/>
      <c r="K41450" s="82"/>
      <c r="M41450" s="112"/>
      <c r="N41450" s="84"/>
    </row>
    <row r="41451" spans="1:14" s="2" customFormat="1">
      <c r="A41451" s="83"/>
      <c r="H41451" s="83"/>
      <c r="K41451" s="82"/>
      <c r="M41451" s="112"/>
      <c r="N41451" s="84"/>
    </row>
    <row r="41452" spans="1:14" s="2" customFormat="1">
      <c r="A41452" s="83"/>
      <c r="H41452" s="83"/>
      <c r="K41452" s="82"/>
      <c r="M41452" s="112"/>
      <c r="N41452" s="84"/>
    </row>
    <row r="41453" spans="1:14" s="2" customFormat="1">
      <c r="A41453" s="83"/>
      <c r="H41453" s="83"/>
      <c r="K41453" s="82"/>
      <c r="M41453" s="112"/>
      <c r="N41453" s="84"/>
    </row>
    <row r="41454" spans="1:14" s="2" customFormat="1">
      <c r="A41454" s="83"/>
      <c r="H41454" s="83"/>
      <c r="K41454" s="82"/>
      <c r="M41454" s="112"/>
      <c r="N41454" s="84"/>
    </row>
    <row r="41455" spans="1:14" s="2" customFormat="1">
      <c r="A41455" s="83"/>
      <c r="H41455" s="83"/>
      <c r="K41455" s="82"/>
      <c r="M41455" s="112"/>
      <c r="N41455" s="84"/>
    </row>
    <row r="41456" spans="1:14" s="2" customFormat="1">
      <c r="A41456" s="83"/>
      <c r="H41456" s="83"/>
      <c r="K41456" s="82"/>
      <c r="M41456" s="112"/>
      <c r="N41456" s="84"/>
    </row>
    <row r="41457" spans="1:14" s="2" customFormat="1">
      <c r="A41457" s="83"/>
      <c r="H41457" s="83"/>
      <c r="K41457" s="82"/>
      <c r="M41457" s="112"/>
      <c r="N41457" s="84"/>
    </row>
    <row r="41458" spans="1:14" s="2" customFormat="1">
      <c r="A41458" s="83"/>
      <c r="H41458" s="83"/>
      <c r="K41458" s="82"/>
      <c r="M41458" s="112"/>
      <c r="N41458" s="84"/>
    </row>
    <row r="41459" spans="1:14" s="2" customFormat="1">
      <c r="A41459" s="83"/>
      <c r="H41459" s="83"/>
      <c r="K41459" s="82"/>
      <c r="M41459" s="112"/>
      <c r="N41459" s="84"/>
    </row>
    <row r="41460" spans="1:14" s="2" customFormat="1">
      <c r="A41460" s="83"/>
      <c r="H41460" s="83"/>
      <c r="K41460" s="82"/>
      <c r="M41460" s="112"/>
      <c r="N41460" s="84"/>
    </row>
    <row r="41461" spans="1:14" s="2" customFormat="1">
      <c r="A41461" s="83"/>
      <c r="H41461" s="83"/>
      <c r="K41461" s="82"/>
      <c r="M41461" s="112"/>
      <c r="N41461" s="84"/>
    </row>
    <row r="41462" spans="1:14" s="2" customFormat="1">
      <c r="A41462" s="83"/>
      <c r="H41462" s="83"/>
      <c r="K41462" s="82"/>
      <c r="M41462" s="112"/>
      <c r="N41462" s="84"/>
    </row>
    <row r="41463" spans="1:14" s="2" customFormat="1">
      <c r="A41463" s="83"/>
      <c r="H41463" s="83"/>
      <c r="K41463" s="82"/>
      <c r="M41463" s="112"/>
      <c r="N41463" s="84"/>
    </row>
    <row r="41464" spans="1:14" s="2" customFormat="1">
      <c r="A41464" s="83"/>
      <c r="H41464" s="83"/>
      <c r="K41464" s="82"/>
      <c r="M41464" s="112"/>
      <c r="N41464" s="84"/>
    </row>
    <row r="41465" spans="1:14" s="2" customFormat="1">
      <c r="A41465" s="83"/>
      <c r="H41465" s="83"/>
      <c r="K41465" s="82"/>
      <c r="M41465" s="112"/>
      <c r="N41465" s="84"/>
    </row>
    <row r="41466" spans="1:14" s="2" customFormat="1">
      <c r="A41466" s="83"/>
      <c r="H41466" s="83"/>
      <c r="K41466" s="82"/>
      <c r="M41466" s="112"/>
      <c r="N41466" s="84"/>
    </row>
    <row r="41467" spans="1:14" s="2" customFormat="1">
      <c r="A41467" s="83"/>
      <c r="H41467" s="83"/>
      <c r="K41467" s="82"/>
      <c r="M41467" s="112"/>
      <c r="N41467" s="84"/>
    </row>
    <row r="41468" spans="1:14" s="2" customFormat="1">
      <c r="A41468" s="83"/>
      <c r="H41468" s="83"/>
      <c r="K41468" s="82"/>
      <c r="M41468" s="112"/>
      <c r="N41468" s="84"/>
    </row>
    <row r="41469" spans="1:14" s="2" customFormat="1">
      <c r="A41469" s="83"/>
      <c r="H41469" s="83"/>
      <c r="K41469" s="82"/>
      <c r="M41469" s="112"/>
      <c r="N41469" s="84"/>
    </row>
    <row r="41470" spans="1:14" s="2" customFormat="1">
      <c r="A41470" s="83"/>
      <c r="H41470" s="83"/>
      <c r="K41470" s="82"/>
      <c r="M41470" s="112"/>
      <c r="N41470" s="84"/>
    </row>
    <row r="41471" spans="1:14" s="2" customFormat="1">
      <c r="A41471" s="83"/>
      <c r="H41471" s="83"/>
      <c r="K41471" s="82"/>
      <c r="M41471" s="112"/>
      <c r="N41471" s="84"/>
    </row>
    <row r="41472" spans="1:14" s="2" customFormat="1">
      <c r="A41472" s="83"/>
      <c r="H41472" s="83"/>
      <c r="K41472" s="82"/>
      <c r="M41472" s="112"/>
      <c r="N41472" s="84"/>
    </row>
    <row r="41473" spans="1:14" s="2" customFormat="1">
      <c r="A41473" s="83"/>
      <c r="H41473" s="83"/>
      <c r="K41473" s="82"/>
      <c r="M41473" s="112"/>
      <c r="N41473" s="84"/>
    </row>
    <row r="41474" spans="1:14" s="2" customFormat="1">
      <c r="A41474" s="83"/>
      <c r="H41474" s="83"/>
      <c r="K41474" s="82"/>
      <c r="M41474" s="112"/>
      <c r="N41474" s="84"/>
    </row>
    <row r="41475" spans="1:14" s="2" customFormat="1">
      <c r="A41475" s="83"/>
      <c r="H41475" s="83"/>
      <c r="K41475" s="82"/>
      <c r="M41475" s="112"/>
      <c r="N41475" s="84"/>
    </row>
    <row r="41476" spans="1:14" s="2" customFormat="1">
      <c r="A41476" s="83"/>
      <c r="H41476" s="83"/>
      <c r="K41476" s="82"/>
      <c r="M41476" s="112"/>
      <c r="N41476" s="84"/>
    </row>
    <row r="41477" spans="1:14" s="2" customFormat="1">
      <c r="A41477" s="83"/>
      <c r="H41477" s="83"/>
      <c r="K41477" s="82"/>
      <c r="M41477" s="112"/>
      <c r="N41477" s="84"/>
    </row>
    <row r="41478" spans="1:14" s="2" customFormat="1">
      <c r="A41478" s="83"/>
      <c r="H41478" s="83"/>
      <c r="K41478" s="82"/>
      <c r="M41478" s="112"/>
      <c r="N41478" s="84"/>
    </row>
    <row r="41479" spans="1:14" s="2" customFormat="1">
      <c r="A41479" s="83"/>
      <c r="H41479" s="83"/>
      <c r="K41479" s="82"/>
      <c r="M41479" s="112"/>
      <c r="N41479" s="84"/>
    </row>
    <row r="41480" spans="1:14" s="2" customFormat="1">
      <c r="A41480" s="83"/>
      <c r="H41480" s="83"/>
      <c r="K41480" s="82"/>
      <c r="M41480" s="112"/>
      <c r="N41480" s="84"/>
    </row>
    <row r="41481" spans="1:14" s="2" customFormat="1">
      <c r="A41481" s="83"/>
      <c r="H41481" s="83"/>
      <c r="K41481" s="82"/>
      <c r="M41481" s="112"/>
      <c r="N41481" s="84"/>
    </row>
    <row r="41482" spans="1:14" s="2" customFormat="1">
      <c r="A41482" s="83"/>
      <c r="H41482" s="83"/>
      <c r="K41482" s="82"/>
      <c r="M41482" s="112"/>
      <c r="N41482" s="84"/>
    </row>
    <row r="41483" spans="1:14" s="2" customFormat="1">
      <c r="A41483" s="83"/>
      <c r="H41483" s="83"/>
      <c r="K41483" s="82"/>
      <c r="M41483" s="112"/>
      <c r="N41483" s="84"/>
    </row>
    <row r="41484" spans="1:14" s="2" customFormat="1">
      <c r="A41484" s="83"/>
      <c r="H41484" s="83"/>
      <c r="K41484" s="82"/>
      <c r="M41484" s="112"/>
      <c r="N41484" s="84"/>
    </row>
    <row r="41485" spans="1:14" s="2" customFormat="1">
      <c r="A41485" s="83"/>
      <c r="H41485" s="83"/>
      <c r="K41485" s="82"/>
      <c r="M41485" s="112"/>
      <c r="N41485" s="84"/>
    </row>
    <row r="41486" spans="1:14" s="2" customFormat="1">
      <c r="A41486" s="83"/>
      <c r="H41486" s="83"/>
      <c r="K41486" s="82"/>
      <c r="M41486" s="112"/>
      <c r="N41486" s="84"/>
    </row>
    <row r="41487" spans="1:14" s="2" customFormat="1">
      <c r="A41487" s="83"/>
      <c r="H41487" s="83"/>
      <c r="K41487" s="82"/>
      <c r="M41487" s="112"/>
      <c r="N41487" s="84"/>
    </row>
    <row r="41488" spans="1:14" s="2" customFormat="1">
      <c r="A41488" s="83"/>
      <c r="H41488" s="83"/>
      <c r="K41488" s="82"/>
      <c r="M41488" s="112"/>
      <c r="N41488" s="84"/>
    </row>
    <row r="41489" spans="1:14" s="2" customFormat="1">
      <c r="A41489" s="83"/>
      <c r="H41489" s="83"/>
      <c r="K41489" s="82"/>
      <c r="M41489" s="112"/>
      <c r="N41489" s="84"/>
    </row>
    <row r="41490" spans="1:14" s="2" customFormat="1">
      <c r="A41490" s="83"/>
      <c r="H41490" s="83"/>
      <c r="K41490" s="82"/>
      <c r="M41490" s="112"/>
      <c r="N41490" s="84"/>
    </row>
    <row r="41491" spans="1:14" s="2" customFormat="1">
      <c r="A41491" s="83"/>
      <c r="H41491" s="83"/>
      <c r="K41491" s="82"/>
      <c r="M41491" s="112"/>
      <c r="N41491" s="84"/>
    </row>
    <row r="41492" spans="1:14" s="2" customFormat="1">
      <c r="A41492" s="83"/>
      <c r="H41492" s="83"/>
      <c r="K41492" s="82"/>
      <c r="M41492" s="112"/>
      <c r="N41492" s="84"/>
    </row>
    <row r="41493" spans="1:14" s="2" customFormat="1">
      <c r="A41493" s="83"/>
      <c r="H41493" s="83"/>
      <c r="K41493" s="82"/>
      <c r="M41493" s="112"/>
      <c r="N41493" s="84"/>
    </row>
    <row r="41494" spans="1:14" s="2" customFormat="1">
      <c r="A41494" s="83"/>
      <c r="H41494" s="83"/>
      <c r="K41494" s="82"/>
      <c r="M41494" s="112"/>
      <c r="N41494" s="84"/>
    </row>
    <row r="41495" spans="1:14" s="2" customFormat="1">
      <c r="A41495" s="83"/>
      <c r="H41495" s="83"/>
      <c r="K41495" s="82"/>
      <c r="M41495" s="112"/>
      <c r="N41495" s="84"/>
    </row>
    <row r="41496" spans="1:14" s="2" customFormat="1">
      <c r="A41496" s="83"/>
      <c r="H41496" s="83"/>
      <c r="K41496" s="82"/>
      <c r="M41496" s="112"/>
      <c r="N41496" s="84"/>
    </row>
    <row r="41497" spans="1:14" s="2" customFormat="1">
      <c r="A41497" s="83"/>
      <c r="H41497" s="83"/>
      <c r="K41497" s="82"/>
      <c r="M41497" s="112"/>
      <c r="N41497" s="84"/>
    </row>
    <row r="41498" spans="1:14" s="2" customFormat="1">
      <c r="A41498" s="83"/>
      <c r="H41498" s="83"/>
      <c r="K41498" s="82"/>
      <c r="M41498" s="112"/>
      <c r="N41498" s="84"/>
    </row>
    <row r="41499" spans="1:14" s="2" customFormat="1">
      <c r="A41499" s="83"/>
      <c r="H41499" s="83"/>
      <c r="K41499" s="82"/>
      <c r="M41499" s="112"/>
      <c r="N41499" s="84"/>
    </row>
    <row r="41500" spans="1:14" s="2" customFormat="1">
      <c r="A41500" s="83"/>
      <c r="H41500" s="83"/>
      <c r="K41500" s="82"/>
      <c r="M41500" s="112"/>
      <c r="N41500" s="84"/>
    </row>
    <row r="41501" spans="1:14" s="2" customFormat="1">
      <c r="A41501" s="83"/>
      <c r="H41501" s="83"/>
      <c r="K41501" s="82"/>
      <c r="M41501" s="112"/>
      <c r="N41501" s="84"/>
    </row>
    <row r="41502" spans="1:14" s="2" customFormat="1">
      <c r="A41502" s="83"/>
      <c r="H41502" s="83"/>
      <c r="K41502" s="82"/>
      <c r="M41502" s="112"/>
      <c r="N41502" s="84"/>
    </row>
    <row r="41503" spans="1:14" s="2" customFormat="1">
      <c r="A41503" s="83"/>
      <c r="H41503" s="83"/>
      <c r="K41503" s="82"/>
      <c r="M41503" s="112"/>
      <c r="N41503" s="84"/>
    </row>
    <row r="41504" spans="1:14" s="2" customFormat="1">
      <c r="A41504" s="83"/>
      <c r="H41504" s="83"/>
      <c r="K41504" s="82"/>
      <c r="M41504" s="112"/>
      <c r="N41504" s="84"/>
    </row>
    <row r="41505" spans="1:14" s="2" customFormat="1">
      <c r="A41505" s="83"/>
      <c r="H41505" s="83"/>
      <c r="K41505" s="82"/>
      <c r="M41505" s="112"/>
      <c r="N41505" s="84"/>
    </row>
    <row r="41506" spans="1:14" s="2" customFormat="1">
      <c r="A41506" s="83"/>
      <c r="H41506" s="83"/>
      <c r="K41506" s="82"/>
      <c r="M41506" s="112"/>
      <c r="N41506" s="84"/>
    </row>
    <row r="41507" spans="1:14" s="2" customFormat="1">
      <c r="A41507" s="83"/>
      <c r="H41507" s="83"/>
      <c r="K41507" s="82"/>
      <c r="M41507" s="112"/>
      <c r="N41507" s="84"/>
    </row>
    <row r="41508" spans="1:14" s="2" customFormat="1">
      <c r="A41508" s="83"/>
      <c r="H41508" s="83"/>
      <c r="K41508" s="82"/>
      <c r="M41508" s="112"/>
      <c r="N41508" s="84"/>
    </row>
    <row r="41509" spans="1:14" s="2" customFormat="1">
      <c r="A41509" s="83"/>
      <c r="H41509" s="83"/>
      <c r="K41509" s="82"/>
      <c r="M41509" s="112"/>
      <c r="N41509" s="84"/>
    </row>
    <row r="41510" spans="1:14" s="2" customFormat="1">
      <c r="A41510" s="83"/>
      <c r="H41510" s="83"/>
      <c r="K41510" s="82"/>
      <c r="M41510" s="112"/>
      <c r="N41510" s="84"/>
    </row>
    <row r="41511" spans="1:14" s="2" customFormat="1">
      <c r="A41511" s="83"/>
      <c r="H41511" s="83"/>
      <c r="K41511" s="82"/>
      <c r="M41511" s="112"/>
      <c r="N41511" s="84"/>
    </row>
    <row r="41512" spans="1:14" s="2" customFormat="1">
      <c r="A41512" s="83"/>
      <c r="H41512" s="83"/>
      <c r="K41512" s="82"/>
      <c r="M41512" s="112"/>
      <c r="N41512" s="84"/>
    </row>
    <row r="41513" spans="1:14" s="2" customFormat="1">
      <c r="A41513" s="83"/>
      <c r="H41513" s="83"/>
      <c r="K41513" s="82"/>
      <c r="M41513" s="112"/>
      <c r="N41513" s="84"/>
    </row>
    <row r="41514" spans="1:14" s="2" customFormat="1">
      <c r="A41514" s="83"/>
      <c r="H41514" s="83"/>
      <c r="K41514" s="82"/>
      <c r="M41514" s="112"/>
      <c r="N41514" s="84"/>
    </row>
    <row r="41515" spans="1:14" s="2" customFormat="1">
      <c r="A41515" s="83"/>
      <c r="H41515" s="83"/>
      <c r="K41515" s="82"/>
      <c r="M41515" s="112"/>
      <c r="N41515" s="84"/>
    </row>
    <row r="41516" spans="1:14" s="2" customFormat="1">
      <c r="A41516" s="83"/>
      <c r="H41516" s="83"/>
      <c r="K41516" s="82"/>
      <c r="M41516" s="112"/>
      <c r="N41516" s="84"/>
    </row>
    <row r="41517" spans="1:14" s="2" customFormat="1">
      <c r="A41517" s="83"/>
      <c r="H41517" s="83"/>
      <c r="K41517" s="82"/>
      <c r="M41517" s="112"/>
      <c r="N41517" s="84"/>
    </row>
    <row r="41518" spans="1:14" s="2" customFormat="1">
      <c r="A41518" s="83"/>
      <c r="H41518" s="83"/>
      <c r="K41518" s="82"/>
      <c r="M41518" s="112"/>
      <c r="N41518" s="84"/>
    </row>
    <row r="41519" spans="1:14" s="2" customFormat="1">
      <c r="A41519" s="83"/>
      <c r="H41519" s="83"/>
      <c r="K41519" s="82"/>
      <c r="M41519" s="112"/>
      <c r="N41519" s="84"/>
    </row>
    <row r="41520" spans="1:14" s="2" customFormat="1">
      <c r="A41520" s="83"/>
      <c r="H41520" s="83"/>
      <c r="K41520" s="82"/>
      <c r="M41520" s="112"/>
      <c r="N41520" s="84"/>
    </row>
    <row r="41521" spans="1:14" s="2" customFormat="1">
      <c r="A41521" s="83"/>
      <c r="H41521" s="83"/>
      <c r="K41521" s="82"/>
      <c r="M41521" s="112"/>
      <c r="N41521" s="84"/>
    </row>
    <row r="41522" spans="1:14" s="2" customFormat="1">
      <c r="A41522" s="83"/>
      <c r="H41522" s="83"/>
      <c r="K41522" s="82"/>
      <c r="M41522" s="112"/>
      <c r="N41522" s="84"/>
    </row>
    <row r="41523" spans="1:14" s="2" customFormat="1">
      <c r="A41523" s="83"/>
      <c r="H41523" s="83"/>
      <c r="K41523" s="82"/>
      <c r="M41523" s="112"/>
      <c r="N41523" s="84"/>
    </row>
    <row r="41524" spans="1:14" s="2" customFormat="1">
      <c r="A41524" s="83"/>
      <c r="H41524" s="83"/>
      <c r="K41524" s="82"/>
      <c r="M41524" s="112"/>
      <c r="N41524" s="84"/>
    </row>
    <row r="41525" spans="1:14" s="2" customFormat="1">
      <c r="A41525" s="83"/>
      <c r="H41525" s="83"/>
      <c r="K41525" s="82"/>
      <c r="M41525" s="112"/>
      <c r="N41525" s="84"/>
    </row>
    <row r="41526" spans="1:14" s="2" customFormat="1">
      <c r="A41526" s="83"/>
      <c r="H41526" s="83"/>
      <c r="K41526" s="82"/>
      <c r="M41526" s="112"/>
      <c r="N41526" s="84"/>
    </row>
    <row r="41527" spans="1:14" s="2" customFormat="1">
      <c r="A41527" s="83"/>
      <c r="H41527" s="83"/>
      <c r="K41527" s="82"/>
      <c r="M41527" s="112"/>
      <c r="N41527" s="84"/>
    </row>
    <row r="41528" spans="1:14" s="2" customFormat="1">
      <c r="A41528" s="83"/>
      <c r="H41528" s="83"/>
      <c r="K41528" s="82"/>
      <c r="M41528" s="112"/>
      <c r="N41528" s="84"/>
    </row>
    <row r="41529" spans="1:14" s="2" customFormat="1">
      <c r="A41529" s="83"/>
      <c r="H41529" s="83"/>
      <c r="K41529" s="82"/>
      <c r="M41529" s="112"/>
      <c r="N41529" s="84"/>
    </row>
    <row r="41530" spans="1:14" s="2" customFormat="1">
      <c r="A41530" s="83"/>
      <c r="H41530" s="83"/>
      <c r="K41530" s="82"/>
      <c r="M41530" s="112"/>
      <c r="N41530" s="84"/>
    </row>
    <row r="41531" spans="1:14" s="2" customFormat="1">
      <c r="A41531" s="83"/>
      <c r="H41531" s="83"/>
      <c r="K41531" s="82"/>
      <c r="M41531" s="112"/>
      <c r="N41531" s="84"/>
    </row>
    <row r="41532" spans="1:14" s="2" customFormat="1">
      <c r="A41532" s="83"/>
      <c r="H41532" s="83"/>
      <c r="K41532" s="82"/>
      <c r="M41532" s="112"/>
      <c r="N41532" s="84"/>
    </row>
    <row r="41533" spans="1:14" s="2" customFormat="1">
      <c r="A41533" s="83"/>
      <c r="H41533" s="83"/>
      <c r="K41533" s="82"/>
      <c r="M41533" s="112"/>
      <c r="N41533" s="84"/>
    </row>
    <row r="41534" spans="1:14" s="2" customFormat="1">
      <c r="A41534" s="83"/>
      <c r="H41534" s="83"/>
      <c r="K41534" s="82"/>
      <c r="M41534" s="112"/>
      <c r="N41534" s="84"/>
    </row>
    <row r="41535" spans="1:14" s="2" customFormat="1">
      <c r="A41535" s="83"/>
      <c r="H41535" s="83"/>
      <c r="K41535" s="82"/>
      <c r="M41535" s="112"/>
      <c r="N41535" s="84"/>
    </row>
    <row r="41536" spans="1:14" s="2" customFormat="1">
      <c r="A41536" s="83"/>
      <c r="H41536" s="83"/>
      <c r="K41536" s="82"/>
      <c r="M41536" s="112"/>
      <c r="N41536" s="84"/>
    </row>
    <row r="41537" spans="1:14" s="2" customFormat="1">
      <c r="A41537" s="83"/>
      <c r="H41537" s="83"/>
      <c r="K41537" s="82"/>
      <c r="M41537" s="112"/>
      <c r="N41537" s="84"/>
    </row>
    <row r="41538" spans="1:14" s="2" customFormat="1">
      <c r="A41538" s="83"/>
      <c r="H41538" s="83"/>
      <c r="K41538" s="82"/>
      <c r="M41538" s="112"/>
      <c r="N41538" s="84"/>
    </row>
    <row r="41539" spans="1:14" s="2" customFormat="1">
      <c r="A41539" s="83"/>
      <c r="H41539" s="83"/>
      <c r="K41539" s="82"/>
      <c r="M41539" s="112"/>
      <c r="N41539" s="84"/>
    </row>
    <row r="41540" spans="1:14" s="2" customFormat="1">
      <c r="A41540" s="83"/>
      <c r="H41540" s="83"/>
      <c r="K41540" s="82"/>
      <c r="M41540" s="112"/>
      <c r="N41540" s="84"/>
    </row>
    <row r="41541" spans="1:14" s="2" customFormat="1">
      <c r="A41541" s="83"/>
      <c r="H41541" s="83"/>
      <c r="K41541" s="82"/>
      <c r="M41541" s="112"/>
      <c r="N41541" s="84"/>
    </row>
    <row r="41542" spans="1:14" s="2" customFormat="1">
      <c r="A41542" s="83"/>
      <c r="H41542" s="83"/>
      <c r="K41542" s="82"/>
      <c r="M41542" s="112"/>
      <c r="N41542" s="84"/>
    </row>
    <row r="41543" spans="1:14" s="2" customFormat="1">
      <c r="A41543" s="83"/>
      <c r="H41543" s="83"/>
      <c r="K41543" s="82"/>
      <c r="M41543" s="112"/>
      <c r="N41543" s="84"/>
    </row>
    <row r="41544" spans="1:14" s="2" customFormat="1">
      <c r="A41544" s="83"/>
      <c r="H41544" s="83"/>
      <c r="K41544" s="82"/>
      <c r="M41544" s="112"/>
      <c r="N41544" s="84"/>
    </row>
    <row r="41545" spans="1:14" s="2" customFormat="1">
      <c r="A41545" s="83"/>
      <c r="H41545" s="83"/>
      <c r="K41545" s="82"/>
      <c r="M41545" s="112"/>
      <c r="N41545" s="84"/>
    </row>
    <row r="41546" spans="1:14" s="2" customFormat="1">
      <c r="A41546" s="83"/>
      <c r="H41546" s="83"/>
      <c r="K41546" s="82"/>
      <c r="M41546" s="112"/>
      <c r="N41546" s="84"/>
    </row>
    <row r="41547" spans="1:14" s="2" customFormat="1">
      <c r="A41547" s="83"/>
      <c r="H41547" s="83"/>
      <c r="K41547" s="82"/>
      <c r="M41547" s="112"/>
      <c r="N41547" s="84"/>
    </row>
    <row r="41548" spans="1:14" s="2" customFormat="1">
      <c r="A41548" s="83"/>
      <c r="H41548" s="83"/>
      <c r="K41548" s="82"/>
      <c r="M41548" s="112"/>
      <c r="N41548" s="84"/>
    </row>
    <row r="41549" spans="1:14" s="2" customFormat="1">
      <c r="A41549" s="83"/>
      <c r="H41549" s="83"/>
      <c r="K41549" s="82"/>
      <c r="M41549" s="112"/>
      <c r="N41549" s="84"/>
    </row>
    <row r="41550" spans="1:14" s="2" customFormat="1">
      <c r="A41550" s="83"/>
      <c r="H41550" s="83"/>
      <c r="K41550" s="82"/>
      <c r="M41550" s="112"/>
      <c r="N41550" s="84"/>
    </row>
    <row r="41551" spans="1:14" s="2" customFormat="1">
      <c r="A41551" s="83"/>
      <c r="H41551" s="83"/>
      <c r="K41551" s="82"/>
      <c r="M41551" s="112"/>
      <c r="N41551" s="84"/>
    </row>
    <row r="41552" spans="1:14" s="2" customFormat="1">
      <c r="A41552" s="83"/>
      <c r="H41552" s="83"/>
      <c r="K41552" s="82"/>
      <c r="M41552" s="112"/>
      <c r="N41552" s="84"/>
    </row>
    <row r="41553" spans="1:14" s="2" customFormat="1">
      <c r="A41553" s="83"/>
      <c r="H41553" s="83"/>
      <c r="K41553" s="82"/>
      <c r="M41553" s="112"/>
      <c r="N41553" s="84"/>
    </row>
    <row r="41554" spans="1:14" s="2" customFormat="1">
      <c r="A41554" s="83"/>
      <c r="H41554" s="83"/>
      <c r="K41554" s="82"/>
      <c r="M41554" s="112"/>
      <c r="N41554" s="84"/>
    </row>
    <row r="41555" spans="1:14" s="2" customFormat="1">
      <c r="A41555" s="83"/>
      <c r="H41555" s="83"/>
      <c r="K41555" s="82"/>
      <c r="M41555" s="112"/>
      <c r="N41555" s="84"/>
    </row>
    <row r="41556" spans="1:14" s="2" customFormat="1">
      <c r="A41556" s="83"/>
      <c r="H41556" s="83"/>
      <c r="K41556" s="82"/>
      <c r="M41556" s="112"/>
      <c r="N41556" s="84"/>
    </row>
    <row r="41557" spans="1:14" s="2" customFormat="1">
      <c r="A41557" s="83"/>
      <c r="H41557" s="83"/>
      <c r="K41557" s="82"/>
      <c r="M41557" s="112"/>
      <c r="N41557" s="84"/>
    </row>
    <row r="41558" spans="1:14" s="2" customFormat="1">
      <c r="A41558" s="83"/>
      <c r="H41558" s="83"/>
      <c r="K41558" s="82"/>
      <c r="M41558" s="112"/>
      <c r="N41558" s="84"/>
    </row>
    <row r="41559" spans="1:14" s="2" customFormat="1">
      <c r="A41559" s="83"/>
      <c r="H41559" s="83"/>
      <c r="K41559" s="82"/>
      <c r="M41559" s="112"/>
      <c r="N41559" s="84"/>
    </row>
    <row r="41560" spans="1:14" s="2" customFormat="1">
      <c r="A41560" s="83"/>
      <c r="H41560" s="83"/>
      <c r="K41560" s="82"/>
      <c r="M41560" s="112"/>
      <c r="N41560" s="84"/>
    </row>
    <row r="41561" spans="1:14" s="2" customFormat="1">
      <c r="A41561" s="83"/>
      <c r="H41561" s="83"/>
      <c r="K41561" s="82"/>
      <c r="M41561" s="112"/>
      <c r="N41561" s="84"/>
    </row>
    <row r="41562" spans="1:14" s="2" customFormat="1">
      <c r="A41562" s="83"/>
      <c r="H41562" s="83"/>
      <c r="K41562" s="82"/>
      <c r="M41562" s="112"/>
      <c r="N41562" s="84"/>
    </row>
    <row r="41563" spans="1:14" s="2" customFormat="1">
      <c r="A41563" s="83"/>
      <c r="H41563" s="83"/>
      <c r="K41563" s="82"/>
      <c r="M41563" s="112"/>
      <c r="N41563" s="84"/>
    </row>
    <row r="41564" spans="1:14" s="2" customFormat="1">
      <c r="A41564" s="83"/>
      <c r="H41564" s="83"/>
      <c r="K41564" s="82"/>
      <c r="M41564" s="112"/>
      <c r="N41564" s="84"/>
    </row>
    <row r="41565" spans="1:14" s="2" customFormat="1">
      <c r="A41565" s="83"/>
      <c r="H41565" s="83"/>
      <c r="K41565" s="82"/>
      <c r="M41565" s="112"/>
      <c r="N41565" s="84"/>
    </row>
    <row r="41566" spans="1:14" s="2" customFormat="1">
      <c r="A41566" s="83"/>
      <c r="H41566" s="83"/>
      <c r="K41566" s="82"/>
      <c r="M41566" s="112"/>
      <c r="N41566" s="84"/>
    </row>
    <row r="41567" spans="1:14" s="2" customFormat="1">
      <c r="A41567" s="83"/>
      <c r="H41567" s="83"/>
      <c r="K41567" s="82"/>
      <c r="M41567" s="112"/>
      <c r="N41567" s="84"/>
    </row>
    <row r="41568" spans="1:14" s="2" customFormat="1">
      <c r="A41568" s="83"/>
      <c r="H41568" s="83"/>
      <c r="K41568" s="82"/>
      <c r="M41568" s="112"/>
      <c r="N41568" s="84"/>
    </row>
    <row r="41569" spans="1:14" s="2" customFormat="1">
      <c r="A41569" s="83"/>
      <c r="H41569" s="83"/>
      <c r="K41569" s="82"/>
      <c r="M41569" s="112"/>
      <c r="N41569" s="84"/>
    </row>
    <row r="41570" spans="1:14" s="2" customFormat="1">
      <c r="A41570" s="83"/>
      <c r="H41570" s="83"/>
      <c r="K41570" s="82"/>
      <c r="M41570" s="112"/>
      <c r="N41570" s="84"/>
    </row>
    <row r="41571" spans="1:14" s="2" customFormat="1">
      <c r="A41571" s="83"/>
      <c r="H41571" s="83"/>
      <c r="K41571" s="82"/>
      <c r="M41571" s="112"/>
      <c r="N41571" s="84"/>
    </row>
    <row r="41572" spans="1:14" s="2" customFormat="1">
      <c r="A41572" s="83"/>
      <c r="H41572" s="83"/>
      <c r="K41572" s="82"/>
      <c r="M41572" s="112"/>
      <c r="N41572" s="84"/>
    </row>
    <row r="41573" spans="1:14" s="2" customFormat="1">
      <c r="A41573" s="83"/>
      <c r="H41573" s="83"/>
      <c r="K41573" s="82"/>
      <c r="M41573" s="112"/>
      <c r="N41573" s="84"/>
    </row>
    <row r="41574" spans="1:14" s="2" customFormat="1">
      <c r="A41574" s="83"/>
      <c r="H41574" s="83"/>
      <c r="K41574" s="82"/>
      <c r="M41574" s="112"/>
      <c r="N41574" s="84"/>
    </row>
    <row r="41575" spans="1:14" s="2" customFormat="1">
      <c r="A41575" s="83"/>
      <c r="H41575" s="83"/>
      <c r="K41575" s="82"/>
      <c r="M41575" s="112"/>
      <c r="N41575" s="84"/>
    </row>
    <row r="41576" spans="1:14" s="2" customFormat="1">
      <c r="A41576" s="83"/>
      <c r="H41576" s="83"/>
      <c r="K41576" s="82"/>
      <c r="M41576" s="112"/>
      <c r="N41576" s="84"/>
    </row>
    <row r="41577" spans="1:14" s="2" customFormat="1">
      <c r="A41577" s="83"/>
      <c r="H41577" s="83"/>
      <c r="K41577" s="82"/>
      <c r="M41577" s="112"/>
      <c r="N41577" s="84"/>
    </row>
    <row r="41578" spans="1:14" s="2" customFormat="1">
      <c r="A41578" s="83"/>
      <c r="H41578" s="83"/>
      <c r="K41578" s="82"/>
      <c r="M41578" s="112"/>
      <c r="N41578" s="84"/>
    </row>
    <row r="41579" spans="1:14" s="2" customFormat="1">
      <c r="A41579" s="83"/>
      <c r="H41579" s="83"/>
      <c r="K41579" s="82"/>
      <c r="M41579" s="112"/>
      <c r="N41579" s="84"/>
    </row>
    <row r="41580" spans="1:14" s="2" customFormat="1">
      <c r="A41580" s="83"/>
      <c r="H41580" s="83"/>
      <c r="K41580" s="82"/>
      <c r="M41580" s="112"/>
      <c r="N41580" s="84"/>
    </row>
    <row r="41581" spans="1:14" s="2" customFormat="1">
      <c r="A41581" s="83"/>
      <c r="H41581" s="83"/>
      <c r="K41581" s="82"/>
      <c r="M41581" s="112"/>
      <c r="N41581" s="84"/>
    </row>
    <row r="41582" spans="1:14" s="2" customFormat="1">
      <c r="A41582" s="83"/>
      <c r="H41582" s="83"/>
      <c r="K41582" s="82"/>
      <c r="M41582" s="112"/>
      <c r="N41582" s="84"/>
    </row>
    <row r="41583" spans="1:14" s="2" customFormat="1">
      <c r="A41583" s="83"/>
      <c r="H41583" s="83"/>
      <c r="K41583" s="82"/>
      <c r="M41583" s="112"/>
      <c r="N41583" s="84"/>
    </row>
    <row r="41584" spans="1:14" s="2" customFormat="1">
      <c r="A41584" s="83"/>
      <c r="H41584" s="83"/>
      <c r="K41584" s="82"/>
      <c r="M41584" s="112"/>
      <c r="N41584" s="84"/>
    </row>
    <row r="41585" spans="1:14" s="2" customFormat="1">
      <c r="A41585" s="83"/>
      <c r="H41585" s="83"/>
      <c r="K41585" s="82"/>
      <c r="M41585" s="112"/>
      <c r="N41585" s="84"/>
    </row>
    <row r="41586" spans="1:14" s="2" customFormat="1">
      <c r="A41586" s="83"/>
      <c r="H41586" s="83"/>
      <c r="K41586" s="82"/>
      <c r="M41586" s="112"/>
      <c r="N41586" s="84"/>
    </row>
    <row r="41587" spans="1:14" s="2" customFormat="1">
      <c r="A41587" s="83"/>
      <c r="H41587" s="83"/>
      <c r="K41587" s="82"/>
      <c r="M41587" s="112"/>
      <c r="N41587" s="84"/>
    </row>
    <row r="41588" spans="1:14" s="2" customFormat="1">
      <c r="A41588" s="83"/>
      <c r="H41588" s="83"/>
      <c r="K41588" s="82"/>
      <c r="M41588" s="112"/>
      <c r="N41588" s="84"/>
    </row>
    <row r="41589" spans="1:14" s="2" customFormat="1">
      <c r="A41589" s="83"/>
      <c r="H41589" s="83"/>
      <c r="K41589" s="82"/>
      <c r="M41589" s="112"/>
      <c r="N41589" s="84"/>
    </row>
    <row r="41590" spans="1:14" s="2" customFormat="1">
      <c r="A41590" s="83"/>
      <c r="H41590" s="83"/>
      <c r="K41590" s="82"/>
      <c r="M41590" s="112"/>
      <c r="N41590" s="84"/>
    </row>
    <row r="41591" spans="1:14" s="2" customFormat="1">
      <c r="A41591" s="83"/>
      <c r="H41591" s="83"/>
      <c r="K41591" s="82"/>
      <c r="M41591" s="112"/>
      <c r="N41591" s="84"/>
    </row>
    <row r="41592" spans="1:14" s="2" customFormat="1">
      <c r="A41592" s="83"/>
      <c r="H41592" s="83"/>
      <c r="K41592" s="82"/>
      <c r="M41592" s="112"/>
      <c r="N41592" s="84"/>
    </row>
    <row r="41593" spans="1:14" s="2" customFormat="1">
      <c r="A41593" s="83"/>
      <c r="H41593" s="83"/>
      <c r="K41593" s="82"/>
      <c r="M41593" s="112"/>
      <c r="N41593" s="84"/>
    </row>
    <row r="41594" spans="1:14" s="2" customFormat="1">
      <c r="A41594" s="83"/>
      <c r="H41594" s="83"/>
      <c r="K41594" s="82"/>
      <c r="M41594" s="112"/>
      <c r="N41594" s="84"/>
    </row>
    <row r="41595" spans="1:14" s="2" customFormat="1">
      <c r="A41595" s="83"/>
      <c r="H41595" s="83"/>
      <c r="K41595" s="82"/>
      <c r="M41595" s="112"/>
      <c r="N41595" s="84"/>
    </row>
    <row r="41596" spans="1:14" s="2" customFormat="1">
      <c r="A41596" s="83"/>
      <c r="H41596" s="83"/>
      <c r="K41596" s="82"/>
      <c r="M41596" s="112"/>
      <c r="N41596" s="84"/>
    </row>
    <row r="41597" spans="1:14" s="2" customFormat="1">
      <c r="A41597" s="83"/>
      <c r="H41597" s="83"/>
      <c r="K41597" s="82"/>
      <c r="M41597" s="112"/>
      <c r="N41597" s="84"/>
    </row>
    <row r="41598" spans="1:14" s="2" customFormat="1">
      <c r="A41598" s="83"/>
      <c r="H41598" s="83"/>
      <c r="K41598" s="82"/>
      <c r="M41598" s="112"/>
      <c r="N41598" s="84"/>
    </row>
    <row r="41599" spans="1:14" s="2" customFormat="1">
      <c r="A41599" s="83"/>
      <c r="H41599" s="83"/>
      <c r="K41599" s="82"/>
      <c r="M41599" s="112"/>
      <c r="N41599" s="84"/>
    </row>
    <row r="41600" spans="1:14" s="2" customFormat="1">
      <c r="A41600" s="83"/>
      <c r="H41600" s="83"/>
      <c r="K41600" s="82"/>
      <c r="M41600" s="112"/>
      <c r="N41600" s="84"/>
    </row>
    <row r="41601" spans="1:14" s="2" customFormat="1">
      <c r="A41601" s="83"/>
      <c r="H41601" s="83"/>
      <c r="K41601" s="82"/>
      <c r="M41601" s="112"/>
      <c r="N41601" s="84"/>
    </row>
    <row r="41602" spans="1:14" s="2" customFormat="1">
      <c r="A41602" s="83"/>
      <c r="H41602" s="83"/>
      <c r="K41602" s="82"/>
      <c r="M41602" s="112"/>
      <c r="N41602" s="84"/>
    </row>
    <row r="41603" spans="1:14" s="2" customFormat="1">
      <c r="A41603" s="83"/>
      <c r="H41603" s="83"/>
      <c r="K41603" s="82"/>
      <c r="M41603" s="112"/>
      <c r="N41603" s="84"/>
    </row>
    <row r="41604" spans="1:14" s="2" customFormat="1">
      <c r="A41604" s="83"/>
      <c r="H41604" s="83"/>
      <c r="K41604" s="82"/>
      <c r="M41604" s="112"/>
      <c r="N41604" s="84"/>
    </row>
    <row r="41605" spans="1:14" s="2" customFormat="1">
      <c r="A41605" s="83"/>
      <c r="H41605" s="83"/>
      <c r="K41605" s="82"/>
      <c r="M41605" s="112"/>
      <c r="N41605" s="84"/>
    </row>
    <row r="41606" spans="1:14" s="2" customFormat="1">
      <c r="A41606" s="83"/>
      <c r="H41606" s="83"/>
      <c r="K41606" s="82"/>
      <c r="M41606" s="112"/>
      <c r="N41606" s="84"/>
    </row>
    <row r="41607" spans="1:14" s="2" customFormat="1">
      <c r="A41607" s="83"/>
      <c r="H41607" s="83"/>
      <c r="K41607" s="82"/>
      <c r="M41607" s="112"/>
      <c r="N41607" s="84"/>
    </row>
    <row r="41608" spans="1:14" s="2" customFormat="1">
      <c r="A41608" s="83"/>
      <c r="H41608" s="83"/>
      <c r="K41608" s="82"/>
      <c r="M41608" s="112"/>
      <c r="N41608" s="84"/>
    </row>
    <row r="41609" spans="1:14" s="2" customFormat="1">
      <c r="A41609" s="83"/>
      <c r="H41609" s="83"/>
      <c r="K41609" s="82"/>
      <c r="M41609" s="112"/>
      <c r="N41609" s="84"/>
    </row>
    <row r="41610" spans="1:14" s="2" customFormat="1">
      <c r="A41610" s="83"/>
      <c r="H41610" s="83"/>
      <c r="K41610" s="82"/>
      <c r="M41610" s="112"/>
      <c r="N41610" s="84"/>
    </row>
    <row r="41611" spans="1:14" s="2" customFormat="1">
      <c r="A41611" s="83"/>
      <c r="H41611" s="83"/>
      <c r="K41611" s="82"/>
      <c r="M41611" s="112"/>
      <c r="N41611" s="84"/>
    </row>
    <row r="41612" spans="1:14" s="2" customFormat="1">
      <c r="A41612" s="83"/>
      <c r="H41612" s="83"/>
      <c r="K41612" s="82"/>
      <c r="M41612" s="112"/>
      <c r="N41612" s="84"/>
    </row>
    <row r="41613" spans="1:14" s="2" customFormat="1">
      <c r="A41613" s="83"/>
      <c r="H41613" s="83"/>
      <c r="K41613" s="82"/>
      <c r="M41613" s="112"/>
      <c r="N41613" s="84"/>
    </row>
    <row r="41614" spans="1:14" s="2" customFormat="1">
      <c r="A41614" s="83"/>
      <c r="H41614" s="83"/>
      <c r="K41614" s="82"/>
      <c r="M41614" s="112"/>
      <c r="N41614" s="84"/>
    </row>
    <row r="41615" spans="1:14" s="2" customFormat="1">
      <c r="A41615" s="83"/>
      <c r="H41615" s="83"/>
      <c r="K41615" s="82"/>
      <c r="M41615" s="112"/>
      <c r="N41615" s="84"/>
    </row>
    <row r="41616" spans="1:14" s="2" customFormat="1">
      <c r="A41616" s="83"/>
      <c r="H41616" s="83"/>
      <c r="K41616" s="82"/>
      <c r="M41616" s="112"/>
      <c r="N41616" s="84"/>
    </row>
    <row r="41617" spans="1:14" s="2" customFormat="1">
      <c r="A41617" s="83"/>
      <c r="H41617" s="83"/>
      <c r="K41617" s="82"/>
      <c r="M41617" s="112"/>
      <c r="N41617" s="84"/>
    </row>
    <row r="41618" spans="1:14" s="2" customFormat="1">
      <c r="A41618" s="83"/>
      <c r="H41618" s="83"/>
      <c r="K41618" s="82"/>
      <c r="M41618" s="112"/>
      <c r="N41618" s="84"/>
    </row>
    <row r="41619" spans="1:14" s="2" customFormat="1">
      <c r="A41619" s="83"/>
      <c r="H41619" s="83"/>
      <c r="K41619" s="82"/>
      <c r="M41619" s="112"/>
      <c r="N41619" s="84"/>
    </row>
    <row r="41620" spans="1:14" s="2" customFormat="1">
      <c r="A41620" s="83"/>
      <c r="H41620" s="83"/>
      <c r="K41620" s="82"/>
      <c r="M41620" s="112"/>
      <c r="N41620" s="84"/>
    </row>
    <row r="41621" spans="1:14" s="2" customFormat="1">
      <c r="A41621" s="83"/>
      <c r="H41621" s="83"/>
      <c r="K41621" s="82"/>
      <c r="M41621" s="112"/>
      <c r="N41621" s="84"/>
    </row>
    <row r="41622" spans="1:14" s="2" customFormat="1">
      <c r="A41622" s="83"/>
      <c r="H41622" s="83"/>
      <c r="K41622" s="82"/>
      <c r="M41622" s="112"/>
      <c r="N41622" s="84"/>
    </row>
    <row r="41623" spans="1:14" s="2" customFormat="1">
      <c r="A41623" s="83"/>
      <c r="H41623" s="83"/>
      <c r="K41623" s="82"/>
      <c r="M41623" s="112"/>
      <c r="N41623" s="84"/>
    </row>
    <row r="41624" spans="1:14" s="2" customFormat="1">
      <c r="A41624" s="83"/>
      <c r="H41624" s="83"/>
      <c r="K41624" s="82"/>
      <c r="M41624" s="112"/>
      <c r="N41624" s="84"/>
    </row>
    <row r="41625" spans="1:14" s="2" customFormat="1">
      <c r="A41625" s="83"/>
      <c r="H41625" s="83"/>
      <c r="K41625" s="82"/>
      <c r="M41625" s="112"/>
      <c r="N41625" s="84"/>
    </row>
    <row r="41626" spans="1:14" s="2" customFormat="1">
      <c r="A41626" s="83"/>
      <c r="H41626" s="83"/>
      <c r="K41626" s="82"/>
      <c r="M41626" s="112"/>
      <c r="N41626" s="84"/>
    </row>
    <row r="41627" spans="1:14" s="2" customFormat="1">
      <c r="A41627" s="83"/>
      <c r="H41627" s="83"/>
      <c r="K41627" s="82"/>
      <c r="M41627" s="112"/>
      <c r="N41627" s="84"/>
    </row>
    <row r="41628" spans="1:14" s="2" customFormat="1">
      <c r="A41628" s="83"/>
      <c r="H41628" s="83"/>
      <c r="K41628" s="82"/>
      <c r="M41628" s="112"/>
      <c r="N41628" s="84"/>
    </row>
    <row r="41629" spans="1:14" s="2" customFormat="1">
      <c r="A41629" s="83"/>
      <c r="H41629" s="83"/>
      <c r="K41629" s="82"/>
      <c r="M41629" s="112"/>
      <c r="N41629" s="84"/>
    </row>
    <row r="41630" spans="1:14" s="2" customFormat="1">
      <c r="A41630" s="83"/>
      <c r="H41630" s="83"/>
      <c r="K41630" s="82"/>
      <c r="M41630" s="112"/>
      <c r="N41630" s="84"/>
    </row>
    <row r="41631" spans="1:14" s="2" customFormat="1">
      <c r="A41631" s="83"/>
      <c r="H41631" s="83"/>
      <c r="K41631" s="82"/>
      <c r="M41631" s="112"/>
      <c r="N41631" s="84"/>
    </row>
    <row r="41632" spans="1:14" s="2" customFormat="1">
      <c r="A41632" s="83"/>
      <c r="H41632" s="83"/>
      <c r="K41632" s="82"/>
      <c r="M41632" s="112"/>
      <c r="N41632" s="84"/>
    </row>
    <row r="41633" spans="1:14" s="2" customFormat="1">
      <c r="A41633" s="83"/>
      <c r="H41633" s="83"/>
      <c r="K41633" s="82"/>
      <c r="M41633" s="112"/>
      <c r="N41633" s="84"/>
    </row>
    <row r="41634" spans="1:14" s="2" customFormat="1">
      <c r="A41634" s="83"/>
      <c r="H41634" s="83"/>
      <c r="K41634" s="82"/>
      <c r="M41634" s="112"/>
      <c r="N41634" s="84"/>
    </row>
    <row r="41635" spans="1:14" s="2" customFormat="1">
      <c r="A41635" s="83"/>
      <c r="H41635" s="83"/>
      <c r="K41635" s="82"/>
      <c r="M41635" s="112"/>
      <c r="N41635" s="84"/>
    </row>
    <row r="41636" spans="1:14" s="2" customFormat="1">
      <c r="A41636" s="83"/>
      <c r="H41636" s="83"/>
      <c r="K41636" s="82"/>
      <c r="M41636" s="112"/>
      <c r="N41636" s="84"/>
    </row>
    <row r="41637" spans="1:14" s="2" customFormat="1">
      <c r="A41637" s="83"/>
      <c r="H41637" s="83"/>
      <c r="K41637" s="82"/>
      <c r="M41637" s="112"/>
      <c r="N41637" s="84"/>
    </row>
    <row r="41638" spans="1:14" s="2" customFormat="1">
      <c r="A41638" s="83"/>
      <c r="H41638" s="83"/>
      <c r="K41638" s="82"/>
      <c r="M41638" s="112"/>
      <c r="N41638" s="84"/>
    </row>
    <row r="41639" spans="1:14" s="2" customFormat="1">
      <c r="A41639" s="83"/>
      <c r="H41639" s="83"/>
      <c r="K41639" s="82"/>
      <c r="M41639" s="112"/>
      <c r="N41639" s="84"/>
    </row>
    <row r="41640" spans="1:14" s="2" customFormat="1">
      <c r="A41640" s="83"/>
      <c r="H41640" s="83"/>
      <c r="K41640" s="82"/>
      <c r="M41640" s="112"/>
      <c r="N41640" s="84"/>
    </row>
    <row r="41641" spans="1:14" s="2" customFormat="1">
      <c r="A41641" s="83"/>
      <c r="H41641" s="83"/>
      <c r="K41641" s="82"/>
      <c r="M41641" s="112"/>
      <c r="N41641" s="84"/>
    </row>
    <row r="41642" spans="1:14" s="2" customFormat="1">
      <c r="A41642" s="83"/>
      <c r="H41642" s="83"/>
      <c r="K41642" s="82"/>
      <c r="M41642" s="112"/>
      <c r="N41642" s="84"/>
    </row>
    <row r="41643" spans="1:14" s="2" customFormat="1">
      <c r="A41643" s="83"/>
      <c r="H41643" s="83"/>
      <c r="K41643" s="82"/>
      <c r="M41643" s="112"/>
      <c r="N41643" s="84"/>
    </row>
    <row r="41644" spans="1:14" s="2" customFormat="1">
      <c r="A41644" s="83"/>
      <c r="H41644" s="83"/>
      <c r="K41644" s="82"/>
      <c r="M41644" s="112"/>
      <c r="N41644" s="84"/>
    </row>
    <row r="41645" spans="1:14" s="2" customFormat="1">
      <c r="A41645" s="83"/>
      <c r="H41645" s="83"/>
      <c r="K41645" s="82"/>
      <c r="M41645" s="112"/>
      <c r="N41645" s="84"/>
    </row>
    <row r="41646" spans="1:14" s="2" customFormat="1">
      <c r="A41646" s="83"/>
      <c r="H41646" s="83"/>
      <c r="K41646" s="82"/>
      <c r="M41646" s="112"/>
      <c r="N41646" s="84"/>
    </row>
    <row r="41647" spans="1:14" s="2" customFormat="1">
      <c r="A41647" s="83"/>
      <c r="H41647" s="83"/>
      <c r="K41647" s="82"/>
      <c r="M41647" s="112"/>
      <c r="N41647" s="84"/>
    </row>
    <row r="41648" spans="1:14" s="2" customFormat="1">
      <c r="A41648" s="83"/>
      <c r="H41648" s="83"/>
      <c r="K41648" s="82"/>
      <c r="M41648" s="112"/>
      <c r="N41648" s="84"/>
    </row>
    <row r="41649" spans="1:14" s="2" customFormat="1">
      <c r="A41649" s="83"/>
      <c r="H41649" s="83"/>
      <c r="K41649" s="82"/>
      <c r="M41649" s="112"/>
      <c r="N41649" s="84"/>
    </row>
    <row r="41650" spans="1:14" s="2" customFormat="1">
      <c r="A41650" s="83"/>
      <c r="H41650" s="83"/>
      <c r="K41650" s="82"/>
      <c r="M41650" s="112"/>
      <c r="N41650" s="84"/>
    </row>
    <row r="41651" spans="1:14" s="2" customFormat="1">
      <c r="A41651" s="83"/>
      <c r="H41651" s="83"/>
      <c r="K41651" s="82"/>
      <c r="M41651" s="112"/>
      <c r="N41651" s="84"/>
    </row>
    <row r="41652" spans="1:14" s="2" customFormat="1">
      <c r="A41652" s="83"/>
      <c r="H41652" s="83"/>
      <c r="K41652" s="82"/>
      <c r="M41652" s="112"/>
      <c r="N41652" s="84"/>
    </row>
    <row r="41653" spans="1:14" s="2" customFormat="1">
      <c r="A41653" s="83"/>
      <c r="H41653" s="83"/>
      <c r="K41653" s="82"/>
      <c r="M41653" s="112"/>
      <c r="N41653" s="84"/>
    </row>
    <row r="41654" spans="1:14" s="2" customFormat="1">
      <c r="A41654" s="83"/>
      <c r="H41654" s="83"/>
      <c r="K41654" s="82"/>
      <c r="M41654" s="112"/>
      <c r="N41654" s="84"/>
    </row>
    <row r="41655" spans="1:14" s="2" customFormat="1">
      <c r="A41655" s="83"/>
      <c r="H41655" s="83"/>
      <c r="K41655" s="82"/>
      <c r="M41655" s="112"/>
      <c r="N41655" s="84"/>
    </row>
    <row r="41656" spans="1:14" s="2" customFormat="1">
      <c r="A41656" s="83"/>
      <c r="H41656" s="83"/>
      <c r="K41656" s="82"/>
      <c r="M41656" s="112"/>
      <c r="N41656" s="84"/>
    </row>
    <row r="41657" spans="1:14" s="2" customFormat="1">
      <c r="A41657" s="83"/>
      <c r="H41657" s="83"/>
      <c r="K41657" s="82"/>
      <c r="M41657" s="112"/>
      <c r="N41657" s="84"/>
    </row>
    <row r="41658" spans="1:14" s="2" customFormat="1">
      <c r="A41658" s="83"/>
      <c r="H41658" s="83"/>
      <c r="K41658" s="82"/>
      <c r="M41658" s="112"/>
      <c r="N41658" s="84"/>
    </row>
    <row r="41659" spans="1:14" s="2" customFormat="1">
      <c r="A41659" s="83"/>
      <c r="H41659" s="83"/>
      <c r="K41659" s="82"/>
      <c r="M41659" s="112"/>
      <c r="N41659" s="84"/>
    </row>
    <row r="41660" spans="1:14" s="2" customFormat="1">
      <c r="A41660" s="83"/>
      <c r="H41660" s="83"/>
      <c r="K41660" s="82"/>
      <c r="M41660" s="112"/>
      <c r="N41660" s="84"/>
    </row>
    <row r="41661" spans="1:14" s="2" customFormat="1">
      <c r="A41661" s="83"/>
      <c r="H41661" s="83"/>
      <c r="K41661" s="82"/>
      <c r="M41661" s="112"/>
      <c r="N41661" s="84"/>
    </row>
    <row r="41662" spans="1:14" s="2" customFormat="1">
      <c r="A41662" s="83"/>
      <c r="H41662" s="83"/>
      <c r="K41662" s="82"/>
      <c r="M41662" s="112"/>
      <c r="N41662" s="84"/>
    </row>
    <row r="41663" spans="1:14" s="2" customFormat="1">
      <c r="A41663" s="83"/>
      <c r="H41663" s="83"/>
      <c r="K41663" s="82"/>
      <c r="M41663" s="112"/>
      <c r="N41663" s="84"/>
    </row>
    <row r="41664" spans="1:14" s="2" customFormat="1">
      <c r="A41664" s="83"/>
      <c r="H41664" s="83"/>
      <c r="K41664" s="82"/>
      <c r="M41664" s="112"/>
      <c r="N41664" s="84"/>
    </row>
    <row r="41665" spans="1:14" s="2" customFormat="1">
      <c r="A41665" s="83"/>
      <c r="H41665" s="83"/>
      <c r="K41665" s="82"/>
      <c r="M41665" s="112"/>
      <c r="N41665" s="84"/>
    </row>
    <row r="41666" spans="1:14" s="2" customFormat="1">
      <c r="A41666" s="83"/>
      <c r="H41666" s="83"/>
      <c r="K41666" s="82"/>
      <c r="M41666" s="112"/>
      <c r="N41666" s="84"/>
    </row>
    <row r="41667" spans="1:14" s="2" customFormat="1">
      <c r="A41667" s="83"/>
      <c r="H41667" s="83"/>
      <c r="K41667" s="82"/>
      <c r="M41667" s="112"/>
      <c r="N41667" s="84"/>
    </row>
    <row r="41668" spans="1:14" s="2" customFormat="1">
      <c r="A41668" s="83"/>
      <c r="H41668" s="83"/>
      <c r="K41668" s="82"/>
      <c r="M41668" s="112"/>
      <c r="N41668" s="84"/>
    </row>
    <row r="41669" spans="1:14" s="2" customFormat="1">
      <c r="A41669" s="83"/>
      <c r="H41669" s="83"/>
      <c r="K41669" s="82"/>
      <c r="M41669" s="112"/>
      <c r="N41669" s="84"/>
    </row>
    <row r="41670" spans="1:14" s="2" customFormat="1">
      <c r="A41670" s="83"/>
      <c r="H41670" s="83"/>
      <c r="K41670" s="82"/>
      <c r="M41670" s="112"/>
      <c r="N41670" s="84"/>
    </row>
    <row r="41671" spans="1:14" s="2" customFormat="1">
      <c r="A41671" s="83"/>
      <c r="H41671" s="83"/>
      <c r="K41671" s="82"/>
      <c r="M41671" s="112"/>
      <c r="N41671" s="84"/>
    </row>
    <row r="41672" spans="1:14" s="2" customFormat="1">
      <c r="A41672" s="83"/>
      <c r="H41672" s="83"/>
      <c r="K41672" s="82"/>
      <c r="M41672" s="112"/>
      <c r="N41672" s="84"/>
    </row>
    <row r="41673" spans="1:14" s="2" customFormat="1">
      <c r="A41673" s="83"/>
      <c r="H41673" s="83"/>
      <c r="K41673" s="82"/>
      <c r="M41673" s="112"/>
      <c r="N41673" s="84"/>
    </row>
    <row r="41674" spans="1:14" s="2" customFormat="1">
      <c r="A41674" s="83"/>
      <c r="H41674" s="83"/>
      <c r="K41674" s="82"/>
      <c r="M41674" s="112"/>
      <c r="N41674" s="84"/>
    </row>
    <row r="41675" spans="1:14" s="2" customFormat="1">
      <c r="A41675" s="83"/>
      <c r="H41675" s="83"/>
      <c r="K41675" s="82"/>
      <c r="M41675" s="112"/>
      <c r="N41675" s="84"/>
    </row>
    <row r="41676" spans="1:14" s="2" customFormat="1">
      <c r="A41676" s="83"/>
      <c r="H41676" s="83"/>
      <c r="K41676" s="82"/>
      <c r="M41676" s="112"/>
      <c r="N41676" s="84"/>
    </row>
    <row r="41677" spans="1:14" s="2" customFormat="1">
      <c r="A41677" s="83"/>
      <c r="H41677" s="83"/>
      <c r="K41677" s="82"/>
      <c r="M41677" s="112"/>
      <c r="N41677" s="84"/>
    </row>
    <row r="41678" spans="1:14" s="2" customFormat="1">
      <c r="A41678" s="83"/>
      <c r="H41678" s="83"/>
      <c r="K41678" s="82"/>
      <c r="M41678" s="112"/>
      <c r="N41678" s="84"/>
    </row>
    <row r="41679" spans="1:14" s="2" customFormat="1">
      <c r="A41679" s="83"/>
      <c r="H41679" s="83"/>
      <c r="K41679" s="82"/>
      <c r="M41679" s="112"/>
      <c r="N41679" s="84"/>
    </row>
    <row r="41680" spans="1:14" s="2" customFormat="1">
      <c r="A41680" s="83"/>
      <c r="H41680" s="83"/>
      <c r="K41680" s="82"/>
      <c r="M41680" s="112"/>
      <c r="N41680" s="84"/>
    </row>
    <row r="41681" spans="1:14" s="2" customFormat="1">
      <c r="A41681" s="83"/>
      <c r="H41681" s="83"/>
      <c r="K41681" s="82"/>
      <c r="M41681" s="112"/>
      <c r="N41681" s="84"/>
    </row>
    <row r="41682" spans="1:14" s="2" customFormat="1">
      <c r="A41682" s="83"/>
      <c r="H41682" s="83"/>
      <c r="K41682" s="82"/>
      <c r="M41682" s="112"/>
      <c r="N41682" s="84"/>
    </row>
    <row r="41683" spans="1:14" s="2" customFormat="1">
      <c r="A41683" s="83"/>
      <c r="H41683" s="83"/>
      <c r="K41683" s="82"/>
      <c r="M41683" s="112"/>
      <c r="N41683" s="84"/>
    </row>
    <row r="41684" spans="1:14" s="2" customFormat="1">
      <c r="A41684" s="83"/>
      <c r="H41684" s="83"/>
      <c r="K41684" s="82"/>
      <c r="M41684" s="112"/>
      <c r="N41684" s="84"/>
    </row>
    <row r="41685" spans="1:14" s="2" customFormat="1">
      <c r="A41685" s="83"/>
      <c r="H41685" s="83"/>
      <c r="K41685" s="82"/>
      <c r="M41685" s="112"/>
      <c r="N41685" s="84"/>
    </row>
    <row r="41686" spans="1:14" s="2" customFormat="1">
      <c r="A41686" s="83"/>
      <c r="H41686" s="83"/>
      <c r="K41686" s="82"/>
      <c r="M41686" s="112"/>
      <c r="N41686" s="84"/>
    </row>
    <row r="41687" spans="1:14" s="2" customFormat="1">
      <c r="A41687" s="83"/>
      <c r="H41687" s="83"/>
      <c r="K41687" s="82"/>
      <c r="M41687" s="112"/>
      <c r="N41687" s="84"/>
    </row>
    <row r="41688" spans="1:14" s="2" customFormat="1">
      <c r="A41688" s="83"/>
      <c r="H41688" s="83"/>
      <c r="K41688" s="82"/>
      <c r="M41688" s="112"/>
      <c r="N41688" s="84"/>
    </row>
    <row r="41689" spans="1:14" s="2" customFormat="1">
      <c r="A41689" s="83"/>
      <c r="H41689" s="83"/>
      <c r="K41689" s="82"/>
      <c r="M41689" s="112"/>
      <c r="N41689" s="84"/>
    </row>
    <row r="41690" spans="1:14" s="2" customFormat="1">
      <c r="A41690" s="83"/>
      <c r="H41690" s="83"/>
      <c r="K41690" s="82"/>
      <c r="M41690" s="112"/>
      <c r="N41690" s="84"/>
    </row>
    <row r="41691" spans="1:14" s="2" customFormat="1">
      <c r="A41691" s="83"/>
      <c r="H41691" s="83"/>
      <c r="K41691" s="82"/>
      <c r="M41691" s="112"/>
      <c r="N41691" s="84"/>
    </row>
    <row r="41692" spans="1:14" s="2" customFormat="1">
      <c r="A41692" s="83"/>
      <c r="H41692" s="83"/>
      <c r="K41692" s="82"/>
      <c r="M41692" s="112"/>
      <c r="N41692" s="84"/>
    </row>
    <row r="41693" spans="1:14" s="2" customFormat="1">
      <c r="A41693" s="83"/>
      <c r="H41693" s="83"/>
      <c r="K41693" s="82"/>
      <c r="M41693" s="112"/>
      <c r="N41693" s="84"/>
    </row>
    <row r="41694" spans="1:14" s="2" customFormat="1">
      <c r="A41694" s="83"/>
      <c r="H41694" s="83"/>
      <c r="K41694" s="82"/>
      <c r="M41694" s="112"/>
      <c r="N41694" s="84"/>
    </row>
    <row r="41695" spans="1:14" s="2" customFormat="1">
      <c r="A41695" s="83"/>
      <c r="H41695" s="83"/>
      <c r="K41695" s="82"/>
      <c r="M41695" s="112"/>
      <c r="N41695" s="84"/>
    </row>
    <row r="41696" spans="1:14" s="2" customFormat="1">
      <c r="A41696" s="83"/>
      <c r="H41696" s="83"/>
      <c r="K41696" s="82"/>
      <c r="M41696" s="112"/>
      <c r="N41696" s="84"/>
    </row>
    <row r="41697" spans="1:14" s="2" customFormat="1">
      <c r="A41697" s="83"/>
      <c r="H41697" s="83"/>
      <c r="K41697" s="82"/>
      <c r="M41697" s="112"/>
      <c r="N41697" s="84"/>
    </row>
    <row r="41698" spans="1:14" s="2" customFormat="1">
      <c r="A41698" s="83"/>
      <c r="H41698" s="83"/>
      <c r="K41698" s="82"/>
      <c r="M41698" s="112"/>
      <c r="N41698" s="84"/>
    </row>
    <row r="41699" spans="1:14" s="2" customFormat="1">
      <c r="A41699" s="83"/>
      <c r="H41699" s="83"/>
      <c r="K41699" s="82"/>
      <c r="M41699" s="112"/>
      <c r="N41699" s="84"/>
    </row>
    <row r="41700" spans="1:14" s="2" customFormat="1">
      <c r="A41700" s="83"/>
      <c r="H41700" s="83"/>
      <c r="K41700" s="82"/>
      <c r="M41700" s="112"/>
      <c r="N41700" s="84"/>
    </row>
    <row r="41701" spans="1:14" s="2" customFormat="1">
      <c r="A41701" s="83"/>
      <c r="H41701" s="83"/>
      <c r="K41701" s="82"/>
      <c r="M41701" s="112"/>
      <c r="N41701" s="84"/>
    </row>
    <row r="41702" spans="1:14" s="2" customFormat="1">
      <c r="A41702" s="83"/>
      <c r="H41702" s="83"/>
      <c r="K41702" s="82"/>
      <c r="M41702" s="112"/>
      <c r="N41702" s="84"/>
    </row>
    <row r="41703" spans="1:14" s="2" customFormat="1">
      <c r="A41703" s="83"/>
      <c r="H41703" s="83"/>
      <c r="K41703" s="82"/>
      <c r="M41703" s="112"/>
      <c r="N41703" s="84"/>
    </row>
    <row r="41704" spans="1:14" s="2" customFormat="1">
      <c r="A41704" s="83"/>
      <c r="H41704" s="83"/>
      <c r="K41704" s="82"/>
      <c r="M41704" s="112"/>
      <c r="N41704" s="84"/>
    </row>
    <row r="41705" spans="1:14" s="2" customFormat="1">
      <c r="A41705" s="83"/>
      <c r="H41705" s="83"/>
      <c r="K41705" s="82"/>
      <c r="M41705" s="112"/>
      <c r="N41705" s="84"/>
    </row>
    <row r="41706" spans="1:14" s="2" customFormat="1">
      <c r="A41706" s="83"/>
      <c r="H41706" s="83"/>
      <c r="K41706" s="82"/>
      <c r="M41706" s="112"/>
      <c r="N41706" s="84"/>
    </row>
    <row r="41707" spans="1:14" s="2" customFormat="1">
      <c r="A41707" s="83"/>
      <c r="H41707" s="83"/>
      <c r="K41707" s="82"/>
      <c r="M41707" s="112"/>
      <c r="N41707" s="84"/>
    </row>
    <row r="41708" spans="1:14" s="2" customFormat="1">
      <c r="A41708" s="83"/>
      <c r="H41708" s="83"/>
      <c r="K41708" s="82"/>
      <c r="M41708" s="112"/>
      <c r="N41708" s="84"/>
    </row>
    <row r="41709" spans="1:14" s="2" customFormat="1">
      <c r="A41709" s="83"/>
      <c r="H41709" s="83"/>
      <c r="K41709" s="82"/>
      <c r="M41709" s="112"/>
      <c r="N41709" s="84"/>
    </row>
    <row r="41710" spans="1:14" s="2" customFormat="1">
      <c r="A41710" s="83"/>
      <c r="H41710" s="83"/>
      <c r="K41710" s="82"/>
      <c r="M41710" s="112"/>
      <c r="N41710" s="84"/>
    </row>
    <row r="41711" spans="1:14" s="2" customFormat="1">
      <c r="A41711" s="83"/>
      <c r="H41711" s="83"/>
      <c r="K41711" s="82"/>
      <c r="M41711" s="112"/>
      <c r="N41711" s="84"/>
    </row>
    <row r="41712" spans="1:14" s="2" customFormat="1">
      <c r="A41712" s="83"/>
      <c r="H41712" s="83"/>
      <c r="K41712" s="82"/>
      <c r="M41712" s="112"/>
      <c r="N41712" s="84"/>
    </row>
    <row r="41713" spans="1:14" s="2" customFormat="1">
      <c r="A41713" s="83"/>
      <c r="H41713" s="83"/>
      <c r="K41713" s="82"/>
      <c r="M41713" s="112"/>
      <c r="N41713" s="84"/>
    </row>
    <row r="41714" spans="1:14" s="2" customFormat="1">
      <c r="A41714" s="83"/>
      <c r="H41714" s="83"/>
      <c r="K41714" s="82"/>
      <c r="M41714" s="112"/>
      <c r="N41714" s="84"/>
    </row>
    <row r="41715" spans="1:14" s="2" customFormat="1">
      <c r="A41715" s="83"/>
      <c r="H41715" s="83"/>
      <c r="K41715" s="82"/>
      <c r="M41715" s="112"/>
      <c r="N41715" s="84"/>
    </row>
    <row r="41716" spans="1:14" s="2" customFormat="1">
      <c r="A41716" s="83"/>
      <c r="H41716" s="83"/>
      <c r="K41716" s="82"/>
      <c r="M41716" s="112"/>
      <c r="N41716" s="84"/>
    </row>
    <row r="41717" spans="1:14" s="2" customFormat="1">
      <c r="A41717" s="83"/>
      <c r="H41717" s="83"/>
      <c r="K41717" s="82"/>
      <c r="M41717" s="112"/>
      <c r="N41717" s="84"/>
    </row>
    <row r="41718" spans="1:14" s="2" customFormat="1">
      <c r="A41718" s="83"/>
      <c r="H41718" s="83"/>
      <c r="K41718" s="82"/>
      <c r="M41718" s="112"/>
      <c r="N41718" s="84"/>
    </row>
    <row r="41719" spans="1:14" s="2" customFormat="1">
      <c r="A41719" s="83"/>
      <c r="H41719" s="83"/>
      <c r="K41719" s="82"/>
      <c r="M41719" s="112"/>
      <c r="N41719" s="84"/>
    </row>
    <row r="41720" spans="1:14" s="2" customFormat="1">
      <c r="A41720" s="83"/>
      <c r="H41720" s="83"/>
      <c r="K41720" s="82"/>
      <c r="M41720" s="112"/>
      <c r="N41720" s="84"/>
    </row>
    <row r="41721" spans="1:14" s="2" customFormat="1">
      <c r="A41721" s="83"/>
      <c r="H41721" s="83"/>
      <c r="K41721" s="82"/>
      <c r="M41721" s="112"/>
      <c r="N41721" s="84"/>
    </row>
    <row r="41722" spans="1:14" s="2" customFormat="1">
      <c r="A41722" s="83"/>
      <c r="H41722" s="83"/>
      <c r="K41722" s="82"/>
      <c r="M41722" s="112"/>
      <c r="N41722" s="84"/>
    </row>
    <row r="41723" spans="1:14" s="2" customFormat="1">
      <c r="A41723" s="83"/>
      <c r="H41723" s="83"/>
      <c r="K41723" s="82"/>
      <c r="M41723" s="112"/>
      <c r="N41723" s="84"/>
    </row>
    <row r="41724" spans="1:14" s="2" customFormat="1">
      <c r="A41724" s="83"/>
      <c r="H41724" s="83"/>
      <c r="K41724" s="82"/>
      <c r="M41724" s="112"/>
      <c r="N41724" s="84"/>
    </row>
    <row r="41725" spans="1:14" s="2" customFormat="1">
      <c r="A41725" s="83"/>
      <c r="H41725" s="83"/>
      <c r="K41725" s="82"/>
      <c r="M41725" s="112"/>
      <c r="N41725" s="84"/>
    </row>
    <row r="41726" spans="1:14" s="2" customFormat="1">
      <c r="A41726" s="83"/>
      <c r="H41726" s="83"/>
      <c r="K41726" s="82"/>
      <c r="M41726" s="112"/>
      <c r="N41726" s="84"/>
    </row>
    <row r="41727" spans="1:14" s="2" customFormat="1">
      <c r="A41727" s="83"/>
      <c r="H41727" s="83"/>
      <c r="K41727" s="82"/>
      <c r="M41727" s="112"/>
      <c r="N41727" s="84"/>
    </row>
    <row r="41728" spans="1:14" s="2" customFormat="1">
      <c r="A41728" s="83"/>
      <c r="H41728" s="83"/>
      <c r="K41728" s="82"/>
      <c r="M41728" s="112"/>
      <c r="N41728" s="84"/>
    </row>
    <row r="41729" spans="1:14" s="2" customFormat="1">
      <c r="A41729" s="83"/>
      <c r="H41729" s="83"/>
      <c r="K41729" s="82"/>
      <c r="M41729" s="112"/>
      <c r="N41729" s="84"/>
    </row>
    <row r="41730" spans="1:14" s="2" customFormat="1">
      <c r="A41730" s="83"/>
      <c r="H41730" s="83"/>
      <c r="K41730" s="82"/>
      <c r="M41730" s="112"/>
      <c r="N41730" s="84"/>
    </row>
    <row r="41731" spans="1:14" s="2" customFormat="1">
      <c r="A41731" s="83"/>
      <c r="H41731" s="83"/>
      <c r="K41731" s="82"/>
      <c r="M41731" s="112"/>
      <c r="N41731" s="84"/>
    </row>
    <row r="41732" spans="1:14" s="2" customFormat="1">
      <c r="A41732" s="83"/>
      <c r="H41732" s="83"/>
      <c r="K41732" s="82"/>
      <c r="M41732" s="112"/>
      <c r="N41732" s="84"/>
    </row>
    <row r="41733" spans="1:14" s="2" customFormat="1">
      <c r="A41733" s="83"/>
      <c r="H41733" s="83"/>
      <c r="K41733" s="82"/>
      <c r="M41733" s="112"/>
      <c r="N41733" s="84"/>
    </row>
    <row r="41734" spans="1:14" s="2" customFormat="1">
      <c r="A41734" s="83"/>
      <c r="H41734" s="83"/>
      <c r="K41734" s="82"/>
      <c r="M41734" s="112"/>
      <c r="N41734" s="84"/>
    </row>
    <row r="41735" spans="1:14" s="2" customFormat="1">
      <c r="A41735" s="83"/>
      <c r="H41735" s="83"/>
      <c r="K41735" s="82"/>
      <c r="M41735" s="112"/>
      <c r="N41735" s="84"/>
    </row>
    <row r="41736" spans="1:14" s="2" customFormat="1">
      <c r="A41736" s="83"/>
      <c r="H41736" s="83"/>
      <c r="K41736" s="82"/>
      <c r="M41736" s="112"/>
      <c r="N41736" s="84"/>
    </row>
    <row r="41737" spans="1:14" s="2" customFormat="1">
      <c r="A41737" s="83"/>
      <c r="H41737" s="83"/>
      <c r="K41737" s="82"/>
      <c r="M41737" s="112"/>
      <c r="N41737" s="84"/>
    </row>
    <row r="41738" spans="1:14" s="2" customFormat="1">
      <c r="A41738" s="83"/>
      <c r="H41738" s="83"/>
      <c r="K41738" s="82"/>
      <c r="M41738" s="112"/>
      <c r="N41738" s="84"/>
    </row>
    <row r="41739" spans="1:14" s="2" customFormat="1">
      <c r="A41739" s="83"/>
      <c r="H41739" s="83"/>
      <c r="K41739" s="82"/>
      <c r="M41739" s="112"/>
      <c r="N41739" s="84"/>
    </row>
    <row r="41740" spans="1:14" s="2" customFormat="1">
      <c r="A41740" s="83"/>
      <c r="H41740" s="83"/>
      <c r="K41740" s="82"/>
      <c r="M41740" s="112"/>
      <c r="N41740" s="84"/>
    </row>
    <row r="41741" spans="1:14" s="2" customFormat="1">
      <c r="A41741" s="83"/>
      <c r="H41741" s="83"/>
      <c r="K41741" s="82"/>
      <c r="M41741" s="112"/>
      <c r="N41741" s="84"/>
    </row>
    <row r="41742" spans="1:14" s="2" customFormat="1">
      <c r="A41742" s="83"/>
      <c r="H41742" s="83"/>
      <c r="K41742" s="82"/>
      <c r="M41742" s="112"/>
      <c r="N41742" s="84"/>
    </row>
    <row r="41743" spans="1:14" s="2" customFormat="1">
      <c r="A41743" s="83"/>
      <c r="H41743" s="83"/>
      <c r="K41743" s="82"/>
      <c r="M41743" s="112"/>
      <c r="N41743" s="84"/>
    </row>
    <row r="41744" spans="1:14" s="2" customFormat="1">
      <c r="A41744" s="83"/>
      <c r="H41744" s="83"/>
      <c r="K41744" s="82"/>
      <c r="M41744" s="112"/>
      <c r="N41744" s="84"/>
    </row>
    <row r="41745" spans="1:14" s="2" customFormat="1">
      <c r="A41745" s="83"/>
      <c r="H41745" s="83"/>
      <c r="K41745" s="82"/>
      <c r="M41745" s="112"/>
      <c r="N41745" s="84"/>
    </row>
    <row r="41746" spans="1:14" s="2" customFormat="1">
      <c r="A41746" s="83"/>
      <c r="H41746" s="83"/>
      <c r="K41746" s="82"/>
      <c r="M41746" s="112"/>
      <c r="N41746" s="84"/>
    </row>
    <row r="41747" spans="1:14" s="2" customFormat="1">
      <c r="A41747" s="83"/>
      <c r="H41747" s="83"/>
      <c r="K41747" s="82"/>
      <c r="M41747" s="112"/>
      <c r="N41747" s="84"/>
    </row>
    <row r="41748" spans="1:14" s="2" customFormat="1">
      <c r="A41748" s="83"/>
      <c r="H41748" s="83"/>
      <c r="K41748" s="82"/>
      <c r="M41748" s="112"/>
      <c r="N41748" s="84"/>
    </row>
    <row r="41749" spans="1:14" s="2" customFormat="1">
      <c r="A41749" s="83"/>
      <c r="H41749" s="83"/>
      <c r="K41749" s="82"/>
      <c r="M41749" s="112"/>
      <c r="N41749" s="84"/>
    </row>
    <row r="41750" spans="1:14" s="2" customFormat="1">
      <c r="A41750" s="83"/>
      <c r="H41750" s="83"/>
      <c r="K41750" s="82"/>
      <c r="M41750" s="112"/>
      <c r="N41750" s="84"/>
    </row>
    <row r="41751" spans="1:14" s="2" customFormat="1">
      <c r="A41751" s="83"/>
      <c r="H41751" s="83"/>
      <c r="K41751" s="82"/>
      <c r="M41751" s="112"/>
      <c r="N41751" s="84"/>
    </row>
    <row r="41752" spans="1:14" s="2" customFormat="1">
      <c r="A41752" s="83"/>
      <c r="H41752" s="83"/>
      <c r="K41752" s="82"/>
      <c r="M41752" s="112"/>
      <c r="N41752" s="84"/>
    </row>
    <row r="41753" spans="1:14" s="2" customFormat="1">
      <c r="A41753" s="83"/>
      <c r="H41753" s="83"/>
      <c r="K41753" s="82"/>
      <c r="M41753" s="112"/>
      <c r="N41753" s="84"/>
    </row>
    <row r="41754" spans="1:14" s="2" customFormat="1">
      <c r="A41754" s="83"/>
      <c r="H41754" s="83"/>
      <c r="K41754" s="82"/>
      <c r="M41754" s="112"/>
      <c r="N41754" s="84"/>
    </row>
    <row r="41755" spans="1:14" s="2" customFormat="1">
      <c r="A41755" s="83"/>
      <c r="H41755" s="83"/>
      <c r="K41755" s="82"/>
      <c r="M41755" s="112"/>
      <c r="N41755" s="84"/>
    </row>
    <row r="41756" spans="1:14" s="2" customFormat="1">
      <c r="A41756" s="83"/>
      <c r="H41756" s="83"/>
      <c r="K41756" s="82"/>
      <c r="M41756" s="112"/>
      <c r="N41756" s="84"/>
    </row>
    <row r="41757" spans="1:14" s="2" customFormat="1">
      <c r="A41757" s="83"/>
      <c r="H41757" s="83"/>
      <c r="K41757" s="82"/>
      <c r="M41757" s="112"/>
      <c r="N41757" s="84"/>
    </row>
    <row r="41758" spans="1:14" s="2" customFormat="1">
      <c r="A41758" s="83"/>
      <c r="H41758" s="83"/>
      <c r="K41758" s="82"/>
      <c r="M41758" s="112"/>
      <c r="N41758" s="84"/>
    </row>
    <row r="41759" spans="1:14" s="2" customFormat="1">
      <c r="A41759" s="83"/>
      <c r="H41759" s="83"/>
      <c r="K41759" s="82"/>
      <c r="M41759" s="112"/>
      <c r="N41759" s="84"/>
    </row>
    <row r="41760" spans="1:14" s="2" customFormat="1">
      <c r="A41760" s="83"/>
      <c r="H41760" s="83"/>
      <c r="K41760" s="82"/>
      <c r="M41760" s="112"/>
      <c r="N41760" s="84"/>
    </row>
    <row r="41761" spans="1:14" s="2" customFormat="1">
      <c r="A41761" s="83"/>
      <c r="H41761" s="83"/>
      <c r="K41761" s="82"/>
      <c r="M41761" s="112"/>
      <c r="N41761" s="84"/>
    </row>
    <row r="41762" spans="1:14" s="2" customFormat="1">
      <c r="A41762" s="83"/>
      <c r="H41762" s="83"/>
      <c r="K41762" s="82"/>
      <c r="M41762" s="112"/>
      <c r="N41762" s="84"/>
    </row>
    <row r="41763" spans="1:14" s="2" customFormat="1">
      <c r="A41763" s="83"/>
      <c r="H41763" s="83"/>
      <c r="K41763" s="82"/>
      <c r="M41763" s="112"/>
      <c r="N41763" s="84"/>
    </row>
    <row r="41764" spans="1:14" s="2" customFormat="1">
      <c r="A41764" s="83"/>
      <c r="H41764" s="83"/>
      <c r="K41764" s="82"/>
      <c r="M41764" s="112"/>
      <c r="N41764" s="84"/>
    </row>
    <row r="41765" spans="1:14" s="2" customFormat="1">
      <c r="A41765" s="83"/>
      <c r="H41765" s="83"/>
      <c r="K41765" s="82"/>
      <c r="M41765" s="112"/>
      <c r="N41765" s="84"/>
    </row>
    <row r="41766" spans="1:14" s="2" customFormat="1">
      <c r="A41766" s="83"/>
      <c r="H41766" s="83"/>
      <c r="K41766" s="82"/>
      <c r="M41766" s="112"/>
      <c r="N41766" s="84"/>
    </row>
    <row r="41767" spans="1:14" s="2" customFormat="1">
      <c r="A41767" s="83"/>
      <c r="H41767" s="83"/>
      <c r="K41767" s="82"/>
      <c r="M41767" s="112"/>
      <c r="N41767" s="84"/>
    </row>
    <row r="41768" spans="1:14" s="2" customFormat="1">
      <c r="A41768" s="83"/>
      <c r="H41768" s="83"/>
      <c r="K41768" s="82"/>
      <c r="M41768" s="112"/>
      <c r="N41768" s="84"/>
    </row>
    <row r="41769" spans="1:14" s="2" customFormat="1">
      <c r="A41769" s="83"/>
      <c r="H41769" s="83"/>
      <c r="K41769" s="82"/>
      <c r="M41769" s="112"/>
      <c r="N41769" s="84"/>
    </row>
    <row r="41770" spans="1:14" s="2" customFormat="1">
      <c r="A41770" s="83"/>
      <c r="H41770" s="83"/>
      <c r="K41770" s="82"/>
      <c r="M41770" s="112"/>
      <c r="N41770" s="84"/>
    </row>
    <row r="41771" spans="1:14" s="2" customFormat="1">
      <c r="A41771" s="83"/>
      <c r="H41771" s="83"/>
      <c r="K41771" s="82"/>
      <c r="M41771" s="112"/>
      <c r="N41771" s="84"/>
    </row>
    <row r="41772" spans="1:14" s="2" customFormat="1">
      <c r="A41772" s="83"/>
      <c r="H41772" s="83"/>
      <c r="K41772" s="82"/>
      <c r="M41772" s="112"/>
      <c r="N41772" s="84"/>
    </row>
    <row r="41773" spans="1:14" s="2" customFormat="1">
      <c r="A41773" s="83"/>
      <c r="H41773" s="83"/>
      <c r="K41773" s="82"/>
      <c r="M41773" s="112"/>
      <c r="N41773" s="84"/>
    </row>
    <row r="41774" spans="1:14" s="2" customFormat="1">
      <c r="A41774" s="83"/>
      <c r="H41774" s="83"/>
      <c r="K41774" s="82"/>
      <c r="M41774" s="112"/>
      <c r="N41774" s="84"/>
    </row>
    <row r="41775" spans="1:14" s="2" customFormat="1">
      <c r="A41775" s="83"/>
      <c r="H41775" s="83"/>
      <c r="K41775" s="82"/>
      <c r="M41775" s="112"/>
      <c r="N41775" s="84"/>
    </row>
    <row r="41776" spans="1:14" s="2" customFormat="1">
      <c r="A41776" s="83"/>
      <c r="H41776" s="83"/>
      <c r="K41776" s="82"/>
      <c r="M41776" s="112"/>
      <c r="N41776" s="84"/>
    </row>
    <row r="41777" spans="1:14" s="2" customFormat="1">
      <c r="A41777" s="83"/>
      <c r="H41777" s="83"/>
      <c r="K41777" s="82"/>
      <c r="M41777" s="112"/>
      <c r="N41777" s="84"/>
    </row>
    <row r="41778" spans="1:14" s="2" customFormat="1">
      <c r="A41778" s="83"/>
      <c r="H41778" s="83"/>
      <c r="K41778" s="82"/>
      <c r="M41778" s="112"/>
      <c r="N41778" s="84"/>
    </row>
    <row r="41779" spans="1:14" s="2" customFormat="1">
      <c r="A41779" s="83"/>
      <c r="H41779" s="83"/>
      <c r="K41779" s="82"/>
      <c r="M41779" s="112"/>
      <c r="N41779" s="84"/>
    </row>
    <row r="41780" spans="1:14" s="2" customFormat="1">
      <c r="A41780" s="83"/>
      <c r="H41780" s="83"/>
      <c r="K41780" s="82"/>
      <c r="M41780" s="112"/>
      <c r="N41780" s="84"/>
    </row>
    <row r="41781" spans="1:14" s="2" customFormat="1">
      <c r="A41781" s="83"/>
      <c r="H41781" s="83"/>
      <c r="K41781" s="82"/>
      <c r="M41781" s="112"/>
      <c r="N41781" s="84"/>
    </row>
    <row r="41782" spans="1:14" s="2" customFormat="1">
      <c r="A41782" s="83"/>
      <c r="H41782" s="83"/>
      <c r="K41782" s="82"/>
      <c r="M41782" s="112"/>
      <c r="N41782" s="84"/>
    </row>
    <row r="41783" spans="1:14" s="2" customFormat="1">
      <c r="A41783" s="83"/>
      <c r="H41783" s="83"/>
      <c r="K41783" s="82"/>
      <c r="M41783" s="112"/>
      <c r="N41783" s="84"/>
    </row>
    <row r="41784" spans="1:14" s="2" customFormat="1">
      <c r="A41784" s="83"/>
      <c r="H41784" s="83"/>
      <c r="K41784" s="82"/>
      <c r="M41784" s="112"/>
      <c r="N41784" s="84"/>
    </row>
    <row r="41785" spans="1:14" s="2" customFormat="1">
      <c r="A41785" s="83"/>
      <c r="H41785" s="83"/>
      <c r="K41785" s="82"/>
      <c r="M41785" s="112"/>
      <c r="N41785" s="84"/>
    </row>
    <row r="41786" spans="1:14" s="2" customFormat="1">
      <c r="A41786" s="83"/>
      <c r="H41786" s="83"/>
      <c r="K41786" s="82"/>
      <c r="M41786" s="112"/>
      <c r="N41786" s="84"/>
    </row>
    <row r="41787" spans="1:14" s="2" customFormat="1">
      <c r="A41787" s="83"/>
      <c r="H41787" s="83"/>
      <c r="K41787" s="82"/>
      <c r="M41787" s="112"/>
      <c r="N41787" s="84"/>
    </row>
    <row r="41788" spans="1:14" s="2" customFormat="1">
      <c r="A41788" s="83"/>
      <c r="H41788" s="83"/>
      <c r="K41788" s="82"/>
      <c r="M41788" s="112"/>
      <c r="N41788" s="84"/>
    </row>
    <row r="41789" spans="1:14" s="2" customFormat="1">
      <c r="A41789" s="83"/>
      <c r="H41789" s="83"/>
      <c r="K41789" s="82"/>
      <c r="M41789" s="112"/>
      <c r="N41789" s="84"/>
    </row>
    <row r="41790" spans="1:14" s="2" customFormat="1">
      <c r="A41790" s="83"/>
      <c r="H41790" s="83"/>
      <c r="K41790" s="82"/>
      <c r="M41790" s="112"/>
      <c r="N41790" s="84"/>
    </row>
    <row r="41791" spans="1:14" s="2" customFormat="1">
      <c r="A41791" s="83"/>
      <c r="H41791" s="83"/>
      <c r="K41791" s="82"/>
      <c r="M41791" s="112"/>
      <c r="N41791" s="84"/>
    </row>
    <row r="41792" spans="1:14" s="2" customFormat="1">
      <c r="A41792" s="83"/>
      <c r="H41792" s="83"/>
      <c r="K41792" s="82"/>
      <c r="M41792" s="112"/>
      <c r="N41792" s="84"/>
    </row>
    <row r="41793" spans="1:14" s="2" customFormat="1">
      <c r="A41793" s="83"/>
      <c r="H41793" s="83"/>
      <c r="K41793" s="82"/>
      <c r="M41793" s="112"/>
      <c r="N41793" s="84"/>
    </row>
    <row r="41794" spans="1:14" s="2" customFormat="1">
      <c r="A41794" s="83"/>
      <c r="H41794" s="83"/>
      <c r="K41794" s="82"/>
      <c r="M41794" s="112"/>
      <c r="N41794" s="84"/>
    </row>
    <row r="41795" spans="1:14" s="2" customFormat="1">
      <c r="A41795" s="83"/>
      <c r="H41795" s="83"/>
      <c r="K41795" s="82"/>
      <c r="M41795" s="112"/>
      <c r="N41795" s="84"/>
    </row>
    <row r="41796" spans="1:14" s="2" customFormat="1">
      <c r="A41796" s="83"/>
      <c r="H41796" s="83"/>
      <c r="K41796" s="82"/>
      <c r="M41796" s="112"/>
      <c r="N41796" s="84"/>
    </row>
    <row r="41797" spans="1:14" s="2" customFormat="1">
      <c r="A41797" s="83"/>
      <c r="H41797" s="83"/>
      <c r="K41797" s="82"/>
      <c r="M41797" s="112"/>
      <c r="N41797" s="84"/>
    </row>
    <row r="41798" spans="1:14" s="2" customFormat="1">
      <c r="A41798" s="83"/>
      <c r="H41798" s="83"/>
      <c r="K41798" s="82"/>
      <c r="M41798" s="112"/>
      <c r="N41798" s="84"/>
    </row>
    <row r="41799" spans="1:14" s="2" customFormat="1">
      <c r="A41799" s="83"/>
      <c r="H41799" s="83"/>
      <c r="K41799" s="82"/>
      <c r="M41799" s="112"/>
      <c r="N41799" s="84"/>
    </row>
    <row r="41800" spans="1:14" s="2" customFormat="1">
      <c r="A41800" s="83"/>
      <c r="H41800" s="83"/>
      <c r="K41800" s="82"/>
      <c r="M41800" s="112"/>
      <c r="N41800" s="84"/>
    </row>
    <row r="41801" spans="1:14" s="2" customFormat="1">
      <c r="A41801" s="83"/>
      <c r="H41801" s="83"/>
      <c r="K41801" s="82"/>
      <c r="M41801" s="112"/>
      <c r="N41801" s="84"/>
    </row>
    <row r="41802" spans="1:14" s="2" customFormat="1">
      <c r="A41802" s="83"/>
      <c r="H41802" s="83"/>
      <c r="K41802" s="82"/>
      <c r="M41802" s="112"/>
      <c r="N41802" s="84"/>
    </row>
    <row r="41803" spans="1:14" s="2" customFormat="1">
      <c r="A41803" s="83"/>
      <c r="H41803" s="83"/>
      <c r="K41803" s="82"/>
      <c r="M41803" s="112"/>
      <c r="N41803" s="84"/>
    </row>
    <row r="41804" spans="1:14" s="2" customFormat="1">
      <c r="A41804" s="83"/>
      <c r="H41804" s="83"/>
      <c r="K41804" s="82"/>
      <c r="M41804" s="112"/>
      <c r="N41804" s="84"/>
    </row>
    <row r="41805" spans="1:14" s="2" customFormat="1">
      <c r="A41805" s="83"/>
      <c r="H41805" s="83"/>
      <c r="K41805" s="82"/>
      <c r="M41805" s="112"/>
      <c r="N41805" s="84"/>
    </row>
    <row r="41806" spans="1:14" s="2" customFormat="1">
      <c r="A41806" s="83"/>
      <c r="H41806" s="83"/>
      <c r="K41806" s="82"/>
      <c r="M41806" s="112"/>
      <c r="N41806" s="84"/>
    </row>
    <row r="41807" spans="1:14" s="2" customFormat="1">
      <c r="A41807" s="83"/>
      <c r="H41807" s="83"/>
      <c r="K41807" s="82"/>
      <c r="M41807" s="112"/>
      <c r="N41807" s="84"/>
    </row>
    <row r="41808" spans="1:14" s="2" customFormat="1">
      <c r="A41808" s="83"/>
      <c r="H41808" s="83"/>
      <c r="K41808" s="82"/>
      <c r="M41808" s="112"/>
      <c r="N41808" s="84"/>
    </row>
    <row r="41809" spans="1:14" s="2" customFormat="1">
      <c r="A41809" s="83"/>
      <c r="H41809" s="83"/>
      <c r="K41809" s="82"/>
      <c r="M41809" s="112"/>
      <c r="N41809" s="84"/>
    </row>
    <row r="41810" spans="1:14" s="2" customFormat="1">
      <c r="A41810" s="83"/>
      <c r="H41810" s="83"/>
      <c r="K41810" s="82"/>
      <c r="M41810" s="112"/>
      <c r="N41810" s="84"/>
    </row>
    <row r="41811" spans="1:14" s="2" customFormat="1">
      <c r="A41811" s="83"/>
      <c r="H41811" s="83"/>
      <c r="K41811" s="82"/>
      <c r="M41811" s="112"/>
      <c r="N41811" s="84"/>
    </row>
    <row r="41812" spans="1:14" s="2" customFormat="1">
      <c r="A41812" s="83"/>
      <c r="H41812" s="83"/>
      <c r="K41812" s="82"/>
      <c r="M41812" s="112"/>
      <c r="N41812" s="84"/>
    </row>
    <row r="41813" spans="1:14" s="2" customFormat="1">
      <c r="A41813" s="83"/>
      <c r="H41813" s="83"/>
      <c r="K41813" s="82"/>
      <c r="M41813" s="112"/>
      <c r="N41813" s="84"/>
    </row>
    <row r="41814" spans="1:14" s="2" customFormat="1">
      <c r="A41814" s="83"/>
      <c r="H41814" s="83"/>
      <c r="K41814" s="82"/>
      <c r="M41814" s="112"/>
      <c r="N41814" s="84"/>
    </row>
    <row r="41815" spans="1:14" s="2" customFormat="1">
      <c r="A41815" s="83"/>
      <c r="H41815" s="83"/>
      <c r="K41815" s="82"/>
      <c r="M41815" s="112"/>
      <c r="N41815" s="84"/>
    </row>
    <row r="41816" spans="1:14" s="2" customFormat="1">
      <c r="A41816" s="83"/>
      <c r="H41816" s="83"/>
      <c r="K41816" s="82"/>
      <c r="M41816" s="112"/>
      <c r="N41816" s="84"/>
    </row>
    <row r="41817" spans="1:14" s="2" customFormat="1">
      <c r="A41817" s="83"/>
      <c r="H41817" s="83"/>
      <c r="K41817" s="82"/>
      <c r="M41817" s="112"/>
      <c r="N41817" s="84"/>
    </row>
    <row r="41818" spans="1:14" s="2" customFormat="1">
      <c r="A41818" s="83"/>
      <c r="H41818" s="83"/>
      <c r="K41818" s="82"/>
      <c r="M41818" s="112"/>
      <c r="N41818" s="84"/>
    </row>
    <row r="41819" spans="1:14" s="2" customFormat="1">
      <c r="A41819" s="83"/>
      <c r="H41819" s="83"/>
      <c r="K41819" s="82"/>
      <c r="M41819" s="112"/>
      <c r="N41819" s="84"/>
    </row>
    <row r="41820" spans="1:14" s="2" customFormat="1">
      <c r="A41820" s="83"/>
      <c r="H41820" s="83"/>
      <c r="K41820" s="82"/>
      <c r="M41820" s="112"/>
      <c r="N41820" s="84"/>
    </row>
    <row r="41821" spans="1:14" s="2" customFormat="1">
      <c r="A41821" s="83"/>
      <c r="H41821" s="83"/>
      <c r="K41821" s="82"/>
      <c r="M41821" s="112"/>
      <c r="N41821" s="84"/>
    </row>
    <row r="41822" spans="1:14" s="2" customFormat="1">
      <c r="A41822" s="83"/>
      <c r="H41822" s="83"/>
      <c r="K41822" s="82"/>
      <c r="M41822" s="112"/>
      <c r="N41822" s="84"/>
    </row>
    <row r="41823" spans="1:14" s="2" customFormat="1">
      <c r="A41823" s="83"/>
      <c r="H41823" s="83"/>
      <c r="K41823" s="82"/>
      <c r="M41823" s="112"/>
      <c r="N41823" s="84"/>
    </row>
    <row r="41824" spans="1:14" s="2" customFormat="1">
      <c r="A41824" s="83"/>
      <c r="H41824" s="83"/>
      <c r="K41824" s="82"/>
      <c r="M41824" s="112"/>
      <c r="N41824" s="84"/>
    </row>
    <row r="41825" spans="1:14" s="2" customFormat="1">
      <c r="A41825" s="83"/>
      <c r="H41825" s="83"/>
      <c r="K41825" s="82"/>
      <c r="M41825" s="112"/>
      <c r="N41825" s="84"/>
    </row>
    <row r="41826" spans="1:14" s="2" customFormat="1">
      <c r="A41826" s="83"/>
      <c r="H41826" s="83"/>
      <c r="K41826" s="82"/>
      <c r="M41826" s="112"/>
      <c r="N41826" s="84"/>
    </row>
    <row r="41827" spans="1:14" s="2" customFormat="1">
      <c r="A41827" s="83"/>
      <c r="H41827" s="83"/>
      <c r="K41827" s="82"/>
      <c r="M41827" s="112"/>
      <c r="N41827" s="84"/>
    </row>
    <row r="41828" spans="1:14" s="2" customFormat="1">
      <c r="A41828" s="83"/>
      <c r="H41828" s="83"/>
      <c r="K41828" s="82"/>
      <c r="M41828" s="112"/>
      <c r="N41828" s="84"/>
    </row>
    <row r="41829" spans="1:14" s="2" customFormat="1">
      <c r="A41829" s="83"/>
      <c r="H41829" s="83"/>
      <c r="K41829" s="82"/>
      <c r="M41829" s="112"/>
      <c r="N41829" s="84"/>
    </row>
    <row r="41830" spans="1:14" s="2" customFormat="1">
      <c r="A41830" s="83"/>
      <c r="H41830" s="83"/>
      <c r="K41830" s="82"/>
      <c r="M41830" s="112"/>
      <c r="N41830" s="84"/>
    </row>
    <row r="41831" spans="1:14" s="2" customFormat="1">
      <c r="A41831" s="83"/>
      <c r="H41831" s="83"/>
      <c r="K41831" s="82"/>
      <c r="M41831" s="112"/>
      <c r="N41831" s="84"/>
    </row>
    <row r="41832" spans="1:14" s="2" customFormat="1">
      <c r="A41832" s="83"/>
      <c r="H41832" s="83"/>
      <c r="K41832" s="82"/>
      <c r="M41832" s="112"/>
      <c r="N41832" s="84"/>
    </row>
    <row r="41833" spans="1:14" s="2" customFormat="1">
      <c r="A41833" s="83"/>
      <c r="H41833" s="83"/>
      <c r="K41833" s="82"/>
      <c r="M41833" s="112"/>
      <c r="N41833" s="84"/>
    </row>
    <row r="41834" spans="1:14" s="2" customFormat="1">
      <c r="A41834" s="83"/>
      <c r="H41834" s="83"/>
      <c r="K41834" s="82"/>
      <c r="M41834" s="112"/>
      <c r="N41834" s="84"/>
    </row>
    <row r="41835" spans="1:14" s="2" customFormat="1">
      <c r="A41835" s="83"/>
      <c r="H41835" s="83"/>
      <c r="K41835" s="82"/>
      <c r="M41835" s="112"/>
      <c r="N41835" s="84"/>
    </row>
    <row r="41836" spans="1:14" s="2" customFormat="1">
      <c r="A41836" s="83"/>
      <c r="H41836" s="83"/>
      <c r="K41836" s="82"/>
      <c r="M41836" s="112"/>
      <c r="N41836" s="84"/>
    </row>
    <row r="41837" spans="1:14" s="2" customFormat="1">
      <c r="A41837" s="83"/>
      <c r="H41837" s="83"/>
      <c r="K41837" s="82"/>
      <c r="M41837" s="112"/>
      <c r="N41837" s="84"/>
    </row>
    <row r="41838" spans="1:14" s="2" customFormat="1">
      <c r="A41838" s="83"/>
      <c r="H41838" s="83"/>
      <c r="K41838" s="82"/>
      <c r="M41838" s="112"/>
      <c r="N41838" s="84"/>
    </row>
    <row r="41839" spans="1:14" s="2" customFormat="1">
      <c r="A41839" s="83"/>
      <c r="H41839" s="83"/>
      <c r="K41839" s="82"/>
      <c r="M41839" s="112"/>
      <c r="N41839" s="84"/>
    </row>
    <row r="41840" spans="1:14" s="2" customFormat="1">
      <c r="A41840" s="83"/>
      <c r="H41840" s="83"/>
      <c r="K41840" s="82"/>
      <c r="M41840" s="112"/>
      <c r="N41840" s="84"/>
    </row>
    <row r="41841" spans="1:14" s="2" customFormat="1">
      <c r="A41841" s="83"/>
      <c r="H41841" s="83"/>
      <c r="K41841" s="82"/>
      <c r="M41841" s="112"/>
      <c r="N41841" s="84"/>
    </row>
    <row r="41842" spans="1:14" s="2" customFormat="1">
      <c r="A41842" s="83"/>
      <c r="H41842" s="83"/>
      <c r="K41842" s="82"/>
      <c r="M41842" s="112"/>
      <c r="N41842" s="84"/>
    </row>
    <row r="41843" spans="1:14" s="2" customFormat="1">
      <c r="A41843" s="83"/>
      <c r="H41843" s="83"/>
      <c r="K41843" s="82"/>
      <c r="M41843" s="112"/>
      <c r="N41843" s="84"/>
    </row>
    <row r="41844" spans="1:14" s="2" customFormat="1">
      <c r="A41844" s="83"/>
      <c r="H41844" s="83"/>
      <c r="K41844" s="82"/>
      <c r="M41844" s="112"/>
      <c r="N41844" s="84"/>
    </row>
    <row r="41845" spans="1:14" s="2" customFormat="1">
      <c r="A41845" s="83"/>
      <c r="H41845" s="83"/>
      <c r="K41845" s="82"/>
      <c r="M41845" s="112"/>
      <c r="N41845" s="84"/>
    </row>
    <row r="41846" spans="1:14" s="2" customFormat="1">
      <c r="A41846" s="83"/>
      <c r="H41846" s="83"/>
      <c r="K41846" s="82"/>
      <c r="M41846" s="112"/>
      <c r="N41846" s="84"/>
    </row>
    <row r="41847" spans="1:14" s="2" customFormat="1">
      <c r="A41847" s="83"/>
      <c r="H41847" s="83"/>
      <c r="K41847" s="82"/>
      <c r="M41847" s="112"/>
      <c r="N41847" s="84"/>
    </row>
    <row r="41848" spans="1:14" s="2" customFormat="1">
      <c r="A41848" s="83"/>
      <c r="H41848" s="83"/>
      <c r="K41848" s="82"/>
      <c r="M41848" s="112"/>
      <c r="N41848" s="84"/>
    </row>
    <row r="41849" spans="1:14" s="2" customFormat="1">
      <c r="A41849" s="83"/>
      <c r="H41849" s="83"/>
      <c r="K41849" s="82"/>
      <c r="M41849" s="112"/>
      <c r="N41849" s="84"/>
    </row>
    <row r="41850" spans="1:14" s="2" customFormat="1">
      <c r="A41850" s="83"/>
      <c r="H41850" s="83"/>
      <c r="K41850" s="82"/>
      <c r="M41850" s="112"/>
      <c r="N41850" s="84"/>
    </row>
    <row r="41851" spans="1:14" s="2" customFormat="1">
      <c r="A41851" s="83"/>
      <c r="H41851" s="83"/>
      <c r="K41851" s="82"/>
      <c r="M41851" s="112"/>
      <c r="N41851" s="84"/>
    </row>
    <row r="41852" spans="1:14" s="2" customFormat="1">
      <c r="A41852" s="83"/>
      <c r="H41852" s="83"/>
      <c r="K41852" s="82"/>
      <c r="M41852" s="112"/>
      <c r="N41852" s="84"/>
    </row>
    <row r="41853" spans="1:14" s="2" customFormat="1">
      <c r="A41853" s="83"/>
      <c r="H41853" s="83"/>
      <c r="K41853" s="82"/>
      <c r="M41853" s="112"/>
      <c r="N41853" s="84"/>
    </row>
    <row r="41854" spans="1:14" s="2" customFormat="1">
      <c r="A41854" s="83"/>
      <c r="H41854" s="83"/>
      <c r="K41854" s="82"/>
      <c r="M41854" s="112"/>
      <c r="N41854" s="84"/>
    </row>
    <row r="41855" spans="1:14" s="2" customFormat="1">
      <c r="A41855" s="83"/>
      <c r="H41855" s="83"/>
      <c r="K41855" s="82"/>
      <c r="M41855" s="112"/>
      <c r="N41855" s="84"/>
    </row>
    <row r="41856" spans="1:14" s="2" customFormat="1">
      <c r="A41856" s="83"/>
      <c r="H41856" s="83"/>
      <c r="K41856" s="82"/>
      <c r="M41856" s="112"/>
      <c r="N41856" s="84"/>
    </row>
    <row r="41857" spans="1:14" s="2" customFormat="1">
      <c r="A41857" s="83"/>
      <c r="H41857" s="83"/>
      <c r="K41857" s="82"/>
      <c r="M41857" s="112"/>
      <c r="N41857" s="84"/>
    </row>
    <row r="41858" spans="1:14" s="2" customFormat="1">
      <c r="A41858" s="83"/>
      <c r="H41858" s="83"/>
      <c r="K41858" s="82"/>
      <c r="M41858" s="112"/>
      <c r="N41858" s="84"/>
    </row>
    <row r="41859" spans="1:14" s="2" customFormat="1">
      <c r="A41859" s="83"/>
      <c r="H41859" s="83"/>
      <c r="K41859" s="82"/>
      <c r="M41859" s="112"/>
      <c r="N41859" s="84"/>
    </row>
    <row r="41860" spans="1:14" s="2" customFormat="1">
      <c r="A41860" s="83"/>
      <c r="H41860" s="83"/>
      <c r="K41860" s="82"/>
      <c r="M41860" s="112"/>
      <c r="N41860" s="84"/>
    </row>
    <row r="41861" spans="1:14" s="2" customFormat="1">
      <c r="A41861" s="83"/>
      <c r="H41861" s="83"/>
      <c r="K41861" s="82"/>
      <c r="M41861" s="112"/>
      <c r="N41861" s="84"/>
    </row>
    <row r="41862" spans="1:14" s="2" customFormat="1">
      <c r="A41862" s="83"/>
      <c r="H41862" s="83"/>
      <c r="K41862" s="82"/>
      <c r="M41862" s="112"/>
      <c r="N41862" s="84"/>
    </row>
    <row r="41863" spans="1:14" s="2" customFormat="1">
      <c r="A41863" s="83"/>
      <c r="H41863" s="83"/>
      <c r="K41863" s="82"/>
      <c r="M41863" s="112"/>
      <c r="N41863" s="84"/>
    </row>
    <row r="41864" spans="1:14" s="2" customFormat="1">
      <c r="A41864" s="83"/>
      <c r="H41864" s="83"/>
      <c r="K41864" s="82"/>
      <c r="M41864" s="112"/>
      <c r="N41864" s="84"/>
    </row>
    <row r="41865" spans="1:14" s="2" customFormat="1">
      <c r="A41865" s="83"/>
      <c r="H41865" s="83"/>
      <c r="K41865" s="82"/>
      <c r="M41865" s="112"/>
      <c r="N41865" s="84"/>
    </row>
    <row r="41866" spans="1:14" s="2" customFormat="1">
      <c r="A41866" s="83"/>
      <c r="H41866" s="83"/>
      <c r="K41866" s="82"/>
      <c r="M41866" s="112"/>
      <c r="N41866" s="84"/>
    </row>
    <row r="41867" spans="1:14" s="2" customFormat="1">
      <c r="A41867" s="83"/>
      <c r="H41867" s="83"/>
      <c r="K41867" s="82"/>
      <c r="M41867" s="112"/>
      <c r="N41867" s="84"/>
    </row>
    <row r="41868" spans="1:14" s="2" customFormat="1">
      <c r="A41868" s="83"/>
      <c r="H41868" s="83"/>
      <c r="K41868" s="82"/>
      <c r="M41868" s="112"/>
      <c r="N41868" s="84"/>
    </row>
    <row r="41869" spans="1:14" s="2" customFormat="1">
      <c r="A41869" s="83"/>
      <c r="H41869" s="83"/>
      <c r="K41869" s="82"/>
      <c r="M41869" s="112"/>
      <c r="N41869" s="84"/>
    </row>
    <row r="41870" spans="1:14" s="2" customFormat="1">
      <c r="A41870" s="83"/>
      <c r="H41870" s="83"/>
      <c r="K41870" s="82"/>
      <c r="M41870" s="112"/>
      <c r="N41870" s="84"/>
    </row>
    <row r="41871" spans="1:14" s="2" customFormat="1">
      <c r="A41871" s="83"/>
      <c r="H41871" s="83"/>
      <c r="K41871" s="82"/>
      <c r="M41871" s="112"/>
      <c r="N41871" s="84"/>
    </row>
    <row r="41872" spans="1:14" s="2" customFormat="1">
      <c r="A41872" s="83"/>
      <c r="H41872" s="83"/>
      <c r="K41872" s="82"/>
      <c r="M41872" s="112"/>
      <c r="N41872" s="84"/>
    </row>
    <row r="41873" spans="1:14" s="2" customFormat="1">
      <c r="A41873" s="83"/>
      <c r="H41873" s="83"/>
      <c r="K41873" s="82"/>
      <c r="M41873" s="112"/>
      <c r="N41873" s="84"/>
    </row>
    <row r="41874" spans="1:14" s="2" customFormat="1">
      <c r="A41874" s="83"/>
      <c r="H41874" s="83"/>
      <c r="K41874" s="82"/>
      <c r="M41874" s="112"/>
      <c r="N41874" s="84"/>
    </row>
    <row r="41875" spans="1:14" s="2" customFormat="1">
      <c r="A41875" s="83"/>
      <c r="H41875" s="83"/>
      <c r="K41875" s="82"/>
      <c r="M41875" s="112"/>
      <c r="N41875" s="84"/>
    </row>
    <row r="41876" spans="1:14" s="2" customFormat="1">
      <c r="A41876" s="83"/>
      <c r="H41876" s="83"/>
      <c r="K41876" s="82"/>
      <c r="M41876" s="112"/>
      <c r="N41876" s="84"/>
    </row>
    <row r="41877" spans="1:14" s="2" customFormat="1">
      <c r="A41877" s="83"/>
      <c r="H41877" s="83"/>
      <c r="K41877" s="82"/>
      <c r="M41877" s="112"/>
      <c r="N41877" s="84"/>
    </row>
    <row r="41878" spans="1:14" s="2" customFormat="1">
      <c r="A41878" s="83"/>
      <c r="H41878" s="83"/>
      <c r="K41878" s="82"/>
      <c r="M41878" s="112"/>
      <c r="N41878" s="84"/>
    </row>
    <row r="41879" spans="1:14" s="2" customFormat="1">
      <c r="A41879" s="83"/>
      <c r="H41879" s="83"/>
      <c r="K41879" s="82"/>
      <c r="M41879" s="112"/>
      <c r="N41879" s="84"/>
    </row>
    <row r="41880" spans="1:14" s="2" customFormat="1">
      <c r="A41880" s="83"/>
      <c r="H41880" s="83"/>
      <c r="K41880" s="82"/>
      <c r="M41880" s="112"/>
      <c r="N41880" s="84"/>
    </row>
    <row r="41881" spans="1:14" s="2" customFormat="1">
      <c r="A41881" s="83"/>
      <c r="H41881" s="83"/>
      <c r="K41881" s="82"/>
      <c r="M41881" s="112"/>
      <c r="N41881" s="84"/>
    </row>
    <row r="41882" spans="1:14" s="2" customFormat="1">
      <c r="A41882" s="83"/>
      <c r="H41882" s="83"/>
      <c r="K41882" s="82"/>
      <c r="M41882" s="112"/>
      <c r="N41882" s="84"/>
    </row>
    <row r="41883" spans="1:14" s="2" customFormat="1">
      <c r="A41883" s="83"/>
      <c r="H41883" s="83"/>
      <c r="K41883" s="82"/>
      <c r="M41883" s="112"/>
      <c r="N41883" s="84"/>
    </row>
    <row r="41884" spans="1:14" s="2" customFormat="1">
      <c r="A41884" s="83"/>
      <c r="H41884" s="83"/>
      <c r="K41884" s="82"/>
      <c r="M41884" s="112"/>
      <c r="N41884" s="84"/>
    </row>
    <row r="41885" spans="1:14" s="2" customFormat="1">
      <c r="A41885" s="83"/>
      <c r="H41885" s="83"/>
      <c r="K41885" s="82"/>
      <c r="M41885" s="112"/>
      <c r="N41885" s="84"/>
    </row>
    <row r="41886" spans="1:14" s="2" customFormat="1">
      <c r="A41886" s="83"/>
      <c r="H41886" s="83"/>
      <c r="K41886" s="82"/>
      <c r="M41886" s="112"/>
      <c r="N41886" s="84"/>
    </row>
    <row r="41887" spans="1:14" s="2" customFormat="1">
      <c r="A41887" s="83"/>
      <c r="H41887" s="83"/>
      <c r="K41887" s="82"/>
      <c r="M41887" s="112"/>
      <c r="N41887" s="84"/>
    </row>
    <row r="41888" spans="1:14" s="2" customFormat="1">
      <c r="A41888" s="83"/>
      <c r="H41888" s="83"/>
      <c r="K41888" s="82"/>
      <c r="M41888" s="112"/>
      <c r="N41888" s="84"/>
    </row>
    <row r="41889" spans="1:14" s="2" customFormat="1">
      <c r="A41889" s="83"/>
      <c r="H41889" s="83"/>
      <c r="K41889" s="82"/>
      <c r="M41889" s="112"/>
      <c r="N41889" s="84"/>
    </row>
    <row r="41890" spans="1:14" s="2" customFormat="1">
      <c r="A41890" s="83"/>
      <c r="H41890" s="83"/>
      <c r="K41890" s="82"/>
      <c r="M41890" s="112"/>
      <c r="N41890" s="84"/>
    </row>
    <row r="41891" spans="1:14" s="2" customFormat="1">
      <c r="A41891" s="83"/>
      <c r="H41891" s="83"/>
      <c r="K41891" s="82"/>
      <c r="M41891" s="112"/>
      <c r="N41891" s="84"/>
    </row>
    <row r="41892" spans="1:14" s="2" customFormat="1">
      <c r="A41892" s="83"/>
      <c r="H41892" s="83"/>
      <c r="K41892" s="82"/>
      <c r="M41892" s="112"/>
      <c r="N41892" s="84"/>
    </row>
    <row r="41893" spans="1:14" s="2" customFormat="1">
      <c r="A41893" s="83"/>
      <c r="H41893" s="83"/>
      <c r="K41893" s="82"/>
      <c r="M41893" s="112"/>
      <c r="N41893" s="84"/>
    </row>
    <row r="41894" spans="1:14" s="2" customFormat="1">
      <c r="A41894" s="83"/>
      <c r="H41894" s="83"/>
      <c r="K41894" s="82"/>
      <c r="M41894" s="112"/>
      <c r="N41894" s="84"/>
    </row>
    <row r="41895" spans="1:14" s="2" customFormat="1">
      <c r="A41895" s="83"/>
      <c r="H41895" s="83"/>
      <c r="K41895" s="82"/>
      <c r="M41895" s="112"/>
      <c r="N41895" s="84"/>
    </row>
    <row r="41896" spans="1:14" s="2" customFormat="1">
      <c r="A41896" s="83"/>
      <c r="H41896" s="83"/>
      <c r="K41896" s="82"/>
      <c r="M41896" s="112"/>
      <c r="N41896" s="84"/>
    </row>
    <row r="41897" spans="1:14" s="2" customFormat="1">
      <c r="A41897" s="83"/>
      <c r="H41897" s="83"/>
      <c r="K41897" s="82"/>
      <c r="M41897" s="112"/>
      <c r="N41897" s="84"/>
    </row>
    <row r="41898" spans="1:14" s="2" customFormat="1">
      <c r="A41898" s="83"/>
      <c r="H41898" s="83"/>
      <c r="K41898" s="82"/>
      <c r="M41898" s="112"/>
      <c r="N41898" s="84"/>
    </row>
    <row r="41899" spans="1:14" s="2" customFormat="1">
      <c r="A41899" s="83"/>
      <c r="H41899" s="83"/>
      <c r="K41899" s="82"/>
      <c r="M41899" s="112"/>
      <c r="N41899" s="84"/>
    </row>
    <row r="41900" spans="1:14" s="2" customFormat="1">
      <c r="A41900" s="83"/>
      <c r="H41900" s="83"/>
      <c r="K41900" s="82"/>
      <c r="M41900" s="112"/>
      <c r="N41900" s="84"/>
    </row>
    <row r="41901" spans="1:14" s="2" customFormat="1">
      <c r="A41901" s="83"/>
      <c r="H41901" s="83"/>
      <c r="K41901" s="82"/>
      <c r="M41901" s="112"/>
      <c r="N41901" s="84"/>
    </row>
    <row r="41902" spans="1:14" s="2" customFormat="1">
      <c r="A41902" s="83"/>
      <c r="H41902" s="83"/>
      <c r="K41902" s="82"/>
      <c r="M41902" s="112"/>
      <c r="N41902" s="84"/>
    </row>
    <row r="41903" spans="1:14" s="2" customFormat="1">
      <c r="A41903" s="83"/>
      <c r="H41903" s="83"/>
      <c r="K41903" s="82"/>
      <c r="M41903" s="112"/>
      <c r="N41903" s="84"/>
    </row>
    <row r="41904" spans="1:14" s="2" customFormat="1">
      <c r="A41904" s="83"/>
      <c r="H41904" s="83"/>
      <c r="K41904" s="82"/>
      <c r="M41904" s="112"/>
      <c r="N41904" s="84"/>
    </row>
    <row r="41905" spans="1:14" s="2" customFormat="1">
      <c r="A41905" s="83"/>
      <c r="H41905" s="83"/>
      <c r="K41905" s="82"/>
      <c r="M41905" s="112"/>
      <c r="N41905" s="84"/>
    </row>
    <row r="41906" spans="1:14" s="2" customFormat="1">
      <c r="A41906" s="83"/>
      <c r="H41906" s="83"/>
      <c r="K41906" s="82"/>
      <c r="M41906" s="112"/>
      <c r="N41906" s="84"/>
    </row>
    <row r="41907" spans="1:14" s="2" customFormat="1">
      <c r="A41907" s="83"/>
      <c r="H41907" s="83"/>
      <c r="K41907" s="82"/>
      <c r="M41907" s="112"/>
      <c r="N41907" s="84"/>
    </row>
    <row r="41908" spans="1:14" s="2" customFormat="1">
      <c r="A41908" s="83"/>
      <c r="H41908" s="83"/>
      <c r="K41908" s="82"/>
      <c r="M41908" s="112"/>
      <c r="N41908" s="84"/>
    </row>
    <row r="41909" spans="1:14" s="2" customFormat="1">
      <c r="A41909" s="83"/>
      <c r="H41909" s="83"/>
      <c r="K41909" s="82"/>
      <c r="M41909" s="112"/>
      <c r="N41909" s="84"/>
    </row>
    <row r="41910" spans="1:14" s="2" customFormat="1">
      <c r="A41910" s="83"/>
      <c r="H41910" s="83"/>
      <c r="K41910" s="82"/>
      <c r="M41910" s="112"/>
      <c r="N41910" s="84"/>
    </row>
    <row r="41911" spans="1:14" s="2" customFormat="1">
      <c r="A41911" s="83"/>
      <c r="H41911" s="83"/>
      <c r="K41911" s="82"/>
      <c r="M41911" s="112"/>
      <c r="N41911" s="84"/>
    </row>
    <row r="41912" spans="1:14" s="2" customFormat="1">
      <c r="A41912" s="83"/>
      <c r="H41912" s="83"/>
      <c r="K41912" s="82"/>
      <c r="M41912" s="112"/>
      <c r="N41912" s="84"/>
    </row>
    <row r="41913" spans="1:14" s="2" customFormat="1">
      <c r="A41913" s="83"/>
      <c r="H41913" s="83"/>
      <c r="K41913" s="82"/>
      <c r="M41913" s="112"/>
      <c r="N41913" s="84"/>
    </row>
    <row r="41914" spans="1:14" s="2" customFormat="1">
      <c r="A41914" s="83"/>
      <c r="H41914" s="83"/>
      <c r="K41914" s="82"/>
      <c r="M41914" s="112"/>
      <c r="N41914" s="84"/>
    </row>
    <row r="41915" spans="1:14" s="2" customFormat="1">
      <c r="A41915" s="83"/>
      <c r="H41915" s="83"/>
      <c r="K41915" s="82"/>
      <c r="M41915" s="112"/>
      <c r="N41915" s="84"/>
    </row>
    <row r="41916" spans="1:14" s="2" customFormat="1">
      <c r="A41916" s="83"/>
      <c r="H41916" s="83"/>
      <c r="K41916" s="82"/>
      <c r="M41916" s="112"/>
      <c r="N41916" s="84"/>
    </row>
    <row r="41917" spans="1:14" s="2" customFormat="1">
      <c r="A41917" s="83"/>
      <c r="H41917" s="83"/>
      <c r="K41917" s="82"/>
      <c r="M41917" s="112"/>
      <c r="N41917" s="84"/>
    </row>
    <row r="41918" spans="1:14" s="2" customFormat="1">
      <c r="A41918" s="83"/>
      <c r="H41918" s="83"/>
      <c r="K41918" s="82"/>
      <c r="M41918" s="112"/>
      <c r="N41918" s="84"/>
    </row>
    <row r="41919" spans="1:14" s="2" customFormat="1">
      <c r="A41919" s="83"/>
      <c r="H41919" s="83"/>
      <c r="K41919" s="82"/>
      <c r="M41919" s="112"/>
      <c r="N41919" s="84"/>
    </row>
    <row r="41920" spans="1:14" s="2" customFormat="1">
      <c r="A41920" s="83"/>
      <c r="H41920" s="83"/>
      <c r="K41920" s="82"/>
      <c r="M41920" s="112"/>
      <c r="N41920" s="84"/>
    </row>
    <row r="41921" spans="1:14" s="2" customFormat="1">
      <c r="A41921" s="83"/>
      <c r="H41921" s="83"/>
      <c r="K41921" s="82"/>
      <c r="M41921" s="112"/>
      <c r="N41921" s="84"/>
    </row>
    <row r="41922" spans="1:14" s="2" customFormat="1">
      <c r="A41922" s="83"/>
      <c r="H41922" s="83"/>
      <c r="K41922" s="82"/>
      <c r="M41922" s="112"/>
      <c r="N41922" s="84"/>
    </row>
    <row r="41923" spans="1:14" s="2" customFormat="1">
      <c r="A41923" s="83"/>
      <c r="H41923" s="83"/>
      <c r="K41923" s="82"/>
      <c r="M41923" s="112"/>
      <c r="N41923" s="84"/>
    </row>
    <row r="41924" spans="1:14" s="2" customFormat="1">
      <c r="A41924" s="83"/>
      <c r="H41924" s="83"/>
      <c r="K41924" s="82"/>
      <c r="M41924" s="112"/>
      <c r="N41924" s="84"/>
    </row>
    <row r="41925" spans="1:14" s="2" customFormat="1">
      <c r="A41925" s="83"/>
      <c r="H41925" s="83"/>
      <c r="K41925" s="82"/>
      <c r="M41925" s="112"/>
      <c r="N41925" s="84"/>
    </row>
    <row r="41926" spans="1:14" s="2" customFormat="1">
      <c r="A41926" s="83"/>
      <c r="H41926" s="83"/>
      <c r="K41926" s="82"/>
      <c r="M41926" s="112"/>
      <c r="N41926" s="84"/>
    </row>
    <row r="41927" spans="1:14" s="2" customFormat="1">
      <c r="A41927" s="83"/>
      <c r="H41927" s="83"/>
      <c r="K41927" s="82"/>
      <c r="M41927" s="112"/>
      <c r="N41927" s="84"/>
    </row>
    <row r="41928" spans="1:14" s="2" customFormat="1">
      <c r="A41928" s="83"/>
      <c r="H41928" s="83"/>
      <c r="K41928" s="82"/>
      <c r="M41928" s="112"/>
      <c r="N41928" s="84"/>
    </row>
    <row r="41929" spans="1:14" s="2" customFormat="1">
      <c r="A41929" s="83"/>
      <c r="H41929" s="83"/>
      <c r="K41929" s="82"/>
      <c r="M41929" s="112"/>
      <c r="N41929" s="84"/>
    </row>
    <row r="41930" spans="1:14" s="2" customFormat="1">
      <c r="A41930" s="83"/>
      <c r="H41930" s="83"/>
      <c r="K41930" s="82"/>
      <c r="M41930" s="112"/>
      <c r="N41930" s="84"/>
    </row>
    <row r="41931" spans="1:14" s="2" customFormat="1">
      <c r="A41931" s="83"/>
      <c r="H41931" s="83"/>
      <c r="K41931" s="82"/>
      <c r="M41931" s="112"/>
      <c r="N41931" s="84"/>
    </row>
    <row r="41932" spans="1:14" s="2" customFormat="1">
      <c r="A41932" s="83"/>
      <c r="H41932" s="83"/>
      <c r="K41932" s="82"/>
      <c r="M41932" s="112"/>
      <c r="N41932" s="84"/>
    </row>
    <row r="41933" spans="1:14" s="2" customFormat="1">
      <c r="A41933" s="83"/>
      <c r="H41933" s="83"/>
      <c r="K41933" s="82"/>
      <c r="M41933" s="112"/>
      <c r="N41933" s="84"/>
    </row>
    <row r="41934" spans="1:14" s="2" customFormat="1">
      <c r="A41934" s="83"/>
      <c r="H41934" s="83"/>
      <c r="K41934" s="82"/>
      <c r="M41934" s="112"/>
      <c r="N41934" s="84"/>
    </row>
    <row r="41935" spans="1:14" s="2" customFormat="1">
      <c r="A41935" s="83"/>
      <c r="H41935" s="83"/>
      <c r="K41935" s="82"/>
      <c r="M41935" s="112"/>
      <c r="N41935" s="84"/>
    </row>
    <row r="41936" spans="1:14" s="2" customFormat="1">
      <c r="A41936" s="83"/>
      <c r="H41936" s="83"/>
      <c r="K41936" s="82"/>
      <c r="M41936" s="112"/>
      <c r="N41936" s="84"/>
    </row>
    <row r="41937" spans="1:14" s="2" customFormat="1">
      <c r="A41937" s="83"/>
      <c r="H41937" s="83"/>
      <c r="K41937" s="82"/>
      <c r="M41937" s="112"/>
      <c r="N41937" s="84"/>
    </row>
    <row r="41938" spans="1:14" s="2" customFormat="1">
      <c r="A41938" s="83"/>
      <c r="H41938" s="83"/>
      <c r="K41938" s="82"/>
      <c r="M41938" s="112"/>
      <c r="N41938" s="84"/>
    </row>
    <row r="41939" spans="1:14" s="2" customFormat="1">
      <c r="A41939" s="83"/>
      <c r="H41939" s="83"/>
      <c r="K41939" s="82"/>
      <c r="M41939" s="112"/>
      <c r="N41939" s="84"/>
    </row>
    <row r="41940" spans="1:14" s="2" customFormat="1">
      <c r="A41940" s="83"/>
      <c r="H41940" s="83"/>
      <c r="K41940" s="82"/>
      <c r="M41940" s="112"/>
      <c r="N41940" s="84"/>
    </row>
    <row r="41941" spans="1:14" s="2" customFormat="1">
      <c r="A41941" s="83"/>
      <c r="H41941" s="83"/>
      <c r="K41941" s="82"/>
      <c r="M41941" s="112"/>
      <c r="N41941" s="84"/>
    </row>
    <row r="41942" spans="1:14" s="2" customFormat="1">
      <c r="A41942" s="83"/>
      <c r="H41942" s="83"/>
      <c r="K41942" s="82"/>
      <c r="M41942" s="112"/>
      <c r="N41942" s="84"/>
    </row>
    <row r="41943" spans="1:14" s="2" customFormat="1">
      <c r="A41943" s="83"/>
      <c r="H41943" s="83"/>
      <c r="K41943" s="82"/>
      <c r="M41943" s="112"/>
      <c r="N41943" s="84"/>
    </row>
    <row r="41944" spans="1:14" s="2" customFormat="1">
      <c r="A41944" s="83"/>
      <c r="H41944" s="83"/>
      <c r="K41944" s="82"/>
      <c r="M41944" s="112"/>
      <c r="N41944" s="84"/>
    </row>
    <row r="41945" spans="1:14" s="2" customFormat="1">
      <c r="A41945" s="83"/>
      <c r="H41945" s="83"/>
      <c r="K41945" s="82"/>
      <c r="M41945" s="112"/>
      <c r="N41945" s="84"/>
    </row>
    <row r="41946" spans="1:14" s="2" customFormat="1">
      <c r="A41946" s="83"/>
      <c r="H41946" s="83"/>
      <c r="K41946" s="82"/>
      <c r="M41946" s="112"/>
      <c r="N41946" s="84"/>
    </row>
    <row r="41947" spans="1:14" s="2" customFormat="1">
      <c r="A41947" s="83"/>
      <c r="H41947" s="83"/>
      <c r="K41947" s="82"/>
      <c r="M41947" s="112"/>
      <c r="N41947" s="84"/>
    </row>
    <row r="41948" spans="1:14" s="2" customFormat="1">
      <c r="A41948" s="83"/>
      <c r="H41948" s="83"/>
      <c r="K41948" s="82"/>
      <c r="M41948" s="112"/>
      <c r="N41948" s="84"/>
    </row>
    <row r="41949" spans="1:14" s="2" customFormat="1">
      <c r="A41949" s="83"/>
      <c r="H41949" s="83"/>
      <c r="K41949" s="82"/>
      <c r="M41949" s="112"/>
      <c r="N41949" s="84"/>
    </row>
    <row r="41950" spans="1:14" s="2" customFormat="1">
      <c r="A41950" s="83"/>
      <c r="H41950" s="83"/>
      <c r="K41950" s="82"/>
      <c r="M41950" s="112"/>
      <c r="N41950" s="84"/>
    </row>
    <row r="41951" spans="1:14" s="2" customFormat="1">
      <c r="A41951" s="83"/>
      <c r="H41951" s="83"/>
      <c r="K41951" s="82"/>
      <c r="M41951" s="112"/>
      <c r="N41951" s="84"/>
    </row>
    <row r="41952" spans="1:14" s="2" customFormat="1">
      <c r="A41952" s="83"/>
      <c r="H41952" s="83"/>
      <c r="K41952" s="82"/>
      <c r="M41952" s="112"/>
      <c r="N41952" s="84"/>
    </row>
    <row r="41953" spans="1:14" s="2" customFormat="1">
      <c r="A41953" s="83"/>
      <c r="H41953" s="83"/>
      <c r="K41953" s="82"/>
      <c r="M41953" s="112"/>
      <c r="N41953" s="84"/>
    </row>
    <row r="41954" spans="1:14" s="2" customFormat="1">
      <c r="A41954" s="83"/>
      <c r="H41954" s="83"/>
      <c r="K41954" s="82"/>
      <c r="M41954" s="112"/>
      <c r="N41954" s="84"/>
    </row>
    <row r="41955" spans="1:14" s="2" customFormat="1">
      <c r="A41955" s="83"/>
      <c r="H41955" s="83"/>
      <c r="K41955" s="82"/>
      <c r="M41955" s="112"/>
      <c r="N41955" s="84"/>
    </row>
    <row r="41956" spans="1:14" s="2" customFormat="1">
      <c r="A41956" s="83"/>
      <c r="H41956" s="83"/>
      <c r="K41956" s="82"/>
      <c r="M41956" s="112"/>
      <c r="N41956" s="84"/>
    </row>
    <row r="41957" spans="1:14" s="2" customFormat="1">
      <c r="A41957" s="83"/>
      <c r="H41957" s="83"/>
      <c r="K41957" s="82"/>
      <c r="M41957" s="112"/>
      <c r="N41957" s="84"/>
    </row>
    <row r="41958" spans="1:14" s="2" customFormat="1">
      <c r="A41958" s="83"/>
      <c r="H41958" s="83"/>
      <c r="K41958" s="82"/>
      <c r="M41958" s="112"/>
      <c r="N41958" s="84"/>
    </row>
    <row r="41959" spans="1:14" s="2" customFormat="1">
      <c r="A41959" s="83"/>
      <c r="H41959" s="83"/>
      <c r="K41959" s="82"/>
      <c r="M41959" s="112"/>
      <c r="N41959" s="84"/>
    </row>
    <row r="41960" spans="1:14" s="2" customFormat="1">
      <c r="A41960" s="83"/>
      <c r="H41960" s="83"/>
      <c r="K41960" s="82"/>
      <c r="M41960" s="112"/>
      <c r="N41960" s="84"/>
    </row>
    <row r="41961" spans="1:14" s="2" customFormat="1">
      <c r="A41961" s="83"/>
      <c r="H41961" s="83"/>
      <c r="K41961" s="82"/>
      <c r="M41961" s="112"/>
      <c r="N41961" s="84"/>
    </row>
    <row r="41962" spans="1:14" s="2" customFormat="1">
      <c r="A41962" s="83"/>
      <c r="H41962" s="83"/>
      <c r="K41962" s="82"/>
      <c r="M41962" s="112"/>
      <c r="N41962" s="84"/>
    </row>
    <row r="41963" spans="1:14" s="2" customFormat="1">
      <c r="A41963" s="83"/>
      <c r="H41963" s="83"/>
      <c r="K41963" s="82"/>
      <c r="M41963" s="112"/>
      <c r="N41963" s="84"/>
    </row>
    <row r="41964" spans="1:14" s="2" customFormat="1">
      <c r="A41964" s="83"/>
      <c r="H41964" s="83"/>
      <c r="K41964" s="82"/>
      <c r="M41964" s="112"/>
      <c r="N41964" s="84"/>
    </row>
    <row r="41965" spans="1:14" s="2" customFormat="1">
      <c r="A41965" s="83"/>
      <c r="H41965" s="83"/>
      <c r="K41965" s="82"/>
      <c r="M41965" s="112"/>
      <c r="N41965" s="84"/>
    </row>
    <row r="41966" spans="1:14" s="2" customFormat="1">
      <c r="A41966" s="83"/>
      <c r="H41966" s="83"/>
      <c r="K41966" s="82"/>
      <c r="M41966" s="112"/>
      <c r="N41966" s="84"/>
    </row>
    <row r="41967" spans="1:14" s="2" customFormat="1">
      <c r="A41967" s="83"/>
      <c r="H41967" s="83"/>
      <c r="K41967" s="82"/>
      <c r="M41967" s="112"/>
      <c r="N41967" s="84"/>
    </row>
    <row r="41968" spans="1:14" s="2" customFormat="1">
      <c r="A41968" s="83"/>
      <c r="H41968" s="83"/>
      <c r="K41968" s="82"/>
      <c r="M41968" s="112"/>
      <c r="N41968" s="84"/>
    </row>
    <row r="41969" spans="1:14" s="2" customFormat="1">
      <c r="A41969" s="83"/>
      <c r="H41969" s="83"/>
      <c r="K41969" s="82"/>
      <c r="M41969" s="112"/>
      <c r="N41969" s="84"/>
    </row>
    <row r="41970" spans="1:14" s="2" customFormat="1">
      <c r="A41970" s="83"/>
      <c r="H41970" s="83"/>
      <c r="K41970" s="82"/>
      <c r="M41970" s="112"/>
      <c r="N41970" s="84"/>
    </row>
    <row r="41971" spans="1:14" s="2" customFormat="1">
      <c r="A41971" s="83"/>
      <c r="H41971" s="83"/>
      <c r="K41971" s="82"/>
      <c r="M41971" s="112"/>
      <c r="N41971" s="84"/>
    </row>
    <row r="41972" spans="1:14" s="2" customFormat="1">
      <c r="A41972" s="83"/>
      <c r="H41972" s="83"/>
      <c r="K41972" s="82"/>
      <c r="M41972" s="112"/>
      <c r="N41972" s="84"/>
    </row>
    <row r="41973" spans="1:14" s="2" customFormat="1">
      <c r="A41973" s="83"/>
      <c r="H41973" s="83"/>
      <c r="K41973" s="82"/>
      <c r="M41973" s="112"/>
      <c r="N41973" s="84"/>
    </row>
    <row r="41974" spans="1:14" s="2" customFormat="1">
      <c r="A41974" s="83"/>
      <c r="H41974" s="83"/>
      <c r="K41974" s="82"/>
      <c r="M41974" s="112"/>
      <c r="N41974" s="84"/>
    </row>
    <row r="41975" spans="1:14" s="2" customFormat="1">
      <c r="A41975" s="83"/>
      <c r="H41975" s="83"/>
      <c r="K41975" s="82"/>
      <c r="M41975" s="112"/>
      <c r="N41975" s="84"/>
    </row>
    <row r="41976" spans="1:14" s="2" customFormat="1">
      <c r="A41976" s="83"/>
      <c r="H41976" s="83"/>
      <c r="K41976" s="82"/>
      <c r="M41976" s="112"/>
      <c r="N41976" s="84"/>
    </row>
    <row r="41977" spans="1:14" s="2" customFormat="1">
      <c r="A41977" s="83"/>
      <c r="H41977" s="83"/>
      <c r="K41977" s="82"/>
      <c r="M41977" s="112"/>
      <c r="N41977" s="84"/>
    </row>
    <row r="41978" spans="1:14" s="2" customFormat="1">
      <c r="A41978" s="83"/>
      <c r="H41978" s="83"/>
      <c r="K41978" s="82"/>
      <c r="M41978" s="112"/>
      <c r="N41978" s="84"/>
    </row>
    <row r="41979" spans="1:14" s="2" customFormat="1">
      <c r="A41979" s="83"/>
      <c r="H41979" s="83"/>
      <c r="K41979" s="82"/>
      <c r="M41979" s="112"/>
      <c r="N41979" s="84"/>
    </row>
    <row r="41980" spans="1:14" s="2" customFormat="1">
      <c r="A41980" s="83"/>
      <c r="H41980" s="83"/>
      <c r="K41980" s="82"/>
      <c r="M41980" s="112"/>
      <c r="N41980" s="84"/>
    </row>
    <row r="41981" spans="1:14" s="2" customFormat="1">
      <c r="A41981" s="83"/>
      <c r="H41981" s="83"/>
      <c r="K41981" s="82"/>
      <c r="M41981" s="112"/>
      <c r="N41981" s="84"/>
    </row>
    <row r="41982" spans="1:14" s="2" customFormat="1">
      <c r="A41982" s="83"/>
      <c r="H41982" s="83"/>
      <c r="K41982" s="82"/>
      <c r="M41982" s="112"/>
      <c r="N41982" s="84"/>
    </row>
    <row r="41983" spans="1:14" s="2" customFormat="1">
      <c r="A41983" s="83"/>
      <c r="H41983" s="83"/>
      <c r="K41983" s="82"/>
      <c r="M41983" s="112"/>
      <c r="N41983" s="84"/>
    </row>
    <row r="41984" spans="1:14" s="2" customFormat="1">
      <c r="A41984" s="83"/>
      <c r="H41984" s="83"/>
      <c r="K41984" s="82"/>
      <c r="M41984" s="112"/>
      <c r="N41984" s="84"/>
    </row>
    <row r="41985" spans="1:14" s="2" customFormat="1">
      <c r="A41985" s="83"/>
      <c r="H41985" s="83"/>
      <c r="K41985" s="82"/>
      <c r="M41985" s="112"/>
      <c r="N41985" s="84"/>
    </row>
    <row r="41986" spans="1:14" s="2" customFormat="1">
      <c r="A41986" s="83"/>
      <c r="H41986" s="83"/>
      <c r="K41986" s="82"/>
      <c r="M41986" s="112"/>
      <c r="N41986" s="84"/>
    </row>
    <row r="41987" spans="1:14" s="2" customFormat="1">
      <c r="A41987" s="83"/>
      <c r="H41987" s="83"/>
      <c r="K41987" s="82"/>
      <c r="M41987" s="112"/>
      <c r="N41987" s="84"/>
    </row>
    <row r="41988" spans="1:14" s="2" customFormat="1">
      <c r="A41988" s="83"/>
      <c r="H41988" s="83"/>
      <c r="K41988" s="82"/>
      <c r="M41988" s="112"/>
      <c r="N41988" s="84"/>
    </row>
    <row r="41989" spans="1:14" s="2" customFormat="1">
      <c r="A41989" s="83"/>
      <c r="H41989" s="83"/>
      <c r="K41989" s="82"/>
      <c r="M41989" s="112"/>
      <c r="N41989" s="84"/>
    </row>
    <row r="41990" spans="1:14" s="2" customFormat="1">
      <c r="A41990" s="83"/>
      <c r="H41990" s="83"/>
      <c r="K41990" s="82"/>
      <c r="M41990" s="112"/>
      <c r="N41990" s="84"/>
    </row>
    <row r="41991" spans="1:14" s="2" customFormat="1">
      <c r="A41991" s="83"/>
      <c r="H41991" s="83"/>
      <c r="K41991" s="82"/>
      <c r="M41991" s="112"/>
      <c r="N41991" s="84"/>
    </row>
    <row r="41992" spans="1:14" s="2" customFormat="1">
      <c r="A41992" s="83"/>
      <c r="H41992" s="83"/>
      <c r="K41992" s="82"/>
      <c r="M41992" s="112"/>
      <c r="N41992" s="84"/>
    </row>
    <row r="41993" spans="1:14" s="2" customFormat="1">
      <c r="A41993" s="83"/>
      <c r="H41993" s="83"/>
      <c r="K41993" s="82"/>
      <c r="M41993" s="112"/>
      <c r="N41993" s="84"/>
    </row>
    <row r="41994" spans="1:14" s="2" customFormat="1">
      <c r="A41994" s="83"/>
      <c r="H41994" s="83"/>
      <c r="K41994" s="82"/>
      <c r="M41994" s="112"/>
      <c r="N41994" s="84"/>
    </row>
    <row r="41995" spans="1:14" s="2" customFormat="1">
      <c r="A41995" s="83"/>
      <c r="H41995" s="83"/>
      <c r="K41995" s="82"/>
      <c r="M41995" s="112"/>
      <c r="N41995" s="84"/>
    </row>
    <row r="41996" spans="1:14" s="2" customFormat="1">
      <c r="A41996" s="83"/>
      <c r="H41996" s="83"/>
      <c r="K41996" s="82"/>
      <c r="M41996" s="112"/>
      <c r="N41996" s="84"/>
    </row>
    <row r="41997" spans="1:14" s="2" customFormat="1">
      <c r="A41997" s="83"/>
      <c r="H41997" s="83"/>
      <c r="K41997" s="82"/>
      <c r="M41997" s="112"/>
      <c r="N41997" s="84"/>
    </row>
    <row r="41998" spans="1:14" s="2" customFormat="1">
      <c r="A41998" s="83"/>
      <c r="H41998" s="83"/>
      <c r="K41998" s="82"/>
      <c r="M41998" s="112"/>
      <c r="N41998" s="84"/>
    </row>
    <row r="41999" spans="1:14" s="2" customFormat="1">
      <c r="A41999" s="83"/>
      <c r="H41999" s="83"/>
      <c r="K41999" s="82"/>
      <c r="M41999" s="112"/>
      <c r="N41999" s="84"/>
    </row>
    <row r="42000" spans="1:14" s="2" customFormat="1">
      <c r="A42000" s="83"/>
      <c r="H42000" s="83"/>
      <c r="K42000" s="82"/>
      <c r="M42000" s="112"/>
      <c r="N42000" s="84"/>
    </row>
    <row r="42001" spans="1:14" s="2" customFormat="1">
      <c r="A42001" s="83"/>
      <c r="H42001" s="83"/>
      <c r="K42001" s="82"/>
      <c r="M42001" s="112"/>
      <c r="N42001" s="84"/>
    </row>
    <row r="42002" spans="1:14" s="2" customFormat="1">
      <c r="A42002" s="83"/>
      <c r="H42002" s="83"/>
      <c r="K42002" s="82"/>
      <c r="M42002" s="112"/>
      <c r="N42002" s="84"/>
    </row>
    <row r="42003" spans="1:14" s="2" customFormat="1">
      <c r="A42003" s="83"/>
      <c r="H42003" s="83"/>
      <c r="K42003" s="82"/>
      <c r="M42003" s="112"/>
      <c r="N42003" s="84"/>
    </row>
    <row r="42004" spans="1:14" s="2" customFormat="1">
      <c r="A42004" s="83"/>
      <c r="H42004" s="83"/>
      <c r="K42004" s="82"/>
      <c r="M42004" s="112"/>
      <c r="N42004" s="84"/>
    </row>
    <row r="42005" spans="1:14" s="2" customFormat="1">
      <c r="A42005" s="83"/>
      <c r="H42005" s="83"/>
      <c r="K42005" s="82"/>
      <c r="M42005" s="112"/>
      <c r="N42005" s="84"/>
    </row>
    <row r="42006" spans="1:14" s="2" customFormat="1">
      <c r="A42006" s="83"/>
      <c r="H42006" s="83"/>
      <c r="K42006" s="82"/>
      <c r="M42006" s="112"/>
      <c r="N42006" s="84"/>
    </row>
    <row r="42007" spans="1:14" s="2" customFormat="1">
      <c r="A42007" s="83"/>
      <c r="H42007" s="83"/>
      <c r="K42007" s="82"/>
      <c r="M42007" s="112"/>
      <c r="N42007" s="84"/>
    </row>
    <row r="42008" spans="1:14" s="2" customFormat="1">
      <c r="A42008" s="83"/>
      <c r="H42008" s="83"/>
      <c r="K42008" s="82"/>
      <c r="M42008" s="112"/>
      <c r="N42008" s="84"/>
    </row>
    <row r="42009" spans="1:14" s="2" customFormat="1">
      <c r="A42009" s="83"/>
      <c r="H42009" s="83"/>
      <c r="K42009" s="82"/>
      <c r="M42009" s="112"/>
      <c r="N42009" s="84"/>
    </row>
    <row r="42010" spans="1:14" s="2" customFormat="1">
      <c r="A42010" s="83"/>
      <c r="H42010" s="83"/>
      <c r="K42010" s="82"/>
      <c r="M42010" s="112"/>
      <c r="N42010" s="84"/>
    </row>
    <row r="42011" spans="1:14" s="2" customFormat="1">
      <c r="A42011" s="83"/>
      <c r="H42011" s="83"/>
      <c r="K42011" s="82"/>
      <c r="M42011" s="112"/>
      <c r="N42011" s="84"/>
    </row>
    <row r="42012" spans="1:14" s="2" customFormat="1">
      <c r="A42012" s="83"/>
      <c r="H42012" s="83"/>
      <c r="K42012" s="82"/>
      <c r="M42012" s="112"/>
      <c r="N42012" s="84"/>
    </row>
    <row r="42013" spans="1:14" s="2" customFormat="1">
      <c r="A42013" s="83"/>
      <c r="H42013" s="83"/>
      <c r="K42013" s="82"/>
      <c r="M42013" s="112"/>
      <c r="N42013" s="84"/>
    </row>
    <row r="42014" spans="1:14" s="2" customFormat="1">
      <c r="A42014" s="83"/>
      <c r="H42014" s="83"/>
      <c r="K42014" s="82"/>
      <c r="M42014" s="112"/>
      <c r="N42014" s="84"/>
    </row>
    <row r="42015" spans="1:14" s="2" customFormat="1">
      <c r="A42015" s="83"/>
      <c r="H42015" s="83"/>
      <c r="K42015" s="82"/>
      <c r="M42015" s="112"/>
      <c r="N42015" s="84"/>
    </row>
    <row r="42016" spans="1:14" s="2" customFormat="1">
      <c r="A42016" s="83"/>
      <c r="H42016" s="83"/>
      <c r="K42016" s="82"/>
      <c r="M42016" s="112"/>
      <c r="N42016" s="84"/>
    </row>
    <row r="42017" spans="1:14" s="2" customFormat="1">
      <c r="A42017" s="83"/>
      <c r="H42017" s="83"/>
      <c r="K42017" s="82"/>
      <c r="M42017" s="112"/>
      <c r="N42017" s="84"/>
    </row>
    <row r="42018" spans="1:14" s="2" customFormat="1">
      <c r="A42018" s="83"/>
      <c r="H42018" s="83"/>
      <c r="K42018" s="82"/>
      <c r="M42018" s="112"/>
      <c r="N42018" s="84"/>
    </row>
    <row r="42019" spans="1:14" s="2" customFormat="1">
      <c r="A42019" s="83"/>
      <c r="H42019" s="83"/>
      <c r="K42019" s="82"/>
      <c r="M42019" s="112"/>
      <c r="N42019" s="84"/>
    </row>
    <row r="42020" spans="1:14" s="2" customFormat="1">
      <c r="A42020" s="83"/>
      <c r="H42020" s="83"/>
      <c r="K42020" s="82"/>
      <c r="M42020" s="112"/>
      <c r="N42020" s="84"/>
    </row>
    <row r="42021" spans="1:14" s="2" customFormat="1">
      <c r="A42021" s="83"/>
      <c r="H42021" s="83"/>
      <c r="K42021" s="82"/>
      <c r="M42021" s="112"/>
      <c r="N42021" s="84"/>
    </row>
    <row r="42022" spans="1:14" s="2" customFormat="1">
      <c r="A42022" s="83"/>
      <c r="H42022" s="83"/>
      <c r="K42022" s="82"/>
      <c r="M42022" s="112"/>
      <c r="N42022" s="84"/>
    </row>
    <row r="42023" spans="1:14" s="2" customFormat="1">
      <c r="A42023" s="83"/>
      <c r="H42023" s="83"/>
      <c r="K42023" s="82"/>
      <c r="M42023" s="112"/>
      <c r="N42023" s="84"/>
    </row>
    <row r="42024" spans="1:14" s="2" customFormat="1">
      <c r="A42024" s="83"/>
      <c r="H42024" s="83"/>
      <c r="K42024" s="82"/>
      <c r="M42024" s="112"/>
      <c r="N42024" s="84"/>
    </row>
    <row r="42025" spans="1:14" s="2" customFormat="1">
      <c r="A42025" s="83"/>
      <c r="H42025" s="83"/>
      <c r="K42025" s="82"/>
      <c r="M42025" s="112"/>
      <c r="N42025" s="84"/>
    </row>
    <row r="42026" spans="1:14" s="2" customFormat="1">
      <c r="A42026" s="83"/>
      <c r="H42026" s="83"/>
      <c r="K42026" s="82"/>
      <c r="M42026" s="112"/>
      <c r="N42026" s="84"/>
    </row>
    <row r="42027" spans="1:14" s="2" customFormat="1">
      <c r="A42027" s="83"/>
      <c r="H42027" s="83"/>
      <c r="K42027" s="82"/>
      <c r="M42027" s="112"/>
      <c r="N42027" s="84"/>
    </row>
    <row r="42028" spans="1:14" s="2" customFormat="1">
      <c r="A42028" s="83"/>
      <c r="H42028" s="83"/>
      <c r="K42028" s="82"/>
      <c r="M42028" s="112"/>
      <c r="N42028" s="84"/>
    </row>
    <row r="42029" spans="1:14" s="2" customFormat="1">
      <c r="A42029" s="83"/>
      <c r="H42029" s="83"/>
      <c r="K42029" s="82"/>
      <c r="M42029" s="112"/>
      <c r="N42029" s="84"/>
    </row>
    <row r="42030" spans="1:14" s="2" customFormat="1">
      <c r="A42030" s="83"/>
      <c r="H42030" s="83"/>
      <c r="K42030" s="82"/>
      <c r="M42030" s="112"/>
      <c r="N42030" s="84"/>
    </row>
    <row r="42031" spans="1:14" s="2" customFormat="1">
      <c r="A42031" s="83"/>
      <c r="H42031" s="83"/>
      <c r="K42031" s="82"/>
      <c r="M42031" s="112"/>
      <c r="N42031" s="84"/>
    </row>
    <row r="42032" spans="1:14" s="2" customFormat="1">
      <c r="A42032" s="83"/>
      <c r="H42032" s="83"/>
      <c r="K42032" s="82"/>
      <c r="M42032" s="112"/>
      <c r="N42032" s="84"/>
    </row>
    <row r="42033" spans="1:14" s="2" customFormat="1">
      <c r="A42033" s="83"/>
      <c r="H42033" s="83"/>
      <c r="K42033" s="82"/>
      <c r="M42033" s="112"/>
      <c r="N42033" s="84"/>
    </row>
    <row r="42034" spans="1:14" s="2" customFormat="1">
      <c r="A42034" s="83"/>
      <c r="H42034" s="83"/>
      <c r="K42034" s="82"/>
      <c r="M42034" s="112"/>
      <c r="N42034" s="84"/>
    </row>
    <row r="42035" spans="1:14" s="2" customFormat="1">
      <c r="A42035" s="83"/>
      <c r="H42035" s="83"/>
      <c r="K42035" s="82"/>
      <c r="M42035" s="112"/>
      <c r="N42035" s="84"/>
    </row>
    <row r="42036" spans="1:14" s="2" customFormat="1">
      <c r="A42036" s="83"/>
      <c r="H42036" s="83"/>
      <c r="K42036" s="82"/>
      <c r="M42036" s="112"/>
      <c r="N42036" s="84"/>
    </row>
    <row r="42037" spans="1:14" s="2" customFormat="1">
      <c r="A42037" s="83"/>
      <c r="H42037" s="83"/>
      <c r="K42037" s="82"/>
      <c r="M42037" s="112"/>
      <c r="N42037" s="84"/>
    </row>
    <row r="42038" spans="1:14" s="2" customFormat="1">
      <c r="A42038" s="83"/>
      <c r="H42038" s="83"/>
      <c r="K42038" s="82"/>
      <c r="M42038" s="112"/>
      <c r="N42038" s="84"/>
    </row>
    <row r="42039" spans="1:14" s="2" customFormat="1">
      <c r="A42039" s="83"/>
      <c r="H42039" s="83"/>
      <c r="K42039" s="82"/>
      <c r="M42039" s="112"/>
      <c r="N42039" s="84"/>
    </row>
    <row r="42040" spans="1:14" s="2" customFormat="1">
      <c r="A42040" s="83"/>
      <c r="H42040" s="83"/>
      <c r="K42040" s="82"/>
      <c r="M42040" s="112"/>
      <c r="N42040" s="84"/>
    </row>
    <row r="42041" spans="1:14" s="2" customFormat="1">
      <c r="A42041" s="83"/>
      <c r="H42041" s="83"/>
      <c r="K42041" s="82"/>
      <c r="M42041" s="112"/>
      <c r="N42041" s="84"/>
    </row>
    <row r="42042" spans="1:14" s="2" customFormat="1">
      <c r="A42042" s="83"/>
      <c r="H42042" s="83"/>
      <c r="K42042" s="82"/>
      <c r="M42042" s="112"/>
      <c r="N42042" s="84"/>
    </row>
    <row r="42043" spans="1:14" s="2" customFormat="1">
      <c r="A42043" s="83"/>
      <c r="H42043" s="83"/>
      <c r="K42043" s="82"/>
      <c r="M42043" s="112"/>
      <c r="N42043" s="84"/>
    </row>
    <row r="42044" spans="1:14" s="2" customFormat="1">
      <c r="A42044" s="83"/>
      <c r="H42044" s="83"/>
      <c r="K42044" s="82"/>
      <c r="M42044" s="112"/>
      <c r="N42044" s="84"/>
    </row>
    <row r="42045" spans="1:14" s="2" customFormat="1">
      <c r="A42045" s="83"/>
      <c r="H42045" s="83"/>
      <c r="K42045" s="82"/>
      <c r="M42045" s="112"/>
      <c r="N42045" s="84"/>
    </row>
    <row r="42046" spans="1:14" s="2" customFormat="1">
      <c r="A42046" s="83"/>
      <c r="H42046" s="83"/>
      <c r="K42046" s="82"/>
      <c r="M42046" s="112"/>
      <c r="N42046" s="84"/>
    </row>
    <row r="42047" spans="1:14" s="2" customFormat="1">
      <c r="A42047" s="83"/>
      <c r="H42047" s="83"/>
      <c r="K42047" s="82"/>
      <c r="M42047" s="112"/>
      <c r="N42047" s="84"/>
    </row>
    <row r="42048" spans="1:14" s="2" customFormat="1">
      <c r="A42048" s="83"/>
      <c r="H42048" s="83"/>
      <c r="K42048" s="82"/>
      <c r="M42048" s="112"/>
      <c r="N42048" s="84"/>
    </row>
    <row r="42049" spans="1:14" s="2" customFormat="1">
      <c r="A42049" s="83"/>
      <c r="H42049" s="83"/>
      <c r="K42049" s="82"/>
      <c r="M42049" s="112"/>
      <c r="N42049" s="84"/>
    </row>
    <row r="42050" spans="1:14" s="2" customFormat="1">
      <c r="A42050" s="83"/>
      <c r="H42050" s="83"/>
      <c r="K42050" s="82"/>
      <c r="M42050" s="112"/>
      <c r="N42050" s="84"/>
    </row>
    <row r="42051" spans="1:14" s="2" customFormat="1">
      <c r="A42051" s="83"/>
      <c r="H42051" s="83"/>
      <c r="K42051" s="82"/>
      <c r="M42051" s="112"/>
      <c r="N42051" s="84"/>
    </row>
    <row r="42052" spans="1:14" s="2" customFormat="1">
      <c r="A42052" s="83"/>
      <c r="H42052" s="83"/>
      <c r="K42052" s="82"/>
      <c r="M42052" s="112"/>
      <c r="N42052" s="84"/>
    </row>
    <row r="42053" spans="1:14" s="2" customFormat="1">
      <c r="A42053" s="83"/>
      <c r="H42053" s="83"/>
      <c r="K42053" s="82"/>
      <c r="M42053" s="112"/>
      <c r="N42053" s="84"/>
    </row>
    <row r="42054" spans="1:14" s="2" customFormat="1">
      <c r="A42054" s="83"/>
      <c r="H42054" s="83"/>
      <c r="K42054" s="82"/>
      <c r="M42054" s="112"/>
      <c r="N42054" s="84"/>
    </row>
    <row r="42055" spans="1:14" s="2" customFormat="1">
      <c r="A42055" s="83"/>
      <c r="H42055" s="83"/>
      <c r="K42055" s="82"/>
      <c r="M42055" s="112"/>
      <c r="N42055" s="84"/>
    </row>
    <row r="42056" spans="1:14" s="2" customFormat="1">
      <c r="A42056" s="83"/>
      <c r="H42056" s="83"/>
      <c r="K42056" s="82"/>
      <c r="M42056" s="112"/>
      <c r="N42056" s="84"/>
    </row>
    <row r="42057" spans="1:14" s="2" customFormat="1">
      <c r="A42057" s="83"/>
      <c r="H42057" s="83"/>
      <c r="K42057" s="82"/>
      <c r="M42057" s="112"/>
      <c r="N42057" s="84"/>
    </row>
    <row r="42058" spans="1:14" s="2" customFormat="1">
      <c r="A42058" s="83"/>
      <c r="H42058" s="83"/>
      <c r="K42058" s="82"/>
      <c r="M42058" s="112"/>
      <c r="N42058" s="84"/>
    </row>
    <row r="42059" spans="1:14" s="2" customFormat="1">
      <c r="A42059" s="83"/>
      <c r="H42059" s="83"/>
      <c r="K42059" s="82"/>
      <c r="M42059" s="112"/>
      <c r="N42059" s="84"/>
    </row>
    <row r="42060" spans="1:14" s="2" customFormat="1">
      <c r="A42060" s="83"/>
      <c r="H42060" s="83"/>
      <c r="K42060" s="82"/>
      <c r="M42060" s="112"/>
      <c r="N42060" s="84"/>
    </row>
    <row r="42061" spans="1:14" s="2" customFormat="1">
      <c r="A42061" s="83"/>
      <c r="H42061" s="83"/>
      <c r="K42061" s="82"/>
      <c r="M42061" s="112"/>
      <c r="N42061" s="84"/>
    </row>
    <row r="42062" spans="1:14" s="2" customFormat="1">
      <c r="A42062" s="83"/>
      <c r="H42062" s="83"/>
      <c r="K42062" s="82"/>
      <c r="M42062" s="112"/>
      <c r="N42062" s="84"/>
    </row>
    <row r="42063" spans="1:14" s="2" customFormat="1">
      <c r="A42063" s="83"/>
      <c r="H42063" s="83"/>
      <c r="K42063" s="82"/>
      <c r="M42063" s="112"/>
      <c r="N42063" s="84"/>
    </row>
    <row r="42064" spans="1:14" s="2" customFormat="1">
      <c r="A42064" s="83"/>
      <c r="H42064" s="83"/>
      <c r="K42064" s="82"/>
      <c r="M42064" s="112"/>
      <c r="N42064" s="84"/>
    </row>
    <row r="42065" spans="1:14" s="2" customFormat="1">
      <c r="A42065" s="83"/>
      <c r="H42065" s="83"/>
      <c r="K42065" s="82"/>
      <c r="M42065" s="112"/>
      <c r="N42065" s="84"/>
    </row>
    <row r="42066" spans="1:14" s="2" customFormat="1">
      <c r="A42066" s="83"/>
      <c r="H42066" s="83"/>
      <c r="K42066" s="82"/>
      <c r="M42066" s="112"/>
      <c r="N42066" s="84"/>
    </row>
    <row r="42067" spans="1:14" s="2" customFormat="1">
      <c r="A42067" s="83"/>
      <c r="H42067" s="83"/>
      <c r="K42067" s="82"/>
      <c r="M42067" s="112"/>
      <c r="N42067" s="84"/>
    </row>
    <row r="42068" spans="1:14" s="2" customFormat="1">
      <c r="A42068" s="83"/>
      <c r="H42068" s="83"/>
      <c r="K42068" s="82"/>
      <c r="M42068" s="112"/>
      <c r="N42068" s="84"/>
    </row>
    <row r="42069" spans="1:14" s="2" customFormat="1">
      <c r="A42069" s="83"/>
      <c r="H42069" s="83"/>
      <c r="K42069" s="82"/>
      <c r="M42069" s="112"/>
      <c r="N42069" s="84"/>
    </row>
    <row r="42070" spans="1:14" s="2" customFormat="1">
      <c r="A42070" s="83"/>
      <c r="H42070" s="83"/>
      <c r="K42070" s="82"/>
      <c r="M42070" s="112"/>
      <c r="N42070" s="84"/>
    </row>
    <row r="42071" spans="1:14" s="2" customFormat="1">
      <c r="A42071" s="83"/>
      <c r="H42071" s="83"/>
      <c r="K42071" s="82"/>
      <c r="M42071" s="112"/>
      <c r="N42071" s="84"/>
    </row>
    <row r="42072" spans="1:14" s="2" customFormat="1">
      <c r="A42072" s="83"/>
      <c r="H42072" s="83"/>
      <c r="K42072" s="82"/>
      <c r="M42072" s="112"/>
      <c r="N42072" s="84"/>
    </row>
    <row r="42073" spans="1:14" s="2" customFormat="1">
      <c r="A42073" s="83"/>
      <c r="H42073" s="83"/>
      <c r="K42073" s="82"/>
      <c r="M42073" s="112"/>
      <c r="N42073" s="84"/>
    </row>
    <row r="42074" spans="1:14" s="2" customFormat="1">
      <c r="A42074" s="83"/>
      <c r="H42074" s="83"/>
      <c r="K42074" s="82"/>
      <c r="M42074" s="112"/>
      <c r="N42074" s="84"/>
    </row>
    <row r="42075" spans="1:14" s="2" customFormat="1">
      <c r="A42075" s="83"/>
      <c r="H42075" s="83"/>
      <c r="K42075" s="82"/>
      <c r="M42075" s="112"/>
      <c r="N42075" s="84"/>
    </row>
    <row r="42076" spans="1:14" s="2" customFormat="1">
      <c r="A42076" s="83"/>
      <c r="H42076" s="83"/>
      <c r="K42076" s="82"/>
      <c r="M42076" s="112"/>
      <c r="N42076" s="84"/>
    </row>
    <row r="42077" spans="1:14" s="2" customFormat="1">
      <c r="A42077" s="83"/>
      <c r="H42077" s="83"/>
      <c r="K42077" s="82"/>
      <c r="M42077" s="112"/>
      <c r="N42077" s="84"/>
    </row>
    <row r="42078" spans="1:14" s="2" customFormat="1">
      <c r="A42078" s="83"/>
      <c r="H42078" s="83"/>
      <c r="K42078" s="82"/>
      <c r="M42078" s="112"/>
      <c r="N42078" s="84"/>
    </row>
    <row r="42079" spans="1:14" s="2" customFormat="1">
      <c r="A42079" s="83"/>
      <c r="H42079" s="83"/>
      <c r="K42079" s="82"/>
      <c r="M42079" s="112"/>
      <c r="N42079" s="84"/>
    </row>
    <row r="42080" spans="1:14" s="2" customFormat="1">
      <c r="A42080" s="83"/>
      <c r="H42080" s="83"/>
      <c r="K42080" s="82"/>
      <c r="M42080" s="112"/>
      <c r="N42080" s="84"/>
    </row>
    <row r="42081" spans="1:14" s="2" customFormat="1">
      <c r="A42081" s="83"/>
      <c r="H42081" s="83"/>
      <c r="K42081" s="82"/>
      <c r="M42081" s="112"/>
      <c r="N42081" s="84"/>
    </row>
    <row r="42082" spans="1:14" s="2" customFormat="1">
      <c r="A42082" s="83"/>
      <c r="H42082" s="83"/>
      <c r="K42082" s="82"/>
      <c r="M42082" s="112"/>
      <c r="N42082" s="84"/>
    </row>
    <row r="42083" spans="1:14" s="2" customFormat="1">
      <c r="A42083" s="83"/>
      <c r="H42083" s="83"/>
      <c r="K42083" s="82"/>
      <c r="M42083" s="112"/>
      <c r="N42083" s="84"/>
    </row>
    <row r="42084" spans="1:14" s="2" customFormat="1">
      <c r="A42084" s="83"/>
      <c r="H42084" s="83"/>
      <c r="K42084" s="82"/>
      <c r="M42084" s="112"/>
      <c r="N42084" s="84"/>
    </row>
    <row r="42085" spans="1:14" s="2" customFormat="1">
      <c r="A42085" s="83"/>
      <c r="H42085" s="83"/>
      <c r="K42085" s="82"/>
      <c r="M42085" s="112"/>
      <c r="N42085" s="84"/>
    </row>
    <row r="42086" spans="1:14" s="2" customFormat="1">
      <c r="A42086" s="83"/>
      <c r="H42086" s="83"/>
      <c r="K42086" s="82"/>
      <c r="M42086" s="112"/>
      <c r="N42086" s="84"/>
    </row>
    <row r="42087" spans="1:14" s="2" customFormat="1">
      <c r="A42087" s="83"/>
      <c r="H42087" s="83"/>
      <c r="K42087" s="82"/>
      <c r="M42087" s="112"/>
      <c r="N42087" s="84"/>
    </row>
    <row r="42088" spans="1:14" s="2" customFormat="1">
      <c r="A42088" s="83"/>
      <c r="H42088" s="83"/>
      <c r="K42088" s="82"/>
      <c r="M42088" s="112"/>
      <c r="N42088" s="84"/>
    </row>
    <row r="42089" spans="1:14" s="2" customFormat="1">
      <c r="A42089" s="83"/>
      <c r="H42089" s="83"/>
      <c r="K42089" s="82"/>
      <c r="M42089" s="112"/>
      <c r="N42089" s="84"/>
    </row>
    <row r="42090" spans="1:14" s="2" customFormat="1">
      <c r="A42090" s="83"/>
      <c r="H42090" s="83"/>
      <c r="K42090" s="82"/>
      <c r="M42090" s="112"/>
      <c r="N42090" s="84"/>
    </row>
    <row r="42091" spans="1:14" s="2" customFormat="1">
      <c r="A42091" s="83"/>
      <c r="H42091" s="83"/>
      <c r="K42091" s="82"/>
      <c r="M42091" s="112"/>
      <c r="N42091" s="84"/>
    </row>
    <row r="42092" spans="1:14" s="2" customFormat="1">
      <c r="A42092" s="83"/>
      <c r="H42092" s="83"/>
      <c r="K42092" s="82"/>
      <c r="M42092" s="112"/>
      <c r="N42092" s="84"/>
    </row>
    <row r="42093" spans="1:14" s="2" customFormat="1">
      <c r="A42093" s="83"/>
      <c r="H42093" s="83"/>
      <c r="K42093" s="82"/>
      <c r="M42093" s="112"/>
      <c r="N42093" s="84"/>
    </row>
    <row r="42094" spans="1:14" s="2" customFormat="1">
      <c r="A42094" s="83"/>
      <c r="H42094" s="83"/>
      <c r="K42094" s="82"/>
      <c r="M42094" s="112"/>
      <c r="N42094" s="84"/>
    </row>
    <row r="42095" spans="1:14" s="2" customFormat="1">
      <c r="A42095" s="83"/>
      <c r="H42095" s="83"/>
      <c r="K42095" s="82"/>
      <c r="M42095" s="112"/>
      <c r="N42095" s="84"/>
    </row>
    <row r="42096" spans="1:14" s="2" customFormat="1">
      <c r="A42096" s="83"/>
      <c r="H42096" s="83"/>
      <c r="K42096" s="82"/>
      <c r="M42096" s="112"/>
      <c r="N42096" s="84"/>
    </row>
    <row r="42097" spans="1:14" s="2" customFormat="1">
      <c r="A42097" s="83"/>
      <c r="H42097" s="83"/>
      <c r="K42097" s="82"/>
      <c r="M42097" s="112"/>
      <c r="N42097" s="84"/>
    </row>
    <row r="42098" spans="1:14" s="2" customFormat="1">
      <c r="A42098" s="83"/>
      <c r="H42098" s="83"/>
      <c r="K42098" s="82"/>
      <c r="M42098" s="112"/>
      <c r="N42098" s="84"/>
    </row>
    <row r="42099" spans="1:14" s="2" customFormat="1">
      <c r="A42099" s="83"/>
      <c r="H42099" s="83"/>
      <c r="K42099" s="82"/>
      <c r="M42099" s="112"/>
      <c r="N42099" s="84"/>
    </row>
    <row r="42100" spans="1:14" s="2" customFormat="1">
      <c r="A42100" s="83"/>
      <c r="H42100" s="83"/>
      <c r="K42100" s="82"/>
      <c r="M42100" s="112"/>
      <c r="N42100" s="84"/>
    </row>
    <row r="42101" spans="1:14" s="2" customFormat="1">
      <c r="A42101" s="83"/>
      <c r="H42101" s="83"/>
      <c r="K42101" s="82"/>
      <c r="M42101" s="112"/>
      <c r="N42101" s="84"/>
    </row>
    <row r="42102" spans="1:14" s="2" customFormat="1">
      <c r="A42102" s="83"/>
      <c r="H42102" s="83"/>
      <c r="K42102" s="82"/>
      <c r="M42102" s="112"/>
      <c r="N42102" s="84"/>
    </row>
    <row r="42103" spans="1:14" s="2" customFormat="1">
      <c r="A42103" s="83"/>
      <c r="H42103" s="83"/>
      <c r="K42103" s="82"/>
      <c r="M42103" s="112"/>
      <c r="N42103" s="84"/>
    </row>
    <row r="42104" spans="1:14" s="2" customFormat="1">
      <c r="A42104" s="83"/>
      <c r="H42104" s="83"/>
      <c r="K42104" s="82"/>
      <c r="M42104" s="112"/>
      <c r="N42104" s="84"/>
    </row>
    <row r="42105" spans="1:14" s="2" customFormat="1">
      <c r="A42105" s="83"/>
      <c r="H42105" s="83"/>
      <c r="K42105" s="82"/>
      <c r="M42105" s="112"/>
      <c r="N42105" s="84"/>
    </row>
    <row r="42106" spans="1:14" s="2" customFormat="1">
      <c r="A42106" s="83"/>
      <c r="H42106" s="83"/>
      <c r="K42106" s="82"/>
      <c r="M42106" s="112"/>
      <c r="N42106" s="84"/>
    </row>
    <row r="42107" spans="1:14" s="2" customFormat="1">
      <c r="A42107" s="83"/>
      <c r="H42107" s="83"/>
      <c r="K42107" s="82"/>
      <c r="M42107" s="112"/>
      <c r="N42107" s="84"/>
    </row>
    <row r="42108" spans="1:14" s="2" customFormat="1">
      <c r="A42108" s="83"/>
      <c r="H42108" s="83"/>
      <c r="K42108" s="82"/>
      <c r="M42108" s="112"/>
      <c r="N42108" s="84"/>
    </row>
    <row r="42109" spans="1:14" s="2" customFormat="1">
      <c r="A42109" s="83"/>
      <c r="H42109" s="83"/>
      <c r="K42109" s="82"/>
      <c r="M42109" s="112"/>
      <c r="N42109" s="84"/>
    </row>
    <row r="42110" spans="1:14" s="2" customFormat="1">
      <c r="A42110" s="83"/>
      <c r="H42110" s="83"/>
      <c r="K42110" s="82"/>
      <c r="M42110" s="112"/>
      <c r="N42110" s="84"/>
    </row>
    <row r="42111" spans="1:14" s="2" customFormat="1">
      <c r="A42111" s="83"/>
      <c r="H42111" s="83"/>
      <c r="K42111" s="82"/>
      <c r="M42111" s="112"/>
      <c r="N42111" s="84"/>
    </row>
    <row r="42112" spans="1:14" s="2" customFormat="1">
      <c r="A42112" s="83"/>
      <c r="H42112" s="83"/>
      <c r="K42112" s="82"/>
      <c r="M42112" s="112"/>
      <c r="N42112" s="84"/>
    </row>
    <row r="42113" spans="1:14" s="2" customFormat="1">
      <c r="A42113" s="83"/>
      <c r="H42113" s="83"/>
      <c r="K42113" s="82"/>
      <c r="M42113" s="112"/>
      <c r="N42113" s="84"/>
    </row>
    <row r="42114" spans="1:14" s="2" customFormat="1">
      <c r="A42114" s="83"/>
      <c r="H42114" s="83"/>
      <c r="K42114" s="82"/>
      <c r="M42114" s="112"/>
      <c r="N42114" s="84"/>
    </row>
    <row r="42115" spans="1:14" s="2" customFormat="1">
      <c r="A42115" s="83"/>
      <c r="H42115" s="83"/>
      <c r="K42115" s="82"/>
      <c r="M42115" s="112"/>
      <c r="N42115" s="84"/>
    </row>
    <row r="42116" spans="1:14" s="2" customFormat="1">
      <c r="A42116" s="83"/>
      <c r="H42116" s="83"/>
      <c r="K42116" s="82"/>
      <c r="M42116" s="112"/>
      <c r="N42116" s="84"/>
    </row>
    <row r="42117" spans="1:14" s="2" customFormat="1">
      <c r="A42117" s="83"/>
      <c r="H42117" s="83"/>
      <c r="K42117" s="82"/>
      <c r="M42117" s="112"/>
      <c r="N42117" s="84"/>
    </row>
    <row r="42118" spans="1:14" s="2" customFormat="1">
      <c r="A42118" s="83"/>
      <c r="H42118" s="83"/>
      <c r="K42118" s="82"/>
      <c r="M42118" s="112"/>
      <c r="N42118" s="84"/>
    </row>
    <row r="42119" spans="1:14" s="2" customFormat="1">
      <c r="A42119" s="83"/>
      <c r="H42119" s="83"/>
      <c r="K42119" s="82"/>
      <c r="M42119" s="112"/>
      <c r="N42119" s="84"/>
    </row>
    <row r="42120" spans="1:14" s="2" customFormat="1">
      <c r="A42120" s="83"/>
      <c r="H42120" s="83"/>
      <c r="K42120" s="82"/>
      <c r="M42120" s="112"/>
      <c r="N42120" s="84"/>
    </row>
    <row r="42121" spans="1:14" s="2" customFormat="1">
      <c r="A42121" s="83"/>
      <c r="H42121" s="83"/>
      <c r="K42121" s="82"/>
      <c r="M42121" s="112"/>
      <c r="N42121" s="84"/>
    </row>
    <row r="42122" spans="1:14" s="2" customFormat="1">
      <c r="A42122" s="83"/>
      <c r="H42122" s="83"/>
      <c r="K42122" s="82"/>
      <c r="M42122" s="112"/>
      <c r="N42122" s="84"/>
    </row>
    <row r="42123" spans="1:14" s="2" customFormat="1">
      <c r="A42123" s="83"/>
      <c r="H42123" s="83"/>
      <c r="K42123" s="82"/>
      <c r="M42123" s="112"/>
      <c r="N42123" s="84"/>
    </row>
    <row r="42124" spans="1:14" s="2" customFormat="1">
      <c r="A42124" s="83"/>
      <c r="H42124" s="83"/>
      <c r="K42124" s="82"/>
      <c r="M42124" s="112"/>
      <c r="N42124" s="84"/>
    </row>
    <row r="42125" spans="1:14" s="2" customFormat="1">
      <c r="A42125" s="83"/>
      <c r="H42125" s="83"/>
      <c r="K42125" s="82"/>
      <c r="M42125" s="112"/>
      <c r="N42125" s="84"/>
    </row>
    <row r="42126" spans="1:14" s="2" customFormat="1">
      <c r="A42126" s="83"/>
      <c r="H42126" s="83"/>
      <c r="K42126" s="82"/>
      <c r="M42126" s="112"/>
      <c r="N42126" s="84"/>
    </row>
    <row r="42127" spans="1:14" s="2" customFormat="1">
      <c r="A42127" s="83"/>
      <c r="H42127" s="83"/>
      <c r="K42127" s="82"/>
      <c r="M42127" s="112"/>
      <c r="N42127" s="84"/>
    </row>
    <row r="42128" spans="1:14" s="2" customFormat="1">
      <c r="A42128" s="83"/>
      <c r="H42128" s="83"/>
      <c r="K42128" s="82"/>
      <c r="M42128" s="112"/>
      <c r="N42128" s="84"/>
    </row>
    <row r="42129" spans="1:14" s="2" customFormat="1">
      <c r="A42129" s="83"/>
      <c r="H42129" s="83"/>
      <c r="K42129" s="82"/>
      <c r="M42129" s="112"/>
      <c r="N42129" s="84"/>
    </row>
    <row r="42130" spans="1:14" s="2" customFormat="1">
      <c r="A42130" s="83"/>
      <c r="H42130" s="83"/>
      <c r="K42130" s="82"/>
      <c r="M42130" s="112"/>
      <c r="N42130" s="84"/>
    </row>
    <row r="42131" spans="1:14" s="2" customFormat="1">
      <c r="A42131" s="83"/>
      <c r="H42131" s="83"/>
      <c r="K42131" s="82"/>
      <c r="M42131" s="112"/>
      <c r="N42131" s="84"/>
    </row>
    <row r="42132" spans="1:14" s="2" customFormat="1">
      <c r="A42132" s="83"/>
      <c r="H42132" s="83"/>
      <c r="K42132" s="82"/>
      <c r="M42132" s="112"/>
      <c r="N42132" s="84"/>
    </row>
    <row r="42133" spans="1:14" s="2" customFormat="1">
      <c r="A42133" s="83"/>
      <c r="H42133" s="83"/>
      <c r="K42133" s="82"/>
      <c r="M42133" s="112"/>
      <c r="N42133" s="84"/>
    </row>
    <row r="42134" spans="1:14" s="2" customFormat="1">
      <c r="A42134" s="83"/>
      <c r="H42134" s="83"/>
      <c r="K42134" s="82"/>
      <c r="M42134" s="112"/>
      <c r="N42134" s="84"/>
    </row>
    <row r="42135" spans="1:14" s="2" customFormat="1">
      <c r="A42135" s="83"/>
      <c r="H42135" s="83"/>
      <c r="K42135" s="82"/>
      <c r="M42135" s="112"/>
      <c r="N42135" s="84"/>
    </row>
    <row r="42136" spans="1:14" s="2" customFormat="1">
      <c r="A42136" s="83"/>
      <c r="H42136" s="83"/>
      <c r="K42136" s="82"/>
      <c r="M42136" s="112"/>
      <c r="N42136" s="84"/>
    </row>
    <row r="42137" spans="1:14" s="2" customFormat="1">
      <c r="A42137" s="83"/>
      <c r="H42137" s="83"/>
      <c r="K42137" s="82"/>
      <c r="M42137" s="112"/>
      <c r="N42137" s="84"/>
    </row>
    <row r="42138" spans="1:14" s="2" customFormat="1">
      <c r="A42138" s="83"/>
      <c r="H42138" s="83"/>
      <c r="K42138" s="82"/>
      <c r="M42138" s="112"/>
      <c r="N42138" s="84"/>
    </row>
    <row r="42139" spans="1:14" s="2" customFormat="1">
      <c r="A42139" s="83"/>
      <c r="H42139" s="83"/>
      <c r="K42139" s="82"/>
      <c r="M42139" s="112"/>
      <c r="N42139" s="84"/>
    </row>
    <row r="42140" spans="1:14" s="2" customFormat="1">
      <c r="A42140" s="83"/>
      <c r="H42140" s="83"/>
      <c r="K42140" s="82"/>
      <c r="M42140" s="112"/>
      <c r="N42140" s="84"/>
    </row>
    <row r="42141" spans="1:14" s="2" customFormat="1">
      <c r="A42141" s="83"/>
      <c r="H42141" s="83"/>
      <c r="K42141" s="82"/>
      <c r="M42141" s="112"/>
      <c r="N42141" s="84"/>
    </row>
    <row r="42142" spans="1:14" s="2" customFormat="1">
      <c r="A42142" s="83"/>
      <c r="H42142" s="83"/>
      <c r="K42142" s="82"/>
      <c r="M42142" s="112"/>
      <c r="N42142" s="84"/>
    </row>
    <row r="42143" spans="1:14" s="2" customFormat="1">
      <c r="A42143" s="83"/>
      <c r="H42143" s="83"/>
      <c r="K42143" s="82"/>
      <c r="M42143" s="112"/>
      <c r="N42143" s="84"/>
    </row>
    <row r="42144" spans="1:14" s="2" customFormat="1">
      <c r="A42144" s="83"/>
      <c r="H42144" s="83"/>
      <c r="K42144" s="82"/>
      <c r="M42144" s="112"/>
      <c r="N42144" s="84"/>
    </row>
    <row r="42145" spans="1:14" s="2" customFormat="1">
      <c r="A42145" s="83"/>
      <c r="H42145" s="83"/>
      <c r="K42145" s="82"/>
      <c r="M42145" s="112"/>
      <c r="N42145" s="84"/>
    </row>
    <row r="42146" spans="1:14" s="2" customFormat="1">
      <c r="A42146" s="83"/>
      <c r="H42146" s="83"/>
      <c r="K42146" s="82"/>
      <c r="M42146" s="112"/>
      <c r="N42146" s="84"/>
    </row>
    <row r="42147" spans="1:14" s="2" customFormat="1">
      <c r="A42147" s="83"/>
      <c r="H42147" s="83"/>
      <c r="K42147" s="82"/>
      <c r="M42147" s="112"/>
      <c r="N42147" s="84"/>
    </row>
    <row r="42148" spans="1:14" s="2" customFormat="1">
      <c r="A42148" s="83"/>
      <c r="H42148" s="83"/>
      <c r="K42148" s="82"/>
      <c r="M42148" s="112"/>
      <c r="N42148" s="84"/>
    </row>
    <row r="42149" spans="1:14" s="2" customFormat="1">
      <c r="A42149" s="83"/>
      <c r="H42149" s="83"/>
      <c r="K42149" s="82"/>
      <c r="M42149" s="112"/>
      <c r="N42149" s="84"/>
    </row>
    <row r="42150" spans="1:14" s="2" customFormat="1">
      <c r="A42150" s="83"/>
      <c r="H42150" s="83"/>
      <c r="K42150" s="82"/>
      <c r="M42150" s="112"/>
      <c r="N42150" s="84"/>
    </row>
    <row r="42151" spans="1:14" s="2" customFormat="1">
      <c r="A42151" s="83"/>
      <c r="H42151" s="83"/>
      <c r="K42151" s="82"/>
      <c r="M42151" s="112"/>
      <c r="N42151" s="84"/>
    </row>
    <row r="42152" spans="1:14" s="2" customFormat="1">
      <c r="A42152" s="83"/>
      <c r="H42152" s="83"/>
      <c r="K42152" s="82"/>
      <c r="M42152" s="112"/>
      <c r="N42152" s="84"/>
    </row>
    <row r="42153" spans="1:14" s="2" customFormat="1">
      <c r="A42153" s="83"/>
      <c r="H42153" s="83"/>
      <c r="K42153" s="82"/>
      <c r="M42153" s="112"/>
      <c r="N42153" s="84"/>
    </row>
    <row r="42154" spans="1:14" s="2" customFormat="1">
      <c r="A42154" s="83"/>
      <c r="H42154" s="83"/>
      <c r="K42154" s="82"/>
      <c r="M42154" s="112"/>
      <c r="N42154" s="84"/>
    </row>
    <row r="42155" spans="1:14" s="2" customFormat="1">
      <c r="A42155" s="83"/>
      <c r="H42155" s="83"/>
      <c r="K42155" s="82"/>
      <c r="M42155" s="112"/>
      <c r="N42155" s="84"/>
    </row>
    <row r="42156" spans="1:14" s="2" customFormat="1">
      <c r="A42156" s="83"/>
      <c r="H42156" s="83"/>
      <c r="K42156" s="82"/>
      <c r="M42156" s="112"/>
      <c r="N42156" s="84"/>
    </row>
    <row r="42157" spans="1:14" s="2" customFormat="1">
      <c r="A42157" s="83"/>
      <c r="H42157" s="83"/>
      <c r="K42157" s="82"/>
      <c r="M42157" s="112"/>
      <c r="N42157" s="84"/>
    </row>
    <row r="42158" spans="1:14" s="2" customFormat="1">
      <c r="A42158" s="83"/>
      <c r="H42158" s="83"/>
      <c r="K42158" s="82"/>
      <c r="M42158" s="112"/>
      <c r="N42158" s="84"/>
    </row>
    <row r="42159" spans="1:14" s="2" customFormat="1">
      <c r="A42159" s="83"/>
      <c r="H42159" s="83"/>
      <c r="K42159" s="82"/>
      <c r="M42159" s="112"/>
      <c r="N42159" s="84"/>
    </row>
    <row r="42160" spans="1:14" s="2" customFormat="1">
      <c r="A42160" s="83"/>
      <c r="H42160" s="83"/>
      <c r="K42160" s="82"/>
      <c r="M42160" s="112"/>
      <c r="N42160" s="84"/>
    </row>
    <row r="42161" spans="1:14" s="2" customFormat="1">
      <c r="A42161" s="83"/>
      <c r="H42161" s="83"/>
      <c r="K42161" s="82"/>
      <c r="M42161" s="112"/>
      <c r="N42161" s="84"/>
    </row>
    <row r="42162" spans="1:14" s="2" customFormat="1">
      <c r="A42162" s="83"/>
      <c r="H42162" s="83"/>
      <c r="K42162" s="82"/>
      <c r="M42162" s="112"/>
      <c r="N42162" s="84"/>
    </row>
    <row r="42163" spans="1:14" s="2" customFormat="1">
      <c r="A42163" s="83"/>
      <c r="H42163" s="83"/>
      <c r="K42163" s="82"/>
      <c r="M42163" s="112"/>
      <c r="N42163" s="84"/>
    </row>
    <row r="42164" spans="1:14" s="2" customFormat="1">
      <c r="A42164" s="83"/>
      <c r="H42164" s="83"/>
      <c r="K42164" s="82"/>
      <c r="M42164" s="112"/>
      <c r="N42164" s="84"/>
    </row>
    <row r="42165" spans="1:14" s="2" customFormat="1">
      <c r="A42165" s="83"/>
      <c r="H42165" s="83"/>
      <c r="K42165" s="82"/>
      <c r="M42165" s="112"/>
      <c r="N42165" s="84"/>
    </row>
    <row r="42166" spans="1:14" s="2" customFormat="1">
      <c r="A42166" s="83"/>
      <c r="H42166" s="83"/>
      <c r="K42166" s="82"/>
      <c r="M42166" s="112"/>
      <c r="N42166" s="84"/>
    </row>
    <row r="42167" spans="1:14" s="2" customFormat="1">
      <c r="A42167" s="83"/>
      <c r="H42167" s="83"/>
      <c r="K42167" s="82"/>
      <c r="M42167" s="112"/>
      <c r="N42167" s="84"/>
    </row>
    <row r="42168" spans="1:14" s="2" customFormat="1">
      <c r="A42168" s="83"/>
      <c r="H42168" s="83"/>
      <c r="K42168" s="82"/>
      <c r="M42168" s="112"/>
      <c r="N42168" s="84"/>
    </row>
    <row r="42169" spans="1:14" s="2" customFormat="1">
      <c r="A42169" s="83"/>
      <c r="H42169" s="83"/>
      <c r="K42169" s="82"/>
      <c r="M42169" s="112"/>
      <c r="N42169" s="84"/>
    </row>
    <row r="42170" spans="1:14" s="2" customFormat="1">
      <c r="A42170" s="83"/>
      <c r="H42170" s="83"/>
      <c r="K42170" s="82"/>
      <c r="M42170" s="112"/>
      <c r="N42170" s="84"/>
    </row>
    <row r="42171" spans="1:14" s="2" customFormat="1">
      <c r="A42171" s="83"/>
      <c r="H42171" s="83"/>
      <c r="K42171" s="82"/>
      <c r="M42171" s="112"/>
      <c r="N42171" s="84"/>
    </row>
    <row r="42172" spans="1:14" s="2" customFormat="1">
      <c r="A42172" s="83"/>
      <c r="H42172" s="83"/>
      <c r="K42172" s="82"/>
      <c r="M42172" s="112"/>
      <c r="N42172" s="84"/>
    </row>
    <row r="42173" spans="1:14" s="2" customFormat="1">
      <c r="A42173" s="83"/>
      <c r="H42173" s="83"/>
      <c r="K42173" s="82"/>
      <c r="M42173" s="112"/>
      <c r="N42173" s="84"/>
    </row>
    <row r="42174" spans="1:14" s="2" customFormat="1">
      <c r="A42174" s="83"/>
      <c r="H42174" s="83"/>
      <c r="K42174" s="82"/>
      <c r="M42174" s="112"/>
      <c r="N42174" s="84"/>
    </row>
    <row r="42175" spans="1:14" s="2" customFormat="1">
      <c r="A42175" s="83"/>
      <c r="H42175" s="83"/>
      <c r="K42175" s="82"/>
      <c r="M42175" s="112"/>
      <c r="N42175" s="84"/>
    </row>
    <row r="42176" spans="1:14" s="2" customFormat="1">
      <c r="A42176" s="83"/>
      <c r="H42176" s="83"/>
      <c r="K42176" s="82"/>
      <c r="M42176" s="112"/>
      <c r="N42176" s="84"/>
    </row>
    <row r="42177" spans="1:14" s="2" customFormat="1">
      <c r="A42177" s="83"/>
      <c r="H42177" s="83"/>
      <c r="K42177" s="82"/>
      <c r="M42177" s="112"/>
      <c r="N42177" s="84"/>
    </row>
    <row r="42178" spans="1:14" s="2" customFormat="1">
      <c r="A42178" s="83"/>
      <c r="H42178" s="83"/>
      <c r="K42178" s="82"/>
      <c r="M42178" s="112"/>
      <c r="N42178" s="84"/>
    </row>
    <row r="42179" spans="1:14" s="2" customFormat="1">
      <c r="A42179" s="83"/>
      <c r="H42179" s="83"/>
      <c r="K42179" s="82"/>
      <c r="M42179" s="112"/>
      <c r="N42179" s="84"/>
    </row>
    <row r="42180" spans="1:14" s="2" customFormat="1">
      <c r="A42180" s="83"/>
      <c r="H42180" s="83"/>
      <c r="K42180" s="82"/>
      <c r="M42180" s="112"/>
      <c r="N42180" s="84"/>
    </row>
    <row r="42181" spans="1:14" s="2" customFormat="1">
      <c r="A42181" s="83"/>
      <c r="H42181" s="83"/>
      <c r="K42181" s="82"/>
      <c r="M42181" s="112"/>
      <c r="N42181" s="84"/>
    </row>
    <row r="42182" spans="1:14" s="2" customFormat="1">
      <c r="A42182" s="83"/>
      <c r="H42182" s="83"/>
      <c r="K42182" s="82"/>
      <c r="M42182" s="112"/>
      <c r="N42182" s="84"/>
    </row>
    <row r="42183" spans="1:14" s="2" customFormat="1">
      <c r="A42183" s="83"/>
      <c r="H42183" s="83"/>
      <c r="K42183" s="82"/>
      <c r="M42183" s="112"/>
      <c r="N42183" s="84"/>
    </row>
    <row r="42184" spans="1:14" s="2" customFormat="1">
      <c r="A42184" s="83"/>
      <c r="H42184" s="83"/>
      <c r="K42184" s="82"/>
      <c r="M42184" s="112"/>
      <c r="N42184" s="84"/>
    </row>
    <row r="42185" spans="1:14" s="2" customFormat="1">
      <c r="A42185" s="83"/>
      <c r="H42185" s="83"/>
      <c r="K42185" s="82"/>
      <c r="M42185" s="112"/>
      <c r="N42185" s="84"/>
    </row>
    <row r="42186" spans="1:14" s="2" customFormat="1">
      <c r="A42186" s="83"/>
      <c r="H42186" s="83"/>
      <c r="K42186" s="82"/>
      <c r="M42186" s="112"/>
      <c r="N42186" s="84"/>
    </row>
    <row r="42187" spans="1:14" s="2" customFormat="1">
      <c r="A42187" s="83"/>
      <c r="H42187" s="83"/>
      <c r="K42187" s="82"/>
      <c r="M42187" s="112"/>
      <c r="N42187" s="84"/>
    </row>
    <row r="42188" spans="1:14" s="2" customFormat="1">
      <c r="A42188" s="83"/>
      <c r="H42188" s="83"/>
      <c r="K42188" s="82"/>
      <c r="M42188" s="112"/>
      <c r="N42188" s="84"/>
    </row>
    <row r="42189" spans="1:14" s="2" customFormat="1">
      <c r="A42189" s="83"/>
      <c r="H42189" s="83"/>
      <c r="K42189" s="82"/>
      <c r="M42189" s="112"/>
      <c r="N42189" s="84"/>
    </row>
    <row r="42190" spans="1:14" s="2" customFormat="1">
      <c r="A42190" s="83"/>
      <c r="H42190" s="83"/>
      <c r="K42190" s="82"/>
      <c r="M42190" s="112"/>
      <c r="N42190" s="84"/>
    </row>
    <row r="42191" spans="1:14" s="2" customFormat="1">
      <c r="A42191" s="83"/>
      <c r="H42191" s="83"/>
      <c r="K42191" s="82"/>
      <c r="M42191" s="112"/>
      <c r="N42191" s="84"/>
    </row>
    <row r="42192" spans="1:14" s="2" customFormat="1">
      <c r="A42192" s="83"/>
      <c r="H42192" s="83"/>
      <c r="K42192" s="82"/>
      <c r="M42192" s="112"/>
      <c r="N42192" s="84"/>
    </row>
    <row r="42193" spans="1:14" s="2" customFormat="1">
      <c r="A42193" s="83"/>
      <c r="H42193" s="83"/>
      <c r="K42193" s="82"/>
      <c r="M42193" s="112"/>
      <c r="N42193" s="84"/>
    </row>
    <row r="42194" spans="1:14" s="2" customFormat="1">
      <c r="A42194" s="83"/>
      <c r="H42194" s="83"/>
      <c r="K42194" s="82"/>
      <c r="M42194" s="112"/>
      <c r="N42194" s="84"/>
    </row>
    <row r="42195" spans="1:14" s="2" customFormat="1">
      <c r="A42195" s="83"/>
      <c r="H42195" s="83"/>
      <c r="K42195" s="82"/>
      <c r="M42195" s="112"/>
      <c r="N42195" s="84"/>
    </row>
    <row r="42196" spans="1:14" s="2" customFormat="1">
      <c r="A42196" s="83"/>
      <c r="H42196" s="83"/>
      <c r="K42196" s="82"/>
      <c r="M42196" s="112"/>
      <c r="N42196" s="84"/>
    </row>
    <row r="42197" spans="1:14" s="2" customFormat="1">
      <c r="A42197" s="83"/>
      <c r="H42197" s="83"/>
      <c r="K42197" s="82"/>
      <c r="M42197" s="112"/>
      <c r="N42197" s="84"/>
    </row>
    <row r="42198" spans="1:14" s="2" customFormat="1">
      <c r="A42198" s="83"/>
      <c r="H42198" s="83"/>
      <c r="K42198" s="82"/>
      <c r="M42198" s="112"/>
      <c r="N42198" s="84"/>
    </row>
    <row r="42199" spans="1:14" s="2" customFormat="1">
      <c r="A42199" s="83"/>
      <c r="H42199" s="83"/>
      <c r="K42199" s="82"/>
      <c r="M42199" s="112"/>
      <c r="N42199" s="84"/>
    </row>
    <row r="42200" spans="1:14" s="2" customFormat="1">
      <c r="A42200" s="83"/>
      <c r="H42200" s="83"/>
      <c r="K42200" s="82"/>
      <c r="M42200" s="112"/>
      <c r="N42200" s="84"/>
    </row>
    <row r="42201" spans="1:14" s="2" customFormat="1">
      <c r="A42201" s="83"/>
      <c r="H42201" s="83"/>
      <c r="K42201" s="82"/>
      <c r="M42201" s="112"/>
      <c r="N42201" s="84"/>
    </row>
    <row r="42202" spans="1:14" s="2" customFormat="1">
      <c r="A42202" s="83"/>
      <c r="H42202" s="83"/>
      <c r="K42202" s="82"/>
      <c r="M42202" s="112"/>
      <c r="N42202" s="84"/>
    </row>
    <row r="42203" spans="1:14" s="2" customFormat="1">
      <c r="A42203" s="83"/>
      <c r="H42203" s="83"/>
      <c r="K42203" s="82"/>
      <c r="M42203" s="112"/>
      <c r="N42203" s="84"/>
    </row>
    <row r="42204" spans="1:14" s="2" customFormat="1">
      <c r="A42204" s="83"/>
      <c r="H42204" s="83"/>
      <c r="K42204" s="82"/>
      <c r="M42204" s="112"/>
      <c r="N42204" s="84"/>
    </row>
    <row r="42205" spans="1:14" s="2" customFormat="1">
      <c r="A42205" s="83"/>
      <c r="H42205" s="83"/>
      <c r="K42205" s="82"/>
      <c r="M42205" s="112"/>
      <c r="N42205" s="84"/>
    </row>
    <row r="42206" spans="1:14" s="2" customFormat="1">
      <c r="A42206" s="83"/>
      <c r="H42206" s="83"/>
      <c r="K42206" s="82"/>
      <c r="M42206" s="112"/>
      <c r="N42206" s="84"/>
    </row>
    <row r="42207" spans="1:14" s="2" customFormat="1">
      <c r="A42207" s="83"/>
      <c r="H42207" s="83"/>
      <c r="K42207" s="82"/>
      <c r="M42207" s="112"/>
      <c r="N42207" s="84"/>
    </row>
    <row r="42208" spans="1:14" s="2" customFormat="1">
      <c r="A42208" s="83"/>
      <c r="H42208" s="83"/>
      <c r="K42208" s="82"/>
      <c r="M42208" s="112"/>
      <c r="N42208" s="84"/>
    </row>
    <row r="42209" spans="1:14" s="2" customFormat="1">
      <c r="A42209" s="83"/>
      <c r="H42209" s="83"/>
      <c r="K42209" s="82"/>
      <c r="M42209" s="112"/>
      <c r="N42209" s="84"/>
    </row>
    <row r="42210" spans="1:14" s="2" customFormat="1">
      <c r="A42210" s="83"/>
      <c r="H42210" s="83"/>
      <c r="K42210" s="82"/>
      <c r="M42210" s="112"/>
      <c r="N42210" s="84"/>
    </row>
    <row r="42211" spans="1:14" s="2" customFormat="1">
      <c r="A42211" s="83"/>
      <c r="H42211" s="83"/>
      <c r="K42211" s="82"/>
      <c r="M42211" s="112"/>
      <c r="N42211" s="84"/>
    </row>
    <row r="42212" spans="1:14" s="2" customFormat="1">
      <c r="A42212" s="83"/>
      <c r="H42212" s="83"/>
      <c r="K42212" s="82"/>
      <c r="M42212" s="112"/>
      <c r="N42212" s="84"/>
    </row>
    <row r="42213" spans="1:14" s="2" customFormat="1">
      <c r="A42213" s="83"/>
      <c r="H42213" s="83"/>
      <c r="K42213" s="82"/>
      <c r="M42213" s="112"/>
      <c r="N42213" s="84"/>
    </row>
    <row r="42214" spans="1:14" s="2" customFormat="1">
      <c r="A42214" s="83"/>
      <c r="H42214" s="83"/>
      <c r="K42214" s="82"/>
      <c r="M42214" s="112"/>
      <c r="N42214" s="84"/>
    </row>
    <row r="42215" spans="1:14" s="2" customFormat="1">
      <c r="A42215" s="83"/>
      <c r="H42215" s="83"/>
      <c r="K42215" s="82"/>
      <c r="M42215" s="112"/>
      <c r="N42215" s="84"/>
    </row>
    <row r="42216" spans="1:14" s="2" customFormat="1">
      <c r="A42216" s="83"/>
      <c r="H42216" s="83"/>
      <c r="K42216" s="82"/>
      <c r="M42216" s="112"/>
      <c r="N42216" s="84"/>
    </row>
    <row r="42217" spans="1:14" s="2" customFormat="1">
      <c r="A42217" s="83"/>
      <c r="H42217" s="83"/>
      <c r="K42217" s="82"/>
      <c r="M42217" s="112"/>
      <c r="N42217" s="84"/>
    </row>
    <row r="42218" spans="1:14" s="2" customFormat="1">
      <c r="A42218" s="83"/>
      <c r="H42218" s="83"/>
      <c r="K42218" s="82"/>
      <c r="M42218" s="112"/>
      <c r="N42218" s="84"/>
    </row>
    <row r="42219" spans="1:14" s="2" customFormat="1">
      <c r="A42219" s="83"/>
      <c r="H42219" s="83"/>
      <c r="K42219" s="82"/>
      <c r="M42219" s="112"/>
      <c r="N42219" s="84"/>
    </row>
    <row r="42220" spans="1:14" s="2" customFormat="1">
      <c r="A42220" s="83"/>
      <c r="H42220" s="83"/>
      <c r="K42220" s="82"/>
      <c r="M42220" s="112"/>
      <c r="N42220" s="84"/>
    </row>
    <row r="42221" spans="1:14" s="2" customFormat="1">
      <c r="A42221" s="83"/>
      <c r="H42221" s="83"/>
      <c r="K42221" s="82"/>
      <c r="M42221" s="112"/>
      <c r="N42221" s="84"/>
    </row>
    <row r="42222" spans="1:14" s="2" customFormat="1">
      <c r="A42222" s="83"/>
      <c r="H42222" s="83"/>
      <c r="K42222" s="82"/>
      <c r="M42222" s="112"/>
      <c r="N42222" s="84"/>
    </row>
    <row r="42223" spans="1:14" s="2" customFormat="1">
      <c r="A42223" s="83"/>
      <c r="H42223" s="83"/>
      <c r="K42223" s="82"/>
      <c r="M42223" s="112"/>
      <c r="N42223" s="84"/>
    </row>
    <row r="42224" spans="1:14" s="2" customFormat="1">
      <c r="A42224" s="83"/>
      <c r="H42224" s="83"/>
      <c r="K42224" s="82"/>
      <c r="M42224" s="112"/>
      <c r="N42224" s="84"/>
    </row>
    <row r="42225" spans="1:14" s="2" customFormat="1">
      <c r="A42225" s="83"/>
      <c r="H42225" s="83"/>
      <c r="K42225" s="82"/>
      <c r="M42225" s="112"/>
      <c r="N42225" s="84"/>
    </row>
    <row r="42226" spans="1:14" s="2" customFormat="1">
      <c r="A42226" s="83"/>
      <c r="H42226" s="83"/>
      <c r="K42226" s="82"/>
      <c r="M42226" s="112"/>
      <c r="N42226" s="84"/>
    </row>
    <row r="42227" spans="1:14" s="2" customFormat="1">
      <c r="A42227" s="83"/>
      <c r="H42227" s="83"/>
      <c r="K42227" s="82"/>
      <c r="M42227" s="112"/>
      <c r="N42227" s="84"/>
    </row>
    <row r="42228" spans="1:14" s="2" customFormat="1">
      <c r="A42228" s="83"/>
      <c r="H42228" s="83"/>
      <c r="K42228" s="82"/>
      <c r="M42228" s="112"/>
      <c r="N42228" s="84"/>
    </row>
    <row r="42229" spans="1:14" s="2" customFormat="1">
      <c r="A42229" s="83"/>
      <c r="H42229" s="83"/>
      <c r="K42229" s="82"/>
      <c r="M42229" s="112"/>
      <c r="N42229" s="84"/>
    </row>
    <row r="42230" spans="1:14" s="2" customFormat="1">
      <c r="A42230" s="83"/>
      <c r="H42230" s="83"/>
      <c r="K42230" s="82"/>
      <c r="M42230" s="112"/>
      <c r="N42230" s="84"/>
    </row>
    <row r="42231" spans="1:14" s="2" customFormat="1">
      <c r="A42231" s="83"/>
      <c r="H42231" s="83"/>
      <c r="K42231" s="82"/>
      <c r="M42231" s="112"/>
      <c r="N42231" s="84"/>
    </row>
    <row r="42232" spans="1:14" s="2" customFormat="1">
      <c r="A42232" s="83"/>
      <c r="H42232" s="83"/>
      <c r="K42232" s="82"/>
      <c r="M42232" s="112"/>
      <c r="N42232" s="84"/>
    </row>
    <row r="42233" spans="1:14" s="2" customFormat="1">
      <c r="A42233" s="83"/>
      <c r="H42233" s="83"/>
      <c r="K42233" s="82"/>
      <c r="M42233" s="112"/>
      <c r="N42233" s="84"/>
    </row>
    <row r="42234" spans="1:14" s="2" customFormat="1">
      <c r="A42234" s="83"/>
      <c r="H42234" s="83"/>
      <c r="K42234" s="82"/>
      <c r="M42234" s="112"/>
      <c r="N42234" s="84"/>
    </row>
    <row r="42235" spans="1:14" s="2" customFormat="1">
      <c r="A42235" s="83"/>
      <c r="H42235" s="83"/>
      <c r="K42235" s="82"/>
      <c r="M42235" s="112"/>
      <c r="N42235" s="84"/>
    </row>
    <row r="42236" spans="1:14" s="2" customFormat="1">
      <c r="A42236" s="83"/>
      <c r="H42236" s="83"/>
      <c r="K42236" s="82"/>
      <c r="M42236" s="112"/>
      <c r="N42236" s="84"/>
    </row>
    <row r="42237" spans="1:14" s="2" customFormat="1">
      <c r="A42237" s="83"/>
      <c r="H42237" s="83"/>
      <c r="K42237" s="82"/>
      <c r="M42237" s="112"/>
      <c r="N42237" s="84"/>
    </row>
    <row r="42238" spans="1:14" s="2" customFormat="1">
      <c r="A42238" s="83"/>
      <c r="H42238" s="83"/>
      <c r="K42238" s="82"/>
      <c r="M42238" s="112"/>
      <c r="N42238" s="84"/>
    </row>
    <row r="42239" spans="1:14" s="2" customFormat="1">
      <c r="A42239" s="83"/>
      <c r="H42239" s="83"/>
      <c r="K42239" s="82"/>
      <c r="M42239" s="112"/>
      <c r="N42239" s="84"/>
    </row>
    <row r="42240" spans="1:14" s="2" customFormat="1">
      <c r="A42240" s="83"/>
      <c r="H42240" s="83"/>
      <c r="K42240" s="82"/>
      <c r="M42240" s="112"/>
      <c r="N42240" s="84"/>
    </row>
    <row r="42241" spans="1:14" s="2" customFormat="1">
      <c r="A42241" s="83"/>
      <c r="H42241" s="83"/>
      <c r="K42241" s="82"/>
      <c r="M42241" s="112"/>
      <c r="N42241" s="84"/>
    </row>
    <row r="42242" spans="1:14" s="2" customFormat="1">
      <c r="A42242" s="83"/>
      <c r="H42242" s="83"/>
      <c r="K42242" s="82"/>
      <c r="M42242" s="112"/>
      <c r="N42242" s="84"/>
    </row>
    <row r="42243" spans="1:14" s="2" customFormat="1">
      <c r="A42243" s="83"/>
      <c r="H42243" s="83"/>
      <c r="K42243" s="82"/>
      <c r="M42243" s="112"/>
      <c r="N42243" s="84"/>
    </row>
    <row r="42244" spans="1:14" s="2" customFormat="1">
      <c r="A42244" s="83"/>
      <c r="H42244" s="83"/>
      <c r="K42244" s="82"/>
      <c r="M42244" s="112"/>
      <c r="N42244" s="84"/>
    </row>
    <row r="42245" spans="1:14" s="2" customFormat="1">
      <c r="A42245" s="83"/>
      <c r="H42245" s="83"/>
      <c r="K42245" s="82"/>
      <c r="M42245" s="112"/>
      <c r="N42245" s="84"/>
    </row>
    <row r="42246" spans="1:14" s="2" customFormat="1">
      <c r="A42246" s="83"/>
      <c r="H42246" s="83"/>
      <c r="K42246" s="82"/>
      <c r="M42246" s="112"/>
      <c r="N42246" s="84"/>
    </row>
    <row r="42247" spans="1:14" s="2" customFormat="1">
      <c r="A42247" s="83"/>
      <c r="H42247" s="83"/>
      <c r="K42247" s="82"/>
      <c r="M42247" s="112"/>
      <c r="N42247" s="84"/>
    </row>
    <row r="42248" spans="1:14" s="2" customFormat="1">
      <c r="A42248" s="83"/>
      <c r="H42248" s="83"/>
      <c r="K42248" s="82"/>
      <c r="M42248" s="112"/>
      <c r="N42248" s="84"/>
    </row>
    <row r="42249" spans="1:14" s="2" customFormat="1">
      <c r="A42249" s="83"/>
      <c r="H42249" s="83"/>
      <c r="K42249" s="82"/>
      <c r="M42249" s="112"/>
      <c r="N42249" s="84"/>
    </row>
    <row r="42250" spans="1:14" s="2" customFormat="1">
      <c r="A42250" s="83"/>
      <c r="H42250" s="83"/>
      <c r="K42250" s="82"/>
      <c r="M42250" s="112"/>
      <c r="N42250" s="84"/>
    </row>
    <row r="42251" spans="1:14" s="2" customFormat="1">
      <c r="A42251" s="83"/>
      <c r="H42251" s="83"/>
      <c r="K42251" s="82"/>
      <c r="M42251" s="112"/>
      <c r="N42251" s="84"/>
    </row>
    <row r="42252" spans="1:14" s="2" customFormat="1">
      <c r="A42252" s="83"/>
      <c r="H42252" s="83"/>
      <c r="K42252" s="82"/>
      <c r="M42252" s="112"/>
      <c r="N42252" s="84"/>
    </row>
    <row r="42253" spans="1:14" s="2" customFormat="1">
      <c r="A42253" s="83"/>
      <c r="H42253" s="83"/>
      <c r="K42253" s="82"/>
      <c r="M42253" s="112"/>
      <c r="N42253" s="84"/>
    </row>
    <row r="42254" spans="1:14" s="2" customFormat="1">
      <c r="A42254" s="83"/>
      <c r="H42254" s="83"/>
      <c r="K42254" s="82"/>
      <c r="M42254" s="112"/>
      <c r="N42254" s="84"/>
    </row>
    <row r="42255" spans="1:14" s="2" customFormat="1">
      <c r="A42255" s="83"/>
      <c r="H42255" s="83"/>
      <c r="K42255" s="82"/>
      <c r="M42255" s="112"/>
      <c r="N42255" s="84"/>
    </row>
    <row r="42256" spans="1:14" s="2" customFormat="1">
      <c r="A42256" s="83"/>
      <c r="H42256" s="83"/>
      <c r="K42256" s="82"/>
      <c r="M42256" s="112"/>
      <c r="N42256" s="84"/>
    </row>
    <row r="42257" spans="1:14" s="2" customFormat="1">
      <c r="A42257" s="83"/>
      <c r="H42257" s="83"/>
      <c r="K42257" s="82"/>
      <c r="M42257" s="112"/>
      <c r="N42257" s="84"/>
    </row>
    <row r="42258" spans="1:14" s="2" customFormat="1">
      <c r="A42258" s="83"/>
      <c r="H42258" s="83"/>
      <c r="K42258" s="82"/>
      <c r="M42258" s="112"/>
      <c r="N42258" s="84"/>
    </row>
    <row r="42259" spans="1:14" s="2" customFormat="1">
      <c r="A42259" s="83"/>
      <c r="H42259" s="83"/>
      <c r="K42259" s="82"/>
      <c r="M42259" s="112"/>
      <c r="N42259" s="84"/>
    </row>
    <row r="42260" spans="1:14" s="2" customFormat="1">
      <c r="A42260" s="83"/>
      <c r="H42260" s="83"/>
      <c r="K42260" s="82"/>
      <c r="M42260" s="112"/>
      <c r="N42260" s="84"/>
    </row>
    <row r="42261" spans="1:14" s="2" customFormat="1">
      <c r="A42261" s="83"/>
      <c r="H42261" s="83"/>
      <c r="K42261" s="82"/>
      <c r="M42261" s="112"/>
      <c r="N42261" s="84"/>
    </row>
    <row r="42262" spans="1:14" s="2" customFormat="1">
      <c r="A42262" s="83"/>
      <c r="H42262" s="83"/>
      <c r="K42262" s="82"/>
      <c r="M42262" s="112"/>
      <c r="N42262" s="84"/>
    </row>
    <row r="42263" spans="1:14" s="2" customFormat="1">
      <c r="A42263" s="83"/>
      <c r="H42263" s="83"/>
      <c r="K42263" s="82"/>
      <c r="M42263" s="112"/>
      <c r="N42263" s="84"/>
    </row>
    <row r="42264" spans="1:14" s="2" customFormat="1">
      <c r="A42264" s="83"/>
      <c r="H42264" s="83"/>
      <c r="K42264" s="82"/>
      <c r="M42264" s="112"/>
      <c r="N42264" s="84"/>
    </row>
    <row r="42265" spans="1:14" s="2" customFormat="1">
      <c r="A42265" s="83"/>
      <c r="H42265" s="83"/>
      <c r="K42265" s="82"/>
      <c r="M42265" s="112"/>
      <c r="N42265" s="84"/>
    </row>
    <row r="42266" spans="1:14" s="2" customFormat="1">
      <c r="A42266" s="83"/>
      <c r="H42266" s="83"/>
      <c r="K42266" s="82"/>
      <c r="M42266" s="112"/>
      <c r="N42266" s="84"/>
    </row>
    <row r="42267" spans="1:14" s="2" customFormat="1">
      <c r="A42267" s="83"/>
      <c r="H42267" s="83"/>
      <c r="K42267" s="82"/>
      <c r="M42267" s="112"/>
      <c r="N42267" s="84"/>
    </row>
    <row r="42268" spans="1:14" s="2" customFormat="1">
      <c r="A42268" s="83"/>
      <c r="H42268" s="83"/>
      <c r="K42268" s="82"/>
      <c r="M42268" s="112"/>
      <c r="N42268" s="84"/>
    </row>
    <row r="42269" spans="1:14" s="2" customFormat="1">
      <c r="A42269" s="83"/>
      <c r="H42269" s="83"/>
      <c r="K42269" s="82"/>
      <c r="M42269" s="112"/>
      <c r="N42269" s="84"/>
    </row>
    <row r="42270" spans="1:14" s="2" customFormat="1">
      <c r="A42270" s="83"/>
      <c r="H42270" s="83"/>
      <c r="K42270" s="82"/>
      <c r="M42270" s="112"/>
      <c r="N42270" s="84"/>
    </row>
    <row r="42271" spans="1:14" s="2" customFormat="1">
      <c r="A42271" s="83"/>
      <c r="H42271" s="83"/>
      <c r="K42271" s="82"/>
      <c r="M42271" s="112"/>
      <c r="N42271" s="84"/>
    </row>
    <row r="42272" spans="1:14" s="2" customFormat="1">
      <c r="A42272" s="83"/>
      <c r="H42272" s="83"/>
      <c r="K42272" s="82"/>
      <c r="M42272" s="112"/>
      <c r="N42272" s="84"/>
    </row>
    <row r="42273" spans="1:14" s="2" customFormat="1">
      <c r="A42273" s="83"/>
      <c r="H42273" s="83"/>
      <c r="K42273" s="82"/>
      <c r="M42273" s="112"/>
      <c r="N42273" s="84"/>
    </row>
    <row r="42274" spans="1:14" s="2" customFormat="1">
      <c r="A42274" s="83"/>
      <c r="H42274" s="83"/>
      <c r="K42274" s="82"/>
      <c r="M42274" s="112"/>
      <c r="N42274" s="84"/>
    </row>
    <row r="42275" spans="1:14" s="2" customFormat="1">
      <c r="A42275" s="83"/>
      <c r="H42275" s="83"/>
      <c r="K42275" s="82"/>
      <c r="M42275" s="112"/>
      <c r="N42275" s="84"/>
    </row>
    <row r="42276" spans="1:14" s="2" customFormat="1">
      <c r="A42276" s="83"/>
      <c r="H42276" s="83"/>
      <c r="K42276" s="82"/>
      <c r="M42276" s="112"/>
      <c r="N42276" s="84"/>
    </row>
    <row r="42277" spans="1:14" s="2" customFormat="1">
      <c r="A42277" s="83"/>
      <c r="H42277" s="83"/>
      <c r="K42277" s="82"/>
      <c r="M42277" s="112"/>
      <c r="N42277" s="84"/>
    </row>
    <row r="42278" spans="1:14" s="2" customFormat="1">
      <c r="A42278" s="83"/>
      <c r="H42278" s="83"/>
      <c r="K42278" s="82"/>
      <c r="M42278" s="112"/>
      <c r="N42278" s="84"/>
    </row>
    <row r="42279" spans="1:14" s="2" customFormat="1">
      <c r="A42279" s="83"/>
      <c r="H42279" s="83"/>
      <c r="K42279" s="82"/>
      <c r="M42279" s="112"/>
      <c r="N42279" s="84"/>
    </row>
    <row r="42280" spans="1:14" s="2" customFormat="1">
      <c r="A42280" s="83"/>
      <c r="H42280" s="83"/>
      <c r="K42280" s="82"/>
      <c r="M42280" s="112"/>
      <c r="N42280" s="84"/>
    </row>
    <row r="42281" spans="1:14" s="2" customFormat="1">
      <c r="A42281" s="83"/>
      <c r="H42281" s="83"/>
      <c r="K42281" s="82"/>
      <c r="M42281" s="112"/>
      <c r="N42281" s="84"/>
    </row>
    <row r="42282" spans="1:14" s="2" customFormat="1">
      <c r="A42282" s="83"/>
      <c r="H42282" s="83"/>
      <c r="K42282" s="82"/>
      <c r="M42282" s="112"/>
      <c r="N42282" s="84"/>
    </row>
    <row r="42283" spans="1:14" s="2" customFormat="1">
      <c r="A42283" s="83"/>
      <c r="H42283" s="83"/>
      <c r="K42283" s="82"/>
      <c r="M42283" s="112"/>
      <c r="N42283" s="84"/>
    </row>
    <row r="42284" spans="1:14" s="2" customFormat="1">
      <c r="A42284" s="83"/>
      <c r="H42284" s="83"/>
      <c r="K42284" s="82"/>
      <c r="M42284" s="112"/>
      <c r="N42284" s="84"/>
    </row>
    <row r="42285" spans="1:14" s="2" customFormat="1">
      <c r="A42285" s="83"/>
      <c r="H42285" s="83"/>
      <c r="K42285" s="82"/>
      <c r="M42285" s="112"/>
      <c r="N42285" s="84"/>
    </row>
    <row r="42286" spans="1:14" s="2" customFormat="1">
      <c r="A42286" s="83"/>
      <c r="H42286" s="83"/>
      <c r="K42286" s="82"/>
      <c r="M42286" s="112"/>
      <c r="N42286" s="84"/>
    </row>
    <row r="42287" spans="1:14" s="2" customFormat="1">
      <c r="A42287" s="83"/>
      <c r="H42287" s="83"/>
      <c r="K42287" s="82"/>
      <c r="M42287" s="112"/>
      <c r="N42287" s="84"/>
    </row>
    <row r="42288" spans="1:14" s="2" customFormat="1">
      <c r="A42288" s="83"/>
      <c r="H42288" s="83"/>
      <c r="K42288" s="82"/>
      <c r="M42288" s="112"/>
      <c r="N42288" s="84"/>
    </row>
    <row r="42289" spans="1:14" s="2" customFormat="1">
      <c r="A42289" s="83"/>
      <c r="H42289" s="83"/>
      <c r="K42289" s="82"/>
      <c r="M42289" s="112"/>
      <c r="N42289" s="84"/>
    </row>
    <row r="42290" spans="1:14" s="2" customFormat="1">
      <c r="A42290" s="83"/>
      <c r="H42290" s="83"/>
      <c r="K42290" s="82"/>
      <c r="M42290" s="112"/>
      <c r="N42290" s="84"/>
    </row>
    <row r="42291" spans="1:14" s="2" customFormat="1">
      <c r="A42291" s="83"/>
      <c r="H42291" s="83"/>
      <c r="K42291" s="82"/>
      <c r="M42291" s="112"/>
      <c r="N42291" s="84"/>
    </row>
    <row r="42292" spans="1:14" s="2" customFormat="1">
      <c r="A42292" s="83"/>
      <c r="H42292" s="83"/>
      <c r="K42292" s="82"/>
      <c r="M42292" s="112"/>
      <c r="N42292" s="84"/>
    </row>
    <row r="42293" spans="1:14" s="2" customFormat="1">
      <c r="A42293" s="83"/>
      <c r="H42293" s="83"/>
      <c r="K42293" s="82"/>
      <c r="M42293" s="112"/>
      <c r="N42293" s="84"/>
    </row>
    <row r="42294" spans="1:14" s="2" customFormat="1">
      <c r="A42294" s="83"/>
      <c r="H42294" s="83"/>
      <c r="K42294" s="82"/>
      <c r="M42294" s="112"/>
      <c r="N42294" s="84"/>
    </row>
    <row r="42295" spans="1:14" s="2" customFormat="1">
      <c r="A42295" s="83"/>
      <c r="H42295" s="83"/>
      <c r="K42295" s="82"/>
      <c r="M42295" s="112"/>
      <c r="N42295" s="84"/>
    </row>
    <row r="42296" spans="1:14" s="2" customFormat="1">
      <c r="A42296" s="83"/>
      <c r="H42296" s="83"/>
      <c r="K42296" s="82"/>
      <c r="M42296" s="112"/>
      <c r="N42296" s="84"/>
    </row>
    <row r="42297" spans="1:14" s="2" customFormat="1">
      <c r="A42297" s="83"/>
      <c r="H42297" s="83"/>
      <c r="K42297" s="82"/>
      <c r="M42297" s="112"/>
      <c r="N42297" s="84"/>
    </row>
    <row r="42298" spans="1:14" s="2" customFormat="1">
      <c r="A42298" s="83"/>
      <c r="H42298" s="83"/>
      <c r="K42298" s="82"/>
      <c r="M42298" s="112"/>
      <c r="N42298" s="84"/>
    </row>
    <row r="42299" spans="1:14" s="2" customFormat="1">
      <c r="A42299" s="83"/>
      <c r="H42299" s="83"/>
      <c r="K42299" s="82"/>
      <c r="M42299" s="112"/>
      <c r="N42299" s="84"/>
    </row>
    <row r="42300" spans="1:14" s="2" customFormat="1">
      <c r="A42300" s="83"/>
      <c r="H42300" s="83"/>
      <c r="K42300" s="82"/>
      <c r="M42300" s="112"/>
      <c r="N42300" s="84"/>
    </row>
    <row r="42301" spans="1:14" s="2" customFormat="1">
      <c r="A42301" s="83"/>
      <c r="H42301" s="83"/>
      <c r="K42301" s="82"/>
      <c r="M42301" s="112"/>
      <c r="N42301" s="84"/>
    </row>
    <row r="42302" spans="1:14" s="2" customFormat="1">
      <c r="A42302" s="83"/>
      <c r="H42302" s="83"/>
      <c r="K42302" s="82"/>
      <c r="M42302" s="112"/>
      <c r="N42302" s="84"/>
    </row>
    <row r="42303" spans="1:14" s="2" customFormat="1">
      <c r="A42303" s="83"/>
      <c r="H42303" s="83"/>
      <c r="K42303" s="82"/>
      <c r="M42303" s="112"/>
      <c r="N42303" s="84"/>
    </row>
    <row r="42304" spans="1:14" s="2" customFormat="1">
      <c r="A42304" s="83"/>
      <c r="H42304" s="83"/>
      <c r="K42304" s="82"/>
      <c r="M42304" s="112"/>
      <c r="N42304" s="84"/>
    </row>
    <row r="42305" spans="1:14" s="2" customFormat="1">
      <c r="A42305" s="83"/>
      <c r="H42305" s="83"/>
      <c r="K42305" s="82"/>
      <c r="M42305" s="112"/>
      <c r="N42305" s="84"/>
    </row>
    <row r="42306" spans="1:14" s="2" customFormat="1">
      <c r="A42306" s="83"/>
      <c r="H42306" s="83"/>
      <c r="K42306" s="82"/>
      <c r="M42306" s="112"/>
      <c r="N42306" s="84"/>
    </row>
    <row r="42307" spans="1:14" s="2" customFormat="1">
      <c r="A42307" s="83"/>
      <c r="H42307" s="83"/>
      <c r="K42307" s="82"/>
      <c r="M42307" s="112"/>
      <c r="N42307" s="84"/>
    </row>
    <row r="42308" spans="1:14" s="2" customFormat="1">
      <c r="A42308" s="83"/>
      <c r="H42308" s="83"/>
      <c r="K42308" s="82"/>
      <c r="M42308" s="112"/>
      <c r="N42308" s="84"/>
    </row>
    <row r="42309" spans="1:14" s="2" customFormat="1">
      <c r="A42309" s="83"/>
      <c r="H42309" s="83"/>
      <c r="K42309" s="82"/>
      <c r="M42309" s="112"/>
      <c r="N42309" s="84"/>
    </row>
    <row r="42310" spans="1:14" s="2" customFormat="1">
      <c r="A42310" s="83"/>
      <c r="H42310" s="83"/>
      <c r="K42310" s="82"/>
      <c r="M42310" s="112"/>
      <c r="N42310" s="84"/>
    </row>
    <row r="42311" spans="1:14" s="2" customFormat="1">
      <c r="A42311" s="83"/>
      <c r="H42311" s="83"/>
      <c r="K42311" s="82"/>
      <c r="M42311" s="112"/>
      <c r="N42311" s="84"/>
    </row>
    <row r="42312" spans="1:14" s="2" customFormat="1">
      <c r="A42312" s="83"/>
      <c r="H42312" s="83"/>
      <c r="K42312" s="82"/>
      <c r="M42312" s="112"/>
      <c r="N42312" s="84"/>
    </row>
    <row r="42313" spans="1:14" s="2" customFormat="1">
      <c r="A42313" s="83"/>
      <c r="H42313" s="83"/>
      <c r="K42313" s="82"/>
      <c r="M42313" s="112"/>
      <c r="N42313" s="84"/>
    </row>
    <row r="42314" spans="1:14" s="2" customFormat="1">
      <c r="A42314" s="83"/>
      <c r="H42314" s="83"/>
      <c r="K42314" s="82"/>
      <c r="M42314" s="112"/>
      <c r="N42314" s="84"/>
    </row>
    <row r="42315" spans="1:14" s="2" customFormat="1">
      <c r="A42315" s="83"/>
      <c r="H42315" s="83"/>
      <c r="K42315" s="82"/>
      <c r="M42315" s="112"/>
      <c r="N42315" s="84"/>
    </row>
    <row r="42316" spans="1:14" s="2" customFormat="1">
      <c r="A42316" s="83"/>
      <c r="H42316" s="83"/>
      <c r="K42316" s="82"/>
      <c r="M42316" s="112"/>
      <c r="N42316" s="84"/>
    </row>
    <row r="42317" spans="1:14" s="2" customFormat="1">
      <c r="A42317" s="83"/>
      <c r="H42317" s="83"/>
      <c r="K42317" s="82"/>
      <c r="M42317" s="112"/>
      <c r="N42317" s="84"/>
    </row>
    <row r="42318" spans="1:14" s="2" customFormat="1">
      <c r="A42318" s="83"/>
      <c r="H42318" s="83"/>
      <c r="K42318" s="82"/>
      <c r="M42318" s="112"/>
      <c r="N42318" s="84"/>
    </row>
    <row r="42319" spans="1:14" s="2" customFormat="1">
      <c r="A42319" s="83"/>
      <c r="H42319" s="83"/>
      <c r="K42319" s="82"/>
      <c r="M42319" s="112"/>
      <c r="N42319" s="84"/>
    </row>
    <row r="42320" spans="1:14" s="2" customFormat="1">
      <c r="A42320" s="83"/>
      <c r="H42320" s="83"/>
      <c r="K42320" s="82"/>
      <c r="M42320" s="112"/>
      <c r="N42320" s="84"/>
    </row>
    <row r="42321" spans="1:14" s="2" customFormat="1">
      <c r="A42321" s="83"/>
      <c r="H42321" s="83"/>
      <c r="K42321" s="82"/>
      <c r="M42321" s="112"/>
      <c r="N42321" s="84"/>
    </row>
    <row r="42322" spans="1:14" s="2" customFormat="1">
      <c r="A42322" s="83"/>
      <c r="H42322" s="83"/>
      <c r="K42322" s="82"/>
      <c r="M42322" s="112"/>
      <c r="N42322" s="84"/>
    </row>
    <row r="42323" spans="1:14" s="2" customFormat="1">
      <c r="A42323" s="83"/>
      <c r="H42323" s="83"/>
      <c r="K42323" s="82"/>
      <c r="M42323" s="112"/>
      <c r="N42323" s="84"/>
    </row>
    <row r="42324" spans="1:14" s="2" customFormat="1">
      <c r="A42324" s="83"/>
      <c r="H42324" s="83"/>
      <c r="K42324" s="82"/>
      <c r="M42324" s="112"/>
      <c r="N42324" s="84"/>
    </row>
    <row r="42325" spans="1:14" s="2" customFormat="1">
      <c r="A42325" s="83"/>
      <c r="H42325" s="83"/>
      <c r="K42325" s="82"/>
      <c r="M42325" s="112"/>
      <c r="N42325" s="84"/>
    </row>
    <row r="42326" spans="1:14" s="2" customFormat="1">
      <c r="A42326" s="83"/>
      <c r="H42326" s="83"/>
      <c r="K42326" s="82"/>
      <c r="M42326" s="112"/>
      <c r="N42326" s="84"/>
    </row>
    <row r="42327" spans="1:14" s="2" customFormat="1">
      <c r="A42327" s="83"/>
      <c r="H42327" s="83"/>
      <c r="K42327" s="82"/>
      <c r="M42327" s="112"/>
      <c r="N42327" s="84"/>
    </row>
    <row r="42328" spans="1:14" s="2" customFormat="1">
      <c r="A42328" s="83"/>
      <c r="H42328" s="83"/>
      <c r="K42328" s="82"/>
      <c r="M42328" s="112"/>
      <c r="N42328" s="84"/>
    </row>
    <row r="42329" spans="1:14" s="2" customFormat="1">
      <c r="A42329" s="83"/>
      <c r="H42329" s="83"/>
      <c r="K42329" s="82"/>
      <c r="M42329" s="112"/>
      <c r="N42329" s="84"/>
    </row>
    <row r="42330" spans="1:14" s="2" customFormat="1">
      <c r="A42330" s="83"/>
      <c r="H42330" s="83"/>
      <c r="K42330" s="82"/>
      <c r="M42330" s="112"/>
      <c r="N42330" s="84"/>
    </row>
    <row r="42331" spans="1:14" s="2" customFormat="1">
      <c r="A42331" s="83"/>
      <c r="H42331" s="83"/>
      <c r="K42331" s="82"/>
      <c r="M42331" s="112"/>
      <c r="N42331" s="84"/>
    </row>
    <row r="42332" spans="1:14" s="2" customFormat="1">
      <c r="A42332" s="83"/>
      <c r="H42332" s="83"/>
      <c r="K42332" s="82"/>
      <c r="M42332" s="112"/>
      <c r="N42332" s="84"/>
    </row>
    <row r="42333" spans="1:14" s="2" customFormat="1">
      <c r="A42333" s="83"/>
      <c r="H42333" s="83"/>
      <c r="K42333" s="82"/>
      <c r="M42333" s="112"/>
      <c r="N42333" s="84"/>
    </row>
    <row r="42334" spans="1:14" s="2" customFormat="1">
      <c r="A42334" s="83"/>
      <c r="H42334" s="83"/>
      <c r="K42334" s="82"/>
      <c r="M42334" s="112"/>
      <c r="N42334" s="84"/>
    </row>
    <row r="42335" spans="1:14" s="2" customFormat="1">
      <c r="A42335" s="83"/>
      <c r="H42335" s="83"/>
      <c r="K42335" s="82"/>
      <c r="M42335" s="112"/>
      <c r="N42335" s="84"/>
    </row>
    <row r="42336" spans="1:14" s="2" customFormat="1">
      <c r="A42336" s="83"/>
      <c r="H42336" s="83"/>
      <c r="K42336" s="82"/>
      <c r="M42336" s="112"/>
      <c r="N42336" s="84"/>
    </row>
    <row r="42337" spans="1:14" s="2" customFormat="1">
      <c r="A42337" s="83"/>
      <c r="H42337" s="83"/>
      <c r="K42337" s="82"/>
      <c r="M42337" s="112"/>
      <c r="N42337" s="84"/>
    </row>
    <row r="42338" spans="1:14" s="2" customFormat="1">
      <c r="A42338" s="83"/>
      <c r="H42338" s="83"/>
      <c r="K42338" s="82"/>
      <c r="M42338" s="112"/>
      <c r="N42338" s="84"/>
    </row>
    <row r="42339" spans="1:14" s="2" customFormat="1">
      <c r="A42339" s="83"/>
      <c r="H42339" s="83"/>
      <c r="K42339" s="82"/>
      <c r="M42339" s="112"/>
      <c r="N42339" s="84"/>
    </row>
    <row r="42340" spans="1:14" s="2" customFormat="1">
      <c r="A42340" s="83"/>
      <c r="H42340" s="83"/>
      <c r="K42340" s="82"/>
      <c r="M42340" s="112"/>
      <c r="N42340" s="84"/>
    </row>
    <row r="42341" spans="1:14" s="2" customFormat="1">
      <c r="A42341" s="83"/>
      <c r="H42341" s="83"/>
      <c r="K42341" s="82"/>
      <c r="M42341" s="112"/>
      <c r="N42341" s="84"/>
    </row>
    <row r="42342" spans="1:14" s="2" customFormat="1">
      <c r="A42342" s="83"/>
      <c r="H42342" s="83"/>
      <c r="K42342" s="82"/>
      <c r="M42342" s="112"/>
      <c r="N42342" s="84"/>
    </row>
    <row r="42343" spans="1:14" s="2" customFormat="1">
      <c r="A42343" s="83"/>
      <c r="H42343" s="83"/>
      <c r="K42343" s="82"/>
      <c r="M42343" s="112"/>
      <c r="N42343" s="84"/>
    </row>
    <row r="42344" spans="1:14" s="2" customFormat="1">
      <c r="A42344" s="83"/>
      <c r="H42344" s="83"/>
      <c r="K42344" s="82"/>
      <c r="M42344" s="112"/>
      <c r="N42344" s="84"/>
    </row>
    <row r="42345" spans="1:14" s="2" customFormat="1">
      <c r="A42345" s="83"/>
      <c r="H42345" s="83"/>
      <c r="K42345" s="82"/>
      <c r="M42345" s="112"/>
      <c r="N42345" s="84"/>
    </row>
    <row r="42346" spans="1:14" s="2" customFormat="1">
      <c r="A42346" s="83"/>
      <c r="H42346" s="83"/>
      <c r="K42346" s="82"/>
      <c r="M42346" s="112"/>
      <c r="N42346" s="84"/>
    </row>
    <row r="42347" spans="1:14" s="2" customFormat="1">
      <c r="A42347" s="83"/>
      <c r="H42347" s="83"/>
      <c r="K42347" s="82"/>
      <c r="M42347" s="112"/>
      <c r="N42347" s="84"/>
    </row>
    <row r="42348" spans="1:14" s="2" customFormat="1">
      <c r="A42348" s="83"/>
      <c r="H42348" s="83"/>
      <c r="K42348" s="82"/>
      <c r="M42348" s="112"/>
      <c r="N42348" s="84"/>
    </row>
    <row r="42349" spans="1:14" s="2" customFormat="1">
      <c r="A42349" s="83"/>
      <c r="H42349" s="83"/>
      <c r="K42349" s="82"/>
      <c r="M42349" s="112"/>
      <c r="N42349" s="84"/>
    </row>
    <row r="42350" spans="1:14" s="2" customFormat="1">
      <c r="A42350" s="83"/>
      <c r="H42350" s="83"/>
      <c r="K42350" s="82"/>
      <c r="M42350" s="112"/>
      <c r="N42350" s="84"/>
    </row>
    <row r="42351" spans="1:14" s="2" customFormat="1">
      <c r="A42351" s="83"/>
      <c r="H42351" s="83"/>
      <c r="K42351" s="82"/>
      <c r="M42351" s="112"/>
      <c r="N42351" s="84"/>
    </row>
    <row r="42352" spans="1:14" s="2" customFormat="1">
      <c r="A42352" s="83"/>
      <c r="H42352" s="83"/>
      <c r="K42352" s="82"/>
      <c r="M42352" s="112"/>
      <c r="N42352" s="84"/>
    </row>
    <row r="42353" spans="1:14" s="2" customFormat="1">
      <c r="A42353" s="83"/>
      <c r="H42353" s="83"/>
      <c r="K42353" s="82"/>
      <c r="M42353" s="112"/>
      <c r="N42353" s="84"/>
    </row>
    <row r="42354" spans="1:14" s="2" customFormat="1">
      <c r="A42354" s="83"/>
      <c r="H42354" s="83"/>
      <c r="K42354" s="82"/>
      <c r="M42354" s="112"/>
      <c r="N42354" s="84"/>
    </row>
    <row r="42355" spans="1:14" s="2" customFormat="1">
      <c r="A42355" s="83"/>
      <c r="H42355" s="83"/>
      <c r="K42355" s="82"/>
      <c r="M42355" s="112"/>
      <c r="N42355" s="84"/>
    </row>
    <row r="42356" spans="1:14" s="2" customFormat="1">
      <c r="A42356" s="83"/>
      <c r="H42356" s="83"/>
      <c r="K42356" s="82"/>
      <c r="M42356" s="112"/>
      <c r="N42356" s="84"/>
    </row>
    <row r="42357" spans="1:14" s="2" customFormat="1">
      <c r="A42357" s="83"/>
      <c r="H42357" s="83"/>
      <c r="K42357" s="82"/>
      <c r="M42357" s="112"/>
      <c r="N42357" s="84"/>
    </row>
    <row r="42358" spans="1:14" s="2" customFormat="1">
      <c r="A42358" s="83"/>
      <c r="H42358" s="83"/>
      <c r="K42358" s="82"/>
      <c r="M42358" s="112"/>
      <c r="N42358" s="84"/>
    </row>
    <row r="42359" spans="1:14" s="2" customFormat="1">
      <c r="A42359" s="83"/>
      <c r="H42359" s="83"/>
      <c r="K42359" s="82"/>
      <c r="M42359" s="112"/>
      <c r="N42359" s="84"/>
    </row>
    <row r="42360" spans="1:14" s="2" customFormat="1">
      <c r="A42360" s="83"/>
      <c r="H42360" s="83"/>
      <c r="K42360" s="82"/>
      <c r="M42360" s="112"/>
      <c r="N42360" s="84"/>
    </row>
    <row r="42361" spans="1:14" s="2" customFormat="1">
      <c r="A42361" s="83"/>
      <c r="H42361" s="83"/>
      <c r="K42361" s="82"/>
      <c r="M42361" s="112"/>
      <c r="N42361" s="84"/>
    </row>
    <row r="42362" spans="1:14" s="2" customFormat="1">
      <c r="A42362" s="83"/>
      <c r="H42362" s="83"/>
      <c r="K42362" s="82"/>
      <c r="M42362" s="112"/>
      <c r="N42362" s="84"/>
    </row>
    <row r="42363" spans="1:14" s="2" customFormat="1">
      <c r="A42363" s="83"/>
      <c r="H42363" s="83"/>
      <c r="K42363" s="82"/>
      <c r="M42363" s="112"/>
      <c r="N42363" s="84"/>
    </row>
    <row r="42364" spans="1:14" s="2" customFormat="1">
      <c r="A42364" s="83"/>
      <c r="H42364" s="83"/>
      <c r="K42364" s="82"/>
      <c r="M42364" s="112"/>
      <c r="N42364" s="84"/>
    </row>
    <row r="42365" spans="1:14" s="2" customFormat="1">
      <c r="A42365" s="83"/>
      <c r="H42365" s="83"/>
      <c r="K42365" s="82"/>
      <c r="M42365" s="112"/>
      <c r="N42365" s="84"/>
    </row>
    <row r="42366" spans="1:14" s="2" customFormat="1">
      <c r="A42366" s="83"/>
      <c r="H42366" s="83"/>
      <c r="K42366" s="82"/>
      <c r="M42366" s="112"/>
      <c r="N42366" s="84"/>
    </row>
    <row r="42367" spans="1:14" s="2" customFormat="1">
      <c r="A42367" s="83"/>
      <c r="H42367" s="83"/>
      <c r="K42367" s="82"/>
      <c r="M42367" s="112"/>
      <c r="N42367" s="84"/>
    </row>
    <row r="42368" spans="1:14" s="2" customFormat="1">
      <c r="A42368" s="83"/>
      <c r="H42368" s="83"/>
      <c r="K42368" s="82"/>
      <c r="M42368" s="112"/>
      <c r="N42368" s="84"/>
    </row>
    <row r="42369" spans="1:14" s="2" customFormat="1">
      <c r="A42369" s="83"/>
      <c r="H42369" s="83"/>
      <c r="K42369" s="82"/>
      <c r="M42369" s="112"/>
      <c r="N42369" s="84"/>
    </row>
    <row r="42370" spans="1:14" s="2" customFormat="1">
      <c r="A42370" s="83"/>
      <c r="H42370" s="83"/>
      <c r="K42370" s="82"/>
      <c r="M42370" s="112"/>
      <c r="N42370" s="84"/>
    </row>
    <row r="42371" spans="1:14" s="2" customFormat="1">
      <c r="A42371" s="83"/>
      <c r="H42371" s="83"/>
      <c r="K42371" s="82"/>
      <c r="M42371" s="112"/>
      <c r="N42371" s="84"/>
    </row>
    <row r="42372" spans="1:14" s="2" customFormat="1">
      <c r="A42372" s="83"/>
      <c r="H42372" s="83"/>
      <c r="K42372" s="82"/>
      <c r="M42372" s="112"/>
      <c r="N42372" s="84"/>
    </row>
    <row r="42373" spans="1:14" s="2" customFormat="1">
      <c r="A42373" s="83"/>
      <c r="H42373" s="83"/>
      <c r="K42373" s="82"/>
      <c r="M42373" s="112"/>
      <c r="N42373" s="84"/>
    </row>
    <row r="42374" spans="1:14" s="2" customFormat="1">
      <c r="A42374" s="83"/>
      <c r="H42374" s="83"/>
      <c r="K42374" s="82"/>
      <c r="M42374" s="112"/>
      <c r="N42374" s="84"/>
    </row>
    <row r="42375" spans="1:14" s="2" customFormat="1">
      <c r="A42375" s="83"/>
      <c r="H42375" s="83"/>
      <c r="K42375" s="82"/>
      <c r="M42375" s="112"/>
      <c r="N42375" s="84"/>
    </row>
    <row r="42376" spans="1:14" s="2" customFormat="1">
      <c r="A42376" s="83"/>
      <c r="H42376" s="83"/>
      <c r="K42376" s="82"/>
      <c r="M42376" s="112"/>
      <c r="N42376" s="84"/>
    </row>
    <row r="42377" spans="1:14" s="2" customFormat="1">
      <c r="A42377" s="83"/>
      <c r="H42377" s="83"/>
      <c r="K42377" s="82"/>
      <c r="M42377" s="112"/>
      <c r="N42377" s="84"/>
    </row>
    <row r="42378" spans="1:14" s="2" customFormat="1">
      <c r="A42378" s="83"/>
      <c r="H42378" s="83"/>
      <c r="K42378" s="82"/>
      <c r="M42378" s="112"/>
      <c r="N42378" s="84"/>
    </row>
    <row r="42379" spans="1:14" s="2" customFormat="1">
      <c r="A42379" s="83"/>
      <c r="H42379" s="83"/>
      <c r="K42379" s="82"/>
      <c r="M42379" s="112"/>
      <c r="N42379" s="84"/>
    </row>
    <row r="42380" spans="1:14" s="2" customFormat="1">
      <c r="A42380" s="83"/>
      <c r="H42380" s="83"/>
      <c r="K42380" s="82"/>
      <c r="M42380" s="112"/>
      <c r="N42380" s="84"/>
    </row>
    <row r="42381" spans="1:14" s="2" customFormat="1">
      <c r="A42381" s="83"/>
      <c r="H42381" s="83"/>
      <c r="K42381" s="82"/>
      <c r="M42381" s="112"/>
      <c r="N42381" s="84"/>
    </row>
    <row r="42382" spans="1:14" s="2" customFormat="1">
      <c r="A42382" s="83"/>
      <c r="H42382" s="83"/>
      <c r="K42382" s="82"/>
      <c r="M42382" s="112"/>
      <c r="N42382" s="84"/>
    </row>
    <row r="42383" spans="1:14" s="2" customFormat="1">
      <c r="A42383" s="83"/>
      <c r="H42383" s="83"/>
      <c r="K42383" s="82"/>
      <c r="M42383" s="112"/>
      <c r="N42383" s="84"/>
    </row>
    <row r="42384" spans="1:14" s="2" customFormat="1">
      <c r="A42384" s="83"/>
      <c r="H42384" s="83"/>
      <c r="K42384" s="82"/>
      <c r="M42384" s="112"/>
      <c r="N42384" s="84"/>
    </row>
    <row r="42385" spans="1:14" s="2" customFormat="1">
      <c r="A42385" s="83"/>
      <c r="H42385" s="83"/>
      <c r="K42385" s="82"/>
      <c r="M42385" s="112"/>
      <c r="N42385" s="84"/>
    </row>
    <row r="42386" spans="1:14" s="2" customFormat="1">
      <c r="A42386" s="83"/>
      <c r="H42386" s="83"/>
      <c r="K42386" s="82"/>
      <c r="M42386" s="112"/>
      <c r="N42386" s="84"/>
    </row>
    <row r="42387" spans="1:14" s="2" customFormat="1">
      <c r="A42387" s="83"/>
      <c r="H42387" s="83"/>
      <c r="K42387" s="82"/>
      <c r="M42387" s="112"/>
      <c r="N42387" s="84"/>
    </row>
    <row r="42388" spans="1:14" s="2" customFormat="1">
      <c r="A42388" s="83"/>
      <c r="H42388" s="83"/>
      <c r="K42388" s="82"/>
      <c r="M42388" s="112"/>
      <c r="N42388" s="84"/>
    </row>
    <row r="42389" spans="1:14" s="2" customFormat="1">
      <c r="A42389" s="83"/>
      <c r="H42389" s="83"/>
      <c r="K42389" s="82"/>
      <c r="M42389" s="112"/>
      <c r="N42389" s="84"/>
    </row>
    <row r="42390" spans="1:14" s="2" customFormat="1">
      <c r="A42390" s="83"/>
      <c r="H42390" s="83"/>
      <c r="K42390" s="82"/>
      <c r="M42390" s="112"/>
      <c r="N42390" s="84"/>
    </row>
    <row r="42391" spans="1:14" s="2" customFormat="1">
      <c r="A42391" s="83"/>
      <c r="H42391" s="83"/>
      <c r="K42391" s="82"/>
      <c r="M42391" s="112"/>
      <c r="N42391" s="84"/>
    </row>
    <row r="42392" spans="1:14" s="2" customFormat="1">
      <c r="A42392" s="83"/>
      <c r="H42392" s="83"/>
      <c r="K42392" s="82"/>
      <c r="M42392" s="112"/>
      <c r="N42392" s="84"/>
    </row>
    <row r="42393" spans="1:14" s="2" customFormat="1">
      <c r="A42393" s="83"/>
      <c r="H42393" s="83"/>
      <c r="K42393" s="82"/>
      <c r="M42393" s="112"/>
      <c r="N42393" s="84"/>
    </row>
    <row r="42394" spans="1:14" s="2" customFormat="1">
      <c r="A42394" s="83"/>
      <c r="H42394" s="83"/>
      <c r="K42394" s="82"/>
      <c r="M42394" s="112"/>
      <c r="N42394" s="84"/>
    </row>
    <row r="42395" spans="1:14" s="2" customFormat="1">
      <c r="A42395" s="83"/>
      <c r="H42395" s="83"/>
      <c r="K42395" s="82"/>
      <c r="M42395" s="112"/>
      <c r="N42395" s="84"/>
    </row>
    <row r="42396" spans="1:14" s="2" customFormat="1">
      <c r="A42396" s="83"/>
      <c r="H42396" s="83"/>
      <c r="K42396" s="82"/>
      <c r="M42396" s="112"/>
      <c r="N42396" s="84"/>
    </row>
    <row r="42397" spans="1:14" s="2" customFormat="1">
      <c r="A42397" s="83"/>
      <c r="H42397" s="83"/>
      <c r="K42397" s="82"/>
      <c r="M42397" s="112"/>
      <c r="N42397" s="84"/>
    </row>
    <row r="42398" spans="1:14" s="2" customFormat="1">
      <c r="A42398" s="83"/>
      <c r="H42398" s="83"/>
      <c r="K42398" s="82"/>
      <c r="M42398" s="112"/>
      <c r="N42398" s="84"/>
    </row>
    <row r="42399" spans="1:14" s="2" customFormat="1">
      <c r="A42399" s="83"/>
      <c r="H42399" s="83"/>
      <c r="K42399" s="82"/>
      <c r="M42399" s="112"/>
      <c r="N42399" s="84"/>
    </row>
    <row r="42400" spans="1:14" s="2" customFormat="1">
      <c r="A42400" s="83"/>
      <c r="H42400" s="83"/>
      <c r="K42400" s="82"/>
      <c r="M42400" s="112"/>
      <c r="N42400" s="84"/>
    </row>
    <row r="42401" spans="1:14" s="2" customFormat="1">
      <c r="A42401" s="83"/>
      <c r="H42401" s="83"/>
      <c r="K42401" s="82"/>
      <c r="M42401" s="112"/>
      <c r="N42401" s="84"/>
    </row>
    <row r="42402" spans="1:14" s="2" customFormat="1">
      <c r="A42402" s="83"/>
      <c r="H42402" s="83"/>
      <c r="K42402" s="82"/>
      <c r="M42402" s="112"/>
      <c r="N42402" s="84"/>
    </row>
    <row r="42403" spans="1:14" s="2" customFormat="1">
      <c r="A42403" s="83"/>
      <c r="H42403" s="83"/>
      <c r="K42403" s="82"/>
      <c r="M42403" s="112"/>
      <c r="N42403" s="84"/>
    </row>
    <row r="42404" spans="1:14" s="2" customFormat="1">
      <c r="A42404" s="83"/>
      <c r="H42404" s="83"/>
      <c r="K42404" s="82"/>
      <c r="M42404" s="112"/>
      <c r="N42404" s="84"/>
    </row>
    <row r="42405" spans="1:14" s="2" customFormat="1">
      <c r="A42405" s="83"/>
      <c r="H42405" s="83"/>
      <c r="K42405" s="82"/>
      <c r="M42405" s="112"/>
      <c r="N42405" s="84"/>
    </row>
    <row r="42406" spans="1:14" s="2" customFormat="1">
      <c r="A42406" s="83"/>
      <c r="H42406" s="83"/>
      <c r="K42406" s="82"/>
      <c r="M42406" s="112"/>
      <c r="N42406" s="84"/>
    </row>
    <row r="42407" spans="1:14" s="2" customFormat="1">
      <c r="A42407" s="83"/>
      <c r="H42407" s="83"/>
      <c r="K42407" s="82"/>
      <c r="M42407" s="112"/>
      <c r="N42407" s="84"/>
    </row>
    <row r="42408" spans="1:14" s="2" customFormat="1">
      <c r="A42408" s="83"/>
      <c r="H42408" s="83"/>
      <c r="K42408" s="82"/>
      <c r="M42408" s="112"/>
      <c r="N42408" s="84"/>
    </row>
    <row r="42409" spans="1:14" s="2" customFormat="1">
      <c r="A42409" s="83"/>
      <c r="H42409" s="83"/>
      <c r="K42409" s="82"/>
      <c r="M42409" s="112"/>
      <c r="N42409" s="84"/>
    </row>
    <row r="42410" spans="1:14" s="2" customFormat="1">
      <c r="A42410" s="83"/>
      <c r="H42410" s="83"/>
      <c r="K42410" s="82"/>
      <c r="M42410" s="112"/>
      <c r="N42410" s="84"/>
    </row>
    <row r="42411" spans="1:14" s="2" customFormat="1">
      <c r="A42411" s="83"/>
      <c r="H42411" s="83"/>
      <c r="K42411" s="82"/>
      <c r="M42411" s="112"/>
      <c r="N42411" s="84"/>
    </row>
    <row r="42412" spans="1:14" s="2" customFormat="1">
      <c r="A42412" s="83"/>
      <c r="H42412" s="83"/>
      <c r="K42412" s="82"/>
      <c r="M42412" s="112"/>
      <c r="N42412" s="84"/>
    </row>
    <row r="42413" spans="1:14" s="2" customFormat="1">
      <c r="A42413" s="83"/>
      <c r="H42413" s="83"/>
      <c r="K42413" s="82"/>
      <c r="M42413" s="112"/>
      <c r="N42413" s="84"/>
    </row>
    <row r="42414" spans="1:14" s="2" customFormat="1">
      <c r="A42414" s="83"/>
      <c r="H42414" s="83"/>
      <c r="K42414" s="82"/>
      <c r="M42414" s="112"/>
      <c r="N42414" s="84"/>
    </row>
    <row r="42415" spans="1:14" s="2" customFormat="1">
      <c r="A42415" s="83"/>
      <c r="H42415" s="83"/>
      <c r="K42415" s="82"/>
      <c r="M42415" s="112"/>
      <c r="N42415" s="84"/>
    </row>
    <row r="42416" spans="1:14" s="2" customFormat="1">
      <c r="A42416" s="83"/>
      <c r="H42416" s="83"/>
      <c r="K42416" s="82"/>
      <c r="M42416" s="112"/>
      <c r="N42416" s="84"/>
    </row>
    <row r="42417" spans="1:14" s="2" customFormat="1">
      <c r="A42417" s="83"/>
      <c r="H42417" s="83"/>
      <c r="K42417" s="82"/>
      <c r="M42417" s="112"/>
      <c r="N42417" s="84"/>
    </row>
    <row r="42418" spans="1:14" s="2" customFormat="1">
      <c r="A42418" s="83"/>
      <c r="H42418" s="83"/>
      <c r="K42418" s="82"/>
      <c r="M42418" s="112"/>
      <c r="N42418" s="84"/>
    </row>
    <row r="42419" spans="1:14" s="2" customFormat="1">
      <c r="A42419" s="83"/>
      <c r="H42419" s="83"/>
      <c r="K42419" s="82"/>
      <c r="M42419" s="112"/>
      <c r="N42419" s="84"/>
    </row>
    <row r="42420" spans="1:14" s="2" customFormat="1">
      <c r="A42420" s="83"/>
      <c r="H42420" s="83"/>
      <c r="K42420" s="82"/>
      <c r="M42420" s="112"/>
      <c r="N42420" s="84"/>
    </row>
    <row r="42421" spans="1:14" s="2" customFormat="1">
      <c r="A42421" s="83"/>
      <c r="H42421" s="83"/>
      <c r="K42421" s="82"/>
      <c r="M42421" s="112"/>
      <c r="N42421" s="84"/>
    </row>
    <row r="42422" spans="1:14" s="2" customFormat="1">
      <c r="A42422" s="83"/>
      <c r="H42422" s="83"/>
      <c r="K42422" s="82"/>
      <c r="M42422" s="112"/>
      <c r="N42422" s="84"/>
    </row>
    <row r="42423" spans="1:14" s="2" customFormat="1">
      <c r="A42423" s="83"/>
      <c r="H42423" s="83"/>
      <c r="K42423" s="82"/>
      <c r="M42423" s="112"/>
      <c r="N42423" s="84"/>
    </row>
    <row r="42424" spans="1:14" s="2" customFormat="1">
      <c r="A42424" s="83"/>
      <c r="H42424" s="83"/>
      <c r="K42424" s="82"/>
      <c r="M42424" s="112"/>
      <c r="N42424" s="84"/>
    </row>
    <row r="42425" spans="1:14" s="2" customFormat="1">
      <c r="A42425" s="83"/>
      <c r="H42425" s="83"/>
      <c r="K42425" s="82"/>
      <c r="M42425" s="112"/>
      <c r="N42425" s="84"/>
    </row>
    <row r="42426" spans="1:14" s="2" customFormat="1">
      <c r="A42426" s="83"/>
      <c r="H42426" s="83"/>
      <c r="K42426" s="82"/>
      <c r="M42426" s="112"/>
      <c r="N42426" s="84"/>
    </row>
    <row r="42427" spans="1:14" s="2" customFormat="1">
      <c r="A42427" s="83"/>
      <c r="H42427" s="83"/>
      <c r="K42427" s="82"/>
      <c r="M42427" s="112"/>
      <c r="N42427" s="84"/>
    </row>
    <row r="42428" spans="1:14" s="2" customFormat="1">
      <c r="A42428" s="83"/>
      <c r="H42428" s="83"/>
      <c r="K42428" s="82"/>
      <c r="M42428" s="112"/>
      <c r="N42428" s="84"/>
    </row>
    <row r="42429" spans="1:14" s="2" customFormat="1">
      <c r="A42429" s="83"/>
      <c r="H42429" s="83"/>
      <c r="K42429" s="82"/>
      <c r="M42429" s="112"/>
      <c r="N42429" s="84"/>
    </row>
    <row r="42430" spans="1:14" s="2" customFormat="1">
      <c r="A42430" s="83"/>
      <c r="H42430" s="83"/>
      <c r="K42430" s="82"/>
      <c r="M42430" s="112"/>
      <c r="N42430" s="84"/>
    </row>
    <row r="42431" spans="1:14" s="2" customFormat="1">
      <c r="A42431" s="83"/>
      <c r="H42431" s="83"/>
      <c r="K42431" s="82"/>
      <c r="M42431" s="112"/>
      <c r="N42431" s="84"/>
    </row>
    <row r="42432" spans="1:14" s="2" customFormat="1">
      <c r="A42432" s="83"/>
      <c r="H42432" s="83"/>
      <c r="K42432" s="82"/>
      <c r="M42432" s="112"/>
      <c r="N42432" s="84"/>
    </row>
    <row r="42433" spans="1:14" s="2" customFormat="1">
      <c r="A42433" s="83"/>
      <c r="H42433" s="83"/>
      <c r="K42433" s="82"/>
      <c r="M42433" s="112"/>
      <c r="N42433" s="84"/>
    </row>
    <row r="42434" spans="1:14" s="2" customFormat="1">
      <c r="A42434" s="83"/>
      <c r="H42434" s="83"/>
      <c r="K42434" s="82"/>
      <c r="M42434" s="112"/>
      <c r="N42434" s="84"/>
    </row>
    <row r="42435" spans="1:14" s="2" customFormat="1">
      <c r="A42435" s="83"/>
      <c r="H42435" s="83"/>
      <c r="K42435" s="82"/>
      <c r="M42435" s="112"/>
      <c r="N42435" s="84"/>
    </row>
    <row r="42436" spans="1:14" s="2" customFormat="1">
      <c r="A42436" s="83"/>
      <c r="H42436" s="83"/>
      <c r="K42436" s="82"/>
      <c r="M42436" s="112"/>
      <c r="N42436" s="84"/>
    </row>
    <row r="42437" spans="1:14" s="2" customFormat="1">
      <c r="A42437" s="83"/>
      <c r="H42437" s="83"/>
      <c r="K42437" s="82"/>
      <c r="M42437" s="112"/>
      <c r="N42437" s="84"/>
    </row>
    <row r="42438" spans="1:14" s="2" customFormat="1">
      <c r="A42438" s="83"/>
      <c r="H42438" s="83"/>
      <c r="K42438" s="82"/>
      <c r="M42438" s="112"/>
      <c r="N42438" s="84"/>
    </row>
    <row r="42439" spans="1:14" s="2" customFormat="1">
      <c r="A42439" s="83"/>
      <c r="H42439" s="83"/>
      <c r="K42439" s="82"/>
      <c r="M42439" s="112"/>
      <c r="N42439" s="84"/>
    </row>
    <row r="42440" spans="1:14" s="2" customFormat="1">
      <c r="A42440" s="83"/>
      <c r="H42440" s="83"/>
      <c r="K42440" s="82"/>
      <c r="M42440" s="112"/>
      <c r="N42440" s="84"/>
    </row>
    <row r="42441" spans="1:14" s="2" customFormat="1">
      <c r="A42441" s="83"/>
      <c r="H42441" s="83"/>
      <c r="K42441" s="82"/>
      <c r="M42441" s="112"/>
      <c r="N42441" s="84"/>
    </row>
    <row r="42442" spans="1:14" s="2" customFormat="1">
      <c r="A42442" s="83"/>
      <c r="H42442" s="83"/>
      <c r="K42442" s="82"/>
      <c r="M42442" s="112"/>
      <c r="N42442" s="84"/>
    </row>
    <row r="42443" spans="1:14" s="2" customFormat="1">
      <c r="A42443" s="83"/>
      <c r="H42443" s="83"/>
      <c r="K42443" s="82"/>
      <c r="M42443" s="112"/>
      <c r="N42443" s="84"/>
    </row>
    <row r="42444" spans="1:14" s="2" customFormat="1">
      <c r="A42444" s="83"/>
      <c r="H42444" s="83"/>
      <c r="K42444" s="82"/>
      <c r="M42444" s="112"/>
      <c r="N42444" s="84"/>
    </row>
    <row r="42445" spans="1:14" s="2" customFormat="1">
      <c r="A42445" s="83"/>
      <c r="H42445" s="83"/>
      <c r="K42445" s="82"/>
      <c r="M42445" s="112"/>
      <c r="N42445" s="84"/>
    </row>
    <row r="42446" spans="1:14" s="2" customFormat="1">
      <c r="A42446" s="83"/>
      <c r="H42446" s="83"/>
      <c r="K42446" s="82"/>
      <c r="M42446" s="112"/>
      <c r="N42446" s="84"/>
    </row>
    <row r="42447" spans="1:14" s="2" customFormat="1">
      <c r="A42447" s="83"/>
      <c r="H42447" s="83"/>
      <c r="K42447" s="82"/>
      <c r="M42447" s="112"/>
      <c r="N42447" s="84"/>
    </row>
    <row r="42448" spans="1:14" s="2" customFormat="1">
      <c r="A42448" s="83"/>
      <c r="H42448" s="83"/>
      <c r="K42448" s="82"/>
      <c r="M42448" s="112"/>
      <c r="N42448" s="84"/>
    </row>
    <row r="42449" spans="1:14" s="2" customFormat="1">
      <c r="A42449" s="83"/>
      <c r="H42449" s="83"/>
      <c r="K42449" s="82"/>
      <c r="M42449" s="112"/>
      <c r="N42449" s="84"/>
    </row>
    <row r="42450" spans="1:14" s="2" customFormat="1">
      <c r="A42450" s="83"/>
      <c r="H42450" s="83"/>
      <c r="K42450" s="82"/>
      <c r="M42450" s="112"/>
      <c r="N42450" s="84"/>
    </row>
    <row r="42451" spans="1:14" s="2" customFormat="1">
      <c r="A42451" s="83"/>
      <c r="H42451" s="83"/>
      <c r="K42451" s="82"/>
      <c r="M42451" s="112"/>
      <c r="N42451" s="84"/>
    </row>
    <row r="42452" spans="1:14" s="2" customFormat="1">
      <c r="A42452" s="83"/>
      <c r="H42452" s="83"/>
      <c r="K42452" s="82"/>
      <c r="M42452" s="112"/>
      <c r="N42452" s="84"/>
    </row>
    <row r="42453" spans="1:14" s="2" customFormat="1">
      <c r="A42453" s="83"/>
      <c r="H42453" s="83"/>
      <c r="K42453" s="82"/>
      <c r="M42453" s="112"/>
      <c r="N42453" s="84"/>
    </row>
    <row r="42454" spans="1:14" s="2" customFormat="1">
      <c r="A42454" s="83"/>
      <c r="H42454" s="83"/>
      <c r="K42454" s="82"/>
      <c r="M42454" s="112"/>
      <c r="N42454" s="84"/>
    </row>
    <row r="42455" spans="1:14" s="2" customFormat="1">
      <c r="A42455" s="83"/>
      <c r="H42455" s="83"/>
      <c r="K42455" s="82"/>
      <c r="M42455" s="112"/>
      <c r="N42455" s="84"/>
    </row>
    <row r="42456" spans="1:14" s="2" customFormat="1">
      <c r="A42456" s="83"/>
      <c r="H42456" s="83"/>
      <c r="K42456" s="82"/>
      <c r="M42456" s="112"/>
      <c r="N42456" s="84"/>
    </row>
    <row r="42457" spans="1:14" s="2" customFormat="1">
      <c r="A42457" s="83"/>
      <c r="H42457" s="83"/>
      <c r="K42457" s="82"/>
      <c r="M42457" s="112"/>
      <c r="N42457" s="84"/>
    </row>
    <row r="42458" spans="1:14" s="2" customFormat="1">
      <c r="A42458" s="83"/>
      <c r="H42458" s="83"/>
      <c r="K42458" s="82"/>
      <c r="M42458" s="112"/>
      <c r="N42458" s="84"/>
    </row>
    <row r="42459" spans="1:14" s="2" customFormat="1">
      <c r="A42459" s="83"/>
      <c r="H42459" s="83"/>
      <c r="K42459" s="82"/>
      <c r="M42459" s="112"/>
      <c r="N42459" s="84"/>
    </row>
    <row r="42460" spans="1:14" s="2" customFormat="1">
      <c r="A42460" s="83"/>
      <c r="H42460" s="83"/>
      <c r="K42460" s="82"/>
      <c r="M42460" s="112"/>
      <c r="N42460" s="84"/>
    </row>
    <row r="42461" spans="1:14" s="2" customFormat="1">
      <c r="A42461" s="83"/>
      <c r="H42461" s="83"/>
      <c r="K42461" s="82"/>
      <c r="M42461" s="112"/>
      <c r="N42461" s="84"/>
    </row>
    <row r="42462" spans="1:14" s="2" customFormat="1">
      <c r="A42462" s="83"/>
      <c r="H42462" s="83"/>
      <c r="K42462" s="82"/>
      <c r="M42462" s="112"/>
      <c r="N42462" s="84"/>
    </row>
    <row r="42463" spans="1:14" s="2" customFormat="1">
      <c r="A42463" s="83"/>
      <c r="H42463" s="83"/>
      <c r="K42463" s="82"/>
      <c r="M42463" s="112"/>
      <c r="N42463" s="84"/>
    </row>
    <row r="42464" spans="1:14" s="2" customFormat="1">
      <c r="A42464" s="83"/>
      <c r="H42464" s="83"/>
      <c r="K42464" s="82"/>
      <c r="M42464" s="112"/>
      <c r="N42464" s="84"/>
    </row>
    <row r="42465" spans="1:14" s="2" customFormat="1">
      <c r="A42465" s="83"/>
      <c r="H42465" s="83"/>
      <c r="K42465" s="82"/>
      <c r="M42465" s="112"/>
      <c r="N42465" s="84"/>
    </row>
    <row r="42466" spans="1:14" s="2" customFormat="1">
      <c r="A42466" s="83"/>
      <c r="H42466" s="83"/>
      <c r="K42466" s="82"/>
      <c r="M42466" s="112"/>
      <c r="N42466" s="84"/>
    </row>
    <row r="42467" spans="1:14" s="2" customFormat="1">
      <c r="A42467" s="83"/>
      <c r="H42467" s="83"/>
      <c r="K42467" s="82"/>
      <c r="M42467" s="112"/>
      <c r="N42467" s="84"/>
    </row>
    <row r="42468" spans="1:14" s="2" customFormat="1">
      <c r="A42468" s="83"/>
      <c r="H42468" s="83"/>
      <c r="K42468" s="82"/>
      <c r="M42468" s="112"/>
      <c r="N42468" s="84"/>
    </row>
    <row r="42469" spans="1:14" s="2" customFormat="1">
      <c r="A42469" s="83"/>
      <c r="H42469" s="83"/>
      <c r="K42469" s="82"/>
      <c r="M42469" s="112"/>
      <c r="N42469" s="84"/>
    </row>
    <row r="42470" spans="1:14" s="2" customFormat="1">
      <c r="A42470" s="83"/>
      <c r="H42470" s="83"/>
      <c r="K42470" s="82"/>
      <c r="M42470" s="112"/>
      <c r="N42470" s="84"/>
    </row>
    <row r="42471" spans="1:14" s="2" customFormat="1">
      <c r="A42471" s="83"/>
      <c r="H42471" s="83"/>
      <c r="K42471" s="82"/>
      <c r="M42471" s="112"/>
      <c r="N42471" s="84"/>
    </row>
    <row r="42472" spans="1:14" s="2" customFormat="1">
      <c r="A42472" s="83"/>
      <c r="H42472" s="83"/>
      <c r="K42472" s="82"/>
      <c r="M42472" s="112"/>
      <c r="N42472" s="84"/>
    </row>
    <row r="42473" spans="1:14" s="2" customFormat="1">
      <c r="A42473" s="83"/>
      <c r="H42473" s="83"/>
      <c r="K42473" s="82"/>
      <c r="M42473" s="112"/>
      <c r="N42473" s="84"/>
    </row>
    <row r="42474" spans="1:14" s="2" customFormat="1">
      <c r="A42474" s="83"/>
      <c r="H42474" s="83"/>
      <c r="K42474" s="82"/>
      <c r="M42474" s="112"/>
      <c r="N42474" s="84"/>
    </row>
    <row r="42475" spans="1:14" s="2" customFormat="1">
      <c r="A42475" s="83"/>
      <c r="H42475" s="83"/>
      <c r="K42475" s="82"/>
      <c r="M42475" s="112"/>
      <c r="N42475" s="84"/>
    </row>
    <row r="42476" spans="1:14" s="2" customFormat="1">
      <c r="A42476" s="83"/>
      <c r="H42476" s="83"/>
      <c r="K42476" s="82"/>
      <c r="M42476" s="112"/>
      <c r="N42476" s="84"/>
    </row>
    <row r="42477" spans="1:14" s="2" customFormat="1">
      <c r="A42477" s="83"/>
      <c r="H42477" s="83"/>
      <c r="K42477" s="82"/>
      <c r="M42477" s="112"/>
      <c r="N42477" s="84"/>
    </row>
    <row r="42478" spans="1:14" s="2" customFormat="1">
      <c r="A42478" s="83"/>
      <c r="H42478" s="83"/>
      <c r="K42478" s="82"/>
      <c r="M42478" s="112"/>
      <c r="N42478" s="84"/>
    </row>
    <row r="42479" spans="1:14" s="2" customFormat="1">
      <c r="A42479" s="83"/>
      <c r="H42479" s="83"/>
      <c r="K42479" s="82"/>
      <c r="M42479" s="112"/>
      <c r="N42479" s="84"/>
    </row>
    <row r="42480" spans="1:14" s="2" customFormat="1">
      <c r="A42480" s="83"/>
      <c r="H42480" s="83"/>
      <c r="K42480" s="82"/>
      <c r="M42480" s="112"/>
      <c r="N42480" s="84"/>
    </row>
    <row r="42481" spans="1:14" s="2" customFormat="1">
      <c r="A42481" s="83"/>
      <c r="H42481" s="83"/>
      <c r="K42481" s="82"/>
      <c r="M42481" s="112"/>
      <c r="N42481" s="84"/>
    </row>
    <row r="42482" spans="1:14" s="2" customFormat="1">
      <c r="A42482" s="83"/>
      <c r="H42482" s="83"/>
      <c r="K42482" s="82"/>
      <c r="M42482" s="112"/>
      <c r="N42482" s="84"/>
    </row>
    <row r="42483" spans="1:14" s="2" customFormat="1">
      <c r="A42483" s="83"/>
      <c r="H42483" s="83"/>
      <c r="K42483" s="82"/>
      <c r="M42483" s="112"/>
      <c r="N42483" s="84"/>
    </row>
    <row r="42484" spans="1:14" s="2" customFormat="1">
      <c r="A42484" s="83"/>
      <c r="H42484" s="83"/>
      <c r="K42484" s="82"/>
      <c r="M42484" s="112"/>
      <c r="N42484" s="84"/>
    </row>
    <row r="42485" spans="1:14" s="2" customFormat="1">
      <c r="A42485" s="83"/>
      <c r="H42485" s="83"/>
      <c r="K42485" s="82"/>
      <c r="M42485" s="112"/>
      <c r="N42485" s="84"/>
    </row>
    <row r="42486" spans="1:14" s="2" customFormat="1">
      <c r="A42486" s="83"/>
      <c r="H42486" s="83"/>
      <c r="K42486" s="82"/>
      <c r="M42486" s="112"/>
      <c r="N42486" s="84"/>
    </row>
    <row r="42487" spans="1:14" s="2" customFormat="1">
      <c r="A42487" s="83"/>
      <c r="H42487" s="83"/>
      <c r="K42487" s="82"/>
      <c r="M42487" s="112"/>
      <c r="N42487" s="84"/>
    </row>
    <row r="42488" spans="1:14" s="2" customFormat="1">
      <c r="A42488" s="83"/>
      <c r="H42488" s="83"/>
      <c r="K42488" s="82"/>
      <c r="M42488" s="112"/>
      <c r="N42488" s="84"/>
    </row>
    <row r="42489" spans="1:14" s="2" customFormat="1">
      <c r="A42489" s="83"/>
      <c r="H42489" s="83"/>
      <c r="K42489" s="82"/>
      <c r="M42489" s="112"/>
      <c r="N42489" s="84"/>
    </row>
    <row r="42490" spans="1:14" s="2" customFormat="1">
      <c r="A42490" s="83"/>
      <c r="H42490" s="83"/>
      <c r="K42490" s="82"/>
      <c r="M42490" s="112"/>
      <c r="N42490" s="84"/>
    </row>
    <row r="42491" spans="1:14" s="2" customFormat="1">
      <c r="A42491" s="83"/>
      <c r="H42491" s="83"/>
      <c r="K42491" s="82"/>
      <c r="M42491" s="112"/>
      <c r="N42491" s="84"/>
    </row>
    <row r="42492" spans="1:14" s="2" customFormat="1">
      <c r="A42492" s="83"/>
      <c r="H42492" s="83"/>
      <c r="K42492" s="82"/>
      <c r="M42492" s="112"/>
      <c r="N42492" s="84"/>
    </row>
    <row r="42493" spans="1:14" s="2" customFormat="1">
      <c r="A42493" s="83"/>
      <c r="H42493" s="83"/>
      <c r="K42493" s="82"/>
      <c r="M42493" s="112"/>
      <c r="N42493" s="84"/>
    </row>
    <row r="42494" spans="1:14" s="2" customFormat="1">
      <c r="A42494" s="83"/>
      <c r="H42494" s="83"/>
      <c r="K42494" s="82"/>
      <c r="M42494" s="112"/>
      <c r="N42494" s="84"/>
    </row>
    <row r="42495" spans="1:14" s="2" customFormat="1">
      <c r="A42495" s="83"/>
      <c r="H42495" s="83"/>
      <c r="K42495" s="82"/>
      <c r="M42495" s="112"/>
      <c r="N42495" s="84"/>
    </row>
    <row r="42496" spans="1:14" s="2" customFormat="1">
      <c r="A42496" s="83"/>
      <c r="H42496" s="83"/>
      <c r="K42496" s="82"/>
      <c r="M42496" s="112"/>
      <c r="N42496" s="84"/>
    </row>
    <row r="42497" spans="1:14" s="2" customFormat="1">
      <c r="A42497" s="83"/>
      <c r="H42497" s="83"/>
      <c r="K42497" s="82"/>
      <c r="M42497" s="112"/>
      <c r="N42497" s="84"/>
    </row>
    <row r="42498" spans="1:14" s="2" customFormat="1">
      <c r="A42498" s="83"/>
      <c r="H42498" s="83"/>
      <c r="K42498" s="82"/>
      <c r="M42498" s="112"/>
      <c r="N42498" s="84"/>
    </row>
    <row r="42499" spans="1:14" s="2" customFormat="1">
      <c r="A42499" s="83"/>
      <c r="H42499" s="83"/>
      <c r="K42499" s="82"/>
      <c r="M42499" s="112"/>
      <c r="N42499" s="84"/>
    </row>
    <row r="42500" spans="1:14" s="2" customFormat="1">
      <c r="A42500" s="83"/>
      <c r="H42500" s="83"/>
      <c r="K42500" s="82"/>
      <c r="M42500" s="112"/>
      <c r="N42500" s="84"/>
    </row>
    <row r="42501" spans="1:14" s="2" customFormat="1">
      <c r="A42501" s="83"/>
      <c r="H42501" s="83"/>
      <c r="K42501" s="82"/>
      <c r="M42501" s="112"/>
      <c r="N42501" s="84"/>
    </row>
    <row r="42502" spans="1:14" s="2" customFormat="1">
      <c r="A42502" s="83"/>
      <c r="H42502" s="83"/>
      <c r="K42502" s="82"/>
      <c r="M42502" s="112"/>
      <c r="N42502" s="84"/>
    </row>
    <row r="42503" spans="1:14" s="2" customFormat="1">
      <c r="A42503" s="83"/>
      <c r="H42503" s="83"/>
      <c r="K42503" s="82"/>
      <c r="M42503" s="112"/>
      <c r="N42503" s="84"/>
    </row>
    <row r="42504" spans="1:14" s="2" customFormat="1">
      <c r="A42504" s="83"/>
      <c r="H42504" s="83"/>
      <c r="K42504" s="82"/>
      <c r="M42504" s="112"/>
      <c r="N42504" s="84"/>
    </row>
    <row r="42505" spans="1:14" s="2" customFormat="1">
      <c r="A42505" s="83"/>
      <c r="H42505" s="83"/>
      <c r="K42505" s="82"/>
      <c r="M42505" s="112"/>
      <c r="N42505" s="84"/>
    </row>
    <row r="42506" spans="1:14" s="2" customFormat="1">
      <c r="A42506" s="83"/>
      <c r="H42506" s="83"/>
      <c r="K42506" s="82"/>
      <c r="M42506" s="112"/>
      <c r="N42506" s="84"/>
    </row>
    <row r="42507" spans="1:14" s="2" customFormat="1">
      <c r="A42507" s="83"/>
      <c r="H42507" s="83"/>
      <c r="K42507" s="82"/>
      <c r="M42507" s="112"/>
      <c r="N42507" s="84"/>
    </row>
    <row r="42508" spans="1:14" s="2" customFormat="1">
      <c r="A42508" s="83"/>
      <c r="H42508" s="83"/>
      <c r="K42508" s="82"/>
      <c r="M42508" s="112"/>
      <c r="N42508" s="84"/>
    </row>
    <row r="42509" spans="1:14" s="2" customFormat="1">
      <c r="A42509" s="83"/>
      <c r="H42509" s="83"/>
      <c r="K42509" s="82"/>
      <c r="M42509" s="112"/>
      <c r="N42509" s="84"/>
    </row>
    <row r="42510" spans="1:14" s="2" customFormat="1">
      <c r="A42510" s="83"/>
      <c r="H42510" s="83"/>
      <c r="K42510" s="82"/>
      <c r="M42510" s="112"/>
      <c r="N42510" s="84"/>
    </row>
    <row r="42511" spans="1:14" s="2" customFormat="1">
      <c r="A42511" s="83"/>
      <c r="H42511" s="83"/>
      <c r="K42511" s="82"/>
      <c r="M42511" s="112"/>
      <c r="N42511" s="84"/>
    </row>
    <row r="42512" spans="1:14" s="2" customFormat="1">
      <c r="A42512" s="83"/>
      <c r="H42512" s="83"/>
      <c r="K42512" s="82"/>
      <c r="M42512" s="112"/>
      <c r="N42512" s="84"/>
    </row>
    <row r="42513" spans="1:14" s="2" customFormat="1">
      <c r="A42513" s="83"/>
      <c r="H42513" s="83"/>
      <c r="K42513" s="82"/>
      <c r="M42513" s="112"/>
      <c r="N42513" s="84"/>
    </row>
    <row r="42514" spans="1:14" s="2" customFormat="1">
      <c r="A42514" s="83"/>
      <c r="H42514" s="83"/>
      <c r="K42514" s="82"/>
      <c r="M42514" s="112"/>
      <c r="N42514" s="84"/>
    </row>
    <row r="42515" spans="1:14" s="2" customFormat="1">
      <c r="A42515" s="83"/>
      <c r="H42515" s="83"/>
      <c r="K42515" s="82"/>
      <c r="M42515" s="112"/>
      <c r="N42515" s="84"/>
    </row>
    <row r="42516" spans="1:14" s="2" customFormat="1">
      <c r="A42516" s="83"/>
      <c r="H42516" s="83"/>
      <c r="K42516" s="82"/>
      <c r="M42516" s="112"/>
      <c r="N42516" s="84"/>
    </row>
    <row r="42517" spans="1:14" s="2" customFormat="1">
      <c r="A42517" s="83"/>
      <c r="H42517" s="83"/>
      <c r="K42517" s="82"/>
      <c r="M42517" s="112"/>
      <c r="N42517" s="84"/>
    </row>
    <row r="42518" spans="1:14" s="2" customFormat="1">
      <c r="A42518" s="83"/>
      <c r="H42518" s="83"/>
      <c r="K42518" s="82"/>
      <c r="M42518" s="112"/>
      <c r="N42518" s="84"/>
    </row>
    <row r="42519" spans="1:14" s="2" customFormat="1">
      <c r="A42519" s="83"/>
      <c r="H42519" s="83"/>
      <c r="K42519" s="82"/>
      <c r="M42519" s="112"/>
      <c r="N42519" s="84"/>
    </row>
    <row r="42520" spans="1:14" s="2" customFormat="1">
      <c r="A42520" s="83"/>
      <c r="H42520" s="83"/>
      <c r="K42520" s="82"/>
      <c r="M42520" s="112"/>
      <c r="N42520" s="84"/>
    </row>
    <row r="42521" spans="1:14" s="2" customFormat="1">
      <c r="A42521" s="83"/>
      <c r="H42521" s="83"/>
      <c r="K42521" s="82"/>
      <c r="M42521" s="112"/>
      <c r="N42521" s="84"/>
    </row>
    <row r="42522" spans="1:14" s="2" customFormat="1">
      <c r="A42522" s="83"/>
      <c r="H42522" s="83"/>
      <c r="K42522" s="82"/>
      <c r="M42522" s="112"/>
      <c r="N42522" s="84"/>
    </row>
    <row r="42523" spans="1:14" s="2" customFormat="1">
      <c r="A42523" s="83"/>
      <c r="H42523" s="83"/>
      <c r="K42523" s="82"/>
      <c r="M42523" s="112"/>
      <c r="N42523" s="84"/>
    </row>
    <row r="42524" spans="1:14" s="2" customFormat="1">
      <c r="A42524" s="83"/>
      <c r="H42524" s="83"/>
      <c r="K42524" s="82"/>
      <c r="M42524" s="112"/>
      <c r="N42524" s="84"/>
    </row>
    <row r="42525" spans="1:14" s="2" customFormat="1">
      <c r="A42525" s="83"/>
      <c r="H42525" s="83"/>
      <c r="K42525" s="82"/>
      <c r="M42525" s="112"/>
      <c r="N42525" s="84"/>
    </row>
    <row r="42526" spans="1:14" s="2" customFormat="1">
      <c r="A42526" s="83"/>
      <c r="H42526" s="83"/>
      <c r="K42526" s="82"/>
      <c r="M42526" s="112"/>
      <c r="N42526" s="84"/>
    </row>
    <row r="42527" spans="1:14" s="2" customFormat="1">
      <c r="A42527" s="83"/>
      <c r="H42527" s="83"/>
      <c r="K42527" s="82"/>
      <c r="M42527" s="112"/>
      <c r="N42527" s="84"/>
    </row>
    <row r="42528" spans="1:14" s="2" customFormat="1">
      <c r="A42528" s="83"/>
      <c r="H42528" s="83"/>
      <c r="K42528" s="82"/>
      <c r="M42528" s="112"/>
      <c r="N42528" s="84"/>
    </row>
    <row r="42529" spans="1:14" s="2" customFormat="1">
      <c r="A42529" s="83"/>
      <c r="H42529" s="83"/>
      <c r="K42529" s="82"/>
      <c r="M42529" s="112"/>
      <c r="N42529" s="84"/>
    </row>
    <row r="42530" spans="1:14" s="2" customFormat="1">
      <c r="A42530" s="83"/>
      <c r="H42530" s="83"/>
      <c r="K42530" s="82"/>
      <c r="M42530" s="112"/>
      <c r="N42530" s="84"/>
    </row>
    <row r="42531" spans="1:14" s="2" customFormat="1">
      <c r="A42531" s="83"/>
      <c r="H42531" s="83"/>
      <c r="K42531" s="82"/>
      <c r="M42531" s="112"/>
      <c r="N42531" s="84"/>
    </row>
    <row r="42532" spans="1:14" s="2" customFormat="1">
      <c r="A42532" s="83"/>
      <c r="H42532" s="83"/>
      <c r="K42532" s="82"/>
      <c r="M42532" s="112"/>
      <c r="N42532" s="84"/>
    </row>
    <row r="42533" spans="1:14" s="2" customFormat="1">
      <c r="A42533" s="83"/>
      <c r="H42533" s="83"/>
      <c r="K42533" s="82"/>
      <c r="M42533" s="112"/>
      <c r="N42533" s="84"/>
    </row>
    <row r="42534" spans="1:14" s="2" customFormat="1">
      <c r="A42534" s="83"/>
      <c r="H42534" s="83"/>
      <c r="K42534" s="82"/>
      <c r="M42534" s="112"/>
      <c r="N42534" s="84"/>
    </row>
    <row r="42535" spans="1:14" s="2" customFormat="1">
      <c r="A42535" s="83"/>
      <c r="H42535" s="83"/>
      <c r="K42535" s="82"/>
      <c r="M42535" s="112"/>
      <c r="N42535" s="84"/>
    </row>
    <row r="42536" spans="1:14" s="2" customFormat="1">
      <c r="A42536" s="83"/>
      <c r="H42536" s="83"/>
      <c r="K42536" s="82"/>
      <c r="M42536" s="112"/>
      <c r="N42536" s="84"/>
    </row>
    <row r="42537" spans="1:14" s="2" customFormat="1">
      <c r="A42537" s="83"/>
      <c r="H42537" s="83"/>
      <c r="K42537" s="82"/>
      <c r="M42537" s="112"/>
      <c r="N42537" s="84"/>
    </row>
    <row r="42538" spans="1:14" s="2" customFormat="1">
      <c r="A42538" s="83"/>
      <c r="H42538" s="83"/>
      <c r="K42538" s="82"/>
      <c r="M42538" s="112"/>
      <c r="N42538" s="84"/>
    </row>
    <row r="42539" spans="1:14" s="2" customFormat="1">
      <c r="A42539" s="83"/>
      <c r="H42539" s="83"/>
      <c r="K42539" s="82"/>
      <c r="M42539" s="112"/>
      <c r="N42539" s="84"/>
    </row>
    <row r="42540" spans="1:14" s="2" customFormat="1">
      <c r="A42540" s="83"/>
      <c r="H42540" s="83"/>
      <c r="K42540" s="82"/>
      <c r="M42540" s="112"/>
      <c r="N42540" s="84"/>
    </row>
    <row r="42541" spans="1:14" s="2" customFormat="1">
      <c r="A42541" s="83"/>
      <c r="H42541" s="83"/>
      <c r="K42541" s="82"/>
      <c r="M42541" s="112"/>
      <c r="N42541" s="84"/>
    </row>
    <row r="42542" spans="1:14" s="2" customFormat="1">
      <c r="A42542" s="83"/>
      <c r="H42542" s="83"/>
      <c r="K42542" s="82"/>
      <c r="M42542" s="112"/>
      <c r="N42542" s="84"/>
    </row>
    <row r="42543" spans="1:14" s="2" customFormat="1">
      <c r="A42543" s="83"/>
      <c r="H42543" s="83"/>
      <c r="K42543" s="82"/>
      <c r="M42543" s="112"/>
      <c r="N42543" s="84"/>
    </row>
    <row r="42544" spans="1:14" s="2" customFormat="1">
      <c r="A42544" s="83"/>
      <c r="H42544" s="83"/>
      <c r="K42544" s="82"/>
      <c r="M42544" s="112"/>
      <c r="N42544" s="84"/>
    </row>
    <row r="42545" spans="1:14" s="2" customFormat="1">
      <c r="A42545" s="83"/>
      <c r="H42545" s="83"/>
      <c r="K42545" s="82"/>
      <c r="M42545" s="112"/>
      <c r="N42545" s="84"/>
    </row>
    <row r="42546" spans="1:14" s="2" customFormat="1">
      <c r="A42546" s="83"/>
      <c r="H42546" s="83"/>
      <c r="K42546" s="82"/>
      <c r="M42546" s="112"/>
      <c r="N42546" s="84"/>
    </row>
    <row r="42547" spans="1:14" s="2" customFormat="1">
      <c r="A42547" s="83"/>
      <c r="H42547" s="83"/>
      <c r="K42547" s="82"/>
      <c r="M42547" s="112"/>
      <c r="N42547" s="84"/>
    </row>
    <row r="42548" spans="1:14" s="2" customFormat="1">
      <c r="A42548" s="83"/>
      <c r="H42548" s="83"/>
      <c r="K42548" s="82"/>
      <c r="M42548" s="112"/>
      <c r="N42548" s="84"/>
    </row>
    <row r="42549" spans="1:14" s="2" customFormat="1">
      <c r="A42549" s="83"/>
      <c r="H42549" s="83"/>
      <c r="K42549" s="82"/>
      <c r="M42549" s="112"/>
      <c r="N42549" s="84"/>
    </row>
    <row r="42550" spans="1:14" s="2" customFormat="1">
      <c r="A42550" s="83"/>
      <c r="H42550" s="83"/>
      <c r="K42550" s="82"/>
      <c r="M42550" s="112"/>
      <c r="N42550" s="84"/>
    </row>
    <row r="42551" spans="1:14" s="2" customFormat="1">
      <c r="A42551" s="83"/>
      <c r="H42551" s="83"/>
      <c r="K42551" s="82"/>
      <c r="M42551" s="112"/>
      <c r="N42551" s="84"/>
    </row>
    <row r="42552" spans="1:14" s="2" customFormat="1">
      <c r="A42552" s="83"/>
      <c r="H42552" s="83"/>
      <c r="K42552" s="82"/>
      <c r="M42552" s="112"/>
      <c r="N42552" s="84"/>
    </row>
    <row r="42553" spans="1:14" s="2" customFormat="1">
      <c r="A42553" s="83"/>
      <c r="H42553" s="83"/>
      <c r="K42553" s="82"/>
      <c r="M42553" s="112"/>
      <c r="N42553" s="84"/>
    </row>
    <row r="42554" spans="1:14" s="2" customFormat="1">
      <c r="A42554" s="83"/>
      <c r="H42554" s="83"/>
      <c r="K42554" s="82"/>
      <c r="M42554" s="112"/>
      <c r="N42554" s="84"/>
    </row>
    <row r="42555" spans="1:14" s="2" customFormat="1">
      <c r="A42555" s="83"/>
      <c r="H42555" s="83"/>
      <c r="K42555" s="82"/>
      <c r="M42555" s="112"/>
      <c r="N42555" s="84"/>
    </row>
    <row r="42556" spans="1:14" s="2" customFormat="1">
      <c r="A42556" s="83"/>
      <c r="H42556" s="83"/>
      <c r="K42556" s="82"/>
      <c r="M42556" s="112"/>
      <c r="N42556" s="84"/>
    </row>
    <row r="42557" spans="1:14" s="2" customFormat="1">
      <c r="A42557" s="83"/>
      <c r="H42557" s="83"/>
      <c r="K42557" s="82"/>
      <c r="M42557" s="112"/>
      <c r="N42557" s="84"/>
    </row>
    <row r="42558" spans="1:14" s="2" customFormat="1">
      <c r="A42558" s="83"/>
      <c r="H42558" s="83"/>
      <c r="K42558" s="82"/>
      <c r="M42558" s="112"/>
      <c r="N42558" s="84"/>
    </row>
    <row r="42559" spans="1:14" s="2" customFormat="1">
      <c r="A42559" s="83"/>
      <c r="H42559" s="83"/>
      <c r="K42559" s="82"/>
      <c r="M42559" s="112"/>
      <c r="N42559" s="84"/>
    </row>
    <row r="42560" spans="1:14" s="2" customFormat="1">
      <c r="A42560" s="83"/>
      <c r="H42560" s="83"/>
      <c r="K42560" s="82"/>
      <c r="M42560" s="112"/>
      <c r="N42560" s="84"/>
    </row>
    <row r="42561" spans="1:14" s="2" customFormat="1">
      <c r="A42561" s="83"/>
      <c r="H42561" s="83"/>
      <c r="K42561" s="82"/>
      <c r="M42561" s="112"/>
      <c r="N42561" s="84"/>
    </row>
    <row r="42562" spans="1:14" s="2" customFormat="1">
      <c r="A42562" s="83"/>
      <c r="H42562" s="83"/>
      <c r="K42562" s="82"/>
      <c r="M42562" s="112"/>
      <c r="N42562" s="84"/>
    </row>
    <row r="42563" spans="1:14" s="2" customFormat="1">
      <c r="A42563" s="83"/>
      <c r="H42563" s="83"/>
      <c r="K42563" s="82"/>
      <c r="M42563" s="112"/>
      <c r="N42563" s="84"/>
    </row>
    <row r="42564" spans="1:14" s="2" customFormat="1">
      <c r="A42564" s="83"/>
      <c r="H42564" s="83"/>
      <c r="K42564" s="82"/>
      <c r="M42564" s="112"/>
      <c r="N42564" s="84"/>
    </row>
    <row r="42565" spans="1:14" s="2" customFormat="1">
      <c r="A42565" s="83"/>
      <c r="H42565" s="83"/>
      <c r="K42565" s="82"/>
      <c r="M42565" s="112"/>
      <c r="N42565" s="84"/>
    </row>
    <row r="42566" spans="1:14" s="2" customFormat="1">
      <c r="A42566" s="83"/>
      <c r="H42566" s="83"/>
      <c r="K42566" s="82"/>
      <c r="M42566" s="112"/>
      <c r="N42566" s="84"/>
    </row>
    <row r="42567" spans="1:14" s="2" customFormat="1">
      <c r="A42567" s="83"/>
      <c r="H42567" s="83"/>
      <c r="K42567" s="82"/>
      <c r="M42567" s="112"/>
      <c r="N42567" s="84"/>
    </row>
    <row r="42568" spans="1:14" s="2" customFormat="1">
      <c r="A42568" s="83"/>
      <c r="H42568" s="83"/>
      <c r="K42568" s="82"/>
      <c r="M42568" s="112"/>
      <c r="N42568" s="84"/>
    </row>
    <row r="42569" spans="1:14" s="2" customFormat="1">
      <c r="A42569" s="83"/>
      <c r="H42569" s="83"/>
      <c r="K42569" s="82"/>
      <c r="M42569" s="112"/>
      <c r="N42569" s="84"/>
    </row>
    <row r="42570" spans="1:14" s="2" customFormat="1">
      <c r="A42570" s="83"/>
      <c r="H42570" s="83"/>
      <c r="K42570" s="82"/>
      <c r="M42570" s="112"/>
      <c r="N42570" s="84"/>
    </row>
    <row r="42571" spans="1:14" s="2" customFormat="1">
      <c r="A42571" s="83"/>
      <c r="H42571" s="83"/>
      <c r="K42571" s="82"/>
      <c r="M42571" s="112"/>
      <c r="N42571" s="84"/>
    </row>
    <row r="42572" spans="1:14" s="2" customFormat="1">
      <c r="A42572" s="83"/>
      <c r="H42572" s="83"/>
      <c r="K42572" s="82"/>
      <c r="M42572" s="112"/>
      <c r="N42572" s="84"/>
    </row>
    <row r="42573" spans="1:14" s="2" customFormat="1">
      <c r="A42573" s="83"/>
      <c r="H42573" s="83"/>
      <c r="K42573" s="82"/>
      <c r="M42573" s="112"/>
      <c r="N42573" s="84"/>
    </row>
    <row r="42574" spans="1:14" s="2" customFormat="1">
      <c r="A42574" s="83"/>
      <c r="H42574" s="83"/>
      <c r="K42574" s="82"/>
      <c r="M42574" s="112"/>
      <c r="N42574" s="84"/>
    </row>
    <row r="42575" spans="1:14" s="2" customFormat="1">
      <c r="A42575" s="83"/>
      <c r="H42575" s="83"/>
      <c r="K42575" s="82"/>
      <c r="M42575" s="112"/>
      <c r="N42575" s="84"/>
    </row>
    <row r="42576" spans="1:14" s="2" customFormat="1">
      <c r="A42576" s="83"/>
      <c r="H42576" s="83"/>
      <c r="K42576" s="82"/>
      <c r="M42576" s="112"/>
      <c r="N42576" s="84"/>
    </row>
    <row r="42577" spans="1:14" s="2" customFormat="1">
      <c r="A42577" s="83"/>
      <c r="H42577" s="83"/>
      <c r="K42577" s="82"/>
      <c r="M42577" s="112"/>
      <c r="N42577" s="84"/>
    </row>
    <row r="42578" spans="1:14" s="2" customFormat="1">
      <c r="A42578" s="83"/>
      <c r="H42578" s="83"/>
      <c r="K42578" s="82"/>
      <c r="M42578" s="112"/>
      <c r="N42578" s="84"/>
    </row>
    <row r="42579" spans="1:14" s="2" customFormat="1">
      <c r="A42579" s="83"/>
      <c r="H42579" s="83"/>
      <c r="K42579" s="82"/>
      <c r="M42579" s="112"/>
      <c r="N42579" s="84"/>
    </row>
    <row r="42580" spans="1:14" s="2" customFormat="1">
      <c r="A42580" s="83"/>
      <c r="H42580" s="83"/>
      <c r="K42580" s="82"/>
      <c r="M42580" s="112"/>
      <c r="N42580" s="84"/>
    </row>
    <row r="42581" spans="1:14" s="2" customFormat="1">
      <c r="A42581" s="83"/>
      <c r="H42581" s="83"/>
      <c r="K42581" s="82"/>
      <c r="M42581" s="112"/>
      <c r="N42581" s="84"/>
    </row>
    <row r="42582" spans="1:14" s="2" customFormat="1">
      <c r="A42582" s="83"/>
      <c r="H42582" s="83"/>
      <c r="K42582" s="82"/>
      <c r="M42582" s="112"/>
      <c r="N42582" s="84"/>
    </row>
    <row r="42583" spans="1:14" s="2" customFormat="1">
      <c r="A42583" s="83"/>
      <c r="H42583" s="83"/>
      <c r="K42583" s="82"/>
      <c r="M42583" s="112"/>
      <c r="N42583" s="84"/>
    </row>
    <row r="42584" spans="1:14" s="2" customFormat="1">
      <c r="A42584" s="83"/>
      <c r="H42584" s="83"/>
      <c r="K42584" s="82"/>
      <c r="M42584" s="112"/>
      <c r="N42584" s="84"/>
    </row>
    <row r="42585" spans="1:14" s="2" customFormat="1">
      <c r="A42585" s="83"/>
      <c r="H42585" s="83"/>
      <c r="K42585" s="82"/>
      <c r="M42585" s="112"/>
      <c r="N42585" s="84"/>
    </row>
    <row r="42586" spans="1:14" s="2" customFormat="1">
      <c r="A42586" s="83"/>
      <c r="H42586" s="83"/>
      <c r="K42586" s="82"/>
      <c r="M42586" s="112"/>
      <c r="N42586" s="84"/>
    </row>
    <row r="42587" spans="1:14" s="2" customFormat="1">
      <c r="A42587" s="83"/>
      <c r="H42587" s="83"/>
      <c r="K42587" s="82"/>
      <c r="M42587" s="112"/>
      <c r="N42587" s="84"/>
    </row>
    <row r="42588" spans="1:14" s="2" customFormat="1">
      <c r="A42588" s="83"/>
      <c r="H42588" s="83"/>
      <c r="K42588" s="82"/>
      <c r="M42588" s="112"/>
      <c r="N42588" s="84"/>
    </row>
    <row r="42589" spans="1:14" s="2" customFormat="1">
      <c r="A42589" s="83"/>
      <c r="H42589" s="83"/>
      <c r="K42589" s="82"/>
      <c r="M42589" s="112"/>
      <c r="N42589" s="84"/>
    </row>
    <row r="42590" spans="1:14" s="2" customFormat="1">
      <c r="A42590" s="83"/>
      <c r="H42590" s="83"/>
      <c r="K42590" s="82"/>
      <c r="M42590" s="112"/>
      <c r="N42590" s="84"/>
    </row>
    <row r="42591" spans="1:14" s="2" customFormat="1">
      <c r="A42591" s="83"/>
      <c r="H42591" s="83"/>
      <c r="K42591" s="82"/>
      <c r="M42591" s="112"/>
      <c r="N42591" s="84"/>
    </row>
    <row r="42592" spans="1:14" s="2" customFormat="1">
      <c r="A42592" s="83"/>
      <c r="H42592" s="83"/>
      <c r="K42592" s="82"/>
      <c r="M42592" s="112"/>
      <c r="N42592" s="84"/>
    </row>
    <row r="42593" spans="1:14" s="2" customFormat="1">
      <c r="A42593" s="83"/>
      <c r="H42593" s="83"/>
      <c r="K42593" s="82"/>
      <c r="M42593" s="112"/>
      <c r="N42593" s="84"/>
    </row>
    <row r="42594" spans="1:14" s="2" customFormat="1">
      <c r="A42594" s="83"/>
      <c r="H42594" s="83"/>
      <c r="K42594" s="82"/>
      <c r="M42594" s="112"/>
      <c r="N42594" s="84"/>
    </row>
    <row r="42595" spans="1:14" s="2" customFormat="1">
      <c r="A42595" s="83"/>
      <c r="H42595" s="83"/>
      <c r="K42595" s="82"/>
      <c r="M42595" s="112"/>
      <c r="N42595" s="84"/>
    </row>
    <row r="42596" spans="1:14" s="2" customFormat="1">
      <c r="A42596" s="83"/>
      <c r="H42596" s="83"/>
      <c r="K42596" s="82"/>
      <c r="M42596" s="112"/>
      <c r="N42596" s="84"/>
    </row>
    <row r="42597" spans="1:14" s="2" customFormat="1">
      <c r="A42597" s="83"/>
      <c r="H42597" s="83"/>
      <c r="K42597" s="82"/>
      <c r="M42597" s="112"/>
      <c r="N42597" s="84"/>
    </row>
    <row r="42598" spans="1:14" s="2" customFormat="1">
      <c r="A42598" s="83"/>
      <c r="H42598" s="83"/>
      <c r="K42598" s="82"/>
      <c r="M42598" s="112"/>
      <c r="N42598" s="84"/>
    </row>
    <row r="42599" spans="1:14" s="2" customFormat="1">
      <c r="A42599" s="83"/>
      <c r="H42599" s="83"/>
      <c r="K42599" s="82"/>
      <c r="M42599" s="112"/>
      <c r="N42599" s="84"/>
    </row>
    <row r="42600" spans="1:14" s="2" customFormat="1">
      <c r="A42600" s="83"/>
      <c r="H42600" s="83"/>
      <c r="K42600" s="82"/>
      <c r="M42600" s="112"/>
      <c r="N42600" s="84"/>
    </row>
    <row r="42601" spans="1:14" s="2" customFormat="1">
      <c r="A42601" s="83"/>
      <c r="H42601" s="83"/>
      <c r="K42601" s="82"/>
      <c r="M42601" s="112"/>
      <c r="N42601" s="84"/>
    </row>
    <row r="42602" spans="1:14" s="2" customFormat="1">
      <c r="A42602" s="83"/>
      <c r="H42602" s="83"/>
      <c r="K42602" s="82"/>
      <c r="M42602" s="112"/>
      <c r="N42602" s="84"/>
    </row>
    <row r="42603" spans="1:14" s="2" customFormat="1">
      <c r="A42603" s="83"/>
      <c r="H42603" s="83"/>
      <c r="K42603" s="82"/>
      <c r="M42603" s="112"/>
      <c r="N42603" s="84"/>
    </row>
    <row r="42604" spans="1:14" s="2" customFormat="1">
      <c r="A42604" s="83"/>
      <c r="H42604" s="83"/>
      <c r="K42604" s="82"/>
      <c r="M42604" s="112"/>
      <c r="N42604" s="84"/>
    </row>
    <row r="42605" spans="1:14" s="2" customFormat="1">
      <c r="A42605" s="83"/>
      <c r="H42605" s="83"/>
      <c r="K42605" s="82"/>
      <c r="M42605" s="112"/>
      <c r="N42605" s="84"/>
    </row>
    <row r="42606" spans="1:14" s="2" customFormat="1">
      <c r="A42606" s="83"/>
      <c r="H42606" s="83"/>
      <c r="K42606" s="82"/>
      <c r="M42606" s="112"/>
      <c r="N42606" s="84"/>
    </row>
    <row r="42607" spans="1:14" s="2" customFormat="1">
      <c r="A42607" s="83"/>
      <c r="H42607" s="83"/>
      <c r="K42607" s="82"/>
      <c r="M42607" s="112"/>
      <c r="N42607" s="84"/>
    </row>
    <row r="42608" spans="1:14" s="2" customFormat="1">
      <c r="A42608" s="83"/>
      <c r="H42608" s="83"/>
      <c r="K42608" s="82"/>
      <c r="M42608" s="112"/>
      <c r="N42608" s="84"/>
    </row>
    <row r="42609" spans="1:14" s="2" customFormat="1">
      <c r="A42609" s="83"/>
      <c r="H42609" s="83"/>
      <c r="K42609" s="82"/>
      <c r="M42609" s="112"/>
      <c r="N42609" s="84"/>
    </row>
    <row r="42610" spans="1:14" s="2" customFormat="1">
      <c r="A42610" s="83"/>
      <c r="H42610" s="83"/>
      <c r="K42610" s="82"/>
      <c r="M42610" s="112"/>
      <c r="N42610" s="84"/>
    </row>
    <row r="42611" spans="1:14" s="2" customFormat="1">
      <c r="A42611" s="83"/>
      <c r="H42611" s="83"/>
      <c r="K42611" s="82"/>
      <c r="M42611" s="112"/>
      <c r="N42611" s="84"/>
    </row>
    <row r="42612" spans="1:14" s="2" customFormat="1">
      <c r="A42612" s="83"/>
      <c r="H42612" s="83"/>
      <c r="K42612" s="82"/>
      <c r="M42612" s="112"/>
      <c r="N42612" s="84"/>
    </row>
    <row r="42613" spans="1:14" s="2" customFormat="1">
      <c r="A42613" s="83"/>
      <c r="H42613" s="83"/>
      <c r="K42613" s="82"/>
      <c r="M42613" s="112"/>
      <c r="N42613" s="84"/>
    </row>
    <row r="42614" spans="1:14" s="2" customFormat="1">
      <c r="A42614" s="83"/>
      <c r="H42614" s="83"/>
      <c r="K42614" s="82"/>
      <c r="M42614" s="112"/>
      <c r="N42614" s="84"/>
    </row>
    <row r="42615" spans="1:14" s="2" customFormat="1">
      <c r="A42615" s="83"/>
      <c r="H42615" s="83"/>
      <c r="K42615" s="82"/>
      <c r="M42615" s="112"/>
      <c r="N42615" s="84"/>
    </row>
    <row r="42616" spans="1:14" s="2" customFormat="1">
      <c r="A42616" s="83"/>
      <c r="H42616" s="83"/>
      <c r="K42616" s="82"/>
      <c r="M42616" s="112"/>
      <c r="N42616" s="84"/>
    </row>
    <row r="42617" spans="1:14" s="2" customFormat="1">
      <c r="A42617" s="83"/>
      <c r="H42617" s="83"/>
      <c r="K42617" s="82"/>
      <c r="M42617" s="112"/>
      <c r="N42617" s="84"/>
    </row>
    <row r="42618" spans="1:14" s="2" customFormat="1">
      <c r="A42618" s="83"/>
      <c r="H42618" s="83"/>
      <c r="K42618" s="82"/>
      <c r="M42618" s="112"/>
      <c r="N42618" s="84"/>
    </row>
    <row r="42619" spans="1:14" s="2" customFormat="1">
      <c r="A42619" s="83"/>
      <c r="H42619" s="83"/>
      <c r="K42619" s="82"/>
      <c r="M42619" s="112"/>
      <c r="N42619" s="84"/>
    </row>
    <row r="42620" spans="1:14" s="2" customFormat="1">
      <c r="A42620" s="83"/>
      <c r="H42620" s="83"/>
      <c r="K42620" s="82"/>
      <c r="M42620" s="112"/>
      <c r="N42620" s="84"/>
    </row>
    <row r="42621" spans="1:14" s="2" customFormat="1">
      <c r="A42621" s="83"/>
      <c r="H42621" s="83"/>
      <c r="K42621" s="82"/>
      <c r="M42621" s="112"/>
      <c r="N42621" s="84"/>
    </row>
    <row r="42622" spans="1:14" s="2" customFormat="1">
      <c r="A42622" s="83"/>
      <c r="H42622" s="83"/>
      <c r="K42622" s="82"/>
      <c r="M42622" s="112"/>
      <c r="N42622" s="84"/>
    </row>
    <row r="42623" spans="1:14" s="2" customFormat="1">
      <c r="A42623" s="83"/>
      <c r="H42623" s="83"/>
      <c r="K42623" s="82"/>
      <c r="M42623" s="112"/>
      <c r="N42623" s="84"/>
    </row>
    <row r="42624" spans="1:14" s="2" customFormat="1">
      <c r="A42624" s="83"/>
      <c r="H42624" s="83"/>
      <c r="K42624" s="82"/>
      <c r="M42624" s="112"/>
      <c r="N42624" s="84"/>
    </row>
    <row r="42625" spans="1:14" s="2" customFormat="1">
      <c r="A42625" s="83"/>
      <c r="H42625" s="83"/>
      <c r="K42625" s="82"/>
      <c r="M42625" s="112"/>
      <c r="N42625" s="84"/>
    </row>
    <row r="42626" spans="1:14" s="2" customFormat="1">
      <c r="A42626" s="83"/>
      <c r="H42626" s="83"/>
      <c r="K42626" s="82"/>
      <c r="M42626" s="112"/>
      <c r="N42626" s="84"/>
    </row>
    <row r="42627" spans="1:14" s="2" customFormat="1">
      <c r="A42627" s="83"/>
      <c r="H42627" s="83"/>
      <c r="K42627" s="82"/>
      <c r="M42627" s="112"/>
      <c r="N42627" s="84"/>
    </row>
    <row r="42628" spans="1:14" s="2" customFormat="1">
      <c r="A42628" s="83"/>
      <c r="H42628" s="83"/>
      <c r="K42628" s="82"/>
      <c r="M42628" s="112"/>
      <c r="N42628" s="84"/>
    </row>
    <row r="42629" spans="1:14" s="2" customFormat="1">
      <c r="A42629" s="83"/>
      <c r="H42629" s="83"/>
      <c r="K42629" s="82"/>
      <c r="M42629" s="112"/>
      <c r="N42629" s="84"/>
    </row>
    <row r="42630" spans="1:14" s="2" customFormat="1">
      <c r="A42630" s="83"/>
      <c r="H42630" s="83"/>
      <c r="K42630" s="82"/>
      <c r="M42630" s="112"/>
      <c r="N42630" s="84"/>
    </row>
    <row r="42631" spans="1:14" s="2" customFormat="1">
      <c r="A42631" s="83"/>
      <c r="H42631" s="83"/>
      <c r="K42631" s="82"/>
      <c r="M42631" s="112"/>
      <c r="N42631" s="84"/>
    </row>
    <row r="42632" spans="1:14" s="2" customFormat="1">
      <c r="A42632" s="83"/>
      <c r="H42632" s="83"/>
      <c r="K42632" s="82"/>
      <c r="M42632" s="112"/>
      <c r="N42632" s="84"/>
    </row>
    <row r="42633" spans="1:14" s="2" customFormat="1">
      <c r="A42633" s="83"/>
      <c r="H42633" s="83"/>
      <c r="K42633" s="82"/>
      <c r="M42633" s="112"/>
      <c r="N42633" s="84"/>
    </row>
    <row r="42634" spans="1:14" s="2" customFormat="1">
      <c r="A42634" s="83"/>
      <c r="H42634" s="83"/>
      <c r="K42634" s="82"/>
      <c r="M42634" s="112"/>
      <c r="N42634" s="84"/>
    </row>
    <row r="42635" spans="1:14" s="2" customFormat="1">
      <c r="A42635" s="83"/>
      <c r="H42635" s="83"/>
      <c r="K42635" s="82"/>
      <c r="M42635" s="112"/>
      <c r="N42635" s="84"/>
    </row>
    <row r="42636" spans="1:14" s="2" customFormat="1">
      <c r="A42636" s="83"/>
      <c r="H42636" s="83"/>
      <c r="K42636" s="82"/>
      <c r="M42636" s="112"/>
      <c r="N42636" s="84"/>
    </row>
    <row r="42637" spans="1:14" s="2" customFormat="1">
      <c r="A42637" s="83"/>
      <c r="H42637" s="83"/>
      <c r="K42637" s="82"/>
      <c r="M42637" s="112"/>
      <c r="N42637" s="84"/>
    </row>
    <row r="42638" spans="1:14" s="2" customFormat="1">
      <c r="A42638" s="83"/>
      <c r="H42638" s="83"/>
      <c r="K42638" s="82"/>
      <c r="M42638" s="112"/>
      <c r="N42638" s="84"/>
    </row>
    <row r="42639" spans="1:14" s="2" customFormat="1">
      <c r="A42639" s="83"/>
      <c r="H42639" s="83"/>
      <c r="K42639" s="82"/>
      <c r="M42639" s="112"/>
      <c r="N42639" s="84"/>
    </row>
    <row r="42640" spans="1:14" s="2" customFormat="1">
      <c r="A42640" s="83"/>
      <c r="H42640" s="83"/>
      <c r="K42640" s="82"/>
      <c r="M42640" s="112"/>
      <c r="N42640" s="84"/>
    </row>
    <row r="42641" spans="1:14" s="2" customFormat="1">
      <c r="A42641" s="83"/>
      <c r="H42641" s="83"/>
      <c r="K42641" s="82"/>
      <c r="M42641" s="112"/>
      <c r="N42641" s="84"/>
    </row>
    <row r="42642" spans="1:14" s="2" customFormat="1">
      <c r="A42642" s="83"/>
      <c r="H42642" s="83"/>
      <c r="K42642" s="82"/>
      <c r="M42642" s="112"/>
      <c r="N42642" s="84"/>
    </row>
    <row r="42643" spans="1:14" s="2" customFormat="1">
      <c r="A42643" s="83"/>
      <c r="H42643" s="83"/>
      <c r="K42643" s="82"/>
      <c r="M42643" s="112"/>
      <c r="N42643" s="84"/>
    </row>
    <row r="42644" spans="1:14" s="2" customFormat="1">
      <c r="A42644" s="83"/>
      <c r="H42644" s="83"/>
      <c r="K42644" s="82"/>
      <c r="M42644" s="112"/>
      <c r="N42644" s="84"/>
    </row>
    <row r="42645" spans="1:14" s="2" customFormat="1">
      <c r="A42645" s="83"/>
      <c r="H42645" s="83"/>
      <c r="K42645" s="82"/>
      <c r="M42645" s="112"/>
      <c r="N42645" s="84"/>
    </row>
    <row r="42646" spans="1:14" s="2" customFormat="1">
      <c r="A42646" s="83"/>
      <c r="H42646" s="83"/>
      <c r="K42646" s="82"/>
      <c r="M42646" s="112"/>
      <c r="N42646" s="84"/>
    </row>
    <row r="42647" spans="1:14" s="2" customFormat="1">
      <c r="A42647" s="83"/>
      <c r="H42647" s="83"/>
      <c r="K42647" s="82"/>
      <c r="M42647" s="112"/>
      <c r="N42647" s="84"/>
    </row>
    <row r="42648" spans="1:14" s="2" customFormat="1">
      <c r="A42648" s="83"/>
      <c r="H42648" s="83"/>
      <c r="K42648" s="82"/>
      <c r="M42648" s="112"/>
      <c r="N42648" s="84"/>
    </row>
    <row r="42649" spans="1:14" s="2" customFormat="1">
      <c r="A42649" s="83"/>
      <c r="H42649" s="83"/>
      <c r="K42649" s="82"/>
      <c r="M42649" s="112"/>
      <c r="N42649" s="84"/>
    </row>
    <row r="42650" spans="1:14" s="2" customFormat="1">
      <c r="A42650" s="83"/>
      <c r="H42650" s="83"/>
      <c r="K42650" s="82"/>
      <c r="M42650" s="112"/>
      <c r="N42650" s="84"/>
    </row>
    <row r="42651" spans="1:14" s="2" customFormat="1">
      <c r="A42651" s="83"/>
      <c r="H42651" s="83"/>
      <c r="K42651" s="82"/>
      <c r="M42651" s="112"/>
      <c r="N42651" s="84"/>
    </row>
    <row r="42652" spans="1:14" s="2" customFormat="1">
      <c r="A42652" s="83"/>
      <c r="H42652" s="83"/>
      <c r="K42652" s="82"/>
      <c r="M42652" s="112"/>
      <c r="N42652" s="84"/>
    </row>
    <row r="42653" spans="1:14" s="2" customFormat="1">
      <c r="A42653" s="83"/>
      <c r="H42653" s="83"/>
      <c r="K42653" s="82"/>
      <c r="M42653" s="112"/>
      <c r="N42653" s="84"/>
    </row>
    <row r="42654" spans="1:14" s="2" customFormat="1">
      <c r="A42654" s="83"/>
      <c r="H42654" s="83"/>
      <c r="K42654" s="82"/>
      <c r="M42654" s="112"/>
      <c r="N42654" s="84"/>
    </row>
    <row r="42655" spans="1:14" s="2" customFormat="1">
      <c r="A42655" s="83"/>
      <c r="H42655" s="83"/>
      <c r="K42655" s="82"/>
      <c r="M42655" s="112"/>
      <c r="N42655" s="84"/>
    </row>
    <row r="42656" spans="1:14" s="2" customFormat="1">
      <c r="A42656" s="83"/>
      <c r="H42656" s="83"/>
      <c r="K42656" s="82"/>
      <c r="M42656" s="112"/>
      <c r="N42656" s="84"/>
    </row>
    <row r="42657" spans="1:14" s="2" customFormat="1">
      <c r="A42657" s="83"/>
      <c r="H42657" s="83"/>
      <c r="K42657" s="82"/>
      <c r="M42657" s="112"/>
      <c r="N42657" s="84"/>
    </row>
    <row r="42658" spans="1:14" s="2" customFormat="1">
      <c r="A42658" s="83"/>
      <c r="H42658" s="83"/>
      <c r="K42658" s="82"/>
      <c r="M42658" s="112"/>
      <c r="N42658" s="84"/>
    </row>
    <row r="42659" spans="1:14" s="2" customFormat="1">
      <c r="A42659" s="83"/>
      <c r="H42659" s="83"/>
      <c r="K42659" s="82"/>
      <c r="M42659" s="112"/>
      <c r="N42659" s="84"/>
    </row>
    <row r="42660" spans="1:14" s="2" customFormat="1">
      <c r="A42660" s="83"/>
      <c r="H42660" s="83"/>
      <c r="K42660" s="82"/>
      <c r="M42660" s="112"/>
      <c r="N42660" s="84"/>
    </row>
    <row r="42661" spans="1:14" s="2" customFormat="1">
      <c r="A42661" s="83"/>
      <c r="H42661" s="83"/>
      <c r="K42661" s="82"/>
      <c r="M42661" s="112"/>
      <c r="N42661" s="84"/>
    </row>
    <row r="42662" spans="1:14" s="2" customFormat="1">
      <c r="A42662" s="83"/>
      <c r="H42662" s="83"/>
      <c r="K42662" s="82"/>
      <c r="M42662" s="112"/>
      <c r="N42662" s="84"/>
    </row>
    <row r="42663" spans="1:14" s="2" customFormat="1">
      <c r="A42663" s="83"/>
      <c r="H42663" s="83"/>
      <c r="K42663" s="82"/>
      <c r="M42663" s="112"/>
      <c r="N42663" s="84"/>
    </row>
    <row r="42664" spans="1:14" s="2" customFormat="1">
      <c r="A42664" s="83"/>
      <c r="H42664" s="83"/>
      <c r="K42664" s="82"/>
      <c r="M42664" s="112"/>
      <c r="N42664" s="84"/>
    </row>
    <row r="42665" spans="1:14" s="2" customFormat="1">
      <c r="A42665" s="83"/>
      <c r="H42665" s="83"/>
      <c r="K42665" s="82"/>
      <c r="M42665" s="112"/>
      <c r="N42665" s="84"/>
    </row>
    <row r="42666" spans="1:14" s="2" customFormat="1">
      <c r="A42666" s="83"/>
      <c r="H42666" s="83"/>
      <c r="K42666" s="82"/>
      <c r="M42666" s="112"/>
      <c r="N42666" s="84"/>
    </row>
    <row r="42667" spans="1:14" s="2" customFormat="1">
      <c r="A42667" s="83"/>
      <c r="H42667" s="83"/>
      <c r="K42667" s="82"/>
      <c r="M42667" s="112"/>
      <c r="N42667" s="84"/>
    </row>
    <row r="42668" spans="1:14" s="2" customFormat="1">
      <c r="A42668" s="83"/>
      <c r="H42668" s="83"/>
      <c r="K42668" s="82"/>
      <c r="M42668" s="112"/>
      <c r="N42668" s="84"/>
    </row>
    <row r="42669" spans="1:14" s="2" customFormat="1">
      <c r="A42669" s="83"/>
      <c r="H42669" s="83"/>
      <c r="K42669" s="82"/>
      <c r="M42669" s="112"/>
      <c r="N42669" s="84"/>
    </row>
    <row r="42670" spans="1:14" s="2" customFormat="1">
      <c r="A42670" s="83"/>
      <c r="H42670" s="83"/>
      <c r="K42670" s="82"/>
      <c r="M42670" s="112"/>
      <c r="N42670" s="84"/>
    </row>
    <row r="42671" spans="1:14" s="2" customFormat="1">
      <c r="A42671" s="83"/>
      <c r="H42671" s="83"/>
      <c r="K42671" s="82"/>
      <c r="M42671" s="112"/>
      <c r="N42671" s="84"/>
    </row>
    <row r="42672" spans="1:14" s="2" customFormat="1">
      <c r="A42672" s="83"/>
      <c r="H42672" s="83"/>
      <c r="K42672" s="82"/>
      <c r="M42672" s="112"/>
      <c r="N42672" s="84"/>
    </row>
    <row r="42673" spans="1:14" s="2" customFormat="1">
      <c r="A42673" s="83"/>
      <c r="H42673" s="83"/>
      <c r="K42673" s="82"/>
      <c r="M42673" s="112"/>
      <c r="N42673" s="84"/>
    </row>
    <row r="42674" spans="1:14" s="2" customFormat="1">
      <c r="A42674" s="83"/>
      <c r="H42674" s="83"/>
      <c r="K42674" s="82"/>
      <c r="M42674" s="112"/>
      <c r="N42674" s="84"/>
    </row>
    <row r="42675" spans="1:14" s="2" customFormat="1">
      <c r="A42675" s="83"/>
      <c r="H42675" s="83"/>
      <c r="K42675" s="82"/>
      <c r="M42675" s="112"/>
      <c r="N42675" s="84"/>
    </row>
    <row r="42676" spans="1:14" s="2" customFormat="1">
      <c r="A42676" s="83"/>
      <c r="H42676" s="83"/>
      <c r="K42676" s="82"/>
      <c r="M42676" s="112"/>
      <c r="N42676" s="84"/>
    </row>
    <row r="42677" spans="1:14" s="2" customFormat="1">
      <c r="A42677" s="83"/>
      <c r="H42677" s="83"/>
      <c r="K42677" s="82"/>
      <c r="M42677" s="112"/>
      <c r="N42677" s="84"/>
    </row>
    <row r="42678" spans="1:14" s="2" customFormat="1">
      <c r="A42678" s="83"/>
      <c r="H42678" s="83"/>
      <c r="K42678" s="82"/>
      <c r="M42678" s="112"/>
      <c r="N42678" s="84"/>
    </row>
    <row r="42679" spans="1:14" s="2" customFormat="1">
      <c r="A42679" s="83"/>
      <c r="H42679" s="83"/>
      <c r="K42679" s="82"/>
      <c r="M42679" s="112"/>
      <c r="N42679" s="84"/>
    </row>
    <row r="42680" spans="1:14" s="2" customFormat="1">
      <c r="A42680" s="83"/>
      <c r="H42680" s="83"/>
      <c r="K42680" s="82"/>
      <c r="M42680" s="112"/>
      <c r="N42680" s="84"/>
    </row>
    <row r="42681" spans="1:14" s="2" customFormat="1">
      <c r="A42681" s="83"/>
      <c r="H42681" s="83"/>
      <c r="K42681" s="82"/>
      <c r="M42681" s="112"/>
      <c r="N42681" s="84"/>
    </row>
    <row r="42682" spans="1:14" s="2" customFormat="1">
      <c r="A42682" s="83"/>
      <c r="H42682" s="83"/>
      <c r="K42682" s="82"/>
      <c r="M42682" s="112"/>
      <c r="N42682" s="84"/>
    </row>
    <row r="42683" spans="1:14" s="2" customFormat="1">
      <c r="A42683" s="83"/>
      <c r="H42683" s="83"/>
      <c r="K42683" s="82"/>
      <c r="M42683" s="112"/>
      <c r="N42683" s="84"/>
    </row>
    <row r="42684" spans="1:14" s="2" customFormat="1">
      <c r="A42684" s="83"/>
      <c r="H42684" s="83"/>
      <c r="K42684" s="82"/>
      <c r="M42684" s="112"/>
      <c r="N42684" s="84"/>
    </row>
    <row r="42685" spans="1:14" s="2" customFormat="1">
      <c r="A42685" s="83"/>
      <c r="H42685" s="83"/>
      <c r="K42685" s="82"/>
      <c r="M42685" s="112"/>
      <c r="N42685" s="84"/>
    </row>
    <row r="42686" spans="1:14" s="2" customFormat="1">
      <c r="A42686" s="83"/>
      <c r="H42686" s="83"/>
      <c r="K42686" s="82"/>
      <c r="M42686" s="112"/>
      <c r="N42686" s="84"/>
    </row>
    <row r="42687" spans="1:14" s="2" customFormat="1">
      <c r="A42687" s="83"/>
      <c r="H42687" s="83"/>
      <c r="K42687" s="82"/>
      <c r="M42687" s="112"/>
      <c r="N42687" s="84"/>
    </row>
    <row r="42688" spans="1:14" s="2" customFormat="1">
      <c r="A42688" s="83"/>
      <c r="H42688" s="83"/>
      <c r="K42688" s="82"/>
      <c r="M42688" s="112"/>
      <c r="N42688" s="84"/>
    </row>
    <row r="42689" spans="1:14" s="2" customFormat="1">
      <c r="A42689" s="83"/>
      <c r="H42689" s="83"/>
      <c r="K42689" s="82"/>
      <c r="M42689" s="112"/>
      <c r="N42689" s="84"/>
    </row>
    <row r="42690" spans="1:14" s="2" customFormat="1">
      <c r="A42690" s="83"/>
      <c r="H42690" s="83"/>
      <c r="K42690" s="82"/>
      <c r="M42690" s="112"/>
      <c r="N42690" s="84"/>
    </row>
    <row r="42691" spans="1:14" s="2" customFormat="1">
      <c r="A42691" s="83"/>
      <c r="H42691" s="83"/>
      <c r="K42691" s="82"/>
      <c r="M42691" s="112"/>
      <c r="N42691" s="84"/>
    </row>
    <row r="42692" spans="1:14" s="2" customFormat="1">
      <c r="A42692" s="83"/>
      <c r="H42692" s="83"/>
      <c r="K42692" s="82"/>
      <c r="M42692" s="112"/>
      <c r="N42692" s="84"/>
    </row>
    <row r="42693" spans="1:14" s="2" customFormat="1">
      <c r="A42693" s="83"/>
      <c r="H42693" s="83"/>
      <c r="K42693" s="82"/>
      <c r="M42693" s="112"/>
      <c r="N42693" s="84"/>
    </row>
    <row r="42694" spans="1:14" s="2" customFormat="1">
      <c r="A42694" s="83"/>
      <c r="H42694" s="83"/>
      <c r="K42694" s="82"/>
      <c r="M42694" s="112"/>
      <c r="N42694" s="84"/>
    </row>
    <row r="42695" spans="1:14" s="2" customFormat="1">
      <c r="A42695" s="83"/>
      <c r="H42695" s="83"/>
      <c r="K42695" s="82"/>
      <c r="M42695" s="112"/>
      <c r="N42695" s="84"/>
    </row>
    <row r="42696" spans="1:14" s="2" customFormat="1">
      <c r="A42696" s="83"/>
      <c r="H42696" s="83"/>
      <c r="K42696" s="82"/>
      <c r="M42696" s="112"/>
      <c r="N42696" s="84"/>
    </row>
    <row r="42697" spans="1:14" s="2" customFormat="1">
      <c r="A42697" s="83"/>
      <c r="H42697" s="83"/>
      <c r="K42697" s="82"/>
      <c r="M42697" s="112"/>
      <c r="N42697" s="84"/>
    </row>
    <row r="42698" spans="1:14" s="2" customFormat="1">
      <c r="A42698" s="83"/>
      <c r="H42698" s="83"/>
      <c r="K42698" s="82"/>
      <c r="M42698" s="112"/>
      <c r="N42698" s="84"/>
    </row>
    <row r="42699" spans="1:14" s="2" customFormat="1">
      <c r="A42699" s="83"/>
      <c r="H42699" s="83"/>
      <c r="K42699" s="82"/>
      <c r="M42699" s="112"/>
      <c r="N42699" s="84"/>
    </row>
    <row r="42700" spans="1:14" s="2" customFormat="1">
      <c r="A42700" s="83"/>
      <c r="H42700" s="83"/>
      <c r="K42700" s="82"/>
      <c r="M42700" s="112"/>
      <c r="N42700" s="84"/>
    </row>
    <row r="42701" spans="1:14" s="2" customFormat="1">
      <c r="A42701" s="83"/>
      <c r="H42701" s="83"/>
      <c r="K42701" s="82"/>
      <c r="M42701" s="112"/>
      <c r="N42701" s="84"/>
    </row>
    <row r="42702" spans="1:14" s="2" customFormat="1">
      <c r="A42702" s="83"/>
      <c r="H42702" s="83"/>
      <c r="K42702" s="82"/>
      <c r="M42702" s="112"/>
      <c r="N42702" s="84"/>
    </row>
    <row r="42703" spans="1:14" s="2" customFormat="1">
      <c r="A42703" s="83"/>
      <c r="H42703" s="83"/>
      <c r="K42703" s="82"/>
      <c r="M42703" s="112"/>
      <c r="N42703" s="84"/>
    </row>
    <row r="42704" spans="1:14" s="2" customFormat="1">
      <c r="A42704" s="83"/>
      <c r="H42704" s="83"/>
      <c r="K42704" s="82"/>
      <c r="M42704" s="112"/>
      <c r="N42704" s="84"/>
    </row>
    <row r="42705" spans="1:14" s="2" customFormat="1">
      <c r="A42705" s="83"/>
      <c r="H42705" s="83"/>
      <c r="K42705" s="82"/>
      <c r="M42705" s="112"/>
      <c r="N42705" s="84"/>
    </row>
    <row r="42706" spans="1:14" s="2" customFormat="1">
      <c r="A42706" s="83"/>
      <c r="H42706" s="83"/>
      <c r="K42706" s="82"/>
      <c r="M42706" s="112"/>
      <c r="N42706" s="84"/>
    </row>
    <row r="42707" spans="1:14" s="2" customFormat="1">
      <c r="A42707" s="83"/>
      <c r="H42707" s="83"/>
      <c r="K42707" s="82"/>
      <c r="M42707" s="112"/>
      <c r="N42707" s="84"/>
    </row>
    <row r="42708" spans="1:14" s="2" customFormat="1">
      <c r="A42708" s="83"/>
      <c r="H42708" s="83"/>
      <c r="K42708" s="82"/>
      <c r="M42708" s="112"/>
      <c r="N42708" s="84"/>
    </row>
    <row r="42709" spans="1:14" s="2" customFormat="1">
      <c r="A42709" s="83"/>
      <c r="H42709" s="83"/>
      <c r="K42709" s="82"/>
      <c r="M42709" s="112"/>
      <c r="N42709" s="84"/>
    </row>
    <row r="42710" spans="1:14" s="2" customFormat="1">
      <c r="A42710" s="83"/>
      <c r="H42710" s="83"/>
      <c r="K42710" s="82"/>
      <c r="M42710" s="112"/>
      <c r="N42710" s="84"/>
    </row>
    <row r="42711" spans="1:14" s="2" customFormat="1">
      <c r="A42711" s="83"/>
      <c r="H42711" s="83"/>
      <c r="K42711" s="82"/>
      <c r="M42711" s="112"/>
      <c r="N42711" s="84"/>
    </row>
    <row r="42712" spans="1:14" s="2" customFormat="1">
      <c r="A42712" s="83"/>
      <c r="H42712" s="83"/>
      <c r="K42712" s="82"/>
      <c r="M42712" s="112"/>
      <c r="N42712" s="84"/>
    </row>
    <row r="42713" spans="1:14" s="2" customFormat="1">
      <c r="A42713" s="83"/>
      <c r="H42713" s="83"/>
      <c r="K42713" s="82"/>
      <c r="M42713" s="112"/>
      <c r="N42713" s="84"/>
    </row>
    <row r="42714" spans="1:14" s="2" customFormat="1">
      <c r="A42714" s="83"/>
      <c r="H42714" s="83"/>
      <c r="K42714" s="82"/>
      <c r="M42714" s="112"/>
      <c r="N42714" s="84"/>
    </row>
    <row r="42715" spans="1:14" s="2" customFormat="1">
      <c r="A42715" s="83"/>
      <c r="H42715" s="83"/>
      <c r="K42715" s="82"/>
      <c r="M42715" s="112"/>
      <c r="N42715" s="84"/>
    </row>
    <row r="42716" spans="1:14" s="2" customFormat="1">
      <c r="A42716" s="83"/>
      <c r="H42716" s="83"/>
      <c r="K42716" s="82"/>
      <c r="M42716" s="112"/>
      <c r="N42716" s="84"/>
    </row>
    <row r="42717" spans="1:14" s="2" customFormat="1">
      <c r="A42717" s="83"/>
      <c r="H42717" s="83"/>
      <c r="K42717" s="82"/>
      <c r="M42717" s="112"/>
      <c r="N42717" s="84"/>
    </row>
    <row r="42718" spans="1:14" s="2" customFormat="1">
      <c r="A42718" s="83"/>
      <c r="H42718" s="83"/>
      <c r="K42718" s="82"/>
      <c r="M42718" s="112"/>
      <c r="N42718" s="84"/>
    </row>
    <row r="42719" spans="1:14" s="2" customFormat="1">
      <c r="A42719" s="83"/>
      <c r="H42719" s="83"/>
      <c r="K42719" s="82"/>
      <c r="M42719" s="112"/>
      <c r="N42719" s="84"/>
    </row>
    <row r="42720" spans="1:14" s="2" customFormat="1">
      <c r="A42720" s="83"/>
      <c r="H42720" s="83"/>
      <c r="K42720" s="82"/>
      <c r="M42720" s="112"/>
      <c r="N42720" s="84"/>
    </row>
    <row r="42721" spans="1:14" s="2" customFormat="1">
      <c r="A42721" s="83"/>
      <c r="H42721" s="83"/>
      <c r="K42721" s="82"/>
      <c r="M42721" s="112"/>
      <c r="N42721" s="84"/>
    </row>
    <row r="42722" spans="1:14" s="2" customFormat="1">
      <c r="A42722" s="83"/>
      <c r="H42722" s="83"/>
      <c r="K42722" s="82"/>
      <c r="M42722" s="112"/>
      <c r="N42722" s="84"/>
    </row>
    <row r="42723" spans="1:14" s="2" customFormat="1">
      <c r="A42723" s="83"/>
      <c r="H42723" s="83"/>
      <c r="K42723" s="82"/>
      <c r="M42723" s="112"/>
      <c r="N42723" s="84"/>
    </row>
    <row r="42724" spans="1:14" s="2" customFormat="1">
      <c r="A42724" s="83"/>
      <c r="H42724" s="83"/>
      <c r="K42724" s="82"/>
      <c r="M42724" s="112"/>
      <c r="N42724" s="84"/>
    </row>
    <row r="42725" spans="1:14" s="2" customFormat="1">
      <c r="A42725" s="83"/>
      <c r="H42725" s="83"/>
      <c r="K42725" s="82"/>
      <c r="M42725" s="112"/>
      <c r="N42725" s="84"/>
    </row>
    <row r="42726" spans="1:14" s="2" customFormat="1">
      <c r="A42726" s="83"/>
      <c r="H42726" s="83"/>
      <c r="K42726" s="82"/>
      <c r="M42726" s="112"/>
      <c r="N42726" s="84"/>
    </row>
    <row r="42727" spans="1:14" s="2" customFormat="1">
      <c r="A42727" s="83"/>
      <c r="H42727" s="83"/>
      <c r="K42727" s="82"/>
      <c r="M42727" s="112"/>
      <c r="N42727" s="84"/>
    </row>
    <row r="42728" spans="1:14" s="2" customFormat="1">
      <c r="A42728" s="83"/>
      <c r="H42728" s="83"/>
      <c r="K42728" s="82"/>
      <c r="M42728" s="112"/>
      <c r="N42728" s="84"/>
    </row>
    <row r="42729" spans="1:14" s="2" customFormat="1">
      <c r="A42729" s="83"/>
      <c r="H42729" s="83"/>
      <c r="K42729" s="82"/>
      <c r="M42729" s="112"/>
      <c r="N42729" s="84"/>
    </row>
    <row r="42730" spans="1:14" s="2" customFormat="1">
      <c r="A42730" s="83"/>
      <c r="H42730" s="83"/>
      <c r="K42730" s="82"/>
      <c r="M42730" s="112"/>
      <c r="N42730" s="84"/>
    </row>
    <row r="42731" spans="1:14" s="2" customFormat="1">
      <c r="A42731" s="83"/>
      <c r="H42731" s="83"/>
      <c r="K42731" s="82"/>
      <c r="M42731" s="112"/>
      <c r="N42731" s="84"/>
    </row>
    <row r="42732" spans="1:14" s="2" customFormat="1">
      <c r="A42732" s="83"/>
      <c r="H42732" s="83"/>
      <c r="K42732" s="82"/>
      <c r="M42732" s="112"/>
      <c r="N42732" s="84"/>
    </row>
    <row r="42733" spans="1:14" s="2" customFormat="1">
      <c r="A42733" s="83"/>
      <c r="H42733" s="83"/>
      <c r="K42733" s="82"/>
      <c r="M42733" s="112"/>
      <c r="N42733" s="84"/>
    </row>
    <row r="42734" spans="1:14" s="2" customFormat="1">
      <c r="A42734" s="83"/>
      <c r="H42734" s="83"/>
      <c r="K42734" s="82"/>
      <c r="M42734" s="112"/>
      <c r="N42734" s="84"/>
    </row>
    <row r="42735" spans="1:14" s="2" customFormat="1">
      <c r="A42735" s="83"/>
      <c r="H42735" s="83"/>
      <c r="K42735" s="82"/>
      <c r="M42735" s="112"/>
      <c r="N42735" s="84"/>
    </row>
    <row r="42736" spans="1:14" s="2" customFormat="1">
      <c r="A42736" s="83"/>
      <c r="H42736" s="83"/>
      <c r="K42736" s="82"/>
      <c r="M42736" s="112"/>
      <c r="N42736" s="84"/>
    </row>
    <row r="42737" spans="1:14" s="2" customFormat="1">
      <c r="A42737" s="83"/>
      <c r="H42737" s="83"/>
      <c r="K42737" s="82"/>
      <c r="M42737" s="112"/>
      <c r="N42737" s="84"/>
    </row>
    <row r="42738" spans="1:14" s="2" customFormat="1">
      <c r="A42738" s="83"/>
      <c r="H42738" s="83"/>
      <c r="K42738" s="82"/>
      <c r="M42738" s="112"/>
      <c r="N42738" s="84"/>
    </row>
    <row r="42739" spans="1:14" s="2" customFormat="1">
      <c r="A42739" s="83"/>
      <c r="H42739" s="83"/>
      <c r="K42739" s="82"/>
      <c r="M42739" s="112"/>
      <c r="N42739" s="84"/>
    </row>
    <row r="42740" spans="1:14" s="2" customFormat="1">
      <c r="A42740" s="83"/>
      <c r="H42740" s="83"/>
      <c r="K42740" s="82"/>
      <c r="M42740" s="112"/>
      <c r="N42740" s="84"/>
    </row>
    <row r="42741" spans="1:14" s="2" customFormat="1">
      <c r="A42741" s="83"/>
      <c r="H42741" s="83"/>
      <c r="K42741" s="82"/>
      <c r="M42741" s="112"/>
      <c r="N42741" s="84"/>
    </row>
    <row r="42742" spans="1:14" s="2" customFormat="1">
      <c r="A42742" s="83"/>
      <c r="H42742" s="83"/>
      <c r="K42742" s="82"/>
      <c r="M42742" s="112"/>
      <c r="N42742" s="84"/>
    </row>
    <row r="42743" spans="1:14" s="2" customFormat="1">
      <c r="A42743" s="83"/>
      <c r="H42743" s="83"/>
      <c r="K42743" s="82"/>
      <c r="M42743" s="112"/>
      <c r="N42743" s="84"/>
    </row>
    <row r="42744" spans="1:14" s="2" customFormat="1">
      <c r="A42744" s="83"/>
      <c r="H42744" s="83"/>
      <c r="K42744" s="82"/>
      <c r="M42744" s="112"/>
      <c r="N42744" s="84"/>
    </row>
    <row r="42745" spans="1:14" s="2" customFormat="1">
      <c r="A42745" s="83"/>
      <c r="H42745" s="83"/>
      <c r="K42745" s="82"/>
      <c r="M42745" s="112"/>
      <c r="N42745" s="84"/>
    </row>
    <row r="42746" spans="1:14" s="2" customFormat="1">
      <c r="A42746" s="83"/>
      <c r="H42746" s="83"/>
      <c r="K42746" s="82"/>
      <c r="M42746" s="112"/>
      <c r="N42746" s="84"/>
    </row>
    <row r="42747" spans="1:14" s="2" customFormat="1">
      <c r="A42747" s="83"/>
      <c r="H42747" s="83"/>
      <c r="K42747" s="82"/>
      <c r="M42747" s="112"/>
      <c r="N42747" s="84"/>
    </row>
    <row r="42748" spans="1:14" s="2" customFormat="1">
      <c r="A42748" s="83"/>
      <c r="H42748" s="83"/>
      <c r="K42748" s="82"/>
      <c r="M42748" s="112"/>
      <c r="N42748" s="84"/>
    </row>
    <row r="42749" spans="1:14" s="2" customFormat="1">
      <c r="A42749" s="83"/>
      <c r="H42749" s="83"/>
      <c r="K42749" s="82"/>
      <c r="M42749" s="112"/>
      <c r="N42749" s="84"/>
    </row>
    <row r="42750" spans="1:14" s="2" customFormat="1">
      <c r="A42750" s="83"/>
      <c r="H42750" s="83"/>
      <c r="K42750" s="82"/>
      <c r="M42750" s="112"/>
      <c r="N42750" s="84"/>
    </row>
    <row r="42751" spans="1:14" s="2" customFormat="1">
      <c r="A42751" s="83"/>
      <c r="H42751" s="83"/>
      <c r="K42751" s="82"/>
      <c r="M42751" s="112"/>
      <c r="N42751" s="84"/>
    </row>
    <row r="42752" spans="1:14" s="2" customFormat="1">
      <c r="A42752" s="83"/>
      <c r="H42752" s="83"/>
      <c r="K42752" s="82"/>
      <c r="M42752" s="112"/>
      <c r="N42752" s="84"/>
    </row>
    <row r="42753" spans="1:14" s="2" customFormat="1">
      <c r="A42753" s="83"/>
      <c r="H42753" s="83"/>
      <c r="K42753" s="82"/>
      <c r="M42753" s="112"/>
      <c r="N42753" s="84"/>
    </row>
    <row r="42754" spans="1:14" s="2" customFormat="1">
      <c r="A42754" s="83"/>
      <c r="H42754" s="83"/>
      <c r="K42754" s="82"/>
      <c r="M42754" s="112"/>
      <c r="N42754" s="84"/>
    </row>
    <row r="42755" spans="1:14" s="2" customFormat="1">
      <c r="A42755" s="83"/>
      <c r="H42755" s="83"/>
      <c r="K42755" s="82"/>
      <c r="M42755" s="112"/>
      <c r="N42755" s="84"/>
    </row>
    <row r="42756" spans="1:14" s="2" customFormat="1">
      <c r="A42756" s="83"/>
      <c r="H42756" s="83"/>
      <c r="K42756" s="82"/>
      <c r="M42756" s="112"/>
      <c r="N42756" s="84"/>
    </row>
    <row r="42757" spans="1:14" s="2" customFormat="1">
      <c r="A42757" s="83"/>
      <c r="H42757" s="83"/>
      <c r="K42757" s="82"/>
      <c r="M42757" s="112"/>
      <c r="N42757" s="84"/>
    </row>
    <row r="42758" spans="1:14" s="2" customFormat="1">
      <c r="A42758" s="83"/>
      <c r="H42758" s="83"/>
      <c r="K42758" s="82"/>
      <c r="M42758" s="112"/>
      <c r="N42758" s="84"/>
    </row>
    <row r="42759" spans="1:14" s="2" customFormat="1">
      <c r="A42759" s="83"/>
      <c r="H42759" s="83"/>
      <c r="K42759" s="82"/>
      <c r="M42759" s="112"/>
      <c r="N42759" s="84"/>
    </row>
    <row r="42760" spans="1:14" s="2" customFormat="1">
      <c r="A42760" s="83"/>
      <c r="H42760" s="83"/>
      <c r="K42760" s="82"/>
      <c r="M42760" s="112"/>
      <c r="N42760" s="84"/>
    </row>
    <row r="42761" spans="1:14" s="2" customFormat="1">
      <c r="A42761" s="83"/>
      <c r="H42761" s="83"/>
      <c r="K42761" s="82"/>
      <c r="M42761" s="112"/>
      <c r="N42761" s="84"/>
    </row>
    <row r="42762" spans="1:14" s="2" customFormat="1">
      <c r="A42762" s="83"/>
      <c r="H42762" s="83"/>
      <c r="K42762" s="82"/>
      <c r="M42762" s="112"/>
      <c r="N42762" s="84"/>
    </row>
    <row r="42763" spans="1:14" s="2" customFormat="1">
      <c r="A42763" s="83"/>
      <c r="H42763" s="83"/>
      <c r="K42763" s="82"/>
      <c r="M42763" s="112"/>
      <c r="N42763" s="84"/>
    </row>
    <row r="42764" spans="1:14" s="2" customFormat="1">
      <c r="A42764" s="83"/>
      <c r="H42764" s="83"/>
      <c r="K42764" s="82"/>
      <c r="M42764" s="112"/>
      <c r="N42764" s="84"/>
    </row>
    <row r="42765" spans="1:14" s="2" customFormat="1">
      <c r="A42765" s="83"/>
      <c r="H42765" s="83"/>
      <c r="K42765" s="82"/>
      <c r="M42765" s="112"/>
      <c r="N42765" s="84"/>
    </row>
    <row r="42766" spans="1:14" s="2" customFormat="1">
      <c r="A42766" s="83"/>
      <c r="H42766" s="83"/>
      <c r="K42766" s="82"/>
      <c r="M42766" s="112"/>
      <c r="N42766" s="84"/>
    </row>
    <row r="42767" spans="1:14" s="2" customFormat="1">
      <c r="A42767" s="83"/>
      <c r="H42767" s="83"/>
      <c r="K42767" s="82"/>
      <c r="M42767" s="112"/>
      <c r="N42767" s="84"/>
    </row>
    <row r="42768" spans="1:14" s="2" customFormat="1">
      <c r="A42768" s="83"/>
      <c r="H42768" s="83"/>
      <c r="K42768" s="82"/>
      <c r="M42768" s="112"/>
      <c r="N42768" s="84"/>
    </row>
    <row r="42769" spans="1:14" s="2" customFormat="1">
      <c r="A42769" s="83"/>
      <c r="H42769" s="83"/>
      <c r="K42769" s="82"/>
      <c r="M42769" s="112"/>
      <c r="N42769" s="84"/>
    </row>
    <row r="42770" spans="1:14" s="2" customFormat="1">
      <c r="A42770" s="83"/>
      <c r="H42770" s="83"/>
      <c r="K42770" s="82"/>
      <c r="M42770" s="112"/>
      <c r="N42770" s="84"/>
    </row>
    <row r="42771" spans="1:14" s="2" customFormat="1">
      <c r="A42771" s="83"/>
      <c r="H42771" s="83"/>
      <c r="K42771" s="82"/>
      <c r="M42771" s="112"/>
      <c r="N42771" s="84"/>
    </row>
    <row r="42772" spans="1:14" s="2" customFormat="1">
      <c r="A42772" s="83"/>
      <c r="H42772" s="83"/>
      <c r="K42772" s="82"/>
      <c r="M42772" s="112"/>
      <c r="N42772" s="84"/>
    </row>
    <row r="42773" spans="1:14" s="2" customFormat="1">
      <c r="A42773" s="83"/>
      <c r="H42773" s="83"/>
      <c r="K42773" s="82"/>
      <c r="M42773" s="112"/>
      <c r="N42773" s="84"/>
    </row>
    <row r="42774" spans="1:14" s="2" customFormat="1">
      <c r="A42774" s="83"/>
      <c r="H42774" s="83"/>
      <c r="K42774" s="82"/>
      <c r="M42774" s="112"/>
      <c r="N42774" s="84"/>
    </row>
    <row r="42775" spans="1:14" s="2" customFormat="1">
      <c r="A42775" s="83"/>
      <c r="H42775" s="83"/>
      <c r="K42775" s="82"/>
      <c r="M42775" s="112"/>
      <c r="N42775" s="84"/>
    </row>
    <row r="42776" spans="1:14" s="2" customFormat="1">
      <c r="A42776" s="83"/>
      <c r="H42776" s="83"/>
      <c r="K42776" s="82"/>
      <c r="M42776" s="112"/>
      <c r="N42776" s="84"/>
    </row>
    <row r="42777" spans="1:14" s="2" customFormat="1">
      <c r="A42777" s="83"/>
      <c r="H42777" s="83"/>
      <c r="K42777" s="82"/>
      <c r="M42777" s="112"/>
      <c r="N42777" s="84"/>
    </row>
    <row r="42778" spans="1:14" s="2" customFormat="1">
      <c r="A42778" s="83"/>
      <c r="H42778" s="83"/>
      <c r="K42778" s="82"/>
      <c r="M42778" s="112"/>
      <c r="N42778" s="84"/>
    </row>
    <row r="42779" spans="1:14" s="2" customFormat="1">
      <c r="A42779" s="83"/>
      <c r="H42779" s="83"/>
      <c r="K42779" s="82"/>
      <c r="M42779" s="112"/>
      <c r="N42779" s="84"/>
    </row>
    <row r="42780" spans="1:14" s="2" customFormat="1">
      <c r="A42780" s="83"/>
      <c r="H42780" s="83"/>
      <c r="K42780" s="82"/>
      <c r="M42780" s="112"/>
      <c r="N42780" s="84"/>
    </row>
    <row r="42781" spans="1:14" s="2" customFormat="1">
      <c r="A42781" s="83"/>
      <c r="H42781" s="83"/>
      <c r="K42781" s="82"/>
      <c r="M42781" s="112"/>
      <c r="N42781" s="84"/>
    </row>
    <row r="42782" spans="1:14" s="2" customFormat="1">
      <c r="A42782" s="83"/>
      <c r="H42782" s="83"/>
      <c r="K42782" s="82"/>
      <c r="M42782" s="112"/>
      <c r="N42782" s="84"/>
    </row>
    <row r="42783" spans="1:14" s="2" customFormat="1">
      <c r="A42783" s="83"/>
      <c r="H42783" s="83"/>
      <c r="K42783" s="82"/>
      <c r="M42783" s="112"/>
      <c r="N42783" s="84"/>
    </row>
    <row r="42784" spans="1:14" s="2" customFormat="1">
      <c r="A42784" s="83"/>
      <c r="H42784" s="83"/>
      <c r="K42784" s="82"/>
      <c r="M42784" s="112"/>
      <c r="N42784" s="84"/>
    </row>
    <row r="42785" spans="1:14" s="2" customFormat="1">
      <c r="A42785" s="83"/>
      <c r="H42785" s="83"/>
      <c r="K42785" s="82"/>
      <c r="M42785" s="112"/>
      <c r="N42785" s="84"/>
    </row>
    <row r="42786" spans="1:14" s="2" customFormat="1">
      <c r="A42786" s="83"/>
      <c r="H42786" s="83"/>
      <c r="K42786" s="82"/>
      <c r="M42786" s="112"/>
      <c r="N42786" s="84"/>
    </row>
    <row r="42787" spans="1:14" s="2" customFormat="1">
      <c r="A42787" s="83"/>
      <c r="H42787" s="83"/>
      <c r="K42787" s="82"/>
      <c r="M42787" s="112"/>
      <c r="N42787" s="84"/>
    </row>
    <row r="42788" spans="1:14" s="2" customFormat="1">
      <c r="A42788" s="83"/>
      <c r="H42788" s="83"/>
      <c r="K42788" s="82"/>
      <c r="M42788" s="112"/>
      <c r="N42788" s="84"/>
    </row>
    <row r="42789" spans="1:14" s="2" customFormat="1">
      <c r="A42789" s="83"/>
      <c r="H42789" s="83"/>
      <c r="K42789" s="82"/>
      <c r="M42789" s="112"/>
      <c r="N42789" s="84"/>
    </row>
    <row r="42790" spans="1:14" s="2" customFormat="1">
      <c r="A42790" s="83"/>
      <c r="H42790" s="83"/>
      <c r="K42790" s="82"/>
      <c r="M42790" s="112"/>
      <c r="N42790" s="84"/>
    </row>
    <row r="42791" spans="1:14" s="2" customFormat="1">
      <c r="A42791" s="83"/>
      <c r="H42791" s="83"/>
      <c r="K42791" s="82"/>
      <c r="M42791" s="112"/>
      <c r="N42791" s="84"/>
    </row>
    <row r="42792" spans="1:14" s="2" customFormat="1">
      <c r="A42792" s="83"/>
      <c r="H42792" s="83"/>
      <c r="K42792" s="82"/>
      <c r="M42792" s="112"/>
      <c r="N42792" s="84"/>
    </row>
    <row r="42793" spans="1:14" s="2" customFormat="1">
      <c r="A42793" s="83"/>
      <c r="H42793" s="83"/>
      <c r="K42793" s="82"/>
      <c r="M42793" s="112"/>
      <c r="N42793" s="84"/>
    </row>
    <row r="42794" spans="1:14" s="2" customFormat="1">
      <c r="A42794" s="83"/>
      <c r="H42794" s="83"/>
      <c r="K42794" s="82"/>
      <c r="M42794" s="112"/>
      <c r="N42794" s="84"/>
    </row>
    <row r="42795" spans="1:14" s="2" customFormat="1">
      <c r="A42795" s="83"/>
      <c r="H42795" s="83"/>
      <c r="K42795" s="82"/>
      <c r="M42795" s="112"/>
      <c r="N42795" s="84"/>
    </row>
    <row r="42796" spans="1:14" s="2" customFormat="1">
      <c r="A42796" s="83"/>
      <c r="H42796" s="83"/>
      <c r="K42796" s="82"/>
      <c r="M42796" s="112"/>
      <c r="N42796" s="84"/>
    </row>
    <row r="42797" spans="1:14" s="2" customFormat="1">
      <c r="A42797" s="83"/>
      <c r="H42797" s="83"/>
      <c r="K42797" s="82"/>
      <c r="M42797" s="112"/>
      <c r="N42797" s="84"/>
    </row>
    <row r="42798" spans="1:14" s="2" customFormat="1">
      <c r="A42798" s="83"/>
      <c r="H42798" s="83"/>
      <c r="K42798" s="82"/>
      <c r="M42798" s="112"/>
      <c r="N42798" s="84"/>
    </row>
    <row r="42799" spans="1:14" s="2" customFormat="1">
      <c r="A42799" s="83"/>
      <c r="H42799" s="83"/>
      <c r="K42799" s="82"/>
      <c r="M42799" s="112"/>
      <c r="N42799" s="84"/>
    </row>
    <row r="42800" spans="1:14" s="2" customFormat="1">
      <c r="A42800" s="83"/>
      <c r="H42800" s="83"/>
      <c r="K42800" s="82"/>
      <c r="M42800" s="112"/>
      <c r="N42800" s="84"/>
    </row>
    <row r="42801" spans="1:14" s="2" customFormat="1">
      <c r="A42801" s="83"/>
      <c r="H42801" s="83"/>
      <c r="K42801" s="82"/>
      <c r="M42801" s="112"/>
      <c r="N42801" s="84"/>
    </row>
    <row r="42802" spans="1:14" s="2" customFormat="1">
      <c r="A42802" s="83"/>
      <c r="H42802" s="83"/>
      <c r="K42802" s="82"/>
      <c r="M42802" s="112"/>
      <c r="N42802" s="84"/>
    </row>
    <row r="42803" spans="1:14" s="2" customFormat="1">
      <c r="A42803" s="83"/>
      <c r="H42803" s="83"/>
      <c r="K42803" s="82"/>
      <c r="M42803" s="112"/>
      <c r="N42803" s="84"/>
    </row>
    <row r="42804" spans="1:14" s="2" customFormat="1">
      <c r="A42804" s="83"/>
      <c r="H42804" s="83"/>
      <c r="K42804" s="82"/>
      <c r="M42804" s="112"/>
      <c r="N42804" s="84"/>
    </row>
    <row r="42805" spans="1:14" s="2" customFormat="1">
      <c r="A42805" s="83"/>
      <c r="H42805" s="83"/>
      <c r="K42805" s="82"/>
      <c r="M42805" s="112"/>
      <c r="N42805" s="84"/>
    </row>
    <row r="42806" spans="1:14" s="2" customFormat="1">
      <c r="A42806" s="83"/>
      <c r="H42806" s="83"/>
      <c r="K42806" s="82"/>
      <c r="M42806" s="112"/>
      <c r="N42806" s="84"/>
    </row>
    <row r="42807" spans="1:14" s="2" customFormat="1">
      <c r="A42807" s="83"/>
      <c r="H42807" s="83"/>
      <c r="K42807" s="82"/>
      <c r="M42807" s="112"/>
      <c r="N42807" s="84"/>
    </row>
    <row r="42808" spans="1:14" s="2" customFormat="1">
      <c r="A42808" s="83"/>
      <c r="H42808" s="83"/>
      <c r="K42808" s="82"/>
      <c r="M42808" s="112"/>
      <c r="N42808" s="84"/>
    </row>
    <row r="42809" spans="1:14" s="2" customFormat="1">
      <c r="A42809" s="83"/>
      <c r="H42809" s="83"/>
      <c r="K42809" s="82"/>
      <c r="M42809" s="112"/>
      <c r="N42809" s="84"/>
    </row>
    <row r="42810" spans="1:14" s="2" customFormat="1">
      <c r="A42810" s="83"/>
      <c r="H42810" s="83"/>
      <c r="K42810" s="82"/>
      <c r="M42810" s="112"/>
      <c r="N42810" s="84"/>
    </row>
    <row r="42811" spans="1:14" s="2" customFormat="1">
      <c r="A42811" s="83"/>
      <c r="H42811" s="83"/>
      <c r="K42811" s="82"/>
      <c r="M42811" s="112"/>
      <c r="N42811" s="84"/>
    </row>
    <row r="42812" spans="1:14" s="2" customFormat="1">
      <c r="A42812" s="83"/>
      <c r="H42812" s="83"/>
      <c r="K42812" s="82"/>
      <c r="M42812" s="112"/>
      <c r="N42812" s="84"/>
    </row>
    <row r="42813" spans="1:14" s="2" customFormat="1">
      <c r="A42813" s="83"/>
      <c r="H42813" s="83"/>
      <c r="K42813" s="82"/>
      <c r="M42813" s="112"/>
      <c r="N42813" s="84"/>
    </row>
    <row r="42814" spans="1:14" s="2" customFormat="1">
      <c r="A42814" s="83"/>
      <c r="H42814" s="83"/>
      <c r="K42814" s="82"/>
      <c r="M42814" s="112"/>
      <c r="N42814" s="84"/>
    </row>
    <row r="42815" spans="1:14" s="2" customFormat="1">
      <c r="A42815" s="83"/>
      <c r="H42815" s="83"/>
      <c r="K42815" s="82"/>
      <c r="M42815" s="112"/>
      <c r="N42815" s="84"/>
    </row>
    <row r="42816" spans="1:14" s="2" customFormat="1">
      <c r="A42816" s="83"/>
      <c r="H42816" s="83"/>
      <c r="K42816" s="82"/>
      <c r="M42816" s="112"/>
      <c r="N42816" s="84"/>
    </row>
    <row r="42817" spans="1:14" s="2" customFormat="1">
      <c r="A42817" s="83"/>
      <c r="H42817" s="83"/>
      <c r="K42817" s="82"/>
      <c r="M42817" s="112"/>
      <c r="N42817" s="84"/>
    </row>
    <row r="42818" spans="1:14" s="2" customFormat="1">
      <c r="A42818" s="83"/>
      <c r="H42818" s="83"/>
      <c r="K42818" s="82"/>
      <c r="M42818" s="112"/>
      <c r="N42818" s="84"/>
    </row>
    <row r="42819" spans="1:14" s="2" customFormat="1">
      <c r="A42819" s="83"/>
      <c r="H42819" s="83"/>
      <c r="K42819" s="82"/>
      <c r="M42819" s="112"/>
      <c r="N42819" s="84"/>
    </row>
    <row r="42820" spans="1:14" s="2" customFormat="1">
      <c r="A42820" s="83"/>
      <c r="H42820" s="83"/>
      <c r="K42820" s="82"/>
      <c r="M42820" s="112"/>
      <c r="N42820" s="84"/>
    </row>
    <row r="42821" spans="1:14" s="2" customFormat="1">
      <c r="A42821" s="83"/>
      <c r="H42821" s="83"/>
      <c r="K42821" s="82"/>
      <c r="M42821" s="112"/>
      <c r="N42821" s="84"/>
    </row>
    <row r="42822" spans="1:14" s="2" customFormat="1">
      <c r="A42822" s="83"/>
      <c r="H42822" s="83"/>
      <c r="K42822" s="82"/>
      <c r="M42822" s="112"/>
      <c r="N42822" s="84"/>
    </row>
    <row r="42823" spans="1:14" s="2" customFormat="1">
      <c r="A42823" s="83"/>
      <c r="H42823" s="83"/>
      <c r="K42823" s="82"/>
      <c r="M42823" s="112"/>
      <c r="N42823" s="84"/>
    </row>
    <row r="42824" spans="1:14" s="2" customFormat="1">
      <c r="A42824" s="83"/>
      <c r="H42824" s="83"/>
      <c r="K42824" s="82"/>
      <c r="M42824" s="112"/>
      <c r="N42824" s="84"/>
    </row>
    <row r="42825" spans="1:14" s="2" customFormat="1">
      <c r="A42825" s="83"/>
      <c r="H42825" s="83"/>
      <c r="K42825" s="82"/>
      <c r="M42825" s="112"/>
      <c r="N42825" s="84"/>
    </row>
    <row r="42826" spans="1:14" s="2" customFormat="1">
      <c r="A42826" s="83"/>
      <c r="H42826" s="83"/>
      <c r="K42826" s="82"/>
      <c r="M42826" s="112"/>
      <c r="N42826" s="84"/>
    </row>
    <row r="42827" spans="1:14" s="2" customFormat="1">
      <c r="A42827" s="83"/>
      <c r="H42827" s="83"/>
      <c r="K42827" s="82"/>
      <c r="M42827" s="112"/>
      <c r="N42827" s="84"/>
    </row>
    <row r="42828" spans="1:14" s="2" customFormat="1">
      <c r="A42828" s="83"/>
      <c r="H42828" s="83"/>
      <c r="K42828" s="82"/>
      <c r="M42828" s="112"/>
      <c r="N42828" s="84"/>
    </row>
    <row r="42829" spans="1:14" s="2" customFormat="1">
      <c r="A42829" s="83"/>
      <c r="H42829" s="83"/>
      <c r="K42829" s="82"/>
      <c r="M42829" s="112"/>
      <c r="N42829" s="84"/>
    </row>
    <row r="42830" spans="1:14" s="2" customFormat="1">
      <c r="A42830" s="83"/>
      <c r="H42830" s="83"/>
      <c r="K42830" s="82"/>
      <c r="M42830" s="112"/>
      <c r="N42830" s="84"/>
    </row>
    <row r="42831" spans="1:14" s="2" customFormat="1">
      <c r="A42831" s="83"/>
      <c r="H42831" s="83"/>
      <c r="K42831" s="82"/>
      <c r="M42831" s="112"/>
      <c r="N42831" s="84"/>
    </row>
    <row r="42832" spans="1:14" s="2" customFormat="1">
      <c r="A42832" s="83"/>
      <c r="H42832" s="83"/>
      <c r="K42832" s="82"/>
      <c r="M42832" s="112"/>
      <c r="N42832" s="84"/>
    </row>
    <row r="42833" spans="1:14" s="2" customFormat="1">
      <c r="A42833" s="83"/>
      <c r="H42833" s="83"/>
      <c r="K42833" s="82"/>
      <c r="M42833" s="112"/>
      <c r="N42833" s="84"/>
    </row>
    <row r="42834" spans="1:14" s="2" customFormat="1">
      <c r="A42834" s="83"/>
      <c r="H42834" s="83"/>
      <c r="K42834" s="82"/>
      <c r="M42834" s="112"/>
      <c r="N42834" s="84"/>
    </row>
    <row r="42835" spans="1:14" s="2" customFormat="1">
      <c r="A42835" s="83"/>
      <c r="H42835" s="83"/>
      <c r="K42835" s="82"/>
      <c r="M42835" s="112"/>
      <c r="N42835" s="84"/>
    </row>
    <row r="42836" spans="1:14" s="2" customFormat="1">
      <c r="A42836" s="83"/>
      <c r="H42836" s="83"/>
      <c r="K42836" s="82"/>
      <c r="M42836" s="112"/>
      <c r="N42836" s="84"/>
    </row>
    <row r="42837" spans="1:14" s="2" customFormat="1">
      <c r="A42837" s="83"/>
      <c r="H42837" s="83"/>
      <c r="K42837" s="82"/>
      <c r="M42837" s="112"/>
      <c r="N42837" s="84"/>
    </row>
    <row r="42838" spans="1:14" s="2" customFormat="1">
      <c r="A42838" s="83"/>
      <c r="H42838" s="83"/>
      <c r="K42838" s="82"/>
      <c r="M42838" s="112"/>
      <c r="N42838" s="84"/>
    </row>
    <row r="42839" spans="1:14" s="2" customFormat="1">
      <c r="A42839" s="83"/>
      <c r="H42839" s="83"/>
      <c r="K42839" s="82"/>
      <c r="M42839" s="112"/>
      <c r="N42839" s="84"/>
    </row>
    <row r="42840" spans="1:14" s="2" customFormat="1">
      <c r="A42840" s="83"/>
      <c r="H42840" s="83"/>
      <c r="K42840" s="82"/>
      <c r="M42840" s="112"/>
      <c r="N42840" s="84"/>
    </row>
    <row r="42841" spans="1:14" s="2" customFormat="1">
      <c r="A42841" s="83"/>
      <c r="H42841" s="83"/>
      <c r="K42841" s="82"/>
      <c r="M42841" s="112"/>
      <c r="N42841" s="84"/>
    </row>
    <row r="42842" spans="1:14" s="2" customFormat="1">
      <c r="A42842" s="83"/>
      <c r="H42842" s="83"/>
      <c r="K42842" s="82"/>
      <c r="M42842" s="112"/>
      <c r="N42842" s="84"/>
    </row>
    <row r="42843" spans="1:14" s="2" customFormat="1">
      <c r="A42843" s="83"/>
      <c r="H42843" s="83"/>
      <c r="K42843" s="82"/>
      <c r="M42843" s="112"/>
      <c r="N42843" s="84"/>
    </row>
    <row r="42844" spans="1:14" s="2" customFormat="1">
      <c r="A42844" s="83"/>
      <c r="H42844" s="83"/>
      <c r="K42844" s="82"/>
      <c r="M42844" s="112"/>
      <c r="N42844" s="84"/>
    </row>
    <row r="42845" spans="1:14" s="2" customFormat="1">
      <c r="A42845" s="83"/>
      <c r="H42845" s="83"/>
      <c r="K42845" s="82"/>
      <c r="M42845" s="112"/>
      <c r="N42845" s="84"/>
    </row>
    <row r="42846" spans="1:14" s="2" customFormat="1">
      <c r="A42846" s="83"/>
      <c r="H42846" s="83"/>
      <c r="K42846" s="82"/>
      <c r="M42846" s="112"/>
      <c r="N42846" s="84"/>
    </row>
    <row r="42847" spans="1:14" s="2" customFormat="1">
      <c r="A42847" s="83"/>
      <c r="H42847" s="83"/>
      <c r="K42847" s="82"/>
      <c r="M42847" s="112"/>
      <c r="N42847" s="84"/>
    </row>
    <row r="42848" spans="1:14" s="2" customFormat="1">
      <c r="A42848" s="83"/>
      <c r="H42848" s="83"/>
      <c r="K42848" s="82"/>
      <c r="M42848" s="112"/>
      <c r="N42848" s="84"/>
    </row>
    <row r="42849" spans="1:14" s="2" customFormat="1">
      <c r="A42849" s="83"/>
      <c r="H42849" s="83"/>
      <c r="K42849" s="82"/>
      <c r="M42849" s="112"/>
      <c r="N42849" s="84"/>
    </row>
    <row r="42850" spans="1:14" s="2" customFormat="1">
      <c r="A42850" s="83"/>
      <c r="H42850" s="83"/>
      <c r="K42850" s="82"/>
      <c r="M42850" s="112"/>
      <c r="N42850" s="84"/>
    </row>
    <row r="42851" spans="1:14" s="2" customFormat="1">
      <c r="A42851" s="83"/>
      <c r="H42851" s="83"/>
      <c r="K42851" s="82"/>
      <c r="M42851" s="112"/>
      <c r="N42851" s="84"/>
    </row>
    <row r="42852" spans="1:14" s="2" customFormat="1">
      <c r="A42852" s="83"/>
      <c r="H42852" s="83"/>
      <c r="K42852" s="82"/>
      <c r="M42852" s="112"/>
      <c r="N42852" s="84"/>
    </row>
    <row r="42853" spans="1:14" s="2" customFormat="1">
      <c r="A42853" s="83"/>
      <c r="H42853" s="83"/>
      <c r="K42853" s="82"/>
      <c r="M42853" s="112"/>
      <c r="N42853" s="84"/>
    </row>
    <row r="42854" spans="1:14" s="2" customFormat="1">
      <c r="A42854" s="83"/>
      <c r="H42854" s="83"/>
      <c r="K42854" s="82"/>
      <c r="M42854" s="112"/>
      <c r="N42854" s="84"/>
    </row>
    <row r="42855" spans="1:14" s="2" customFormat="1">
      <c r="A42855" s="83"/>
      <c r="H42855" s="83"/>
      <c r="K42855" s="82"/>
      <c r="M42855" s="112"/>
      <c r="N42855" s="84"/>
    </row>
    <row r="42856" spans="1:14" s="2" customFormat="1">
      <c r="A42856" s="83"/>
      <c r="H42856" s="83"/>
      <c r="K42856" s="82"/>
      <c r="M42856" s="112"/>
      <c r="N42856" s="84"/>
    </row>
    <row r="42857" spans="1:14" s="2" customFormat="1">
      <c r="A42857" s="83"/>
      <c r="H42857" s="83"/>
      <c r="K42857" s="82"/>
      <c r="M42857" s="112"/>
      <c r="N42857" s="84"/>
    </row>
    <row r="42858" spans="1:14" s="2" customFormat="1">
      <c r="A42858" s="83"/>
      <c r="H42858" s="83"/>
      <c r="K42858" s="82"/>
      <c r="M42858" s="112"/>
      <c r="N42858" s="84"/>
    </row>
    <row r="42859" spans="1:14" s="2" customFormat="1">
      <c r="A42859" s="83"/>
      <c r="H42859" s="83"/>
      <c r="K42859" s="82"/>
      <c r="M42859" s="112"/>
      <c r="N42859" s="84"/>
    </row>
    <row r="42860" spans="1:14" s="2" customFormat="1">
      <c r="A42860" s="83"/>
      <c r="H42860" s="83"/>
      <c r="K42860" s="82"/>
      <c r="M42860" s="112"/>
      <c r="N42860" s="84"/>
    </row>
    <row r="42861" spans="1:14" s="2" customFormat="1">
      <c r="A42861" s="83"/>
      <c r="H42861" s="83"/>
      <c r="K42861" s="82"/>
      <c r="M42861" s="112"/>
      <c r="N42861" s="84"/>
    </row>
    <row r="42862" spans="1:14" s="2" customFormat="1">
      <c r="A42862" s="83"/>
      <c r="H42862" s="83"/>
      <c r="K42862" s="82"/>
      <c r="M42862" s="112"/>
      <c r="N42862" s="84"/>
    </row>
    <row r="42863" spans="1:14" s="2" customFormat="1">
      <c r="A42863" s="83"/>
      <c r="H42863" s="83"/>
      <c r="K42863" s="82"/>
      <c r="M42863" s="112"/>
      <c r="N42863" s="84"/>
    </row>
    <row r="42864" spans="1:14" s="2" customFormat="1">
      <c r="A42864" s="83"/>
      <c r="H42864" s="83"/>
      <c r="K42864" s="82"/>
      <c r="M42864" s="112"/>
      <c r="N42864" s="84"/>
    </row>
    <row r="42865" spans="1:14" s="2" customFormat="1">
      <c r="A42865" s="83"/>
      <c r="H42865" s="83"/>
      <c r="K42865" s="82"/>
      <c r="M42865" s="112"/>
      <c r="N42865" s="84"/>
    </row>
    <row r="42866" spans="1:14" s="2" customFormat="1">
      <c r="A42866" s="83"/>
      <c r="H42866" s="83"/>
      <c r="K42866" s="82"/>
      <c r="M42866" s="112"/>
      <c r="N42866" s="84"/>
    </row>
    <row r="42867" spans="1:14" s="2" customFormat="1">
      <c r="A42867" s="83"/>
      <c r="H42867" s="83"/>
      <c r="K42867" s="82"/>
      <c r="M42867" s="112"/>
      <c r="N42867" s="84"/>
    </row>
    <row r="42868" spans="1:14" s="2" customFormat="1">
      <c r="A42868" s="83"/>
      <c r="H42868" s="83"/>
      <c r="K42868" s="82"/>
      <c r="M42868" s="112"/>
      <c r="N42868" s="84"/>
    </row>
    <row r="42869" spans="1:14" s="2" customFormat="1">
      <c r="A42869" s="83"/>
      <c r="H42869" s="83"/>
      <c r="K42869" s="82"/>
      <c r="M42869" s="112"/>
      <c r="N42869" s="84"/>
    </row>
    <row r="42870" spans="1:14" s="2" customFormat="1">
      <c r="A42870" s="83"/>
      <c r="H42870" s="83"/>
      <c r="K42870" s="82"/>
      <c r="M42870" s="112"/>
      <c r="N42870" s="84"/>
    </row>
    <row r="42871" spans="1:14" s="2" customFormat="1">
      <c r="A42871" s="83"/>
      <c r="H42871" s="83"/>
      <c r="K42871" s="82"/>
      <c r="M42871" s="112"/>
      <c r="N42871" s="84"/>
    </row>
    <row r="42872" spans="1:14" s="2" customFormat="1">
      <c r="A42872" s="83"/>
      <c r="H42872" s="83"/>
      <c r="K42872" s="82"/>
      <c r="M42872" s="112"/>
      <c r="N42872" s="84"/>
    </row>
    <row r="42873" spans="1:14" s="2" customFormat="1">
      <c r="A42873" s="83"/>
      <c r="H42873" s="83"/>
      <c r="K42873" s="82"/>
      <c r="M42873" s="112"/>
      <c r="N42873" s="84"/>
    </row>
    <row r="42874" spans="1:14" s="2" customFormat="1">
      <c r="A42874" s="83"/>
      <c r="H42874" s="83"/>
      <c r="K42874" s="82"/>
      <c r="M42874" s="112"/>
      <c r="N42874" s="84"/>
    </row>
    <row r="42875" spans="1:14" s="2" customFormat="1">
      <c r="A42875" s="83"/>
      <c r="H42875" s="83"/>
      <c r="K42875" s="82"/>
      <c r="M42875" s="112"/>
      <c r="N42875" s="84"/>
    </row>
    <row r="42876" spans="1:14" s="2" customFormat="1">
      <c r="A42876" s="83"/>
      <c r="H42876" s="83"/>
      <c r="K42876" s="82"/>
      <c r="M42876" s="112"/>
      <c r="N42876" s="84"/>
    </row>
    <row r="42877" spans="1:14" s="2" customFormat="1">
      <c r="A42877" s="83"/>
      <c r="H42877" s="83"/>
      <c r="K42877" s="82"/>
      <c r="M42877" s="112"/>
      <c r="N42877" s="84"/>
    </row>
    <row r="42878" spans="1:14" s="2" customFormat="1">
      <c r="A42878" s="83"/>
      <c r="H42878" s="83"/>
      <c r="K42878" s="82"/>
      <c r="M42878" s="112"/>
      <c r="N42878" s="84"/>
    </row>
    <row r="42879" spans="1:14" s="2" customFormat="1">
      <c r="A42879" s="83"/>
      <c r="H42879" s="83"/>
      <c r="K42879" s="82"/>
      <c r="M42879" s="112"/>
      <c r="N42879" s="84"/>
    </row>
    <row r="42880" spans="1:14" s="2" customFormat="1">
      <c r="A42880" s="83"/>
      <c r="H42880" s="83"/>
      <c r="K42880" s="82"/>
      <c r="M42880" s="112"/>
      <c r="N42880" s="84"/>
    </row>
    <row r="42881" spans="1:14" s="2" customFormat="1">
      <c r="A42881" s="83"/>
      <c r="H42881" s="83"/>
      <c r="K42881" s="82"/>
      <c r="M42881" s="112"/>
      <c r="N42881" s="84"/>
    </row>
    <row r="42882" spans="1:14" s="2" customFormat="1">
      <c r="A42882" s="83"/>
      <c r="H42882" s="83"/>
      <c r="K42882" s="82"/>
      <c r="M42882" s="112"/>
      <c r="N42882" s="84"/>
    </row>
    <row r="42883" spans="1:14" s="2" customFormat="1">
      <c r="A42883" s="83"/>
      <c r="H42883" s="83"/>
      <c r="K42883" s="82"/>
      <c r="M42883" s="112"/>
      <c r="N42883" s="84"/>
    </row>
    <row r="42884" spans="1:14" s="2" customFormat="1">
      <c r="A42884" s="83"/>
      <c r="H42884" s="83"/>
      <c r="K42884" s="82"/>
      <c r="M42884" s="112"/>
      <c r="N42884" s="84"/>
    </row>
    <row r="42885" spans="1:14" s="2" customFormat="1">
      <c r="A42885" s="83"/>
      <c r="H42885" s="83"/>
      <c r="K42885" s="82"/>
      <c r="M42885" s="112"/>
      <c r="N42885" s="84"/>
    </row>
    <row r="42886" spans="1:14" s="2" customFormat="1">
      <c r="A42886" s="83"/>
      <c r="H42886" s="83"/>
      <c r="K42886" s="82"/>
      <c r="M42886" s="112"/>
      <c r="N42886" s="84"/>
    </row>
    <row r="42887" spans="1:14" s="2" customFormat="1">
      <c r="A42887" s="83"/>
      <c r="H42887" s="83"/>
      <c r="K42887" s="82"/>
      <c r="M42887" s="112"/>
      <c r="N42887" s="84"/>
    </row>
    <row r="42888" spans="1:14" s="2" customFormat="1">
      <c r="A42888" s="83"/>
      <c r="H42888" s="83"/>
      <c r="K42888" s="82"/>
      <c r="M42888" s="112"/>
      <c r="N42888" s="84"/>
    </row>
    <row r="42889" spans="1:14" s="2" customFormat="1">
      <c r="A42889" s="83"/>
      <c r="H42889" s="83"/>
      <c r="K42889" s="82"/>
      <c r="M42889" s="112"/>
      <c r="N42889" s="84"/>
    </row>
    <row r="42890" spans="1:14" s="2" customFormat="1">
      <c r="A42890" s="83"/>
      <c r="H42890" s="83"/>
      <c r="K42890" s="82"/>
      <c r="M42890" s="112"/>
      <c r="N42890" s="84"/>
    </row>
    <row r="42891" spans="1:14" s="2" customFormat="1">
      <c r="A42891" s="83"/>
      <c r="H42891" s="83"/>
      <c r="K42891" s="82"/>
      <c r="M42891" s="112"/>
      <c r="N42891" s="84"/>
    </row>
    <row r="42892" spans="1:14" s="2" customFormat="1">
      <c r="A42892" s="83"/>
      <c r="H42892" s="83"/>
      <c r="K42892" s="82"/>
      <c r="M42892" s="112"/>
      <c r="N42892" s="84"/>
    </row>
    <row r="42893" spans="1:14" s="2" customFormat="1">
      <c r="A42893" s="83"/>
      <c r="H42893" s="83"/>
      <c r="K42893" s="82"/>
      <c r="M42893" s="112"/>
      <c r="N42893" s="84"/>
    </row>
    <row r="42894" spans="1:14" s="2" customFormat="1">
      <c r="A42894" s="83"/>
      <c r="H42894" s="83"/>
      <c r="K42894" s="82"/>
      <c r="M42894" s="112"/>
      <c r="N42894" s="84"/>
    </row>
    <row r="42895" spans="1:14" s="2" customFormat="1">
      <c r="A42895" s="83"/>
      <c r="H42895" s="83"/>
      <c r="K42895" s="82"/>
      <c r="M42895" s="112"/>
      <c r="N42895" s="84"/>
    </row>
    <row r="42896" spans="1:14" s="2" customFormat="1">
      <c r="A42896" s="83"/>
      <c r="H42896" s="83"/>
      <c r="K42896" s="82"/>
      <c r="M42896" s="112"/>
      <c r="N42896" s="84"/>
    </row>
    <row r="42897" spans="1:14" s="2" customFormat="1">
      <c r="A42897" s="83"/>
      <c r="H42897" s="83"/>
      <c r="K42897" s="82"/>
      <c r="M42897" s="112"/>
      <c r="N42897" s="84"/>
    </row>
    <row r="42898" spans="1:14" s="2" customFormat="1">
      <c r="A42898" s="83"/>
      <c r="H42898" s="83"/>
      <c r="K42898" s="82"/>
      <c r="M42898" s="112"/>
      <c r="N42898" s="84"/>
    </row>
    <row r="42899" spans="1:14" s="2" customFormat="1">
      <c r="A42899" s="83"/>
      <c r="H42899" s="83"/>
      <c r="K42899" s="82"/>
      <c r="M42899" s="112"/>
      <c r="N42899" s="84"/>
    </row>
    <row r="42900" spans="1:14" s="2" customFormat="1">
      <c r="A42900" s="83"/>
      <c r="H42900" s="83"/>
      <c r="K42900" s="82"/>
      <c r="M42900" s="112"/>
      <c r="N42900" s="84"/>
    </row>
    <row r="42901" spans="1:14" s="2" customFormat="1">
      <c r="A42901" s="83"/>
      <c r="H42901" s="83"/>
      <c r="K42901" s="82"/>
      <c r="M42901" s="112"/>
      <c r="N42901" s="84"/>
    </row>
    <row r="42902" spans="1:14" s="2" customFormat="1">
      <c r="A42902" s="83"/>
      <c r="H42902" s="83"/>
      <c r="K42902" s="82"/>
      <c r="M42902" s="112"/>
      <c r="N42902" s="84"/>
    </row>
    <row r="42903" spans="1:14" s="2" customFormat="1">
      <c r="A42903" s="83"/>
      <c r="H42903" s="83"/>
      <c r="K42903" s="82"/>
      <c r="M42903" s="112"/>
      <c r="N42903" s="84"/>
    </row>
    <row r="42904" spans="1:14" s="2" customFormat="1">
      <c r="A42904" s="83"/>
      <c r="H42904" s="83"/>
      <c r="K42904" s="82"/>
      <c r="M42904" s="112"/>
      <c r="N42904" s="84"/>
    </row>
    <row r="42905" spans="1:14" s="2" customFormat="1">
      <c r="A42905" s="83"/>
      <c r="H42905" s="83"/>
      <c r="K42905" s="82"/>
      <c r="M42905" s="112"/>
      <c r="N42905" s="84"/>
    </row>
    <row r="42906" spans="1:14" s="2" customFormat="1">
      <c r="A42906" s="83"/>
      <c r="H42906" s="83"/>
      <c r="K42906" s="82"/>
      <c r="M42906" s="112"/>
      <c r="N42906" s="84"/>
    </row>
    <row r="42907" spans="1:14" s="2" customFormat="1">
      <c r="A42907" s="83"/>
      <c r="H42907" s="83"/>
      <c r="K42907" s="82"/>
      <c r="M42907" s="112"/>
      <c r="N42907" s="84"/>
    </row>
    <row r="42908" spans="1:14" s="2" customFormat="1">
      <c r="A42908" s="83"/>
      <c r="H42908" s="83"/>
      <c r="K42908" s="82"/>
      <c r="M42908" s="112"/>
      <c r="N42908" s="84"/>
    </row>
    <row r="42909" spans="1:14" s="2" customFormat="1">
      <c r="A42909" s="83"/>
      <c r="H42909" s="83"/>
      <c r="K42909" s="82"/>
      <c r="M42909" s="112"/>
      <c r="N42909" s="84"/>
    </row>
    <row r="42910" spans="1:14" s="2" customFormat="1">
      <c r="A42910" s="83"/>
      <c r="H42910" s="83"/>
      <c r="K42910" s="82"/>
      <c r="M42910" s="112"/>
      <c r="N42910" s="84"/>
    </row>
    <row r="42911" spans="1:14" s="2" customFormat="1">
      <c r="A42911" s="83"/>
      <c r="H42911" s="83"/>
      <c r="K42911" s="82"/>
      <c r="M42911" s="112"/>
      <c r="N42911" s="84"/>
    </row>
    <row r="42912" spans="1:14" s="2" customFormat="1">
      <c r="A42912" s="83"/>
      <c r="H42912" s="83"/>
      <c r="K42912" s="82"/>
      <c r="M42912" s="112"/>
      <c r="N42912" s="84"/>
    </row>
    <row r="42913" spans="1:14" s="2" customFormat="1">
      <c r="A42913" s="83"/>
      <c r="H42913" s="83"/>
      <c r="K42913" s="82"/>
      <c r="M42913" s="112"/>
      <c r="N42913" s="84"/>
    </row>
    <row r="42914" spans="1:14" s="2" customFormat="1">
      <c r="A42914" s="83"/>
      <c r="H42914" s="83"/>
      <c r="K42914" s="82"/>
      <c r="M42914" s="112"/>
      <c r="N42914" s="84"/>
    </row>
    <row r="42915" spans="1:14" s="2" customFormat="1">
      <c r="A42915" s="83"/>
      <c r="H42915" s="83"/>
      <c r="K42915" s="82"/>
      <c r="M42915" s="112"/>
      <c r="N42915" s="84"/>
    </row>
    <row r="42916" spans="1:14" s="2" customFormat="1">
      <c r="A42916" s="83"/>
      <c r="H42916" s="83"/>
      <c r="K42916" s="82"/>
      <c r="M42916" s="112"/>
      <c r="N42916" s="84"/>
    </row>
    <row r="42917" spans="1:14" s="2" customFormat="1">
      <c r="A42917" s="83"/>
      <c r="H42917" s="83"/>
      <c r="K42917" s="82"/>
      <c r="M42917" s="112"/>
      <c r="N42917" s="84"/>
    </row>
    <row r="42918" spans="1:14" s="2" customFormat="1">
      <c r="A42918" s="83"/>
      <c r="H42918" s="83"/>
      <c r="K42918" s="82"/>
      <c r="M42918" s="112"/>
      <c r="N42918" s="84"/>
    </row>
    <row r="42919" spans="1:14" s="2" customFormat="1">
      <c r="A42919" s="83"/>
      <c r="H42919" s="83"/>
      <c r="K42919" s="82"/>
      <c r="M42919" s="112"/>
      <c r="N42919" s="84"/>
    </row>
    <row r="42920" spans="1:14" s="2" customFormat="1">
      <c r="A42920" s="83"/>
      <c r="H42920" s="83"/>
      <c r="K42920" s="82"/>
      <c r="M42920" s="112"/>
      <c r="N42920" s="84"/>
    </row>
    <row r="42921" spans="1:14" s="2" customFormat="1">
      <c r="A42921" s="83"/>
      <c r="H42921" s="83"/>
      <c r="K42921" s="82"/>
      <c r="M42921" s="112"/>
      <c r="N42921" s="84"/>
    </row>
    <row r="42922" spans="1:14" s="2" customFormat="1">
      <c r="A42922" s="83"/>
      <c r="H42922" s="83"/>
      <c r="K42922" s="82"/>
      <c r="M42922" s="112"/>
      <c r="N42922" s="84"/>
    </row>
    <row r="42923" spans="1:14" s="2" customFormat="1">
      <c r="A42923" s="83"/>
      <c r="H42923" s="83"/>
      <c r="K42923" s="82"/>
      <c r="M42923" s="112"/>
      <c r="N42923" s="84"/>
    </row>
    <row r="42924" spans="1:14" s="2" customFormat="1">
      <c r="A42924" s="83"/>
      <c r="H42924" s="83"/>
      <c r="K42924" s="82"/>
      <c r="M42924" s="112"/>
      <c r="N42924" s="84"/>
    </row>
    <row r="42925" spans="1:14" s="2" customFormat="1">
      <c r="A42925" s="83"/>
      <c r="H42925" s="83"/>
      <c r="K42925" s="82"/>
      <c r="M42925" s="112"/>
      <c r="N42925" s="84"/>
    </row>
    <row r="42926" spans="1:14" s="2" customFormat="1">
      <c r="A42926" s="83"/>
      <c r="H42926" s="83"/>
      <c r="K42926" s="82"/>
      <c r="M42926" s="112"/>
      <c r="N42926" s="84"/>
    </row>
    <row r="42927" spans="1:14" s="2" customFormat="1">
      <c r="A42927" s="83"/>
      <c r="H42927" s="83"/>
      <c r="K42927" s="82"/>
      <c r="M42927" s="112"/>
      <c r="N42927" s="84"/>
    </row>
    <row r="42928" spans="1:14" s="2" customFormat="1">
      <c r="A42928" s="83"/>
      <c r="H42928" s="83"/>
      <c r="K42928" s="82"/>
      <c r="M42928" s="112"/>
      <c r="N42928" s="84"/>
    </row>
    <row r="42929" spans="1:14" s="2" customFormat="1">
      <c r="A42929" s="83"/>
      <c r="H42929" s="83"/>
      <c r="K42929" s="82"/>
      <c r="M42929" s="112"/>
      <c r="N42929" s="84"/>
    </row>
    <row r="42930" spans="1:14" s="2" customFormat="1">
      <c r="A42930" s="83"/>
      <c r="H42930" s="83"/>
      <c r="K42930" s="82"/>
      <c r="M42930" s="112"/>
      <c r="N42930" s="84"/>
    </row>
    <row r="42931" spans="1:14" s="2" customFormat="1">
      <c r="A42931" s="83"/>
      <c r="H42931" s="83"/>
      <c r="K42931" s="82"/>
      <c r="M42931" s="112"/>
      <c r="N42931" s="84"/>
    </row>
    <row r="42932" spans="1:14" s="2" customFormat="1">
      <c r="A42932" s="83"/>
      <c r="H42932" s="83"/>
      <c r="K42932" s="82"/>
      <c r="M42932" s="112"/>
      <c r="N42932" s="84"/>
    </row>
    <row r="42933" spans="1:14" s="2" customFormat="1">
      <c r="A42933" s="83"/>
      <c r="H42933" s="83"/>
      <c r="K42933" s="82"/>
      <c r="M42933" s="112"/>
      <c r="N42933" s="84"/>
    </row>
    <row r="42934" spans="1:14" s="2" customFormat="1">
      <c r="A42934" s="83"/>
      <c r="H42934" s="83"/>
      <c r="K42934" s="82"/>
      <c r="M42934" s="112"/>
      <c r="N42934" s="84"/>
    </row>
    <row r="42935" spans="1:14" s="2" customFormat="1">
      <c r="A42935" s="83"/>
      <c r="H42935" s="83"/>
      <c r="K42935" s="82"/>
      <c r="M42935" s="112"/>
      <c r="N42935" s="84"/>
    </row>
    <row r="42936" spans="1:14" s="2" customFormat="1">
      <c r="A42936" s="83"/>
      <c r="H42936" s="83"/>
      <c r="K42936" s="82"/>
      <c r="M42936" s="112"/>
      <c r="N42936" s="84"/>
    </row>
    <row r="42937" spans="1:14" s="2" customFormat="1">
      <c r="A42937" s="83"/>
      <c r="H42937" s="83"/>
      <c r="K42937" s="82"/>
      <c r="M42937" s="112"/>
      <c r="N42937" s="84"/>
    </row>
    <row r="42938" spans="1:14" s="2" customFormat="1">
      <c r="A42938" s="83"/>
      <c r="H42938" s="83"/>
      <c r="K42938" s="82"/>
      <c r="M42938" s="112"/>
      <c r="N42938" s="84"/>
    </row>
    <row r="42939" spans="1:14" s="2" customFormat="1">
      <c r="A42939" s="83"/>
      <c r="H42939" s="83"/>
      <c r="K42939" s="82"/>
      <c r="M42939" s="112"/>
      <c r="N42939" s="84"/>
    </row>
    <row r="42940" spans="1:14" s="2" customFormat="1">
      <c r="A42940" s="83"/>
      <c r="H42940" s="83"/>
      <c r="K42940" s="82"/>
      <c r="M42940" s="112"/>
      <c r="N42940" s="84"/>
    </row>
    <row r="42941" spans="1:14" s="2" customFormat="1">
      <c r="A42941" s="83"/>
      <c r="H42941" s="83"/>
      <c r="K42941" s="82"/>
      <c r="M42941" s="112"/>
      <c r="N42941" s="84"/>
    </row>
    <row r="42942" spans="1:14" s="2" customFormat="1">
      <c r="A42942" s="83"/>
      <c r="H42942" s="83"/>
      <c r="K42942" s="82"/>
      <c r="M42942" s="112"/>
      <c r="N42942" s="84"/>
    </row>
    <row r="42943" spans="1:14" s="2" customFormat="1">
      <c r="A42943" s="83"/>
      <c r="H42943" s="83"/>
      <c r="K42943" s="82"/>
      <c r="M42943" s="112"/>
      <c r="N42943" s="84"/>
    </row>
    <row r="42944" spans="1:14" s="2" customFormat="1">
      <c r="A42944" s="83"/>
      <c r="H42944" s="83"/>
      <c r="K42944" s="82"/>
      <c r="M42944" s="112"/>
      <c r="N42944" s="84"/>
    </row>
    <row r="42945" spans="1:14" s="2" customFormat="1">
      <c r="A42945" s="83"/>
      <c r="H42945" s="83"/>
      <c r="K42945" s="82"/>
      <c r="M42945" s="112"/>
      <c r="N42945" s="84"/>
    </row>
    <row r="42946" spans="1:14" s="2" customFormat="1">
      <c r="A42946" s="83"/>
      <c r="H42946" s="83"/>
      <c r="K42946" s="82"/>
      <c r="M42946" s="112"/>
      <c r="N42946" s="84"/>
    </row>
    <row r="42947" spans="1:14" s="2" customFormat="1">
      <c r="A42947" s="83"/>
      <c r="H42947" s="83"/>
      <c r="K42947" s="82"/>
      <c r="M42947" s="112"/>
      <c r="N42947" s="84"/>
    </row>
    <row r="42948" spans="1:14" s="2" customFormat="1">
      <c r="A42948" s="83"/>
      <c r="H42948" s="83"/>
      <c r="K42948" s="82"/>
      <c r="M42948" s="112"/>
      <c r="N42948" s="84"/>
    </row>
    <row r="42949" spans="1:14" s="2" customFormat="1">
      <c r="A42949" s="83"/>
      <c r="H42949" s="83"/>
      <c r="K42949" s="82"/>
      <c r="M42949" s="112"/>
      <c r="N42949" s="84"/>
    </row>
    <row r="42950" spans="1:14" s="2" customFormat="1">
      <c r="A42950" s="83"/>
      <c r="H42950" s="83"/>
      <c r="K42950" s="82"/>
      <c r="M42950" s="112"/>
      <c r="N42950" s="84"/>
    </row>
    <row r="42951" spans="1:14" s="2" customFormat="1">
      <c r="A42951" s="83"/>
      <c r="H42951" s="83"/>
      <c r="K42951" s="82"/>
      <c r="M42951" s="112"/>
      <c r="N42951" s="84"/>
    </row>
    <row r="42952" spans="1:14" s="2" customFormat="1">
      <c r="A42952" s="83"/>
      <c r="H42952" s="83"/>
      <c r="K42952" s="82"/>
      <c r="M42952" s="112"/>
      <c r="N42952" s="84"/>
    </row>
    <row r="42953" spans="1:14" s="2" customFormat="1">
      <c r="A42953" s="83"/>
      <c r="H42953" s="83"/>
      <c r="K42953" s="82"/>
      <c r="M42953" s="112"/>
      <c r="N42953" s="84"/>
    </row>
    <row r="42954" spans="1:14" s="2" customFormat="1">
      <c r="A42954" s="83"/>
      <c r="H42954" s="83"/>
      <c r="K42954" s="82"/>
      <c r="M42954" s="112"/>
      <c r="N42954" s="84"/>
    </row>
    <row r="42955" spans="1:14" s="2" customFormat="1">
      <c r="A42955" s="83"/>
      <c r="H42955" s="83"/>
      <c r="K42955" s="82"/>
      <c r="M42955" s="112"/>
      <c r="N42955" s="84"/>
    </row>
    <row r="42956" spans="1:14" s="2" customFormat="1">
      <c r="A42956" s="83"/>
      <c r="H42956" s="83"/>
      <c r="K42956" s="82"/>
      <c r="M42956" s="112"/>
      <c r="N42956" s="84"/>
    </row>
    <row r="42957" spans="1:14" s="2" customFormat="1">
      <c r="A42957" s="83"/>
      <c r="H42957" s="83"/>
      <c r="K42957" s="82"/>
      <c r="M42957" s="112"/>
      <c r="N42957" s="84"/>
    </row>
    <row r="42958" spans="1:14" s="2" customFormat="1">
      <c r="A42958" s="83"/>
      <c r="H42958" s="83"/>
      <c r="K42958" s="82"/>
      <c r="M42958" s="112"/>
      <c r="N42958" s="84"/>
    </row>
    <row r="42959" spans="1:14" s="2" customFormat="1">
      <c r="A42959" s="83"/>
      <c r="H42959" s="83"/>
      <c r="K42959" s="82"/>
      <c r="M42959" s="112"/>
      <c r="N42959" s="84"/>
    </row>
    <row r="42960" spans="1:14" s="2" customFormat="1">
      <c r="A42960" s="83"/>
      <c r="H42960" s="83"/>
      <c r="K42960" s="82"/>
      <c r="M42960" s="112"/>
      <c r="N42960" s="84"/>
    </row>
    <row r="42961" spans="1:14" s="2" customFormat="1">
      <c r="A42961" s="83"/>
      <c r="H42961" s="83"/>
      <c r="K42961" s="82"/>
      <c r="M42961" s="112"/>
      <c r="N42961" s="84"/>
    </row>
    <row r="42962" spans="1:14" s="2" customFormat="1">
      <c r="A42962" s="83"/>
      <c r="H42962" s="83"/>
      <c r="K42962" s="82"/>
      <c r="M42962" s="112"/>
      <c r="N42962" s="84"/>
    </row>
    <row r="42963" spans="1:14" s="2" customFormat="1">
      <c r="A42963" s="83"/>
      <c r="H42963" s="83"/>
      <c r="K42963" s="82"/>
      <c r="M42963" s="112"/>
      <c r="N42963" s="84"/>
    </row>
    <row r="42964" spans="1:14" s="2" customFormat="1">
      <c r="A42964" s="83"/>
      <c r="H42964" s="83"/>
      <c r="K42964" s="82"/>
      <c r="M42964" s="112"/>
      <c r="N42964" s="84"/>
    </row>
    <row r="42965" spans="1:14" s="2" customFormat="1">
      <c r="A42965" s="83"/>
      <c r="H42965" s="83"/>
      <c r="K42965" s="82"/>
      <c r="M42965" s="112"/>
      <c r="N42965" s="84"/>
    </row>
    <row r="42966" spans="1:14" s="2" customFormat="1">
      <c r="A42966" s="83"/>
      <c r="H42966" s="83"/>
      <c r="K42966" s="82"/>
      <c r="M42966" s="112"/>
      <c r="N42966" s="84"/>
    </row>
    <row r="42967" spans="1:14" s="2" customFormat="1">
      <c r="A42967" s="83"/>
      <c r="H42967" s="83"/>
      <c r="K42967" s="82"/>
      <c r="M42967" s="112"/>
      <c r="N42967" s="84"/>
    </row>
    <row r="42968" spans="1:14" s="2" customFormat="1">
      <c r="A42968" s="83"/>
      <c r="H42968" s="83"/>
      <c r="K42968" s="82"/>
      <c r="M42968" s="112"/>
      <c r="N42968" s="84"/>
    </row>
    <row r="42969" spans="1:14" s="2" customFormat="1">
      <c r="A42969" s="83"/>
      <c r="H42969" s="83"/>
      <c r="K42969" s="82"/>
      <c r="M42969" s="112"/>
      <c r="N42969" s="84"/>
    </row>
    <row r="42970" spans="1:14" s="2" customFormat="1">
      <c r="A42970" s="83"/>
      <c r="H42970" s="83"/>
      <c r="K42970" s="82"/>
      <c r="M42970" s="112"/>
      <c r="N42970" s="84"/>
    </row>
    <row r="42971" spans="1:14" s="2" customFormat="1">
      <c r="A42971" s="83"/>
      <c r="H42971" s="83"/>
      <c r="K42971" s="82"/>
      <c r="M42971" s="112"/>
      <c r="N42971" s="84"/>
    </row>
    <row r="42972" spans="1:14" s="2" customFormat="1">
      <c r="A42972" s="83"/>
      <c r="H42972" s="83"/>
      <c r="K42972" s="82"/>
      <c r="M42972" s="112"/>
      <c r="N42972" s="84"/>
    </row>
    <row r="42973" spans="1:14" s="2" customFormat="1">
      <c r="A42973" s="83"/>
      <c r="H42973" s="83"/>
      <c r="K42973" s="82"/>
      <c r="M42973" s="112"/>
      <c r="N42973" s="84"/>
    </row>
    <row r="42974" spans="1:14" s="2" customFormat="1">
      <c r="A42974" s="83"/>
      <c r="H42974" s="83"/>
      <c r="K42974" s="82"/>
      <c r="M42974" s="112"/>
      <c r="N42974" s="84"/>
    </row>
    <row r="42975" spans="1:14" s="2" customFormat="1">
      <c r="A42975" s="83"/>
      <c r="H42975" s="83"/>
      <c r="K42975" s="82"/>
      <c r="M42975" s="112"/>
      <c r="N42975" s="84"/>
    </row>
    <row r="42976" spans="1:14" s="2" customFormat="1">
      <c r="A42976" s="83"/>
      <c r="H42976" s="83"/>
      <c r="K42976" s="82"/>
      <c r="M42976" s="112"/>
      <c r="N42976" s="84"/>
    </row>
    <row r="42977" spans="1:14" s="2" customFormat="1">
      <c r="A42977" s="83"/>
      <c r="H42977" s="83"/>
      <c r="K42977" s="82"/>
      <c r="M42977" s="112"/>
      <c r="N42977" s="84"/>
    </row>
    <row r="42978" spans="1:14" s="2" customFormat="1">
      <c r="A42978" s="83"/>
      <c r="H42978" s="83"/>
      <c r="K42978" s="82"/>
      <c r="M42978" s="112"/>
      <c r="N42978" s="84"/>
    </row>
    <row r="42979" spans="1:14" s="2" customFormat="1">
      <c r="A42979" s="83"/>
      <c r="H42979" s="83"/>
      <c r="K42979" s="82"/>
      <c r="M42979" s="112"/>
      <c r="N42979" s="84"/>
    </row>
    <row r="42980" spans="1:14" s="2" customFormat="1">
      <c r="A42980" s="83"/>
      <c r="H42980" s="83"/>
      <c r="K42980" s="82"/>
      <c r="M42980" s="112"/>
      <c r="N42980" s="84"/>
    </row>
    <row r="42981" spans="1:14" s="2" customFormat="1">
      <c r="A42981" s="83"/>
      <c r="H42981" s="83"/>
      <c r="K42981" s="82"/>
      <c r="M42981" s="112"/>
      <c r="N42981" s="84"/>
    </row>
    <row r="42982" spans="1:14" s="2" customFormat="1">
      <c r="A42982" s="83"/>
      <c r="H42982" s="83"/>
      <c r="K42982" s="82"/>
      <c r="M42982" s="112"/>
      <c r="N42982" s="84"/>
    </row>
    <row r="42983" spans="1:14" s="2" customFormat="1">
      <c r="A42983" s="83"/>
      <c r="H42983" s="83"/>
      <c r="K42983" s="82"/>
      <c r="M42983" s="112"/>
      <c r="N42983" s="84"/>
    </row>
    <row r="42984" spans="1:14" s="2" customFormat="1">
      <c r="A42984" s="83"/>
      <c r="H42984" s="83"/>
      <c r="K42984" s="82"/>
      <c r="M42984" s="112"/>
      <c r="N42984" s="84"/>
    </row>
    <row r="42985" spans="1:14" s="2" customFormat="1">
      <c r="A42985" s="83"/>
      <c r="H42985" s="83"/>
      <c r="K42985" s="82"/>
      <c r="M42985" s="112"/>
      <c r="N42985" s="84"/>
    </row>
    <row r="42986" spans="1:14" s="2" customFormat="1">
      <c r="A42986" s="83"/>
      <c r="H42986" s="83"/>
      <c r="K42986" s="82"/>
      <c r="M42986" s="112"/>
      <c r="N42986" s="84"/>
    </row>
    <row r="42987" spans="1:14" s="2" customFormat="1">
      <c r="A42987" s="83"/>
      <c r="H42987" s="83"/>
      <c r="K42987" s="82"/>
      <c r="M42987" s="112"/>
      <c r="N42987" s="84"/>
    </row>
    <row r="42988" spans="1:14" s="2" customFormat="1">
      <c r="A42988" s="83"/>
      <c r="H42988" s="83"/>
      <c r="K42988" s="82"/>
      <c r="M42988" s="112"/>
      <c r="N42988" s="84"/>
    </row>
    <row r="42989" spans="1:14" s="2" customFormat="1">
      <c r="A42989" s="83"/>
      <c r="H42989" s="83"/>
      <c r="K42989" s="82"/>
      <c r="M42989" s="112"/>
      <c r="N42989" s="84"/>
    </row>
    <row r="42990" spans="1:14" s="2" customFormat="1">
      <c r="A42990" s="83"/>
      <c r="H42990" s="83"/>
      <c r="K42990" s="82"/>
      <c r="M42990" s="112"/>
      <c r="N42990" s="84"/>
    </row>
    <row r="42991" spans="1:14" s="2" customFormat="1">
      <c r="A42991" s="83"/>
      <c r="H42991" s="83"/>
      <c r="K42991" s="82"/>
      <c r="M42991" s="112"/>
      <c r="N42991" s="84"/>
    </row>
    <row r="42992" spans="1:14" s="2" customFormat="1">
      <c r="A42992" s="83"/>
      <c r="H42992" s="83"/>
      <c r="K42992" s="82"/>
      <c r="M42992" s="112"/>
      <c r="N42992" s="84"/>
    </row>
    <row r="42993" spans="1:14" s="2" customFormat="1">
      <c r="A42993" s="83"/>
      <c r="H42993" s="83"/>
      <c r="K42993" s="82"/>
      <c r="M42993" s="112"/>
      <c r="N42993" s="84"/>
    </row>
    <row r="42994" spans="1:14" s="2" customFormat="1">
      <c r="A42994" s="83"/>
      <c r="H42994" s="83"/>
      <c r="K42994" s="82"/>
      <c r="M42994" s="112"/>
      <c r="N42994" s="84"/>
    </row>
    <row r="42995" spans="1:14" s="2" customFormat="1">
      <c r="A42995" s="83"/>
      <c r="H42995" s="83"/>
      <c r="K42995" s="82"/>
      <c r="M42995" s="112"/>
      <c r="N42995" s="84"/>
    </row>
    <row r="42996" spans="1:14" s="2" customFormat="1">
      <c r="A42996" s="83"/>
      <c r="H42996" s="83"/>
      <c r="K42996" s="82"/>
      <c r="M42996" s="112"/>
      <c r="N42996" s="84"/>
    </row>
    <row r="42997" spans="1:14" s="2" customFormat="1">
      <c r="A42997" s="83"/>
      <c r="H42997" s="83"/>
      <c r="K42997" s="82"/>
      <c r="M42997" s="112"/>
      <c r="N42997" s="84"/>
    </row>
    <row r="42998" spans="1:14" s="2" customFormat="1">
      <c r="A42998" s="83"/>
      <c r="H42998" s="83"/>
      <c r="K42998" s="82"/>
      <c r="M42998" s="112"/>
      <c r="N42998" s="84"/>
    </row>
    <row r="42999" spans="1:14" s="2" customFormat="1">
      <c r="A42999" s="83"/>
      <c r="H42999" s="83"/>
      <c r="K42999" s="82"/>
      <c r="M42999" s="112"/>
      <c r="N42999" s="84"/>
    </row>
    <row r="43000" spans="1:14" s="2" customFormat="1">
      <c r="A43000" s="83"/>
      <c r="H43000" s="83"/>
      <c r="K43000" s="82"/>
      <c r="M43000" s="112"/>
      <c r="N43000" s="84"/>
    </row>
    <row r="43001" spans="1:14" s="2" customFormat="1">
      <c r="A43001" s="83"/>
      <c r="H43001" s="83"/>
      <c r="K43001" s="82"/>
      <c r="M43001" s="112"/>
      <c r="N43001" s="84"/>
    </row>
    <row r="43002" spans="1:14" s="2" customFormat="1">
      <c r="A43002" s="83"/>
      <c r="H43002" s="83"/>
      <c r="K43002" s="82"/>
      <c r="M43002" s="112"/>
      <c r="N43002" s="84"/>
    </row>
    <row r="43003" spans="1:14" s="2" customFormat="1">
      <c r="A43003" s="83"/>
      <c r="H43003" s="83"/>
      <c r="K43003" s="82"/>
      <c r="M43003" s="112"/>
      <c r="N43003" s="84"/>
    </row>
    <row r="43004" spans="1:14" s="2" customFormat="1">
      <c r="A43004" s="83"/>
      <c r="H43004" s="83"/>
      <c r="K43004" s="82"/>
      <c r="M43004" s="112"/>
      <c r="N43004" s="84"/>
    </row>
    <row r="43005" spans="1:14" s="2" customFormat="1">
      <c r="A43005" s="83"/>
      <c r="H43005" s="83"/>
      <c r="K43005" s="82"/>
      <c r="M43005" s="112"/>
      <c r="N43005" s="84"/>
    </row>
    <row r="43006" spans="1:14" s="2" customFormat="1">
      <c r="A43006" s="83"/>
      <c r="H43006" s="83"/>
      <c r="K43006" s="82"/>
      <c r="M43006" s="112"/>
      <c r="N43006" s="84"/>
    </row>
    <row r="43007" spans="1:14" s="2" customFormat="1">
      <c r="A43007" s="83"/>
      <c r="H43007" s="83"/>
      <c r="K43007" s="82"/>
      <c r="M43007" s="112"/>
      <c r="N43007" s="84"/>
    </row>
    <row r="43008" spans="1:14" s="2" customFormat="1">
      <c r="A43008" s="83"/>
      <c r="H43008" s="83"/>
      <c r="K43008" s="82"/>
      <c r="M43008" s="112"/>
      <c r="N43008" s="84"/>
    </row>
    <row r="43009" spans="1:14" s="2" customFormat="1">
      <c r="A43009" s="83"/>
      <c r="H43009" s="83"/>
      <c r="K43009" s="82"/>
      <c r="M43009" s="112"/>
      <c r="N43009" s="84"/>
    </row>
    <row r="43010" spans="1:14" s="2" customFormat="1">
      <c r="A43010" s="83"/>
      <c r="H43010" s="83"/>
      <c r="K43010" s="82"/>
      <c r="M43010" s="112"/>
      <c r="N43010" s="84"/>
    </row>
    <row r="43011" spans="1:14" s="2" customFormat="1">
      <c r="A43011" s="83"/>
      <c r="H43011" s="83"/>
      <c r="K43011" s="82"/>
      <c r="M43011" s="112"/>
      <c r="N43011" s="84"/>
    </row>
    <row r="43012" spans="1:14" s="2" customFormat="1">
      <c r="A43012" s="83"/>
      <c r="H43012" s="83"/>
      <c r="K43012" s="82"/>
      <c r="M43012" s="112"/>
      <c r="N43012" s="84"/>
    </row>
    <row r="43013" spans="1:14" s="2" customFormat="1">
      <c r="A43013" s="83"/>
      <c r="H43013" s="83"/>
      <c r="K43013" s="82"/>
      <c r="M43013" s="112"/>
      <c r="N43013" s="84"/>
    </row>
    <row r="43014" spans="1:14" s="2" customFormat="1">
      <c r="A43014" s="83"/>
      <c r="H43014" s="83"/>
      <c r="K43014" s="82"/>
      <c r="M43014" s="112"/>
      <c r="N43014" s="84"/>
    </row>
    <row r="43015" spans="1:14" s="2" customFormat="1">
      <c r="A43015" s="83"/>
      <c r="H43015" s="83"/>
      <c r="K43015" s="82"/>
      <c r="M43015" s="112"/>
      <c r="N43015" s="84"/>
    </row>
    <row r="43016" spans="1:14" s="2" customFormat="1">
      <c r="A43016" s="83"/>
      <c r="H43016" s="83"/>
      <c r="K43016" s="82"/>
      <c r="M43016" s="112"/>
      <c r="N43016" s="84"/>
    </row>
    <row r="43017" spans="1:14" s="2" customFormat="1">
      <c r="A43017" s="83"/>
      <c r="H43017" s="83"/>
      <c r="K43017" s="82"/>
      <c r="M43017" s="112"/>
      <c r="N43017" s="84"/>
    </row>
    <row r="43018" spans="1:14" s="2" customFormat="1">
      <c r="A43018" s="83"/>
      <c r="H43018" s="83"/>
      <c r="K43018" s="82"/>
      <c r="M43018" s="112"/>
      <c r="N43018" s="84"/>
    </row>
    <row r="43019" spans="1:14" s="2" customFormat="1">
      <c r="A43019" s="83"/>
      <c r="H43019" s="83"/>
      <c r="K43019" s="82"/>
      <c r="M43019" s="112"/>
      <c r="N43019" s="84"/>
    </row>
    <row r="43020" spans="1:14" s="2" customFormat="1">
      <c r="A43020" s="83"/>
      <c r="H43020" s="83"/>
      <c r="K43020" s="82"/>
      <c r="M43020" s="112"/>
      <c r="N43020" s="84"/>
    </row>
    <row r="43021" spans="1:14" s="2" customFormat="1">
      <c r="A43021" s="83"/>
      <c r="H43021" s="83"/>
      <c r="K43021" s="82"/>
      <c r="M43021" s="112"/>
      <c r="N43021" s="84"/>
    </row>
    <row r="43022" spans="1:14" s="2" customFormat="1">
      <c r="A43022" s="83"/>
      <c r="H43022" s="83"/>
      <c r="K43022" s="82"/>
      <c r="M43022" s="112"/>
      <c r="N43022" s="84"/>
    </row>
    <row r="43023" spans="1:14" s="2" customFormat="1">
      <c r="A43023" s="83"/>
      <c r="H43023" s="83"/>
      <c r="K43023" s="82"/>
      <c r="M43023" s="112"/>
      <c r="N43023" s="84"/>
    </row>
    <row r="43024" spans="1:14" s="2" customFormat="1">
      <c r="A43024" s="83"/>
      <c r="H43024" s="83"/>
      <c r="K43024" s="82"/>
      <c r="M43024" s="112"/>
      <c r="N43024" s="84"/>
    </row>
    <row r="43025" spans="1:14" s="2" customFormat="1">
      <c r="A43025" s="83"/>
      <c r="H43025" s="83"/>
      <c r="K43025" s="82"/>
      <c r="M43025" s="112"/>
      <c r="N43025" s="84"/>
    </row>
    <row r="43026" spans="1:14" s="2" customFormat="1">
      <c r="A43026" s="83"/>
      <c r="H43026" s="83"/>
      <c r="K43026" s="82"/>
      <c r="M43026" s="112"/>
      <c r="N43026" s="84"/>
    </row>
    <row r="43027" spans="1:14" s="2" customFormat="1">
      <c r="A43027" s="83"/>
      <c r="H43027" s="83"/>
      <c r="K43027" s="82"/>
      <c r="M43027" s="112"/>
      <c r="N43027" s="84"/>
    </row>
    <row r="43028" spans="1:14" s="2" customFormat="1">
      <c r="A43028" s="83"/>
      <c r="H43028" s="83"/>
      <c r="K43028" s="82"/>
      <c r="M43028" s="112"/>
      <c r="N43028" s="84"/>
    </row>
    <row r="43029" spans="1:14" s="2" customFormat="1">
      <c r="A43029" s="83"/>
      <c r="H43029" s="83"/>
      <c r="K43029" s="82"/>
      <c r="M43029" s="112"/>
      <c r="N43029" s="84"/>
    </row>
    <row r="43030" spans="1:14" s="2" customFormat="1">
      <c r="A43030" s="83"/>
      <c r="H43030" s="83"/>
      <c r="K43030" s="82"/>
      <c r="M43030" s="112"/>
      <c r="N43030" s="84"/>
    </row>
    <row r="43031" spans="1:14" s="2" customFormat="1">
      <c r="A43031" s="83"/>
      <c r="H43031" s="83"/>
      <c r="K43031" s="82"/>
      <c r="M43031" s="112"/>
      <c r="N43031" s="84"/>
    </row>
    <row r="43032" spans="1:14" s="2" customFormat="1">
      <c r="A43032" s="83"/>
      <c r="H43032" s="83"/>
      <c r="K43032" s="82"/>
      <c r="M43032" s="112"/>
      <c r="N43032" s="84"/>
    </row>
    <row r="43033" spans="1:14" s="2" customFormat="1">
      <c r="A43033" s="83"/>
      <c r="H43033" s="83"/>
      <c r="K43033" s="82"/>
      <c r="M43033" s="112"/>
      <c r="N43033" s="84"/>
    </row>
    <row r="43034" spans="1:14" s="2" customFormat="1">
      <c r="A43034" s="83"/>
      <c r="H43034" s="83"/>
      <c r="K43034" s="82"/>
      <c r="M43034" s="112"/>
      <c r="N43034" s="84"/>
    </row>
    <row r="43035" spans="1:14" s="2" customFormat="1">
      <c r="A43035" s="83"/>
      <c r="H43035" s="83"/>
      <c r="K43035" s="82"/>
      <c r="M43035" s="112"/>
      <c r="N43035" s="84"/>
    </row>
    <row r="43036" spans="1:14" s="2" customFormat="1">
      <c r="A43036" s="83"/>
      <c r="H43036" s="83"/>
      <c r="K43036" s="82"/>
      <c r="M43036" s="112"/>
      <c r="N43036" s="84"/>
    </row>
    <row r="43037" spans="1:14" s="2" customFormat="1">
      <c r="A43037" s="83"/>
      <c r="H43037" s="83"/>
      <c r="K43037" s="82"/>
      <c r="M43037" s="112"/>
      <c r="N43037" s="84"/>
    </row>
    <row r="43038" spans="1:14" s="2" customFormat="1">
      <c r="A43038" s="83"/>
      <c r="H43038" s="83"/>
      <c r="K43038" s="82"/>
      <c r="M43038" s="112"/>
      <c r="N43038" s="84"/>
    </row>
    <row r="43039" spans="1:14" s="2" customFormat="1">
      <c r="A43039" s="83"/>
      <c r="H43039" s="83"/>
      <c r="K43039" s="82"/>
      <c r="M43039" s="112"/>
      <c r="N43039" s="84"/>
    </row>
    <row r="43040" spans="1:14" s="2" customFormat="1">
      <c r="A43040" s="83"/>
      <c r="H43040" s="83"/>
      <c r="K43040" s="82"/>
      <c r="M43040" s="112"/>
      <c r="N43040" s="84"/>
    </row>
    <row r="43041" spans="1:14" s="2" customFormat="1">
      <c r="A43041" s="83"/>
      <c r="H43041" s="83"/>
      <c r="K43041" s="82"/>
      <c r="M43041" s="112"/>
      <c r="N43041" s="84"/>
    </row>
    <row r="43042" spans="1:14" s="2" customFormat="1">
      <c r="A43042" s="83"/>
      <c r="H43042" s="83"/>
      <c r="K43042" s="82"/>
      <c r="M43042" s="112"/>
      <c r="N43042" s="84"/>
    </row>
    <row r="43043" spans="1:14" s="2" customFormat="1">
      <c r="A43043" s="83"/>
      <c r="H43043" s="83"/>
      <c r="K43043" s="82"/>
      <c r="M43043" s="112"/>
      <c r="N43043" s="84"/>
    </row>
    <row r="43044" spans="1:14" s="2" customFormat="1">
      <c r="A43044" s="83"/>
      <c r="H43044" s="83"/>
      <c r="K43044" s="82"/>
      <c r="M43044" s="112"/>
      <c r="N43044" s="84"/>
    </row>
    <row r="43045" spans="1:14" s="2" customFormat="1">
      <c r="A43045" s="83"/>
      <c r="H43045" s="83"/>
      <c r="K43045" s="82"/>
      <c r="M43045" s="112"/>
      <c r="N43045" s="84"/>
    </row>
    <row r="43046" spans="1:14" s="2" customFormat="1">
      <c r="A43046" s="83"/>
      <c r="H43046" s="83"/>
      <c r="K43046" s="82"/>
      <c r="M43046" s="112"/>
      <c r="N43046" s="84"/>
    </row>
    <row r="43047" spans="1:14" s="2" customFormat="1">
      <c r="A43047" s="83"/>
      <c r="H43047" s="83"/>
      <c r="K43047" s="82"/>
      <c r="M43047" s="112"/>
      <c r="N43047" s="84"/>
    </row>
    <row r="43048" spans="1:14" s="2" customFormat="1">
      <c r="A43048" s="83"/>
      <c r="H43048" s="83"/>
      <c r="K43048" s="82"/>
      <c r="M43048" s="112"/>
      <c r="N43048" s="84"/>
    </row>
    <row r="43049" spans="1:14" s="2" customFormat="1">
      <c r="A43049" s="83"/>
      <c r="H43049" s="83"/>
      <c r="K43049" s="82"/>
      <c r="M43049" s="112"/>
      <c r="N43049" s="84"/>
    </row>
    <row r="43050" spans="1:14" s="2" customFormat="1">
      <c r="A43050" s="83"/>
      <c r="H43050" s="83"/>
      <c r="K43050" s="82"/>
      <c r="M43050" s="112"/>
      <c r="N43050" s="84"/>
    </row>
    <row r="43051" spans="1:14" s="2" customFormat="1">
      <c r="A43051" s="83"/>
      <c r="H43051" s="83"/>
      <c r="K43051" s="82"/>
      <c r="M43051" s="112"/>
      <c r="N43051" s="84"/>
    </row>
    <row r="43052" spans="1:14" s="2" customFormat="1">
      <c r="A43052" s="83"/>
      <c r="H43052" s="83"/>
      <c r="K43052" s="82"/>
      <c r="M43052" s="112"/>
      <c r="N43052" s="84"/>
    </row>
    <row r="43053" spans="1:14" s="2" customFormat="1">
      <c r="A43053" s="83"/>
      <c r="H43053" s="83"/>
      <c r="K43053" s="82"/>
      <c r="M43053" s="112"/>
      <c r="N43053" s="84"/>
    </row>
    <row r="43054" spans="1:14" s="2" customFormat="1">
      <c r="A43054" s="83"/>
      <c r="H43054" s="83"/>
      <c r="K43054" s="82"/>
      <c r="M43054" s="112"/>
      <c r="N43054" s="84"/>
    </row>
    <row r="43055" spans="1:14" s="2" customFormat="1">
      <c r="A43055" s="83"/>
      <c r="H43055" s="83"/>
      <c r="K43055" s="82"/>
      <c r="M43055" s="112"/>
      <c r="N43055" s="84"/>
    </row>
    <row r="43056" spans="1:14" s="2" customFormat="1">
      <c r="A43056" s="83"/>
      <c r="H43056" s="83"/>
      <c r="K43056" s="82"/>
      <c r="M43056" s="112"/>
      <c r="N43056" s="84"/>
    </row>
    <row r="43057" spans="1:14" s="2" customFormat="1">
      <c r="A43057" s="83"/>
      <c r="H43057" s="83"/>
      <c r="K43057" s="82"/>
      <c r="M43057" s="112"/>
      <c r="N43057" s="84"/>
    </row>
    <row r="43058" spans="1:14" s="2" customFormat="1">
      <c r="A43058" s="83"/>
      <c r="H43058" s="83"/>
      <c r="K43058" s="82"/>
      <c r="M43058" s="112"/>
      <c r="N43058" s="84"/>
    </row>
    <row r="43059" spans="1:14" s="2" customFormat="1">
      <c r="A43059" s="83"/>
      <c r="H43059" s="83"/>
      <c r="K43059" s="82"/>
      <c r="M43059" s="112"/>
      <c r="N43059" s="84"/>
    </row>
    <row r="43060" spans="1:14" s="2" customFormat="1">
      <c r="A43060" s="83"/>
      <c r="H43060" s="83"/>
      <c r="K43060" s="82"/>
      <c r="M43060" s="112"/>
      <c r="N43060" s="84"/>
    </row>
    <row r="43061" spans="1:14" s="2" customFormat="1">
      <c r="A43061" s="83"/>
      <c r="H43061" s="83"/>
      <c r="K43061" s="82"/>
      <c r="M43061" s="112"/>
      <c r="N43061" s="84"/>
    </row>
    <row r="43062" spans="1:14" s="2" customFormat="1">
      <c r="A43062" s="83"/>
      <c r="H43062" s="83"/>
      <c r="K43062" s="82"/>
      <c r="M43062" s="112"/>
      <c r="N43062" s="84"/>
    </row>
    <row r="43063" spans="1:14" s="2" customFormat="1">
      <c r="A43063" s="83"/>
      <c r="H43063" s="83"/>
      <c r="K43063" s="82"/>
      <c r="M43063" s="112"/>
      <c r="N43063" s="84"/>
    </row>
    <row r="43064" spans="1:14" s="2" customFormat="1">
      <c r="A43064" s="83"/>
      <c r="H43064" s="83"/>
      <c r="K43064" s="82"/>
      <c r="M43064" s="112"/>
      <c r="N43064" s="84"/>
    </row>
    <row r="43065" spans="1:14" s="2" customFormat="1">
      <c r="A43065" s="83"/>
      <c r="H43065" s="83"/>
      <c r="K43065" s="82"/>
      <c r="M43065" s="112"/>
      <c r="N43065" s="84"/>
    </row>
    <row r="43066" spans="1:14" s="2" customFormat="1">
      <c r="A43066" s="83"/>
      <c r="H43066" s="83"/>
      <c r="K43066" s="82"/>
      <c r="M43066" s="112"/>
      <c r="N43066" s="84"/>
    </row>
    <row r="43067" spans="1:14" s="2" customFormat="1">
      <c r="A43067" s="83"/>
      <c r="H43067" s="83"/>
      <c r="K43067" s="82"/>
      <c r="M43067" s="112"/>
      <c r="N43067" s="84"/>
    </row>
    <row r="43068" spans="1:14" s="2" customFormat="1">
      <c r="A43068" s="83"/>
      <c r="H43068" s="83"/>
      <c r="K43068" s="82"/>
      <c r="M43068" s="112"/>
      <c r="N43068" s="84"/>
    </row>
    <row r="43069" spans="1:14" s="2" customFormat="1">
      <c r="A43069" s="83"/>
      <c r="H43069" s="83"/>
      <c r="K43069" s="82"/>
      <c r="M43069" s="112"/>
      <c r="N43069" s="84"/>
    </row>
    <row r="43070" spans="1:14" s="2" customFormat="1">
      <c r="A43070" s="83"/>
      <c r="H43070" s="83"/>
      <c r="K43070" s="82"/>
      <c r="M43070" s="112"/>
      <c r="N43070" s="84"/>
    </row>
    <row r="43071" spans="1:14" s="2" customFormat="1">
      <c r="A43071" s="83"/>
      <c r="H43071" s="83"/>
      <c r="K43071" s="82"/>
      <c r="M43071" s="112"/>
      <c r="N43071" s="84"/>
    </row>
    <row r="43072" spans="1:14" s="2" customFormat="1">
      <c r="A43072" s="83"/>
      <c r="H43072" s="83"/>
      <c r="K43072" s="82"/>
      <c r="M43072" s="112"/>
      <c r="N43072" s="84"/>
    </row>
    <row r="43073" spans="1:14" s="2" customFormat="1">
      <c r="A43073" s="83"/>
      <c r="H43073" s="83"/>
      <c r="K43073" s="82"/>
      <c r="M43073" s="112"/>
      <c r="N43073" s="84"/>
    </row>
    <row r="43074" spans="1:14" s="2" customFormat="1">
      <c r="A43074" s="83"/>
      <c r="H43074" s="83"/>
      <c r="K43074" s="82"/>
      <c r="M43074" s="112"/>
      <c r="N43074" s="84"/>
    </row>
    <row r="43075" spans="1:14" s="2" customFormat="1">
      <c r="A43075" s="83"/>
      <c r="H43075" s="83"/>
      <c r="K43075" s="82"/>
      <c r="M43075" s="112"/>
      <c r="N43075" s="84"/>
    </row>
    <row r="43076" spans="1:14" s="2" customFormat="1">
      <c r="A43076" s="83"/>
      <c r="H43076" s="83"/>
      <c r="K43076" s="82"/>
      <c r="M43076" s="112"/>
      <c r="N43076" s="84"/>
    </row>
    <row r="43077" spans="1:14" s="2" customFormat="1">
      <c r="A43077" s="83"/>
      <c r="H43077" s="83"/>
      <c r="K43077" s="82"/>
      <c r="M43077" s="112"/>
      <c r="N43077" s="84"/>
    </row>
    <row r="43078" spans="1:14" s="2" customFormat="1">
      <c r="A43078" s="83"/>
      <c r="H43078" s="83"/>
      <c r="K43078" s="82"/>
      <c r="M43078" s="112"/>
      <c r="N43078" s="84"/>
    </row>
    <row r="43079" spans="1:14" s="2" customFormat="1">
      <c r="A43079" s="83"/>
      <c r="H43079" s="83"/>
      <c r="K43079" s="82"/>
      <c r="M43079" s="112"/>
      <c r="N43079" s="84"/>
    </row>
    <row r="43080" spans="1:14" s="2" customFormat="1">
      <c r="A43080" s="83"/>
      <c r="H43080" s="83"/>
      <c r="K43080" s="82"/>
      <c r="M43080" s="112"/>
      <c r="N43080" s="84"/>
    </row>
    <row r="43081" spans="1:14" s="2" customFormat="1">
      <c r="A43081" s="83"/>
      <c r="H43081" s="83"/>
      <c r="K43081" s="82"/>
      <c r="M43081" s="112"/>
      <c r="N43081" s="84"/>
    </row>
    <row r="43082" spans="1:14" s="2" customFormat="1">
      <c r="A43082" s="83"/>
      <c r="H43082" s="83"/>
      <c r="K43082" s="82"/>
      <c r="M43082" s="112"/>
      <c r="N43082" s="84"/>
    </row>
    <row r="43083" spans="1:14" s="2" customFormat="1">
      <c r="A43083" s="83"/>
      <c r="H43083" s="83"/>
      <c r="K43083" s="82"/>
      <c r="M43083" s="112"/>
      <c r="N43083" s="84"/>
    </row>
    <row r="43084" spans="1:14" s="2" customFormat="1">
      <c r="A43084" s="83"/>
      <c r="H43084" s="83"/>
      <c r="K43084" s="82"/>
      <c r="M43084" s="112"/>
      <c r="N43084" s="84"/>
    </row>
    <row r="43085" spans="1:14" s="2" customFormat="1">
      <c r="A43085" s="83"/>
      <c r="H43085" s="83"/>
      <c r="K43085" s="82"/>
      <c r="M43085" s="112"/>
      <c r="N43085" s="84"/>
    </row>
    <row r="43086" spans="1:14" s="2" customFormat="1">
      <c r="A43086" s="83"/>
      <c r="H43086" s="83"/>
      <c r="K43086" s="82"/>
      <c r="M43086" s="112"/>
      <c r="N43086" s="84"/>
    </row>
    <row r="43087" spans="1:14" s="2" customFormat="1">
      <c r="A43087" s="83"/>
      <c r="H43087" s="83"/>
      <c r="K43087" s="82"/>
      <c r="M43087" s="112"/>
      <c r="N43087" s="84"/>
    </row>
    <row r="43088" spans="1:14" s="2" customFormat="1">
      <c r="A43088" s="83"/>
      <c r="H43088" s="83"/>
      <c r="K43088" s="82"/>
      <c r="M43088" s="112"/>
      <c r="N43088" s="84"/>
    </row>
    <row r="43089" spans="1:14" s="2" customFormat="1">
      <c r="A43089" s="83"/>
      <c r="H43089" s="83"/>
      <c r="K43089" s="82"/>
      <c r="M43089" s="112"/>
      <c r="N43089" s="84"/>
    </row>
    <row r="43090" spans="1:14" s="2" customFormat="1">
      <c r="A43090" s="83"/>
      <c r="H43090" s="83"/>
      <c r="K43090" s="82"/>
      <c r="M43090" s="112"/>
      <c r="N43090" s="84"/>
    </row>
    <row r="43091" spans="1:14" s="2" customFormat="1">
      <c r="A43091" s="83"/>
      <c r="H43091" s="83"/>
      <c r="K43091" s="82"/>
      <c r="M43091" s="112"/>
      <c r="N43091" s="84"/>
    </row>
    <row r="43092" spans="1:14" s="2" customFormat="1">
      <c r="A43092" s="83"/>
      <c r="H43092" s="83"/>
      <c r="K43092" s="82"/>
      <c r="M43092" s="112"/>
      <c r="N43092" s="84"/>
    </row>
    <row r="43093" spans="1:14" s="2" customFormat="1">
      <c r="A43093" s="83"/>
      <c r="H43093" s="83"/>
      <c r="K43093" s="82"/>
      <c r="M43093" s="112"/>
      <c r="N43093" s="84"/>
    </row>
    <row r="43094" spans="1:14" s="2" customFormat="1">
      <c r="A43094" s="83"/>
      <c r="H43094" s="83"/>
      <c r="K43094" s="82"/>
      <c r="M43094" s="112"/>
      <c r="N43094" s="84"/>
    </row>
    <row r="43095" spans="1:14" s="2" customFormat="1">
      <c r="A43095" s="83"/>
      <c r="H43095" s="83"/>
      <c r="K43095" s="82"/>
      <c r="M43095" s="112"/>
      <c r="N43095" s="84"/>
    </row>
    <row r="43096" spans="1:14" s="2" customFormat="1">
      <c r="A43096" s="83"/>
      <c r="H43096" s="83"/>
      <c r="K43096" s="82"/>
      <c r="M43096" s="112"/>
      <c r="N43096" s="84"/>
    </row>
    <row r="43097" spans="1:14" s="2" customFormat="1">
      <c r="A43097" s="83"/>
      <c r="H43097" s="83"/>
      <c r="K43097" s="82"/>
      <c r="M43097" s="112"/>
      <c r="N43097" s="84"/>
    </row>
    <row r="43098" spans="1:14" s="2" customFormat="1">
      <c r="A43098" s="83"/>
      <c r="H43098" s="83"/>
      <c r="K43098" s="82"/>
      <c r="M43098" s="112"/>
      <c r="N43098" s="84"/>
    </row>
    <row r="43099" spans="1:14" s="2" customFormat="1">
      <c r="A43099" s="83"/>
      <c r="H43099" s="83"/>
      <c r="K43099" s="82"/>
      <c r="M43099" s="112"/>
      <c r="N43099" s="84"/>
    </row>
    <row r="43100" spans="1:14" s="2" customFormat="1">
      <c r="A43100" s="83"/>
      <c r="H43100" s="83"/>
      <c r="K43100" s="82"/>
      <c r="M43100" s="112"/>
      <c r="N43100" s="84"/>
    </row>
    <row r="43101" spans="1:14" s="2" customFormat="1">
      <c r="A43101" s="83"/>
      <c r="H43101" s="83"/>
      <c r="K43101" s="82"/>
      <c r="M43101" s="112"/>
      <c r="N43101" s="84"/>
    </row>
    <row r="43102" spans="1:14" s="2" customFormat="1">
      <c r="A43102" s="83"/>
      <c r="H43102" s="83"/>
      <c r="K43102" s="82"/>
      <c r="M43102" s="112"/>
      <c r="N43102" s="84"/>
    </row>
    <row r="43103" spans="1:14" s="2" customFormat="1">
      <c r="A43103" s="83"/>
      <c r="H43103" s="83"/>
      <c r="K43103" s="82"/>
      <c r="M43103" s="112"/>
      <c r="N43103" s="84"/>
    </row>
    <row r="43104" spans="1:14" s="2" customFormat="1">
      <c r="A43104" s="83"/>
      <c r="H43104" s="83"/>
      <c r="K43104" s="82"/>
      <c r="M43104" s="112"/>
      <c r="N43104" s="84"/>
    </row>
    <row r="43105" spans="1:14" s="2" customFormat="1">
      <c r="A43105" s="83"/>
      <c r="H43105" s="83"/>
      <c r="K43105" s="82"/>
      <c r="M43105" s="112"/>
      <c r="N43105" s="84"/>
    </row>
    <row r="43106" spans="1:14" s="2" customFormat="1">
      <c r="A43106" s="83"/>
      <c r="H43106" s="83"/>
      <c r="K43106" s="82"/>
      <c r="M43106" s="112"/>
      <c r="N43106" s="84"/>
    </row>
    <row r="43107" spans="1:14" s="2" customFormat="1">
      <c r="A43107" s="83"/>
      <c r="H43107" s="83"/>
      <c r="K43107" s="82"/>
      <c r="M43107" s="112"/>
      <c r="N43107" s="84"/>
    </row>
    <row r="43108" spans="1:14" s="2" customFormat="1">
      <c r="A43108" s="83"/>
      <c r="H43108" s="83"/>
      <c r="K43108" s="82"/>
      <c r="M43108" s="112"/>
      <c r="N43108" s="84"/>
    </row>
    <row r="43109" spans="1:14" s="2" customFormat="1">
      <c r="A43109" s="83"/>
      <c r="H43109" s="83"/>
      <c r="K43109" s="82"/>
      <c r="M43109" s="112"/>
      <c r="N43109" s="84"/>
    </row>
    <row r="43110" spans="1:14" s="2" customFormat="1">
      <c r="A43110" s="83"/>
      <c r="H43110" s="83"/>
      <c r="K43110" s="82"/>
      <c r="M43110" s="112"/>
      <c r="N43110" s="84"/>
    </row>
    <row r="43111" spans="1:14" s="2" customFormat="1">
      <c r="A43111" s="83"/>
      <c r="H43111" s="83"/>
      <c r="K43111" s="82"/>
      <c r="M43111" s="112"/>
      <c r="N43111" s="84"/>
    </row>
    <row r="43112" spans="1:14" s="2" customFormat="1">
      <c r="A43112" s="83"/>
      <c r="H43112" s="83"/>
      <c r="K43112" s="82"/>
      <c r="M43112" s="112"/>
      <c r="N43112" s="84"/>
    </row>
    <row r="43113" spans="1:14" s="2" customFormat="1">
      <c r="A43113" s="83"/>
      <c r="H43113" s="83"/>
      <c r="K43113" s="82"/>
      <c r="M43113" s="112"/>
      <c r="N43113" s="84"/>
    </row>
    <row r="43114" spans="1:14" s="2" customFormat="1">
      <c r="A43114" s="83"/>
      <c r="H43114" s="83"/>
      <c r="K43114" s="82"/>
      <c r="M43114" s="112"/>
      <c r="N43114" s="84"/>
    </row>
    <row r="43115" spans="1:14" s="2" customFormat="1">
      <c r="A43115" s="83"/>
      <c r="H43115" s="83"/>
      <c r="K43115" s="82"/>
      <c r="M43115" s="112"/>
      <c r="N43115" s="84"/>
    </row>
    <row r="43116" spans="1:14" s="2" customFormat="1">
      <c r="A43116" s="83"/>
      <c r="H43116" s="83"/>
      <c r="K43116" s="82"/>
      <c r="M43116" s="112"/>
      <c r="N43116" s="84"/>
    </row>
    <row r="43117" spans="1:14" s="2" customFormat="1">
      <c r="A43117" s="83"/>
      <c r="H43117" s="83"/>
      <c r="K43117" s="82"/>
      <c r="M43117" s="112"/>
      <c r="N43117" s="84"/>
    </row>
    <row r="43118" spans="1:14" s="2" customFormat="1">
      <c r="A43118" s="83"/>
      <c r="H43118" s="83"/>
      <c r="K43118" s="82"/>
      <c r="M43118" s="112"/>
      <c r="N43118" s="84"/>
    </row>
    <row r="43119" spans="1:14" s="2" customFormat="1">
      <c r="A43119" s="83"/>
      <c r="H43119" s="83"/>
      <c r="K43119" s="82"/>
      <c r="M43119" s="112"/>
      <c r="N43119" s="84"/>
    </row>
    <row r="43120" spans="1:14" s="2" customFormat="1">
      <c r="A43120" s="83"/>
      <c r="H43120" s="83"/>
      <c r="K43120" s="82"/>
      <c r="M43120" s="112"/>
      <c r="N43120" s="84"/>
    </row>
    <row r="43121" spans="1:14" s="2" customFormat="1">
      <c r="A43121" s="83"/>
      <c r="H43121" s="83"/>
      <c r="K43121" s="82"/>
      <c r="M43121" s="112"/>
      <c r="N43121" s="84"/>
    </row>
    <row r="43122" spans="1:14" s="2" customFormat="1">
      <c r="A43122" s="83"/>
      <c r="H43122" s="83"/>
      <c r="K43122" s="82"/>
      <c r="M43122" s="112"/>
      <c r="N43122" s="84"/>
    </row>
    <row r="43123" spans="1:14" s="2" customFormat="1">
      <c r="A43123" s="83"/>
      <c r="H43123" s="83"/>
      <c r="K43123" s="82"/>
      <c r="M43123" s="112"/>
      <c r="N43123" s="84"/>
    </row>
    <row r="43124" spans="1:14" s="2" customFormat="1">
      <c r="A43124" s="83"/>
      <c r="H43124" s="83"/>
      <c r="K43124" s="82"/>
      <c r="M43124" s="112"/>
      <c r="N43124" s="84"/>
    </row>
    <row r="43125" spans="1:14" s="2" customFormat="1">
      <c r="A43125" s="83"/>
      <c r="H43125" s="83"/>
      <c r="K43125" s="82"/>
      <c r="M43125" s="112"/>
      <c r="N43125" s="84"/>
    </row>
    <row r="43126" spans="1:14" s="2" customFormat="1">
      <c r="A43126" s="83"/>
      <c r="H43126" s="83"/>
      <c r="K43126" s="82"/>
      <c r="M43126" s="112"/>
      <c r="N43126" s="84"/>
    </row>
    <row r="43127" spans="1:14" s="2" customFormat="1">
      <c r="A43127" s="83"/>
      <c r="H43127" s="83"/>
      <c r="K43127" s="82"/>
      <c r="M43127" s="112"/>
      <c r="N43127" s="84"/>
    </row>
    <row r="43128" spans="1:14" s="2" customFormat="1">
      <c r="A43128" s="83"/>
      <c r="H43128" s="83"/>
      <c r="K43128" s="82"/>
      <c r="M43128" s="112"/>
      <c r="N43128" s="84"/>
    </row>
    <row r="43129" spans="1:14" s="2" customFormat="1">
      <c r="A43129" s="83"/>
      <c r="H43129" s="83"/>
      <c r="K43129" s="82"/>
      <c r="M43129" s="112"/>
      <c r="N43129" s="84"/>
    </row>
    <row r="43130" spans="1:14" s="2" customFormat="1">
      <c r="A43130" s="83"/>
      <c r="H43130" s="83"/>
      <c r="K43130" s="82"/>
      <c r="M43130" s="112"/>
      <c r="N43130" s="84"/>
    </row>
    <row r="43131" spans="1:14" s="2" customFormat="1">
      <c r="A43131" s="83"/>
      <c r="H43131" s="83"/>
      <c r="K43131" s="82"/>
      <c r="M43131" s="112"/>
      <c r="N43131" s="84"/>
    </row>
    <row r="43132" spans="1:14" s="2" customFormat="1">
      <c r="A43132" s="83"/>
      <c r="H43132" s="83"/>
      <c r="K43132" s="82"/>
      <c r="M43132" s="112"/>
      <c r="N43132" s="84"/>
    </row>
    <row r="43133" spans="1:14" s="2" customFormat="1">
      <c r="A43133" s="83"/>
      <c r="H43133" s="83"/>
      <c r="K43133" s="82"/>
      <c r="M43133" s="112"/>
      <c r="N43133" s="84"/>
    </row>
    <row r="43134" spans="1:14" s="2" customFormat="1">
      <c r="A43134" s="83"/>
      <c r="H43134" s="83"/>
      <c r="K43134" s="82"/>
      <c r="M43134" s="112"/>
      <c r="N43134" s="84"/>
    </row>
    <row r="43135" spans="1:14" s="2" customFormat="1">
      <c r="A43135" s="83"/>
      <c r="H43135" s="83"/>
      <c r="K43135" s="82"/>
      <c r="M43135" s="112"/>
      <c r="N43135" s="84"/>
    </row>
    <row r="43136" spans="1:14" s="2" customFormat="1">
      <c r="A43136" s="83"/>
      <c r="H43136" s="83"/>
      <c r="K43136" s="82"/>
      <c r="M43136" s="112"/>
      <c r="N43136" s="84"/>
    </row>
    <row r="43137" spans="1:14" s="2" customFormat="1">
      <c r="A43137" s="83"/>
      <c r="H43137" s="83"/>
      <c r="K43137" s="82"/>
      <c r="M43137" s="112"/>
      <c r="N43137" s="84"/>
    </row>
    <row r="43138" spans="1:14" s="2" customFormat="1">
      <c r="A43138" s="83"/>
      <c r="H43138" s="83"/>
      <c r="K43138" s="82"/>
      <c r="M43138" s="112"/>
      <c r="N43138" s="84"/>
    </row>
    <row r="43139" spans="1:14" s="2" customFormat="1">
      <c r="A43139" s="83"/>
      <c r="H43139" s="83"/>
      <c r="K43139" s="82"/>
      <c r="M43139" s="112"/>
      <c r="N43139" s="84"/>
    </row>
    <row r="43140" spans="1:14" s="2" customFormat="1">
      <c r="A43140" s="83"/>
      <c r="H43140" s="83"/>
      <c r="K43140" s="82"/>
      <c r="M43140" s="112"/>
      <c r="N43140" s="84"/>
    </row>
    <row r="43141" spans="1:14" s="2" customFormat="1">
      <c r="A43141" s="83"/>
      <c r="H43141" s="83"/>
      <c r="K43141" s="82"/>
      <c r="M43141" s="112"/>
      <c r="N43141" s="84"/>
    </row>
    <row r="43142" spans="1:14" s="2" customFormat="1">
      <c r="A43142" s="83"/>
      <c r="H43142" s="83"/>
      <c r="K43142" s="82"/>
      <c r="M43142" s="112"/>
      <c r="N43142" s="84"/>
    </row>
    <row r="43143" spans="1:14" s="2" customFormat="1">
      <c r="A43143" s="83"/>
      <c r="H43143" s="83"/>
      <c r="K43143" s="82"/>
      <c r="M43143" s="112"/>
      <c r="N43143" s="84"/>
    </row>
    <row r="43144" spans="1:14" s="2" customFormat="1">
      <c r="A43144" s="83"/>
      <c r="H43144" s="83"/>
      <c r="K43144" s="82"/>
      <c r="M43144" s="112"/>
      <c r="N43144" s="84"/>
    </row>
    <row r="43145" spans="1:14" s="2" customFormat="1">
      <c r="A43145" s="83"/>
      <c r="H43145" s="83"/>
      <c r="K43145" s="82"/>
      <c r="M43145" s="112"/>
      <c r="N43145" s="84"/>
    </row>
    <row r="43146" spans="1:14" s="2" customFormat="1">
      <c r="A43146" s="83"/>
      <c r="H43146" s="83"/>
      <c r="K43146" s="82"/>
      <c r="M43146" s="112"/>
      <c r="N43146" s="84"/>
    </row>
    <row r="43147" spans="1:14" s="2" customFormat="1">
      <c r="A43147" s="83"/>
      <c r="H43147" s="83"/>
      <c r="K43147" s="82"/>
      <c r="M43147" s="112"/>
      <c r="N43147" s="84"/>
    </row>
    <row r="43148" spans="1:14" s="2" customFormat="1">
      <c r="A43148" s="83"/>
      <c r="H43148" s="83"/>
      <c r="K43148" s="82"/>
      <c r="M43148" s="112"/>
      <c r="N43148" s="84"/>
    </row>
    <row r="43149" spans="1:14" s="2" customFormat="1">
      <c r="A43149" s="83"/>
      <c r="H43149" s="83"/>
      <c r="K43149" s="82"/>
      <c r="M43149" s="112"/>
      <c r="N43149" s="84"/>
    </row>
    <row r="43150" spans="1:14" s="2" customFormat="1">
      <c r="A43150" s="83"/>
      <c r="H43150" s="83"/>
      <c r="K43150" s="82"/>
      <c r="M43150" s="112"/>
      <c r="N43150" s="84"/>
    </row>
    <row r="43151" spans="1:14" s="2" customFormat="1">
      <c r="A43151" s="83"/>
      <c r="H43151" s="83"/>
      <c r="K43151" s="82"/>
      <c r="M43151" s="112"/>
      <c r="N43151" s="84"/>
    </row>
    <row r="43152" spans="1:14" s="2" customFormat="1">
      <c r="A43152" s="83"/>
      <c r="H43152" s="83"/>
      <c r="K43152" s="82"/>
      <c r="M43152" s="112"/>
      <c r="N43152" s="84"/>
    </row>
    <row r="43153" spans="1:14" s="2" customFormat="1">
      <c r="A43153" s="83"/>
      <c r="H43153" s="83"/>
      <c r="K43153" s="82"/>
      <c r="M43153" s="112"/>
      <c r="N43153" s="84"/>
    </row>
    <row r="43154" spans="1:14" s="2" customFormat="1">
      <c r="A43154" s="83"/>
      <c r="H43154" s="83"/>
      <c r="K43154" s="82"/>
      <c r="M43154" s="112"/>
      <c r="N43154" s="84"/>
    </row>
    <row r="43155" spans="1:14" s="2" customFormat="1">
      <c r="A43155" s="83"/>
      <c r="H43155" s="83"/>
      <c r="K43155" s="82"/>
      <c r="M43155" s="112"/>
      <c r="N43155" s="84"/>
    </row>
    <row r="43156" spans="1:14" s="2" customFormat="1">
      <c r="A43156" s="83"/>
      <c r="H43156" s="83"/>
      <c r="K43156" s="82"/>
      <c r="M43156" s="112"/>
      <c r="N43156" s="84"/>
    </row>
    <row r="43157" spans="1:14" s="2" customFormat="1">
      <c r="A43157" s="83"/>
      <c r="H43157" s="83"/>
      <c r="K43157" s="82"/>
      <c r="M43157" s="112"/>
      <c r="N43157" s="84"/>
    </row>
    <row r="43158" spans="1:14" s="2" customFormat="1">
      <c r="A43158" s="83"/>
      <c r="H43158" s="83"/>
      <c r="K43158" s="82"/>
      <c r="M43158" s="112"/>
      <c r="N43158" s="84"/>
    </row>
    <row r="43159" spans="1:14" s="2" customFormat="1">
      <c r="A43159" s="83"/>
      <c r="H43159" s="83"/>
      <c r="K43159" s="82"/>
      <c r="M43159" s="112"/>
      <c r="N43159" s="84"/>
    </row>
    <row r="43160" spans="1:14" s="2" customFormat="1">
      <c r="A43160" s="83"/>
      <c r="H43160" s="83"/>
      <c r="K43160" s="82"/>
      <c r="M43160" s="112"/>
      <c r="N43160" s="84"/>
    </row>
    <row r="43161" spans="1:14" s="2" customFormat="1">
      <c r="A43161" s="83"/>
      <c r="H43161" s="83"/>
      <c r="K43161" s="82"/>
      <c r="M43161" s="112"/>
      <c r="N43161" s="84"/>
    </row>
    <row r="43162" spans="1:14" s="2" customFormat="1">
      <c r="A43162" s="83"/>
      <c r="H43162" s="83"/>
      <c r="K43162" s="82"/>
      <c r="M43162" s="112"/>
      <c r="N43162" s="84"/>
    </row>
    <row r="43163" spans="1:14" s="2" customFormat="1">
      <c r="A43163" s="83"/>
      <c r="H43163" s="83"/>
      <c r="K43163" s="82"/>
      <c r="M43163" s="112"/>
      <c r="N43163" s="84"/>
    </row>
    <row r="43164" spans="1:14" s="2" customFormat="1">
      <c r="A43164" s="83"/>
      <c r="H43164" s="83"/>
      <c r="K43164" s="82"/>
      <c r="M43164" s="112"/>
      <c r="N43164" s="84"/>
    </row>
    <row r="43165" spans="1:14" s="2" customFormat="1">
      <c r="A43165" s="83"/>
      <c r="H43165" s="83"/>
      <c r="K43165" s="82"/>
      <c r="M43165" s="112"/>
      <c r="N43165" s="84"/>
    </row>
    <row r="43166" spans="1:14" s="2" customFormat="1">
      <c r="A43166" s="83"/>
      <c r="H43166" s="83"/>
      <c r="K43166" s="82"/>
      <c r="M43166" s="112"/>
      <c r="N43166" s="84"/>
    </row>
    <row r="43167" spans="1:14" s="2" customFormat="1">
      <c r="A43167" s="83"/>
      <c r="H43167" s="83"/>
      <c r="K43167" s="82"/>
      <c r="M43167" s="112"/>
      <c r="N43167" s="84"/>
    </row>
    <row r="43168" spans="1:14" s="2" customFormat="1">
      <c r="A43168" s="83"/>
      <c r="H43168" s="83"/>
      <c r="K43168" s="82"/>
      <c r="M43168" s="112"/>
      <c r="N43168" s="84"/>
    </row>
    <row r="43169" spans="1:14" s="2" customFormat="1">
      <c r="A43169" s="83"/>
      <c r="H43169" s="83"/>
      <c r="K43169" s="82"/>
      <c r="M43169" s="112"/>
      <c r="N43169" s="84"/>
    </row>
    <row r="43170" spans="1:14" s="2" customFormat="1">
      <c r="A43170" s="83"/>
      <c r="H43170" s="83"/>
      <c r="K43170" s="82"/>
      <c r="M43170" s="112"/>
      <c r="N43170" s="84"/>
    </row>
    <row r="43171" spans="1:14" s="2" customFormat="1">
      <c r="A43171" s="83"/>
      <c r="H43171" s="83"/>
      <c r="K43171" s="82"/>
      <c r="M43171" s="112"/>
      <c r="N43171" s="84"/>
    </row>
    <row r="43172" spans="1:14" s="2" customFormat="1">
      <c r="A43172" s="83"/>
      <c r="H43172" s="83"/>
      <c r="K43172" s="82"/>
      <c r="M43172" s="112"/>
      <c r="N43172" s="84"/>
    </row>
    <row r="43173" spans="1:14" s="2" customFormat="1">
      <c r="A43173" s="83"/>
      <c r="H43173" s="83"/>
      <c r="K43173" s="82"/>
      <c r="M43173" s="112"/>
      <c r="N43173" s="84"/>
    </row>
    <row r="43174" spans="1:14" s="2" customFormat="1">
      <c r="A43174" s="83"/>
      <c r="H43174" s="83"/>
      <c r="K43174" s="82"/>
      <c r="M43174" s="112"/>
      <c r="N43174" s="84"/>
    </row>
    <row r="43175" spans="1:14" s="2" customFormat="1">
      <c r="A43175" s="83"/>
      <c r="H43175" s="83"/>
      <c r="K43175" s="82"/>
      <c r="M43175" s="112"/>
      <c r="N43175" s="84"/>
    </row>
    <row r="43176" spans="1:14" s="2" customFormat="1">
      <c r="A43176" s="83"/>
      <c r="H43176" s="83"/>
      <c r="K43176" s="82"/>
      <c r="M43176" s="112"/>
      <c r="N43176" s="84"/>
    </row>
    <row r="43177" spans="1:14" s="2" customFormat="1">
      <c r="A43177" s="83"/>
      <c r="H43177" s="83"/>
      <c r="K43177" s="82"/>
      <c r="M43177" s="112"/>
      <c r="N43177" s="84"/>
    </row>
    <row r="43178" spans="1:14" s="2" customFormat="1">
      <c r="A43178" s="83"/>
      <c r="H43178" s="83"/>
      <c r="K43178" s="82"/>
      <c r="M43178" s="112"/>
      <c r="N43178" s="84"/>
    </row>
    <row r="43179" spans="1:14" s="2" customFormat="1">
      <c r="A43179" s="83"/>
      <c r="H43179" s="83"/>
      <c r="K43179" s="82"/>
      <c r="M43179" s="112"/>
      <c r="N43179" s="84"/>
    </row>
    <row r="43180" spans="1:14" s="2" customFormat="1">
      <c r="A43180" s="83"/>
      <c r="H43180" s="83"/>
      <c r="K43180" s="82"/>
      <c r="M43180" s="112"/>
      <c r="N43180" s="84"/>
    </row>
    <row r="43181" spans="1:14" s="2" customFormat="1">
      <c r="A43181" s="83"/>
      <c r="H43181" s="83"/>
      <c r="K43181" s="82"/>
      <c r="M43181" s="112"/>
      <c r="N43181" s="84"/>
    </row>
    <row r="43182" spans="1:14" s="2" customFormat="1">
      <c r="A43182" s="83"/>
      <c r="H43182" s="83"/>
      <c r="K43182" s="82"/>
      <c r="M43182" s="112"/>
      <c r="N43182" s="84"/>
    </row>
    <row r="43183" spans="1:14" s="2" customFormat="1">
      <c r="A43183" s="83"/>
      <c r="H43183" s="83"/>
      <c r="K43183" s="82"/>
      <c r="M43183" s="112"/>
      <c r="N43183" s="84"/>
    </row>
    <row r="43184" spans="1:14" s="2" customFormat="1">
      <c r="A43184" s="83"/>
      <c r="H43184" s="83"/>
      <c r="K43184" s="82"/>
      <c r="M43184" s="112"/>
      <c r="N43184" s="84"/>
    </row>
    <row r="43185" spans="1:14" s="2" customFormat="1">
      <c r="A43185" s="83"/>
      <c r="H43185" s="83"/>
      <c r="K43185" s="82"/>
      <c r="M43185" s="112"/>
      <c r="N43185" s="84"/>
    </row>
    <row r="43186" spans="1:14" s="2" customFormat="1">
      <c r="A43186" s="83"/>
      <c r="H43186" s="83"/>
      <c r="K43186" s="82"/>
      <c r="M43186" s="112"/>
      <c r="N43186" s="84"/>
    </row>
    <row r="43187" spans="1:14" s="2" customFormat="1">
      <c r="A43187" s="83"/>
      <c r="H43187" s="83"/>
      <c r="K43187" s="82"/>
      <c r="M43187" s="112"/>
      <c r="N43187" s="84"/>
    </row>
    <row r="43188" spans="1:14" s="2" customFormat="1">
      <c r="A43188" s="83"/>
      <c r="H43188" s="83"/>
      <c r="K43188" s="82"/>
      <c r="M43188" s="112"/>
      <c r="N43188" s="84"/>
    </row>
    <row r="43189" spans="1:14" s="2" customFormat="1">
      <c r="A43189" s="83"/>
      <c r="H43189" s="83"/>
      <c r="K43189" s="82"/>
      <c r="M43189" s="112"/>
      <c r="N43189" s="84"/>
    </row>
    <row r="43190" spans="1:14" s="2" customFormat="1">
      <c r="A43190" s="83"/>
      <c r="H43190" s="83"/>
      <c r="K43190" s="82"/>
      <c r="M43190" s="112"/>
      <c r="N43190" s="84"/>
    </row>
    <row r="43191" spans="1:14" s="2" customFormat="1">
      <c r="A43191" s="83"/>
      <c r="H43191" s="83"/>
      <c r="K43191" s="82"/>
      <c r="M43191" s="112"/>
      <c r="N43191" s="84"/>
    </row>
    <row r="43192" spans="1:14" s="2" customFormat="1">
      <c r="A43192" s="83"/>
      <c r="H43192" s="83"/>
      <c r="K43192" s="82"/>
      <c r="M43192" s="112"/>
      <c r="N43192" s="84"/>
    </row>
    <row r="43193" spans="1:14" s="2" customFormat="1">
      <c r="A43193" s="83"/>
      <c r="H43193" s="83"/>
      <c r="K43193" s="82"/>
      <c r="M43193" s="112"/>
      <c r="N43193" s="84"/>
    </row>
    <row r="43194" spans="1:14" s="2" customFormat="1">
      <c r="A43194" s="83"/>
      <c r="H43194" s="83"/>
      <c r="K43194" s="82"/>
      <c r="M43194" s="112"/>
      <c r="N43194" s="84"/>
    </row>
    <row r="43195" spans="1:14" s="2" customFormat="1">
      <c r="A43195" s="83"/>
      <c r="H43195" s="83"/>
      <c r="K43195" s="82"/>
      <c r="M43195" s="112"/>
      <c r="N43195" s="84"/>
    </row>
    <row r="43196" spans="1:14" s="2" customFormat="1">
      <c r="A43196" s="83"/>
      <c r="H43196" s="83"/>
      <c r="K43196" s="82"/>
      <c r="M43196" s="112"/>
      <c r="N43196" s="84"/>
    </row>
    <row r="43197" spans="1:14" s="2" customFormat="1">
      <c r="A43197" s="83"/>
      <c r="H43197" s="83"/>
      <c r="K43197" s="82"/>
      <c r="M43197" s="112"/>
      <c r="N43197" s="84"/>
    </row>
    <row r="43198" spans="1:14" s="2" customFormat="1">
      <c r="A43198" s="83"/>
      <c r="H43198" s="83"/>
      <c r="K43198" s="82"/>
      <c r="M43198" s="112"/>
      <c r="N43198" s="84"/>
    </row>
    <row r="43199" spans="1:14" s="2" customFormat="1">
      <c r="A43199" s="83"/>
      <c r="H43199" s="83"/>
      <c r="K43199" s="82"/>
      <c r="M43199" s="112"/>
      <c r="N43199" s="84"/>
    </row>
    <row r="43200" spans="1:14" s="2" customFormat="1">
      <c r="A43200" s="83"/>
      <c r="H43200" s="83"/>
      <c r="K43200" s="82"/>
      <c r="M43200" s="112"/>
      <c r="N43200" s="84"/>
    </row>
    <row r="43201" spans="1:14" s="2" customFormat="1">
      <c r="A43201" s="83"/>
      <c r="H43201" s="83"/>
      <c r="K43201" s="82"/>
      <c r="M43201" s="112"/>
      <c r="N43201" s="84"/>
    </row>
    <row r="43202" spans="1:14" s="2" customFormat="1">
      <c r="A43202" s="83"/>
      <c r="H43202" s="83"/>
      <c r="K43202" s="82"/>
      <c r="M43202" s="112"/>
      <c r="N43202" s="84"/>
    </row>
    <row r="43203" spans="1:14" s="2" customFormat="1">
      <c r="A43203" s="83"/>
      <c r="H43203" s="83"/>
      <c r="K43203" s="82"/>
      <c r="M43203" s="112"/>
      <c r="N43203" s="84"/>
    </row>
    <row r="43204" spans="1:14" s="2" customFormat="1">
      <c r="A43204" s="83"/>
      <c r="H43204" s="83"/>
      <c r="K43204" s="82"/>
      <c r="M43204" s="112"/>
      <c r="N43204" s="84"/>
    </row>
    <row r="43205" spans="1:14" s="2" customFormat="1">
      <c r="A43205" s="83"/>
      <c r="H43205" s="83"/>
      <c r="K43205" s="82"/>
      <c r="M43205" s="112"/>
      <c r="N43205" s="84"/>
    </row>
    <row r="43206" spans="1:14" s="2" customFormat="1">
      <c r="A43206" s="83"/>
      <c r="H43206" s="83"/>
      <c r="K43206" s="82"/>
      <c r="M43206" s="112"/>
      <c r="N43206" s="84"/>
    </row>
    <row r="43207" spans="1:14" s="2" customFormat="1">
      <c r="A43207" s="83"/>
      <c r="H43207" s="83"/>
      <c r="K43207" s="82"/>
      <c r="M43207" s="112"/>
      <c r="N43207" s="84"/>
    </row>
    <row r="43208" spans="1:14" s="2" customFormat="1">
      <c r="A43208" s="83"/>
      <c r="H43208" s="83"/>
      <c r="K43208" s="82"/>
      <c r="M43208" s="112"/>
      <c r="N43208" s="84"/>
    </row>
    <row r="43209" spans="1:14" s="2" customFormat="1">
      <c r="A43209" s="83"/>
      <c r="H43209" s="83"/>
      <c r="K43209" s="82"/>
      <c r="M43209" s="112"/>
      <c r="N43209" s="84"/>
    </row>
    <row r="43210" spans="1:14" s="2" customFormat="1">
      <c r="A43210" s="83"/>
      <c r="H43210" s="83"/>
      <c r="K43210" s="82"/>
      <c r="M43210" s="112"/>
      <c r="N43210" s="84"/>
    </row>
    <row r="43211" spans="1:14" s="2" customFormat="1">
      <c r="A43211" s="83"/>
      <c r="H43211" s="83"/>
      <c r="K43211" s="82"/>
      <c r="M43211" s="112"/>
      <c r="N43211" s="84"/>
    </row>
    <row r="43212" spans="1:14" s="2" customFormat="1">
      <c r="A43212" s="83"/>
      <c r="H43212" s="83"/>
      <c r="K43212" s="82"/>
      <c r="M43212" s="112"/>
      <c r="N43212" s="84"/>
    </row>
    <row r="43213" spans="1:14" s="2" customFormat="1">
      <c r="A43213" s="83"/>
      <c r="H43213" s="83"/>
      <c r="K43213" s="82"/>
      <c r="M43213" s="112"/>
      <c r="N43213" s="84"/>
    </row>
    <row r="43214" spans="1:14" s="2" customFormat="1">
      <c r="A43214" s="83"/>
      <c r="H43214" s="83"/>
      <c r="K43214" s="82"/>
      <c r="M43214" s="112"/>
      <c r="N43214" s="84"/>
    </row>
    <row r="43215" spans="1:14" s="2" customFormat="1">
      <c r="A43215" s="83"/>
      <c r="H43215" s="83"/>
      <c r="K43215" s="82"/>
      <c r="M43215" s="112"/>
      <c r="N43215" s="84"/>
    </row>
    <row r="43216" spans="1:14" s="2" customFormat="1">
      <c r="A43216" s="83"/>
      <c r="H43216" s="83"/>
      <c r="K43216" s="82"/>
      <c r="M43216" s="112"/>
      <c r="N43216" s="84"/>
    </row>
    <row r="43217" spans="1:14" s="2" customFormat="1">
      <c r="A43217" s="83"/>
      <c r="H43217" s="83"/>
      <c r="K43217" s="82"/>
      <c r="M43217" s="112"/>
      <c r="N43217" s="84"/>
    </row>
    <row r="43218" spans="1:14" s="2" customFormat="1">
      <c r="A43218" s="83"/>
      <c r="H43218" s="83"/>
      <c r="K43218" s="82"/>
      <c r="M43218" s="112"/>
      <c r="N43218" s="84"/>
    </row>
    <row r="43219" spans="1:14" s="2" customFormat="1">
      <c r="A43219" s="83"/>
      <c r="H43219" s="83"/>
      <c r="K43219" s="82"/>
      <c r="M43219" s="112"/>
      <c r="N43219" s="84"/>
    </row>
    <row r="43220" spans="1:14" s="2" customFormat="1">
      <c r="A43220" s="83"/>
      <c r="H43220" s="83"/>
      <c r="K43220" s="82"/>
      <c r="M43220" s="112"/>
      <c r="N43220" s="84"/>
    </row>
    <row r="43221" spans="1:14" s="2" customFormat="1">
      <c r="A43221" s="83"/>
      <c r="H43221" s="83"/>
      <c r="K43221" s="82"/>
      <c r="M43221" s="112"/>
      <c r="N43221" s="84"/>
    </row>
    <row r="43222" spans="1:14" s="2" customFormat="1">
      <c r="A43222" s="83"/>
      <c r="H43222" s="83"/>
      <c r="K43222" s="82"/>
      <c r="M43222" s="112"/>
      <c r="N43222" s="84"/>
    </row>
    <row r="43223" spans="1:14" s="2" customFormat="1">
      <c r="A43223" s="83"/>
      <c r="H43223" s="83"/>
      <c r="K43223" s="82"/>
      <c r="M43223" s="112"/>
      <c r="N43223" s="84"/>
    </row>
    <row r="43224" spans="1:14" s="2" customFormat="1">
      <c r="A43224" s="83"/>
      <c r="H43224" s="83"/>
      <c r="K43224" s="82"/>
      <c r="M43224" s="112"/>
      <c r="N43224" s="84"/>
    </row>
    <row r="43225" spans="1:14" s="2" customFormat="1">
      <c r="A43225" s="83"/>
      <c r="H43225" s="83"/>
      <c r="K43225" s="82"/>
      <c r="M43225" s="112"/>
      <c r="N43225" s="84"/>
    </row>
    <row r="43226" spans="1:14" s="2" customFormat="1">
      <c r="A43226" s="83"/>
      <c r="H43226" s="83"/>
      <c r="K43226" s="82"/>
      <c r="M43226" s="112"/>
      <c r="N43226" s="84"/>
    </row>
    <row r="43227" spans="1:14" s="2" customFormat="1">
      <c r="A43227" s="83"/>
      <c r="H43227" s="83"/>
      <c r="K43227" s="82"/>
      <c r="M43227" s="112"/>
      <c r="N43227" s="84"/>
    </row>
    <row r="43228" spans="1:14" s="2" customFormat="1">
      <c r="A43228" s="83"/>
      <c r="H43228" s="83"/>
      <c r="K43228" s="82"/>
      <c r="M43228" s="112"/>
      <c r="N43228" s="84"/>
    </row>
    <row r="43229" spans="1:14" s="2" customFormat="1">
      <c r="A43229" s="83"/>
      <c r="H43229" s="83"/>
      <c r="K43229" s="82"/>
      <c r="M43229" s="112"/>
      <c r="N43229" s="84"/>
    </row>
    <row r="43230" spans="1:14" s="2" customFormat="1">
      <c r="A43230" s="83"/>
      <c r="H43230" s="83"/>
      <c r="K43230" s="82"/>
      <c r="M43230" s="112"/>
      <c r="N43230" s="84"/>
    </row>
    <row r="43231" spans="1:14" s="2" customFormat="1">
      <c r="A43231" s="83"/>
      <c r="H43231" s="83"/>
      <c r="K43231" s="82"/>
      <c r="M43231" s="112"/>
      <c r="N43231" s="84"/>
    </row>
    <row r="43232" spans="1:14" s="2" customFormat="1">
      <c r="A43232" s="83"/>
      <c r="H43232" s="83"/>
      <c r="K43232" s="82"/>
      <c r="M43232" s="112"/>
      <c r="N43232" s="84"/>
    </row>
    <row r="43233" spans="1:14" s="2" customFormat="1">
      <c r="A43233" s="83"/>
      <c r="H43233" s="83"/>
      <c r="K43233" s="82"/>
      <c r="M43233" s="112"/>
      <c r="N43233" s="84"/>
    </row>
    <row r="43234" spans="1:14" s="2" customFormat="1">
      <c r="A43234" s="83"/>
      <c r="H43234" s="83"/>
      <c r="K43234" s="82"/>
      <c r="M43234" s="112"/>
      <c r="N43234" s="84"/>
    </row>
    <row r="43235" spans="1:14" s="2" customFormat="1">
      <c r="A43235" s="83"/>
      <c r="H43235" s="83"/>
      <c r="K43235" s="82"/>
      <c r="M43235" s="112"/>
      <c r="N43235" s="84"/>
    </row>
    <row r="43236" spans="1:14" s="2" customFormat="1">
      <c r="A43236" s="83"/>
      <c r="H43236" s="83"/>
      <c r="K43236" s="82"/>
      <c r="M43236" s="112"/>
      <c r="N43236" s="84"/>
    </row>
    <row r="43237" spans="1:14" s="2" customFormat="1">
      <c r="A43237" s="83"/>
      <c r="H43237" s="83"/>
      <c r="K43237" s="82"/>
      <c r="M43237" s="112"/>
      <c r="N43237" s="84"/>
    </row>
    <row r="43238" spans="1:14" s="2" customFormat="1">
      <c r="A43238" s="83"/>
      <c r="H43238" s="83"/>
      <c r="K43238" s="82"/>
      <c r="M43238" s="112"/>
      <c r="N43238" s="84"/>
    </row>
    <row r="43239" spans="1:14" s="2" customFormat="1">
      <c r="A43239" s="83"/>
      <c r="H43239" s="83"/>
      <c r="K43239" s="82"/>
      <c r="M43239" s="112"/>
      <c r="N43239" s="84"/>
    </row>
    <row r="43240" spans="1:14" s="2" customFormat="1">
      <c r="A43240" s="83"/>
      <c r="H43240" s="83"/>
      <c r="K43240" s="82"/>
      <c r="M43240" s="112"/>
      <c r="N43240" s="84"/>
    </row>
    <row r="43241" spans="1:14" s="2" customFormat="1">
      <c r="A43241" s="83"/>
      <c r="H43241" s="83"/>
      <c r="K43241" s="82"/>
      <c r="M43241" s="112"/>
      <c r="N43241" s="84"/>
    </row>
    <row r="43242" spans="1:14" s="2" customFormat="1">
      <c r="A43242" s="83"/>
      <c r="H43242" s="83"/>
      <c r="K43242" s="82"/>
      <c r="M43242" s="112"/>
      <c r="N43242" s="84"/>
    </row>
    <row r="43243" spans="1:14" s="2" customFormat="1">
      <c r="A43243" s="83"/>
      <c r="H43243" s="83"/>
      <c r="K43243" s="82"/>
      <c r="M43243" s="112"/>
      <c r="N43243" s="84"/>
    </row>
    <row r="43244" spans="1:14" s="2" customFormat="1">
      <c r="A43244" s="83"/>
      <c r="H43244" s="83"/>
      <c r="K43244" s="82"/>
      <c r="M43244" s="112"/>
      <c r="N43244" s="84"/>
    </row>
    <row r="43245" spans="1:14" s="2" customFormat="1">
      <c r="A43245" s="83"/>
      <c r="H43245" s="83"/>
      <c r="K43245" s="82"/>
      <c r="M43245" s="112"/>
      <c r="N43245" s="84"/>
    </row>
    <row r="43246" spans="1:14" s="2" customFormat="1">
      <c r="A43246" s="83"/>
      <c r="H43246" s="83"/>
      <c r="K43246" s="82"/>
      <c r="M43246" s="112"/>
      <c r="N43246" s="84"/>
    </row>
    <row r="43247" spans="1:14" s="2" customFormat="1">
      <c r="A43247" s="83"/>
      <c r="H43247" s="83"/>
      <c r="K43247" s="82"/>
      <c r="M43247" s="112"/>
      <c r="N43247" s="84"/>
    </row>
    <row r="43248" spans="1:14" s="2" customFormat="1">
      <c r="A43248" s="83"/>
      <c r="H43248" s="83"/>
      <c r="K43248" s="82"/>
      <c r="M43248" s="112"/>
      <c r="N43248" s="84"/>
    </row>
    <row r="43249" spans="1:14" s="2" customFormat="1">
      <c r="A43249" s="83"/>
      <c r="H43249" s="83"/>
      <c r="K43249" s="82"/>
      <c r="M43249" s="112"/>
      <c r="N43249" s="84"/>
    </row>
    <row r="43250" spans="1:14" s="2" customFormat="1">
      <c r="A43250" s="83"/>
      <c r="H43250" s="83"/>
      <c r="K43250" s="82"/>
      <c r="M43250" s="112"/>
      <c r="N43250" s="84"/>
    </row>
    <row r="43251" spans="1:14" s="2" customFormat="1">
      <c r="A43251" s="83"/>
      <c r="H43251" s="83"/>
      <c r="K43251" s="82"/>
      <c r="M43251" s="112"/>
      <c r="N43251" s="84"/>
    </row>
    <row r="43252" spans="1:14" s="2" customFormat="1">
      <c r="A43252" s="83"/>
      <c r="H43252" s="83"/>
      <c r="K43252" s="82"/>
      <c r="M43252" s="112"/>
      <c r="N43252" s="84"/>
    </row>
    <row r="43253" spans="1:14" s="2" customFormat="1">
      <c r="A43253" s="83"/>
      <c r="H43253" s="83"/>
      <c r="K43253" s="82"/>
      <c r="M43253" s="112"/>
      <c r="N43253" s="84"/>
    </row>
    <row r="43254" spans="1:14" s="2" customFormat="1">
      <c r="A43254" s="83"/>
      <c r="H43254" s="83"/>
      <c r="K43254" s="82"/>
      <c r="M43254" s="112"/>
      <c r="N43254" s="84"/>
    </row>
    <row r="43255" spans="1:14" s="2" customFormat="1">
      <c r="A43255" s="83"/>
      <c r="H43255" s="83"/>
      <c r="K43255" s="82"/>
      <c r="M43255" s="112"/>
      <c r="N43255" s="84"/>
    </row>
    <row r="43256" spans="1:14" s="2" customFormat="1">
      <c r="A43256" s="83"/>
      <c r="H43256" s="83"/>
      <c r="K43256" s="82"/>
      <c r="M43256" s="112"/>
      <c r="N43256" s="84"/>
    </row>
    <row r="43257" spans="1:14" s="2" customFormat="1">
      <c r="A43257" s="83"/>
      <c r="H43257" s="83"/>
      <c r="K43257" s="82"/>
      <c r="M43257" s="112"/>
      <c r="N43257" s="84"/>
    </row>
    <row r="43258" spans="1:14" s="2" customFormat="1">
      <c r="A43258" s="83"/>
      <c r="H43258" s="83"/>
      <c r="K43258" s="82"/>
      <c r="M43258" s="112"/>
      <c r="N43258" s="84"/>
    </row>
    <row r="43259" spans="1:14" s="2" customFormat="1">
      <c r="A43259" s="83"/>
      <c r="H43259" s="83"/>
      <c r="K43259" s="82"/>
      <c r="M43259" s="112"/>
      <c r="N43259" s="84"/>
    </row>
    <row r="43260" spans="1:14" s="2" customFormat="1">
      <c r="A43260" s="83"/>
      <c r="H43260" s="83"/>
      <c r="K43260" s="82"/>
      <c r="M43260" s="112"/>
      <c r="N43260" s="84"/>
    </row>
    <row r="43261" spans="1:14" s="2" customFormat="1">
      <c r="A43261" s="83"/>
      <c r="H43261" s="83"/>
      <c r="K43261" s="82"/>
      <c r="M43261" s="112"/>
      <c r="N43261" s="84"/>
    </row>
    <row r="43262" spans="1:14" s="2" customFormat="1">
      <c r="A43262" s="83"/>
      <c r="H43262" s="83"/>
      <c r="K43262" s="82"/>
      <c r="M43262" s="112"/>
      <c r="N43262" s="84"/>
    </row>
    <row r="43263" spans="1:14" s="2" customFormat="1">
      <c r="A43263" s="83"/>
      <c r="H43263" s="83"/>
      <c r="K43263" s="82"/>
      <c r="M43263" s="112"/>
      <c r="N43263" s="84"/>
    </row>
    <row r="43264" spans="1:14" s="2" customFormat="1">
      <c r="A43264" s="83"/>
      <c r="H43264" s="83"/>
      <c r="K43264" s="82"/>
      <c r="M43264" s="112"/>
      <c r="N43264" s="84"/>
    </row>
    <row r="43265" spans="1:14" s="2" customFormat="1">
      <c r="A43265" s="83"/>
      <c r="H43265" s="83"/>
      <c r="K43265" s="82"/>
      <c r="M43265" s="112"/>
      <c r="N43265" s="84"/>
    </row>
    <row r="43266" spans="1:14" s="2" customFormat="1">
      <c r="A43266" s="83"/>
      <c r="H43266" s="83"/>
      <c r="K43266" s="82"/>
      <c r="M43266" s="112"/>
      <c r="N43266" s="84"/>
    </row>
    <row r="43267" spans="1:14" s="2" customFormat="1">
      <c r="A43267" s="83"/>
      <c r="H43267" s="83"/>
      <c r="K43267" s="82"/>
      <c r="M43267" s="112"/>
      <c r="N43267" s="84"/>
    </row>
    <row r="43268" spans="1:14" s="2" customFormat="1">
      <c r="A43268" s="83"/>
      <c r="H43268" s="83"/>
      <c r="K43268" s="82"/>
      <c r="M43268" s="112"/>
      <c r="N43268" s="84"/>
    </row>
    <row r="43269" spans="1:14" s="2" customFormat="1">
      <c r="A43269" s="83"/>
      <c r="H43269" s="83"/>
      <c r="K43269" s="82"/>
      <c r="M43269" s="112"/>
      <c r="N43269" s="84"/>
    </row>
    <row r="43270" spans="1:14" s="2" customFormat="1">
      <c r="A43270" s="83"/>
      <c r="H43270" s="83"/>
      <c r="K43270" s="82"/>
      <c r="M43270" s="112"/>
      <c r="N43270" s="84"/>
    </row>
    <row r="43271" spans="1:14" s="2" customFormat="1">
      <c r="A43271" s="83"/>
      <c r="H43271" s="83"/>
      <c r="K43271" s="82"/>
      <c r="M43271" s="112"/>
      <c r="N43271" s="84"/>
    </row>
    <row r="43272" spans="1:14" s="2" customFormat="1">
      <c r="A43272" s="83"/>
      <c r="H43272" s="83"/>
      <c r="K43272" s="82"/>
      <c r="M43272" s="112"/>
      <c r="N43272" s="84"/>
    </row>
    <row r="43273" spans="1:14" s="2" customFormat="1">
      <c r="A43273" s="83"/>
      <c r="H43273" s="83"/>
      <c r="K43273" s="82"/>
      <c r="M43273" s="112"/>
      <c r="N43273" s="84"/>
    </row>
    <row r="43274" spans="1:14" s="2" customFormat="1">
      <c r="A43274" s="83"/>
      <c r="H43274" s="83"/>
      <c r="K43274" s="82"/>
      <c r="M43274" s="112"/>
      <c r="N43274" s="84"/>
    </row>
    <row r="43275" spans="1:14" s="2" customFormat="1">
      <c r="A43275" s="83"/>
      <c r="H43275" s="83"/>
      <c r="K43275" s="82"/>
      <c r="M43275" s="112"/>
      <c r="N43275" s="84"/>
    </row>
    <row r="43276" spans="1:14" s="2" customFormat="1">
      <c r="A43276" s="83"/>
      <c r="H43276" s="83"/>
      <c r="K43276" s="82"/>
      <c r="M43276" s="112"/>
      <c r="N43276" s="84"/>
    </row>
    <row r="43277" spans="1:14" s="2" customFormat="1">
      <c r="A43277" s="83"/>
      <c r="H43277" s="83"/>
      <c r="K43277" s="82"/>
      <c r="M43277" s="112"/>
      <c r="N43277" s="84"/>
    </row>
    <row r="43278" spans="1:14" s="2" customFormat="1">
      <c r="A43278" s="83"/>
      <c r="H43278" s="83"/>
      <c r="K43278" s="82"/>
      <c r="M43278" s="112"/>
      <c r="N43278" s="84"/>
    </row>
    <row r="43279" spans="1:14" s="2" customFormat="1">
      <c r="A43279" s="83"/>
      <c r="H43279" s="83"/>
      <c r="K43279" s="82"/>
      <c r="M43279" s="112"/>
      <c r="N43279" s="84"/>
    </row>
    <row r="43280" spans="1:14" s="2" customFormat="1">
      <c r="A43280" s="83"/>
      <c r="H43280" s="83"/>
      <c r="K43280" s="82"/>
      <c r="M43280" s="112"/>
      <c r="N43280" s="84"/>
    </row>
    <row r="43281" spans="1:14" s="2" customFormat="1">
      <c r="A43281" s="83"/>
      <c r="H43281" s="83"/>
      <c r="K43281" s="82"/>
      <c r="M43281" s="112"/>
      <c r="N43281" s="84"/>
    </row>
    <row r="43282" spans="1:14" s="2" customFormat="1">
      <c r="A43282" s="83"/>
      <c r="H43282" s="83"/>
      <c r="K43282" s="82"/>
      <c r="M43282" s="112"/>
      <c r="N43282" s="84"/>
    </row>
    <row r="43283" spans="1:14" s="2" customFormat="1">
      <c r="A43283" s="83"/>
      <c r="H43283" s="83"/>
      <c r="K43283" s="82"/>
      <c r="M43283" s="112"/>
      <c r="N43283" s="84"/>
    </row>
    <row r="43284" spans="1:14" s="2" customFormat="1">
      <c r="A43284" s="83"/>
      <c r="H43284" s="83"/>
      <c r="K43284" s="82"/>
      <c r="M43284" s="112"/>
      <c r="N43284" s="84"/>
    </row>
    <row r="43285" spans="1:14" s="2" customFormat="1">
      <c r="A43285" s="83"/>
      <c r="H43285" s="83"/>
      <c r="K43285" s="82"/>
      <c r="M43285" s="112"/>
      <c r="N43285" s="84"/>
    </row>
    <row r="43286" spans="1:14" s="2" customFormat="1">
      <c r="A43286" s="83"/>
      <c r="H43286" s="83"/>
      <c r="K43286" s="82"/>
      <c r="M43286" s="112"/>
      <c r="N43286" s="84"/>
    </row>
    <row r="43287" spans="1:14" s="2" customFormat="1">
      <c r="A43287" s="83"/>
      <c r="H43287" s="83"/>
      <c r="K43287" s="82"/>
      <c r="M43287" s="112"/>
      <c r="N43287" s="84"/>
    </row>
    <row r="43288" spans="1:14" s="2" customFormat="1">
      <c r="A43288" s="83"/>
      <c r="H43288" s="83"/>
      <c r="K43288" s="82"/>
      <c r="M43288" s="112"/>
      <c r="N43288" s="84"/>
    </row>
    <row r="43289" spans="1:14" s="2" customFormat="1">
      <c r="A43289" s="83"/>
      <c r="H43289" s="83"/>
      <c r="K43289" s="82"/>
      <c r="M43289" s="112"/>
      <c r="N43289" s="84"/>
    </row>
    <row r="43290" spans="1:14" s="2" customFormat="1">
      <c r="A43290" s="83"/>
      <c r="H43290" s="83"/>
      <c r="K43290" s="82"/>
      <c r="M43290" s="112"/>
      <c r="N43290" s="84"/>
    </row>
    <row r="43291" spans="1:14" s="2" customFormat="1">
      <c r="A43291" s="83"/>
      <c r="H43291" s="83"/>
      <c r="K43291" s="82"/>
      <c r="M43291" s="112"/>
      <c r="N43291" s="84"/>
    </row>
    <row r="43292" spans="1:14" s="2" customFormat="1">
      <c r="A43292" s="83"/>
      <c r="H43292" s="83"/>
      <c r="K43292" s="82"/>
      <c r="M43292" s="112"/>
      <c r="N43292" s="84"/>
    </row>
    <row r="43293" spans="1:14" s="2" customFormat="1">
      <c r="A43293" s="83"/>
      <c r="H43293" s="83"/>
      <c r="K43293" s="82"/>
      <c r="M43293" s="112"/>
      <c r="N43293" s="84"/>
    </row>
    <row r="43294" spans="1:14" s="2" customFormat="1">
      <c r="A43294" s="83"/>
      <c r="H43294" s="83"/>
      <c r="K43294" s="82"/>
      <c r="M43294" s="112"/>
      <c r="N43294" s="84"/>
    </row>
    <row r="43295" spans="1:14" s="2" customFormat="1">
      <c r="A43295" s="83"/>
      <c r="H43295" s="83"/>
      <c r="K43295" s="82"/>
      <c r="M43295" s="112"/>
      <c r="N43295" s="84"/>
    </row>
    <row r="43296" spans="1:14" s="2" customFormat="1">
      <c r="A43296" s="83"/>
      <c r="H43296" s="83"/>
      <c r="K43296" s="82"/>
      <c r="M43296" s="112"/>
      <c r="N43296" s="84"/>
    </row>
    <row r="43297" spans="1:14" s="2" customFormat="1">
      <c r="A43297" s="83"/>
      <c r="H43297" s="83"/>
      <c r="K43297" s="82"/>
      <c r="M43297" s="112"/>
      <c r="N43297" s="84"/>
    </row>
    <row r="43298" spans="1:14" s="2" customFormat="1">
      <c r="A43298" s="83"/>
      <c r="H43298" s="83"/>
      <c r="K43298" s="82"/>
      <c r="M43298" s="112"/>
      <c r="N43298" s="84"/>
    </row>
    <row r="43299" spans="1:14" s="2" customFormat="1">
      <c r="A43299" s="83"/>
      <c r="H43299" s="83"/>
      <c r="K43299" s="82"/>
      <c r="M43299" s="112"/>
      <c r="N43299" s="84"/>
    </row>
    <row r="43300" spans="1:14" s="2" customFormat="1">
      <c r="A43300" s="83"/>
      <c r="H43300" s="83"/>
      <c r="K43300" s="82"/>
      <c r="M43300" s="112"/>
      <c r="N43300" s="84"/>
    </row>
    <row r="43301" spans="1:14" s="2" customFormat="1">
      <c r="A43301" s="83"/>
      <c r="H43301" s="83"/>
      <c r="K43301" s="82"/>
      <c r="M43301" s="112"/>
      <c r="N43301" s="84"/>
    </row>
    <row r="43302" spans="1:14" s="2" customFormat="1">
      <c r="A43302" s="83"/>
      <c r="H43302" s="83"/>
      <c r="K43302" s="82"/>
      <c r="M43302" s="112"/>
      <c r="N43302" s="84"/>
    </row>
    <row r="43303" spans="1:14" s="2" customFormat="1">
      <c r="A43303" s="83"/>
      <c r="H43303" s="83"/>
      <c r="K43303" s="82"/>
      <c r="M43303" s="112"/>
      <c r="N43303" s="84"/>
    </row>
    <row r="43304" spans="1:14" s="2" customFormat="1">
      <c r="A43304" s="83"/>
      <c r="H43304" s="83"/>
      <c r="K43304" s="82"/>
      <c r="M43304" s="112"/>
      <c r="N43304" s="84"/>
    </row>
    <row r="43305" spans="1:14" s="2" customFormat="1">
      <c r="A43305" s="83"/>
      <c r="H43305" s="83"/>
      <c r="K43305" s="82"/>
      <c r="M43305" s="112"/>
      <c r="N43305" s="84"/>
    </row>
    <row r="43306" spans="1:14" s="2" customFormat="1">
      <c r="A43306" s="83"/>
      <c r="H43306" s="83"/>
      <c r="K43306" s="82"/>
      <c r="M43306" s="112"/>
      <c r="N43306" s="84"/>
    </row>
    <row r="43307" spans="1:14" s="2" customFormat="1">
      <c r="A43307" s="83"/>
      <c r="H43307" s="83"/>
      <c r="K43307" s="82"/>
      <c r="M43307" s="112"/>
      <c r="N43307" s="84"/>
    </row>
    <row r="43308" spans="1:14" s="2" customFormat="1">
      <c r="A43308" s="83"/>
      <c r="H43308" s="83"/>
      <c r="K43308" s="82"/>
      <c r="M43308" s="112"/>
      <c r="N43308" s="84"/>
    </row>
    <row r="43309" spans="1:14" s="2" customFormat="1">
      <c r="A43309" s="83"/>
      <c r="H43309" s="83"/>
      <c r="K43309" s="82"/>
      <c r="M43309" s="112"/>
      <c r="N43309" s="84"/>
    </row>
    <row r="43310" spans="1:14" s="2" customFormat="1">
      <c r="A43310" s="83"/>
      <c r="H43310" s="83"/>
      <c r="K43310" s="82"/>
      <c r="M43310" s="112"/>
      <c r="N43310" s="84"/>
    </row>
    <row r="43311" spans="1:14" s="2" customFormat="1">
      <c r="A43311" s="83"/>
      <c r="H43311" s="83"/>
      <c r="K43311" s="82"/>
      <c r="M43311" s="112"/>
      <c r="N43311" s="84"/>
    </row>
    <row r="43312" spans="1:14" s="2" customFormat="1">
      <c r="A43312" s="83"/>
      <c r="H43312" s="83"/>
      <c r="K43312" s="82"/>
      <c r="M43312" s="112"/>
      <c r="N43312" s="84"/>
    </row>
    <row r="43313" spans="1:14" s="2" customFormat="1">
      <c r="A43313" s="83"/>
      <c r="H43313" s="83"/>
      <c r="K43313" s="82"/>
      <c r="M43313" s="112"/>
      <c r="N43313" s="84"/>
    </row>
    <row r="43314" spans="1:14" s="2" customFormat="1">
      <c r="A43314" s="83"/>
      <c r="H43314" s="83"/>
      <c r="K43314" s="82"/>
      <c r="M43314" s="112"/>
      <c r="N43314" s="84"/>
    </row>
    <row r="43315" spans="1:14" s="2" customFormat="1">
      <c r="A43315" s="83"/>
      <c r="H43315" s="83"/>
      <c r="K43315" s="82"/>
      <c r="M43315" s="112"/>
      <c r="N43315" s="84"/>
    </row>
    <row r="43316" spans="1:14" s="2" customFormat="1">
      <c r="A43316" s="83"/>
      <c r="H43316" s="83"/>
      <c r="K43316" s="82"/>
      <c r="M43316" s="112"/>
      <c r="N43316" s="84"/>
    </row>
    <row r="43317" spans="1:14" s="2" customFormat="1">
      <c r="A43317" s="83"/>
      <c r="H43317" s="83"/>
      <c r="K43317" s="82"/>
      <c r="M43317" s="112"/>
      <c r="N43317" s="84"/>
    </row>
    <row r="43318" spans="1:14" s="2" customFormat="1">
      <c r="A43318" s="83"/>
      <c r="H43318" s="83"/>
      <c r="K43318" s="82"/>
      <c r="M43318" s="112"/>
      <c r="N43318" s="84"/>
    </row>
    <row r="43319" spans="1:14" s="2" customFormat="1">
      <c r="A43319" s="83"/>
      <c r="H43319" s="83"/>
      <c r="K43319" s="82"/>
      <c r="M43319" s="112"/>
      <c r="N43319" s="84"/>
    </row>
    <row r="43320" spans="1:14" s="2" customFormat="1">
      <c r="A43320" s="83"/>
      <c r="H43320" s="83"/>
      <c r="K43320" s="82"/>
      <c r="M43320" s="112"/>
      <c r="N43320" s="84"/>
    </row>
    <row r="43321" spans="1:14" s="2" customFormat="1">
      <c r="A43321" s="83"/>
      <c r="H43321" s="83"/>
      <c r="K43321" s="82"/>
      <c r="M43321" s="112"/>
      <c r="N43321" s="84"/>
    </row>
    <row r="43322" spans="1:14" s="2" customFormat="1">
      <c r="A43322" s="83"/>
      <c r="H43322" s="83"/>
      <c r="K43322" s="82"/>
      <c r="M43322" s="112"/>
      <c r="N43322" s="84"/>
    </row>
    <row r="43323" spans="1:14" s="2" customFormat="1">
      <c r="A43323" s="83"/>
      <c r="H43323" s="83"/>
      <c r="K43323" s="82"/>
      <c r="M43323" s="112"/>
      <c r="N43323" s="84"/>
    </row>
    <row r="43324" spans="1:14" s="2" customFormat="1">
      <c r="A43324" s="83"/>
      <c r="H43324" s="83"/>
      <c r="K43324" s="82"/>
      <c r="M43324" s="112"/>
      <c r="N43324" s="84"/>
    </row>
    <row r="43325" spans="1:14" s="2" customFormat="1">
      <c r="A43325" s="83"/>
      <c r="H43325" s="83"/>
      <c r="K43325" s="82"/>
      <c r="M43325" s="112"/>
      <c r="N43325" s="84"/>
    </row>
    <row r="43326" spans="1:14" s="2" customFormat="1">
      <c r="A43326" s="83"/>
      <c r="H43326" s="83"/>
      <c r="K43326" s="82"/>
      <c r="M43326" s="112"/>
      <c r="N43326" s="84"/>
    </row>
    <row r="43327" spans="1:14" s="2" customFormat="1">
      <c r="A43327" s="83"/>
      <c r="H43327" s="83"/>
      <c r="K43327" s="82"/>
      <c r="M43327" s="112"/>
      <c r="N43327" s="84"/>
    </row>
    <row r="43328" spans="1:14" s="2" customFormat="1">
      <c r="A43328" s="83"/>
      <c r="H43328" s="83"/>
      <c r="K43328" s="82"/>
      <c r="M43328" s="112"/>
      <c r="N43328" s="84"/>
    </row>
    <row r="43329" spans="1:14" s="2" customFormat="1">
      <c r="A43329" s="83"/>
      <c r="H43329" s="83"/>
      <c r="K43329" s="82"/>
      <c r="M43329" s="112"/>
      <c r="N43329" s="84"/>
    </row>
    <row r="43330" spans="1:14" s="2" customFormat="1">
      <c r="A43330" s="83"/>
      <c r="H43330" s="83"/>
      <c r="K43330" s="82"/>
      <c r="M43330" s="112"/>
      <c r="N43330" s="84"/>
    </row>
    <row r="43331" spans="1:14" s="2" customFormat="1">
      <c r="A43331" s="83"/>
      <c r="H43331" s="83"/>
      <c r="K43331" s="82"/>
      <c r="M43331" s="112"/>
      <c r="N43331" s="84"/>
    </row>
    <row r="43332" spans="1:14" s="2" customFormat="1">
      <c r="A43332" s="83"/>
      <c r="H43332" s="83"/>
      <c r="K43332" s="82"/>
      <c r="M43332" s="112"/>
      <c r="N43332" s="84"/>
    </row>
    <row r="43333" spans="1:14" s="2" customFormat="1">
      <c r="A43333" s="83"/>
      <c r="H43333" s="83"/>
      <c r="K43333" s="82"/>
      <c r="M43333" s="112"/>
      <c r="N43333" s="84"/>
    </row>
    <row r="43334" spans="1:14" s="2" customFormat="1">
      <c r="A43334" s="83"/>
      <c r="H43334" s="83"/>
      <c r="K43334" s="82"/>
      <c r="M43334" s="112"/>
      <c r="N43334" s="84"/>
    </row>
    <row r="43335" spans="1:14" s="2" customFormat="1">
      <c r="A43335" s="83"/>
      <c r="H43335" s="83"/>
      <c r="K43335" s="82"/>
      <c r="M43335" s="112"/>
      <c r="N43335" s="84"/>
    </row>
    <row r="43336" spans="1:14" s="2" customFormat="1">
      <c r="A43336" s="83"/>
      <c r="H43336" s="83"/>
      <c r="K43336" s="82"/>
      <c r="M43336" s="112"/>
      <c r="N43336" s="84"/>
    </row>
    <row r="43337" spans="1:14" s="2" customFormat="1">
      <c r="A43337" s="83"/>
      <c r="H43337" s="83"/>
      <c r="K43337" s="82"/>
      <c r="M43337" s="112"/>
      <c r="N43337" s="84"/>
    </row>
    <row r="43338" spans="1:14" s="2" customFormat="1">
      <c r="A43338" s="83"/>
      <c r="H43338" s="83"/>
      <c r="K43338" s="82"/>
      <c r="M43338" s="112"/>
      <c r="N43338" s="84"/>
    </row>
    <row r="43339" spans="1:14" s="2" customFormat="1">
      <c r="A43339" s="83"/>
      <c r="H43339" s="83"/>
      <c r="K43339" s="82"/>
      <c r="M43339" s="112"/>
      <c r="N43339" s="84"/>
    </row>
    <row r="43340" spans="1:14" s="2" customFormat="1">
      <c r="A43340" s="83"/>
      <c r="H43340" s="83"/>
      <c r="K43340" s="82"/>
      <c r="M43340" s="112"/>
      <c r="N43340" s="84"/>
    </row>
    <row r="43341" spans="1:14" s="2" customFormat="1">
      <c r="A43341" s="83"/>
      <c r="H43341" s="83"/>
      <c r="K43341" s="82"/>
      <c r="M43341" s="112"/>
      <c r="N43341" s="84"/>
    </row>
    <row r="43342" spans="1:14" s="2" customFormat="1">
      <c r="A43342" s="83"/>
      <c r="H43342" s="83"/>
      <c r="K43342" s="82"/>
      <c r="M43342" s="112"/>
      <c r="N43342" s="84"/>
    </row>
    <row r="43343" spans="1:14" s="2" customFormat="1">
      <c r="A43343" s="83"/>
      <c r="H43343" s="83"/>
      <c r="K43343" s="82"/>
      <c r="M43343" s="112"/>
      <c r="N43343" s="84"/>
    </row>
    <row r="43344" spans="1:14" s="2" customFormat="1">
      <c r="A43344" s="83"/>
      <c r="H43344" s="83"/>
      <c r="K43344" s="82"/>
      <c r="M43344" s="112"/>
      <c r="N43344" s="84"/>
    </row>
    <row r="43345" spans="1:14" s="2" customFormat="1">
      <c r="A43345" s="83"/>
      <c r="H43345" s="83"/>
      <c r="K43345" s="82"/>
      <c r="M43345" s="112"/>
      <c r="N43345" s="84"/>
    </row>
    <row r="43346" spans="1:14" s="2" customFormat="1">
      <c r="A43346" s="83"/>
      <c r="H43346" s="83"/>
      <c r="K43346" s="82"/>
      <c r="M43346" s="112"/>
      <c r="N43346" s="84"/>
    </row>
    <row r="43347" spans="1:14" s="2" customFormat="1">
      <c r="A43347" s="83"/>
      <c r="H43347" s="83"/>
      <c r="K43347" s="82"/>
      <c r="M43347" s="112"/>
      <c r="N43347" s="84"/>
    </row>
    <row r="43348" spans="1:14" s="2" customFormat="1">
      <c r="A43348" s="83"/>
      <c r="H43348" s="83"/>
      <c r="K43348" s="82"/>
      <c r="M43348" s="112"/>
      <c r="N43348" s="84"/>
    </row>
    <row r="43349" spans="1:14" s="2" customFormat="1">
      <c r="A43349" s="83"/>
      <c r="H43349" s="83"/>
      <c r="K43349" s="82"/>
      <c r="M43349" s="112"/>
      <c r="N43349" s="84"/>
    </row>
    <row r="43350" spans="1:14" s="2" customFormat="1">
      <c r="A43350" s="83"/>
      <c r="H43350" s="83"/>
      <c r="K43350" s="82"/>
      <c r="M43350" s="112"/>
      <c r="N43350" s="84"/>
    </row>
    <row r="43351" spans="1:14" s="2" customFormat="1">
      <c r="A43351" s="83"/>
      <c r="H43351" s="83"/>
      <c r="K43351" s="82"/>
      <c r="M43351" s="112"/>
      <c r="N43351" s="84"/>
    </row>
    <row r="43352" spans="1:14" s="2" customFormat="1">
      <c r="A43352" s="83"/>
      <c r="H43352" s="83"/>
      <c r="K43352" s="82"/>
      <c r="M43352" s="112"/>
      <c r="N43352" s="84"/>
    </row>
    <row r="43353" spans="1:14" s="2" customFormat="1">
      <c r="A43353" s="83"/>
      <c r="H43353" s="83"/>
      <c r="K43353" s="82"/>
      <c r="M43353" s="112"/>
      <c r="N43353" s="84"/>
    </row>
    <row r="43354" spans="1:14" s="2" customFormat="1">
      <c r="A43354" s="83"/>
      <c r="H43354" s="83"/>
      <c r="K43354" s="82"/>
      <c r="M43354" s="112"/>
      <c r="N43354" s="84"/>
    </row>
    <row r="43355" spans="1:14" s="2" customFormat="1">
      <c r="A43355" s="83"/>
      <c r="H43355" s="83"/>
      <c r="K43355" s="82"/>
      <c r="M43355" s="112"/>
      <c r="N43355" s="84"/>
    </row>
    <row r="43356" spans="1:14" s="2" customFormat="1">
      <c r="A43356" s="83"/>
      <c r="H43356" s="83"/>
      <c r="K43356" s="82"/>
      <c r="M43356" s="112"/>
      <c r="N43356" s="84"/>
    </row>
    <row r="43357" spans="1:14" s="2" customFormat="1">
      <c r="A43357" s="83"/>
      <c r="H43357" s="83"/>
      <c r="K43357" s="82"/>
      <c r="M43357" s="112"/>
      <c r="N43357" s="84"/>
    </row>
    <row r="43358" spans="1:14" s="2" customFormat="1">
      <c r="A43358" s="83"/>
      <c r="H43358" s="83"/>
      <c r="K43358" s="82"/>
      <c r="M43358" s="112"/>
      <c r="N43358" s="84"/>
    </row>
    <row r="43359" spans="1:14" s="2" customFormat="1">
      <c r="A43359" s="83"/>
      <c r="H43359" s="83"/>
      <c r="K43359" s="82"/>
      <c r="M43359" s="112"/>
      <c r="N43359" s="84"/>
    </row>
    <row r="43360" spans="1:14" s="2" customFormat="1">
      <c r="A43360" s="83"/>
      <c r="H43360" s="83"/>
      <c r="K43360" s="82"/>
      <c r="M43360" s="112"/>
      <c r="N43360" s="84"/>
    </row>
    <row r="43361" spans="1:14" s="2" customFormat="1">
      <c r="A43361" s="83"/>
      <c r="H43361" s="83"/>
      <c r="K43361" s="82"/>
      <c r="M43361" s="112"/>
      <c r="N43361" s="84"/>
    </row>
    <row r="43362" spans="1:14" s="2" customFormat="1">
      <c r="A43362" s="83"/>
      <c r="H43362" s="83"/>
      <c r="K43362" s="82"/>
      <c r="M43362" s="112"/>
      <c r="N43362" s="84"/>
    </row>
    <row r="43363" spans="1:14" s="2" customFormat="1">
      <c r="A43363" s="83"/>
      <c r="H43363" s="83"/>
      <c r="K43363" s="82"/>
      <c r="M43363" s="112"/>
      <c r="N43363" s="84"/>
    </row>
    <row r="43364" spans="1:14" s="2" customFormat="1">
      <c r="A43364" s="83"/>
      <c r="H43364" s="83"/>
      <c r="K43364" s="82"/>
      <c r="M43364" s="112"/>
      <c r="N43364" s="84"/>
    </row>
    <row r="43365" spans="1:14" s="2" customFormat="1">
      <c r="A43365" s="83"/>
      <c r="H43365" s="83"/>
      <c r="K43365" s="82"/>
      <c r="M43365" s="112"/>
      <c r="N43365" s="84"/>
    </row>
    <row r="43366" spans="1:14" s="2" customFormat="1">
      <c r="A43366" s="83"/>
      <c r="H43366" s="83"/>
      <c r="K43366" s="82"/>
      <c r="M43366" s="112"/>
      <c r="N43366" s="84"/>
    </row>
    <row r="43367" spans="1:14" s="2" customFormat="1">
      <c r="A43367" s="83"/>
      <c r="H43367" s="83"/>
      <c r="K43367" s="82"/>
      <c r="M43367" s="112"/>
      <c r="N43367" s="84"/>
    </row>
    <row r="43368" spans="1:14" s="2" customFormat="1">
      <c r="A43368" s="83"/>
      <c r="H43368" s="83"/>
      <c r="K43368" s="82"/>
      <c r="M43368" s="112"/>
      <c r="N43368" s="84"/>
    </row>
    <row r="43369" spans="1:14" s="2" customFormat="1">
      <c r="A43369" s="83"/>
      <c r="H43369" s="83"/>
      <c r="K43369" s="82"/>
      <c r="M43369" s="112"/>
      <c r="N43369" s="84"/>
    </row>
    <row r="43370" spans="1:14" s="2" customFormat="1">
      <c r="A43370" s="83"/>
      <c r="H43370" s="83"/>
      <c r="K43370" s="82"/>
      <c r="M43370" s="112"/>
      <c r="N43370" s="84"/>
    </row>
    <row r="43371" spans="1:14" s="2" customFormat="1">
      <c r="A43371" s="83"/>
      <c r="H43371" s="83"/>
      <c r="K43371" s="82"/>
      <c r="M43371" s="112"/>
      <c r="N43371" s="84"/>
    </row>
    <row r="43372" spans="1:14" s="2" customFormat="1">
      <c r="A43372" s="83"/>
      <c r="H43372" s="83"/>
      <c r="K43372" s="82"/>
      <c r="M43372" s="112"/>
      <c r="N43372" s="84"/>
    </row>
    <row r="43373" spans="1:14" s="2" customFormat="1">
      <c r="A43373" s="83"/>
      <c r="H43373" s="83"/>
      <c r="K43373" s="82"/>
      <c r="M43373" s="112"/>
      <c r="N43373" s="84"/>
    </row>
    <row r="43374" spans="1:14" s="2" customFormat="1">
      <c r="A43374" s="83"/>
      <c r="H43374" s="83"/>
      <c r="K43374" s="82"/>
      <c r="M43374" s="112"/>
      <c r="N43374" s="84"/>
    </row>
    <row r="43375" spans="1:14" s="2" customFormat="1">
      <c r="A43375" s="83"/>
      <c r="H43375" s="83"/>
      <c r="K43375" s="82"/>
      <c r="M43375" s="112"/>
      <c r="N43375" s="84"/>
    </row>
    <row r="43376" spans="1:14" s="2" customFormat="1">
      <c r="A43376" s="83"/>
      <c r="H43376" s="83"/>
      <c r="K43376" s="82"/>
      <c r="M43376" s="112"/>
      <c r="N43376" s="84"/>
    </row>
    <row r="43377" spans="1:14" s="2" customFormat="1">
      <c r="A43377" s="83"/>
      <c r="H43377" s="83"/>
      <c r="K43377" s="82"/>
      <c r="M43377" s="112"/>
      <c r="N43377" s="84"/>
    </row>
    <row r="43378" spans="1:14" s="2" customFormat="1">
      <c r="A43378" s="83"/>
      <c r="H43378" s="83"/>
      <c r="K43378" s="82"/>
      <c r="M43378" s="112"/>
      <c r="N43378" s="84"/>
    </row>
    <row r="43379" spans="1:14" s="2" customFormat="1">
      <c r="A43379" s="83"/>
      <c r="H43379" s="83"/>
      <c r="K43379" s="82"/>
      <c r="M43379" s="112"/>
      <c r="N43379" s="84"/>
    </row>
    <row r="43380" spans="1:14" s="2" customFormat="1">
      <c r="A43380" s="83"/>
      <c r="H43380" s="83"/>
      <c r="K43380" s="82"/>
      <c r="M43380" s="112"/>
      <c r="N43380" s="84"/>
    </row>
    <row r="43381" spans="1:14" s="2" customFormat="1">
      <c r="A43381" s="83"/>
      <c r="H43381" s="83"/>
      <c r="K43381" s="82"/>
      <c r="M43381" s="112"/>
      <c r="N43381" s="84"/>
    </row>
    <row r="43382" spans="1:14" s="2" customFormat="1">
      <c r="A43382" s="83"/>
      <c r="H43382" s="83"/>
      <c r="K43382" s="82"/>
      <c r="M43382" s="112"/>
      <c r="N43382" s="84"/>
    </row>
    <row r="43383" spans="1:14" s="2" customFormat="1">
      <c r="A43383" s="83"/>
      <c r="H43383" s="83"/>
      <c r="K43383" s="82"/>
      <c r="M43383" s="112"/>
      <c r="N43383" s="84"/>
    </row>
    <row r="43384" spans="1:14" s="2" customFormat="1">
      <c r="A43384" s="83"/>
      <c r="H43384" s="83"/>
      <c r="K43384" s="82"/>
      <c r="M43384" s="112"/>
      <c r="N43384" s="84"/>
    </row>
    <row r="43385" spans="1:14" s="2" customFormat="1">
      <c r="A43385" s="83"/>
      <c r="H43385" s="83"/>
      <c r="K43385" s="82"/>
      <c r="M43385" s="112"/>
      <c r="N43385" s="84"/>
    </row>
    <row r="43386" spans="1:14" s="2" customFormat="1">
      <c r="A43386" s="83"/>
      <c r="H43386" s="83"/>
      <c r="K43386" s="82"/>
      <c r="M43386" s="112"/>
      <c r="N43386" s="84"/>
    </row>
    <row r="43387" spans="1:14" s="2" customFormat="1">
      <c r="A43387" s="83"/>
      <c r="H43387" s="83"/>
      <c r="K43387" s="82"/>
      <c r="M43387" s="112"/>
      <c r="N43387" s="84"/>
    </row>
    <row r="43388" spans="1:14" s="2" customFormat="1">
      <c r="A43388" s="83"/>
      <c r="H43388" s="83"/>
      <c r="K43388" s="82"/>
      <c r="M43388" s="112"/>
      <c r="N43388" s="84"/>
    </row>
    <row r="43389" spans="1:14" s="2" customFormat="1">
      <c r="A43389" s="83"/>
      <c r="H43389" s="83"/>
      <c r="K43389" s="82"/>
      <c r="M43389" s="112"/>
      <c r="N43389" s="84"/>
    </row>
    <row r="43390" spans="1:14" s="2" customFormat="1">
      <c r="A43390" s="83"/>
      <c r="H43390" s="83"/>
      <c r="K43390" s="82"/>
      <c r="M43390" s="112"/>
      <c r="N43390" s="84"/>
    </row>
    <row r="43391" spans="1:14" s="2" customFormat="1">
      <c r="A43391" s="83"/>
      <c r="H43391" s="83"/>
      <c r="K43391" s="82"/>
      <c r="M43391" s="112"/>
      <c r="N43391" s="84"/>
    </row>
    <row r="43392" spans="1:14" s="2" customFormat="1">
      <c r="A43392" s="83"/>
      <c r="H43392" s="83"/>
      <c r="K43392" s="82"/>
      <c r="M43392" s="112"/>
      <c r="N43392" s="84"/>
    </row>
    <row r="43393" spans="1:14" s="2" customFormat="1">
      <c r="A43393" s="83"/>
      <c r="H43393" s="83"/>
      <c r="K43393" s="82"/>
      <c r="M43393" s="112"/>
      <c r="N43393" s="84"/>
    </row>
    <row r="43394" spans="1:14" s="2" customFormat="1">
      <c r="A43394" s="83"/>
      <c r="H43394" s="83"/>
      <c r="K43394" s="82"/>
      <c r="M43394" s="112"/>
      <c r="N43394" s="84"/>
    </row>
    <row r="43395" spans="1:14" s="2" customFormat="1">
      <c r="A43395" s="83"/>
      <c r="H43395" s="83"/>
      <c r="K43395" s="82"/>
      <c r="M43395" s="112"/>
      <c r="N43395" s="84"/>
    </row>
    <row r="43396" spans="1:14" s="2" customFormat="1">
      <c r="A43396" s="83"/>
      <c r="H43396" s="83"/>
      <c r="K43396" s="82"/>
      <c r="M43396" s="112"/>
      <c r="N43396" s="84"/>
    </row>
    <row r="43397" spans="1:14" s="2" customFormat="1">
      <c r="A43397" s="83"/>
      <c r="H43397" s="83"/>
      <c r="K43397" s="82"/>
      <c r="M43397" s="112"/>
      <c r="N43397" s="84"/>
    </row>
    <row r="43398" spans="1:14" s="2" customFormat="1">
      <c r="A43398" s="83"/>
      <c r="H43398" s="83"/>
      <c r="K43398" s="82"/>
      <c r="M43398" s="112"/>
      <c r="N43398" s="84"/>
    </row>
    <row r="43399" spans="1:14" s="2" customFormat="1">
      <c r="A43399" s="83"/>
      <c r="H43399" s="83"/>
      <c r="K43399" s="82"/>
      <c r="M43399" s="112"/>
      <c r="N43399" s="84"/>
    </row>
    <row r="43400" spans="1:14" s="2" customFormat="1">
      <c r="A43400" s="83"/>
      <c r="H43400" s="83"/>
      <c r="K43400" s="82"/>
      <c r="M43400" s="112"/>
      <c r="N43400" s="84"/>
    </row>
    <row r="43401" spans="1:14" s="2" customFormat="1">
      <c r="A43401" s="83"/>
      <c r="H43401" s="83"/>
      <c r="K43401" s="82"/>
      <c r="M43401" s="112"/>
      <c r="N43401" s="84"/>
    </row>
    <row r="43402" spans="1:14" s="2" customFormat="1">
      <c r="A43402" s="83"/>
      <c r="H43402" s="83"/>
      <c r="K43402" s="82"/>
      <c r="M43402" s="112"/>
      <c r="N43402" s="84"/>
    </row>
    <row r="43403" spans="1:14" s="2" customFormat="1">
      <c r="A43403" s="83"/>
      <c r="H43403" s="83"/>
      <c r="K43403" s="82"/>
      <c r="M43403" s="112"/>
      <c r="N43403" s="84"/>
    </row>
    <row r="43404" spans="1:14" s="2" customFormat="1">
      <c r="A43404" s="83"/>
      <c r="H43404" s="83"/>
      <c r="K43404" s="82"/>
      <c r="M43404" s="112"/>
      <c r="N43404" s="84"/>
    </row>
    <row r="43405" spans="1:14" s="2" customFormat="1">
      <c r="A43405" s="83"/>
      <c r="H43405" s="83"/>
      <c r="K43405" s="82"/>
      <c r="M43405" s="112"/>
      <c r="N43405" s="84"/>
    </row>
    <row r="43406" spans="1:14" s="2" customFormat="1">
      <c r="A43406" s="83"/>
      <c r="H43406" s="83"/>
      <c r="K43406" s="82"/>
      <c r="M43406" s="112"/>
      <c r="N43406" s="84"/>
    </row>
    <row r="43407" spans="1:14" s="2" customFormat="1">
      <c r="A43407" s="83"/>
      <c r="H43407" s="83"/>
      <c r="K43407" s="82"/>
      <c r="M43407" s="112"/>
      <c r="N43407" s="84"/>
    </row>
    <row r="43408" spans="1:14" s="2" customFormat="1">
      <c r="A43408" s="83"/>
      <c r="H43408" s="83"/>
      <c r="K43408" s="82"/>
      <c r="M43408" s="112"/>
      <c r="N43408" s="84"/>
    </row>
    <row r="43409" spans="1:14" s="2" customFormat="1">
      <c r="A43409" s="83"/>
      <c r="H43409" s="83"/>
      <c r="K43409" s="82"/>
      <c r="M43409" s="112"/>
      <c r="N43409" s="84"/>
    </row>
    <row r="43410" spans="1:14" s="2" customFormat="1">
      <c r="A43410" s="83"/>
      <c r="H43410" s="83"/>
      <c r="K43410" s="82"/>
      <c r="M43410" s="112"/>
      <c r="N43410" s="84"/>
    </row>
    <row r="43411" spans="1:14" s="2" customFormat="1">
      <c r="A43411" s="83"/>
      <c r="H43411" s="83"/>
      <c r="K43411" s="82"/>
      <c r="M43411" s="112"/>
      <c r="N43411" s="84"/>
    </row>
    <row r="43412" spans="1:14" s="2" customFormat="1">
      <c r="A43412" s="83"/>
      <c r="H43412" s="83"/>
      <c r="K43412" s="82"/>
      <c r="M43412" s="112"/>
      <c r="N43412" s="84"/>
    </row>
    <row r="43413" spans="1:14" s="2" customFormat="1">
      <c r="A43413" s="83"/>
      <c r="H43413" s="83"/>
      <c r="K43413" s="82"/>
      <c r="M43413" s="112"/>
      <c r="N43413" s="84"/>
    </row>
    <row r="43414" spans="1:14" s="2" customFormat="1">
      <c r="A43414" s="83"/>
      <c r="H43414" s="83"/>
      <c r="K43414" s="82"/>
      <c r="M43414" s="112"/>
      <c r="N43414" s="84"/>
    </row>
    <row r="43415" spans="1:14" s="2" customFormat="1">
      <c r="A43415" s="83"/>
      <c r="H43415" s="83"/>
      <c r="K43415" s="82"/>
      <c r="M43415" s="112"/>
      <c r="N43415" s="84"/>
    </row>
    <row r="43416" spans="1:14" s="2" customFormat="1">
      <c r="A43416" s="83"/>
      <c r="H43416" s="83"/>
      <c r="K43416" s="82"/>
      <c r="M43416" s="112"/>
      <c r="N43416" s="84"/>
    </row>
    <row r="43417" spans="1:14" s="2" customFormat="1">
      <c r="A43417" s="83"/>
      <c r="H43417" s="83"/>
      <c r="K43417" s="82"/>
      <c r="M43417" s="112"/>
      <c r="N43417" s="84"/>
    </row>
    <row r="43418" spans="1:14" s="2" customFormat="1">
      <c r="A43418" s="83"/>
      <c r="H43418" s="83"/>
      <c r="K43418" s="82"/>
      <c r="M43418" s="112"/>
      <c r="N43418" s="84"/>
    </row>
    <row r="43419" spans="1:14" s="2" customFormat="1">
      <c r="A43419" s="83"/>
      <c r="H43419" s="83"/>
      <c r="K43419" s="82"/>
      <c r="M43419" s="112"/>
      <c r="N43419" s="84"/>
    </row>
    <row r="43420" spans="1:14" s="2" customFormat="1">
      <c r="A43420" s="83"/>
      <c r="H43420" s="83"/>
      <c r="K43420" s="82"/>
      <c r="M43420" s="112"/>
      <c r="N43420" s="84"/>
    </row>
    <row r="43421" spans="1:14" s="2" customFormat="1">
      <c r="A43421" s="83"/>
      <c r="H43421" s="83"/>
      <c r="K43421" s="82"/>
      <c r="M43421" s="112"/>
      <c r="N43421" s="84"/>
    </row>
    <row r="43422" spans="1:14" s="2" customFormat="1">
      <c r="A43422" s="83"/>
      <c r="H43422" s="83"/>
      <c r="K43422" s="82"/>
      <c r="M43422" s="112"/>
      <c r="N43422" s="84"/>
    </row>
    <row r="43423" spans="1:14" s="2" customFormat="1">
      <c r="A43423" s="83"/>
      <c r="H43423" s="83"/>
      <c r="K43423" s="82"/>
      <c r="M43423" s="112"/>
      <c r="N43423" s="84"/>
    </row>
    <row r="43424" spans="1:14" s="2" customFormat="1">
      <c r="A43424" s="83"/>
      <c r="H43424" s="83"/>
      <c r="K43424" s="82"/>
      <c r="M43424" s="112"/>
      <c r="N43424" s="84"/>
    </row>
    <row r="43425" spans="1:14" s="2" customFormat="1">
      <c r="A43425" s="83"/>
      <c r="H43425" s="83"/>
      <c r="K43425" s="82"/>
      <c r="M43425" s="112"/>
      <c r="N43425" s="84"/>
    </row>
    <row r="43426" spans="1:14" s="2" customFormat="1">
      <c r="A43426" s="83"/>
      <c r="H43426" s="83"/>
      <c r="K43426" s="82"/>
      <c r="M43426" s="112"/>
      <c r="N43426" s="84"/>
    </row>
    <row r="43427" spans="1:14" s="2" customFormat="1">
      <c r="A43427" s="83"/>
      <c r="H43427" s="83"/>
      <c r="K43427" s="82"/>
      <c r="M43427" s="112"/>
      <c r="N43427" s="84"/>
    </row>
    <row r="43428" spans="1:14" s="2" customFormat="1">
      <c r="A43428" s="83"/>
      <c r="H43428" s="83"/>
      <c r="K43428" s="82"/>
      <c r="M43428" s="112"/>
      <c r="N43428" s="84"/>
    </row>
    <row r="43429" spans="1:14" s="2" customFormat="1">
      <c r="A43429" s="83"/>
      <c r="H43429" s="83"/>
      <c r="K43429" s="82"/>
      <c r="M43429" s="112"/>
      <c r="N43429" s="84"/>
    </row>
    <row r="43430" spans="1:14" s="2" customFormat="1">
      <c r="A43430" s="83"/>
      <c r="H43430" s="83"/>
      <c r="K43430" s="82"/>
      <c r="M43430" s="112"/>
      <c r="N43430" s="84"/>
    </row>
    <row r="43431" spans="1:14" s="2" customFormat="1">
      <c r="A43431" s="83"/>
      <c r="H43431" s="83"/>
      <c r="K43431" s="82"/>
      <c r="M43431" s="112"/>
      <c r="N43431" s="84"/>
    </row>
    <row r="43432" spans="1:14" s="2" customFormat="1">
      <c r="A43432" s="83"/>
      <c r="H43432" s="83"/>
      <c r="K43432" s="82"/>
      <c r="M43432" s="112"/>
      <c r="N43432" s="84"/>
    </row>
    <row r="43433" spans="1:14" s="2" customFormat="1">
      <c r="A43433" s="83"/>
      <c r="H43433" s="83"/>
      <c r="K43433" s="82"/>
      <c r="M43433" s="112"/>
      <c r="N43433" s="84"/>
    </row>
    <row r="43434" spans="1:14" s="2" customFormat="1">
      <c r="A43434" s="83"/>
      <c r="H43434" s="83"/>
      <c r="K43434" s="82"/>
      <c r="M43434" s="112"/>
      <c r="N43434" s="84"/>
    </row>
    <row r="43435" spans="1:14" s="2" customFormat="1">
      <c r="A43435" s="83"/>
      <c r="H43435" s="83"/>
      <c r="K43435" s="82"/>
      <c r="M43435" s="112"/>
      <c r="N43435" s="84"/>
    </row>
    <row r="43436" spans="1:14" s="2" customFormat="1">
      <c r="A43436" s="83"/>
      <c r="H43436" s="83"/>
      <c r="K43436" s="82"/>
      <c r="M43436" s="112"/>
      <c r="N43436" s="84"/>
    </row>
    <row r="43437" spans="1:14" s="2" customFormat="1">
      <c r="A43437" s="83"/>
      <c r="H43437" s="83"/>
      <c r="K43437" s="82"/>
      <c r="M43437" s="112"/>
      <c r="N43437" s="84"/>
    </row>
    <row r="43438" spans="1:14" s="2" customFormat="1">
      <c r="A43438" s="83"/>
      <c r="H43438" s="83"/>
      <c r="K43438" s="82"/>
      <c r="M43438" s="112"/>
      <c r="N43438" s="84"/>
    </row>
    <row r="43439" spans="1:14" s="2" customFormat="1">
      <c r="A43439" s="83"/>
      <c r="H43439" s="83"/>
      <c r="K43439" s="82"/>
      <c r="M43439" s="112"/>
      <c r="N43439" s="84"/>
    </row>
    <row r="43440" spans="1:14" s="2" customFormat="1">
      <c r="A43440" s="83"/>
      <c r="H43440" s="83"/>
      <c r="K43440" s="82"/>
      <c r="M43440" s="112"/>
      <c r="N43440" s="84"/>
    </row>
    <row r="43441" spans="1:14" s="2" customFormat="1">
      <c r="A43441" s="83"/>
      <c r="H43441" s="83"/>
      <c r="K43441" s="82"/>
      <c r="M43441" s="112"/>
      <c r="N43441" s="84"/>
    </row>
    <row r="43442" spans="1:14" s="2" customFormat="1">
      <c r="A43442" s="83"/>
      <c r="H43442" s="83"/>
      <c r="K43442" s="82"/>
      <c r="M43442" s="112"/>
      <c r="N43442" s="84"/>
    </row>
    <row r="43443" spans="1:14" s="2" customFormat="1">
      <c r="A43443" s="83"/>
      <c r="H43443" s="83"/>
      <c r="K43443" s="82"/>
      <c r="M43443" s="112"/>
      <c r="N43443" s="84"/>
    </row>
    <row r="43444" spans="1:14" s="2" customFormat="1">
      <c r="A43444" s="83"/>
      <c r="H43444" s="83"/>
      <c r="K43444" s="82"/>
      <c r="M43444" s="112"/>
      <c r="N43444" s="84"/>
    </row>
    <row r="43445" spans="1:14" s="2" customFormat="1">
      <c r="A43445" s="83"/>
      <c r="H43445" s="83"/>
      <c r="K43445" s="82"/>
      <c r="M43445" s="112"/>
      <c r="N43445" s="84"/>
    </row>
    <row r="43446" spans="1:14" s="2" customFormat="1">
      <c r="A43446" s="83"/>
      <c r="H43446" s="83"/>
      <c r="K43446" s="82"/>
      <c r="M43446" s="112"/>
      <c r="N43446" s="84"/>
    </row>
    <row r="43447" spans="1:14" s="2" customFormat="1">
      <c r="A43447" s="83"/>
      <c r="H43447" s="83"/>
      <c r="K43447" s="82"/>
      <c r="M43447" s="112"/>
      <c r="N43447" s="84"/>
    </row>
    <row r="43448" spans="1:14" s="2" customFormat="1">
      <c r="A43448" s="83"/>
      <c r="H43448" s="83"/>
      <c r="K43448" s="82"/>
      <c r="M43448" s="112"/>
      <c r="N43448" s="84"/>
    </row>
    <row r="43449" spans="1:14" s="2" customFormat="1">
      <c r="A43449" s="83"/>
      <c r="H43449" s="83"/>
      <c r="K43449" s="82"/>
      <c r="M43449" s="112"/>
      <c r="N43449" s="84"/>
    </row>
    <row r="43450" spans="1:14" s="2" customFormat="1">
      <c r="A43450" s="83"/>
      <c r="H43450" s="83"/>
      <c r="K43450" s="82"/>
      <c r="M43450" s="112"/>
      <c r="N43450" s="84"/>
    </row>
    <row r="43451" spans="1:14" s="2" customFormat="1">
      <c r="A43451" s="83"/>
      <c r="H43451" s="83"/>
      <c r="K43451" s="82"/>
      <c r="M43451" s="112"/>
      <c r="N43451" s="84"/>
    </row>
    <row r="43452" spans="1:14" s="2" customFormat="1">
      <c r="A43452" s="83"/>
      <c r="H43452" s="83"/>
      <c r="K43452" s="82"/>
      <c r="M43452" s="112"/>
      <c r="N43452" s="84"/>
    </row>
    <row r="43453" spans="1:14" s="2" customFormat="1">
      <c r="A43453" s="83"/>
      <c r="H43453" s="83"/>
      <c r="K43453" s="82"/>
      <c r="M43453" s="112"/>
      <c r="N43453" s="84"/>
    </row>
    <row r="43454" spans="1:14" s="2" customFormat="1">
      <c r="A43454" s="83"/>
      <c r="H43454" s="83"/>
      <c r="K43454" s="82"/>
      <c r="M43454" s="112"/>
      <c r="N43454" s="84"/>
    </row>
    <row r="43455" spans="1:14" s="2" customFormat="1">
      <c r="A43455" s="83"/>
      <c r="H43455" s="83"/>
      <c r="K43455" s="82"/>
      <c r="M43455" s="112"/>
      <c r="N43455" s="84"/>
    </row>
    <row r="43456" spans="1:14" s="2" customFormat="1">
      <c r="A43456" s="83"/>
      <c r="H43456" s="83"/>
      <c r="K43456" s="82"/>
      <c r="M43456" s="112"/>
      <c r="N43456" s="84"/>
    </row>
    <row r="43457" spans="1:14" s="2" customFormat="1">
      <c r="A43457" s="83"/>
      <c r="H43457" s="83"/>
      <c r="K43457" s="82"/>
      <c r="M43457" s="112"/>
      <c r="N43457" s="84"/>
    </row>
    <row r="43458" spans="1:14" s="2" customFormat="1">
      <c r="A43458" s="83"/>
      <c r="H43458" s="83"/>
      <c r="K43458" s="82"/>
      <c r="M43458" s="112"/>
      <c r="N43458" s="84"/>
    </row>
    <row r="43459" spans="1:14" s="2" customFormat="1">
      <c r="A43459" s="83"/>
      <c r="H43459" s="83"/>
      <c r="K43459" s="82"/>
      <c r="M43459" s="112"/>
      <c r="N43459" s="84"/>
    </row>
    <row r="43460" spans="1:14" s="2" customFormat="1">
      <c r="A43460" s="83"/>
      <c r="H43460" s="83"/>
      <c r="K43460" s="82"/>
      <c r="M43460" s="112"/>
      <c r="N43460" s="84"/>
    </row>
    <row r="43461" spans="1:14" s="2" customFormat="1">
      <c r="A43461" s="83"/>
      <c r="H43461" s="83"/>
      <c r="K43461" s="82"/>
      <c r="M43461" s="112"/>
      <c r="N43461" s="84"/>
    </row>
    <row r="43462" spans="1:14" s="2" customFormat="1">
      <c r="A43462" s="83"/>
      <c r="H43462" s="83"/>
      <c r="K43462" s="82"/>
      <c r="M43462" s="112"/>
      <c r="N43462" s="84"/>
    </row>
    <row r="43463" spans="1:14" s="2" customFormat="1">
      <c r="A43463" s="83"/>
      <c r="H43463" s="83"/>
      <c r="K43463" s="82"/>
      <c r="M43463" s="112"/>
      <c r="N43463" s="84"/>
    </row>
    <row r="43464" spans="1:14" s="2" customFormat="1">
      <c r="A43464" s="83"/>
      <c r="H43464" s="83"/>
      <c r="K43464" s="82"/>
      <c r="M43464" s="112"/>
      <c r="N43464" s="84"/>
    </row>
    <row r="43465" spans="1:14" s="2" customFormat="1">
      <c r="A43465" s="83"/>
      <c r="H43465" s="83"/>
      <c r="K43465" s="82"/>
      <c r="M43465" s="112"/>
      <c r="N43465" s="84"/>
    </row>
    <row r="43466" spans="1:14" s="2" customFormat="1">
      <c r="A43466" s="83"/>
      <c r="H43466" s="83"/>
      <c r="K43466" s="82"/>
      <c r="M43466" s="112"/>
      <c r="N43466" s="84"/>
    </row>
    <row r="43467" spans="1:14" s="2" customFormat="1">
      <c r="A43467" s="83"/>
      <c r="H43467" s="83"/>
      <c r="K43467" s="82"/>
      <c r="M43467" s="112"/>
      <c r="N43467" s="84"/>
    </row>
    <row r="43468" spans="1:14" s="2" customFormat="1">
      <c r="A43468" s="83"/>
      <c r="H43468" s="83"/>
      <c r="K43468" s="82"/>
      <c r="M43468" s="112"/>
      <c r="N43468" s="84"/>
    </row>
    <row r="43469" spans="1:14" s="2" customFormat="1">
      <c r="A43469" s="83"/>
      <c r="H43469" s="83"/>
      <c r="K43469" s="82"/>
      <c r="M43469" s="112"/>
      <c r="N43469" s="84"/>
    </row>
    <row r="43470" spans="1:14" s="2" customFormat="1">
      <c r="A43470" s="83"/>
      <c r="H43470" s="83"/>
      <c r="K43470" s="82"/>
      <c r="M43470" s="112"/>
      <c r="N43470" s="84"/>
    </row>
    <row r="43471" spans="1:14" s="2" customFormat="1">
      <c r="A43471" s="83"/>
      <c r="H43471" s="83"/>
      <c r="K43471" s="82"/>
      <c r="M43471" s="112"/>
      <c r="N43471" s="84"/>
    </row>
    <row r="43472" spans="1:14" s="2" customFormat="1">
      <c r="A43472" s="83"/>
      <c r="H43472" s="83"/>
      <c r="K43472" s="82"/>
      <c r="M43472" s="112"/>
      <c r="N43472" s="84"/>
    </row>
    <row r="43473" spans="1:14" s="2" customFormat="1">
      <c r="A43473" s="83"/>
      <c r="H43473" s="83"/>
      <c r="K43473" s="82"/>
      <c r="M43473" s="112"/>
      <c r="N43473" s="84"/>
    </row>
    <row r="43474" spans="1:14" s="2" customFormat="1">
      <c r="A43474" s="83"/>
      <c r="H43474" s="83"/>
      <c r="K43474" s="82"/>
      <c r="M43474" s="112"/>
      <c r="N43474" s="84"/>
    </row>
    <row r="43475" spans="1:14" s="2" customFormat="1">
      <c r="A43475" s="83"/>
      <c r="H43475" s="83"/>
      <c r="K43475" s="82"/>
      <c r="M43475" s="112"/>
      <c r="N43475" s="84"/>
    </row>
    <row r="43476" spans="1:14" s="2" customFormat="1">
      <c r="A43476" s="83"/>
      <c r="H43476" s="83"/>
      <c r="K43476" s="82"/>
      <c r="M43476" s="112"/>
      <c r="N43476" s="84"/>
    </row>
    <row r="43477" spans="1:14" s="2" customFormat="1">
      <c r="A43477" s="83"/>
      <c r="H43477" s="83"/>
      <c r="K43477" s="82"/>
      <c r="M43477" s="112"/>
      <c r="N43477" s="84"/>
    </row>
    <row r="43478" spans="1:14" s="2" customFormat="1">
      <c r="A43478" s="83"/>
      <c r="H43478" s="83"/>
      <c r="K43478" s="82"/>
      <c r="M43478" s="112"/>
      <c r="N43478" s="84"/>
    </row>
    <row r="43479" spans="1:14" s="2" customFormat="1">
      <c r="A43479" s="83"/>
      <c r="H43479" s="83"/>
      <c r="K43479" s="82"/>
      <c r="M43479" s="112"/>
      <c r="N43479" s="84"/>
    </row>
    <row r="43480" spans="1:14" s="2" customFormat="1">
      <c r="A43480" s="83"/>
      <c r="H43480" s="83"/>
      <c r="K43480" s="82"/>
      <c r="M43480" s="112"/>
      <c r="N43480" s="84"/>
    </row>
    <row r="43481" spans="1:14" s="2" customFormat="1">
      <c r="A43481" s="83"/>
      <c r="H43481" s="83"/>
      <c r="K43481" s="82"/>
      <c r="M43481" s="112"/>
      <c r="N43481" s="84"/>
    </row>
    <row r="43482" spans="1:14" s="2" customFormat="1">
      <c r="A43482" s="83"/>
      <c r="H43482" s="83"/>
      <c r="K43482" s="82"/>
      <c r="M43482" s="112"/>
      <c r="N43482" s="84"/>
    </row>
    <row r="43483" spans="1:14" s="2" customFormat="1">
      <c r="A43483" s="83"/>
      <c r="H43483" s="83"/>
      <c r="K43483" s="82"/>
      <c r="M43483" s="112"/>
      <c r="N43483" s="84"/>
    </row>
    <row r="43484" spans="1:14" s="2" customFormat="1">
      <c r="A43484" s="83"/>
      <c r="H43484" s="83"/>
      <c r="K43484" s="82"/>
      <c r="M43484" s="112"/>
      <c r="N43484" s="84"/>
    </row>
    <row r="43485" spans="1:14" s="2" customFormat="1">
      <c r="A43485" s="83"/>
      <c r="H43485" s="83"/>
      <c r="K43485" s="82"/>
      <c r="M43485" s="112"/>
      <c r="N43485" s="84"/>
    </row>
    <row r="43486" spans="1:14" s="2" customFormat="1">
      <c r="A43486" s="83"/>
      <c r="H43486" s="83"/>
      <c r="K43486" s="82"/>
      <c r="M43486" s="112"/>
      <c r="N43486" s="84"/>
    </row>
    <row r="43487" spans="1:14" s="2" customFormat="1">
      <c r="A43487" s="83"/>
      <c r="H43487" s="83"/>
      <c r="K43487" s="82"/>
      <c r="M43487" s="112"/>
      <c r="N43487" s="84"/>
    </row>
    <row r="43488" spans="1:14" s="2" customFormat="1">
      <c r="A43488" s="83"/>
      <c r="H43488" s="83"/>
      <c r="K43488" s="82"/>
      <c r="M43488" s="112"/>
      <c r="N43488" s="84"/>
    </row>
    <row r="43489" spans="1:14" s="2" customFormat="1">
      <c r="A43489" s="83"/>
      <c r="H43489" s="83"/>
      <c r="K43489" s="82"/>
      <c r="M43489" s="112"/>
      <c r="N43489" s="84"/>
    </row>
    <row r="43490" spans="1:14" s="2" customFormat="1">
      <c r="A43490" s="83"/>
      <c r="H43490" s="83"/>
      <c r="K43490" s="82"/>
      <c r="M43490" s="112"/>
      <c r="N43490" s="84"/>
    </row>
    <row r="43491" spans="1:14" s="2" customFormat="1">
      <c r="A43491" s="83"/>
      <c r="H43491" s="83"/>
      <c r="K43491" s="82"/>
      <c r="M43491" s="112"/>
      <c r="N43491" s="84"/>
    </row>
    <row r="43492" spans="1:14" s="2" customFormat="1">
      <c r="A43492" s="83"/>
      <c r="H43492" s="83"/>
      <c r="K43492" s="82"/>
      <c r="M43492" s="112"/>
      <c r="N43492" s="84"/>
    </row>
    <row r="43493" spans="1:14" s="2" customFormat="1">
      <c r="A43493" s="83"/>
      <c r="H43493" s="83"/>
      <c r="K43493" s="82"/>
      <c r="M43493" s="112"/>
      <c r="N43493" s="84"/>
    </row>
    <row r="43494" spans="1:14" s="2" customFormat="1">
      <c r="A43494" s="83"/>
      <c r="H43494" s="83"/>
      <c r="K43494" s="82"/>
      <c r="M43494" s="112"/>
      <c r="N43494" s="84"/>
    </row>
    <row r="43495" spans="1:14" s="2" customFormat="1">
      <c r="A43495" s="83"/>
      <c r="H43495" s="83"/>
      <c r="K43495" s="82"/>
      <c r="M43495" s="112"/>
      <c r="N43495" s="84"/>
    </row>
    <row r="43496" spans="1:14" s="2" customFormat="1">
      <c r="A43496" s="83"/>
      <c r="H43496" s="83"/>
      <c r="K43496" s="82"/>
      <c r="M43496" s="112"/>
      <c r="N43496" s="84"/>
    </row>
    <row r="43497" spans="1:14" s="2" customFormat="1">
      <c r="A43497" s="83"/>
      <c r="H43497" s="83"/>
      <c r="K43497" s="82"/>
      <c r="M43497" s="112"/>
      <c r="N43497" s="84"/>
    </row>
    <row r="43498" spans="1:14" s="2" customFormat="1">
      <c r="A43498" s="83"/>
      <c r="H43498" s="83"/>
      <c r="K43498" s="82"/>
      <c r="M43498" s="112"/>
      <c r="N43498" s="84"/>
    </row>
    <row r="43499" spans="1:14" s="2" customFormat="1">
      <c r="A43499" s="83"/>
      <c r="H43499" s="83"/>
      <c r="K43499" s="82"/>
      <c r="M43499" s="112"/>
      <c r="N43499" s="84"/>
    </row>
    <row r="43500" spans="1:14" s="2" customFormat="1">
      <c r="A43500" s="83"/>
      <c r="H43500" s="83"/>
      <c r="K43500" s="82"/>
      <c r="M43500" s="112"/>
      <c r="N43500" s="84"/>
    </row>
    <row r="43501" spans="1:14" s="2" customFormat="1">
      <c r="A43501" s="83"/>
      <c r="H43501" s="83"/>
      <c r="K43501" s="82"/>
      <c r="M43501" s="112"/>
      <c r="N43501" s="84"/>
    </row>
    <row r="43502" spans="1:14" s="2" customFormat="1">
      <c r="A43502" s="83"/>
      <c r="H43502" s="83"/>
      <c r="K43502" s="82"/>
      <c r="M43502" s="112"/>
      <c r="N43502" s="84"/>
    </row>
    <row r="43503" spans="1:14" s="2" customFormat="1">
      <c r="A43503" s="83"/>
      <c r="H43503" s="83"/>
      <c r="K43503" s="82"/>
      <c r="M43503" s="112"/>
      <c r="N43503" s="84"/>
    </row>
    <row r="43504" spans="1:14" s="2" customFormat="1">
      <c r="A43504" s="83"/>
      <c r="H43504" s="83"/>
      <c r="K43504" s="82"/>
      <c r="M43504" s="112"/>
      <c r="N43504" s="84"/>
    </row>
    <row r="43505" spans="1:14" s="2" customFormat="1">
      <c r="A43505" s="83"/>
      <c r="H43505" s="83"/>
      <c r="K43505" s="82"/>
      <c r="M43505" s="112"/>
      <c r="N43505" s="84"/>
    </row>
    <row r="43506" spans="1:14" s="2" customFormat="1">
      <c r="A43506" s="83"/>
      <c r="H43506" s="83"/>
      <c r="K43506" s="82"/>
      <c r="M43506" s="112"/>
      <c r="N43506" s="84"/>
    </row>
    <row r="43507" spans="1:14" s="2" customFormat="1">
      <c r="A43507" s="83"/>
      <c r="H43507" s="83"/>
      <c r="K43507" s="82"/>
      <c r="M43507" s="112"/>
      <c r="N43507" s="84"/>
    </row>
    <row r="43508" spans="1:14" s="2" customFormat="1">
      <c r="A43508" s="83"/>
      <c r="H43508" s="83"/>
      <c r="K43508" s="82"/>
      <c r="M43508" s="112"/>
      <c r="N43508" s="84"/>
    </row>
    <row r="43509" spans="1:14" s="2" customFormat="1">
      <c r="A43509" s="83"/>
      <c r="H43509" s="83"/>
      <c r="K43509" s="82"/>
      <c r="M43509" s="112"/>
      <c r="N43509" s="84"/>
    </row>
    <row r="43510" spans="1:14" s="2" customFormat="1">
      <c r="A43510" s="83"/>
      <c r="H43510" s="83"/>
      <c r="K43510" s="82"/>
      <c r="M43510" s="112"/>
      <c r="N43510" s="84"/>
    </row>
    <row r="43511" spans="1:14" s="2" customFormat="1">
      <c r="A43511" s="83"/>
      <c r="H43511" s="83"/>
      <c r="K43511" s="82"/>
      <c r="M43511" s="112"/>
      <c r="N43511" s="84"/>
    </row>
    <row r="43512" spans="1:14" s="2" customFormat="1">
      <c r="A43512" s="83"/>
      <c r="H43512" s="83"/>
      <c r="K43512" s="82"/>
      <c r="M43512" s="112"/>
      <c r="N43512" s="84"/>
    </row>
    <row r="43513" spans="1:14" s="2" customFormat="1">
      <c r="A43513" s="83"/>
      <c r="H43513" s="83"/>
      <c r="K43513" s="82"/>
      <c r="M43513" s="112"/>
      <c r="N43513" s="84"/>
    </row>
    <row r="43514" spans="1:14" s="2" customFormat="1">
      <c r="A43514" s="83"/>
      <c r="H43514" s="83"/>
      <c r="K43514" s="82"/>
      <c r="M43514" s="112"/>
      <c r="N43514" s="84"/>
    </row>
    <row r="43515" spans="1:14" s="2" customFormat="1">
      <c r="A43515" s="83"/>
      <c r="H43515" s="83"/>
      <c r="K43515" s="82"/>
      <c r="M43515" s="112"/>
      <c r="N43515" s="84"/>
    </row>
    <row r="43516" spans="1:14" s="2" customFormat="1">
      <c r="A43516" s="83"/>
      <c r="H43516" s="83"/>
      <c r="K43516" s="82"/>
      <c r="M43516" s="112"/>
      <c r="N43516" s="84"/>
    </row>
    <row r="43517" spans="1:14" s="2" customFormat="1">
      <c r="A43517" s="83"/>
      <c r="H43517" s="83"/>
      <c r="K43517" s="82"/>
      <c r="M43517" s="112"/>
      <c r="N43517" s="84"/>
    </row>
    <row r="43518" spans="1:14" s="2" customFormat="1">
      <c r="A43518" s="83"/>
      <c r="H43518" s="83"/>
      <c r="K43518" s="82"/>
      <c r="M43518" s="112"/>
      <c r="N43518" s="84"/>
    </row>
    <row r="43519" spans="1:14" s="2" customFormat="1">
      <c r="A43519" s="83"/>
      <c r="H43519" s="83"/>
      <c r="K43519" s="82"/>
      <c r="M43519" s="112"/>
      <c r="N43519" s="84"/>
    </row>
    <row r="43520" spans="1:14" s="2" customFormat="1">
      <c r="A43520" s="83"/>
      <c r="H43520" s="83"/>
      <c r="K43520" s="82"/>
      <c r="M43520" s="112"/>
      <c r="N43520" s="84"/>
    </row>
    <row r="43521" spans="1:14" s="2" customFormat="1">
      <c r="A43521" s="83"/>
      <c r="H43521" s="83"/>
      <c r="K43521" s="82"/>
      <c r="M43521" s="112"/>
      <c r="N43521" s="84"/>
    </row>
    <row r="43522" spans="1:14" s="2" customFormat="1">
      <c r="A43522" s="83"/>
      <c r="H43522" s="83"/>
      <c r="K43522" s="82"/>
      <c r="M43522" s="112"/>
      <c r="N43522" s="84"/>
    </row>
    <row r="43523" spans="1:14" s="2" customFormat="1">
      <c r="A43523" s="83"/>
      <c r="H43523" s="83"/>
      <c r="K43523" s="82"/>
      <c r="M43523" s="112"/>
      <c r="N43523" s="84"/>
    </row>
    <row r="43524" spans="1:14" s="2" customFormat="1">
      <c r="A43524" s="83"/>
      <c r="H43524" s="83"/>
      <c r="K43524" s="82"/>
      <c r="M43524" s="112"/>
      <c r="N43524" s="84"/>
    </row>
    <row r="43525" spans="1:14" s="2" customFormat="1">
      <c r="A43525" s="83"/>
      <c r="H43525" s="83"/>
      <c r="K43525" s="82"/>
      <c r="M43525" s="112"/>
      <c r="N43525" s="84"/>
    </row>
    <row r="43526" spans="1:14" s="2" customFormat="1">
      <c r="A43526" s="83"/>
      <c r="H43526" s="83"/>
      <c r="K43526" s="82"/>
      <c r="M43526" s="112"/>
      <c r="N43526" s="84"/>
    </row>
    <row r="43527" spans="1:14" s="2" customFormat="1">
      <c r="A43527" s="83"/>
      <c r="H43527" s="83"/>
      <c r="K43527" s="82"/>
      <c r="M43527" s="112"/>
      <c r="N43527" s="84"/>
    </row>
    <row r="43528" spans="1:14" s="2" customFormat="1">
      <c r="A43528" s="83"/>
      <c r="H43528" s="83"/>
      <c r="K43528" s="82"/>
      <c r="M43528" s="112"/>
      <c r="N43528" s="84"/>
    </row>
    <row r="43529" spans="1:14" s="2" customFormat="1">
      <c r="A43529" s="83"/>
      <c r="H43529" s="83"/>
      <c r="K43529" s="82"/>
      <c r="M43529" s="112"/>
      <c r="N43529" s="84"/>
    </row>
    <row r="43530" spans="1:14" s="2" customFormat="1">
      <c r="A43530" s="83"/>
      <c r="H43530" s="83"/>
      <c r="K43530" s="82"/>
      <c r="M43530" s="112"/>
      <c r="N43530" s="84"/>
    </row>
    <row r="43531" spans="1:14" s="2" customFormat="1">
      <c r="A43531" s="83"/>
      <c r="H43531" s="83"/>
      <c r="K43531" s="82"/>
      <c r="M43531" s="112"/>
      <c r="N43531" s="84"/>
    </row>
    <row r="43532" spans="1:14" s="2" customFormat="1">
      <c r="A43532" s="83"/>
      <c r="H43532" s="83"/>
      <c r="K43532" s="82"/>
      <c r="M43532" s="112"/>
      <c r="N43532" s="84"/>
    </row>
    <row r="43533" spans="1:14" s="2" customFormat="1">
      <c r="A43533" s="83"/>
      <c r="H43533" s="83"/>
      <c r="K43533" s="82"/>
      <c r="M43533" s="112"/>
      <c r="N43533" s="84"/>
    </row>
    <row r="43534" spans="1:14" s="2" customFormat="1">
      <c r="A43534" s="83"/>
      <c r="H43534" s="83"/>
      <c r="K43534" s="82"/>
      <c r="M43534" s="112"/>
      <c r="N43534" s="84"/>
    </row>
    <row r="43535" spans="1:14" s="2" customFormat="1">
      <c r="A43535" s="83"/>
      <c r="H43535" s="83"/>
      <c r="K43535" s="82"/>
      <c r="M43535" s="112"/>
      <c r="N43535" s="84"/>
    </row>
    <row r="43536" spans="1:14" s="2" customFormat="1">
      <c r="A43536" s="83"/>
      <c r="H43536" s="83"/>
      <c r="K43536" s="82"/>
      <c r="M43536" s="112"/>
      <c r="N43536" s="84"/>
    </row>
    <row r="43537" spans="1:14" s="2" customFormat="1">
      <c r="A43537" s="83"/>
      <c r="H43537" s="83"/>
      <c r="K43537" s="82"/>
      <c r="M43537" s="112"/>
      <c r="N43537" s="84"/>
    </row>
    <row r="43538" spans="1:14" s="2" customFormat="1">
      <c r="A43538" s="83"/>
      <c r="H43538" s="83"/>
      <c r="K43538" s="82"/>
      <c r="M43538" s="112"/>
      <c r="N43538" s="84"/>
    </row>
    <row r="43539" spans="1:14" s="2" customFormat="1">
      <c r="A43539" s="83"/>
      <c r="H43539" s="83"/>
      <c r="K43539" s="82"/>
      <c r="M43539" s="112"/>
      <c r="N43539" s="84"/>
    </row>
    <row r="43540" spans="1:14" s="2" customFormat="1">
      <c r="A43540" s="83"/>
      <c r="H43540" s="83"/>
      <c r="K43540" s="82"/>
      <c r="M43540" s="112"/>
      <c r="N43540" s="84"/>
    </row>
    <row r="43541" spans="1:14" s="2" customFormat="1">
      <c r="A43541" s="83"/>
      <c r="H43541" s="83"/>
      <c r="K43541" s="82"/>
      <c r="M43541" s="112"/>
      <c r="N43541" s="84"/>
    </row>
    <row r="43542" spans="1:14" s="2" customFormat="1">
      <c r="A43542" s="83"/>
      <c r="H43542" s="83"/>
      <c r="K43542" s="82"/>
      <c r="M43542" s="112"/>
      <c r="N43542" s="84"/>
    </row>
    <row r="43543" spans="1:14" s="2" customFormat="1">
      <c r="A43543" s="83"/>
      <c r="H43543" s="83"/>
      <c r="K43543" s="82"/>
      <c r="M43543" s="112"/>
      <c r="N43543" s="84"/>
    </row>
    <row r="43544" spans="1:14" s="2" customFormat="1">
      <c r="A43544" s="83"/>
      <c r="H43544" s="83"/>
      <c r="K43544" s="82"/>
      <c r="M43544" s="112"/>
      <c r="N43544" s="84"/>
    </row>
    <row r="43545" spans="1:14" s="2" customFormat="1">
      <c r="A43545" s="83"/>
      <c r="H43545" s="83"/>
      <c r="K43545" s="82"/>
      <c r="M43545" s="112"/>
      <c r="N43545" s="84"/>
    </row>
    <row r="43546" spans="1:14" s="2" customFormat="1">
      <c r="A43546" s="83"/>
      <c r="H43546" s="83"/>
      <c r="K43546" s="82"/>
      <c r="M43546" s="112"/>
      <c r="N43546" s="84"/>
    </row>
    <row r="43547" spans="1:14" s="2" customFormat="1">
      <c r="A43547" s="83"/>
      <c r="H43547" s="83"/>
      <c r="K43547" s="82"/>
      <c r="M43547" s="112"/>
      <c r="N43547" s="84"/>
    </row>
    <row r="43548" spans="1:14" s="2" customFormat="1">
      <c r="A43548" s="83"/>
      <c r="H43548" s="83"/>
      <c r="K43548" s="82"/>
      <c r="M43548" s="112"/>
      <c r="N43548" s="84"/>
    </row>
    <row r="43549" spans="1:14" s="2" customFormat="1">
      <c r="A43549" s="83"/>
      <c r="H43549" s="83"/>
      <c r="K43549" s="82"/>
      <c r="M43549" s="112"/>
      <c r="N43549" s="84"/>
    </row>
    <row r="43550" spans="1:14" s="2" customFormat="1">
      <c r="A43550" s="83"/>
      <c r="H43550" s="83"/>
      <c r="K43550" s="82"/>
      <c r="M43550" s="112"/>
      <c r="N43550" s="84"/>
    </row>
    <row r="43551" spans="1:14" s="2" customFormat="1">
      <c r="A43551" s="83"/>
      <c r="H43551" s="83"/>
      <c r="K43551" s="82"/>
      <c r="M43551" s="112"/>
      <c r="N43551" s="84"/>
    </row>
    <row r="43552" spans="1:14" s="2" customFormat="1">
      <c r="A43552" s="83"/>
      <c r="H43552" s="83"/>
      <c r="K43552" s="82"/>
      <c r="M43552" s="112"/>
      <c r="N43552" s="84"/>
    </row>
    <row r="43553" spans="1:14" s="2" customFormat="1">
      <c r="A43553" s="83"/>
      <c r="H43553" s="83"/>
      <c r="K43553" s="82"/>
      <c r="M43553" s="112"/>
      <c r="N43553" s="84"/>
    </row>
    <row r="43554" spans="1:14" s="2" customFormat="1">
      <c r="A43554" s="83"/>
      <c r="H43554" s="83"/>
      <c r="K43554" s="82"/>
      <c r="M43554" s="112"/>
      <c r="N43554" s="84"/>
    </row>
    <row r="43555" spans="1:14" s="2" customFormat="1">
      <c r="A43555" s="83"/>
      <c r="H43555" s="83"/>
      <c r="K43555" s="82"/>
      <c r="M43555" s="112"/>
      <c r="N43555" s="84"/>
    </row>
    <row r="43556" spans="1:14" s="2" customFormat="1">
      <c r="A43556" s="83"/>
      <c r="H43556" s="83"/>
      <c r="K43556" s="82"/>
      <c r="M43556" s="112"/>
      <c r="N43556" s="84"/>
    </row>
    <row r="43557" spans="1:14" s="2" customFormat="1">
      <c r="A43557" s="83"/>
      <c r="H43557" s="83"/>
      <c r="K43557" s="82"/>
      <c r="M43557" s="112"/>
      <c r="N43557" s="84"/>
    </row>
    <row r="43558" spans="1:14" s="2" customFormat="1">
      <c r="A43558" s="83"/>
      <c r="H43558" s="83"/>
      <c r="K43558" s="82"/>
      <c r="M43558" s="112"/>
      <c r="N43558" s="84"/>
    </row>
    <row r="43559" spans="1:14" s="2" customFormat="1">
      <c r="A43559" s="83"/>
      <c r="H43559" s="83"/>
      <c r="K43559" s="82"/>
      <c r="M43559" s="112"/>
      <c r="N43559" s="84"/>
    </row>
    <row r="43560" spans="1:14" s="2" customFormat="1">
      <c r="A43560" s="83"/>
      <c r="H43560" s="83"/>
      <c r="K43560" s="82"/>
      <c r="M43560" s="112"/>
      <c r="N43560" s="84"/>
    </row>
    <row r="43561" spans="1:14" s="2" customFormat="1">
      <c r="A43561" s="83"/>
      <c r="H43561" s="83"/>
      <c r="K43561" s="82"/>
      <c r="M43561" s="112"/>
      <c r="N43561" s="84"/>
    </row>
    <row r="43562" spans="1:14" s="2" customFormat="1">
      <c r="A43562" s="83"/>
      <c r="H43562" s="83"/>
      <c r="K43562" s="82"/>
      <c r="M43562" s="112"/>
      <c r="N43562" s="84"/>
    </row>
    <row r="43563" spans="1:14" s="2" customFormat="1">
      <c r="A43563" s="83"/>
      <c r="H43563" s="83"/>
      <c r="K43563" s="82"/>
      <c r="M43563" s="112"/>
      <c r="N43563" s="84"/>
    </row>
    <row r="43564" spans="1:14" s="2" customFormat="1">
      <c r="A43564" s="83"/>
      <c r="H43564" s="83"/>
      <c r="K43564" s="82"/>
      <c r="M43564" s="112"/>
      <c r="N43564" s="84"/>
    </row>
    <row r="43565" spans="1:14" s="2" customFormat="1">
      <c r="A43565" s="83"/>
      <c r="H43565" s="83"/>
      <c r="K43565" s="82"/>
      <c r="M43565" s="112"/>
      <c r="N43565" s="84"/>
    </row>
    <row r="43566" spans="1:14" s="2" customFormat="1">
      <c r="A43566" s="83"/>
      <c r="H43566" s="83"/>
      <c r="K43566" s="82"/>
      <c r="M43566" s="112"/>
      <c r="N43566" s="84"/>
    </row>
    <row r="43567" spans="1:14" s="2" customFormat="1">
      <c r="A43567" s="83"/>
      <c r="H43567" s="83"/>
      <c r="K43567" s="82"/>
      <c r="M43567" s="112"/>
      <c r="N43567" s="84"/>
    </row>
    <row r="43568" spans="1:14" s="2" customFormat="1">
      <c r="A43568" s="83"/>
      <c r="H43568" s="83"/>
      <c r="K43568" s="82"/>
      <c r="M43568" s="112"/>
      <c r="N43568" s="84"/>
    </row>
    <row r="43569" spans="1:14" s="2" customFormat="1">
      <c r="A43569" s="83"/>
      <c r="H43569" s="83"/>
      <c r="K43569" s="82"/>
      <c r="M43569" s="112"/>
      <c r="N43569" s="84"/>
    </row>
    <row r="43570" spans="1:14" s="2" customFormat="1">
      <c r="A43570" s="83"/>
      <c r="H43570" s="83"/>
      <c r="K43570" s="82"/>
      <c r="M43570" s="112"/>
      <c r="N43570" s="84"/>
    </row>
    <row r="43571" spans="1:14" s="2" customFormat="1">
      <c r="A43571" s="83"/>
      <c r="H43571" s="83"/>
      <c r="K43571" s="82"/>
      <c r="M43571" s="112"/>
      <c r="N43571" s="84"/>
    </row>
    <row r="43572" spans="1:14" s="2" customFormat="1">
      <c r="A43572" s="83"/>
      <c r="H43572" s="83"/>
      <c r="K43572" s="82"/>
      <c r="M43572" s="112"/>
      <c r="N43572" s="84"/>
    </row>
    <row r="43573" spans="1:14" s="2" customFormat="1">
      <c r="A43573" s="83"/>
      <c r="H43573" s="83"/>
      <c r="K43573" s="82"/>
      <c r="M43573" s="112"/>
      <c r="N43573" s="84"/>
    </row>
    <row r="43574" spans="1:14" s="2" customFormat="1">
      <c r="A43574" s="83"/>
      <c r="H43574" s="83"/>
      <c r="K43574" s="82"/>
      <c r="M43574" s="112"/>
      <c r="N43574" s="84"/>
    </row>
    <row r="43575" spans="1:14" s="2" customFormat="1">
      <c r="A43575" s="83"/>
      <c r="H43575" s="83"/>
      <c r="K43575" s="82"/>
      <c r="M43575" s="112"/>
      <c r="N43575" s="84"/>
    </row>
    <row r="43576" spans="1:14" s="2" customFormat="1">
      <c r="A43576" s="83"/>
      <c r="H43576" s="83"/>
      <c r="K43576" s="82"/>
      <c r="M43576" s="112"/>
      <c r="N43576" s="84"/>
    </row>
    <row r="43577" spans="1:14" s="2" customFormat="1">
      <c r="A43577" s="83"/>
      <c r="H43577" s="83"/>
      <c r="K43577" s="82"/>
      <c r="M43577" s="112"/>
      <c r="N43577" s="84"/>
    </row>
    <row r="43578" spans="1:14" s="2" customFormat="1">
      <c r="A43578" s="83"/>
      <c r="H43578" s="83"/>
      <c r="K43578" s="82"/>
      <c r="M43578" s="112"/>
      <c r="N43578" s="84"/>
    </row>
    <row r="43579" spans="1:14" s="2" customFormat="1">
      <c r="A43579" s="83"/>
      <c r="H43579" s="83"/>
      <c r="K43579" s="82"/>
      <c r="M43579" s="112"/>
      <c r="N43579" s="84"/>
    </row>
    <row r="43580" spans="1:14" s="2" customFormat="1">
      <c r="A43580" s="83"/>
      <c r="H43580" s="83"/>
      <c r="K43580" s="82"/>
      <c r="M43580" s="112"/>
      <c r="N43580" s="84"/>
    </row>
    <row r="43581" spans="1:14" s="2" customFormat="1">
      <c r="A43581" s="83"/>
      <c r="H43581" s="83"/>
      <c r="K43581" s="82"/>
      <c r="M43581" s="112"/>
      <c r="N43581" s="84"/>
    </row>
    <row r="43582" spans="1:14" s="2" customFormat="1">
      <c r="A43582" s="83"/>
      <c r="H43582" s="83"/>
      <c r="K43582" s="82"/>
      <c r="M43582" s="112"/>
      <c r="N43582" s="84"/>
    </row>
    <row r="43583" spans="1:14" s="2" customFormat="1">
      <c r="A43583" s="83"/>
      <c r="H43583" s="83"/>
      <c r="K43583" s="82"/>
      <c r="M43583" s="112"/>
      <c r="N43583" s="84"/>
    </row>
    <row r="43584" spans="1:14" s="2" customFormat="1">
      <c r="A43584" s="83"/>
      <c r="H43584" s="83"/>
      <c r="K43584" s="82"/>
      <c r="M43584" s="112"/>
      <c r="N43584" s="84"/>
    </row>
    <row r="43585" spans="1:14" s="2" customFormat="1">
      <c r="A43585" s="83"/>
      <c r="H43585" s="83"/>
      <c r="K43585" s="82"/>
      <c r="M43585" s="112"/>
      <c r="N43585" s="84"/>
    </row>
    <row r="43586" spans="1:14" s="2" customFormat="1">
      <c r="A43586" s="83"/>
      <c r="H43586" s="83"/>
      <c r="K43586" s="82"/>
      <c r="M43586" s="112"/>
      <c r="N43586" s="84"/>
    </row>
    <row r="43587" spans="1:14" s="2" customFormat="1">
      <c r="A43587" s="83"/>
      <c r="H43587" s="83"/>
      <c r="K43587" s="82"/>
      <c r="M43587" s="112"/>
      <c r="N43587" s="84"/>
    </row>
    <row r="43588" spans="1:14" s="2" customFormat="1">
      <c r="A43588" s="83"/>
      <c r="H43588" s="83"/>
      <c r="K43588" s="82"/>
      <c r="M43588" s="112"/>
      <c r="N43588" s="84"/>
    </row>
    <row r="43589" spans="1:14" s="2" customFormat="1">
      <c r="A43589" s="83"/>
      <c r="H43589" s="83"/>
      <c r="K43589" s="82"/>
      <c r="M43589" s="112"/>
      <c r="N43589" s="84"/>
    </row>
    <row r="43590" spans="1:14" s="2" customFormat="1">
      <c r="A43590" s="83"/>
      <c r="H43590" s="83"/>
      <c r="K43590" s="82"/>
      <c r="M43590" s="112"/>
      <c r="N43590" s="84"/>
    </row>
    <row r="43591" spans="1:14" s="2" customFormat="1">
      <c r="A43591" s="83"/>
      <c r="H43591" s="83"/>
      <c r="K43591" s="82"/>
      <c r="M43591" s="112"/>
      <c r="N43591" s="84"/>
    </row>
    <row r="43592" spans="1:14" s="2" customFormat="1">
      <c r="A43592" s="83"/>
      <c r="H43592" s="83"/>
      <c r="K43592" s="82"/>
      <c r="M43592" s="112"/>
      <c r="N43592" s="84"/>
    </row>
    <row r="43593" spans="1:14" s="2" customFormat="1">
      <c r="A43593" s="83"/>
      <c r="H43593" s="83"/>
      <c r="K43593" s="82"/>
      <c r="M43593" s="112"/>
      <c r="N43593" s="84"/>
    </row>
    <row r="43594" spans="1:14" s="2" customFormat="1">
      <c r="A43594" s="83"/>
      <c r="H43594" s="83"/>
      <c r="K43594" s="82"/>
      <c r="M43594" s="112"/>
      <c r="N43594" s="84"/>
    </row>
    <row r="43595" spans="1:14" s="2" customFormat="1">
      <c r="A43595" s="83"/>
      <c r="H43595" s="83"/>
      <c r="K43595" s="82"/>
      <c r="M43595" s="112"/>
      <c r="N43595" s="84"/>
    </row>
    <row r="43596" spans="1:14" s="2" customFormat="1">
      <c r="A43596" s="83"/>
      <c r="H43596" s="83"/>
      <c r="K43596" s="82"/>
      <c r="M43596" s="112"/>
      <c r="N43596" s="84"/>
    </row>
    <row r="43597" spans="1:14" s="2" customFormat="1">
      <c r="A43597" s="83"/>
      <c r="H43597" s="83"/>
      <c r="K43597" s="82"/>
      <c r="M43597" s="112"/>
      <c r="N43597" s="84"/>
    </row>
    <row r="43598" spans="1:14" s="2" customFormat="1">
      <c r="A43598" s="83"/>
      <c r="H43598" s="83"/>
      <c r="K43598" s="82"/>
      <c r="M43598" s="112"/>
      <c r="N43598" s="84"/>
    </row>
    <row r="43599" spans="1:14" s="2" customFormat="1">
      <c r="A43599" s="83"/>
      <c r="H43599" s="83"/>
      <c r="K43599" s="82"/>
      <c r="M43599" s="112"/>
      <c r="N43599" s="84"/>
    </row>
    <row r="43600" spans="1:14" s="2" customFormat="1">
      <c r="A43600" s="83"/>
      <c r="H43600" s="83"/>
      <c r="K43600" s="82"/>
      <c r="M43600" s="112"/>
      <c r="N43600" s="84"/>
    </row>
    <row r="43601" spans="1:14" s="2" customFormat="1">
      <c r="A43601" s="83"/>
      <c r="H43601" s="83"/>
      <c r="K43601" s="82"/>
      <c r="M43601" s="112"/>
      <c r="N43601" s="84"/>
    </row>
    <row r="43602" spans="1:14" s="2" customFormat="1">
      <c r="A43602" s="83"/>
      <c r="H43602" s="83"/>
      <c r="K43602" s="82"/>
      <c r="M43602" s="112"/>
      <c r="N43602" s="84"/>
    </row>
    <row r="43603" spans="1:14" s="2" customFormat="1">
      <c r="A43603" s="83"/>
      <c r="H43603" s="83"/>
      <c r="K43603" s="82"/>
      <c r="M43603" s="112"/>
      <c r="N43603" s="84"/>
    </row>
    <row r="43604" spans="1:14" s="2" customFormat="1">
      <c r="A43604" s="83"/>
      <c r="H43604" s="83"/>
      <c r="K43604" s="82"/>
      <c r="M43604" s="112"/>
      <c r="N43604" s="84"/>
    </row>
    <row r="43605" spans="1:14" s="2" customFormat="1">
      <c r="A43605" s="83"/>
      <c r="H43605" s="83"/>
      <c r="K43605" s="82"/>
      <c r="M43605" s="112"/>
      <c r="N43605" s="84"/>
    </row>
    <row r="43606" spans="1:14" s="2" customFormat="1">
      <c r="A43606" s="83"/>
      <c r="H43606" s="83"/>
      <c r="K43606" s="82"/>
      <c r="M43606" s="112"/>
      <c r="N43606" s="84"/>
    </row>
    <row r="43607" spans="1:14" s="2" customFormat="1">
      <c r="A43607" s="83"/>
      <c r="H43607" s="83"/>
      <c r="K43607" s="82"/>
      <c r="M43607" s="112"/>
      <c r="N43607" s="84"/>
    </row>
    <row r="43608" spans="1:14" s="2" customFormat="1">
      <c r="A43608" s="83"/>
      <c r="H43608" s="83"/>
      <c r="K43608" s="82"/>
      <c r="M43608" s="112"/>
      <c r="N43608" s="84"/>
    </row>
    <row r="43609" spans="1:14" s="2" customFormat="1">
      <c r="A43609" s="83"/>
      <c r="H43609" s="83"/>
      <c r="K43609" s="82"/>
      <c r="M43609" s="112"/>
      <c r="N43609" s="84"/>
    </row>
    <row r="43610" spans="1:14" s="2" customFormat="1">
      <c r="A43610" s="83"/>
      <c r="H43610" s="83"/>
      <c r="K43610" s="82"/>
      <c r="M43610" s="112"/>
      <c r="N43610" s="84"/>
    </row>
    <row r="43611" spans="1:14" s="2" customFormat="1">
      <c r="A43611" s="83"/>
      <c r="H43611" s="83"/>
      <c r="K43611" s="82"/>
      <c r="M43611" s="112"/>
      <c r="N43611" s="84"/>
    </row>
    <row r="43612" spans="1:14" s="2" customFormat="1">
      <c r="A43612" s="83"/>
      <c r="H43612" s="83"/>
      <c r="K43612" s="82"/>
      <c r="M43612" s="112"/>
      <c r="N43612" s="84"/>
    </row>
    <row r="43613" spans="1:14" s="2" customFormat="1">
      <c r="A43613" s="83"/>
      <c r="H43613" s="83"/>
      <c r="K43613" s="82"/>
      <c r="M43613" s="112"/>
      <c r="N43613" s="84"/>
    </row>
    <row r="43614" spans="1:14" s="2" customFormat="1">
      <c r="A43614" s="83"/>
      <c r="H43614" s="83"/>
      <c r="K43614" s="82"/>
      <c r="M43614" s="112"/>
      <c r="N43614" s="84"/>
    </row>
  </sheetData>
  <autoFilter ref="E1:E222"/>
  <mergeCells count="6">
    <mergeCell ref="I2:I3"/>
    <mergeCell ref="H2:H3"/>
    <mergeCell ref="C2:C3"/>
    <mergeCell ref="B2:B3"/>
    <mergeCell ref="K1:N3"/>
    <mergeCell ref="A1:I1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6"/>
  </sheetPr>
  <dimension ref="A1:T118"/>
  <sheetViews>
    <sheetView workbookViewId="0">
      <selection activeCell="G1" sqref="G1"/>
    </sheetView>
  </sheetViews>
  <sheetFormatPr defaultRowHeight="15"/>
  <cols>
    <col min="12" max="12" width="7.28515625" customWidth="1"/>
    <col min="13" max="13" width="25.7109375" customWidth="1"/>
    <col min="15" max="15" width="40.140625" customWidth="1"/>
  </cols>
  <sheetData>
    <row r="1" spans="1:20" s="40" customFormat="1" ht="42" customHeight="1">
      <c r="A1" s="38"/>
      <c r="B1" s="39" t="s">
        <v>447</v>
      </c>
      <c r="C1" s="39" t="s">
        <v>448</v>
      </c>
      <c r="D1" s="39" t="s">
        <v>449</v>
      </c>
      <c r="E1" s="39" t="s">
        <v>450</v>
      </c>
      <c r="F1" s="39" t="s">
        <v>451</v>
      </c>
      <c r="G1" s="39" t="s">
        <v>452</v>
      </c>
      <c r="H1" s="39" t="s">
        <v>453</v>
      </c>
      <c r="I1" s="39" t="s">
        <v>454</v>
      </c>
      <c r="J1" s="39" t="s">
        <v>455</v>
      </c>
      <c r="K1" s="39" t="s">
        <v>456</v>
      </c>
      <c r="L1" s="39" t="s">
        <v>457</v>
      </c>
      <c r="M1" s="39" t="s">
        <v>458</v>
      </c>
      <c r="N1" s="39" t="s">
        <v>459</v>
      </c>
      <c r="O1" s="39" t="s">
        <v>460</v>
      </c>
      <c r="P1" s="39" t="s">
        <v>461</v>
      </c>
      <c r="Q1" s="39" t="s">
        <v>462</v>
      </c>
      <c r="R1" s="39" t="s">
        <v>463</v>
      </c>
      <c r="S1" s="39" t="s">
        <v>464</v>
      </c>
      <c r="T1" s="39" t="s">
        <v>465</v>
      </c>
    </row>
    <row r="2" spans="1:20">
      <c r="B2" s="41">
        <v>1</v>
      </c>
      <c r="C2" s="42">
        <v>1</v>
      </c>
      <c r="D2" s="43" t="s">
        <v>466</v>
      </c>
      <c r="E2" s="33" t="s">
        <v>467</v>
      </c>
      <c r="F2" s="33" t="s">
        <v>468</v>
      </c>
      <c r="G2" s="33"/>
      <c r="H2" s="33" t="s">
        <v>469</v>
      </c>
      <c r="I2" s="41">
        <v>62401</v>
      </c>
      <c r="J2" s="41">
        <v>80</v>
      </c>
      <c r="K2" s="33">
        <v>1</v>
      </c>
      <c r="L2" s="33" t="str">
        <f>VLOOKUP(K2,[1]Kamera!B:I,3,0)</f>
        <v>10.10.1.11</v>
      </c>
      <c r="M2" s="33" t="str">
        <f>VLOOKUP(K2,[1]Kamera!B:I,7,0)</f>
        <v>01_DEMOKRASI_MEYDANI</v>
      </c>
      <c r="N2" s="33" t="str">
        <f>VLOOKUP(K2,[1]Kamera!B:I,8,0)</f>
        <v>Aktif</v>
      </c>
      <c r="O2" s="33" t="s">
        <v>470</v>
      </c>
      <c r="P2" s="33" t="s">
        <v>471</v>
      </c>
      <c r="Q2" s="33" t="s">
        <v>472</v>
      </c>
      <c r="R2" s="33" t="s">
        <v>472</v>
      </c>
      <c r="S2" s="33" t="s">
        <v>473</v>
      </c>
      <c r="T2" s="41" t="s">
        <v>474</v>
      </c>
    </row>
    <row r="3" spans="1:20">
      <c r="B3" s="41">
        <v>2</v>
      </c>
      <c r="C3" s="42">
        <v>2</v>
      </c>
      <c r="D3" s="43" t="s">
        <v>475</v>
      </c>
      <c r="E3" s="33" t="s">
        <v>467</v>
      </c>
      <c r="F3" s="33" t="s">
        <v>476</v>
      </c>
      <c r="G3" s="33"/>
      <c r="H3" s="33" t="s">
        <v>477</v>
      </c>
      <c r="I3" s="41">
        <v>62401</v>
      </c>
      <c r="J3" s="41">
        <v>80</v>
      </c>
      <c r="K3" s="33">
        <v>2</v>
      </c>
      <c r="L3" s="33" t="str">
        <f>VLOOKUP(K3,[1]Kamera!B:I,3,0)</f>
        <v>10.10.2.11</v>
      </c>
      <c r="M3" s="33" t="str">
        <f>VLOOKUP(K3,[1]Kamera!B:I,7,0)</f>
        <v>02_ZUBEYDEHANIM</v>
      </c>
      <c r="N3" s="33" t="str">
        <f>VLOOKUP(K3,[1]Kamera!B:I,8,0)</f>
        <v>Aktif</v>
      </c>
      <c r="O3" s="33" t="s">
        <v>478</v>
      </c>
      <c r="P3" s="33" t="s">
        <v>471</v>
      </c>
      <c r="Q3" s="33" t="s">
        <v>472</v>
      </c>
      <c r="R3" s="33" t="s">
        <v>472</v>
      </c>
      <c r="S3" s="33" t="s">
        <v>473</v>
      </c>
      <c r="T3" s="41" t="s">
        <v>474</v>
      </c>
    </row>
    <row r="4" spans="1:20">
      <c r="B4" s="41">
        <v>3</v>
      </c>
      <c r="C4" s="42">
        <v>3</v>
      </c>
      <c r="D4" s="43" t="s">
        <v>479</v>
      </c>
      <c r="E4" s="33" t="s">
        <v>467</v>
      </c>
      <c r="F4" s="33" t="s">
        <v>480</v>
      </c>
      <c r="G4" s="33"/>
      <c r="H4" s="33" t="s">
        <v>481</v>
      </c>
      <c r="I4" s="41">
        <v>62401</v>
      </c>
      <c r="J4" s="41">
        <v>80</v>
      </c>
      <c r="K4" s="33">
        <v>3</v>
      </c>
      <c r="L4" s="33" t="str">
        <f>VLOOKUP(K4,[1]Kamera!B:I,3,0)</f>
        <v>10.10.3.11</v>
      </c>
      <c r="M4" s="33" t="str">
        <f>VLOOKUP(K4,[1]Kamera!B:I,7,0)</f>
        <v>03_KIRBIS_SEHITLER_INONU</v>
      </c>
      <c r="N4" s="33" t="str">
        <f>VLOOKUP(K4,[1]Kamera!B:I,8,0)</f>
        <v>Aktif</v>
      </c>
      <c r="O4" s="33" t="s">
        <v>482</v>
      </c>
      <c r="P4" s="33" t="s">
        <v>471</v>
      </c>
      <c r="Q4" s="33" t="s">
        <v>472</v>
      </c>
      <c r="R4" s="33" t="s">
        <v>472</v>
      </c>
      <c r="S4" s="33" t="s">
        <v>483</v>
      </c>
      <c r="T4" s="41" t="s">
        <v>474</v>
      </c>
    </row>
    <row r="5" spans="1:20">
      <c r="B5" s="44">
        <v>4</v>
      </c>
      <c r="C5" s="45">
        <v>4</v>
      </c>
      <c r="D5" s="46" t="s">
        <v>484</v>
      </c>
      <c r="E5" s="33" t="s">
        <v>467</v>
      </c>
      <c r="F5" s="33"/>
      <c r="G5" s="33"/>
      <c r="H5" t="s">
        <v>485</v>
      </c>
      <c r="I5" s="44">
        <v>62401</v>
      </c>
      <c r="J5" s="44">
        <v>80</v>
      </c>
      <c r="K5" s="33">
        <v>4</v>
      </c>
      <c r="L5" s="33" t="str">
        <f>VLOOKUP(K5,[1]Kamera!B:I,3,0)</f>
        <v>10.10.4.11</v>
      </c>
      <c r="M5" s="33" t="str">
        <f>VLOOKUP(K5,[1]Kamera!B:I,7,0)</f>
        <v>04_KIBRIS_SEHITLER_EMEK</v>
      </c>
      <c r="N5" s="33" t="str">
        <f>VLOOKUP(K5,[1]Kamera!B:I,8,0)</f>
        <v>Aktif</v>
      </c>
      <c r="O5" s="33" t="s">
        <v>486</v>
      </c>
      <c r="P5" s="33" t="s">
        <v>471</v>
      </c>
      <c r="Q5" s="33" t="s">
        <v>472</v>
      </c>
      <c r="R5" s="33" t="s">
        <v>472</v>
      </c>
      <c r="S5" s="33" t="s">
        <v>483</v>
      </c>
      <c r="T5" s="41" t="s">
        <v>474</v>
      </c>
    </row>
    <row r="6" spans="1:20">
      <c r="B6" s="44">
        <v>5</v>
      </c>
      <c r="C6" s="45">
        <v>5</v>
      </c>
      <c r="D6" s="46" t="s">
        <v>487</v>
      </c>
      <c r="E6" s="33" t="s">
        <v>467</v>
      </c>
      <c r="F6" s="33"/>
      <c r="G6" s="33"/>
      <c r="H6" t="s">
        <v>488</v>
      </c>
      <c r="I6" s="44">
        <v>62401</v>
      </c>
      <c r="J6" s="44">
        <v>80</v>
      </c>
      <c r="K6" s="33">
        <v>5</v>
      </c>
      <c r="L6" s="33" t="str">
        <f>VLOOKUP(K6,[1]Kamera!B:I,3,0)</f>
        <v>10.10.5.11</v>
      </c>
      <c r="M6" s="33" t="str">
        <f>VLOOKUP(K6,[1]Kamera!B:I,7,0)</f>
        <v>05_INCILIPINAR</v>
      </c>
      <c r="N6" s="33" t="str">
        <f>VLOOKUP(K6,[1]Kamera!B:I,8,0)</f>
        <v>Aktif</v>
      </c>
      <c r="O6" s="33" t="s">
        <v>489</v>
      </c>
      <c r="P6" s="33" t="s">
        <v>471</v>
      </c>
      <c r="Q6" s="33" t="s">
        <v>472</v>
      </c>
      <c r="R6" s="33" t="s">
        <v>472</v>
      </c>
      <c r="S6" s="33" t="s">
        <v>483</v>
      </c>
      <c r="T6" s="41" t="s">
        <v>474</v>
      </c>
    </row>
    <row r="7" spans="1:20">
      <c r="B7" s="44">
        <v>6</v>
      </c>
      <c r="C7" s="45">
        <v>6</v>
      </c>
      <c r="D7" s="46" t="s">
        <v>490</v>
      </c>
      <c r="E7" s="33" t="s">
        <v>467</v>
      </c>
      <c r="F7" s="33"/>
      <c r="G7" s="33"/>
      <c r="H7" t="s">
        <v>491</v>
      </c>
      <c r="I7" s="44">
        <v>62401</v>
      </c>
      <c r="J7" s="44">
        <v>80</v>
      </c>
      <c r="K7" s="33">
        <v>6</v>
      </c>
      <c r="L7" s="33" t="str">
        <f>VLOOKUP(K7,[1]Kamera!B:I,3,0)</f>
        <v>10.10.6.11</v>
      </c>
      <c r="M7" s="33" t="str">
        <f>VLOOKUP(K7,[1]Kamera!B:I,7,0)</f>
        <v>06_10NISAN</v>
      </c>
      <c r="N7" s="33" t="str">
        <f>VLOOKUP(K7,[1]Kamera!B:I,8,0)</f>
        <v>Aktif</v>
      </c>
      <c r="O7" s="33" t="s">
        <v>492</v>
      </c>
      <c r="P7" s="33" t="s">
        <v>471</v>
      </c>
      <c r="Q7" s="33" t="s">
        <v>472</v>
      </c>
      <c r="R7" s="33" t="s">
        <v>472</v>
      </c>
      <c r="S7" s="33" t="s">
        <v>483</v>
      </c>
      <c r="T7" s="41" t="s">
        <v>474</v>
      </c>
    </row>
    <row r="8" spans="1:20">
      <c r="B8" s="44">
        <v>7</v>
      </c>
      <c r="C8" s="45">
        <v>7</v>
      </c>
      <c r="D8" s="46" t="s">
        <v>493</v>
      </c>
      <c r="E8" s="33" t="s">
        <v>467</v>
      </c>
      <c r="F8" s="33"/>
      <c r="G8" s="33"/>
      <c r="H8" t="s">
        <v>494</v>
      </c>
      <c r="I8" s="44">
        <v>62401</v>
      </c>
      <c r="J8" s="44">
        <v>80</v>
      </c>
      <c r="K8" s="33">
        <v>7</v>
      </c>
      <c r="L8" s="33" t="str">
        <f>VLOOKUP(K8,[1]Kamera!B:I,3,0)</f>
        <v>10.10.7.11</v>
      </c>
      <c r="M8" s="33" t="str">
        <f>VLOOKUP(K8,[1]Kamera!B:I,7,0)</f>
        <v>07_SULUKOPRU</v>
      </c>
      <c r="N8" s="33" t="str">
        <f>VLOOKUP(K8,[1]Kamera!B:I,8,0)</f>
        <v>Aktif</v>
      </c>
      <c r="O8" s="33" t="s">
        <v>495</v>
      </c>
      <c r="P8" s="33" t="s">
        <v>471</v>
      </c>
      <c r="Q8" s="33" t="s">
        <v>472</v>
      </c>
      <c r="R8" s="33" t="s">
        <v>472</v>
      </c>
      <c r="S8" s="33" t="s">
        <v>483</v>
      </c>
      <c r="T8" s="41" t="s">
        <v>474</v>
      </c>
    </row>
    <row r="9" spans="1:20">
      <c r="B9" s="44">
        <v>8</v>
      </c>
      <c r="C9" s="45">
        <v>8</v>
      </c>
      <c r="D9" s="46" t="s">
        <v>496</v>
      </c>
      <c r="E9" s="33" t="s">
        <v>467</v>
      </c>
      <c r="F9" s="33"/>
      <c r="G9" s="33"/>
      <c r="H9" t="s">
        <v>497</v>
      </c>
      <c r="I9" s="44">
        <v>62401</v>
      </c>
      <c r="J9" s="44">
        <v>80</v>
      </c>
      <c r="K9" s="33">
        <v>8</v>
      </c>
      <c r="L9" s="33" t="str">
        <f>VLOOKUP(K9,[1]Kamera!B:I,3,0)</f>
        <v>10.10.8.11</v>
      </c>
      <c r="M9" s="33" t="str">
        <f>VLOOKUP(K9,[1]Kamera!B:I,7,0)</f>
        <v>08_PELITLIBAG</v>
      </c>
      <c r="N9" s="33" t="str">
        <f>VLOOKUP(K9,[1]Kamera!B:I,8,0)</f>
        <v>Aktif</v>
      </c>
      <c r="O9" s="33" t="s">
        <v>498</v>
      </c>
      <c r="P9" s="33" t="s">
        <v>471</v>
      </c>
      <c r="Q9" s="33" t="s">
        <v>472</v>
      </c>
      <c r="R9" s="33" t="s">
        <v>472</v>
      </c>
      <c r="S9" s="33" t="s">
        <v>473</v>
      </c>
      <c r="T9" s="41" t="s">
        <v>474</v>
      </c>
    </row>
    <row r="10" spans="1:20">
      <c r="B10" s="44">
        <v>9</v>
      </c>
      <c r="C10" s="45">
        <v>9</v>
      </c>
      <c r="D10" s="46" t="s">
        <v>499</v>
      </c>
      <c r="E10" s="33" t="s">
        <v>467</v>
      </c>
      <c r="F10" s="33"/>
      <c r="G10" s="33"/>
      <c r="H10" t="s">
        <v>500</v>
      </c>
      <c r="I10" s="44">
        <v>62401</v>
      </c>
      <c r="J10" s="44">
        <v>80</v>
      </c>
      <c r="K10" s="33">
        <v>9</v>
      </c>
      <c r="L10" s="33" t="str">
        <f>VLOOKUP(K10,[1]Kamera!B:I,3,0)</f>
        <v>10.10.9.11</v>
      </c>
      <c r="M10" s="33" t="str">
        <f>VLOOKUP(K10,[1]Kamera!B:I,7,0)</f>
        <v>09_ATATÜRKHALK</v>
      </c>
      <c r="N10" s="33" t="str">
        <f>VLOOKUP(K10,[1]Kamera!B:I,8,0)</f>
        <v>Aktif</v>
      </c>
      <c r="O10" s="33" t="s">
        <v>501</v>
      </c>
      <c r="P10" s="33" t="s">
        <v>471</v>
      </c>
      <c r="Q10" s="33" t="s">
        <v>472</v>
      </c>
      <c r="R10" s="33" t="s">
        <v>472</v>
      </c>
      <c r="S10" s="33" t="s">
        <v>483</v>
      </c>
      <c r="T10" s="41" t="s">
        <v>474</v>
      </c>
    </row>
    <row r="11" spans="1:20">
      <c r="B11" s="44">
        <v>10</v>
      </c>
      <c r="C11" s="45">
        <v>10</v>
      </c>
      <c r="D11" s="46" t="s">
        <v>502</v>
      </c>
      <c r="E11" s="33" t="s">
        <v>467</v>
      </c>
      <c r="F11" s="33"/>
      <c r="G11" s="33"/>
      <c r="H11" t="s">
        <v>503</v>
      </c>
      <c r="I11" s="44">
        <v>62401</v>
      </c>
      <c r="J11" s="44">
        <v>80</v>
      </c>
      <c r="K11" s="33">
        <v>10</v>
      </c>
      <c r="L11" s="33" t="str">
        <f>VLOOKUP(K11,[1]Kamera!B:I,3,0)</f>
        <v>10.10.10.11</v>
      </c>
      <c r="M11" s="33" t="str">
        <f>VLOOKUP(K11,[1]Kamera!B:I,7,0)</f>
        <v>10_HACIKAPLANLAR</v>
      </c>
      <c r="N11" s="33" t="str">
        <f>VLOOKUP(K11,[1]Kamera!B:I,8,0)</f>
        <v>Aktif</v>
      </c>
      <c r="O11" s="33" t="s">
        <v>504</v>
      </c>
      <c r="P11" s="33" t="s">
        <v>471</v>
      </c>
      <c r="Q11" s="33" t="s">
        <v>472</v>
      </c>
      <c r="R11" s="33" t="s">
        <v>472</v>
      </c>
      <c r="S11" s="33" t="s">
        <v>483</v>
      </c>
      <c r="T11" s="41" t="s">
        <v>474</v>
      </c>
    </row>
    <row r="12" spans="1:20">
      <c r="B12" s="44">
        <v>11</v>
      </c>
      <c r="C12" s="45">
        <v>11</v>
      </c>
      <c r="D12" s="46" t="s">
        <v>505</v>
      </c>
      <c r="E12" s="33" t="s">
        <v>467</v>
      </c>
      <c r="F12" s="33"/>
      <c r="G12" s="33"/>
      <c r="H12" t="s">
        <v>506</v>
      </c>
      <c r="I12" s="44">
        <v>62401</v>
      </c>
      <c r="J12" s="44">
        <v>80</v>
      </c>
      <c r="K12" s="33">
        <v>11</v>
      </c>
      <c r="L12" s="33" t="str">
        <f>VLOOKUP(K12,[1]Kamera!B:I,3,0)</f>
        <v>10.10.11.11</v>
      </c>
      <c r="M12" s="33" t="str">
        <f>VLOOKUP(K12,[1]Kamera!B:I,7,0)</f>
        <v>11_CINAR</v>
      </c>
      <c r="N12" s="33" t="str">
        <f>VLOOKUP(K12,[1]Kamera!B:I,8,0)</f>
        <v>Aktif</v>
      </c>
      <c r="O12" s="33" t="s">
        <v>507</v>
      </c>
      <c r="P12" s="33" t="s">
        <v>471</v>
      </c>
      <c r="Q12" s="33" t="s">
        <v>472</v>
      </c>
      <c r="R12" s="33" t="s">
        <v>472</v>
      </c>
      <c r="S12" s="33" t="s">
        <v>483</v>
      </c>
      <c r="T12" s="41" t="s">
        <v>474</v>
      </c>
    </row>
    <row r="13" spans="1:20">
      <c r="B13" s="44">
        <v>12</v>
      </c>
      <c r="C13" s="45">
        <v>12</v>
      </c>
      <c r="D13" s="46" t="s">
        <v>508</v>
      </c>
      <c r="E13" s="33" t="s">
        <v>467</v>
      </c>
      <c r="F13" s="33"/>
      <c r="G13" s="33"/>
      <c r="H13" t="s">
        <v>509</v>
      </c>
      <c r="I13" s="44">
        <v>62401</v>
      </c>
      <c r="J13" s="44">
        <v>80</v>
      </c>
      <c r="K13" s="33">
        <v>12</v>
      </c>
      <c r="L13" s="33" t="str">
        <f>VLOOKUP(K13,[1]Kamera!B:I,3,0)</f>
        <v>10.10.12.11</v>
      </c>
      <c r="M13" s="33" t="str">
        <f>VLOOKUP(K13,[1]Kamera!B:I,7,0)</f>
        <v>12_ITFAIYE</v>
      </c>
      <c r="N13" s="33" t="str">
        <f>VLOOKUP(K13,[1]Kamera!B:I,8,0)</f>
        <v>Aktif</v>
      </c>
      <c r="O13" s="33" t="s">
        <v>510</v>
      </c>
      <c r="P13" s="33" t="s">
        <v>471</v>
      </c>
      <c r="Q13" s="33" t="s">
        <v>472</v>
      </c>
      <c r="R13" s="33" t="s">
        <v>472</v>
      </c>
      <c r="S13" s="33" t="s">
        <v>483</v>
      </c>
      <c r="T13" s="41" t="s">
        <v>474</v>
      </c>
    </row>
    <row r="14" spans="1:20">
      <c r="B14" s="44">
        <v>13</v>
      </c>
      <c r="C14" s="45">
        <v>13</v>
      </c>
      <c r="D14" s="46" t="s">
        <v>511</v>
      </c>
      <c r="E14" s="33" t="s">
        <v>467</v>
      </c>
      <c r="F14" s="33"/>
      <c r="G14" s="33"/>
      <c r="H14" t="s">
        <v>512</v>
      </c>
      <c r="I14" s="44">
        <v>62401</v>
      </c>
      <c r="J14" s="44">
        <v>80</v>
      </c>
      <c r="K14" s="33">
        <v>13</v>
      </c>
      <c r="L14" s="33" t="str">
        <f>VLOOKUP(K14,[1]Kamera!B:I,3,0)</f>
        <v>10.10.13.11</v>
      </c>
      <c r="M14" s="33" t="str">
        <f>VLOOKUP(K14,[1]Kamera!B:I,7,0)</f>
        <v>13_TURAN_GUNES</v>
      </c>
      <c r="N14" s="33" t="str">
        <f>VLOOKUP(K14,[1]Kamera!B:I,8,0)</f>
        <v>Aktif</v>
      </c>
      <c r="O14" s="33" t="s">
        <v>513</v>
      </c>
      <c r="P14" s="33" t="s">
        <v>471</v>
      </c>
      <c r="Q14" s="33" t="s">
        <v>472</v>
      </c>
      <c r="R14" s="33" t="s">
        <v>472</v>
      </c>
      <c r="S14" s="33" t="s">
        <v>473</v>
      </c>
      <c r="T14" s="41" t="s">
        <v>474</v>
      </c>
    </row>
    <row r="15" spans="1:20">
      <c r="B15" s="44">
        <v>14</v>
      </c>
      <c r="C15" s="45">
        <v>14</v>
      </c>
      <c r="D15" s="46" t="s">
        <v>514</v>
      </c>
      <c r="E15" s="33" t="s">
        <v>467</v>
      </c>
      <c r="F15" s="33"/>
      <c r="G15" s="33"/>
      <c r="H15" t="s">
        <v>515</v>
      </c>
      <c r="I15" s="44">
        <v>62401</v>
      </c>
      <c r="J15" s="44">
        <v>80</v>
      </c>
      <c r="K15" s="33">
        <v>14</v>
      </c>
      <c r="L15" s="33" t="str">
        <f>VLOOKUP(K15,[1]Kamera!B:I,3,0)</f>
        <v>10.10.14.11</v>
      </c>
      <c r="M15" s="33" t="str">
        <f>VLOOKUP(K15,[1]Kamera!B:I,7,0)</f>
        <v>14_HALLEY_OTELI</v>
      </c>
      <c r="N15" s="33" t="str">
        <f>VLOOKUP(K15,[1]Kamera!B:I,8,0)</f>
        <v>Aktif</v>
      </c>
      <c r="O15" s="33" t="s">
        <v>516</v>
      </c>
      <c r="P15" s="33" t="s">
        <v>471</v>
      </c>
      <c r="Q15" s="33" t="s">
        <v>472</v>
      </c>
      <c r="R15" s="33" t="s">
        <v>472</v>
      </c>
      <c r="S15" s="33" t="s">
        <v>473</v>
      </c>
      <c r="T15" s="41" t="s">
        <v>474</v>
      </c>
    </row>
    <row r="16" spans="1:20">
      <c r="B16" s="44">
        <v>15</v>
      </c>
      <c r="C16" s="45">
        <v>15</v>
      </c>
      <c r="D16" s="46" t="s">
        <v>517</v>
      </c>
      <c r="E16" s="33" t="s">
        <v>467</v>
      </c>
      <c r="F16" s="33"/>
      <c r="G16" s="33"/>
      <c r="H16" t="s">
        <v>518</v>
      </c>
      <c r="I16" s="44">
        <v>62401</v>
      </c>
      <c r="J16" s="44">
        <v>80</v>
      </c>
      <c r="K16" s="33">
        <v>15</v>
      </c>
      <c r="L16" s="33" t="str">
        <f>VLOOKUP(K16,[1]Kamera!B:I,3,0)</f>
        <v>10.10.15.11</v>
      </c>
      <c r="M16" s="33" t="str">
        <f>VLOOKUP(K16,[1]Kamera!B:I,7,0)</f>
        <v>15_ULU_CAMI</v>
      </c>
      <c r="N16" s="33" t="str">
        <f>VLOOKUP(K16,[1]Kamera!B:I,8,0)</f>
        <v>Aktif</v>
      </c>
      <c r="O16" s="33" t="s">
        <v>519</v>
      </c>
      <c r="P16" s="33" t="s">
        <v>471</v>
      </c>
      <c r="Q16" s="33" t="s">
        <v>472</v>
      </c>
      <c r="R16" s="33" t="s">
        <v>472</v>
      </c>
      <c r="S16" s="33" t="s">
        <v>483</v>
      </c>
      <c r="T16" s="41" t="s">
        <v>474</v>
      </c>
    </row>
    <row r="17" spans="2:20">
      <c r="B17" s="44">
        <v>16</v>
      </c>
      <c r="C17" s="45">
        <v>16</v>
      </c>
      <c r="D17" s="46" t="s">
        <v>520</v>
      </c>
      <c r="E17" s="33" t="s">
        <v>467</v>
      </c>
      <c r="F17" s="33"/>
      <c r="G17" s="33"/>
      <c r="H17" t="s">
        <v>521</v>
      </c>
      <c r="I17" s="44">
        <v>62401</v>
      </c>
      <c r="J17" s="44">
        <v>80</v>
      </c>
      <c r="K17" s="33">
        <v>16</v>
      </c>
      <c r="L17" s="33" t="str">
        <f>VLOOKUP(K17,[1]Kamera!B:I,3,0)</f>
        <v>10.10.16.11</v>
      </c>
      <c r="M17" s="33" t="str">
        <f>VLOOKUP(K17,[1]Kamera!B:I,7,0)</f>
        <v>16_HACILAR_CAMI</v>
      </c>
      <c r="N17" s="33" t="str">
        <f>VLOOKUP(K17,[1]Kamera!B:I,8,0)</f>
        <v>Aktif</v>
      </c>
      <c r="O17" s="33" t="s">
        <v>522</v>
      </c>
      <c r="P17" s="33" t="s">
        <v>471</v>
      </c>
      <c r="Q17" s="33" t="s">
        <v>472</v>
      </c>
      <c r="R17" s="33" t="s">
        <v>472</v>
      </c>
      <c r="S17" s="33" t="s">
        <v>473</v>
      </c>
      <c r="T17" s="41" t="s">
        <v>474</v>
      </c>
    </row>
    <row r="18" spans="2:20">
      <c r="B18" s="44">
        <v>17</v>
      </c>
      <c r="C18" s="45">
        <v>17</v>
      </c>
      <c r="D18" s="46" t="s">
        <v>523</v>
      </c>
      <c r="E18" s="33" t="s">
        <v>467</v>
      </c>
      <c r="F18" s="33"/>
      <c r="G18" s="33"/>
      <c r="H18" t="s">
        <v>524</v>
      </c>
      <c r="I18" s="44">
        <v>62401</v>
      </c>
      <c r="J18" s="44">
        <v>80</v>
      </c>
      <c r="K18" s="33">
        <v>17</v>
      </c>
      <c r="L18" s="33" t="str">
        <f>VLOOKUP(K18,[1]Kamera!B:I,3,0)</f>
        <v>10.10.17.11</v>
      </c>
      <c r="M18" s="33" t="str">
        <f>VLOOKUP(K18,[1]Kamera!B:I,7,0)</f>
        <v>17_DOKTORLAR_CD</v>
      </c>
      <c r="N18" s="33" t="str">
        <f>VLOOKUP(K18,[1]Kamera!B:I,8,0)</f>
        <v>Aktif</v>
      </c>
      <c r="O18" s="33" t="s">
        <v>525</v>
      </c>
      <c r="P18" s="33" t="s">
        <v>471</v>
      </c>
      <c r="Q18" s="33" t="s">
        <v>472</v>
      </c>
      <c r="R18" s="33" t="s">
        <v>472</v>
      </c>
      <c r="S18" s="33" t="s">
        <v>483</v>
      </c>
      <c r="T18" s="41" t="s">
        <v>474</v>
      </c>
    </row>
    <row r="19" spans="2:20">
      <c r="B19" s="44">
        <v>18</v>
      </c>
      <c r="C19" s="45">
        <v>18</v>
      </c>
      <c r="D19" s="46" t="s">
        <v>526</v>
      </c>
      <c r="E19" s="33" t="s">
        <v>467</v>
      </c>
      <c r="F19" s="33"/>
      <c r="G19" s="33"/>
      <c r="H19" t="s">
        <v>527</v>
      </c>
      <c r="I19" s="44">
        <v>62401</v>
      </c>
      <c r="J19" s="44">
        <v>80</v>
      </c>
      <c r="K19" s="33">
        <v>18</v>
      </c>
      <c r="L19" s="33" t="str">
        <f>VLOOKUP(K19,[1]Kamera!B:I,3,0)</f>
        <v>10.10.18.11</v>
      </c>
      <c r="M19" s="33" t="str">
        <f>VLOOKUP(K19,[1]Kamera!B:I,7,0)</f>
        <v>18_SAGLIK_MUD</v>
      </c>
      <c r="N19" s="33" t="str">
        <f>VLOOKUP(K19,[1]Kamera!B:I,8,0)</f>
        <v>Aktif</v>
      </c>
      <c r="O19" s="33" t="s">
        <v>528</v>
      </c>
      <c r="P19" s="33" t="s">
        <v>471</v>
      </c>
      <c r="Q19" s="33" t="s">
        <v>472</v>
      </c>
      <c r="R19" s="33" t="s">
        <v>472</v>
      </c>
      <c r="S19" s="33" t="s">
        <v>483</v>
      </c>
      <c r="T19" s="41" t="s">
        <v>474</v>
      </c>
    </row>
    <row r="20" spans="2:20">
      <c r="B20" s="44">
        <v>19</v>
      </c>
      <c r="C20" s="45">
        <v>19</v>
      </c>
      <c r="D20" s="46" t="s">
        <v>529</v>
      </c>
      <c r="E20" s="33" t="s">
        <v>467</v>
      </c>
      <c r="F20" s="33"/>
      <c r="G20" s="33"/>
      <c r="H20" t="s">
        <v>530</v>
      </c>
      <c r="I20" s="44">
        <v>62401</v>
      </c>
      <c r="J20" s="44">
        <v>80</v>
      </c>
      <c r="K20" s="33">
        <v>19</v>
      </c>
      <c r="L20" s="33" t="str">
        <f>VLOOKUP(K20,[1]Kamera!B:I,3,0)</f>
        <v>10.10.19.11</v>
      </c>
      <c r="M20" s="33" t="str">
        <f>VLOOKUP(K20,[1]Kamera!B:I,7,0)</f>
        <v>19_MIMAR_SINAN</v>
      </c>
      <c r="N20" s="33" t="str">
        <f>VLOOKUP(K20,[1]Kamera!B:I,8,0)</f>
        <v>Aktif</v>
      </c>
      <c r="O20" s="33" t="s">
        <v>531</v>
      </c>
      <c r="P20" s="33" t="s">
        <v>471</v>
      </c>
      <c r="Q20" s="33" t="s">
        <v>472</v>
      </c>
      <c r="R20" s="33" t="s">
        <v>472</v>
      </c>
      <c r="S20" s="33" t="s">
        <v>473</v>
      </c>
      <c r="T20" s="41" t="s">
        <v>474</v>
      </c>
    </row>
    <row r="21" spans="2:20">
      <c r="B21" s="44">
        <v>20</v>
      </c>
      <c r="C21" s="45">
        <v>20</v>
      </c>
      <c r="D21" s="46" t="s">
        <v>532</v>
      </c>
      <c r="E21" s="33" t="s">
        <v>467</v>
      </c>
      <c r="F21" s="33"/>
      <c r="G21" s="33"/>
      <c r="H21" t="s">
        <v>533</v>
      </c>
      <c r="I21" s="44">
        <v>62401</v>
      </c>
      <c r="J21" s="44">
        <v>80</v>
      </c>
      <c r="K21" s="33">
        <v>20</v>
      </c>
      <c r="L21" s="33" t="str">
        <f>VLOOKUP(K21,[1]Kamera!B:I,3,0)</f>
        <v>10.10.20.11</v>
      </c>
      <c r="M21" s="33" t="str">
        <f>VLOOKUP(K21,[1]Kamera!B:I,7,0)</f>
        <v>20_AHI_SINAN</v>
      </c>
      <c r="N21" s="33" t="str">
        <f>VLOOKUP(K21,[1]Kamera!B:I,8,0)</f>
        <v>Aktif</v>
      </c>
      <c r="O21" s="33" t="s">
        <v>534</v>
      </c>
      <c r="P21" s="33" t="s">
        <v>471</v>
      </c>
      <c r="Q21" s="33" t="s">
        <v>472</v>
      </c>
      <c r="R21" s="33" t="s">
        <v>472</v>
      </c>
      <c r="S21" s="33" t="s">
        <v>483</v>
      </c>
      <c r="T21" s="41" t="s">
        <v>474</v>
      </c>
    </row>
    <row r="22" spans="2:20">
      <c r="B22" s="44">
        <v>21</v>
      </c>
      <c r="C22" s="45">
        <v>21</v>
      </c>
      <c r="D22" s="46" t="s">
        <v>535</v>
      </c>
      <c r="E22" s="33" t="s">
        <v>467</v>
      </c>
      <c r="F22" s="33"/>
      <c r="G22" s="33"/>
      <c r="H22" t="s">
        <v>536</v>
      </c>
      <c r="I22" s="44">
        <v>62401</v>
      </c>
      <c r="J22" s="44">
        <v>80</v>
      </c>
      <c r="K22" s="33">
        <v>21</v>
      </c>
      <c r="L22" s="33" t="str">
        <f>VLOOKUP(K22,[1]Kamera!B:I,3,0)</f>
        <v>10.10.21.11</v>
      </c>
      <c r="M22" s="33" t="str">
        <f>VLOOKUP(K22,[1]Kamera!B:I,7,0)</f>
        <v>21_ESKI_ZAHIRE_PAZARI</v>
      </c>
      <c r="N22" s="33" t="str">
        <f>VLOOKUP(K22,[1]Kamera!B:I,8,0)</f>
        <v>Aktif</v>
      </c>
      <c r="O22" s="33" t="s">
        <v>537</v>
      </c>
      <c r="P22" s="33" t="s">
        <v>471</v>
      </c>
      <c r="Q22" s="33" t="s">
        <v>472</v>
      </c>
      <c r="R22" s="33" t="s">
        <v>472</v>
      </c>
      <c r="S22" s="33" t="s">
        <v>483</v>
      </c>
      <c r="T22" s="41" t="s">
        <v>474</v>
      </c>
    </row>
    <row r="23" spans="2:20">
      <c r="B23" s="44">
        <v>22</v>
      </c>
      <c r="C23" s="45">
        <v>22</v>
      </c>
      <c r="D23" s="46" t="s">
        <v>538</v>
      </c>
      <c r="E23" s="33" t="s">
        <v>467</v>
      </c>
      <c r="F23" s="33"/>
      <c r="G23" s="33"/>
      <c r="H23" t="s">
        <v>539</v>
      </c>
      <c r="I23" s="44">
        <v>62401</v>
      </c>
      <c r="J23" s="44">
        <v>80</v>
      </c>
      <c r="K23" s="33">
        <v>22</v>
      </c>
      <c r="L23" s="33" t="str">
        <f>VLOOKUP(K23,[1]Kamera!B:I,3,0)</f>
        <v>10.10.22.11</v>
      </c>
      <c r="M23" s="33" t="str">
        <f>VLOOKUP(K23,[1]Kamera!B:I,7,0)</f>
        <v>22_ESMA_HATUN</v>
      </c>
      <c r="N23" s="33" t="str">
        <f>VLOOKUP(K23,[1]Kamera!B:I,8,0)</f>
        <v>Aktif</v>
      </c>
      <c r="O23" s="33" t="s">
        <v>540</v>
      </c>
      <c r="P23" s="33" t="s">
        <v>471</v>
      </c>
      <c r="Q23" s="33" t="s">
        <v>472</v>
      </c>
      <c r="R23" s="33" t="s">
        <v>472</v>
      </c>
      <c r="S23" s="33" t="s">
        <v>483</v>
      </c>
      <c r="T23" s="41" t="s">
        <v>474</v>
      </c>
    </row>
    <row r="24" spans="2:20">
      <c r="B24" s="44">
        <v>23</v>
      </c>
      <c r="C24" s="45">
        <v>23</v>
      </c>
      <c r="D24" s="46" t="s">
        <v>541</v>
      </c>
      <c r="E24" s="33" t="s">
        <v>467</v>
      </c>
      <c r="F24" s="33"/>
      <c r="G24" s="33"/>
      <c r="H24" t="s">
        <v>542</v>
      </c>
      <c r="I24" s="44">
        <v>62401</v>
      </c>
      <c r="J24" s="44">
        <v>80</v>
      </c>
      <c r="K24" s="33">
        <v>23</v>
      </c>
      <c r="L24" s="33" t="str">
        <f>VLOOKUP(K24,[1]Kamera!B:I,3,0)</f>
        <v>10.10.23.11</v>
      </c>
      <c r="M24" s="33" t="str">
        <f>VLOOKUP(K24,[1]Kamera!B:I,7,0)</f>
        <v>23_DEVLET_HASTANESI</v>
      </c>
      <c r="N24" s="33" t="str">
        <f>VLOOKUP(K24,[1]Kamera!B:I,8,0)</f>
        <v>Aktif</v>
      </c>
      <c r="O24" s="33" t="s">
        <v>543</v>
      </c>
      <c r="P24" s="33" t="s">
        <v>471</v>
      </c>
      <c r="Q24" s="33" t="s">
        <v>472</v>
      </c>
      <c r="R24" s="33" t="s">
        <v>472</v>
      </c>
      <c r="S24" s="33" t="s">
        <v>483</v>
      </c>
      <c r="T24" s="41" t="s">
        <v>474</v>
      </c>
    </row>
    <row r="25" spans="2:20">
      <c r="B25" s="44">
        <v>24</v>
      </c>
      <c r="C25" s="45">
        <v>24</v>
      </c>
      <c r="D25" s="46" t="s">
        <v>544</v>
      </c>
      <c r="E25" s="33" t="s">
        <v>467</v>
      </c>
      <c r="F25" s="33"/>
      <c r="G25" s="33"/>
      <c r="H25" t="s">
        <v>545</v>
      </c>
      <c r="I25" s="44">
        <v>62401</v>
      </c>
      <c r="J25" s="44">
        <v>80</v>
      </c>
      <c r="K25" s="33">
        <v>24</v>
      </c>
      <c r="L25" s="33" t="str">
        <f>VLOOKUP(K25,[1]Kamera!B:I,3,0)</f>
        <v>10.10.24.11</v>
      </c>
      <c r="M25" s="33" t="str">
        <f>VLOOKUP(K25,[1]Kamera!B:I,7,0)</f>
        <v>24_OZAY_GONLUM</v>
      </c>
      <c r="N25" s="33" t="str">
        <f>VLOOKUP(K25,[1]Kamera!B:I,8,0)</f>
        <v>Aktif</v>
      </c>
      <c r="O25" s="33" t="s">
        <v>546</v>
      </c>
      <c r="P25" s="33" t="s">
        <v>471</v>
      </c>
      <c r="Q25" s="33" t="s">
        <v>472</v>
      </c>
      <c r="R25" s="33" t="s">
        <v>472</v>
      </c>
      <c r="S25" s="33" t="s">
        <v>483</v>
      </c>
      <c r="T25" s="41" t="s">
        <v>474</v>
      </c>
    </row>
    <row r="26" spans="2:20">
      <c r="B26" s="44">
        <v>25</v>
      </c>
      <c r="C26" s="45">
        <v>25</v>
      </c>
      <c r="D26" s="46" t="s">
        <v>547</v>
      </c>
      <c r="E26" s="33" t="s">
        <v>467</v>
      </c>
      <c r="F26" s="33"/>
      <c r="G26" s="33"/>
      <c r="H26" t="s">
        <v>548</v>
      </c>
      <c r="I26" s="44">
        <v>62401</v>
      </c>
      <c r="J26" s="44">
        <v>80</v>
      </c>
      <c r="K26" s="33">
        <v>25</v>
      </c>
      <c r="L26" s="33" t="str">
        <f>VLOOKUP(K26,[1]Kamera!B:I,3,0)</f>
        <v>10.10.25.11</v>
      </c>
      <c r="M26" s="33" t="str">
        <f>VLOOKUP(K26,[1]Kamera!B:I,7,0)</f>
        <v>25_BIM_KAVSAGI</v>
      </c>
      <c r="N26" s="33" t="str">
        <f>VLOOKUP(K26,[1]Kamera!B:I,8,0)</f>
        <v>Aktif</v>
      </c>
      <c r="O26" s="33" t="s">
        <v>549</v>
      </c>
      <c r="P26" s="33" t="s">
        <v>471</v>
      </c>
      <c r="Q26" s="33" t="s">
        <v>472</v>
      </c>
      <c r="R26" s="33" t="s">
        <v>472</v>
      </c>
      <c r="S26" s="33" t="s">
        <v>483</v>
      </c>
      <c r="T26" s="41" t="s">
        <v>474</v>
      </c>
    </row>
    <row r="27" spans="2:20">
      <c r="B27" s="44">
        <v>26</v>
      </c>
      <c r="C27" s="45">
        <v>26</v>
      </c>
      <c r="D27" s="46" t="s">
        <v>550</v>
      </c>
      <c r="E27" s="33" t="s">
        <v>467</v>
      </c>
      <c r="F27" s="33"/>
      <c r="G27" s="33" t="s">
        <v>551</v>
      </c>
      <c r="H27" t="s">
        <v>552</v>
      </c>
      <c r="I27" s="44">
        <v>62401</v>
      </c>
      <c r="J27" s="44">
        <v>80</v>
      </c>
      <c r="K27" s="33">
        <v>26</v>
      </c>
      <c r="L27" s="33" t="str">
        <f>VLOOKUP(K27,[1]Kamera!B:I,3,0)</f>
        <v>10.10.26.11</v>
      </c>
      <c r="M27" s="33" t="str">
        <f>VLOOKUP(K27,[1]Kamera!B:I,7,0)</f>
        <v>26_ANADOLU_LISESI</v>
      </c>
      <c r="N27" s="33" t="str">
        <f>VLOOKUP(K27,[1]Kamera!B:I,8,0)</f>
        <v>Aktif</v>
      </c>
      <c r="O27" s="33" t="s">
        <v>553</v>
      </c>
      <c r="P27" s="33" t="s">
        <v>471</v>
      </c>
      <c r="Q27" s="33" t="s">
        <v>472</v>
      </c>
      <c r="R27" s="33" t="s">
        <v>472</v>
      </c>
      <c r="S27" s="33" t="s">
        <v>483</v>
      </c>
      <c r="T27" s="41" t="s">
        <v>474</v>
      </c>
    </row>
    <row r="28" spans="2:20">
      <c r="B28" s="44">
        <v>27</v>
      </c>
      <c r="C28" s="45">
        <v>27</v>
      </c>
      <c r="D28" s="46" t="s">
        <v>554</v>
      </c>
      <c r="E28" s="33" t="s">
        <v>467</v>
      </c>
      <c r="F28" s="33"/>
      <c r="G28" s="33"/>
      <c r="H28" t="s">
        <v>555</v>
      </c>
      <c r="I28" s="44">
        <v>62401</v>
      </c>
      <c r="J28" s="44">
        <v>80</v>
      </c>
      <c r="K28" s="33">
        <v>27</v>
      </c>
      <c r="L28" s="33" t="str">
        <f>VLOOKUP(K28,[1]Kamera!B:I,3,0)</f>
        <v>10.10.27.11</v>
      </c>
      <c r="M28" s="33" t="str">
        <f>VLOOKUP(K28,[1]Kamera!B:I,7,0)</f>
        <v>27-UNIVERSITE_KAVSAGI</v>
      </c>
      <c r="N28" s="33" t="str">
        <f>VLOOKUP(K28,[1]Kamera!B:I,8,0)</f>
        <v>Aktif</v>
      </c>
      <c r="O28" s="33" t="s">
        <v>556</v>
      </c>
      <c r="P28" s="33" t="s">
        <v>471</v>
      </c>
      <c r="Q28" s="33" t="s">
        <v>472</v>
      </c>
      <c r="R28" s="33" t="s">
        <v>472</v>
      </c>
      <c r="S28" s="33" t="s">
        <v>483</v>
      </c>
      <c r="T28" s="41" t="s">
        <v>474</v>
      </c>
    </row>
    <row r="29" spans="2:20">
      <c r="B29" s="44">
        <v>28</v>
      </c>
      <c r="C29" s="45">
        <v>28</v>
      </c>
      <c r="D29" s="46" t="s">
        <v>557</v>
      </c>
      <c r="E29" s="33" t="s">
        <v>467</v>
      </c>
      <c r="F29" s="33"/>
      <c r="G29" s="33"/>
      <c r="H29" t="s">
        <v>558</v>
      </c>
      <c r="I29" s="44">
        <v>62401</v>
      </c>
      <c r="J29" s="44">
        <v>80</v>
      </c>
      <c r="K29" s="33">
        <v>28</v>
      </c>
      <c r="L29" s="33" t="str">
        <f>VLOOKUP(K29,[1]Kamera!B:I,3,0)</f>
        <v>10.10.28.11</v>
      </c>
      <c r="M29" s="33" t="str">
        <f>VLOOKUP(K29,[1]Kamera!B:I,7,0)</f>
        <v>28_EML</v>
      </c>
      <c r="N29" s="33" t="str">
        <f>VLOOKUP(K29,[1]Kamera!B:I,8,0)</f>
        <v>Aktif</v>
      </c>
      <c r="O29" s="33" t="s">
        <v>559</v>
      </c>
      <c r="P29" s="33" t="s">
        <v>471</v>
      </c>
      <c r="Q29" s="33" t="s">
        <v>472</v>
      </c>
      <c r="R29" s="33" t="s">
        <v>472</v>
      </c>
      <c r="S29" s="33" t="s">
        <v>483</v>
      </c>
      <c r="T29" s="41" t="s">
        <v>474</v>
      </c>
    </row>
    <row r="30" spans="2:20">
      <c r="B30" s="44">
        <v>29</v>
      </c>
      <c r="C30" s="45">
        <v>29</v>
      </c>
      <c r="D30" s="46" t="s">
        <v>560</v>
      </c>
      <c r="E30" s="33" t="s">
        <v>467</v>
      </c>
      <c r="F30" s="33"/>
      <c r="G30" s="33"/>
      <c r="H30" t="s">
        <v>561</v>
      </c>
      <c r="I30" s="44">
        <v>62401</v>
      </c>
      <c r="J30" s="44">
        <v>80</v>
      </c>
      <c r="K30" s="33">
        <v>29</v>
      </c>
      <c r="L30" s="33" t="str">
        <f>VLOOKUP(K30,[1]Kamera!B:I,3,0)</f>
        <v>10.10.29.11</v>
      </c>
      <c r="M30" s="33" t="str">
        <f>VLOOKUP(K30,[1]Kamera!B:I,7,0)</f>
        <v>29_KINIKLI_BELEDIYE</v>
      </c>
      <c r="N30" s="33" t="str">
        <f>VLOOKUP(K30,[1]Kamera!B:I,8,0)</f>
        <v>Aktif</v>
      </c>
      <c r="O30" s="33" t="s">
        <v>562</v>
      </c>
      <c r="P30" s="33" t="s">
        <v>471</v>
      </c>
      <c r="Q30" s="33" t="s">
        <v>472</v>
      </c>
      <c r="R30" s="33" t="s">
        <v>472</v>
      </c>
      <c r="S30" s="33" t="s">
        <v>483</v>
      </c>
      <c r="T30" s="41" t="s">
        <v>474</v>
      </c>
    </row>
    <row r="31" spans="2:20">
      <c r="B31" s="44">
        <v>30</v>
      </c>
      <c r="C31" s="45">
        <v>30</v>
      </c>
      <c r="D31" s="46" t="s">
        <v>563</v>
      </c>
      <c r="E31" s="33" t="s">
        <v>467</v>
      </c>
      <c r="F31" s="33"/>
      <c r="G31" s="33"/>
      <c r="H31" t="s">
        <v>564</v>
      </c>
      <c r="I31" s="44">
        <v>62401</v>
      </c>
      <c r="J31" s="44">
        <v>80</v>
      </c>
      <c r="K31" s="33">
        <v>30</v>
      </c>
      <c r="L31" s="33" t="str">
        <f>VLOOKUP(K31,[1]Kamera!B:I,3,0)</f>
        <v>10.10.30.11</v>
      </c>
      <c r="M31" s="33" t="str">
        <f>VLOOKUP(K31,[1]Kamera!B:I,7,0)</f>
        <v>30_ULUS_TOKAT</v>
      </c>
      <c r="N31" s="33" t="str">
        <f>VLOOKUP(K31,[1]Kamera!B:I,8,0)</f>
        <v>Aktif</v>
      </c>
      <c r="O31" s="33" t="s">
        <v>565</v>
      </c>
      <c r="P31" s="33" t="s">
        <v>471</v>
      </c>
      <c r="Q31" s="33" t="s">
        <v>472</v>
      </c>
      <c r="R31" s="33" t="s">
        <v>472</v>
      </c>
      <c r="S31" s="33" t="s">
        <v>483</v>
      </c>
      <c r="T31" s="41" t="s">
        <v>474</v>
      </c>
    </row>
    <row r="32" spans="2:20">
      <c r="B32" s="44">
        <v>31</v>
      </c>
      <c r="C32" s="45">
        <v>31</v>
      </c>
      <c r="D32" s="46" t="s">
        <v>566</v>
      </c>
      <c r="E32" s="33" t="s">
        <v>467</v>
      </c>
      <c r="F32" s="33"/>
      <c r="G32" s="33"/>
      <c r="H32" t="s">
        <v>567</v>
      </c>
      <c r="I32" s="44">
        <v>62401</v>
      </c>
      <c r="J32" s="44">
        <v>80</v>
      </c>
      <c r="K32" s="33">
        <v>31</v>
      </c>
      <c r="L32" s="33" t="str">
        <f>VLOOKUP(K32,[1]Kamera!B:I,3,0)</f>
        <v>10.10.31.11</v>
      </c>
      <c r="M32" s="33" t="str">
        <f>VLOOKUP(K32,[1]Kamera!B:I,7,0)</f>
        <v>31_ULUS_BURSA</v>
      </c>
      <c r="N32" s="33" t="str">
        <f>VLOOKUP(K32,[1]Kamera!B:I,8,0)</f>
        <v>Aktif</v>
      </c>
      <c r="O32" s="33" t="s">
        <v>568</v>
      </c>
      <c r="P32" s="33" t="s">
        <v>471</v>
      </c>
      <c r="Q32" s="33" t="s">
        <v>472</v>
      </c>
      <c r="R32" s="33" t="s">
        <v>472</v>
      </c>
      <c r="S32" s="33" t="s">
        <v>483</v>
      </c>
      <c r="T32" s="41" t="s">
        <v>474</v>
      </c>
    </row>
    <row r="33" spans="2:20">
      <c r="B33" s="44">
        <v>32</v>
      </c>
      <c r="C33" s="45">
        <v>32</v>
      </c>
      <c r="D33" s="46" t="s">
        <v>569</v>
      </c>
      <c r="E33" s="33" t="s">
        <v>467</v>
      </c>
      <c r="F33" s="33"/>
      <c r="G33" s="33"/>
      <c r="H33" t="s">
        <v>570</v>
      </c>
      <c r="I33" s="44">
        <v>62401</v>
      </c>
      <c r="J33" s="44">
        <v>80</v>
      </c>
      <c r="K33" s="33">
        <v>32</v>
      </c>
      <c r="L33" s="33" t="str">
        <f>VLOOKUP(K33,[1]Kamera!B:I,3,0)</f>
        <v>10.10.32.11</v>
      </c>
      <c r="M33" s="33" t="str">
        <f>VLOOKUP(K33,[1]Kamera!B:I,7,0)</f>
        <v>32_HAZUZLU_KOSK</v>
      </c>
      <c r="N33" s="33" t="str">
        <f>VLOOKUP(K33,[1]Kamera!B:I,8,0)</f>
        <v>Aktif</v>
      </c>
      <c r="O33" s="33" t="s">
        <v>571</v>
      </c>
      <c r="P33" s="33" t="s">
        <v>471</v>
      </c>
      <c r="Q33" s="33" t="s">
        <v>472</v>
      </c>
      <c r="R33" s="33" t="s">
        <v>472</v>
      </c>
      <c r="S33" s="33" t="s">
        <v>483</v>
      </c>
      <c r="T33" s="41" t="s">
        <v>474</v>
      </c>
    </row>
    <row r="34" spans="2:20">
      <c r="B34" s="44">
        <v>33</v>
      </c>
      <c r="C34" s="45">
        <v>33</v>
      </c>
      <c r="D34" s="46" t="s">
        <v>572</v>
      </c>
      <c r="E34" s="33" t="s">
        <v>467</v>
      </c>
      <c r="F34" s="33"/>
      <c r="G34" s="33"/>
      <c r="H34" t="s">
        <v>573</v>
      </c>
      <c r="I34" s="44">
        <v>62401</v>
      </c>
      <c r="J34" s="44">
        <v>80</v>
      </c>
      <c r="K34" s="33">
        <v>33</v>
      </c>
      <c r="L34" s="33" t="str">
        <f>VLOOKUP(K34,[1]Kamera!B:I,3,0)</f>
        <v>10.10.33.11</v>
      </c>
      <c r="M34" s="33" t="str">
        <f>VLOOKUP(K34,[1]Kamera!B:I,7,0)</f>
        <v>33_TIYATRO</v>
      </c>
      <c r="N34" s="33" t="str">
        <f>VLOOKUP(K34,[1]Kamera!B:I,8,0)</f>
        <v>Aktif</v>
      </c>
      <c r="O34" s="33" t="s">
        <v>574</v>
      </c>
      <c r="P34" s="33" t="s">
        <v>471</v>
      </c>
      <c r="Q34" s="33" t="s">
        <v>472</v>
      </c>
      <c r="R34" s="33" t="s">
        <v>472</v>
      </c>
      <c r="S34" s="33" t="s">
        <v>483</v>
      </c>
      <c r="T34" s="41" t="s">
        <v>474</v>
      </c>
    </row>
    <row r="35" spans="2:20">
      <c r="B35" s="44">
        <v>34</v>
      </c>
      <c r="C35" s="45">
        <v>34</v>
      </c>
      <c r="D35" s="46" t="s">
        <v>575</v>
      </c>
      <c r="E35" s="33" t="s">
        <v>467</v>
      </c>
      <c r="F35" s="33"/>
      <c r="G35" s="33"/>
      <c r="H35" t="s">
        <v>576</v>
      </c>
      <c r="I35" s="44">
        <v>62401</v>
      </c>
      <c r="J35" s="44">
        <v>80</v>
      </c>
      <c r="K35" s="33">
        <v>34</v>
      </c>
      <c r="L35" s="33" t="str">
        <f>VLOOKUP(K35,[1]Kamera!B:I,3,0)</f>
        <v>10.10.34.11</v>
      </c>
      <c r="M35" s="33" t="str">
        <f>VLOOKUP(K35,[1]Kamera!B:I,7,0)</f>
        <v>34_DORTCESME</v>
      </c>
      <c r="N35" s="33" t="str">
        <f>VLOOKUP(K35,[1]Kamera!B:I,8,0)</f>
        <v>Aktif</v>
      </c>
      <c r="O35" s="33" t="s">
        <v>577</v>
      </c>
      <c r="P35" s="33" t="s">
        <v>471</v>
      </c>
      <c r="Q35" s="33" t="s">
        <v>472</v>
      </c>
      <c r="R35" s="33" t="s">
        <v>472</v>
      </c>
      <c r="S35" s="33" t="s">
        <v>473</v>
      </c>
      <c r="T35" s="41" t="s">
        <v>474</v>
      </c>
    </row>
    <row r="36" spans="2:20">
      <c r="B36" s="44">
        <v>35</v>
      </c>
      <c r="C36" s="45">
        <v>35</v>
      </c>
      <c r="D36" s="46" t="s">
        <v>578</v>
      </c>
      <c r="E36" s="33" t="s">
        <v>467</v>
      </c>
      <c r="F36" s="33"/>
      <c r="G36" s="33"/>
      <c r="H36" t="s">
        <v>579</v>
      </c>
      <c r="I36" s="44">
        <v>62401</v>
      </c>
      <c r="J36" s="44">
        <v>80</v>
      </c>
      <c r="K36" s="33">
        <v>35</v>
      </c>
      <c r="L36" s="33" t="str">
        <f>VLOOKUP(K36,[1]Kamera!B:I,3,0)</f>
        <v>10.10.35.11</v>
      </c>
      <c r="M36" s="33" t="str">
        <f>VLOOKUP(K36,[1]Kamera!B:I,7,0)</f>
        <v>35_LISE</v>
      </c>
      <c r="N36" s="33" t="str">
        <f>VLOOKUP(K36,[1]Kamera!B:I,8,0)</f>
        <v>Aktif</v>
      </c>
      <c r="O36" s="33" t="s">
        <v>580</v>
      </c>
      <c r="P36" s="33" t="s">
        <v>471</v>
      </c>
      <c r="Q36" s="33" t="s">
        <v>472</v>
      </c>
      <c r="R36" s="33" t="s">
        <v>472</v>
      </c>
      <c r="S36" s="33" t="s">
        <v>483</v>
      </c>
      <c r="T36" s="41" t="s">
        <v>474</v>
      </c>
    </row>
    <row r="37" spans="2:20">
      <c r="B37" s="44">
        <v>36</v>
      </c>
      <c r="C37" s="45">
        <v>36</v>
      </c>
      <c r="D37" s="46" t="s">
        <v>581</v>
      </c>
      <c r="E37" s="33" t="s">
        <v>467</v>
      </c>
      <c r="F37" s="33"/>
      <c r="G37" s="33"/>
      <c r="H37" t="s">
        <v>582</v>
      </c>
      <c r="I37" s="44">
        <v>62401</v>
      </c>
      <c r="J37" s="44">
        <v>80</v>
      </c>
      <c r="K37" s="33">
        <v>36</v>
      </c>
      <c r="L37" s="33" t="str">
        <f>VLOOKUP(K37,[1]Kamera!B:I,3,0)</f>
        <v>10.10.36.11</v>
      </c>
      <c r="M37" s="33" t="str">
        <f>VLOOKUP(K37,[1]Kamera!B:I,7,0)</f>
        <v>36_SIRAKAPILAR</v>
      </c>
      <c r="N37" s="33" t="str">
        <f>VLOOKUP(K37,[1]Kamera!B:I,8,0)</f>
        <v>Aktif</v>
      </c>
      <c r="O37" s="33" t="s">
        <v>583</v>
      </c>
      <c r="P37" s="33" t="s">
        <v>471</v>
      </c>
      <c r="Q37" s="33" t="s">
        <v>472</v>
      </c>
      <c r="R37" s="33" t="s">
        <v>472</v>
      </c>
      <c r="S37" s="33" t="s">
        <v>483</v>
      </c>
      <c r="T37" s="41" t="s">
        <v>584</v>
      </c>
    </row>
    <row r="38" spans="2:20">
      <c r="B38" s="44">
        <v>37</v>
      </c>
      <c r="C38" s="45">
        <v>37</v>
      </c>
      <c r="D38" s="46" t="s">
        <v>585</v>
      </c>
      <c r="E38" s="33" t="s">
        <v>467</v>
      </c>
      <c r="F38" s="33"/>
      <c r="G38" s="33"/>
      <c r="H38" t="s">
        <v>586</v>
      </c>
      <c r="I38" s="44">
        <v>62401</v>
      </c>
      <c r="J38" s="44">
        <v>80</v>
      </c>
      <c r="K38" s="33">
        <v>37</v>
      </c>
      <c r="L38" s="33" t="str">
        <f>VLOOKUP(K38,[1]Kamera!B:I,3,0)</f>
        <v>10.10.37.11</v>
      </c>
      <c r="M38" s="33" t="str">
        <f>VLOOKUP(K38,[1]Kamera!B:I,7,0)</f>
        <v>37_LOZAN</v>
      </c>
      <c r="N38" s="33" t="str">
        <f>VLOOKUP(K38,[1]Kamera!B:I,8,0)</f>
        <v>Aktif</v>
      </c>
      <c r="O38" s="33" t="s">
        <v>587</v>
      </c>
      <c r="P38" s="33" t="s">
        <v>471</v>
      </c>
      <c r="Q38" s="33" t="s">
        <v>472</v>
      </c>
      <c r="R38" s="33" t="s">
        <v>472</v>
      </c>
      <c r="S38" s="33" t="s">
        <v>483</v>
      </c>
      <c r="T38" s="41" t="s">
        <v>474</v>
      </c>
    </row>
    <row r="39" spans="2:20">
      <c r="B39" s="44">
        <v>38</v>
      </c>
      <c r="C39" s="45">
        <v>38</v>
      </c>
      <c r="D39" s="46" t="s">
        <v>588</v>
      </c>
      <c r="E39" s="33" t="s">
        <v>467</v>
      </c>
      <c r="F39" s="33"/>
      <c r="G39" s="33"/>
      <c r="H39" t="s">
        <v>589</v>
      </c>
      <c r="I39" s="44">
        <v>62401</v>
      </c>
      <c r="J39" s="44">
        <v>80</v>
      </c>
      <c r="K39" s="33">
        <v>38</v>
      </c>
      <c r="L39" s="33" t="str">
        <f>VLOOKUP(K39,[1]Kamera!B:I,3,0)</f>
        <v>10.10.38.11</v>
      </c>
      <c r="M39" s="33" t="str">
        <f>VLOOKUP(K39,[1]Kamera!B:I,7,0)</f>
        <v>38_ORDUEVI</v>
      </c>
      <c r="N39" s="33" t="str">
        <f>VLOOKUP(K39,[1]Kamera!B:I,8,0)</f>
        <v>Aktif</v>
      </c>
      <c r="O39" s="33" t="s">
        <v>590</v>
      </c>
      <c r="P39" s="33" t="s">
        <v>471</v>
      </c>
      <c r="Q39" s="33" t="s">
        <v>472</v>
      </c>
      <c r="R39" s="33" t="s">
        <v>472</v>
      </c>
      <c r="S39" s="33" t="s">
        <v>483</v>
      </c>
      <c r="T39" s="41" t="s">
        <v>474</v>
      </c>
    </row>
    <row r="40" spans="2:20">
      <c r="B40" s="44">
        <v>39</v>
      </c>
      <c r="C40" s="45">
        <v>39</v>
      </c>
      <c r="D40" s="46" t="s">
        <v>591</v>
      </c>
      <c r="E40" s="33" t="s">
        <v>467</v>
      </c>
      <c r="F40" s="33"/>
      <c r="G40" s="33"/>
      <c r="H40" t="s">
        <v>592</v>
      </c>
      <c r="I40" s="44">
        <v>62401</v>
      </c>
      <c r="J40" s="44">
        <v>80</v>
      </c>
      <c r="K40" s="33">
        <v>39</v>
      </c>
      <c r="L40" s="33" t="str">
        <f>VLOOKUP(K40,[1]Kamera!B:I,3,0)</f>
        <v>10.10.39.11</v>
      </c>
      <c r="M40" s="33" t="str">
        <f>VLOOKUP(K40,[1]Kamera!B:I,7,0)</f>
        <v>39_KIREMITCI</v>
      </c>
      <c r="N40" s="33" t="str">
        <f>VLOOKUP(K40,[1]Kamera!B:I,8,0)</f>
        <v>Aktif</v>
      </c>
      <c r="O40" s="33" t="s">
        <v>593</v>
      </c>
      <c r="P40" s="33" t="s">
        <v>471</v>
      </c>
      <c r="Q40" s="33" t="s">
        <v>472</v>
      </c>
      <c r="R40" s="33" t="s">
        <v>472</v>
      </c>
      <c r="S40" s="33" t="s">
        <v>483</v>
      </c>
      <c r="T40" s="41" t="s">
        <v>474</v>
      </c>
    </row>
    <row r="41" spans="2:20">
      <c r="B41" s="44">
        <v>40</v>
      </c>
      <c r="C41" s="45">
        <v>40</v>
      </c>
      <c r="D41" s="46" t="s">
        <v>594</v>
      </c>
      <c r="E41" s="33" t="s">
        <v>467</v>
      </c>
      <c r="F41" s="33"/>
      <c r="G41" s="33"/>
      <c r="H41" t="s">
        <v>595</v>
      </c>
      <c r="I41" s="44">
        <v>62401</v>
      </c>
      <c r="J41" s="44">
        <v>80</v>
      </c>
      <c r="K41" s="33">
        <v>40</v>
      </c>
      <c r="L41" s="33" t="str">
        <f>VLOOKUP(K41,[1]Kamera!B:I,3,0)</f>
        <v>10.10.40.11</v>
      </c>
      <c r="M41" s="33" t="str">
        <f>VLOOKUP(K41,[1]Kamera!B:I,7,0)</f>
        <v>40_KARAMAN</v>
      </c>
      <c r="N41" s="33" t="str">
        <f>VLOOKUP(K41,[1]Kamera!B:I,8,0)</f>
        <v>Aktif</v>
      </c>
      <c r="O41" s="33" t="s">
        <v>596</v>
      </c>
      <c r="P41" s="33" t="s">
        <v>471</v>
      </c>
      <c r="Q41" s="33" t="s">
        <v>472</v>
      </c>
      <c r="R41" s="33" t="s">
        <v>472</v>
      </c>
      <c r="S41" s="33" t="s">
        <v>483</v>
      </c>
      <c r="T41" s="41" t="s">
        <v>474</v>
      </c>
    </row>
    <row r="42" spans="2:20">
      <c r="B42" s="44">
        <v>41</v>
      </c>
      <c r="C42" s="45">
        <v>41</v>
      </c>
      <c r="D42" s="46" t="s">
        <v>597</v>
      </c>
      <c r="E42" s="33" t="s">
        <v>467</v>
      </c>
      <c r="F42" s="33"/>
      <c r="G42" s="33"/>
      <c r="H42" t="s">
        <v>598</v>
      </c>
      <c r="I42" s="44">
        <v>62401</v>
      </c>
      <c r="J42" s="44">
        <v>80</v>
      </c>
      <c r="K42" s="33">
        <v>41</v>
      </c>
      <c r="L42" s="33" t="str">
        <f>VLOOKUP(K42,[1]Kamera!B:I,3,0)</f>
        <v>10.10.41.11</v>
      </c>
      <c r="M42" s="33" t="str">
        <f>VLOOKUP(K42,[1]Kamera!B:I,7,0)</f>
        <v>41_AKKONAK</v>
      </c>
      <c r="N42" s="33" t="str">
        <f>VLOOKUP(K42,[1]Kamera!B:I,8,0)</f>
        <v>Aktif</v>
      </c>
      <c r="O42" s="33" t="s">
        <v>599</v>
      </c>
      <c r="P42" s="33" t="s">
        <v>471</v>
      </c>
      <c r="Q42" s="33" t="s">
        <v>472</v>
      </c>
      <c r="R42" s="33" t="s">
        <v>472</v>
      </c>
      <c r="S42" s="33" t="s">
        <v>483</v>
      </c>
      <c r="T42" s="41" t="s">
        <v>474</v>
      </c>
    </row>
    <row r="43" spans="2:20">
      <c r="B43" s="44">
        <v>42</v>
      </c>
      <c r="C43" s="45">
        <v>42</v>
      </c>
      <c r="D43" s="46" t="s">
        <v>600</v>
      </c>
      <c r="E43" s="33" t="s">
        <v>467</v>
      </c>
      <c r="F43" s="33"/>
      <c r="G43" s="33"/>
      <c r="H43" t="s">
        <v>601</v>
      </c>
      <c r="I43" s="44">
        <v>62401</v>
      </c>
      <c r="J43" s="44">
        <v>80</v>
      </c>
      <c r="K43" s="33">
        <v>42</v>
      </c>
      <c r="L43" s="33" t="str">
        <f>VLOOKUP(K43,[1]Kamera!B:I,3,0)</f>
        <v>10.10.42.11</v>
      </c>
      <c r="M43" s="33" t="str">
        <f>VLOOKUP(K43,[1]Kamera!B:I,7,0)</f>
        <v>42_BERKAY_HALISAHA</v>
      </c>
      <c r="N43" s="33" t="str">
        <f>VLOOKUP(K43,[1]Kamera!B:I,8,0)</f>
        <v>Aktif</v>
      </c>
      <c r="O43" s="33" t="s">
        <v>602</v>
      </c>
      <c r="P43" s="33" t="s">
        <v>471</v>
      </c>
      <c r="Q43" s="33" t="s">
        <v>472</v>
      </c>
      <c r="R43" s="33" t="s">
        <v>472</v>
      </c>
      <c r="S43" s="33" t="s">
        <v>603</v>
      </c>
      <c r="T43" s="41" t="s">
        <v>474</v>
      </c>
    </row>
    <row r="44" spans="2:20">
      <c r="B44" s="44">
        <v>43</v>
      </c>
      <c r="C44" s="45">
        <v>43</v>
      </c>
      <c r="D44" s="46" t="s">
        <v>604</v>
      </c>
      <c r="E44" s="33" t="s">
        <v>467</v>
      </c>
      <c r="F44" s="33"/>
      <c r="G44" s="33"/>
      <c r="H44" t="s">
        <v>605</v>
      </c>
      <c r="I44" s="44">
        <v>62401</v>
      </c>
      <c r="J44" s="44">
        <v>80</v>
      </c>
      <c r="K44" s="33">
        <v>43</v>
      </c>
      <c r="L44" s="33" t="str">
        <f>VLOOKUP(K44,[1]Kamera!B:I,3,0)</f>
        <v>10.10.43.11</v>
      </c>
      <c r="M44" s="33" t="str">
        <f>VLOOKUP(K44,[1]Kamera!B:I,7,0)</f>
        <v>43_KANAL_KAV</v>
      </c>
      <c r="N44" s="33" t="str">
        <f>VLOOKUP(K44,[1]Kamera!B:I,8,0)</f>
        <v>Aktif</v>
      </c>
      <c r="O44" s="33" t="s">
        <v>606</v>
      </c>
      <c r="P44" s="33" t="s">
        <v>471</v>
      </c>
      <c r="Q44" s="33" t="s">
        <v>472</v>
      </c>
      <c r="R44" s="33" t="s">
        <v>472</v>
      </c>
      <c r="S44" s="33" t="s">
        <v>603</v>
      </c>
      <c r="T44" s="41" t="s">
        <v>474</v>
      </c>
    </row>
    <row r="45" spans="2:20">
      <c r="B45" s="44">
        <v>44</v>
      </c>
      <c r="C45" s="45">
        <v>44</v>
      </c>
      <c r="D45" s="46" t="s">
        <v>607</v>
      </c>
      <c r="E45" s="33" t="s">
        <v>467</v>
      </c>
      <c r="F45" s="33"/>
      <c r="G45" s="33" t="s">
        <v>608</v>
      </c>
      <c r="H45" t="s">
        <v>609</v>
      </c>
      <c r="I45" s="44">
        <v>62401</v>
      </c>
      <c r="J45" s="44">
        <v>80</v>
      </c>
      <c r="K45" s="33">
        <v>44</v>
      </c>
      <c r="L45" s="33" t="str">
        <f>VLOOKUP(K45,[1]Kamera!B:I,3,0)</f>
        <v>10.10.44.11</v>
      </c>
      <c r="M45" s="33" t="str">
        <f>VLOOKUP(K45,[1]Kamera!B:I,7,0)</f>
        <v>44_ASKERI_YOL</v>
      </c>
      <c r="N45" s="33" t="str">
        <f>VLOOKUP(K45,[1]Kamera!B:I,8,0)</f>
        <v>Aktif</v>
      </c>
      <c r="O45" s="33" t="s">
        <v>610</v>
      </c>
      <c r="P45" s="33" t="s">
        <v>471</v>
      </c>
      <c r="Q45" s="33" t="s">
        <v>472</v>
      </c>
      <c r="R45" s="33" t="s">
        <v>472</v>
      </c>
      <c r="S45" s="33" t="s">
        <v>483</v>
      </c>
      <c r="T45" s="41" t="s">
        <v>474</v>
      </c>
    </row>
    <row r="46" spans="2:20">
      <c r="B46" s="44">
        <v>45</v>
      </c>
      <c r="C46" s="45">
        <v>45</v>
      </c>
      <c r="D46" s="46" t="s">
        <v>611</v>
      </c>
      <c r="E46" s="33" t="s">
        <v>467</v>
      </c>
      <c r="F46" s="33"/>
      <c r="G46" s="33"/>
      <c r="H46" t="s">
        <v>612</v>
      </c>
      <c r="I46" s="44">
        <v>62401</v>
      </c>
      <c r="J46" s="44">
        <v>80</v>
      </c>
      <c r="K46" s="33">
        <v>45</v>
      </c>
      <c r="L46" s="33" t="str">
        <f>VLOOKUP(K46,[1]Kamera!B:I,3,0)</f>
        <v>10.10.45.11</v>
      </c>
      <c r="M46" s="33" t="str">
        <f>VLOOKUP(K46,[1]Kamera!B:I,7,0)</f>
        <v>45_BELKON</v>
      </c>
      <c r="N46" s="33" t="str">
        <f>VLOOKUP(K46,[1]Kamera!B:I,8,0)</f>
        <v>Aktif</v>
      </c>
      <c r="O46" s="33" t="s">
        <v>613</v>
      </c>
      <c r="P46" s="33" t="s">
        <v>471</v>
      </c>
      <c r="Q46" s="33" t="s">
        <v>472</v>
      </c>
      <c r="R46" s="33" t="s">
        <v>472</v>
      </c>
      <c r="S46" s="33" t="s">
        <v>603</v>
      </c>
      <c r="T46" s="41" t="s">
        <v>474</v>
      </c>
    </row>
    <row r="47" spans="2:20">
      <c r="B47" s="44">
        <v>46</v>
      </c>
      <c r="C47" s="45">
        <v>46</v>
      </c>
      <c r="D47" s="46" t="s">
        <v>614</v>
      </c>
      <c r="E47" s="33" t="s">
        <v>467</v>
      </c>
      <c r="F47" s="33"/>
      <c r="G47" s="33"/>
      <c r="H47" t="s">
        <v>615</v>
      </c>
      <c r="I47" s="44">
        <v>62401</v>
      </c>
      <c r="J47" s="44">
        <v>80</v>
      </c>
      <c r="K47" s="33">
        <v>46</v>
      </c>
      <c r="L47" s="33" t="str">
        <f>VLOOKUP(K47,[1]Kamera!B:I,3,0)</f>
        <v>10.10.46.11</v>
      </c>
      <c r="M47" s="33" t="str">
        <f>VLOOKUP(K47,[1]Kamera!B:I,7,0)</f>
        <v>46_YENISEHIR</v>
      </c>
      <c r="N47" s="33" t="str">
        <f>VLOOKUP(K47,[1]Kamera!B:I,8,0)</f>
        <v>Aktif</v>
      </c>
      <c r="O47" s="33" t="s">
        <v>616</v>
      </c>
      <c r="P47" s="33" t="s">
        <v>471</v>
      </c>
      <c r="Q47" s="33" t="s">
        <v>472</v>
      </c>
      <c r="R47" s="33" t="s">
        <v>472</v>
      </c>
      <c r="S47" s="33" t="s">
        <v>483</v>
      </c>
      <c r="T47" s="41" t="s">
        <v>474</v>
      </c>
    </row>
    <row r="48" spans="2:20">
      <c r="B48" s="44">
        <v>47</v>
      </c>
      <c r="C48" s="45">
        <v>47</v>
      </c>
      <c r="D48" s="46" t="s">
        <v>617</v>
      </c>
      <c r="E48" s="33" t="s">
        <v>467</v>
      </c>
      <c r="F48" s="33"/>
      <c r="G48" s="33"/>
      <c r="H48" t="s">
        <v>618</v>
      </c>
      <c r="I48" s="44">
        <v>62401</v>
      </c>
      <c r="J48" s="44">
        <v>80</v>
      </c>
      <c r="K48" s="33">
        <v>47</v>
      </c>
      <c r="L48" s="33" t="str">
        <f>VLOOKUP(K48,[1]Kamera!B:I,3,0)</f>
        <v>10.10.47.11</v>
      </c>
      <c r="M48" s="33" t="str">
        <f>VLOOKUP(K48,[1]Kamera!B:I,7,0)</f>
        <v>47_MECLIS_ORMANI</v>
      </c>
      <c r="N48" s="33" t="str">
        <f>VLOOKUP(K48,[1]Kamera!B:I,8,0)</f>
        <v>Aktif</v>
      </c>
      <c r="O48" s="33" t="s">
        <v>619</v>
      </c>
      <c r="P48" s="33" t="s">
        <v>471</v>
      </c>
      <c r="Q48" s="33" t="s">
        <v>472</v>
      </c>
      <c r="R48" s="33" t="s">
        <v>472</v>
      </c>
      <c r="S48" s="33" t="s">
        <v>603</v>
      </c>
      <c r="T48" s="41" t="s">
        <v>474</v>
      </c>
    </row>
    <row r="49" spans="2:20">
      <c r="B49" s="44">
        <v>48</v>
      </c>
      <c r="C49" s="45">
        <v>48</v>
      </c>
      <c r="D49" s="46" t="s">
        <v>620</v>
      </c>
      <c r="E49" s="33" t="s">
        <v>467</v>
      </c>
      <c r="F49" s="33"/>
      <c r="G49" s="33" t="s">
        <v>621</v>
      </c>
      <c r="H49" t="s">
        <v>622</v>
      </c>
      <c r="I49" s="44">
        <v>62401</v>
      </c>
      <c r="J49" s="44">
        <v>80</v>
      </c>
      <c r="K49" s="33">
        <v>48</v>
      </c>
      <c r="L49" s="33" t="str">
        <f>VLOOKUP(K49,[1]Kamera!B:I,3,0)</f>
        <v>10.10.48.11</v>
      </c>
      <c r="M49" s="33" t="str">
        <f>VLOOKUP(K49,[1]Kamera!B:I,7,0)</f>
        <v>48_SIRINKOY</v>
      </c>
      <c r="N49" s="33" t="str">
        <f>VLOOKUP(K49,[1]Kamera!B:I,8,0)</f>
        <v>Aktif</v>
      </c>
      <c r="O49" s="33" t="s">
        <v>623</v>
      </c>
      <c r="P49" s="33" t="s">
        <v>471</v>
      </c>
      <c r="Q49" s="33" t="s">
        <v>472</v>
      </c>
      <c r="R49" s="33" t="s">
        <v>472</v>
      </c>
      <c r="S49" s="33" t="s">
        <v>603</v>
      </c>
      <c r="T49" s="41" t="s">
        <v>474</v>
      </c>
    </row>
    <row r="50" spans="2:20">
      <c r="B50" s="44">
        <v>49</v>
      </c>
      <c r="C50" s="45">
        <v>49</v>
      </c>
      <c r="D50" s="46" t="s">
        <v>624</v>
      </c>
      <c r="E50" s="33" t="s">
        <v>467</v>
      </c>
      <c r="F50" s="33"/>
      <c r="G50" s="33"/>
      <c r="H50" t="s">
        <v>625</v>
      </c>
      <c r="I50" s="44">
        <v>62401</v>
      </c>
      <c r="J50" s="44">
        <v>80</v>
      </c>
      <c r="K50" s="33">
        <v>49</v>
      </c>
      <c r="L50" s="33" t="str">
        <f>VLOOKUP(K50,[1]Kamera!B:I,3,0)</f>
        <v>10.10.49.11</v>
      </c>
      <c r="M50" s="33" t="str">
        <f>VLOOKUP(K50,[1]Kamera!B:I,7,0)</f>
        <v>49_GULISTAN</v>
      </c>
      <c r="N50" s="33" t="str">
        <f>VLOOKUP(K50,[1]Kamera!B:I,8,0)</f>
        <v>Aktif</v>
      </c>
      <c r="O50" s="33" t="s">
        <v>626</v>
      </c>
      <c r="P50" s="33" t="s">
        <v>471</v>
      </c>
      <c r="Q50" s="33" t="s">
        <v>584</v>
      </c>
      <c r="R50" s="33" t="s">
        <v>584</v>
      </c>
      <c r="S50" s="33" t="s">
        <v>603</v>
      </c>
      <c r="T50" s="41" t="s">
        <v>474</v>
      </c>
    </row>
    <row r="51" spans="2:20">
      <c r="B51" s="44">
        <v>50</v>
      </c>
      <c r="C51" s="45">
        <v>50</v>
      </c>
      <c r="D51" s="46" t="s">
        <v>627</v>
      </c>
      <c r="E51" s="33" t="s">
        <v>467</v>
      </c>
      <c r="F51" s="33"/>
      <c r="G51" s="33"/>
      <c r="H51" t="s">
        <v>628</v>
      </c>
      <c r="I51" s="44">
        <v>62401</v>
      </c>
      <c r="J51" s="44">
        <v>80</v>
      </c>
      <c r="K51" s="33">
        <v>50</v>
      </c>
      <c r="L51" s="33" t="str">
        <f>VLOOKUP(K51,[1]Kamera!B:I,3,0)</f>
        <v>10.10.50.11</v>
      </c>
      <c r="M51" s="33" t="str">
        <f>VLOOKUP(K51,[1]Kamera!B:I,7,0)</f>
        <v>50_ADLIYE_LOJMANI</v>
      </c>
      <c r="N51" s="33" t="str">
        <f>VLOOKUP(K51,[1]Kamera!B:I,8,0)</f>
        <v>Aktif</v>
      </c>
      <c r="O51" s="33" t="s">
        <v>629</v>
      </c>
      <c r="P51" s="33" t="s">
        <v>471</v>
      </c>
      <c r="Q51" s="33" t="s">
        <v>472</v>
      </c>
      <c r="R51" s="33" t="s">
        <v>472</v>
      </c>
      <c r="S51" s="33" t="s">
        <v>603</v>
      </c>
      <c r="T51" s="41" t="s">
        <v>474</v>
      </c>
    </row>
    <row r="52" spans="2:20">
      <c r="B52" s="44">
        <v>51</v>
      </c>
      <c r="C52" s="45">
        <v>51</v>
      </c>
      <c r="D52" s="46" t="s">
        <v>630</v>
      </c>
      <c r="E52" s="33" t="s">
        <v>467</v>
      </c>
      <c r="F52" s="33"/>
      <c r="G52" s="33"/>
      <c r="H52" t="s">
        <v>631</v>
      </c>
      <c r="I52" s="44">
        <v>62401</v>
      </c>
      <c r="J52" s="44">
        <v>80</v>
      </c>
      <c r="K52" s="33">
        <v>51</v>
      </c>
      <c r="L52" s="33" t="str">
        <f>VLOOKUP(K52,[1]Kamera!B:I,3,0)</f>
        <v>10.10.51.11</v>
      </c>
      <c r="M52" s="33" t="str">
        <f>VLOOKUP(K52,[1]Kamera!B:I,7,0)</f>
        <v>51_ADLIYE</v>
      </c>
      <c r="N52" s="33" t="str">
        <f>VLOOKUP(K52,[1]Kamera!B:I,8,0)</f>
        <v>Aktif</v>
      </c>
      <c r="O52" s="33" t="s">
        <v>632</v>
      </c>
      <c r="P52" s="33" t="s">
        <v>471</v>
      </c>
      <c r="Q52" s="33" t="s">
        <v>472</v>
      </c>
      <c r="R52" s="33" t="s">
        <v>472</v>
      </c>
      <c r="S52" s="33" t="s">
        <v>483</v>
      </c>
      <c r="T52" s="41" t="s">
        <v>584</v>
      </c>
    </row>
    <row r="53" spans="2:20">
      <c r="B53" s="44">
        <v>52</v>
      </c>
      <c r="C53" s="45">
        <v>52</v>
      </c>
      <c r="D53" s="46" t="s">
        <v>633</v>
      </c>
      <c r="E53" s="33" t="s">
        <v>467</v>
      </c>
      <c r="F53" s="33"/>
      <c r="G53" s="33"/>
      <c r="H53" t="s">
        <v>634</v>
      </c>
      <c r="I53" s="44">
        <v>62401</v>
      </c>
      <c r="J53" s="44">
        <v>80</v>
      </c>
      <c r="K53" s="33">
        <v>52</v>
      </c>
      <c r="L53" s="33" t="str">
        <f>VLOOKUP(K53,[1]Kamera!B:I,3,0)</f>
        <v>10.10.52.11</v>
      </c>
      <c r="M53" s="33" t="str">
        <f>VLOOKUP(K53,[1]Kamera!B:I,7,0)</f>
        <v>52_SIRINKOY_YOL_AYRIMI</v>
      </c>
      <c r="N53" s="33" t="str">
        <f>VLOOKUP(K53,[1]Kamera!B:I,8,0)</f>
        <v>Aktif</v>
      </c>
      <c r="O53" s="33" t="s">
        <v>635</v>
      </c>
      <c r="P53" s="33" t="s">
        <v>471</v>
      </c>
      <c r="Q53" s="33" t="s">
        <v>472</v>
      </c>
      <c r="R53" s="33" t="s">
        <v>472</v>
      </c>
      <c r="S53" s="33" t="s">
        <v>603</v>
      </c>
      <c r="T53" s="41" t="s">
        <v>474</v>
      </c>
    </row>
    <row r="54" spans="2:20">
      <c r="B54" s="44">
        <v>53</v>
      </c>
      <c r="C54" s="45">
        <v>53</v>
      </c>
      <c r="D54" s="46" t="s">
        <v>636</v>
      </c>
      <c r="E54" s="33" t="s">
        <v>467</v>
      </c>
      <c r="F54" s="33"/>
      <c r="G54" s="33" t="s">
        <v>637</v>
      </c>
      <c r="H54" t="s">
        <v>638</v>
      </c>
      <c r="I54" s="44">
        <v>62401</v>
      </c>
      <c r="J54" s="44">
        <v>80</v>
      </c>
      <c r="K54" s="33">
        <v>53</v>
      </c>
      <c r="L54" s="33" t="str">
        <f>VLOOKUP(K54,[1]Kamera!B:I,3,0)</f>
        <v>10.10.53.11</v>
      </c>
      <c r="M54" s="33" t="str">
        <f>VLOOKUP(K54,[1]Kamera!B:I,7,0)</f>
        <v>53_ALBENI_KAV</v>
      </c>
      <c r="N54" s="33" t="str">
        <f>VLOOKUP(K54,[1]Kamera!B:I,8,0)</f>
        <v>Aktif</v>
      </c>
      <c r="O54" s="33" t="s">
        <v>639</v>
      </c>
      <c r="P54" s="33" t="s">
        <v>471</v>
      </c>
      <c r="Q54" s="33" t="s">
        <v>472</v>
      </c>
      <c r="R54" s="33" t="s">
        <v>472</v>
      </c>
      <c r="S54" s="33" t="s">
        <v>603</v>
      </c>
      <c r="T54" s="41" t="s">
        <v>474</v>
      </c>
    </row>
    <row r="55" spans="2:20">
      <c r="B55" s="44">
        <v>54</v>
      </c>
      <c r="C55" s="45">
        <v>54</v>
      </c>
      <c r="D55" s="46" t="s">
        <v>640</v>
      </c>
      <c r="E55" s="33" t="s">
        <v>467</v>
      </c>
      <c r="F55" s="33"/>
      <c r="G55" s="33"/>
      <c r="H55" t="s">
        <v>641</v>
      </c>
      <c r="I55" s="44">
        <v>62401</v>
      </c>
      <c r="J55" s="44">
        <v>80</v>
      </c>
      <c r="K55" s="33">
        <v>54</v>
      </c>
      <c r="L55" s="33" t="str">
        <f>VLOOKUP(K55,[1]Kamera!B:I,3,0)</f>
        <v>10.10.54.11</v>
      </c>
      <c r="M55" s="33" t="str">
        <f>VLOOKUP(K55,[1]Kamera!B:I,7,0)</f>
        <v>54_ESENTEPE_KAV</v>
      </c>
      <c r="N55" s="33" t="str">
        <f>VLOOKUP(K55,[1]Kamera!B:I,8,0)</f>
        <v>Aktif</v>
      </c>
      <c r="O55" s="33" t="s">
        <v>642</v>
      </c>
      <c r="P55" s="33" t="s">
        <v>643</v>
      </c>
      <c r="Q55" s="33" t="s">
        <v>472</v>
      </c>
      <c r="R55" s="33" t="s">
        <v>584</v>
      </c>
      <c r="S55" s="33"/>
      <c r="T55" s="41"/>
    </row>
    <row r="56" spans="2:20">
      <c r="B56" s="44">
        <v>55</v>
      </c>
      <c r="C56" s="45">
        <v>55</v>
      </c>
      <c r="D56" s="46" t="s">
        <v>644</v>
      </c>
      <c r="E56" s="33" t="s">
        <v>467</v>
      </c>
      <c r="F56" s="33"/>
      <c r="G56" s="33"/>
      <c r="H56" t="s">
        <v>645</v>
      </c>
      <c r="I56" s="44">
        <v>62401</v>
      </c>
      <c r="J56" s="44">
        <v>80</v>
      </c>
      <c r="K56" s="33">
        <v>55</v>
      </c>
      <c r="L56" s="33" t="str">
        <f>VLOOKUP(K56,[1]Kamera!B:I,3,0)</f>
        <v>10.10.55.11</v>
      </c>
      <c r="M56" s="33" t="str">
        <f>VLOOKUP(K56,[1]Kamera!B:I,7,0)</f>
        <v>55_FABRIKALAR</v>
      </c>
      <c r="N56" s="33" t="str">
        <f>VLOOKUP(K56,[1]Kamera!B:I,8,0)</f>
        <v>Aktif</v>
      </c>
      <c r="O56" s="33" t="s">
        <v>646</v>
      </c>
      <c r="P56" s="33" t="s">
        <v>643</v>
      </c>
      <c r="Q56" s="33" t="s">
        <v>472</v>
      </c>
      <c r="R56" s="33" t="s">
        <v>584</v>
      </c>
      <c r="S56" s="33"/>
      <c r="T56" s="41"/>
    </row>
    <row r="57" spans="2:20">
      <c r="B57" s="44">
        <v>56</v>
      </c>
      <c r="C57" s="45">
        <v>56</v>
      </c>
      <c r="D57" s="46" t="s">
        <v>647</v>
      </c>
      <c r="E57" s="33" t="s">
        <v>467</v>
      </c>
      <c r="F57" s="33"/>
      <c r="G57" s="33"/>
      <c r="H57" t="s">
        <v>648</v>
      </c>
      <c r="I57" s="44">
        <v>62401</v>
      </c>
      <c r="J57" s="44">
        <v>80</v>
      </c>
      <c r="K57" s="33">
        <v>56</v>
      </c>
      <c r="L57" s="33" t="str">
        <f>VLOOKUP(K57,[1]Kamera!B:I,3,0)</f>
        <v>10.10.56.11</v>
      </c>
      <c r="M57" s="33" t="str">
        <f>VLOOKUP(K57,[1]Kamera!B:I,7,0)</f>
        <v>56_BAKIRLI_KOP_ALTI_KAV</v>
      </c>
      <c r="N57" s="33" t="str">
        <f>VLOOKUP(K57,[1]Kamera!B:I,8,0)</f>
        <v>Aktif</v>
      </c>
      <c r="O57" s="33" t="s">
        <v>649</v>
      </c>
      <c r="P57" s="33" t="s">
        <v>471</v>
      </c>
      <c r="Q57" s="33" t="s">
        <v>472</v>
      </c>
      <c r="R57" s="33" t="s">
        <v>472</v>
      </c>
      <c r="S57" s="33" t="s">
        <v>473</v>
      </c>
      <c r="T57" s="41" t="s">
        <v>474</v>
      </c>
    </row>
    <row r="58" spans="2:20">
      <c r="B58" s="44">
        <v>57</v>
      </c>
      <c r="C58" s="45">
        <v>57</v>
      </c>
      <c r="D58" s="46" t="s">
        <v>650</v>
      </c>
      <c r="E58" s="33" t="s">
        <v>467</v>
      </c>
      <c r="F58" s="33"/>
      <c r="G58" s="33"/>
      <c r="H58" t="s">
        <v>651</v>
      </c>
      <c r="I58" s="44">
        <v>62401</v>
      </c>
      <c r="J58" s="44">
        <v>80</v>
      </c>
      <c r="K58" s="33">
        <v>57</v>
      </c>
      <c r="L58" s="33" t="str">
        <f>VLOOKUP(K58,[1]Kamera!B:I,3,0)</f>
        <v>10.10.57.11</v>
      </c>
      <c r="M58" s="33" t="str">
        <f>VLOOKUP(K58,[1]Kamera!B:I,7,0)</f>
        <v>57_LEVAZIM</v>
      </c>
      <c r="N58" s="33" t="str">
        <f>VLOOKUP(K58,[1]Kamera!B:I,8,0)</f>
        <v>Aktif</v>
      </c>
      <c r="O58" s="33" t="s">
        <v>652</v>
      </c>
      <c r="P58" s="33" t="s">
        <v>471</v>
      </c>
      <c r="Q58" s="33" t="s">
        <v>472</v>
      </c>
      <c r="R58" s="33" t="s">
        <v>472</v>
      </c>
      <c r="S58" s="33" t="s">
        <v>653</v>
      </c>
      <c r="T58" s="41" t="s">
        <v>474</v>
      </c>
    </row>
    <row r="59" spans="2:20">
      <c r="B59" s="44">
        <v>58</v>
      </c>
      <c r="C59" s="45">
        <v>58</v>
      </c>
      <c r="D59" s="46" t="s">
        <v>654</v>
      </c>
      <c r="E59" s="33" t="s">
        <v>467</v>
      </c>
      <c r="F59" s="33"/>
      <c r="G59" s="33"/>
      <c r="H59" t="s">
        <v>655</v>
      </c>
      <c r="I59" s="44">
        <v>62401</v>
      </c>
      <c r="J59" s="44">
        <v>80</v>
      </c>
      <c r="K59" s="33">
        <v>58</v>
      </c>
      <c r="L59" s="33" t="str">
        <f>VLOOKUP(K59,[1]Kamera!B:I,3,0)</f>
        <v>10.10.58.11</v>
      </c>
      <c r="M59" s="33" t="str">
        <f>VLOOKUP(K59,[1]Kamera!B:I,7,0)</f>
        <v>58_SUMERKAV_CAL_CAD</v>
      </c>
      <c r="N59" s="33" t="str">
        <f>VLOOKUP(K59,[1]Kamera!B:I,8,0)</f>
        <v>Aktif</v>
      </c>
      <c r="O59" s="33" t="s">
        <v>656</v>
      </c>
      <c r="P59" s="33" t="s">
        <v>471</v>
      </c>
      <c r="Q59" s="33" t="s">
        <v>472</v>
      </c>
      <c r="R59" s="33" t="s">
        <v>584</v>
      </c>
      <c r="S59" s="33" t="s">
        <v>653</v>
      </c>
      <c r="T59" s="41" t="s">
        <v>474</v>
      </c>
    </row>
    <row r="60" spans="2:20">
      <c r="B60" s="44">
        <v>59</v>
      </c>
      <c r="C60" s="45">
        <v>59</v>
      </c>
      <c r="D60" s="46" t="s">
        <v>657</v>
      </c>
      <c r="E60" s="33" t="s">
        <v>467</v>
      </c>
      <c r="F60" s="33"/>
      <c r="G60" s="33"/>
      <c r="H60" t="s">
        <v>658</v>
      </c>
      <c r="I60" s="44">
        <v>62401</v>
      </c>
      <c r="J60" s="44">
        <v>80</v>
      </c>
      <c r="K60" s="33">
        <v>59</v>
      </c>
      <c r="L60" s="33" t="str">
        <f>VLOOKUP(K60,[1]Kamera!B:I,3,0)</f>
        <v>10.10.59.11</v>
      </c>
      <c r="M60" s="33" t="str">
        <f>VLOOKUP(K60,[1]Kamera!B:I,7,0)</f>
        <v>59_CINKAYA_SAGLIK_OCAGI</v>
      </c>
      <c r="N60" s="33" t="str">
        <f>VLOOKUP(K60,[1]Kamera!B:I,8,0)</f>
        <v>Aktif</v>
      </c>
      <c r="O60" s="33" t="s">
        <v>659</v>
      </c>
      <c r="P60" s="33" t="s">
        <v>471</v>
      </c>
      <c r="Q60" s="33" t="s">
        <v>472</v>
      </c>
      <c r="R60" s="33" t="s">
        <v>472</v>
      </c>
      <c r="S60" s="33" t="s">
        <v>473</v>
      </c>
      <c r="T60" s="41" t="s">
        <v>474</v>
      </c>
    </row>
    <row r="61" spans="2:20">
      <c r="B61" s="44">
        <v>60</v>
      </c>
      <c r="C61" s="45">
        <v>60</v>
      </c>
      <c r="D61" s="46" t="s">
        <v>660</v>
      </c>
      <c r="E61" s="33" t="s">
        <v>467</v>
      </c>
      <c r="F61" s="33"/>
      <c r="G61" s="33"/>
      <c r="H61" t="s">
        <v>661</v>
      </c>
      <c r="I61" s="44">
        <v>62401</v>
      </c>
      <c r="J61" s="44">
        <v>80</v>
      </c>
      <c r="K61" s="33">
        <v>60</v>
      </c>
      <c r="L61" s="33" t="str">
        <f>VLOOKUP(K61,[1]Kamera!B:I,3,0)</f>
        <v>10.10.60.11</v>
      </c>
      <c r="M61" s="33" t="str">
        <f>VLOOKUP(K61,[1]Kamera!B:I,7,0)</f>
        <v>60_AYDOGDU_CAMI</v>
      </c>
      <c r="N61" s="33" t="str">
        <f>VLOOKUP(K61,[1]Kamera!B:I,8,0)</f>
        <v>Aktif</v>
      </c>
      <c r="O61" s="33" t="s">
        <v>662</v>
      </c>
      <c r="P61" s="33" t="s">
        <v>471</v>
      </c>
      <c r="Q61" s="33" t="s">
        <v>472</v>
      </c>
      <c r="R61" s="33" t="s">
        <v>584</v>
      </c>
      <c r="S61" s="33" t="s">
        <v>653</v>
      </c>
      <c r="T61" s="41" t="s">
        <v>474</v>
      </c>
    </row>
    <row r="62" spans="2:20">
      <c r="B62" s="44">
        <v>61</v>
      </c>
      <c r="C62" s="45">
        <v>61</v>
      </c>
      <c r="D62" s="46" t="s">
        <v>663</v>
      </c>
      <c r="E62" s="33" t="s">
        <v>664</v>
      </c>
      <c r="F62" s="33" t="s">
        <v>665</v>
      </c>
      <c r="G62" s="33"/>
      <c r="H62" t="s">
        <v>666</v>
      </c>
      <c r="I62" s="44">
        <v>62401</v>
      </c>
      <c r="J62" s="44">
        <v>80</v>
      </c>
      <c r="K62" s="33"/>
      <c r="L62" s="33" t="str">
        <f>VLOOKUP(K62,[1]Kamera!B:I,3,0)</f>
        <v>Yok</v>
      </c>
      <c r="M62" s="33" t="str">
        <f>VLOOKUP(K62,[1]Kamera!B:I,7,0)</f>
        <v>Yok</v>
      </c>
      <c r="N62" s="33" t="str">
        <f>VLOOKUP(K62,[1]Kamera!B:I,8,0)</f>
        <v>Yok</v>
      </c>
      <c r="O62" s="33" t="s">
        <v>667</v>
      </c>
      <c r="P62" s="33" t="s">
        <v>471</v>
      </c>
      <c r="Q62" s="33" t="s">
        <v>472</v>
      </c>
      <c r="R62" s="33" t="s">
        <v>472</v>
      </c>
      <c r="S62" s="33" t="s">
        <v>603</v>
      </c>
      <c r="T62" s="41" t="s">
        <v>474</v>
      </c>
    </row>
    <row r="63" spans="2:20">
      <c r="B63" s="44">
        <v>62</v>
      </c>
      <c r="C63" s="45">
        <v>62</v>
      </c>
      <c r="D63" s="46" t="s">
        <v>668</v>
      </c>
      <c r="E63" s="33" t="s">
        <v>467</v>
      </c>
      <c r="F63" s="33"/>
      <c r="G63" s="33"/>
      <c r="H63" t="s">
        <v>669</v>
      </c>
      <c r="I63" s="44">
        <v>62401</v>
      </c>
      <c r="J63" s="44">
        <v>80</v>
      </c>
      <c r="K63" s="33">
        <v>62</v>
      </c>
      <c r="L63" s="33" t="str">
        <f>VLOOKUP(K63,[1]Kamera!B:I,3,0)</f>
        <v>10.10.62.11</v>
      </c>
      <c r="M63" s="33" t="str">
        <f>VLOOKUP(K63,[1]Kamera!B:I,7,0)</f>
        <v>62_AKCESME_KAV</v>
      </c>
      <c r="N63" s="33" t="str">
        <f>VLOOKUP(K63,[1]Kamera!B:I,8,0)</f>
        <v>Aktif</v>
      </c>
      <c r="O63" s="33" t="s">
        <v>670</v>
      </c>
      <c r="P63" s="33" t="s">
        <v>471</v>
      </c>
      <c r="Q63" s="33" t="s">
        <v>472</v>
      </c>
      <c r="R63" s="33" t="s">
        <v>472</v>
      </c>
      <c r="S63" s="33" t="s">
        <v>483</v>
      </c>
      <c r="T63" s="41" t="s">
        <v>584</v>
      </c>
    </row>
    <row r="64" spans="2:20">
      <c r="B64" s="44">
        <v>63</v>
      </c>
      <c r="C64" s="45">
        <v>63</v>
      </c>
      <c r="D64" s="46" t="s">
        <v>671</v>
      </c>
      <c r="E64" s="33" t="s">
        <v>467</v>
      </c>
      <c r="F64" s="33"/>
      <c r="G64" s="33"/>
      <c r="H64" t="s">
        <v>672</v>
      </c>
      <c r="I64" s="44">
        <v>62401</v>
      </c>
      <c r="J64" s="44">
        <v>80</v>
      </c>
      <c r="K64" s="33">
        <v>63</v>
      </c>
      <c r="L64" s="33" t="str">
        <f>VLOOKUP(K64,[1]Kamera!B:I,3,0)</f>
        <v>10.10.63.11</v>
      </c>
      <c r="M64" s="33" t="str">
        <f>VLOOKUP(K64,[1]Kamera!B:I,7,0)</f>
        <v>63_SADIKOGLU_KAV</v>
      </c>
      <c r="N64" s="33" t="str">
        <f>VLOOKUP(K64,[1]Kamera!B:I,8,0)</f>
        <v>Aktif</v>
      </c>
      <c r="O64" s="33" t="s">
        <v>673</v>
      </c>
      <c r="P64" s="33" t="s">
        <v>471</v>
      </c>
      <c r="Q64" s="33" t="s">
        <v>472</v>
      </c>
      <c r="R64" s="33" t="s">
        <v>472</v>
      </c>
      <c r="S64" s="33" t="s">
        <v>483</v>
      </c>
      <c r="T64" s="41" t="s">
        <v>584</v>
      </c>
    </row>
    <row r="65" spans="2:20">
      <c r="B65" s="44">
        <v>64</v>
      </c>
      <c r="C65" s="45">
        <v>64</v>
      </c>
      <c r="D65" s="46" t="s">
        <v>674</v>
      </c>
      <c r="E65" s="33" t="s">
        <v>467</v>
      </c>
      <c r="F65" s="33"/>
      <c r="G65" s="33"/>
      <c r="H65" t="s">
        <v>675</v>
      </c>
      <c r="I65" s="44">
        <v>62401</v>
      </c>
      <c r="J65" s="44">
        <v>80</v>
      </c>
      <c r="K65" s="33">
        <v>64</v>
      </c>
      <c r="L65" s="33" t="str">
        <f>VLOOKUP(K65,[1]Kamera!B:I,3,0)</f>
        <v>10.10.64.11</v>
      </c>
      <c r="M65" s="33" t="str">
        <f>VLOOKUP(K65,[1]Kamera!B:I,7,0)</f>
        <v>64_BAKIRLI_KAV</v>
      </c>
      <c r="N65" s="33" t="str">
        <f>VLOOKUP(K65,[1]Kamera!B:I,8,0)</f>
        <v>Aktif</v>
      </c>
      <c r="O65" s="33" t="s">
        <v>676</v>
      </c>
      <c r="P65" s="33" t="s">
        <v>471</v>
      </c>
      <c r="Q65" s="33" t="s">
        <v>472</v>
      </c>
      <c r="R65" s="33" t="s">
        <v>472</v>
      </c>
      <c r="S65" s="33" t="s">
        <v>473</v>
      </c>
      <c r="T65" s="41" t="s">
        <v>474</v>
      </c>
    </row>
    <row r="66" spans="2:20">
      <c r="B66" s="44">
        <v>65</v>
      </c>
      <c r="C66" s="45">
        <v>65</v>
      </c>
      <c r="D66" s="46" t="s">
        <v>677</v>
      </c>
      <c r="E66" s="33" t="s">
        <v>467</v>
      </c>
      <c r="F66" s="33"/>
      <c r="G66" s="33"/>
      <c r="H66" t="s">
        <v>678</v>
      </c>
      <c r="I66" s="44">
        <v>62401</v>
      </c>
      <c r="J66" s="44">
        <v>80</v>
      </c>
      <c r="K66" s="33">
        <v>65</v>
      </c>
      <c r="L66" s="33" t="str">
        <f>VLOOKUP(K66,[1]Kamera!B:I,3,0)</f>
        <v>10.10.65.11</v>
      </c>
      <c r="M66" s="33" t="str">
        <f>VLOOKUP(K66,[1]Kamera!B:I,7,0)</f>
        <v>65_SUMER_KAV</v>
      </c>
      <c r="N66" s="33" t="str">
        <f>VLOOKUP(K66,[1]Kamera!B:I,8,0)</f>
        <v>Aktif</v>
      </c>
      <c r="O66" s="33" t="s">
        <v>679</v>
      </c>
      <c r="P66" s="33" t="s">
        <v>471</v>
      </c>
      <c r="Q66" s="33" t="s">
        <v>472</v>
      </c>
      <c r="R66" s="33" t="s">
        <v>472</v>
      </c>
      <c r="S66" s="33" t="s">
        <v>483</v>
      </c>
      <c r="T66" s="41" t="s">
        <v>474</v>
      </c>
    </row>
    <row r="67" spans="2:20">
      <c r="B67" s="44">
        <v>66</v>
      </c>
      <c r="C67" s="45">
        <v>66</v>
      </c>
      <c r="D67" s="46" t="s">
        <v>680</v>
      </c>
      <c r="E67" s="33" t="s">
        <v>467</v>
      </c>
      <c r="F67" s="33"/>
      <c r="G67" s="33"/>
      <c r="H67" t="s">
        <v>681</v>
      </c>
      <c r="I67" s="44">
        <v>62401</v>
      </c>
      <c r="J67" s="44">
        <v>80</v>
      </c>
      <c r="K67" s="33">
        <v>66</v>
      </c>
      <c r="L67" s="33" t="str">
        <f>VLOOKUP(K67,[1]Kamera!B:I,3,0)</f>
        <v>10.10.66.11</v>
      </c>
      <c r="M67" s="33" t="str">
        <f>VLOOKUP(K67,[1]Kamera!B:I,7,0)</f>
        <v>66_ISTASYON</v>
      </c>
      <c r="N67" s="33" t="str">
        <f>VLOOKUP(K67,[1]Kamera!B:I,8,0)</f>
        <v>Aktif</v>
      </c>
      <c r="O67" s="33" t="s">
        <v>682</v>
      </c>
      <c r="P67" s="33" t="s">
        <v>471</v>
      </c>
      <c r="Q67" s="33" t="s">
        <v>472</v>
      </c>
      <c r="R67" s="33" t="s">
        <v>472</v>
      </c>
      <c r="S67" s="33" t="s">
        <v>483</v>
      </c>
      <c r="T67" s="41" t="s">
        <v>474</v>
      </c>
    </row>
    <row r="68" spans="2:20">
      <c r="B68" s="44">
        <v>67</v>
      </c>
      <c r="C68" s="45">
        <v>67</v>
      </c>
      <c r="D68" s="46" t="s">
        <v>683</v>
      </c>
      <c r="E68" s="33" t="s">
        <v>467</v>
      </c>
      <c r="F68" s="33"/>
      <c r="G68" s="33"/>
      <c r="H68" t="s">
        <v>684</v>
      </c>
      <c r="I68" s="44">
        <v>62401</v>
      </c>
      <c r="J68" s="44">
        <v>80</v>
      </c>
      <c r="K68" s="33">
        <v>67</v>
      </c>
      <c r="L68" s="33" t="str">
        <f>VLOOKUP(K68,[1]Kamera!B:I,3,0)</f>
        <v>10.10.67.11</v>
      </c>
      <c r="M68" s="33" t="str">
        <f>VLOOKUP(K68,[1]Kamera!B:I,7,0)</f>
        <v>67_UCGEN</v>
      </c>
      <c r="N68" s="33" t="str">
        <f>VLOOKUP(K68,[1]Kamera!B:I,8,0)</f>
        <v>Aktif</v>
      </c>
      <c r="O68" s="33" t="s">
        <v>685</v>
      </c>
      <c r="P68" s="33" t="s">
        <v>471</v>
      </c>
      <c r="Q68" s="33" t="s">
        <v>472</v>
      </c>
      <c r="R68" s="33" t="s">
        <v>472</v>
      </c>
      <c r="S68" s="33" t="s">
        <v>653</v>
      </c>
      <c r="T68" s="41" t="s">
        <v>474</v>
      </c>
    </row>
    <row r="69" spans="2:20">
      <c r="B69" s="44">
        <v>68</v>
      </c>
      <c r="C69" s="45">
        <v>68</v>
      </c>
      <c r="D69" s="46" t="s">
        <v>686</v>
      </c>
      <c r="E69" s="33" t="s">
        <v>467</v>
      </c>
      <c r="F69" s="33"/>
      <c r="G69" s="33"/>
      <c r="H69" t="s">
        <v>687</v>
      </c>
      <c r="I69" s="44">
        <v>62401</v>
      </c>
      <c r="J69" s="44">
        <v>80</v>
      </c>
      <c r="K69" s="33">
        <v>68</v>
      </c>
      <c r="L69" s="33" t="str">
        <f>VLOOKUP(K69,[1]Kamera!B:I,3,0)</f>
        <v>10.10.68.11</v>
      </c>
      <c r="M69" s="33" t="str">
        <f>VLOOKUP(K69,[1]Kamera!B:I,7,0)</f>
        <v>68_ZEYBEK</v>
      </c>
      <c r="N69" s="33" t="str">
        <f>VLOOKUP(K69,[1]Kamera!B:I,8,0)</f>
        <v>Aktif</v>
      </c>
      <c r="O69" s="33" t="s">
        <v>688</v>
      </c>
      <c r="P69" s="33" t="s">
        <v>471</v>
      </c>
      <c r="Q69" s="33" t="s">
        <v>472</v>
      </c>
      <c r="R69" s="33" t="s">
        <v>472</v>
      </c>
      <c r="S69" s="33" t="s">
        <v>473</v>
      </c>
      <c r="T69" s="41" t="s">
        <v>474</v>
      </c>
    </row>
    <row r="70" spans="2:20">
      <c r="B70" s="44">
        <v>69</v>
      </c>
      <c r="C70" s="45">
        <v>69</v>
      </c>
      <c r="D70" s="46" t="s">
        <v>689</v>
      </c>
      <c r="E70" s="33" t="s">
        <v>467</v>
      </c>
      <c r="F70" s="33"/>
      <c r="G70" s="33"/>
      <c r="H70" t="s">
        <v>690</v>
      </c>
      <c r="I70" s="44">
        <v>62401</v>
      </c>
      <c r="J70" s="44">
        <v>80</v>
      </c>
      <c r="K70" s="33">
        <v>69</v>
      </c>
      <c r="L70" s="33" t="str">
        <f>VLOOKUP(K70,[1]Kamera!B:I,3,0)</f>
        <v>10.10.69.11</v>
      </c>
      <c r="M70" s="33" t="str">
        <f>VLOOKUP(K70,[1]Kamera!B:I,7,0)</f>
        <v>69_AKKALE</v>
      </c>
      <c r="N70" s="33" t="str">
        <f>VLOOKUP(K70,[1]Kamera!B:I,8,0)</f>
        <v>Aktif</v>
      </c>
      <c r="O70" s="33" t="s">
        <v>691</v>
      </c>
      <c r="P70" s="33" t="s">
        <v>471</v>
      </c>
      <c r="Q70" s="33" t="s">
        <v>472</v>
      </c>
      <c r="R70" s="33" t="s">
        <v>472</v>
      </c>
      <c r="S70" s="33" t="s">
        <v>483</v>
      </c>
      <c r="T70" s="41" t="s">
        <v>584</v>
      </c>
    </row>
    <row r="71" spans="2:20">
      <c r="B71" s="44">
        <v>70</v>
      </c>
      <c r="C71" s="45">
        <v>70</v>
      </c>
      <c r="D71" s="46" t="s">
        <v>692</v>
      </c>
      <c r="E71" s="33" t="s">
        <v>467</v>
      </c>
      <c r="F71" s="33"/>
      <c r="G71" s="33"/>
      <c r="H71" t="s">
        <v>693</v>
      </c>
      <c r="I71" s="44">
        <v>62401</v>
      </c>
      <c r="J71" s="44">
        <v>80</v>
      </c>
      <c r="K71" s="33">
        <v>70</v>
      </c>
      <c r="L71" s="33" t="str">
        <f>VLOOKUP(K71,[1]Kamera!B:I,3,0)</f>
        <v>10.10.70.11</v>
      </c>
      <c r="M71" s="33" t="str">
        <f>VLOOKUP(K71,[1]Kamera!B:I,7,0)</f>
        <v>70_SEVINDIK_KOPRULU_KAV</v>
      </c>
      <c r="N71" s="33" t="str">
        <f>VLOOKUP(K71,[1]Kamera!B:I,8,0)</f>
        <v>Aktif</v>
      </c>
      <c r="O71" s="33" t="s">
        <v>694</v>
      </c>
      <c r="P71" s="33" t="s">
        <v>471</v>
      </c>
      <c r="Q71" s="33" t="s">
        <v>472</v>
      </c>
      <c r="R71" s="33" t="s">
        <v>472</v>
      </c>
      <c r="S71" s="33" t="s">
        <v>473</v>
      </c>
      <c r="T71" s="41" t="s">
        <v>474</v>
      </c>
    </row>
    <row r="72" spans="2:20">
      <c r="B72" s="44">
        <v>71</v>
      </c>
      <c r="C72" s="45">
        <v>71</v>
      </c>
      <c r="D72" s="46" t="s">
        <v>695</v>
      </c>
      <c r="E72" s="33" t="s">
        <v>467</v>
      </c>
      <c r="F72" s="33"/>
      <c r="G72" s="33"/>
      <c r="H72" t="s">
        <v>696</v>
      </c>
      <c r="I72" s="44">
        <v>62401</v>
      </c>
      <c r="J72" s="44">
        <v>80</v>
      </c>
      <c r="K72" s="33">
        <v>71</v>
      </c>
      <c r="L72" s="33" t="str">
        <f>VLOOKUP(K72,[1]Kamera!B:I,3,0)</f>
        <v>10.10.71.11</v>
      </c>
      <c r="M72" s="33" t="str">
        <f>VLOOKUP(K72,[1]Kamera!B:I,7,0)</f>
        <v>71_GUZELKOY</v>
      </c>
      <c r="N72" s="33" t="str">
        <f>VLOOKUP(K72,[1]Kamera!B:I,8,0)</f>
        <v>Aktif</v>
      </c>
      <c r="O72" s="33" t="s">
        <v>697</v>
      </c>
      <c r="P72" s="33" t="s">
        <v>471</v>
      </c>
      <c r="Q72" s="33" t="s">
        <v>472</v>
      </c>
      <c r="R72" s="33" t="s">
        <v>472</v>
      </c>
      <c r="S72" s="33" t="s">
        <v>483</v>
      </c>
      <c r="T72" s="41" t="s">
        <v>584</v>
      </c>
    </row>
    <row r="73" spans="2:20">
      <c r="B73" s="44">
        <v>72</v>
      </c>
      <c r="C73" s="45">
        <v>72</v>
      </c>
      <c r="D73" s="46" t="s">
        <v>698</v>
      </c>
      <c r="E73" s="33" t="s">
        <v>467</v>
      </c>
      <c r="F73" s="33"/>
      <c r="G73" s="33"/>
      <c r="H73" t="s">
        <v>699</v>
      </c>
      <c r="I73" s="44">
        <v>62401</v>
      </c>
      <c r="J73" s="44">
        <v>80</v>
      </c>
      <c r="K73" s="33">
        <v>72</v>
      </c>
      <c r="L73" s="33" t="str">
        <f>VLOOKUP(K73,[1]Kamera!B:I,3,0)</f>
        <v>10.10.72.11</v>
      </c>
      <c r="M73" s="33" t="str">
        <f>VLOOKUP(K73,[1]Kamera!B:I,7,0)</f>
        <v>72_EMNIYET_KAV</v>
      </c>
      <c r="N73" s="33" t="str">
        <f>VLOOKUP(K73,[1]Kamera!B:I,8,0)</f>
        <v>Aktif</v>
      </c>
      <c r="O73" s="33" t="s">
        <v>700</v>
      </c>
      <c r="P73" s="33" t="s">
        <v>471</v>
      </c>
      <c r="Q73" s="33" t="s">
        <v>472</v>
      </c>
      <c r="R73" s="33" t="s">
        <v>472</v>
      </c>
      <c r="S73" s="33" t="s">
        <v>483</v>
      </c>
      <c r="T73" s="41" t="s">
        <v>474</v>
      </c>
    </row>
    <row r="74" spans="2:20">
      <c r="B74" s="44">
        <v>73</v>
      </c>
      <c r="C74" s="45">
        <v>73</v>
      </c>
      <c r="D74" s="46" t="s">
        <v>701</v>
      </c>
      <c r="E74" s="33" t="s">
        <v>467</v>
      </c>
      <c r="F74" s="33"/>
      <c r="G74" s="33"/>
      <c r="H74" t="s">
        <v>702</v>
      </c>
      <c r="I74" s="44">
        <v>62401</v>
      </c>
      <c r="J74" s="44">
        <v>80</v>
      </c>
      <c r="K74" s="33">
        <v>73</v>
      </c>
      <c r="L74" s="33" t="str">
        <f>VLOOKUP(K74,[1]Kamera!B:I,3,0)</f>
        <v>10.10.73.11</v>
      </c>
      <c r="M74" s="33" t="str">
        <f>VLOOKUP(K74,[1]Kamera!B:I,7,0)</f>
        <v>73_FATIH_KAV</v>
      </c>
      <c r="N74" s="33" t="str">
        <f>VLOOKUP(K74,[1]Kamera!B:I,8,0)</f>
        <v>Aktif</v>
      </c>
      <c r="O74" s="33" t="s">
        <v>703</v>
      </c>
      <c r="P74" s="33" t="s">
        <v>471</v>
      </c>
      <c r="Q74" s="33" t="s">
        <v>472</v>
      </c>
      <c r="R74" s="33" t="s">
        <v>472</v>
      </c>
      <c r="S74" s="33" t="s">
        <v>483</v>
      </c>
      <c r="T74" s="41" t="s">
        <v>474</v>
      </c>
    </row>
    <row r="75" spans="2:20">
      <c r="B75" s="44">
        <v>74</v>
      </c>
      <c r="C75" s="45">
        <v>74</v>
      </c>
      <c r="D75" s="46" t="s">
        <v>704</v>
      </c>
      <c r="E75" s="33" t="s">
        <v>467</v>
      </c>
      <c r="F75" s="33"/>
      <c r="G75" s="33"/>
      <c r="H75" t="s">
        <v>705</v>
      </c>
      <c r="I75" s="44">
        <v>62401</v>
      </c>
      <c r="J75" s="44">
        <v>80</v>
      </c>
      <c r="K75" s="33">
        <v>74</v>
      </c>
      <c r="L75" s="33" t="str">
        <f>VLOOKUP(K75,[1]Kamera!B:I,3,0)</f>
        <v>10.10.74.11</v>
      </c>
      <c r="M75" s="33" t="str">
        <f>VLOOKUP(K75,[1]Kamera!B:I,7,0)</f>
        <v>74_ULUS_KAV</v>
      </c>
      <c r="N75" s="33" t="str">
        <f>VLOOKUP(K75,[1]Kamera!B:I,8,0)</f>
        <v>Aktif</v>
      </c>
      <c r="O75" s="33" t="s">
        <v>706</v>
      </c>
      <c r="P75" s="33" t="s">
        <v>471</v>
      </c>
      <c r="Q75" s="33" t="s">
        <v>472</v>
      </c>
      <c r="R75" s="33" t="s">
        <v>472</v>
      </c>
      <c r="S75" s="33" t="s">
        <v>483</v>
      </c>
      <c r="T75" s="41" t="s">
        <v>584</v>
      </c>
    </row>
    <row r="76" spans="2:20">
      <c r="B76" s="44">
        <v>75</v>
      </c>
      <c r="C76" s="45">
        <v>75</v>
      </c>
      <c r="D76" s="46" t="s">
        <v>707</v>
      </c>
      <c r="E76" s="33" t="s">
        <v>467</v>
      </c>
      <c r="F76" s="33"/>
      <c r="G76" s="33"/>
      <c r="H76" t="s">
        <v>708</v>
      </c>
      <c r="I76" s="44">
        <v>62401</v>
      </c>
      <c r="J76" s="44">
        <v>80</v>
      </c>
      <c r="K76" s="33">
        <v>75</v>
      </c>
      <c r="L76" s="33" t="str">
        <f>VLOOKUP(K76,[1]Kamera!B:I,3,0)</f>
        <v>10.10.75.11</v>
      </c>
      <c r="M76" s="33" t="str">
        <f>VLOOKUP(K76,[1]Kamera!B:I,7,0)</f>
        <v>75_PEKDEMIR_KAV</v>
      </c>
      <c r="N76" s="33" t="str">
        <f>VLOOKUP(K76,[1]Kamera!B:I,8,0)</f>
        <v>Aktif</v>
      </c>
      <c r="O76" s="33" t="s">
        <v>709</v>
      </c>
      <c r="P76" s="33" t="s">
        <v>471</v>
      </c>
      <c r="Q76" s="33" t="s">
        <v>472</v>
      </c>
      <c r="R76" s="33" t="s">
        <v>472</v>
      </c>
      <c r="S76" s="33" t="s">
        <v>483</v>
      </c>
      <c r="T76" s="41" t="s">
        <v>584</v>
      </c>
    </row>
    <row r="77" spans="2:20">
      <c r="B77" s="44">
        <v>76</v>
      </c>
      <c r="C77" s="45">
        <v>76</v>
      </c>
      <c r="D77" s="46" t="s">
        <v>710</v>
      </c>
      <c r="E77" s="33" t="s">
        <v>467</v>
      </c>
      <c r="F77" s="33"/>
      <c r="G77" s="33"/>
      <c r="H77" t="s">
        <v>711</v>
      </c>
      <c r="I77" s="44">
        <v>62401</v>
      </c>
      <c r="J77" s="44">
        <v>80</v>
      </c>
      <c r="K77" s="33">
        <v>76</v>
      </c>
      <c r="L77" s="33" t="str">
        <f>VLOOKUP(K77,[1]Kamera!B:I,3,0)</f>
        <v>10.10.76.11</v>
      </c>
      <c r="M77" s="33" t="str">
        <f>VLOOKUP(K77,[1]Kamera!B:I,7,0)</f>
        <v>76_KALP_MERKEZI</v>
      </c>
      <c r="N77" s="33" t="str">
        <f>VLOOKUP(K77,[1]Kamera!B:I,8,0)</f>
        <v>Aktif</v>
      </c>
      <c r="O77" s="33" t="s">
        <v>712</v>
      </c>
      <c r="P77" s="33" t="s">
        <v>471</v>
      </c>
      <c r="Q77" s="33" t="s">
        <v>472</v>
      </c>
      <c r="R77" s="33" t="s">
        <v>472</v>
      </c>
      <c r="S77" s="33" t="s">
        <v>483</v>
      </c>
      <c r="T77" s="41" t="s">
        <v>584</v>
      </c>
    </row>
    <row r="78" spans="2:20">
      <c r="B78" s="44">
        <v>77</v>
      </c>
      <c r="C78" s="45">
        <v>77</v>
      </c>
      <c r="D78" s="46" t="s">
        <v>713</v>
      </c>
      <c r="E78" s="33" t="s">
        <v>467</v>
      </c>
      <c r="F78" s="33"/>
      <c r="G78" s="33"/>
      <c r="H78" t="s">
        <v>714</v>
      </c>
      <c r="I78" s="44">
        <v>62401</v>
      </c>
      <c r="J78" s="44">
        <v>80</v>
      </c>
      <c r="K78" s="33">
        <v>77</v>
      </c>
      <c r="L78" s="33" t="str">
        <f>VLOOKUP(K78,[1]Kamera!B:I,3,0)</f>
        <v>10.10.77.11</v>
      </c>
      <c r="M78" s="33" t="str">
        <f>VLOOKUP(K78,[1]Kamera!B:I,7,0)</f>
        <v>77_YUKSEKTEPE</v>
      </c>
      <c r="N78" s="33" t="str">
        <f>VLOOKUP(K78,[1]Kamera!B:I,8,0)</f>
        <v>Aktif</v>
      </c>
      <c r="O78" s="33" t="s">
        <v>715</v>
      </c>
      <c r="P78" s="33" t="s">
        <v>471</v>
      </c>
      <c r="Q78" s="33" t="s">
        <v>472</v>
      </c>
      <c r="R78" s="33" t="s">
        <v>472</v>
      </c>
      <c r="S78" s="33" t="s">
        <v>483</v>
      </c>
      <c r="T78" s="41" t="s">
        <v>584</v>
      </c>
    </row>
    <row r="79" spans="2:20">
      <c r="B79" s="44">
        <v>78</v>
      </c>
      <c r="C79" s="45">
        <v>78</v>
      </c>
      <c r="D79" s="46" t="s">
        <v>716</v>
      </c>
      <c r="E79" s="33" t="s">
        <v>467</v>
      </c>
      <c r="F79" s="33"/>
      <c r="G79" s="33"/>
      <c r="H79" t="s">
        <v>717</v>
      </c>
      <c r="I79" s="44">
        <v>62401</v>
      </c>
      <c r="J79" s="44">
        <v>80</v>
      </c>
      <c r="K79" s="33">
        <v>78</v>
      </c>
      <c r="L79" s="33" t="str">
        <f>VLOOKUP(K79,[1]Kamera!B:I,3,0)</f>
        <v>10.10.78.11</v>
      </c>
      <c r="M79" s="33" t="str">
        <f>VLOOKUP(K79,[1]Kamera!B:I,7,0)</f>
        <v>78_BAGBASI</v>
      </c>
      <c r="N79" s="33" t="str">
        <f>VLOOKUP(K79,[1]Kamera!B:I,8,0)</f>
        <v>Aktif</v>
      </c>
      <c r="O79" s="33" t="s">
        <v>718</v>
      </c>
      <c r="P79" s="33" t="s">
        <v>471</v>
      </c>
      <c r="Q79" s="33" t="s">
        <v>472</v>
      </c>
      <c r="R79" s="33" t="s">
        <v>472</v>
      </c>
      <c r="S79" s="33" t="s">
        <v>483</v>
      </c>
      <c r="T79" s="41" t="s">
        <v>584</v>
      </c>
    </row>
    <row r="80" spans="2:20">
      <c r="B80" s="44">
        <v>79</v>
      </c>
      <c r="C80" s="45">
        <v>79</v>
      </c>
      <c r="D80" s="46" t="s">
        <v>719</v>
      </c>
      <c r="E80" s="33" t="s">
        <v>467</v>
      </c>
      <c r="F80" s="33"/>
      <c r="G80" s="33"/>
      <c r="H80" t="s">
        <v>720</v>
      </c>
      <c r="I80" s="44">
        <v>62401</v>
      </c>
      <c r="J80" s="44">
        <v>80</v>
      </c>
      <c r="K80" s="33">
        <v>79</v>
      </c>
      <c r="L80" s="33" t="str">
        <f>VLOOKUP(K80,[1]Kamera!B:I,3,0)</f>
        <v>10.10.79.11</v>
      </c>
      <c r="M80" s="33" t="str">
        <f>VLOOKUP(K80,[1]Kamera!B:I,7,0)</f>
        <v>79_KENT_ORMANI</v>
      </c>
      <c r="N80" s="33" t="str">
        <f>VLOOKUP(K80,[1]Kamera!B:I,8,0)</f>
        <v>Aktif</v>
      </c>
      <c r="O80" s="33" t="s">
        <v>721</v>
      </c>
      <c r="P80" s="33" t="s">
        <v>471</v>
      </c>
      <c r="Q80" s="33" t="s">
        <v>472</v>
      </c>
      <c r="R80" s="33" t="s">
        <v>472</v>
      </c>
      <c r="S80" s="33" t="s">
        <v>483</v>
      </c>
      <c r="T80" s="41" t="s">
        <v>584</v>
      </c>
    </row>
    <row r="81" spans="2:20">
      <c r="B81" s="44">
        <v>80</v>
      </c>
      <c r="C81" s="45">
        <v>80</v>
      </c>
      <c r="D81" s="46" t="s">
        <v>722</v>
      </c>
      <c r="E81" s="33" t="s">
        <v>467</v>
      </c>
      <c r="F81" s="33"/>
      <c r="G81" s="33"/>
      <c r="H81" t="s">
        <v>723</v>
      </c>
      <c r="I81" s="44">
        <v>62401</v>
      </c>
      <c r="J81" s="44">
        <v>80</v>
      </c>
      <c r="K81" s="33">
        <v>80</v>
      </c>
      <c r="L81" s="33" t="str">
        <f>VLOOKUP(K81,[1]Kamera!B:I,3,0)</f>
        <v>10.10.80.11</v>
      </c>
      <c r="M81" s="33" t="str">
        <f>VLOOKUP(K81,[1]Kamera!B:I,7,0)</f>
        <v>80_KELLECI_KAV</v>
      </c>
      <c r="N81" s="33" t="str">
        <f>VLOOKUP(K81,[1]Kamera!B:I,8,0)</f>
        <v>Aktif</v>
      </c>
      <c r="O81" s="33" t="s">
        <v>724</v>
      </c>
      <c r="P81" s="33" t="s">
        <v>471</v>
      </c>
      <c r="Q81" s="33" t="s">
        <v>472</v>
      </c>
      <c r="R81" s="33" t="s">
        <v>472</v>
      </c>
      <c r="S81" s="33" t="s">
        <v>483</v>
      </c>
      <c r="T81" s="41" t="s">
        <v>584</v>
      </c>
    </row>
    <row r="82" spans="2:20">
      <c r="B82" s="44">
        <v>81</v>
      </c>
      <c r="C82" s="45">
        <v>81</v>
      </c>
      <c r="D82" s="46" t="s">
        <v>725</v>
      </c>
      <c r="E82" s="33" t="s">
        <v>467</v>
      </c>
      <c r="F82" s="33"/>
      <c r="G82" s="33"/>
      <c r="H82" t="s">
        <v>726</v>
      </c>
      <c r="I82" s="44">
        <v>62401</v>
      </c>
      <c r="J82" s="44">
        <v>80</v>
      </c>
      <c r="K82" s="33">
        <v>81</v>
      </c>
      <c r="L82" s="33" t="str">
        <f>VLOOKUP(K82,[1]Kamera!B:I,3,0)</f>
        <v>10.10.81.11</v>
      </c>
      <c r="M82" s="33" t="str">
        <f>VLOOKUP(K82,[1]Kamera!B:I,7,0)</f>
        <v>81_KASAPLAR</v>
      </c>
      <c r="N82" s="33" t="str">
        <f>VLOOKUP(K82,[1]Kamera!B:I,8,0)</f>
        <v>Aktif</v>
      </c>
      <c r="O82" s="33" t="s">
        <v>727</v>
      </c>
      <c r="P82" s="33" t="s">
        <v>471</v>
      </c>
      <c r="Q82" s="33" t="s">
        <v>472</v>
      </c>
      <c r="R82" s="33" t="s">
        <v>472</v>
      </c>
      <c r="S82" s="33" t="s">
        <v>603</v>
      </c>
      <c r="T82" s="41" t="s">
        <v>474</v>
      </c>
    </row>
    <row r="83" spans="2:20">
      <c r="B83" s="44">
        <v>82</v>
      </c>
      <c r="C83" s="45">
        <v>82</v>
      </c>
      <c r="D83" s="46" t="s">
        <v>728</v>
      </c>
      <c r="E83" s="33" t="s">
        <v>467</v>
      </c>
      <c r="F83" s="33"/>
      <c r="G83" s="33"/>
      <c r="H83" t="s">
        <v>729</v>
      </c>
      <c r="I83" s="44">
        <v>62401</v>
      </c>
      <c r="J83" s="44">
        <v>80</v>
      </c>
      <c r="K83" s="33">
        <v>82</v>
      </c>
      <c r="L83" s="33" t="str">
        <f>VLOOKUP(K83,[1]Kamera!B:I,3,0)</f>
        <v>10.10.82.11</v>
      </c>
      <c r="M83" s="33" t="str">
        <f>VLOOKUP(K83,[1]Kamera!B:I,7,0)</f>
        <v>82_EMSAN_KAVSAGI</v>
      </c>
      <c r="N83" s="33" t="str">
        <f>VLOOKUP(K83,[1]Kamera!B:I,8,0)</f>
        <v>Aktif</v>
      </c>
      <c r="O83" s="33" t="s">
        <v>730</v>
      </c>
      <c r="P83" s="33" t="s">
        <v>471</v>
      </c>
      <c r="Q83" s="33" t="s">
        <v>472</v>
      </c>
      <c r="R83" s="33" t="s">
        <v>472</v>
      </c>
      <c r="S83" s="33" t="s">
        <v>483</v>
      </c>
      <c r="T83" s="41" t="s">
        <v>474</v>
      </c>
    </row>
    <row r="84" spans="2:20">
      <c r="B84" s="44">
        <v>83</v>
      </c>
      <c r="C84" s="45">
        <v>83</v>
      </c>
      <c r="D84" s="46" t="s">
        <v>731</v>
      </c>
      <c r="E84" s="33" t="s">
        <v>467</v>
      </c>
      <c r="F84" s="33"/>
      <c r="G84" s="33"/>
      <c r="H84" t="s">
        <v>732</v>
      </c>
      <c r="I84" s="44">
        <v>62401</v>
      </c>
      <c r="J84" s="44">
        <v>80</v>
      </c>
      <c r="K84" s="33">
        <v>83</v>
      </c>
      <c r="L84" s="33" t="str">
        <f>VLOOKUP(K84,[1]Kamera!B:I,3,0)</f>
        <v>10.10.83.11</v>
      </c>
      <c r="M84" s="33" t="str">
        <f>VLOOKUP(K84,[1]Kamera!B:I,7,0)</f>
        <v>83_TICARET_BORSASI</v>
      </c>
      <c r="N84" s="33" t="str">
        <f>VLOOKUP(K84,[1]Kamera!B:I,8,0)</f>
        <v>Aktif</v>
      </c>
      <c r="O84" s="33" t="s">
        <v>733</v>
      </c>
      <c r="P84" s="33" t="s">
        <v>471</v>
      </c>
      <c r="Q84" s="33" t="s">
        <v>472</v>
      </c>
      <c r="R84" s="33" t="s">
        <v>472</v>
      </c>
      <c r="S84" s="33" t="s">
        <v>473</v>
      </c>
      <c r="T84" s="41" t="s">
        <v>474</v>
      </c>
    </row>
    <row r="85" spans="2:20">
      <c r="B85" s="44">
        <v>84</v>
      </c>
      <c r="C85" s="45">
        <v>84</v>
      </c>
      <c r="D85" s="46" t="s">
        <v>734</v>
      </c>
      <c r="E85" s="33" t="s">
        <v>735</v>
      </c>
      <c r="F85" s="33"/>
      <c r="G85" s="33"/>
      <c r="H85" t="s">
        <v>736</v>
      </c>
      <c r="I85" s="44">
        <v>62401</v>
      </c>
      <c r="J85" s="44">
        <v>80</v>
      </c>
      <c r="K85" s="33"/>
      <c r="L85" s="33" t="str">
        <f>VLOOKUP(K85,[1]Kamera!B:I,3,0)</f>
        <v>Yok</v>
      </c>
      <c r="M85" s="33" t="str">
        <f>VLOOKUP(K85,[1]Kamera!B:I,7,0)</f>
        <v>Yok</v>
      </c>
      <c r="N85" s="33" t="str">
        <f>VLOOKUP(K85,[1]Kamera!B:I,8,0)</f>
        <v>Yok</v>
      </c>
      <c r="O85" s="33" t="s">
        <v>737</v>
      </c>
      <c r="P85" s="33" t="s">
        <v>643</v>
      </c>
      <c r="Q85" s="33" t="s">
        <v>584</v>
      </c>
      <c r="R85" s="33" t="s">
        <v>584</v>
      </c>
      <c r="S85" s="33"/>
      <c r="T85" s="41"/>
    </row>
    <row r="86" spans="2:20">
      <c r="B86" s="44">
        <v>85</v>
      </c>
      <c r="C86" s="45">
        <v>85</v>
      </c>
      <c r="D86" s="46" t="s">
        <v>738</v>
      </c>
      <c r="E86" s="33" t="s">
        <v>735</v>
      </c>
      <c r="F86" s="33"/>
      <c r="G86" s="33"/>
      <c r="H86" t="s">
        <v>739</v>
      </c>
      <c r="I86" s="44">
        <v>62401</v>
      </c>
      <c r="J86" s="44">
        <v>80</v>
      </c>
      <c r="K86" s="33"/>
      <c r="L86" s="33" t="str">
        <f>VLOOKUP(K86,[1]Kamera!B:I,3,0)</f>
        <v>Yok</v>
      </c>
      <c r="M86" s="33" t="str">
        <f>VLOOKUP(K86,[1]Kamera!B:I,7,0)</f>
        <v>Yok</v>
      </c>
      <c r="N86" s="33" t="str">
        <f>VLOOKUP(K86,[1]Kamera!B:I,8,0)</f>
        <v>Yok</v>
      </c>
      <c r="O86" s="33" t="s">
        <v>740</v>
      </c>
      <c r="P86" s="33" t="s">
        <v>643</v>
      </c>
      <c r="Q86" s="33" t="s">
        <v>584</v>
      </c>
      <c r="R86" s="33" t="s">
        <v>584</v>
      </c>
      <c r="S86" s="33"/>
      <c r="T86" s="41"/>
    </row>
    <row r="87" spans="2:20">
      <c r="B87" s="44">
        <v>86</v>
      </c>
      <c r="C87" s="45">
        <v>86</v>
      </c>
      <c r="D87" s="46" t="s">
        <v>741</v>
      </c>
      <c r="E87" s="33" t="s">
        <v>735</v>
      </c>
      <c r="F87" s="33"/>
      <c r="G87" s="33"/>
      <c r="H87" t="s">
        <v>742</v>
      </c>
      <c r="I87" s="44">
        <v>62401</v>
      </c>
      <c r="J87" s="44">
        <v>80</v>
      </c>
      <c r="K87" s="33"/>
      <c r="L87" s="33" t="str">
        <f>VLOOKUP(K87,[1]Kamera!B:I,3,0)</f>
        <v>Yok</v>
      </c>
      <c r="M87" s="33" t="str">
        <f>VLOOKUP(K87,[1]Kamera!B:I,7,0)</f>
        <v>Yok</v>
      </c>
      <c r="N87" s="33" t="str">
        <f>VLOOKUP(K87,[1]Kamera!B:I,8,0)</f>
        <v>Yok</v>
      </c>
      <c r="O87" s="33" t="s">
        <v>743</v>
      </c>
      <c r="P87" s="33" t="s">
        <v>643</v>
      </c>
      <c r="Q87" s="33" t="s">
        <v>584</v>
      </c>
      <c r="R87" s="33" t="s">
        <v>584</v>
      </c>
      <c r="S87" s="33"/>
      <c r="T87" s="41"/>
    </row>
    <row r="88" spans="2:20">
      <c r="B88" s="44">
        <v>87</v>
      </c>
      <c r="C88" s="45">
        <v>87</v>
      </c>
      <c r="D88" s="46" t="s">
        <v>744</v>
      </c>
      <c r="E88" s="33" t="s">
        <v>467</v>
      </c>
      <c r="F88" s="33"/>
      <c r="G88" s="33"/>
      <c r="H88" t="s">
        <v>745</v>
      </c>
      <c r="I88" s="44">
        <v>62401</v>
      </c>
      <c r="J88" s="44">
        <v>80</v>
      </c>
      <c r="K88" s="33">
        <v>87</v>
      </c>
      <c r="L88" s="33" t="str">
        <f>VLOOKUP(K88,[1]Kamera!B:I,3,0)</f>
        <v>10.10.87.11</v>
      </c>
      <c r="M88" s="33" t="str">
        <f>VLOOKUP(K88,[1]Kamera!B:I,7,0)</f>
        <v>87_INONU_CAMLIK</v>
      </c>
      <c r="N88" s="33" t="str">
        <f>VLOOKUP(K88,[1]Kamera!B:I,8,0)</f>
        <v>Aktif</v>
      </c>
      <c r="O88" s="33" t="s">
        <v>746</v>
      </c>
      <c r="P88" s="33" t="s">
        <v>471</v>
      </c>
      <c r="Q88" s="33" t="s">
        <v>472</v>
      </c>
      <c r="R88" s="33" t="s">
        <v>472</v>
      </c>
      <c r="S88" s="33" t="s">
        <v>483</v>
      </c>
      <c r="T88" s="41" t="s">
        <v>474</v>
      </c>
    </row>
    <row r="89" spans="2:20">
      <c r="B89" s="44">
        <v>88</v>
      </c>
      <c r="C89" s="45">
        <v>88</v>
      </c>
      <c r="D89" s="46" t="s">
        <v>747</v>
      </c>
      <c r="E89" s="33" t="s">
        <v>467</v>
      </c>
      <c r="F89" s="33"/>
      <c r="G89" s="33"/>
      <c r="H89" t="s">
        <v>748</v>
      </c>
      <c r="I89" s="44">
        <v>62401</v>
      </c>
      <c r="J89" s="44">
        <v>80</v>
      </c>
      <c r="K89" s="33">
        <v>88</v>
      </c>
      <c r="L89" s="33" t="str">
        <f>VLOOKUP(K89,[1]Kamera!B:I,3,0)</f>
        <v>10.10.88.11</v>
      </c>
      <c r="M89" s="33" t="str">
        <f>VLOOKUP(K89,[1]Kamera!B:I,7,0)</f>
        <v>88_EMEK_CAMLIK</v>
      </c>
      <c r="N89" s="33" t="str">
        <f>VLOOKUP(K89,[1]Kamera!B:I,8,0)</f>
        <v>Aktif</v>
      </c>
      <c r="O89" s="33" t="s">
        <v>749</v>
      </c>
      <c r="P89" s="33" t="s">
        <v>471</v>
      </c>
      <c r="Q89" s="33" t="s">
        <v>584</v>
      </c>
      <c r="R89" s="33" t="s">
        <v>584</v>
      </c>
      <c r="S89" s="33" t="s">
        <v>603</v>
      </c>
      <c r="T89" s="41" t="s">
        <v>474</v>
      </c>
    </row>
    <row r="90" spans="2:20">
      <c r="B90" s="44">
        <v>89</v>
      </c>
      <c r="C90" s="45">
        <v>89</v>
      </c>
      <c r="D90" s="46" t="s">
        <v>750</v>
      </c>
      <c r="E90" s="33" t="s">
        <v>664</v>
      </c>
      <c r="F90" s="33" t="s">
        <v>751</v>
      </c>
      <c r="G90" s="33"/>
      <c r="H90" t="s">
        <v>752</v>
      </c>
      <c r="I90" s="44">
        <v>62401</v>
      </c>
      <c r="J90" s="44">
        <v>80</v>
      </c>
      <c r="K90" s="33">
        <v>89</v>
      </c>
      <c r="L90" s="33" t="str">
        <f>VLOOKUP(K90,[1]Kamera!B:I,3,0)</f>
        <v>10.10.63.12</v>
      </c>
      <c r="M90" s="33" t="str">
        <f>VLOOKUP(K90,[1]Kamera!B:I,7,0)</f>
        <v>89_ERTUGRULGAZI</v>
      </c>
      <c r="N90" s="33" t="str">
        <f>VLOOKUP(K90,[1]Kamera!B:I,8,0)</f>
        <v>Aktif</v>
      </c>
      <c r="O90" s="33" t="s">
        <v>753</v>
      </c>
      <c r="P90" s="33" t="s">
        <v>471</v>
      </c>
      <c r="Q90" s="33" t="s">
        <v>584</v>
      </c>
      <c r="R90" s="33" t="s">
        <v>584</v>
      </c>
      <c r="S90" s="33" t="s">
        <v>603</v>
      </c>
      <c r="T90" s="41" t="s">
        <v>474</v>
      </c>
    </row>
    <row r="91" spans="2:20">
      <c r="B91" s="44">
        <v>90</v>
      </c>
      <c r="C91" s="45">
        <v>93</v>
      </c>
      <c r="D91" s="46" t="s">
        <v>754</v>
      </c>
      <c r="E91" s="33" t="s">
        <v>664</v>
      </c>
      <c r="F91" s="33"/>
      <c r="G91" s="33"/>
      <c r="H91" t="s">
        <v>755</v>
      </c>
      <c r="I91" s="44">
        <v>62401</v>
      </c>
      <c r="J91" s="44">
        <v>80</v>
      </c>
      <c r="K91" s="33"/>
      <c r="L91" s="33" t="str">
        <f>VLOOKUP(K91,[1]Kamera!B:I,3,0)</f>
        <v>Yok</v>
      </c>
      <c r="M91" s="33" t="str">
        <f>VLOOKUP(K91,[1]Kamera!B:I,7,0)</f>
        <v>Yok</v>
      </c>
      <c r="N91" s="33" t="str">
        <f>VLOOKUP(K91,[1]Kamera!B:I,8,0)</f>
        <v>Yok</v>
      </c>
      <c r="O91" s="33" t="s">
        <v>756</v>
      </c>
      <c r="P91" s="33" t="s">
        <v>471</v>
      </c>
      <c r="Q91" s="33" t="s">
        <v>472</v>
      </c>
      <c r="R91" s="33" t="s">
        <v>472</v>
      </c>
      <c r="S91" s="33" t="s">
        <v>483</v>
      </c>
      <c r="T91" s="41" t="s">
        <v>474</v>
      </c>
    </row>
    <row r="92" spans="2:20">
      <c r="B92" s="44">
        <v>91</v>
      </c>
      <c r="C92" s="45">
        <v>94</v>
      </c>
      <c r="D92" s="46" t="s">
        <v>757</v>
      </c>
      <c r="E92" s="33" t="s">
        <v>664</v>
      </c>
      <c r="F92" s="33"/>
      <c r="G92" s="33"/>
      <c r="H92" t="s">
        <v>758</v>
      </c>
      <c r="I92" s="44">
        <v>62401</v>
      </c>
      <c r="J92" s="44">
        <v>80</v>
      </c>
      <c r="K92" s="33"/>
      <c r="L92" s="33" t="str">
        <f>VLOOKUP(K92,[1]Kamera!B:I,3,0)</f>
        <v>Yok</v>
      </c>
      <c r="M92" s="33" t="str">
        <f>VLOOKUP(K92,[1]Kamera!B:I,7,0)</f>
        <v>Yok</v>
      </c>
      <c r="N92" s="33" t="str">
        <f>VLOOKUP(K92,[1]Kamera!B:I,8,0)</f>
        <v>Yok</v>
      </c>
      <c r="O92" s="33" t="s">
        <v>759</v>
      </c>
      <c r="P92" s="33" t="s">
        <v>471</v>
      </c>
      <c r="Q92" s="33" t="s">
        <v>472</v>
      </c>
      <c r="R92" s="33" t="s">
        <v>472</v>
      </c>
      <c r="S92" s="33" t="s">
        <v>483</v>
      </c>
      <c r="T92" s="41" t="s">
        <v>474</v>
      </c>
    </row>
    <row r="93" spans="2:20">
      <c r="B93" s="44">
        <v>92</v>
      </c>
      <c r="C93" s="45">
        <v>95</v>
      </c>
      <c r="D93" s="46" t="s">
        <v>760</v>
      </c>
      <c r="E93" s="33" t="s">
        <v>664</v>
      </c>
      <c r="F93" s="33" t="s">
        <v>761</v>
      </c>
      <c r="G93" s="33"/>
      <c r="H93" t="s">
        <v>762</v>
      </c>
      <c r="I93" s="44">
        <v>62401</v>
      </c>
      <c r="J93" s="44">
        <v>80</v>
      </c>
      <c r="K93" s="33"/>
      <c r="L93" s="33" t="str">
        <f>VLOOKUP(K93,[1]Kamera!B:I,3,0)</f>
        <v>Yok</v>
      </c>
      <c r="M93" s="33" t="str">
        <f>VLOOKUP(K93,[1]Kamera!B:I,7,0)</f>
        <v>Yok</v>
      </c>
      <c r="N93" s="33" t="str">
        <f>VLOOKUP(K93,[1]Kamera!B:I,8,0)</f>
        <v>Yok</v>
      </c>
      <c r="O93" s="33" t="s">
        <v>763</v>
      </c>
      <c r="P93" s="33" t="s">
        <v>471</v>
      </c>
      <c r="Q93" s="33" t="s">
        <v>584</v>
      </c>
      <c r="R93" s="33" t="s">
        <v>584</v>
      </c>
      <c r="S93" s="33" t="s">
        <v>653</v>
      </c>
      <c r="T93" s="41" t="s">
        <v>474</v>
      </c>
    </row>
    <row r="94" spans="2:20">
      <c r="B94" s="44">
        <v>93</v>
      </c>
      <c r="C94" s="45">
        <v>96</v>
      </c>
      <c r="D94" s="46" t="s">
        <v>764</v>
      </c>
      <c r="E94" s="33" t="s">
        <v>452</v>
      </c>
      <c r="F94" s="33"/>
      <c r="G94" s="33" t="s">
        <v>765</v>
      </c>
      <c r="H94" t="s">
        <v>766</v>
      </c>
      <c r="I94" s="44">
        <v>62401</v>
      </c>
      <c r="J94" s="44">
        <v>80</v>
      </c>
      <c r="K94" s="33"/>
      <c r="L94" s="33" t="str">
        <f>VLOOKUP(K94,[1]Kamera!B:I,3,0)</f>
        <v>Yok</v>
      </c>
      <c r="M94" s="33" t="str">
        <f>VLOOKUP(K94,[1]Kamera!B:I,7,0)</f>
        <v>Yok</v>
      </c>
      <c r="N94" s="33" t="str">
        <f>VLOOKUP(K94,[1]Kamera!B:I,8,0)</f>
        <v>Yok</v>
      </c>
      <c r="O94" s="33" t="s">
        <v>767</v>
      </c>
      <c r="P94" s="33" t="s">
        <v>471</v>
      </c>
      <c r="Q94" s="33" t="s">
        <v>584</v>
      </c>
      <c r="R94" s="33" t="s">
        <v>584</v>
      </c>
      <c r="S94" s="33" t="s">
        <v>603</v>
      </c>
      <c r="T94" s="41" t="s">
        <v>474</v>
      </c>
    </row>
    <row r="95" spans="2:20">
      <c r="B95" s="44">
        <v>94</v>
      </c>
      <c r="C95" s="45">
        <v>97</v>
      </c>
      <c r="D95" s="46" t="s">
        <v>768</v>
      </c>
      <c r="E95" s="33" t="s">
        <v>452</v>
      </c>
      <c r="F95" s="33"/>
      <c r="G95" s="33" t="s">
        <v>769</v>
      </c>
      <c r="H95" t="s">
        <v>770</v>
      </c>
      <c r="I95" s="44">
        <v>62401</v>
      </c>
      <c r="J95" s="44">
        <v>80</v>
      </c>
      <c r="K95" s="33">
        <v>97</v>
      </c>
      <c r="L95" s="33" t="str">
        <f>VLOOKUP(K95,[1]Kamera!B:I,3,0)</f>
        <v>10.10.48.12</v>
      </c>
      <c r="M95" s="33" t="str">
        <f>VLOOKUP(K95,[1]Kamera!B:I,7,0)</f>
        <v>97_CEVIKKUVVET</v>
      </c>
      <c r="N95" s="33" t="str">
        <f>VLOOKUP(K95,[1]Kamera!B:I,8,0)</f>
        <v>Aktif</v>
      </c>
      <c r="O95" s="33" t="s">
        <v>771</v>
      </c>
      <c r="P95" s="33" t="s">
        <v>471</v>
      </c>
      <c r="Q95" s="33" t="s">
        <v>584</v>
      </c>
      <c r="R95" s="33" t="s">
        <v>584</v>
      </c>
      <c r="S95" s="33" t="s">
        <v>653</v>
      </c>
      <c r="T95" s="41" t="s">
        <v>474</v>
      </c>
    </row>
    <row r="96" spans="2:20">
      <c r="B96" s="44">
        <v>95</v>
      </c>
      <c r="C96" s="45">
        <v>98</v>
      </c>
      <c r="D96" s="46" t="s">
        <v>772</v>
      </c>
      <c r="E96" s="33" t="s">
        <v>452</v>
      </c>
      <c r="F96" s="33"/>
      <c r="G96" s="33" t="s">
        <v>773</v>
      </c>
      <c r="H96" t="s">
        <v>774</v>
      </c>
      <c r="I96" s="44">
        <v>62401</v>
      </c>
      <c r="J96" s="44">
        <v>80</v>
      </c>
      <c r="K96" s="33">
        <v>98</v>
      </c>
      <c r="L96" s="33" t="s">
        <v>775</v>
      </c>
      <c r="M96" s="33" t="s">
        <v>776</v>
      </c>
      <c r="N96" s="33" t="str">
        <f>VLOOKUP(K96,[1]Kamera!B:I,8,0)</f>
        <v>Aktif</v>
      </c>
      <c r="O96" s="33"/>
      <c r="P96" s="33" t="s">
        <v>471</v>
      </c>
      <c r="Q96" s="33" t="s">
        <v>584</v>
      </c>
      <c r="R96" s="33" t="s">
        <v>584</v>
      </c>
      <c r="S96" s="33" t="s">
        <v>653</v>
      </c>
      <c r="T96" s="41" t="s">
        <v>474</v>
      </c>
    </row>
    <row r="97" spans="2:20">
      <c r="B97" s="44">
        <v>96</v>
      </c>
      <c r="C97" s="45">
        <v>100</v>
      </c>
      <c r="D97" s="46" t="s">
        <v>777</v>
      </c>
      <c r="E97" s="33" t="s">
        <v>664</v>
      </c>
      <c r="F97" s="33"/>
      <c r="G97" s="33"/>
      <c r="H97" t="s">
        <v>778</v>
      </c>
      <c r="I97" s="44">
        <v>62401</v>
      </c>
      <c r="J97" s="44">
        <v>80</v>
      </c>
      <c r="K97" s="33"/>
      <c r="L97" s="33" t="str">
        <f>VLOOKUP(K97,[1]Kamera!B:I,3,0)</f>
        <v>Yok</v>
      </c>
      <c r="M97" s="33" t="str">
        <f>VLOOKUP(K97,[1]Kamera!B:I,7,0)</f>
        <v>Yok</v>
      </c>
      <c r="N97" s="33" t="str">
        <f>VLOOKUP(K97,[1]Kamera!B:I,8,0)</f>
        <v>Yok</v>
      </c>
      <c r="O97" s="33" t="s">
        <v>779</v>
      </c>
      <c r="P97" s="33" t="s">
        <v>471</v>
      </c>
      <c r="Q97" s="33" t="s">
        <v>584</v>
      </c>
      <c r="R97" s="33" t="s">
        <v>584</v>
      </c>
      <c r="S97" s="33" t="s">
        <v>603</v>
      </c>
      <c r="T97" s="41" t="s">
        <v>474</v>
      </c>
    </row>
    <row r="98" spans="2:20">
      <c r="B98" s="44">
        <v>97</v>
      </c>
      <c r="C98" s="45">
        <v>101</v>
      </c>
      <c r="D98" s="46" t="s">
        <v>780</v>
      </c>
      <c r="E98" s="33" t="s">
        <v>664</v>
      </c>
      <c r="F98" s="33"/>
      <c r="G98" s="33"/>
      <c r="H98" t="s">
        <v>781</v>
      </c>
      <c r="I98" s="44">
        <v>62401</v>
      </c>
      <c r="J98" s="44">
        <v>80</v>
      </c>
      <c r="K98" s="33"/>
      <c r="L98" s="33" t="str">
        <f>VLOOKUP(K98,[1]Kamera!B:I,3,0)</f>
        <v>Yok</v>
      </c>
      <c r="M98" s="33" t="str">
        <f>VLOOKUP(K98,[1]Kamera!B:I,7,0)</f>
        <v>Yok</v>
      </c>
      <c r="N98" s="33" t="str">
        <f>VLOOKUP(K98,[1]Kamera!B:I,8,0)</f>
        <v>Yok</v>
      </c>
      <c r="O98" s="33" t="s">
        <v>782</v>
      </c>
      <c r="P98" s="33" t="s">
        <v>471</v>
      </c>
      <c r="Q98" s="33" t="s">
        <v>584</v>
      </c>
      <c r="R98" s="33" t="s">
        <v>584</v>
      </c>
      <c r="S98" s="33" t="s">
        <v>603</v>
      </c>
      <c r="T98" s="41" t="s">
        <v>474</v>
      </c>
    </row>
    <row r="99" spans="2:20">
      <c r="B99" s="44">
        <v>98</v>
      </c>
      <c r="C99" s="45">
        <v>102</v>
      </c>
      <c r="D99" s="46" t="s">
        <v>783</v>
      </c>
      <c r="E99" s="33" t="s">
        <v>452</v>
      </c>
      <c r="F99" s="33"/>
      <c r="G99" s="33"/>
      <c r="H99" t="s">
        <v>784</v>
      </c>
      <c r="I99" s="44">
        <v>62401</v>
      </c>
      <c r="J99" s="44">
        <v>80</v>
      </c>
      <c r="K99" s="33"/>
      <c r="L99" s="33" t="str">
        <f>VLOOKUP(K99,[1]Kamera!B:I,3,0)</f>
        <v>Yok</v>
      </c>
      <c r="M99" s="33" t="str">
        <f>VLOOKUP(K99,[1]Kamera!B:I,7,0)</f>
        <v>Yok</v>
      </c>
      <c r="N99" s="33" t="str">
        <f>VLOOKUP(K99,[1]Kamera!B:I,8,0)</f>
        <v>Yok</v>
      </c>
      <c r="O99" s="33" t="s">
        <v>785</v>
      </c>
      <c r="P99" s="33" t="s">
        <v>471</v>
      </c>
      <c r="Q99" s="33" t="s">
        <v>584</v>
      </c>
      <c r="R99" s="33" t="s">
        <v>584</v>
      </c>
      <c r="S99" s="33" t="s">
        <v>219</v>
      </c>
      <c r="T99" s="41" t="s">
        <v>474</v>
      </c>
    </row>
    <row r="100" spans="2:20">
      <c r="B100" s="44">
        <v>99</v>
      </c>
      <c r="C100" s="45">
        <v>104</v>
      </c>
      <c r="D100" s="46" t="s">
        <v>786</v>
      </c>
      <c r="E100" s="33" t="s">
        <v>452</v>
      </c>
      <c r="F100" s="33"/>
      <c r="G100" s="33"/>
      <c r="H100" t="s">
        <v>787</v>
      </c>
      <c r="I100" s="44">
        <v>62401</v>
      </c>
      <c r="J100" s="44">
        <v>80</v>
      </c>
      <c r="K100" s="33"/>
      <c r="L100" s="33" t="str">
        <f>VLOOKUP(K100,[1]Kamera!B:I,3,0)</f>
        <v>Yok</v>
      </c>
      <c r="M100" s="33" t="str">
        <f>VLOOKUP(K100,[1]Kamera!B:I,7,0)</f>
        <v>Yok</v>
      </c>
      <c r="N100" s="33" t="str">
        <f>VLOOKUP(K100,[1]Kamera!B:I,8,0)</f>
        <v>Yok</v>
      </c>
      <c r="O100" s="33" t="s">
        <v>788</v>
      </c>
      <c r="P100" s="33" t="s">
        <v>471</v>
      </c>
      <c r="Q100" s="33" t="s">
        <v>584</v>
      </c>
      <c r="R100" s="33" t="s">
        <v>584</v>
      </c>
      <c r="S100" s="33" t="s">
        <v>603</v>
      </c>
      <c r="T100" s="41" t="s">
        <v>474</v>
      </c>
    </row>
    <row r="101" spans="2:20">
      <c r="B101" s="44">
        <v>100</v>
      </c>
      <c r="C101" s="45">
        <v>105</v>
      </c>
      <c r="D101" s="46" t="s">
        <v>789</v>
      </c>
      <c r="E101" s="33" t="s">
        <v>452</v>
      </c>
      <c r="F101" s="33"/>
      <c r="G101" s="33"/>
      <c r="H101" t="s">
        <v>790</v>
      </c>
      <c r="I101" s="44">
        <v>62401</v>
      </c>
      <c r="J101" s="44">
        <v>80</v>
      </c>
      <c r="K101" s="33"/>
      <c r="L101" s="33" t="str">
        <f>VLOOKUP(K101,[1]Kamera!B:I,3,0)</f>
        <v>Yok</v>
      </c>
      <c r="M101" s="33" t="str">
        <f>VLOOKUP(K101,[1]Kamera!B:I,7,0)</f>
        <v>Yok</v>
      </c>
      <c r="N101" s="33" t="str">
        <f>VLOOKUP(K101,[1]Kamera!B:I,8,0)</f>
        <v>Yok</v>
      </c>
      <c r="O101" s="33" t="s">
        <v>791</v>
      </c>
      <c r="P101" s="33" t="s">
        <v>471</v>
      </c>
      <c r="Q101" s="33" t="s">
        <v>584</v>
      </c>
      <c r="R101" s="33" t="s">
        <v>584</v>
      </c>
      <c r="S101" s="33" t="s">
        <v>603</v>
      </c>
      <c r="T101" s="41" t="s">
        <v>474</v>
      </c>
    </row>
    <row r="102" spans="2:20">
      <c r="B102" s="44">
        <v>101</v>
      </c>
      <c r="C102" s="45">
        <v>106</v>
      </c>
      <c r="D102" s="46" t="s">
        <v>792</v>
      </c>
      <c r="E102" s="33" t="s">
        <v>664</v>
      </c>
      <c r="F102" s="33" t="s">
        <v>793</v>
      </c>
      <c r="G102" s="33"/>
      <c r="H102" t="s">
        <v>794</v>
      </c>
      <c r="I102" s="44">
        <v>62401</v>
      </c>
      <c r="J102" s="44">
        <v>80</v>
      </c>
      <c r="K102" s="33"/>
      <c r="L102" s="33" t="str">
        <f>VLOOKUP(K102,[1]Kamera!B:I,3,0)</f>
        <v>Yok</v>
      </c>
      <c r="M102" s="33" t="str">
        <f>VLOOKUP(K102,[1]Kamera!B:I,7,0)</f>
        <v>Yok</v>
      </c>
      <c r="N102" s="33" t="str">
        <f>VLOOKUP(K102,[1]Kamera!B:I,8,0)</f>
        <v>Yok</v>
      </c>
      <c r="O102" s="33" t="s">
        <v>795</v>
      </c>
      <c r="P102" s="33" t="s">
        <v>471</v>
      </c>
      <c r="Q102" s="33" t="s">
        <v>584</v>
      </c>
      <c r="R102" s="33" t="s">
        <v>584</v>
      </c>
      <c r="S102" s="33" t="s">
        <v>603</v>
      </c>
      <c r="T102" s="41" t="s">
        <v>474</v>
      </c>
    </row>
    <row r="103" spans="2:20">
      <c r="B103" s="44">
        <v>102</v>
      </c>
      <c r="C103" s="45">
        <v>107</v>
      </c>
      <c r="D103" s="46" t="s">
        <v>796</v>
      </c>
      <c r="E103" s="33" t="s">
        <v>664</v>
      </c>
      <c r="F103" s="3" t="s">
        <v>797</v>
      </c>
      <c r="G103" s="33"/>
      <c r="H103" t="s">
        <v>798</v>
      </c>
      <c r="I103" s="44">
        <v>62401</v>
      </c>
      <c r="J103" s="44">
        <v>80</v>
      </c>
      <c r="K103" s="33"/>
      <c r="L103" s="33" t="str">
        <f>VLOOKUP(K103,[1]Kamera!B:I,3,0)</f>
        <v>Yok</v>
      </c>
      <c r="M103" s="33" t="str">
        <f>VLOOKUP(K103,[1]Kamera!B:I,7,0)</f>
        <v>Yok</v>
      </c>
      <c r="N103" s="33" t="str">
        <f>VLOOKUP(K103,[1]Kamera!B:I,8,0)</f>
        <v>Yok</v>
      </c>
      <c r="O103" s="33" t="s">
        <v>799</v>
      </c>
      <c r="P103" s="33" t="s">
        <v>471</v>
      </c>
      <c r="Q103" s="33" t="s">
        <v>584</v>
      </c>
      <c r="R103" s="33" t="s">
        <v>584</v>
      </c>
      <c r="S103" s="33" t="s">
        <v>603</v>
      </c>
      <c r="T103" s="41" t="s">
        <v>474</v>
      </c>
    </row>
    <row r="104" spans="2:20">
      <c r="B104" s="44">
        <v>103</v>
      </c>
      <c r="C104" s="45">
        <v>108</v>
      </c>
      <c r="D104" s="46" t="s">
        <v>800</v>
      </c>
      <c r="E104" s="33" t="s">
        <v>452</v>
      </c>
      <c r="F104" s="3"/>
      <c r="G104" s="33"/>
      <c r="I104" s="44"/>
      <c r="J104" s="44"/>
      <c r="K104" s="33">
        <v>108</v>
      </c>
      <c r="L104" s="33" t="str">
        <f>VLOOKUP(K104,[1]Kamera!B:I,3,0)</f>
        <v>10.10.51.12</v>
      </c>
      <c r="M104" s="33" t="str">
        <f>VLOOKUP(K104,[1]Kamera!B:I,7,0)</f>
        <v>108_29EKİMBAHÇELİEVLER</v>
      </c>
      <c r="N104" s="33" t="str">
        <f>VLOOKUP(K104,[1]Kamera!B:I,8,0)</f>
        <v>Aktif</v>
      </c>
      <c r="O104" s="33"/>
      <c r="P104" s="33" t="s">
        <v>471</v>
      </c>
      <c r="Q104" s="33" t="s">
        <v>584</v>
      </c>
      <c r="R104" s="33" t="s">
        <v>584</v>
      </c>
      <c r="S104" s="33" t="s">
        <v>603</v>
      </c>
      <c r="T104" s="41"/>
    </row>
    <row r="105" spans="2:20">
      <c r="B105" s="44">
        <v>104</v>
      </c>
      <c r="C105" s="45">
        <v>109</v>
      </c>
      <c r="D105" s="46" t="s">
        <v>801</v>
      </c>
      <c r="E105" s="33" t="s">
        <v>664</v>
      </c>
      <c r="F105" s="33" t="s">
        <v>802</v>
      </c>
      <c r="G105" s="33"/>
      <c r="H105" t="s">
        <v>803</v>
      </c>
      <c r="I105" s="44">
        <v>62401</v>
      </c>
      <c r="J105" s="44">
        <v>80</v>
      </c>
      <c r="K105" s="33"/>
      <c r="L105" s="33" t="str">
        <f>VLOOKUP(K105,[1]Kamera!B:I,3,0)</f>
        <v>Yok</v>
      </c>
      <c r="M105" s="33" t="str">
        <f>VLOOKUP(K105,[1]Kamera!B:I,7,0)</f>
        <v>Yok</v>
      </c>
      <c r="N105" s="33" t="str">
        <f>VLOOKUP(K105,[1]Kamera!B:I,8,0)</f>
        <v>Yok</v>
      </c>
      <c r="O105" s="33" t="s">
        <v>804</v>
      </c>
      <c r="P105" s="33" t="s">
        <v>471</v>
      </c>
      <c r="Q105" s="33" t="s">
        <v>584</v>
      </c>
      <c r="R105" s="33" t="s">
        <v>584</v>
      </c>
      <c r="S105" s="33" t="s">
        <v>603</v>
      </c>
      <c r="T105" s="41" t="s">
        <v>474</v>
      </c>
    </row>
    <row r="106" spans="2:20">
      <c r="B106" s="44">
        <v>105</v>
      </c>
      <c r="C106" s="45">
        <v>110</v>
      </c>
      <c r="D106" s="46" t="s">
        <v>805</v>
      </c>
      <c r="E106" s="33" t="s">
        <v>664</v>
      </c>
      <c r="F106" s="3" t="s">
        <v>806</v>
      </c>
      <c r="G106" s="33"/>
      <c r="H106" t="s">
        <v>807</v>
      </c>
      <c r="I106" s="44">
        <v>62401</v>
      </c>
      <c r="J106" s="44">
        <v>80</v>
      </c>
      <c r="K106" s="33"/>
      <c r="L106" s="33" t="str">
        <f>VLOOKUP(K106,[1]Kamera!B:I,3,0)</f>
        <v>Yok</v>
      </c>
      <c r="M106" s="33" t="str">
        <f>VLOOKUP(K106,[1]Kamera!B:I,7,0)</f>
        <v>Yok</v>
      </c>
      <c r="N106" s="33" t="str">
        <f>VLOOKUP(K106,[1]Kamera!B:I,8,0)</f>
        <v>Yok</v>
      </c>
      <c r="O106" s="47" t="s">
        <v>808</v>
      </c>
      <c r="P106" s="33" t="s">
        <v>471</v>
      </c>
      <c r="Q106" s="33" t="s">
        <v>584</v>
      </c>
      <c r="R106" s="33" t="s">
        <v>584</v>
      </c>
      <c r="S106" s="33" t="s">
        <v>603</v>
      </c>
      <c r="T106" s="41" t="s">
        <v>809</v>
      </c>
    </row>
    <row r="107" spans="2:20">
      <c r="B107" s="44">
        <v>106</v>
      </c>
      <c r="C107" s="45">
        <v>111</v>
      </c>
      <c r="D107" s="46" t="s">
        <v>810</v>
      </c>
      <c r="E107" s="33" t="s">
        <v>664</v>
      </c>
      <c r="F107" s="33"/>
      <c r="G107" s="33"/>
      <c r="H107" t="s">
        <v>811</v>
      </c>
      <c r="I107" s="44">
        <v>62401</v>
      </c>
      <c r="J107" s="44">
        <v>80</v>
      </c>
      <c r="K107" s="33"/>
      <c r="L107" s="33" t="str">
        <f>VLOOKUP(K107,[1]Kamera!B:I,3,0)</f>
        <v>Yok</v>
      </c>
      <c r="M107" s="33" t="str">
        <f>VLOOKUP(K107,[1]Kamera!B:I,7,0)</f>
        <v>Yok</v>
      </c>
      <c r="N107" s="33" t="str">
        <f>VLOOKUP(K107,[1]Kamera!B:I,8,0)</f>
        <v>Yok</v>
      </c>
      <c r="O107" s="33" t="s">
        <v>812</v>
      </c>
      <c r="P107" s="33" t="s">
        <v>471</v>
      </c>
      <c r="Q107" s="33" t="s">
        <v>584</v>
      </c>
      <c r="R107" s="33" t="s">
        <v>584</v>
      </c>
      <c r="S107" s="33" t="s">
        <v>603</v>
      </c>
      <c r="T107" s="41" t="s">
        <v>474</v>
      </c>
    </row>
    <row r="108" spans="2:20">
      <c r="B108" s="44">
        <v>107</v>
      </c>
      <c r="C108" s="45">
        <v>112</v>
      </c>
      <c r="D108" s="46" t="s">
        <v>813</v>
      </c>
      <c r="E108" s="33" t="s">
        <v>664</v>
      </c>
      <c r="F108" s="33" t="s">
        <v>814</v>
      </c>
      <c r="G108" s="33"/>
      <c r="H108" t="s">
        <v>815</v>
      </c>
      <c r="I108" s="44">
        <v>62401</v>
      </c>
      <c r="J108" s="44">
        <v>80</v>
      </c>
      <c r="K108" s="33"/>
      <c r="L108" s="33" t="str">
        <f>VLOOKUP(K108,[1]Kamera!B:I,3,0)</f>
        <v>Yok</v>
      </c>
      <c r="M108" s="33" t="str">
        <f>VLOOKUP(K108,[1]Kamera!B:I,7,0)</f>
        <v>Yok</v>
      </c>
      <c r="N108" s="33" t="str">
        <f>VLOOKUP(K108,[1]Kamera!B:I,8,0)</f>
        <v>Yok</v>
      </c>
      <c r="O108" s="33" t="s">
        <v>816</v>
      </c>
      <c r="P108" s="33" t="s">
        <v>471</v>
      </c>
      <c r="Q108" s="33" t="s">
        <v>584</v>
      </c>
      <c r="R108" s="33" t="s">
        <v>584</v>
      </c>
      <c r="S108" s="33" t="s">
        <v>603</v>
      </c>
      <c r="T108" s="41" t="s">
        <v>474</v>
      </c>
    </row>
    <row r="109" spans="2:20">
      <c r="B109" s="44">
        <v>108</v>
      </c>
      <c r="C109" s="45">
        <v>113</v>
      </c>
      <c r="D109" s="46" t="s">
        <v>817</v>
      </c>
      <c r="E109" s="33" t="s">
        <v>664</v>
      </c>
      <c r="F109" s="3" t="s">
        <v>818</v>
      </c>
      <c r="G109" s="33"/>
      <c r="H109" t="s">
        <v>819</v>
      </c>
      <c r="I109" s="44">
        <v>62401</v>
      </c>
      <c r="J109" s="44">
        <v>80</v>
      </c>
      <c r="K109" s="33"/>
      <c r="L109" s="33" t="str">
        <f>VLOOKUP(K109,[1]Kamera!B:I,3,0)</f>
        <v>Yok</v>
      </c>
      <c r="M109" s="33" t="str">
        <f>VLOOKUP(K109,[1]Kamera!B:I,7,0)</f>
        <v>Yok</v>
      </c>
      <c r="N109" s="33" t="str">
        <f>VLOOKUP(K109,[1]Kamera!B:I,8,0)</f>
        <v>Yok</v>
      </c>
      <c r="O109" s="33" t="s">
        <v>820</v>
      </c>
      <c r="P109" s="33" t="s">
        <v>471</v>
      </c>
      <c r="Q109" s="33" t="s">
        <v>472</v>
      </c>
      <c r="R109" s="33" t="s">
        <v>472</v>
      </c>
      <c r="S109" s="33" t="s">
        <v>603</v>
      </c>
      <c r="T109" s="41" t="s">
        <v>474</v>
      </c>
    </row>
    <row r="110" spans="2:20">
      <c r="B110" s="44">
        <v>109</v>
      </c>
      <c r="C110" s="45">
        <v>114</v>
      </c>
      <c r="D110" s="46" t="s">
        <v>821</v>
      </c>
      <c r="E110" s="33" t="s">
        <v>664</v>
      </c>
      <c r="F110" s="33" t="s">
        <v>822</v>
      </c>
      <c r="G110" s="33"/>
      <c r="H110" t="s">
        <v>823</v>
      </c>
      <c r="I110" s="44">
        <v>62401</v>
      </c>
      <c r="J110" s="44">
        <v>80</v>
      </c>
      <c r="K110" s="33"/>
      <c r="L110" s="33" t="str">
        <f>VLOOKUP(K110,[1]Kamera!B:I,3,0)</f>
        <v>Yok</v>
      </c>
      <c r="M110" s="33" t="str">
        <f>VLOOKUP(K110,[1]Kamera!B:I,7,0)</f>
        <v>Yok</v>
      </c>
      <c r="N110" s="33" t="str">
        <f>VLOOKUP(K110,[1]Kamera!B:I,8,0)</f>
        <v>Yok</v>
      </c>
      <c r="O110" s="33" t="s">
        <v>824</v>
      </c>
      <c r="P110" s="33" t="s">
        <v>471</v>
      </c>
      <c r="Q110" s="33" t="s">
        <v>472</v>
      </c>
      <c r="R110" s="33" t="s">
        <v>472</v>
      </c>
      <c r="S110" s="33" t="s">
        <v>603</v>
      </c>
      <c r="T110" s="41" t="s">
        <v>474</v>
      </c>
    </row>
    <row r="111" spans="2:20">
      <c r="B111" s="44">
        <v>110</v>
      </c>
      <c r="C111" s="45">
        <v>115</v>
      </c>
      <c r="D111" s="46" t="s">
        <v>825</v>
      </c>
      <c r="E111" s="33" t="s">
        <v>664</v>
      </c>
      <c r="F111" s="3" t="s">
        <v>826</v>
      </c>
      <c r="G111" s="33"/>
      <c r="H111" t="s">
        <v>827</v>
      </c>
      <c r="I111" s="44">
        <v>62401</v>
      </c>
      <c r="J111" s="44">
        <v>80</v>
      </c>
      <c r="K111" s="33"/>
      <c r="L111" s="33" t="str">
        <f>VLOOKUP(K111,[1]Kamera!B:I,3,0)</f>
        <v>Yok</v>
      </c>
      <c r="M111" s="33" t="str">
        <f>VLOOKUP(K111,[1]Kamera!B:I,7,0)</f>
        <v>Yok</v>
      </c>
      <c r="N111" s="33" t="str">
        <f>VLOOKUP(K111,[1]Kamera!B:I,8,0)</f>
        <v>Yok</v>
      </c>
      <c r="O111" s="33" t="s">
        <v>828</v>
      </c>
      <c r="P111" s="33" t="s">
        <v>471</v>
      </c>
      <c r="Q111" s="33" t="s">
        <v>472</v>
      </c>
      <c r="R111" s="33" t="s">
        <v>472</v>
      </c>
      <c r="S111" s="33" t="s">
        <v>603</v>
      </c>
      <c r="T111" s="41" t="s">
        <v>474</v>
      </c>
    </row>
    <row r="112" spans="2:20">
      <c r="B112" s="44">
        <v>111</v>
      </c>
      <c r="C112" s="45">
        <v>116</v>
      </c>
      <c r="D112" s="46" t="s">
        <v>829</v>
      </c>
      <c r="E112" s="33" t="s">
        <v>664</v>
      </c>
      <c r="F112" s="33" t="s">
        <v>830</v>
      </c>
      <c r="G112" s="33"/>
      <c r="H112" t="s">
        <v>831</v>
      </c>
      <c r="I112" s="44">
        <v>62401</v>
      </c>
      <c r="J112" s="44">
        <v>80</v>
      </c>
      <c r="K112" s="33"/>
      <c r="L112" s="33" t="str">
        <f>VLOOKUP(K112,[1]Kamera!B:I,3,0)</f>
        <v>Yok</v>
      </c>
      <c r="M112" s="33" t="str">
        <f>VLOOKUP(K112,[1]Kamera!B:I,7,0)</f>
        <v>Yok</v>
      </c>
      <c r="N112" s="33" t="str">
        <f>VLOOKUP(K112,[1]Kamera!B:I,8,0)</f>
        <v>Yok</v>
      </c>
      <c r="O112" s="33" t="s">
        <v>832</v>
      </c>
      <c r="P112" s="33" t="s">
        <v>471</v>
      </c>
      <c r="Q112" s="33" t="s">
        <v>472</v>
      </c>
      <c r="R112" s="33" t="s">
        <v>472</v>
      </c>
      <c r="S112" s="33" t="s">
        <v>603</v>
      </c>
      <c r="T112" s="41" t="s">
        <v>474</v>
      </c>
    </row>
    <row r="113" spans="2:20">
      <c r="B113" s="44">
        <v>112</v>
      </c>
      <c r="C113" s="45">
        <v>117</v>
      </c>
      <c r="D113" s="46" t="s">
        <v>833</v>
      </c>
      <c r="E113" s="33" t="s">
        <v>664</v>
      </c>
      <c r="F113" s="33" t="s">
        <v>834</v>
      </c>
      <c r="G113" s="33"/>
      <c r="H113" t="s">
        <v>835</v>
      </c>
      <c r="I113" s="44">
        <v>62401</v>
      </c>
      <c r="J113" s="44">
        <v>80</v>
      </c>
      <c r="K113" s="33"/>
      <c r="L113" s="33" t="str">
        <f>VLOOKUP(K113,[1]Kamera!B:I,3,0)</f>
        <v>Yok</v>
      </c>
      <c r="M113" s="33" t="str">
        <f>VLOOKUP(K113,[1]Kamera!B:I,7,0)</f>
        <v>Yok</v>
      </c>
      <c r="N113" s="33" t="str">
        <f>VLOOKUP(K113,[1]Kamera!B:I,8,0)</f>
        <v>Yok</v>
      </c>
      <c r="O113" s="33" t="s">
        <v>836</v>
      </c>
      <c r="P113" s="33" t="s">
        <v>471</v>
      </c>
      <c r="Q113" s="33" t="s">
        <v>584</v>
      </c>
      <c r="R113" s="33" t="s">
        <v>584</v>
      </c>
      <c r="S113" s="33" t="s">
        <v>603</v>
      </c>
      <c r="T113" s="41" t="s">
        <v>474</v>
      </c>
    </row>
    <row r="114" spans="2:20">
      <c r="B114" s="44">
        <v>113</v>
      </c>
      <c r="C114" s="45">
        <v>118</v>
      </c>
      <c r="D114" s="46" t="s">
        <v>837</v>
      </c>
      <c r="E114" s="33" t="s">
        <v>664</v>
      </c>
      <c r="F114" s="33" t="s">
        <v>838</v>
      </c>
      <c r="G114" s="33"/>
      <c r="H114" t="s">
        <v>839</v>
      </c>
      <c r="I114" s="44">
        <v>62401</v>
      </c>
      <c r="J114" s="44">
        <v>80</v>
      </c>
      <c r="K114" s="33"/>
      <c r="L114" s="33" t="str">
        <f>VLOOKUP(K114,[1]Kamera!B:I,3,0)</f>
        <v>Yok</v>
      </c>
      <c r="M114" s="33" t="str">
        <f>VLOOKUP(K114,[1]Kamera!B:I,7,0)</f>
        <v>Yok</v>
      </c>
      <c r="N114" s="33" t="str">
        <f>VLOOKUP(K114,[1]Kamera!B:I,8,0)</f>
        <v>Yok</v>
      </c>
      <c r="O114" s="33" t="s">
        <v>840</v>
      </c>
      <c r="P114" s="33" t="s">
        <v>471</v>
      </c>
      <c r="Q114" s="33" t="s">
        <v>584</v>
      </c>
      <c r="R114" s="33" t="s">
        <v>584</v>
      </c>
      <c r="S114" s="33" t="s">
        <v>603</v>
      </c>
      <c r="T114" s="41" t="s">
        <v>474</v>
      </c>
    </row>
    <row r="115" spans="2:20">
      <c r="B115" s="44">
        <v>114</v>
      </c>
      <c r="C115" s="45">
        <v>119</v>
      </c>
      <c r="D115" s="46" t="s">
        <v>841</v>
      </c>
      <c r="E115" s="33" t="s">
        <v>664</v>
      </c>
      <c r="F115" s="3" t="s">
        <v>842</v>
      </c>
      <c r="G115" s="33"/>
      <c r="H115" t="s">
        <v>843</v>
      </c>
      <c r="I115" s="44">
        <v>62401</v>
      </c>
      <c r="J115" s="44">
        <v>80</v>
      </c>
      <c r="K115" s="33"/>
      <c r="L115" s="33" t="str">
        <f>VLOOKUP(K115,[1]Kamera!B:I,3,0)</f>
        <v>Yok</v>
      </c>
      <c r="M115" s="33" t="str">
        <f>VLOOKUP(K115,[1]Kamera!B:I,7,0)</f>
        <v>Yok</v>
      </c>
      <c r="N115" s="33" t="str">
        <f>VLOOKUP(K115,[1]Kamera!B:I,8,0)</f>
        <v>Yok</v>
      </c>
      <c r="O115" s="33" t="s">
        <v>844</v>
      </c>
      <c r="P115" s="33" t="s">
        <v>471</v>
      </c>
      <c r="Q115" s="33" t="s">
        <v>584</v>
      </c>
      <c r="R115" s="33" t="s">
        <v>584</v>
      </c>
      <c r="S115" s="33" t="s">
        <v>603</v>
      </c>
      <c r="T115" s="41" t="s">
        <v>474</v>
      </c>
    </row>
    <row r="116" spans="2:20">
      <c r="B116" s="44">
        <v>115</v>
      </c>
      <c r="C116" s="45">
        <v>120</v>
      </c>
      <c r="D116" s="46" t="s">
        <v>845</v>
      </c>
      <c r="E116" s="33" t="s">
        <v>664</v>
      </c>
      <c r="F116" s="3" t="s">
        <v>846</v>
      </c>
      <c r="G116" s="33"/>
      <c r="H116" t="s">
        <v>847</v>
      </c>
      <c r="I116" s="44">
        <v>62401</v>
      </c>
      <c r="J116" s="44">
        <v>80</v>
      </c>
      <c r="K116" s="33"/>
      <c r="L116" s="33" t="str">
        <f>VLOOKUP(K116,[1]Kamera!B:I,3,0)</f>
        <v>Yok</v>
      </c>
      <c r="M116" s="33" t="str">
        <f>VLOOKUP(K116,[1]Kamera!B:I,7,0)</f>
        <v>Yok</v>
      </c>
      <c r="N116" s="33" t="str">
        <f>VLOOKUP(K116,[1]Kamera!B:I,8,0)</f>
        <v>Yok</v>
      </c>
      <c r="O116" s="33" t="s">
        <v>848</v>
      </c>
      <c r="P116" s="33" t="s">
        <v>471</v>
      </c>
      <c r="Q116" s="33" t="s">
        <v>584</v>
      </c>
      <c r="R116" s="33" t="s">
        <v>584</v>
      </c>
      <c r="S116" s="33" t="s">
        <v>603</v>
      </c>
      <c r="T116" s="41" t="s">
        <v>474</v>
      </c>
    </row>
    <row r="117" spans="2:20">
      <c r="B117" s="44">
        <v>116</v>
      </c>
      <c r="C117" s="45">
        <v>150</v>
      </c>
      <c r="D117" s="46" t="s">
        <v>849</v>
      </c>
      <c r="E117" s="33" t="s">
        <v>452</v>
      </c>
      <c r="F117" s="33"/>
      <c r="G117" s="33"/>
      <c r="H117" t="s">
        <v>850</v>
      </c>
      <c r="I117" s="44">
        <v>62401</v>
      </c>
      <c r="J117" s="44">
        <v>80</v>
      </c>
      <c r="K117" s="33"/>
      <c r="L117" s="33" t="str">
        <f>VLOOKUP(K117,[1]Kamera!B:I,3,0)</f>
        <v>Yok</v>
      </c>
      <c r="M117" s="33" t="str">
        <f>VLOOKUP(K117,[1]Kamera!B:I,7,0)</f>
        <v>Yok</v>
      </c>
      <c r="N117" s="33" t="str">
        <f>VLOOKUP(K117,[1]Kamera!B:I,8,0)</f>
        <v>Yok</v>
      </c>
      <c r="O117" s="33" t="s">
        <v>851</v>
      </c>
      <c r="P117" s="33" t="s">
        <v>471</v>
      </c>
      <c r="Q117" s="33" t="s">
        <v>584</v>
      </c>
      <c r="R117" s="33" t="s">
        <v>584</v>
      </c>
      <c r="S117" s="33" t="s">
        <v>653</v>
      </c>
      <c r="T117" s="41" t="s">
        <v>474</v>
      </c>
    </row>
    <row r="118" spans="2:20">
      <c r="B118" s="44"/>
      <c r="C118" s="45"/>
      <c r="I118" s="44"/>
      <c r="J118" s="44"/>
      <c r="T118" s="44"/>
    </row>
  </sheetData>
  <conditionalFormatting sqref="N108:N118 N1:N106">
    <cfRule type="containsText" dxfId="33" priority="32" operator="containsText" text="Yok">
      <formula>NOT(ISERROR(SEARCH("Yok",N1)))</formula>
    </cfRule>
    <cfRule type="containsText" dxfId="32" priority="33" operator="containsText" text="Arızalı">
      <formula>NOT(ISERROR(SEARCH("Arızalı",N1)))</formula>
    </cfRule>
    <cfRule type="containsText" dxfId="31" priority="34" operator="containsText" text="Aktif">
      <formula>NOT(ISERROR(SEARCH("Aktif",N1)))</formula>
    </cfRule>
  </conditionalFormatting>
  <conditionalFormatting sqref="P108:P118 P1:P106">
    <cfRule type="containsText" dxfId="30" priority="30" operator="containsText" text="Pasif">
      <formula>NOT(ISERROR(SEARCH("Pasif",P1)))</formula>
    </cfRule>
    <cfRule type="containsText" dxfId="29" priority="31" operator="containsText" text="Aktif">
      <formula>NOT(ISERROR(SEARCH("Aktif",P1)))</formula>
    </cfRule>
  </conditionalFormatting>
  <conditionalFormatting sqref="Q108:R117 Q2:R61 Q63:R106">
    <cfRule type="containsText" dxfId="28" priority="28" operator="containsText" text="Yok">
      <formula>NOT(ISERROR(SEARCH("Yok",Q2)))</formula>
    </cfRule>
    <cfRule type="containsText" dxfId="27" priority="29" operator="containsText" text="Var">
      <formula>NOT(ISERROR(SEARCH("Var",Q2)))</formula>
    </cfRule>
  </conditionalFormatting>
  <conditionalFormatting sqref="S108:S118 S1:S106">
    <cfRule type="containsText" dxfId="26" priority="25" operator="containsText" text="Sabit">
      <formula>NOT(ISERROR(SEARCH("Sabit",S1)))</formula>
    </cfRule>
    <cfRule type="containsText" dxfId="25" priority="26" operator="containsText" text="Adaptif-Koordine">
      <formula>NOT(ISERROR(SEARCH("Adaptif-Koordine",S1)))</formula>
    </cfRule>
    <cfRule type="containsText" dxfId="24" priority="27" operator="containsText" text="Adaptif">
      <formula>NOT(ISERROR(SEARCH("Adaptif",S1)))</formula>
    </cfRule>
  </conditionalFormatting>
  <conditionalFormatting sqref="S108:S117 S2:S106">
    <cfRule type="containsText" dxfId="23" priority="23" operator="containsText" text="Flaş">
      <formula>NOT(ISERROR(SEARCH("Flaş",S2)))</formula>
    </cfRule>
    <cfRule type="containsText" dxfId="22" priority="24" operator="containsText" text="Koordine">
      <formula>NOT(ISERROR(SEARCH("Koordine",S2)))</formula>
    </cfRule>
  </conditionalFormatting>
  <conditionalFormatting sqref="E108:E118 E1:E106">
    <cfRule type="containsText" dxfId="21" priority="20" operator="containsText" text="Anten">
      <formula>NOT(ISERROR(SEARCH("Anten",E1)))</formula>
    </cfRule>
    <cfRule type="containsText" dxfId="20" priority="21" operator="containsText" text="Hat">
      <formula>NOT(ISERROR(SEARCH("Hat",E1)))</formula>
    </cfRule>
    <cfRule type="containsText" dxfId="19" priority="22" operator="containsText" text="Fiber">
      <formula>NOT(ISERROR(SEARCH("Fiber",E1)))</formula>
    </cfRule>
  </conditionalFormatting>
  <conditionalFormatting sqref="N107">
    <cfRule type="containsText" dxfId="18" priority="17" operator="containsText" text="Yok">
      <formula>NOT(ISERROR(SEARCH("Yok",N107)))</formula>
    </cfRule>
    <cfRule type="containsText" dxfId="17" priority="18" operator="containsText" text="Arızalı">
      <formula>NOT(ISERROR(SEARCH("Arızalı",N107)))</formula>
    </cfRule>
    <cfRule type="containsText" dxfId="16" priority="19" operator="containsText" text="Aktif">
      <formula>NOT(ISERROR(SEARCH("Aktif",N107)))</formula>
    </cfRule>
  </conditionalFormatting>
  <conditionalFormatting sqref="P107">
    <cfRule type="containsText" dxfId="15" priority="15" operator="containsText" text="Pasif">
      <formula>NOT(ISERROR(SEARCH("Pasif",P107)))</formula>
    </cfRule>
    <cfRule type="containsText" dxfId="14" priority="16" operator="containsText" text="Aktif">
      <formula>NOT(ISERROR(SEARCH("Aktif",P107)))</formula>
    </cfRule>
  </conditionalFormatting>
  <conditionalFormatting sqref="Q107:R107">
    <cfRule type="containsText" dxfId="13" priority="13" operator="containsText" text="Yok">
      <formula>NOT(ISERROR(SEARCH("Yok",Q107)))</formula>
    </cfRule>
    <cfRule type="containsText" dxfId="12" priority="14" operator="containsText" text="Var">
      <formula>NOT(ISERROR(SEARCH("Var",Q107)))</formula>
    </cfRule>
  </conditionalFormatting>
  <conditionalFormatting sqref="S107">
    <cfRule type="containsText" dxfId="11" priority="10" operator="containsText" text="Sabit">
      <formula>NOT(ISERROR(SEARCH("Sabit",S107)))</formula>
    </cfRule>
    <cfRule type="containsText" dxfId="10" priority="11" operator="containsText" text="Adaptif-Koordine">
      <formula>NOT(ISERROR(SEARCH("Adaptif-Koordine",S107)))</formula>
    </cfRule>
    <cfRule type="containsText" dxfId="9" priority="12" operator="containsText" text="Adaptif">
      <formula>NOT(ISERROR(SEARCH("Adaptif",S107)))</formula>
    </cfRule>
  </conditionalFormatting>
  <conditionalFormatting sqref="S107">
    <cfRule type="containsText" dxfId="8" priority="8" operator="containsText" text="Flaş">
      <formula>NOT(ISERROR(SEARCH("Flaş",S107)))</formula>
    </cfRule>
    <cfRule type="containsText" dxfId="7" priority="9" operator="containsText" text="Koordine">
      <formula>NOT(ISERROR(SEARCH("Koordine",S107)))</formula>
    </cfRule>
  </conditionalFormatting>
  <conditionalFormatting sqref="E107">
    <cfRule type="containsText" dxfId="6" priority="5" operator="containsText" text="Anten">
      <formula>NOT(ISERROR(SEARCH("Anten",E107)))</formula>
    </cfRule>
    <cfRule type="containsText" dxfId="5" priority="6" operator="containsText" text="Hat">
      <formula>NOT(ISERROR(SEARCH("Hat",E107)))</formula>
    </cfRule>
    <cfRule type="containsText" dxfId="4" priority="7" operator="containsText" text="Fiber">
      <formula>NOT(ISERROR(SEARCH("Fiber",E107)))</formula>
    </cfRule>
  </conditionalFormatting>
  <conditionalFormatting sqref="Q62">
    <cfRule type="containsText" dxfId="3" priority="3" operator="containsText" text="Yok">
      <formula>NOT(ISERROR(SEARCH("Yok",Q62)))</formula>
    </cfRule>
    <cfRule type="containsText" dxfId="2" priority="4" operator="containsText" text="Var">
      <formula>NOT(ISERROR(SEARCH("Var",Q62)))</formula>
    </cfRule>
  </conditionalFormatting>
  <conditionalFormatting sqref="R62">
    <cfRule type="containsText" dxfId="1" priority="1" operator="containsText" text="Yok">
      <formula>NOT(ISERROR(SEARCH("Yok",R62)))</formula>
    </cfRule>
    <cfRule type="containsText" dxfId="0" priority="2" operator="containsText" text="Var">
      <formula>NOT(ISERROR(SEARCH("Var",R62)))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60"/>
  <sheetViews>
    <sheetView topLeftCell="A28" zoomScaleNormal="100" workbookViewId="0">
      <selection activeCell="D29" sqref="D29"/>
    </sheetView>
  </sheetViews>
  <sheetFormatPr defaultRowHeight="15"/>
  <cols>
    <col min="1" max="1" width="9.140625" style="44"/>
    <col min="2" max="2" width="27.7109375" customWidth="1"/>
    <col min="3" max="3" width="31.28515625" customWidth="1"/>
  </cols>
  <sheetData>
    <row r="2" spans="1:8">
      <c r="A2" s="44">
        <v>1</v>
      </c>
      <c r="B2" s="6" t="s">
        <v>1255</v>
      </c>
      <c r="C2" s="6" t="s">
        <v>174</v>
      </c>
      <c r="D2" s="6" t="s">
        <v>82</v>
      </c>
      <c r="E2" s="6" t="s">
        <v>49</v>
      </c>
      <c r="F2" s="44" t="s">
        <v>434</v>
      </c>
      <c r="G2" s="44">
        <v>2</v>
      </c>
      <c r="H2" s="3"/>
    </row>
    <row r="3" spans="1:8">
      <c r="A3" s="44">
        <v>2</v>
      </c>
      <c r="B3" s="119" t="s">
        <v>164</v>
      </c>
      <c r="C3" s="119" t="s">
        <v>375</v>
      </c>
      <c r="D3" s="119" t="s">
        <v>82</v>
      </c>
      <c r="E3" s="119" t="s">
        <v>49</v>
      </c>
      <c r="F3" s="44" t="s">
        <v>434</v>
      </c>
      <c r="G3" s="44">
        <v>2</v>
      </c>
      <c r="H3" s="3"/>
    </row>
    <row r="4" spans="1:8">
      <c r="A4" s="44">
        <v>3</v>
      </c>
      <c r="B4" s="119" t="s">
        <v>164</v>
      </c>
      <c r="C4" s="119" t="s">
        <v>165</v>
      </c>
      <c r="D4" s="119" t="s">
        <v>82</v>
      </c>
      <c r="E4" s="119" t="s">
        <v>49</v>
      </c>
      <c r="F4" s="44" t="s">
        <v>434</v>
      </c>
      <c r="G4" s="44">
        <v>2</v>
      </c>
      <c r="H4" s="3"/>
    </row>
    <row r="5" spans="1:8">
      <c r="A5" s="44">
        <v>4</v>
      </c>
      <c r="B5" s="119" t="s">
        <v>164</v>
      </c>
      <c r="C5" s="119" t="s">
        <v>1256</v>
      </c>
      <c r="D5" s="119" t="s">
        <v>82</v>
      </c>
      <c r="E5" s="119" t="s">
        <v>49</v>
      </c>
      <c r="F5" s="44" t="s">
        <v>434</v>
      </c>
      <c r="G5" s="44">
        <v>2</v>
      </c>
      <c r="H5" s="3"/>
    </row>
    <row r="6" spans="1:8">
      <c r="A6" s="44">
        <v>5</v>
      </c>
      <c r="B6" s="119" t="s">
        <v>164</v>
      </c>
      <c r="C6" s="119" t="s">
        <v>1212</v>
      </c>
      <c r="D6" s="119" t="s">
        <v>82</v>
      </c>
      <c r="E6" s="119" t="s">
        <v>49</v>
      </c>
      <c r="F6" s="44" t="s">
        <v>434</v>
      </c>
      <c r="G6" s="44">
        <v>2</v>
      </c>
    </row>
    <row r="7" spans="1:8">
      <c r="A7" s="44">
        <v>6</v>
      </c>
      <c r="B7" s="120" t="s">
        <v>440</v>
      </c>
      <c r="C7" s="120" t="s">
        <v>260</v>
      </c>
      <c r="D7" s="120" t="s">
        <v>82</v>
      </c>
      <c r="E7" s="120" t="s">
        <v>49</v>
      </c>
      <c r="F7" s="44" t="s">
        <v>434</v>
      </c>
      <c r="G7" s="44">
        <v>2</v>
      </c>
      <c r="H7" s="3"/>
    </row>
    <row r="8" spans="1:8">
      <c r="A8" s="44">
        <v>7</v>
      </c>
      <c r="B8" s="120" t="s">
        <v>440</v>
      </c>
      <c r="C8" s="120" t="s">
        <v>168</v>
      </c>
      <c r="D8" s="120" t="s">
        <v>158</v>
      </c>
      <c r="E8" s="120" t="s">
        <v>49</v>
      </c>
      <c r="F8" s="44" t="s">
        <v>434</v>
      </c>
      <c r="G8" s="44">
        <v>2</v>
      </c>
      <c r="H8" s="3"/>
    </row>
    <row r="9" spans="1:8">
      <c r="A9" s="44">
        <v>8</v>
      </c>
      <c r="B9" s="120" t="s">
        <v>440</v>
      </c>
      <c r="C9" s="120" t="s">
        <v>1128</v>
      </c>
      <c r="D9" s="120" t="s">
        <v>82</v>
      </c>
      <c r="E9" s="120" t="s">
        <v>49</v>
      </c>
      <c r="F9" s="44" t="s">
        <v>434</v>
      </c>
      <c r="G9" s="44">
        <v>2</v>
      </c>
      <c r="H9" s="3"/>
    </row>
    <row r="10" spans="1:8">
      <c r="A10" s="44">
        <v>9</v>
      </c>
      <c r="B10" s="6" t="s">
        <v>1254</v>
      </c>
      <c r="C10" s="6" t="s">
        <v>1213</v>
      </c>
      <c r="D10" s="6" t="s">
        <v>82</v>
      </c>
      <c r="E10" s="6" t="s">
        <v>49</v>
      </c>
      <c r="F10" s="44" t="s">
        <v>434</v>
      </c>
      <c r="G10" s="44">
        <v>4</v>
      </c>
      <c r="H10" s="3"/>
    </row>
    <row r="11" spans="1:8">
      <c r="A11" s="44">
        <v>10</v>
      </c>
      <c r="B11" s="6" t="s">
        <v>1254</v>
      </c>
      <c r="C11" s="6" t="s">
        <v>1262</v>
      </c>
      <c r="D11" s="6" t="s">
        <v>82</v>
      </c>
      <c r="E11" s="6" t="s">
        <v>49</v>
      </c>
      <c r="F11" s="44" t="s">
        <v>434</v>
      </c>
      <c r="G11" s="44">
        <v>4</v>
      </c>
      <c r="H11" s="3"/>
    </row>
    <row r="12" spans="1:8">
      <c r="A12" s="44">
        <v>11</v>
      </c>
      <c r="B12" s="6" t="s">
        <v>1254</v>
      </c>
      <c r="C12" s="6" t="s">
        <v>1263</v>
      </c>
      <c r="D12" s="6" t="s">
        <v>82</v>
      </c>
      <c r="E12" s="6" t="s">
        <v>49</v>
      </c>
      <c r="F12" s="44" t="s">
        <v>434</v>
      </c>
      <c r="G12" s="44">
        <v>4</v>
      </c>
    </row>
    <row r="13" spans="1:8">
      <c r="A13" s="44">
        <v>12</v>
      </c>
      <c r="B13" s="121" t="s">
        <v>175</v>
      </c>
      <c r="C13" s="121" t="s">
        <v>339</v>
      </c>
      <c r="D13" s="121" t="s">
        <v>158</v>
      </c>
      <c r="E13" s="121" t="s">
        <v>49</v>
      </c>
      <c r="F13" s="44" t="s">
        <v>434</v>
      </c>
      <c r="G13" s="44">
        <v>2</v>
      </c>
      <c r="H13" s="3"/>
    </row>
    <row r="14" spans="1:8">
      <c r="A14" s="44">
        <v>13</v>
      </c>
      <c r="B14" s="121" t="s">
        <v>175</v>
      </c>
      <c r="C14" s="121" t="s">
        <v>372</v>
      </c>
      <c r="D14" s="121" t="s">
        <v>82</v>
      </c>
      <c r="E14" s="121" t="s">
        <v>49</v>
      </c>
      <c r="F14" s="44" t="s">
        <v>434</v>
      </c>
      <c r="G14" s="44">
        <v>2</v>
      </c>
      <c r="H14" s="3"/>
    </row>
    <row r="15" spans="1:8">
      <c r="A15" s="44">
        <v>14</v>
      </c>
      <c r="B15" s="121" t="s">
        <v>175</v>
      </c>
      <c r="C15" s="121" t="s">
        <v>176</v>
      </c>
      <c r="D15" s="121" t="s">
        <v>158</v>
      </c>
      <c r="E15" s="121" t="s">
        <v>49</v>
      </c>
      <c r="F15" s="44" t="s">
        <v>434</v>
      </c>
      <c r="G15" s="44">
        <v>2</v>
      </c>
      <c r="H15" s="3"/>
    </row>
    <row r="16" spans="1:8">
      <c r="A16" s="44">
        <v>15</v>
      </c>
      <c r="B16" s="121" t="s">
        <v>175</v>
      </c>
      <c r="C16" s="121" t="s">
        <v>1278</v>
      </c>
      <c r="D16" s="121" t="s">
        <v>82</v>
      </c>
      <c r="E16" s="121" t="s">
        <v>49</v>
      </c>
      <c r="F16" s="44" t="s">
        <v>434</v>
      </c>
      <c r="G16" s="44">
        <v>2</v>
      </c>
      <c r="H16" s="3"/>
    </row>
    <row r="17" spans="1:8">
      <c r="A17" s="44">
        <v>16</v>
      </c>
      <c r="B17" s="6" t="s">
        <v>169</v>
      </c>
      <c r="C17" s="6" t="s">
        <v>436</v>
      </c>
      <c r="D17" s="6" t="s">
        <v>82</v>
      </c>
      <c r="E17" s="6" t="s">
        <v>917</v>
      </c>
      <c r="F17" s="44" t="s">
        <v>434</v>
      </c>
      <c r="G17" s="44">
        <v>4</v>
      </c>
      <c r="H17" s="3"/>
    </row>
    <row r="18" spans="1:8">
      <c r="A18" s="44">
        <v>17</v>
      </c>
      <c r="B18" s="102" t="s">
        <v>177</v>
      </c>
      <c r="C18" s="102" t="s">
        <v>178</v>
      </c>
      <c r="D18" s="102" t="s">
        <v>373</v>
      </c>
      <c r="E18" s="102" t="s">
        <v>49</v>
      </c>
      <c r="F18" s="44" t="s">
        <v>434</v>
      </c>
      <c r="G18" s="44">
        <v>2</v>
      </c>
      <c r="H18" s="3"/>
    </row>
    <row r="19" spans="1:8">
      <c r="A19" s="44">
        <v>18</v>
      </c>
      <c r="B19" s="102" t="s">
        <v>177</v>
      </c>
      <c r="C19" s="102" t="s">
        <v>856</v>
      </c>
      <c r="D19" s="102" t="s">
        <v>82</v>
      </c>
      <c r="E19" s="102" t="s">
        <v>49</v>
      </c>
      <c r="F19" s="44" t="s">
        <v>434</v>
      </c>
      <c r="G19" s="44">
        <v>2</v>
      </c>
      <c r="H19" s="3"/>
    </row>
    <row r="20" spans="1:8">
      <c r="A20" s="44">
        <v>19</v>
      </c>
      <c r="B20" s="102" t="s">
        <v>177</v>
      </c>
      <c r="C20" s="102" t="s">
        <v>1188</v>
      </c>
      <c r="D20" s="102" t="s">
        <v>82</v>
      </c>
      <c r="E20" s="102" t="s">
        <v>49</v>
      </c>
      <c r="F20" s="44" t="s">
        <v>434</v>
      </c>
      <c r="G20" s="44">
        <v>2</v>
      </c>
      <c r="H20" s="3"/>
    </row>
    <row r="21" spans="1:8">
      <c r="A21" s="44">
        <v>20</v>
      </c>
      <c r="B21" s="61" t="s">
        <v>376</v>
      </c>
      <c r="C21" s="61" t="s">
        <v>422</v>
      </c>
      <c r="D21" s="61" t="s">
        <v>82</v>
      </c>
      <c r="E21" s="61" t="s">
        <v>49</v>
      </c>
      <c r="F21" s="44" t="s">
        <v>434</v>
      </c>
      <c r="G21" s="44">
        <v>2</v>
      </c>
      <c r="H21" s="3"/>
    </row>
    <row r="22" spans="1:8">
      <c r="A22" s="44">
        <v>21</v>
      </c>
      <c r="B22" s="61" t="s">
        <v>376</v>
      </c>
      <c r="C22" s="61" t="s">
        <v>377</v>
      </c>
      <c r="D22" s="61" t="s">
        <v>82</v>
      </c>
      <c r="E22" s="61" t="s">
        <v>49</v>
      </c>
      <c r="F22" s="44" t="s">
        <v>434</v>
      </c>
      <c r="G22" s="44">
        <v>2</v>
      </c>
      <c r="H22" s="3"/>
    </row>
    <row r="23" spans="1:8">
      <c r="A23" s="44">
        <v>22</v>
      </c>
      <c r="B23" s="6" t="s">
        <v>181</v>
      </c>
      <c r="C23" s="6" t="s">
        <v>426</v>
      </c>
      <c r="D23" s="6" t="s">
        <v>82</v>
      </c>
      <c r="E23" s="6" t="s">
        <v>49</v>
      </c>
      <c r="F23" s="44" t="s">
        <v>434</v>
      </c>
      <c r="G23" s="44">
        <v>2</v>
      </c>
      <c r="H23" s="3"/>
    </row>
    <row r="24" spans="1:8">
      <c r="A24" s="44">
        <v>23</v>
      </c>
      <c r="B24" s="122" t="s">
        <v>180</v>
      </c>
      <c r="C24" s="122" t="s">
        <v>221</v>
      </c>
      <c r="D24" s="122" t="s">
        <v>82</v>
      </c>
      <c r="E24" s="122" t="s">
        <v>49</v>
      </c>
      <c r="F24" s="44" t="s">
        <v>434</v>
      </c>
      <c r="G24" s="44">
        <v>2</v>
      </c>
      <c r="H24" s="3"/>
    </row>
    <row r="25" spans="1:8">
      <c r="A25" s="44">
        <v>24</v>
      </c>
      <c r="B25" s="122" t="s">
        <v>180</v>
      </c>
      <c r="C25" s="122" t="s">
        <v>273</v>
      </c>
      <c r="D25" s="122" t="s">
        <v>158</v>
      </c>
      <c r="E25" s="122" t="s">
        <v>49</v>
      </c>
      <c r="F25" s="44" t="s">
        <v>434</v>
      </c>
      <c r="G25" s="44">
        <v>5</v>
      </c>
      <c r="H25" s="3"/>
    </row>
    <row r="26" spans="1:8">
      <c r="A26" s="44">
        <v>25</v>
      </c>
      <c r="B26" s="123" t="s">
        <v>190</v>
      </c>
      <c r="C26" s="123" t="s">
        <v>355</v>
      </c>
      <c r="D26" s="123" t="s">
        <v>82</v>
      </c>
      <c r="E26" s="123" t="s">
        <v>49</v>
      </c>
      <c r="F26" s="44" t="s">
        <v>439</v>
      </c>
      <c r="G26" s="44">
        <v>2</v>
      </c>
      <c r="H26" s="3"/>
    </row>
    <row r="27" spans="1:8">
      <c r="A27" s="44">
        <v>26</v>
      </c>
      <c r="B27" s="123" t="s">
        <v>186</v>
      </c>
      <c r="C27" s="123" t="s">
        <v>187</v>
      </c>
      <c r="D27" s="123" t="s">
        <v>82</v>
      </c>
      <c r="E27" s="123" t="s">
        <v>49</v>
      </c>
      <c r="F27" s="44" t="s">
        <v>434</v>
      </c>
      <c r="G27" s="44">
        <v>2</v>
      </c>
      <c r="H27" s="3"/>
    </row>
    <row r="28" spans="1:8">
      <c r="A28" s="44">
        <v>27</v>
      </c>
      <c r="B28" s="124" t="s">
        <v>199</v>
      </c>
      <c r="C28" s="124" t="s">
        <v>1229</v>
      </c>
      <c r="D28" s="124" t="s">
        <v>82</v>
      </c>
      <c r="E28" s="124" t="s">
        <v>49</v>
      </c>
      <c r="F28" s="44" t="s">
        <v>434</v>
      </c>
      <c r="G28" s="44">
        <v>2</v>
      </c>
      <c r="H28" s="3"/>
    </row>
    <row r="29" spans="1:8">
      <c r="A29" s="44">
        <v>28</v>
      </c>
      <c r="B29" s="124" t="s">
        <v>199</v>
      </c>
      <c r="C29" s="124" t="s">
        <v>200</v>
      </c>
      <c r="D29" s="124" t="s">
        <v>158</v>
      </c>
      <c r="E29" s="124" t="s">
        <v>49</v>
      </c>
      <c r="F29" s="44" t="s">
        <v>434</v>
      </c>
      <c r="G29" s="44">
        <v>2</v>
      </c>
      <c r="H29" s="3"/>
    </row>
    <row r="30" spans="1:8">
      <c r="A30" s="44">
        <v>29</v>
      </c>
      <c r="B30" s="126" t="s">
        <v>209</v>
      </c>
      <c r="C30" s="126" t="s">
        <v>926</v>
      </c>
      <c r="D30" s="126" t="s">
        <v>82</v>
      </c>
      <c r="E30" s="126" t="s">
        <v>49</v>
      </c>
      <c r="F30" s="44" t="s">
        <v>434</v>
      </c>
      <c r="G30" s="44">
        <v>4</v>
      </c>
      <c r="H30" s="3"/>
    </row>
    <row r="31" spans="1:8">
      <c r="A31" s="44">
        <v>30</v>
      </c>
      <c r="B31" s="126" t="s">
        <v>209</v>
      </c>
      <c r="C31" s="126" t="s">
        <v>1233</v>
      </c>
      <c r="D31" s="126" t="s">
        <v>82</v>
      </c>
      <c r="E31" s="126" t="s">
        <v>49</v>
      </c>
      <c r="F31" s="44" t="s">
        <v>434</v>
      </c>
      <c r="G31" s="44">
        <v>4</v>
      </c>
      <c r="H31" s="3"/>
    </row>
    <row r="32" spans="1:8">
      <c r="A32" s="44">
        <v>31</v>
      </c>
      <c r="B32" s="126" t="s">
        <v>374</v>
      </c>
      <c r="C32" s="126" t="s">
        <v>382</v>
      </c>
      <c r="D32" s="126" t="s">
        <v>158</v>
      </c>
      <c r="E32" s="126" t="s">
        <v>49</v>
      </c>
      <c r="F32" s="44" t="s">
        <v>434</v>
      </c>
      <c r="G32" s="44">
        <v>2</v>
      </c>
      <c r="H32" s="3"/>
    </row>
    <row r="33" spans="1:8">
      <c r="A33" s="44">
        <v>32</v>
      </c>
      <c r="B33" s="6" t="s">
        <v>206</v>
      </c>
      <c r="C33" s="6" t="s">
        <v>317</v>
      </c>
      <c r="D33" s="6" t="s">
        <v>82</v>
      </c>
      <c r="E33" s="6" t="s">
        <v>49</v>
      </c>
      <c r="F33" s="44" t="s">
        <v>434</v>
      </c>
      <c r="G33" s="44">
        <v>3</v>
      </c>
      <c r="H33" s="3"/>
    </row>
    <row r="34" spans="1:8">
      <c r="A34" s="44">
        <v>33</v>
      </c>
      <c r="B34" s="6" t="s">
        <v>206</v>
      </c>
      <c r="C34" s="6" t="s">
        <v>427</v>
      </c>
      <c r="D34" s="6" t="s">
        <v>82</v>
      </c>
      <c r="E34" s="6" t="s">
        <v>49</v>
      </c>
      <c r="F34" s="44" t="s">
        <v>434</v>
      </c>
      <c r="G34" s="44">
        <v>2</v>
      </c>
      <c r="H34" s="3"/>
    </row>
    <row r="35" spans="1:8">
      <c r="A35" s="44">
        <v>34</v>
      </c>
      <c r="B35" s="6" t="s">
        <v>206</v>
      </c>
      <c r="C35" s="6" t="s">
        <v>208</v>
      </c>
      <c r="D35" s="6" t="s">
        <v>158</v>
      </c>
      <c r="E35" s="6" t="s">
        <v>49</v>
      </c>
      <c r="F35" s="44" t="s">
        <v>434</v>
      </c>
      <c r="G35" s="44">
        <v>3</v>
      </c>
      <c r="H35" s="3"/>
    </row>
    <row r="36" spans="1:8">
      <c r="A36" s="44">
        <v>35</v>
      </c>
      <c r="B36" s="6" t="s">
        <v>206</v>
      </c>
      <c r="C36" s="6" t="s">
        <v>437</v>
      </c>
      <c r="D36" s="6" t="s">
        <v>82</v>
      </c>
      <c r="E36" s="6" t="s">
        <v>49</v>
      </c>
      <c r="F36" s="44" t="s">
        <v>434</v>
      </c>
      <c r="G36" s="44">
        <v>3</v>
      </c>
      <c r="H36" s="3"/>
    </row>
    <row r="37" spans="1:8">
      <c r="A37" s="44">
        <v>36</v>
      </c>
      <c r="B37" s="126" t="s">
        <v>203</v>
      </c>
      <c r="C37" s="126" t="s">
        <v>916</v>
      </c>
      <c r="D37" s="126" t="s">
        <v>82</v>
      </c>
      <c r="E37" s="126" t="s">
        <v>49</v>
      </c>
      <c r="F37" s="44" t="s">
        <v>434</v>
      </c>
      <c r="G37" s="44">
        <v>4</v>
      </c>
      <c r="H37" s="3"/>
    </row>
    <row r="38" spans="1:8">
      <c r="A38" s="44">
        <v>37</v>
      </c>
      <c r="B38" s="126" t="s">
        <v>203</v>
      </c>
      <c r="C38" s="126" t="s">
        <v>1228</v>
      </c>
      <c r="D38" s="126" t="s">
        <v>82</v>
      </c>
      <c r="E38" s="126" t="s">
        <v>49</v>
      </c>
      <c r="F38" s="44" t="s">
        <v>434</v>
      </c>
      <c r="G38" s="44">
        <v>4</v>
      </c>
      <c r="H38" s="3"/>
    </row>
    <row r="39" spans="1:8">
      <c r="A39" s="44">
        <v>38</v>
      </c>
      <c r="B39" s="126" t="s">
        <v>203</v>
      </c>
      <c r="C39" s="126" t="s">
        <v>1261</v>
      </c>
      <c r="D39" s="126" t="s">
        <v>82</v>
      </c>
      <c r="E39" s="126" t="s">
        <v>49</v>
      </c>
      <c r="F39" s="44" t="s">
        <v>434</v>
      </c>
      <c r="G39" s="44">
        <v>4</v>
      </c>
      <c r="H39" s="3"/>
    </row>
    <row r="40" spans="1:8">
      <c r="B40" s="126" t="s">
        <v>203</v>
      </c>
      <c r="C40" s="126" t="s">
        <v>1277</v>
      </c>
      <c r="D40" s="126" t="s">
        <v>82</v>
      </c>
      <c r="E40" s="126" t="s">
        <v>49</v>
      </c>
      <c r="F40" s="44" t="s">
        <v>434</v>
      </c>
      <c r="G40" s="44">
        <v>4</v>
      </c>
      <c r="H40" s="3"/>
    </row>
    <row r="41" spans="1:8">
      <c r="A41" s="44">
        <v>39</v>
      </c>
      <c r="B41" s="61" t="s">
        <v>204</v>
      </c>
      <c r="C41" s="61" t="s">
        <v>359</v>
      </c>
      <c r="D41" s="61" t="s">
        <v>82</v>
      </c>
      <c r="E41" s="61" t="s">
        <v>49</v>
      </c>
      <c r="F41" s="44" t="s">
        <v>434</v>
      </c>
      <c r="G41" s="44">
        <v>4</v>
      </c>
      <c r="H41" s="3"/>
    </row>
    <row r="42" spans="1:8">
      <c r="A42" s="44">
        <v>40</v>
      </c>
      <c r="B42" s="61" t="s">
        <v>204</v>
      </c>
      <c r="C42" s="61" t="s">
        <v>205</v>
      </c>
      <c r="D42" s="61" t="s">
        <v>158</v>
      </c>
      <c r="E42" s="61" t="s">
        <v>49</v>
      </c>
      <c r="F42" s="44" t="s">
        <v>434</v>
      </c>
      <c r="G42" s="44">
        <v>3</v>
      </c>
      <c r="H42" s="3"/>
    </row>
    <row r="43" spans="1:8">
      <c r="A43" s="44">
        <v>41</v>
      </c>
      <c r="B43" s="61" t="s">
        <v>414</v>
      </c>
      <c r="C43" s="61" t="s">
        <v>415</v>
      </c>
      <c r="D43" s="61" t="s">
        <v>82</v>
      </c>
      <c r="E43" s="61" t="s">
        <v>49</v>
      </c>
      <c r="F43" s="44" t="s">
        <v>434</v>
      </c>
      <c r="G43" s="44">
        <v>2</v>
      </c>
      <c r="H43" s="3"/>
    </row>
    <row r="44" spans="1:8">
      <c r="A44" s="44">
        <v>42</v>
      </c>
      <c r="B44" s="125" t="s">
        <v>424</v>
      </c>
      <c r="C44" s="125" t="s">
        <v>329</v>
      </c>
      <c r="D44" s="125" t="s">
        <v>158</v>
      </c>
      <c r="E44" s="125" t="s">
        <v>49</v>
      </c>
      <c r="F44" s="44" t="s">
        <v>434</v>
      </c>
      <c r="G44" s="44">
        <v>3</v>
      </c>
      <c r="H44" s="3"/>
    </row>
    <row r="45" spans="1:8">
      <c r="A45" s="44">
        <v>43</v>
      </c>
      <c r="B45" s="125" t="s">
        <v>218</v>
      </c>
      <c r="C45" s="125" t="s">
        <v>396</v>
      </c>
      <c r="D45" s="125" t="s">
        <v>82</v>
      </c>
      <c r="E45" s="125" t="s">
        <v>49</v>
      </c>
      <c r="F45" s="44" t="s">
        <v>434</v>
      </c>
      <c r="G45" s="44">
        <v>2</v>
      </c>
      <c r="H45" s="3"/>
    </row>
    <row r="46" spans="1:8">
      <c r="A46" s="44">
        <v>44</v>
      </c>
      <c r="B46" s="125" t="s">
        <v>215</v>
      </c>
      <c r="C46" s="125" t="s">
        <v>331</v>
      </c>
      <c r="D46" s="125" t="s">
        <v>158</v>
      </c>
      <c r="E46" s="125" t="s">
        <v>49</v>
      </c>
      <c r="F46" s="44" t="s">
        <v>434</v>
      </c>
      <c r="G46" s="44">
        <v>2</v>
      </c>
      <c r="H46" s="3"/>
    </row>
    <row r="47" spans="1:8">
      <c r="A47" s="44">
        <v>45</v>
      </c>
      <c r="B47" s="102" t="s">
        <v>425</v>
      </c>
      <c r="C47" s="102" t="s">
        <v>419</v>
      </c>
      <c r="D47" s="102" t="s">
        <v>82</v>
      </c>
      <c r="E47" s="102" t="s">
        <v>49</v>
      </c>
      <c r="F47" s="44" t="s">
        <v>434</v>
      </c>
      <c r="G47" s="44">
        <v>4</v>
      </c>
      <c r="H47" s="3"/>
    </row>
    <row r="48" spans="1:8">
      <c r="A48" s="44">
        <v>46</v>
      </c>
      <c r="B48" s="6" t="s">
        <v>394</v>
      </c>
      <c r="C48" s="6" t="s">
        <v>395</v>
      </c>
      <c r="D48" s="6" t="s">
        <v>82</v>
      </c>
      <c r="E48" s="6" t="s">
        <v>49</v>
      </c>
      <c r="F48" s="44"/>
      <c r="G48" s="44"/>
      <c r="H48" s="3"/>
    </row>
    <row r="49" spans="1:8">
      <c r="A49" s="44">
        <v>47</v>
      </c>
      <c r="B49" s="102" t="s">
        <v>1136</v>
      </c>
      <c r="C49" s="102" t="s">
        <v>1137</v>
      </c>
      <c r="D49" s="102" t="s">
        <v>82</v>
      </c>
      <c r="E49" s="102" t="s">
        <v>49</v>
      </c>
      <c r="F49" s="44" t="s">
        <v>434</v>
      </c>
      <c r="G49" s="44">
        <v>2</v>
      </c>
      <c r="H49" s="3"/>
    </row>
    <row r="50" spans="1:8">
      <c r="A50" s="44">
        <v>48</v>
      </c>
      <c r="B50" s="102" t="s">
        <v>1265</v>
      </c>
      <c r="C50" s="102" t="s">
        <v>1190</v>
      </c>
      <c r="D50" s="102" t="s">
        <v>82</v>
      </c>
      <c r="E50" s="102" t="s">
        <v>49</v>
      </c>
      <c r="F50" s="44" t="s">
        <v>434</v>
      </c>
      <c r="G50" s="44">
        <v>2</v>
      </c>
      <c r="H50" s="3"/>
    </row>
    <row r="51" spans="1:8">
      <c r="A51" s="44">
        <v>49</v>
      </c>
      <c r="B51" s="6" t="s">
        <v>1264</v>
      </c>
      <c r="C51" s="6" t="s">
        <v>1244</v>
      </c>
      <c r="D51" s="6" t="s">
        <v>82</v>
      </c>
      <c r="E51" s="6" t="s">
        <v>49</v>
      </c>
      <c r="F51" s="44" t="s">
        <v>434</v>
      </c>
      <c r="G51" s="44">
        <v>2</v>
      </c>
    </row>
    <row r="52" spans="1:8">
      <c r="A52" s="44">
        <v>50</v>
      </c>
      <c r="B52" s="6" t="s">
        <v>1264</v>
      </c>
      <c r="C52" s="6" t="s">
        <v>1276</v>
      </c>
      <c r="D52" s="6" t="s">
        <v>82</v>
      </c>
      <c r="E52" s="6" t="s">
        <v>49</v>
      </c>
      <c r="F52" s="44" t="s">
        <v>434</v>
      </c>
      <c r="G52" s="44">
        <v>2</v>
      </c>
    </row>
    <row r="53" spans="1:8">
      <c r="B53" s="3"/>
      <c r="C53" s="3"/>
      <c r="D53" s="3"/>
      <c r="E53" s="3"/>
      <c r="F53" s="44"/>
      <c r="G53" s="44"/>
    </row>
    <row r="54" spans="1:8">
      <c r="B54" t="s">
        <v>435</v>
      </c>
      <c r="F54" s="44" t="s">
        <v>434</v>
      </c>
      <c r="G54" s="44">
        <v>8</v>
      </c>
    </row>
    <row r="55" spans="1:8">
      <c r="B55" t="s">
        <v>438</v>
      </c>
      <c r="F55" s="44" t="s">
        <v>434</v>
      </c>
      <c r="G55" s="44">
        <v>8</v>
      </c>
    </row>
    <row r="56" spans="1:8">
      <c r="B56" t="s">
        <v>922</v>
      </c>
      <c r="F56" s="44" t="s">
        <v>434</v>
      </c>
      <c r="G56" s="44">
        <v>5</v>
      </c>
    </row>
    <row r="57" spans="1:8">
      <c r="B57" t="s">
        <v>1214</v>
      </c>
      <c r="F57" s="44" t="s">
        <v>434</v>
      </c>
      <c r="G57" s="44">
        <v>4</v>
      </c>
    </row>
    <row r="58" spans="1:8">
      <c r="B58" t="s">
        <v>1234</v>
      </c>
      <c r="F58" s="44" t="s">
        <v>434</v>
      </c>
      <c r="G58" s="44">
        <v>4</v>
      </c>
    </row>
    <row r="59" spans="1:8">
      <c r="F59" s="44"/>
      <c r="G59" s="44"/>
    </row>
    <row r="60" spans="1:8">
      <c r="F60" s="44" t="s">
        <v>863</v>
      </c>
      <c r="G60">
        <f>SUM(G2:G58)</f>
        <v>161</v>
      </c>
    </row>
  </sheetData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kavşak listesi grup sayısı</vt:lpstr>
      <vt:lpstr>2026 KAVŞAK BAKIM LİSTESİ</vt:lpstr>
      <vt:lpstr>DİREK SAYISI</vt:lpstr>
      <vt:lpstr>VMS BAKIM LİSTESİ</vt:lpstr>
      <vt:lpstr>kavşak listesi </vt:lpstr>
      <vt:lpstr>KAVŞAK KORDİNATLARI</vt:lpstr>
      <vt:lpstr>BUTONLU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sfirlayis</dc:creator>
  <cp:lastModifiedBy>sgocer</cp:lastModifiedBy>
  <cp:lastPrinted>2026-05-22T05:17:58Z</cp:lastPrinted>
  <dcterms:created xsi:type="dcterms:W3CDTF">2018-12-07T13:35:41Z</dcterms:created>
  <dcterms:modified xsi:type="dcterms:W3CDTF">2026-06-18T09:08:05Z</dcterms:modified>
</cp:coreProperties>
</file>